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7" documentId="13_ncr:1_{965BE886-D2C4-44D2-937F-E901E74C4ED2}" xr6:coauthVersionLast="47" xr6:coauthVersionMax="47" xr10:uidLastSave="{DB6C3DFA-79B4-4DC5-8456-AB7023A1E621}"/>
  <bookViews>
    <workbookView xWindow="28680" yWindow="-120" windowWidth="29040" windowHeight="15720" activeTab="3" xr2:uid="{9D292A65-B8C8-46CC-8162-88CB3EA3ABC7}"/>
  </bookViews>
  <sheets>
    <sheet name="README" sheetId="1" r:id="rId1"/>
    <sheet name="site_selection" sheetId="2" r:id="rId2"/>
    <sheet name="archetypes" sheetId="15" state="hidden" r:id="rId3"/>
    <sheet name="prod_data" sheetId="11" r:id="rId4"/>
    <sheet name="most_important_mine" sheetId="16" r:id="rId5"/>
    <sheet name="fu" sheetId="14" state="hidden" r:id="rId6"/>
    <sheet name="EI" sheetId="13" r:id="rId7"/>
    <sheet name="prod_data_raw" sheetId="9" r:id="rId8"/>
    <sheet name="ta_data" sheetId="10" state="hidden" r:id="rId9"/>
    <sheet name="default_value" sheetId="12" r:id="rId10"/>
  </sheets>
  <definedNames>
    <definedName name="_xlnm._FilterDatabase" localSheetId="3" hidden="1">prod_data!$A$1:$R$1</definedName>
    <definedName name="_xlnm._FilterDatabase" localSheetId="7" hidden="1">prod_data_raw!$A$1:$P$219</definedName>
    <definedName name="_xlnm._FilterDatabase" localSheetId="1" hidden="1">site_selection!$A$1:$P$123</definedName>
    <definedName name="_xlnm._FilterDatabase" localSheetId="8"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8" i="11" l="1"/>
  <c r="K17" i="11"/>
  <c r="K15" i="11"/>
  <c r="K9" i="11"/>
  <c r="I27" i="11" l="1"/>
  <c r="Q27" i="11" s="1"/>
  <c r="I4" i="11"/>
  <c r="Q4" i="11" s="1"/>
  <c r="L21" i="11"/>
  <c r="O34" i="11" l="1"/>
  <c r="L34" i="11"/>
  <c r="K34" i="11"/>
  <c r="J34" i="11"/>
  <c r="J33" i="11"/>
  <c r="K32" i="11"/>
  <c r="J32" i="11"/>
  <c r="J31" i="11"/>
  <c r="K30" i="11"/>
  <c r="J30" i="11"/>
  <c r="J29" i="11"/>
  <c r="J28" i="11"/>
  <c r="J26" i="11"/>
  <c r="L25" i="11"/>
  <c r="J25" i="11"/>
  <c r="J24" i="11"/>
  <c r="L23" i="11"/>
  <c r="J23" i="11"/>
  <c r="J22" i="11"/>
  <c r="J21" i="11"/>
  <c r="K20" i="11"/>
  <c r="J20" i="11"/>
  <c r="J19" i="11"/>
  <c r="O18" i="11"/>
  <c r="L18" i="11"/>
  <c r="K18" i="11"/>
  <c r="J18" i="11"/>
  <c r="J17" i="11"/>
  <c r="R16" i="11"/>
  <c r="J15" i="11"/>
  <c r="P14" i="11"/>
  <c r="O14" i="11"/>
  <c r="K14" i="11"/>
  <c r="J13" i="11"/>
  <c r="J12" i="11"/>
  <c r="O11" i="11"/>
  <c r="K11" i="11"/>
  <c r="J11" i="11"/>
  <c r="N10" i="11"/>
  <c r="L10" i="11"/>
  <c r="J9" i="11"/>
  <c r="J8" i="11"/>
  <c r="K7" i="11"/>
  <c r="J7" i="11"/>
  <c r="L6" i="11"/>
  <c r="K6" i="11"/>
  <c r="J6" i="11"/>
  <c r="K5" i="11"/>
  <c r="J5" i="11"/>
  <c r="K3" i="11"/>
  <c r="J3" i="11"/>
  <c r="J2" i="11"/>
  <c r="I34" i="11"/>
  <c r="I33" i="11"/>
  <c r="I32" i="11"/>
  <c r="I31" i="11"/>
  <c r="I30" i="11"/>
  <c r="I29" i="11"/>
  <c r="I28" i="11"/>
  <c r="I26" i="11"/>
  <c r="I25" i="11"/>
  <c r="I24" i="11"/>
  <c r="I23" i="11"/>
  <c r="I22" i="11"/>
  <c r="I21" i="11"/>
  <c r="I20" i="11"/>
  <c r="I19" i="11"/>
  <c r="I18" i="11"/>
  <c r="I17" i="11"/>
  <c r="I16" i="11"/>
  <c r="I15" i="11"/>
  <c r="I14" i="11"/>
  <c r="I13" i="11"/>
  <c r="I12" i="11"/>
  <c r="I11" i="11"/>
  <c r="I10" i="11"/>
  <c r="I9" i="11"/>
  <c r="I8" i="11"/>
  <c r="I7" i="11"/>
  <c r="I6" i="11"/>
  <c r="I5" i="11"/>
  <c r="I3" i="11"/>
  <c r="I2" i="11"/>
</calcChain>
</file>

<file path=xl/sharedStrings.xml><?xml version="1.0" encoding="utf-8"?>
<sst xmlns="http://schemas.openxmlformats.org/spreadsheetml/2006/main" count="5430" uniqueCount="1152">
  <si>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</si>
  <si>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</si>
  <si>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</si>
  <si>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</si>
  <si>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</si>
  <si>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</si>
  <si>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</si>
  <si>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</si>
  <si>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</si>
  <si>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</si>
  <si>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</si>
  <si>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</si>
  <si>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</si>
  <si>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</si>
  <si>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</si>
  <si>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</si>
  <si>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</si>
  <si>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</si>
  <si>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</si>
  <si>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</si>
  <si>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</si>
  <si>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</si>
  <si>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</si>
  <si>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</si>
  <si>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</si>
  <si>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</si>
  <si>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</si>
  <si>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SRC_RioTinto_rt-fact-book-addendum</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</si>
  <si>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</si>
  <si>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</si>
  <si>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</si>
  <si>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</si>
  <si>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</si>
  <si>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</si>
  <si>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</si>
  <si>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</si>
  <si>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</si>
  <si>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</si>
  <si>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</si>
  <si>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</si>
  <si>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</si>
  <si>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</si>
  <si>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</si>
  <si>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</si>
  <si>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SRC_ArcelorMittal_Factbook_2024</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</si>
  <si>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</si>
  <si>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</si>
  <si>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</si>
  <si>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</si>
  <si>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</si>
  <si>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</si>
  <si>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</si>
  <si>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</si>
  <si>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</si>
  <si>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</si>
  <si>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Turned to million metric tons when compared to Jasansky et al (2023), although the report says 7.9 'wet metric tons'</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</si>
  <si>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</si>
  <si>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</si>
  <si>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</si>
  <si>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</si>
  <si>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</si>
  <si>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</si>
  <si>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</si>
  <si>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</si>
  <si>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</si>
  <si>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</si>
  <si>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</si>
  <si>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</si>
  <si>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</si>
  <si>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</si>
  <si>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</si>
  <si>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</si>
  <si>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</si>
  <si>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SRC_Glencore_GLEN_2024-FY_ProductionReport_tables</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</si>
  <si>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</si>
  <si>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</si>
  <si>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</si>
  <si>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</si>
  <si>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</si>
  <si>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</si>
  <si>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</si>
  <si>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</si>
  <si>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</si>
  <si>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</si>
  <si>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</si>
  <si>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</si>
  <si>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</si>
  <si>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</si>
  <si>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SRC_IronOreCompanyofCanada_IOC_Carol_Lake_Mine</t>
  </si>
  <si>
    <t>Carol Lake</t>
  </si>
  <si>
    <t>PROD-b86f7d07-2023-3</t>
  </si>
  <si>
    <t>Mill feed</t>
  </si>
  <si>
    <t>"The Casa Berardi mill processes 3,730tpd, with future maximum production of 4,400tpd."</t>
  </si>
  <si>
    <t>QC-MAIN-b86f7d07</t>
  </si>
  <si>
    <t>CMP-7e360a1f</t>
  </si>
  <si>
    <t>SRC_HeclaMiningCompany_TR_Casa_Berardi_2024</t>
  </si>
  <si>
    <t>Casa Berardi</t>
  </si>
  <si>
    <t>Open-pit, underground, concentrator</t>
  </si>
  <si>
    <t>PROD-91cf5448-2023-2</t>
  </si>
  <si>
    <t>Uranium</t>
  </si>
  <si>
    <t>mlbs</t>
  </si>
  <si>
    <t>Calculated based on a 15,87% ore grade and 98,7% recovery rate</t>
  </si>
  <si>
    <t>SK-MAIN-91cf5448</t>
  </si>
  <si>
    <t>CMP-cadb529a</t>
  </si>
  <si>
    <t>SRC_CamecoCorporation_cigar-lake</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</si>
  <si>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</si>
  <si>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</si>
  <si>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</si>
  <si>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</si>
  <si>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</si>
  <si>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</si>
  <si>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</si>
  <si>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</si>
  <si>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</si>
  <si>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</si>
  <si>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</si>
  <si>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</si>
  <si>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</si>
  <si>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</si>
  <si>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</si>
  <si>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</si>
  <si>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</si>
  <si>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</si>
  <si>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</si>
  <si>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</si>
  <si>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</si>
  <si>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</si>
  <si>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</si>
  <si>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</si>
  <si>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</si>
  <si>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SRC_RioTinto_2024-4qor-xlsx</t>
  </si>
  <si>
    <t>Diavik</t>
  </si>
  <si>
    <t>Underground, plant</t>
  </si>
  <si>
    <t>PROD-cb85213a-2023-2</t>
  </si>
  <si>
    <t>ON-MAIN-cb85213a</t>
  </si>
  <si>
    <t>CMP-3d2c4955</t>
  </si>
  <si>
    <t>SRC_WesdomeGoldMinesLtd_2024-MDA-FINAL</t>
  </si>
  <si>
    <t>Eagle River</t>
  </si>
  <si>
    <t>PROD-6c1d6ee6-2023-2</t>
  </si>
  <si>
    <t>mdmt</t>
  </si>
  <si>
    <t>NT-MAIN-6c1d6ee6</t>
  </si>
  <si>
    <t>CMP-caa580a0</t>
  </si>
  <si>
    <t>SRC_BurgundyDiamondMines_Quarterly-Activities-Report-for-the-Period-ended-September-30th-2026</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</si>
  <si>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</si>
  <si>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</si>
  <si>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</si>
  <si>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</si>
  <si>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</si>
  <si>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</si>
  <si>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</si>
  <si>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</si>
  <si>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</si>
  <si>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</si>
  <si>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</si>
  <si>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</si>
  <si>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</si>
  <si>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</si>
  <si>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SRC_EVRAZNorthAmericaInc_Evraz_Regina_Steel_plant</t>
  </si>
  <si>
    <t>EVRAZ Regina</t>
  </si>
  <si>
    <t>PROD-33c09b8b-2023-1</t>
  </si>
  <si>
    <t>Iron ore</t>
  </si>
  <si>
    <t>Given in ttpa (total ton per annum)</t>
  </si>
  <si>
    <t>QC-MAIN-33c09b8b</t>
  </si>
  <si>
    <t>GRP-1402249f</t>
  </si>
  <si>
    <t>SRC_ArcelorMittal_ArcelorMittal_Fire_Lake_Mine</t>
  </si>
  <si>
    <t>Fire Lake</t>
  </si>
  <si>
    <t>AMMC</t>
  </si>
  <si>
    <t>PROD-4e0734b5-2023-2</t>
  </si>
  <si>
    <t>ON-MAIN-4e0734b5</t>
  </si>
  <si>
    <t>CMP-3ff42329</t>
  </si>
  <si>
    <t>SRC_McEwenMiningInc_SEC_2024</t>
  </si>
  <si>
    <t>Fox Complex</t>
  </si>
  <si>
    <t>PROD-206041d1-2024-1</t>
  </si>
  <si>
    <t>ON-MAIN-206041d1</t>
  </si>
  <si>
    <t>GRP-de097f20</t>
  </si>
  <si>
    <t>SRC_Glencore_at-a-glance</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</si>
  <si>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</si>
  <si>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</si>
  <si>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</si>
  <si>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</si>
  <si>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</si>
  <si>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</si>
  <si>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</si>
  <si>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</si>
  <si>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</si>
  <si>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</si>
  <si>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</si>
  <si>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</si>
  <si>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</si>
  <si>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</si>
  <si>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</si>
  <si>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</si>
  <si>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</si>
  <si>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</si>
  <si>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</si>
  <si>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</si>
  <si>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</si>
  <si>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</si>
  <si>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</si>
  <si>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</si>
  <si>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</si>
  <si>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SRC_TeckResourcesLimited_summary</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</si>
  <si>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</si>
  <si>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</si>
  <si>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</si>
  <si>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</si>
  <si>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</si>
  <si>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</si>
  <si>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</si>
  <si>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</si>
  <si>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</si>
  <si>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</si>
  <si>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</si>
  <si>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</si>
  <si>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</si>
  <si>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</si>
  <si>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</si>
  <si>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</si>
  <si>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</si>
  <si>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Calculated based on a 1,41% ore grade and 85% recovery rate for copper, which has the highest ore processed estimate</t>
  </si>
  <si>
    <t>ON-MAIN-f8313ebd</t>
  </si>
  <si>
    <t>SRC_Glencore_nan</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</si>
  <si>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</si>
  <si>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</si>
  <si>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</si>
  <si>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</si>
  <si>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</si>
  <si>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</si>
  <si>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</si>
  <si>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</si>
  <si>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</si>
  <si>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</si>
  <si>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</si>
  <si>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</si>
  <si>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</si>
  <si>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</si>
  <si>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</si>
  <si>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</si>
  <si>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</si>
  <si>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</si>
  <si>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</si>
  <si>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</si>
  <si>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</si>
  <si>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</si>
  <si>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</si>
  <si>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</si>
  <si>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</si>
  <si>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</si>
  <si>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</si>
  <si>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</si>
  <si>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</si>
  <si>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</si>
  <si>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</si>
  <si>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</si>
  <si>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</si>
  <si>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</si>
  <si>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</si>
  <si>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</si>
  <si>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</si>
  <si>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</si>
  <si>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</si>
  <si>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</si>
  <si>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</si>
  <si>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</si>
  <si>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</si>
  <si>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</si>
  <si>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</si>
  <si>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SRC_BaffinlandIronMinesCorporation_Baffinland_Mary_River_Mine</t>
  </si>
  <si>
    <t>Mary River</t>
  </si>
  <si>
    <t>PROD-GRP-21eee27d-2023-2</t>
  </si>
  <si>
    <t>Calculated based on a 6,55% ore grade and 95% recovery rate</t>
  </si>
  <si>
    <t>GRP-21eee27d</t>
  </si>
  <si>
    <t>SRC_CamecoCorporation_mcarthur-river-key-lake</t>
  </si>
  <si>
    <t>McArthur River</t>
  </si>
  <si>
    <t>Key Lake + McArthur River</t>
  </si>
  <si>
    <t>PROD-60ba74c4-2022-1</t>
  </si>
  <si>
    <t>Usable ore</t>
  </si>
  <si>
    <t>Contained metal in concentrate</t>
  </si>
  <si>
    <t>Process the high-grade uranium ore which is supplied by the Cigar Lake mine</t>
  </si>
  <si>
    <t>SK-MAIN-60ba74c4</t>
  </si>
  <si>
    <t>CMP-43299e17</t>
  </si>
  <si>
    <t>SRC_OranoCanadaInc_mining-and-milling</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</si>
  <si>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</si>
  <si>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</si>
  <si>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</si>
  <si>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</si>
  <si>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</si>
  <si>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</si>
  <si>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</si>
  <si>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</si>
  <si>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</si>
  <si>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</si>
  <si>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</si>
  <si>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</si>
  <si>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</si>
  <si>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</si>
  <si>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</si>
  <si>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</si>
  <si>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</si>
  <si>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</si>
  <si>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SRC_ArcelorMittal_ArcelorMittal_Mont_Wright_Mine</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</si>
  <si>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</si>
  <si>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</si>
  <si>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</si>
  <si>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</si>
  <si>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</si>
  <si>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</si>
  <si>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</si>
  <si>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</si>
  <si>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</si>
  <si>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</si>
  <si>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</si>
  <si>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</si>
  <si>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</si>
  <si>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</si>
  <si>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</si>
  <si>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</si>
  <si>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</si>
  <si>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</si>
  <si>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</si>
  <si>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</si>
  <si>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PROD-da0b5c3d-2023-5</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</si>
  <si>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</si>
  <si>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</si>
  <si>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</si>
  <si>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</si>
  <si>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</si>
  <si>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</si>
  <si>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</si>
  <si>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</si>
  <si>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</si>
  <si>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</si>
  <si>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</si>
  <si>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</si>
  <si>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SRC_MagrisPerformanceMaterialsInc._80011</t>
  </si>
  <si>
    <t>Niobec</t>
  </si>
  <si>
    <t>PROD-649d2873-2023-1</t>
  </si>
  <si>
    <t>Ferroniobium</t>
  </si>
  <si>
    <t>QC-MAIN-649d2873</t>
  </si>
  <si>
    <t>CMP-9abb4c27</t>
  </si>
  <si>
    <t>SRC_MagrisPerformanceMaterialsInc._SR_2023</t>
  </si>
  <si>
    <t>Niobec Converter</t>
  </si>
  <si>
    <t>PROD-dc1a16f9-2023-1</t>
  </si>
  <si>
    <t>Lithium</t>
  </si>
  <si>
    <t>QC-MAIN-dc1a16f9</t>
  </si>
  <si>
    <t>CMP-9f967ad1</t>
  </si>
  <si>
    <t>SRC_SayonaQuébecInc_AR_2023</t>
  </si>
  <si>
    <t>North American Lithium</t>
  </si>
  <si>
    <t>Open-pit, underground</t>
  </si>
  <si>
    <t>PROD-5ce331b8-2023-2</t>
  </si>
  <si>
    <t>Nickel</t>
  </si>
  <si>
    <t>Assumed 1% ore grade and 85% recovery rate (hypothesis, no data)</t>
  </si>
  <si>
    <t>QC-MAIN-5ce331b8</t>
  </si>
  <si>
    <t>CMP-d87d1101</t>
  </si>
  <si>
    <t>SRC_CanadianRoyaltiesInc._?cf-view</t>
  </si>
  <si>
    <t>Nunavik Nickel</t>
  </si>
  <si>
    <t>Nickel, copper, platinum group metals, cobalt</t>
  </si>
  <si>
    <t>PROD-a97821c0-2022-4</t>
  </si>
  <si>
    <t>QC-MAIN-a97821c0</t>
  </si>
  <si>
    <t>SRC_Glencore_our-mining-activity</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</si>
  <si>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</si>
  <si>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</si>
  <si>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</si>
  <si>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</si>
  <si>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</si>
  <si>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</si>
  <si>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</si>
  <si>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</si>
  <si>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</si>
  <si>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</si>
  <si>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</si>
  <si>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</si>
  <si>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</si>
  <si>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</si>
  <si>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</si>
  <si>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</si>
  <si>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</si>
  <si>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</si>
  <si>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</si>
  <si>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</si>
  <si>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</si>
  <si>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</si>
  <si>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</si>
  <si>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</si>
  <si>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</si>
  <si>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SRC_TacoraResourcesInc._Tacora_Resources_Scully_Mine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</si>
  <si>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</si>
  <si>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</si>
  <si>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</si>
  <si>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</si>
  <si>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</si>
  <si>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</si>
  <si>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</si>
  <si>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</si>
  <si>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</si>
  <si>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</si>
  <si>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</si>
  <si>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</si>
  <si>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</si>
  <si>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</si>
  <si>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</si>
  <si>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</si>
  <si>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</si>
  <si>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</si>
  <si>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</si>
  <si>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</si>
  <si>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</si>
  <si>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</si>
  <si>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</si>
  <si>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</si>
  <si>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</si>
  <si>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</si>
  <si>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</si>
  <si>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</si>
  <si>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</si>
  <si>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</si>
  <si>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</si>
  <si>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</si>
  <si>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</si>
  <si>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</si>
  <si>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Assumed 0,5% ore grade and 85% recovery rate, taking copper as the reference</t>
  </si>
  <si>
    <t>MB-MAIN-e0a6250e</t>
  </si>
  <si>
    <t>CMP-9617aef4</t>
  </si>
  <si>
    <t>SRC_Vale_nan</t>
  </si>
  <si>
    <t>Thompson (T-1 and T-3)</t>
  </si>
  <si>
    <t>Nickel, cobalt, copper, platinum group metals, gold, silver</t>
  </si>
  <si>
    <t>PROD-GRP-147b3123-2023-2</t>
  </si>
  <si>
    <t>GRP-147b3123</t>
  </si>
  <si>
    <t>CMP-48a36546</t>
  </si>
  <si>
    <t>SRC_PanAmericanSilverCorp._Financial_results</t>
  </si>
  <si>
    <t>Timmins West</t>
  </si>
  <si>
    <t>Timmins Operation</t>
  </si>
  <si>
    <t>PROD-GRP-dc07540b-2023-1</t>
  </si>
  <si>
    <t>"Finished production", unclear what it refers to, Assumed refined production as it contains a refinery (Copper Cliff Complex)</t>
  </si>
  <si>
    <t>GRP-dc07540b</t>
  </si>
  <si>
    <t>SRC_Vale_Vale'sperformancein1Q25-xls</t>
  </si>
  <si>
    <t>Totten</t>
  </si>
  <si>
    <t>Sudbury Operation</t>
  </si>
  <si>
    <t>Nickel, copper, platinum group metals, gold, silver, cobalt</t>
  </si>
  <si>
    <t>PROD-3bb6b7cd-2024-1</t>
  </si>
  <si>
    <t>Zinc</t>
  </si>
  <si>
    <t>BC-MAIN-3bb6b7cd</t>
  </si>
  <si>
    <t>SRC_TeckResourcesLimited_2024_Annual_report</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</si>
  <si>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</si>
  <si>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</si>
  <si>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</si>
  <si>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</si>
  <si>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</si>
  <si>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</si>
  <si>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</si>
  <si>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</si>
  <si>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</si>
  <si>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</si>
  <si>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</si>
  <si>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</si>
  <si>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</si>
  <si>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</si>
  <si>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</si>
  <si>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</si>
  <si>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</si>
  <si>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</si>
  <si>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</si>
  <si>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</si>
  <si>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</si>
  <si>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</si>
  <si>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</si>
  <si>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</si>
  <si>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</si>
  <si>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</si>
  <si>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</si>
  <si>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</si>
  <si>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</si>
  <si>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</si>
  <si>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</si>
  <si>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</si>
  <si>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</si>
  <si>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</si>
  <si>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</si>
  <si>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</si>
  <si>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</si>
  <si>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</si>
  <si>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</si>
  <si>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</si>
  <si>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</si>
  <si>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</si>
  <si>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</si>
  <si>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</si>
  <si>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</si>
  <si>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</si>
  <si>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</si>
  <si>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</si>
  <si>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</si>
  <si>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</si>
  <si>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</si>
  <si>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</si>
  <si>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</si>
  <si>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</si>
  <si>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</si>
  <si>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</si>
  <si>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</si>
  <si>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</si>
  <si>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</si>
  <si>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</si>
  <si>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</si>
  <si>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</si>
  <si>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</si>
  <si>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</si>
  <si>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</si>
  <si>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</si>
  <si>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</si>
  <si>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</si>
  <si>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</si>
  <si>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</si>
  <si>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</si>
  <si>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</si>
  <si>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</si>
  <si>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</si>
  <si>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</si>
  <si>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</si>
  <si>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</si>
  <si>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</si>
  <si>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</si>
  <si>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</si>
  <si>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</si>
  <si>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</si>
  <si>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</si>
  <si>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</si>
  <si>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</si>
  <si>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</si>
  <si>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</si>
  <si>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</si>
  <si>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</si>
  <si>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</si>
  <si>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</si>
  <si>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</si>
  <si>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</si>
  <si>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</si>
  <si>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</si>
  <si>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</si>
  <si>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</si>
  <si>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</si>
  <si>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</si>
  <si>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</si>
  <si>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</si>
  <si>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</si>
  <si>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</si>
  <si>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</si>
  <si>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</si>
  <si>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</si>
  <si>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</si>
  <si>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</si>
  <si>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</si>
  <si>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</si>
  <si>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</si>
  <si>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</si>
  <si>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</si>
  <si>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</si>
  <si>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</si>
  <si>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</si>
  <si>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</si>
  <si>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</si>
  <si>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</si>
  <si>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</si>
  <si>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</si>
  <si>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</si>
  <si>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</si>
  <si>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</si>
  <si>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</si>
  <si>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</si>
  <si>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</si>
  <si>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</si>
  <si>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</si>
  <si>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</si>
  <si>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</si>
  <si>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</si>
  <si>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</si>
  <si>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</si>
  <si>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</si>
  <si>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</si>
  <si>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</si>
  <si>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</si>
  <si>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</si>
  <si>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</si>
  <si>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</si>
  <si>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</si>
  <si>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</si>
  <si>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</si>
  <si>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</si>
  <si>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</si>
  <si>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</si>
  <si>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</si>
  <si>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</si>
  <si>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</si>
  <si>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</si>
  <si>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</si>
  <si>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</si>
  <si>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</si>
  <si>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</si>
  <si>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</si>
  <si>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</si>
  <si>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</si>
  <si>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</si>
  <si>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</si>
  <si>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</si>
  <si>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</si>
  <si>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</si>
  <si>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</si>
  <si>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</si>
  <si>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</si>
  <si>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</si>
  <si>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</si>
  <si>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</si>
  <si>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</si>
  <si>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</si>
  <si>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</si>
  <si>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</si>
  <si>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</si>
  <si>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</si>
  <si>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</si>
  <si>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</si>
  <si>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</si>
  <si>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</si>
  <si>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</si>
  <si>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</si>
  <si>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Assumed metal in concentrate</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</si>
  <si>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</si>
  <si>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</si>
  <si>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</si>
  <si>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</si>
  <si>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</si>
  <si>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</si>
  <si>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</si>
  <si>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</si>
  <si>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</si>
  <si>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</si>
  <si>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</si>
  <si>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</si>
  <si>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</si>
  <si>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</si>
  <si>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</si>
  <si>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SRC_AlcoaCorporation_the-industry</t>
  </si>
  <si>
    <t>PROD-eac5a52b-2023-1</t>
  </si>
  <si>
    <t>PROD-c8966bdc-2023-1</t>
  </si>
  <si>
    <t>CMP-dc21de8a</t>
  </si>
  <si>
    <t>SRC_AlcoaCorporationandRioTintoAluminumInc._the-industry</t>
  </si>
  <si>
    <t>PROD-8825d90d-2024-1</t>
  </si>
  <si>
    <t>PROD-8825d90d-2024-2</t>
  </si>
  <si>
    <t>PROD-6e9be24e-2023-2</t>
  </si>
  <si>
    <t xml:space="preserve">Contained metal in concentrate </t>
  </si>
  <si>
    <t>PROD-6c1d6ee6-2023-1</t>
  </si>
  <si>
    <t>Carats recovered</t>
  </si>
  <si>
    <t>mcts</t>
  </si>
  <si>
    <t>SRC_BurgundyDiamondMines_Quarterly-Activities-Report-for-the-Period-ended-September-30th-2027</t>
  </si>
  <si>
    <t>PROD-6c1d6ee6-2023-3</t>
  </si>
  <si>
    <t>mwmt</t>
  </si>
  <si>
    <t>SRC_BurgundyDiamondMines_Quarterly-Activities-Report-for-the-Period-ended-September-30th-2025</t>
  </si>
  <si>
    <t>PROD-91cf5448-2023-1</t>
  </si>
  <si>
    <t>On a 100% ownership basis, Assumed contained metal in concentrate as it is given in U3O8</t>
  </si>
  <si>
    <t>SRC_CamecoCorporation_AR_2023</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</si>
  <si>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</si>
  <si>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</si>
  <si>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</si>
  <si>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</si>
  <si>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</si>
  <si>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</si>
  <si>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</si>
  <si>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</si>
  <si>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</si>
  <si>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</si>
  <si>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</si>
  <si>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</si>
  <si>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</si>
  <si>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</si>
  <si>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</si>
  <si>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</si>
  <si>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</si>
  <si>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</si>
  <si>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</si>
  <si>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</si>
  <si>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</si>
  <si>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</si>
  <si>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SRC_Glencore_GLEN_2024_FY_ProductionReport</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</si>
  <si>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</si>
  <si>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</si>
  <si>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</si>
  <si>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</si>
  <si>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</si>
  <si>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</si>
  <si>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</si>
  <si>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</si>
  <si>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</si>
  <si>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</si>
  <si>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</si>
  <si>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</si>
  <si>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</si>
  <si>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</si>
  <si>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</si>
  <si>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Intermediate metal</t>
  </si>
  <si>
    <t>SRC_HeclaMiningCompany_casa-berardi-quebec-canada</t>
  </si>
  <si>
    <t>PROD-b86f7d07-2023-2</t>
  </si>
  <si>
    <t>PROD-44857446-2023-1</t>
  </si>
  <si>
    <t>Ambigous production type</t>
  </si>
  <si>
    <t>SRC_HeclaMiningCompany_hecla-keno-hill-yukon-territory-canada</t>
  </si>
  <si>
    <t>PROD-44857446-2023-2</t>
  </si>
  <si>
    <t>PROD-44857446-2023-3</t>
  </si>
  <si>
    <t>PROD-fc6f1a44-2023-1</t>
  </si>
  <si>
    <t>CMP-a27e87a3</t>
  </si>
  <si>
    <t>SRC_HeicoCompanies,LLC_Ivaco_Rolling_Mills_steel_plant</t>
  </si>
  <si>
    <t>PROD-599152a0-2023-1</t>
  </si>
  <si>
    <t>PROD-599152a0-2023-2</t>
  </si>
  <si>
    <t>PROD-599152a0-2023-3</t>
  </si>
  <si>
    <t>PROD-599152a0-2023-5</t>
  </si>
  <si>
    <t>PROD-599152a0-2023-6</t>
  </si>
  <si>
    <t>PROD-da0b5c3d-2023-1</t>
  </si>
  <si>
    <t>PROD-da0b5c3d-2023-2</t>
  </si>
  <si>
    <t>PROD-da0b5c3d-2023-3</t>
  </si>
  <si>
    <t>PROD-da0b5c3d-2023-4</t>
  </si>
  <si>
    <t>PROD-GRP-a13779f8-2023-1</t>
  </si>
  <si>
    <t>Contained metal in concentrate and doré produced</t>
  </si>
  <si>
    <t>PROD-GRP-a13779f8-2023-2</t>
  </si>
  <si>
    <t>PROD-GRP-a13779f8-2023-3</t>
  </si>
  <si>
    <t>PROD-GRP-a13779f8-2023-4</t>
  </si>
  <si>
    <t>PROD-0898e255-2023-2</t>
  </si>
  <si>
    <t>PROD-0898e255-2023-3</t>
  </si>
  <si>
    <t>PROD-0898e255-2023-4</t>
  </si>
  <si>
    <t>PROD-0898e255-2023-5</t>
  </si>
  <si>
    <t>PROD-0898e255-2023-6</t>
  </si>
  <si>
    <t>PROD-0898e255-2023-7</t>
  </si>
  <si>
    <t>PROD-02884fb5-2023-2</t>
  </si>
  <si>
    <t>PROD-02884fb5-2023-3</t>
  </si>
  <si>
    <t>PROD-a3c56a83-2023-2</t>
  </si>
  <si>
    <t>PGM</t>
  </si>
  <si>
    <t>PROD-3f490561-2023-1</t>
  </si>
  <si>
    <t>PROD-3f490561-2023-2</t>
  </si>
  <si>
    <t>PROD-dd723db4-2023-2</t>
  </si>
  <si>
    <t>Total production based on Rio Tinto's ownership share</t>
  </si>
  <si>
    <t>SRC_IronOreCompanyofCanada_rt-fact-book-addendum</t>
  </si>
  <si>
    <t>PROD-4e0734b5-2023-1</t>
  </si>
  <si>
    <t>PROD-4e0734b5-2023-3</t>
  </si>
  <si>
    <t>GEOs</t>
  </si>
  <si>
    <t>PROD-4e0734b5-2023-4</t>
  </si>
  <si>
    <t>PROD-4e0734b5-2023-5</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</si>
  <si>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</si>
  <si>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</si>
  <si>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</si>
  <si>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</si>
  <si>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</si>
  <si>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</si>
  <si>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</si>
  <si>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</si>
  <si>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</si>
  <si>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</si>
  <si>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</si>
  <si>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</si>
  <si>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</si>
  <si>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</si>
  <si>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</si>
  <si>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</si>
  <si>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</si>
  <si>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</si>
  <si>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</si>
  <si>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</si>
  <si>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</si>
  <si>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</si>
  <si>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</si>
  <si>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</si>
  <si>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SRC_RioTinto_the-industry</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</si>
  <si>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</si>
  <si>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</si>
  <si>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</si>
  <si>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</si>
  <si>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</si>
  <si>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</si>
  <si>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</si>
  <si>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</si>
  <si>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</si>
  <si>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</si>
  <si>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</si>
  <si>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</si>
  <si>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</si>
  <si>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Design capacity</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</si>
  <si>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</si>
  <si>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</si>
  <si>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</si>
  <si>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</si>
  <si>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</si>
  <si>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</si>
  <si>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</si>
  <si>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</si>
  <si>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</si>
  <si>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SRC_TataSteelMineralsCanadaLimited_Mining-in-NL-Fall-2024</t>
  </si>
  <si>
    <t>PROD-bf503b6b-2024-1</t>
  </si>
  <si>
    <t>PROD-bf503b6b-2024-2</t>
  </si>
  <si>
    <t>PROD-GRP-dc07540b-2023-2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</si>
  <si>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</si>
  <si>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</si>
  <si>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</si>
  <si>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</si>
  <si>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</si>
  <si>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</si>
  <si>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</si>
  <si>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</si>
  <si>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</si>
  <si>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</si>
  <si>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</si>
  <si>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</si>
  <si>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</si>
  <si>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</si>
  <si>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</si>
  <si>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</si>
  <si>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</si>
  <si>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</si>
  <si>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</si>
  <si>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</si>
  <si>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</si>
  <si>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</si>
  <si>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</si>
  <si>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</si>
  <si>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</si>
  <si>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</si>
  <si>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</si>
  <si>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</si>
  <si>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</si>
  <si>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</si>
  <si>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</si>
  <si>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</si>
  <si>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</si>
  <si>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</si>
  <si>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</si>
  <si>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</si>
  <si>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</si>
  <si>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</si>
  <si>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</si>
  <si>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</si>
  <si>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</si>
  <si>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</si>
  <si>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</si>
  <si>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</si>
  <si>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</si>
  <si>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</si>
  <si>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</si>
  <si>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</si>
  <si>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</si>
  <si>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</si>
  <si>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</si>
  <si>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</si>
  <si>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</si>
  <si>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</si>
  <si>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</si>
  <si>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</si>
  <si>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</si>
  <si>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</si>
  <si>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</si>
  <si>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</si>
  <si>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</si>
  <si>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</si>
  <si>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</si>
  <si>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</si>
  <si>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</si>
  <si>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</si>
  <si>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</si>
  <si>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</si>
  <si>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</si>
  <si>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</si>
  <si>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</si>
  <si>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</si>
  <si>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</si>
  <si>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</si>
  <si>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</si>
  <si>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</si>
  <si>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</si>
  <si>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</si>
  <si>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</si>
  <si>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</si>
  <si>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</si>
  <si>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</si>
  <si>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</si>
  <si>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</si>
  <si>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</si>
  <si>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</si>
  <si>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</si>
  <si>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</si>
  <si>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</si>
  <si>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</si>
  <si>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</si>
  <si>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</si>
  <si>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</si>
  <si>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</si>
  <si>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</si>
  <si>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</si>
  <si>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</si>
  <si>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</si>
  <si>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</si>
  <si>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</si>
  <si>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</si>
  <si>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</si>
  <si>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</si>
  <si>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</si>
  <si>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</si>
  <si>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</si>
  <si>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</si>
  <si>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</si>
  <si>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</si>
  <si>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</si>
  <si>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</si>
  <si>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</si>
  <si>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</si>
  <si>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</si>
  <si>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</si>
  <si>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</si>
  <si>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</si>
  <si>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</si>
  <si>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</si>
  <si>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</si>
  <si>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</si>
  <si>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</si>
  <si>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</si>
  <si>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</si>
  <si>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</si>
  <si>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</si>
  <si>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</si>
  <si>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</si>
  <si>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</si>
  <si>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</si>
  <si>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</si>
  <si>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</si>
  <si>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</si>
  <si>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</si>
  <si>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</si>
  <si>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</si>
  <si>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</si>
  <si>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</si>
  <si>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</si>
  <si>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</si>
  <si>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</si>
  <si>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</si>
  <si>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</si>
  <si>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</si>
  <si>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</si>
  <si>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</si>
  <si>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</si>
  <si>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</si>
  <si>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</si>
  <si>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</si>
  <si>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</si>
  <si>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</si>
  <si>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</si>
  <si>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</si>
  <si>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</si>
  <si>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</si>
  <si>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</si>
  <si>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</si>
  <si>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</si>
  <si>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</si>
  <si>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</si>
  <si>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</si>
  <si>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</si>
  <si>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</si>
  <si>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</si>
  <si>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</si>
  <si>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</si>
  <si>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</si>
  <si>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</si>
  <si>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</si>
  <si>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</si>
  <si>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</si>
  <si>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</si>
  <si>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</si>
  <si>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</si>
  <si>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</si>
  <si>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</si>
  <si>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</si>
  <si>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</si>
  <si>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</si>
  <si>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</si>
  <si>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</si>
  <si>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</si>
  <si>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</si>
  <si>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</si>
  <si>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</si>
  <si>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</si>
  <si>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</si>
  <si>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</si>
  <si>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</si>
  <si>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</si>
  <si>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</si>
  <si>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</si>
  <si>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</si>
  <si>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</si>
  <si>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</si>
  <si>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</si>
  <si>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</si>
  <si>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</si>
  <si>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</si>
  <si>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</si>
  <si>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</si>
  <si>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</si>
  <si>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</si>
  <si>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</si>
  <si>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</si>
  <si>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</si>
  <si>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</si>
  <si>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</si>
  <si>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</si>
  <si>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</si>
  <si>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</si>
  <si>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</si>
  <si>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</si>
  <si>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</si>
  <si>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</si>
  <si>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</si>
  <si>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</si>
  <si>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</si>
  <si>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</si>
  <si>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</si>
  <si>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</si>
  <si>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</si>
  <si>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</si>
  <si>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</si>
  <si>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</si>
  <si>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</si>
  <si>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</si>
  <si>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</si>
  <si>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</si>
  <si>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</si>
  <si>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</si>
  <si>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</si>
  <si>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</si>
  <si>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</si>
  <si>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</si>
  <si>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</si>
  <si>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</si>
  <si>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</si>
  <si>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</si>
  <si>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</si>
  <si>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</si>
  <si>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</si>
  <si>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</si>
  <si>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</si>
  <si>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</si>
  <si>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</si>
  <si>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</si>
  <si>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</si>
  <si>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</si>
  <si>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</si>
  <si>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</si>
  <si>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</si>
  <si>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</si>
  <si>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</si>
  <si>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</si>
  <si>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</si>
  <si>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</si>
  <si>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</si>
  <si>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</si>
  <si>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</si>
  <si>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</si>
  <si>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</si>
  <si>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</si>
  <si>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</si>
  <si>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</si>
  <si>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</si>
  <si>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</si>
  <si>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</si>
  <si>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</si>
  <si>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</si>
  <si>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</si>
  <si>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</si>
  <si>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</si>
  <si>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</si>
  <si>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</si>
  <si>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</si>
  <si>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</si>
  <si>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</si>
  <si>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</si>
  <si>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</si>
  <si>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</si>
  <si>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</si>
  <si>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</si>
  <si>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</si>
  <si>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</si>
  <si>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</si>
  <si>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</si>
  <si>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</si>
  <si>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</si>
  <si>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</si>
  <si>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</si>
  <si>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</si>
  <si>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</si>
  <si>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</si>
  <si>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</si>
  <si>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</si>
  <si>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</si>
  <si>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</si>
  <si>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</si>
  <si>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</si>
  <si>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</si>
  <si>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</si>
  <si>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</si>
  <si>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</si>
  <si>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</si>
  <si>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</si>
  <si>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</si>
  <si>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</si>
  <si>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</si>
  <si>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</si>
  <si>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</si>
  <si>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</si>
  <si>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</si>
  <si>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</si>
  <si>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</si>
  <si>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</si>
  <si>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</si>
  <si>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</si>
  <si>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</si>
  <si>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</si>
  <si>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</si>
  <si>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</si>
  <si>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</si>
  <si>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</si>
  <si>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Site</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</si>
  <si>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</si>
  <si>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</si>
  <si>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</si>
  <si>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</si>
  <si>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</si>
  <si>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</si>
  <si>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</si>
  <si>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</si>
  <si>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</si>
  <si>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</si>
  <si>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</si>
  <si>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</si>
  <si>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</si>
  <si>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</si>
  <si>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</si>
  <si>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</si>
  <si>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</si>
  <si>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</si>
  <si>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</si>
  <si>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</si>
  <si>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</si>
  <si>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</si>
  <si>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</si>
  <si>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</si>
  <si>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</si>
  <si>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SRC_Glencore_quantity-mine-mouth-output-value-and-duties-paid-by-mining-companies</t>
  </si>
  <si>
    <t>SRC_MagrisPerformanceMaterialsInc._quantity-mine-mouth-output-value-and-duties-paid-by-mining-companies</t>
  </si>
  <si>
    <t>kg</t>
  </si>
  <si>
    <t>SRC_CanadianRoyaltiesInc._quantity-mine-mouth-output-value-and-duties-paid-by-mining-companies</t>
  </si>
  <si>
    <t>SRC_EldoradoGold_quantity-mine-mouth-output-value-and-duties-paid-by-mining-companies</t>
  </si>
  <si>
    <t>SRC_NewmontCorporation_quantity-mine-mouth-output-value-and-duties-paid-by-mining-companies</t>
  </si>
  <si>
    <t>SRC_IAMGOLDCorporation_quantity-mine-mouth-output-value-and-duties-paid-by-mining-companies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</si>
</sst>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theme="7"/>
        <bgColor indexed="64"/>
      </patternFill>
    </fill>
    <fill>
      <patternFill patternType="solid">
        <fgColor theme="4" tint="0.79998168889431442"/>
        <bgColor indexed="64"/>
      </patternFill>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5">
    <xf numFmtId="0" fontId="0" fillId="0" borderId="0" xfId="0"/>
    <xf numFmtId="0" fontId="1" fillId="0" borderId="0" xfId="0" applyFont="1"/>
    <xf numFmtId="0" fontId="2" fillId="0" borderId="0" xfId="0" applyFont="1"/>
    <xf numFmtId="11" fontId="0" fillId="0" borderId="0" xfId="0" applyNumberFormat="1"/>
    <xf numFmtId="0" fontId="0" fillId="0" borderId="0" xfId="0" applyAlignment="1">
      <alignment vertical="center"/>
    </xf>
    <xf numFmtId="0" fontId="0" fillId="0" borderId="0" xfId="0" applyAlignment="1">
      <alignment wrapText="1"/>
    </xf>
    <xf numFmtId="0" fontId="3" fillId="0" borderId="0" xfId="1"/>
    <xf numFmtId="0" fontId="3" fillId="0" borderId="0" xfId="1" applyFill="1"/>
    <xf numFmtId="0" fontId="0" fillId="0" borderId="0" xfId="0" applyAlignment="1">
      <alignment horizontal="left" vertical="top"/>
    </xf>
    <xf numFmtId="0" fontId="0" fillId="0" borderId="0" xfId="0" applyAlignment="1">
      <alignment vertical="center" wrapText="1"/>
    </xf>
    <xf numFmtId="0" fontId="2" fillId="0" borderId="0" xfId="0" applyFont="1" applyAlignment="1">
      <alignment horizontal="center" vertical="center"/>
    </xf>
    <xf numFmtId="2" fontId="0" fillId="0" borderId="0" xfId="0" applyNumberFormat="1"/>
    <xf numFmtId="2" fontId="0" fillId="2" borderId="0" xfId="0" applyNumberFormat="1" applyFill="1"/>
    <xf numFmtId="0" fontId="0" fillId="3" borderId="0" xfId="0" applyFill="1"/>
    <xf numFmtId="0" fontId="0" fillId="4" borderId="0" xfId="0" applyFill="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1"/>
  <sheetViews>
    <sheetView workbookViewId="0"/>
  </sheetViews>
  <sheetFormatPr baseColWidth="10" defaultColWidth="8.7265625" defaultRowHeight="14.5" x14ac:dyDescent="0.35"/>
  <cols>
    <col min="1" max="1" width="16.6328125" bestFit="1" customWidth="1"/>
    <col min="2" max="2" width="50.54296875" bestFit="1" customWidth="1"/>
  </cols>
  <sheetData>
    <row r="1" spans="1:3" x14ac:dyDescent="0.35">
      <c r="A1" t="s">
        <v>1045</v>
      </c>
    </row>
    <row r="2" spans="1:3" x14ac:dyDescent="0.35">
      <c r="A2" t="s">
        <v>1046</v>
      </c>
    </row>
    <row r="3" spans="1:3" x14ac:dyDescent="0.35">
      <c r="A3" t="s">
        <v>1047</v>
      </c>
    </row>
    <row r="4" spans="1:3" x14ac:dyDescent="0.35">
      <c r="A4" t="s">
        <v>1048</v>
      </c>
    </row>
    <row r="7" spans="1:3" x14ac:dyDescent="0.35">
      <c r="A7" s="2" t="s">
        <v>1049</v>
      </c>
      <c r="B7" s="2" t="s">
        <v>1050</v>
      </c>
      <c r="C7" s="2" t="s">
        <v>1051</v>
      </c>
    </row>
    <row r="8" spans="1:3" x14ac:dyDescent="0.35">
      <c r="A8" t="s">
        <v>1052</v>
      </c>
      <c r="B8" t="s">
        <v>1080</v>
      </c>
      <c r="C8" t="s">
        <v>1082</v>
      </c>
    </row>
    <row r="9" spans="1:3" x14ac:dyDescent="0.35">
      <c r="A9" t="s">
        <v>1053</v>
      </c>
      <c r="B9" t="s">
        <v>1081</v>
      </c>
      <c r="C9" t="s">
        <v>1082</v>
      </c>
    </row>
    <row r="10" spans="1:3" x14ac:dyDescent="0.35">
      <c r="A10" t="s">
        <v>1054</v>
      </c>
    </row>
    <row r="11" spans="1:3" x14ac:dyDescent="0.35">
      <c r="A11" t="s">
        <v>1083</v>
      </c>
      <c r="B11" t="s">
        <v>1084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P123"/>
  <sheetViews>
    <sheetView topLeftCell="A58" workbookViewId="0">
      <pane xSplit="5" topLeftCell="F1" activePane="topRight" state="frozen"/>
      <selection pane="topRight" activeCell="F34" sqref="F34"/>
    </sheetView>
  </sheetViews>
  <sheetFormatPr baseColWidth="10" defaultRowHeight="14.5" x14ac:dyDescent="0.35"/>
  <cols>
    <col min="2" max="2" width="17.81640625" bestFit="1" customWidth="1"/>
    <col min="3" max="3" width="17.453125" bestFit="1" customWidth="1"/>
    <col min="4" max="4" width="20.453125" bestFit="1" customWidth="1"/>
    <col min="5" max="5" width="32.26953125" bestFit="1" customWidth="1"/>
    <col min="6" max="6" width="25.36328125" bestFit="1" customWidth="1"/>
    <col min="7" max="7" width="13.7265625" customWidth="1"/>
    <col min="8" max="8" width="32.81640625" bestFit="1" customWidth="1"/>
    <col min="9" max="9" width="44.453125" bestFit="1" customWidth="1"/>
    <col min="10" max="10" width="67.90625" bestFit="1" customWidth="1"/>
    <col min="11" max="11" width="21.6328125" customWidth="1"/>
    <col min="12" max="12" width="41" customWidth="1"/>
    <col min="13" max="14" width="13.7265625" customWidth="1"/>
    <col min="15" max="15" width="105.08984375" bestFit="1" customWidth="1"/>
  </cols>
  <sheetData>
    <row r="1" spans="1:16" s="2" customFormat="1" x14ac:dyDescent="0.35">
      <c r="A1" s="2" t="s">
        <v>610</v>
      </c>
      <c r="B1" s="2" t="s">
        <v>0</v>
      </c>
      <c r="C1" s="2" t="s">
        <v>1</v>
      </c>
      <c r="D1" s="2" t="s">
        <v>2</v>
      </c>
      <c r="E1" s="2" t="s">
        <v>3</v>
      </c>
      <c r="F1" s="2" t="s">
        <v>463</v>
      </c>
      <c r="G1" s="2" t="s">
        <v>464</v>
      </c>
      <c r="H1" s="2" t="s">
        <v>16</v>
      </c>
      <c r="I1" s="2" t="s">
        <v>17</v>
      </c>
      <c r="J1" s="2" t="s">
        <v>590</v>
      </c>
      <c r="K1" s="2" t="s">
        <v>591</v>
      </c>
      <c r="L1" s="2" t="s">
        <v>592</v>
      </c>
      <c r="M1" s="2" t="s">
        <v>1126</v>
      </c>
      <c r="N1" s="2" t="s">
        <v>1133</v>
      </c>
      <c r="O1" s="2" t="s">
        <v>593</v>
      </c>
      <c r="P1" s="2" t="s">
        <v>13</v>
      </c>
    </row>
    <row r="2" spans="1:16" x14ac:dyDescent="0.35">
      <c r="A2" t="s">
        <v>609</v>
      </c>
      <c r="B2" t="s">
        <v>494</v>
      </c>
      <c r="D2" t="s">
        <v>495</v>
      </c>
      <c r="F2" t="s">
        <v>470</v>
      </c>
      <c r="G2" t="s">
        <v>573</v>
      </c>
      <c r="H2" t="s">
        <v>574</v>
      </c>
      <c r="I2" t="s">
        <v>37</v>
      </c>
      <c r="J2" t="s">
        <v>586</v>
      </c>
    </row>
    <row r="3" spans="1:16" x14ac:dyDescent="0.35">
      <c r="A3" t="s">
        <v>609</v>
      </c>
      <c r="B3" t="s">
        <v>24</v>
      </c>
      <c r="C3" t="s">
        <v>25</v>
      </c>
      <c r="D3" t="s">
        <v>28</v>
      </c>
      <c r="E3" t="s">
        <v>29</v>
      </c>
      <c r="F3" t="s">
        <v>469</v>
      </c>
      <c r="G3" t="s">
        <v>573</v>
      </c>
      <c r="H3" t="s">
        <v>30</v>
      </c>
      <c r="I3" t="s">
        <v>31</v>
      </c>
      <c r="J3" t="s">
        <v>586</v>
      </c>
      <c r="L3" t="s">
        <v>589</v>
      </c>
      <c r="O3" t="s">
        <v>604</v>
      </c>
    </row>
    <row r="4" spans="1:16" x14ac:dyDescent="0.35">
      <c r="A4" t="s">
        <v>609</v>
      </c>
      <c r="B4" t="s">
        <v>33</v>
      </c>
      <c r="C4" t="s">
        <v>25</v>
      </c>
      <c r="D4" t="s">
        <v>34</v>
      </c>
      <c r="E4" t="s">
        <v>29</v>
      </c>
      <c r="F4" t="s">
        <v>469</v>
      </c>
      <c r="G4" t="s">
        <v>573</v>
      </c>
      <c r="H4" t="s">
        <v>30</v>
      </c>
      <c r="I4" t="s">
        <v>35</v>
      </c>
      <c r="J4" t="s">
        <v>586</v>
      </c>
      <c r="L4" t="s">
        <v>589</v>
      </c>
      <c r="O4" t="s">
        <v>604</v>
      </c>
    </row>
    <row r="5" spans="1:16" x14ac:dyDescent="0.35">
      <c r="A5" t="s">
        <v>609</v>
      </c>
      <c r="B5" t="s">
        <v>496</v>
      </c>
      <c r="D5" t="s">
        <v>497</v>
      </c>
      <c r="F5" t="s">
        <v>571</v>
      </c>
      <c r="G5" t="s">
        <v>573</v>
      </c>
      <c r="H5" t="s">
        <v>113</v>
      </c>
      <c r="I5" t="s">
        <v>37</v>
      </c>
      <c r="J5" t="s">
        <v>586</v>
      </c>
    </row>
    <row r="6" spans="1:16" x14ac:dyDescent="0.35">
      <c r="A6" t="s">
        <v>609</v>
      </c>
      <c r="B6" t="s">
        <v>465</v>
      </c>
      <c r="C6" t="s">
        <v>292</v>
      </c>
      <c r="D6" t="s">
        <v>466</v>
      </c>
      <c r="E6" t="s">
        <v>294</v>
      </c>
      <c r="F6" t="s">
        <v>467</v>
      </c>
      <c r="G6" t="s">
        <v>468</v>
      </c>
      <c r="H6" t="s">
        <v>348</v>
      </c>
      <c r="I6" t="s">
        <v>123</v>
      </c>
      <c r="J6" t="s">
        <v>587</v>
      </c>
      <c r="O6" t="s">
        <v>594</v>
      </c>
    </row>
    <row r="7" spans="1:16" x14ac:dyDescent="0.35">
      <c r="A7" t="s">
        <v>609</v>
      </c>
      <c r="B7" t="s">
        <v>42</v>
      </c>
      <c r="D7" t="s">
        <v>45</v>
      </c>
      <c r="F7" t="s">
        <v>470</v>
      </c>
      <c r="G7" t="s">
        <v>573</v>
      </c>
      <c r="H7" t="s">
        <v>46</v>
      </c>
      <c r="I7" t="s">
        <v>37</v>
      </c>
      <c r="J7" t="s">
        <v>586</v>
      </c>
    </row>
    <row r="8" spans="1:16" x14ac:dyDescent="0.35">
      <c r="A8" t="s">
        <v>609</v>
      </c>
      <c r="B8" t="s">
        <v>48</v>
      </c>
      <c r="C8" t="s">
        <v>25</v>
      </c>
      <c r="D8" t="s">
        <v>49</v>
      </c>
      <c r="E8" t="s">
        <v>29</v>
      </c>
      <c r="F8" t="s">
        <v>469</v>
      </c>
      <c r="G8" t="s">
        <v>573</v>
      </c>
      <c r="H8" t="s">
        <v>30</v>
      </c>
      <c r="I8" t="s">
        <v>50</v>
      </c>
      <c r="J8" t="s">
        <v>586</v>
      </c>
      <c r="L8" t="s">
        <v>589</v>
      </c>
      <c r="O8" t="s">
        <v>604</v>
      </c>
    </row>
    <row r="9" spans="1:16" x14ac:dyDescent="0.35">
      <c r="A9" t="s">
        <v>609</v>
      </c>
      <c r="B9" t="s">
        <v>488</v>
      </c>
      <c r="D9" t="s">
        <v>489</v>
      </c>
      <c r="F9" t="s">
        <v>469</v>
      </c>
      <c r="G9" t="s">
        <v>573</v>
      </c>
      <c r="H9" t="s">
        <v>30</v>
      </c>
      <c r="I9" t="s">
        <v>31</v>
      </c>
      <c r="J9" t="s">
        <v>586</v>
      </c>
    </row>
    <row r="10" spans="1:16" x14ac:dyDescent="0.35">
      <c r="A10" t="s">
        <v>609</v>
      </c>
      <c r="B10" t="s">
        <v>492</v>
      </c>
      <c r="D10" t="s">
        <v>493</v>
      </c>
      <c r="F10" t="s">
        <v>469</v>
      </c>
      <c r="G10" t="s">
        <v>573</v>
      </c>
      <c r="H10" t="s">
        <v>30</v>
      </c>
      <c r="I10" t="s">
        <v>31</v>
      </c>
      <c r="J10" t="s">
        <v>586</v>
      </c>
    </row>
    <row r="11" spans="1:16" s="13" customFormat="1" x14ac:dyDescent="0.35">
      <c r="A11" t="s">
        <v>609</v>
      </c>
      <c r="B11" t="s">
        <v>512</v>
      </c>
      <c r="C11"/>
      <c r="D11" t="s">
        <v>513</v>
      </c>
      <c r="E11"/>
      <c r="F11" t="s">
        <v>469</v>
      </c>
      <c r="G11" t="s">
        <v>573</v>
      </c>
      <c r="H11"/>
      <c r="I11" t="s">
        <v>578</v>
      </c>
      <c r="J11" t="s">
        <v>586</v>
      </c>
      <c r="K11"/>
      <c r="L11"/>
      <c r="M11"/>
      <c r="N11"/>
      <c r="O11"/>
      <c r="P11"/>
    </row>
    <row r="12" spans="1:16" s="13" customFormat="1" x14ac:dyDescent="0.35">
      <c r="A12" t="s">
        <v>609</v>
      </c>
      <c r="B12" t="s">
        <v>481</v>
      </c>
      <c r="C12" t="s">
        <v>427</v>
      </c>
      <c r="D12" t="s">
        <v>482</v>
      </c>
      <c r="E12" t="s">
        <v>431</v>
      </c>
      <c r="F12" t="s">
        <v>470</v>
      </c>
      <c r="G12" t="s">
        <v>468</v>
      </c>
      <c r="H12" t="s">
        <v>67</v>
      </c>
      <c r="I12" t="s">
        <v>123</v>
      </c>
      <c r="J12" t="s">
        <v>587</v>
      </c>
      <c r="K12"/>
      <c r="L12"/>
      <c r="M12"/>
      <c r="N12"/>
      <c r="O12" t="s">
        <v>598</v>
      </c>
      <c r="P12"/>
    </row>
    <row r="13" spans="1:16" x14ac:dyDescent="0.35">
      <c r="A13" t="s">
        <v>609</v>
      </c>
      <c r="B13" t="s">
        <v>56</v>
      </c>
      <c r="D13" t="s">
        <v>59</v>
      </c>
      <c r="F13" t="s">
        <v>469</v>
      </c>
      <c r="G13" t="s">
        <v>468</v>
      </c>
      <c r="H13" t="s">
        <v>60</v>
      </c>
      <c r="I13" t="s">
        <v>51</v>
      </c>
      <c r="J13" t="s">
        <v>586</v>
      </c>
      <c r="L13" t="s">
        <v>589</v>
      </c>
    </row>
    <row r="14" spans="1:16" x14ac:dyDescent="0.35">
      <c r="A14" t="s">
        <v>609</v>
      </c>
      <c r="B14" t="s">
        <v>476</v>
      </c>
      <c r="C14" t="s">
        <v>205</v>
      </c>
      <c r="D14" t="s">
        <v>477</v>
      </c>
      <c r="E14" t="s">
        <v>207</v>
      </c>
      <c r="F14" t="s">
        <v>470</v>
      </c>
      <c r="G14" t="s">
        <v>468</v>
      </c>
      <c r="H14" t="s">
        <v>348</v>
      </c>
      <c r="I14" t="s">
        <v>123</v>
      </c>
      <c r="J14" t="s">
        <v>587</v>
      </c>
      <c r="K14" t="s">
        <v>588</v>
      </c>
      <c r="O14" t="s">
        <v>596</v>
      </c>
    </row>
    <row r="15" spans="1:16" x14ac:dyDescent="0.35">
      <c r="A15" s="13" t="s">
        <v>609</v>
      </c>
      <c r="B15" s="13" t="s">
        <v>503</v>
      </c>
      <c r="C15" s="13"/>
      <c r="D15" s="13" t="s">
        <v>504</v>
      </c>
      <c r="E15" s="13"/>
      <c r="F15" s="13" t="s">
        <v>470</v>
      </c>
      <c r="G15" s="13" t="s">
        <v>573</v>
      </c>
      <c r="H15" s="13" t="s">
        <v>75</v>
      </c>
      <c r="I15" s="13" t="s">
        <v>68</v>
      </c>
      <c r="J15" s="13" t="s">
        <v>586</v>
      </c>
      <c r="K15" s="13"/>
      <c r="L15" s="13"/>
      <c r="M15" s="13"/>
      <c r="N15" s="13"/>
      <c r="O15" s="13"/>
      <c r="P15" s="13"/>
    </row>
    <row r="16" spans="1:16" x14ac:dyDescent="0.35">
      <c r="A16" t="s">
        <v>609</v>
      </c>
      <c r="B16" t="s">
        <v>63</v>
      </c>
      <c r="D16" t="s">
        <v>66</v>
      </c>
      <c r="F16" t="s">
        <v>472</v>
      </c>
      <c r="G16" t="s">
        <v>468</v>
      </c>
      <c r="H16" t="s">
        <v>67</v>
      </c>
      <c r="I16" t="s">
        <v>68</v>
      </c>
      <c r="J16" t="s">
        <v>587</v>
      </c>
      <c r="L16" t="s">
        <v>1120</v>
      </c>
      <c r="M16" t="s">
        <v>1127</v>
      </c>
    </row>
    <row r="17" spans="1:16" x14ac:dyDescent="0.35">
      <c r="A17" t="s">
        <v>609</v>
      </c>
      <c r="B17" t="s">
        <v>518</v>
      </c>
      <c r="D17" t="s">
        <v>519</v>
      </c>
      <c r="F17" t="s">
        <v>470</v>
      </c>
      <c r="G17" t="s">
        <v>573</v>
      </c>
      <c r="H17" t="s">
        <v>113</v>
      </c>
      <c r="I17" t="s">
        <v>37</v>
      </c>
      <c r="J17" t="s">
        <v>586</v>
      </c>
    </row>
    <row r="18" spans="1:16" x14ac:dyDescent="0.35">
      <c r="A18" t="s">
        <v>609</v>
      </c>
      <c r="B18" t="s">
        <v>78</v>
      </c>
      <c r="D18" t="s">
        <v>81</v>
      </c>
      <c r="F18" t="s">
        <v>469</v>
      </c>
      <c r="G18" t="s">
        <v>468</v>
      </c>
      <c r="H18" t="s">
        <v>82</v>
      </c>
      <c r="I18" t="s">
        <v>68</v>
      </c>
      <c r="J18" t="s">
        <v>587</v>
      </c>
      <c r="L18" t="s">
        <v>589</v>
      </c>
      <c r="M18" t="s">
        <v>1134</v>
      </c>
    </row>
    <row r="19" spans="1:16" x14ac:dyDescent="0.35">
      <c r="A19" t="s">
        <v>609</v>
      </c>
      <c r="B19" t="s">
        <v>86</v>
      </c>
      <c r="D19" t="s">
        <v>89</v>
      </c>
      <c r="F19" t="s">
        <v>475</v>
      </c>
      <c r="G19" t="s">
        <v>468</v>
      </c>
      <c r="H19" t="s">
        <v>82</v>
      </c>
      <c r="I19" t="s">
        <v>51</v>
      </c>
      <c r="J19" t="s">
        <v>1131</v>
      </c>
      <c r="L19" t="s">
        <v>1125</v>
      </c>
    </row>
    <row r="20" spans="1:16" x14ac:dyDescent="0.35">
      <c r="A20" t="s">
        <v>609</v>
      </c>
      <c r="B20" t="s">
        <v>93</v>
      </c>
      <c r="D20" t="s">
        <v>96</v>
      </c>
      <c r="F20" t="s">
        <v>469</v>
      </c>
      <c r="G20" t="s">
        <v>468</v>
      </c>
      <c r="H20" t="s">
        <v>97</v>
      </c>
      <c r="I20" t="s">
        <v>68</v>
      </c>
      <c r="J20" t="s">
        <v>587</v>
      </c>
      <c r="L20" t="s">
        <v>1121</v>
      </c>
    </row>
    <row r="21" spans="1:16" x14ac:dyDescent="0.35">
      <c r="A21" s="13" t="s">
        <v>609</v>
      </c>
      <c r="B21" s="13" t="s">
        <v>524</v>
      </c>
      <c r="C21" s="13" t="s">
        <v>526</v>
      </c>
      <c r="D21" s="13" t="s">
        <v>525</v>
      </c>
      <c r="E21" s="13" t="s">
        <v>525</v>
      </c>
      <c r="F21" s="13" t="s">
        <v>469</v>
      </c>
      <c r="G21" s="13" t="s">
        <v>573</v>
      </c>
      <c r="H21" s="13" t="s">
        <v>75</v>
      </c>
      <c r="I21" s="13" t="s">
        <v>580</v>
      </c>
      <c r="J21" s="13" t="s">
        <v>586</v>
      </c>
      <c r="K21" s="13"/>
      <c r="L21" s="13" t="s">
        <v>589</v>
      </c>
      <c r="M21" s="13"/>
      <c r="N21" s="13"/>
      <c r="O21" s="13" t="s">
        <v>605</v>
      </c>
      <c r="P21" s="13"/>
    </row>
    <row r="22" spans="1:16" x14ac:dyDescent="0.35">
      <c r="A22" s="13" t="s">
        <v>609</v>
      </c>
      <c r="B22" s="13" t="s">
        <v>102</v>
      </c>
      <c r="C22" s="13"/>
      <c r="D22" s="13" t="s">
        <v>105</v>
      </c>
      <c r="E22" s="13"/>
      <c r="F22" s="13" t="s">
        <v>486</v>
      </c>
      <c r="G22" s="13" t="s">
        <v>468</v>
      </c>
      <c r="H22" s="13" t="s">
        <v>106</v>
      </c>
      <c r="I22" s="13" t="s">
        <v>99</v>
      </c>
      <c r="J22" s="13" t="s">
        <v>586</v>
      </c>
      <c r="K22" s="13"/>
      <c r="L22" s="13"/>
      <c r="M22" s="13"/>
      <c r="N22" s="13"/>
      <c r="O22" s="13"/>
      <c r="P22" s="13"/>
    </row>
    <row r="23" spans="1:16" x14ac:dyDescent="0.35">
      <c r="A23" t="s">
        <v>609</v>
      </c>
      <c r="B23" t="s">
        <v>553</v>
      </c>
      <c r="C23" t="s">
        <v>434</v>
      </c>
      <c r="D23" t="s">
        <v>554</v>
      </c>
      <c r="E23" t="s">
        <v>437</v>
      </c>
      <c r="F23" t="s">
        <v>470</v>
      </c>
      <c r="G23" t="s">
        <v>468</v>
      </c>
      <c r="H23" t="s">
        <v>283</v>
      </c>
      <c r="I23" t="s">
        <v>400</v>
      </c>
      <c r="J23" t="s">
        <v>586</v>
      </c>
      <c r="O23" t="s">
        <v>606</v>
      </c>
    </row>
    <row r="24" spans="1:16" x14ac:dyDescent="0.35">
      <c r="A24" t="s">
        <v>609</v>
      </c>
      <c r="B24" t="s">
        <v>555</v>
      </c>
      <c r="C24" t="s">
        <v>434</v>
      </c>
      <c r="D24" t="s">
        <v>556</v>
      </c>
      <c r="E24" t="s">
        <v>437</v>
      </c>
      <c r="F24" t="s">
        <v>470</v>
      </c>
      <c r="G24" t="s">
        <v>468</v>
      </c>
      <c r="H24" t="s">
        <v>106</v>
      </c>
      <c r="I24" t="s">
        <v>400</v>
      </c>
      <c r="J24" t="s">
        <v>586</v>
      </c>
      <c r="O24" t="s">
        <v>606</v>
      </c>
    </row>
    <row r="25" spans="1:16" x14ac:dyDescent="0.35">
      <c r="A25" t="s">
        <v>609</v>
      </c>
      <c r="B25" t="s">
        <v>498</v>
      </c>
      <c r="C25" t="s">
        <v>110</v>
      </c>
      <c r="D25" t="s">
        <v>499</v>
      </c>
      <c r="E25" t="s">
        <v>112</v>
      </c>
      <c r="F25" t="s">
        <v>469</v>
      </c>
      <c r="G25" t="s">
        <v>573</v>
      </c>
      <c r="H25" t="s">
        <v>113</v>
      </c>
      <c r="I25" t="s">
        <v>37</v>
      </c>
      <c r="J25" t="s">
        <v>586</v>
      </c>
      <c r="O25" t="s">
        <v>600</v>
      </c>
    </row>
    <row r="26" spans="1:16" x14ac:dyDescent="0.35">
      <c r="A26" t="s">
        <v>609</v>
      </c>
      <c r="B26" t="s">
        <v>500</v>
      </c>
      <c r="C26" t="s">
        <v>110</v>
      </c>
      <c r="D26" t="s">
        <v>111</v>
      </c>
      <c r="E26" t="s">
        <v>112</v>
      </c>
      <c r="F26" t="s">
        <v>469</v>
      </c>
      <c r="G26" t="s">
        <v>573</v>
      </c>
      <c r="H26" t="s">
        <v>113</v>
      </c>
      <c r="I26" t="s">
        <v>37</v>
      </c>
      <c r="J26" t="s">
        <v>586</v>
      </c>
      <c r="O26" t="s">
        <v>600</v>
      </c>
    </row>
    <row r="27" spans="1:16" x14ac:dyDescent="0.35">
      <c r="A27" t="s">
        <v>609</v>
      </c>
      <c r="B27" t="s">
        <v>559</v>
      </c>
      <c r="C27" t="s">
        <v>434</v>
      </c>
      <c r="D27" t="s">
        <v>558</v>
      </c>
      <c r="E27" t="s">
        <v>437</v>
      </c>
      <c r="F27" t="s">
        <v>470</v>
      </c>
      <c r="G27" t="s">
        <v>573</v>
      </c>
      <c r="H27" t="s">
        <v>444</v>
      </c>
      <c r="I27" t="s">
        <v>584</v>
      </c>
      <c r="J27" t="s">
        <v>586</v>
      </c>
      <c r="O27" t="s">
        <v>606</v>
      </c>
    </row>
    <row r="28" spans="1:16" x14ac:dyDescent="0.35">
      <c r="A28" t="s">
        <v>609</v>
      </c>
      <c r="B28" t="s">
        <v>557</v>
      </c>
      <c r="C28" t="s">
        <v>434</v>
      </c>
      <c r="D28" t="s">
        <v>558</v>
      </c>
      <c r="E28" t="s">
        <v>437</v>
      </c>
      <c r="F28" t="s">
        <v>470</v>
      </c>
      <c r="G28" t="s">
        <v>468</v>
      </c>
      <c r="H28" t="s">
        <v>106</v>
      </c>
      <c r="I28" t="s">
        <v>400</v>
      </c>
      <c r="J28" t="s">
        <v>586</v>
      </c>
      <c r="O28" t="s">
        <v>606</v>
      </c>
    </row>
    <row r="29" spans="1:16" x14ac:dyDescent="0.35">
      <c r="A29" t="s">
        <v>609</v>
      </c>
      <c r="B29" t="s">
        <v>117</v>
      </c>
      <c r="D29" t="s">
        <v>120</v>
      </c>
      <c r="F29" t="s">
        <v>472</v>
      </c>
      <c r="G29" t="s">
        <v>468</v>
      </c>
      <c r="H29" t="s">
        <v>82</v>
      </c>
      <c r="I29" t="s">
        <v>121</v>
      </c>
      <c r="J29" t="s">
        <v>587</v>
      </c>
      <c r="L29" t="s">
        <v>1124</v>
      </c>
    </row>
    <row r="30" spans="1:16" x14ac:dyDescent="0.35">
      <c r="A30" t="s">
        <v>609</v>
      </c>
      <c r="B30" t="s">
        <v>560</v>
      </c>
      <c r="C30" t="s">
        <v>434</v>
      </c>
      <c r="D30" t="s">
        <v>561</v>
      </c>
      <c r="E30" t="s">
        <v>437</v>
      </c>
      <c r="F30" t="s">
        <v>470</v>
      </c>
      <c r="G30" t="s">
        <v>468</v>
      </c>
      <c r="H30" t="s">
        <v>106</v>
      </c>
      <c r="I30" t="s">
        <v>400</v>
      </c>
      <c r="J30" t="s">
        <v>586</v>
      </c>
      <c r="O30" t="s">
        <v>606</v>
      </c>
    </row>
    <row r="31" spans="1:16" x14ac:dyDescent="0.35">
      <c r="A31" t="s">
        <v>609</v>
      </c>
      <c r="B31" t="s">
        <v>490</v>
      </c>
      <c r="D31" t="s">
        <v>491</v>
      </c>
      <c r="F31" t="s">
        <v>469</v>
      </c>
      <c r="G31" t="s">
        <v>573</v>
      </c>
      <c r="H31" t="s">
        <v>30</v>
      </c>
      <c r="I31" t="s">
        <v>35</v>
      </c>
      <c r="J31" t="s">
        <v>586</v>
      </c>
    </row>
    <row r="32" spans="1:16" x14ac:dyDescent="0.35">
      <c r="A32" t="s">
        <v>609</v>
      </c>
      <c r="B32" t="s">
        <v>124</v>
      </c>
      <c r="D32" t="s">
        <v>125</v>
      </c>
      <c r="F32" t="s">
        <v>470</v>
      </c>
      <c r="G32" t="s">
        <v>468</v>
      </c>
      <c r="H32" t="s">
        <v>82</v>
      </c>
      <c r="I32" t="s">
        <v>123</v>
      </c>
      <c r="J32" t="s">
        <v>587</v>
      </c>
      <c r="L32" t="s">
        <v>589</v>
      </c>
      <c r="M32" t="s">
        <v>1134</v>
      </c>
    </row>
    <row r="33" spans="1:15" x14ac:dyDescent="0.35">
      <c r="A33" t="s">
        <v>609</v>
      </c>
      <c r="B33" t="s">
        <v>129</v>
      </c>
      <c r="D33" t="s">
        <v>131</v>
      </c>
      <c r="F33" t="s">
        <v>572</v>
      </c>
      <c r="G33" t="s">
        <v>468</v>
      </c>
      <c r="H33" t="s">
        <v>132</v>
      </c>
      <c r="I33" t="s">
        <v>127</v>
      </c>
      <c r="J33" t="s">
        <v>586</v>
      </c>
    </row>
    <row r="34" spans="1:15" x14ac:dyDescent="0.35">
      <c r="A34" t="s">
        <v>609</v>
      </c>
      <c r="B34" t="s">
        <v>543</v>
      </c>
      <c r="C34" t="s">
        <v>545</v>
      </c>
      <c r="D34" t="s">
        <v>544</v>
      </c>
      <c r="E34" t="s">
        <v>546</v>
      </c>
      <c r="F34" t="s">
        <v>475</v>
      </c>
      <c r="G34" t="s">
        <v>468</v>
      </c>
      <c r="H34" t="s">
        <v>60</v>
      </c>
      <c r="I34" t="s">
        <v>51</v>
      </c>
      <c r="J34" t="s">
        <v>586</v>
      </c>
      <c r="O34" t="s">
        <v>603</v>
      </c>
    </row>
    <row r="35" spans="1:15" x14ac:dyDescent="0.35">
      <c r="A35" t="s">
        <v>609</v>
      </c>
      <c r="B35" t="s">
        <v>547</v>
      </c>
      <c r="C35" t="s">
        <v>545</v>
      </c>
      <c r="D35" t="s">
        <v>548</v>
      </c>
      <c r="E35" t="s">
        <v>546</v>
      </c>
      <c r="F35" t="s">
        <v>469</v>
      </c>
      <c r="G35" t="s">
        <v>468</v>
      </c>
      <c r="H35" t="s">
        <v>60</v>
      </c>
      <c r="I35" t="s">
        <v>51</v>
      </c>
      <c r="J35" t="s">
        <v>586</v>
      </c>
      <c r="O35" t="s">
        <v>603</v>
      </c>
    </row>
    <row r="36" spans="1:15" x14ac:dyDescent="0.35">
      <c r="A36" t="s">
        <v>609</v>
      </c>
      <c r="B36" t="s">
        <v>569</v>
      </c>
      <c r="D36" t="s">
        <v>570</v>
      </c>
      <c r="F36" t="s">
        <v>473</v>
      </c>
      <c r="G36" t="s">
        <v>468</v>
      </c>
      <c r="H36" t="s">
        <v>82</v>
      </c>
      <c r="I36" t="s">
        <v>123</v>
      </c>
      <c r="J36" t="s">
        <v>586</v>
      </c>
    </row>
    <row r="37" spans="1:15" x14ac:dyDescent="0.35">
      <c r="A37" t="s">
        <v>609</v>
      </c>
      <c r="B37" t="s">
        <v>134</v>
      </c>
      <c r="D37" t="s">
        <v>137</v>
      </c>
      <c r="F37" t="s">
        <v>470</v>
      </c>
      <c r="G37" t="s">
        <v>468</v>
      </c>
      <c r="H37" t="s">
        <v>67</v>
      </c>
      <c r="I37" t="s">
        <v>123</v>
      </c>
      <c r="J37" t="s">
        <v>587</v>
      </c>
      <c r="L37" t="s">
        <v>1124</v>
      </c>
      <c r="M37" t="s">
        <v>1135</v>
      </c>
    </row>
    <row r="38" spans="1:15" x14ac:dyDescent="0.35">
      <c r="A38" t="s">
        <v>609</v>
      </c>
      <c r="B38" t="s">
        <v>140</v>
      </c>
      <c r="D38" t="s">
        <v>143</v>
      </c>
      <c r="F38" t="s">
        <v>572</v>
      </c>
      <c r="G38" t="s">
        <v>468</v>
      </c>
      <c r="H38" t="s">
        <v>132</v>
      </c>
      <c r="I38" t="s">
        <v>127</v>
      </c>
      <c r="J38" t="s">
        <v>586</v>
      </c>
      <c r="L38" t="s">
        <v>589</v>
      </c>
    </row>
    <row r="39" spans="1:15" x14ac:dyDescent="0.35">
      <c r="A39" t="s">
        <v>609</v>
      </c>
      <c r="B39" t="s">
        <v>145</v>
      </c>
      <c r="D39" t="s">
        <v>146</v>
      </c>
      <c r="F39" t="s">
        <v>469</v>
      </c>
      <c r="G39" t="s">
        <v>468</v>
      </c>
      <c r="H39" t="s">
        <v>67</v>
      </c>
      <c r="I39" t="s">
        <v>123</v>
      </c>
      <c r="J39" t="s">
        <v>587</v>
      </c>
      <c r="K39" t="s">
        <v>588</v>
      </c>
      <c r="L39" t="s">
        <v>1120</v>
      </c>
      <c r="M39" t="s">
        <v>1136</v>
      </c>
    </row>
    <row r="40" spans="1:15" x14ac:dyDescent="0.35">
      <c r="A40" t="s">
        <v>609</v>
      </c>
      <c r="B40" t="s">
        <v>510</v>
      </c>
      <c r="D40" t="s">
        <v>511</v>
      </c>
      <c r="F40" t="s">
        <v>469</v>
      </c>
      <c r="G40" t="s">
        <v>573</v>
      </c>
      <c r="I40" t="s">
        <v>577</v>
      </c>
      <c r="J40" t="s">
        <v>586</v>
      </c>
    </row>
    <row r="41" spans="1:15" x14ac:dyDescent="0.35">
      <c r="A41" t="s">
        <v>609</v>
      </c>
      <c r="B41" t="s">
        <v>155</v>
      </c>
      <c r="D41" t="s">
        <v>158</v>
      </c>
      <c r="F41" t="s">
        <v>486</v>
      </c>
      <c r="G41" t="s">
        <v>573</v>
      </c>
      <c r="H41" t="s">
        <v>113</v>
      </c>
      <c r="I41" t="s">
        <v>37</v>
      </c>
      <c r="J41" t="s">
        <v>586</v>
      </c>
    </row>
    <row r="42" spans="1:15" x14ac:dyDescent="0.35">
      <c r="A42" t="s">
        <v>609</v>
      </c>
      <c r="B42" t="s">
        <v>162</v>
      </c>
      <c r="C42" t="s">
        <v>163</v>
      </c>
      <c r="D42" t="s">
        <v>165</v>
      </c>
      <c r="E42" t="s">
        <v>166</v>
      </c>
      <c r="F42" t="s">
        <v>469</v>
      </c>
      <c r="G42" t="s">
        <v>468</v>
      </c>
      <c r="H42" t="s">
        <v>60</v>
      </c>
      <c r="I42" t="s">
        <v>51</v>
      </c>
      <c r="J42" t="s">
        <v>586</v>
      </c>
      <c r="L42" t="s">
        <v>589</v>
      </c>
      <c r="O42" t="s">
        <v>599</v>
      </c>
    </row>
    <row r="43" spans="1:15" x14ac:dyDescent="0.35">
      <c r="A43" t="s">
        <v>609</v>
      </c>
      <c r="B43" t="s">
        <v>168</v>
      </c>
      <c r="D43" t="s">
        <v>171</v>
      </c>
      <c r="F43" t="s">
        <v>470</v>
      </c>
      <c r="G43" t="s">
        <v>468</v>
      </c>
      <c r="H43" t="s">
        <v>97</v>
      </c>
      <c r="I43" t="s">
        <v>123</v>
      </c>
      <c r="J43" t="s">
        <v>586</v>
      </c>
    </row>
    <row r="44" spans="1:15" x14ac:dyDescent="0.35">
      <c r="A44" t="s">
        <v>609</v>
      </c>
      <c r="B44" t="s">
        <v>173</v>
      </c>
      <c r="C44" t="s">
        <v>174</v>
      </c>
      <c r="D44" t="s">
        <v>176</v>
      </c>
      <c r="E44" t="s">
        <v>177</v>
      </c>
      <c r="F44" t="s">
        <v>470</v>
      </c>
      <c r="G44" t="s">
        <v>468</v>
      </c>
      <c r="H44" t="s">
        <v>106</v>
      </c>
      <c r="I44" t="s">
        <v>178</v>
      </c>
      <c r="J44" t="s">
        <v>586</v>
      </c>
      <c r="O44" t="s">
        <v>607</v>
      </c>
    </row>
    <row r="45" spans="1:15" x14ac:dyDescent="0.35">
      <c r="A45" t="s">
        <v>609</v>
      </c>
      <c r="B45" t="s">
        <v>508</v>
      </c>
      <c r="D45" t="s">
        <v>509</v>
      </c>
      <c r="F45" t="s">
        <v>572</v>
      </c>
      <c r="G45" t="s">
        <v>468</v>
      </c>
      <c r="H45" t="s">
        <v>576</v>
      </c>
      <c r="I45" t="s">
        <v>127</v>
      </c>
      <c r="J45" t="s">
        <v>586</v>
      </c>
    </row>
    <row r="46" spans="1:15" x14ac:dyDescent="0.35">
      <c r="A46" t="s">
        <v>609</v>
      </c>
      <c r="B46" t="s">
        <v>562</v>
      </c>
      <c r="C46" t="s">
        <v>434</v>
      </c>
      <c r="D46" t="s">
        <v>563</v>
      </c>
      <c r="E46" t="s">
        <v>437</v>
      </c>
      <c r="F46" t="s">
        <v>470</v>
      </c>
      <c r="G46" t="s">
        <v>468</v>
      </c>
      <c r="H46" t="s">
        <v>106</v>
      </c>
      <c r="I46" t="s">
        <v>400</v>
      </c>
      <c r="J46" t="s">
        <v>586</v>
      </c>
      <c r="O46" t="s">
        <v>606</v>
      </c>
    </row>
    <row r="47" spans="1:15" x14ac:dyDescent="0.35">
      <c r="A47" t="s">
        <v>609</v>
      </c>
      <c r="B47" t="s">
        <v>180</v>
      </c>
      <c r="D47" t="s">
        <v>183</v>
      </c>
      <c r="F47" t="s">
        <v>472</v>
      </c>
      <c r="G47" t="s">
        <v>468</v>
      </c>
      <c r="H47" t="s">
        <v>82</v>
      </c>
      <c r="I47" t="s">
        <v>184</v>
      </c>
      <c r="J47" t="s">
        <v>587</v>
      </c>
      <c r="L47" t="s">
        <v>589</v>
      </c>
      <c r="M47" t="s">
        <v>1128</v>
      </c>
    </row>
    <row r="48" spans="1:15" x14ac:dyDescent="0.35">
      <c r="A48" t="s">
        <v>609</v>
      </c>
      <c r="B48" t="s">
        <v>186</v>
      </c>
      <c r="D48" t="s">
        <v>187</v>
      </c>
      <c r="F48" t="s">
        <v>469</v>
      </c>
      <c r="G48" t="s">
        <v>468</v>
      </c>
      <c r="H48" t="s">
        <v>67</v>
      </c>
      <c r="I48" t="s">
        <v>68</v>
      </c>
      <c r="J48" t="s">
        <v>587</v>
      </c>
      <c r="L48" t="s">
        <v>589</v>
      </c>
      <c r="M48" t="s">
        <v>1134</v>
      </c>
    </row>
    <row r="49" spans="1:16" x14ac:dyDescent="0.35">
      <c r="A49" t="s">
        <v>609</v>
      </c>
      <c r="B49" t="s">
        <v>189</v>
      </c>
      <c r="C49" t="s">
        <v>25</v>
      </c>
      <c r="D49" t="s">
        <v>190</v>
      </c>
      <c r="E49" t="s">
        <v>29</v>
      </c>
      <c r="F49" t="s">
        <v>469</v>
      </c>
      <c r="G49" t="s">
        <v>573</v>
      </c>
      <c r="H49" t="s">
        <v>30</v>
      </c>
      <c r="I49" t="s">
        <v>31</v>
      </c>
      <c r="J49" t="s">
        <v>586</v>
      </c>
      <c r="O49" t="s">
        <v>604</v>
      </c>
    </row>
    <row r="50" spans="1:16" x14ac:dyDescent="0.35">
      <c r="A50" t="s">
        <v>609</v>
      </c>
      <c r="B50" t="s">
        <v>537</v>
      </c>
      <c r="D50" t="s">
        <v>538</v>
      </c>
      <c r="F50" t="s">
        <v>470</v>
      </c>
      <c r="G50" t="s">
        <v>573</v>
      </c>
      <c r="H50" t="s">
        <v>574</v>
      </c>
      <c r="I50" t="s">
        <v>37</v>
      </c>
      <c r="J50" t="s">
        <v>586</v>
      </c>
    </row>
    <row r="51" spans="1:16" x14ac:dyDescent="0.35">
      <c r="A51" t="s">
        <v>609</v>
      </c>
      <c r="B51" t="s">
        <v>193</v>
      </c>
      <c r="D51" t="s">
        <v>196</v>
      </c>
      <c r="F51" t="s">
        <v>470</v>
      </c>
      <c r="G51" t="s">
        <v>468</v>
      </c>
      <c r="H51" t="s">
        <v>97</v>
      </c>
      <c r="I51" t="s">
        <v>123</v>
      </c>
      <c r="J51" t="s">
        <v>587</v>
      </c>
      <c r="L51" t="s">
        <v>1124</v>
      </c>
      <c r="M51" t="s">
        <v>1139</v>
      </c>
    </row>
    <row r="52" spans="1:16" x14ac:dyDescent="0.35">
      <c r="A52" t="s">
        <v>609</v>
      </c>
      <c r="B52" t="s">
        <v>199</v>
      </c>
      <c r="D52" t="s">
        <v>202</v>
      </c>
      <c r="F52" t="s">
        <v>472</v>
      </c>
      <c r="G52" t="s">
        <v>468</v>
      </c>
      <c r="H52" t="s">
        <v>82</v>
      </c>
      <c r="I52" t="s">
        <v>203</v>
      </c>
      <c r="J52" t="s">
        <v>586</v>
      </c>
      <c r="L52" t="s">
        <v>589</v>
      </c>
      <c r="M52" t="s">
        <v>1129</v>
      </c>
    </row>
    <row r="53" spans="1:16" x14ac:dyDescent="0.35">
      <c r="A53" t="s">
        <v>609</v>
      </c>
      <c r="B53" t="s">
        <v>478</v>
      </c>
      <c r="C53" t="s">
        <v>205</v>
      </c>
      <c r="D53" t="s">
        <v>479</v>
      </c>
      <c r="E53" t="s">
        <v>207</v>
      </c>
      <c r="F53" t="s">
        <v>470</v>
      </c>
      <c r="G53" t="s">
        <v>468</v>
      </c>
      <c r="H53" t="s">
        <v>60</v>
      </c>
      <c r="I53" t="s">
        <v>123</v>
      </c>
      <c r="J53" t="s">
        <v>587</v>
      </c>
      <c r="O53" t="s">
        <v>596</v>
      </c>
    </row>
    <row r="54" spans="1:16" x14ac:dyDescent="0.35">
      <c r="A54" s="13" t="s">
        <v>609</v>
      </c>
      <c r="B54" s="13" t="s">
        <v>527</v>
      </c>
      <c r="C54" s="13" t="s">
        <v>526</v>
      </c>
      <c r="D54" s="13" t="s">
        <v>528</v>
      </c>
      <c r="E54" s="13" t="s">
        <v>525</v>
      </c>
      <c r="F54" s="13" t="s">
        <v>469</v>
      </c>
      <c r="G54" s="13" t="s">
        <v>573</v>
      </c>
      <c r="H54" s="13" t="s">
        <v>30</v>
      </c>
      <c r="I54" s="13" t="s">
        <v>581</v>
      </c>
      <c r="J54" s="13" t="s">
        <v>586</v>
      </c>
      <c r="K54" s="13"/>
      <c r="L54" s="13"/>
      <c r="M54" s="13"/>
      <c r="N54" s="13"/>
      <c r="O54" s="13" t="s">
        <v>605</v>
      </c>
      <c r="P54" s="13"/>
    </row>
    <row r="55" spans="1:16" x14ac:dyDescent="0.35">
      <c r="A55" t="s">
        <v>609</v>
      </c>
      <c r="B55" t="s">
        <v>480</v>
      </c>
      <c r="C55" t="s">
        <v>205</v>
      </c>
      <c r="D55" t="s">
        <v>206</v>
      </c>
      <c r="E55" t="s">
        <v>207</v>
      </c>
      <c r="F55" t="s">
        <v>470</v>
      </c>
      <c r="G55" t="s">
        <v>468</v>
      </c>
      <c r="H55" t="s">
        <v>106</v>
      </c>
      <c r="I55" t="s">
        <v>123</v>
      </c>
      <c r="J55" t="s">
        <v>587</v>
      </c>
      <c r="K55" t="s">
        <v>588</v>
      </c>
      <c r="O55" t="s">
        <v>596</v>
      </c>
    </row>
    <row r="56" spans="1:16" x14ac:dyDescent="0.35">
      <c r="A56" t="s">
        <v>609</v>
      </c>
      <c r="B56" t="s">
        <v>209</v>
      </c>
      <c r="D56" t="s">
        <v>212</v>
      </c>
      <c r="F56" t="s">
        <v>470</v>
      </c>
      <c r="G56" t="s">
        <v>468</v>
      </c>
      <c r="H56" t="s">
        <v>67</v>
      </c>
      <c r="I56" t="s">
        <v>123</v>
      </c>
      <c r="J56" t="s">
        <v>587</v>
      </c>
      <c r="K56" t="s">
        <v>588</v>
      </c>
      <c r="L56" t="s">
        <v>1122</v>
      </c>
      <c r="M56" t="s">
        <v>1129</v>
      </c>
    </row>
    <row r="57" spans="1:16" x14ac:dyDescent="0.35">
      <c r="A57" t="s">
        <v>609</v>
      </c>
      <c r="B57" t="s">
        <v>529</v>
      </c>
      <c r="D57" t="s">
        <v>530</v>
      </c>
      <c r="F57" t="s">
        <v>470</v>
      </c>
      <c r="G57" t="s">
        <v>573</v>
      </c>
      <c r="H57" t="s">
        <v>113</v>
      </c>
      <c r="I57" t="s">
        <v>37</v>
      </c>
      <c r="J57" t="s">
        <v>586</v>
      </c>
    </row>
    <row r="58" spans="1:16" x14ac:dyDescent="0.35">
      <c r="A58" t="s">
        <v>609</v>
      </c>
      <c r="B58" t="s">
        <v>214</v>
      </c>
      <c r="D58" t="s">
        <v>216</v>
      </c>
      <c r="F58" t="s">
        <v>473</v>
      </c>
      <c r="G58" t="s">
        <v>468</v>
      </c>
      <c r="H58" t="s">
        <v>67</v>
      </c>
      <c r="I58" t="s">
        <v>217</v>
      </c>
      <c r="J58" t="s">
        <v>1085</v>
      </c>
      <c r="L58" t="s">
        <v>1121</v>
      </c>
    </row>
    <row r="59" spans="1:16" x14ac:dyDescent="0.35">
      <c r="A59" s="13" t="s">
        <v>609</v>
      </c>
      <c r="B59" s="13" t="s">
        <v>505</v>
      </c>
      <c r="C59" s="13" t="s">
        <v>271</v>
      </c>
      <c r="D59" s="13" t="s">
        <v>506</v>
      </c>
      <c r="E59" s="13" t="s">
        <v>274</v>
      </c>
      <c r="F59" s="13" t="s">
        <v>486</v>
      </c>
      <c r="G59" s="13" t="s">
        <v>468</v>
      </c>
      <c r="H59" s="13" t="s">
        <v>283</v>
      </c>
      <c r="I59" s="13" t="s">
        <v>99</v>
      </c>
      <c r="J59" s="13" t="s">
        <v>586</v>
      </c>
      <c r="K59" s="13"/>
      <c r="L59" s="13"/>
      <c r="M59" s="13"/>
      <c r="N59" s="13"/>
      <c r="O59" s="13" t="s">
        <v>600</v>
      </c>
      <c r="P59" s="13"/>
    </row>
    <row r="60" spans="1:16" x14ac:dyDescent="0.35">
      <c r="A60" t="s">
        <v>609</v>
      </c>
      <c r="B60" t="s">
        <v>220</v>
      </c>
      <c r="D60" t="s">
        <v>222</v>
      </c>
      <c r="F60" t="s">
        <v>470</v>
      </c>
      <c r="G60" t="s">
        <v>468</v>
      </c>
      <c r="H60" t="s">
        <v>67</v>
      </c>
      <c r="I60" t="s">
        <v>223</v>
      </c>
      <c r="J60" t="s">
        <v>586</v>
      </c>
    </row>
    <row r="61" spans="1:16" x14ac:dyDescent="0.35">
      <c r="A61" t="s">
        <v>609</v>
      </c>
      <c r="B61" t="s">
        <v>225</v>
      </c>
      <c r="D61" t="s">
        <v>226</v>
      </c>
      <c r="F61" t="s">
        <v>469</v>
      </c>
      <c r="G61" t="s">
        <v>468</v>
      </c>
      <c r="H61" t="s">
        <v>82</v>
      </c>
      <c r="I61" t="s">
        <v>123</v>
      </c>
      <c r="J61" t="s">
        <v>587</v>
      </c>
      <c r="L61" t="s">
        <v>1121</v>
      </c>
      <c r="M61" t="s">
        <v>1143</v>
      </c>
    </row>
    <row r="62" spans="1:16" s="13" customFormat="1" x14ac:dyDescent="0.35">
      <c r="A62" t="s">
        <v>609</v>
      </c>
      <c r="B62" t="s">
        <v>531</v>
      </c>
      <c r="C62"/>
      <c r="D62" t="s">
        <v>532</v>
      </c>
      <c r="E62"/>
      <c r="F62" t="s">
        <v>470</v>
      </c>
      <c r="G62" t="s">
        <v>573</v>
      </c>
      <c r="H62"/>
      <c r="I62"/>
      <c r="J62" t="s">
        <v>586</v>
      </c>
      <c r="K62"/>
      <c r="L62"/>
      <c r="M62"/>
      <c r="N62"/>
      <c r="O62"/>
      <c r="P62"/>
    </row>
    <row r="63" spans="1:16" x14ac:dyDescent="0.35">
      <c r="A63" s="13" t="s">
        <v>609</v>
      </c>
      <c r="B63" s="13" t="s">
        <v>231</v>
      </c>
      <c r="C63" s="13"/>
      <c r="D63" s="13" t="s">
        <v>234</v>
      </c>
      <c r="E63" s="13"/>
      <c r="F63" s="13" t="s">
        <v>470</v>
      </c>
      <c r="G63" s="13" t="s">
        <v>468</v>
      </c>
      <c r="H63" s="13" t="s">
        <v>97</v>
      </c>
      <c r="I63" s="13" t="s">
        <v>235</v>
      </c>
      <c r="J63" s="13" t="s">
        <v>587</v>
      </c>
      <c r="K63" s="13"/>
      <c r="L63" s="13" t="s">
        <v>1124</v>
      </c>
      <c r="M63" s="13" t="s">
        <v>1129</v>
      </c>
      <c r="N63" s="13"/>
      <c r="O63" s="13"/>
      <c r="P63" s="13"/>
    </row>
    <row r="64" spans="1:16" x14ac:dyDescent="0.35">
      <c r="A64" t="s">
        <v>609</v>
      </c>
      <c r="B64" t="s">
        <v>535</v>
      </c>
      <c r="C64" t="s">
        <v>378</v>
      </c>
      <c r="D64" t="s">
        <v>536</v>
      </c>
      <c r="E64" t="s">
        <v>380</v>
      </c>
      <c r="F64" t="s">
        <v>469</v>
      </c>
      <c r="G64" t="s">
        <v>468</v>
      </c>
      <c r="H64" t="s">
        <v>60</v>
      </c>
      <c r="I64" t="s">
        <v>582</v>
      </c>
      <c r="J64" t="s">
        <v>586</v>
      </c>
      <c r="O64" t="s">
        <v>601</v>
      </c>
    </row>
    <row r="65" spans="1:16" x14ac:dyDescent="0.35">
      <c r="A65" t="s">
        <v>609</v>
      </c>
      <c r="B65" t="s">
        <v>539</v>
      </c>
      <c r="D65" t="s">
        <v>540</v>
      </c>
      <c r="F65" t="s">
        <v>470</v>
      </c>
      <c r="G65" t="s">
        <v>573</v>
      </c>
      <c r="H65" t="s">
        <v>574</v>
      </c>
      <c r="I65" t="s">
        <v>37</v>
      </c>
      <c r="J65" t="s">
        <v>586</v>
      </c>
    </row>
    <row r="66" spans="1:16" x14ac:dyDescent="0.35">
      <c r="A66" t="s">
        <v>609</v>
      </c>
      <c r="B66" t="s">
        <v>237</v>
      </c>
      <c r="C66" t="s">
        <v>238</v>
      </c>
      <c r="D66" t="s">
        <v>239</v>
      </c>
      <c r="E66" t="s">
        <v>240</v>
      </c>
      <c r="F66" t="s">
        <v>474</v>
      </c>
      <c r="G66" t="s">
        <v>468</v>
      </c>
      <c r="H66" t="s">
        <v>106</v>
      </c>
      <c r="I66" t="s">
        <v>241</v>
      </c>
      <c r="J66" t="s">
        <v>587</v>
      </c>
      <c r="O66" t="s">
        <v>597</v>
      </c>
    </row>
    <row r="67" spans="1:16" x14ac:dyDescent="0.35">
      <c r="A67" t="s">
        <v>609</v>
      </c>
      <c r="B67" t="s">
        <v>243</v>
      </c>
      <c r="D67" t="s">
        <v>246</v>
      </c>
      <c r="F67" t="s">
        <v>469</v>
      </c>
      <c r="G67" t="s">
        <v>468</v>
      </c>
      <c r="H67" t="s">
        <v>67</v>
      </c>
      <c r="I67" t="s">
        <v>123</v>
      </c>
      <c r="J67" t="s">
        <v>1085</v>
      </c>
      <c r="L67" t="s">
        <v>1121</v>
      </c>
      <c r="M67" t="s">
        <v>1129</v>
      </c>
    </row>
    <row r="68" spans="1:16" x14ac:dyDescent="0.35">
      <c r="A68" t="s">
        <v>609</v>
      </c>
      <c r="B68" t="s">
        <v>248</v>
      </c>
      <c r="D68" t="s">
        <v>249</v>
      </c>
      <c r="F68" t="s">
        <v>469</v>
      </c>
      <c r="G68" t="s">
        <v>468</v>
      </c>
      <c r="H68" t="s">
        <v>67</v>
      </c>
      <c r="I68" t="s">
        <v>250</v>
      </c>
      <c r="J68" t="s">
        <v>587</v>
      </c>
      <c r="M68" t="s">
        <v>1137</v>
      </c>
    </row>
    <row r="69" spans="1:16" x14ac:dyDescent="0.35">
      <c r="A69" t="s">
        <v>609</v>
      </c>
      <c r="B69" t="s">
        <v>252</v>
      </c>
      <c r="C69" t="s">
        <v>25</v>
      </c>
      <c r="D69" t="s">
        <v>253</v>
      </c>
      <c r="E69" t="s">
        <v>29</v>
      </c>
      <c r="F69" t="s">
        <v>469</v>
      </c>
      <c r="G69" t="s">
        <v>573</v>
      </c>
      <c r="H69" t="s">
        <v>30</v>
      </c>
      <c r="I69" t="s">
        <v>31</v>
      </c>
      <c r="J69" t="s">
        <v>586</v>
      </c>
      <c r="O69" t="s">
        <v>604</v>
      </c>
    </row>
    <row r="70" spans="1:16" x14ac:dyDescent="0.35">
      <c r="A70" t="s">
        <v>609</v>
      </c>
      <c r="B70" t="s">
        <v>567</v>
      </c>
      <c r="D70" t="s">
        <v>568</v>
      </c>
      <c r="F70" t="s">
        <v>475</v>
      </c>
      <c r="G70" t="s">
        <v>573</v>
      </c>
      <c r="H70" t="s">
        <v>75</v>
      </c>
      <c r="I70" t="s">
        <v>454</v>
      </c>
      <c r="J70" t="s">
        <v>586</v>
      </c>
    </row>
    <row r="71" spans="1:16" x14ac:dyDescent="0.35">
      <c r="A71" t="s">
        <v>609</v>
      </c>
      <c r="B71" t="s">
        <v>255</v>
      </c>
      <c r="D71" t="s">
        <v>256</v>
      </c>
      <c r="F71" t="s">
        <v>470</v>
      </c>
      <c r="G71" t="s">
        <v>468</v>
      </c>
      <c r="H71" t="s">
        <v>67</v>
      </c>
      <c r="I71" t="s">
        <v>68</v>
      </c>
      <c r="J71" t="s">
        <v>587</v>
      </c>
      <c r="L71" t="s">
        <v>589</v>
      </c>
      <c r="M71" t="s">
        <v>1137</v>
      </c>
    </row>
    <row r="72" spans="1:16" x14ac:dyDescent="0.35">
      <c r="A72" t="s">
        <v>609</v>
      </c>
      <c r="B72" t="s">
        <v>259</v>
      </c>
      <c r="D72" t="s">
        <v>262</v>
      </c>
      <c r="F72" t="s">
        <v>470</v>
      </c>
      <c r="G72" t="s">
        <v>468</v>
      </c>
      <c r="H72" t="s">
        <v>82</v>
      </c>
      <c r="I72" t="s">
        <v>68</v>
      </c>
      <c r="J72" t="s">
        <v>586</v>
      </c>
    </row>
    <row r="73" spans="1:16" x14ac:dyDescent="0.35">
      <c r="A73" t="s">
        <v>609</v>
      </c>
      <c r="B73" t="s">
        <v>520</v>
      </c>
      <c r="D73" t="s">
        <v>521</v>
      </c>
      <c r="F73" t="s">
        <v>474</v>
      </c>
      <c r="G73" t="s">
        <v>573</v>
      </c>
      <c r="H73" t="s">
        <v>113</v>
      </c>
      <c r="I73" t="s">
        <v>37</v>
      </c>
      <c r="J73" t="s">
        <v>586</v>
      </c>
    </row>
    <row r="74" spans="1:16" x14ac:dyDescent="0.35">
      <c r="A74" t="s">
        <v>609</v>
      </c>
      <c r="B74" t="s">
        <v>265</v>
      </c>
      <c r="D74" t="s">
        <v>268</v>
      </c>
      <c r="F74" t="s">
        <v>467</v>
      </c>
      <c r="G74" t="s">
        <v>468</v>
      </c>
      <c r="H74" t="s">
        <v>60</v>
      </c>
      <c r="I74" t="s">
        <v>51</v>
      </c>
      <c r="J74" t="s">
        <v>586</v>
      </c>
      <c r="L74" t="s">
        <v>1123</v>
      </c>
    </row>
    <row r="75" spans="1:16" x14ac:dyDescent="0.35">
      <c r="A75" s="13" t="s">
        <v>609</v>
      </c>
      <c r="B75" s="13" t="s">
        <v>507</v>
      </c>
      <c r="C75" s="13" t="s">
        <v>271</v>
      </c>
      <c r="D75" s="13" t="s">
        <v>273</v>
      </c>
      <c r="E75" s="13" t="s">
        <v>274</v>
      </c>
      <c r="F75" s="13" t="s">
        <v>486</v>
      </c>
      <c r="G75" s="13" t="s">
        <v>468</v>
      </c>
      <c r="H75" s="13" t="s">
        <v>106</v>
      </c>
      <c r="I75" s="13" t="s">
        <v>99</v>
      </c>
      <c r="J75" s="13" t="s">
        <v>586</v>
      </c>
      <c r="K75" s="13"/>
      <c r="L75" s="13"/>
      <c r="M75" s="13"/>
      <c r="N75" s="13"/>
      <c r="O75" s="13" t="s">
        <v>600</v>
      </c>
      <c r="P75" s="13"/>
    </row>
    <row r="76" spans="1:16" x14ac:dyDescent="0.35">
      <c r="A76" s="13" t="s">
        <v>609</v>
      </c>
      <c r="B76" s="13" t="s">
        <v>279</v>
      </c>
      <c r="C76" s="13"/>
      <c r="D76" s="13" t="s">
        <v>282</v>
      </c>
      <c r="E76" s="13"/>
      <c r="F76" s="13" t="s">
        <v>486</v>
      </c>
      <c r="G76" s="13" t="s">
        <v>468</v>
      </c>
      <c r="H76" s="13" t="s">
        <v>283</v>
      </c>
      <c r="I76" s="13" t="s">
        <v>99</v>
      </c>
      <c r="J76" s="13" t="s">
        <v>586</v>
      </c>
      <c r="K76" s="13"/>
      <c r="L76" s="13" t="s">
        <v>589</v>
      </c>
      <c r="M76" s="13"/>
      <c r="N76" s="13"/>
      <c r="O76" s="13"/>
      <c r="P76" s="13"/>
    </row>
    <row r="77" spans="1:16" x14ac:dyDescent="0.35">
      <c r="A77" t="s">
        <v>609</v>
      </c>
      <c r="B77" t="s">
        <v>286</v>
      </c>
      <c r="D77" t="s">
        <v>289</v>
      </c>
      <c r="F77" t="s">
        <v>470</v>
      </c>
      <c r="G77" t="s">
        <v>468</v>
      </c>
      <c r="H77" t="s">
        <v>106</v>
      </c>
      <c r="I77" t="s">
        <v>290</v>
      </c>
      <c r="J77" t="s">
        <v>586</v>
      </c>
    </row>
    <row r="78" spans="1:16" x14ac:dyDescent="0.35">
      <c r="A78" t="s">
        <v>609</v>
      </c>
      <c r="B78" t="s">
        <v>471</v>
      </c>
      <c r="C78" t="s">
        <v>292</v>
      </c>
      <c r="D78" t="s">
        <v>293</v>
      </c>
      <c r="E78" t="s">
        <v>294</v>
      </c>
      <c r="F78" t="s">
        <v>467</v>
      </c>
      <c r="G78" t="s">
        <v>468</v>
      </c>
      <c r="H78" t="s">
        <v>283</v>
      </c>
      <c r="I78" t="s">
        <v>123</v>
      </c>
      <c r="J78" t="s">
        <v>587</v>
      </c>
      <c r="L78" t="s">
        <v>589</v>
      </c>
      <c r="O78" t="s">
        <v>594</v>
      </c>
    </row>
    <row r="79" spans="1:16" x14ac:dyDescent="0.35">
      <c r="A79" t="s">
        <v>609</v>
      </c>
      <c r="B79" t="s">
        <v>296</v>
      </c>
      <c r="D79" t="s">
        <v>297</v>
      </c>
      <c r="F79" t="s">
        <v>467</v>
      </c>
      <c r="G79" t="s">
        <v>468</v>
      </c>
      <c r="H79" t="s">
        <v>97</v>
      </c>
      <c r="I79" t="s">
        <v>123</v>
      </c>
      <c r="J79" t="s">
        <v>587</v>
      </c>
      <c r="M79" t="s">
        <v>1138</v>
      </c>
    </row>
    <row r="80" spans="1:16" x14ac:dyDescent="0.35">
      <c r="A80" t="s">
        <v>609</v>
      </c>
      <c r="B80" t="s">
        <v>514</v>
      </c>
      <c r="D80" t="s">
        <v>515</v>
      </c>
      <c r="F80" t="s">
        <v>475</v>
      </c>
      <c r="G80" t="s">
        <v>468</v>
      </c>
      <c r="H80" t="s">
        <v>106</v>
      </c>
      <c r="I80" t="s">
        <v>121</v>
      </c>
      <c r="J80" t="s">
        <v>586</v>
      </c>
    </row>
    <row r="81" spans="1:16" x14ac:dyDescent="0.35">
      <c r="A81" t="s">
        <v>609</v>
      </c>
      <c r="B81" t="s">
        <v>299</v>
      </c>
      <c r="C81" t="s">
        <v>163</v>
      </c>
      <c r="D81" t="s">
        <v>301</v>
      </c>
      <c r="E81" t="s">
        <v>166</v>
      </c>
      <c r="F81" t="s">
        <v>469</v>
      </c>
      <c r="G81" t="s">
        <v>468</v>
      </c>
      <c r="H81" t="s">
        <v>82</v>
      </c>
      <c r="I81" t="s">
        <v>51</v>
      </c>
      <c r="J81" t="s">
        <v>586</v>
      </c>
      <c r="L81" t="s">
        <v>589</v>
      </c>
      <c r="O81" t="s">
        <v>599</v>
      </c>
    </row>
    <row r="82" spans="1:16" x14ac:dyDescent="0.35">
      <c r="A82" t="s">
        <v>609</v>
      </c>
      <c r="B82" t="s">
        <v>303</v>
      </c>
      <c r="D82" t="s">
        <v>306</v>
      </c>
      <c r="F82" t="s">
        <v>472</v>
      </c>
      <c r="G82" t="s">
        <v>468</v>
      </c>
      <c r="H82" t="s">
        <v>82</v>
      </c>
      <c r="I82" t="s">
        <v>121</v>
      </c>
      <c r="J82" t="s">
        <v>1132</v>
      </c>
      <c r="L82" t="s">
        <v>1121</v>
      </c>
    </row>
    <row r="83" spans="1:16" x14ac:dyDescent="0.35">
      <c r="A83" t="s">
        <v>609</v>
      </c>
      <c r="B83" t="s">
        <v>308</v>
      </c>
      <c r="D83" t="s">
        <v>311</v>
      </c>
      <c r="F83" t="s">
        <v>472</v>
      </c>
      <c r="G83" t="s">
        <v>468</v>
      </c>
      <c r="H83" t="s">
        <v>82</v>
      </c>
      <c r="I83" t="s">
        <v>312</v>
      </c>
      <c r="J83" t="s">
        <v>586</v>
      </c>
      <c r="L83" t="s">
        <v>589</v>
      </c>
    </row>
    <row r="84" spans="1:16" x14ac:dyDescent="0.35">
      <c r="A84" t="s">
        <v>609</v>
      </c>
      <c r="B84" t="s">
        <v>314</v>
      </c>
      <c r="D84" t="s">
        <v>315</v>
      </c>
      <c r="F84" t="s">
        <v>470</v>
      </c>
      <c r="G84" t="s">
        <v>468</v>
      </c>
      <c r="H84" t="s">
        <v>67</v>
      </c>
      <c r="I84" t="s">
        <v>68</v>
      </c>
      <c r="J84" t="s">
        <v>587</v>
      </c>
      <c r="K84" t="s">
        <v>588</v>
      </c>
      <c r="L84" t="s">
        <v>1122</v>
      </c>
      <c r="M84" t="s">
        <v>1141</v>
      </c>
    </row>
    <row r="85" spans="1:16" x14ac:dyDescent="0.35">
      <c r="A85" t="s">
        <v>609</v>
      </c>
      <c r="B85" t="s">
        <v>549</v>
      </c>
      <c r="D85" t="s">
        <v>550</v>
      </c>
      <c r="F85" t="s">
        <v>472</v>
      </c>
      <c r="G85" t="s">
        <v>468</v>
      </c>
      <c r="H85" t="s">
        <v>106</v>
      </c>
      <c r="I85" t="s">
        <v>583</v>
      </c>
      <c r="J85" t="s">
        <v>586</v>
      </c>
    </row>
    <row r="86" spans="1:16" x14ac:dyDescent="0.35">
      <c r="A86" t="s">
        <v>609</v>
      </c>
      <c r="B86" t="s">
        <v>317</v>
      </c>
      <c r="D86" t="s">
        <v>320</v>
      </c>
      <c r="F86" t="s">
        <v>472</v>
      </c>
      <c r="G86" t="s">
        <v>468</v>
      </c>
      <c r="H86" t="s">
        <v>67</v>
      </c>
      <c r="I86" t="s">
        <v>312</v>
      </c>
      <c r="J86" t="s">
        <v>587</v>
      </c>
      <c r="K86" t="s">
        <v>588</v>
      </c>
      <c r="L86" t="s">
        <v>1121</v>
      </c>
      <c r="M86" t="s">
        <v>1129</v>
      </c>
    </row>
    <row r="87" spans="1:16" x14ac:dyDescent="0.35">
      <c r="A87" t="s">
        <v>609</v>
      </c>
      <c r="B87" t="s">
        <v>322</v>
      </c>
      <c r="C87" t="s">
        <v>238</v>
      </c>
      <c r="D87" t="s">
        <v>323</v>
      </c>
      <c r="E87" t="s">
        <v>240</v>
      </c>
      <c r="F87" t="s">
        <v>474</v>
      </c>
      <c r="G87" t="s">
        <v>468</v>
      </c>
      <c r="H87" t="s">
        <v>283</v>
      </c>
      <c r="I87" t="s">
        <v>324</v>
      </c>
      <c r="J87" t="s">
        <v>587</v>
      </c>
      <c r="O87" t="s">
        <v>597</v>
      </c>
    </row>
    <row r="88" spans="1:16" x14ac:dyDescent="0.35">
      <c r="A88" t="s">
        <v>609</v>
      </c>
      <c r="B88" t="s">
        <v>326</v>
      </c>
      <c r="C88" t="s">
        <v>174</v>
      </c>
      <c r="D88" t="s">
        <v>327</v>
      </c>
      <c r="E88" t="s">
        <v>177</v>
      </c>
      <c r="F88" t="s">
        <v>470</v>
      </c>
      <c r="G88" t="s">
        <v>468</v>
      </c>
      <c r="H88" t="s">
        <v>106</v>
      </c>
      <c r="I88" t="s">
        <v>328</v>
      </c>
      <c r="J88" t="s">
        <v>586</v>
      </c>
      <c r="O88" t="s">
        <v>607</v>
      </c>
    </row>
    <row r="89" spans="1:16" x14ac:dyDescent="0.35">
      <c r="A89" s="13" t="s">
        <v>609</v>
      </c>
      <c r="B89" s="13" t="s">
        <v>332</v>
      </c>
      <c r="C89" s="13"/>
      <c r="D89" s="13" t="s">
        <v>335</v>
      </c>
      <c r="E89" s="13"/>
      <c r="F89" s="13" t="s">
        <v>469</v>
      </c>
      <c r="G89" s="13" t="s">
        <v>468</v>
      </c>
      <c r="H89" s="13" t="s">
        <v>67</v>
      </c>
      <c r="I89" s="13" t="s">
        <v>330</v>
      </c>
      <c r="J89" s="13" t="s">
        <v>586</v>
      </c>
      <c r="K89" s="13"/>
      <c r="L89" s="13" t="s">
        <v>589</v>
      </c>
      <c r="M89" s="13"/>
      <c r="N89" s="13"/>
      <c r="O89" s="13"/>
      <c r="P89" s="13"/>
    </row>
    <row r="90" spans="1:16" x14ac:dyDescent="0.35">
      <c r="A90" t="s">
        <v>609</v>
      </c>
      <c r="B90" t="s">
        <v>344</v>
      </c>
      <c r="D90" t="s">
        <v>347</v>
      </c>
      <c r="F90" t="s">
        <v>469</v>
      </c>
      <c r="G90" t="s">
        <v>468</v>
      </c>
      <c r="H90" t="s">
        <v>348</v>
      </c>
      <c r="I90" t="s">
        <v>343</v>
      </c>
      <c r="J90" t="s">
        <v>586</v>
      </c>
    </row>
    <row r="91" spans="1:16" x14ac:dyDescent="0.35">
      <c r="A91" t="s">
        <v>609</v>
      </c>
      <c r="B91" t="s">
        <v>516</v>
      </c>
      <c r="D91" t="s">
        <v>517</v>
      </c>
      <c r="F91" t="s">
        <v>475</v>
      </c>
      <c r="G91" t="s">
        <v>468</v>
      </c>
      <c r="H91" t="s">
        <v>283</v>
      </c>
      <c r="I91" t="s">
        <v>579</v>
      </c>
      <c r="J91" t="s">
        <v>586</v>
      </c>
    </row>
    <row r="92" spans="1:16" s="13" customFormat="1" x14ac:dyDescent="0.35">
      <c r="A92" s="13" t="s">
        <v>609</v>
      </c>
      <c r="B92" s="13" t="s">
        <v>352</v>
      </c>
      <c r="D92" s="13" t="s">
        <v>355</v>
      </c>
      <c r="F92" s="13" t="s">
        <v>469</v>
      </c>
      <c r="G92" s="13" t="s">
        <v>468</v>
      </c>
      <c r="H92" s="13" t="s">
        <v>97</v>
      </c>
      <c r="I92" s="13" t="s">
        <v>356</v>
      </c>
      <c r="J92" s="13" t="s">
        <v>586</v>
      </c>
      <c r="L92" s="13" t="s">
        <v>1121</v>
      </c>
      <c r="M92" s="13" t="s">
        <v>1140</v>
      </c>
    </row>
    <row r="93" spans="1:16" x14ac:dyDescent="0.35">
      <c r="A93" t="s">
        <v>609</v>
      </c>
      <c r="B93" t="s">
        <v>533</v>
      </c>
      <c r="D93" t="s">
        <v>534</v>
      </c>
      <c r="F93" t="s">
        <v>470</v>
      </c>
      <c r="G93" t="s">
        <v>468</v>
      </c>
      <c r="H93" t="s">
        <v>283</v>
      </c>
      <c r="I93" t="s">
        <v>123</v>
      </c>
      <c r="J93" t="s">
        <v>586</v>
      </c>
      <c r="M93" t="s">
        <v>1142</v>
      </c>
    </row>
    <row r="94" spans="1:16" x14ac:dyDescent="0.35">
      <c r="A94" t="s">
        <v>609</v>
      </c>
      <c r="B94" t="s">
        <v>564</v>
      </c>
      <c r="D94" t="s">
        <v>565</v>
      </c>
      <c r="F94" t="s">
        <v>470</v>
      </c>
      <c r="G94" t="s">
        <v>573</v>
      </c>
      <c r="H94" t="s">
        <v>75</v>
      </c>
      <c r="I94" t="s">
        <v>585</v>
      </c>
      <c r="J94" t="s">
        <v>586</v>
      </c>
    </row>
    <row r="95" spans="1:16" x14ac:dyDescent="0.35">
      <c r="A95" t="s">
        <v>609</v>
      </c>
      <c r="B95" t="s">
        <v>501</v>
      </c>
      <c r="C95" t="s">
        <v>163</v>
      </c>
      <c r="D95" t="s">
        <v>502</v>
      </c>
      <c r="E95" t="s">
        <v>166</v>
      </c>
      <c r="F95" t="s">
        <v>469</v>
      </c>
      <c r="G95" t="s">
        <v>573</v>
      </c>
      <c r="H95" t="s">
        <v>575</v>
      </c>
      <c r="I95" t="s">
        <v>160</v>
      </c>
      <c r="J95" t="s">
        <v>586</v>
      </c>
      <c r="O95" t="s">
        <v>602</v>
      </c>
    </row>
    <row r="96" spans="1:16" s="13" customFormat="1" x14ac:dyDescent="0.35">
      <c r="A96" s="13" t="s">
        <v>609</v>
      </c>
      <c r="B96" s="13" t="s">
        <v>358</v>
      </c>
      <c r="D96" s="13" t="s">
        <v>360</v>
      </c>
      <c r="F96" s="13" t="s">
        <v>469</v>
      </c>
      <c r="G96" s="13" t="s">
        <v>468</v>
      </c>
      <c r="H96" s="13" t="s">
        <v>67</v>
      </c>
      <c r="I96" s="13" t="s">
        <v>361</v>
      </c>
      <c r="J96" s="13" t="s">
        <v>586</v>
      </c>
      <c r="L96" s="13" t="s">
        <v>589</v>
      </c>
    </row>
    <row r="97" spans="1:16" x14ac:dyDescent="0.35">
      <c r="A97" t="s">
        <v>609</v>
      </c>
      <c r="B97" t="s">
        <v>363</v>
      </c>
      <c r="D97" t="s">
        <v>364</v>
      </c>
      <c r="F97" t="s">
        <v>470</v>
      </c>
      <c r="G97" t="s">
        <v>468</v>
      </c>
      <c r="H97" t="s">
        <v>97</v>
      </c>
      <c r="I97" t="s">
        <v>68</v>
      </c>
      <c r="J97" t="s">
        <v>587</v>
      </c>
      <c r="K97" t="s">
        <v>588</v>
      </c>
      <c r="L97" t="s">
        <v>1124</v>
      </c>
      <c r="M97" t="s">
        <v>1129</v>
      </c>
    </row>
    <row r="98" spans="1:16" x14ac:dyDescent="0.35">
      <c r="A98" t="s">
        <v>609</v>
      </c>
      <c r="B98" t="s">
        <v>366</v>
      </c>
      <c r="D98" t="s">
        <v>367</v>
      </c>
      <c r="F98" t="s">
        <v>472</v>
      </c>
      <c r="G98" t="s">
        <v>468</v>
      </c>
      <c r="H98" t="s">
        <v>82</v>
      </c>
      <c r="I98" t="s">
        <v>312</v>
      </c>
      <c r="J98" t="s">
        <v>587</v>
      </c>
      <c r="L98" t="s">
        <v>589</v>
      </c>
    </row>
    <row r="99" spans="1:16" x14ac:dyDescent="0.35">
      <c r="A99" t="s">
        <v>609</v>
      </c>
      <c r="B99" t="s">
        <v>369</v>
      </c>
      <c r="D99" t="s">
        <v>372</v>
      </c>
      <c r="F99" t="s">
        <v>470</v>
      </c>
      <c r="G99" t="s">
        <v>468</v>
      </c>
      <c r="H99" t="s">
        <v>67</v>
      </c>
      <c r="I99" t="s">
        <v>68</v>
      </c>
      <c r="J99" t="s">
        <v>587</v>
      </c>
      <c r="L99" t="s">
        <v>1121</v>
      </c>
      <c r="M99" t="s">
        <v>1129</v>
      </c>
    </row>
    <row r="100" spans="1:16" x14ac:dyDescent="0.35">
      <c r="A100" t="s">
        <v>609</v>
      </c>
      <c r="B100" t="s">
        <v>541</v>
      </c>
      <c r="D100" t="s">
        <v>542</v>
      </c>
      <c r="F100" t="s">
        <v>469</v>
      </c>
      <c r="G100" t="s">
        <v>468</v>
      </c>
      <c r="H100" t="s">
        <v>97</v>
      </c>
      <c r="I100" t="s">
        <v>127</v>
      </c>
      <c r="J100" t="s">
        <v>586</v>
      </c>
    </row>
    <row r="101" spans="1:16" x14ac:dyDescent="0.35">
      <c r="A101" t="s">
        <v>609</v>
      </c>
      <c r="B101" t="s">
        <v>377</v>
      </c>
      <c r="C101" t="s">
        <v>378</v>
      </c>
      <c r="D101" t="s">
        <v>379</v>
      </c>
      <c r="E101" t="s">
        <v>380</v>
      </c>
      <c r="F101" t="s">
        <v>469</v>
      </c>
      <c r="G101" t="s">
        <v>573</v>
      </c>
      <c r="H101" t="s">
        <v>113</v>
      </c>
      <c r="I101" t="s">
        <v>381</v>
      </c>
      <c r="J101" t="s">
        <v>586</v>
      </c>
      <c r="O101" t="s">
        <v>601</v>
      </c>
    </row>
    <row r="102" spans="1:16" x14ac:dyDescent="0.35">
      <c r="A102" t="s">
        <v>609</v>
      </c>
      <c r="B102" t="s">
        <v>484</v>
      </c>
      <c r="C102" t="s">
        <v>388</v>
      </c>
      <c r="D102" t="s">
        <v>485</v>
      </c>
      <c r="E102" t="s">
        <v>392</v>
      </c>
      <c r="F102" t="s">
        <v>486</v>
      </c>
      <c r="G102" t="s">
        <v>468</v>
      </c>
      <c r="H102" t="s">
        <v>106</v>
      </c>
      <c r="I102" t="s">
        <v>123</v>
      </c>
      <c r="J102" t="s">
        <v>587</v>
      </c>
      <c r="O102" t="s">
        <v>595</v>
      </c>
    </row>
    <row r="103" spans="1:16" x14ac:dyDescent="0.35">
      <c r="A103" t="s">
        <v>609</v>
      </c>
      <c r="B103" t="s">
        <v>383</v>
      </c>
      <c r="D103" t="s">
        <v>386</v>
      </c>
      <c r="F103" t="s">
        <v>475</v>
      </c>
      <c r="G103" t="s">
        <v>468</v>
      </c>
      <c r="H103" t="s">
        <v>82</v>
      </c>
      <c r="I103" t="s">
        <v>51</v>
      </c>
      <c r="J103" t="s">
        <v>587</v>
      </c>
      <c r="L103" t="s">
        <v>1124</v>
      </c>
    </row>
    <row r="104" spans="1:16" x14ac:dyDescent="0.35">
      <c r="A104" t="s">
        <v>609</v>
      </c>
      <c r="B104" t="s">
        <v>487</v>
      </c>
      <c r="C104" t="s">
        <v>388</v>
      </c>
      <c r="D104" t="s">
        <v>391</v>
      </c>
      <c r="E104" t="s">
        <v>392</v>
      </c>
      <c r="F104" t="s">
        <v>486</v>
      </c>
      <c r="G104" t="s">
        <v>468</v>
      </c>
      <c r="H104" t="s">
        <v>283</v>
      </c>
      <c r="I104" t="s">
        <v>123</v>
      </c>
      <c r="J104" t="s">
        <v>587</v>
      </c>
      <c r="O104" t="s">
        <v>595</v>
      </c>
    </row>
    <row r="105" spans="1:16" x14ac:dyDescent="0.35">
      <c r="A105" t="s">
        <v>609</v>
      </c>
      <c r="B105" t="s">
        <v>394</v>
      </c>
      <c r="C105" t="s">
        <v>238</v>
      </c>
      <c r="D105" t="s">
        <v>395</v>
      </c>
      <c r="E105" t="s">
        <v>240</v>
      </c>
      <c r="F105" t="s">
        <v>474</v>
      </c>
      <c r="G105" t="s">
        <v>468</v>
      </c>
      <c r="H105" t="s">
        <v>283</v>
      </c>
      <c r="I105" t="s">
        <v>396</v>
      </c>
      <c r="J105" t="s">
        <v>587</v>
      </c>
      <c r="O105" t="s">
        <v>597</v>
      </c>
    </row>
    <row r="106" spans="1:16" x14ac:dyDescent="0.35">
      <c r="A106" t="s">
        <v>609</v>
      </c>
      <c r="B106" t="s">
        <v>398</v>
      </c>
      <c r="C106" t="s">
        <v>174</v>
      </c>
      <c r="D106" t="s">
        <v>399</v>
      </c>
      <c r="E106" t="s">
        <v>177</v>
      </c>
      <c r="F106" t="s">
        <v>470</v>
      </c>
      <c r="G106" t="s">
        <v>468</v>
      </c>
      <c r="H106" t="s">
        <v>283</v>
      </c>
      <c r="I106" t="s">
        <v>400</v>
      </c>
      <c r="J106" t="s">
        <v>586</v>
      </c>
      <c r="L106" t="s">
        <v>589</v>
      </c>
      <c r="O106" t="s">
        <v>607</v>
      </c>
    </row>
    <row r="107" spans="1:16" x14ac:dyDescent="0.35">
      <c r="A107" s="13" t="s">
        <v>609</v>
      </c>
      <c r="B107" s="13" t="s">
        <v>403</v>
      </c>
      <c r="C107" s="13" t="s">
        <v>174</v>
      </c>
      <c r="D107" s="13" t="s">
        <v>404</v>
      </c>
      <c r="E107" s="13" t="s">
        <v>177</v>
      </c>
      <c r="F107" s="13" t="s">
        <v>470</v>
      </c>
      <c r="G107" s="13" t="s">
        <v>573</v>
      </c>
      <c r="H107" s="13" t="s">
        <v>405</v>
      </c>
      <c r="I107" s="13" t="s">
        <v>406</v>
      </c>
      <c r="J107" s="13" t="s">
        <v>586</v>
      </c>
      <c r="K107" s="13"/>
      <c r="L107" s="13" t="s">
        <v>589</v>
      </c>
      <c r="M107" s="13"/>
      <c r="N107" s="13"/>
      <c r="O107" s="13" t="s">
        <v>607</v>
      </c>
      <c r="P107" s="13"/>
    </row>
    <row r="108" spans="1:16" x14ac:dyDescent="0.35">
      <c r="A108" s="13" t="s">
        <v>609</v>
      </c>
      <c r="B108" s="13" t="s">
        <v>414</v>
      </c>
      <c r="C108" s="13"/>
      <c r="D108" s="13" t="s">
        <v>417</v>
      </c>
      <c r="E108" s="13"/>
      <c r="F108" s="13" t="s">
        <v>571</v>
      </c>
      <c r="G108" s="13" t="s">
        <v>573</v>
      </c>
      <c r="H108" s="13" t="s">
        <v>75</v>
      </c>
      <c r="I108" s="13" t="s">
        <v>418</v>
      </c>
      <c r="J108" s="13" t="s">
        <v>586</v>
      </c>
      <c r="K108" s="13"/>
      <c r="L108" s="13" t="s">
        <v>589</v>
      </c>
      <c r="M108" s="13"/>
      <c r="N108" s="13"/>
      <c r="O108" s="13"/>
      <c r="P108" s="13"/>
    </row>
    <row r="109" spans="1:16" s="13" customFormat="1" x14ac:dyDescent="0.35">
      <c r="A109" t="s">
        <v>609</v>
      </c>
      <c r="B109" t="s">
        <v>421</v>
      </c>
      <c r="C109"/>
      <c r="D109" t="s">
        <v>424</v>
      </c>
      <c r="E109"/>
      <c r="F109" t="s">
        <v>474</v>
      </c>
      <c r="G109" t="s">
        <v>468</v>
      </c>
      <c r="H109" t="s">
        <v>97</v>
      </c>
      <c r="I109" t="s">
        <v>425</v>
      </c>
      <c r="J109" t="s">
        <v>586</v>
      </c>
      <c r="K109"/>
      <c r="L109" t="s">
        <v>589</v>
      </c>
      <c r="M109"/>
      <c r="N109"/>
      <c r="O109"/>
      <c r="P109"/>
    </row>
    <row r="110" spans="1:16" s="13" customFormat="1" x14ac:dyDescent="0.35">
      <c r="A110" t="s">
        <v>609</v>
      </c>
      <c r="B110" t="s">
        <v>483</v>
      </c>
      <c r="C110" t="s">
        <v>427</v>
      </c>
      <c r="D110" t="s">
        <v>430</v>
      </c>
      <c r="E110" t="s">
        <v>431</v>
      </c>
      <c r="F110" t="s">
        <v>470</v>
      </c>
      <c r="G110" t="s">
        <v>468</v>
      </c>
      <c r="H110" t="s">
        <v>106</v>
      </c>
      <c r="I110" t="s">
        <v>123</v>
      </c>
      <c r="J110" t="s">
        <v>587</v>
      </c>
      <c r="K110"/>
      <c r="L110" t="s">
        <v>589</v>
      </c>
      <c r="M110"/>
      <c r="N110"/>
      <c r="O110" t="s">
        <v>598</v>
      </c>
      <c r="P110"/>
    </row>
    <row r="111" spans="1:16" s="13" customFormat="1" x14ac:dyDescent="0.35">
      <c r="A111" t="s">
        <v>609</v>
      </c>
      <c r="B111" t="s">
        <v>566</v>
      </c>
      <c r="C111" t="s">
        <v>434</v>
      </c>
      <c r="D111" t="s">
        <v>436</v>
      </c>
      <c r="E111" t="s">
        <v>437</v>
      </c>
      <c r="F111" t="s">
        <v>470</v>
      </c>
      <c r="G111" t="s">
        <v>468</v>
      </c>
      <c r="H111" t="s">
        <v>106</v>
      </c>
      <c r="I111" t="s">
        <v>438</v>
      </c>
      <c r="J111" t="s">
        <v>586</v>
      </c>
      <c r="K111"/>
      <c r="L111"/>
      <c r="M111"/>
      <c r="N111"/>
      <c r="O111" t="s">
        <v>606</v>
      </c>
      <c r="P111"/>
    </row>
    <row r="112" spans="1:16" x14ac:dyDescent="0.35">
      <c r="A112" s="13" t="s">
        <v>609</v>
      </c>
      <c r="B112" s="13" t="s">
        <v>441</v>
      </c>
      <c r="C112" s="13"/>
      <c r="D112" s="13" t="s">
        <v>443</v>
      </c>
      <c r="E112" s="13"/>
      <c r="F112" s="13" t="s">
        <v>472</v>
      </c>
      <c r="G112" s="13" t="s">
        <v>573</v>
      </c>
      <c r="H112" s="13" t="s">
        <v>444</v>
      </c>
      <c r="I112" s="13" t="s">
        <v>445</v>
      </c>
      <c r="J112" s="13" t="s">
        <v>586</v>
      </c>
      <c r="K112" s="13"/>
      <c r="L112" s="13" t="s">
        <v>589</v>
      </c>
      <c r="M112" s="13" t="s">
        <v>1129</v>
      </c>
      <c r="N112" s="13"/>
      <c r="O112" s="13"/>
      <c r="P112" s="13"/>
    </row>
    <row r="113" spans="1:16" x14ac:dyDescent="0.35">
      <c r="A113" t="s">
        <v>609</v>
      </c>
      <c r="B113" t="s">
        <v>449</v>
      </c>
      <c r="C113" t="s">
        <v>25</v>
      </c>
      <c r="D113" t="s">
        <v>450</v>
      </c>
      <c r="E113" t="s">
        <v>29</v>
      </c>
      <c r="F113" t="s">
        <v>469</v>
      </c>
      <c r="G113" t="s">
        <v>573</v>
      </c>
      <c r="H113" t="s">
        <v>75</v>
      </c>
      <c r="I113" t="s">
        <v>447</v>
      </c>
      <c r="J113" t="s">
        <v>586</v>
      </c>
      <c r="L113" t="s">
        <v>589</v>
      </c>
      <c r="O113" t="s">
        <v>604</v>
      </c>
    </row>
    <row r="114" spans="1:16" s="13" customFormat="1" x14ac:dyDescent="0.35">
      <c r="A114" s="13" t="s">
        <v>609</v>
      </c>
      <c r="B114" s="13" t="s">
        <v>452</v>
      </c>
      <c r="D114" s="13" t="s">
        <v>453</v>
      </c>
      <c r="F114" s="13" t="s">
        <v>475</v>
      </c>
      <c r="G114" s="13" t="s">
        <v>468</v>
      </c>
      <c r="H114" s="13" t="s">
        <v>97</v>
      </c>
      <c r="I114" s="13" t="s">
        <v>454</v>
      </c>
      <c r="J114" s="13" t="s">
        <v>586</v>
      </c>
      <c r="L114" s="13" t="s">
        <v>589</v>
      </c>
    </row>
    <row r="115" spans="1:16" x14ac:dyDescent="0.35">
      <c r="A115" t="s">
        <v>609</v>
      </c>
      <c r="B115" t="s">
        <v>551</v>
      </c>
      <c r="D115" t="s">
        <v>552</v>
      </c>
      <c r="F115" t="s">
        <v>470</v>
      </c>
      <c r="G115" t="s">
        <v>573</v>
      </c>
      <c r="H115" t="s">
        <v>113</v>
      </c>
      <c r="I115" t="s">
        <v>37</v>
      </c>
      <c r="J115" t="s">
        <v>586</v>
      </c>
    </row>
    <row r="116" spans="1:16" s="13" customFormat="1" x14ac:dyDescent="0.35">
      <c r="A116" t="s">
        <v>609</v>
      </c>
      <c r="B116" t="s">
        <v>456</v>
      </c>
      <c r="C116"/>
      <c r="D116" t="s">
        <v>459</v>
      </c>
      <c r="E116"/>
      <c r="F116" t="s">
        <v>469</v>
      </c>
      <c r="G116" t="s">
        <v>468</v>
      </c>
      <c r="H116" t="s">
        <v>67</v>
      </c>
      <c r="I116" t="s">
        <v>68</v>
      </c>
      <c r="J116" t="s">
        <v>587</v>
      </c>
      <c r="K116" t="s">
        <v>588</v>
      </c>
      <c r="L116" t="s">
        <v>1124</v>
      </c>
      <c r="M116" t="s">
        <v>1130</v>
      </c>
      <c r="N116"/>
      <c r="O116"/>
      <c r="P116"/>
    </row>
    <row r="117" spans="1:16" x14ac:dyDescent="0.35">
      <c r="A117" t="s">
        <v>609</v>
      </c>
      <c r="B117" t="s">
        <v>522</v>
      </c>
      <c r="D117" t="s">
        <v>523</v>
      </c>
      <c r="F117" t="s">
        <v>470</v>
      </c>
      <c r="G117" t="s">
        <v>573</v>
      </c>
      <c r="H117" t="s">
        <v>113</v>
      </c>
      <c r="I117" t="s">
        <v>37</v>
      </c>
      <c r="J117" t="s">
        <v>586</v>
      </c>
    </row>
    <row r="118" spans="1:16" s="13" customFormat="1" x14ac:dyDescent="0.35">
      <c r="A118" t="s">
        <v>609</v>
      </c>
      <c r="B118" t="s">
        <v>461</v>
      </c>
      <c r="C118"/>
      <c r="D118" t="s">
        <v>462</v>
      </c>
      <c r="E118"/>
      <c r="F118" t="s">
        <v>470</v>
      </c>
      <c r="G118" t="s">
        <v>468</v>
      </c>
      <c r="H118" t="s">
        <v>67</v>
      </c>
      <c r="I118" t="s">
        <v>123</v>
      </c>
      <c r="J118" t="s">
        <v>587</v>
      </c>
      <c r="K118" t="s">
        <v>588</v>
      </c>
      <c r="L118" t="s">
        <v>1122</v>
      </c>
      <c r="M118" t="s">
        <v>1129</v>
      </c>
      <c r="N118"/>
      <c r="O118"/>
      <c r="P118"/>
    </row>
    <row r="119" spans="1:16" s="13" customFormat="1" x14ac:dyDescent="0.35">
      <c r="A119" t="s">
        <v>608</v>
      </c>
      <c r="B119"/>
      <c r="C119" t="s">
        <v>292</v>
      </c>
      <c r="D119"/>
      <c r="E119" t="s">
        <v>294</v>
      </c>
      <c r="F119" t="s">
        <v>467</v>
      </c>
      <c r="G119" t="s">
        <v>468</v>
      </c>
      <c r="H119" t="s">
        <v>348</v>
      </c>
      <c r="I119" t="s">
        <v>123</v>
      </c>
      <c r="J119" t="s">
        <v>587</v>
      </c>
      <c r="K119"/>
      <c r="L119"/>
      <c r="M119" t="s">
        <v>1137</v>
      </c>
      <c r="N119"/>
      <c r="O119" t="s">
        <v>594</v>
      </c>
      <c r="P119"/>
    </row>
    <row r="120" spans="1:16" s="13" customFormat="1" x14ac:dyDescent="0.35">
      <c r="A120" t="s">
        <v>608</v>
      </c>
      <c r="B120"/>
      <c r="C120" t="s">
        <v>205</v>
      </c>
      <c r="D120"/>
      <c r="E120" t="s">
        <v>207</v>
      </c>
      <c r="F120" t="s">
        <v>470</v>
      </c>
      <c r="G120" t="s">
        <v>468</v>
      </c>
      <c r="H120" t="s">
        <v>348</v>
      </c>
      <c r="I120" t="s">
        <v>123</v>
      </c>
      <c r="J120" t="s">
        <v>587</v>
      </c>
      <c r="K120" t="s">
        <v>588</v>
      </c>
      <c r="L120" t="s">
        <v>1120</v>
      </c>
      <c r="M120" t="s">
        <v>1129</v>
      </c>
      <c r="N120"/>
      <c r="O120" t="s">
        <v>596</v>
      </c>
      <c r="P120"/>
    </row>
    <row r="121" spans="1:16" x14ac:dyDescent="0.35">
      <c r="A121" t="s">
        <v>608</v>
      </c>
      <c r="C121" t="s">
        <v>427</v>
      </c>
      <c r="E121" t="s">
        <v>431</v>
      </c>
      <c r="F121" t="s">
        <v>470</v>
      </c>
      <c r="G121" t="s">
        <v>468</v>
      </c>
      <c r="H121" t="s">
        <v>67</v>
      </c>
      <c r="I121" t="s">
        <v>123</v>
      </c>
      <c r="J121" t="s">
        <v>587</v>
      </c>
      <c r="L121" t="s">
        <v>1121</v>
      </c>
      <c r="M121" t="s">
        <v>1129</v>
      </c>
      <c r="O121" t="s">
        <v>598</v>
      </c>
    </row>
    <row r="122" spans="1:16" s="13" customFormat="1" x14ac:dyDescent="0.35">
      <c r="A122" t="s">
        <v>608</v>
      </c>
      <c r="B122"/>
      <c r="C122" t="s">
        <v>388</v>
      </c>
      <c r="D122"/>
      <c r="E122" t="s">
        <v>392</v>
      </c>
      <c r="F122" t="s">
        <v>486</v>
      </c>
      <c r="G122" t="s">
        <v>468</v>
      </c>
      <c r="H122" t="s">
        <v>67</v>
      </c>
      <c r="I122" t="s">
        <v>123</v>
      </c>
      <c r="J122" t="s">
        <v>587</v>
      </c>
      <c r="K122"/>
      <c r="L122" t="s">
        <v>1121</v>
      </c>
      <c r="M122" t="s">
        <v>1130</v>
      </c>
      <c r="N122"/>
      <c r="O122" t="s">
        <v>595</v>
      </c>
      <c r="P122"/>
    </row>
    <row r="123" spans="1:16" x14ac:dyDescent="0.35">
      <c r="A123" t="s">
        <v>608</v>
      </c>
      <c r="C123" t="s">
        <v>238</v>
      </c>
      <c r="E123" t="s">
        <v>240</v>
      </c>
      <c r="F123" t="s">
        <v>474</v>
      </c>
      <c r="G123" t="s">
        <v>468</v>
      </c>
      <c r="H123" t="s">
        <v>67</v>
      </c>
      <c r="I123" t="s">
        <v>241</v>
      </c>
      <c r="J123" t="s">
        <v>587</v>
      </c>
      <c r="L123" t="s">
        <v>1121</v>
      </c>
      <c r="O123" t="s">
        <v>597</v>
      </c>
    </row>
  </sheetData>
  <autoFilter ref="A1:P123" xr:uid="{A8564214-080D-4E30-A7E8-7C2823AC0E88}">
    <sortState xmlns:xlrd2="http://schemas.microsoft.com/office/spreadsheetml/2017/richdata2" ref="A2:P123">
      <sortCondition ref="D1:D123"/>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4.5" x14ac:dyDescent="0.35"/>
  <cols>
    <col min="1" max="1" width="12.36328125" bestFit="1" customWidth="1"/>
    <col min="2" max="2" width="22.08984375" bestFit="1" customWidth="1"/>
    <col min="3" max="3" width="37.6328125" bestFit="1" customWidth="1"/>
    <col min="4" max="4" width="24" bestFit="1" customWidth="1"/>
  </cols>
  <sheetData>
    <row r="1" spans="1:4" x14ac:dyDescent="0.35">
      <c r="A1" s="10" t="s">
        <v>1086</v>
      </c>
      <c r="B1" s="10" t="s">
        <v>1087</v>
      </c>
      <c r="C1" s="10" t="s">
        <v>1088</v>
      </c>
      <c r="D1" s="10" t="s">
        <v>1089</v>
      </c>
    </row>
    <row r="2" spans="1:4" x14ac:dyDescent="0.35">
      <c r="A2" s="4" t="s">
        <v>123</v>
      </c>
      <c r="B2" s="4" t="s">
        <v>1090</v>
      </c>
      <c r="C2" s="4" t="s">
        <v>1091</v>
      </c>
      <c r="D2" s="4" t="s">
        <v>1092</v>
      </c>
    </row>
    <row r="3" spans="1:4" x14ac:dyDescent="0.35">
      <c r="A3" s="4" t="s">
        <v>615</v>
      </c>
      <c r="B3" s="4" t="s">
        <v>1093</v>
      </c>
      <c r="C3" s="4" t="s">
        <v>1094</v>
      </c>
      <c r="D3" s="4" t="s">
        <v>1095</v>
      </c>
    </row>
    <row r="4" spans="1:4" x14ac:dyDescent="0.35">
      <c r="A4" s="4" t="s">
        <v>579</v>
      </c>
      <c r="B4" s="4" t="s">
        <v>1096</v>
      </c>
      <c r="C4" s="4" t="s">
        <v>1097</v>
      </c>
      <c r="D4" s="4" t="s">
        <v>1098</v>
      </c>
    </row>
    <row r="5" spans="1:4" x14ac:dyDescent="0.35">
      <c r="A5" s="4" t="s">
        <v>51</v>
      </c>
      <c r="B5" s="4" t="s">
        <v>1099</v>
      </c>
      <c r="C5" s="4" t="s">
        <v>1100</v>
      </c>
      <c r="D5" s="4" t="s">
        <v>1101</v>
      </c>
    </row>
    <row r="6" spans="1:4" x14ac:dyDescent="0.35">
      <c r="A6" s="4" t="s">
        <v>1102</v>
      </c>
      <c r="B6" s="4" t="s">
        <v>1103</v>
      </c>
      <c r="C6" s="4" t="s">
        <v>1104</v>
      </c>
      <c r="D6" s="4" t="s">
        <v>1105</v>
      </c>
    </row>
    <row r="7" spans="1:4" x14ac:dyDescent="0.35">
      <c r="A7" s="4" t="s">
        <v>99</v>
      </c>
      <c r="B7" s="4" t="s">
        <v>1106</v>
      </c>
      <c r="C7" s="4" t="s">
        <v>1107</v>
      </c>
      <c r="D7" s="4" t="s">
        <v>1108</v>
      </c>
    </row>
    <row r="8" spans="1:4" x14ac:dyDescent="0.35">
      <c r="A8" s="4" t="s">
        <v>330</v>
      </c>
      <c r="B8" s="4" t="s">
        <v>1109</v>
      </c>
      <c r="C8" s="4" t="s">
        <v>1110</v>
      </c>
      <c r="D8" s="4" t="s">
        <v>1111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R34"/>
  <sheetViews>
    <sheetView tabSelected="1" workbookViewId="0">
      <selection activeCell="A28" sqref="A28"/>
    </sheetView>
  </sheetViews>
  <sheetFormatPr baseColWidth="10" defaultRowHeight="14.5" x14ac:dyDescent="0.35"/>
  <cols>
    <col min="1" max="1" width="18.08984375" bestFit="1" customWidth="1"/>
    <col min="2" max="2" width="17.453125" bestFit="1" customWidth="1"/>
    <col min="3" max="3" width="20.453125" bestFit="1" customWidth="1"/>
    <col min="4" max="4" width="20.81640625" bestFit="1" customWidth="1"/>
    <col min="5" max="5" width="25" bestFit="1" customWidth="1"/>
    <col min="6" max="6" width="13.7265625" bestFit="1" customWidth="1"/>
    <col min="7" max="7" width="32.81640625" customWidth="1"/>
    <col min="8" max="8" width="44.453125" bestFit="1" customWidth="1"/>
    <col min="9" max="9" width="17.26953125" bestFit="1" customWidth="1"/>
    <col min="10" max="12" width="11.81640625" customWidth="1"/>
    <col min="13" max="13" width="6.81640625" bestFit="1" customWidth="1"/>
    <col min="14" max="14" width="10.90625" bestFit="1" customWidth="1"/>
    <col min="15" max="15" width="12.36328125" bestFit="1" customWidth="1"/>
    <col min="16" max="16" width="11.36328125" bestFit="1" customWidth="1"/>
    <col min="17" max="17" width="14.36328125" bestFit="1" customWidth="1"/>
    <col min="18" max="18" width="9.90625" bestFit="1" customWidth="1"/>
  </cols>
  <sheetData>
    <row r="1" spans="1:18" x14ac:dyDescent="0.35">
      <c r="A1" s="2" t="s">
        <v>0</v>
      </c>
      <c r="B1" s="2" t="s">
        <v>1</v>
      </c>
      <c r="C1" s="2" t="s">
        <v>2</v>
      </c>
      <c r="D1" s="2" t="s">
        <v>3</v>
      </c>
      <c r="E1" s="2" t="s">
        <v>463</v>
      </c>
      <c r="F1" s="2" t="s">
        <v>464</v>
      </c>
      <c r="G1" s="2" t="s">
        <v>16</v>
      </c>
      <c r="H1" s="2" t="s">
        <v>17</v>
      </c>
      <c r="I1" s="2" t="s">
        <v>969</v>
      </c>
      <c r="J1" s="2" t="s">
        <v>1071</v>
      </c>
      <c r="K1" s="2" t="s">
        <v>1072</v>
      </c>
      <c r="L1" s="2" t="s">
        <v>1073</v>
      </c>
      <c r="M1" s="2" t="s">
        <v>1074</v>
      </c>
      <c r="N1" s="2" t="s">
        <v>1077</v>
      </c>
      <c r="O1" s="2" t="s">
        <v>1078</v>
      </c>
      <c r="P1" s="2" t="s">
        <v>1079</v>
      </c>
      <c r="Q1" s="2" t="s">
        <v>1075</v>
      </c>
      <c r="R1" s="2" t="s">
        <v>1076</v>
      </c>
    </row>
    <row r="2" spans="1:18" x14ac:dyDescent="0.35">
      <c r="A2" t="s">
        <v>63</v>
      </c>
      <c r="C2" t="s">
        <v>66</v>
      </c>
      <c r="E2" t="s">
        <v>472</v>
      </c>
      <c r="F2" t="s">
        <v>468</v>
      </c>
      <c r="G2" t="s">
        <v>67</v>
      </c>
      <c r="H2" t="s">
        <v>68</v>
      </c>
      <c r="I2">
        <f>prod_data_raw!M13</f>
        <v>166000</v>
      </c>
      <c r="J2" s="11">
        <f>prod_data_raw!M14</f>
        <v>0.90200150000000001</v>
      </c>
      <c r="K2" s="11"/>
      <c r="L2" s="11"/>
      <c r="M2" s="11"/>
      <c r="N2" s="11"/>
      <c r="O2" s="11"/>
      <c r="P2" s="11"/>
      <c r="Q2" s="11"/>
      <c r="R2" s="11"/>
    </row>
    <row r="3" spans="1:18" x14ac:dyDescent="0.35">
      <c r="A3" t="s">
        <v>78</v>
      </c>
      <c r="C3" t="s">
        <v>81</v>
      </c>
      <c r="E3" t="s">
        <v>469</v>
      </c>
      <c r="F3" t="s">
        <v>468</v>
      </c>
      <c r="G3" t="s">
        <v>82</v>
      </c>
      <c r="H3" t="s">
        <v>68</v>
      </c>
      <c r="I3">
        <f>prod_data_raw!M17</f>
        <v>19594928</v>
      </c>
      <c r="J3" s="11">
        <f>prod_data_raw!M18</f>
        <v>21.294700240000001</v>
      </c>
      <c r="K3" s="11">
        <f>prod_data_raw!M19</f>
        <v>9.6420849999999998</v>
      </c>
      <c r="L3" s="11"/>
      <c r="M3" s="11"/>
      <c r="N3" s="11"/>
      <c r="O3" s="11"/>
      <c r="P3" s="11"/>
      <c r="Q3" s="11"/>
      <c r="R3" s="11"/>
    </row>
    <row r="4" spans="1:18" x14ac:dyDescent="0.35">
      <c r="A4" t="s">
        <v>86</v>
      </c>
      <c r="C4" t="s">
        <v>89</v>
      </c>
      <c r="E4" t="s">
        <v>475</v>
      </c>
      <c r="F4" t="s">
        <v>468</v>
      </c>
      <c r="G4" t="s">
        <v>82</v>
      </c>
      <c r="H4" t="s">
        <v>51</v>
      </c>
      <c r="I4">
        <f>prod_data_raw!M20</f>
        <v>17880000</v>
      </c>
      <c r="J4" s="11"/>
      <c r="K4" s="11"/>
      <c r="L4" s="11"/>
      <c r="M4" s="11"/>
      <c r="N4" s="11"/>
      <c r="O4" s="11"/>
      <c r="P4" s="11"/>
      <c r="Q4" s="12">
        <f>I4*0.38*ta_data!L2</f>
        <v>4497892.8</v>
      </c>
      <c r="R4" s="11"/>
    </row>
    <row r="5" spans="1:18" x14ac:dyDescent="0.35">
      <c r="A5" t="s">
        <v>93</v>
      </c>
      <c r="C5" t="s">
        <v>96</v>
      </c>
      <c r="E5" t="s">
        <v>469</v>
      </c>
      <c r="F5" t="s">
        <v>468</v>
      </c>
      <c r="G5" t="s">
        <v>97</v>
      </c>
      <c r="H5" t="s">
        <v>68</v>
      </c>
      <c r="I5">
        <f>prod_data_raw!M24</f>
        <v>1361450</v>
      </c>
      <c r="J5" s="11">
        <f>prod_data_raw!M22</f>
        <v>2.6935630999999902</v>
      </c>
      <c r="K5" s="11">
        <f>prod_data_raw!M23</f>
        <v>0.7527047</v>
      </c>
      <c r="L5" s="11"/>
      <c r="M5" s="11"/>
      <c r="N5" s="11"/>
      <c r="O5" s="11"/>
      <c r="P5" s="11"/>
      <c r="Q5" s="11"/>
      <c r="R5" s="11"/>
    </row>
    <row r="6" spans="1:18" x14ac:dyDescent="0.35">
      <c r="A6" t="s">
        <v>117</v>
      </c>
      <c r="C6" t="s">
        <v>120</v>
      </c>
      <c r="E6" t="s">
        <v>472</v>
      </c>
      <c r="F6" t="s">
        <v>468</v>
      </c>
      <c r="G6" t="s">
        <v>82</v>
      </c>
      <c r="H6" t="s">
        <v>121</v>
      </c>
      <c r="I6">
        <f>prod_data_raw!M30</f>
        <v>6862152</v>
      </c>
      <c r="J6" s="11">
        <f>prod_data_raw!M29</f>
        <v>0.27520376799999902</v>
      </c>
      <c r="K6" s="11">
        <f>prod_data_raw!M32</f>
        <v>6.7893341869999997</v>
      </c>
      <c r="L6" s="11">
        <f>prod_data_raw!M28</f>
        <v>19050</v>
      </c>
      <c r="M6" s="11"/>
      <c r="N6" s="11"/>
      <c r="O6" s="11"/>
      <c r="P6" s="11"/>
      <c r="Q6" s="11"/>
      <c r="R6" s="11"/>
    </row>
    <row r="7" spans="1:18" x14ac:dyDescent="0.35">
      <c r="A7" t="s">
        <v>124</v>
      </c>
      <c r="C7" t="s">
        <v>125</v>
      </c>
      <c r="E7" t="s">
        <v>470</v>
      </c>
      <c r="F7" t="s">
        <v>468</v>
      </c>
      <c r="G7" t="s">
        <v>82</v>
      </c>
      <c r="H7" t="s">
        <v>123</v>
      </c>
      <c r="I7">
        <f>prod_data_raw!M34</f>
        <v>25434853.502416398</v>
      </c>
      <c r="J7" s="11">
        <f>prod_data_raw!M35</f>
        <v>21.070941660999999</v>
      </c>
      <c r="K7" s="11">
        <f>prod_data_raw!M36</f>
        <v>2.4571765000000001</v>
      </c>
      <c r="L7" s="11"/>
      <c r="M7" s="11"/>
      <c r="N7" s="11"/>
      <c r="O7" s="11"/>
      <c r="P7" s="11"/>
      <c r="Q7" s="11"/>
      <c r="R7" s="11"/>
    </row>
    <row r="8" spans="1:18" x14ac:dyDescent="0.35">
      <c r="A8" t="s">
        <v>134</v>
      </c>
      <c r="C8" t="s">
        <v>137</v>
      </c>
      <c r="E8" t="s">
        <v>470</v>
      </c>
      <c r="F8" t="s">
        <v>468</v>
      </c>
      <c r="G8" t="s">
        <v>67</v>
      </c>
      <c r="H8" t="s">
        <v>123</v>
      </c>
      <c r="I8">
        <f>prod_data_raw!M40</f>
        <v>222627</v>
      </c>
      <c r="J8" s="11">
        <f>prod_data_raw!M39</f>
        <v>2.7205298345000002</v>
      </c>
      <c r="K8" s="11"/>
      <c r="L8" s="11"/>
      <c r="M8" s="11"/>
      <c r="N8" s="11"/>
      <c r="O8" s="11"/>
      <c r="P8" s="11"/>
      <c r="Q8" s="11"/>
      <c r="R8" s="11"/>
    </row>
    <row r="9" spans="1:18" x14ac:dyDescent="0.35">
      <c r="A9" t="s">
        <v>145</v>
      </c>
      <c r="C9" s="14" t="s">
        <v>146</v>
      </c>
      <c r="E9" t="s">
        <v>469</v>
      </c>
      <c r="F9" t="s">
        <v>468</v>
      </c>
      <c r="G9" t="s">
        <v>67</v>
      </c>
      <c r="H9" t="s">
        <v>68</v>
      </c>
      <c r="I9">
        <f>prod_data_raw!M47</f>
        <v>1661000</v>
      </c>
      <c r="J9" s="11">
        <f>prod_data_raw!M44</f>
        <v>7.2160120000000001</v>
      </c>
      <c r="K9" s="11">
        <f>prod_data_raw!M45</f>
        <v>0.36810992249999902</v>
      </c>
      <c r="L9" s="11"/>
      <c r="M9" s="11"/>
      <c r="N9" s="11"/>
      <c r="O9" s="11"/>
      <c r="P9" s="11"/>
      <c r="Q9" s="11"/>
      <c r="R9" s="11"/>
    </row>
    <row r="10" spans="1:18" x14ac:dyDescent="0.35">
      <c r="A10" t="s">
        <v>180</v>
      </c>
      <c r="C10" t="s">
        <v>183</v>
      </c>
      <c r="E10" t="s">
        <v>472</v>
      </c>
      <c r="F10" t="s">
        <v>468</v>
      </c>
      <c r="G10" t="s">
        <v>82</v>
      </c>
      <c r="H10" t="s">
        <v>184</v>
      </c>
      <c r="I10">
        <f>prod_data_raw!M61</f>
        <v>30000000</v>
      </c>
      <c r="J10" s="11"/>
      <c r="K10" s="11"/>
      <c r="L10" s="11">
        <f>prod_data_raw!M62</f>
        <v>55610.379200000003</v>
      </c>
      <c r="M10" s="11"/>
      <c r="N10" s="11">
        <f>prod_data_raw!M63</f>
        <v>545.21758399999999</v>
      </c>
      <c r="O10" s="11"/>
      <c r="P10" s="11"/>
      <c r="Q10" s="11"/>
      <c r="R10" s="11"/>
    </row>
    <row r="11" spans="1:18" x14ac:dyDescent="0.35">
      <c r="A11" t="s">
        <v>186</v>
      </c>
      <c r="C11" t="s">
        <v>187</v>
      </c>
      <c r="E11" t="s">
        <v>469</v>
      </c>
      <c r="F11" t="s">
        <v>468</v>
      </c>
      <c r="G11" t="s">
        <v>67</v>
      </c>
      <c r="H11" t="s">
        <v>68</v>
      </c>
      <c r="I11">
        <f>prod_data_raw!M64</f>
        <v>2886927.3287240001</v>
      </c>
      <c r="J11" s="11">
        <f>prod_data_raw!M65</f>
        <v>4.3850512759503602</v>
      </c>
      <c r="K11" s="11">
        <f>prod_data_raw!M66</f>
        <v>6.2206999999999998E-2</v>
      </c>
      <c r="L11" s="11"/>
      <c r="M11" s="11"/>
      <c r="N11" s="11"/>
      <c r="O11" s="11">
        <f>prod_data_raw!M67</f>
        <v>39.036757999999999</v>
      </c>
      <c r="P11" s="11"/>
      <c r="Q11" s="11"/>
      <c r="R11" s="11"/>
    </row>
    <row r="12" spans="1:18" x14ac:dyDescent="0.35">
      <c r="A12" t="s">
        <v>193</v>
      </c>
      <c r="C12" t="s">
        <v>196</v>
      </c>
      <c r="E12" t="s">
        <v>470</v>
      </c>
      <c r="F12" t="s">
        <v>468</v>
      </c>
      <c r="G12" t="s">
        <v>97</v>
      </c>
      <c r="H12" t="s">
        <v>123</v>
      </c>
      <c r="I12">
        <f>prod_data_raw!M70</f>
        <v>1266009</v>
      </c>
      <c r="J12" s="11">
        <f>prod_data_raw!M71</f>
        <v>4.3869931575000001</v>
      </c>
      <c r="K12" s="11"/>
      <c r="L12" s="11"/>
      <c r="M12" s="11"/>
      <c r="N12" s="11"/>
      <c r="O12" s="11"/>
      <c r="P12" s="11"/>
      <c r="Q12" s="11"/>
      <c r="R12" s="11"/>
    </row>
    <row r="13" spans="1:18" x14ac:dyDescent="0.35">
      <c r="A13" t="s">
        <v>209</v>
      </c>
      <c r="C13" t="s">
        <v>212</v>
      </c>
      <c r="E13" t="s">
        <v>470</v>
      </c>
      <c r="F13" t="s">
        <v>468</v>
      </c>
      <c r="G13" t="s">
        <v>67</v>
      </c>
      <c r="H13" t="s">
        <v>123</v>
      </c>
      <c r="I13">
        <f>prod_data_raw!M77</f>
        <v>439008</v>
      </c>
      <c r="J13" s="11">
        <f>prod_data_raw!M75</f>
        <v>4.0869999000000004</v>
      </c>
      <c r="K13" s="11"/>
      <c r="L13" s="11"/>
      <c r="M13" s="11"/>
      <c r="N13" s="11"/>
      <c r="O13" s="11"/>
      <c r="P13" s="11"/>
      <c r="Q13" s="11"/>
      <c r="R13" s="11"/>
    </row>
    <row r="14" spans="1:18" x14ac:dyDescent="0.35">
      <c r="A14" t="s">
        <v>214</v>
      </c>
      <c r="C14" t="s">
        <v>216</v>
      </c>
      <c r="E14" t="s">
        <v>473</v>
      </c>
      <c r="F14" t="s">
        <v>468</v>
      </c>
      <c r="G14" t="s">
        <v>67</v>
      </c>
      <c r="H14" t="s">
        <v>217</v>
      </c>
      <c r="I14">
        <f>prod_data_raw!M82</f>
        <v>127307</v>
      </c>
      <c r="J14" s="11"/>
      <c r="K14" s="11">
        <f>prod_data_raw!M80</f>
        <v>46.735403719499999</v>
      </c>
      <c r="L14" s="11"/>
      <c r="M14" s="11"/>
      <c r="N14" s="11"/>
      <c r="O14" s="11">
        <f>prod_data_raw!M81</f>
        <v>1339</v>
      </c>
      <c r="P14" s="11">
        <f>prod_data_raw!M79</f>
        <v>1225</v>
      </c>
      <c r="Q14" s="11"/>
      <c r="R14" s="11"/>
    </row>
    <row r="15" spans="1:18" x14ac:dyDescent="0.35">
      <c r="A15" t="s">
        <v>225</v>
      </c>
      <c r="C15" s="14" t="s">
        <v>226</v>
      </c>
      <c r="E15" t="s">
        <v>469</v>
      </c>
      <c r="F15" t="s">
        <v>468</v>
      </c>
      <c r="G15" t="s">
        <v>82</v>
      </c>
      <c r="H15" t="s">
        <v>68</v>
      </c>
      <c r="I15">
        <f>prod_data_raw!M89</f>
        <v>191148</v>
      </c>
      <c r="J15" s="11">
        <f>prod_data_raw!M87</f>
        <v>1.1053250795</v>
      </c>
      <c r="K15" s="11">
        <f>prod_data_raw!M88</f>
        <v>9.0448977999999999E-2</v>
      </c>
      <c r="L15" s="11"/>
      <c r="M15" s="11"/>
      <c r="N15" s="11"/>
      <c r="O15" s="11"/>
      <c r="P15" s="11"/>
      <c r="Q15" s="11"/>
      <c r="R15" s="11"/>
    </row>
    <row r="16" spans="1:18" x14ac:dyDescent="0.35">
      <c r="A16" t="s">
        <v>231</v>
      </c>
      <c r="C16" t="s">
        <v>234</v>
      </c>
      <c r="E16" t="s">
        <v>470</v>
      </c>
      <c r="F16" t="s">
        <v>468</v>
      </c>
      <c r="G16" t="s">
        <v>97</v>
      </c>
      <c r="H16" t="s">
        <v>235</v>
      </c>
      <c r="I16">
        <f>prod_data_raw!M92</f>
        <v>10248000</v>
      </c>
      <c r="J16" s="11"/>
      <c r="K16" s="11"/>
      <c r="L16" s="11"/>
      <c r="M16" s="11"/>
      <c r="N16" s="11"/>
      <c r="O16" s="11"/>
      <c r="P16" s="11"/>
      <c r="Q16" s="11"/>
      <c r="R16" s="11">
        <f>prod_data_raw!M93</f>
        <v>38.319512000000003</v>
      </c>
    </row>
    <row r="17" spans="1:18" x14ac:dyDescent="0.35">
      <c r="A17" t="s">
        <v>243</v>
      </c>
      <c r="C17" s="14" t="s">
        <v>246</v>
      </c>
      <c r="E17" t="s">
        <v>469</v>
      </c>
      <c r="F17" t="s">
        <v>468</v>
      </c>
      <c r="G17" t="s">
        <v>67</v>
      </c>
      <c r="H17" t="s">
        <v>68</v>
      </c>
      <c r="I17">
        <f>prod_data_raw!M97</f>
        <v>838419</v>
      </c>
      <c r="J17" s="11">
        <f>prod_data_raw!M95</f>
        <v>5.5074656414999996</v>
      </c>
      <c r="K17" s="11">
        <f>prod_data_raw!M96</f>
        <v>2.2666986659999999</v>
      </c>
      <c r="L17" s="11"/>
      <c r="M17" s="11"/>
      <c r="N17" s="11"/>
      <c r="O17" s="11"/>
      <c r="P17" s="11"/>
      <c r="Q17" s="11"/>
      <c r="R17" s="11"/>
    </row>
    <row r="18" spans="1:18" x14ac:dyDescent="0.35">
      <c r="A18" t="s">
        <v>248</v>
      </c>
      <c r="C18" t="s">
        <v>249</v>
      </c>
      <c r="E18" t="s">
        <v>469</v>
      </c>
      <c r="F18" t="s">
        <v>468</v>
      </c>
      <c r="G18" t="s">
        <v>67</v>
      </c>
      <c r="H18" t="s">
        <v>250</v>
      </c>
      <c r="I18">
        <f>prod_data_raw!M100</f>
        <v>2658395.96049</v>
      </c>
      <c r="J18" s="11">
        <f>prod_data_raw!M99</f>
        <v>9.5378411985463991</v>
      </c>
      <c r="K18" s="11">
        <f>prod_data_raw!M101</f>
        <v>18.288858000000001</v>
      </c>
      <c r="L18" s="11">
        <f>prod_data_raw!M98</f>
        <v>7702.4385169999996</v>
      </c>
      <c r="M18" s="11"/>
      <c r="N18" s="11"/>
      <c r="O18" s="11">
        <f>prod_data_raw!M102</f>
        <v>2577.9603750000001</v>
      </c>
      <c r="P18" s="11"/>
      <c r="Q18" s="11"/>
      <c r="R18" s="11"/>
    </row>
    <row r="19" spans="1:18" x14ac:dyDescent="0.35">
      <c r="A19" t="s">
        <v>255</v>
      </c>
      <c r="C19" t="s">
        <v>256</v>
      </c>
      <c r="E19" t="s">
        <v>470</v>
      </c>
      <c r="F19" t="s">
        <v>468</v>
      </c>
      <c r="G19" t="s">
        <v>67</v>
      </c>
      <c r="H19" t="s">
        <v>68</v>
      </c>
      <c r="I19">
        <f>prod_data_raw!M105</f>
        <v>441588</v>
      </c>
      <c r="J19" s="11">
        <f>prod_data_raw!M106</f>
        <v>7.1082383724999998</v>
      </c>
      <c r="K19" s="11"/>
      <c r="L19" s="11"/>
      <c r="M19" s="11"/>
      <c r="N19" s="11"/>
      <c r="O19" s="11"/>
      <c r="P19" s="11"/>
      <c r="Q19" s="11"/>
      <c r="R19" s="11"/>
    </row>
    <row r="20" spans="1:18" x14ac:dyDescent="0.35">
      <c r="A20" t="s">
        <v>296</v>
      </c>
      <c r="C20" t="s">
        <v>297</v>
      </c>
      <c r="E20" t="s">
        <v>467</v>
      </c>
      <c r="F20" t="s">
        <v>468</v>
      </c>
      <c r="G20" t="s">
        <v>97</v>
      </c>
      <c r="H20" t="s">
        <v>123</v>
      </c>
      <c r="I20">
        <f>prod_data_raw!M114</f>
        <v>1918143</v>
      </c>
      <c r="J20" s="11">
        <f>prod_data_raw!M115</f>
        <v>11.326059593499901</v>
      </c>
      <c r="K20" s="11">
        <f>prod_data_raw!M116</f>
        <v>0.8397945</v>
      </c>
      <c r="L20" s="11"/>
      <c r="M20" s="11"/>
      <c r="N20" s="11"/>
      <c r="O20" s="11"/>
      <c r="P20" s="11"/>
      <c r="Q20" s="11"/>
      <c r="R20" s="11"/>
    </row>
    <row r="21" spans="1:18" x14ac:dyDescent="0.35">
      <c r="A21" t="s">
        <v>303</v>
      </c>
      <c r="C21" t="s">
        <v>306</v>
      </c>
      <c r="E21" t="s">
        <v>472</v>
      </c>
      <c r="F21" t="s">
        <v>468</v>
      </c>
      <c r="G21" t="s">
        <v>82</v>
      </c>
      <c r="H21" t="s">
        <v>121</v>
      </c>
      <c r="I21">
        <f>prod_data_raw!M122</f>
        <v>21680000</v>
      </c>
      <c r="J21" s="11">
        <f>prod_data_raw!M120</f>
        <v>4.8021004684999999</v>
      </c>
      <c r="K21" s="11"/>
      <c r="L21" s="11">
        <f>prod_data_raw!M119</f>
        <v>28060.108304000001</v>
      </c>
      <c r="M21" s="11"/>
      <c r="N21" s="11"/>
      <c r="O21" s="11"/>
      <c r="P21" s="11"/>
      <c r="Q21" s="11"/>
      <c r="R21" s="11"/>
    </row>
    <row r="22" spans="1:18" x14ac:dyDescent="0.35">
      <c r="A22" t="s">
        <v>314</v>
      </c>
      <c r="C22" t="s">
        <v>315</v>
      </c>
      <c r="E22" t="s">
        <v>470</v>
      </c>
      <c r="F22" t="s">
        <v>468</v>
      </c>
      <c r="G22" t="s">
        <v>67</v>
      </c>
      <c r="H22" t="s">
        <v>68</v>
      </c>
      <c r="I22">
        <f>prod_data_raw!M126</f>
        <v>1028000</v>
      </c>
      <c r="J22" s="11">
        <f>prod_data_raw!M127</f>
        <v>5.59863</v>
      </c>
      <c r="K22" s="11"/>
      <c r="L22" s="11"/>
      <c r="M22" s="11"/>
      <c r="N22" s="11"/>
      <c r="O22" s="11"/>
      <c r="P22" s="11"/>
      <c r="Q22" s="11"/>
      <c r="R22" s="11"/>
    </row>
    <row r="23" spans="1:18" x14ac:dyDescent="0.35">
      <c r="A23" t="s">
        <v>317</v>
      </c>
      <c r="C23" t="s">
        <v>320</v>
      </c>
      <c r="E23" t="s">
        <v>472</v>
      </c>
      <c r="F23" t="s">
        <v>468</v>
      </c>
      <c r="G23" t="s">
        <v>67</v>
      </c>
      <c r="H23" t="s">
        <v>312</v>
      </c>
      <c r="I23">
        <f>prod_data_raw!M131</f>
        <v>3065000</v>
      </c>
      <c r="J23" s="11">
        <f>prod_data_raw!M129</f>
        <v>2.0974023155000001</v>
      </c>
      <c r="K23" s="11"/>
      <c r="L23" s="11">
        <f>prod_data_raw!M128</f>
        <v>21500.2608</v>
      </c>
      <c r="M23" s="11"/>
      <c r="N23" s="11"/>
      <c r="O23" s="11"/>
      <c r="P23" s="11"/>
      <c r="Q23" s="11"/>
      <c r="R23" s="11"/>
    </row>
    <row r="24" spans="1:18" x14ac:dyDescent="0.35">
      <c r="A24" t="s">
        <v>363</v>
      </c>
      <c r="C24" t="s">
        <v>364</v>
      </c>
      <c r="E24" t="s">
        <v>470</v>
      </c>
      <c r="F24" t="s">
        <v>468</v>
      </c>
      <c r="G24" t="s">
        <v>97</v>
      </c>
      <c r="H24" t="s">
        <v>68</v>
      </c>
      <c r="I24">
        <f>prod_data_raw!M152</f>
        <v>8764000</v>
      </c>
      <c r="J24" s="11">
        <f>prod_data_raw!M153</f>
        <v>7.8923576074999904</v>
      </c>
      <c r="K24" s="11"/>
      <c r="L24" s="11"/>
      <c r="M24" s="11"/>
      <c r="N24" s="11"/>
      <c r="O24" s="11"/>
      <c r="P24" s="11"/>
      <c r="Q24" s="11"/>
      <c r="R24" s="11"/>
    </row>
    <row r="25" spans="1:18" x14ac:dyDescent="0.35">
      <c r="A25" t="s">
        <v>366</v>
      </c>
      <c r="C25" t="s">
        <v>367</v>
      </c>
      <c r="E25" t="s">
        <v>472</v>
      </c>
      <c r="F25" t="s">
        <v>468</v>
      </c>
      <c r="G25" t="s">
        <v>82</v>
      </c>
      <c r="H25" t="s">
        <v>312</v>
      </c>
      <c r="I25">
        <f>prod_data_raw!M157</f>
        <v>1139000</v>
      </c>
      <c r="J25" s="11">
        <f>prod_data_raw!M156</f>
        <v>0.1555175</v>
      </c>
      <c r="K25" s="11"/>
      <c r="L25" s="11">
        <f>prod_data_raw!M155</f>
        <v>3628.7359999999999</v>
      </c>
      <c r="M25" s="11"/>
      <c r="N25" s="11"/>
      <c r="O25" s="11"/>
      <c r="P25" s="11"/>
      <c r="Q25" s="11"/>
      <c r="R25" s="11"/>
    </row>
    <row r="26" spans="1:18" x14ac:dyDescent="0.35">
      <c r="A26" t="s">
        <v>369</v>
      </c>
      <c r="C26" t="s">
        <v>372</v>
      </c>
      <c r="E26" t="s">
        <v>470</v>
      </c>
      <c r="F26" t="s">
        <v>468</v>
      </c>
      <c r="G26" t="s">
        <v>67</v>
      </c>
      <c r="H26" t="s">
        <v>68</v>
      </c>
      <c r="I26">
        <f>prod_data_raw!M161</f>
        <v>841000</v>
      </c>
      <c r="J26" s="11">
        <f>prod_data_raw!M162</f>
        <v>3.5053644500000001</v>
      </c>
      <c r="K26" s="11"/>
      <c r="L26" s="11"/>
      <c r="M26" s="11"/>
      <c r="N26" s="11"/>
      <c r="O26" s="11"/>
      <c r="P26" s="11"/>
      <c r="Q26" s="11"/>
      <c r="R26" s="11"/>
    </row>
    <row r="27" spans="1:18" x14ac:dyDescent="0.35">
      <c r="A27" t="s">
        <v>383</v>
      </c>
      <c r="C27" t="s">
        <v>386</v>
      </c>
      <c r="E27" t="s">
        <v>475</v>
      </c>
      <c r="F27" t="s">
        <v>468</v>
      </c>
      <c r="G27" t="s">
        <v>82</v>
      </c>
      <c r="H27" t="s">
        <v>51</v>
      </c>
      <c r="I27">
        <f>prod_data_raw!M165</f>
        <v>3560000</v>
      </c>
      <c r="J27" s="11"/>
      <c r="K27" s="11"/>
      <c r="L27" s="11"/>
      <c r="M27" s="11"/>
      <c r="N27" s="11"/>
      <c r="O27" s="11"/>
      <c r="P27" s="11"/>
      <c r="Q27" s="12">
        <f>I27*0.38*ta_data!L2</f>
        <v>895553.60000000009</v>
      </c>
      <c r="R27" s="11"/>
    </row>
    <row r="28" spans="1:18" x14ac:dyDescent="0.35">
      <c r="A28" t="s">
        <v>456</v>
      </c>
      <c r="C28" s="14" t="s">
        <v>459</v>
      </c>
      <c r="E28" t="s">
        <v>469</v>
      </c>
      <c r="F28" t="s">
        <v>468</v>
      </c>
      <c r="G28" t="s">
        <v>67</v>
      </c>
      <c r="H28" t="s">
        <v>68</v>
      </c>
      <c r="I28">
        <f>prod_data_raw!M190</f>
        <v>1034000</v>
      </c>
      <c r="J28" s="11">
        <f>prod_data_raw!M192</f>
        <v>2.8926254999999998</v>
      </c>
      <c r="K28" s="11">
        <f>prod_data_raw!M193</f>
        <v>1.1431780389999999</v>
      </c>
      <c r="L28" s="11"/>
      <c r="M28" s="11"/>
      <c r="N28" s="11"/>
      <c r="O28" s="11"/>
      <c r="P28" s="11"/>
      <c r="Q28" s="11"/>
      <c r="R28" s="11"/>
    </row>
    <row r="29" spans="1:18" x14ac:dyDescent="0.35">
      <c r="A29" t="s">
        <v>461</v>
      </c>
      <c r="C29" t="s">
        <v>462</v>
      </c>
      <c r="E29" t="s">
        <v>470</v>
      </c>
      <c r="F29" t="s">
        <v>468</v>
      </c>
      <c r="G29" t="s">
        <v>67</v>
      </c>
      <c r="H29" t="s">
        <v>123</v>
      </c>
      <c r="I29">
        <f>prod_data_raw!M196</f>
        <v>2878047</v>
      </c>
      <c r="J29" s="11">
        <f>prod_data_raw!M194</f>
        <v>5.7572578499999896</v>
      </c>
      <c r="K29" s="11"/>
      <c r="L29" s="11"/>
      <c r="M29" s="11"/>
      <c r="N29" s="11"/>
      <c r="O29" s="11"/>
      <c r="P29" s="11"/>
      <c r="Q29" s="11"/>
      <c r="R29" s="11"/>
    </row>
    <row r="30" spans="1:18" x14ac:dyDescent="0.35">
      <c r="B30" t="s">
        <v>292</v>
      </c>
      <c r="D30" t="s">
        <v>294</v>
      </c>
      <c r="E30" t="s">
        <v>467</v>
      </c>
      <c r="F30" t="s">
        <v>468</v>
      </c>
      <c r="G30" t="s">
        <v>348</v>
      </c>
      <c r="H30" t="s">
        <v>123</v>
      </c>
      <c r="I30">
        <f>prod_data_raw!M197</f>
        <v>3842649.0057279998</v>
      </c>
      <c r="J30" s="11">
        <f>prod_data_raw!M198</f>
        <v>13.426311830047601</v>
      </c>
      <c r="K30" s="11">
        <f>prod_data_raw!M199</f>
        <v>3.8879375</v>
      </c>
      <c r="L30" s="11"/>
      <c r="M30" s="11"/>
      <c r="N30" s="11"/>
      <c r="O30" s="11"/>
      <c r="P30" s="11"/>
      <c r="Q30" s="11"/>
      <c r="R30" s="11"/>
    </row>
    <row r="31" spans="1:18" x14ac:dyDescent="0.35">
      <c r="B31" t="s">
        <v>205</v>
      </c>
      <c r="D31" t="s">
        <v>207</v>
      </c>
      <c r="E31" t="s">
        <v>470</v>
      </c>
      <c r="F31" t="s">
        <v>468</v>
      </c>
      <c r="G31" t="s">
        <v>348</v>
      </c>
      <c r="H31" t="s">
        <v>123</v>
      </c>
      <c r="I31">
        <f>prod_data_raw!M208</f>
        <v>2911000</v>
      </c>
      <c r="J31" s="11">
        <f>prod_data_raw!M207</f>
        <v>8.0869099999999996</v>
      </c>
      <c r="K31" s="11"/>
      <c r="L31" s="11"/>
      <c r="M31" s="11"/>
      <c r="N31" s="11"/>
      <c r="O31" s="11"/>
      <c r="P31" s="11"/>
      <c r="Q31" s="11"/>
      <c r="R31" s="11"/>
    </row>
    <row r="32" spans="1:18" x14ac:dyDescent="0.35">
      <c r="B32" t="s">
        <v>427</v>
      </c>
      <c r="D32" t="s">
        <v>431</v>
      </c>
      <c r="E32" t="s">
        <v>470</v>
      </c>
      <c r="F32" t="s">
        <v>468</v>
      </c>
      <c r="G32" t="s">
        <v>67</v>
      </c>
      <c r="H32" t="s">
        <v>123</v>
      </c>
      <c r="I32">
        <f>prod_data_raw!M211</f>
        <v>1574000</v>
      </c>
      <c r="J32" s="11">
        <f>prod_data_raw!M212</f>
        <v>4.1336551500000001</v>
      </c>
      <c r="K32" s="11">
        <f>prod_data_raw!M213</f>
        <v>0.49765599999999999</v>
      </c>
      <c r="L32" s="11"/>
      <c r="M32" s="11"/>
      <c r="N32" s="11"/>
      <c r="O32" s="11"/>
      <c r="P32" s="11"/>
      <c r="Q32" s="11"/>
      <c r="R32" s="11"/>
    </row>
    <row r="33" spans="2:18" x14ac:dyDescent="0.35">
      <c r="B33" t="s">
        <v>388</v>
      </c>
      <c r="D33" t="s">
        <v>392</v>
      </c>
      <c r="E33" t="s">
        <v>486</v>
      </c>
      <c r="F33" t="s">
        <v>468</v>
      </c>
      <c r="G33" t="s">
        <v>67</v>
      </c>
      <c r="H33" t="s">
        <v>123</v>
      </c>
      <c r="I33">
        <f>prod_data_raw!M214</f>
        <v>122000</v>
      </c>
      <c r="J33" s="11">
        <f>prod_data_raw!M216</f>
        <v>1.2054783495000001</v>
      </c>
      <c r="K33" s="11"/>
      <c r="L33" s="11"/>
      <c r="M33" s="11"/>
      <c r="N33" s="11"/>
      <c r="O33" s="11"/>
      <c r="P33" s="11"/>
      <c r="Q33" s="11"/>
      <c r="R33" s="11"/>
    </row>
    <row r="34" spans="2:18" x14ac:dyDescent="0.35">
      <c r="B34" t="s">
        <v>238</v>
      </c>
      <c r="D34" t="s">
        <v>240</v>
      </c>
      <c r="E34" t="s">
        <v>474</v>
      </c>
      <c r="F34" t="s">
        <v>468</v>
      </c>
      <c r="G34" t="s">
        <v>67</v>
      </c>
      <c r="H34" t="s">
        <v>241</v>
      </c>
      <c r="I34">
        <f>prod_data_raw!M135+prod_data_raw!M166</f>
        <v>1562479</v>
      </c>
      <c r="J34" s="11">
        <f>prod_data_raw!M204</f>
        <v>5.8276450705</v>
      </c>
      <c r="K34" s="11">
        <f>prod_data_raw!M205</f>
        <v>26.4915663305</v>
      </c>
      <c r="L34" s="11">
        <f>prod_data_raw!M203</f>
        <v>12154</v>
      </c>
      <c r="M34" s="11"/>
      <c r="N34" s="11"/>
      <c r="O34" s="11">
        <f>prod_data_raw!M206</f>
        <v>34642</v>
      </c>
      <c r="P34" s="11"/>
      <c r="Q34" s="11"/>
      <c r="R34" s="11"/>
    </row>
  </sheetData>
  <autoFilter ref="A1:R1" xr:uid="{19A21E0B-06A8-4909-8999-69A6CC63874F}"/>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B29"/>
  <sheetViews>
    <sheetView workbookViewId="0">
      <selection activeCell="M30" sqref="M30"/>
    </sheetView>
  </sheetViews>
  <sheetFormatPr baseColWidth="10" defaultRowHeight="14.5" x14ac:dyDescent="0.35"/>
  <cols>
    <col min="2" max="2" width="20.26953125" bestFit="1" customWidth="1"/>
  </cols>
  <sheetData>
    <row r="1" spans="1:2" x14ac:dyDescent="0.35">
      <c r="A1" s="2" t="s">
        <v>1112</v>
      </c>
      <c r="B1" s="2" t="s">
        <v>1119</v>
      </c>
    </row>
    <row r="2" spans="1:2" x14ac:dyDescent="0.35">
      <c r="A2" t="s">
        <v>51</v>
      </c>
      <c r="B2" t="s">
        <v>59</v>
      </c>
    </row>
    <row r="3" spans="1:2" x14ac:dyDescent="0.35">
      <c r="A3" t="s">
        <v>51</v>
      </c>
      <c r="B3" t="s">
        <v>1113</v>
      </c>
    </row>
    <row r="4" spans="1:2" x14ac:dyDescent="0.35">
      <c r="A4" t="s">
        <v>51</v>
      </c>
      <c r="B4" t="s">
        <v>89</v>
      </c>
    </row>
    <row r="5" spans="1:2" x14ac:dyDescent="0.35">
      <c r="A5" t="s">
        <v>51</v>
      </c>
      <c r="B5" t="s">
        <v>268</v>
      </c>
    </row>
    <row r="6" spans="1:2" x14ac:dyDescent="0.35">
      <c r="A6" t="s">
        <v>51</v>
      </c>
      <c r="B6" t="s">
        <v>1114</v>
      </c>
    </row>
    <row r="7" spans="1:2" x14ac:dyDescent="0.35">
      <c r="A7" t="s">
        <v>123</v>
      </c>
      <c r="B7" t="s">
        <v>125</v>
      </c>
    </row>
    <row r="8" spans="1:2" x14ac:dyDescent="0.35">
      <c r="A8" t="s">
        <v>123</v>
      </c>
      <c r="B8" t="s">
        <v>81</v>
      </c>
    </row>
    <row r="9" spans="1:2" x14ac:dyDescent="0.35">
      <c r="A9" t="s">
        <v>123</v>
      </c>
      <c r="B9" t="s">
        <v>294</v>
      </c>
    </row>
    <row r="10" spans="1:2" x14ac:dyDescent="0.35">
      <c r="A10" t="s">
        <v>123</v>
      </c>
      <c r="B10" t="s">
        <v>297</v>
      </c>
    </row>
    <row r="11" spans="1:2" x14ac:dyDescent="0.35">
      <c r="A11" t="s">
        <v>123</v>
      </c>
      <c r="B11" t="s">
        <v>66</v>
      </c>
    </row>
    <row r="12" spans="1:2" x14ac:dyDescent="0.35">
      <c r="A12" t="s">
        <v>615</v>
      </c>
      <c r="B12" t="s">
        <v>1115</v>
      </c>
    </row>
    <row r="13" spans="1:2" x14ac:dyDescent="0.35">
      <c r="A13" t="s">
        <v>615</v>
      </c>
      <c r="B13" t="s">
        <v>222</v>
      </c>
    </row>
    <row r="14" spans="1:2" x14ac:dyDescent="0.35">
      <c r="A14" t="s">
        <v>615</v>
      </c>
      <c r="B14" t="s">
        <v>249</v>
      </c>
    </row>
    <row r="15" spans="1:2" x14ac:dyDescent="0.35">
      <c r="A15" t="s">
        <v>615</v>
      </c>
      <c r="B15" t="s">
        <v>1116</v>
      </c>
    </row>
    <row r="16" spans="1:2" x14ac:dyDescent="0.35">
      <c r="A16" t="s">
        <v>615</v>
      </c>
      <c r="B16" t="s">
        <v>364</v>
      </c>
    </row>
    <row r="17" spans="1:2" x14ac:dyDescent="0.35">
      <c r="A17" t="s">
        <v>440</v>
      </c>
      <c r="B17" t="s">
        <v>1116</v>
      </c>
    </row>
    <row r="18" spans="1:2" x14ac:dyDescent="0.35">
      <c r="A18" t="s">
        <v>440</v>
      </c>
      <c r="B18" t="s">
        <v>222</v>
      </c>
    </row>
    <row r="19" spans="1:2" x14ac:dyDescent="0.35">
      <c r="A19" t="s">
        <v>440</v>
      </c>
      <c r="B19" t="s">
        <v>249</v>
      </c>
    </row>
    <row r="20" spans="1:2" x14ac:dyDescent="0.35">
      <c r="A20" t="s">
        <v>350</v>
      </c>
      <c r="B20" t="s">
        <v>360</v>
      </c>
    </row>
    <row r="21" spans="1:2" x14ac:dyDescent="0.35">
      <c r="A21" t="s">
        <v>350</v>
      </c>
      <c r="B21" t="s">
        <v>1117</v>
      </c>
    </row>
    <row r="22" spans="1:2" x14ac:dyDescent="0.35">
      <c r="A22" t="s">
        <v>350</v>
      </c>
      <c r="B22" t="s">
        <v>1118</v>
      </c>
    </row>
    <row r="23" spans="1:2" x14ac:dyDescent="0.35">
      <c r="A23" t="s">
        <v>350</v>
      </c>
      <c r="B23" t="s">
        <v>556</v>
      </c>
    </row>
    <row r="24" spans="1:2" x14ac:dyDescent="0.35">
      <c r="A24" t="s">
        <v>350</v>
      </c>
      <c r="B24" t="s">
        <v>355</v>
      </c>
    </row>
    <row r="25" spans="1:2" x14ac:dyDescent="0.35">
      <c r="A25" t="s">
        <v>579</v>
      </c>
      <c r="B25" t="s">
        <v>202</v>
      </c>
    </row>
    <row r="26" spans="1:2" x14ac:dyDescent="0.35">
      <c r="A26" t="s">
        <v>579</v>
      </c>
      <c r="B26" t="s">
        <v>183</v>
      </c>
    </row>
    <row r="27" spans="1:2" x14ac:dyDescent="0.35">
      <c r="A27" t="s">
        <v>579</v>
      </c>
      <c r="B27" t="s">
        <v>120</v>
      </c>
    </row>
    <row r="28" spans="1:2" x14ac:dyDescent="0.35">
      <c r="A28" t="s">
        <v>579</v>
      </c>
      <c r="B28" t="s">
        <v>306</v>
      </c>
    </row>
    <row r="29" spans="1:2" x14ac:dyDescent="0.35">
      <c r="A29" t="s">
        <v>579</v>
      </c>
      <c r="B29" t="s">
        <v>222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1055</v>
      </c>
      <c r="B1" t="s">
        <v>971</v>
      </c>
      <c r="C1" t="s">
        <v>1069</v>
      </c>
      <c r="D1" t="s">
        <v>975</v>
      </c>
    </row>
    <row r="2" spans="1:4" x14ac:dyDescent="0.35">
      <c r="A2" t="s">
        <v>1056</v>
      </c>
      <c r="B2" t="s">
        <v>1063</v>
      </c>
      <c r="C2" t="s">
        <v>1058</v>
      </c>
      <c r="D2" t="s">
        <v>1062</v>
      </c>
    </row>
    <row r="3" spans="1:4" x14ac:dyDescent="0.35">
      <c r="A3" t="s">
        <v>1057</v>
      </c>
      <c r="B3" t="s">
        <v>1064</v>
      </c>
      <c r="C3" t="s">
        <v>1058</v>
      </c>
      <c r="D3" t="s">
        <v>1062</v>
      </c>
    </row>
    <row r="4" spans="1:4" x14ac:dyDescent="0.35">
      <c r="A4" t="s">
        <v>1059</v>
      </c>
      <c r="B4" t="s">
        <v>1065</v>
      </c>
      <c r="C4" t="s">
        <v>1061</v>
      </c>
      <c r="D4" t="s">
        <v>1068</v>
      </c>
    </row>
    <row r="5" spans="1:4" x14ac:dyDescent="0.35">
      <c r="A5" t="s">
        <v>1060</v>
      </c>
      <c r="B5" t="s">
        <v>1066</v>
      </c>
      <c r="C5" t="s">
        <v>1061</v>
      </c>
      <c r="D5" t="s">
        <v>1068</v>
      </c>
    </row>
    <row r="6" spans="1:4" x14ac:dyDescent="0.35">
      <c r="A6" t="s">
        <v>1067</v>
      </c>
      <c r="B6" t="s">
        <v>1070</v>
      </c>
      <c r="C6" t="s">
        <v>1061</v>
      </c>
      <c r="D6" t="s">
        <v>1068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2" t="s">
        <v>970</v>
      </c>
      <c r="B1" s="2" t="s">
        <v>971</v>
      </c>
      <c r="C1" s="2" t="s">
        <v>972</v>
      </c>
      <c r="D1" s="2" t="s">
        <v>973</v>
      </c>
      <c r="E1" s="2" t="s">
        <v>974</v>
      </c>
      <c r="F1" s="2" t="s">
        <v>975</v>
      </c>
    </row>
    <row r="2" spans="1:6" ht="29" x14ac:dyDescent="0.35">
      <c r="A2" s="4" t="s">
        <v>976</v>
      </c>
      <c r="B2" s="5" t="s">
        <v>977</v>
      </c>
      <c r="C2" t="s">
        <v>978</v>
      </c>
      <c r="E2" s="6" t="s">
        <v>979</v>
      </c>
    </row>
    <row r="3" spans="1:6" ht="29" x14ac:dyDescent="0.35">
      <c r="A3" s="4" t="s">
        <v>980</v>
      </c>
      <c r="B3" s="5" t="s">
        <v>981</v>
      </c>
      <c r="C3" t="s">
        <v>978</v>
      </c>
      <c r="E3" s="6" t="s">
        <v>982</v>
      </c>
    </row>
    <row r="4" spans="1:6" x14ac:dyDescent="0.35">
      <c r="A4" s="4" t="s">
        <v>983</v>
      </c>
      <c r="B4" t="s">
        <v>984</v>
      </c>
      <c r="C4" s="4" t="s">
        <v>985</v>
      </c>
      <c r="D4" s="4" t="s">
        <v>986</v>
      </c>
      <c r="E4" s="6" t="s">
        <v>987</v>
      </c>
    </row>
    <row r="5" spans="1:6" x14ac:dyDescent="0.35">
      <c r="A5" s="4" t="s">
        <v>988</v>
      </c>
      <c r="B5" t="s">
        <v>989</v>
      </c>
      <c r="C5" s="4" t="s">
        <v>985</v>
      </c>
      <c r="D5" s="4" t="s">
        <v>986</v>
      </c>
      <c r="E5" s="6" t="s">
        <v>990</v>
      </c>
    </row>
    <row r="6" spans="1:6" x14ac:dyDescent="0.35">
      <c r="A6" s="4" t="s">
        <v>991</v>
      </c>
      <c r="B6" t="s">
        <v>992</v>
      </c>
      <c r="C6" t="s">
        <v>978</v>
      </c>
      <c r="D6" t="s">
        <v>993</v>
      </c>
      <c r="E6" s="6" t="s">
        <v>994</v>
      </c>
    </row>
    <row r="7" spans="1:6" x14ac:dyDescent="0.35">
      <c r="A7" s="4" t="s">
        <v>995</v>
      </c>
      <c r="B7" t="s">
        <v>1029</v>
      </c>
      <c r="C7" t="s">
        <v>985</v>
      </c>
      <c r="D7" t="s">
        <v>996</v>
      </c>
      <c r="E7" s="6" t="s">
        <v>1037</v>
      </c>
    </row>
    <row r="8" spans="1:6" x14ac:dyDescent="0.35">
      <c r="A8" s="4" t="s">
        <v>995</v>
      </c>
      <c r="B8" s="5" t="s">
        <v>786</v>
      </c>
      <c r="C8" t="s">
        <v>985</v>
      </c>
      <c r="D8" t="s">
        <v>996</v>
      </c>
      <c r="E8" s="6" t="s">
        <v>997</v>
      </c>
    </row>
    <row r="9" spans="1:6" x14ac:dyDescent="0.35">
      <c r="A9" s="4" t="s">
        <v>998</v>
      </c>
      <c r="B9" s="5" t="s">
        <v>123</v>
      </c>
      <c r="C9" t="s">
        <v>985</v>
      </c>
      <c r="D9" t="s">
        <v>993</v>
      </c>
      <c r="E9" s="7" t="s">
        <v>999</v>
      </c>
    </row>
    <row r="10" spans="1:6" x14ac:dyDescent="0.35">
      <c r="A10" s="8" t="s">
        <v>1000</v>
      </c>
      <c r="B10" s="5" t="s">
        <v>1029</v>
      </c>
      <c r="C10" t="s">
        <v>978</v>
      </c>
      <c r="D10" t="s">
        <v>993</v>
      </c>
      <c r="E10" s="7" t="s">
        <v>1033</v>
      </c>
    </row>
    <row r="11" spans="1:6" x14ac:dyDescent="0.35">
      <c r="A11" s="8" t="s">
        <v>1000</v>
      </c>
      <c r="B11" s="5" t="s">
        <v>1030</v>
      </c>
      <c r="C11" t="s">
        <v>978</v>
      </c>
      <c r="D11" t="s">
        <v>993</v>
      </c>
      <c r="E11" s="7" t="s">
        <v>1001</v>
      </c>
    </row>
    <row r="12" spans="1:6" x14ac:dyDescent="0.35">
      <c r="A12" s="8" t="s">
        <v>1000</v>
      </c>
      <c r="B12" s="5" t="s">
        <v>1031</v>
      </c>
      <c r="C12" t="s">
        <v>978</v>
      </c>
      <c r="D12" t="s">
        <v>993</v>
      </c>
      <c r="E12" s="7" t="s">
        <v>1034</v>
      </c>
    </row>
    <row r="13" spans="1:6" x14ac:dyDescent="0.35">
      <c r="A13" s="8" t="s">
        <v>1000</v>
      </c>
      <c r="B13" s="5" t="s">
        <v>1032</v>
      </c>
      <c r="C13" t="s">
        <v>978</v>
      </c>
      <c r="D13" t="s">
        <v>993</v>
      </c>
      <c r="E13" s="7" t="s">
        <v>1035</v>
      </c>
    </row>
    <row r="14" spans="1:6" x14ac:dyDescent="0.35">
      <c r="A14" s="4" t="s">
        <v>1002</v>
      </c>
      <c r="B14" s="9" t="s">
        <v>123</v>
      </c>
      <c r="C14" s="9" t="s">
        <v>978</v>
      </c>
      <c r="D14" t="s">
        <v>993</v>
      </c>
      <c r="E14" s="7" t="s">
        <v>1036</v>
      </c>
    </row>
    <row r="15" spans="1:6" x14ac:dyDescent="0.35">
      <c r="A15" s="4" t="s">
        <v>1002</v>
      </c>
      <c r="B15" s="9" t="s">
        <v>615</v>
      </c>
      <c r="C15" s="9" t="s">
        <v>978</v>
      </c>
      <c r="D15" t="s">
        <v>993</v>
      </c>
      <c r="E15" s="7" t="s">
        <v>1003</v>
      </c>
    </row>
    <row r="16" spans="1:6" x14ac:dyDescent="0.35">
      <c r="A16" s="4" t="s">
        <v>1004</v>
      </c>
      <c r="B16" t="s">
        <v>1005</v>
      </c>
      <c r="C16" s="4" t="s">
        <v>978</v>
      </c>
      <c r="D16" s="4" t="s">
        <v>993</v>
      </c>
      <c r="E16" s="6" t="s">
        <v>1006</v>
      </c>
    </row>
    <row r="17" spans="1:5" x14ac:dyDescent="0.35">
      <c r="A17" s="4" t="s">
        <v>1007</v>
      </c>
      <c r="B17" t="s">
        <v>1038</v>
      </c>
      <c r="C17" t="s">
        <v>978</v>
      </c>
      <c r="D17" t="s">
        <v>993</v>
      </c>
      <c r="E17" s="6" t="s">
        <v>1008</v>
      </c>
    </row>
    <row r="18" spans="1:5" x14ac:dyDescent="0.35">
      <c r="A18" s="4" t="s">
        <v>1039</v>
      </c>
      <c r="B18" t="s">
        <v>1039</v>
      </c>
      <c r="C18" t="s">
        <v>978</v>
      </c>
      <c r="D18" t="s">
        <v>993</v>
      </c>
      <c r="E18" s="6" t="s">
        <v>1040</v>
      </c>
    </row>
    <row r="19" spans="1:5" x14ac:dyDescent="0.35">
      <c r="A19" s="4" t="s">
        <v>1009</v>
      </c>
      <c r="B19" t="s">
        <v>1010</v>
      </c>
      <c r="C19" s="4" t="s">
        <v>985</v>
      </c>
      <c r="D19" s="4" t="s">
        <v>993</v>
      </c>
      <c r="E19" s="6" t="s">
        <v>1011</v>
      </c>
    </row>
    <row r="20" spans="1:5" x14ac:dyDescent="0.35">
      <c r="A20" s="4" t="s">
        <v>1012</v>
      </c>
      <c r="B20" t="s">
        <v>1013</v>
      </c>
      <c r="C20" s="4" t="s">
        <v>985</v>
      </c>
      <c r="D20" s="4" t="s">
        <v>993</v>
      </c>
      <c r="E20" s="6" t="s">
        <v>1014</v>
      </c>
    </row>
    <row r="21" spans="1:5" x14ac:dyDescent="0.35">
      <c r="A21" s="4" t="s">
        <v>1015</v>
      </c>
      <c r="B21" t="s">
        <v>1016</v>
      </c>
      <c r="C21" t="s">
        <v>978</v>
      </c>
      <c r="D21" t="s">
        <v>993</v>
      </c>
      <c r="E21" s="6" t="s">
        <v>1017</v>
      </c>
    </row>
    <row r="22" spans="1:5" x14ac:dyDescent="0.35">
      <c r="A22" s="4" t="s">
        <v>1018</v>
      </c>
      <c r="B22" t="s">
        <v>1041</v>
      </c>
      <c r="C22" t="s">
        <v>978</v>
      </c>
      <c r="D22" t="s">
        <v>1019</v>
      </c>
      <c r="E22" s="6" t="s">
        <v>1020</v>
      </c>
    </row>
    <row r="23" spans="1:5" x14ac:dyDescent="0.35">
      <c r="A23" s="4" t="s">
        <v>1018</v>
      </c>
      <c r="B23" t="s">
        <v>1042</v>
      </c>
      <c r="C23" t="s">
        <v>978</v>
      </c>
      <c r="D23" t="s">
        <v>1019</v>
      </c>
      <c r="E23" s="6" t="s">
        <v>1020</v>
      </c>
    </row>
    <row r="24" spans="1:5" x14ac:dyDescent="0.35">
      <c r="A24" s="4" t="s">
        <v>1018</v>
      </c>
      <c r="B24" t="s">
        <v>1043</v>
      </c>
      <c r="C24" t="s">
        <v>978</v>
      </c>
      <c r="D24" t="s">
        <v>1019</v>
      </c>
      <c r="E24" s="6" t="s">
        <v>1020</v>
      </c>
    </row>
    <row r="25" spans="1:5" x14ac:dyDescent="0.35">
      <c r="A25" s="4" t="s">
        <v>1018</v>
      </c>
      <c r="B25" t="s">
        <v>1044</v>
      </c>
      <c r="C25" t="s">
        <v>978</v>
      </c>
      <c r="D25" t="s">
        <v>1019</v>
      </c>
      <c r="E25" s="6" t="s">
        <v>1020</v>
      </c>
    </row>
    <row r="26" spans="1:5" x14ac:dyDescent="0.35">
      <c r="A26" s="4" t="s">
        <v>1018</v>
      </c>
      <c r="B26" t="s">
        <v>440</v>
      </c>
      <c r="C26" t="s">
        <v>978</v>
      </c>
      <c r="D26" t="s">
        <v>1019</v>
      </c>
      <c r="E26" s="6" t="s">
        <v>1020</v>
      </c>
    </row>
    <row r="27" spans="1:5" x14ac:dyDescent="0.35">
      <c r="A27" s="4" t="s">
        <v>1021</v>
      </c>
      <c r="B27" t="s">
        <v>1022</v>
      </c>
      <c r="C27" t="s">
        <v>978</v>
      </c>
      <c r="D27" t="s">
        <v>993</v>
      </c>
      <c r="E27" s="6" t="s">
        <v>1023</v>
      </c>
    </row>
    <row r="28" spans="1:5" x14ac:dyDescent="0.35">
      <c r="A28" s="4" t="s">
        <v>1024</v>
      </c>
      <c r="B28" t="s">
        <v>1010</v>
      </c>
      <c r="C28" s="4" t="s">
        <v>985</v>
      </c>
      <c r="D28" s="4" t="s">
        <v>993</v>
      </c>
      <c r="E28" s="6" t="s">
        <v>1025</v>
      </c>
    </row>
    <row r="29" spans="1:5" x14ac:dyDescent="0.35">
      <c r="A29" s="4" t="s">
        <v>1026</v>
      </c>
      <c r="B29" t="s">
        <v>1027</v>
      </c>
      <c r="C29" s="4" t="s">
        <v>985</v>
      </c>
      <c r="D29" s="4" t="s">
        <v>993</v>
      </c>
      <c r="E29" s="6" t="s">
        <v>1028</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3A394-3D47-420C-8959-1E13750B0FC8}">
  <sheetPr filterMode="1"/>
  <dimension ref="A1:P219"/>
  <sheetViews>
    <sheetView topLeftCell="B1" workbookViewId="0">
      <selection activeCell="E123" sqref="E123"/>
    </sheetView>
  </sheetViews>
  <sheetFormatPr baseColWidth="10" defaultRowHeight="14.5" x14ac:dyDescent="0.35"/>
  <cols>
    <col min="3" max="3" width="18.08984375" bestFit="1" customWidth="1"/>
    <col min="4" max="4" width="17.453125" bestFit="1" customWidth="1"/>
    <col min="5" max="5" width="37.08984375" bestFit="1" customWidth="1"/>
    <col min="6" max="6" width="32.26953125" bestFit="1" customWidth="1"/>
    <col min="7" max="7" width="19.08984375" bestFit="1" customWidth="1"/>
    <col min="9" max="9" width="44.81640625" bestFit="1" customWidth="1"/>
  </cols>
  <sheetData>
    <row r="1" spans="1:16" x14ac:dyDescent="0.35">
      <c r="A1" t="s">
        <v>5</v>
      </c>
      <c r="B1" t="s">
        <v>6</v>
      </c>
      <c r="C1" t="s">
        <v>0</v>
      </c>
      <c r="D1" t="s">
        <v>1</v>
      </c>
      <c r="E1" t="s">
        <v>2</v>
      </c>
      <c r="F1" t="s">
        <v>3</v>
      </c>
      <c r="G1" t="s">
        <v>4</v>
      </c>
      <c r="H1" t="s">
        <v>7</v>
      </c>
      <c r="I1" t="s">
        <v>8</v>
      </c>
      <c r="J1" t="s">
        <v>9</v>
      </c>
      <c r="K1" t="s">
        <v>10</v>
      </c>
      <c r="L1" t="s">
        <v>11</v>
      </c>
      <c r="M1" t="s">
        <v>12</v>
      </c>
      <c r="N1" t="s">
        <v>13</v>
      </c>
      <c r="O1" t="s">
        <v>14</v>
      </c>
      <c r="P1" t="s">
        <v>15</v>
      </c>
    </row>
    <row r="2" spans="1:16" hidden="1" x14ac:dyDescent="0.35">
      <c r="A2" t="s">
        <v>765</v>
      </c>
      <c r="B2">
        <v>2023</v>
      </c>
      <c r="C2" t="s">
        <v>24</v>
      </c>
      <c r="D2" t="s">
        <v>25</v>
      </c>
      <c r="E2" t="s">
        <v>28</v>
      </c>
      <c r="F2" t="s">
        <v>29</v>
      </c>
      <c r="G2" t="s">
        <v>19</v>
      </c>
      <c r="H2" t="s">
        <v>20</v>
      </c>
      <c r="I2" t="s">
        <v>21</v>
      </c>
      <c r="J2" t="s">
        <v>638</v>
      </c>
      <c r="K2" t="s">
        <v>77</v>
      </c>
      <c r="L2">
        <v>473000</v>
      </c>
      <c r="O2" t="s">
        <v>26</v>
      </c>
      <c r="P2" t="s">
        <v>766</v>
      </c>
    </row>
    <row r="3" spans="1:16" hidden="1" x14ac:dyDescent="0.35">
      <c r="A3" t="s">
        <v>18</v>
      </c>
      <c r="B3">
        <v>2023</v>
      </c>
      <c r="C3" t="s">
        <v>24</v>
      </c>
      <c r="D3" t="s">
        <v>25</v>
      </c>
      <c r="E3" t="s">
        <v>28</v>
      </c>
      <c r="F3" t="s">
        <v>29</v>
      </c>
      <c r="G3" t="s">
        <v>19</v>
      </c>
      <c r="H3" t="s">
        <v>20</v>
      </c>
      <c r="I3" t="s">
        <v>21</v>
      </c>
      <c r="J3" t="s">
        <v>22</v>
      </c>
      <c r="K3" t="s">
        <v>23</v>
      </c>
      <c r="L3">
        <v>484</v>
      </c>
      <c r="M3">
        <v>484000</v>
      </c>
      <c r="O3" t="s">
        <v>26</v>
      </c>
      <c r="P3" t="s">
        <v>27</v>
      </c>
    </row>
    <row r="4" spans="1:16" hidden="1" x14ac:dyDescent="0.35">
      <c r="A4" t="s">
        <v>767</v>
      </c>
      <c r="B4">
        <v>2023</v>
      </c>
      <c r="C4" t="s">
        <v>33</v>
      </c>
      <c r="D4" t="s">
        <v>25</v>
      </c>
      <c r="E4" t="s">
        <v>34</v>
      </c>
      <c r="F4" t="s">
        <v>29</v>
      </c>
      <c r="G4" t="s">
        <v>19</v>
      </c>
      <c r="H4" t="s">
        <v>20</v>
      </c>
      <c r="I4" t="s">
        <v>21</v>
      </c>
      <c r="J4" t="s">
        <v>638</v>
      </c>
      <c r="K4" t="s">
        <v>77</v>
      </c>
      <c r="L4">
        <v>620000</v>
      </c>
      <c r="O4" t="s">
        <v>26</v>
      </c>
      <c r="P4" t="s">
        <v>766</v>
      </c>
    </row>
    <row r="5" spans="1:16" hidden="1" x14ac:dyDescent="0.35">
      <c r="A5" t="s">
        <v>32</v>
      </c>
      <c r="B5">
        <v>2023</v>
      </c>
      <c r="C5" t="s">
        <v>33</v>
      </c>
      <c r="D5" t="s">
        <v>25</v>
      </c>
      <c r="E5" t="s">
        <v>34</v>
      </c>
      <c r="F5" t="s">
        <v>29</v>
      </c>
      <c r="G5" t="s">
        <v>19</v>
      </c>
      <c r="H5" t="s">
        <v>20</v>
      </c>
      <c r="I5" t="s">
        <v>21</v>
      </c>
      <c r="J5" t="s">
        <v>22</v>
      </c>
      <c r="K5" t="s">
        <v>23</v>
      </c>
      <c r="L5">
        <v>634</v>
      </c>
      <c r="M5">
        <v>634000</v>
      </c>
      <c r="O5" t="s">
        <v>26</v>
      </c>
      <c r="P5" t="s">
        <v>27</v>
      </c>
    </row>
    <row r="6" spans="1:16" hidden="1" x14ac:dyDescent="0.35">
      <c r="A6" t="s">
        <v>36</v>
      </c>
      <c r="B6">
        <v>2024</v>
      </c>
      <c r="C6" t="s">
        <v>42</v>
      </c>
      <c r="E6" t="s">
        <v>45</v>
      </c>
      <c r="G6" t="s">
        <v>37</v>
      </c>
      <c r="H6" t="s">
        <v>38</v>
      </c>
      <c r="I6" t="s">
        <v>39</v>
      </c>
      <c r="J6" t="s">
        <v>22</v>
      </c>
      <c r="K6" t="s">
        <v>40</v>
      </c>
      <c r="L6">
        <v>3.1</v>
      </c>
      <c r="M6">
        <v>3100000</v>
      </c>
      <c r="N6" t="s">
        <v>41</v>
      </c>
      <c r="O6" t="s">
        <v>43</v>
      </c>
      <c r="P6" t="s">
        <v>44</v>
      </c>
    </row>
    <row r="7" spans="1:16" hidden="1" x14ac:dyDescent="0.35">
      <c r="A7" t="s">
        <v>768</v>
      </c>
      <c r="B7">
        <v>2023</v>
      </c>
      <c r="C7" t="s">
        <v>48</v>
      </c>
      <c r="D7" t="s">
        <v>25</v>
      </c>
      <c r="E7" t="s">
        <v>49</v>
      </c>
      <c r="F7" t="s">
        <v>29</v>
      </c>
      <c r="G7" t="s">
        <v>19</v>
      </c>
      <c r="H7" t="s">
        <v>20</v>
      </c>
      <c r="I7" t="s">
        <v>21</v>
      </c>
      <c r="J7" t="s">
        <v>638</v>
      </c>
      <c r="K7" t="s">
        <v>77</v>
      </c>
      <c r="L7">
        <v>234000</v>
      </c>
      <c r="O7" t="s">
        <v>26</v>
      </c>
      <c r="P7" t="s">
        <v>27</v>
      </c>
    </row>
    <row r="8" spans="1:16" hidden="1" x14ac:dyDescent="0.35">
      <c r="A8" t="s">
        <v>47</v>
      </c>
      <c r="B8">
        <v>2023</v>
      </c>
      <c r="C8" t="s">
        <v>48</v>
      </c>
      <c r="D8" t="s">
        <v>25</v>
      </c>
      <c r="E8" t="s">
        <v>49</v>
      </c>
      <c r="F8" t="s">
        <v>29</v>
      </c>
      <c r="G8" t="s">
        <v>19</v>
      </c>
      <c r="H8" t="s">
        <v>20</v>
      </c>
      <c r="I8" t="s">
        <v>21</v>
      </c>
      <c r="J8" t="s">
        <v>22</v>
      </c>
      <c r="K8" t="s">
        <v>23</v>
      </c>
      <c r="L8">
        <v>172.03945200000001</v>
      </c>
      <c r="M8">
        <v>172039.45199999999</v>
      </c>
      <c r="O8" t="s">
        <v>26</v>
      </c>
      <c r="P8" t="s">
        <v>27</v>
      </c>
    </row>
    <row r="9" spans="1:16" hidden="1" x14ac:dyDescent="0.35">
      <c r="A9" t="s">
        <v>637</v>
      </c>
      <c r="B9">
        <v>2023</v>
      </c>
      <c r="C9" t="s">
        <v>488</v>
      </c>
      <c r="E9" t="s">
        <v>489</v>
      </c>
      <c r="G9" t="s">
        <v>19</v>
      </c>
      <c r="H9" t="s">
        <v>20</v>
      </c>
      <c r="I9" t="s">
        <v>638</v>
      </c>
      <c r="J9" t="s">
        <v>638</v>
      </c>
      <c r="K9" t="s">
        <v>77</v>
      </c>
      <c r="L9">
        <v>312000</v>
      </c>
      <c r="O9" t="s">
        <v>639</v>
      </c>
      <c r="P9" t="s">
        <v>640</v>
      </c>
    </row>
    <row r="10" spans="1:16" hidden="1" x14ac:dyDescent="0.35">
      <c r="A10" t="s">
        <v>642</v>
      </c>
      <c r="B10">
        <v>2023</v>
      </c>
      <c r="C10" t="s">
        <v>492</v>
      </c>
      <c r="E10" t="s">
        <v>493</v>
      </c>
      <c r="G10" t="s">
        <v>19</v>
      </c>
      <c r="H10" t="s">
        <v>20</v>
      </c>
      <c r="I10" t="s">
        <v>638</v>
      </c>
      <c r="J10" t="s">
        <v>638</v>
      </c>
      <c r="K10" t="s">
        <v>77</v>
      </c>
      <c r="L10">
        <v>462000</v>
      </c>
      <c r="O10" t="s">
        <v>643</v>
      </c>
      <c r="P10" t="s">
        <v>644</v>
      </c>
    </row>
    <row r="11" spans="1:16" hidden="1" x14ac:dyDescent="0.35">
      <c r="A11" t="s">
        <v>669</v>
      </c>
      <c r="B11">
        <v>2022</v>
      </c>
      <c r="C11" t="s">
        <v>56</v>
      </c>
      <c r="E11" t="s">
        <v>59</v>
      </c>
      <c r="G11" t="s">
        <v>51</v>
      </c>
      <c r="H11" t="s">
        <v>84</v>
      </c>
      <c r="I11" t="s">
        <v>85</v>
      </c>
      <c r="J11" t="s">
        <v>22</v>
      </c>
      <c r="K11" t="s">
        <v>23</v>
      </c>
      <c r="L11">
        <v>11187</v>
      </c>
      <c r="M11">
        <v>11187000</v>
      </c>
      <c r="N11" t="s">
        <v>55</v>
      </c>
      <c r="O11" t="s">
        <v>57</v>
      </c>
      <c r="P11" t="s">
        <v>58</v>
      </c>
    </row>
    <row r="12" spans="1:16" hidden="1" x14ac:dyDescent="0.35">
      <c r="A12" t="s">
        <v>747</v>
      </c>
      <c r="B12">
        <v>2023</v>
      </c>
      <c r="C12" t="s">
        <v>63</v>
      </c>
      <c r="E12" t="s">
        <v>66</v>
      </c>
      <c r="G12" t="s">
        <v>62</v>
      </c>
      <c r="H12" t="s">
        <v>84</v>
      </c>
      <c r="I12" t="s">
        <v>85</v>
      </c>
      <c r="J12" t="s">
        <v>22</v>
      </c>
      <c r="K12" t="s">
        <v>23</v>
      </c>
      <c r="L12">
        <v>167</v>
      </c>
      <c r="M12">
        <v>167000</v>
      </c>
      <c r="O12" t="s">
        <v>64</v>
      </c>
      <c r="P12" t="s">
        <v>65</v>
      </c>
    </row>
    <row r="13" spans="1:16" hidden="1" x14ac:dyDescent="0.35">
      <c r="A13" t="s">
        <v>61</v>
      </c>
      <c r="B13">
        <v>2023</v>
      </c>
      <c r="C13" t="s">
        <v>63</v>
      </c>
      <c r="E13" t="s">
        <v>66</v>
      </c>
      <c r="G13" t="s">
        <v>62</v>
      </c>
      <c r="H13" t="s">
        <v>52</v>
      </c>
      <c r="I13" t="s">
        <v>53</v>
      </c>
      <c r="J13" t="s">
        <v>22</v>
      </c>
      <c r="K13" t="s">
        <v>23</v>
      </c>
      <c r="L13">
        <v>166</v>
      </c>
      <c r="M13">
        <v>166000</v>
      </c>
      <c r="O13" t="s">
        <v>64</v>
      </c>
      <c r="P13" t="s">
        <v>65</v>
      </c>
    </row>
    <row r="14" spans="1:16" hidden="1" x14ac:dyDescent="0.35">
      <c r="A14" t="s">
        <v>748</v>
      </c>
      <c r="B14">
        <v>2023</v>
      </c>
      <c r="C14" t="s">
        <v>63</v>
      </c>
      <c r="E14" t="s">
        <v>66</v>
      </c>
      <c r="G14" t="s">
        <v>123</v>
      </c>
      <c r="H14" t="s">
        <v>276</v>
      </c>
      <c r="I14" t="s">
        <v>277</v>
      </c>
      <c r="J14" t="s">
        <v>22</v>
      </c>
      <c r="K14" t="s">
        <v>616</v>
      </c>
      <c r="L14">
        <v>29</v>
      </c>
      <c r="M14">
        <v>0.90200150000000001</v>
      </c>
      <c r="O14" t="s">
        <v>64</v>
      </c>
      <c r="P14" t="s">
        <v>65</v>
      </c>
    </row>
    <row r="15" spans="1:16" hidden="1" x14ac:dyDescent="0.35">
      <c r="A15" t="s">
        <v>69</v>
      </c>
      <c r="B15">
        <v>2023</v>
      </c>
      <c r="C15" t="s">
        <v>71</v>
      </c>
      <c r="E15" t="s">
        <v>74</v>
      </c>
      <c r="G15" t="s">
        <v>678</v>
      </c>
      <c r="H15" t="s">
        <v>38</v>
      </c>
      <c r="I15" t="s">
        <v>70</v>
      </c>
      <c r="J15" t="s">
        <v>22</v>
      </c>
      <c r="K15" t="s">
        <v>23</v>
      </c>
      <c r="L15">
        <v>244.6</v>
      </c>
      <c r="M15">
        <v>244600</v>
      </c>
      <c r="O15" t="s">
        <v>72</v>
      </c>
      <c r="P15" t="s">
        <v>73</v>
      </c>
    </row>
    <row r="16" spans="1:16" hidden="1" x14ac:dyDescent="0.35">
      <c r="A16" t="s">
        <v>679</v>
      </c>
      <c r="B16">
        <v>2023</v>
      </c>
      <c r="C16" t="s">
        <v>71</v>
      </c>
      <c r="E16" t="s">
        <v>74</v>
      </c>
      <c r="G16" t="s">
        <v>440</v>
      </c>
      <c r="H16" t="s">
        <v>38</v>
      </c>
      <c r="I16" t="s">
        <v>70</v>
      </c>
      <c r="J16" t="s">
        <v>22</v>
      </c>
      <c r="K16" t="s">
        <v>23</v>
      </c>
      <c r="L16">
        <v>752.6</v>
      </c>
      <c r="M16">
        <v>752600</v>
      </c>
      <c r="O16" t="s">
        <v>72</v>
      </c>
      <c r="P16" t="s">
        <v>73</v>
      </c>
    </row>
    <row r="17" spans="1:16" hidden="1" x14ac:dyDescent="0.35">
      <c r="A17" t="s">
        <v>76</v>
      </c>
      <c r="B17">
        <v>2023</v>
      </c>
      <c r="C17" t="s">
        <v>78</v>
      </c>
      <c r="E17" t="s">
        <v>81</v>
      </c>
      <c r="G17" t="s">
        <v>62</v>
      </c>
      <c r="H17" t="s">
        <v>52</v>
      </c>
      <c r="I17" t="s">
        <v>53</v>
      </c>
      <c r="J17" t="s">
        <v>22</v>
      </c>
      <c r="K17" t="s">
        <v>77</v>
      </c>
      <c r="L17">
        <v>19594928</v>
      </c>
      <c r="M17">
        <v>19594928</v>
      </c>
      <c r="O17" t="s">
        <v>79</v>
      </c>
      <c r="P17" t="s">
        <v>80</v>
      </c>
    </row>
    <row r="18" spans="1:16" hidden="1" x14ac:dyDescent="0.35">
      <c r="A18" t="s">
        <v>611</v>
      </c>
      <c r="B18">
        <v>2023</v>
      </c>
      <c r="C18" t="s">
        <v>78</v>
      </c>
      <c r="E18" t="s">
        <v>81</v>
      </c>
      <c r="G18" t="s">
        <v>123</v>
      </c>
      <c r="H18" t="s">
        <v>276</v>
      </c>
      <c r="I18" t="s">
        <v>277</v>
      </c>
      <c r="J18" t="s">
        <v>22</v>
      </c>
      <c r="K18" t="s">
        <v>612</v>
      </c>
      <c r="L18">
        <v>684640</v>
      </c>
      <c r="M18">
        <v>21.294700240000001</v>
      </c>
      <c r="N18" t="s">
        <v>613</v>
      </c>
      <c r="O18" t="s">
        <v>79</v>
      </c>
      <c r="P18" t="s">
        <v>80</v>
      </c>
    </row>
    <row r="19" spans="1:16" hidden="1" x14ac:dyDescent="0.35">
      <c r="A19" t="s">
        <v>614</v>
      </c>
      <c r="B19">
        <v>2023</v>
      </c>
      <c r="C19" t="s">
        <v>78</v>
      </c>
      <c r="E19" t="s">
        <v>81</v>
      </c>
      <c r="G19" t="s">
        <v>615</v>
      </c>
      <c r="H19" t="s">
        <v>276</v>
      </c>
      <c r="I19" t="s">
        <v>277</v>
      </c>
      <c r="J19" t="s">
        <v>22</v>
      </c>
      <c r="K19" t="s">
        <v>616</v>
      </c>
      <c r="L19">
        <v>310</v>
      </c>
      <c r="M19">
        <v>9.6420849999999998</v>
      </c>
      <c r="N19" t="s">
        <v>613</v>
      </c>
      <c r="O19" t="s">
        <v>79</v>
      </c>
      <c r="P19" t="s">
        <v>80</v>
      </c>
    </row>
    <row r="20" spans="1:16" hidden="1" x14ac:dyDescent="0.35">
      <c r="A20" t="s">
        <v>83</v>
      </c>
      <c r="B20">
        <v>2023</v>
      </c>
      <c r="C20" t="s">
        <v>86</v>
      </c>
      <c r="E20" t="s">
        <v>89</v>
      </c>
      <c r="G20" t="s">
        <v>51</v>
      </c>
      <c r="H20" t="s">
        <v>84</v>
      </c>
      <c r="I20" t="s">
        <v>85</v>
      </c>
      <c r="J20" t="s">
        <v>22</v>
      </c>
      <c r="K20" t="s">
        <v>23</v>
      </c>
      <c r="L20">
        <v>17880</v>
      </c>
      <c r="M20">
        <v>17880000</v>
      </c>
      <c r="O20" t="s">
        <v>87</v>
      </c>
      <c r="P20" t="s">
        <v>88</v>
      </c>
    </row>
    <row r="21" spans="1:16" x14ac:dyDescent="0.35">
      <c r="A21" t="s">
        <v>734</v>
      </c>
      <c r="B21">
        <v>2023</v>
      </c>
      <c r="C21" t="s">
        <v>86</v>
      </c>
      <c r="E21" t="s">
        <v>89</v>
      </c>
      <c r="G21" t="s">
        <v>51</v>
      </c>
      <c r="H21" t="s">
        <v>276</v>
      </c>
      <c r="I21" t="s">
        <v>622</v>
      </c>
      <c r="J21" t="s">
        <v>22</v>
      </c>
      <c r="K21" t="s">
        <v>23</v>
      </c>
      <c r="L21">
        <v>13913.1175468483</v>
      </c>
      <c r="M21">
        <v>13913117.546848301</v>
      </c>
      <c r="N21" t="s">
        <v>735</v>
      </c>
      <c r="O21" t="s">
        <v>87</v>
      </c>
      <c r="P21" t="s">
        <v>736</v>
      </c>
    </row>
    <row r="22" spans="1:16" s="1" customFormat="1" hidden="1" x14ac:dyDescent="0.35">
      <c r="A22" s="1" t="s">
        <v>696</v>
      </c>
      <c r="B22" s="1">
        <v>2023</v>
      </c>
      <c r="C22" s="1" t="s">
        <v>93</v>
      </c>
      <c r="E22" s="1" t="s">
        <v>96</v>
      </c>
      <c r="G22" s="1" t="s">
        <v>123</v>
      </c>
      <c r="H22" s="1" t="s">
        <v>276</v>
      </c>
      <c r="I22" s="1" t="s">
        <v>697</v>
      </c>
      <c r="J22" s="1" t="s">
        <v>22</v>
      </c>
      <c r="K22" s="1" t="s">
        <v>616</v>
      </c>
      <c r="L22" s="1">
        <v>86.6</v>
      </c>
      <c r="M22" s="1">
        <v>2.6935630999999902</v>
      </c>
      <c r="O22" s="1" t="s">
        <v>94</v>
      </c>
      <c r="P22" s="1" t="s">
        <v>698</v>
      </c>
    </row>
    <row r="23" spans="1:16" s="1" customFormat="1" hidden="1" x14ac:dyDescent="0.35">
      <c r="A23" s="1" t="s">
        <v>699</v>
      </c>
      <c r="B23" s="1">
        <v>2023</v>
      </c>
      <c r="C23" s="1" t="s">
        <v>93</v>
      </c>
      <c r="E23" s="1" t="s">
        <v>96</v>
      </c>
      <c r="G23" s="1" t="s">
        <v>615</v>
      </c>
      <c r="H23" s="1" t="s">
        <v>20</v>
      </c>
      <c r="I23" s="1" t="s">
        <v>697</v>
      </c>
      <c r="J23" s="1" t="s">
        <v>22</v>
      </c>
      <c r="K23" s="1" t="s">
        <v>616</v>
      </c>
      <c r="L23" s="1">
        <v>24.2</v>
      </c>
      <c r="M23" s="1">
        <v>0.7527047</v>
      </c>
      <c r="O23" s="1" t="s">
        <v>94</v>
      </c>
      <c r="P23" s="1" t="s">
        <v>698</v>
      </c>
    </row>
    <row r="24" spans="1:16" s="1" customFormat="1" hidden="1" x14ac:dyDescent="0.35">
      <c r="A24" s="1" t="s">
        <v>90</v>
      </c>
      <c r="B24" s="1">
        <v>2023</v>
      </c>
      <c r="C24" s="1" t="s">
        <v>93</v>
      </c>
      <c r="E24" s="1" t="s">
        <v>96</v>
      </c>
      <c r="G24" s="1" t="s">
        <v>62</v>
      </c>
      <c r="H24" s="1" t="s">
        <v>52</v>
      </c>
      <c r="I24" s="1" t="s">
        <v>91</v>
      </c>
      <c r="J24" s="1" t="s">
        <v>22</v>
      </c>
      <c r="K24" s="1" t="s">
        <v>77</v>
      </c>
      <c r="L24" s="1">
        <v>1361450</v>
      </c>
      <c r="M24" s="1">
        <v>1361450</v>
      </c>
      <c r="N24" s="1" t="s">
        <v>92</v>
      </c>
      <c r="O24" s="1" t="s">
        <v>94</v>
      </c>
      <c r="P24" s="1" t="s">
        <v>95</v>
      </c>
    </row>
    <row r="25" spans="1:16" hidden="1" x14ac:dyDescent="0.35">
      <c r="A25" t="s">
        <v>656</v>
      </c>
      <c r="B25">
        <v>2023</v>
      </c>
      <c r="C25" t="s">
        <v>102</v>
      </c>
      <c r="E25" t="s">
        <v>105</v>
      </c>
      <c r="G25" t="s">
        <v>99</v>
      </c>
      <c r="H25" t="s">
        <v>276</v>
      </c>
      <c r="I25" t="s">
        <v>277</v>
      </c>
      <c r="J25" t="s">
        <v>22</v>
      </c>
      <c r="K25" t="s">
        <v>100</v>
      </c>
      <c r="L25">
        <v>15.1</v>
      </c>
      <c r="M25">
        <v>6849.2392</v>
      </c>
      <c r="N25" t="s">
        <v>657</v>
      </c>
      <c r="O25" t="s">
        <v>103</v>
      </c>
      <c r="P25" t="s">
        <v>658</v>
      </c>
    </row>
    <row r="26" spans="1:16" hidden="1" x14ac:dyDescent="0.35">
      <c r="A26" t="s">
        <v>98</v>
      </c>
      <c r="B26">
        <v>2023</v>
      </c>
      <c r="C26" t="s">
        <v>102</v>
      </c>
      <c r="E26" t="s">
        <v>105</v>
      </c>
      <c r="G26" t="s">
        <v>99</v>
      </c>
      <c r="H26" t="s">
        <v>52</v>
      </c>
      <c r="I26" t="s">
        <v>53</v>
      </c>
      <c r="J26" t="s">
        <v>22</v>
      </c>
      <c r="K26" t="s">
        <v>100</v>
      </c>
      <c r="L26">
        <v>96.401294969448401</v>
      </c>
      <c r="M26">
        <v>43726.856187782003</v>
      </c>
      <c r="N26" t="s">
        <v>101</v>
      </c>
      <c r="O26" t="s">
        <v>103</v>
      </c>
      <c r="P26" t="s">
        <v>104</v>
      </c>
    </row>
    <row r="27" spans="1:16" x14ac:dyDescent="0.35">
      <c r="A27" t="s">
        <v>708</v>
      </c>
      <c r="B27">
        <v>2023</v>
      </c>
      <c r="C27" t="s">
        <v>117</v>
      </c>
      <c r="E27" t="s">
        <v>120</v>
      </c>
      <c r="G27" t="s">
        <v>579</v>
      </c>
      <c r="H27" t="s">
        <v>276</v>
      </c>
      <c r="I27" t="s">
        <v>622</v>
      </c>
      <c r="J27" t="s">
        <v>22</v>
      </c>
      <c r="K27" t="s">
        <v>77</v>
      </c>
      <c r="L27">
        <v>82685</v>
      </c>
      <c r="M27">
        <v>82685</v>
      </c>
      <c r="N27" t="s">
        <v>116</v>
      </c>
      <c r="O27" t="s">
        <v>118</v>
      </c>
      <c r="P27" t="s">
        <v>119</v>
      </c>
    </row>
    <row r="28" spans="1:16" hidden="1" x14ac:dyDescent="0.35">
      <c r="A28" t="s">
        <v>709</v>
      </c>
      <c r="B28">
        <v>2023</v>
      </c>
      <c r="C28" t="s">
        <v>117</v>
      </c>
      <c r="E28" t="s">
        <v>120</v>
      </c>
      <c r="G28" t="s">
        <v>579</v>
      </c>
      <c r="H28" t="s">
        <v>276</v>
      </c>
      <c r="I28" t="s">
        <v>277</v>
      </c>
      <c r="J28" t="s">
        <v>22</v>
      </c>
      <c r="K28" t="s">
        <v>77</v>
      </c>
      <c r="L28">
        <v>19050</v>
      </c>
      <c r="M28">
        <v>19050</v>
      </c>
      <c r="N28" t="s">
        <v>116</v>
      </c>
      <c r="O28" t="s">
        <v>118</v>
      </c>
      <c r="P28" t="s">
        <v>119</v>
      </c>
    </row>
    <row r="29" spans="1:16" hidden="1" x14ac:dyDescent="0.35">
      <c r="A29" t="s">
        <v>710</v>
      </c>
      <c r="B29">
        <v>2023</v>
      </c>
      <c r="C29" t="s">
        <v>117</v>
      </c>
      <c r="E29" t="s">
        <v>120</v>
      </c>
      <c r="G29" t="s">
        <v>123</v>
      </c>
      <c r="H29" t="s">
        <v>276</v>
      </c>
      <c r="I29" t="s">
        <v>277</v>
      </c>
      <c r="J29" t="s">
        <v>22</v>
      </c>
      <c r="K29" t="s">
        <v>612</v>
      </c>
      <c r="L29">
        <v>8848</v>
      </c>
      <c r="M29">
        <v>0.27520376799999902</v>
      </c>
      <c r="N29" t="s">
        <v>116</v>
      </c>
      <c r="O29" t="s">
        <v>118</v>
      </c>
      <c r="P29" t="s">
        <v>119</v>
      </c>
    </row>
    <row r="30" spans="1:16" hidden="1" x14ac:dyDescent="0.35">
      <c r="A30" t="s">
        <v>114</v>
      </c>
      <c r="B30">
        <v>2023</v>
      </c>
      <c r="C30" t="s">
        <v>117</v>
      </c>
      <c r="E30" t="s">
        <v>120</v>
      </c>
      <c r="G30" t="s">
        <v>62</v>
      </c>
      <c r="H30" t="s">
        <v>52</v>
      </c>
      <c r="I30" t="s">
        <v>115</v>
      </c>
      <c r="J30" t="s">
        <v>22</v>
      </c>
      <c r="K30" t="s">
        <v>77</v>
      </c>
      <c r="L30">
        <v>6862152</v>
      </c>
      <c r="M30">
        <v>6862152</v>
      </c>
      <c r="N30" t="s">
        <v>116</v>
      </c>
      <c r="O30" t="s">
        <v>118</v>
      </c>
      <c r="P30" t="s">
        <v>119</v>
      </c>
    </row>
    <row r="31" spans="1:16" hidden="1" x14ac:dyDescent="0.35">
      <c r="A31" t="s">
        <v>711</v>
      </c>
      <c r="B31">
        <v>2023</v>
      </c>
      <c r="C31" t="s">
        <v>117</v>
      </c>
      <c r="E31" t="s">
        <v>120</v>
      </c>
      <c r="G31" t="s">
        <v>62</v>
      </c>
      <c r="H31" t="s">
        <v>84</v>
      </c>
      <c r="I31" t="s">
        <v>85</v>
      </c>
      <c r="J31" t="s">
        <v>22</v>
      </c>
      <c r="K31" t="s">
        <v>77</v>
      </c>
      <c r="L31">
        <v>6975389</v>
      </c>
      <c r="M31">
        <v>6975389</v>
      </c>
      <c r="N31" t="s">
        <v>116</v>
      </c>
      <c r="O31" t="s">
        <v>118</v>
      </c>
      <c r="P31" t="s">
        <v>119</v>
      </c>
    </row>
    <row r="32" spans="1:16" hidden="1" x14ac:dyDescent="0.35">
      <c r="A32" t="s">
        <v>712</v>
      </c>
      <c r="B32">
        <v>2023</v>
      </c>
      <c r="C32" t="s">
        <v>117</v>
      </c>
      <c r="E32" t="s">
        <v>120</v>
      </c>
      <c r="G32" t="s">
        <v>615</v>
      </c>
      <c r="H32" t="s">
        <v>276</v>
      </c>
      <c r="I32" t="s">
        <v>277</v>
      </c>
      <c r="J32" t="s">
        <v>22</v>
      </c>
      <c r="K32" t="s">
        <v>612</v>
      </c>
      <c r="L32">
        <v>218282</v>
      </c>
      <c r="M32">
        <v>6.7893341869999997</v>
      </c>
      <c r="N32" t="s">
        <v>116</v>
      </c>
      <c r="O32" t="s">
        <v>118</v>
      </c>
      <c r="P32" t="s">
        <v>119</v>
      </c>
    </row>
    <row r="33" spans="1:16" hidden="1" x14ac:dyDescent="0.35">
      <c r="A33" t="s">
        <v>641</v>
      </c>
      <c r="B33">
        <v>2023</v>
      </c>
      <c r="C33" t="s">
        <v>490</v>
      </c>
      <c r="E33" t="s">
        <v>491</v>
      </c>
      <c r="G33" t="s">
        <v>19</v>
      </c>
      <c r="H33" t="s">
        <v>20</v>
      </c>
      <c r="I33" t="s">
        <v>638</v>
      </c>
      <c r="J33" t="s">
        <v>638</v>
      </c>
      <c r="K33" t="s">
        <v>77</v>
      </c>
      <c r="L33">
        <v>287000</v>
      </c>
      <c r="O33" t="s">
        <v>639</v>
      </c>
      <c r="P33" t="s">
        <v>640</v>
      </c>
    </row>
    <row r="34" spans="1:16" hidden="1" x14ac:dyDescent="0.35">
      <c r="A34" t="s">
        <v>122</v>
      </c>
      <c r="B34">
        <v>2023</v>
      </c>
      <c r="C34" t="s">
        <v>124</v>
      </c>
      <c r="E34" t="s">
        <v>125</v>
      </c>
      <c r="G34" t="s">
        <v>123</v>
      </c>
      <c r="H34" t="s">
        <v>52</v>
      </c>
      <c r="I34" t="s">
        <v>53</v>
      </c>
      <c r="J34" t="s">
        <v>22</v>
      </c>
      <c r="K34" t="s">
        <v>77</v>
      </c>
      <c r="L34">
        <v>25434853.502416398</v>
      </c>
      <c r="M34">
        <v>25434853.502416398</v>
      </c>
      <c r="O34" t="s">
        <v>79</v>
      </c>
      <c r="P34" t="s">
        <v>80</v>
      </c>
    </row>
    <row r="35" spans="1:16" hidden="1" x14ac:dyDescent="0.35">
      <c r="A35" t="s">
        <v>617</v>
      </c>
      <c r="B35">
        <v>2023</v>
      </c>
      <c r="C35" t="s">
        <v>124</v>
      </c>
      <c r="E35" t="s">
        <v>125</v>
      </c>
      <c r="G35" t="s">
        <v>123</v>
      </c>
      <c r="H35" t="s">
        <v>276</v>
      </c>
      <c r="I35" t="s">
        <v>277</v>
      </c>
      <c r="J35" t="s">
        <v>22</v>
      </c>
      <c r="K35" t="s">
        <v>612</v>
      </c>
      <c r="L35">
        <v>677446</v>
      </c>
      <c r="M35">
        <v>21.070941660999999</v>
      </c>
      <c r="O35" t="s">
        <v>79</v>
      </c>
      <c r="P35" t="s">
        <v>80</v>
      </c>
    </row>
    <row r="36" spans="1:16" hidden="1" x14ac:dyDescent="0.35">
      <c r="A36" t="s">
        <v>618</v>
      </c>
      <c r="B36">
        <v>2023</v>
      </c>
      <c r="C36" t="s">
        <v>124</v>
      </c>
      <c r="E36" t="s">
        <v>125</v>
      </c>
      <c r="G36" t="s">
        <v>615</v>
      </c>
      <c r="H36" t="s">
        <v>276</v>
      </c>
      <c r="I36" t="s">
        <v>277</v>
      </c>
      <c r="J36" t="s">
        <v>22</v>
      </c>
      <c r="K36" t="s">
        <v>616</v>
      </c>
      <c r="L36">
        <v>79</v>
      </c>
      <c r="M36">
        <v>2.4571765000000001</v>
      </c>
      <c r="O36" t="s">
        <v>79</v>
      </c>
      <c r="P36" t="s">
        <v>80</v>
      </c>
    </row>
    <row r="37" spans="1:16" hidden="1" x14ac:dyDescent="0.35">
      <c r="A37" t="s">
        <v>769</v>
      </c>
      <c r="B37">
        <v>2023</v>
      </c>
      <c r="C37" t="s">
        <v>129</v>
      </c>
      <c r="E37" t="s">
        <v>131</v>
      </c>
      <c r="G37" t="s">
        <v>127</v>
      </c>
      <c r="H37" t="s">
        <v>276</v>
      </c>
      <c r="I37" t="s">
        <v>770</v>
      </c>
      <c r="J37" t="s">
        <v>22</v>
      </c>
      <c r="K37" t="s">
        <v>128</v>
      </c>
      <c r="L37">
        <v>3339.7620299999999</v>
      </c>
      <c r="M37">
        <v>0.66795240600000005</v>
      </c>
      <c r="O37" t="s">
        <v>26</v>
      </c>
      <c r="P37" t="s">
        <v>130</v>
      </c>
    </row>
    <row r="38" spans="1:16" hidden="1" x14ac:dyDescent="0.35">
      <c r="A38" t="s">
        <v>126</v>
      </c>
      <c r="B38">
        <v>2023</v>
      </c>
      <c r="C38" t="s">
        <v>129</v>
      </c>
      <c r="E38" t="s">
        <v>131</v>
      </c>
      <c r="G38" t="s">
        <v>127</v>
      </c>
      <c r="H38" t="s">
        <v>52</v>
      </c>
      <c r="I38" t="s">
        <v>53</v>
      </c>
      <c r="J38" t="s">
        <v>22</v>
      </c>
      <c r="K38" t="s">
        <v>128</v>
      </c>
      <c r="L38">
        <v>1687.71</v>
      </c>
      <c r="M38">
        <v>0.33754200000000001</v>
      </c>
      <c r="O38" t="s">
        <v>26</v>
      </c>
      <c r="P38" t="s">
        <v>130</v>
      </c>
    </row>
    <row r="39" spans="1:16" hidden="1" x14ac:dyDescent="0.35">
      <c r="A39" t="s">
        <v>799</v>
      </c>
      <c r="B39">
        <v>2023</v>
      </c>
      <c r="C39" t="s">
        <v>134</v>
      </c>
      <c r="E39" t="s">
        <v>137</v>
      </c>
      <c r="G39" t="s">
        <v>123</v>
      </c>
      <c r="H39" t="s">
        <v>276</v>
      </c>
      <c r="I39" t="s">
        <v>277</v>
      </c>
      <c r="J39" t="s">
        <v>22</v>
      </c>
      <c r="K39" t="s">
        <v>612</v>
      </c>
      <c r="L39">
        <v>87467</v>
      </c>
      <c r="M39">
        <v>2.7205298345000002</v>
      </c>
      <c r="N39" t="s">
        <v>800</v>
      </c>
      <c r="O39" t="s">
        <v>135</v>
      </c>
      <c r="P39" t="s">
        <v>136</v>
      </c>
    </row>
    <row r="40" spans="1:16" hidden="1" x14ac:dyDescent="0.35">
      <c r="A40" t="s">
        <v>133</v>
      </c>
      <c r="B40">
        <v>2023</v>
      </c>
      <c r="C40" t="s">
        <v>134</v>
      </c>
      <c r="E40" t="s">
        <v>137</v>
      </c>
      <c r="G40" t="s">
        <v>123</v>
      </c>
      <c r="H40" t="s">
        <v>52</v>
      </c>
      <c r="I40" t="s">
        <v>115</v>
      </c>
      <c r="J40" t="s">
        <v>22</v>
      </c>
      <c r="K40" t="s">
        <v>77</v>
      </c>
      <c r="L40">
        <v>222627</v>
      </c>
      <c r="M40">
        <v>222627</v>
      </c>
      <c r="O40" t="s">
        <v>135</v>
      </c>
      <c r="P40" t="s">
        <v>136</v>
      </c>
    </row>
    <row r="41" spans="1:16" hidden="1" x14ac:dyDescent="0.35">
      <c r="A41" t="s">
        <v>649</v>
      </c>
      <c r="B41">
        <v>2023</v>
      </c>
      <c r="C41" t="s">
        <v>140</v>
      </c>
      <c r="E41" t="s">
        <v>143</v>
      </c>
      <c r="G41" t="s">
        <v>127</v>
      </c>
      <c r="H41" t="s">
        <v>276</v>
      </c>
      <c r="I41" t="s">
        <v>650</v>
      </c>
      <c r="J41" t="s">
        <v>22</v>
      </c>
      <c r="K41" t="s">
        <v>651</v>
      </c>
      <c r="L41">
        <v>5.0999999999999996</v>
      </c>
      <c r="M41">
        <v>1.02</v>
      </c>
      <c r="O41" t="s">
        <v>141</v>
      </c>
      <c r="P41" t="s">
        <v>652</v>
      </c>
    </row>
    <row r="42" spans="1:16" hidden="1" x14ac:dyDescent="0.35">
      <c r="A42" t="s">
        <v>138</v>
      </c>
      <c r="B42">
        <v>2023</v>
      </c>
      <c r="C42" t="s">
        <v>140</v>
      </c>
      <c r="E42" t="s">
        <v>143</v>
      </c>
      <c r="G42" t="s">
        <v>127</v>
      </c>
      <c r="H42" t="s">
        <v>52</v>
      </c>
      <c r="I42" t="s">
        <v>53</v>
      </c>
      <c r="J42" t="s">
        <v>22</v>
      </c>
      <c r="K42" t="s">
        <v>139</v>
      </c>
      <c r="L42">
        <v>4.2</v>
      </c>
      <c r="M42">
        <v>4200000</v>
      </c>
      <c r="O42" t="s">
        <v>141</v>
      </c>
      <c r="P42" t="s">
        <v>142</v>
      </c>
    </row>
    <row r="43" spans="1:16" hidden="1" x14ac:dyDescent="0.35">
      <c r="A43" t="s">
        <v>653</v>
      </c>
      <c r="B43">
        <v>2023</v>
      </c>
      <c r="C43" t="s">
        <v>140</v>
      </c>
      <c r="E43" t="s">
        <v>143</v>
      </c>
      <c r="G43" t="s">
        <v>127</v>
      </c>
      <c r="H43" t="s">
        <v>84</v>
      </c>
      <c r="I43" t="s">
        <v>85</v>
      </c>
      <c r="J43" t="s">
        <v>22</v>
      </c>
      <c r="K43" t="s">
        <v>654</v>
      </c>
      <c r="L43">
        <v>4.5999999999999996</v>
      </c>
      <c r="M43">
        <v>4600000</v>
      </c>
      <c r="O43" t="s">
        <v>141</v>
      </c>
      <c r="P43" t="s">
        <v>655</v>
      </c>
    </row>
    <row r="44" spans="1:16" hidden="1" x14ac:dyDescent="0.35">
      <c r="A44" t="s">
        <v>749</v>
      </c>
      <c r="B44">
        <v>2023</v>
      </c>
      <c r="C44" t="s">
        <v>145</v>
      </c>
      <c r="E44" t="s">
        <v>146</v>
      </c>
      <c r="G44" t="s">
        <v>123</v>
      </c>
      <c r="H44" t="s">
        <v>276</v>
      </c>
      <c r="I44" t="s">
        <v>277</v>
      </c>
      <c r="J44" t="s">
        <v>22</v>
      </c>
      <c r="K44" t="s">
        <v>616</v>
      </c>
      <c r="L44">
        <v>232</v>
      </c>
      <c r="M44">
        <v>7.2160120000000001</v>
      </c>
      <c r="O44" t="s">
        <v>64</v>
      </c>
      <c r="P44" t="s">
        <v>65</v>
      </c>
    </row>
    <row r="45" spans="1:16" hidden="1" x14ac:dyDescent="0.35">
      <c r="A45" t="s">
        <v>749</v>
      </c>
      <c r="B45">
        <v>2023</v>
      </c>
      <c r="C45" t="s">
        <v>145</v>
      </c>
      <c r="E45" t="s">
        <v>146</v>
      </c>
      <c r="G45" t="s">
        <v>615</v>
      </c>
      <c r="H45" t="s">
        <v>276</v>
      </c>
      <c r="I45" t="s">
        <v>277</v>
      </c>
      <c r="J45" t="s">
        <v>22</v>
      </c>
      <c r="K45" t="s">
        <v>612</v>
      </c>
      <c r="L45">
        <v>11835</v>
      </c>
      <c r="M45">
        <v>0.36810992249999902</v>
      </c>
      <c r="O45" t="s">
        <v>64</v>
      </c>
      <c r="P45" t="s">
        <v>1150</v>
      </c>
    </row>
    <row r="46" spans="1:16" hidden="1" x14ac:dyDescent="0.35">
      <c r="A46" t="s">
        <v>750</v>
      </c>
      <c r="B46">
        <v>2023</v>
      </c>
      <c r="C46" t="s">
        <v>145</v>
      </c>
      <c r="E46" t="s">
        <v>146</v>
      </c>
      <c r="G46" t="s">
        <v>123</v>
      </c>
      <c r="H46" t="s">
        <v>84</v>
      </c>
      <c r="I46" t="s">
        <v>85</v>
      </c>
      <c r="J46" t="s">
        <v>22</v>
      </c>
      <c r="K46" t="s">
        <v>23</v>
      </c>
      <c r="L46">
        <v>1656</v>
      </c>
      <c r="M46">
        <v>1656000</v>
      </c>
      <c r="O46" t="s">
        <v>64</v>
      </c>
      <c r="P46" t="s">
        <v>65</v>
      </c>
    </row>
    <row r="47" spans="1:16" hidden="1" x14ac:dyDescent="0.35">
      <c r="A47" t="s">
        <v>144</v>
      </c>
      <c r="B47">
        <v>2023</v>
      </c>
      <c r="C47" t="s">
        <v>145</v>
      </c>
      <c r="E47" t="s">
        <v>146</v>
      </c>
      <c r="G47" t="s">
        <v>123</v>
      </c>
      <c r="H47" t="s">
        <v>52</v>
      </c>
      <c r="I47" t="s">
        <v>53</v>
      </c>
      <c r="J47" t="s">
        <v>22</v>
      </c>
      <c r="K47" t="s">
        <v>23</v>
      </c>
      <c r="L47">
        <v>1661</v>
      </c>
      <c r="M47">
        <v>1661000</v>
      </c>
      <c r="O47" t="s">
        <v>64</v>
      </c>
      <c r="P47" t="s">
        <v>65</v>
      </c>
    </row>
    <row r="48" spans="1:16" hidden="1" x14ac:dyDescent="0.35">
      <c r="A48" t="s">
        <v>693</v>
      </c>
      <c r="B48">
        <v>2024</v>
      </c>
      <c r="C48" t="s">
        <v>149</v>
      </c>
      <c r="E48" t="s">
        <v>152</v>
      </c>
      <c r="G48" t="s">
        <v>123</v>
      </c>
      <c r="H48" t="s">
        <v>84</v>
      </c>
      <c r="I48" t="s">
        <v>85</v>
      </c>
      <c r="J48" t="s">
        <v>22</v>
      </c>
      <c r="K48" t="s">
        <v>77</v>
      </c>
      <c r="L48">
        <v>34017</v>
      </c>
      <c r="M48">
        <v>34017</v>
      </c>
      <c r="O48" t="s">
        <v>150</v>
      </c>
      <c r="P48" t="s">
        <v>151</v>
      </c>
    </row>
    <row r="49" spans="1:16" hidden="1" x14ac:dyDescent="0.35">
      <c r="A49" t="s">
        <v>147</v>
      </c>
      <c r="B49">
        <v>2024</v>
      </c>
      <c r="C49" t="s">
        <v>149</v>
      </c>
      <c r="E49" t="s">
        <v>152</v>
      </c>
      <c r="G49" t="s">
        <v>123</v>
      </c>
      <c r="H49" t="s">
        <v>52</v>
      </c>
      <c r="I49" t="s">
        <v>148</v>
      </c>
      <c r="J49" t="s">
        <v>22</v>
      </c>
      <c r="K49" t="s">
        <v>77</v>
      </c>
      <c r="L49">
        <v>33245</v>
      </c>
      <c r="M49">
        <v>33245</v>
      </c>
      <c r="O49" t="s">
        <v>150</v>
      </c>
      <c r="P49" t="s">
        <v>151</v>
      </c>
    </row>
    <row r="50" spans="1:16" hidden="1" x14ac:dyDescent="0.35">
      <c r="A50" t="s">
        <v>694</v>
      </c>
      <c r="B50">
        <v>2024</v>
      </c>
      <c r="C50" t="s">
        <v>149</v>
      </c>
      <c r="E50" t="s">
        <v>152</v>
      </c>
      <c r="G50" t="s">
        <v>123</v>
      </c>
      <c r="H50" t="s">
        <v>276</v>
      </c>
      <c r="I50" t="s">
        <v>277</v>
      </c>
      <c r="J50" t="s">
        <v>22</v>
      </c>
      <c r="K50" t="s">
        <v>612</v>
      </c>
      <c r="L50">
        <v>3916</v>
      </c>
      <c r="M50">
        <v>0.121801306</v>
      </c>
      <c r="N50" t="s">
        <v>695</v>
      </c>
      <c r="O50" t="s">
        <v>150</v>
      </c>
      <c r="P50" t="s">
        <v>151</v>
      </c>
    </row>
    <row r="51" spans="1:16" hidden="1" x14ac:dyDescent="0.35">
      <c r="A51" t="s">
        <v>153</v>
      </c>
      <c r="B51">
        <v>2021</v>
      </c>
      <c r="C51" t="s">
        <v>155</v>
      </c>
      <c r="E51" t="s">
        <v>158</v>
      </c>
      <c r="G51" t="s">
        <v>37</v>
      </c>
      <c r="H51" t="s">
        <v>20</v>
      </c>
      <c r="I51" t="s">
        <v>154</v>
      </c>
      <c r="J51" t="s">
        <v>22</v>
      </c>
      <c r="K51" t="s">
        <v>23</v>
      </c>
      <c r="L51">
        <v>828</v>
      </c>
      <c r="M51">
        <v>828000</v>
      </c>
      <c r="O51" t="s">
        <v>156</v>
      </c>
      <c r="P51" t="s">
        <v>157</v>
      </c>
    </row>
    <row r="52" spans="1:16" hidden="1" x14ac:dyDescent="0.35">
      <c r="A52" t="s">
        <v>675</v>
      </c>
      <c r="B52">
        <v>2021</v>
      </c>
      <c r="C52" t="s">
        <v>155</v>
      </c>
      <c r="E52" t="s">
        <v>158</v>
      </c>
      <c r="G52" t="s">
        <v>37</v>
      </c>
      <c r="H52" t="s">
        <v>20</v>
      </c>
      <c r="I52" t="s">
        <v>676</v>
      </c>
      <c r="J52" t="s">
        <v>638</v>
      </c>
      <c r="K52" t="s">
        <v>677</v>
      </c>
      <c r="L52">
        <v>1200</v>
      </c>
      <c r="O52" t="s">
        <v>156</v>
      </c>
      <c r="P52" t="s">
        <v>157</v>
      </c>
    </row>
    <row r="53" spans="1:16" hidden="1" x14ac:dyDescent="0.35">
      <c r="A53" t="s">
        <v>159</v>
      </c>
      <c r="B53">
        <v>2023</v>
      </c>
      <c r="C53" t="s">
        <v>162</v>
      </c>
      <c r="D53" t="s">
        <v>163</v>
      </c>
      <c r="E53" t="s">
        <v>165</v>
      </c>
      <c r="F53" t="s">
        <v>166</v>
      </c>
      <c r="G53" t="s">
        <v>51</v>
      </c>
      <c r="H53" t="s">
        <v>84</v>
      </c>
      <c r="I53" t="s">
        <v>160</v>
      </c>
      <c r="J53" t="s">
        <v>22</v>
      </c>
      <c r="K53" t="s">
        <v>23</v>
      </c>
      <c r="L53">
        <v>5901</v>
      </c>
      <c r="M53">
        <v>5901000</v>
      </c>
      <c r="N53" t="s">
        <v>161</v>
      </c>
      <c r="O53" t="s">
        <v>43</v>
      </c>
      <c r="P53" t="s">
        <v>164</v>
      </c>
    </row>
    <row r="54" spans="1:16" hidden="1" x14ac:dyDescent="0.35">
      <c r="A54" t="s">
        <v>737</v>
      </c>
      <c r="B54">
        <v>2023</v>
      </c>
      <c r="C54" t="s">
        <v>168</v>
      </c>
      <c r="E54" t="s">
        <v>171</v>
      </c>
      <c r="G54" t="s">
        <v>123</v>
      </c>
      <c r="H54" t="s">
        <v>84</v>
      </c>
      <c r="I54" t="s">
        <v>85</v>
      </c>
      <c r="J54" t="s">
        <v>22</v>
      </c>
      <c r="K54" t="s">
        <v>77</v>
      </c>
      <c r="L54">
        <v>96</v>
      </c>
      <c r="M54">
        <v>96</v>
      </c>
      <c r="O54" t="s">
        <v>169</v>
      </c>
      <c r="P54" t="s">
        <v>170</v>
      </c>
    </row>
    <row r="55" spans="1:16" hidden="1" x14ac:dyDescent="0.35">
      <c r="A55" t="s">
        <v>167</v>
      </c>
      <c r="B55">
        <v>2023</v>
      </c>
      <c r="C55" t="s">
        <v>168</v>
      </c>
      <c r="E55" t="s">
        <v>171</v>
      </c>
      <c r="G55" t="s">
        <v>123</v>
      </c>
      <c r="H55" t="s">
        <v>52</v>
      </c>
      <c r="I55" t="s">
        <v>53</v>
      </c>
      <c r="J55" t="s">
        <v>22</v>
      </c>
      <c r="K55" t="s">
        <v>77</v>
      </c>
      <c r="L55">
        <v>120</v>
      </c>
      <c r="M55">
        <v>120</v>
      </c>
      <c r="O55" t="s">
        <v>169</v>
      </c>
      <c r="P55" t="s">
        <v>170</v>
      </c>
    </row>
    <row r="56" spans="1:16" hidden="1" x14ac:dyDescent="0.35">
      <c r="A56" t="s">
        <v>738</v>
      </c>
      <c r="B56">
        <v>2023</v>
      </c>
      <c r="C56" t="s">
        <v>168</v>
      </c>
      <c r="E56" t="s">
        <v>171</v>
      </c>
      <c r="G56" t="s">
        <v>739</v>
      </c>
      <c r="H56" t="s">
        <v>20</v>
      </c>
      <c r="I56" t="s">
        <v>697</v>
      </c>
      <c r="J56" t="s">
        <v>22</v>
      </c>
      <c r="K56" t="s">
        <v>612</v>
      </c>
      <c r="L56">
        <v>10.199999999999999</v>
      </c>
      <c r="M56">
        <v>3.1725569999999998E-4</v>
      </c>
      <c r="O56" t="s">
        <v>169</v>
      </c>
      <c r="P56" t="s">
        <v>170</v>
      </c>
    </row>
    <row r="57" spans="1:16" hidden="1" x14ac:dyDescent="0.35">
      <c r="A57" t="s">
        <v>740</v>
      </c>
      <c r="B57">
        <v>2023</v>
      </c>
      <c r="C57" t="s">
        <v>168</v>
      </c>
      <c r="E57" t="s">
        <v>171</v>
      </c>
      <c r="G57" t="s">
        <v>123</v>
      </c>
      <c r="H57" t="s">
        <v>276</v>
      </c>
      <c r="I57" t="s">
        <v>697</v>
      </c>
      <c r="J57" t="s">
        <v>22</v>
      </c>
      <c r="K57" t="s">
        <v>612</v>
      </c>
      <c r="L57">
        <v>10.199999999999999</v>
      </c>
      <c r="M57">
        <v>3.1725569999999998E-4</v>
      </c>
      <c r="O57" t="s">
        <v>169</v>
      </c>
      <c r="P57" t="s">
        <v>170</v>
      </c>
    </row>
    <row r="58" spans="1:16" hidden="1" x14ac:dyDescent="0.35">
      <c r="A58" t="s">
        <v>741</v>
      </c>
      <c r="B58">
        <v>2023</v>
      </c>
      <c r="C58" t="s">
        <v>168</v>
      </c>
      <c r="E58" t="s">
        <v>171</v>
      </c>
      <c r="G58" t="s">
        <v>615</v>
      </c>
      <c r="H58" t="s">
        <v>20</v>
      </c>
      <c r="I58" t="s">
        <v>697</v>
      </c>
      <c r="J58" t="s">
        <v>22</v>
      </c>
      <c r="K58" t="s">
        <v>612</v>
      </c>
      <c r="L58">
        <v>1.4</v>
      </c>
      <c r="M58" s="3">
        <v>4.3544899999999997E-5</v>
      </c>
      <c r="O58" t="s">
        <v>169</v>
      </c>
      <c r="P58" t="s">
        <v>170</v>
      </c>
    </row>
    <row r="59" spans="1:16" hidden="1" x14ac:dyDescent="0.35">
      <c r="A59" t="s">
        <v>172</v>
      </c>
      <c r="B59">
        <v>2024</v>
      </c>
      <c r="C59" t="s">
        <v>173</v>
      </c>
      <c r="D59" t="s">
        <v>174</v>
      </c>
      <c r="E59" t="s">
        <v>176</v>
      </c>
      <c r="F59" t="s">
        <v>177</v>
      </c>
      <c r="G59" t="s">
        <v>62</v>
      </c>
      <c r="H59" t="s">
        <v>84</v>
      </c>
      <c r="I59" t="s">
        <v>85</v>
      </c>
      <c r="J59" t="s">
        <v>22</v>
      </c>
      <c r="K59" t="s">
        <v>77</v>
      </c>
      <c r="L59">
        <v>553033</v>
      </c>
      <c r="M59">
        <v>553033</v>
      </c>
      <c r="O59" t="s">
        <v>72</v>
      </c>
      <c r="P59" t="s">
        <v>175</v>
      </c>
    </row>
    <row r="60" spans="1:16" hidden="1" x14ac:dyDescent="0.35">
      <c r="A60" t="s">
        <v>782</v>
      </c>
      <c r="B60">
        <v>2023</v>
      </c>
      <c r="C60" t="s">
        <v>180</v>
      </c>
      <c r="E60" t="s">
        <v>183</v>
      </c>
      <c r="G60" t="s">
        <v>62</v>
      </c>
      <c r="H60" t="s">
        <v>84</v>
      </c>
      <c r="I60" t="s">
        <v>85</v>
      </c>
      <c r="J60" t="s">
        <v>22</v>
      </c>
      <c r="K60" t="s">
        <v>40</v>
      </c>
      <c r="L60">
        <v>88.1</v>
      </c>
      <c r="M60">
        <v>88100000</v>
      </c>
      <c r="O60" t="s">
        <v>181</v>
      </c>
      <c r="P60" t="s">
        <v>182</v>
      </c>
    </row>
    <row r="61" spans="1:16" hidden="1" x14ac:dyDescent="0.35">
      <c r="A61" t="s">
        <v>179</v>
      </c>
      <c r="B61">
        <v>2023</v>
      </c>
      <c r="C61" t="s">
        <v>180</v>
      </c>
      <c r="E61" t="s">
        <v>183</v>
      </c>
      <c r="G61" t="s">
        <v>62</v>
      </c>
      <c r="H61" t="s">
        <v>52</v>
      </c>
      <c r="I61" t="s">
        <v>115</v>
      </c>
      <c r="J61" t="s">
        <v>22</v>
      </c>
      <c r="K61" t="s">
        <v>40</v>
      </c>
      <c r="L61">
        <v>30</v>
      </c>
      <c r="M61">
        <v>30000000</v>
      </c>
      <c r="O61" t="s">
        <v>181</v>
      </c>
      <c r="P61" t="s">
        <v>182</v>
      </c>
    </row>
    <row r="62" spans="1:16" hidden="1" x14ac:dyDescent="0.35">
      <c r="A62" t="s">
        <v>783</v>
      </c>
      <c r="B62">
        <v>2023</v>
      </c>
      <c r="C62" t="s">
        <v>180</v>
      </c>
      <c r="E62" t="s">
        <v>183</v>
      </c>
      <c r="G62" t="s">
        <v>579</v>
      </c>
      <c r="H62" t="s">
        <v>276</v>
      </c>
      <c r="I62" t="s">
        <v>277</v>
      </c>
      <c r="J62" t="s">
        <v>22</v>
      </c>
      <c r="K62" t="s">
        <v>100</v>
      </c>
      <c r="L62">
        <v>122.6</v>
      </c>
      <c r="M62">
        <v>55610.379200000003</v>
      </c>
      <c r="N62" t="s">
        <v>784</v>
      </c>
      <c r="O62" t="s">
        <v>181</v>
      </c>
      <c r="P62" t="s">
        <v>182</v>
      </c>
    </row>
    <row r="63" spans="1:16" hidden="1" x14ac:dyDescent="0.35">
      <c r="A63" t="s">
        <v>785</v>
      </c>
      <c r="B63">
        <v>2023</v>
      </c>
      <c r="C63" t="s">
        <v>180</v>
      </c>
      <c r="E63" t="s">
        <v>183</v>
      </c>
      <c r="G63" t="s">
        <v>786</v>
      </c>
      <c r="H63" t="s">
        <v>276</v>
      </c>
      <c r="I63" t="s">
        <v>277</v>
      </c>
      <c r="J63" t="s">
        <v>22</v>
      </c>
      <c r="K63" t="s">
        <v>665</v>
      </c>
      <c r="L63">
        <v>1202</v>
      </c>
      <c r="M63">
        <v>545.21758399999999</v>
      </c>
      <c r="N63" t="s">
        <v>787</v>
      </c>
      <c r="O63" t="s">
        <v>181</v>
      </c>
      <c r="P63" t="s">
        <v>182</v>
      </c>
    </row>
    <row r="64" spans="1:16" hidden="1" x14ac:dyDescent="0.35">
      <c r="A64" t="s">
        <v>185</v>
      </c>
      <c r="B64">
        <v>2023</v>
      </c>
      <c r="C64" t="s">
        <v>186</v>
      </c>
      <c r="E64" t="s">
        <v>187</v>
      </c>
      <c r="G64" t="s">
        <v>62</v>
      </c>
      <c r="H64" t="s">
        <v>52</v>
      </c>
      <c r="I64" t="s">
        <v>53</v>
      </c>
      <c r="J64" t="s">
        <v>22</v>
      </c>
      <c r="K64" t="s">
        <v>77</v>
      </c>
      <c r="L64">
        <v>2886927.3287240001</v>
      </c>
      <c r="M64">
        <v>2886927.3287240001</v>
      </c>
      <c r="O64" t="s">
        <v>79</v>
      </c>
      <c r="P64" t="s">
        <v>80</v>
      </c>
    </row>
    <row r="65" spans="1:16" hidden="1" x14ac:dyDescent="0.35">
      <c r="A65" t="s">
        <v>619</v>
      </c>
      <c r="B65">
        <v>2023</v>
      </c>
      <c r="C65" t="s">
        <v>186</v>
      </c>
      <c r="E65" t="s">
        <v>187</v>
      </c>
      <c r="G65" t="s">
        <v>123</v>
      </c>
      <c r="H65" t="s">
        <v>276</v>
      </c>
      <c r="I65" t="s">
        <v>277</v>
      </c>
      <c r="J65" t="s">
        <v>22</v>
      </c>
      <c r="K65" t="s">
        <v>612</v>
      </c>
      <c r="L65">
        <v>140982.56710499999</v>
      </c>
      <c r="M65">
        <v>4.3850512759503602</v>
      </c>
      <c r="O65" t="s">
        <v>79</v>
      </c>
      <c r="P65" t="s">
        <v>80</v>
      </c>
    </row>
    <row r="66" spans="1:16" hidden="1" x14ac:dyDescent="0.35">
      <c r="A66" t="s">
        <v>620</v>
      </c>
      <c r="B66">
        <v>2023</v>
      </c>
      <c r="C66" t="s">
        <v>186</v>
      </c>
      <c r="E66" t="s">
        <v>187</v>
      </c>
      <c r="G66" t="s">
        <v>615</v>
      </c>
      <c r="H66" t="s">
        <v>276</v>
      </c>
      <c r="I66" t="s">
        <v>277</v>
      </c>
      <c r="J66" t="s">
        <v>22</v>
      </c>
      <c r="K66" t="s">
        <v>616</v>
      </c>
      <c r="L66">
        <v>2</v>
      </c>
      <c r="M66">
        <v>6.2206999999999998E-2</v>
      </c>
      <c r="O66" t="s">
        <v>79</v>
      </c>
      <c r="P66" t="s">
        <v>80</v>
      </c>
    </row>
    <row r="67" spans="1:16" hidden="1" x14ac:dyDescent="0.35">
      <c r="A67" t="s">
        <v>621</v>
      </c>
      <c r="B67">
        <v>2023</v>
      </c>
      <c r="C67" t="s">
        <v>186</v>
      </c>
      <c r="E67" t="s">
        <v>187</v>
      </c>
      <c r="G67" t="s">
        <v>440</v>
      </c>
      <c r="H67" t="s">
        <v>276</v>
      </c>
      <c r="I67" t="s">
        <v>277</v>
      </c>
      <c r="J67" t="s">
        <v>22</v>
      </c>
      <c r="K67" t="s">
        <v>77</v>
      </c>
      <c r="L67">
        <v>39.036757999999999</v>
      </c>
      <c r="M67">
        <v>39.036757999999999</v>
      </c>
      <c r="O67" t="s">
        <v>79</v>
      </c>
      <c r="P67" t="s">
        <v>80</v>
      </c>
    </row>
    <row r="68" spans="1:16" hidden="1" x14ac:dyDescent="0.35">
      <c r="A68" t="s">
        <v>771</v>
      </c>
      <c r="B68">
        <v>2023</v>
      </c>
      <c r="C68" t="s">
        <v>189</v>
      </c>
      <c r="D68" t="s">
        <v>25</v>
      </c>
      <c r="E68" t="s">
        <v>190</v>
      </c>
      <c r="F68" t="s">
        <v>29</v>
      </c>
      <c r="G68" t="s">
        <v>19</v>
      </c>
      <c r="H68" t="s">
        <v>20</v>
      </c>
      <c r="I68" t="s">
        <v>21</v>
      </c>
      <c r="J68" t="s">
        <v>638</v>
      </c>
      <c r="K68" t="s">
        <v>77</v>
      </c>
      <c r="L68">
        <v>233000</v>
      </c>
      <c r="O68" t="s">
        <v>26</v>
      </c>
      <c r="P68" t="s">
        <v>766</v>
      </c>
    </row>
    <row r="69" spans="1:16" hidden="1" x14ac:dyDescent="0.35">
      <c r="A69" t="s">
        <v>188</v>
      </c>
      <c r="B69">
        <v>2023</v>
      </c>
      <c r="C69" t="s">
        <v>189</v>
      </c>
      <c r="D69" t="s">
        <v>25</v>
      </c>
      <c r="E69" t="s">
        <v>190</v>
      </c>
      <c r="F69" t="s">
        <v>29</v>
      </c>
      <c r="G69" t="s">
        <v>19</v>
      </c>
      <c r="H69" t="s">
        <v>20</v>
      </c>
      <c r="I69" t="s">
        <v>21</v>
      </c>
      <c r="J69" t="s">
        <v>22</v>
      </c>
      <c r="K69" t="s">
        <v>23</v>
      </c>
      <c r="L69">
        <v>229</v>
      </c>
      <c r="M69">
        <v>229000</v>
      </c>
      <c r="O69" t="s">
        <v>26</v>
      </c>
      <c r="P69" t="s">
        <v>27</v>
      </c>
    </row>
    <row r="70" spans="1:16" hidden="1" x14ac:dyDescent="0.35">
      <c r="A70" t="s">
        <v>191</v>
      </c>
      <c r="B70">
        <v>2023</v>
      </c>
      <c r="C70" t="s">
        <v>193</v>
      </c>
      <c r="E70" t="s">
        <v>196</v>
      </c>
      <c r="G70" t="s">
        <v>123</v>
      </c>
      <c r="H70" t="s">
        <v>52</v>
      </c>
      <c r="I70" t="s">
        <v>53</v>
      </c>
      <c r="J70" t="s">
        <v>22</v>
      </c>
      <c r="K70" t="s">
        <v>77</v>
      </c>
      <c r="L70">
        <v>1266009</v>
      </c>
      <c r="M70">
        <v>1266009</v>
      </c>
      <c r="N70" t="s">
        <v>192</v>
      </c>
      <c r="O70" t="s">
        <v>194</v>
      </c>
      <c r="P70" t="s">
        <v>195</v>
      </c>
    </row>
    <row r="71" spans="1:16" hidden="1" x14ac:dyDescent="0.35">
      <c r="A71" t="s">
        <v>647</v>
      </c>
      <c r="B71">
        <v>2023</v>
      </c>
      <c r="C71" t="s">
        <v>193</v>
      </c>
      <c r="E71" t="s">
        <v>196</v>
      </c>
      <c r="G71" t="s">
        <v>123</v>
      </c>
      <c r="H71" t="s">
        <v>276</v>
      </c>
      <c r="I71" t="s">
        <v>648</v>
      </c>
      <c r="J71" t="s">
        <v>22</v>
      </c>
      <c r="K71" t="s">
        <v>612</v>
      </c>
      <c r="L71">
        <v>141045</v>
      </c>
      <c r="M71">
        <v>4.3869931575000001</v>
      </c>
      <c r="O71" t="s">
        <v>194</v>
      </c>
      <c r="P71" t="s">
        <v>195</v>
      </c>
    </row>
    <row r="72" spans="1:16" hidden="1" x14ac:dyDescent="0.35">
      <c r="A72" t="s">
        <v>791</v>
      </c>
      <c r="B72">
        <v>2024</v>
      </c>
      <c r="C72" t="s">
        <v>199</v>
      </c>
      <c r="E72" t="s">
        <v>202</v>
      </c>
      <c r="G72" t="s">
        <v>579</v>
      </c>
      <c r="H72" t="s">
        <v>276</v>
      </c>
      <c r="I72" t="s">
        <v>277</v>
      </c>
      <c r="J72" t="s">
        <v>22</v>
      </c>
      <c r="K72" t="s">
        <v>23</v>
      </c>
      <c r="L72">
        <v>102.4</v>
      </c>
      <c r="M72">
        <v>102400</v>
      </c>
      <c r="O72" t="s">
        <v>200</v>
      </c>
      <c r="P72" t="s">
        <v>442</v>
      </c>
    </row>
    <row r="73" spans="1:16" hidden="1" x14ac:dyDescent="0.35">
      <c r="A73" t="s">
        <v>792</v>
      </c>
      <c r="B73">
        <v>2024</v>
      </c>
      <c r="C73" t="s">
        <v>199</v>
      </c>
      <c r="E73" t="s">
        <v>202</v>
      </c>
      <c r="G73" t="s">
        <v>786</v>
      </c>
      <c r="H73" t="s">
        <v>276</v>
      </c>
      <c r="I73" t="s">
        <v>277</v>
      </c>
      <c r="J73" t="s">
        <v>22</v>
      </c>
      <c r="K73" t="s">
        <v>23</v>
      </c>
      <c r="L73">
        <v>0.9</v>
      </c>
      <c r="M73">
        <v>900</v>
      </c>
      <c r="O73" t="s">
        <v>200</v>
      </c>
      <c r="P73" t="s">
        <v>442</v>
      </c>
    </row>
    <row r="74" spans="1:16" hidden="1" x14ac:dyDescent="0.35">
      <c r="A74" t="s">
        <v>197</v>
      </c>
      <c r="B74">
        <v>2024</v>
      </c>
      <c r="C74" t="s">
        <v>199</v>
      </c>
      <c r="E74" t="s">
        <v>202</v>
      </c>
      <c r="G74" t="s">
        <v>62</v>
      </c>
      <c r="H74" t="s">
        <v>52</v>
      </c>
      <c r="I74" t="s">
        <v>53</v>
      </c>
      <c r="J74" t="s">
        <v>22</v>
      </c>
      <c r="K74" t="s">
        <v>23</v>
      </c>
      <c r="L74">
        <v>17408</v>
      </c>
      <c r="M74">
        <v>17408000</v>
      </c>
      <c r="N74" t="s">
        <v>198</v>
      </c>
      <c r="O74" t="s">
        <v>200</v>
      </c>
      <c r="P74" t="s">
        <v>201</v>
      </c>
    </row>
    <row r="75" spans="1:16" hidden="1" x14ac:dyDescent="0.35">
      <c r="A75" t="s">
        <v>633</v>
      </c>
      <c r="B75">
        <v>2023</v>
      </c>
      <c r="C75" t="s">
        <v>209</v>
      </c>
      <c r="E75" t="s">
        <v>212</v>
      </c>
      <c r="G75" t="s">
        <v>123</v>
      </c>
      <c r="H75" t="s">
        <v>276</v>
      </c>
      <c r="I75" t="s">
        <v>277</v>
      </c>
      <c r="J75" t="s">
        <v>22</v>
      </c>
      <c r="K75" t="s">
        <v>612</v>
      </c>
      <c r="L75">
        <v>131400</v>
      </c>
      <c r="M75">
        <v>4.0869999000000004</v>
      </c>
      <c r="O75" t="s">
        <v>210</v>
      </c>
      <c r="P75" t="s">
        <v>211</v>
      </c>
    </row>
    <row r="76" spans="1:16" hidden="1" x14ac:dyDescent="0.35">
      <c r="A76" t="s">
        <v>634</v>
      </c>
      <c r="B76">
        <v>2023</v>
      </c>
      <c r="C76" t="s">
        <v>209</v>
      </c>
      <c r="E76" t="s">
        <v>212</v>
      </c>
      <c r="G76" t="s">
        <v>123</v>
      </c>
      <c r="H76" t="s">
        <v>84</v>
      </c>
      <c r="I76" t="s">
        <v>85</v>
      </c>
      <c r="J76" t="s">
        <v>22</v>
      </c>
      <c r="K76" t="s">
        <v>77</v>
      </c>
      <c r="L76">
        <v>437541</v>
      </c>
      <c r="M76">
        <v>437541</v>
      </c>
      <c r="O76" t="s">
        <v>210</v>
      </c>
      <c r="P76" t="s">
        <v>211</v>
      </c>
    </row>
    <row r="77" spans="1:16" hidden="1" x14ac:dyDescent="0.35">
      <c r="A77" t="s">
        <v>208</v>
      </c>
      <c r="B77">
        <v>2023</v>
      </c>
      <c r="C77" t="s">
        <v>209</v>
      </c>
      <c r="E77" t="s">
        <v>212</v>
      </c>
      <c r="G77" t="s">
        <v>123</v>
      </c>
      <c r="H77" t="s">
        <v>52</v>
      </c>
      <c r="I77" t="s">
        <v>53</v>
      </c>
      <c r="J77" t="s">
        <v>22</v>
      </c>
      <c r="K77" t="s">
        <v>77</v>
      </c>
      <c r="L77">
        <v>439008</v>
      </c>
      <c r="M77">
        <v>439008</v>
      </c>
      <c r="O77" t="s">
        <v>210</v>
      </c>
      <c r="P77" t="s">
        <v>211</v>
      </c>
    </row>
    <row r="78" spans="1:16" hidden="1" x14ac:dyDescent="0.35">
      <c r="A78" t="s">
        <v>705</v>
      </c>
      <c r="B78">
        <v>2023</v>
      </c>
      <c r="C78" t="s">
        <v>529</v>
      </c>
      <c r="E78" t="s">
        <v>530</v>
      </c>
      <c r="G78" t="s">
        <v>37</v>
      </c>
      <c r="H78" t="s">
        <v>20</v>
      </c>
      <c r="I78" t="s">
        <v>676</v>
      </c>
      <c r="J78" t="s">
        <v>638</v>
      </c>
      <c r="K78" t="s">
        <v>677</v>
      </c>
      <c r="L78">
        <v>650</v>
      </c>
      <c r="O78" t="s">
        <v>706</v>
      </c>
      <c r="P78" t="s">
        <v>707</v>
      </c>
    </row>
    <row r="79" spans="1:16" hidden="1" x14ac:dyDescent="0.35">
      <c r="A79" t="s">
        <v>700</v>
      </c>
      <c r="B79">
        <v>2023</v>
      </c>
      <c r="C79" t="s">
        <v>214</v>
      </c>
      <c r="E79" t="s">
        <v>216</v>
      </c>
      <c r="G79" t="s">
        <v>678</v>
      </c>
      <c r="H79" t="s">
        <v>276</v>
      </c>
      <c r="I79" t="s">
        <v>277</v>
      </c>
      <c r="J79" t="s">
        <v>22</v>
      </c>
      <c r="K79" t="s">
        <v>77</v>
      </c>
      <c r="L79">
        <v>1225</v>
      </c>
      <c r="M79">
        <v>1225</v>
      </c>
      <c r="N79" t="s">
        <v>701</v>
      </c>
      <c r="O79" t="s">
        <v>94</v>
      </c>
      <c r="P79" t="s">
        <v>702</v>
      </c>
    </row>
    <row r="80" spans="1:16" hidden="1" x14ac:dyDescent="0.35">
      <c r="A80" t="s">
        <v>703</v>
      </c>
      <c r="B80">
        <v>2023</v>
      </c>
      <c r="C80" t="s">
        <v>214</v>
      </c>
      <c r="E80" t="s">
        <v>216</v>
      </c>
      <c r="G80" t="s">
        <v>615</v>
      </c>
      <c r="H80" t="s">
        <v>276</v>
      </c>
      <c r="I80" t="s">
        <v>277</v>
      </c>
      <c r="J80" t="s">
        <v>22</v>
      </c>
      <c r="K80" t="s">
        <v>612</v>
      </c>
      <c r="L80">
        <v>1502577</v>
      </c>
      <c r="M80">
        <v>46.735403719499999</v>
      </c>
      <c r="N80" t="s">
        <v>701</v>
      </c>
      <c r="O80" t="s">
        <v>94</v>
      </c>
      <c r="P80" t="s">
        <v>702</v>
      </c>
    </row>
    <row r="81" spans="1:16" hidden="1" x14ac:dyDescent="0.35">
      <c r="A81" t="s">
        <v>704</v>
      </c>
      <c r="B81">
        <v>2023</v>
      </c>
      <c r="C81" t="s">
        <v>214</v>
      </c>
      <c r="E81" t="s">
        <v>216</v>
      </c>
      <c r="G81" t="s">
        <v>440</v>
      </c>
      <c r="H81" t="s">
        <v>276</v>
      </c>
      <c r="I81" t="s">
        <v>277</v>
      </c>
      <c r="J81" t="s">
        <v>22</v>
      </c>
      <c r="K81" t="s">
        <v>77</v>
      </c>
      <c r="L81">
        <v>1339</v>
      </c>
      <c r="M81">
        <v>1339</v>
      </c>
      <c r="N81" t="s">
        <v>701</v>
      </c>
      <c r="O81" t="s">
        <v>94</v>
      </c>
      <c r="P81" t="s">
        <v>702</v>
      </c>
    </row>
    <row r="82" spans="1:16" hidden="1" x14ac:dyDescent="0.35">
      <c r="A82" t="s">
        <v>213</v>
      </c>
      <c r="B82">
        <v>2024</v>
      </c>
      <c r="C82" t="s">
        <v>214</v>
      </c>
      <c r="E82" t="s">
        <v>216</v>
      </c>
      <c r="G82" t="s">
        <v>62</v>
      </c>
      <c r="H82" t="s">
        <v>52</v>
      </c>
      <c r="I82" t="s">
        <v>91</v>
      </c>
      <c r="J82" t="s">
        <v>22</v>
      </c>
      <c r="K82" t="s">
        <v>77</v>
      </c>
      <c r="L82">
        <v>127307</v>
      </c>
      <c r="M82">
        <v>127307</v>
      </c>
      <c r="O82" t="s">
        <v>94</v>
      </c>
      <c r="P82" t="s">
        <v>215</v>
      </c>
    </row>
    <row r="83" spans="1:16" hidden="1" x14ac:dyDescent="0.35">
      <c r="A83" t="s">
        <v>680</v>
      </c>
      <c r="B83">
        <v>2023</v>
      </c>
      <c r="C83" t="s">
        <v>220</v>
      </c>
      <c r="E83" t="s">
        <v>222</v>
      </c>
      <c r="G83" t="s">
        <v>440</v>
      </c>
      <c r="H83" t="s">
        <v>276</v>
      </c>
      <c r="I83" t="s">
        <v>277</v>
      </c>
      <c r="J83" t="s">
        <v>22</v>
      </c>
      <c r="K83" t="s">
        <v>23</v>
      </c>
      <c r="L83">
        <v>38.6</v>
      </c>
      <c r="M83">
        <v>38600</v>
      </c>
      <c r="O83" t="s">
        <v>72</v>
      </c>
      <c r="P83" t="s">
        <v>681</v>
      </c>
    </row>
    <row r="84" spans="1:16" hidden="1" x14ac:dyDescent="0.35">
      <c r="A84" t="s">
        <v>682</v>
      </c>
      <c r="B84">
        <v>2023</v>
      </c>
      <c r="C84" t="s">
        <v>220</v>
      </c>
      <c r="E84" t="s">
        <v>222</v>
      </c>
      <c r="G84" t="s">
        <v>579</v>
      </c>
      <c r="H84" t="s">
        <v>276</v>
      </c>
      <c r="I84" t="s">
        <v>277</v>
      </c>
      <c r="J84" t="s">
        <v>22</v>
      </c>
      <c r="K84" t="s">
        <v>23</v>
      </c>
      <c r="L84">
        <v>22.6</v>
      </c>
      <c r="M84">
        <v>22600</v>
      </c>
      <c r="O84" t="s">
        <v>72</v>
      </c>
      <c r="P84" t="s">
        <v>681</v>
      </c>
    </row>
    <row r="85" spans="1:16" hidden="1" x14ac:dyDescent="0.35">
      <c r="A85" t="s">
        <v>683</v>
      </c>
      <c r="B85">
        <v>2023</v>
      </c>
      <c r="C85" t="s">
        <v>220</v>
      </c>
      <c r="E85" t="s">
        <v>222</v>
      </c>
      <c r="G85" t="s">
        <v>615</v>
      </c>
      <c r="H85" t="s">
        <v>276</v>
      </c>
      <c r="I85" t="s">
        <v>277</v>
      </c>
      <c r="J85" t="s">
        <v>22</v>
      </c>
      <c r="K85" t="s">
        <v>616</v>
      </c>
      <c r="L85">
        <v>1378</v>
      </c>
      <c r="M85">
        <v>42.860622999999997</v>
      </c>
      <c r="O85" t="s">
        <v>72</v>
      </c>
      <c r="P85" t="s">
        <v>681</v>
      </c>
    </row>
    <row r="86" spans="1:16" hidden="1" x14ac:dyDescent="0.35">
      <c r="A86" t="s">
        <v>218</v>
      </c>
      <c r="B86">
        <v>2023</v>
      </c>
      <c r="C86" t="s">
        <v>220</v>
      </c>
      <c r="E86" t="s">
        <v>222</v>
      </c>
      <c r="G86" t="s">
        <v>62</v>
      </c>
      <c r="H86" t="s">
        <v>52</v>
      </c>
      <c r="I86" t="s">
        <v>53</v>
      </c>
      <c r="J86" t="s">
        <v>22</v>
      </c>
      <c r="K86" t="s">
        <v>23</v>
      </c>
      <c r="L86">
        <v>1885.6904463913199</v>
      </c>
      <c r="M86">
        <v>1885690.4463913201</v>
      </c>
      <c r="N86" t="s">
        <v>219</v>
      </c>
      <c r="O86" t="s">
        <v>72</v>
      </c>
      <c r="P86" t="s">
        <v>221</v>
      </c>
    </row>
    <row r="87" spans="1:16" hidden="1" x14ac:dyDescent="0.35">
      <c r="A87" t="s">
        <v>801</v>
      </c>
      <c r="B87">
        <v>2023</v>
      </c>
      <c r="C87" t="s">
        <v>225</v>
      </c>
      <c r="E87" t="s">
        <v>226</v>
      </c>
      <c r="G87" t="s">
        <v>123</v>
      </c>
      <c r="H87" t="s">
        <v>276</v>
      </c>
      <c r="I87" t="s">
        <v>277</v>
      </c>
      <c r="J87" t="s">
        <v>22</v>
      </c>
      <c r="K87" t="s">
        <v>612</v>
      </c>
      <c r="L87">
        <v>35537</v>
      </c>
      <c r="M87">
        <v>1.1053250795</v>
      </c>
      <c r="N87" t="s">
        <v>800</v>
      </c>
      <c r="O87" t="s">
        <v>135</v>
      </c>
      <c r="P87" t="s">
        <v>136</v>
      </c>
    </row>
    <row r="88" spans="1:16" hidden="1" x14ac:dyDescent="0.35">
      <c r="A88" t="s">
        <v>801</v>
      </c>
      <c r="B88">
        <v>2023</v>
      </c>
      <c r="C88" t="s">
        <v>225</v>
      </c>
      <c r="E88" t="s">
        <v>226</v>
      </c>
      <c r="G88" t="s">
        <v>615</v>
      </c>
      <c r="H88" t="s">
        <v>276</v>
      </c>
      <c r="I88" t="s">
        <v>277</v>
      </c>
      <c r="J88" t="s">
        <v>22</v>
      </c>
      <c r="K88" t="s">
        <v>612</v>
      </c>
      <c r="L88">
        <v>2908</v>
      </c>
      <c r="M88">
        <v>9.0448977999999999E-2</v>
      </c>
      <c r="O88" t="s">
        <v>135</v>
      </c>
      <c r="P88" t="s">
        <v>136</v>
      </c>
    </row>
    <row r="89" spans="1:16" hidden="1" x14ac:dyDescent="0.35">
      <c r="A89" t="s">
        <v>224</v>
      </c>
      <c r="B89">
        <v>2023</v>
      </c>
      <c r="C89" t="s">
        <v>225</v>
      </c>
      <c r="E89" t="s">
        <v>226</v>
      </c>
      <c r="G89" t="s">
        <v>123</v>
      </c>
      <c r="H89" t="s">
        <v>52</v>
      </c>
      <c r="I89" t="s">
        <v>115</v>
      </c>
      <c r="J89" t="s">
        <v>22</v>
      </c>
      <c r="K89" t="s">
        <v>77</v>
      </c>
      <c r="L89">
        <v>191148</v>
      </c>
      <c r="M89">
        <v>191148</v>
      </c>
      <c r="O89" t="s">
        <v>135</v>
      </c>
      <c r="P89" t="s">
        <v>136</v>
      </c>
    </row>
    <row r="90" spans="1:16" hidden="1" x14ac:dyDescent="0.35">
      <c r="A90" t="s">
        <v>772</v>
      </c>
      <c r="B90">
        <v>2023</v>
      </c>
      <c r="C90" t="s">
        <v>228</v>
      </c>
      <c r="E90" t="s">
        <v>229</v>
      </c>
      <c r="G90" t="s">
        <v>19</v>
      </c>
      <c r="H90" t="s">
        <v>20</v>
      </c>
      <c r="I90" t="s">
        <v>21</v>
      </c>
      <c r="J90" t="s">
        <v>638</v>
      </c>
      <c r="K90" t="s">
        <v>77</v>
      </c>
      <c r="L90">
        <v>432000</v>
      </c>
      <c r="O90" t="s">
        <v>26</v>
      </c>
      <c r="P90" t="s">
        <v>766</v>
      </c>
    </row>
    <row r="91" spans="1:16" hidden="1" x14ac:dyDescent="0.35">
      <c r="A91" t="s">
        <v>227</v>
      </c>
      <c r="B91">
        <v>2023</v>
      </c>
      <c r="C91" t="s">
        <v>228</v>
      </c>
      <c r="E91" t="s">
        <v>229</v>
      </c>
      <c r="G91" t="s">
        <v>19</v>
      </c>
      <c r="H91" t="s">
        <v>20</v>
      </c>
      <c r="I91" t="s">
        <v>21</v>
      </c>
      <c r="J91" t="s">
        <v>22</v>
      </c>
      <c r="K91" t="s">
        <v>23</v>
      </c>
      <c r="L91">
        <v>377.27207800000002</v>
      </c>
      <c r="M91">
        <v>377272.07799999998</v>
      </c>
      <c r="O91" t="s">
        <v>26</v>
      </c>
      <c r="P91" t="s">
        <v>27</v>
      </c>
    </row>
    <row r="92" spans="1:16" hidden="1" x14ac:dyDescent="0.35">
      <c r="A92" t="s">
        <v>230</v>
      </c>
      <c r="B92">
        <v>2023</v>
      </c>
      <c r="C92" t="s">
        <v>231</v>
      </c>
      <c r="E92" t="s">
        <v>234</v>
      </c>
      <c r="G92" t="s">
        <v>62</v>
      </c>
      <c r="H92" t="s">
        <v>52</v>
      </c>
      <c r="I92" t="s">
        <v>115</v>
      </c>
      <c r="J92" t="s">
        <v>22</v>
      </c>
      <c r="K92" t="s">
        <v>23</v>
      </c>
      <c r="L92">
        <v>10248</v>
      </c>
      <c r="M92">
        <v>10248000</v>
      </c>
      <c r="O92" t="s">
        <v>232</v>
      </c>
      <c r="P92" t="s">
        <v>233</v>
      </c>
    </row>
    <row r="93" spans="1:16" hidden="1" x14ac:dyDescent="0.35">
      <c r="A93" t="s">
        <v>730</v>
      </c>
      <c r="B93">
        <v>2023</v>
      </c>
      <c r="C93" t="s">
        <v>231</v>
      </c>
      <c r="E93" t="s">
        <v>234</v>
      </c>
      <c r="G93" t="s">
        <v>731</v>
      </c>
      <c r="H93" t="s">
        <v>20</v>
      </c>
      <c r="I93" t="s">
        <v>697</v>
      </c>
      <c r="J93" t="s">
        <v>22</v>
      </c>
      <c r="K93" t="s">
        <v>616</v>
      </c>
      <c r="L93">
        <v>1232</v>
      </c>
      <c r="M93">
        <v>38.319512000000003</v>
      </c>
      <c r="O93" t="s">
        <v>232</v>
      </c>
      <c r="P93" t="s">
        <v>233</v>
      </c>
    </row>
    <row r="94" spans="1:16" hidden="1" x14ac:dyDescent="0.35">
      <c r="A94" t="s">
        <v>236</v>
      </c>
      <c r="B94">
        <v>2023</v>
      </c>
      <c r="C94" t="s">
        <v>237</v>
      </c>
      <c r="D94" t="s">
        <v>238</v>
      </c>
      <c r="E94" t="s">
        <v>239</v>
      </c>
      <c r="F94" t="s">
        <v>240</v>
      </c>
      <c r="G94" t="s">
        <v>62</v>
      </c>
      <c r="H94" t="s">
        <v>84</v>
      </c>
      <c r="I94" t="s">
        <v>85</v>
      </c>
      <c r="J94" t="s">
        <v>22</v>
      </c>
      <c r="K94" t="s">
        <v>77</v>
      </c>
      <c r="L94">
        <v>1526729</v>
      </c>
      <c r="M94">
        <v>1526729</v>
      </c>
      <c r="O94" t="s">
        <v>118</v>
      </c>
      <c r="P94" t="s">
        <v>119</v>
      </c>
    </row>
    <row r="95" spans="1:16" hidden="1" x14ac:dyDescent="0.35">
      <c r="A95" t="s">
        <v>670</v>
      </c>
      <c r="B95">
        <v>2023</v>
      </c>
      <c r="C95" t="s">
        <v>243</v>
      </c>
      <c r="E95" t="s">
        <v>246</v>
      </c>
      <c r="G95" t="s">
        <v>123</v>
      </c>
      <c r="H95" t="s">
        <v>276</v>
      </c>
      <c r="I95" t="s">
        <v>277</v>
      </c>
      <c r="J95" t="s">
        <v>22</v>
      </c>
      <c r="K95" t="s">
        <v>612</v>
      </c>
      <c r="L95">
        <v>177069</v>
      </c>
      <c r="M95">
        <v>5.5074656414999996</v>
      </c>
      <c r="O95" t="s">
        <v>244</v>
      </c>
      <c r="P95" t="s">
        <v>245</v>
      </c>
    </row>
    <row r="96" spans="1:16" hidden="1" x14ac:dyDescent="0.35">
      <c r="A96" t="s">
        <v>670</v>
      </c>
      <c r="B96">
        <v>2023</v>
      </c>
      <c r="C96" t="s">
        <v>243</v>
      </c>
      <c r="E96" t="s">
        <v>246</v>
      </c>
      <c r="G96" t="s">
        <v>615</v>
      </c>
      <c r="H96" t="s">
        <v>276</v>
      </c>
      <c r="I96" t="s">
        <v>277</v>
      </c>
      <c r="J96" t="s">
        <v>22</v>
      </c>
      <c r="K96" t="s">
        <v>612</v>
      </c>
      <c r="L96">
        <v>72876</v>
      </c>
      <c r="M96">
        <v>2.2666986659999999</v>
      </c>
      <c r="O96" t="s">
        <v>244</v>
      </c>
      <c r="P96" t="s">
        <v>1149</v>
      </c>
    </row>
    <row r="97" spans="1:16" hidden="1" x14ac:dyDescent="0.35">
      <c r="A97" t="s">
        <v>242</v>
      </c>
      <c r="B97">
        <v>2023</v>
      </c>
      <c r="C97" t="s">
        <v>243</v>
      </c>
      <c r="E97" t="s">
        <v>246</v>
      </c>
      <c r="G97" t="s">
        <v>123</v>
      </c>
      <c r="H97" t="s">
        <v>52</v>
      </c>
      <c r="I97" t="s">
        <v>115</v>
      </c>
      <c r="J97" t="s">
        <v>22</v>
      </c>
      <c r="K97" t="s">
        <v>77</v>
      </c>
      <c r="L97">
        <v>838419</v>
      </c>
      <c r="M97">
        <v>838419</v>
      </c>
      <c r="O97" t="s">
        <v>244</v>
      </c>
      <c r="P97" t="s">
        <v>245</v>
      </c>
    </row>
    <row r="98" spans="1:16" hidden="1" x14ac:dyDescent="0.35">
      <c r="A98" t="s">
        <v>623</v>
      </c>
      <c r="B98">
        <v>2023</v>
      </c>
      <c r="C98" t="s">
        <v>248</v>
      </c>
      <c r="E98" t="s">
        <v>249</v>
      </c>
      <c r="G98" t="s">
        <v>579</v>
      </c>
      <c r="H98" t="s">
        <v>276</v>
      </c>
      <c r="I98" t="s">
        <v>277</v>
      </c>
      <c r="J98" t="s">
        <v>22</v>
      </c>
      <c r="K98" t="s">
        <v>77</v>
      </c>
      <c r="L98">
        <v>7702.4385169999996</v>
      </c>
      <c r="M98">
        <v>7702.4385169999996</v>
      </c>
      <c r="N98" t="s">
        <v>624</v>
      </c>
      <c r="O98" t="s">
        <v>79</v>
      </c>
      <c r="P98" t="s">
        <v>80</v>
      </c>
    </row>
    <row r="99" spans="1:16" hidden="1" x14ac:dyDescent="0.35">
      <c r="A99" t="s">
        <v>625</v>
      </c>
      <c r="B99">
        <v>2023</v>
      </c>
      <c r="C99" t="s">
        <v>248</v>
      </c>
      <c r="E99" t="s">
        <v>249</v>
      </c>
      <c r="G99" t="s">
        <v>123</v>
      </c>
      <c r="H99" t="s">
        <v>276</v>
      </c>
      <c r="I99" t="s">
        <v>277</v>
      </c>
      <c r="J99" t="s">
        <v>22</v>
      </c>
      <c r="K99" t="s">
        <v>612</v>
      </c>
      <c r="L99">
        <v>306648.48645800003</v>
      </c>
      <c r="M99">
        <v>9.5378411985463991</v>
      </c>
      <c r="O99" t="s">
        <v>79</v>
      </c>
      <c r="P99" t="s">
        <v>80</v>
      </c>
    </row>
    <row r="100" spans="1:16" hidden="1" x14ac:dyDescent="0.35">
      <c r="A100" t="s">
        <v>247</v>
      </c>
      <c r="B100">
        <v>2023</v>
      </c>
      <c r="C100" t="s">
        <v>248</v>
      </c>
      <c r="E100" t="s">
        <v>249</v>
      </c>
      <c r="G100" t="s">
        <v>62</v>
      </c>
      <c r="H100" t="s">
        <v>52</v>
      </c>
      <c r="I100" t="s">
        <v>53</v>
      </c>
      <c r="J100" t="s">
        <v>22</v>
      </c>
      <c r="K100" t="s">
        <v>77</v>
      </c>
      <c r="L100">
        <v>2658395.96049</v>
      </c>
      <c r="M100">
        <v>2658395.96049</v>
      </c>
      <c r="O100" t="s">
        <v>79</v>
      </c>
      <c r="P100" t="s">
        <v>80</v>
      </c>
    </row>
    <row r="101" spans="1:16" hidden="1" x14ac:dyDescent="0.35">
      <c r="A101" t="s">
        <v>626</v>
      </c>
      <c r="B101">
        <v>2023</v>
      </c>
      <c r="C101" t="s">
        <v>248</v>
      </c>
      <c r="E101" t="s">
        <v>249</v>
      </c>
      <c r="G101" t="s">
        <v>615</v>
      </c>
      <c r="H101" t="s">
        <v>276</v>
      </c>
      <c r="I101" t="s">
        <v>277</v>
      </c>
      <c r="J101" t="s">
        <v>22</v>
      </c>
      <c r="K101" t="s">
        <v>616</v>
      </c>
      <c r="L101">
        <v>588</v>
      </c>
      <c r="M101">
        <v>18.288858000000001</v>
      </c>
      <c r="O101" t="s">
        <v>79</v>
      </c>
      <c r="P101" t="s">
        <v>80</v>
      </c>
    </row>
    <row r="102" spans="1:16" hidden="1" x14ac:dyDescent="0.35">
      <c r="A102" t="s">
        <v>627</v>
      </c>
      <c r="B102">
        <v>2023</v>
      </c>
      <c r="C102" t="s">
        <v>248</v>
      </c>
      <c r="E102" t="s">
        <v>249</v>
      </c>
      <c r="G102" t="s">
        <v>440</v>
      </c>
      <c r="H102" t="s">
        <v>276</v>
      </c>
      <c r="I102" t="s">
        <v>277</v>
      </c>
      <c r="J102" t="s">
        <v>22</v>
      </c>
      <c r="K102" t="s">
        <v>77</v>
      </c>
      <c r="L102">
        <v>2577.9603750000001</v>
      </c>
      <c r="M102">
        <v>2577.9603750000001</v>
      </c>
      <c r="O102" t="s">
        <v>79</v>
      </c>
      <c r="P102" t="s">
        <v>80</v>
      </c>
    </row>
    <row r="103" spans="1:16" hidden="1" x14ac:dyDescent="0.35">
      <c r="A103" t="s">
        <v>773</v>
      </c>
      <c r="B103">
        <v>2023</v>
      </c>
      <c r="C103" t="s">
        <v>252</v>
      </c>
      <c r="D103" t="s">
        <v>25</v>
      </c>
      <c r="E103" t="s">
        <v>253</v>
      </c>
      <c r="F103" t="s">
        <v>29</v>
      </c>
      <c r="G103" t="s">
        <v>19</v>
      </c>
      <c r="H103" t="s">
        <v>20</v>
      </c>
      <c r="I103" t="s">
        <v>21</v>
      </c>
      <c r="J103" t="s">
        <v>638</v>
      </c>
      <c r="K103" t="s">
        <v>77</v>
      </c>
      <c r="L103">
        <v>257000</v>
      </c>
      <c r="O103" t="s">
        <v>26</v>
      </c>
      <c r="P103" t="s">
        <v>766</v>
      </c>
    </row>
    <row r="104" spans="1:16" hidden="1" x14ac:dyDescent="0.35">
      <c r="A104" t="s">
        <v>251</v>
      </c>
      <c r="B104">
        <v>2023</v>
      </c>
      <c r="C104" t="s">
        <v>252</v>
      </c>
      <c r="D104" t="s">
        <v>25</v>
      </c>
      <c r="E104" t="s">
        <v>253</v>
      </c>
      <c r="F104" t="s">
        <v>29</v>
      </c>
      <c r="G104" t="s">
        <v>19</v>
      </c>
      <c r="H104" t="s">
        <v>20</v>
      </c>
      <c r="I104" t="s">
        <v>21</v>
      </c>
      <c r="J104" t="s">
        <v>22</v>
      </c>
      <c r="K104" t="s">
        <v>23</v>
      </c>
      <c r="L104">
        <v>243.851812</v>
      </c>
      <c r="M104">
        <v>243851.81200000001</v>
      </c>
      <c r="O104" t="s">
        <v>26</v>
      </c>
      <c r="P104" t="s">
        <v>27</v>
      </c>
    </row>
    <row r="105" spans="1:16" hidden="1" x14ac:dyDescent="0.35">
      <c r="A105" t="s">
        <v>254</v>
      </c>
      <c r="B105">
        <v>2023</v>
      </c>
      <c r="C105" t="s">
        <v>255</v>
      </c>
      <c r="E105" t="s">
        <v>256</v>
      </c>
      <c r="G105" t="s">
        <v>62</v>
      </c>
      <c r="H105" t="s">
        <v>52</v>
      </c>
      <c r="I105" t="s">
        <v>53</v>
      </c>
      <c r="J105" t="s">
        <v>22</v>
      </c>
      <c r="K105" t="s">
        <v>77</v>
      </c>
      <c r="L105">
        <v>441588</v>
      </c>
      <c r="M105">
        <v>441588</v>
      </c>
      <c r="O105" t="s">
        <v>79</v>
      </c>
      <c r="P105" t="s">
        <v>80</v>
      </c>
    </row>
    <row r="106" spans="1:16" hidden="1" x14ac:dyDescent="0.35">
      <c r="A106" t="s">
        <v>628</v>
      </c>
      <c r="B106">
        <v>2023</v>
      </c>
      <c r="C106" t="s">
        <v>255</v>
      </c>
      <c r="E106" t="s">
        <v>256</v>
      </c>
      <c r="G106" t="s">
        <v>123</v>
      </c>
      <c r="H106" t="s">
        <v>276</v>
      </c>
      <c r="I106" t="s">
        <v>277</v>
      </c>
      <c r="J106" t="s">
        <v>22</v>
      </c>
      <c r="K106" t="s">
        <v>612</v>
      </c>
      <c r="L106">
        <v>228535</v>
      </c>
      <c r="M106">
        <v>7.1082383724999998</v>
      </c>
      <c r="O106" t="s">
        <v>79</v>
      </c>
      <c r="P106" t="s">
        <v>80</v>
      </c>
    </row>
    <row r="107" spans="1:16" hidden="1" x14ac:dyDescent="0.35">
      <c r="A107" t="s">
        <v>645</v>
      </c>
      <c r="B107">
        <v>2024</v>
      </c>
      <c r="C107" t="s">
        <v>259</v>
      </c>
      <c r="E107" t="s">
        <v>262</v>
      </c>
      <c r="G107" t="s">
        <v>123</v>
      </c>
      <c r="H107" t="s">
        <v>276</v>
      </c>
      <c r="I107" t="s">
        <v>277</v>
      </c>
      <c r="J107" t="s">
        <v>22</v>
      </c>
      <c r="K107" t="s">
        <v>612</v>
      </c>
      <c r="L107">
        <v>33000</v>
      </c>
      <c r="M107">
        <v>1.0264154999999999</v>
      </c>
      <c r="N107" t="s">
        <v>258</v>
      </c>
      <c r="O107" t="s">
        <v>260</v>
      </c>
      <c r="P107" t="s">
        <v>261</v>
      </c>
    </row>
    <row r="108" spans="1:16" hidden="1" x14ac:dyDescent="0.35">
      <c r="A108" t="s">
        <v>646</v>
      </c>
      <c r="B108">
        <v>2024</v>
      </c>
      <c r="C108" t="s">
        <v>259</v>
      </c>
      <c r="E108" t="s">
        <v>262</v>
      </c>
      <c r="G108" t="s">
        <v>123</v>
      </c>
      <c r="H108" t="s">
        <v>84</v>
      </c>
      <c r="I108" t="s">
        <v>85</v>
      </c>
      <c r="J108" t="s">
        <v>22</v>
      </c>
      <c r="K108" t="s">
        <v>77</v>
      </c>
      <c r="L108">
        <v>1838496</v>
      </c>
      <c r="M108">
        <v>1838496</v>
      </c>
      <c r="N108" t="s">
        <v>258</v>
      </c>
      <c r="O108" t="s">
        <v>260</v>
      </c>
      <c r="P108" t="s">
        <v>261</v>
      </c>
    </row>
    <row r="109" spans="1:16" hidden="1" x14ac:dyDescent="0.35">
      <c r="A109" t="s">
        <v>257</v>
      </c>
      <c r="B109">
        <v>2024</v>
      </c>
      <c r="C109" t="s">
        <v>259</v>
      </c>
      <c r="E109" t="s">
        <v>262</v>
      </c>
      <c r="G109" t="s">
        <v>123</v>
      </c>
      <c r="H109" t="s">
        <v>52</v>
      </c>
      <c r="I109" t="s">
        <v>53</v>
      </c>
      <c r="J109" t="s">
        <v>22</v>
      </c>
      <c r="K109" t="s">
        <v>77</v>
      </c>
      <c r="L109">
        <v>1165551</v>
      </c>
      <c r="M109">
        <v>1165551</v>
      </c>
      <c r="N109" t="s">
        <v>258</v>
      </c>
      <c r="O109" t="s">
        <v>260</v>
      </c>
      <c r="P109" t="s">
        <v>261</v>
      </c>
    </row>
    <row r="110" spans="1:16" hidden="1" x14ac:dyDescent="0.35">
      <c r="A110" t="s">
        <v>263</v>
      </c>
      <c r="B110">
        <v>2023</v>
      </c>
      <c r="C110" t="s">
        <v>265</v>
      </c>
      <c r="E110" t="s">
        <v>268</v>
      </c>
      <c r="G110" t="s">
        <v>51</v>
      </c>
      <c r="H110" t="s">
        <v>52</v>
      </c>
      <c r="I110" t="s">
        <v>53</v>
      </c>
      <c r="J110" t="s">
        <v>22</v>
      </c>
      <c r="K110" t="s">
        <v>23</v>
      </c>
      <c r="L110">
        <v>5600</v>
      </c>
      <c r="M110">
        <v>5600000</v>
      </c>
      <c r="N110" t="s">
        <v>264</v>
      </c>
      <c r="O110" t="s">
        <v>266</v>
      </c>
      <c r="P110" t="s">
        <v>267</v>
      </c>
    </row>
    <row r="111" spans="1:16" hidden="1" x14ac:dyDescent="0.35">
      <c r="A111" t="s">
        <v>275</v>
      </c>
      <c r="B111">
        <v>2022</v>
      </c>
      <c r="C111" t="s">
        <v>279</v>
      </c>
      <c r="E111" t="s">
        <v>282</v>
      </c>
      <c r="G111" t="s">
        <v>99</v>
      </c>
      <c r="H111" t="s">
        <v>276</v>
      </c>
      <c r="I111" t="s">
        <v>277</v>
      </c>
      <c r="J111" t="s">
        <v>22</v>
      </c>
      <c r="K111" t="s">
        <v>100</v>
      </c>
      <c r="L111">
        <v>18</v>
      </c>
      <c r="M111">
        <v>8164.6559999999999</v>
      </c>
      <c r="N111" t="s">
        <v>278</v>
      </c>
      <c r="O111" t="s">
        <v>280</v>
      </c>
      <c r="P111" t="s">
        <v>281</v>
      </c>
    </row>
    <row r="112" spans="1:16" hidden="1" x14ac:dyDescent="0.35">
      <c r="A112" t="s">
        <v>761</v>
      </c>
      <c r="B112">
        <v>2022</v>
      </c>
      <c r="C112" t="s">
        <v>279</v>
      </c>
      <c r="E112" t="s">
        <v>282</v>
      </c>
      <c r="G112" t="s">
        <v>99</v>
      </c>
      <c r="H112" t="s">
        <v>276</v>
      </c>
      <c r="I112" t="s">
        <v>277</v>
      </c>
      <c r="J112" t="s">
        <v>638</v>
      </c>
      <c r="K112" t="s">
        <v>100</v>
      </c>
      <c r="L112">
        <v>24</v>
      </c>
      <c r="N112" t="s">
        <v>278</v>
      </c>
      <c r="O112" t="s">
        <v>280</v>
      </c>
      <c r="P112" t="s">
        <v>281</v>
      </c>
    </row>
    <row r="113" spans="1:16" hidden="1" x14ac:dyDescent="0.35">
      <c r="A113" t="s">
        <v>284</v>
      </c>
      <c r="B113">
        <v>2023</v>
      </c>
      <c r="C113" t="s">
        <v>286</v>
      </c>
      <c r="E113" t="s">
        <v>289</v>
      </c>
      <c r="G113" t="s">
        <v>62</v>
      </c>
      <c r="H113" t="s">
        <v>84</v>
      </c>
      <c r="I113" t="s">
        <v>85</v>
      </c>
      <c r="J113" t="s">
        <v>22</v>
      </c>
      <c r="K113" t="s">
        <v>77</v>
      </c>
      <c r="L113">
        <v>317660</v>
      </c>
      <c r="M113">
        <v>317660</v>
      </c>
      <c r="N113" t="s">
        <v>285</v>
      </c>
      <c r="O113" t="s">
        <v>287</v>
      </c>
      <c r="P113" t="s">
        <v>288</v>
      </c>
    </row>
    <row r="114" spans="1:16" hidden="1" x14ac:dyDescent="0.35">
      <c r="A114" t="s">
        <v>295</v>
      </c>
      <c r="B114">
        <v>2023</v>
      </c>
      <c r="C114" t="s">
        <v>296</v>
      </c>
      <c r="E114" t="s">
        <v>297</v>
      </c>
      <c r="G114" t="s">
        <v>123</v>
      </c>
      <c r="H114" t="s">
        <v>52</v>
      </c>
      <c r="I114" t="s">
        <v>53</v>
      </c>
      <c r="J114" t="s">
        <v>22</v>
      </c>
      <c r="K114" t="s">
        <v>77</v>
      </c>
      <c r="L114">
        <v>1918143</v>
      </c>
      <c r="M114">
        <v>1918143</v>
      </c>
      <c r="O114" t="s">
        <v>79</v>
      </c>
      <c r="P114" t="s">
        <v>80</v>
      </c>
    </row>
    <row r="115" spans="1:16" hidden="1" x14ac:dyDescent="0.35">
      <c r="A115" t="s">
        <v>631</v>
      </c>
      <c r="B115">
        <v>2023</v>
      </c>
      <c r="C115" t="s">
        <v>296</v>
      </c>
      <c r="E115" t="s">
        <v>297</v>
      </c>
      <c r="G115" t="s">
        <v>123</v>
      </c>
      <c r="H115" t="s">
        <v>276</v>
      </c>
      <c r="I115" t="s">
        <v>277</v>
      </c>
      <c r="J115" t="s">
        <v>22</v>
      </c>
      <c r="K115" t="s">
        <v>612</v>
      </c>
      <c r="L115">
        <v>364141</v>
      </c>
      <c r="M115">
        <v>11.326059593499901</v>
      </c>
      <c r="O115" t="s">
        <v>79</v>
      </c>
      <c r="P115" t="s">
        <v>80</v>
      </c>
    </row>
    <row r="116" spans="1:16" hidden="1" x14ac:dyDescent="0.35">
      <c r="A116" t="s">
        <v>632</v>
      </c>
      <c r="B116">
        <v>2023</v>
      </c>
      <c r="C116" t="s">
        <v>296</v>
      </c>
      <c r="E116" t="s">
        <v>297</v>
      </c>
      <c r="G116" t="s">
        <v>615</v>
      </c>
      <c r="H116" t="s">
        <v>276</v>
      </c>
      <c r="I116" t="s">
        <v>277</v>
      </c>
      <c r="J116" t="s">
        <v>22</v>
      </c>
      <c r="K116" t="s">
        <v>616</v>
      </c>
      <c r="L116">
        <v>27</v>
      </c>
      <c r="M116">
        <v>0.8397945</v>
      </c>
      <c r="O116" t="s">
        <v>79</v>
      </c>
      <c r="P116" t="s">
        <v>80</v>
      </c>
    </row>
    <row r="117" spans="1:16" hidden="1" x14ac:dyDescent="0.35">
      <c r="A117" t="s">
        <v>298</v>
      </c>
      <c r="B117">
        <v>2023</v>
      </c>
      <c r="C117" t="s">
        <v>299</v>
      </c>
      <c r="D117" t="s">
        <v>163</v>
      </c>
      <c r="E117" t="s">
        <v>301</v>
      </c>
      <c r="F117" t="s">
        <v>166</v>
      </c>
      <c r="G117" t="s">
        <v>51</v>
      </c>
      <c r="H117" t="s">
        <v>84</v>
      </c>
      <c r="I117" t="s">
        <v>85</v>
      </c>
      <c r="J117" t="s">
        <v>22</v>
      </c>
      <c r="K117" t="s">
        <v>23</v>
      </c>
      <c r="L117">
        <v>16499</v>
      </c>
      <c r="M117">
        <v>16499000</v>
      </c>
      <c r="O117" t="s">
        <v>43</v>
      </c>
      <c r="P117" t="s">
        <v>300</v>
      </c>
    </row>
    <row r="118" spans="1:16" x14ac:dyDescent="0.35">
      <c r="A118" t="s">
        <v>661</v>
      </c>
      <c r="B118">
        <v>2023</v>
      </c>
      <c r="C118" t="s">
        <v>303</v>
      </c>
      <c r="E118" t="s">
        <v>306</v>
      </c>
      <c r="G118" t="s">
        <v>622</v>
      </c>
      <c r="H118" t="s">
        <v>276</v>
      </c>
      <c r="I118" t="s">
        <v>622</v>
      </c>
      <c r="J118" t="s">
        <v>22</v>
      </c>
      <c r="K118" t="s">
        <v>662</v>
      </c>
      <c r="L118">
        <v>142285</v>
      </c>
      <c r="M118">
        <v>142285</v>
      </c>
      <c r="N118" t="s">
        <v>663</v>
      </c>
      <c r="O118" t="s">
        <v>304</v>
      </c>
      <c r="P118" t="s">
        <v>305</v>
      </c>
    </row>
    <row r="119" spans="1:16" x14ac:dyDescent="0.35">
      <c r="A119" t="s">
        <v>664</v>
      </c>
      <c r="B119">
        <v>2023</v>
      </c>
      <c r="C119" t="s">
        <v>303</v>
      </c>
      <c r="E119" t="s">
        <v>306</v>
      </c>
      <c r="G119" t="s">
        <v>579</v>
      </c>
      <c r="H119" t="s">
        <v>276</v>
      </c>
      <c r="I119" t="s">
        <v>622</v>
      </c>
      <c r="J119" t="s">
        <v>22</v>
      </c>
      <c r="K119" t="s">
        <v>665</v>
      </c>
      <c r="L119">
        <v>61862</v>
      </c>
      <c r="M119">
        <v>28060.108304000001</v>
      </c>
      <c r="N119" t="s">
        <v>666</v>
      </c>
      <c r="O119" t="s">
        <v>304</v>
      </c>
      <c r="P119" t="s">
        <v>305</v>
      </c>
    </row>
    <row r="120" spans="1:16" hidden="1" x14ac:dyDescent="0.35">
      <c r="A120" t="s">
        <v>667</v>
      </c>
      <c r="B120">
        <v>2023</v>
      </c>
      <c r="C120" t="s">
        <v>303</v>
      </c>
      <c r="E120" t="s">
        <v>306</v>
      </c>
      <c r="G120" t="s">
        <v>123</v>
      </c>
      <c r="H120" t="s">
        <v>276</v>
      </c>
      <c r="I120" t="s">
        <v>277</v>
      </c>
      <c r="J120" t="s">
        <v>22</v>
      </c>
      <c r="K120" t="s">
        <v>612</v>
      </c>
      <c r="L120">
        <v>154391</v>
      </c>
      <c r="M120">
        <v>4.8021004684999999</v>
      </c>
      <c r="O120" t="s">
        <v>304</v>
      </c>
      <c r="P120" t="s">
        <v>305</v>
      </c>
    </row>
    <row r="121" spans="1:16" hidden="1" x14ac:dyDescent="0.35">
      <c r="A121" t="s">
        <v>668</v>
      </c>
      <c r="B121">
        <v>2023</v>
      </c>
      <c r="C121" t="s">
        <v>303</v>
      </c>
      <c r="E121" t="s">
        <v>306</v>
      </c>
      <c r="G121" t="s">
        <v>62</v>
      </c>
      <c r="H121" t="s">
        <v>84</v>
      </c>
      <c r="I121" t="s">
        <v>85</v>
      </c>
      <c r="J121" t="s">
        <v>22</v>
      </c>
      <c r="K121" t="s">
        <v>23</v>
      </c>
      <c r="L121">
        <v>21278</v>
      </c>
      <c r="M121">
        <v>21278000</v>
      </c>
      <c r="O121" t="s">
        <v>304</v>
      </c>
      <c r="P121" t="s">
        <v>305</v>
      </c>
    </row>
    <row r="122" spans="1:16" hidden="1" x14ac:dyDescent="0.35">
      <c r="A122" t="s">
        <v>302</v>
      </c>
      <c r="B122">
        <v>2023</v>
      </c>
      <c r="C122" t="s">
        <v>303</v>
      </c>
      <c r="E122" t="s">
        <v>306</v>
      </c>
      <c r="G122" t="s">
        <v>62</v>
      </c>
      <c r="H122" t="s">
        <v>52</v>
      </c>
      <c r="I122" t="s">
        <v>53</v>
      </c>
      <c r="J122" t="s">
        <v>22</v>
      </c>
      <c r="K122" t="s">
        <v>23</v>
      </c>
      <c r="L122">
        <v>21680</v>
      </c>
      <c r="M122">
        <v>21680000</v>
      </c>
      <c r="O122" t="s">
        <v>304</v>
      </c>
      <c r="P122" t="s">
        <v>305</v>
      </c>
    </row>
    <row r="123" spans="1:16" x14ac:dyDescent="0.35">
      <c r="A123" t="s">
        <v>732</v>
      </c>
      <c r="B123">
        <v>2023</v>
      </c>
      <c r="C123" t="s">
        <v>308</v>
      </c>
      <c r="E123" t="s">
        <v>311</v>
      </c>
      <c r="G123" t="s">
        <v>579</v>
      </c>
      <c r="H123" t="s">
        <v>276</v>
      </c>
      <c r="I123" t="s">
        <v>622</v>
      </c>
      <c r="J123" t="s">
        <v>22</v>
      </c>
      <c r="K123" t="s">
        <v>665</v>
      </c>
      <c r="L123">
        <v>30145</v>
      </c>
      <c r="M123">
        <v>13673.530839999999</v>
      </c>
      <c r="N123" t="s">
        <v>666</v>
      </c>
      <c r="O123" t="s">
        <v>309</v>
      </c>
      <c r="P123" t="s">
        <v>310</v>
      </c>
    </row>
    <row r="124" spans="1:16" hidden="1" x14ac:dyDescent="0.35">
      <c r="A124" t="s">
        <v>733</v>
      </c>
      <c r="B124">
        <v>2023</v>
      </c>
      <c r="C124" t="s">
        <v>308</v>
      </c>
      <c r="E124" t="s">
        <v>311</v>
      </c>
      <c r="G124" t="s">
        <v>123</v>
      </c>
      <c r="H124" t="s">
        <v>276</v>
      </c>
      <c r="I124" t="s">
        <v>277</v>
      </c>
      <c r="J124" t="s">
        <v>22</v>
      </c>
      <c r="K124" t="s">
        <v>612</v>
      </c>
      <c r="L124">
        <v>41834</v>
      </c>
      <c r="M124">
        <v>1.301183819</v>
      </c>
      <c r="O124" t="s">
        <v>309</v>
      </c>
      <c r="P124" t="s">
        <v>310</v>
      </c>
    </row>
    <row r="125" spans="1:16" hidden="1" x14ac:dyDescent="0.35">
      <c r="A125" t="s">
        <v>307</v>
      </c>
      <c r="B125">
        <v>2023</v>
      </c>
      <c r="C125" t="s">
        <v>308</v>
      </c>
      <c r="E125" t="s">
        <v>311</v>
      </c>
      <c r="G125" t="s">
        <v>62</v>
      </c>
      <c r="H125" t="s">
        <v>52</v>
      </c>
      <c r="I125" t="s">
        <v>115</v>
      </c>
      <c r="J125" t="s">
        <v>22</v>
      </c>
      <c r="K125" t="s">
        <v>77</v>
      </c>
      <c r="L125">
        <v>5948239</v>
      </c>
      <c r="M125">
        <v>5948239</v>
      </c>
      <c r="O125" t="s">
        <v>309</v>
      </c>
      <c r="P125" t="s">
        <v>310</v>
      </c>
    </row>
    <row r="126" spans="1:16" hidden="1" x14ac:dyDescent="0.35">
      <c r="A126" t="s">
        <v>313</v>
      </c>
      <c r="B126">
        <v>2023</v>
      </c>
      <c r="C126" t="s">
        <v>314</v>
      </c>
      <c r="E126" t="s">
        <v>315</v>
      </c>
      <c r="G126" t="s">
        <v>62</v>
      </c>
      <c r="H126" t="s">
        <v>52</v>
      </c>
      <c r="I126" t="s">
        <v>53</v>
      </c>
      <c r="J126" t="s">
        <v>22</v>
      </c>
      <c r="K126" t="s">
        <v>23</v>
      </c>
      <c r="L126">
        <v>1028</v>
      </c>
      <c r="M126">
        <v>1028000</v>
      </c>
      <c r="O126" t="s">
        <v>64</v>
      </c>
      <c r="P126" t="s">
        <v>65</v>
      </c>
    </row>
    <row r="127" spans="1:16" hidden="1" x14ac:dyDescent="0.35">
      <c r="A127" t="s">
        <v>752</v>
      </c>
      <c r="B127">
        <v>2023</v>
      </c>
      <c r="C127" t="s">
        <v>314</v>
      </c>
      <c r="E127" t="s">
        <v>315</v>
      </c>
      <c r="G127" t="s">
        <v>123</v>
      </c>
      <c r="H127" t="s">
        <v>276</v>
      </c>
      <c r="I127" t="s">
        <v>277</v>
      </c>
      <c r="J127" t="s">
        <v>22</v>
      </c>
      <c r="K127" t="s">
        <v>616</v>
      </c>
      <c r="L127">
        <v>180</v>
      </c>
      <c r="M127">
        <v>5.59863</v>
      </c>
      <c r="O127" t="s">
        <v>64</v>
      </c>
      <c r="P127" t="s">
        <v>65</v>
      </c>
    </row>
    <row r="128" spans="1:16" hidden="1" x14ac:dyDescent="0.35">
      <c r="A128" t="s">
        <v>742</v>
      </c>
      <c r="B128">
        <v>2023</v>
      </c>
      <c r="C128" t="s">
        <v>317</v>
      </c>
      <c r="E128" t="s">
        <v>320</v>
      </c>
      <c r="G128" t="s">
        <v>579</v>
      </c>
      <c r="H128" t="s">
        <v>276</v>
      </c>
      <c r="I128" t="s">
        <v>277</v>
      </c>
      <c r="J128" t="s">
        <v>22</v>
      </c>
      <c r="K128" t="s">
        <v>100</v>
      </c>
      <c r="L128">
        <v>47.4</v>
      </c>
      <c r="M128">
        <v>21500.2608</v>
      </c>
      <c r="N128" t="s">
        <v>666</v>
      </c>
      <c r="O128" t="s">
        <v>318</v>
      </c>
      <c r="P128" t="s">
        <v>319</v>
      </c>
    </row>
    <row r="129" spans="1:16" hidden="1" x14ac:dyDescent="0.35">
      <c r="A129" t="s">
        <v>743</v>
      </c>
      <c r="B129">
        <v>2023</v>
      </c>
      <c r="C129" t="s">
        <v>317</v>
      </c>
      <c r="E129" t="s">
        <v>320</v>
      </c>
      <c r="G129" t="s">
        <v>123</v>
      </c>
      <c r="H129" t="s">
        <v>276</v>
      </c>
      <c r="I129" t="s">
        <v>277</v>
      </c>
      <c r="J129" t="s">
        <v>22</v>
      </c>
      <c r="K129" t="s">
        <v>612</v>
      </c>
      <c r="L129">
        <v>67433</v>
      </c>
      <c r="M129">
        <v>2.0974023155000001</v>
      </c>
      <c r="O129" t="s">
        <v>318</v>
      </c>
      <c r="P129" t="s">
        <v>319</v>
      </c>
    </row>
    <row r="130" spans="1:16" hidden="1" x14ac:dyDescent="0.35">
      <c r="A130" t="s">
        <v>744</v>
      </c>
      <c r="B130">
        <v>2023</v>
      </c>
      <c r="C130" t="s">
        <v>317</v>
      </c>
      <c r="E130" t="s">
        <v>320</v>
      </c>
      <c r="G130" t="s">
        <v>62</v>
      </c>
      <c r="H130" t="s">
        <v>84</v>
      </c>
      <c r="I130" t="s">
        <v>85</v>
      </c>
      <c r="J130" t="s">
        <v>22</v>
      </c>
      <c r="K130" t="s">
        <v>23</v>
      </c>
      <c r="L130">
        <v>2993</v>
      </c>
      <c r="M130">
        <v>2993000</v>
      </c>
      <c r="O130" t="s">
        <v>318</v>
      </c>
      <c r="P130" t="s">
        <v>319</v>
      </c>
    </row>
    <row r="131" spans="1:16" hidden="1" x14ac:dyDescent="0.35">
      <c r="A131" t="s">
        <v>316</v>
      </c>
      <c r="B131">
        <v>2023</v>
      </c>
      <c r="C131" t="s">
        <v>317</v>
      </c>
      <c r="E131" t="s">
        <v>320</v>
      </c>
      <c r="G131" t="s">
        <v>62</v>
      </c>
      <c r="H131" t="s">
        <v>52</v>
      </c>
      <c r="I131" t="s">
        <v>53</v>
      </c>
      <c r="J131" t="s">
        <v>22</v>
      </c>
      <c r="K131" t="s">
        <v>23</v>
      </c>
      <c r="L131">
        <v>3065</v>
      </c>
      <c r="M131">
        <v>3065000</v>
      </c>
      <c r="O131" t="s">
        <v>318</v>
      </c>
      <c r="P131" t="s">
        <v>319</v>
      </c>
    </row>
    <row r="132" spans="1:16" x14ac:dyDescent="0.35">
      <c r="A132" t="s">
        <v>713</v>
      </c>
      <c r="B132">
        <v>2023</v>
      </c>
      <c r="C132" t="s">
        <v>322</v>
      </c>
      <c r="D132" t="s">
        <v>238</v>
      </c>
      <c r="E132" t="s">
        <v>323</v>
      </c>
      <c r="F132" t="s">
        <v>240</v>
      </c>
      <c r="G132" t="s">
        <v>579</v>
      </c>
      <c r="H132" t="s">
        <v>276</v>
      </c>
      <c r="I132" t="s">
        <v>622</v>
      </c>
      <c r="J132" t="s">
        <v>22</v>
      </c>
      <c r="K132" t="s">
        <v>77</v>
      </c>
      <c r="L132">
        <v>37176</v>
      </c>
      <c r="M132">
        <v>37176</v>
      </c>
      <c r="O132" t="s">
        <v>118</v>
      </c>
      <c r="P132" t="s">
        <v>119</v>
      </c>
    </row>
    <row r="133" spans="1:16" hidden="1" x14ac:dyDescent="0.35">
      <c r="A133" t="s">
        <v>714</v>
      </c>
      <c r="B133">
        <v>2023</v>
      </c>
      <c r="C133" t="s">
        <v>322</v>
      </c>
      <c r="D133" t="s">
        <v>238</v>
      </c>
      <c r="E133" t="s">
        <v>323</v>
      </c>
      <c r="F133" t="s">
        <v>240</v>
      </c>
      <c r="G133" t="s">
        <v>579</v>
      </c>
      <c r="H133" t="s">
        <v>276</v>
      </c>
      <c r="I133" t="s">
        <v>277</v>
      </c>
      <c r="J133" t="s">
        <v>22</v>
      </c>
      <c r="K133" t="s">
        <v>77</v>
      </c>
      <c r="L133">
        <v>5739</v>
      </c>
      <c r="M133">
        <v>5739</v>
      </c>
      <c r="O133" t="s">
        <v>118</v>
      </c>
      <c r="P133" t="s">
        <v>119</v>
      </c>
    </row>
    <row r="134" spans="1:16" hidden="1" x14ac:dyDescent="0.35">
      <c r="A134" t="s">
        <v>715</v>
      </c>
      <c r="B134">
        <v>2023</v>
      </c>
      <c r="C134" t="s">
        <v>322</v>
      </c>
      <c r="D134" t="s">
        <v>238</v>
      </c>
      <c r="E134" t="s">
        <v>323</v>
      </c>
      <c r="F134" t="s">
        <v>240</v>
      </c>
      <c r="G134" t="s">
        <v>123</v>
      </c>
      <c r="H134" t="s">
        <v>276</v>
      </c>
      <c r="I134" t="s">
        <v>277</v>
      </c>
      <c r="J134" t="s">
        <v>22</v>
      </c>
      <c r="K134" t="s">
        <v>612</v>
      </c>
      <c r="L134">
        <v>77798</v>
      </c>
      <c r="M134">
        <v>2.419790093</v>
      </c>
      <c r="O134" t="s">
        <v>118</v>
      </c>
      <c r="P134" t="s">
        <v>119</v>
      </c>
    </row>
    <row r="135" spans="1:16" hidden="1" x14ac:dyDescent="0.35">
      <c r="A135" t="s">
        <v>716</v>
      </c>
      <c r="B135">
        <v>2023</v>
      </c>
      <c r="C135" t="s">
        <v>322</v>
      </c>
      <c r="D135" t="s">
        <v>238</v>
      </c>
      <c r="E135" t="s">
        <v>323</v>
      </c>
      <c r="F135" t="s">
        <v>240</v>
      </c>
      <c r="G135" t="s">
        <v>62</v>
      </c>
      <c r="H135" t="s">
        <v>52</v>
      </c>
      <c r="I135" t="s">
        <v>115</v>
      </c>
      <c r="J135" t="s">
        <v>22</v>
      </c>
      <c r="K135" t="s">
        <v>77</v>
      </c>
      <c r="L135">
        <v>596912</v>
      </c>
      <c r="M135">
        <v>596912</v>
      </c>
      <c r="O135" t="s">
        <v>118</v>
      </c>
      <c r="P135" t="s">
        <v>119</v>
      </c>
    </row>
    <row r="136" spans="1:16" hidden="1" x14ac:dyDescent="0.35">
      <c r="A136" t="s">
        <v>321</v>
      </c>
      <c r="B136">
        <v>2023</v>
      </c>
      <c r="C136" t="s">
        <v>322</v>
      </c>
      <c r="D136" t="s">
        <v>238</v>
      </c>
      <c r="E136" t="s">
        <v>323</v>
      </c>
      <c r="F136" t="s">
        <v>240</v>
      </c>
      <c r="G136" t="s">
        <v>615</v>
      </c>
      <c r="H136" t="s">
        <v>276</v>
      </c>
      <c r="I136" t="s">
        <v>277</v>
      </c>
      <c r="J136" t="s">
        <v>22</v>
      </c>
      <c r="K136" t="s">
        <v>612</v>
      </c>
      <c r="L136">
        <v>292694</v>
      </c>
      <c r="M136">
        <v>9.1038078290000009</v>
      </c>
      <c r="O136" t="s">
        <v>118</v>
      </c>
      <c r="P136" t="s">
        <v>119</v>
      </c>
    </row>
    <row r="137" spans="1:16" hidden="1" x14ac:dyDescent="0.35">
      <c r="A137" t="s">
        <v>325</v>
      </c>
      <c r="B137">
        <v>2024</v>
      </c>
      <c r="C137" t="s">
        <v>326</v>
      </c>
      <c r="D137" t="s">
        <v>174</v>
      </c>
      <c r="E137" t="s">
        <v>327</v>
      </c>
      <c r="F137" t="s">
        <v>177</v>
      </c>
      <c r="G137" t="s">
        <v>62</v>
      </c>
      <c r="H137" t="s">
        <v>84</v>
      </c>
      <c r="I137" t="s">
        <v>85</v>
      </c>
      <c r="J137" t="s">
        <v>22</v>
      </c>
      <c r="K137" t="s">
        <v>77</v>
      </c>
      <c r="L137">
        <v>320160</v>
      </c>
      <c r="M137">
        <v>320160</v>
      </c>
      <c r="O137" t="s">
        <v>72</v>
      </c>
      <c r="P137" t="s">
        <v>175</v>
      </c>
    </row>
    <row r="138" spans="1:16" hidden="1" x14ac:dyDescent="0.35">
      <c r="A138" t="s">
        <v>329</v>
      </c>
      <c r="B138">
        <v>2023</v>
      </c>
      <c r="C138" t="s">
        <v>332</v>
      </c>
      <c r="E138" t="s">
        <v>335</v>
      </c>
      <c r="G138" t="s">
        <v>330</v>
      </c>
      <c r="H138" t="s">
        <v>84</v>
      </c>
      <c r="I138" t="s">
        <v>85</v>
      </c>
      <c r="J138" t="s">
        <v>22</v>
      </c>
      <c r="K138" t="s">
        <v>40</v>
      </c>
      <c r="L138">
        <v>2.2000000000000002</v>
      </c>
      <c r="M138">
        <v>2200000</v>
      </c>
      <c r="N138" t="s">
        <v>331</v>
      </c>
      <c r="O138" t="s">
        <v>333</v>
      </c>
      <c r="P138" t="s">
        <v>334</v>
      </c>
    </row>
    <row r="139" spans="1:16" hidden="1" x14ac:dyDescent="0.35">
      <c r="A139" t="s">
        <v>329</v>
      </c>
      <c r="B139">
        <v>2023</v>
      </c>
      <c r="C139" t="s">
        <v>332</v>
      </c>
      <c r="E139" t="s">
        <v>335</v>
      </c>
      <c r="G139" t="s">
        <v>330</v>
      </c>
      <c r="H139" t="s">
        <v>276</v>
      </c>
      <c r="I139" t="s">
        <v>277</v>
      </c>
      <c r="J139" t="s">
        <v>22</v>
      </c>
      <c r="K139" t="s">
        <v>1147</v>
      </c>
      <c r="L139">
        <v>6568950</v>
      </c>
      <c r="M139">
        <v>6568.95</v>
      </c>
      <c r="O139" t="s">
        <v>333</v>
      </c>
      <c r="P139" t="s">
        <v>1146</v>
      </c>
    </row>
    <row r="140" spans="1:16" hidden="1" x14ac:dyDescent="0.35">
      <c r="A140" t="s">
        <v>336</v>
      </c>
      <c r="B140">
        <v>2023</v>
      </c>
      <c r="C140" t="s">
        <v>338</v>
      </c>
      <c r="E140" t="s">
        <v>341</v>
      </c>
      <c r="G140" t="s">
        <v>337</v>
      </c>
      <c r="H140" t="s">
        <v>20</v>
      </c>
      <c r="I140" t="s">
        <v>20</v>
      </c>
      <c r="J140" t="s">
        <v>22</v>
      </c>
      <c r="K140" t="s">
        <v>77</v>
      </c>
      <c r="L140">
        <v>11700</v>
      </c>
      <c r="M140">
        <v>11700</v>
      </c>
      <c r="O140" t="s">
        <v>339</v>
      </c>
      <c r="P140" t="s">
        <v>340</v>
      </c>
    </row>
    <row r="141" spans="1:16" hidden="1" x14ac:dyDescent="0.35">
      <c r="A141" t="s">
        <v>342</v>
      </c>
      <c r="B141">
        <v>2023</v>
      </c>
      <c r="C141" t="s">
        <v>344</v>
      </c>
      <c r="E141" t="s">
        <v>347</v>
      </c>
      <c r="G141" t="s">
        <v>343</v>
      </c>
      <c r="H141" t="s">
        <v>84</v>
      </c>
      <c r="I141" t="s">
        <v>85</v>
      </c>
      <c r="J141" t="s">
        <v>22</v>
      </c>
      <c r="K141" t="s">
        <v>54</v>
      </c>
      <c r="L141">
        <v>407034</v>
      </c>
      <c r="M141">
        <v>407034</v>
      </c>
      <c r="O141" t="s">
        <v>345</v>
      </c>
      <c r="P141" t="s">
        <v>346</v>
      </c>
    </row>
    <row r="142" spans="1:16" x14ac:dyDescent="0.35">
      <c r="A142" t="s">
        <v>774</v>
      </c>
      <c r="B142">
        <v>2023</v>
      </c>
      <c r="C142" t="s">
        <v>344</v>
      </c>
      <c r="E142" t="s">
        <v>347</v>
      </c>
      <c r="G142" t="s">
        <v>343</v>
      </c>
      <c r="H142" t="s">
        <v>276</v>
      </c>
      <c r="I142" t="s">
        <v>622</v>
      </c>
      <c r="J142" t="s">
        <v>22</v>
      </c>
      <c r="K142" t="s">
        <v>662</v>
      </c>
      <c r="L142">
        <v>33120</v>
      </c>
      <c r="M142">
        <v>33120</v>
      </c>
      <c r="O142" t="s">
        <v>345</v>
      </c>
      <c r="P142" t="s">
        <v>346</v>
      </c>
    </row>
    <row r="143" spans="1:16" hidden="1" x14ac:dyDescent="0.35">
      <c r="A143" t="s">
        <v>660</v>
      </c>
      <c r="B143">
        <v>2023</v>
      </c>
      <c r="C143" t="s">
        <v>352</v>
      </c>
      <c r="E143" t="s">
        <v>355</v>
      </c>
      <c r="G143" t="s">
        <v>350</v>
      </c>
      <c r="H143" t="s">
        <v>276</v>
      </c>
      <c r="I143" t="s">
        <v>277</v>
      </c>
      <c r="J143" t="s">
        <v>22</v>
      </c>
      <c r="K143" t="s">
        <v>77</v>
      </c>
      <c r="L143">
        <v>58100</v>
      </c>
      <c r="M143">
        <v>58100</v>
      </c>
      <c r="O143" t="s">
        <v>353</v>
      </c>
      <c r="P143" t="s">
        <v>1148</v>
      </c>
    </row>
    <row r="144" spans="1:16" hidden="1" x14ac:dyDescent="0.35">
      <c r="A144" t="s">
        <v>349</v>
      </c>
      <c r="B144">
        <v>2023</v>
      </c>
      <c r="C144" t="s">
        <v>352</v>
      </c>
      <c r="E144" t="s">
        <v>355</v>
      </c>
      <c r="G144" t="s">
        <v>579</v>
      </c>
      <c r="H144" t="s">
        <v>276</v>
      </c>
      <c r="I144" t="s">
        <v>277</v>
      </c>
      <c r="J144" t="s">
        <v>22</v>
      </c>
      <c r="K144" t="s">
        <v>77</v>
      </c>
      <c r="L144">
        <v>40926</v>
      </c>
      <c r="M144">
        <v>40926</v>
      </c>
      <c r="O144" t="s">
        <v>353</v>
      </c>
      <c r="P144" t="s">
        <v>1148</v>
      </c>
    </row>
    <row r="145" spans="1:16" hidden="1" x14ac:dyDescent="0.35">
      <c r="A145" t="s">
        <v>349</v>
      </c>
      <c r="B145">
        <v>2023</v>
      </c>
      <c r="C145" t="s">
        <v>352</v>
      </c>
      <c r="E145" t="s">
        <v>355</v>
      </c>
      <c r="G145" t="s">
        <v>350</v>
      </c>
      <c r="H145" t="s">
        <v>52</v>
      </c>
      <c r="I145" t="s">
        <v>53</v>
      </c>
      <c r="J145" t="s">
        <v>22</v>
      </c>
      <c r="K145" t="s">
        <v>23</v>
      </c>
      <c r="L145">
        <v>1082.35294117647</v>
      </c>
      <c r="M145">
        <v>1082352.9411764699</v>
      </c>
      <c r="N145" t="s">
        <v>351</v>
      </c>
      <c r="O145" t="s">
        <v>353</v>
      </c>
      <c r="P145" t="s">
        <v>354</v>
      </c>
    </row>
    <row r="146" spans="1:16" hidden="1" x14ac:dyDescent="0.35">
      <c r="A146" t="s">
        <v>684</v>
      </c>
      <c r="B146">
        <v>2022</v>
      </c>
      <c r="C146" t="s">
        <v>358</v>
      </c>
      <c r="E146" t="s">
        <v>360</v>
      </c>
      <c r="G146" t="s">
        <v>350</v>
      </c>
      <c r="H146" t="s">
        <v>276</v>
      </c>
      <c r="I146" t="s">
        <v>277</v>
      </c>
      <c r="J146" t="s">
        <v>22</v>
      </c>
      <c r="K146" t="s">
        <v>77</v>
      </c>
      <c r="L146">
        <v>24232</v>
      </c>
      <c r="M146">
        <v>24232</v>
      </c>
      <c r="N146" t="s">
        <v>685</v>
      </c>
      <c r="O146" t="s">
        <v>72</v>
      </c>
      <c r="P146" t="s">
        <v>359</v>
      </c>
    </row>
    <row r="147" spans="1:16" hidden="1" x14ac:dyDescent="0.35">
      <c r="A147" t="s">
        <v>686</v>
      </c>
      <c r="B147">
        <v>2022</v>
      </c>
      <c r="C147" t="s">
        <v>358</v>
      </c>
      <c r="E147" t="s">
        <v>360</v>
      </c>
      <c r="G147" t="s">
        <v>579</v>
      </c>
      <c r="H147" t="s">
        <v>276</v>
      </c>
      <c r="I147" t="s">
        <v>277</v>
      </c>
      <c r="J147" t="s">
        <v>22</v>
      </c>
      <c r="K147" t="s">
        <v>77</v>
      </c>
      <c r="L147">
        <v>5488</v>
      </c>
      <c r="M147">
        <v>5488</v>
      </c>
      <c r="N147" t="s">
        <v>685</v>
      </c>
      <c r="O147" t="s">
        <v>72</v>
      </c>
      <c r="P147" t="s">
        <v>359</v>
      </c>
    </row>
    <row r="148" spans="1:16" hidden="1" x14ac:dyDescent="0.35">
      <c r="A148" t="s">
        <v>687</v>
      </c>
      <c r="B148">
        <v>2022</v>
      </c>
      <c r="C148" t="s">
        <v>358</v>
      </c>
      <c r="E148" t="s">
        <v>360</v>
      </c>
      <c r="G148" t="s">
        <v>688</v>
      </c>
      <c r="H148" t="s">
        <v>276</v>
      </c>
      <c r="I148" t="s">
        <v>277</v>
      </c>
      <c r="J148" t="s">
        <v>22</v>
      </c>
      <c r="K148" t="s">
        <v>77</v>
      </c>
      <c r="L148">
        <v>498</v>
      </c>
      <c r="M148">
        <v>498</v>
      </c>
      <c r="N148" t="s">
        <v>685</v>
      </c>
      <c r="O148" t="s">
        <v>72</v>
      </c>
      <c r="P148" t="s">
        <v>359</v>
      </c>
    </row>
    <row r="149" spans="1:16" hidden="1" x14ac:dyDescent="0.35">
      <c r="A149" t="s">
        <v>687</v>
      </c>
      <c r="B149">
        <v>2022</v>
      </c>
      <c r="C149" t="s">
        <v>358</v>
      </c>
      <c r="E149" t="s">
        <v>360</v>
      </c>
      <c r="G149" t="s">
        <v>1144</v>
      </c>
      <c r="H149" t="s">
        <v>276</v>
      </c>
      <c r="I149" t="s">
        <v>277</v>
      </c>
      <c r="J149" t="s">
        <v>22</v>
      </c>
      <c r="K149" t="s">
        <v>612</v>
      </c>
      <c r="L149">
        <v>141980</v>
      </c>
      <c r="M149">
        <v>4.4160749299999997</v>
      </c>
      <c r="O149" t="s">
        <v>72</v>
      </c>
      <c r="P149" t="s">
        <v>1145</v>
      </c>
    </row>
    <row r="150" spans="1:16" hidden="1" x14ac:dyDescent="0.35">
      <c r="A150" t="s">
        <v>357</v>
      </c>
      <c r="B150">
        <v>2022</v>
      </c>
      <c r="C150" t="s">
        <v>358</v>
      </c>
      <c r="E150" t="s">
        <v>360</v>
      </c>
      <c r="G150" t="s">
        <v>62</v>
      </c>
      <c r="H150" t="s">
        <v>52</v>
      </c>
      <c r="I150" t="s">
        <v>53</v>
      </c>
      <c r="J150" t="s">
        <v>22</v>
      </c>
      <c r="K150" t="s">
        <v>40</v>
      </c>
      <c r="L150">
        <v>1.5</v>
      </c>
      <c r="M150">
        <v>1500000</v>
      </c>
      <c r="O150" t="s">
        <v>72</v>
      </c>
      <c r="P150" t="s">
        <v>359</v>
      </c>
    </row>
    <row r="151" spans="1:16" hidden="1" x14ac:dyDescent="0.35">
      <c r="A151" t="s">
        <v>745</v>
      </c>
      <c r="B151">
        <v>2023</v>
      </c>
      <c r="C151" t="s">
        <v>363</v>
      </c>
      <c r="E151" t="s">
        <v>364</v>
      </c>
      <c r="G151" t="s">
        <v>62</v>
      </c>
      <c r="H151" t="s">
        <v>84</v>
      </c>
      <c r="I151" t="s">
        <v>85</v>
      </c>
      <c r="J151" t="s">
        <v>22</v>
      </c>
      <c r="K151" t="s">
        <v>23</v>
      </c>
      <c r="L151">
        <v>12412</v>
      </c>
      <c r="M151">
        <v>12412000</v>
      </c>
      <c r="O151" t="s">
        <v>318</v>
      </c>
      <c r="P151" t="s">
        <v>319</v>
      </c>
    </row>
    <row r="152" spans="1:16" hidden="1" x14ac:dyDescent="0.35">
      <c r="A152" t="s">
        <v>362</v>
      </c>
      <c r="B152">
        <v>2023</v>
      </c>
      <c r="C152" t="s">
        <v>363</v>
      </c>
      <c r="E152" t="s">
        <v>364</v>
      </c>
      <c r="G152" t="s">
        <v>62</v>
      </c>
      <c r="H152" t="s">
        <v>52</v>
      </c>
      <c r="I152" t="s">
        <v>53</v>
      </c>
      <c r="J152" t="s">
        <v>22</v>
      </c>
      <c r="K152" t="s">
        <v>23</v>
      </c>
      <c r="L152">
        <v>8764</v>
      </c>
      <c r="M152">
        <v>8764000</v>
      </c>
      <c r="O152" t="s">
        <v>318</v>
      </c>
      <c r="P152" t="s">
        <v>319</v>
      </c>
    </row>
    <row r="153" spans="1:16" hidden="1" x14ac:dyDescent="0.35">
      <c r="A153" t="s">
        <v>746</v>
      </c>
      <c r="B153">
        <v>2023</v>
      </c>
      <c r="C153" t="s">
        <v>363</v>
      </c>
      <c r="E153" t="s">
        <v>364</v>
      </c>
      <c r="G153" t="s">
        <v>123</v>
      </c>
      <c r="H153" t="s">
        <v>276</v>
      </c>
      <c r="I153" t="s">
        <v>277</v>
      </c>
      <c r="J153" t="s">
        <v>22</v>
      </c>
      <c r="K153" t="s">
        <v>612</v>
      </c>
      <c r="L153">
        <v>253745</v>
      </c>
      <c r="M153">
        <v>7.8923576074999904</v>
      </c>
      <c r="O153" t="s">
        <v>318</v>
      </c>
      <c r="P153" t="s">
        <v>319</v>
      </c>
    </row>
    <row r="154" spans="1:16" hidden="1" x14ac:dyDescent="0.35">
      <c r="A154" t="s">
        <v>751</v>
      </c>
      <c r="B154">
        <v>2023</v>
      </c>
      <c r="C154" t="s">
        <v>366</v>
      </c>
      <c r="E154" t="s">
        <v>367</v>
      </c>
      <c r="G154" t="s">
        <v>62</v>
      </c>
      <c r="H154" t="s">
        <v>84</v>
      </c>
      <c r="I154" t="s">
        <v>85</v>
      </c>
      <c r="J154" t="s">
        <v>22</v>
      </c>
      <c r="K154" t="s">
        <v>23</v>
      </c>
      <c r="L154">
        <v>1027</v>
      </c>
      <c r="M154">
        <v>1027000</v>
      </c>
      <c r="O154" t="s">
        <v>64</v>
      </c>
      <c r="P154" t="s">
        <v>65</v>
      </c>
    </row>
    <row r="155" spans="1:16" hidden="1" x14ac:dyDescent="0.35">
      <c r="A155" t="s">
        <v>756</v>
      </c>
      <c r="B155">
        <v>2023</v>
      </c>
      <c r="C155" t="s">
        <v>366</v>
      </c>
      <c r="E155" t="s">
        <v>367</v>
      </c>
      <c r="G155" t="s">
        <v>579</v>
      </c>
      <c r="H155" t="s">
        <v>276</v>
      </c>
      <c r="I155" t="s">
        <v>277</v>
      </c>
      <c r="J155" t="s">
        <v>22</v>
      </c>
      <c r="K155" t="s">
        <v>100</v>
      </c>
      <c r="L155">
        <v>8</v>
      </c>
      <c r="M155">
        <v>3628.7359999999999</v>
      </c>
      <c r="N155" t="s">
        <v>666</v>
      </c>
      <c r="O155" t="s">
        <v>64</v>
      </c>
      <c r="P155" t="s">
        <v>757</v>
      </c>
    </row>
    <row r="156" spans="1:16" hidden="1" x14ac:dyDescent="0.35">
      <c r="A156" t="s">
        <v>758</v>
      </c>
      <c r="B156">
        <v>2023</v>
      </c>
      <c r="C156" t="s">
        <v>366</v>
      </c>
      <c r="E156" t="s">
        <v>367</v>
      </c>
      <c r="G156" t="s">
        <v>123</v>
      </c>
      <c r="H156" t="s">
        <v>276</v>
      </c>
      <c r="I156" t="s">
        <v>277</v>
      </c>
      <c r="J156" t="s">
        <v>22</v>
      </c>
      <c r="K156" t="s">
        <v>616</v>
      </c>
      <c r="L156">
        <v>5</v>
      </c>
      <c r="M156">
        <v>0.1555175</v>
      </c>
      <c r="O156" t="s">
        <v>64</v>
      </c>
      <c r="P156" t="s">
        <v>65</v>
      </c>
    </row>
    <row r="157" spans="1:16" hidden="1" x14ac:dyDescent="0.35">
      <c r="A157" t="s">
        <v>365</v>
      </c>
      <c r="B157">
        <v>2023</v>
      </c>
      <c r="C157" t="s">
        <v>366</v>
      </c>
      <c r="E157" t="s">
        <v>367</v>
      </c>
      <c r="G157" t="s">
        <v>62</v>
      </c>
      <c r="H157" t="s">
        <v>52</v>
      </c>
      <c r="I157" t="s">
        <v>53</v>
      </c>
      <c r="J157" t="s">
        <v>22</v>
      </c>
      <c r="K157" t="s">
        <v>23</v>
      </c>
      <c r="L157">
        <v>1139</v>
      </c>
      <c r="M157">
        <v>1139000</v>
      </c>
      <c r="O157" t="s">
        <v>64</v>
      </c>
      <c r="P157" t="s">
        <v>65</v>
      </c>
    </row>
    <row r="158" spans="1:16" hidden="1" x14ac:dyDescent="0.35">
      <c r="A158" t="s">
        <v>759</v>
      </c>
      <c r="B158">
        <v>2023</v>
      </c>
      <c r="C158" t="s">
        <v>366</v>
      </c>
      <c r="E158" t="s">
        <v>367</v>
      </c>
      <c r="G158" t="s">
        <v>62</v>
      </c>
      <c r="H158" t="s">
        <v>84</v>
      </c>
      <c r="I158" t="s">
        <v>85</v>
      </c>
      <c r="J158" t="s">
        <v>22</v>
      </c>
      <c r="K158" t="s">
        <v>23</v>
      </c>
      <c r="L158">
        <v>3769</v>
      </c>
      <c r="M158">
        <v>3769000</v>
      </c>
      <c r="N158" t="s">
        <v>760</v>
      </c>
      <c r="O158" t="s">
        <v>64</v>
      </c>
      <c r="P158" t="s">
        <v>65</v>
      </c>
    </row>
    <row r="159" spans="1:16" hidden="1" x14ac:dyDescent="0.35">
      <c r="A159" t="s">
        <v>671</v>
      </c>
      <c r="B159">
        <v>2024</v>
      </c>
      <c r="C159" t="s">
        <v>369</v>
      </c>
      <c r="E159" t="s">
        <v>372</v>
      </c>
      <c r="G159" t="s">
        <v>62</v>
      </c>
      <c r="H159" t="s">
        <v>84</v>
      </c>
      <c r="I159" t="s">
        <v>672</v>
      </c>
      <c r="J159" t="s">
        <v>22</v>
      </c>
      <c r="K159" t="s">
        <v>77</v>
      </c>
      <c r="L159">
        <v>1855271</v>
      </c>
      <c r="M159">
        <v>1855271</v>
      </c>
      <c r="O159" t="s">
        <v>370</v>
      </c>
      <c r="P159" t="s">
        <v>371</v>
      </c>
    </row>
    <row r="160" spans="1:16" hidden="1" x14ac:dyDescent="0.35">
      <c r="A160" t="s">
        <v>673</v>
      </c>
      <c r="B160">
        <v>2024</v>
      </c>
      <c r="C160" t="s">
        <v>369</v>
      </c>
      <c r="E160" t="s">
        <v>372</v>
      </c>
      <c r="G160" t="s">
        <v>62</v>
      </c>
      <c r="H160" t="s">
        <v>84</v>
      </c>
      <c r="I160" t="s">
        <v>85</v>
      </c>
      <c r="J160" t="s">
        <v>22</v>
      </c>
      <c r="K160" t="s">
        <v>77</v>
      </c>
      <c r="L160">
        <v>862000</v>
      </c>
      <c r="M160">
        <v>862000</v>
      </c>
      <c r="O160" t="s">
        <v>370</v>
      </c>
      <c r="P160" t="s">
        <v>371</v>
      </c>
    </row>
    <row r="161" spans="1:16" hidden="1" x14ac:dyDescent="0.35">
      <c r="A161" t="s">
        <v>368</v>
      </c>
      <c r="B161">
        <v>2024</v>
      </c>
      <c r="C161" t="s">
        <v>369</v>
      </c>
      <c r="E161" t="s">
        <v>372</v>
      </c>
      <c r="G161" t="s">
        <v>62</v>
      </c>
      <c r="H161" t="s">
        <v>52</v>
      </c>
      <c r="I161" t="s">
        <v>53</v>
      </c>
      <c r="J161" t="s">
        <v>22</v>
      </c>
      <c r="K161" t="s">
        <v>77</v>
      </c>
      <c r="L161">
        <v>841000</v>
      </c>
      <c r="M161">
        <v>841000</v>
      </c>
      <c r="O161" t="s">
        <v>370</v>
      </c>
      <c r="P161" t="s">
        <v>371</v>
      </c>
    </row>
    <row r="162" spans="1:16" hidden="1" x14ac:dyDescent="0.35">
      <c r="A162" t="s">
        <v>674</v>
      </c>
      <c r="B162">
        <v>2024</v>
      </c>
      <c r="C162" t="s">
        <v>369</v>
      </c>
      <c r="E162" t="s">
        <v>372</v>
      </c>
      <c r="G162" t="s">
        <v>123</v>
      </c>
      <c r="H162" t="s">
        <v>276</v>
      </c>
      <c r="I162" t="s">
        <v>277</v>
      </c>
      <c r="J162" t="s">
        <v>22</v>
      </c>
      <c r="K162" t="s">
        <v>612</v>
      </c>
      <c r="L162">
        <v>112700</v>
      </c>
      <c r="M162">
        <v>3.5053644500000001</v>
      </c>
      <c r="O162" t="s">
        <v>370</v>
      </c>
      <c r="P162" t="s">
        <v>371</v>
      </c>
    </row>
    <row r="163" spans="1:16" hidden="1" x14ac:dyDescent="0.35">
      <c r="A163" t="s">
        <v>373</v>
      </c>
      <c r="B163">
        <v>2023</v>
      </c>
      <c r="C163" t="s">
        <v>377</v>
      </c>
      <c r="D163" t="s">
        <v>378</v>
      </c>
      <c r="E163" t="s">
        <v>379</v>
      </c>
      <c r="F163" t="s">
        <v>380</v>
      </c>
      <c r="G163" t="s">
        <v>374</v>
      </c>
      <c r="H163" t="s">
        <v>38</v>
      </c>
      <c r="I163" t="s">
        <v>375</v>
      </c>
      <c r="J163" t="s">
        <v>22</v>
      </c>
      <c r="K163" t="s">
        <v>23</v>
      </c>
      <c r="L163">
        <v>1111</v>
      </c>
      <c r="M163">
        <v>1111000</v>
      </c>
      <c r="N163" t="s">
        <v>376</v>
      </c>
      <c r="O163" t="s">
        <v>26</v>
      </c>
      <c r="P163" t="s">
        <v>27</v>
      </c>
    </row>
    <row r="164" spans="1:16" hidden="1" x14ac:dyDescent="0.35">
      <c r="A164" t="s">
        <v>779</v>
      </c>
      <c r="B164">
        <v>2023</v>
      </c>
      <c r="C164" t="s">
        <v>383</v>
      </c>
      <c r="E164" t="s">
        <v>386</v>
      </c>
      <c r="G164" t="s">
        <v>51</v>
      </c>
      <c r="H164" t="s">
        <v>20</v>
      </c>
      <c r="I164" t="s">
        <v>780</v>
      </c>
      <c r="J164" t="s">
        <v>638</v>
      </c>
      <c r="K164" t="s">
        <v>23</v>
      </c>
      <c r="L164">
        <v>6000</v>
      </c>
      <c r="N164" t="s">
        <v>781</v>
      </c>
      <c r="O164" t="s">
        <v>384</v>
      </c>
      <c r="P164" t="s">
        <v>385</v>
      </c>
    </row>
    <row r="165" spans="1:16" hidden="1" x14ac:dyDescent="0.35">
      <c r="A165" t="s">
        <v>382</v>
      </c>
      <c r="B165">
        <v>2023</v>
      </c>
      <c r="C165" t="s">
        <v>383</v>
      </c>
      <c r="E165" t="s">
        <v>386</v>
      </c>
      <c r="G165" t="s">
        <v>51</v>
      </c>
      <c r="H165" t="s">
        <v>84</v>
      </c>
      <c r="I165" t="s">
        <v>85</v>
      </c>
      <c r="J165" t="s">
        <v>22</v>
      </c>
      <c r="K165" t="s">
        <v>23</v>
      </c>
      <c r="L165">
        <v>3560</v>
      </c>
      <c r="M165">
        <v>3560000</v>
      </c>
      <c r="O165" t="s">
        <v>384</v>
      </c>
      <c r="P165" t="s">
        <v>385</v>
      </c>
    </row>
    <row r="166" spans="1:16" hidden="1" x14ac:dyDescent="0.35">
      <c r="A166" t="s">
        <v>393</v>
      </c>
      <c r="B166">
        <v>2023</v>
      </c>
      <c r="C166" t="s">
        <v>394</v>
      </c>
      <c r="D166" t="s">
        <v>238</v>
      </c>
      <c r="E166" t="s">
        <v>395</v>
      </c>
      <c r="F166" t="s">
        <v>240</v>
      </c>
      <c r="G166" t="s">
        <v>62</v>
      </c>
      <c r="H166" t="s">
        <v>52</v>
      </c>
      <c r="I166" t="s">
        <v>115</v>
      </c>
      <c r="J166" t="s">
        <v>22</v>
      </c>
      <c r="K166" t="s">
        <v>77</v>
      </c>
      <c r="L166">
        <v>965567</v>
      </c>
      <c r="M166">
        <v>965567</v>
      </c>
      <c r="O166" t="s">
        <v>118</v>
      </c>
      <c r="P166" t="s">
        <v>119</v>
      </c>
    </row>
    <row r="167" spans="1:16" x14ac:dyDescent="0.35">
      <c r="A167" t="s">
        <v>722</v>
      </c>
      <c r="B167">
        <v>2023</v>
      </c>
      <c r="C167" t="s">
        <v>394</v>
      </c>
      <c r="D167" t="s">
        <v>238</v>
      </c>
      <c r="E167" t="s">
        <v>395</v>
      </c>
      <c r="F167" t="s">
        <v>240</v>
      </c>
      <c r="G167" t="s">
        <v>579</v>
      </c>
      <c r="H167" t="s">
        <v>276</v>
      </c>
      <c r="I167" t="s">
        <v>622</v>
      </c>
      <c r="J167" t="s">
        <v>22</v>
      </c>
      <c r="K167" t="s">
        <v>77</v>
      </c>
      <c r="L167">
        <v>31900</v>
      </c>
      <c r="M167">
        <v>31900</v>
      </c>
      <c r="O167" t="s">
        <v>118</v>
      </c>
      <c r="P167" t="s">
        <v>119</v>
      </c>
    </row>
    <row r="168" spans="1:16" hidden="1" x14ac:dyDescent="0.35">
      <c r="A168" t="s">
        <v>723</v>
      </c>
      <c r="B168">
        <v>2023</v>
      </c>
      <c r="C168" t="s">
        <v>394</v>
      </c>
      <c r="D168" t="s">
        <v>238</v>
      </c>
      <c r="E168" t="s">
        <v>395</v>
      </c>
      <c r="F168" t="s">
        <v>240</v>
      </c>
      <c r="G168" t="s">
        <v>579</v>
      </c>
      <c r="H168" t="s">
        <v>276</v>
      </c>
      <c r="I168" t="s">
        <v>277</v>
      </c>
      <c r="J168" t="s">
        <v>22</v>
      </c>
      <c r="K168" t="s">
        <v>77</v>
      </c>
      <c r="L168">
        <v>6415</v>
      </c>
      <c r="M168">
        <v>6415</v>
      </c>
      <c r="O168" t="s">
        <v>118</v>
      </c>
      <c r="P168" t="s">
        <v>119</v>
      </c>
    </row>
    <row r="169" spans="1:16" hidden="1" x14ac:dyDescent="0.35">
      <c r="A169" t="s">
        <v>724</v>
      </c>
      <c r="B169">
        <v>2023</v>
      </c>
      <c r="C169" t="s">
        <v>394</v>
      </c>
      <c r="D169" t="s">
        <v>238</v>
      </c>
      <c r="E169" t="s">
        <v>395</v>
      </c>
      <c r="F169" t="s">
        <v>240</v>
      </c>
      <c r="G169" t="s">
        <v>123</v>
      </c>
      <c r="H169" t="s">
        <v>276</v>
      </c>
      <c r="I169" t="s">
        <v>277</v>
      </c>
      <c r="J169" t="s">
        <v>22</v>
      </c>
      <c r="K169" t="s">
        <v>612</v>
      </c>
      <c r="L169">
        <v>69326</v>
      </c>
      <c r="M169">
        <v>2.1562812409999998</v>
      </c>
      <c r="O169" t="s">
        <v>118</v>
      </c>
      <c r="P169" t="s">
        <v>119</v>
      </c>
    </row>
    <row r="170" spans="1:16" hidden="1" x14ac:dyDescent="0.35">
      <c r="A170" t="s">
        <v>725</v>
      </c>
      <c r="B170">
        <v>2023</v>
      </c>
      <c r="C170" t="s">
        <v>394</v>
      </c>
      <c r="D170" t="s">
        <v>238</v>
      </c>
      <c r="E170" t="s">
        <v>395</v>
      </c>
      <c r="F170" t="s">
        <v>240</v>
      </c>
      <c r="G170" t="s">
        <v>615</v>
      </c>
      <c r="H170" t="s">
        <v>276</v>
      </c>
      <c r="I170" t="s">
        <v>277</v>
      </c>
      <c r="J170" t="s">
        <v>22</v>
      </c>
      <c r="K170" t="s">
        <v>612</v>
      </c>
      <c r="L170">
        <v>461399</v>
      </c>
      <c r="M170">
        <v>14.3511237965</v>
      </c>
      <c r="O170" t="s">
        <v>118</v>
      </c>
      <c r="P170" t="s">
        <v>119</v>
      </c>
    </row>
    <row r="171" spans="1:16" x14ac:dyDescent="0.35">
      <c r="A171" t="s">
        <v>726</v>
      </c>
      <c r="B171">
        <v>2023</v>
      </c>
      <c r="C171" t="s">
        <v>394</v>
      </c>
      <c r="D171" t="s">
        <v>238</v>
      </c>
      <c r="E171" t="s">
        <v>395</v>
      </c>
      <c r="F171" t="s">
        <v>240</v>
      </c>
      <c r="G171" t="s">
        <v>440</v>
      </c>
      <c r="H171" t="s">
        <v>276</v>
      </c>
      <c r="I171" t="s">
        <v>622</v>
      </c>
      <c r="J171" t="s">
        <v>22</v>
      </c>
      <c r="K171" t="s">
        <v>77</v>
      </c>
      <c r="L171">
        <v>66824</v>
      </c>
      <c r="M171">
        <v>66824</v>
      </c>
      <c r="O171" t="s">
        <v>118</v>
      </c>
      <c r="P171" t="s">
        <v>119</v>
      </c>
    </row>
    <row r="172" spans="1:16" hidden="1" x14ac:dyDescent="0.35">
      <c r="A172" t="s">
        <v>727</v>
      </c>
      <c r="B172">
        <v>2023</v>
      </c>
      <c r="C172" t="s">
        <v>394</v>
      </c>
      <c r="D172" t="s">
        <v>238</v>
      </c>
      <c r="E172" t="s">
        <v>395</v>
      </c>
      <c r="F172" t="s">
        <v>240</v>
      </c>
      <c r="G172" t="s">
        <v>440</v>
      </c>
      <c r="H172" t="s">
        <v>276</v>
      </c>
      <c r="I172" t="s">
        <v>277</v>
      </c>
      <c r="J172" t="s">
        <v>22</v>
      </c>
      <c r="K172" t="s">
        <v>77</v>
      </c>
      <c r="L172">
        <v>34642</v>
      </c>
      <c r="M172">
        <v>34642</v>
      </c>
      <c r="O172" t="s">
        <v>118</v>
      </c>
      <c r="P172" t="s">
        <v>119</v>
      </c>
    </row>
    <row r="173" spans="1:16" hidden="1" x14ac:dyDescent="0.35">
      <c r="A173" t="s">
        <v>689</v>
      </c>
      <c r="B173">
        <v>2024</v>
      </c>
      <c r="C173" t="s">
        <v>398</v>
      </c>
      <c r="D173" t="s">
        <v>174</v>
      </c>
      <c r="E173" t="s">
        <v>399</v>
      </c>
      <c r="F173" t="s">
        <v>177</v>
      </c>
      <c r="G173" t="s">
        <v>579</v>
      </c>
      <c r="H173" t="s">
        <v>276</v>
      </c>
      <c r="I173" t="s">
        <v>277</v>
      </c>
      <c r="J173" t="s">
        <v>22</v>
      </c>
      <c r="K173" t="s">
        <v>77</v>
      </c>
      <c r="L173">
        <v>7154</v>
      </c>
      <c r="M173">
        <v>7154</v>
      </c>
      <c r="O173" t="s">
        <v>72</v>
      </c>
      <c r="P173" t="s">
        <v>175</v>
      </c>
    </row>
    <row r="174" spans="1:16" hidden="1" x14ac:dyDescent="0.35">
      <c r="A174" t="s">
        <v>397</v>
      </c>
      <c r="B174">
        <v>2024</v>
      </c>
      <c r="C174" t="s">
        <v>398</v>
      </c>
      <c r="D174" t="s">
        <v>174</v>
      </c>
      <c r="E174" t="s">
        <v>399</v>
      </c>
      <c r="F174" t="s">
        <v>177</v>
      </c>
      <c r="G174" t="s">
        <v>62</v>
      </c>
      <c r="H174" t="s">
        <v>52</v>
      </c>
      <c r="J174" t="s">
        <v>22</v>
      </c>
      <c r="K174" t="s">
        <v>77</v>
      </c>
      <c r="L174">
        <v>1025997</v>
      </c>
      <c r="M174">
        <v>1025997</v>
      </c>
      <c r="O174" t="s">
        <v>72</v>
      </c>
      <c r="P174" t="s">
        <v>175</v>
      </c>
    </row>
    <row r="175" spans="1:16" hidden="1" x14ac:dyDescent="0.35">
      <c r="A175" t="s">
        <v>690</v>
      </c>
      <c r="B175">
        <v>2024</v>
      </c>
      <c r="C175" t="s">
        <v>398</v>
      </c>
      <c r="D175" t="s">
        <v>174</v>
      </c>
      <c r="E175" t="s">
        <v>399</v>
      </c>
      <c r="F175" t="s">
        <v>177</v>
      </c>
      <c r="G175" t="s">
        <v>350</v>
      </c>
      <c r="H175" t="s">
        <v>276</v>
      </c>
      <c r="I175" t="s">
        <v>277</v>
      </c>
      <c r="J175" t="s">
        <v>22</v>
      </c>
      <c r="K175" t="s">
        <v>77</v>
      </c>
      <c r="L175">
        <v>7530</v>
      </c>
      <c r="M175">
        <v>7530</v>
      </c>
      <c r="N175" t="s">
        <v>691</v>
      </c>
      <c r="O175" t="s">
        <v>72</v>
      </c>
      <c r="P175" t="s">
        <v>175</v>
      </c>
    </row>
    <row r="176" spans="1:16" hidden="1" x14ac:dyDescent="0.35">
      <c r="A176" t="s">
        <v>401</v>
      </c>
      <c r="B176">
        <v>2024</v>
      </c>
      <c r="C176" t="s">
        <v>403</v>
      </c>
      <c r="D176" t="s">
        <v>174</v>
      </c>
      <c r="E176" t="s">
        <v>404</v>
      </c>
      <c r="F176" t="s">
        <v>177</v>
      </c>
      <c r="G176" t="s">
        <v>350</v>
      </c>
      <c r="H176" t="s">
        <v>20</v>
      </c>
      <c r="I176" t="s">
        <v>402</v>
      </c>
      <c r="J176" t="s">
        <v>22</v>
      </c>
      <c r="K176" t="s">
        <v>77</v>
      </c>
      <c r="L176">
        <v>62251</v>
      </c>
      <c r="M176">
        <v>62251</v>
      </c>
      <c r="O176" t="s">
        <v>72</v>
      </c>
      <c r="P176" t="s">
        <v>175</v>
      </c>
    </row>
    <row r="177" spans="1:16" hidden="1" x14ac:dyDescent="0.35">
      <c r="A177" t="s">
        <v>692</v>
      </c>
      <c r="B177">
        <v>2024</v>
      </c>
      <c r="C177" t="s">
        <v>403</v>
      </c>
      <c r="D177" t="s">
        <v>174</v>
      </c>
      <c r="E177" t="s">
        <v>404</v>
      </c>
      <c r="F177" t="s">
        <v>177</v>
      </c>
      <c r="G177" t="s">
        <v>579</v>
      </c>
      <c r="H177" t="s">
        <v>20</v>
      </c>
      <c r="I177" t="s">
        <v>402</v>
      </c>
      <c r="J177" t="s">
        <v>22</v>
      </c>
      <c r="K177" t="s">
        <v>77</v>
      </c>
      <c r="L177">
        <v>13720</v>
      </c>
      <c r="M177">
        <v>13720</v>
      </c>
      <c r="O177" t="s">
        <v>72</v>
      </c>
      <c r="P177" t="s">
        <v>175</v>
      </c>
    </row>
    <row r="178" spans="1:16" hidden="1" x14ac:dyDescent="0.35">
      <c r="A178" t="s">
        <v>407</v>
      </c>
      <c r="B178">
        <v>2023</v>
      </c>
      <c r="C178" t="s">
        <v>408</v>
      </c>
      <c r="E178" t="s">
        <v>411</v>
      </c>
      <c r="G178" t="s">
        <v>123</v>
      </c>
      <c r="H178" t="s">
        <v>84</v>
      </c>
      <c r="I178" t="s">
        <v>85</v>
      </c>
      <c r="J178" t="s">
        <v>22</v>
      </c>
      <c r="K178" t="s">
        <v>77</v>
      </c>
      <c r="L178">
        <v>234671</v>
      </c>
      <c r="M178">
        <v>234671</v>
      </c>
      <c r="O178" t="s">
        <v>409</v>
      </c>
      <c r="P178" t="s">
        <v>410</v>
      </c>
    </row>
    <row r="179" spans="1:16" hidden="1" x14ac:dyDescent="0.35">
      <c r="A179" t="s">
        <v>776</v>
      </c>
      <c r="B179">
        <v>2023</v>
      </c>
      <c r="C179" t="s">
        <v>408</v>
      </c>
      <c r="E179" t="s">
        <v>411</v>
      </c>
      <c r="G179" t="s">
        <v>123</v>
      </c>
      <c r="H179" t="s">
        <v>276</v>
      </c>
      <c r="I179" t="s">
        <v>277</v>
      </c>
      <c r="J179" t="s">
        <v>22</v>
      </c>
      <c r="K179" t="s">
        <v>612</v>
      </c>
      <c r="L179">
        <v>38659</v>
      </c>
      <c r="M179">
        <v>1.2024302065000001</v>
      </c>
      <c r="O179" t="s">
        <v>409</v>
      </c>
      <c r="P179" t="s">
        <v>410</v>
      </c>
    </row>
    <row r="180" spans="1:16" hidden="1" x14ac:dyDescent="0.35">
      <c r="A180" t="s">
        <v>412</v>
      </c>
      <c r="B180">
        <v>2022</v>
      </c>
      <c r="C180" t="s">
        <v>414</v>
      </c>
      <c r="E180" t="s">
        <v>417</v>
      </c>
      <c r="G180" t="s">
        <v>688</v>
      </c>
      <c r="H180" t="s">
        <v>38</v>
      </c>
      <c r="I180" t="s">
        <v>70</v>
      </c>
      <c r="J180" t="s">
        <v>22</v>
      </c>
      <c r="K180" t="s">
        <v>77</v>
      </c>
      <c r="L180">
        <v>3368</v>
      </c>
      <c r="M180">
        <v>3368</v>
      </c>
      <c r="N180" t="s">
        <v>413</v>
      </c>
      <c r="O180" t="s">
        <v>415</v>
      </c>
      <c r="P180" t="s">
        <v>416</v>
      </c>
    </row>
    <row r="181" spans="1:16" hidden="1" x14ac:dyDescent="0.35">
      <c r="A181" t="s">
        <v>775</v>
      </c>
      <c r="B181">
        <v>2022</v>
      </c>
      <c r="C181" t="s">
        <v>414</v>
      </c>
      <c r="E181" t="s">
        <v>417</v>
      </c>
      <c r="G181" t="s">
        <v>350</v>
      </c>
      <c r="H181" t="s">
        <v>38</v>
      </c>
      <c r="I181" t="s">
        <v>70</v>
      </c>
      <c r="J181" t="s">
        <v>22</v>
      </c>
      <c r="K181" t="s">
        <v>77</v>
      </c>
      <c r="L181">
        <v>32268</v>
      </c>
      <c r="M181">
        <v>32268</v>
      </c>
      <c r="O181" t="s">
        <v>415</v>
      </c>
      <c r="P181" t="s">
        <v>416</v>
      </c>
    </row>
    <row r="182" spans="1:16" hidden="1" x14ac:dyDescent="0.35">
      <c r="A182" t="s">
        <v>794</v>
      </c>
      <c r="B182">
        <v>2023</v>
      </c>
      <c r="C182" t="s">
        <v>421</v>
      </c>
      <c r="E182" t="s">
        <v>424</v>
      </c>
      <c r="G182" t="s">
        <v>579</v>
      </c>
      <c r="H182" t="s">
        <v>276</v>
      </c>
      <c r="I182" t="s">
        <v>277</v>
      </c>
      <c r="J182" t="s">
        <v>22</v>
      </c>
      <c r="K182" t="s">
        <v>23</v>
      </c>
      <c r="L182">
        <v>4.7</v>
      </c>
      <c r="M182">
        <v>4700</v>
      </c>
      <c r="N182" t="s">
        <v>795</v>
      </c>
      <c r="O182" t="s">
        <v>422</v>
      </c>
      <c r="P182" t="s">
        <v>435</v>
      </c>
    </row>
    <row r="183" spans="1:16" hidden="1" x14ac:dyDescent="0.35">
      <c r="A183" t="s">
        <v>796</v>
      </c>
      <c r="B183">
        <v>2023</v>
      </c>
      <c r="C183" t="s">
        <v>421</v>
      </c>
      <c r="E183" t="s">
        <v>424</v>
      </c>
      <c r="G183" t="s">
        <v>350</v>
      </c>
      <c r="H183" t="s">
        <v>276</v>
      </c>
      <c r="I183" t="s">
        <v>277</v>
      </c>
      <c r="J183" t="s">
        <v>22</v>
      </c>
      <c r="K183" t="s">
        <v>23</v>
      </c>
      <c r="L183">
        <v>7.9</v>
      </c>
      <c r="M183">
        <v>7900</v>
      </c>
      <c r="N183" t="s">
        <v>795</v>
      </c>
      <c r="O183" t="s">
        <v>422</v>
      </c>
      <c r="P183" t="s">
        <v>435</v>
      </c>
    </row>
    <row r="184" spans="1:16" hidden="1" x14ac:dyDescent="0.35">
      <c r="A184" t="s">
        <v>419</v>
      </c>
      <c r="B184">
        <v>2023</v>
      </c>
      <c r="C184" t="s">
        <v>421</v>
      </c>
      <c r="E184" t="s">
        <v>424</v>
      </c>
      <c r="G184" t="s">
        <v>62</v>
      </c>
      <c r="H184" t="s">
        <v>52</v>
      </c>
      <c r="I184" t="s">
        <v>53</v>
      </c>
      <c r="J184" t="s">
        <v>22</v>
      </c>
      <c r="K184" t="s">
        <v>23</v>
      </c>
      <c r="L184">
        <v>1105.88235294117</v>
      </c>
      <c r="M184">
        <v>1105882.3529411701</v>
      </c>
      <c r="N184" t="s">
        <v>420</v>
      </c>
      <c r="O184" t="s">
        <v>422</v>
      </c>
      <c r="P184" t="s">
        <v>423</v>
      </c>
    </row>
    <row r="185" spans="1:16" hidden="1" x14ac:dyDescent="0.35">
      <c r="A185" t="s">
        <v>439</v>
      </c>
      <c r="B185">
        <v>2024</v>
      </c>
      <c r="C185" t="s">
        <v>441</v>
      </c>
      <c r="E185" t="s">
        <v>443</v>
      </c>
      <c r="G185" t="s">
        <v>440</v>
      </c>
      <c r="H185" t="s">
        <v>38</v>
      </c>
      <c r="I185" t="s">
        <v>70</v>
      </c>
      <c r="J185" t="s">
        <v>22</v>
      </c>
      <c r="K185" t="s">
        <v>23</v>
      </c>
      <c r="L185">
        <v>256</v>
      </c>
      <c r="M185">
        <v>256000</v>
      </c>
      <c r="O185" t="s">
        <v>200</v>
      </c>
      <c r="P185" t="s">
        <v>442</v>
      </c>
    </row>
    <row r="186" spans="1:16" hidden="1" x14ac:dyDescent="0.35">
      <c r="A186" t="s">
        <v>446</v>
      </c>
      <c r="B186">
        <v>2023</v>
      </c>
      <c r="C186" t="s">
        <v>449</v>
      </c>
      <c r="D186" t="s">
        <v>25</v>
      </c>
      <c r="E186" t="s">
        <v>450</v>
      </c>
      <c r="F186" t="s">
        <v>29</v>
      </c>
      <c r="G186" t="s">
        <v>447</v>
      </c>
      <c r="H186" t="s">
        <v>20</v>
      </c>
      <c r="I186" t="s">
        <v>448</v>
      </c>
      <c r="J186" t="s">
        <v>22</v>
      </c>
      <c r="K186" t="s">
        <v>23</v>
      </c>
      <c r="L186">
        <v>1391.8058030326899</v>
      </c>
      <c r="M186">
        <v>1391805.80303269</v>
      </c>
      <c r="O186" t="s">
        <v>26</v>
      </c>
      <c r="P186" t="s">
        <v>27</v>
      </c>
    </row>
    <row r="187" spans="1:16" hidden="1" x14ac:dyDescent="0.35">
      <c r="A187" t="s">
        <v>797</v>
      </c>
      <c r="B187">
        <v>2023</v>
      </c>
      <c r="C187" t="s">
        <v>452</v>
      </c>
      <c r="E187" t="s">
        <v>453</v>
      </c>
      <c r="G187" t="s">
        <v>579</v>
      </c>
      <c r="H187" t="s">
        <v>276</v>
      </c>
      <c r="I187" t="s">
        <v>277</v>
      </c>
      <c r="J187" t="s">
        <v>22</v>
      </c>
      <c r="K187" t="s">
        <v>23</v>
      </c>
      <c r="L187">
        <v>9.6</v>
      </c>
      <c r="M187">
        <v>9600</v>
      </c>
      <c r="N187" t="s">
        <v>795</v>
      </c>
      <c r="O187" t="s">
        <v>422</v>
      </c>
      <c r="P187" t="s">
        <v>435</v>
      </c>
    </row>
    <row r="188" spans="1:16" hidden="1" x14ac:dyDescent="0.35">
      <c r="A188" t="s">
        <v>798</v>
      </c>
      <c r="B188">
        <v>2023</v>
      </c>
      <c r="C188" t="s">
        <v>452</v>
      </c>
      <c r="E188" t="s">
        <v>453</v>
      </c>
      <c r="G188" t="s">
        <v>350</v>
      </c>
      <c r="H188" t="s">
        <v>276</v>
      </c>
      <c r="I188" t="s">
        <v>277</v>
      </c>
      <c r="J188" t="s">
        <v>22</v>
      </c>
      <c r="K188" t="s">
        <v>23</v>
      </c>
      <c r="L188">
        <v>13.5</v>
      </c>
      <c r="M188">
        <v>13500</v>
      </c>
      <c r="N188" t="s">
        <v>795</v>
      </c>
      <c r="O188" t="s">
        <v>422</v>
      </c>
      <c r="P188" t="s">
        <v>435</v>
      </c>
    </row>
    <row r="189" spans="1:16" hidden="1" x14ac:dyDescent="0.35">
      <c r="A189" t="s">
        <v>451</v>
      </c>
      <c r="B189">
        <v>2023</v>
      </c>
      <c r="C189" t="s">
        <v>452</v>
      </c>
      <c r="E189" t="s">
        <v>453</v>
      </c>
      <c r="G189" t="s">
        <v>62</v>
      </c>
      <c r="H189" t="s">
        <v>52</v>
      </c>
      <c r="I189" t="s">
        <v>53</v>
      </c>
      <c r="J189" t="s">
        <v>22</v>
      </c>
      <c r="K189" t="s">
        <v>23</v>
      </c>
      <c r="L189">
        <v>2258.8235294117599</v>
      </c>
      <c r="M189">
        <v>2258823.5294117602</v>
      </c>
      <c r="N189" t="s">
        <v>420</v>
      </c>
      <c r="O189" t="s">
        <v>422</v>
      </c>
      <c r="P189" t="s">
        <v>423</v>
      </c>
    </row>
    <row r="190" spans="1:16" hidden="1" x14ac:dyDescent="0.35">
      <c r="A190" t="s">
        <v>455</v>
      </c>
      <c r="B190">
        <v>2023</v>
      </c>
      <c r="C190" t="s">
        <v>456</v>
      </c>
      <c r="E190" t="s">
        <v>459</v>
      </c>
      <c r="G190" t="s">
        <v>62</v>
      </c>
      <c r="H190" t="s">
        <v>52</v>
      </c>
      <c r="I190" t="s">
        <v>115</v>
      </c>
      <c r="J190" t="s">
        <v>22</v>
      </c>
      <c r="K190" t="s">
        <v>23</v>
      </c>
      <c r="L190">
        <v>1034</v>
      </c>
      <c r="M190">
        <v>1034000</v>
      </c>
      <c r="O190" t="s">
        <v>457</v>
      </c>
      <c r="P190" t="s">
        <v>458</v>
      </c>
    </row>
    <row r="191" spans="1:16" hidden="1" x14ac:dyDescent="0.35">
      <c r="A191" t="s">
        <v>728</v>
      </c>
      <c r="B191">
        <v>2023</v>
      </c>
      <c r="C191" t="s">
        <v>456</v>
      </c>
      <c r="E191" t="s">
        <v>459</v>
      </c>
      <c r="G191" t="s">
        <v>62</v>
      </c>
      <c r="H191" t="s">
        <v>84</v>
      </c>
      <c r="I191" t="s">
        <v>85</v>
      </c>
      <c r="J191" t="s">
        <v>22</v>
      </c>
      <c r="K191" t="s">
        <v>23</v>
      </c>
      <c r="L191">
        <v>1022</v>
      </c>
      <c r="M191">
        <v>1022000</v>
      </c>
      <c r="O191" t="s">
        <v>457</v>
      </c>
      <c r="P191" t="s">
        <v>458</v>
      </c>
    </row>
    <row r="192" spans="1:16" hidden="1" x14ac:dyDescent="0.35">
      <c r="A192" t="s">
        <v>729</v>
      </c>
      <c r="B192">
        <v>2023</v>
      </c>
      <c r="C192" t="s">
        <v>456</v>
      </c>
      <c r="E192" t="s">
        <v>459</v>
      </c>
      <c r="G192" t="s">
        <v>123</v>
      </c>
      <c r="H192" t="s">
        <v>276</v>
      </c>
      <c r="I192" t="s">
        <v>277</v>
      </c>
      <c r="J192" t="s">
        <v>22</v>
      </c>
      <c r="K192" t="s">
        <v>616</v>
      </c>
      <c r="L192">
        <v>93</v>
      </c>
      <c r="M192">
        <v>2.8926254999999998</v>
      </c>
      <c r="O192" t="s">
        <v>457</v>
      </c>
      <c r="P192" t="s">
        <v>458</v>
      </c>
    </row>
    <row r="193" spans="1:16" hidden="1" x14ac:dyDescent="0.35">
      <c r="A193" t="s">
        <v>729</v>
      </c>
      <c r="B193">
        <v>2023</v>
      </c>
      <c r="C193" t="s">
        <v>456</v>
      </c>
      <c r="E193" t="s">
        <v>459</v>
      </c>
      <c r="G193" t="s">
        <v>615</v>
      </c>
      <c r="H193" t="s">
        <v>276</v>
      </c>
      <c r="I193" t="s">
        <v>277</v>
      </c>
      <c r="J193" t="s">
        <v>22</v>
      </c>
      <c r="K193" t="s">
        <v>612</v>
      </c>
      <c r="L193">
        <v>36754</v>
      </c>
      <c r="M193">
        <v>1.1431780389999999</v>
      </c>
      <c r="O193" t="s">
        <v>457</v>
      </c>
      <c r="P193" t="s">
        <v>1151</v>
      </c>
    </row>
    <row r="194" spans="1:16" hidden="1" x14ac:dyDescent="0.35">
      <c r="A194" t="s">
        <v>635</v>
      </c>
      <c r="B194">
        <v>2023</v>
      </c>
      <c r="C194" t="s">
        <v>461</v>
      </c>
      <c r="E194" t="s">
        <v>462</v>
      </c>
      <c r="G194" t="s">
        <v>123</v>
      </c>
      <c r="H194" t="s">
        <v>276</v>
      </c>
      <c r="I194" t="s">
        <v>277</v>
      </c>
      <c r="J194" t="s">
        <v>22</v>
      </c>
      <c r="K194" t="s">
        <v>612</v>
      </c>
      <c r="L194">
        <v>185100</v>
      </c>
      <c r="M194">
        <v>5.7572578499999896</v>
      </c>
      <c r="O194" t="s">
        <v>210</v>
      </c>
      <c r="P194" t="s">
        <v>211</v>
      </c>
    </row>
    <row r="195" spans="1:16" hidden="1" x14ac:dyDescent="0.35">
      <c r="A195" t="s">
        <v>636</v>
      </c>
      <c r="B195">
        <v>2023</v>
      </c>
      <c r="C195" t="s">
        <v>461</v>
      </c>
      <c r="E195" t="s">
        <v>462</v>
      </c>
      <c r="G195" t="s">
        <v>123</v>
      </c>
      <c r="H195" t="s">
        <v>84</v>
      </c>
      <c r="I195" t="s">
        <v>85</v>
      </c>
      <c r="J195" t="s">
        <v>22</v>
      </c>
      <c r="K195" t="s">
        <v>77</v>
      </c>
      <c r="L195">
        <v>2878155</v>
      </c>
      <c r="M195">
        <v>2878155</v>
      </c>
      <c r="O195" t="s">
        <v>210</v>
      </c>
      <c r="P195" t="s">
        <v>211</v>
      </c>
    </row>
    <row r="196" spans="1:16" hidden="1" x14ac:dyDescent="0.35">
      <c r="A196" t="s">
        <v>460</v>
      </c>
      <c r="B196">
        <v>2023</v>
      </c>
      <c r="C196" t="s">
        <v>461</v>
      </c>
      <c r="E196" t="s">
        <v>462</v>
      </c>
      <c r="G196" t="s">
        <v>123</v>
      </c>
      <c r="H196" t="s">
        <v>52</v>
      </c>
      <c r="I196" t="s">
        <v>53</v>
      </c>
      <c r="J196" t="s">
        <v>22</v>
      </c>
      <c r="K196" t="s">
        <v>77</v>
      </c>
      <c r="L196">
        <v>2878047</v>
      </c>
      <c r="M196">
        <v>2878047</v>
      </c>
      <c r="O196" t="s">
        <v>210</v>
      </c>
      <c r="P196" t="s">
        <v>211</v>
      </c>
    </row>
    <row r="197" spans="1:16" hidden="1" x14ac:dyDescent="0.35">
      <c r="A197" t="s">
        <v>291</v>
      </c>
      <c r="B197">
        <v>2023</v>
      </c>
      <c r="D197" t="s">
        <v>292</v>
      </c>
      <c r="F197" t="s">
        <v>294</v>
      </c>
      <c r="G197" t="s">
        <v>123</v>
      </c>
      <c r="H197" t="s">
        <v>52</v>
      </c>
      <c r="I197" t="s">
        <v>53</v>
      </c>
      <c r="J197" t="s">
        <v>22</v>
      </c>
      <c r="K197" t="s">
        <v>77</v>
      </c>
      <c r="L197">
        <v>3842649.0057279998</v>
      </c>
      <c r="M197">
        <v>3842649.0057279998</v>
      </c>
      <c r="O197" t="s">
        <v>79</v>
      </c>
      <c r="P197" t="s">
        <v>80</v>
      </c>
    </row>
    <row r="198" spans="1:16" hidden="1" x14ac:dyDescent="0.35">
      <c r="A198" t="s">
        <v>629</v>
      </c>
      <c r="B198">
        <v>2023</v>
      </c>
      <c r="D198" t="s">
        <v>292</v>
      </c>
      <c r="F198" t="s">
        <v>294</v>
      </c>
      <c r="G198" t="s">
        <v>123</v>
      </c>
      <c r="H198" t="s">
        <v>276</v>
      </c>
      <c r="I198" t="s">
        <v>277</v>
      </c>
      <c r="J198" t="s">
        <v>22</v>
      </c>
      <c r="K198" t="s">
        <v>612</v>
      </c>
      <c r="L198">
        <v>431665.62702100002</v>
      </c>
      <c r="M198">
        <v>13.426311830047601</v>
      </c>
      <c r="O198" t="s">
        <v>79</v>
      </c>
      <c r="P198" t="s">
        <v>80</v>
      </c>
    </row>
    <row r="199" spans="1:16" hidden="1" x14ac:dyDescent="0.35">
      <c r="A199" t="s">
        <v>630</v>
      </c>
      <c r="B199">
        <v>2023</v>
      </c>
      <c r="D199" t="s">
        <v>292</v>
      </c>
      <c r="F199" t="s">
        <v>294</v>
      </c>
      <c r="G199" t="s">
        <v>615</v>
      </c>
      <c r="H199" t="s">
        <v>276</v>
      </c>
      <c r="I199" t="s">
        <v>277</v>
      </c>
      <c r="J199" t="s">
        <v>22</v>
      </c>
      <c r="K199" t="s">
        <v>616</v>
      </c>
      <c r="L199">
        <v>125</v>
      </c>
      <c r="M199">
        <v>3.8879375</v>
      </c>
      <c r="O199" t="s">
        <v>79</v>
      </c>
      <c r="P199" t="s">
        <v>80</v>
      </c>
    </row>
    <row r="200" spans="1:16" hidden="1" x14ac:dyDescent="0.35">
      <c r="A200" t="s">
        <v>107</v>
      </c>
      <c r="B200">
        <v>2024</v>
      </c>
      <c r="D200" t="s">
        <v>110</v>
      </c>
      <c r="F200" t="s">
        <v>112</v>
      </c>
      <c r="G200" t="s">
        <v>37</v>
      </c>
      <c r="H200" t="s">
        <v>38</v>
      </c>
      <c r="I200" t="s">
        <v>108</v>
      </c>
      <c r="J200" t="s">
        <v>22</v>
      </c>
      <c r="K200" t="s">
        <v>40</v>
      </c>
      <c r="L200">
        <v>1.9</v>
      </c>
      <c r="M200">
        <v>1900000</v>
      </c>
      <c r="N200" t="s">
        <v>109</v>
      </c>
      <c r="O200" t="s">
        <v>43</v>
      </c>
      <c r="P200" t="s">
        <v>44</v>
      </c>
    </row>
    <row r="201" spans="1:16" hidden="1" x14ac:dyDescent="0.35">
      <c r="A201" t="s">
        <v>659</v>
      </c>
      <c r="B201">
        <v>2023</v>
      </c>
      <c r="D201" t="s">
        <v>271</v>
      </c>
      <c r="F201" t="s">
        <v>274</v>
      </c>
      <c r="G201" t="s">
        <v>99</v>
      </c>
      <c r="H201" t="s">
        <v>276</v>
      </c>
      <c r="I201" t="s">
        <v>277</v>
      </c>
      <c r="J201" t="s">
        <v>22</v>
      </c>
      <c r="K201" t="s">
        <v>100</v>
      </c>
      <c r="L201">
        <v>13.5</v>
      </c>
      <c r="M201">
        <v>6123.4920000000002</v>
      </c>
      <c r="N201" t="s">
        <v>657</v>
      </c>
      <c r="O201" t="s">
        <v>103</v>
      </c>
      <c r="P201" t="s">
        <v>658</v>
      </c>
    </row>
    <row r="202" spans="1:16" hidden="1" x14ac:dyDescent="0.35">
      <c r="A202" t="s">
        <v>269</v>
      </c>
      <c r="B202">
        <v>2023</v>
      </c>
      <c r="D202" t="s">
        <v>271</v>
      </c>
      <c r="F202" t="s">
        <v>274</v>
      </c>
      <c r="G202" t="s">
        <v>99</v>
      </c>
      <c r="H202" t="s">
        <v>52</v>
      </c>
      <c r="I202" t="s">
        <v>53</v>
      </c>
      <c r="J202" t="s">
        <v>22</v>
      </c>
      <c r="K202" t="s">
        <v>100</v>
      </c>
      <c r="L202">
        <v>216.95460024106001</v>
      </c>
      <c r="M202">
        <v>98408.871032543204</v>
      </c>
      <c r="N202" t="s">
        <v>270</v>
      </c>
      <c r="O202" t="s">
        <v>103</v>
      </c>
      <c r="P202" t="s">
        <v>272</v>
      </c>
    </row>
    <row r="203" spans="1:16" hidden="1" x14ac:dyDescent="0.35">
      <c r="A203" t="s">
        <v>717</v>
      </c>
      <c r="B203">
        <v>2023</v>
      </c>
      <c r="D203" t="s">
        <v>238</v>
      </c>
      <c r="F203" t="s">
        <v>240</v>
      </c>
      <c r="G203" t="s">
        <v>579</v>
      </c>
      <c r="H203" t="s">
        <v>276</v>
      </c>
      <c r="I203" t="s">
        <v>718</v>
      </c>
      <c r="J203" t="s">
        <v>22</v>
      </c>
      <c r="K203" t="s">
        <v>77</v>
      </c>
      <c r="L203">
        <v>12154</v>
      </c>
      <c r="M203">
        <v>12154</v>
      </c>
      <c r="O203" t="s">
        <v>118</v>
      </c>
      <c r="P203" t="s">
        <v>119</v>
      </c>
    </row>
    <row r="204" spans="1:16" hidden="1" x14ac:dyDescent="0.35">
      <c r="A204" t="s">
        <v>719</v>
      </c>
      <c r="B204">
        <v>2023</v>
      </c>
      <c r="D204" t="s">
        <v>238</v>
      </c>
      <c r="F204" t="s">
        <v>240</v>
      </c>
      <c r="G204" t="s">
        <v>123</v>
      </c>
      <c r="H204" t="s">
        <v>276</v>
      </c>
      <c r="I204" t="s">
        <v>718</v>
      </c>
      <c r="J204" t="s">
        <v>22</v>
      </c>
      <c r="K204" t="s">
        <v>612</v>
      </c>
      <c r="L204">
        <v>187363</v>
      </c>
      <c r="M204">
        <v>5.8276450705</v>
      </c>
      <c r="O204" t="s">
        <v>118</v>
      </c>
      <c r="P204" t="s">
        <v>119</v>
      </c>
    </row>
    <row r="205" spans="1:16" hidden="1" x14ac:dyDescent="0.35">
      <c r="A205" t="s">
        <v>720</v>
      </c>
      <c r="B205">
        <v>2023</v>
      </c>
      <c r="D205" t="s">
        <v>238</v>
      </c>
      <c r="F205" t="s">
        <v>240</v>
      </c>
      <c r="G205" t="s">
        <v>615</v>
      </c>
      <c r="H205" t="s">
        <v>276</v>
      </c>
      <c r="I205" t="s">
        <v>718</v>
      </c>
      <c r="J205" t="s">
        <v>22</v>
      </c>
      <c r="K205" t="s">
        <v>612</v>
      </c>
      <c r="L205">
        <v>851723</v>
      </c>
      <c r="M205">
        <v>26.4915663305</v>
      </c>
      <c r="O205" t="s">
        <v>118</v>
      </c>
      <c r="P205" t="s">
        <v>119</v>
      </c>
    </row>
    <row r="206" spans="1:16" hidden="1" x14ac:dyDescent="0.35">
      <c r="A206" t="s">
        <v>721</v>
      </c>
      <c r="B206">
        <v>2023</v>
      </c>
      <c r="D206" t="s">
        <v>238</v>
      </c>
      <c r="F206" t="s">
        <v>240</v>
      </c>
      <c r="G206" t="s">
        <v>440</v>
      </c>
      <c r="H206" t="s">
        <v>276</v>
      </c>
      <c r="I206" t="s">
        <v>718</v>
      </c>
      <c r="J206" t="s">
        <v>22</v>
      </c>
      <c r="K206" t="s">
        <v>77</v>
      </c>
      <c r="L206">
        <v>34642</v>
      </c>
      <c r="M206">
        <v>34642</v>
      </c>
      <c r="O206" t="s">
        <v>118</v>
      </c>
      <c r="P206" t="s">
        <v>119</v>
      </c>
    </row>
    <row r="207" spans="1:16" hidden="1" x14ac:dyDescent="0.35">
      <c r="A207" t="s">
        <v>753</v>
      </c>
      <c r="B207">
        <v>2023</v>
      </c>
      <c r="D207" t="s">
        <v>205</v>
      </c>
      <c r="F207" t="s">
        <v>207</v>
      </c>
      <c r="G207" t="s">
        <v>123</v>
      </c>
      <c r="H207" t="s">
        <v>276</v>
      </c>
      <c r="I207" t="s">
        <v>277</v>
      </c>
      <c r="J207" t="s">
        <v>22</v>
      </c>
      <c r="K207" t="s">
        <v>616</v>
      </c>
      <c r="L207">
        <v>260</v>
      </c>
      <c r="M207">
        <v>8.0869099999999996</v>
      </c>
      <c r="O207" t="s">
        <v>64</v>
      </c>
      <c r="P207" t="s">
        <v>65</v>
      </c>
    </row>
    <row r="208" spans="1:16" hidden="1" x14ac:dyDescent="0.35">
      <c r="A208" t="s">
        <v>204</v>
      </c>
      <c r="B208">
        <v>2023</v>
      </c>
      <c r="D208" t="s">
        <v>205</v>
      </c>
      <c r="F208" t="s">
        <v>207</v>
      </c>
      <c r="G208" t="s">
        <v>123</v>
      </c>
      <c r="H208" t="s">
        <v>52</v>
      </c>
      <c r="I208" t="s">
        <v>53</v>
      </c>
      <c r="J208" t="s">
        <v>22</v>
      </c>
      <c r="K208" t="s">
        <v>23</v>
      </c>
      <c r="L208">
        <v>2911</v>
      </c>
      <c r="M208">
        <v>2911000</v>
      </c>
      <c r="O208" t="s">
        <v>64</v>
      </c>
      <c r="P208" t="s">
        <v>65</v>
      </c>
    </row>
    <row r="209" spans="1:16" hidden="1" x14ac:dyDescent="0.35">
      <c r="A209" t="s">
        <v>754</v>
      </c>
      <c r="B209">
        <v>2023</v>
      </c>
      <c r="D209" t="s">
        <v>205</v>
      </c>
      <c r="F209" t="s">
        <v>207</v>
      </c>
      <c r="G209" t="s">
        <v>123</v>
      </c>
      <c r="H209" t="s">
        <v>84</v>
      </c>
      <c r="I209" t="s">
        <v>85</v>
      </c>
      <c r="J209" t="s">
        <v>22</v>
      </c>
      <c r="K209" t="s">
        <v>23</v>
      </c>
      <c r="L209">
        <v>7831</v>
      </c>
      <c r="M209">
        <v>7831000</v>
      </c>
      <c r="N209" t="s">
        <v>755</v>
      </c>
      <c r="O209" t="s">
        <v>64</v>
      </c>
      <c r="P209" t="s">
        <v>65</v>
      </c>
    </row>
    <row r="210" spans="1:16" hidden="1" x14ac:dyDescent="0.35">
      <c r="A210" t="s">
        <v>762</v>
      </c>
      <c r="B210">
        <v>2023</v>
      </c>
      <c r="D210" t="s">
        <v>427</v>
      </c>
      <c r="F210" t="s">
        <v>431</v>
      </c>
      <c r="G210" t="s">
        <v>123</v>
      </c>
      <c r="H210" t="s">
        <v>84</v>
      </c>
      <c r="I210" t="s">
        <v>85</v>
      </c>
      <c r="J210" t="s">
        <v>22</v>
      </c>
      <c r="K210" t="s">
        <v>23</v>
      </c>
      <c r="L210">
        <v>1541</v>
      </c>
      <c r="M210">
        <v>1541000</v>
      </c>
      <c r="O210" t="s">
        <v>428</v>
      </c>
      <c r="P210" t="s">
        <v>429</v>
      </c>
    </row>
    <row r="211" spans="1:16" hidden="1" x14ac:dyDescent="0.35">
      <c r="A211" t="s">
        <v>426</v>
      </c>
      <c r="B211">
        <v>2023</v>
      </c>
      <c r="D211" t="s">
        <v>427</v>
      </c>
      <c r="F211" t="s">
        <v>431</v>
      </c>
      <c r="G211" t="s">
        <v>123</v>
      </c>
      <c r="H211" t="s">
        <v>52</v>
      </c>
      <c r="I211" t="s">
        <v>53</v>
      </c>
      <c r="J211" t="s">
        <v>22</v>
      </c>
      <c r="K211" t="s">
        <v>23</v>
      </c>
      <c r="L211">
        <v>1574</v>
      </c>
      <c r="M211">
        <v>1574000</v>
      </c>
      <c r="O211" t="s">
        <v>428</v>
      </c>
      <c r="P211" t="s">
        <v>429</v>
      </c>
    </row>
    <row r="212" spans="1:16" hidden="1" x14ac:dyDescent="0.35">
      <c r="A212" t="s">
        <v>763</v>
      </c>
      <c r="B212">
        <v>2023</v>
      </c>
      <c r="D212" t="s">
        <v>427</v>
      </c>
      <c r="F212" t="s">
        <v>431</v>
      </c>
      <c r="G212" t="s">
        <v>123</v>
      </c>
      <c r="H212" t="s">
        <v>276</v>
      </c>
      <c r="I212" t="s">
        <v>277</v>
      </c>
      <c r="J212" t="s">
        <v>22</v>
      </c>
      <c r="K212" t="s">
        <v>616</v>
      </c>
      <c r="L212">
        <v>132.9</v>
      </c>
      <c r="M212">
        <v>4.1336551500000001</v>
      </c>
      <c r="O212" t="s">
        <v>428</v>
      </c>
      <c r="P212" t="s">
        <v>429</v>
      </c>
    </row>
    <row r="213" spans="1:16" hidden="1" x14ac:dyDescent="0.35">
      <c r="A213" t="s">
        <v>764</v>
      </c>
      <c r="B213">
        <v>2023</v>
      </c>
      <c r="D213" t="s">
        <v>427</v>
      </c>
      <c r="F213" t="s">
        <v>431</v>
      </c>
      <c r="G213" t="s">
        <v>615</v>
      </c>
      <c r="H213" t="s">
        <v>20</v>
      </c>
      <c r="I213" t="s">
        <v>697</v>
      </c>
      <c r="J213" t="s">
        <v>22</v>
      </c>
      <c r="K213" t="s">
        <v>616</v>
      </c>
      <c r="L213">
        <v>16</v>
      </c>
      <c r="M213">
        <v>0.49765599999999999</v>
      </c>
      <c r="O213" t="s">
        <v>428</v>
      </c>
      <c r="P213" t="s">
        <v>429</v>
      </c>
    </row>
    <row r="214" spans="1:16" hidden="1" x14ac:dyDescent="0.35">
      <c r="A214" t="s">
        <v>387</v>
      </c>
      <c r="B214">
        <v>2023</v>
      </c>
      <c r="D214" t="s">
        <v>388</v>
      </c>
      <c r="F214" t="s">
        <v>392</v>
      </c>
      <c r="G214" t="s">
        <v>123</v>
      </c>
      <c r="H214" t="s">
        <v>52</v>
      </c>
      <c r="I214" t="s">
        <v>115</v>
      </c>
      <c r="J214" t="s">
        <v>22</v>
      </c>
      <c r="K214" t="s">
        <v>23</v>
      </c>
      <c r="L214">
        <v>122</v>
      </c>
      <c r="M214">
        <v>122000</v>
      </c>
      <c r="O214" t="s">
        <v>389</v>
      </c>
      <c r="P214" t="s">
        <v>390</v>
      </c>
    </row>
    <row r="215" spans="1:16" hidden="1" x14ac:dyDescent="0.35">
      <c r="A215" t="s">
        <v>777</v>
      </c>
      <c r="B215">
        <v>2023</v>
      </c>
      <c r="D215" t="s">
        <v>388</v>
      </c>
      <c r="F215" t="s">
        <v>392</v>
      </c>
      <c r="G215" t="s">
        <v>123</v>
      </c>
      <c r="H215" t="s">
        <v>84</v>
      </c>
      <c r="I215" t="s">
        <v>85</v>
      </c>
      <c r="J215" t="s">
        <v>22</v>
      </c>
      <c r="K215" t="s">
        <v>23</v>
      </c>
      <c r="L215">
        <v>117</v>
      </c>
      <c r="M215">
        <v>117000</v>
      </c>
      <c r="O215" t="s">
        <v>389</v>
      </c>
      <c r="P215" t="s">
        <v>390</v>
      </c>
    </row>
    <row r="216" spans="1:16" hidden="1" x14ac:dyDescent="0.35">
      <c r="A216" t="s">
        <v>778</v>
      </c>
      <c r="B216">
        <v>2023</v>
      </c>
      <c r="D216" t="s">
        <v>388</v>
      </c>
      <c r="F216" t="s">
        <v>392</v>
      </c>
      <c r="G216" t="s">
        <v>123</v>
      </c>
      <c r="H216" t="s">
        <v>276</v>
      </c>
      <c r="I216" t="s">
        <v>277</v>
      </c>
      <c r="J216" t="s">
        <v>22</v>
      </c>
      <c r="K216" t="s">
        <v>612</v>
      </c>
      <c r="L216">
        <v>38757</v>
      </c>
      <c r="M216">
        <v>1.2054783495000001</v>
      </c>
      <c r="O216" t="s">
        <v>389</v>
      </c>
      <c r="P216" t="s">
        <v>390</v>
      </c>
    </row>
    <row r="217" spans="1:16" hidden="1" x14ac:dyDescent="0.35">
      <c r="A217" t="s">
        <v>788</v>
      </c>
      <c r="B217">
        <v>2023</v>
      </c>
      <c r="D217" t="s">
        <v>545</v>
      </c>
      <c r="F217" t="s">
        <v>546</v>
      </c>
      <c r="G217" t="s">
        <v>51</v>
      </c>
      <c r="H217" t="s">
        <v>84</v>
      </c>
      <c r="I217" t="s">
        <v>85</v>
      </c>
      <c r="J217" t="s">
        <v>638</v>
      </c>
      <c r="K217" t="s">
        <v>40</v>
      </c>
      <c r="L217">
        <v>4.2</v>
      </c>
      <c r="O217" t="s">
        <v>789</v>
      </c>
      <c r="P217" t="s">
        <v>790</v>
      </c>
    </row>
    <row r="218" spans="1:16" hidden="1" x14ac:dyDescent="0.35">
      <c r="A218" t="s">
        <v>432</v>
      </c>
      <c r="B218">
        <v>2023</v>
      </c>
      <c r="D218" t="s">
        <v>434</v>
      </c>
      <c r="F218" t="s">
        <v>437</v>
      </c>
      <c r="G218" t="s">
        <v>579</v>
      </c>
      <c r="H218" t="s">
        <v>38</v>
      </c>
      <c r="I218" t="s">
        <v>70</v>
      </c>
      <c r="J218" t="s">
        <v>22</v>
      </c>
      <c r="K218" t="s">
        <v>23</v>
      </c>
      <c r="L218">
        <v>57.9</v>
      </c>
      <c r="M218">
        <v>57900</v>
      </c>
      <c r="N218" t="s">
        <v>433</v>
      </c>
      <c r="O218" t="s">
        <v>422</v>
      </c>
      <c r="P218" t="s">
        <v>435</v>
      </c>
    </row>
    <row r="219" spans="1:16" hidden="1" x14ac:dyDescent="0.35">
      <c r="A219" t="s">
        <v>793</v>
      </c>
      <c r="B219">
        <v>2023</v>
      </c>
      <c r="D219" t="s">
        <v>434</v>
      </c>
      <c r="F219" t="s">
        <v>437</v>
      </c>
      <c r="G219" t="s">
        <v>350</v>
      </c>
      <c r="H219" t="s">
        <v>38</v>
      </c>
      <c r="I219" t="s">
        <v>70</v>
      </c>
      <c r="J219" t="s">
        <v>22</v>
      </c>
      <c r="K219" t="s">
        <v>23</v>
      </c>
      <c r="L219">
        <v>38.200000000000003</v>
      </c>
      <c r="M219">
        <v>38200</v>
      </c>
      <c r="N219" t="s">
        <v>433</v>
      </c>
      <c r="O219" t="s">
        <v>422</v>
      </c>
      <c r="P219" t="s">
        <v>435</v>
      </c>
    </row>
  </sheetData>
  <autoFilter ref="A1:P219" xr:uid="{B7B3A394-3D47-420C-8959-1E13750B0FC8}">
    <filterColumn colId="8">
      <filters>
        <filter val="Concentrate"/>
      </filters>
    </filterColumn>
    <sortState xmlns:xlrd2="http://schemas.microsoft.com/office/spreadsheetml/2017/richdata2" ref="A2:P219">
      <sortCondition ref="E1:E219"/>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802</v>
      </c>
      <c r="B1" t="s">
        <v>6</v>
      </c>
      <c r="C1" t="s">
        <v>0</v>
      </c>
      <c r="D1" t="s">
        <v>1</v>
      </c>
      <c r="E1" t="s">
        <v>2</v>
      </c>
      <c r="F1" t="s">
        <v>3</v>
      </c>
      <c r="G1" t="s">
        <v>4</v>
      </c>
      <c r="H1" t="s">
        <v>7</v>
      </c>
      <c r="I1" t="s">
        <v>8</v>
      </c>
      <c r="J1" t="s">
        <v>803</v>
      </c>
      <c r="K1" t="s">
        <v>10</v>
      </c>
      <c r="L1" t="s">
        <v>11</v>
      </c>
      <c r="M1" t="s">
        <v>13</v>
      </c>
      <c r="N1" t="s">
        <v>14</v>
      </c>
      <c r="O1" t="s">
        <v>15</v>
      </c>
    </row>
    <row r="2" spans="1:15" x14ac:dyDescent="0.35">
      <c r="A2" t="s">
        <v>804</v>
      </c>
      <c r="B2">
        <v>2022</v>
      </c>
      <c r="C2" t="s">
        <v>56</v>
      </c>
      <c r="E2" t="s">
        <v>59</v>
      </c>
      <c r="G2" t="s">
        <v>51</v>
      </c>
      <c r="H2" t="s">
        <v>276</v>
      </c>
      <c r="I2" t="s">
        <v>805</v>
      </c>
      <c r="J2" t="s">
        <v>806</v>
      </c>
      <c r="K2" t="s">
        <v>807</v>
      </c>
      <c r="L2">
        <v>0.66200000000000003</v>
      </c>
      <c r="N2" t="s">
        <v>57</v>
      </c>
      <c r="O2" t="s">
        <v>58</v>
      </c>
    </row>
    <row r="3" spans="1:15" x14ac:dyDescent="0.35">
      <c r="A3" t="s">
        <v>925</v>
      </c>
      <c r="B3">
        <v>2023</v>
      </c>
      <c r="C3" t="s">
        <v>63</v>
      </c>
      <c r="E3" t="s">
        <v>66</v>
      </c>
      <c r="G3" t="s">
        <v>62</v>
      </c>
      <c r="H3" t="s">
        <v>52</v>
      </c>
      <c r="I3" t="s">
        <v>926</v>
      </c>
      <c r="J3" t="s">
        <v>806</v>
      </c>
      <c r="K3" t="s">
        <v>815</v>
      </c>
      <c r="L3">
        <v>5.6849999999999996</v>
      </c>
      <c r="N3" t="s">
        <v>64</v>
      </c>
      <c r="O3" t="s">
        <v>65</v>
      </c>
    </row>
    <row r="4" spans="1:15" x14ac:dyDescent="0.35">
      <c r="A4" t="s">
        <v>930</v>
      </c>
      <c r="B4">
        <v>2023</v>
      </c>
      <c r="C4" t="s">
        <v>63</v>
      </c>
      <c r="E4" t="s">
        <v>66</v>
      </c>
      <c r="G4" t="s">
        <v>62</v>
      </c>
      <c r="H4" t="s">
        <v>52</v>
      </c>
      <c r="I4" t="s">
        <v>840</v>
      </c>
      <c r="J4" t="s">
        <v>806</v>
      </c>
      <c r="K4" t="s">
        <v>807</v>
      </c>
      <c r="L4">
        <v>96</v>
      </c>
      <c r="N4" t="s">
        <v>64</v>
      </c>
      <c r="O4" t="s">
        <v>65</v>
      </c>
    </row>
    <row r="5" spans="1:15" x14ac:dyDescent="0.35">
      <c r="A5" t="s">
        <v>826</v>
      </c>
      <c r="B5">
        <v>2023</v>
      </c>
      <c r="C5" t="s">
        <v>78</v>
      </c>
      <c r="E5" t="s">
        <v>81</v>
      </c>
      <c r="G5" t="s">
        <v>62</v>
      </c>
      <c r="H5" t="s">
        <v>52</v>
      </c>
      <c r="I5" t="s">
        <v>809</v>
      </c>
      <c r="J5" t="s">
        <v>810</v>
      </c>
      <c r="K5" t="s">
        <v>811</v>
      </c>
      <c r="L5">
        <v>1.0001405976077</v>
      </c>
      <c r="M5" t="s">
        <v>812</v>
      </c>
      <c r="N5" t="s">
        <v>79</v>
      </c>
      <c r="O5" t="s">
        <v>80</v>
      </c>
    </row>
    <row r="6" spans="1:15" x14ac:dyDescent="0.35">
      <c r="A6" t="s">
        <v>829</v>
      </c>
      <c r="B6">
        <v>2023</v>
      </c>
      <c r="C6" t="s">
        <v>78</v>
      </c>
      <c r="E6" t="s">
        <v>81</v>
      </c>
      <c r="G6" t="s">
        <v>123</v>
      </c>
      <c r="H6" t="s">
        <v>52</v>
      </c>
      <c r="I6" t="s">
        <v>814</v>
      </c>
      <c r="J6" t="s">
        <v>806</v>
      </c>
      <c r="K6" t="s">
        <v>815</v>
      </c>
      <c r="L6">
        <v>1.17</v>
      </c>
      <c r="N6" t="s">
        <v>79</v>
      </c>
      <c r="O6" t="s">
        <v>816</v>
      </c>
    </row>
    <row r="7" spans="1:15" x14ac:dyDescent="0.35">
      <c r="A7" t="s">
        <v>830</v>
      </c>
      <c r="B7">
        <v>2023</v>
      </c>
      <c r="C7" t="s">
        <v>78</v>
      </c>
      <c r="E7" t="s">
        <v>81</v>
      </c>
      <c r="G7" t="s">
        <v>123</v>
      </c>
      <c r="H7" t="s">
        <v>52</v>
      </c>
      <c r="I7" t="s">
        <v>818</v>
      </c>
      <c r="J7" t="s">
        <v>806</v>
      </c>
      <c r="K7" t="s">
        <v>807</v>
      </c>
      <c r="L7">
        <v>92.8</v>
      </c>
      <c r="N7" t="s">
        <v>79</v>
      </c>
      <c r="O7" t="s">
        <v>816</v>
      </c>
    </row>
    <row r="8" spans="1:15" x14ac:dyDescent="0.35">
      <c r="A8" t="s">
        <v>822</v>
      </c>
      <c r="B8">
        <v>2023</v>
      </c>
      <c r="C8" t="s">
        <v>117</v>
      </c>
      <c r="E8" t="s">
        <v>120</v>
      </c>
      <c r="G8" t="s">
        <v>579</v>
      </c>
      <c r="H8" t="s">
        <v>52</v>
      </c>
      <c r="I8" t="s">
        <v>814</v>
      </c>
      <c r="J8" t="s">
        <v>806</v>
      </c>
      <c r="K8" t="s">
        <v>807</v>
      </c>
      <c r="L8">
        <v>0.35</v>
      </c>
      <c r="M8" t="s">
        <v>116</v>
      </c>
      <c r="N8" t="s">
        <v>118</v>
      </c>
      <c r="O8" t="s">
        <v>119</v>
      </c>
    </row>
    <row r="9" spans="1:15" x14ac:dyDescent="0.35">
      <c r="A9" t="s">
        <v>823</v>
      </c>
      <c r="B9">
        <v>2023</v>
      </c>
      <c r="C9" t="s">
        <v>117</v>
      </c>
      <c r="E9" t="s">
        <v>120</v>
      </c>
      <c r="G9" t="s">
        <v>579</v>
      </c>
      <c r="H9" t="s">
        <v>52</v>
      </c>
      <c r="I9" t="s">
        <v>818</v>
      </c>
      <c r="J9" t="s">
        <v>806</v>
      </c>
      <c r="K9" t="s">
        <v>807</v>
      </c>
      <c r="L9">
        <v>79.7</v>
      </c>
      <c r="M9" t="s">
        <v>116</v>
      </c>
      <c r="N9" t="s">
        <v>118</v>
      </c>
      <c r="O9" t="s">
        <v>119</v>
      </c>
    </row>
    <row r="10" spans="1:15" x14ac:dyDescent="0.35">
      <c r="A10" t="s">
        <v>824</v>
      </c>
      <c r="B10">
        <v>2023</v>
      </c>
      <c r="C10" t="s">
        <v>117</v>
      </c>
      <c r="E10" t="s">
        <v>120</v>
      </c>
      <c r="G10" t="s">
        <v>579</v>
      </c>
      <c r="H10" t="s">
        <v>276</v>
      </c>
      <c r="I10" t="s">
        <v>805</v>
      </c>
      <c r="J10" t="s">
        <v>806</v>
      </c>
      <c r="K10" t="s">
        <v>807</v>
      </c>
      <c r="L10">
        <v>23.1</v>
      </c>
      <c r="M10" t="s">
        <v>116</v>
      </c>
      <c r="N10" t="s">
        <v>118</v>
      </c>
      <c r="O10" t="s">
        <v>119</v>
      </c>
    </row>
    <row r="11" spans="1:15" x14ac:dyDescent="0.35">
      <c r="A11" t="s">
        <v>827</v>
      </c>
      <c r="B11">
        <v>2023</v>
      </c>
      <c r="C11" t="s">
        <v>117</v>
      </c>
      <c r="E11" t="s">
        <v>120</v>
      </c>
      <c r="G11" t="s">
        <v>615</v>
      </c>
      <c r="H11" t="s">
        <v>52</v>
      </c>
      <c r="I11" t="s">
        <v>814</v>
      </c>
      <c r="J11" t="s">
        <v>806</v>
      </c>
      <c r="K11" t="s">
        <v>815</v>
      </c>
      <c r="L11">
        <v>1.36</v>
      </c>
      <c r="N11" t="s">
        <v>118</v>
      </c>
      <c r="O11" t="s">
        <v>119</v>
      </c>
    </row>
    <row r="12" spans="1:15" x14ac:dyDescent="0.35">
      <c r="A12" t="s">
        <v>828</v>
      </c>
      <c r="B12">
        <v>2023</v>
      </c>
      <c r="C12" t="s">
        <v>117</v>
      </c>
      <c r="E12" t="s">
        <v>120</v>
      </c>
      <c r="G12" t="s">
        <v>615</v>
      </c>
      <c r="H12" t="s">
        <v>52</v>
      </c>
      <c r="I12" t="s">
        <v>818</v>
      </c>
      <c r="J12" t="s">
        <v>806</v>
      </c>
      <c r="K12" t="s">
        <v>807</v>
      </c>
      <c r="L12">
        <v>73</v>
      </c>
      <c r="M12" t="s">
        <v>116</v>
      </c>
      <c r="N12" t="s">
        <v>118</v>
      </c>
      <c r="O12" t="s">
        <v>119</v>
      </c>
    </row>
    <row r="13" spans="1:15" x14ac:dyDescent="0.35">
      <c r="A13" t="s">
        <v>877</v>
      </c>
      <c r="B13">
        <v>2023</v>
      </c>
      <c r="C13" t="s">
        <v>117</v>
      </c>
      <c r="E13" t="s">
        <v>120</v>
      </c>
      <c r="G13" t="s">
        <v>62</v>
      </c>
      <c r="H13" t="s">
        <v>84</v>
      </c>
      <c r="I13" t="s">
        <v>809</v>
      </c>
      <c r="J13" t="s">
        <v>806</v>
      </c>
      <c r="K13" t="s">
        <v>811</v>
      </c>
      <c r="L13">
        <v>3.82</v>
      </c>
      <c r="M13" t="s">
        <v>116</v>
      </c>
      <c r="N13" t="s">
        <v>118</v>
      </c>
      <c r="O13" t="s">
        <v>119</v>
      </c>
    </row>
    <row r="14" spans="1:15" x14ac:dyDescent="0.35">
      <c r="A14" t="s">
        <v>881</v>
      </c>
      <c r="B14">
        <v>2023</v>
      </c>
      <c r="C14" t="s">
        <v>117</v>
      </c>
      <c r="E14" t="s">
        <v>120</v>
      </c>
      <c r="G14" t="s">
        <v>123</v>
      </c>
      <c r="H14" t="s">
        <v>52</v>
      </c>
      <c r="I14" t="s">
        <v>814</v>
      </c>
      <c r="J14" t="s">
        <v>806</v>
      </c>
      <c r="K14" t="s">
        <v>815</v>
      </c>
      <c r="L14">
        <v>7.0000000000000007E-2</v>
      </c>
      <c r="N14" t="s">
        <v>118</v>
      </c>
      <c r="O14" t="s">
        <v>119</v>
      </c>
    </row>
    <row r="15" spans="1:15" x14ac:dyDescent="0.35">
      <c r="A15" t="s">
        <v>882</v>
      </c>
      <c r="B15">
        <v>2023</v>
      </c>
      <c r="C15" t="s">
        <v>117</v>
      </c>
      <c r="E15" t="s">
        <v>120</v>
      </c>
      <c r="G15" t="s">
        <v>123</v>
      </c>
      <c r="H15" t="s">
        <v>52</v>
      </c>
      <c r="I15" t="s">
        <v>818</v>
      </c>
      <c r="J15" t="s">
        <v>806</v>
      </c>
      <c r="K15" t="s">
        <v>807</v>
      </c>
      <c r="L15">
        <v>55.9</v>
      </c>
      <c r="M15" t="s">
        <v>116</v>
      </c>
      <c r="N15" t="s">
        <v>118</v>
      </c>
      <c r="O15" t="s">
        <v>119</v>
      </c>
    </row>
    <row r="16" spans="1:15" x14ac:dyDescent="0.35">
      <c r="A16" t="s">
        <v>819</v>
      </c>
      <c r="B16">
        <v>2023</v>
      </c>
      <c r="C16" t="s">
        <v>124</v>
      </c>
      <c r="E16" t="s">
        <v>125</v>
      </c>
      <c r="G16" t="s">
        <v>62</v>
      </c>
      <c r="H16" t="s">
        <v>52</v>
      </c>
      <c r="I16" t="s">
        <v>809</v>
      </c>
      <c r="J16" t="s">
        <v>810</v>
      </c>
      <c r="K16" t="s">
        <v>811</v>
      </c>
      <c r="L16">
        <v>4.3275814028000097</v>
      </c>
      <c r="M16" t="s">
        <v>812</v>
      </c>
      <c r="N16" t="s">
        <v>79</v>
      </c>
      <c r="O16" t="s">
        <v>80</v>
      </c>
    </row>
    <row r="17" spans="1:15" x14ac:dyDescent="0.35">
      <c r="A17" t="s">
        <v>963</v>
      </c>
      <c r="B17">
        <v>2023</v>
      </c>
      <c r="C17" t="s">
        <v>134</v>
      </c>
      <c r="E17" t="s">
        <v>137</v>
      </c>
      <c r="G17" t="s">
        <v>62</v>
      </c>
      <c r="H17" t="s">
        <v>52</v>
      </c>
      <c r="I17" t="s">
        <v>809</v>
      </c>
      <c r="J17" t="s">
        <v>810</v>
      </c>
      <c r="K17" t="s">
        <v>811</v>
      </c>
      <c r="L17">
        <v>0.64937765859486896</v>
      </c>
      <c r="M17" t="s">
        <v>912</v>
      </c>
      <c r="N17" t="s">
        <v>135</v>
      </c>
      <c r="O17" t="s">
        <v>136</v>
      </c>
    </row>
    <row r="18" spans="1:15" x14ac:dyDescent="0.35">
      <c r="A18" t="s">
        <v>964</v>
      </c>
      <c r="B18">
        <v>2023</v>
      </c>
      <c r="C18" t="s">
        <v>134</v>
      </c>
      <c r="E18" t="s">
        <v>137</v>
      </c>
      <c r="G18" t="s">
        <v>123</v>
      </c>
      <c r="H18" t="s">
        <v>52</v>
      </c>
      <c r="I18" t="s">
        <v>814</v>
      </c>
      <c r="J18" t="s">
        <v>806</v>
      </c>
      <c r="K18" t="s">
        <v>815</v>
      </c>
      <c r="L18">
        <v>12.6</v>
      </c>
      <c r="N18" t="s">
        <v>135</v>
      </c>
      <c r="O18" t="s">
        <v>136</v>
      </c>
    </row>
    <row r="19" spans="1:15" x14ac:dyDescent="0.35">
      <c r="A19" t="s">
        <v>965</v>
      </c>
      <c r="B19">
        <v>2023</v>
      </c>
      <c r="C19" t="s">
        <v>134</v>
      </c>
      <c r="E19" t="s">
        <v>137</v>
      </c>
      <c r="G19" t="s">
        <v>123</v>
      </c>
      <c r="H19" t="s">
        <v>52</v>
      </c>
      <c r="I19" t="s">
        <v>818</v>
      </c>
      <c r="J19" t="s">
        <v>806</v>
      </c>
      <c r="K19" t="s">
        <v>807</v>
      </c>
      <c r="L19">
        <v>96.9</v>
      </c>
      <c r="N19" t="s">
        <v>135</v>
      </c>
      <c r="O19" t="s">
        <v>136</v>
      </c>
    </row>
    <row r="20" spans="1:15" x14ac:dyDescent="0.35">
      <c r="A20" t="s">
        <v>940</v>
      </c>
      <c r="B20">
        <v>2023</v>
      </c>
      <c r="C20" t="s">
        <v>145</v>
      </c>
      <c r="E20" t="s">
        <v>146</v>
      </c>
      <c r="G20" t="s">
        <v>62</v>
      </c>
      <c r="H20" t="s">
        <v>52</v>
      </c>
      <c r="I20" t="s">
        <v>809</v>
      </c>
      <c r="J20" t="s">
        <v>810</v>
      </c>
      <c r="K20" t="s">
        <v>811</v>
      </c>
      <c r="L20">
        <v>0.36170620108368401</v>
      </c>
      <c r="M20" t="s">
        <v>835</v>
      </c>
      <c r="N20" t="s">
        <v>64</v>
      </c>
      <c r="O20" t="s">
        <v>65</v>
      </c>
    </row>
    <row r="21" spans="1:15" x14ac:dyDescent="0.35">
      <c r="A21" t="s">
        <v>941</v>
      </c>
      <c r="B21">
        <v>2023</v>
      </c>
      <c r="C21" t="s">
        <v>145</v>
      </c>
      <c r="E21" t="s">
        <v>146</v>
      </c>
      <c r="G21" t="s">
        <v>123</v>
      </c>
      <c r="H21" t="s">
        <v>52</v>
      </c>
      <c r="I21" t="s">
        <v>926</v>
      </c>
      <c r="J21" t="s">
        <v>806</v>
      </c>
      <c r="K21" t="s">
        <v>815</v>
      </c>
      <c r="L21">
        <v>4.7850000000000001</v>
      </c>
      <c r="N21" t="s">
        <v>64</v>
      </c>
      <c r="O21" t="s">
        <v>65</v>
      </c>
    </row>
    <row r="22" spans="1:15" x14ac:dyDescent="0.35">
      <c r="A22" t="s">
        <v>942</v>
      </c>
      <c r="B22">
        <v>2023</v>
      </c>
      <c r="C22" t="s">
        <v>145</v>
      </c>
      <c r="E22" t="s">
        <v>146</v>
      </c>
      <c r="G22" t="s">
        <v>123</v>
      </c>
      <c r="H22" t="s">
        <v>52</v>
      </c>
      <c r="I22" t="s">
        <v>840</v>
      </c>
      <c r="J22" t="s">
        <v>806</v>
      </c>
      <c r="K22" t="s">
        <v>807</v>
      </c>
      <c r="L22">
        <v>91</v>
      </c>
      <c r="N22" t="s">
        <v>64</v>
      </c>
      <c r="O22" t="s">
        <v>65</v>
      </c>
    </row>
    <row r="23" spans="1:15" x14ac:dyDescent="0.35">
      <c r="A23" t="s">
        <v>872</v>
      </c>
      <c r="B23">
        <v>2024</v>
      </c>
      <c r="C23" t="s">
        <v>149</v>
      </c>
      <c r="E23" t="s">
        <v>152</v>
      </c>
      <c r="G23" t="s">
        <v>123</v>
      </c>
      <c r="H23" t="s">
        <v>84</v>
      </c>
      <c r="I23" t="s">
        <v>809</v>
      </c>
      <c r="J23" t="s">
        <v>806</v>
      </c>
      <c r="K23" t="s">
        <v>811</v>
      </c>
      <c r="L23">
        <v>47.7</v>
      </c>
      <c r="N23" t="s">
        <v>150</v>
      </c>
      <c r="O23" t="s">
        <v>151</v>
      </c>
    </row>
    <row r="24" spans="1:15" x14ac:dyDescent="0.35">
      <c r="A24" t="s">
        <v>873</v>
      </c>
      <c r="B24">
        <v>2024</v>
      </c>
      <c r="C24" t="s">
        <v>149</v>
      </c>
      <c r="E24" t="s">
        <v>152</v>
      </c>
      <c r="G24" t="s">
        <v>123</v>
      </c>
      <c r="H24" t="s">
        <v>52</v>
      </c>
      <c r="I24" t="s">
        <v>842</v>
      </c>
      <c r="J24" t="s">
        <v>806</v>
      </c>
      <c r="K24" t="s">
        <v>815</v>
      </c>
      <c r="L24">
        <v>4.26</v>
      </c>
      <c r="N24" t="s">
        <v>150</v>
      </c>
      <c r="O24" t="s">
        <v>151</v>
      </c>
    </row>
    <row r="25" spans="1:15" x14ac:dyDescent="0.35">
      <c r="A25" t="s">
        <v>909</v>
      </c>
      <c r="B25">
        <v>2023</v>
      </c>
      <c r="C25" t="s">
        <v>168</v>
      </c>
      <c r="E25" t="s">
        <v>171</v>
      </c>
      <c r="G25" t="s">
        <v>123</v>
      </c>
      <c r="H25" t="s">
        <v>52</v>
      </c>
      <c r="I25" t="s">
        <v>814</v>
      </c>
      <c r="J25" t="s">
        <v>806</v>
      </c>
      <c r="K25" t="s">
        <v>815</v>
      </c>
      <c r="L25">
        <v>2.84</v>
      </c>
      <c r="N25" t="s">
        <v>169</v>
      </c>
      <c r="O25" t="s">
        <v>170</v>
      </c>
    </row>
    <row r="26" spans="1:15" x14ac:dyDescent="0.35">
      <c r="A26" t="s">
        <v>910</v>
      </c>
      <c r="B26">
        <v>2023</v>
      </c>
      <c r="C26" t="s">
        <v>168</v>
      </c>
      <c r="E26" t="s">
        <v>171</v>
      </c>
      <c r="G26" t="s">
        <v>123</v>
      </c>
      <c r="H26" t="s">
        <v>52</v>
      </c>
      <c r="I26" t="s">
        <v>842</v>
      </c>
      <c r="J26" t="s">
        <v>806</v>
      </c>
      <c r="K26" t="s">
        <v>815</v>
      </c>
      <c r="L26">
        <v>3.08</v>
      </c>
      <c r="N26" t="s">
        <v>169</v>
      </c>
      <c r="O26" t="s">
        <v>170</v>
      </c>
    </row>
    <row r="27" spans="1:15" x14ac:dyDescent="0.35">
      <c r="A27" t="s">
        <v>846</v>
      </c>
      <c r="B27">
        <v>2023</v>
      </c>
      <c r="C27" t="s">
        <v>180</v>
      </c>
      <c r="E27" t="s">
        <v>183</v>
      </c>
      <c r="G27" t="s">
        <v>579</v>
      </c>
      <c r="H27" t="s">
        <v>276</v>
      </c>
      <c r="I27" t="s">
        <v>814</v>
      </c>
      <c r="J27" t="s">
        <v>806</v>
      </c>
      <c r="K27" t="s">
        <v>807</v>
      </c>
      <c r="L27">
        <v>0.25</v>
      </c>
      <c r="N27" t="s">
        <v>181</v>
      </c>
      <c r="O27" t="s">
        <v>182</v>
      </c>
    </row>
    <row r="28" spans="1:15" x14ac:dyDescent="0.35">
      <c r="A28" t="s">
        <v>847</v>
      </c>
      <c r="B28">
        <v>2023</v>
      </c>
      <c r="C28" t="s">
        <v>180</v>
      </c>
      <c r="E28" t="s">
        <v>183</v>
      </c>
      <c r="G28" t="s">
        <v>579</v>
      </c>
      <c r="H28" t="s">
        <v>276</v>
      </c>
      <c r="I28" t="s">
        <v>848</v>
      </c>
      <c r="J28" t="s">
        <v>806</v>
      </c>
      <c r="K28" t="s">
        <v>807</v>
      </c>
      <c r="L28">
        <v>82.6</v>
      </c>
      <c r="N28" t="s">
        <v>181</v>
      </c>
      <c r="O28" t="s">
        <v>182</v>
      </c>
    </row>
    <row r="29" spans="1:15" x14ac:dyDescent="0.35">
      <c r="A29" t="s">
        <v>962</v>
      </c>
      <c r="B29">
        <v>2023</v>
      </c>
      <c r="C29" t="s">
        <v>180</v>
      </c>
      <c r="E29" t="s">
        <v>183</v>
      </c>
      <c r="G29" t="s">
        <v>62</v>
      </c>
      <c r="H29" t="s">
        <v>52</v>
      </c>
      <c r="I29" t="s">
        <v>809</v>
      </c>
      <c r="J29" t="s">
        <v>806</v>
      </c>
      <c r="K29" t="s">
        <v>811</v>
      </c>
      <c r="L29">
        <v>1.3</v>
      </c>
      <c r="N29" t="s">
        <v>181</v>
      </c>
      <c r="O29" t="s">
        <v>182</v>
      </c>
    </row>
    <row r="30" spans="1:15" x14ac:dyDescent="0.35">
      <c r="A30" t="s">
        <v>858</v>
      </c>
      <c r="B30">
        <v>2023</v>
      </c>
      <c r="C30" t="s">
        <v>193</v>
      </c>
      <c r="E30" t="s">
        <v>196</v>
      </c>
      <c r="G30" t="s">
        <v>62</v>
      </c>
      <c r="H30" t="s">
        <v>52</v>
      </c>
      <c r="I30" t="s">
        <v>809</v>
      </c>
      <c r="J30" t="s">
        <v>810</v>
      </c>
      <c r="K30" t="s">
        <v>811</v>
      </c>
      <c r="L30">
        <v>1.20852695359985</v>
      </c>
      <c r="M30" t="s">
        <v>859</v>
      </c>
      <c r="N30" t="s">
        <v>194</v>
      </c>
      <c r="O30" t="s">
        <v>195</v>
      </c>
    </row>
    <row r="31" spans="1:15" x14ac:dyDescent="0.35">
      <c r="A31" t="s">
        <v>943</v>
      </c>
      <c r="B31">
        <v>2023</v>
      </c>
      <c r="D31" t="s">
        <v>205</v>
      </c>
      <c r="E31" t="s">
        <v>206</v>
      </c>
      <c r="F31" t="s">
        <v>207</v>
      </c>
      <c r="G31" t="s">
        <v>123</v>
      </c>
      <c r="H31" t="s">
        <v>52</v>
      </c>
      <c r="I31" t="s">
        <v>926</v>
      </c>
      <c r="J31" t="s">
        <v>806</v>
      </c>
      <c r="K31" t="s">
        <v>815</v>
      </c>
      <c r="L31">
        <v>3.0150000000000001</v>
      </c>
      <c r="N31" t="s">
        <v>64</v>
      </c>
      <c r="O31" t="s">
        <v>65</v>
      </c>
    </row>
    <row r="32" spans="1:15" x14ac:dyDescent="0.35">
      <c r="A32" t="s">
        <v>947</v>
      </c>
      <c r="B32">
        <v>2023</v>
      </c>
      <c r="D32" t="s">
        <v>205</v>
      </c>
      <c r="E32" t="s">
        <v>206</v>
      </c>
      <c r="F32" t="s">
        <v>207</v>
      </c>
      <c r="G32" t="s">
        <v>123</v>
      </c>
      <c r="H32" t="s">
        <v>52</v>
      </c>
      <c r="I32" t="s">
        <v>840</v>
      </c>
      <c r="J32" t="s">
        <v>806</v>
      </c>
      <c r="K32" t="s">
        <v>807</v>
      </c>
      <c r="L32">
        <v>91.4</v>
      </c>
      <c r="N32" t="s">
        <v>64</v>
      </c>
      <c r="O32" t="s">
        <v>65</v>
      </c>
    </row>
    <row r="33" spans="1:15" x14ac:dyDescent="0.35">
      <c r="A33" t="s">
        <v>834</v>
      </c>
      <c r="B33">
        <v>2023</v>
      </c>
      <c r="C33" t="s">
        <v>209</v>
      </c>
      <c r="E33" t="s">
        <v>212</v>
      </c>
      <c r="G33" t="s">
        <v>62</v>
      </c>
      <c r="H33" t="s">
        <v>52</v>
      </c>
      <c r="I33" t="s">
        <v>809</v>
      </c>
      <c r="J33" t="s">
        <v>810</v>
      </c>
      <c r="K33" t="s">
        <v>811</v>
      </c>
      <c r="L33">
        <v>0.167682459667962</v>
      </c>
      <c r="M33" t="s">
        <v>835</v>
      </c>
      <c r="N33" t="s">
        <v>210</v>
      </c>
      <c r="O33" t="s">
        <v>211</v>
      </c>
    </row>
    <row r="34" spans="1:15" x14ac:dyDescent="0.35">
      <c r="A34" t="s">
        <v>836</v>
      </c>
      <c r="B34">
        <v>2023</v>
      </c>
      <c r="C34" t="s">
        <v>209</v>
      </c>
      <c r="E34" t="s">
        <v>212</v>
      </c>
      <c r="G34" t="s">
        <v>123</v>
      </c>
      <c r="H34" t="s">
        <v>52</v>
      </c>
      <c r="I34" t="s">
        <v>837</v>
      </c>
      <c r="J34" t="s">
        <v>806</v>
      </c>
      <c r="K34" t="s">
        <v>815</v>
      </c>
      <c r="L34">
        <v>9.48</v>
      </c>
      <c r="M34" t="s">
        <v>838</v>
      </c>
      <c r="N34" t="s">
        <v>210</v>
      </c>
      <c r="O34" t="s">
        <v>211</v>
      </c>
    </row>
    <row r="35" spans="1:15" x14ac:dyDescent="0.35">
      <c r="A35" t="s">
        <v>839</v>
      </c>
      <c r="B35">
        <v>2023</v>
      </c>
      <c r="C35" t="s">
        <v>209</v>
      </c>
      <c r="E35" t="s">
        <v>212</v>
      </c>
      <c r="G35" t="s">
        <v>123</v>
      </c>
      <c r="H35" t="s">
        <v>52</v>
      </c>
      <c r="I35" t="s">
        <v>840</v>
      </c>
      <c r="J35" t="s">
        <v>806</v>
      </c>
      <c r="K35" t="s">
        <v>807</v>
      </c>
      <c r="L35">
        <v>97</v>
      </c>
      <c r="N35" t="s">
        <v>210</v>
      </c>
      <c r="O35" t="s">
        <v>211</v>
      </c>
    </row>
    <row r="36" spans="1:15" x14ac:dyDescent="0.35">
      <c r="A36" t="s">
        <v>841</v>
      </c>
      <c r="B36">
        <v>2023</v>
      </c>
      <c r="C36" t="s">
        <v>209</v>
      </c>
      <c r="E36" t="s">
        <v>212</v>
      </c>
      <c r="G36" t="s">
        <v>123</v>
      </c>
      <c r="H36" t="s">
        <v>52</v>
      </c>
      <c r="I36" t="s">
        <v>842</v>
      </c>
      <c r="J36" t="s">
        <v>806</v>
      </c>
      <c r="K36" t="s">
        <v>815</v>
      </c>
      <c r="L36">
        <v>9.43</v>
      </c>
      <c r="M36" t="s">
        <v>838</v>
      </c>
      <c r="N36" t="s">
        <v>210</v>
      </c>
      <c r="O36" t="s">
        <v>211</v>
      </c>
    </row>
    <row r="37" spans="1:15" x14ac:dyDescent="0.35">
      <c r="A37" t="s">
        <v>855</v>
      </c>
      <c r="B37">
        <v>2024</v>
      </c>
      <c r="C37" t="s">
        <v>214</v>
      </c>
      <c r="E37" t="s">
        <v>216</v>
      </c>
      <c r="G37" t="s">
        <v>615</v>
      </c>
      <c r="H37" t="s">
        <v>52</v>
      </c>
      <c r="I37" t="s">
        <v>814</v>
      </c>
      <c r="J37" t="s">
        <v>806</v>
      </c>
      <c r="K37" t="s">
        <v>815</v>
      </c>
      <c r="L37">
        <v>944</v>
      </c>
      <c r="N37" t="s">
        <v>94</v>
      </c>
      <c r="O37" t="s">
        <v>215</v>
      </c>
    </row>
    <row r="38" spans="1:15" x14ac:dyDescent="0.35">
      <c r="A38" t="s">
        <v>856</v>
      </c>
      <c r="B38">
        <v>2024</v>
      </c>
      <c r="C38" t="s">
        <v>214</v>
      </c>
      <c r="E38" t="s">
        <v>216</v>
      </c>
      <c r="G38" t="s">
        <v>678</v>
      </c>
      <c r="H38" t="s">
        <v>52</v>
      </c>
      <c r="I38" t="s">
        <v>814</v>
      </c>
      <c r="J38" t="s">
        <v>806</v>
      </c>
      <c r="K38" t="s">
        <v>807</v>
      </c>
      <c r="L38">
        <v>2.11</v>
      </c>
      <c r="N38" t="s">
        <v>94</v>
      </c>
      <c r="O38" t="s">
        <v>215</v>
      </c>
    </row>
    <row r="39" spans="1:15" x14ac:dyDescent="0.35">
      <c r="A39" t="s">
        <v>857</v>
      </c>
      <c r="B39">
        <v>2024</v>
      </c>
      <c r="C39" t="s">
        <v>214</v>
      </c>
      <c r="E39" t="s">
        <v>216</v>
      </c>
      <c r="G39" t="s">
        <v>440</v>
      </c>
      <c r="H39" t="s">
        <v>52</v>
      </c>
      <c r="I39" t="s">
        <v>814</v>
      </c>
      <c r="J39" t="s">
        <v>806</v>
      </c>
      <c r="K39" t="s">
        <v>807</v>
      </c>
      <c r="L39">
        <v>1.34</v>
      </c>
      <c r="N39" t="s">
        <v>94</v>
      </c>
      <c r="O39" t="s">
        <v>215</v>
      </c>
    </row>
    <row r="40" spans="1:15" x14ac:dyDescent="0.35">
      <c r="A40" t="s">
        <v>966</v>
      </c>
      <c r="B40">
        <v>2023</v>
      </c>
      <c r="C40" t="s">
        <v>225</v>
      </c>
      <c r="E40" t="s">
        <v>226</v>
      </c>
      <c r="G40" t="s">
        <v>62</v>
      </c>
      <c r="H40" t="s">
        <v>52</v>
      </c>
      <c r="I40" t="s">
        <v>809</v>
      </c>
      <c r="J40" t="s">
        <v>810</v>
      </c>
      <c r="K40" t="s">
        <v>811</v>
      </c>
      <c r="L40">
        <v>0.848295561554397</v>
      </c>
      <c r="M40" t="s">
        <v>912</v>
      </c>
      <c r="N40" t="s">
        <v>135</v>
      </c>
      <c r="O40" t="s">
        <v>136</v>
      </c>
    </row>
    <row r="41" spans="1:15" x14ac:dyDescent="0.35">
      <c r="A41" t="s">
        <v>967</v>
      </c>
      <c r="B41">
        <v>2023</v>
      </c>
      <c r="C41" t="s">
        <v>225</v>
      </c>
      <c r="E41" t="s">
        <v>226</v>
      </c>
      <c r="G41" t="s">
        <v>123</v>
      </c>
      <c r="H41" t="s">
        <v>52</v>
      </c>
      <c r="I41" t="s">
        <v>814</v>
      </c>
      <c r="J41" t="s">
        <v>806</v>
      </c>
      <c r="K41" t="s">
        <v>815</v>
      </c>
      <c r="L41">
        <v>5.9</v>
      </c>
      <c r="N41" t="s">
        <v>135</v>
      </c>
      <c r="O41" t="s">
        <v>136</v>
      </c>
    </row>
    <row r="42" spans="1:15" x14ac:dyDescent="0.35">
      <c r="A42" t="s">
        <v>968</v>
      </c>
      <c r="B42">
        <v>2023</v>
      </c>
      <c r="C42" t="s">
        <v>225</v>
      </c>
      <c r="E42" t="s">
        <v>226</v>
      </c>
      <c r="G42" t="s">
        <v>123</v>
      </c>
      <c r="H42" t="s">
        <v>52</v>
      </c>
      <c r="I42" t="s">
        <v>818</v>
      </c>
      <c r="J42" t="s">
        <v>806</v>
      </c>
      <c r="K42" t="s">
        <v>807</v>
      </c>
      <c r="L42">
        <v>98.3</v>
      </c>
      <c r="N42" t="s">
        <v>135</v>
      </c>
      <c r="O42" t="s">
        <v>136</v>
      </c>
    </row>
    <row r="43" spans="1:15" x14ac:dyDescent="0.35">
      <c r="A43" t="s">
        <v>864</v>
      </c>
      <c r="B43">
        <v>2023</v>
      </c>
      <c r="C43" t="s">
        <v>231</v>
      </c>
      <c r="E43" t="s">
        <v>234</v>
      </c>
      <c r="G43" t="s">
        <v>731</v>
      </c>
      <c r="H43" t="s">
        <v>52</v>
      </c>
      <c r="I43" t="s">
        <v>814</v>
      </c>
      <c r="J43" t="s">
        <v>806</v>
      </c>
      <c r="K43" t="s">
        <v>815</v>
      </c>
      <c r="L43">
        <v>3.88</v>
      </c>
      <c r="N43" t="s">
        <v>232</v>
      </c>
      <c r="O43" t="s">
        <v>233</v>
      </c>
    </row>
    <row r="44" spans="1:15" x14ac:dyDescent="0.35">
      <c r="A44" t="s">
        <v>865</v>
      </c>
      <c r="B44">
        <v>2023</v>
      </c>
      <c r="C44" t="s">
        <v>237</v>
      </c>
      <c r="D44" t="s">
        <v>238</v>
      </c>
      <c r="E44" t="s">
        <v>239</v>
      </c>
      <c r="F44" t="s">
        <v>240</v>
      </c>
      <c r="G44" t="s">
        <v>579</v>
      </c>
      <c r="H44" t="s">
        <v>52</v>
      </c>
      <c r="I44" t="s">
        <v>842</v>
      </c>
      <c r="J44" t="s">
        <v>806</v>
      </c>
      <c r="K44" t="s">
        <v>807</v>
      </c>
      <c r="L44">
        <v>0.86</v>
      </c>
      <c r="N44" t="s">
        <v>118</v>
      </c>
      <c r="O44" t="s">
        <v>119</v>
      </c>
    </row>
    <row r="45" spans="1:15" x14ac:dyDescent="0.35">
      <c r="A45" t="s">
        <v>867</v>
      </c>
      <c r="B45">
        <v>2023</v>
      </c>
      <c r="C45" t="s">
        <v>237</v>
      </c>
      <c r="D45" t="s">
        <v>238</v>
      </c>
      <c r="E45" t="s">
        <v>239</v>
      </c>
      <c r="F45" t="s">
        <v>240</v>
      </c>
      <c r="G45" t="s">
        <v>615</v>
      </c>
      <c r="H45" t="s">
        <v>52</v>
      </c>
      <c r="I45" t="s">
        <v>842</v>
      </c>
      <c r="J45" t="s">
        <v>806</v>
      </c>
      <c r="K45" t="s">
        <v>815</v>
      </c>
      <c r="L45">
        <v>24.51</v>
      </c>
      <c r="N45" t="s">
        <v>118</v>
      </c>
      <c r="O45" t="s">
        <v>119</v>
      </c>
    </row>
    <row r="46" spans="1:15" x14ac:dyDescent="0.35">
      <c r="A46" t="s">
        <v>868</v>
      </c>
      <c r="B46">
        <v>2023</v>
      </c>
      <c r="C46" t="s">
        <v>237</v>
      </c>
      <c r="D46" t="s">
        <v>238</v>
      </c>
      <c r="E46" t="s">
        <v>239</v>
      </c>
      <c r="F46" t="s">
        <v>240</v>
      </c>
      <c r="G46" t="s">
        <v>440</v>
      </c>
      <c r="H46" t="s">
        <v>52</v>
      </c>
      <c r="I46" t="s">
        <v>842</v>
      </c>
      <c r="J46" t="s">
        <v>806</v>
      </c>
      <c r="K46" t="s">
        <v>807</v>
      </c>
      <c r="L46">
        <v>3</v>
      </c>
      <c r="N46" t="s">
        <v>118</v>
      </c>
      <c r="O46" t="s">
        <v>119</v>
      </c>
    </row>
    <row r="47" spans="1:15" x14ac:dyDescent="0.35">
      <c r="A47" t="s">
        <v>887</v>
      </c>
      <c r="B47">
        <v>2023</v>
      </c>
      <c r="C47" t="s">
        <v>237</v>
      </c>
      <c r="D47" t="s">
        <v>238</v>
      </c>
      <c r="E47" t="s">
        <v>239</v>
      </c>
      <c r="F47" t="s">
        <v>240</v>
      </c>
      <c r="G47" t="s">
        <v>123</v>
      </c>
      <c r="H47" t="s">
        <v>52</v>
      </c>
      <c r="I47" t="s">
        <v>842</v>
      </c>
      <c r="J47" t="s">
        <v>806</v>
      </c>
      <c r="K47" t="s">
        <v>815</v>
      </c>
      <c r="L47">
        <v>4.74</v>
      </c>
      <c r="N47" t="s">
        <v>118</v>
      </c>
      <c r="O47" t="s">
        <v>119</v>
      </c>
    </row>
    <row r="48" spans="1:15" x14ac:dyDescent="0.35">
      <c r="A48" t="s">
        <v>866</v>
      </c>
      <c r="B48">
        <v>2023</v>
      </c>
      <c r="C48" t="s">
        <v>243</v>
      </c>
      <c r="E48" t="s">
        <v>246</v>
      </c>
      <c r="G48" t="s">
        <v>123</v>
      </c>
      <c r="H48" t="s">
        <v>52</v>
      </c>
      <c r="I48" t="s">
        <v>814</v>
      </c>
      <c r="J48" t="s">
        <v>806</v>
      </c>
      <c r="K48" t="s">
        <v>815</v>
      </c>
      <c r="L48">
        <v>6.76</v>
      </c>
      <c r="N48" t="s">
        <v>244</v>
      </c>
      <c r="O48" t="s">
        <v>245</v>
      </c>
    </row>
    <row r="49" spans="1:15" x14ac:dyDescent="0.35">
      <c r="A49" t="s">
        <v>869</v>
      </c>
      <c r="B49">
        <v>2023</v>
      </c>
      <c r="C49" t="s">
        <v>243</v>
      </c>
      <c r="E49" t="s">
        <v>246</v>
      </c>
      <c r="G49" t="s">
        <v>123</v>
      </c>
      <c r="H49" t="s">
        <v>52</v>
      </c>
      <c r="I49" t="s">
        <v>818</v>
      </c>
      <c r="J49" t="s">
        <v>806</v>
      </c>
      <c r="K49" t="s">
        <v>807</v>
      </c>
      <c r="L49">
        <v>0.97099999999999997</v>
      </c>
      <c r="N49" t="s">
        <v>244</v>
      </c>
      <c r="O49" t="s">
        <v>245</v>
      </c>
    </row>
    <row r="50" spans="1:15" x14ac:dyDescent="0.35">
      <c r="A50" t="s">
        <v>820</v>
      </c>
      <c r="B50">
        <v>2023</v>
      </c>
      <c r="C50" t="s">
        <v>248</v>
      </c>
      <c r="E50" t="s">
        <v>249</v>
      </c>
      <c r="G50" t="s">
        <v>62</v>
      </c>
      <c r="H50" t="s">
        <v>52</v>
      </c>
      <c r="I50" t="s">
        <v>809</v>
      </c>
      <c r="J50" t="s">
        <v>810</v>
      </c>
      <c r="K50" t="s">
        <v>811</v>
      </c>
      <c r="L50">
        <v>1.46708992187948</v>
      </c>
      <c r="M50" t="s">
        <v>812</v>
      </c>
      <c r="N50" t="s">
        <v>79</v>
      </c>
      <c r="O50" t="s">
        <v>80</v>
      </c>
    </row>
    <row r="51" spans="1:15" x14ac:dyDescent="0.35">
      <c r="A51" t="s">
        <v>821</v>
      </c>
      <c r="B51">
        <v>2023</v>
      </c>
      <c r="C51" t="s">
        <v>248</v>
      </c>
      <c r="E51" t="s">
        <v>249</v>
      </c>
      <c r="G51" t="s">
        <v>123</v>
      </c>
      <c r="H51" t="s">
        <v>52</v>
      </c>
      <c r="I51" t="s">
        <v>814</v>
      </c>
      <c r="J51" t="s">
        <v>806</v>
      </c>
      <c r="K51" t="s">
        <v>815</v>
      </c>
      <c r="L51">
        <v>5.23</v>
      </c>
      <c r="N51" t="s">
        <v>79</v>
      </c>
      <c r="O51" t="s">
        <v>816</v>
      </c>
    </row>
    <row r="52" spans="1:15" x14ac:dyDescent="0.35">
      <c r="A52" t="s">
        <v>825</v>
      </c>
      <c r="B52">
        <v>2023</v>
      </c>
      <c r="C52" t="s">
        <v>248</v>
      </c>
      <c r="E52" t="s">
        <v>249</v>
      </c>
      <c r="G52" t="s">
        <v>123</v>
      </c>
      <c r="H52" t="s">
        <v>52</v>
      </c>
      <c r="I52" t="s">
        <v>818</v>
      </c>
      <c r="J52" t="s">
        <v>806</v>
      </c>
      <c r="K52" t="s">
        <v>807</v>
      </c>
      <c r="L52">
        <v>93.5</v>
      </c>
      <c r="N52" t="s">
        <v>79</v>
      </c>
      <c r="O52" t="s">
        <v>816</v>
      </c>
    </row>
    <row r="53" spans="1:15" x14ac:dyDescent="0.35">
      <c r="A53" t="s">
        <v>874</v>
      </c>
      <c r="B53">
        <v>2023</v>
      </c>
      <c r="C53" t="s">
        <v>248</v>
      </c>
      <c r="E53" t="s">
        <v>249</v>
      </c>
      <c r="G53" t="s">
        <v>615</v>
      </c>
      <c r="H53" t="s">
        <v>52</v>
      </c>
      <c r="I53" t="s">
        <v>814</v>
      </c>
      <c r="J53" t="s">
        <v>806</v>
      </c>
      <c r="K53" t="s">
        <v>815</v>
      </c>
      <c r="L53">
        <v>16.149999999999999</v>
      </c>
      <c r="N53" t="s">
        <v>79</v>
      </c>
      <c r="O53" t="s">
        <v>816</v>
      </c>
    </row>
    <row r="54" spans="1:15" x14ac:dyDescent="0.35">
      <c r="A54" t="s">
        <v>875</v>
      </c>
      <c r="B54">
        <v>2023</v>
      </c>
      <c r="C54" t="s">
        <v>248</v>
      </c>
      <c r="E54" t="s">
        <v>249</v>
      </c>
      <c r="G54" t="s">
        <v>440</v>
      </c>
      <c r="H54" t="s">
        <v>52</v>
      </c>
      <c r="I54" t="s">
        <v>814</v>
      </c>
      <c r="J54" t="s">
        <v>806</v>
      </c>
      <c r="K54" t="s">
        <v>807</v>
      </c>
      <c r="L54">
        <v>0.44</v>
      </c>
      <c r="N54" t="s">
        <v>79</v>
      </c>
      <c r="O54" t="s">
        <v>816</v>
      </c>
    </row>
    <row r="55" spans="1:15" x14ac:dyDescent="0.35">
      <c r="A55" t="s">
        <v>876</v>
      </c>
      <c r="B55">
        <v>2023</v>
      </c>
      <c r="C55" t="s">
        <v>248</v>
      </c>
      <c r="E55" t="s">
        <v>249</v>
      </c>
      <c r="G55" t="s">
        <v>579</v>
      </c>
      <c r="H55" t="s">
        <v>52</v>
      </c>
      <c r="I55" t="s">
        <v>814</v>
      </c>
      <c r="J55" t="s">
        <v>806</v>
      </c>
      <c r="K55" t="s">
        <v>807</v>
      </c>
      <c r="L55">
        <v>0.13</v>
      </c>
      <c r="N55" t="s">
        <v>79</v>
      </c>
      <c r="O55" t="s">
        <v>816</v>
      </c>
    </row>
    <row r="56" spans="1:15" x14ac:dyDescent="0.35">
      <c r="A56" t="s">
        <v>878</v>
      </c>
      <c r="B56">
        <v>2023</v>
      </c>
      <c r="C56" t="s">
        <v>248</v>
      </c>
      <c r="E56" t="s">
        <v>249</v>
      </c>
      <c r="G56" t="s">
        <v>615</v>
      </c>
      <c r="H56" t="s">
        <v>52</v>
      </c>
      <c r="I56" t="s">
        <v>818</v>
      </c>
      <c r="J56" t="s">
        <v>806</v>
      </c>
      <c r="K56" t="s">
        <v>807</v>
      </c>
      <c r="L56">
        <v>85.7</v>
      </c>
      <c r="N56" t="s">
        <v>79</v>
      </c>
      <c r="O56" t="s">
        <v>816</v>
      </c>
    </row>
    <row r="57" spans="1:15" x14ac:dyDescent="0.35">
      <c r="A57" t="s">
        <v>879</v>
      </c>
      <c r="B57">
        <v>2023</v>
      </c>
      <c r="C57" t="s">
        <v>248</v>
      </c>
      <c r="E57" t="s">
        <v>249</v>
      </c>
      <c r="G57" t="s">
        <v>440</v>
      </c>
      <c r="H57" t="s">
        <v>52</v>
      </c>
      <c r="I57" t="s">
        <v>818</v>
      </c>
      <c r="J57" t="s">
        <v>806</v>
      </c>
      <c r="K57" t="s">
        <v>807</v>
      </c>
      <c r="L57">
        <v>76.8</v>
      </c>
      <c r="N57" t="s">
        <v>79</v>
      </c>
      <c r="O57" t="s">
        <v>816</v>
      </c>
    </row>
    <row r="58" spans="1:15" x14ac:dyDescent="0.35">
      <c r="A58" t="s">
        <v>880</v>
      </c>
      <c r="B58">
        <v>2023</v>
      </c>
      <c r="C58" t="s">
        <v>248</v>
      </c>
      <c r="E58" t="s">
        <v>249</v>
      </c>
      <c r="G58" t="s">
        <v>579</v>
      </c>
      <c r="H58" t="s">
        <v>52</v>
      </c>
      <c r="I58" t="s">
        <v>818</v>
      </c>
      <c r="J58" t="s">
        <v>806</v>
      </c>
      <c r="K58" t="s">
        <v>807</v>
      </c>
      <c r="L58">
        <v>80.8</v>
      </c>
      <c r="N58" t="s">
        <v>79</v>
      </c>
      <c r="O58" t="s">
        <v>816</v>
      </c>
    </row>
    <row r="59" spans="1:15" x14ac:dyDescent="0.35">
      <c r="A59" t="s">
        <v>850</v>
      </c>
      <c r="B59">
        <v>2023</v>
      </c>
      <c r="C59" t="s">
        <v>259</v>
      </c>
      <c r="E59" t="s">
        <v>262</v>
      </c>
      <c r="G59" t="s">
        <v>62</v>
      </c>
      <c r="H59" t="s">
        <v>52</v>
      </c>
      <c r="I59" t="s">
        <v>809</v>
      </c>
      <c r="J59" t="s">
        <v>810</v>
      </c>
      <c r="K59" t="s">
        <v>811</v>
      </c>
      <c r="L59">
        <v>5.7994562228508197</v>
      </c>
      <c r="M59" t="s">
        <v>851</v>
      </c>
      <c r="N59" t="s">
        <v>260</v>
      </c>
      <c r="O59" t="s">
        <v>261</v>
      </c>
    </row>
    <row r="60" spans="1:15" x14ac:dyDescent="0.35">
      <c r="A60" t="s">
        <v>852</v>
      </c>
      <c r="B60">
        <v>2024</v>
      </c>
      <c r="C60" t="s">
        <v>259</v>
      </c>
      <c r="E60" t="s">
        <v>262</v>
      </c>
      <c r="G60" t="s">
        <v>123</v>
      </c>
      <c r="H60" t="s">
        <v>52</v>
      </c>
      <c r="I60" t="s">
        <v>842</v>
      </c>
      <c r="J60" t="s">
        <v>806</v>
      </c>
      <c r="K60" t="s">
        <v>815</v>
      </c>
      <c r="L60">
        <v>0.81</v>
      </c>
      <c r="M60" t="s">
        <v>258</v>
      </c>
      <c r="N60" t="s">
        <v>260</v>
      </c>
      <c r="O60" t="s">
        <v>261</v>
      </c>
    </row>
    <row r="61" spans="1:15" x14ac:dyDescent="0.35">
      <c r="A61" t="s">
        <v>853</v>
      </c>
      <c r="B61">
        <v>2024</v>
      </c>
      <c r="C61" t="s">
        <v>259</v>
      </c>
      <c r="E61" t="s">
        <v>262</v>
      </c>
      <c r="G61" t="s">
        <v>123</v>
      </c>
      <c r="H61" t="s">
        <v>52</v>
      </c>
      <c r="I61" t="s">
        <v>814</v>
      </c>
      <c r="J61" t="s">
        <v>806</v>
      </c>
      <c r="K61" t="s">
        <v>815</v>
      </c>
      <c r="L61">
        <v>0.91</v>
      </c>
      <c r="M61" t="s">
        <v>258</v>
      </c>
      <c r="N61" t="s">
        <v>260</v>
      </c>
      <c r="O61" t="s">
        <v>261</v>
      </c>
    </row>
    <row r="62" spans="1:15" x14ac:dyDescent="0.35">
      <c r="A62" t="s">
        <v>854</v>
      </c>
      <c r="B62">
        <v>2024</v>
      </c>
      <c r="C62" t="s">
        <v>259</v>
      </c>
      <c r="E62" t="s">
        <v>262</v>
      </c>
      <c r="G62" t="s">
        <v>123</v>
      </c>
      <c r="H62" t="s">
        <v>52</v>
      </c>
      <c r="I62" t="s">
        <v>818</v>
      </c>
      <c r="J62" t="s">
        <v>806</v>
      </c>
      <c r="K62" t="s">
        <v>807</v>
      </c>
      <c r="L62">
        <v>95</v>
      </c>
      <c r="M62" t="s">
        <v>258</v>
      </c>
      <c r="N62" t="s">
        <v>260</v>
      </c>
      <c r="O62" t="s">
        <v>261</v>
      </c>
    </row>
    <row r="63" spans="1:15" x14ac:dyDescent="0.35">
      <c r="A63" t="s">
        <v>885</v>
      </c>
      <c r="B63">
        <v>2023</v>
      </c>
      <c r="C63" t="s">
        <v>286</v>
      </c>
      <c r="E63" t="s">
        <v>289</v>
      </c>
      <c r="G63" t="s">
        <v>688</v>
      </c>
      <c r="H63" t="s">
        <v>52</v>
      </c>
      <c r="I63" t="s">
        <v>814</v>
      </c>
      <c r="J63" t="s">
        <v>806</v>
      </c>
      <c r="K63" t="s">
        <v>807</v>
      </c>
      <c r="L63">
        <v>0.01</v>
      </c>
      <c r="N63" t="s">
        <v>287</v>
      </c>
      <c r="O63" t="s">
        <v>288</v>
      </c>
    </row>
    <row r="64" spans="1:15" x14ac:dyDescent="0.35">
      <c r="A64" t="s">
        <v>886</v>
      </c>
      <c r="B64">
        <v>2023</v>
      </c>
      <c r="C64" t="s">
        <v>286</v>
      </c>
      <c r="E64" t="s">
        <v>289</v>
      </c>
      <c r="G64" t="s">
        <v>579</v>
      </c>
      <c r="H64" t="s">
        <v>52</v>
      </c>
      <c r="I64" t="s">
        <v>814</v>
      </c>
      <c r="J64" t="s">
        <v>806</v>
      </c>
      <c r="K64" t="s">
        <v>807</v>
      </c>
      <c r="L64">
        <v>1.59</v>
      </c>
      <c r="N64" t="s">
        <v>287</v>
      </c>
      <c r="O64" t="s">
        <v>288</v>
      </c>
    </row>
    <row r="65" spans="1:15" x14ac:dyDescent="0.35">
      <c r="A65" t="s">
        <v>888</v>
      </c>
      <c r="B65">
        <v>2023</v>
      </c>
      <c r="C65" t="s">
        <v>286</v>
      </c>
      <c r="E65" t="s">
        <v>289</v>
      </c>
      <c r="G65" t="s">
        <v>350</v>
      </c>
      <c r="H65" t="s">
        <v>52</v>
      </c>
      <c r="I65" t="s">
        <v>814</v>
      </c>
      <c r="J65" t="s">
        <v>806</v>
      </c>
      <c r="K65" t="s">
        <v>807</v>
      </c>
      <c r="L65">
        <v>0.23</v>
      </c>
      <c r="N65" t="s">
        <v>287</v>
      </c>
      <c r="O65" t="s">
        <v>288</v>
      </c>
    </row>
    <row r="66" spans="1:15" x14ac:dyDescent="0.35">
      <c r="A66" t="s">
        <v>889</v>
      </c>
      <c r="B66">
        <v>2023</v>
      </c>
      <c r="C66" t="s">
        <v>286</v>
      </c>
      <c r="E66" t="s">
        <v>289</v>
      </c>
      <c r="G66" t="s">
        <v>890</v>
      </c>
      <c r="H66" t="s">
        <v>52</v>
      </c>
      <c r="I66" t="s">
        <v>814</v>
      </c>
      <c r="J66" t="s">
        <v>806</v>
      </c>
      <c r="K66" t="s">
        <v>815</v>
      </c>
      <c r="L66">
        <v>1.34</v>
      </c>
      <c r="N66" t="s">
        <v>287</v>
      </c>
      <c r="O66" t="s">
        <v>288</v>
      </c>
    </row>
    <row r="67" spans="1:15" x14ac:dyDescent="0.35">
      <c r="A67" t="s">
        <v>891</v>
      </c>
      <c r="B67">
        <v>2023</v>
      </c>
      <c r="C67" t="s">
        <v>286</v>
      </c>
      <c r="E67" t="s">
        <v>289</v>
      </c>
      <c r="G67" t="s">
        <v>892</v>
      </c>
      <c r="H67" t="s">
        <v>52</v>
      </c>
      <c r="I67" t="s">
        <v>814</v>
      </c>
      <c r="J67" t="s">
        <v>806</v>
      </c>
      <c r="K67" t="s">
        <v>815</v>
      </c>
      <c r="L67">
        <v>1.03</v>
      </c>
      <c r="N67" t="s">
        <v>287</v>
      </c>
      <c r="O67" t="s">
        <v>288</v>
      </c>
    </row>
    <row r="68" spans="1:15" x14ac:dyDescent="0.35">
      <c r="A68" t="s">
        <v>893</v>
      </c>
      <c r="B68">
        <v>2023</v>
      </c>
      <c r="C68" t="s">
        <v>286</v>
      </c>
      <c r="E68" t="s">
        <v>289</v>
      </c>
      <c r="G68" t="s">
        <v>615</v>
      </c>
      <c r="H68" t="s">
        <v>52</v>
      </c>
      <c r="I68" t="s">
        <v>814</v>
      </c>
      <c r="J68" t="s">
        <v>806</v>
      </c>
      <c r="K68" t="s">
        <v>815</v>
      </c>
      <c r="L68">
        <v>14.05</v>
      </c>
      <c r="N68" t="s">
        <v>287</v>
      </c>
      <c r="O68" t="s">
        <v>288</v>
      </c>
    </row>
    <row r="69" spans="1:15" x14ac:dyDescent="0.35">
      <c r="A69" t="s">
        <v>908</v>
      </c>
      <c r="B69">
        <v>2023</v>
      </c>
      <c r="C69" t="s">
        <v>286</v>
      </c>
      <c r="E69" t="s">
        <v>289</v>
      </c>
      <c r="G69" t="s">
        <v>123</v>
      </c>
      <c r="H69" t="s">
        <v>52</v>
      </c>
      <c r="I69" t="s">
        <v>814</v>
      </c>
      <c r="J69" t="s">
        <v>806</v>
      </c>
      <c r="K69" t="s">
        <v>815</v>
      </c>
      <c r="L69">
        <v>0.41</v>
      </c>
      <c r="N69" t="s">
        <v>287</v>
      </c>
      <c r="O69" t="s">
        <v>288</v>
      </c>
    </row>
    <row r="70" spans="1:15" x14ac:dyDescent="0.35">
      <c r="A70" t="s">
        <v>831</v>
      </c>
      <c r="B70">
        <v>2023</v>
      </c>
      <c r="D70" t="s">
        <v>292</v>
      </c>
      <c r="E70" t="s">
        <v>293</v>
      </c>
      <c r="F70" t="s">
        <v>294</v>
      </c>
      <c r="G70" t="s">
        <v>62</v>
      </c>
      <c r="H70" t="s">
        <v>52</v>
      </c>
      <c r="I70" t="s">
        <v>809</v>
      </c>
      <c r="J70" t="s">
        <v>810</v>
      </c>
      <c r="K70" t="s">
        <v>811</v>
      </c>
      <c r="L70">
        <v>9.5538046923556603</v>
      </c>
      <c r="M70" t="s">
        <v>812</v>
      </c>
      <c r="N70" t="s">
        <v>79</v>
      </c>
      <c r="O70" t="s">
        <v>80</v>
      </c>
    </row>
    <row r="71" spans="1:15" x14ac:dyDescent="0.35">
      <c r="A71" t="s">
        <v>832</v>
      </c>
      <c r="B71">
        <v>2023</v>
      </c>
      <c r="D71" t="s">
        <v>292</v>
      </c>
      <c r="E71" t="s">
        <v>293</v>
      </c>
      <c r="F71" t="s">
        <v>294</v>
      </c>
      <c r="G71" t="s">
        <v>123</v>
      </c>
      <c r="H71" t="s">
        <v>52</v>
      </c>
      <c r="I71" t="s">
        <v>814</v>
      </c>
      <c r="J71" t="s">
        <v>806</v>
      </c>
      <c r="K71" t="s">
        <v>815</v>
      </c>
      <c r="L71">
        <v>3.86</v>
      </c>
      <c r="N71" t="s">
        <v>79</v>
      </c>
      <c r="O71" t="s">
        <v>816</v>
      </c>
    </row>
    <row r="72" spans="1:15" x14ac:dyDescent="0.35">
      <c r="A72" t="s">
        <v>833</v>
      </c>
      <c r="B72">
        <v>2023</v>
      </c>
      <c r="D72" t="s">
        <v>292</v>
      </c>
      <c r="E72" t="s">
        <v>293</v>
      </c>
      <c r="F72" t="s">
        <v>294</v>
      </c>
      <c r="G72" t="s">
        <v>123</v>
      </c>
      <c r="H72" t="s">
        <v>52</v>
      </c>
      <c r="I72" t="s">
        <v>818</v>
      </c>
      <c r="J72" t="s">
        <v>806</v>
      </c>
      <c r="K72" t="s">
        <v>807</v>
      </c>
      <c r="L72">
        <v>90.6</v>
      </c>
      <c r="N72" t="s">
        <v>79</v>
      </c>
      <c r="O72" t="s">
        <v>816</v>
      </c>
    </row>
    <row r="73" spans="1:15" x14ac:dyDescent="0.35">
      <c r="A73" t="s">
        <v>808</v>
      </c>
      <c r="B73">
        <v>2023</v>
      </c>
      <c r="C73" t="s">
        <v>296</v>
      </c>
      <c r="E73" t="s">
        <v>297</v>
      </c>
      <c r="G73" t="s">
        <v>62</v>
      </c>
      <c r="H73" t="s">
        <v>52</v>
      </c>
      <c r="I73" t="s">
        <v>809</v>
      </c>
      <c r="J73" t="s">
        <v>810</v>
      </c>
      <c r="K73" t="s">
        <v>811</v>
      </c>
      <c r="L73">
        <v>3.1482939488870199</v>
      </c>
      <c r="M73" t="s">
        <v>812</v>
      </c>
      <c r="N73" t="s">
        <v>79</v>
      </c>
      <c r="O73" t="s">
        <v>80</v>
      </c>
    </row>
    <row r="74" spans="1:15" x14ac:dyDescent="0.35">
      <c r="A74" t="s">
        <v>813</v>
      </c>
      <c r="B74">
        <v>2023</v>
      </c>
      <c r="C74" t="s">
        <v>296</v>
      </c>
      <c r="E74" t="s">
        <v>297</v>
      </c>
      <c r="G74" t="s">
        <v>123</v>
      </c>
      <c r="H74" t="s">
        <v>52</v>
      </c>
      <c r="I74" t="s">
        <v>814</v>
      </c>
      <c r="J74" t="s">
        <v>806</v>
      </c>
      <c r="K74" t="s">
        <v>815</v>
      </c>
      <c r="L74">
        <v>6.11</v>
      </c>
      <c r="N74" t="s">
        <v>79</v>
      </c>
      <c r="O74" t="s">
        <v>816</v>
      </c>
    </row>
    <row r="75" spans="1:15" x14ac:dyDescent="0.35">
      <c r="A75" t="s">
        <v>817</v>
      </c>
      <c r="B75">
        <v>2023</v>
      </c>
      <c r="C75" t="s">
        <v>296</v>
      </c>
      <c r="E75" t="s">
        <v>297</v>
      </c>
      <c r="G75" t="s">
        <v>123</v>
      </c>
      <c r="H75" t="s">
        <v>52</v>
      </c>
      <c r="I75" t="s">
        <v>818</v>
      </c>
      <c r="J75" t="s">
        <v>806</v>
      </c>
      <c r="K75" t="s">
        <v>807</v>
      </c>
      <c r="L75">
        <v>96.6</v>
      </c>
      <c r="N75" t="s">
        <v>79</v>
      </c>
      <c r="O75" t="s">
        <v>816</v>
      </c>
    </row>
    <row r="76" spans="1:15" x14ac:dyDescent="0.35">
      <c r="A76" t="s">
        <v>860</v>
      </c>
      <c r="B76">
        <v>2023</v>
      </c>
      <c r="C76" t="s">
        <v>303</v>
      </c>
      <c r="E76" t="s">
        <v>306</v>
      </c>
      <c r="G76" t="s">
        <v>123</v>
      </c>
      <c r="H76" t="s">
        <v>52</v>
      </c>
      <c r="I76" t="s">
        <v>814</v>
      </c>
      <c r="J76" t="s">
        <v>806</v>
      </c>
      <c r="K76" t="s">
        <v>815</v>
      </c>
      <c r="L76">
        <v>0.36</v>
      </c>
      <c r="N76" t="s">
        <v>861</v>
      </c>
      <c r="O76" t="s">
        <v>305</v>
      </c>
    </row>
    <row r="77" spans="1:15" x14ac:dyDescent="0.35">
      <c r="A77" t="s">
        <v>862</v>
      </c>
      <c r="B77">
        <v>2023</v>
      </c>
      <c r="C77" t="s">
        <v>303</v>
      </c>
      <c r="E77" t="s">
        <v>306</v>
      </c>
      <c r="G77" t="s">
        <v>123</v>
      </c>
      <c r="H77" t="s">
        <v>52</v>
      </c>
      <c r="I77" t="s">
        <v>818</v>
      </c>
      <c r="J77" t="s">
        <v>806</v>
      </c>
      <c r="K77" t="s">
        <v>807</v>
      </c>
      <c r="L77">
        <v>64</v>
      </c>
      <c r="N77" t="s">
        <v>863</v>
      </c>
      <c r="O77" t="s">
        <v>305</v>
      </c>
    </row>
    <row r="78" spans="1:15" x14ac:dyDescent="0.35">
      <c r="A78" t="s">
        <v>901</v>
      </c>
      <c r="B78">
        <v>2023</v>
      </c>
      <c r="C78" t="s">
        <v>303</v>
      </c>
      <c r="E78" t="s">
        <v>306</v>
      </c>
      <c r="G78" t="s">
        <v>579</v>
      </c>
      <c r="H78" t="s">
        <v>52</v>
      </c>
      <c r="I78" t="s">
        <v>814</v>
      </c>
      <c r="J78" t="s">
        <v>806</v>
      </c>
      <c r="K78" t="s">
        <v>807</v>
      </c>
      <c r="L78">
        <v>0.18</v>
      </c>
      <c r="N78" t="s">
        <v>304</v>
      </c>
      <c r="O78" t="s">
        <v>305</v>
      </c>
    </row>
    <row r="79" spans="1:15" x14ac:dyDescent="0.35">
      <c r="A79" t="s">
        <v>902</v>
      </c>
      <c r="B79">
        <v>2023</v>
      </c>
      <c r="C79" t="s">
        <v>303</v>
      </c>
      <c r="E79" t="s">
        <v>306</v>
      </c>
      <c r="G79" t="s">
        <v>579</v>
      </c>
      <c r="H79" t="s">
        <v>52</v>
      </c>
      <c r="I79" t="s">
        <v>818</v>
      </c>
      <c r="J79" t="s">
        <v>806</v>
      </c>
      <c r="K79" t="s">
        <v>807</v>
      </c>
      <c r="L79">
        <v>77.599999999999994</v>
      </c>
      <c r="N79" t="s">
        <v>903</v>
      </c>
      <c r="O79" t="s">
        <v>305</v>
      </c>
    </row>
    <row r="80" spans="1:15" x14ac:dyDescent="0.35">
      <c r="A80" t="s">
        <v>904</v>
      </c>
      <c r="B80">
        <v>2023</v>
      </c>
      <c r="C80" t="s">
        <v>308</v>
      </c>
      <c r="E80" t="s">
        <v>311</v>
      </c>
      <c r="G80" t="s">
        <v>123</v>
      </c>
      <c r="H80" t="s">
        <v>52</v>
      </c>
      <c r="I80" t="s">
        <v>842</v>
      </c>
      <c r="J80" t="s">
        <v>806</v>
      </c>
      <c r="K80" t="s">
        <v>815</v>
      </c>
      <c r="L80">
        <v>0.311</v>
      </c>
      <c r="N80" t="s">
        <v>309</v>
      </c>
      <c r="O80" t="s">
        <v>310</v>
      </c>
    </row>
    <row r="81" spans="1:15" x14ac:dyDescent="0.35">
      <c r="A81" t="s">
        <v>905</v>
      </c>
      <c r="B81">
        <v>2023</v>
      </c>
      <c r="C81" t="s">
        <v>308</v>
      </c>
      <c r="E81" t="s">
        <v>311</v>
      </c>
      <c r="G81" t="s">
        <v>123</v>
      </c>
      <c r="H81" t="s">
        <v>52</v>
      </c>
      <c r="I81" t="s">
        <v>818</v>
      </c>
      <c r="J81" t="s">
        <v>806</v>
      </c>
      <c r="K81" t="s">
        <v>807</v>
      </c>
      <c r="L81">
        <v>70.400000000000006</v>
      </c>
      <c r="N81" t="s">
        <v>309</v>
      </c>
      <c r="O81" t="s">
        <v>310</v>
      </c>
    </row>
    <row r="82" spans="1:15" x14ac:dyDescent="0.35">
      <c r="A82" t="s">
        <v>906</v>
      </c>
      <c r="B82">
        <v>2023</v>
      </c>
      <c r="C82" t="s">
        <v>308</v>
      </c>
      <c r="E82" t="s">
        <v>311</v>
      </c>
      <c r="G82" t="s">
        <v>579</v>
      </c>
      <c r="H82" t="s">
        <v>52</v>
      </c>
      <c r="I82" t="s">
        <v>842</v>
      </c>
      <c r="J82" t="s">
        <v>806</v>
      </c>
      <c r="K82" t="s">
        <v>807</v>
      </c>
      <c r="L82">
        <v>0.28699999999999998</v>
      </c>
      <c r="N82" t="s">
        <v>309</v>
      </c>
      <c r="O82" t="s">
        <v>310</v>
      </c>
    </row>
    <row r="83" spans="1:15" x14ac:dyDescent="0.35">
      <c r="A83" t="s">
        <v>907</v>
      </c>
      <c r="B83">
        <v>2023</v>
      </c>
      <c r="C83" t="s">
        <v>308</v>
      </c>
      <c r="E83" t="s">
        <v>311</v>
      </c>
      <c r="G83" t="s">
        <v>579</v>
      </c>
      <c r="H83" t="s">
        <v>52</v>
      </c>
      <c r="I83" t="s">
        <v>818</v>
      </c>
      <c r="J83" t="s">
        <v>806</v>
      </c>
      <c r="K83" t="s">
        <v>807</v>
      </c>
      <c r="L83">
        <v>80</v>
      </c>
      <c r="N83" t="s">
        <v>309</v>
      </c>
      <c r="O83" t="s">
        <v>310</v>
      </c>
    </row>
    <row r="84" spans="1:15" x14ac:dyDescent="0.35">
      <c r="A84" t="s">
        <v>933</v>
      </c>
      <c r="B84">
        <v>2023</v>
      </c>
      <c r="C84" t="s">
        <v>314</v>
      </c>
      <c r="E84" t="s">
        <v>315</v>
      </c>
      <c r="G84" t="s">
        <v>62</v>
      </c>
      <c r="H84" t="s">
        <v>52</v>
      </c>
      <c r="I84" t="s">
        <v>809</v>
      </c>
      <c r="J84" t="s">
        <v>810</v>
      </c>
      <c r="K84" t="s">
        <v>811</v>
      </c>
      <c r="L84">
        <v>0.68211478599221698</v>
      </c>
      <c r="M84" t="s">
        <v>835</v>
      </c>
      <c r="N84" t="s">
        <v>64</v>
      </c>
      <c r="O84" t="s">
        <v>757</v>
      </c>
    </row>
    <row r="85" spans="1:15" x14ac:dyDescent="0.35">
      <c r="A85" t="s">
        <v>934</v>
      </c>
      <c r="B85">
        <v>2023</v>
      </c>
      <c r="C85" t="s">
        <v>314</v>
      </c>
      <c r="E85" t="s">
        <v>315</v>
      </c>
      <c r="G85" t="s">
        <v>62</v>
      </c>
      <c r="H85" t="s">
        <v>52</v>
      </c>
      <c r="I85" t="s">
        <v>926</v>
      </c>
      <c r="J85" t="s">
        <v>806</v>
      </c>
      <c r="K85" t="s">
        <v>815</v>
      </c>
      <c r="L85">
        <v>5.7009999999999996</v>
      </c>
      <c r="N85" t="s">
        <v>64</v>
      </c>
      <c r="O85" t="s">
        <v>935</v>
      </c>
    </row>
    <row r="86" spans="1:15" x14ac:dyDescent="0.35">
      <c r="A86" t="s">
        <v>938</v>
      </c>
      <c r="B86">
        <v>2023</v>
      </c>
      <c r="C86" t="s">
        <v>314</v>
      </c>
      <c r="E86" t="s">
        <v>315</v>
      </c>
      <c r="G86" t="s">
        <v>62</v>
      </c>
      <c r="H86" t="s">
        <v>52</v>
      </c>
      <c r="I86" t="s">
        <v>840</v>
      </c>
      <c r="J86" t="s">
        <v>806</v>
      </c>
      <c r="K86" t="s">
        <v>807</v>
      </c>
      <c r="L86">
        <v>95.7</v>
      </c>
      <c r="N86" t="s">
        <v>64</v>
      </c>
      <c r="O86" t="s">
        <v>939</v>
      </c>
    </row>
    <row r="87" spans="1:15" x14ac:dyDescent="0.35">
      <c r="A87" t="s">
        <v>911</v>
      </c>
      <c r="B87">
        <v>2023</v>
      </c>
      <c r="C87" t="s">
        <v>317</v>
      </c>
      <c r="E87" t="s">
        <v>320</v>
      </c>
      <c r="G87" t="s">
        <v>62</v>
      </c>
      <c r="H87" t="s">
        <v>52</v>
      </c>
      <c r="I87" t="s">
        <v>809</v>
      </c>
      <c r="J87" t="s">
        <v>810</v>
      </c>
      <c r="K87" t="s">
        <v>811</v>
      </c>
      <c r="L87">
        <v>0.18713344208809099</v>
      </c>
      <c r="M87" t="s">
        <v>912</v>
      </c>
      <c r="N87" t="s">
        <v>318</v>
      </c>
      <c r="O87" t="s">
        <v>319</v>
      </c>
    </row>
    <row r="88" spans="1:15" x14ac:dyDescent="0.35">
      <c r="A88" t="s">
        <v>913</v>
      </c>
      <c r="B88">
        <v>2023</v>
      </c>
      <c r="C88" t="s">
        <v>317</v>
      </c>
      <c r="E88" t="s">
        <v>320</v>
      </c>
      <c r="G88" t="s">
        <v>123</v>
      </c>
      <c r="H88" t="s">
        <v>52</v>
      </c>
      <c r="I88" t="s">
        <v>842</v>
      </c>
      <c r="J88" t="s">
        <v>806</v>
      </c>
      <c r="K88" t="s">
        <v>815</v>
      </c>
      <c r="L88">
        <v>0.72</v>
      </c>
      <c r="M88" t="s">
        <v>914</v>
      </c>
      <c r="N88" t="s">
        <v>318</v>
      </c>
      <c r="O88" t="s">
        <v>319</v>
      </c>
    </row>
    <row r="89" spans="1:15" x14ac:dyDescent="0.35">
      <c r="A89" t="s">
        <v>915</v>
      </c>
      <c r="B89">
        <v>2023</v>
      </c>
      <c r="C89" t="s">
        <v>317</v>
      </c>
      <c r="E89" t="s">
        <v>320</v>
      </c>
      <c r="G89" t="s">
        <v>123</v>
      </c>
      <c r="H89" t="s">
        <v>52</v>
      </c>
      <c r="I89" t="s">
        <v>818</v>
      </c>
      <c r="J89" t="s">
        <v>806</v>
      </c>
      <c r="K89" t="s">
        <v>807</v>
      </c>
      <c r="L89">
        <v>90</v>
      </c>
      <c r="N89" t="s">
        <v>318</v>
      </c>
      <c r="O89" t="s">
        <v>319</v>
      </c>
    </row>
    <row r="90" spans="1:15" x14ac:dyDescent="0.35">
      <c r="A90" t="s">
        <v>916</v>
      </c>
      <c r="B90">
        <v>2023</v>
      </c>
      <c r="C90" t="s">
        <v>317</v>
      </c>
      <c r="E90" t="s">
        <v>320</v>
      </c>
      <c r="G90" t="s">
        <v>579</v>
      </c>
      <c r="H90" t="s">
        <v>52</v>
      </c>
      <c r="I90" t="s">
        <v>842</v>
      </c>
      <c r="J90" t="s">
        <v>806</v>
      </c>
      <c r="K90" t="s">
        <v>807</v>
      </c>
      <c r="L90">
        <v>0.77</v>
      </c>
      <c r="M90" t="s">
        <v>914</v>
      </c>
      <c r="N90" t="s">
        <v>318</v>
      </c>
      <c r="O90" t="s">
        <v>319</v>
      </c>
    </row>
    <row r="91" spans="1:15" x14ac:dyDescent="0.35">
      <c r="A91" t="s">
        <v>917</v>
      </c>
      <c r="B91">
        <v>2023</v>
      </c>
      <c r="C91" t="s">
        <v>317</v>
      </c>
      <c r="E91" t="s">
        <v>320</v>
      </c>
      <c r="G91" t="s">
        <v>579</v>
      </c>
      <c r="H91" t="s">
        <v>52</v>
      </c>
      <c r="I91" t="s">
        <v>818</v>
      </c>
      <c r="J91" t="s">
        <v>806</v>
      </c>
      <c r="K91" t="s">
        <v>807</v>
      </c>
      <c r="L91">
        <v>91</v>
      </c>
      <c r="N91" t="s">
        <v>318</v>
      </c>
      <c r="O91" t="s">
        <v>319</v>
      </c>
    </row>
    <row r="92" spans="1:15" x14ac:dyDescent="0.35">
      <c r="A92" t="s">
        <v>894</v>
      </c>
      <c r="B92">
        <v>2023</v>
      </c>
      <c r="C92" t="s">
        <v>322</v>
      </c>
      <c r="D92" t="s">
        <v>238</v>
      </c>
      <c r="E92" t="s">
        <v>323</v>
      </c>
      <c r="F92" t="s">
        <v>240</v>
      </c>
      <c r="G92" t="s">
        <v>123</v>
      </c>
      <c r="H92" t="s">
        <v>52</v>
      </c>
      <c r="I92" t="s">
        <v>814</v>
      </c>
      <c r="J92" t="s">
        <v>806</v>
      </c>
      <c r="K92" t="s">
        <v>815</v>
      </c>
      <c r="L92">
        <v>6.76</v>
      </c>
      <c r="N92" t="s">
        <v>118</v>
      </c>
      <c r="O92" t="s">
        <v>119</v>
      </c>
    </row>
    <row r="93" spans="1:15" x14ac:dyDescent="0.35">
      <c r="A93" t="s">
        <v>895</v>
      </c>
      <c r="B93">
        <v>2023</v>
      </c>
      <c r="C93" t="s">
        <v>322</v>
      </c>
      <c r="D93" t="s">
        <v>238</v>
      </c>
      <c r="E93" t="s">
        <v>323</v>
      </c>
      <c r="F93" t="s">
        <v>240</v>
      </c>
      <c r="G93" t="s">
        <v>123</v>
      </c>
      <c r="H93" t="s">
        <v>52</v>
      </c>
      <c r="I93" t="s">
        <v>818</v>
      </c>
      <c r="J93" t="s">
        <v>806</v>
      </c>
      <c r="K93" t="s">
        <v>807</v>
      </c>
      <c r="L93">
        <v>88.6</v>
      </c>
      <c r="N93" t="s">
        <v>118</v>
      </c>
      <c r="O93" t="s">
        <v>119</v>
      </c>
    </row>
    <row r="94" spans="1:15" x14ac:dyDescent="0.35">
      <c r="A94" t="s">
        <v>920</v>
      </c>
      <c r="B94">
        <v>2023</v>
      </c>
      <c r="C94" t="s">
        <v>322</v>
      </c>
      <c r="D94" t="s">
        <v>238</v>
      </c>
      <c r="E94" t="s">
        <v>323</v>
      </c>
      <c r="F94" t="s">
        <v>240</v>
      </c>
      <c r="G94" t="s">
        <v>579</v>
      </c>
      <c r="H94" t="s">
        <v>52</v>
      </c>
      <c r="I94" t="s">
        <v>814</v>
      </c>
      <c r="J94" t="s">
        <v>806</v>
      </c>
      <c r="K94" t="s">
        <v>807</v>
      </c>
      <c r="L94">
        <v>1.03</v>
      </c>
      <c r="N94" t="s">
        <v>118</v>
      </c>
      <c r="O94" t="s">
        <v>119</v>
      </c>
    </row>
    <row r="95" spans="1:15" x14ac:dyDescent="0.35">
      <c r="A95" t="s">
        <v>921</v>
      </c>
      <c r="B95">
        <v>2023</v>
      </c>
      <c r="C95" t="s">
        <v>322</v>
      </c>
      <c r="D95" t="s">
        <v>238</v>
      </c>
      <c r="E95" t="s">
        <v>323</v>
      </c>
      <c r="F95" t="s">
        <v>240</v>
      </c>
      <c r="G95" t="s">
        <v>579</v>
      </c>
      <c r="H95" t="s">
        <v>52</v>
      </c>
      <c r="I95" t="s">
        <v>818</v>
      </c>
      <c r="J95" t="s">
        <v>806</v>
      </c>
      <c r="K95" t="s">
        <v>807</v>
      </c>
      <c r="L95">
        <v>93.3</v>
      </c>
      <c r="N95" t="s">
        <v>118</v>
      </c>
      <c r="O95" t="s">
        <v>119</v>
      </c>
    </row>
    <row r="96" spans="1:15" x14ac:dyDescent="0.35">
      <c r="A96" t="s">
        <v>922</v>
      </c>
      <c r="B96">
        <v>2023</v>
      </c>
      <c r="C96" t="s">
        <v>322</v>
      </c>
      <c r="D96" t="s">
        <v>238</v>
      </c>
      <c r="E96" t="s">
        <v>323</v>
      </c>
      <c r="F96" t="s">
        <v>240</v>
      </c>
      <c r="G96" t="s">
        <v>579</v>
      </c>
      <c r="H96" t="s">
        <v>276</v>
      </c>
      <c r="I96" t="s">
        <v>805</v>
      </c>
      <c r="J96" t="s">
        <v>806</v>
      </c>
      <c r="K96" t="s">
        <v>923</v>
      </c>
      <c r="L96">
        <v>15.44</v>
      </c>
      <c r="N96" t="s">
        <v>118</v>
      </c>
      <c r="O96" t="s">
        <v>119</v>
      </c>
    </row>
    <row r="97" spans="1:15" x14ac:dyDescent="0.35">
      <c r="A97" t="s">
        <v>927</v>
      </c>
      <c r="B97">
        <v>2023</v>
      </c>
      <c r="C97" t="s">
        <v>322</v>
      </c>
      <c r="D97" t="s">
        <v>238</v>
      </c>
      <c r="E97" t="s">
        <v>323</v>
      </c>
      <c r="F97" t="s">
        <v>240</v>
      </c>
      <c r="G97" t="s">
        <v>615</v>
      </c>
      <c r="H97" t="s">
        <v>52</v>
      </c>
      <c r="I97" t="s">
        <v>814</v>
      </c>
      <c r="J97" t="s">
        <v>806</v>
      </c>
      <c r="K97" t="s">
        <v>807</v>
      </c>
      <c r="L97">
        <v>25.11</v>
      </c>
      <c r="N97" t="s">
        <v>118</v>
      </c>
      <c r="O97" t="s">
        <v>119</v>
      </c>
    </row>
    <row r="98" spans="1:15" x14ac:dyDescent="0.35">
      <c r="A98" t="s">
        <v>928</v>
      </c>
      <c r="B98">
        <v>2023</v>
      </c>
      <c r="C98" t="s">
        <v>322</v>
      </c>
      <c r="D98" t="s">
        <v>238</v>
      </c>
      <c r="E98" t="s">
        <v>323</v>
      </c>
      <c r="F98" t="s">
        <v>240</v>
      </c>
      <c r="G98" t="s">
        <v>615</v>
      </c>
      <c r="H98" t="s">
        <v>52</v>
      </c>
      <c r="I98" t="s">
        <v>818</v>
      </c>
      <c r="J98" t="s">
        <v>806</v>
      </c>
      <c r="K98" t="s">
        <v>807</v>
      </c>
      <c r="L98">
        <v>81.5</v>
      </c>
      <c r="N98" t="s">
        <v>118</v>
      </c>
      <c r="O98" t="s">
        <v>119</v>
      </c>
    </row>
    <row r="99" spans="1:15" x14ac:dyDescent="0.35">
      <c r="A99" t="s">
        <v>929</v>
      </c>
      <c r="B99">
        <v>2023</v>
      </c>
      <c r="C99" t="s">
        <v>322</v>
      </c>
      <c r="D99" t="s">
        <v>238</v>
      </c>
      <c r="E99" t="s">
        <v>323</v>
      </c>
      <c r="F99" t="s">
        <v>240</v>
      </c>
      <c r="G99" t="s">
        <v>440</v>
      </c>
      <c r="H99" t="s">
        <v>52</v>
      </c>
      <c r="I99" t="s">
        <v>814</v>
      </c>
      <c r="J99" t="s">
        <v>806</v>
      </c>
      <c r="K99" t="s">
        <v>807</v>
      </c>
      <c r="L99">
        <v>0.84</v>
      </c>
      <c r="N99" t="s">
        <v>118</v>
      </c>
      <c r="O99" t="s">
        <v>119</v>
      </c>
    </row>
    <row r="100" spans="1:15" x14ac:dyDescent="0.35">
      <c r="A100" t="s">
        <v>918</v>
      </c>
      <c r="B100">
        <v>2023</v>
      </c>
      <c r="C100" t="s">
        <v>363</v>
      </c>
      <c r="E100" t="s">
        <v>364</v>
      </c>
      <c r="G100" t="s">
        <v>62</v>
      </c>
      <c r="H100" t="s">
        <v>52</v>
      </c>
      <c r="I100" t="s">
        <v>809</v>
      </c>
      <c r="J100" t="s">
        <v>810</v>
      </c>
      <c r="K100" t="s">
        <v>811</v>
      </c>
      <c r="L100">
        <v>3.4725899132815998</v>
      </c>
      <c r="M100" t="s">
        <v>912</v>
      </c>
      <c r="N100" t="s">
        <v>318</v>
      </c>
      <c r="O100" t="s">
        <v>319</v>
      </c>
    </row>
    <row r="101" spans="1:15" x14ac:dyDescent="0.35">
      <c r="A101" t="s">
        <v>919</v>
      </c>
      <c r="B101">
        <v>2023</v>
      </c>
      <c r="C101" t="s">
        <v>363</v>
      </c>
      <c r="E101" t="s">
        <v>364</v>
      </c>
      <c r="G101" t="s">
        <v>123</v>
      </c>
      <c r="H101" t="s">
        <v>52</v>
      </c>
      <c r="I101" t="s">
        <v>842</v>
      </c>
      <c r="J101" t="s">
        <v>806</v>
      </c>
      <c r="K101" t="s">
        <v>815</v>
      </c>
      <c r="L101">
        <v>0.99</v>
      </c>
      <c r="M101" t="s">
        <v>914</v>
      </c>
      <c r="N101" t="s">
        <v>318</v>
      </c>
      <c r="O101" t="s">
        <v>319</v>
      </c>
    </row>
    <row r="102" spans="1:15" x14ac:dyDescent="0.35">
      <c r="A102" t="s">
        <v>924</v>
      </c>
      <c r="B102">
        <v>2023</v>
      </c>
      <c r="C102" t="s">
        <v>363</v>
      </c>
      <c r="E102" t="s">
        <v>364</v>
      </c>
      <c r="G102" t="s">
        <v>62</v>
      </c>
      <c r="H102" t="s">
        <v>52</v>
      </c>
      <c r="I102" t="s">
        <v>818</v>
      </c>
      <c r="J102" t="s">
        <v>806</v>
      </c>
      <c r="K102" t="s">
        <v>807</v>
      </c>
      <c r="L102">
        <v>91</v>
      </c>
      <c r="N102" t="s">
        <v>318</v>
      </c>
      <c r="O102" t="s">
        <v>319</v>
      </c>
    </row>
    <row r="103" spans="1:15" x14ac:dyDescent="0.35">
      <c r="A103" t="s">
        <v>931</v>
      </c>
      <c r="B103">
        <v>2023</v>
      </c>
      <c r="C103" t="s">
        <v>366</v>
      </c>
      <c r="E103" t="s">
        <v>367</v>
      </c>
      <c r="G103" t="s">
        <v>123</v>
      </c>
      <c r="H103" t="s">
        <v>52</v>
      </c>
      <c r="I103" t="s">
        <v>926</v>
      </c>
      <c r="J103" t="s">
        <v>806</v>
      </c>
      <c r="K103" t="s">
        <v>815</v>
      </c>
      <c r="L103">
        <v>0.27600000000000002</v>
      </c>
      <c r="N103" t="s">
        <v>64</v>
      </c>
      <c r="O103" t="s">
        <v>65</v>
      </c>
    </row>
    <row r="104" spans="1:15" x14ac:dyDescent="0.35">
      <c r="A104" t="s">
        <v>932</v>
      </c>
      <c r="B104">
        <v>2023</v>
      </c>
      <c r="C104" t="s">
        <v>366</v>
      </c>
      <c r="E104" t="s">
        <v>367</v>
      </c>
      <c r="G104" t="s">
        <v>123</v>
      </c>
      <c r="H104" t="s">
        <v>52</v>
      </c>
      <c r="I104" t="s">
        <v>840</v>
      </c>
      <c r="J104" t="s">
        <v>806</v>
      </c>
      <c r="K104" t="s">
        <v>807</v>
      </c>
      <c r="L104">
        <v>54.2</v>
      </c>
      <c r="N104" t="s">
        <v>64</v>
      </c>
      <c r="O104" t="s">
        <v>65</v>
      </c>
    </row>
    <row r="105" spans="1:15" x14ac:dyDescent="0.35">
      <c r="A105" t="s">
        <v>936</v>
      </c>
      <c r="B105">
        <v>2023</v>
      </c>
      <c r="C105" t="s">
        <v>366</v>
      </c>
      <c r="E105" t="s">
        <v>367</v>
      </c>
      <c r="G105" t="s">
        <v>579</v>
      </c>
      <c r="H105" t="s">
        <v>52</v>
      </c>
      <c r="I105" t="s">
        <v>926</v>
      </c>
      <c r="J105" t="s">
        <v>806</v>
      </c>
      <c r="K105" t="s">
        <v>807</v>
      </c>
      <c r="L105">
        <v>0.4</v>
      </c>
      <c r="N105" t="s">
        <v>64</v>
      </c>
      <c r="O105" t="s">
        <v>65</v>
      </c>
    </row>
    <row r="106" spans="1:15" x14ac:dyDescent="0.35">
      <c r="A106" t="s">
        <v>937</v>
      </c>
      <c r="B106">
        <v>2023</v>
      </c>
      <c r="C106" t="s">
        <v>366</v>
      </c>
      <c r="E106" t="s">
        <v>367</v>
      </c>
      <c r="G106" t="s">
        <v>579</v>
      </c>
      <c r="H106" t="s">
        <v>52</v>
      </c>
      <c r="I106" t="s">
        <v>840</v>
      </c>
      <c r="J106" t="s">
        <v>806</v>
      </c>
      <c r="K106" t="s">
        <v>807</v>
      </c>
      <c r="L106">
        <v>81.2</v>
      </c>
      <c r="N106" t="s">
        <v>64</v>
      </c>
      <c r="O106" t="s">
        <v>65</v>
      </c>
    </row>
    <row r="107" spans="1:15" x14ac:dyDescent="0.35">
      <c r="A107" t="s">
        <v>870</v>
      </c>
      <c r="B107">
        <v>2023</v>
      </c>
      <c r="C107" t="s">
        <v>369</v>
      </c>
      <c r="E107" t="s">
        <v>372</v>
      </c>
      <c r="G107" t="s">
        <v>62</v>
      </c>
      <c r="H107" t="s">
        <v>52</v>
      </c>
      <c r="I107" t="s">
        <v>809</v>
      </c>
      <c r="J107" t="s">
        <v>810</v>
      </c>
      <c r="K107" t="s">
        <v>811</v>
      </c>
      <c r="L107">
        <v>1.1810594530320999</v>
      </c>
      <c r="M107" t="s">
        <v>871</v>
      </c>
      <c r="N107" t="s">
        <v>370</v>
      </c>
      <c r="O107" t="s">
        <v>371</v>
      </c>
    </row>
    <row r="108" spans="1:15" x14ac:dyDescent="0.35">
      <c r="A108" t="s">
        <v>959</v>
      </c>
      <c r="B108">
        <v>2023</v>
      </c>
      <c r="D108" t="s">
        <v>388</v>
      </c>
      <c r="E108" t="s">
        <v>391</v>
      </c>
      <c r="F108" t="s">
        <v>392</v>
      </c>
      <c r="G108" t="s">
        <v>123</v>
      </c>
      <c r="H108" t="s">
        <v>52</v>
      </c>
      <c r="I108" t="s">
        <v>960</v>
      </c>
      <c r="J108" t="s">
        <v>806</v>
      </c>
      <c r="K108" t="s">
        <v>815</v>
      </c>
      <c r="L108">
        <v>10.14</v>
      </c>
      <c r="N108" t="s">
        <v>389</v>
      </c>
      <c r="O108" t="s">
        <v>390</v>
      </c>
    </row>
    <row r="109" spans="1:15" x14ac:dyDescent="0.35">
      <c r="A109" t="s">
        <v>961</v>
      </c>
      <c r="B109">
        <v>2023</v>
      </c>
      <c r="D109" t="s">
        <v>388</v>
      </c>
      <c r="E109" t="s">
        <v>391</v>
      </c>
      <c r="F109" t="s">
        <v>392</v>
      </c>
      <c r="G109" t="s">
        <v>123</v>
      </c>
      <c r="H109" t="s">
        <v>52</v>
      </c>
      <c r="I109" t="s">
        <v>818</v>
      </c>
      <c r="J109" t="s">
        <v>806</v>
      </c>
      <c r="K109" t="s">
        <v>807</v>
      </c>
      <c r="L109">
        <v>97</v>
      </c>
      <c r="N109" t="s">
        <v>389</v>
      </c>
      <c r="O109" t="s">
        <v>390</v>
      </c>
    </row>
    <row r="110" spans="1:15" x14ac:dyDescent="0.35">
      <c r="A110" t="s">
        <v>883</v>
      </c>
      <c r="B110">
        <v>2023</v>
      </c>
      <c r="C110" t="s">
        <v>394</v>
      </c>
      <c r="D110" t="s">
        <v>238</v>
      </c>
      <c r="E110" t="s">
        <v>395</v>
      </c>
      <c r="F110" t="s">
        <v>240</v>
      </c>
      <c r="G110" t="s">
        <v>123</v>
      </c>
      <c r="H110" t="s">
        <v>52</v>
      </c>
      <c r="I110" t="s">
        <v>814</v>
      </c>
      <c r="J110" t="s">
        <v>806</v>
      </c>
      <c r="K110" t="s">
        <v>815</v>
      </c>
      <c r="L110">
        <v>3.45</v>
      </c>
      <c r="N110" t="s">
        <v>118</v>
      </c>
      <c r="O110" t="s">
        <v>119</v>
      </c>
    </row>
    <row r="111" spans="1:15" x14ac:dyDescent="0.35">
      <c r="A111" t="s">
        <v>884</v>
      </c>
      <c r="B111">
        <v>2023</v>
      </c>
      <c r="C111" t="s">
        <v>394</v>
      </c>
      <c r="D111" t="s">
        <v>238</v>
      </c>
      <c r="E111" t="s">
        <v>395</v>
      </c>
      <c r="F111" t="s">
        <v>240</v>
      </c>
      <c r="G111" t="s">
        <v>123</v>
      </c>
      <c r="H111" t="s">
        <v>52</v>
      </c>
      <c r="I111" t="s">
        <v>818</v>
      </c>
      <c r="J111" t="s">
        <v>806</v>
      </c>
      <c r="K111" t="s">
        <v>807</v>
      </c>
      <c r="L111">
        <v>64.8</v>
      </c>
      <c r="N111" t="s">
        <v>118</v>
      </c>
      <c r="O111" t="s">
        <v>119</v>
      </c>
    </row>
    <row r="112" spans="1:15" x14ac:dyDescent="0.35">
      <c r="A112" t="s">
        <v>944</v>
      </c>
      <c r="B112">
        <v>2023</v>
      </c>
      <c r="C112" t="s">
        <v>394</v>
      </c>
      <c r="D112" t="s">
        <v>238</v>
      </c>
      <c r="E112" t="s">
        <v>395</v>
      </c>
      <c r="F112" t="s">
        <v>240</v>
      </c>
      <c r="G112" t="s">
        <v>579</v>
      </c>
      <c r="H112" t="s">
        <v>276</v>
      </c>
      <c r="I112" t="s">
        <v>805</v>
      </c>
      <c r="J112" t="s">
        <v>806</v>
      </c>
      <c r="K112" t="s">
        <v>923</v>
      </c>
      <c r="L112">
        <v>20.11</v>
      </c>
      <c r="N112" t="s">
        <v>118</v>
      </c>
      <c r="O112" t="s">
        <v>119</v>
      </c>
    </row>
    <row r="113" spans="1:15" x14ac:dyDescent="0.35">
      <c r="A113" t="s">
        <v>945</v>
      </c>
      <c r="B113">
        <v>2023</v>
      </c>
      <c r="C113" t="s">
        <v>394</v>
      </c>
      <c r="D113" t="s">
        <v>238</v>
      </c>
      <c r="E113" t="s">
        <v>395</v>
      </c>
      <c r="F113" t="s">
        <v>240</v>
      </c>
      <c r="G113" t="s">
        <v>579</v>
      </c>
      <c r="H113" t="s">
        <v>52</v>
      </c>
      <c r="I113" t="s">
        <v>814</v>
      </c>
      <c r="J113" t="s">
        <v>806</v>
      </c>
      <c r="K113" t="s">
        <v>807</v>
      </c>
      <c r="L113">
        <v>0.74</v>
      </c>
      <c r="N113" t="s">
        <v>118</v>
      </c>
      <c r="O113" t="s">
        <v>119</v>
      </c>
    </row>
    <row r="114" spans="1:15" x14ac:dyDescent="0.35">
      <c r="A114" t="s">
        <v>946</v>
      </c>
      <c r="B114">
        <v>2023</v>
      </c>
      <c r="C114" t="s">
        <v>394</v>
      </c>
      <c r="D114" t="s">
        <v>238</v>
      </c>
      <c r="E114" t="s">
        <v>395</v>
      </c>
      <c r="F114" t="s">
        <v>240</v>
      </c>
      <c r="G114" t="s">
        <v>579</v>
      </c>
      <c r="H114" t="s">
        <v>52</v>
      </c>
      <c r="I114" t="s">
        <v>818</v>
      </c>
      <c r="J114" t="s">
        <v>806</v>
      </c>
      <c r="K114" t="s">
        <v>807</v>
      </c>
      <c r="L114">
        <v>90.4</v>
      </c>
      <c r="N114" t="s">
        <v>118</v>
      </c>
      <c r="O114" t="s">
        <v>119</v>
      </c>
    </row>
    <row r="115" spans="1:15" x14ac:dyDescent="0.35">
      <c r="A115" t="s">
        <v>949</v>
      </c>
      <c r="B115">
        <v>2023</v>
      </c>
      <c r="C115" t="s">
        <v>394</v>
      </c>
      <c r="D115" t="s">
        <v>238</v>
      </c>
      <c r="E115" t="s">
        <v>395</v>
      </c>
      <c r="F115" t="s">
        <v>240</v>
      </c>
      <c r="G115" t="s">
        <v>615</v>
      </c>
      <c r="H115" t="s">
        <v>52</v>
      </c>
      <c r="I115" t="s">
        <v>814</v>
      </c>
      <c r="J115" t="s">
        <v>806</v>
      </c>
      <c r="K115" t="s">
        <v>815</v>
      </c>
      <c r="L115">
        <v>24.19</v>
      </c>
      <c r="N115" t="s">
        <v>118</v>
      </c>
      <c r="O115" t="s">
        <v>119</v>
      </c>
    </row>
    <row r="116" spans="1:15" x14ac:dyDescent="0.35">
      <c r="A116" t="s">
        <v>950</v>
      </c>
      <c r="B116">
        <v>2023</v>
      </c>
      <c r="C116" t="s">
        <v>394</v>
      </c>
      <c r="D116" t="s">
        <v>238</v>
      </c>
      <c r="E116" t="s">
        <v>395</v>
      </c>
      <c r="F116" t="s">
        <v>240</v>
      </c>
      <c r="G116" t="s">
        <v>615</v>
      </c>
      <c r="H116" t="s">
        <v>52</v>
      </c>
      <c r="I116" t="s">
        <v>818</v>
      </c>
      <c r="J116" t="s">
        <v>806</v>
      </c>
      <c r="K116" t="s">
        <v>807</v>
      </c>
      <c r="L116">
        <v>61.4</v>
      </c>
      <c r="N116" t="s">
        <v>118</v>
      </c>
      <c r="O116" t="s">
        <v>119</v>
      </c>
    </row>
    <row r="117" spans="1:15" x14ac:dyDescent="0.35">
      <c r="A117" t="s">
        <v>951</v>
      </c>
      <c r="B117">
        <v>2023</v>
      </c>
      <c r="C117" t="s">
        <v>394</v>
      </c>
      <c r="D117" t="s">
        <v>238</v>
      </c>
      <c r="E117" t="s">
        <v>395</v>
      </c>
      <c r="F117" t="s">
        <v>240</v>
      </c>
      <c r="G117" t="s">
        <v>440</v>
      </c>
      <c r="H117" t="s">
        <v>276</v>
      </c>
      <c r="I117" t="s">
        <v>805</v>
      </c>
      <c r="J117" t="s">
        <v>806</v>
      </c>
      <c r="K117" t="s">
        <v>952</v>
      </c>
      <c r="L117">
        <v>51.84</v>
      </c>
      <c r="N117" t="s">
        <v>118</v>
      </c>
      <c r="O117" t="s">
        <v>119</v>
      </c>
    </row>
    <row r="118" spans="1:15" x14ac:dyDescent="0.35">
      <c r="A118" t="s">
        <v>953</v>
      </c>
      <c r="B118">
        <v>2023</v>
      </c>
      <c r="C118" t="s">
        <v>394</v>
      </c>
      <c r="D118" t="s">
        <v>238</v>
      </c>
      <c r="E118" t="s">
        <v>395</v>
      </c>
      <c r="F118" t="s">
        <v>240</v>
      </c>
      <c r="G118" t="s">
        <v>440</v>
      </c>
      <c r="H118" t="s">
        <v>52</v>
      </c>
      <c r="I118" t="s">
        <v>814</v>
      </c>
      <c r="J118" t="s">
        <v>806</v>
      </c>
      <c r="K118" t="s">
        <v>807</v>
      </c>
      <c r="L118">
        <v>4.3600000000000003</v>
      </c>
      <c r="N118" t="s">
        <v>118</v>
      </c>
      <c r="O118" t="s">
        <v>119</v>
      </c>
    </row>
    <row r="119" spans="1:15" x14ac:dyDescent="0.35">
      <c r="A119" t="s">
        <v>954</v>
      </c>
      <c r="B119">
        <v>2023</v>
      </c>
      <c r="C119" t="s">
        <v>394</v>
      </c>
      <c r="D119" t="s">
        <v>238</v>
      </c>
      <c r="E119" t="s">
        <v>395</v>
      </c>
      <c r="F119" t="s">
        <v>240</v>
      </c>
      <c r="G119" t="s">
        <v>440</v>
      </c>
      <c r="H119" t="s">
        <v>52</v>
      </c>
      <c r="I119" t="s">
        <v>818</v>
      </c>
      <c r="J119" t="s">
        <v>806</v>
      </c>
      <c r="K119" t="s">
        <v>807</v>
      </c>
      <c r="L119">
        <v>82.2</v>
      </c>
      <c r="N119" t="s">
        <v>118</v>
      </c>
      <c r="O119" t="s">
        <v>119</v>
      </c>
    </row>
    <row r="120" spans="1:15" x14ac:dyDescent="0.35">
      <c r="A120" t="s">
        <v>955</v>
      </c>
      <c r="B120">
        <v>2023</v>
      </c>
      <c r="C120" t="s">
        <v>408</v>
      </c>
      <c r="E120" t="s">
        <v>411</v>
      </c>
      <c r="G120" t="s">
        <v>123</v>
      </c>
      <c r="H120" t="s">
        <v>276</v>
      </c>
      <c r="I120" t="s">
        <v>842</v>
      </c>
      <c r="J120" t="s">
        <v>806</v>
      </c>
      <c r="K120" t="s">
        <v>815</v>
      </c>
      <c r="L120">
        <v>5.0999999999999996</v>
      </c>
      <c r="M120" t="s">
        <v>914</v>
      </c>
      <c r="N120" t="s">
        <v>409</v>
      </c>
      <c r="O120" t="s">
        <v>410</v>
      </c>
    </row>
    <row r="121" spans="1:15" x14ac:dyDescent="0.35">
      <c r="A121" t="s">
        <v>956</v>
      </c>
      <c r="B121">
        <v>2022</v>
      </c>
      <c r="C121" t="s">
        <v>414</v>
      </c>
      <c r="E121" t="s">
        <v>417</v>
      </c>
      <c r="G121" t="s">
        <v>688</v>
      </c>
      <c r="H121" t="s">
        <v>52</v>
      </c>
      <c r="I121" t="s">
        <v>818</v>
      </c>
      <c r="J121" t="s">
        <v>806</v>
      </c>
      <c r="K121" t="s">
        <v>807</v>
      </c>
      <c r="L121">
        <v>81.2</v>
      </c>
      <c r="M121" t="s">
        <v>957</v>
      </c>
      <c r="N121" t="s">
        <v>415</v>
      </c>
      <c r="O121" t="s">
        <v>416</v>
      </c>
    </row>
    <row r="122" spans="1:15" x14ac:dyDescent="0.35">
      <c r="A122" t="s">
        <v>958</v>
      </c>
      <c r="B122">
        <v>2022</v>
      </c>
      <c r="C122" t="s">
        <v>414</v>
      </c>
      <c r="E122" t="s">
        <v>417</v>
      </c>
      <c r="G122" t="s">
        <v>350</v>
      </c>
      <c r="H122" t="s">
        <v>52</v>
      </c>
      <c r="I122" t="s">
        <v>818</v>
      </c>
      <c r="J122" t="s">
        <v>806</v>
      </c>
      <c r="K122" t="s">
        <v>807</v>
      </c>
      <c r="L122">
        <v>83.5</v>
      </c>
      <c r="M122" t="s">
        <v>957</v>
      </c>
      <c r="N122" t="s">
        <v>415</v>
      </c>
      <c r="O122" t="s">
        <v>416</v>
      </c>
    </row>
    <row r="123" spans="1:15" x14ac:dyDescent="0.35">
      <c r="A123" t="s">
        <v>948</v>
      </c>
      <c r="B123">
        <v>2023</v>
      </c>
      <c r="D123" t="s">
        <v>427</v>
      </c>
      <c r="E123" t="s">
        <v>430</v>
      </c>
      <c r="F123" t="s">
        <v>431</v>
      </c>
      <c r="G123" t="s">
        <v>123</v>
      </c>
      <c r="H123" t="s">
        <v>52</v>
      </c>
      <c r="I123" t="s">
        <v>842</v>
      </c>
      <c r="J123" t="s">
        <v>806</v>
      </c>
      <c r="K123" t="s">
        <v>815</v>
      </c>
      <c r="L123">
        <v>2.7</v>
      </c>
      <c r="M123" t="s">
        <v>914</v>
      </c>
      <c r="N123" t="s">
        <v>428</v>
      </c>
      <c r="O123" t="s">
        <v>429</v>
      </c>
    </row>
    <row r="124" spans="1:15" x14ac:dyDescent="0.35">
      <c r="A124" t="s">
        <v>896</v>
      </c>
      <c r="B124">
        <v>2023</v>
      </c>
      <c r="C124" t="s">
        <v>456</v>
      </c>
      <c r="E124" t="s">
        <v>459</v>
      </c>
      <c r="G124" t="s">
        <v>62</v>
      </c>
      <c r="H124" t="s">
        <v>52</v>
      </c>
      <c r="I124" t="s">
        <v>809</v>
      </c>
      <c r="J124" t="s">
        <v>810</v>
      </c>
      <c r="K124" t="s">
        <v>811</v>
      </c>
      <c r="L124">
        <v>2.3439110251450601</v>
      </c>
      <c r="M124" t="s">
        <v>897</v>
      </c>
      <c r="N124" t="s">
        <v>457</v>
      </c>
      <c r="O124" t="s">
        <v>458</v>
      </c>
    </row>
    <row r="125" spans="1:15" x14ac:dyDescent="0.35">
      <c r="A125" t="s">
        <v>898</v>
      </c>
      <c r="B125">
        <v>2023</v>
      </c>
      <c r="C125" t="s">
        <v>456</v>
      </c>
      <c r="E125" t="s">
        <v>459</v>
      </c>
      <c r="G125" t="s">
        <v>62</v>
      </c>
      <c r="H125" t="s">
        <v>52</v>
      </c>
      <c r="I125" t="s">
        <v>814</v>
      </c>
      <c r="J125" t="s">
        <v>806</v>
      </c>
      <c r="K125" t="s">
        <v>815</v>
      </c>
      <c r="L125">
        <v>3.03</v>
      </c>
      <c r="N125" t="s">
        <v>457</v>
      </c>
      <c r="O125" t="s">
        <v>458</v>
      </c>
    </row>
    <row r="126" spans="1:15" x14ac:dyDescent="0.35">
      <c r="A126" t="s">
        <v>899</v>
      </c>
      <c r="B126">
        <v>2023</v>
      </c>
      <c r="C126" t="s">
        <v>456</v>
      </c>
      <c r="E126" t="s">
        <v>459</v>
      </c>
      <c r="G126" t="s">
        <v>62</v>
      </c>
      <c r="H126" t="s">
        <v>52</v>
      </c>
      <c r="I126" t="s">
        <v>842</v>
      </c>
      <c r="J126" t="s">
        <v>806</v>
      </c>
      <c r="K126" t="s">
        <v>815</v>
      </c>
      <c r="L126">
        <v>3.19</v>
      </c>
      <c r="N126" t="s">
        <v>457</v>
      </c>
      <c r="O126" t="s">
        <v>458</v>
      </c>
    </row>
    <row r="127" spans="1:15" x14ac:dyDescent="0.35">
      <c r="A127" t="s">
        <v>900</v>
      </c>
      <c r="B127">
        <v>2023</v>
      </c>
      <c r="C127" t="s">
        <v>456</v>
      </c>
      <c r="E127" t="s">
        <v>459</v>
      </c>
      <c r="G127" t="s">
        <v>62</v>
      </c>
      <c r="H127" t="s">
        <v>52</v>
      </c>
      <c r="I127" t="s">
        <v>818</v>
      </c>
      <c r="J127" t="s">
        <v>806</v>
      </c>
      <c r="K127" t="s">
        <v>807</v>
      </c>
      <c r="L127">
        <v>93</v>
      </c>
      <c r="N127" t="s">
        <v>457</v>
      </c>
      <c r="O127" t="s">
        <v>458</v>
      </c>
    </row>
    <row r="128" spans="1:15" x14ac:dyDescent="0.35">
      <c r="A128" t="s">
        <v>843</v>
      </c>
      <c r="B128">
        <v>2023</v>
      </c>
      <c r="C128" t="s">
        <v>461</v>
      </c>
      <c r="E128" t="s">
        <v>462</v>
      </c>
      <c r="G128" t="s">
        <v>62</v>
      </c>
      <c r="H128" t="s">
        <v>52</v>
      </c>
      <c r="I128" t="s">
        <v>809</v>
      </c>
      <c r="J128" t="s">
        <v>810</v>
      </c>
      <c r="K128" t="s">
        <v>811</v>
      </c>
      <c r="L128">
        <v>0.15680324192064901</v>
      </c>
      <c r="M128" t="s">
        <v>835</v>
      </c>
      <c r="N128" t="s">
        <v>210</v>
      </c>
      <c r="O128" t="s">
        <v>211</v>
      </c>
    </row>
    <row r="129" spans="1:15" x14ac:dyDescent="0.35">
      <c r="A129" t="s">
        <v>844</v>
      </c>
      <c r="B129">
        <v>2023</v>
      </c>
      <c r="C129" t="s">
        <v>461</v>
      </c>
      <c r="E129" t="s">
        <v>462</v>
      </c>
      <c r="G129" t="s">
        <v>123</v>
      </c>
      <c r="H129" t="s">
        <v>52</v>
      </c>
      <c r="I129" t="s">
        <v>837</v>
      </c>
      <c r="J129" t="s">
        <v>806</v>
      </c>
      <c r="K129" t="s">
        <v>815</v>
      </c>
      <c r="L129">
        <v>2.2000000000000002</v>
      </c>
      <c r="M129" t="s">
        <v>838</v>
      </c>
      <c r="N129" t="s">
        <v>210</v>
      </c>
      <c r="O129" t="s">
        <v>211</v>
      </c>
    </row>
    <row r="130" spans="1:15" x14ac:dyDescent="0.35">
      <c r="A130" t="s">
        <v>845</v>
      </c>
      <c r="B130">
        <v>2023</v>
      </c>
      <c r="C130" t="s">
        <v>461</v>
      </c>
      <c r="E130" t="s">
        <v>462</v>
      </c>
      <c r="G130" t="s">
        <v>123</v>
      </c>
      <c r="H130" t="s">
        <v>52</v>
      </c>
      <c r="I130" t="s">
        <v>840</v>
      </c>
      <c r="J130" t="s">
        <v>806</v>
      </c>
      <c r="K130" t="s">
        <v>807</v>
      </c>
      <c r="L130">
        <v>90</v>
      </c>
      <c r="N130" t="s">
        <v>210</v>
      </c>
      <c r="O130" t="s">
        <v>211</v>
      </c>
    </row>
    <row r="131" spans="1:15" x14ac:dyDescent="0.35">
      <c r="A131" t="s">
        <v>849</v>
      </c>
      <c r="B131">
        <v>2023</v>
      </c>
      <c r="C131" t="s">
        <v>461</v>
      </c>
      <c r="E131" t="s">
        <v>462</v>
      </c>
      <c r="G131" t="s">
        <v>123</v>
      </c>
      <c r="H131" t="s">
        <v>52</v>
      </c>
      <c r="I131" t="s">
        <v>842</v>
      </c>
      <c r="J131" t="s">
        <v>806</v>
      </c>
      <c r="K131" t="s">
        <v>815</v>
      </c>
      <c r="L131">
        <v>2.2000000000000002</v>
      </c>
      <c r="M131" t="s">
        <v>838</v>
      </c>
      <c r="N131" t="s">
        <v>210</v>
      </c>
      <c r="O131" t="s">
        <v>211</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579E5-ACD2-46D0-BA12-B0FCC081E827}">
  <dimension ref="A1"/>
  <sheetViews>
    <sheetView workbookViewId="0"/>
  </sheetViews>
  <sheetFormatPr baseColWidth="10"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README</vt:lpstr>
      <vt:lpstr>site_selection</vt:lpstr>
      <vt:lpstr>archetypes</vt:lpstr>
      <vt:lpstr>prod_data</vt:lpstr>
      <vt:lpstr>most_important_mine</vt:lpstr>
      <vt:lpstr>fu</vt:lpstr>
      <vt:lpstr>EI</vt:lpstr>
      <vt:lpstr>prod_data_raw</vt:lpstr>
      <vt:lpstr>ta_data</vt:lpstr>
      <vt:lpstr>default_value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2025-11-04T22:08:19Z</dcterms:modified>
</cp:coreProperties>
</file>