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240" documentId="13_ncr:1_{965BE886-D2C4-44D2-937F-E901E74C4ED2}" xr6:coauthVersionLast="47" xr6:coauthVersionMax="47" xr10:uidLastSave="{9AA8AB97-9175-4C12-8AD4-2F6A082A292B}"/>
  <bookViews>
    <workbookView xWindow="-28920" yWindow="-705" windowWidth="29040" windowHeight="15720" firstSheet="1" activeTab="3" xr2:uid="{9D292A65-B8C8-46CC-8162-88CB3EA3ABC7}"/>
  </bookViews>
  <sheets>
    <sheet name="prod_$_data" sheetId="25" state="hidden" r:id="rId1"/>
    <sheet name="README" sheetId="1" r:id="rId2"/>
    <sheet name="site_selection" sheetId="2"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prod_data!$A$1:$AQ$67</definedName>
    <definedName name="_xlnm._FilterDatabase" localSheetId="5" hidden="1">prod_table_raw!$A$1:$Q$278</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67" i="11" l="1"/>
  <c r="AQ66" i="11"/>
  <c r="AQ65" i="11"/>
  <c r="AQ64" i="11"/>
  <c r="AQ63" i="11"/>
  <c r="AQ62" i="11"/>
  <c r="AQ61" i="11"/>
  <c r="AQ60" i="11"/>
  <c r="AQ58" i="11"/>
  <c r="AQ57" i="11"/>
  <c r="AQ55" i="11"/>
  <c r="AQ53" i="11"/>
  <c r="AQ52" i="11"/>
  <c r="AQ51" i="11"/>
  <c r="AQ50" i="11"/>
  <c r="AQ49" i="11"/>
  <c r="AQ48" i="11"/>
  <c r="AQ47" i="11"/>
  <c r="AQ45" i="11"/>
  <c r="AQ44" i="11"/>
  <c r="AQ43" i="11"/>
  <c r="AQ42" i="11"/>
  <c r="AQ41" i="11"/>
  <c r="AQ40" i="11"/>
  <c r="AQ39" i="11"/>
  <c r="AQ38" i="11"/>
  <c r="AQ37" i="11"/>
  <c r="AQ36" i="11"/>
  <c r="AQ35" i="11"/>
  <c r="AQ34" i="11"/>
  <c r="AQ32" i="11"/>
  <c r="AQ31" i="11"/>
  <c r="AQ30" i="11"/>
  <c r="AQ29" i="11"/>
  <c r="AQ28" i="11"/>
  <c r="AQ27" i="11"/>
  <c r="AQ26" i="11"/>
  <c r="AQ25" i="11"/>
  <c r="AQ23" i="11"/>
  <c r="AQ22" i="11"/>
  <c r="AQ21" i="11"/>
  <c r="AQ20" i="11"/>
  <c r="AQ19" i="11"/>
  <c r="AQ18" i="11"/>
  <c r="AQ17" i="11"/>
  <c r="AQ16" i="11"/>
  <c r="AQ15" i="11"/>
  <c r="AQ14" i="11"/>
  <c r="AQ13" i="11"/>
  <c r="AQ12" i="11"/>
  <c r="AQ11" i="11"/>
  <c r="AQ9" i="11"/>
  <c r="AQ8" i="11"/>
  <c r="AQ7" i="11"/>
  <c r="AQ6" i="11"/>
  <c r="AQ5" i="11"/>
  <c r="AQ3" i="11"/>
  <c r="AQ2" i="11"/>
  <c r="AM67" i="11"/>
  <c r="AM66" i="11"/>
  <c r="AM65" i="11"/>
  <c r="AM64" i="11"/>
  <c r="AM63" i="11"/>
  <c r="AM62" i="11"/>
  <c r="AM61" i="11"/>
  <c r="AM60" i="11"/>
  <c r="AM58" i="11"/>
  <c r="AM57" i="11"/>
  <c r="AM55" i="11"/>
  <c r="AM53" i="11"/>
  <c r="AM52" i="11"/>
  <c r="AM51" i="11"/>
  <c r="AM50" i="11"/>
  <c r="AM49" i="11"/>
  <c r="AM48" i="11"/>
  <c r="AM47" i="11"/>
  <c r="AM45" i="11"/>
  <c r="AM44" i="11"/>
  <c r="AM43" i="11"/>
  <c r="AM42" i="11"/>
  <c r="AM41" i="11"/>
  <c r="AM40" i="11"/>
  <c r="AM39" i="11"/>
  <c r="AM38" i="11"/>
  <c r="AM37" i="11"/>
  <c r="AM36" i="11"/>
  <c r="AM35" i="11"/>
  <c r="AM34" i="11"/>
  <c r="AM32" i="11"/>
  <c r="AM31" i="11"/>
  <c r="AM30" i="11"/>
  <c r="AM29" i="11"/>
  <c r="AM28" i="11"/>
  <c r="AM27" i="11"/>
  <c r="AM26" i="11"/>
  <c r="AM25" i="11"/>
  <c r="AM23" i="11"/>
  <c r="AM22" i="11"/>
  <c r="AM21" i="11"/>
  <c r="AM20" i="11"/>
  <c r="AM19" i="11"/>
  <c r="AM18" i="11"/>
  <c r="AM17" i="11"/>
  <c r="AM16" i="11"/>
  <c r="AM15" i="11"/>
  <c r="AM14" i="11"/>
  <c r="AM13" i="11"/>
  <c r="AM12" i="11"/>
  <c r="AM11" i="11"/>
  <c r="AM9" i="11"/>
  <c r="AM8" i="11"/>
  <c r="AM7" i="11"/>
  <c r="AM6" i="11"/>
  <c r="AM5" i="11"/>
  <c r="AM3" i="11"/>
  <c r="AM2" i="11"/>
  <c r="AL67" i="11"/>
  <c r="AL66" i="11"/>
  <c r="AL65" i="11"/>
  <c r="AL64" i="11"/>
  <c r="AL63" i="11"/>
  <c r="AL62" i="11"/>
  <c r="AL61" i="11"/>
  <c r="AL60" i="11"/>
  <c r="AL58" i="11"/>
  <c r="AL57" i="11"/>
  <c r="AL55" i="11"/>
  <c r="AL53" i="11"/>
  <c r="AL52" i="11"/>
  <c r="AL51" i="11"/>
  <c r="AL50" i="11"/>
  <c r="AL49" i="11"/>
  <c r="AL48" i="11"/>
  <c r="AL47" i="11"/>
  <c r="AL45" i="11"/>
  <c r="AL44" i="11"/>
  <c r="AL43" i="11"/>
  <c r="AL42" i="11"/>
  <c r="AL41" i="11"/>
  <c r="AL40" i="11"/>
  <c r="AL39" i="11"/>
  <c r="AL38" i="11"/>
  <c r="AL37" i="11"/>
  <c r="AL36" i="11"/>
  <c r="AL35" i="11"/>
  <c r="AL34" i="11"/>
  <c r="AL32" i="11"/>
  <c r="AL31" i="11"/>
  <c r="AL30" i="11"/>
  <c r="AL29" i="11"/>
  <c r="AL28" i="11"/>
  <c r="AL27" i="11"/>
  <c r="AL26" i="11"/>
  <c r="AL25" i="11"/>
  <c r="AL23" i="11"/>
  <c r="AL22" i="11"/>
  <c r="AL21" i="11"/>
  <c r="AL20" i="11"/>
  <c r="AL19" i="11"/>
  <c r="AL18" i="11"/>
  <c r="AL17" i="11"/>
  <c r="AL16" i="11"/>
  <c r="AL15" i="11"/>
  <c r="AL14" i="11"/>
  <c r="AL13" i="11"/>
  <c r="AL12" i="11"/>
  <c r="AL11" i="11"/>
  <c r="AL9" i="11"/>
  <c r="AL8" i="11"/>
  <c r="AL7" i="11"/>
  <c r="AL6" i="11"/>
  <c r="AL5" i="11"/>
  <c r="AL3" i="11"/>
  <c r="AL2" i="11"/>
  <c r="AK67" i="11"/>
  <c r="AK66" i="11"/>
  <c r="AK65" i="11"/>
  <c r="AK64" i="11"/>
  <c r="AK63" i="11"/>
  <c r="AK62" i="11"/>
  <c r="AK61" i="11"/>
  <c r="AK60" i="11"/>
  <c r="AK58" i="11"/>
  <c r="AK57" i="11"/>
  <c r="AK55" i="11"/>
  <c r="AK53" i="11"/>
  <c r="AK52" i="11"/>
  <c r="AK51" i="11"/>
  <c r="AK50" i="11"/>
  <c r="AK49" i="11"/>
  <c r="AK48" i="11"/>
  <c r="AK47" i="11"/>
  <c r="AK45" i="11"/>
  <c r="AK44" i="11"/>
  <c r="AK43" i="11"/>
  <c r="AK42" i="11"/>
  <c r="AK41" i="11"/>
  <c r="AK40" i="11"/>
  <c r="AK39" i="11"/>
  <c r="AK38" i="11"/>
  <c r="AK37" i="11"/>
  <c r="AK36" i="11"/>
  <c r="AK35" i="11"/>
  <c r="AK34" i="11"/>
  <c r="AK32" i="11"/>
  <c r="AK31" i="11"/>
  <c r="AK30" i="11"/>
  <c r="AK29" i="11"/>
  <c r="AK28" i="11"/>
  <c r="AK27" i="11"/>
  <c r="AK26" i="11"/>
  <c r="AK25" i="11"/>
  <c r="AK23" i="11"/>
  <c r="AK22" i="11"/>
  <c r="AK21" i="11"/>
  <c r="AK20" i="11"/>
  <c r="AK19" i="11"/>
  <c r="AK18" i="11"/>
  <c r="AK17" i="11"/>
  <c r="AK16" i="11"/>
  <c r="AK15" i="11"/>
  <c r="AK14" i="11"/>
  <c r="AK13" i="11"/>
  <c r="AK12" i="11"/>
  <c r="AK11" i="11"/>
  <c r="AK9" i="11"/>
  <c r="AK8" i="11"/>
  <c r="AK7" i="11"/>
  <c r="AK6" i="11"/>
  <c r="AK5" i="11"/>
  <c r="AK3" i="11"/>
  <c r="AK2" i="11"/>
  <c r="AJ67" i="11"/>
  <c r="AJ66" i="11"/>
  <c r="AJ65" i="11"/>
  <c r="AJ64" i="11"/>
  <c r="AJ63" i="11"/>
  <c r="AJ62" i="11"/>
  <c r="AJ61" i="11"/>
  <c r="AJ60" i="11"/>
  <c r="AJ58" i="11"/>
  <c r="AJ57" i="11"/>
  <c r="AJ55" i="11"/>
  <c r="AJ53" i="11"/>
  <c r="AJ52" i="11"/>
  <c r="AJ51" i="11"/>
  <c r="AJ50" i="11"/>
  <c r="AJ49" i="11"/>
  <c r="AJ48" i="11"/>
  <c r="AJ47" i="11"/>
  <c r="AJ45" i="11"/>
  <c r="AJ44" i="11"/>
  <c r="AJ43" i="11"/>
  <c r="AJ42" i="11"/>
  <c r="AJ41" i="11"/>
  <c r="AJ40" i="11"/>
  <c r="AJ39" i="11"/>
  <c r="AJ38" i="11"/>
  <c r="AJ37" i="11"/>
  <c r="AJ36" i="11"/>
  <c r="AJ35" i="11"/>
  <c r="AJ34" i="11"/>
  <c r="AJ32" i="11"/>
  <c r="AJ31" i="11"/>
  <c r="AJ30" i="11"/>
  <c r="AJ29" i="11"/>
  <c r="AJ28" i="11"/>
  <c r="AJ27" i="11"/>
  <c r="AJ26" i="11"/>
  <c r="AJ25" i="11"/>
  <c r="AJ22" i="11"/>
  <c r="AJ21" i="11"/>
  <c r="AJ19" i="11"/>
  <c r="AJ18" i="11"/>
  <c r="AJ17" i="11"/>
  <c r="AJ16" i="11"/>
  <c r="AJ15" i="11"/>
  <c r="AJ14" i="11"/>
  <c r="AJ13" i="11"/>
  <c r="AJ12" i="11"/>
  <c r="AJ11" i="11"/>
  <c r="AJ9" i="11"/>
  <c r="AJ8" i="11"/>
  <c r="AJ7" i="11"/>
  <c r="AJ6" i="11"/>
  <c r="AJ5" i="11"/>
  <c r="AJ3" i="11"/>
  <c r="AJ2" i="11"/>
  <c r="AI2" i="11"/>
  <c r="U65" i="11"/>
  <c r="U66" i="11"/>
  <c r="Q66" i="11" s="1"/>
  <c r="U22" i="11"/>
  <c r="U14" i="11"/>
  <c r="Q14" i="11" s="1"/>
  <c r="R44" i="11"/>
  <c r="R18" i="11"/>
  <c r="S4" i="11"/>
  <c r="S10" i="11"/>
  <c r="S24" i="11"/>
  <c r="S33" i="11"/>
  <c r="S37" i="11"/>
  <c r="T37" i="11" s="1"/>
  <c r="S46" i="11"/>
  <c r="S54" i="11"/>
  <c r="S56" i="11"/>
  <c r="S59" i="11"/>
  <c r="BB67" i="25"/>
  <c r="BA67" i="25"/>
  <c r="AZ67" i="25"/>
  <c r="AY67" i="25"/>
  <c r="AX67" i="25"/>
  <c r="AV67" i="25"/>
  <c r="AU67" i="25"/>
  <c r="AT67" i="25"/>
  <c r="AG67" i="25"/>
  <c r="W67" i="25"/>
  <c r="AW67" i="25" s="1"/>
  <c r="S67" i="25"/>
  <c r="AF67" i="25" s="1"/>
  <c r="O67" i="25" s="1"/>
  <c r="P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P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T58" i="25"/>
  <c r="AS58" i="25"/>
  <c r="AR58" i="25"/>
  <c r="AQ58" i="25"/>
  <c r="T58" i="25"/>
  <c r="AG58" i="25" s="1"/>
  <c r="S58" i="25"/>
  <c r="AF58" i="25" s="1"/>
  <c r="O58" i="25" s="1"/>
  <c r="N58" i="25"/>
  <c r="BB57" i="25"/>
  <c r="BA57" i="25"/>
  <c r="AZ57" i="25"/>
  <c r="AY57" i="25"/>
  <c r="AX57" i="25"/>
  <c r="AW57" i="25"/>
  <c r="AV57" i="25"/>
  <c r="AU57" i="25"/>
  <c r="AT57" i="25"/>
  <c r="AR57" i="25"/>
  <c r="AQ57" i="25"/>
  <c r="T57" i="25"/>
  <c r="AG57" i="25" s="1"/>
  <c r="S57" i="25"/>
  <c r="AF57" i="25" s="1"/>
  <c r="N57" i="25"/>
  <c r="BB56" i="25"/>
  <c r="BA56" i="25"/>
  <c r="AZ56" i="25"/>
  <c r="AY56" i="25"/>
  <c r="AX56" i="25"/>
  <c r="AW56" i="25"/>
  <c r="AV56" i="25"/>
  <c r="AS56" i="25"/>
  <c r="AR56" i="25"/>
  <c r="AQ56" i="25"/>
  <c r="AG56" i="25"/>
  <c r="AF56" i="25"/>
  <c r="U56" i="25"/>
  <c r="AU56" i="25" s="1"/>
  <c r="T56" i="25"/>
  <c r="AT56" i="25" s="1"/>
  <c r="BC55" i="25"/>
  <c r="BB55" i="25"/>
  <c r="BA55" i="25"/>
  <c r="AZ55" i="25"/>
  <c r="AY55" i="25"/>
  <c r="AX55" i="25"/>
  <c r="AW55" i="25"/>
  <c r="AV55" i="25"/>
  <c r="AU55" i="25"/>
  <c r="AT55" i="25"/>
  <c r="AS55" i="25"/>
  <c r="AR55" i="25"/>
  <c r="AG55" i="25"/>
  <c r="AF55" i="25"/>
  <c r="Q55" i="25"/>
  <c r="AQ55" i="25" s="1"/>
  <c r="O55" i="25"/>
  <c r="N55" i="25"/>
  <c r="BB54" i="25"/>
  <c r="BA54" i="25"/>
  <c r="AZ54" i="25"/>
  <c r="AY54" i="25"/>
  <c r="AX54" i="25"/>
  <c r="AW54" i="25"/>
  <c r="AV54" i="25"/>
  <c r="AU54" i="25"/>
  <c r="AT54" i="25"/>
  <c r="AS54" i="25"/>
  <c r="AR54" i="25"/>
  <c r="AQ54" i="25"/>
  <c r="AG54" i="25"/>
  <c r="T54" i="25"/>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Q51" i="25"/>
  <c r="AG51" i="25"/>
  <c r="AF51" i="25"/>
  <c r="Q51" i="25"/>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Z48" i="25"/>
  <c r="AY48" i="25"/>
  <c r="AX48" i="25"/>
  <c r="AW48" i="25"/>
  <c r="AV48" i="25"/>
  <c r="AR48" i="25"/>
  <c r="AQ48" i="25"/>
  <c r="AG48" i="25"/>
  <c r="Z48" i="25"/>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B45" i="25"/>
  <c r="BA45" i="25"/>
  <c r="AZ45" i="25"/>
  <c r="AY45" i="25"/>
  <c r="AX45" i="25"/>
  <c r="AW45" i="25"/>
  <c r="AV45" i="25"/>
  <c r="AU45" i="25"/>
  <c r="AT45" i="25"/>
  <c r="AS45" i="25"/>
  <c r="AR45" i="25"/>
  <c r="AQ45" i="25"/>
  <c r="AG45" i="25"/>
  <c r="AF45" i="25"/>
  <c r="AC45" i="25"/>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S43" i="25"/>
  <c r="AR43" i="25"/>
  <c r="AG43" i="25"/>
  <c r="S43" i="25"/>
  <c r="AF43" i="25" s="1"/>
  <c r="Q43" i="25"/>
  <c r="AQ43" i="25" s="1"/>
  <c r="O43" i="25"/>
  <c r="N43" i="25"/>
  <c r="P43" i="25" s="1"/>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P40" i="25" s="1"/>
  <c r="Q40" i="25"/>
  <c r="AQ40" i="25" s="1"/>
  <c r="N40" i="25"/>
  <c r="BB39" i="25"/>
  <c r="BA39" i="25"/>
  <c r="AZ39" i="25"/>
  <c r="AY39" i="25"/>
  <c r="AX39" i="25"/>
  <c r="AW39" i="25"/>
  <c r="AV39" i="25"/>
  <c r="AU39" i="25"/>
  <c r="AT39" i="25"/>
  <c r="AS39" i="25"/>
  <c r="AR39" i="25"/>
  <c r="AQ39" i="25"/>
  <c r="AG39" i="25"/>
  <c r="AF39" i="25"/>
  <c r="R39" i="25"/>
  <c r="Q39" i="25"/>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BC35" i="25" s="1"/>
  <c r="BD35" i="25" s="1"/>
  <c r="AT35" i="25"/>
  <c r="AS35" i="25"/>
  <c r="AR35" i="25"/>
  <c r="AG35" i="25"/>
  <c r="AF35" i="25"/>
  <c r="Q35" i="25"/>
  <c r="AQ35" i="25" s="1"/>
  <c r="O35" i="25"/>
  <c r="P35" i="25" s="1"/>
  <c r="N35" i="25"/>
  <c r="BB34" i="25"/>
  <c r="BA34" i="25"/>
  <c r="AZ34" i="25"/>
  <c r="AY34" i="25"/>
  <c r="AX34" i="25"/>
  <c r="AW34" i="25"/>
  <c r="AV34" i="25"/>
  <c r="AU34" i="25"/>
  <c r="AT34" i="25"/>
  <c r="AS34" i="25"/>
  <c r="AR34" i="25"/>
  <c r="AQ34" i="25"/>
  <c r="AG34" i="25"/>
  <c r="O34" i="25" s="1"/>
  <c r="AF34" i="25"/>
  <c r="Q34" i="25"/>
  <c r="N34" i="25"/>
  <c r="BB33" i="25"/>
  <c r="BA33" i="25"/>
  <c r="AZ33" i="25"/>
  <c r="AY33" i="25"/>
  <c r="AX33" i="25"/>
  <c r="AW33" i="25"/>
  <c r="AV33" i="25"/>
  <c r="AU33" i="25"/>
  <c r="BC33" i="25" s="1"/>
  <c r="AS33" i="25"/>
  <c r="AR33" i="25"/>
  <c r="AQ33" i="25"/>
  <c r="AG33" i="25"/>
  <c r="AF33" i="25"/>
  <c r="T33" i="25"/>
  <c r="AT33" i="25" s="1"/>
  <c r="BB32" i="25"/>
  <c r="BA32" i="25"/>
  <c r="AZ32" i="25"/>
  <c r="AY32" i="25"/>
  <c r="AX32" i="25"/>
  <c r="AV32" i="25"/>
  <c r="AU32" i="25"/>
  <c r="AT32" i="25"/>
  <c r="AS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Q30" i="25"/>
  <c r="AG30" i="25"/>
  <c r="AF30" i="25"/>
  <c r="AA30" i="25"/>
  <c r="Z30" i="25"/>
  <c r="AZ30" i="25" s="1"/>
  <c r="Q30" i="25"/>
  <c r="O30" i="25"/>
  <c r="N30" i="25"/>
  <c r="BB29" i="25"/>
  <c r="BA29" i="25"/>
  <c r="AZ29" i="25"/>
  <c r="AY29" i="25"/>
  <c r="AX29" i="25"/>
  <c r="AW29" i="25"/>
  <c r="AV29" i="25"/>
  <c r="AU29" i="25"/>
  <c r="AT29" i="25"/>
  <c r="AS29" i="25"/>
  <c r="AQ29" i="25"/>
  <c r="AG29" i="25"/>
  <c r="AF29" i="25"/>
  <c r="O29" i="25" s="1"/>
  <c r="R29" i="25"/>
  <c r="AR29" i="25" s="1"/>
  <c r="Q29" i="25"/>
  <c r="N29" i="25"/>
  <c r="BB28" i="25"/>
  <c r="BA28" i="25"/>
  <c r="AZ28" i="25"/>
  <c r="AY28" i="25"/>
  <c r="AX28" i="25"/>
  <c r="AW28" i="25"/>
  <c r="AV28" i="25"/>
  <c r="AU28" i="25"/>
  <c r="AT28" i="25"/>
  <c r="AQ28" i="25"/>
  <c r="AG28" i="25"/>
  <c r="W28" i="25"/>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P27" i="25"/>
  <c r="O27" i="25"/>
  <c r="N27" i="25"/>
  <c r="BB26" i="25"/>
  <c r="BA26" i="25"/>
  <c r="AZ26" i="25"/>
  <c r="AY26" i="25"/>
  <c r="AX26" i="25"/>
  <c r="AV26" i="25"/>
  <c r="AU26" i="25"/>
  <c r="AT26" i="25"/>
  <c r="AS26" i="25"/>
  <c r="AR26" i="25"/>
  <c r="AQ26" i="25"/>
  <c r="AG26" i="25"/>
  <c r="AF26" i="25"/>
  <c r="X26" i="25"/>
  <c r="W26" i="25"/>
  <c r="AW26" i="25" s="1"/>
  <c r="R26" i="25"/>
  <c r="O26" i="25"/>
  <c r="N26" i="25"/>
  <c r="BB25" i="25"/>
  <c r="BA25" i="25"/>
  <c r="AZ25" i="25"/>
  <c r="AY25" i="25"/>
  <c r="AX25" i="25"/>
  <c r="AW25" i="25"/>
  <c r="AV25" i="25"/>
  <c r="AU25" i="25"/>
  <c r="AT25" i="25"/>
  <c r="AS25" i="25"/>
  <c r="AR25" i="25"/>
  <c r="AQ25" i="25"/>
  <c r="AG25" i="25"/>
  <c r="AF25" i="25"/>
  <c r="O25" i="25" s="1"/>
  <c r="Q25" i="25"/>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S23" i="25"/>
  <c r="AR23" i="25"/>
  <c r="AQ23" i="25"/>
  <c r="AG23" i="25"/>
  <c r="AF23" i="25"/>
  <c r="O23" i="25" s="1"/>
  <c r="V23" i="25"/>
  <c r="AV23" i="25" s="1"/>
  <c r="S23" i="25"/>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S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P18" i="25" s="1"/>
  <c r="N18" i="25"/>
  <c r="BB17" i="25"/>
  <c r="BA17" i="25"/>
  <c r="AZ17" i="25"/>
  <c r="AY17" i="25"/>
  <c r="AX17" i="25"/>
  <c r="AW17" i="25"/>
  <c r="AV17" i="25"/>
  <c r="AU17" i="25"/>
  <c r="AT17" i="25"/>
  <c r="AS17" i="25"/>
  <c r="AR17" i="25"/>
  <c r="AQ17" i="25"/>
  <c r="AG17" i="25"/>
  <c r="AF17" i="25"/>
  <c r="R17" i="25"/>
  <c r="Q17" i="25"/>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BC15" i="25" s="1"/>
  <c r="BD15" i="25" s="1"/>
  <c r="Q15" i="25"/>
  <c r="AQ15" i="25" s="1"/>
  <c r="O15" i="25"/>
  <c r="P15" i="25" s="1"/>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R11" i="25"/>
  <c r="AG11" i="25"/>
  <c r="S11" i="25"/>
  <c r="AF11" i="25" s="1"/>
  <c r="O11" i="25" s="1"/>
  <c r="P11" i="25" s="1"/>
  <c r="R11" i="25"/>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Q3" i="25"/>
  <c r="AG3" i="25"/>
  <c r="AF3" i="25"/>
  <c r="Q3" i="25"/>
  <c r="N3" i="25"/>
  <c r="BB2" i="25"/>
  <c r="BA2" i="25"/>
  <c r="AZ2" i="25"/>
  <c r="AY2" i="25"/>
  <c r="AX2" i="25"/>
  <c r="AW2" i="25"/>
  <c r="AV2" i="25"/>
  <c r="AU2" i="25"/>
  <c r="AT2" i="25"/>
  <c r="AS2" i="25"/>
  <c r="BC2" i="25" s="1"/>
  <c r="BD2" i="25" s="1"/>
  <c r="AR2" i="25"/>
  <c r="AQ2" i="25"/>
  <c r="AG2" i="25"/>
  <c r="AF2" i="25"/>
  <c r="O2" i="25"/>
  <c r="N2" i="25"/>
  <c r="P2" i="25" s="1"/>
  <c r="BC5" i="25" l="1"/>
  <c r="BD5" i="25" s="1"/>
  <c r="AS9" i="25"/>
  <c r="AS47" i="25"/>
  <c r="BC62" i="25"/>
  <c r="BE62" i="25" s="1"/>
  <c r="P5" i="25"/>
  <c r="O10" i="25"/>
  <c r="P10" i="25" s="1"/>
  <c r="AF19" i="25"/>
  <c r="P31" i="25"/>
  <c r="AT47" i="25"/>
  <c r="AS57" i="25"/>
  <c r="P61" i="25"/>
  <c r="AG60" i="25"/>
  <c r="O60" i="25" s="1"/>
  <c r="P60" i="25" s="1"/>
  <c r="AS20" i="25"/>
  <c r="P26" i="25"/>
  <c r="BC43" i="25"/>
  <c r="AG9" i="25"/>
  <c r="O9" i="25" s="1"/>
  <c r="P9" i="25" s="1"/>
  <c r="AS10" i="25"/>
  <c r="AS11" i="25"/>
  <c r="BC11" i="25" s="1"/>
  <c r="BD11" i="25" s="1"/>
  <c r="P20" i="25"/>
  <c r="P21" i="25"/>
  <c r="P32" i="25"/>
  <c r="O54" i="25"/>
  <c r="P54" i="25" s="1"/>
  <c r="P55" i="25"/>
  <c r="P8" i="25"/>
  <c r="AT10" i="25"/>
  <c r="AS60" i="25"/>
  <c r="BE60" i="25" s="1"/>
  <c r="BC21" i="25"/>
  <c r="BE21" i="25" s="1"/>
  <c r="AF48" i="25"/>
  <c r="O48" i="25" s="1"/>
  <c r="P48" i="25" s="1"/>
  <c r="AS67" i="25"/>
  <c r="BD8" i="25"/>
  <c r="BE8" i="25"/>
  <c r="BC67" i="25"/>
  <c r="BE67" i="25" s="1"/>
  <c r="BE24" i="25"/>
  <c r="BD24" i="25"/>
  <c r="BC32" i="25"/>
  <c r="BD32" i="25" s="1"/>
  <c r="P58" i="25"/>
  <c r="BE46" i="25"/>
  <c r="BD46" i="25"/>
  <c r="BC16" i="25"/>
  <c r="BE16" i="25" s="1"/>
  <c r="BE18" i="25"/>
  <c r="BD18" i="25"/>
  <c r="BE22" i="25"/>
  <c r="BD22" i="25"/>
  <c r="BD33" i="25"/>
  <c r="BE33" i="25"/>
  <c r="BC14" i="25"/>
  <c r="BD14" i="25"/>
  <c r="BE32" i="25"/>
  <c r="AT53" i="25"/>
  <c r="AG53" i="25"/>
  <c r="BC66" i="25"/>
  <c r="BD66" i="25" s="1"/>
  <c r="AF12" i="25"/>
  <c r="O12" i="25" s="1"/>
  <c r="P12" i="25" s="1"/>
  <c r="BE14" i="25"/>
  <c r="P25" i="25"/>
  <c r="BC28" i="25"/>
  <c r="BD28" i="25" s="1"/>
  <c r="BC29" i="25"/>
  <c r="BE29" i="25" s="1"/>
  <c r="BC31" i="25"/>
  <c r="BE31" i="25" s="1"/>
  <c r="BE35" i="25"/>
  <c r="BE39" i="25"/>
  <c r="AF41" i="25"/>
  <c r="O41" i="25" s="1"/>
  <c r="P41" i="25" s="1"/>
  <c r="BD45" i="25"/>
  <c r="BC45" i="25"/>
  <c r="BC48" i="25"/>
  <c r="BE48" i="25" s="1"/>
  <c r="BD48" i="25"/>
  <c r="AF53" i="25"/>
  <c r="O53" i="25" s="1"/>
  <c r="P53" i="25" s="1"/>
  <c r="BD55" i="25"/>
  <c r="O57" i="25"/>
  <c r="P57" i="25" s="1"/>
  <c r="BC65" i="25"/>
  <c r="BE65" i="25" s="1"/>
  <c r="O6" i="25"/>
  <c r="P6" i="25" s="1"/>
  <c r="P14" i="25"/>
  <c r="BE15" i="25"/>
  <c r="AG19" i="25"/>
  <c r="O19" i="25" s="1"/>
  <c r="P19" i="25" s="1"/>
  <c r="BC23" i="25"/>
  <c r="BE23" i="25" s="1"/>
  <c r="BD26" i="25"/>
  <c r="BC26" i="25"/>
  <c r="BE26" i="25" s="1"/>
  <c r="O33" i="25"/>
  <c r="P33" i="25" s="1"/>
  <c r="P34" i="25"/>
  <c r="AS40" i="25"/>
  <c r="O47" i="25"/>
  <c r="P47" i="25" s="1"/>
  <c r="BC54" i="25"/>
  <c r="BD54" i="25" s="1"/>
  <c r="O56" i="25"/>
  <c r="P56" i="25" s="1"/>
  <c r="O59" i="25"/>
  <c r="P59" i="25" s="1"/>
  <c r="O63" i="25"/>
  <c r="P63" i="25" s="1"/>
  <c r="BE66" i="25"/>
  <c r="BC3" i="25"/>
  <c r="BE3" i="25" s="1"/>
  <c r="BC7" i="25"/>
  <c r="BD7" i="25" s="1"/>
  <c r="BE43" i="25"/>
  <c r="BC36" i="25"/>
  <c r="BE36" i="25" s="1"/>
  <c r="BD36" i="25"/>
  <c r="BC19" i="25"/>
  <c r="BE19" i="25" s="1"/>
  <c r="BC38" i="25"/>
  <c r="BE38" i="25" s="1"/>
  <c r="BC64" i="25"/>
  <c r="BE64" i="25" s="1"/>
  <c r="AT12" i="25"/>
  <c r="BC12" i="25" s="1"/>
  <c r="BD12" i="25" s="1"/>
  <c r="BD29" i="25"/>
  <c r="BE37" i="25"/>
  <c r="BD42" i="25"/>
  <c r="BC42" i="25"/>
  <c r="BC57" i="25"/>
  <c r="BD57" i="25" s="1"/>
  <c r="BC9" i="25"/>
  <c r="BC13" i="25"/>
  <c r="BC20" i="25"/>
  <c r="BD20" i="25" s="1"/>
  <c r="P23" i="25"/>
  <c r="BC25" i="25"/>
  <c r="BE25" i="25" s="1"/>
  <c r="BE27" i="25"/>
  <c r="AF28" i="25"/>
  <c r="O28" i="25" s="1"/>
  <c r="P28" i="25" s="1"/>
  <c r="BC30" i="25"/>
  <c r="BE30" i="25" s="1"/>
  <c r="P36" i="25"/>
  <c r="BC41" i="25"/>
  <c r="BE41" i="25" s="1"/>
  <c r="BD49" i="25"/>
  <c r="BC49" i="25"/>
  <c r="BE49" i="25" s="1"/>
  <c r="BE55" i="25"/>
  <c r="BC61" i="25"/>
  <c r="BE61" i="25" s="1"/>
  <c r="BD61" i="25"/>
  <c r="BC39" i="25"/>
  <c r="BD39" i="25"/>
  <c r="BE58" i="25"/>
  <c r="BE2" i="25"/>
  <c r="BC51" i="25"/>
  <c r="BE51" i="25" s="1"/>
  <c r="BD51" i="25"/>
  <c r="BD43" i="25"/>
  <c r="BE45" i="25"/>
  <c r="BE52" i="25"/>
  <c r="P3" i="25"/>
  <c r="BC4" i="25"/>
  <c r="BE4" i="25" s="1"/>
  <c r="BC6" i="25"/>
  <c r="BE6" i="25" s="1"/>
  <c r="BD6" i="25"/>
  <c r="P29" i="25"/>
  <c r="BC47" i="25"/>
  <c r="BE47" i="25" s="1"/>
  <c r="BD47" i="25"/>
  <c r="BC53" i="25"/>
  <c r="BD53" i="25" s="1"/>
  <c r="BC56" i="25"/>
  <c r="BC59" i="25"/>
  <c r="BC63" i="25"/>
  <c r="BE63" i="25" s="1"/>
  <c r="BD63" i="25"/>
  <c r="BE5" i="25"/>
  <c r="O3" i="25"/>
  <c r="BC10" i="25"/>
  <c r="BE10" i="25" s="1"/>
  <c r="P16" i="25"/>
  <c r="BC17" i="25"/>
  <c r="BD17" i="25" s="1"/>
  <c r="P30" i="25"/>
  <c r="BC34" i="25"/>
  <c r="BE34" i="25" s="1"/>
  <c r="O36" i="25"/>
  <c r="BC37" i="25"/>
  <c r="BD37" i="25" s="1"/>
  <c r="BE42" i="25"/>
  <c r="BC44" i="25"/>
  <c r="AF50" i="25"/>
  <c r="O50" i="25" s="1"/>
  <c r="P50" i="25" s="1"/>
  <c r="AS50" i="25"/>
  <c r="O51" i="25"/>
  <c r="P51" i="25" s="1"/>
  <c r="BE57" i="25"/>
  <c r="BC58" i="25"/>
  <c r="BD58" i="25" s="1"/>
  <c r="BC60" i="25"/>
  <c r="BD60" i="25" s="1"/>
  <c r="BD10" i="25" l="1"/>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I3" i="11"/>
  <c r="AI4" i="11"/>
  <c r="AI5" i="11"/>
  <c r="AI6" i="11"/>
  <c r="AI7" i="11"/>
  <c r="AI8" i="11"/>
  <c r="AI11" i="11"/>
  <c r="AI13" i="11"/>
  <c r="AI14" i="11"/>
  <c r="AI15" i="11"/>
  <c r="AI16" i="11"/>
  <c r="AI17" i="11"/>
  <c r="AI18" i="11"/>
  <c r="AI20" i="11"/>
  <c r="AI21" i="11"/>
  <c r="AI22" i="11"/>
  <c r="AI23" i="11"/>
  <c r="AI24" i="11"/>
  <c r="AI25" i="11"/>
  <c r="AI26" i="11"/>
  <c r="AI27" i="11"/>
  <c r="AI28" i="11"/>
  <c r="AI29" i="11"/>
  <c r="AI30" i="11"/>
  <c r="AI31" i="11"/>
  <c r="AI32" i="11"/>
  <c r="AI34" i="11"/>
  <c r="AI35" i="11"/>
  <c r="AI36" i="11"/>
  <c r="AI37" i="11"/>
  <c r="AI38" i="11"/>
  <c r="AI39" i="11"/>
  <c r="AI40" i="11"/>
  <c r="AI41" i="11"/>
  <c r="AI42" i="11"/>
  <c r="AI43" i="11"/>
  <c r="AI44" i="11"/>
  <c r="AI45" i="11"/>
  <c r="AI46" i="11"/>
  <c r="AI49" i="11"/>
  <c r="AI50" i="11"/>
  <c r="AI51" i="11"/>
  <c r="AI52" i="11"/>
  <c r="AI55" i="11"/>
  <c r="AI59" i="11"/>
  <c r="AI61" i="11"/>
  <c r="AI62" i="11"/>
  <c r="AI63" i="11"/>
  <c r="AI64" i="11"/>
  <c r="AI65" i="11"/>
  <c r="AI66" i="11"/>
  <c r="AI67" i="11"/>
  <c r="AH3" i="11"/>
  <c r="AH4" i="11"/>
  <c r="AH5" i="11"/>
  <c r="AH6" i="11"/>
  <c r="AH7" i="11"/>
  <c r="AH8" i="11"/>
  <c r="AH13" i="11"/>
  <c r="AH14" i="11"/>
  <c r="AH15" i="11"/>
  <c r="AH16" i="11"/>
  <c r="AH17" i="11"/>
  <c r="AH22" i="11"/>
  <c r="AH24" i="11"/>
  <c r="AH25" i="11"/>
  <c r="AH26" i="11"/>
  <c r="AH27" i="11"/>
  <c r="AH29" i="11"/>
  <c r="AH30" i="11"/>
  <c r="AH31" i="11"/>
  <c r="AH33" i="11"/>
  <c r="AH34" i="11"/>
  <c r="AH35" i="11"/>
  <c r="AH36" i="11"/>
  <c r="AH37" i="11"/>
  <c r="AH38" i="11"/>
  <c r="AH39" i="11"/>
  <c r="AH42" i="11"/>
  <c r="AH45" i="11"/>
  <c r="AH46" i="11"/>
  <c r="AH49" i="11"/>
  <c r="AH51" i="11"/>
  <c r="AH52" i="11"/>
  <c r="AH55" i="11"/>
  <c r="AH56" i="11"/>
  <c r="AH59" i="11"/>
  <c r="AH61" i="11"/>
  <c r="AH62" i="11"/>
  <c r="AH63" i="11"/>
  <c r="AH64" i="11"/>
  <c r="AH65" i="11"/>
  <c r="AH66" i="11"/>
  <c r="AH2" i="11"/>
  <c r="U3" i="11"/>
  <c r="Q3" i="11" s="1"/>
  <c r="AA4" i="11"/>
  <c r="AB4" i="11"/>
  <c r="U5" i="11"/>
  <c r="V5" i="11"/>
  <c r="U7" i="11"/>
  <c r="V7" i="11"/>
  <c r="AF8" i="11"/>
  <c r="W9" i="11"/>
  <c r="X9" i="11"/>
  <c r="W10" i="11"/>
  <c r="X10" i="11"/>
  <c r="AI10" i="11" s="1"/>
  <c r="U11" i="11"/>
  <c r="V11" i="11"/>
  <c r="W11" i="11"/>
  <c r="W12" i="11"/>
  <c r="X12" i="11"/>
  <c r="U13" i="11"/>
  <c r="V13" i="11"/>
  <c r="U15" i="11"/>
  <c r="V15" i="11"/>
  <c r="U16" i="11"/>
  <c r="Q16" i="11" s="1"/>
  <c r="U17" i="11"/>
  <c r="V17" i="11"/>
  <c r="W19" i="11"/>
  <c r="X19" i="11"/>
  <c r="W20" i="11"/>
  <c r="Z20" i="11"/>
  <c r="AJ20" i="11" s="1"/>
  <c r="U21" i="11"/>
  <c r="Q21" i="11" s="1"/>
  <c r="W21" i="11"/>
  <c r="Q22" i="11"/>
  <c r="W23" i="11"/>
  <c r="Z23" i="11"/>
  <c r="AJ23" i="11" s="1"/>
  <c r="U25" i="11"/>
  <c r="Q25" i="11" s="1"/>
  <c r="V26" i="11"/>
  <c r="AA26" i="11"/>
  <c r="AB26" i="11"/>
  <c r="AF27" i="11"/>
  <c r="V28" i="11"/>
  <c r="W28" i="11"/>
  <c r="AA28" i="11"/>
  <c r="U29" i="11"/>
  <c r="V29" i="11"/>
  <c r="U30" i="11"/>
  <c r="AD30" i="11"/>
  <c r="AE30" i="11"/>
  <c r="U31" i="11"/>
  <c r="V31" i="11"/>
  <c r="U32" i="11"/>
  <c r="V32" i="11"/>
  <c r="W32" i="11"/>
  <c r="AA32" i="11"/>
  <c r="X33" i="11"/>
  <c r="AI33" i="11" s="1"/>
  <c r="U34" i="11"/>
  <c r="Q34" i="11" s="1"/>
  <c r="U35" i="11"/>
  <c r="Q35" i="11" s="1"/>
  <c r="AF37" i="11"/>
  <c r="U39" i="11"/>
  <c r="V39" i="11"/>
  <c r="U40" i="11"/>
  <c r="W40" i="11"/>
  <c r="U41" i="11"/>
  <c r="W41" i="11"/>
  <c r="U42" i="11"/>
  <c r="Q42" i="11" s="1"/>
  <c r="U43" i="11"/>
  <c r="W43" i="11"/>
  <c r="AG45" i="11"/>
  <c r="R45" i="11" s="1"/>
  <c r="AG46" i="11"/>
  <c r="W47" i="11"/>
  <c r="X47" i="11"/>
  <c r="W48" i="11"/>
  <c r="X48" i="11"/>
  <c r="Y48" i="11"/>
  <c r="AD48" i="11"/>
  <c r="U49" i="11"/>
  <c r="Q49" i="11" s="1"/>
  <c r="U50" i="11"/>
  <c r="W50" i="11"/>
  <c r="U51" i="11"/>
  <c r="Q51" i="11" s="1"/>
  <c r="W53" i="11"/>
  <c r="X53" i="11"/>
  <c r="W54" i="11"/>
  <c r="X54" i="11"/>
  <c r="AI54" i="11" s="1"/>
  <c r="U55" i="11"/>
  <c r="Q55" i="11" s="1"/>
  <c r="X56" i="11"/>
  <c r="AI56" i="11" s="1"/>
  <c r="Y56" i="11"/>
  <c r="W57" i="11"/>
  <c r="X57" i="11"/>
  <c r="W58" i="11"/>
  <c r="X58" i="11"/>
  <c r="AA59" i="11"/>
  <c r="W60" i="11"/>
  <c r="X60" i="11"/>
  <c r="U61" i="11"/>
  <c r="V61" i="11"/>
  <c r="U62" i="11"/>
  <c r="Q62" i="11" s="1"/>
  <c r="U63" i="11"/>
  <c r="V63" i="11"/>
  <c r="U64" i="11"/>
  <c r="Q64" i="11" s="1"/>
  <c r="Q65" i="11"/>
  <c r="U67" i="11"/>
  <c r="V67" i="11"/>
  <c r="W67" i="11"/>
  <c r="AA67" i="11"/>
  <c r="P11" i="11"/>
  <c r="Q61" i="11" l="1"/>
  <c r="R26" i="11"/>
  <c r="Q15" i="11"/>
  <c r="AH11" i="11"/>
  <c r="R11" i="11"/>
  <c r="S11" i="11" s="1"/>
  <c r="T11" i="11" s="1"/>
  <c r="AH21" i="11"/>
  <c r="R21" i="11"/>
  <c r="Q7" i="11"/>
  <c r="AH67" i="11"/>
  <c r="R67" i="11"/>
  <c r="AH50" i="11"/>
  <c r="R50" i="11"/>
  <c r="AH32" i="11"/>
  <c r="R32" i="11"/>
  <c r="AH20" i="11"/>
  <c r="R20" i="11"/>
  <c r="AH43" i="11"/>
  <c r="R43" i="11"/>
  <c r="AH40" i="11"/>
  <c r="R40" i="11"/>
  <c r="AH28" i="11"/>
  <c r="R28" i="11"/>
  <c r="AH23" i="11"/>
  <c r="R23" i="11"/>
  <c r="AH41" i="11"/>
  <c r="R41" i="11"/>
  <c r="AI60" i="11"/>
  <c r="R60" i="11"/>
  <c r="Q5" i="11"/>
  <c r="Q39" i="11"/>
  <c r="Q32" i="11"/>
  <c r="Q13" i="11"/>
  <c r="AI9" i="11"/>
  <c r="R9" i="11"/>
  <c r="Q67" i="11"/>
  <c r="AI19" i="11"/>
  <c r="R19" i="11"/>
  <c r="AI58" i="11"/>
  <c r="R58" i="11"/>
  <c r="AI12" i="11"/>
  <c r="R12" i="11"/>
  <c r="Q63" i="11"/>
  <c r="AI53" i="11"/>
  <c r="R53" i="11"/>
  <c r="AI48" i="11"/>
  <c r="R48" i="11"/>
  <c r="Q31" i="11"/>
  <c r="Q17" i="11"/>
  <c r="AI57" i="11"/>
  <c r="R57" i="11"/>
  <c r="Q29" i="11"/>
  <c r="AI47" i="11"/>
  <c r="R47" i="11"/>
  <c r="BE50" i="25"/>
  <c r="BE40" i="25"/>
  <c r="C10" i="20" l="1"/>
  <c r="C9" i="20"/>
  <c r="P67" i="11" l="1"/>
  <c r="S67" i="11" s="1"/>
  <c r="T67" i="11" s="1"/>
  <c r="P66" i="11" l="1"/>
  <c r="S66" i="11" s="1"/>
  <c r="T66" i="11" s="1"/>
  <c r="P65" i="11"/>
  <c r="S65" i="11" s="1"/>
  <c r="T65" i="11" s="1"/>
  <c r="P64" i="11"/>
  <c r="S64" i="11" s="1"/>
  <c r="T64" i="11" s="1"/>
  <c r="P63" i="11"/>
  <c r="S63" i="11" s="1"/>
  <c r="T63" i="11" s="1"/>
  <c r="P60" i="11"/>
  <c r="S60" i="11" s="1"/>
  <c r="T60" i="11" s="1"/>
  <c r="P62" i="11"/>
  <c r="S62" i="11" s="1"/>
  <c r="T62" i="11" s="1"/>
  <c r="P61" i="11"/>
  <c r="S61" i="11" s="1"/>
  <c r="T61" i="11" s="1"/>
  <c r="P58" i="11"/>
  <c r="S58" i="11" s="1"/>
  <c r="T58" i="11" s="1"/>
  <c r="P57" i="11"/>
  <c r="S57" i="11" s="1"/>
  <c r="T57" i="11" s="1"/>
  <c r="P55" i="11"/>
  <c r="S55" i="11" s="1"/>
  <c r="T55" i="11" s="1"/>
  <c r="P53" i="11"/>
  <c r="S53" i="11" s="1"/>
  <c r="T53" i="11" s="1"/>
  <c r="P52" i="11"/>
  <c r="S52" i="11" s="1"/>
  <c r="T52" i="11" s="1"/>
  <c r="P51" i="11"/>
  <c r="S51" i="11" s="1"/>
  <c r="T51" i="11" s="1"/>
  <c r="P50" i="11"/>
  <c r="S50" i="11" s="1"/>
  <c r="T50" i="11" s="1"/>
  <c r="P49" i="11"/>
  <c r="S49" i="11" s="1"/>
  <c r="T49" i="11" s="1"/>
  <c r="P48" i="11"/>
  <c r="S48" i="11" s="1"/>
  <c r="T48" i="11" s="1"/>
  <c r="P47" i="11"/>
  <c r="S47" i="11" s="1"/>
  <c r="T47" i="11" s="1"/>
  <c r="P45" i="11"/>
  <c r="S45" i="11" s="1"/>
  <c r="T45" i="11" s="1"/>
  <c r="P44" i="11"/>
  <c r="S44" i="11" s="1"/>
  <c r="T44" i="11" s="1"/>
  <c r="P43" i="11"/>
  <c r="S43" i="11" s="1"/>
  <c r="T43" i="11" s="1"/>
  <c r="P42" i="11"/>
  <c r="S42" i="11" s="1"/>
  <c r="T42" i="11" s="1"/>
  <c r="P41" i="11"/>
  <c r="S41" i="11" s="1"/>
  <c r="T41" i="11" s="1"/>
  <c r="P40" i="11"/>
  <c r="S40" i="11" s="1"/>
  <c r="T40" i="11" s="1"/>
  <c r="P39" i="11"/>
  <c r="S39" i="11" s="1"/>
  <c r="T39" i="11" s="1"/>
  <c r="P38" i="11"/>
  <c r="S38" i="11" s="1"/>
  <c r="T38" i="11" s="1"/>
  <c r="P27" i="11"/>
  <c r="S27" i="11" s="1"/>
  <c r="T27" i="11" s="1"/>
  <c r="P36" i="11"/>
  <c r="S36" i="11" s="1"/>
  <c r="T36" i="11" s="1"/>
  <c r="P35" i="11"/>
  <c r="S35" i="11" s="1"/>
  <c r="T35" i="11" s="1"/>
  <c r="P34" i="11"/>
  <c r="S34" i="11" s="1"/>
  <c r="T34" i="11" s="1"/>
  <c r="P32" i="11"/>
  <c r="S32" i="11" s="1"/>
  <c r="T32" i="11" s="1"/>
  <c r="P31" i="11"/>
  <c r="S31" i="11" s="1"/>
  <c r="T31" i="11" s="1"/>
  <c r="P30" i="11"/>
  <c r="S30" i="11" s="1"/>
  <c r="T30" i="11" s="1"/>
  <c r="P29" i="11"/>
  <c r="S29" i="11" s="1"/>
  <c r="T29" i="11" s="1"/>
  <c r="P28" i="11"/>
  <c r="S28" i="11" s="1"/>
  <c r="T28" i="11" s="1"/>
  <c r="P26" i="11"/>
  <c r="S26" i="11" s="1"/>
  <c r="T26" i="11" s="1"/>
  <c r="P25" i="11"/>
  <c r="S25" i="11" s="1"/>
  <c r="T25" i="11" s="1"/>
  <c r="P23" i="11"/>
  <c r="S23" i="11" s="1"/>
  <c r="T23" i="11" s="1"/>
  <c r="P22" i="11"/>
  <c r="S22" i="11" s="1"/>
  <c r="T22" i="11" s="1"/>
  <c r="P21" i="11"/>
  <c r="S21" i="11" s="1"/>
  <c r="T21" i="11" s="1"/>
  <c r="P20" i="11"/>
  <c r="S20" i="11" s="1"/>
  <c r="T20" i="11" s="1"/>
  <c r="P19" i="11"/>
  <c r="S19" i="11" s="1"/>
  <c r="T19" i="11" s="1"/>
  <c r="P18" i="11"/>
  <c r="S18" i="11" s="1"/>
  <c r="T18" i="11" s="1"/>
  <c r="P17" i="11"/>
  <c r="S17" i="11" s="1"/>
  <c r="T17" i="11" s="1"/>
  <c r="P16" i="11"/>
  <c r="S16" i="11" s="1"/>
  <c r="T16" i="11" s="1"/>
  <c r="P15" i="11"/>
  <c r="S15" i="11" s="1"/>
  <c r="T15" i="11" s="1"/>
  <c r="P14" i="11"/>
  <c r="S14" i="11" s="1"/>
  <c r="T14" i="11" s="1"/>
  <c r="P13" i="11"/>
  <c r="S13" i="11" s="1"/>
  <c r="T13" i="11" s="1"/>
  <c r="P12" i="11"/>
  <c r="S12" i="11" s="1"/>
  <c r="T12" i="11" s="1"/>
  <c r="P9" i="11"/>
  <c r="S9" i="11" s="1"/>
  <c r="T9" i="11" s="1"/>
  <c r="P8" i="11"/>
  <c r="S8" i="11" s="1"/>
  <c r="T8" i="11" s="1"/>
  <c r="P7" i="11"/>
  <c r="S7" i="11" s="1"/>
  <c r="T7" i="11" s="1"/>
  <c r="P6" i="11"/>
  <c r="S6" i="11" s="1"/>
  <c r="T6" i="11" s="1"/>
  <c r="P5" i="11"/>
  <c r="S5" i="11" s="1"/>
  <c r="T5" i="11" s="1"/>
  <c r="P3" i="11"/>
  <c r="S3" i="11" s="1"/>
  <c r="T3" i="11" s="1"/>
  <c r="P2" i="11"/>
  <c r="S2" i="11" s="1"/>
  <c r="T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I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O38"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T47"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I50"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<sst xmlns="http://schemas.openxmlformats.org/spreadsheetml/2006/main" count="8252" uniqueCount="1591">
  <si>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</si>
  <si>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</si>
  <si>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</si>
  <si>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</si>
  <si>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</si>
  <si>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</si>
  <si>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</si>
  <si>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</si>
  <si>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</si>
  <si>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</si>
  <si>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</si>
  <si>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</si>
  <si>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</si>
  <si>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</si>
  <si>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</si>
  <si>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</si>
  <si>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</si>
  <si>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</si>
  <si>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</si>
  <si>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</si>
  <si>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</si>
  <si>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</si>
  <si>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</si>
  <si>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</si>
  <si>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</si>
  <si>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</si>
  <si>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</si>
  <si>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</si>
  <si>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</si>
  <si>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</si>
  <si>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</si>
  <si>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</si>
  <si>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</si>
  <si>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</si>
  <si>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</si>
  <si>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</si>
  <si>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</si>
  <si>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</si>
  <si>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</si>
  <si>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</si>
  <si>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</si>
  <si>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</si>
  <si>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</si>
  <si>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</si>
  <si>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</si>
  <si>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</si>
  <si>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</si>
  <si>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</si>
  <si>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</si>
  <si>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</si>
  <si>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</si>
  <si>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</si>
  <si>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</si>
  <si>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</si>
  <si>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</si>
  <si>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</si>
  <si>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</si>
  <si>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</si>
  <si>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</si>
  <si>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</si>
  <si>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</si>
  <si>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</si>
  <si>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</si>
  <si>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</si>
  <si>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</si>
  <si>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</si>
  <si>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</si>
  <si>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</si>
  <si>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</si>
  <si>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</si>
  <si>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</si>
  <si>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</si>
  <si>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</si>
  <si>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</si>
  <si>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</si>
  <si>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</si>
  <si>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</si>
  <si>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</si>
  <si>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</si>
  <si>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</si>
  <si>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</si>
  <si>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</si>
  <si>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</si>
  <si>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</si>
  <si>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</si>
  <si>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</si>
  <si>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</si>
  <si>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</si>
  <si>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</si>
  <si>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</si>
  <si>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</si>
  <si>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</si>
  <si>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PROD-91cf5448-2023-2</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</si>
  <si>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</si>
  <si>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</si>
  <si>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</si>
  <si>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</si>
  <si>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</si>
  <si>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</si>
  <si>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</si>
  <si>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</si>
  <si>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</si>
  <si>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</si>
  <si>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</si>
  <si>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</si>
  <si>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</si>
  <si>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</si>
  <si>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</si>
  <si>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</si>
  <si>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</si>
  <si>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</si>
  <si>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</si>
  <si>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</si>
  <si>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</si>
  <si>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</si>
  <si>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</si>
  <si>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</si>
  <si>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</si>
  <si>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</si>
  <si>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</si>
  <si>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</si>
  <si>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</si>
  <si>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</si>
  <si>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</si>
  <si>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</si>
  <si>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</si>
  <si>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</si>
  <si>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</si>
  <si>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</si>
  <si>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</si>
  <si>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</si>
  <si>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</si>
  <si>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</si>
  <si>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</si>
  <si>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</si>
  <si>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</si>
  <si>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</si>
  <si>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</si>
  <si>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</si>
  <si>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</si>
  <si>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</si>
  <si>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</si>
  <si>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</si>
  <si>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</si>
  <si>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</si>
  <si>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</si>
  <si>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</si>
  <si>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</si>
  <si>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</si>
  <si>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</si>
  <si>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</si>
  <si>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</si>
  <si>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</si>
  <si>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</si>
  <si>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</si>
  <si>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</si>
  <si>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</si>
  <si>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</si>
  <si>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</si>
  <si>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</si>
  <si>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</si>
  <si>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</si>
  <si>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</si>
  <si>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</si>
  <si>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</si>
  <si>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</si>
  <si>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</si>
  <si>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</si>
  <si>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</si>
  <si>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</si>
  <si>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</si>
  <si>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</si>
  <si>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</si>
  <si>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</si>
  <si>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</si>
  <si>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</si>
  <si>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</si>
  <si>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</si>
  <si>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</si>
  <si>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</si>
  <si>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</si>
  <si>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</si>
  <si>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</si>
  <si>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</si>
  <si>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</si>
  <si>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</si>
  <si>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</si>
  <si>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</si>
  <si>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</si>
  <si>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</si>
  <si>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</si>
  <si>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</si>
  <si>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</si>
  <si>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</si>
  <si>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</si>
  <si>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</si>
  <si>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</si>
  <si>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</si>
  <si>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</si>
  <si>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</si>
  <si>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</si>
  <si>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</si>
  <si>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</si>
  <si>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</si>
  <si>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</si>
  <si>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</si>
  <si>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</si>
  <si>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</si>
  <si>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</si>
  <si>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</si>
  <si>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</si>
  <si>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</si>
  <si>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</si>
  <si>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</si>
  <si>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</si>
  <si>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</si>
  <si>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</si>
  <si>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</si>
  <si>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</si>
  <si>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</si>
  <si>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</si>
  <si>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</si>
  <si>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</si>
  <si>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</si>
  <si>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</si>
  <si>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</si>
  <si>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</si>
  <si>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</si>
  <si>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</si>
  <si>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</si>
  <si>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</si>
  <si>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</si>
  <si>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</si>
  <si>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</si>
  <si>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</si>
  <si>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</si>
  <si>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</si>
  <si>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</si>
  <si>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</si>
  <si>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</si>
  <si>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</si>
  <si>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</si>
  <si>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</si>
  <si>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</si>
  <si>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</si>
  <si>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</si>
  <si>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</si>
  <si>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</si>
  <si>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</si>
  <si>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</si>
  <si>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</si>
  <si>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</si>
  <si>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</si>
  <si>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</si>
  <si>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</si>
  <si>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</si>
  <si>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</si>
  <si>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</si>
  <si>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</si>
  <si>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</si>
  <si>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</si>
  <si>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</si>
  <si>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</si>
  <si>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</si>
  <si>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</si>
  <si>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</si>
  <si>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</si>
  <si>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</si>
  <si>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</si>
  <si>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</si>
  <si>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</si>
  <si>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</si>
  <si>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</si>
  <si>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</si>
  <si>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</si>
  <si>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</si>
  <si>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</si>
  <si>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</si>
  <si>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</si>
  <si>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</si>
  <si>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</si>
  <si>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</si>
  <si>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</si>
  <si>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</si>
  <si>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</si>
  <si>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</si>
  <si>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</si>
  <si>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</si>
  <si>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</si>
  <si>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</si>
  <si>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</si>
  <si>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</si>
  <si>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</si>
  <si>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</si>
  <si>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</si>
  <si>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</si>
  <si>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</si>
  <si>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</si>
  <si>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</si>
  <si>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</si>
  <si>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</si>
  <si>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</si>
  <si>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</si>
  <si>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</si>
  <si>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</si>
  <si>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</si>
  <si>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</si>
  <si>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</si>
  <si>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</si>
  <si>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</si>
  <si>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</si>
  <si>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</si>
  <si>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</si>
  <si>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</si>
  <si>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</si>
  <si>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</si>
  <si>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</si>
  <si>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</si>
  <si>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</si>
  <si>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</si>
  <si>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</si>
  <si>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</si>
  <si>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</si>
  <si>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</si>
  <si>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</si>
  <si>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</si>
  <si>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</si>
  <si>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</si>
  <si>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</si>
  <si>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</si>
  <si>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</si>
  <si>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</si>
  <si>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</si>
  <si>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</si>
  <si>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</si>
  <si>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</si>
  <si>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</si>
  <si>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</si>
  <si>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</si>
  <si>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</si>
  <si>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</si>
  <si>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</si>
  <si>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</si>
  <si>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</si>
  <si>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</si>
  <si>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</si>
  <si>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</si>
  <si>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</si>
  <si>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</si>
  <si>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</si>
  <si>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</si>
  <si>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</si>
  <si>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</si>
  <si>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</si>
  <si>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</si>
  <si>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</si>
  <si>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</si>
  <si>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</si>
  <si>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</si>
  <si>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</si>
  <si>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</si>
  <si>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</si>
  <si>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</si>
  <si>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</si>
  <si>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</si>
  <si>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</si>
  <si>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</si>
  <si>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</si>
  <si>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</si>
  <si>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</si>
  <si>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</si>
  <si>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</si>
  <si>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</si>
  <si>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</si>
  <si>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</si>
  <si>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</si>
  <si>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</si>
  <si>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</si>
  <si>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</si>
  <si>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</si>
  <si>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</si>
  <si>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</si>
  <si>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</si>
  <si>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</si>
  <si>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</si>
  <si>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</si>
  <si>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</si>
  <si>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</si>
  <si>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</si>
  <si>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</si>
  <si>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</si>
  <si>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</si>
  <si>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</si>
  <si>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</si>
  <si>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</si>
  <si>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</si>
  <si>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</si>
  <si>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</si>
  <si>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</si>
  <si>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</si>
  <si>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</si>
  <si>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</si>
  <si>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</si>
  <si>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</si>
  <si>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</si>
  <si>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</si>
  <si>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</si>
  <si>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</si>
  <si>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</si>
  <si>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</si>
  <si>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</si>
  <si>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</si>
  <si>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</si>
  <si>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</si>
  <si>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</si>
  <si>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</si>
  <si>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</si>
  <si>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</si>
  <si>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</si>
  <si>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</si>
  <si>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</si>
  <si>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</si>
  <si>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</si>
  <si>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</si>
  <si>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</si>
  <si>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</si>
  <si>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</si>
  <si>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</si>
  <si>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</si>
  <si>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</si>
  <si>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</si>
  <si>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</si>
  <si>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</si>
  <si>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</si>
  <si>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</si>
  <si>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</si>
  <si>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</si>
  <si>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</si>
  <si>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</si>
  <si>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</si>
  <si>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</si>
  <si>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</si>
  <si>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</si>
  <si>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</si>
  <si>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</si>
  <si>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</si>
  <si>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</si>
  <si>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</si>
  <si>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</si>
  <si>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</si>
  <si>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</si>
  <si>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</si>
  <si>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</si>
  <si>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</si>
  <si>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</si>
  <si>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</si>
  <si>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</si>
  <si>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</si>
  <si>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</si>
  <si>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</si>
  <si>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</si>
  <si>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</si>
  <si>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</si>
  <si>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</si>
  <si>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</si>
  <si>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</si>
  <si>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</si>
  <si>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</si>
  <si>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</si>
  <si>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</si>
  <si>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</si>
  <si>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</si>
  <si>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</si>
  <si>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</si>
  <si>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</si>
  <si>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</si>
  <si>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</si>
  <si>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</si>
  <si>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</si>
  <si>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</si>
  <si>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</si>
  <si>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</si>
  <si>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</si>
  <si>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</si>
  <si>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</si>
  <si>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</si>
  <si>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</si>
  <si>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</si>
  <si>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</si>
  <si>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</si>
  <si>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</si>
  <si>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</si>
  <si>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</si>
  <si>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</si>
  <si>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</si>
  <si>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</si>
  <si>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</si>
  <si>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</si>
  <si>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</si>
  <si>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</si>
  <si>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</si>
  <si>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</si>
  <si>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</si>
  <si>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</si>
  <si>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</si>
  <si>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</si>
  <si>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</si>
  <si>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</si>
  <si>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</si>
  <si>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</si>
  <si>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</si>
  <si>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</si>
  <si>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</si>
  <si>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</si>
  <si>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</si>
  <si>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</si>
  <si>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</si>
  <si>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</si>
  <si>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</si>
  <si>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</si>
  <si>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</si>
  <si>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</si>
  <si>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</si>
  <si>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</si>
  <si>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</si>
  <si>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</si>
  <si>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</si>
  <si>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</si>
  <si>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</si>
  <si>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</si>
  <si>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</si>
  <si>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</si>
  <si>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</si>
  <si>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</si>
  <si>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</si>
  <si>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</si>
  <si>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</si>
  <si>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</si>
  <si>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</si>
  <si>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</si>
  <si>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</si>
  <si>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</si>
  <si>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</si>
  <si>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</si>
  <si>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</si>
  <si>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</si>
  <si>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</si>
  <si>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</si>
  <si>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</si>
  <si>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</si>
  <si>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</si>
  <si>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</si>
  <si>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</si>
  <si>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</si>
  <si>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</si>
  <si>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</si>
  <si>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</si>
  <si>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</si>
  <si>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</si>
  <si>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</si>
  <si>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</si>
  <si>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</si>
  <si>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</si>
  <si>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</si>
  <si>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</si>
  <si>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</si>
  <si>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</si>
  <si>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</si>
  <si>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</si>
  <si>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</si>
  <si>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</si>
  <si>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</si>
  <si>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</si>
  <si>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</si>
  <si>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</si>
  <si>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</si>
  <si>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</si>
  <si>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</si>
  <si>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</si>
  <si>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</si>
  <si>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</si>
  <si>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</si>
  <si>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</si>
  <si>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</si>
  <si>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</si>
  <si>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</si>
  <si>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</si>
  <si>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</si>
  <si>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</si>
  <si>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</si>
  <si>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</si>
  <si>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</si>
  <si>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</si>
  <si>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</si>
  <si>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</si>
  <si>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</si>
  <si>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</si>
  <si>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</si>
  <si>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</si>
  <si>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</si>
  <si>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</si>
  <si>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</si>
  <si>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</si>
  <si>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</si>
  <si>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</si>
  <si>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</si>
  <si>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</si>
  <si>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</si>
  <si>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</si>
  <si>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</si>
  <si>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</si>
  <si>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</si>
  <si>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</si>
  <si>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</si>
  <si>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</si>
  <si>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</si>
  <si>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</si>
  <si>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</si>
  <si>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</si>
  <si>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</si>
  <si>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</si>
  <si>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</si>
  <si>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</si>
  <si>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</si>
  <si>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</si>
  <si>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</si>
  <si>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</si>
  <si>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</si>
  <si>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</si>
  <si>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</si>
  <si>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</si>
  <si>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</si>
  <si>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</si>
  <si>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</si>
  <si>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</si>
  <si>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</si>
  <si>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</si>
  <si>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</si>
  <si>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</si>
  <si>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</si>
  <si>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</si>
  <si>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</si>
  <si>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</si>
  <si>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</si>
  <si>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</si>
  <si>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</si>
  <si>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</si>
  <si>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</si>
  <si>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</si>
  <si>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</si>
  <si>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</si>
  <si>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</si>
  <si>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</si>
  <si>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</si>
  <si>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</si>
  <si>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</si>
  <si>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</si>
  <si>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</si>
  <si>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</si>
  <si>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</si>
  <si>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</si>
  <si>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</si>
  <si>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</si>
  <si>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</si>
  <si>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</si>
  <si>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</si>
  <si>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</si>
  <si>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</si>
  <si>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</si>
  <si>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</si>
  <si>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</si>
  <si>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</si>
  <si>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</si>
  <si>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</si>
  <si>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</si>
  <si>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</si>
  <si>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</si>
  <si>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</si>
  <si>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</si>
  <si>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</si>
  <si>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</si>
  <si>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</si>
  <si>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</si>
  <si>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</si>
  <si>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</si>
  <si>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</si>
  <si>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</si>
  <si>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</si>
  <si>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</si>
  <si>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</si>
  <si>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</si>
  <si>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</si>
  <si>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</si>
  <si>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</si>
  <si>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</si>
  <si>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</si>
  <si>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</si>
  <si>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</si>
  <si>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</si>
  <si>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</si>
  <si>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</si>
  <si>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</si>
  <si>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</si>
  <si>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</si>
  <si>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</si>
  <si>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</si>
  <si>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</si>
  <si>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</si>
  <si>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</si>
  <si>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</si>
  <si>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</si>
  <si>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</si>
  <si>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</si>
  <si>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</si>
  <si>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</si>
  <si>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</si>
  <si>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</si>
  <si>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</si>
  <si>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</si>
  <si>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</si>
  <si>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</si>
  <si>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</si>
  <si>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</si>
  <si>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</si>
  <si>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</si>
  <si>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</si>
  <si>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</si>
  <si>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</si>
  <si>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</si>
  <si>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</si>
  <si>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</si>
  <si>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</si>
  <si>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</si>
  <si>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</si>
  <si>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</si>
  <si>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</si>
  <si>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</si>
  <si>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</si>
  <si>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</si>
  <si>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</si>
  <si>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</si>
  <si>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</si>
  <si>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</si>
  <si>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</si>
  <si>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</si>
  <si>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</si>
  <si>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</si>
  <si>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</si>
  <si>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</si>
  <si>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</si>
  <si>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</si>
  <si>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</si>
  <si>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</si>
  <si>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</si>
  <si>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</si>
  <si>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</si>
  <si>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</si>
  <si>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</si>
  <si>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</si>
  <si>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</si>
  <si>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</si>
  <si>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</si>
  <si>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</si>
  <si>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</si>
  <si>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</si>
  <si>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</si>
  <si>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</si>
  <si>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</si>
  <si>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</si>
  <si>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</si>
  <si>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</si>
  <si>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</si>
  <si>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</si>
  <si>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</si>
  <si>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</si>
  <si>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</si>
  <si>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</si>
  <si>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</si>
  <si>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</si>
  <si>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</si>
  <si>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</si>
  <si>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</si>
  <si>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</si>
  <si>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</si>
  <si>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</si>
  <si>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</si>
  <si>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</si>
  <si>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</si>
  <si>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</si>
  <si>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</si>
  <si>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</si>
  <si>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</si>
  <si>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</si>
  <si>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</si>
  <si>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</si>
  <si>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</si>
  <si>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</si>
  <si>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</si>
  <si>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</si>
  <si>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</si>
  <si>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</si>
  <si>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</si>
  <si>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</si>
  <si>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</si>
  <si>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</si>
  <si>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</si>
  <si>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</si>
  <si>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</si>
  <si>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</si>
  <si>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</si>
  <si>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</si>
  <si>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</si>
  <si>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</si>
  <si>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</si>
  <si>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</si>
  <si>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</si>
  <si>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</si>
  <si>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</si>
  <si>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</si>
  <si>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</si>
  <si>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</si>
  <si>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</si>
  <si>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</si>
  <si>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</si>
  <si>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</si>
  <si>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</si>
  <si>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</si>
  <si>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</si>
  <si>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</si>
  <si>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</si>
  <si>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</si>
  <si>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</si>
  <si>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</si>
  <si>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</si>
  <si>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</si>
  <si>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</si>
  <si>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</si>
  <si>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</si>
  <si>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</si>
  <si>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</si>
  <si>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</si>
  <si>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</si>
  <si>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</si>
  <si>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</si>
  <si>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</si>
  <si>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</si>
  <si>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</si>
  <si>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</si>
  <si>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</si>
  <si>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</si>
  <si>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</si>
  <si>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</si>
  <si>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</si>
  <si>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</si>
  <si>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</si>
  <si>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</si>
  <si>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</si>
  <si>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</si>
  <si>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</si>
  <si>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</si>
  <si>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</si>
  <si>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</si>
  <si>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</si>
  <si>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</si>
  <si>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</si>
  <si>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</si>
  <si>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</si>
  <si>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</si>
  <si>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</si>
  <si>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</si>
  <si>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</si>
  <si>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</si>
  <si>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</si>
  <si>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</si>
  <si>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</si>
  <si>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</si>
  <si>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</si>
  <si>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</si>
  <si>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</si>
  <si>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</si>
  <si>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</si>
  <si>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</si>
  <si>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</si>
  <si>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</si>
  <si>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</si>
  <si>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</si>
  <si>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</si>
  <si>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</si>
  <si>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</si>
  <si>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</si>
  <si>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</si>
  <si>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</si>
  <si>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</si>
  <si>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</si>
  <si>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</si>
  <si>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</si>
  <si>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</si>
  <si>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</si>
  <si>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</si>
  <si>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</si>
  <si>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</si>
  <si>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</si>
  <si>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</si>
  <si>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</si>
  <si>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</si>
  <si>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</si>
  <si>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</si>
  <si>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</si>
  <si>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</si>
  <si>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</si>
  <si>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</si>
  <si>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</si>
  <si>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</si>
  <si>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</si>
  <si>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</si>
  <si>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</si>
  <si>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</si>
  <si>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</si>
  <si>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</si>
  <si>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</si>
  <si>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</si>
  <si>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</si>
  <si>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</si>
  <si>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</si>
  <si>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</si>
  <si>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</si>
  <si>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</si>
  <si>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</si>
  <si>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</si>
  <si>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</si>
  <si>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</si>
  <si>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</si>
  <si>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</si>
  <si>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</si>
  <si>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</si>
  <si>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</si>
  <si>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</si>
  <si>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</si>
  <si>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</si>
  <si>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</si>
  <si>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</si>
  <si>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</si>
  <si>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</si>
  <si>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</si>
  <si>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</si>
  <si>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</si>
  <si>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</si>
  <si>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</si>
  <si>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</si>
  <si>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</si>
  <si>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</si>
  <si>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</si>
  <si>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</si>
  <si>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</si>
  <si>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</si>
  <si>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</si>
  <si>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</si>
  <si>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</si>
  <si>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</si>
  <si>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</si>
  <si>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</si>
  <si>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</si>
  <si>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</si>
  <si>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</si>
  <si>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</si>
  <si>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</si>
  <si>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</si>
  <si>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</si>
  <si>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</si>
  <si>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</si>
  <si>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</si>
  <si>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</si>
  <si>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</si>
  <si>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</si>
  <si>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</si>
  <si>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</si>
  <si>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</si>
  <si>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</si>
  <si>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</si>
  <si>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</si>
  <si>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</si>
  <si>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</si>
  <si>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</si>
  <si>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</si>
  <si>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</si>
  <si>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</si>
  <si>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</si>
  <si>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</si>
  <si>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</si>
  <si>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</si>
  <si>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</si>
  <si>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</si>
  <si>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</si>
  <si>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</si>
  <si>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</si>
  <si>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</si>
  <si>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</si>
  <si>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</si>
  <si>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</si>
  <si>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</si>
  <si>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</si>
  <si>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</si>
  <si>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</si>
  <si>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</si>
  <si>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</si>
  <si>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</si>
  <si>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</si>
  <si>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</si>
  <si>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</si>
  <si>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</si>
  <si>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</si>
  <si>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</si>
  <si>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</si>
  <si>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</si>
  <si>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</si>
  <si>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</si>
  <si>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</si>
  <si>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</si>
  <si>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</si>
  <si>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</si>
  <si>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</si>
  <si>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</si>
  <si>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</si>
  <si>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</si>
  <si>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</si>
  <si>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</si>
  <si>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</si>
  <si>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</si>
  <si>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</si>
  <si>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</si>
  <si>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</si>
  <si>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</si>
  <si>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</si>
  <si>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</si>
  <si>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</si>
  <si>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</si>
  <si>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</si>
  <si>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</si>
  <si>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</si>
  <si>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</si>
  <si>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</si>
  <si>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</si>
  <si>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</si>
  <si>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</si>
  <si>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</si>
  <si>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</si>
  <si>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</si>
  <si>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</si>
  <si>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</si>
  <si>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</si>
  <si>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</si>
  <si>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</si>
  <si>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</si>
  <si>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</si>
  <si>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</si>
  <si>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</si>
  <si>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</si>
  <si>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</si>
  <si>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</si>
  <si>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</si>
  <si>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</si>
  <si>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</si>
  <si>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</si>
  <si>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</si>
  <si>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</si>
  <si>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</si>
  <si>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</si>
  <si>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</si>
  <si>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</si>
  <si>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</si>
  <si>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</si>
  <si>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</si>
  <si>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</si>
  <si>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</si>
  <si>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</si>
  <si>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</si>
  <si>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</si>
  <si>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</si>
  <si>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</si>
  <si>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</si>
  <si>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</si>
  <si>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</si>
  <si>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</si>
  <si>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</si>
  <si>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</si>
  <si>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</si>
  <si>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</si>
  <si>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</si>
  <si>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</si>
  <si>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</si>
  <si>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</si>
  <si>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</si>
  <si>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</si>
  <si>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</si>
  <si>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</si>
  <si>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</si>
  <si>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</si>
  <si>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</si>
  <si>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</si>
  <si>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</si>
  <si>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</si>
  <si>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</si>
  <si>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</si>
  <si>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</si>
  <si>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</si>
  <si>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</si>
  <si>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</si>
  <si>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</si>
  <si>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</si>
  <si>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</si>
  <si>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</si>
  <si>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</si>
  <si>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</si>
  <si>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</si>
  <si>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</si>
  <si>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</si>
  <si>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</si>
  <si>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</si>
  <si>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</si>
  <si>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</si>
  <si>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</si>
  <si>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</si>
  <si>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</si>
  <si>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</si>
  <si>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</si>
  <si>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</si>
  <si>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</si>
  <si>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</si>
  <si>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</si>
  <si>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</si>
  <si>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</si>
  <si>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</si>
  <si>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</si>
  <si>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</si>
  <si>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</si>
  <si>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</si>
  <si>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</si>
  <si>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</si>
  <si>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</si>
  <si>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</si>
  <si>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</si>
  <si>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</si>
  <si>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</si>
  <si>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</si>
  <si>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</si>
  <si>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</si>
  <si>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</si>
  <si>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</si>
  <si>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</si>
  <si>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</si>
  <si>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</si>
  <si>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</si>
  <si>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</si>
  <si>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</si>
  <si>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</si>
  <si>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</si>
  <si>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</si>
  <si>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</si>
  <si>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</si>
  <si>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</si>
  <si>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</si>
  <si>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</si>
  <si>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</si>
  <si>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</si>
  <si>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</si>
  <si>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</si>
  <si>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</si>
  <si>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</si>
  <si>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</si>
  <si>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</si>
  <si>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</si>
  <si>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</si>
  <si>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</si>
  <si>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</si>
  <si>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</si>
  <si>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</si>
  <si>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</si>
  <si>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</si>
  <si>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</si>
  <si>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</si>
  <si>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</si>
  <si>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</si>
  <si>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</si>
  <si>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</si>
  <si>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</si>
  <si>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</si>
  <si>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</si>
  <si>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</si>
  <si>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</si>
  <si>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</si>
  <si>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</si>
  <si>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</si>
  <si>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</si>
  <si>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</si>
  <si>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</si>
  <si>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</si>
  <si>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</si>
  <si>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</si>
  <si>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</si>
  <si>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</si>
  <si>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</si>
  <si>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</si>
  <si>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</si>
  <si>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</si>
  <si>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</si>
  <si>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</si>
  <si>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</si>
  <si>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</si>
  <si>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</si>
  <si>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</si>
  <si>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</si>
  <si>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</si>
  <si>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</si>
  <si>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</si>
  <si>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</si>
  <si>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</si>
  <si>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</si>
  <si>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</si>
  <si>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</si>
  <si>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</si>
  <si>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</si>
  <si>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</si>
  <si>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</si>
  <si>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</si>
  <si>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</si>
  <si>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</si>
  <si>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</si>
  <si>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</si>
  <si>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</si>
  <si>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</si>
  <si>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</si>
  <si>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</si>
  <si>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</si>
  <si>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</si>
  <si>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</si>
  <si>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</si>
  <si>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</si>
  <si>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</si>
  <si>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</si>
  <si>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</si>
  <si>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</si>
  <si>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</si>
  <si>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</si>
  <si>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</si>
  <si>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</si>
  <si>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</si>
  <si>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</si>
  <si>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</si>
  <si>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</si>
  <si>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</si>
  <si>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</si>
  <si>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</si>
  <si>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</si>
  <si>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</si>
  <si>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</si>
  <si>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</si>
  <si>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</si>
  <si>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</si>
  <si>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</si>
  <si>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</si>
  <si>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</si>
  <si>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</si>
  <si>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</si>
  <si>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</si>
  <si>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</si>
  <si>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</si>
  <si>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</si>
  <si>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</si>
  <si>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</si>
  <si>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</si>
  <si>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</si>
  <si>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</si>
  <si>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</si>
  <si>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</si>
  <si>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</si>
  <si>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</si>
  <si>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</si>
  <si>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</si>
  <si>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</si>
  <si>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</si>
  <si>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</si>
  <si>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</si>
  <si>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</si>
  <si>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</si>
  <si>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</si>
  <si>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</si>
  <si>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</si>
  <si>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</si>
  <si>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</si>
  <si>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</si>
  <si>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</si>
  <si>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</si>
  <si>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</si>
  <si>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</si>
  <si>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</si>
  <si>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</si>
  <si>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</si>
  <si>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</si>
  <si>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</si>
  <si>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</si>
  <si>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</si>
  <si>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</si>
  <si>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</si>
  <si>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</si>
  <si>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</si>
  <si>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</si>
  <si>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</si>
  <si>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</si>
  <si>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</si>
  <si>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</si>
  <si>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</si>
  <si>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</si>
  <si>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</si>
  <si>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</si>
  <si>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</si>
  <si>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</si>
  <si>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</si>
  <si>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</si>
  <si>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</si>
  <si>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</si>
  <si>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</si>
  <si>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</si>
  <si>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</si>
  <si>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</si>
  <si>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</si>
  <si>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</si>
  <si>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</si>
  <si>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</si>
  <si>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</si>
  <si>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</si>
  <si>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</si>
  <si>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</si>
  <si>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</si>
  <si>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</si>
  <si>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</si>
  <si>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</si>
  <si>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</si>
  <si>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</si>
  <si>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</si>
  <si>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</si>
  <si>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</si>
  <si>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</si>
  <si>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</si>
  <si>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</si>
  <si>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</si>
  <si>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</si>
  <si>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</si>
  <si>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</si>
  <si>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</si>
  <si>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</si>
  <si>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</si>
  <si>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</si>
  <si>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</si>
  <si>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</si>
  <si>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</si>
  <si>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</si>
  <si>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</si>
  <si>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</si>
  <si>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</si>
  <si>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</si>
  <si>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</si>
  <si>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</si>
  <si>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</si>
  <si>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</si>
  <si>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</si>
  <si>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</si>
  <si>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</si>
  <si>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</si>
  <si>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</si>
  <si>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</si>
  <si>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</si>
  <si>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</si>
  <si>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</si>
  <si>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</si>
  <si>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</si>
  <si>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</si>
  <si>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</si>
  <si>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</si>
  <si>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</si>
  <si>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</si>
  <si>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</si>
  <si>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</si>
  <si>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</si>
  <si>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</si>
  <si>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</si>
  <si>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</si>
  <si>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</si>
  <si>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</si>
  <si>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</si>
  <si>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</si>
  <si>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</si>
  <si>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</si>
  <si>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</si>
  <si>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</si>
  <si>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</si>
  <si>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</si>
  <si>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</si>
  <si>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</si>
  <si>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</si>
  <si>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</si>
  <si>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</si>
  <si>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</si>
  <si>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</si>
  <si>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</si>
  <si>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</si>
  <si>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</si>
  <si>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</si>
  <si>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</si>
  <si>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</si>
  <si>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</si>
  <si>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</si>
  <si>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</si>
  <si>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</si>
  <si>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</si>
  <si>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</si>
  <si>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</si>
  <si>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</si>
  <si>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</si>
  <si>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</si>
  <si>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</si>
  <si>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</si>
  <si>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</si>
  <si>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</si>
  <si>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</si>
  <si>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</si>
  <si>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</si>
  <si>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</si>
  <si>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</si>
  <si>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</si>
  <si>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</si>
  <si>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</si>
  <si>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</si>
  <si>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</si>
  <si>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</si>
  <si>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</si>
  <si>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</si>
  <si>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</si>
  <si>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</si>
  <si>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</si>
  <si>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</si>
  <si>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</si>
  <si>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</si>
  <si>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</si>
  <si>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</si>
  <si>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</si>
  <si>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</si>
  <si>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</si>
  <si>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</si>
  <si>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</si>
  <si>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</si>
  <si>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</si>
  <si>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</si>
  <si>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</si>
  <si>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</si>
  <si>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</si>
  <si>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</si>
  <si>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</si>
  <si>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</si>
  <si>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</si>
  <si>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</si>
  <si>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</si>
  <si>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</si>
  <si>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</si>
  <si>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</si>
  <si>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</si>
  <si>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</si>
  <si>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</si>
  <si>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</si>
  <si>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</si>
  <si>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</si>
  <si>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</si>
  <si>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</si>
  <si>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</si>
  <si>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</si>
  <si>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</si>
  <si>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</si>
  <si>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</si>
  <si>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</si>
  <si>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</si>
  <si>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</si>
  <si>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</si>
  <si>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</si>
  <si>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</si>
  <si>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</si>
  <si>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</si>
  <si>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</si>
  <si>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</si>
  <si>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</si>
  <si>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</si>
  <si>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</si>
  <si>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</si>
  <si>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</si>
  <si>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</si>
  <si>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</si>
  <si>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</si>
  <si>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</si>
  <si>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</si>
  <si>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</si>
  <si>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</si>
  <si>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</si>
  <si>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</si>
  <si>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</si>
  <si>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</si>
  <si>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</si>
  <si>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</si>
  <si>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</si>
  <si>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</si>
  <si>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</si>
  <si>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</si>
  <si>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</si>
  <si>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</si>
  <si>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</si>
  <si>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</si>
  <si>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</si>
  <si>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</si>
  <si>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</si>
  <si>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</si>
  <si>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</si>
  <si>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</si>
  <si>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</si>
  <si>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</si>
  <si>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</si>
  <si>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</si>
  <si>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</si>
  <si>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</si>
  <si>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</si>
  <si>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</si>
  <si>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</si>
  <si>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</si>
  <si>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</si>
  <si>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</si>
  <si>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</si>
  <si>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</si>
  <si>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</si>
  <si>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</si>
  <si>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</si>
  <si>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</si>
  <si>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</si>
  <si>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</si>
  <si>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</si>
  <si>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</si>
  <si>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</si>
  <si>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</si>
  <si>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</si>
  <si>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</si>
  <si>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</si>
  <si>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</si>
  <si>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</si>
  <si>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</si>
  <si>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</si>
  <si>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</si>
  <si>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</si>
  <si>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</si>
  <si>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Cu concentrates with Au and Ag credits</t>
  </si>
  <si>
    <t>Ni-Cu bulk concentrates</t>
  </si>
  <si>
    <t>Au (Cu, Ag)</t>
  </si>
  <si>
    <t>Au-Ag dore, Cu concentrates</t>
  </si>
  <si>
    <t>Au-Ag dore</t>
  </si>
  <si>
    <t>Cu and Mo concentrates</t>
  </si>
  <si>
    <t>Cu and Zn concentrates with Ag credits</t>
  </si>
  <si>
    <t>Au-Ag dore, Cu and Zn concentrates</t>
  </si>
  <si>
    <t>Ag (Zn, Pb)</t>
  </si>
  <si>
    <t>Pb and Zn concentrates with Ag credits</t>
  </si>
  <si>
    <t>PGM bulk concentrate</t>
  </si>
  <si>
    <t>Cu-PGM concentrate and Ni-Cu concentrate</t>
  </si>
  <si>
    <t>Cu concentrates with Au credits</t>
  </si>
  <si>
    <t>Fe concentrate</t>
  </si>
  <si>
    <t>Nb concentrate</t>
  </si>
  <si>
    <t>Fe concentrate, Fe pellets</t>
  </si>
  <si>
    <t>U ore slurry</t>
  </si>
  <si>
    <t>U3O8 aka yellowcake</t>
  </si>
  <si>
    <t>Stream</t>
  </si>
  <si>
    <t>Au-Ag dore, Cu and Zn concentrate with Au-Ag credits</t>
  </si>
  <si>
    <t>For dore we assume 88% of Au, 10% of Si and 2% impurities</t>
  </si>
  <si>
    <t>% tailings</t>
  </si>
  <si>
    <t>U ore slurry (McArthur River), U3O8 (Key Lake mill) aka yellowcake</t>
  </si>
  <si>
    <t>Create_LCI?</t>
  </si>
  <si>
    <t>Hybrid free-miling-refactory</t>
  </si>
  <si>
    <t>dore_t_mass</t>
  </si>
  <si>
    <t>concentrate_t_mass</t>
  </si>
  <si>
    <t>tailings_t_mass</t>
  </si>
  <si>
    <t>Cu_conc</t>
  </si>
  <si>
    <t>Ni_conc</t>
  </si>
  <si>
    <t>Mo_conc</t>
  </si>
  <si>
    <t>Zn_conc</t>
  </si>
  <si>
    <t>Pb_conc</t>
  </si>
  <si>
    <t>Fe_conc</t>
  </si>
  <si>
    <t>Pt_conc</t>
  </si>
  <si>
    <t>Pd_conc</t>
  </si>
  <si>
    <t>U_conc</t>
  </si>
  <si>
    <t>Nb_conc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</si>
</sst>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rgb="FFFF0000"/>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57">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10" borderId="0" xfId="2" applyFont="1" applyFill="1"/>
    <xf numFmtId="9" fontId="4" fillId="10" borderId="0" xfId="2" applyFont="1" applyFill="1"/>
    <xf numFmtId="0" fontId="4" fillId="10" borderId="4" xfId="0" applyFont="1" applyFill="1" applyBorder="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I3" dT="2025-11-20T22:34:50.20" personId="{218E4635-0DBE-48FF-904B-A64F2717E97C}" id="{E7F5B2C4-0154-4799-A16A-456D1B04A18F}">
    <text>Water withdrawal only</text>
  </threadedComment>
  <threadedComment ref="O38" dT="2025-11-27T19:41:05.63" personId="{218E4635-0DBE-48FF-904B-A64F2717E97C}" id="{38A45787-AA35-4CB3-A759-723A5678C6EF}">
    <text>Cu-PGM sent to Glencore, Ni-Cu sent to Vale</text>
  </threadedComment>
  <threadedComment ref="T47" dT="2025-11-27T21:01:22.89" personId="{218E4635-0DBE-48FF-904B-A64F2717E97C}" id="{6E07C32C-7795-4EEA-96E2-52B1486CB85F}">
    <text>Comes from assumption for ore processed probably</text>
  </threadedComment>
  <threadedComment ref="I50"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29.7265625" bestFit="1" customWidth="1"/>
    <col min="9" max="9" width="36.81640625" bestFit="1" customWidth="1"/>
    <col min="10" max="10" width="20.7265625" bestFit="1" customWidth="1"/>
    <col min="11" max="11" width="12.54296875" customWidth="1"/>
    <col min="12" max="12" width="50.54296875" bestFit="1" customWidth="1"/>
    <col min="13" max="13" width="15.08984375" bestFit="1" customWidth="1"/>
    <col min="14" max="14" width="17.26953125" style="52" customWidth="1"/>
    <col min="15" max="15" width="20.26953125" style="52" customWidth="1"/>
    <col min="16" max="16" width="16.1796875" style="52" bestFit="1" customWidth="1"/>
    <col min="17" max="19" width="11.81640625" style="39" customWidth="1"/>
    <col min="20" max="20" width="8.36328125" style="39" bestFit="1" customWidth="1"/>
    <col min="21" max="21" width="8.36328125" style="39" customWidth="1"/>
    <col min="22" max="22" width="10.90625" style="39" bestFit="1" customWidth="1"/>
    <col min="23" max="23" width="12.36328125" style="39" bestFit="1" customWidth="1"/>
    <col min="24" max="24" width="11.36328125" style="39" bestFit="1" customWidth="1"/>
    <col min="25" max="25" width="14.36328125" style="39" bestFit="1" customWidth="1"/>
    <col min="26" max="26" width="9.90625" style="39" bestFit="1" customWidth="1"/>
    <col min="27" max="29" width="9.90625" style="39" customWidth="1"/>
    <col min="30" max="30" width="12" style="44" bestFit="1" customWidth="1"/>
    <col min="31" max="32" width="11.81640625" style="44" customWidth="1"/>
    <col min="33" max="33" width="11.54296875" style="44" bestFit="1" customWidth="1"/>
    <col min="34" max="34" width="11.81640625" style="44" bestFit="1" customWidth="1"/>
    <col min="35" max="35" width="12.54296875" style="44" bestFit="1" customWidth="1"/>
    <col min="36" max="36" width="11.7265625" style="44" bestFit="1" customWidth="1"/>
    <col min="37" max="37" width="11.81640625" style="44" bestFit="1" customWidth="1"/>
    <col min="38" max="38" width="11.7265625" style="44" bestFit="1" customWidth="1"/>
    <col min="39" max="39" width="11.453125" style="44" bestFit="1" customWidth="1"/>
    <col min="40" max="40" width="11.81640625" style="44" bestFit="1" customWidth="1"/>
    <col min="41" max="41" width="11" style="44" bestFit="1" customWidth="1"/>
    <col min="42" max="42" width="12.08984375" style="44" bestFit="1" customWidth="1"/>
    <col min="43" max="45" width="11" style="48" bestFit="1" customWidth="1"/>
    <col min="46" max="47" width="10.90625" style="48"/>
    <col min="48" max="50" width="11" style="48" bestFit="1" customWidth="1"/>
    <col min="51" max="51" width="11.36328125" style="48" bestFit="1" customWidth="1"/>
    <col min="52" max="52" width="11" style="48" bestFit="1" customWidth="1"/>
    <col min="53" max="54" width="11" style="48" customWidth="1"/>
    <col min="55" max="55" width="11.36328125" bestFit="1" customWidth="1"/>
    <col min="58" max="58" width="15.08984375" bestFit="1" customWidth="1"/>
  </cols>
  <sheetData>
    <row r="1" spans="1:58" x14ac:dyDescent="0.35">
      <c r="A1" s="18" t="s">
        <v>0</v>
      </c>
      <c r="B1" s="19" t="s">
        <v>1</v>
      </c>
      <c r="C1" s="19" t="s">
        <v>2</v>
      </c>
      <c r="D1" s="19" t="s">
        <v>3</v>
      </c>
      <c r="E1" s="19" t="s">
        <v>431</v>
      </c>
      <c r="F1" s="20" t="s">
        <v>432</v>
      </c>
      <c r="G1" s="18" t="s">
        <v>16</v>
      </c>
      <c r="H1" s="19" t="s">
        <v>1248</v>
      </c>
      <c r="I1" s="19" t="s">
        <v>1502</v>
      </c>
      <c r="J1" s="19" t="s">
        <v>1503</v>
      </c>
      <c r="K1" s="19" t="s">
        <v>1071</v>
      </c>
      <c r="L1" s="20" t="s">
        <v>17</v>
      </c>
      <c r="M1" s="1" t="s">
        <v>1160</v>
      </c>
      <c r="N1" s="49" t="s">
        <v>908</v>
      </c>
      <c r="O1" s="50" t="s">
        <v>1548</v>
      </c>
      <c r="P1" s="50" t="s">
        <v>1534</v>
      </c>
      <c r="Q1" s="35" t="s">
        <v>1010</v>
      </c>
      <c r="R1" s="35" t="s">
        <v>1011</v>
      </c>
      <c r="S1" s="35" t="s">
        <v>1012</v>
      </c>
      <c r="T1" s="35" t="s">
        <v>1013</v>
      </c>
      <c r="U1" s="35" t="s">
        <v>1189</v>
      </c>
      <c r="V1" s="35" t="s">
        <v>1016</v>
      </c>
      <c r="W1" s="35" t="s">
        <v>1017</v>
      </c>
      <c r="X1" s="35" t="s">
        <v>1018</v>
      </c>
      <c r="Y1" s="35" t="s">
        <v>1014</v>
      </c>
      <c r="Z1" s="35" t="s">
        <v>1015</v>
      </c>
      <c r="AA1" s="35" t="s">
        <v>1187</v>
      </c>
      <c r="AB1" s="35" t="s">
        <v>1466</v>
      </c>
      <c r="AC1" s="35" t="s">
        <v>1467</v>
      </c>
      <c r="AD1" s="40" t="s">
        <v>1535</v>
      </c>
      <c r="AE1" s="40" t="s">
        <v>1536</v>
      </c>
      <c r="AF1" s="40" t="s">
        <v>1537</v>
      </c>
      <c r="AG1" s="40" t="s">
        <v>1538</v>
      </c>
      <c r="AH1" s="40" t="s">
        <v>1539</v>
      </c>
      <c r="AI1" s="40" t="s">
        <v>1540</v>
      </c>
      <c r="AJ1" s="40" t="s">
        <v>1541</v>
      </c>
      <c r="AK1" s="40" t="s">
        <v>1542</v>
      </c>
      <c r="AL1" s="40" t="s">
        <v>1543</v>
      </c>
      <c r="AM1" s="40" t="s">
        <v>1544</v>
      </c>
      <c r="AN1" s="40" t="s">
        <v>1545</v>
      </c>
      <c r="AO1" s="40" t="s">
        <v>1546</v>
      </c>
      <c r="AP1" s="40" t="s">
        <v>1547</v>
      </c>
      <c r="AQ1" s="45" t="s">
        <v>1151</v>
      </c>
      <c r="AR1" s="45" t="s">
        <v>1152</v>
      </c>
      <c r="AS1" s="45" t="s">
        <v>1153</v>
      </c>
      <c r="AT1" s="45" t="s">
        <v>1154</v>
      </c>
      <c r="AU1" s="45" t="s">
        <v>1190</v>
      </c>
      <c r="AV1" s="45" t="s">
        <v>1155</v>
      </c>
      <c r="AW1" s="45" t="s">
        <v>1156</v>
      </c>
      <c r="AX1" s="45" t="s">
        <v>1157</v>
      </c>
      <c r="AY1" s="45" t="s">
        <v>1158</v>
      </c>
      <c r="AZ1" s="45" t="s">
        <v>1159</v>
      </c>
      <c r="BA1" s="45" t="s">
        <v>1468</v>
      </c>
      <c r="BB1" s="45" t="s">
        <v>1469</v>
      </c>
      <c r="BC1" s="19" t="s">
        <v>1166</v>
      </c>
      <c r="BD1" s="19" t="s">
        <v>1167</v>
      </c>
      <c r="BE1" s="20" t="s">
        <v>1174</v>
      </c>
      <c r="BF1" s="1" t="s">
        <v>1160</v>
      </c>
    </row>
    <row r="2" spans="1:58" x14ac:dyDescent="0.35">
      <c r="A2" s="21" t="s">
        <v>53</v>
      </c>
      <c r="B2" s="1"/>
      <c r="C2" t="s">
        <v>56</v>
      </c>
      <c r="D2" s="1"/>
      <c r="E2" t="s">
        <v>437</v>
      </c>
      <c r="F2" s="22" t="s">
        <v>436</v>
      </c>
      <c r="G2" s="21" t="s">
        <v>57</v>
      </c>
      <c r="H2" t="s">
        <v>1283</v>
      </c>
      <c r="I2" t="s">
        <v>1519</v>
      </c>
      <c r="L2" s="22" t="s">
        <v>49</v>
      </c>
      <c r="M2" s="1" t="s">
        <v>1161</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1161</v>
      </c>
    </row>
    <row r="3" spans="1:58" x14ac:dyDescent="0.35">
      <c r="A3" s="21" t="s">
        <v>60</v>
      </c>
      <c r="C3" t="s">
        <v>63</v>
      </c>
      <c r="E3" t="s">
        <v>440</v>
      </c>
      <c r="F3" s="22" t="s">
        <v>436</v>
      </c>
      <c r="G3" s="21" t="s">
        <v>64</v>
      </c>
      <c r="I3" t="s">
        <v>1512</v>
      </c>
      <c r="J3" t="s">
        <v>1509</v>
      </c>
      <c r="L3" s="22" t="s">
        <v>65</v>
      </c>
      <c r="M3" t="s">
        <v>998</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998</v>
      </c>
    </row>
    <row r="4" spans="1:58" x14ac:dyDescent="0.35">
      <c r="A4" s="21" t="s">
        <v>68</v>
      </c>
      <c r="C4" t="s">
        <v>70</v>
      </c>
      <c r="E4" t="s">
        <v>437</v>
      </c>
      <c r="F4" s="22" t="s">
        <v>541</v>
      </c>
      <c r="G4" s="21" t="s">
        <v>71</v>
      </c>
      <c r="L4" s="22" t="s">
        <v>1462</v>
      </c>
      <c r="M4" t="s">
        <v>1487</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1487</v>
      </c>
    </row>
    <row r="5" spans="1:58" x14ac:dyDescent="0.35">
      <c r="A5" s="21" t="s">
        <v>74</v>
      </c>
      <c r="C5" t="s">
        <v>77</v>
      </c>
      <c r="E5" t="s">
        <v>437</v>
      </c>
      <c r="F5" s="22" t="s">
        <v>436</v>
      </c>
      <c r="G5" s="21" t="s">
        <v>78</v>
      </c>
      <c r="H5" s="17" t="s">
        <v>1506</v>
      </c>
      <c r="I5" t="s">
        <v>1519</v>
      </c>
      <c r="J5" t="s">
        <v>1509</v>
      </c>
      <c r="L5" s="22" t="s">
        <v>65</v>
      </c>
      <c r="M5" t="s">
        <v>1168</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1168</v>
      </c>
    </row>
    <row r="6" spans="1:58" x14ac:dyDescent="0.35">
      <c r="A6" s="21" t="s">
        <v>82</v>
      </c>
      <c r="C6" t="s">
        <v>84</v>
      </c>
      <c r="E6" t="s">
        <v>443</v>
      </c>
      <c r="F6" s="22" t="s">
        <v>436</v>
      </c>
      <c r="G6" s="21" t="s">
        <v>78</v>
      </c>
      <c r="H6" t="s">
        <v>1497</v>
      </c>
      <c r="I6" t="s">
        <v>1519</v>
      </c>
      <c r="J6" t="s">
        <v>1509</v>
      </c>
      <c r="L6" s="22" t="s">
        <v>49</v>
      </c>
      <c r="M6" t="s">
        <v>1161</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1161</v>
      </c>
    </row>
    <row r="7" spans="1:58" x14ac:dyDescent="0.35">
      <c r="A7" s="21" t="s">
        <v>88</v>
      </c>
      <c r="C7" t="s">
        <v>90</v>
      </c>
      <c r="E7" t="s">
        <v>437</v>
      </c>
      <c r="F7" s="22" t="s">
        <v>436</v>
      </c>
      <c r="G7" s="21" t="s">
        <v>91</v>
      </c>
      <c r="H7" t="s">
        <v>1494</v>
      </c>
      <c r="I7" t="s">
        <v>1519</v>
      </c>
      <c r="J7" t="s">
        <v>1509</v>
      </c>
      <c r="L7" s="22" t="s">
        <v>65</v>
      </c>
      <c r="M7" t="s">
        <v>998</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998</v>
      </c>
    </row>
    <row r="8" spans="1:58" x14ac:dyDescent="0.35">
      <c r="A8" s="21" t="s">
        <v>96</v>
      </c>
      <c r="C8" t="s">
        <v>98</v>
      </c>
      <c r="E8" t="s">
        <v>454</v>
      </c>
      <c r="F8" s="22" t="s">
        <v>436</v>
      </c>
      <c r="G8" s="21" t="s">
        <v>99</v>
      </c>
      <c r="H8" t="s">
        <v>1505</v>
      </c>
      <c r="I8" t="s">
        <v>1519</v>
      </c>
      <c r="L8" s="22" t="s">
        <v>93</v>
      </c>
      <c r="M8" t="s">
        <v>1164</v>
      </c>
      <c r="N8" s="51">
        <f>prod_table_raw!N25</f>
        <v>43726.856187782003</v>
      </c>
      <c r="O8" s="52">
        <f t="shared" si="3"/>
        <v>0</v>
      </c>
      <c r="P8" s="52">
        <f t="shared" si="4"/>
        <v>43726.856187782003</v>
      </c>
      <c r="Q8" s="37"/>
      <c r="R8" s="37"/>
      <c r="S8" s="37"/>
      <c r="T8" s="37"/>
      <c r="U8" s="37"/>
      <c r="V8" s="37"/>
      <c r="W8" s="37"/>
      <c r="X8" s="37"/>
      <c r="Y8" s="37"/>
      <c r="Z8" s="37"/>
      <c r="AA8" s="37"/>
      <c r="AB8" s="37">
        <f>prod_table_raw!N26</f>
        <v>6849.2392</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f>AB8*Prices!$C$12</f>
        <v>1176.0143706399999</v>
      </c>
      <c r="BB8" s="46">
        <f>AC8*Prices!$C$14</f>
        <v>0</v>
      </c>
      <c r="BC8" s="26">
        <f t="shared" si="0"/>
        <v>0</v>
      </c>
      <c r="BD8" s="27" t="e">
        <f t="shared" si="1"/>
        <v>#DIV/0!</v>
      </c>
      <c r="BE8" s="28" t="e">
        <f t="shared" si="2"/>
        <v>#DIV/0!</v>
      </c>
      <c r="BF8" t="s">
        <v>1164</v>
      </c>
    </row>
    <row r="9" spans="1:58" x14ac:dyDescent="0.35">
      <c r="A9" s="21" t="s">
        <v>525</v>
      </c>
      <c r="B9" t="s">
        <v>404</v>
      </c>
      <c r="C9" t="s">
        <v>1463</v>
      </c>
      <c r="D9" t="s">
        <v>406</v>
      </c>
      <c r="E9" t="s">
        <v>438</v>
      </c>
      <c r="F9" s="22" t="s">
        <v>436</v>
      </c>
      <c r="G9" s="21" t="s">
        <v>99</v>
      </c>
      <c r="H9" t="s">
        <v>1549</v>
      </c>
      <c r="I9" t="s">
        <v>1520</v>
      </c>
      <c r="L9" s="22" t="s">
        <v>374</v>
      </c>
      <c r="M9" t="s">
        <v>1489</v>
      </c>
      <c r="N9" s="51">
        <f>prod_table_raw!N32</f>
        <v>748000</v>
      </c>
      <c r="O9" s="52">
        <f t="shared" si="3"/>
        <v>88353.75</v>
      </c>
      <c r="P9" s="52">
        <f t="shared" si="4"/>
        <v>659646.25</v>
      </c>
      <c r="Q9" s="37"/>
      <c r="R9" s="37"/>
      <c r="S9" s="37">
        <f>prod_table_raw!N31</f>
        <v>10098</v>
      </c>
      <c r="T9" s="37">
        <f>prod_table_raw!N30</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1489</v>
      </c>
    </row>
    <row r="10" spans="1:58" x14ac:dyDescent="0.35">
      <c r="A10" s="21" t="s">
        <v>527</v>
      </c>
      <c r="B10" t="s">
        <v>404</v>
      </c>
      <c r="C10" t="s">
        <v>1464</v>
      </c>
      <c r="D10" t="s">
        <v>406</v>
      </c>
      <c r="E10" t="s">
        <v>438</v>
      </c>
      <c r="F10" s="22" t="s">
        <v>541</v>
      </c>
      <c r="G10" s="21" t="s">
        <v>412</v>
      </c>
      <c r="H10" t="s">
        <v>1504</v>
      </c>
      <c r="I10" t="s">
        <v>1511</v>
      </c>
      <c r="L10" s="22" t="s">
        <v>552</v>
      </c>
      <c r="M10" t="s">
        <v>1489</v>
      </c>
      <c r="N10" s="51"/>
      <c r="O10" s="52">
        <f t="shared" si="3"/>
        <v>431750</v>
      </c>
      <c r="P10" s="52">
        <f t="shared" si="4"/>
        <v>-431750</v>
      </c>
      <c r="Q10" s="37"/>
      <c r="R10" s="37"/>
      <c r="S10" s="37">
        <f>prod_table_raw!N33</f>
        <v>57900</v>
      </c>
      <c r="T10" s="37">
        <f>prod_table_raw!N34</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1489</v>
      </c>
    </row>
    <row r="11" spans="1:58" x14ac:dyDescent="0.35">
      <c r="A11" s="21" t="s">
        <v>110</v>
      </c>
      <c r="C11" t="s">
        <v>113</v>
      </c>
      <c r="E11" t="s">
        <v>440</v>
      </c>
      <c r="F11" s="22" t="s">
        <v>436</v>
      </c>
      <c r="G11" s="21" t="s">
        <v>78</v>
      </c>
      <c r="H11" t="s">
        <v>1550</v>
      </c>
      <c r="I11" t="s">
        <v>1519</v>
      </c>
      <c r="J11" t="s">
        <v>1509</v>
      </c>
      <c r="L11" s="22" t="s">
        <v>114</v>
      </c>
      <c r="M11" t="s">
        <v>1169</v>
      </c>
      <c r="N11" s="51">
        <f>prod_table_raw!N38</f>
        <v>6862152</v>
      </c>
      <c r="O11" s="52">
        <f t="shared" si="3"/>
        <v>63500</v>
      </c>
      <c r="P11" s="52">
        <f t="shared" si="4"/>
        <v>6798652</v>
      </c>
      <c r="Q11" s="37">
        <f>prod_table_raw!N37</f>
        <v>0.27520376799999902</v>
      </c>
      <c r="R11" s="37">
        <f>prod_table_raw!N40</f>
        <v>6.7893341869999997</v>
      </c>
      <c r="S11" s="37">
        <f>prod_table_raw!N41</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1169</v>
      </c>
    </row>
    <row r="12" spans="1:58" x14ac:dyDescent="0.35">
      <c r="A12" s="21" t="s">
        <v>528</v>
      </c>
      <c r="B12" t="s">
        <v>404</v>
      </c>
      <c r="C12" t="s">
        <v>529</v>
      </c>
      <c r="D12" t="s">
        <v>406</v>
      </c>
      <c r="E12" t="s">
        <v>438</v>
      </c>
      <c r="F12" s="22" t="s">
        <v>436</v>
      </c>
      <c r="G12" s="21" t="s">
        <v>99</v>
      </c>
      <c r="H12" t="s">
        <v>1549</v>
      </c>
      <c r="I12" t="s">
        <v>1516</v>
      </c>
      <c r="L12" s="22" t="s">
        <v>374</v>
      </c>
      <c r="M12" t="s">
        <v>1489</v>
      </c>
      <c r="N12" s="51">
        <f>prod_table_raw!N46</f>
        <v>433000</v>
      </c>
      <c r="O12" s="52">
        <f t="shared" si="3"/>
        <v>102220</v>
      </c>
      <c r="P12" s="52">
        <f t="shared" si="4"/>
        <v>330780</v>
      </c>
      <c r="Q12" s="37"/>
      <c r="R12" s="37"/>
      <c r="S12" s="37">
        <f>prod_table_raw!N45</f>
        <v>9396</v>
      </c>
      <c r="T12" s="37">
        <f>prod_table_raw!N44</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1489</v>
      </c>
    </row>
    <row r="13" spans="1:58" x14ac:dyDescent="0.35">
      <c r="A13" s="21" t="s">
        <v>117</v>
      </c>
      <c r="C13" t="s">
        <v>118</v>
      </c>
      <c r="E13" t="s">
        <v>438</v>
      </c>
      <c r="F13" s="22" t="s">
        <v>436</v>
      </c>
      <c r="G13" s="21" t="s">
        <v>78</v>
      </c>
      <c r="H13" t="s">
        <v>1494</v>
      </c>
      <c r="I13" t="s">
        <v>1519</v>
      </c>
      <c r="J13" t="s">
        <v>1509</v>
      </c>
      <c r="L13" s="22" t="s">
        <v>116</v>
      </c>
      <c r="M13" t="s">
        <v>1168</v>
      </c>
      <c r="N13" s="51">
        <f>prod_table_raw!N50</f>
        <v>25434853.502416398</v>
      </c>
      <c r="O13" s="52">
        <f t="shared" si="3"/>
        <v>0</v>
      </c>
      <c r="P13" s="52">
        <f t="shared" si="4"/>
        <v>25434853.502416398</v>
      </c>
      <c r="Q13" s="37">
        <f>prod_table_raw!N51</f>
        <v>21.070941660999999</v>
      </c>
      <c r="R13" s="37">
        <f>prod_table_raw!N52</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1168</v>
      </c>
    </row>
    <row r="14" spans="1:58" x14ac:dyDescent="0.35">
      <c r="A14" s="21" t="s">
        <v>126</v>
      </c>
      <c r="C14" t="s">
        <v>129</v>
      </c>
      <c r="E14" t="s">
        <v>438</v>
      </c>
      <c r="F14" s="22" t="s">
        <v>436</v>
      </c>
      <c r="G14" s="21" t="s">
        <v>64</v>
      </c>
      <c r="H14" t="s">
        <v>1494</v>
      </c>
      <c r="I14" t="s">
        <v>1511</v>
      </c>
      <c r="J14" t="s">
        <v>1509</v>
      </c>
      <c r="L14" s="22" t="s">
        <v>116</v>
      </c>
      <c r="M14" t="s">
        <v>998</v>
      </c>
      <c r="N14" s="51">
        <f>prod_table_raw!N57</f>
        <v>222627</v>
      </c>
      <c r="O14" s="52">
        <f t="shared" si="3"/>
        <v>0</v>
      </c>
      <c r="P14" s="52">
        <f t="shared" si="4"/>
        <v>222627</v>
      </c>
      <c r="Q14" s="37">
        <f>prod_table_raw!N57</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998</v>
      </c>
    </row>
    <row r="15" spans="1:58" x14ac:dyDescent="0.35">
      <c r="A15" s="21" t="s">
        <v>136</v>
      </c>
      <c r="C15" t="s">
        <v>137</v>
      </c>
      <c r="E15" t="s">
        <v>437</v>
      </c>
      <c r="F15" s="22" t="s">
        <v>436</v>
      </c>
      <c r="G15" s="21" t="s">
        <v>64</v>
      </c>
      <c r="H15" t="s">
        <v>1494</v>
      </c>
      <c r="I15" t="s">
        <v>1511</v>
      </c>
      <c r="J15" t="s">
        <v>1510</v>
      </c>
      <c r="L15" s="22" t="s">
        <v>65</v>
      </c>
      <c r="M15" t="s">
        <v>1168</v>
      </c>
      <c r="N15" s="51">
        <f>prod_table_raw!N64</f>
        <v>1661000</v>
      </c>
      <c r="O15" s="52">
        <f t="shared" si="3"/>
        <v>0</v>
      </c>
      <c r="P15" s="52">
        <f t="shared" si="4"/>
        <v>1661000</v>
      </c>
      <c r="Q15" s="37">
        <f>prod_table_raw!N61</f>
        <v>7.2160120000000001</v>
      </c>
      <c r="R15" s="37">
        <f>prod_table_raw!N62</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1168</v>
      </c>
    </row>
    <row r="16" spans="1:58" x14ac:dyDescent="0.35">
      <c r="A16" s="21" t="s">
        <v>140</v>
      </c>
      <c r="C16" t="s">
        <v>143</v>
      </c>
      <c r="E16" t="s">
        <v>440</v>
      </c>
      <c r="F16" s="22" t="s">
        <v>436</v>
      </c>
      <c r="G16" s="21" t="s">
        <v>57</v>
      </c>
      <c r="H16" t="s">
        <v>1494</v>
      </c>
      <c r="I16" t="s">
        <v>1517</v>
      </c>
      <c r="L16" s="22" t="s">
        <v>116</v>
      </c>
      <c r="M16" t="s">
        <v>998</v>
      </c>
      <c r="N16" s="51">
        <f>prod_table_raw!N66</f>
        <v>33245</v>
      </c>
      <c r="O16" s="52">
        <f t="shared" si="3"/>
        <v>0</v>
      </c>
      <c r="P16" s="52">
        <f t="shared" si="4"/>
        <v>33245</v>
      </c>
      <c r="Q16" s="37">
        <f>prod_table_raw!N67</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998</v>
      </c>
    </row>
    <row r="17" spans="1:58" x14ac:dyDescent="0.35">
      <c r="A17" s="21" t="s">
        <v>157</v>
      </c>
      <c r="C17" t="s">
        <v>160</v>
      </c>
      <c r="E17" t="s">
        <v>438</v>
      </c>
      <c r="F17" s="22" t="s">
        <v>436</v>
      </c>
      <c r="G17" s="21" t="s">
        <v>91</v>
      </c>
      <c r="H17" t="s">
        <v>1494</v>
      </c>
      <c r="I17" t="s">
        <v>1516</v>
      </c>
      <c r="L17" s="22" t="s">
        <v>116</v>
      </c>
      <c r="M17" t="s">
        <v>998</v>
      </c>
      <c r="N17" s="51">
        <f>prod_table_raw!N72</f>
        <v>457000</v>
      </c>
      <c r="O17" s="52">
        <f t="shared" si="3"/>
        <v>0</v>
      </c>
      <c r="P17" s="52">
        <f t="shared" si="4"/>
        <v>457000</v>
      </c>
      <c r="Q17" s="37">
        <f>prod_table_raw!N73</f>
        <v>1.3809954</v>
      </c>
      <c r="R17" s="37">
        <f>prod_table_raw!N74</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998</v>
      </c>
    </row>
    <row r="18" spans="1:58" x14ac:dyDescent="0.35">
      <c r="A18" s="21" t="s">
        <v>162</v>
      </c>
      <c r="B18" t="s">
        <v>163</v>
      </c>
      <c r="C18" t="s">
        <v>164</v>
      </c>
      <c r="D18" t="s">
        <v>165</v>
      </c>
      <c r="E18" t="s">
        <v>438</v>
      </c>
      <c r="F18" s="22" t="s">
        <v>436</v>
      </c>
      <c r="G18" s="21" t="s">
        <v>99</v>
      </c>
      <c r="H18" t="s">
        <v>1549</v>
      </c>
      <c r="I18" t="s">
        <v>1517</v>
      </c>
      <c r="L18" s="22" t="s">
        <v>166</v>
      </c>
      <c r="M18" t="s">
        <v>1489</v>
      </c>
      <c r="N18" s="51">
        <f>prod_table_raw!N75</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1489</v>
      </c>
    </row>
    <row r="19" spans="1:58" x14ac:dyDescent="0.35">
      <c r="A19" s="21" t="s">
        <v>530</v>
      </c>
      <c r="B19" t="s">
        <v>404</v>
      </c>
      <c r="C19" t="s">
        <v>531</v>
      </c>
      <c r="D19" t="s">
        <v>406</v>
      </c>
      <c r="E19" t="s">
        <v>438</v>
      </c>
      <c r="F19" s="22" t="s">
        <v>436</v>
      </c>
      <c r="G19" s="21" t="s">
        <v>99</v>
      </c>
      <c r="H19" t="s">
        <v>1549</v>
      </c>
      <c r="I19" t="s">
        <v>1520</v>
      </c>
      <c r="L19" s="22" t="s">
        <v>374</v>
      </c>
      <c r="M19" t="s">
        <v>1489</v>
      </c>
      <c r="N19" s="51">
        <f>prod_table_raw!N78</f>
        <v>616000</v>
      </c>
      <c r="O19" s="52">
        <f t="shared" si="3"/>
        <v>74505.833333333343</v>
      </c>
      <c r="P19" s="52">
        <f t="shared" si="4"/>
        <v>541494.16666666663</v>
      </c>
      <c r="Q19" s="37"/>
      <c r="R19" s="37"/>
      <c r="S19" s="37">
        <f>prod_table_raw!N77</f>
        <v>7453</v>
      </c>
      <c r="T19" s="37">
        <f>prod_table_raw!N76</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1489</v>
      </c>
    </row>
    <row r="20" spans="1:58" x14ac:dyDescent="0.35">
      <c r="A20" s="21" t="s">
        <v>168</v>
      </c>
      <c r="C20" t="s">
        <v>171</v>
      </c>
      <c r="E20" t="s">
        <v>440</v>
      </c>
      <c r="F20" s="22" t="s">
        <v>436</v>
      </c>
      <c r="G20" s="21" t="s">
        <v>78</v>
      </c>
      <c r="H20" t="s">
        <v>1551</v>
      </c>
      <c r="I20" t="s">
        <v>1518</v>
      </c>
      <c r="J20" t="s">
        <v>1509</v>
      </c>
      <c r="L20" s="22" t="s">
        <v>172</v>
      </c>
      <c r="M20" t="s">
        <v>1170</v>
      </c>
      <c r="N20" s="51">
        <f>prod_table_raw!N82</f>
        <v>30000000</v>
      </c>
      <c r="O20" s="52">
        <f t="shared" si="3"/>
        <v>185367.93066666668</v>
      </c>
      <c r="P20" s="52">
        <f t="shared" si="4"/>
        <v>29814632.069333334</v>
      </c>
      <c r="Q20" s="37"/>
      <c r="R20" s="37"/>
      <c r="S20" s="37">
        <f>prod_table_raw!N84</f>
        <v>55610.379200000003</v>
      </c>
      <c r="T20" s="37"/>
      <c r="U20" s="37"/>
      <c r="V20" s="37">
        <f>prod_table_raw!N83</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1170</v>
      </c>
    </row>
    <row r="21" spans="1:58" x14ac:dyDescent="0.35">
      <c r="A21" s="21" t="s">
        <v>174</v>
      </c>
      <c r="C21" t="s">
        <v>175</v>
      </c>
      <c r="E21" t="s">
        <v>437</v>
      </c>
      <c r="F21" s="22" t="s">
        <v>436</v>
      </c>
      <c r="G21" s="21" t="s">
        <v>64</v>
      </c>
      <c r="H21" t="s">
        <v>1494</v>
      </c>
      <c r="I21" t="s">
        <v>1519</v>
      </c>
      <c r="J21" t="s">
        <v>1509</v>
      </c>
      <c r="L21" s="22" t="s">
        <v>65</v>
      </c>
      <c r="M21" t="s">
        <v>1555</v>
      </c>
      <c r="N21" s="51">
        <f>prod_table_raw!N88</f>
        <v>2886927.3287240001</v>
      </c>
      <c r="O21" s="52">
        <f t="shared" si="3"/>
        <v>130.12252666666666</v>
      </c>
      <c r="P21" s="52">
        <f t="shared" si="4"/>
        <v>2886797.2061973335</v>
      </c>
      <c r="Q21" s="37">
        <f>prod_table_raw!N89</f>
        <v>4.3850512759503602</v>
      </c>
      <c r="R21" s="37"/>
      <c r="S21" s="37">
        <f>prod_table_raw!N87</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1555</v>
      </c>
    </row>
    <row r="22" spans="1:58" x14ac:dyDescent="0.35">
      <c r="A22" s="21" t="s">
        <v>181</v>
      </c>
      <c r="C22" t="s">
        <v>184</v>
      </c>
      <c r="E22" t="s">
        <v>438</v>
      </c>
      <c r="F22" s="22" t="s">
        <v>436</v>
      </c>
      <c r="G22" s="21" t="s">
        <v>91</v>
      </c>
      <c r="I22" t="s">
        <v>1519</v>
      </c>
      <c r="J22" t="s">
        <v>1509</v>
      </c>
      <c r="L22" s="22" t="s">
        <v>116</v>
      </c>
      <c r="M22" t="s">
        <v>998</v>
      </c>
      <c r="N22" s="51">
        <f>prod_table_raw!N93</f>
        <v>1266009</v>
      </c>
      <c r="O22" s="52">
        <f t="shared" si="3"/>
        <v>0</v>
      </c>
      <c r="P22" s="52">
        <f t="shared" si="4"/>
        <v>1266009</v>
      </c>
      <c r="Q22" s="37">
        <f>prod_table_raw!N93</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998</v>
      </c>
    </row>
    <row r="23" spans="1:58" x14ac:dyDescent="0.35">
      <c r="A23" s="21" t="s">
        <v>187</v>
      </c>
      <c r="C23" t="s">
        <v>189</v>
      </c>
      <c r="E23" t="s">
        <v>440</v>
      </c>
      <c r="F23" s="22" t="s">
        <v>436</v>
      </c>
      <c r="G23" s="21" t="s">
        <v>78</v>
      </c>
      <c r="H23" t="s">
        <v>1551</v>
      </c>
      <c r="I23" t="s">
        <v>1518</v>
      </c>
      <c r="L23" s="22" t="s">
        <v>190</v>
      </c>
      <c r="M23" t="s">
        <v>1170</v>
      </c>
      <c r="N23" s="51">
        <f>prod_table_raw!N95</f>
        <v>215221530000</v>
      </c>
      <c r="O23" s="52">
        <f t="shared" si="3"/>
        <v>341333.33333333337</v>
      </c>
      <c r="P23" s="52">
        <f t="shared" si="4"/>
        <v>215221188666.66666</v>
      </c>
      <c r="Q23" s="37"/>
      <c r="R23" s="37"/>
      <c r="S23" s="37">
        <f>prod_table_raw!N97</f>
        <v>102400</v>
      </c>
      <c r="T23" s="37"/>
      <c r="U23" s="37"/>
      <c r="V23" s="37">
        <f>prod_table_raw!N96</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1170</v>
      </c>
    </row>
    <row r="24" spans="1:58" x14ac:dyDescent="0.35">
      <c r="A24" s="21" t="s">
        <v>495</v>
      </c>
      <c r="B24" t="s">
        <v>494</v>
      </c>
      <c r="C24" t="s">
        <v>496</v>
      </c>
      <c r="D24" t="s">
        <v>493</v>
      </c>
      <c r="E24" t="s">
        <v>437</v>
      </c>
      <c r="F24" s="22" t="s">
        <v>541</v>
      </c>
      <c r="G24" s="21" t="s">
        <v>29</v>
      </c>
      <c r="I24" t="s">
        <v>1511</v>
      </c>
      <c r="L24" s="22" t="s">
        <v>549</v>
      </c>
      <c r="M24" t="s">
        <v>995</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995</v>
      </c>
    </row>
    <row r="25" spans="1:58" x14ac:dyDescent="0.35">
      <c r="A25" s="21" t="s">
        <v>196</v>
      </c>
      <c r="C25" t="s">
        <v>199</v>
      </c>
      <c r="E25" t="s">
        <v>438</v>
      </c>
      <c r="F25" s="22" t="s">
        <v>436</v>
      </c>
      <c r="G25" s="21" t="s">
        <v>64</v>
      </c>
      <c r="H25" t="s">
        <v>1494</v>
      </c>
      <c r="I25" t="s">
        <v>1511</v>
      </c>
      <c r="J25" t="s">
        <v>1509</v>
      </c>
      <c r="L25" s="22" t="s">
        <v>116</v>
      </c>
      <c r="M25" t="s">
        <v>998</v>
      </c>
      <c r="N25" s="51">
        <f>prod_table_raw!N107</f>
        <v>439008</v>
      </c>
      <c r="O25" s="52">
        <f t="shared" si="3"/>
        <v>0</v>
      </c>
      <c r="P25" s="52">
        <f t="shared" si="4"/>
        <v>439008</v>
      </c>
      <c r="Q25" s="37">
        <f>prod_table_raw!N105</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998</v>
      </c>
    </row>
    <row r="26" spans="1:58" x14ac:dyDescent="0.35">
      <c r="A26" s="21" t="s">
        <v>201</v>
      </c>
      <c r="C26" t="s">
        <v>203</v>
      </c>
      <c r="E26" t="s">
        <v>441</v>
      </c>
      <c r="F26" s="22" t="s">
        <v>436</v>
      </c>
      <c r="G26" s="21" t="s">
        <v>64</v>
      </c>
      <c r="H26" t="s">
        <v>1507</v>
      </c>
      <c r="I26" s="11"/>
      <c r="J26" t="s">
        <v>1509</v>
      </c>
      <c r="L26" s="22" t="s">
        <v>204</v>
      </c>
      <c r="M26" t="s">
        <v>1171</v>
      </c>
      <c r="N26" s="51">
        <f>prod_table_raw!N112</f>
        <v>127307</v>
      </c>
      <c r="O26" s="52">
        <f t="shared" si="3"/>
        <v>0</v>
      </c>
      <c r="P26" s="52">
        <f t="shared" si="4"/>
        <v>127307</v>
      </c>
      <c r="Q26" s="37"/>
      <c r="R26" s="37">
        <f>prod_table_raw!N111</f>
        <v>46.735403719499999</v>
      </c>
      <c r="S26" s="37"/>
      <c r="T26" s="37"/>
      <c r="U26" s="37"/>
      <c r="V26" s="37"/>
      <c r="W26" s="37">
        <f>prod_table_raw!N114</f>
        <v>1339</v>
      </c>
      <c r="X26" s="37">
        <f>prod_table_raw!N113</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1171</v>
      </c>
    </row>
    <row r="27" spans="1:58" x14ac:dyDescent="0.35">
      <c r="A27" s="21"/>
      <c r="B27" t="s">
        <v>255</v>
      </c>
      <c r="C27" t="s">
        <v>257</v>
      </c>
      <c r="E27" t="s">
        <v>454</v>
      </c>
      <c r="F27" s="22" t="s">
        <v>436</v>
      </c>
      <c r="G27" s="21" t="s">
        <v>1465</v>
      </c>
      <c r="H27" t="s">
        <v>1505</v>
      </c>
      <c r="L27" s="22" t="s">
        <v>93</v>
      </c>
      <c r="M27" t="s">
        <v>1164</v>
      </c>
      <c r="N27" s="51">
        <f>prod_table_raw!N155</f>
        <v>98408.871032543204</v>
      </c>
      <c r="O27" s="52">
        <f t="shared" si="3"/>
        <v>0</v>
      </c>
      <c r="P27" s="52">
        <f t="shared" si="4"/>
        <v>98408.871032543204</v>
      </c>
      <c r="Q27" s="37"/>
      <c r="R27" s="37"/>
      <c r="S27" s="37"/>
      <c r="T27" s="37"/>
      <c r="U27" s="37"/>
      <c r="V27" s="37"/>
      <c r="W27" s="37"/>
      <c r="X27" s="37"/>
      <c r="Y27" s="37"/>
      <c r="Z27" s="37"/>
      <c r="AA27" s="37"/>
      <c r="AB27" s="37">
        <f>prod_table_raw!N154</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1164</v>
      </c>
    </row>
    <row r="28" spans="1:58" x14ac:dyDescent="0.35">
      <c r="A28" s="21" t="s">
        <v>206</v>
      </c>
      <c r="C28" t="s">
        <v>207</v>
      </c>
      <c r="E28" t="s">
        <v>438</v>
      </c>
      <c r="F28" s="22" t="s">
        <v>436</v>
      </c>
      <c r="G28" s="21" t="s">
        <v>64</v>
      </c>
      <c r="H28" t="s">
        <v>1552</v>
      </c>
      <c r="I28" t="s">
        <v>1520</v>
      </c>
      <c r="L28" s="22" t="s">
        <v>208</v>
      </c>
      <c r="M28" t="s">
        <v>1188</v>
      </c>
      <c r="N28" s="51">
        <f>prod_table_raw!N118</f>
        <v>1340000</v>
      </c>
      <c r="O28" s="52">
        <f t="shared" si="3"/>
        <v>75333.333333333343</v>
      </c>
      <c r="P28" s="52">
        <f t="shared" si="4"/>
        <v>1264666.6666666667</v>
      </c>
      <c r="Q28" s="37"/>
      <c r="R28" s="37">
        <f>prod_table_raw!N117</f>
        <v>42.860622999999997</v>
      </c>
      <c r="S28" s="37">
        <f>prod_table_raw!N115</f>
        <v>22600</v>
      </c>
      <c r="T28" s="37"/>
      <c r="U28" s="37"/>
      <c r="V28" s="37"/>
      <c r="W28" s="37">
        <f>prod_table_raw!N116</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1188</v>
      </c>
    </row>
    <row r="29" spans="1:58" x14ac:dyDescent="0.35">
      <c r="A29" s="21" t="s">
        <v>210</v>
      </c>
      <c r="C29" t="s">
        <v>211</v>
      </c>
      <c r="E29" t="s">
        <v>437</v>
      </c>
      <c r="F29" s="22" t="s">
        <v>436</v>
      </c>
      <c r="G29" s="21" t="s">
        <v>78</v>
      </c>
      <c r="H29" t="s">
        <v>1494</v>
      </c>
      <c r="I29" t="s">
        <v>1517</v>
      </c>
      <c r="J29" t="s">
        <v>1509</v>
      </c>
      <c r="L29" s="22" t="s">
        <v>65</v>
      </c>
      <c r="M29" t="s">
        <v>1168</v>
      </c>
      <c r="N29" s="51">
        <f>prod_table_raw!N122</f>
        <v>191148</v>
      </c>
      <c r="O29" s="52">
        <f t="shared" si="3"/>
        <v>0</v>
      </c>
      <c r="P29" s="52">
        <f t="shared" si="4"/>
        <v>191148</v>
      </c>
      <c r="Q29" s="37">
        <f>prod_table_raw!N121</f>
        <v>1.1053250795</v>
      </c>
      <c r="R29" s="37">
        <f>prod_table_raw!N123</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1168</v>
      </c>
    </row>
    <row r="30" spans="1:58" x14ac:dyDescent="0.35">
      <c r="A30" s="21" t="s">
        <v>216</v>
      </c>
      <c r="C30" t="s">
        <v>219</v>
      </c>
      <c r="E30" t="s">
        <v>438</v>
      </c>
      <c r="F30" s="22" t="s">
        <v>436</v>
      </c>
      <c r="G30" s="21" t="s">
        <v>91</v>
      </c>
      <c r="H30" s="17" t="s">
        <v>1496</v>
      </c>
      <c r="I30" t="s">
        <v>1513</v>
      </c>
      <c r="J30" t="s">
        <v>1509</v>
      </c>
      <c r="L30" s="22" t="s">
        <v>220</v>
      </c>
      <c r="M30" t="s">
        <v>1006</v>
      </c>
      <c r="N30" s="51">
        <f>prod_table_raw!N126</f>
        <v>3798000</v>
      </c>
      <c r="O30" s="52">
        <f t="shared" si="3"/>
        <v>0</v>
      </c>
      <c r="P30" s="52">
        <f t="shared" si="4"/>
        <v>3798000</v>
      </c>
      <c r="Q30" s="37">
        <f>prod_table_raw!N127</f>
        <v>0.59407684999999999</v>
      </c>
      <c r="R30" s="37"/>
      <c r="S30" s="37"/>
      <c r="T30" s="37"/>
      <c r="U30" s="37"/>
      <c r="V30" s="37"/>
      <c r="W30" s="37"/>
      <c r="X30" s="37"/>
      <c r="Y30" s="37"/>
      <c r="Z30" s="37">
        <f>prod_table_raw!N129</f>
        <v>0.67805629999999995</v>
      </c>
      <c r="AA30" s="37">
        <f>prod_table_raw!N128</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1006</v>
      </c>
    </row>
    <row r="31" spans="1:58" x14ac:dyDescent="0.35">
      <c r="A31" s="21" t="s">
        <v>228</v>
      </c>
      <c r="C31" t="s">
        <v>231</v>
      </c>
      <c r="E31" t="s">
        <v>437</v>
      </c>
      <c r="F31" s="22" t="s">
        <v>436</v>
      </c>
      <c r="G31" s="21" t="s">
        <v>64</v>
      </c>
      <c r="H31" t="s">
        <v>1494</v>
      </c>
      <c r="I31" t="s">
        <v>1517</v>
      </c>
      <c r="J31" t="s">
        <v>1509</v>
      </c>
      <c r="L31" s="22" t="s">
        <v>65</v>
      </c>
      <c r="M31" t="s">
        <v>1168</v>
      </c>
      <c r="N31" s="51">
        <f>prod_table_raw!N136</f>
        <v>838419</v>
      </c>
      <c r="O31" s="52">
        <f t="shared" si="3"/>
        <v>0</v>
      </c>
      <c r="P31" s="52">
        <f t="shared" si="4"/>
        <v>838419</v>
      </c>
      <c r="Q31" s="37">
        <f>prod_table_raw!N135</f>
        <v>5.5074656414999996</v>
      </c>
      <c r="R31" s="37">
        <f>prod_table_raw!N137</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1168</v>
      </c>
    </row>
    <row r="32" spans="1:58" x14ac:dyDescent="0.35">
      <c r="A32" s="21" t="s">
        <v>233</v>
      </c>
      <c r="C32" t="s">
        <v>234</v>
      </c>
      <c r="E32" t="s">
        <v>437</v>
      </c>
      <c r="F32" s="22" t="s">
        <v>436</v>
      </c>
      <c r="G32" s="21" t="s">
        <v>64</v>
      </c>
      <c r="H32" s="17" t="s">
        <v>1551</v>
      </c>
      <c r="I32" t="s">
        <v>1519</v>
      </c>
      <c r="J32" t="s">
        <v>1509</v>
      </c>
      <c r="L32" s="22" t="s">
        <v>235</v>
      </c>
      <c r="M32" t="s">
        <v>1172</v>
      </c>
      <c r="N32" s="51">
        <f>prod_table_raw!N141</f>
        <v>1501500</v>
      </c>
      <c r="O32" s="52">
        <f t="shared" si="3"/>
        <v>8593.2012500000001</v>
      </c>
      <c r="P32" s="52">
        <f t="shared" si="4"/>
        <v>1492906.7987500001</v>
      </c>
      <c r="Q32" s="37">
        <f>prod_table_raw!N140</f>
        <v>7.3401460684999904</v>
      </c>
      <c r="R32" s="37">
        <f>prod_table_raw!N137</f>
        <v>2.2666986659999999</v>
      </c>
      <c r="S32" s="37">
        <f>prod_table_raw!N139</f>
        <v>2577.9603750000001</v>
      </c>
      <c r="T32" s="37"/>
      <c r="U32" s="37"/>
      <c r="V32" s="37"/>
      <c r="W32" s="37">
        <f>prod_table_raw!N138</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1172</v>
      </c>
    </row>
    <row r="33" spans="1:58" x14ac:dyDescent="0.35">
      <c r="A33" s="21" t="s">
        <v>535</v>
      </c>
      <c r="C33" t="s">
        <v>536</v>
      </c>
      <c r="E33" t="s">
        <v>443</v>
      </c>
      <c r="F33" s="22" t="s">
        <v>541</v>
      </c>
      <c r="G33" s="21" t="s">
        <v>71</v>
      </c>
      <c r="H33" t="s">
        <v>1252</v>
      </c>
      <c r="I33" t="s">
        <v>1511</v>
      </c>
      <c r="L33" s="22" t="s">
        <v>327</v>
      </c>
      <c r="M33" t="s">
        <v>996</v>
      </c>
      <c r="N33" s="51"/>
      <c r="O33" s="52">
        <f t="shared" si="3"/>
        <v>173125</v>
      </c>
      <c r="P33" s="52">
        <f t="shared" si="4"/>
        <v>-173125</v>
      </c>
      <c r="Q33" s="37"/>
      <c r="R33" s="37"/>
      <c r="S33" s="37"/>
      <c r="T33" s="37">
        <f>prod_table_raw!N147</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996</v>
      </c>
    </row>
    <row r="34" spans="1:58" x14ac:dyDescent="0.35">
      <c r="A34" s="21" t="s">
        <v>240</v>
      </c>
      <c r="C34" t="s">
        <v>241</v>
      </c>
      <c r="E34" t="s">
        <v>438</v>
      </c>
      <c r="F34" s="22" t="s">
        <v>436</v>
      </c>
      <c r="G34" s="21" t="s">
        <v>64</v>
      </c>
      <c r="H34" s="17"/>
      <c r="I34" t="s">
        <v>1519</v>
      </c>
      <c r="J34" t="s">
        <v>1509</v>
      </c>
      <c r="L34" s="22" t="s">
        <v>65</v>
      </c>
      <c r="M34" t="s">
        <v>998</v>
      </c>
      <c r="N34" s="51">
        <f>prod_table_raw!N148</f>
        <v>441588</v>
      </c>
      <c r="O34" s="52">
        <f t="shared" si="3"/>
        <v>0</v>
      </c>
      <c r="P34" s="52">
        <f t="shared" si="4"/>
        <v>441588</v>
      </c>
      <c r="Q34" s="37">
        <f>prod_table_raw!N149</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998</v>
      </c>
    </row>
    <row r="35" spans="1:58" x14ac:dyDescent="0.35">
      <c r="A35" s="21" t="s">
        <v>244</v>
      </c>
      <c r="C35" t="s">
        <v>247</v>
      </c>
      <c r="E35" t="s">
        <v>438</v>
      </c>
      <c r="F35" s="22" t="s">
        <v>436</v>
      </c>
      <c r="G35" s="21" t="s">
        <v>78</v>
      </c>
      <c r="H35" t="s">
        <v>1494</v>
      </c>
      <c r="I35" t="s">
        <v>1520</v>
      </c>
      <c r="L35" s="22" t="s">
        <v>65</v>
      </c>
      <c r="M35" t="s">
        <v>998</v>
      </c>
      <c r="N35" s="51">
        <f>prod_table_raw!N152</f>
        <v>1165551</v>
      </c>
      <c r="O35" s="52">
        <f t="shared" si="3"/>
        <v>0</v>
      </c>
      <c r="P35" s="52">
        <f t="shared" si="4"/>
        <v>1165551</v>
      </c>
      <c r="Q35" s="37">
        <f>prod_table_raw!N150</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998</v>
      </c>
    </row>
    <row r="36" spans="1:58" x14ac:dyDescent="0.35">
      <c r="A36" s="21" t="s">
        <v>250</v>
      </c>
      <c r="C36" t="s">
        <v>252</v>
      </c>
      <c r="E36" t="s">
        <v>435</v>
      </c>
      <c r="F36" s="22" t="s">
        <v>436</v>
      </c>
      <c r="G36" s="21" t="s">
        <v>57</v>
      </c>
      <c r="H36" t="s">
        <v>1284</v>
      </c>
      <c r="I36" t="s">
        <v>1513</v>
      </c>
      <c r="L36" s="22" t="s">
        <v>150</v>
      </c>
      <c r="M36" t="s">
        <v>1164</v>
      </c>
      <c r="N36" s="51">
        <f>prod_table_raw!N153</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1164</v>
      </c>
    </row>
    <row r="37" spans="1:58" x14ac:dyDescent="0.35">
      <c r="A37" s="21" t="s">
        <v>262</v>
      </c>
      <c r="C37" t="s">
        <v>264</v>
      </c>
      <c r="E37" t="s">
        <v>454</v>
      </c>
      <c r="F37" s="22" t="s">
        <v>436</v>
      </c>
      <c r="G37" s="21" t="s">
        <v>265</v>
      </c>
      <c r="H37" t="s">
        <v>1505</v>
      </c>
      <c r="I37" t="s">
        <v>1519</v>
      </c>
      <c r="L37" s="22" t="s">
        <v>93</v>
      </c>
      <c r="M37" t="s">
        <v>1164</v>
      </c>
      <c r="N37" s="51"/>
      <c r="O37" s="52">
        <f t="shared" si="3"/>
        <v>0</v>
      </c>
      <c r="P37" s="52">
        <f t="shared" si="4"/>
        <v>0</v>
      </c>
      <c r="Q37" s="37"/>
      <c r="R37" s="37"/>
      <c r="S37" s="37"/>
      <c r="T37" s="37"/>
      <c r="U37" s="37"/>
      <c r="V37" s="37"/>
      <c r="W37" s="37"/>
      <c r="X37" s="37"/>
      <c r="Y37" s="37"/>
      <c r="Z37" s="37"/>
      <c r="AA37" s="37"/>
      <c r="AB37" s="37">
        <f>prod_table_raw!N156</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1164</v>
      </c>
    </row>
    <row r="38" spans="1:58" x14ac:dyDescent="0.35">
      <c r="A38" s="21" t="s">
        <v>268</v>
      </c>
      <c r="C38" t="s">
        <v>271</v>
      </c>
      <c r="E38" t="s">
        <v>438</v>
      </c>
      <c r="F38" s="22" t="s">
        <v>436</v>
      </c>
      <c r="G38" s="21" t="s">
        <v>99</v>
      </c>
      <c r="H38" t="s">
        <v>1496</v>
      </c>
      <c r="I38" t="s">
        <v>1520</v>
      </c>
      <c r="L38" s="22" t="s">
        <v>272</v>
      </c>
      <c r="M38" t="s">
        <v>1515</v>
      </c>
      <c r="N38" s="51">
        <f>prod_table_raw!N158</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1515</v>
      </c>
    </row>
    <row r="39" spans="1:58" x14ac:dyDescent="0.35">
      <c r="A39" s="21" t="s">
        <v>278</v>
      </c>
      <c r="C39" t="s">
        <v>279</v>
      </c>
      <c r="E39" t="s">
        <v>435</v>
      </c>
      <c r="F39" s="22" t="s">
        <v>436</v>
      </c>
      <c r="G39" s="21" t="s">
        <v>91</v>
      </c>
      <c r="H39" t="s">
        <v>1494</v>
      </c>
      <c r="I39" t="s">
        <v>1519</v>
      </c>
      <c r="J39" t="s">
        <v>1509</v>
      </c>
      <c r="L39" s="22" t="s">
        <v>116</v>
      </c>
      <c r="M39" t="s">
        <v>1168</v>
      </c>
      <c r="N39" s="51">
        <f>prod_table_raw!N164</f>
        <v>1918143</v>
      </c>
      <c r="O39" s="52">
        <f t="shared" si="3"/>
        <v>0</v>
      </c>
      <c r="P39" s="52">
        <f t="shared" si="4"/>
        <v>1918143</v>
      </c>
      <c r="Q39" s="37">
        <f>prod_table_raw!N165</f>
        <v>11.326059593499901</v>
      </c>
      <c r="R39" s="37">
        <f>prod_table_raw!N166</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1168</v>
      </c>
    </row>
    <row r="40" spans="1:58" x14ac:dyDescent="0.35">
      <c r="A40" s="21" t="s">
        <v>284</v>
      </c>
      <c r="C40" t="s">
        <v>287</v>
      </c>
      <c r="E40" t="s">
        <v>440</v>
      </c>
      <c r="F40" s="22" t="s">
        <v>436</v>
      </c>
      <c r="G40" s="21" t="s">
        <v>78</v>
      </c>
      <c r="H40" t="s">
        <v>1550</v>
      </c>
      <c r="I40" t="s">
        <v>1518</v>
      </c>
      <c r="J40" t="s">
        <v>1509</v>
      </c>
      <c r="L40" s="22" t="s">
        <v>114</v>
      </c>
      <c r="M40" t="s">
        <v>1173</v>
      </c>
      <c r="N40" s="51">
        <f>prod_table_raw!N176</f>
        <v>21680000</v>
      </c>
      <c r="O40" s="52">
        <f t="shared" si="3"/>
        <v>93533.694346666671</v>
      </c>
      <c r="P40" s="52">
        <f t="shared" si="4"/>
        <v>21586466.305653334</v>
      </c>
      <c r="Q40" s="37">
        <f>prod_table_raw!N174</f>
        <v>4.8021004684999999</v>
      </c>
      <c r="R40" s="37"/>
      <c r="S40" s="37">
        <f>prod_table_raw!N172</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1173</v>
      </c>
    </row>
    <row r="41" spans="1:58" x14ac:dyDescent="0.35">
      <c r="A41" s="21" t="s">
        <v>289</v>
      </c>
      <c r="C41" t="s">
        <v>292</v>
      </c>
      <c r="E41" t="s">
        <v>440</v>
      </c>
      <c r="F41" s="22" t="s">
        <v>436</v>
      </c>
      <c r="G41" s="21" t="s">
        <v>78</v>
      </c>
      <c r="H41" t="s">
        <v>1550</v>
      </c>
      <c r="I41" t="s">
        <v>1519</v>
      </c>
      <c r="L41" s="22" t="s">
        <v>293</v>
      </c>
      <c r="M41" t="s">
        <v>1173</v>
      </c>
      <c r="N41" s="51">
        <f>prod_table_raw!N180</f>
        <v>5948239</v>
      </c>
      <c r="O41" s="52">
        <f t="shared" si="3"/>
        <v>45578.436133333336</v>
      </c>
      <c r="P41" s="52">
        <f t="shared" si="4"/>
        <v>5902660.5638666665</v>
      </c>
      <c r="Q41" s="37">
        <f>prod_table_raw!N179</f>
        <v>1.301183819</v>
      </c>
      <c r="R41" s="37"/>
      <c r="S41" s="37">
        <f>prod_table_raw!N181</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1173</v>
      </c>
    </row>
    <row r="42" spans="1:58" x14ac:dyDescent="0.35">
      <c r="A42" s="21" t="s">
        <v>295</v>
      </c>
      <c r="C42" t="s">
        <v>296</v>
      </c>
      <c r="E42" t="s">
        <v>438</v>
      </c>
      <c r="F42" s="22" t="s">
        <v>436</v>
      </c>
      <c r="G42" s="21" t="s">
        <v>64</v>
      </c>
      <c r="H42" t="s">
        <v>1494</v>
      </c>
      <c r="I42" t="s">
        <v>1519</v>
      </c>
      <c r="J42" t="s">
        <v>1510</v>
      </c>
      <c r="L42" s="22" t="s">
        <v>65</v>
      </c>
      <c r="M42" t="s">
        <v>998</v>
      </c>
      <c r="N42" s="51">
        <f>prod_table_raw!N184</f>
        <v>1028000</v>
      </c>
      <c r="O42" s="52">
        <f t="shared" si="3"/>
        <v>0</v>
      </c>
      <c r="P42" s="52">
        <f t="shared" si="4"/>
        <v>1028000</v>
      </c>
      <c r="Q42" s="37">
        <f>prod_table_raw!N185</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998</v>
      </c>
    </row>
    <row r="43" spans="1:58" x14ac:dyDescent="0.35">
      <c r="A43" s="21" t="s">
        <v>298</v>
      </c>
      <c r="C43" t="s">
        <v>301</v>
      </c>
      <c r="E43" t="s">
        <v>440</v>
      </c>
      <c r="F43" s="22" t="s">
        <v>436</v>
      </c>
      <c r="G43" s="21" t="s">
        <v>64</v>
      </c>
      <c r="H43" t="s">
        <v>1550</v>
      </c>
      <c r="I43" t="s">
        <v>1518</v>
      </c>
      <c r="J43" t="s">
        <v>1510</v>
      </c>
      <c r="L43" s="22" t="s">
        <v>293</v>
      </c>
      <c r="M43" t="s">
        <v>1173</v>
      </c>
      <c r="N43" s="51">
        <f>prod_table_raw!N190</f>
        <v>3065000</v>
      </c>
      <c r="O43" s="52">
        <f t="shared" si="3"/>
        <v>71667.536000000007</v>
      </c>
      <c r="P43" s="52">
        <f t="shared" si="4"/>
        <v>2993332.4640000002</v>
      </c>
      <c r="Q43" s="37">
        <f>prod_table_raw!N188</f>
        <v>2.0974023155000001</v>
      </c>
      <c r="R43" s="37"/>
      <c r="S43" s="37">
        <f>prod_table_raw!N191</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1173</v>
      </c>
    </row>
    <row r="44" spans="1:58" x14ac:dyDescent="0.35">
      <c r="A44" s="21" t="s">
        <v>306</v>
      </c>
      <c r="B44" t="s">
        <v>163</v>
      </c>
      <c r="C44" t="s">
        <v>307</v>
      </c>
      <c r="D44" t="s">
        <v>165</v>
      </c>
      <c r="E44" t="s">
        <v>438</v>
      </c>
      <c r="F44" s="22" t="s">
        <v>436</v>
      </c>
      <c r="G44" s="21" t="s">
        <v>99</v>
      </c>
      <c r="H44" t="s">
        <v>1549</v>
      </c>
      <c r="I44" t="s">
        <v>1520</v>
      </c>
      <c r="L44" s="22" t="s">
        <v>308</v>
      </c>
      <c r="M44" t="s">
        <v>1489</v>
      </c>
      <c r="N44" s="51">
        <f>prod_table_raw!N195</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1489</v>
      </c>
    </row>
    <row r="45" spans="1:58" x14ac:dyDescent="0.35">
      <c r="A45" s="21" t="s">
        <v>312</v>
      </c>
      <c r="C45" t="s">
        <v>314</v>
      </c>
      <c r="E45" t="s">
        <v>437</v>
      </c>
      <c r="F45" s="22" t="s">
        <v>436</v>
      </c>
      <c r="G45" s="21" t="s">
        <v>64</v>
      </c>
      <c r="H45" s="11"/>
      <c r="I45" t="s">
        <v>1519</v>
      </c>
      <c r="L45" s="22" t="s">
        <v>310</v>
      </c>
      <c r="M45" t="s">
        <v>1488</v>
      </c>
      <c r="N45" s="51">
        <f>prod_table_raw!N196</f>
        <v>2200000</v>
      </c>
      <c r="O45" s="52">
        <f t="shared" si="3"/>
        <v>0</v>
      </c>
      <c r="P45" s="52">
        <f t="shared" si="4"/>
        <v>2200000</v>
      </c>
      <c r="Q45" s="37"/>
      <c r="R45" s="37"/>
      <c r="S45" s="37"/>
      <c r="T45" s="37"/>
      <c r="U45" s="37"/>
      <c r="V45" s="37"/>
      <c r="W45" s="37"/>
      <c r="X45" s="37"/>
      <c r="Y45" s="37"/>
      <c r="Z45" s="37"/>
      <c r="AA45" s="37"/>
      <c r="AB45" s="37"/>
      <c r="AC45" s="37">
        <f>prod_table_raw!N197</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1488</v>
      </c>
    </row>
    <row r="46" spans="1:58" x14ac:dyDescent="0.35">
      <c r="A46" s="21" t="s">
        <v>317</v>
      </c>
      <c r="C46" t="s">
        <v>319</v>
      </c>
      <c r="E46" t="s">
        <v>437</v>
      </c>
      <c r="F46" s="22" t="s">
        <v>541</v>
      </c>
      <c r="G46" s="21" t="s">
        <v>1492</v>
      </c>
      <c r="H46" s="11"/>
      <c r="L46" s="22" t="s">
        <v>316</v>
      </c>
      <c r="M46" t="s">
        <v>1488</v>
      </c>
      <c r="N46" s="51"/>
      <c r="O46" s="52">
        <f t="shared" si="3"/>
        <v>0</v>
      </c>
      <c r="P46" s="52">
        <f t="shared" si="4"/>
        <v>0</v>
      </c>
      <c r="Q46" s="37"/>
      <c r="R46" s="37"/>
      <c r="S46" s="37"/>
      <c r="T46" s="37"/>
      <c r="U46" s="37"/>
      <c r="V46" s="37"/>
      <c r="W46" s="37"/>
      <c r="X46" s="37"/>
      <c r="Y46" s="37"/>
      <c r="Z46" s="37"/>
      <c r="AA46" s="37"/>
      <c r="AB46" s="37"/>
      <c r="AC46" s="37">
        <f>prod_table_raw!N198</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1488</v>
      </c>
    </row>
    <row r="47" spans="1:58" x14ac:dyDescent="0.35">
      <c r="A47" s="21" t="s">
        <v>329</v>
      </c>
      <c r="C47" t="s">
        <v>331</v>
      </c>
      <c r="E47" t="s">
        <v>437</v>
      </c>
      <c r="F47" s="22" t="s">
        <v>436</v>
      </c>
      <c r="G47" s="21" t="s">
        <v>91</v>
      </c>
      <c r="H47" t="s">
        <v>1549</v>
      </c>
      <c r="I47" t="s">
        <v>1513</v>
      </c>
      <c r="L47" s="22" t="s">
        <v>332</v>
      </c>
      <c r="M47" t="s">
        <v>1489</v>
      </c>
      <c r="N47" s="51">
        <f>prod_table_raw!N203</f>
        <v>1082352.9411764699</v>
      </c>
      <c r="O47" s="52">
        <f t="shared" si="3"/>
        <v>499545</v>
      </c>
      <c r="P47" s="52">
        <f t="shared" si="4"/>
        <v>582807.9411764699</v>
      </c>
      <c r="Q47" s="37"/>
      <c r="R47" s="37"/>
      <c r="S47" s="37">
        <f>prod_table_raw!N201</f>
        <v>40926</v>
      </c>
      <c r="T47" s="37">
        <f>prod_table_raw!N202</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1489</v>
      </c>
    </row>
    <row r="48" spans="1:58" x14ac:dyDescent="0.35">
      <c r="A48" s="21" t="s">
        <v>334</v>
      </c>
      <c r="C48" t="s">
        <v>335</v>
      </c>
      <c r="E48" t="s">
        <v>437</v>
      </c>
      <c r="F48" s="22" t="s">
        <v>436</v>
      </c>
      <c r="G48" s="21" t="s">
        <v>64</v>
      </c>
      <c r="H48" t="s">
        <v>1549</v>
      </c>
      <c r="I48" t="s">
        <v>1519</v>
      </c>
      <c r="L48" s="22" t="s">
        <v>336</v>
      </c>
      <c r="M48" t="s">
        <v>1491</v>
      </c>
      <c r="N48" s="51">
        <f>prod_table_raw!N208</f>
        <v>1500000</v>
      </c>
      <c r="O48" s="52">
        <f t="shared" si="3"/>
        <v>169743.33333333334</v>
      </c>
      <c r="P48" s="52">
        <f t="shared" si="4"/>
        <v>1330256.6666666667</v>
      </c>
      <c r="Q48" s="37"/>
      <c r="R48" s="37"/>
      <c r="S48" s="37">
        <f>prod_table_raw!N204</f>
        <v>5488</v>
      </c>
      <c r="T48" s="37">
        <f>prod_table_raw!N205</f>
        <v>24232</v>
      </c>
      <c r="U48" s="37">
        <f>prod_table_raw!N206</f>
        <v>498</v>
      </c>
      <c r="V48" s="37"/>
      <c r="W48" s="37"/>
      <c r="X48" s="37"/>
      <c r="Y48" s="37"/>
      <c r="Z48" s="37">
        <f>prod_table_raw!N207</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1491</v>
      </c>
    </row>
    <row r="49" spans="1:58" x14ac:dyDescent="0.35">
      <c r="A49" s="21" t="s">
        <v>338</v>
      </c>
      <c r="C49" t="s">
        <v>339</v>
      </c>
      <c r="E49" t="s">
        <v>438</v>
      </c>
      <c r="F49" s="22" t="s">
        <v>436</v>
      </c>
      <c r="G49" s="21" t="s">
        <v>91</v>
      </c>
      <c r="H49" t="s">
        <v>1494</v>
      </c>
      <c r="I49" t="s">
        <v>1519</v>
      </c>
      <c r="J49" t="s">
        <v>1510</v>
      </c>
      <c r="L49" s="22" t="s">
        <v>65</v>
      </c>
      <c r="M49" t="s">
        <v>998</v>
      </c>
      <c r="N49" s="51">
        <f>prod_table_raw!N212</f>
        <v>8764000</v>
      </c>
      <c r="O49" s="52">
        <f t="shared" si="3"/>
        <v>0</v>
      </c>
      <c r="P49" s="52">
        <f t="shared" si="4"/>
        <v>8764000</v>
      </c>
      <c r="Q49" s="37">
        <f>prod_table_raw!N213</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998</v>
      </c>
    </row>
    <row r="50" spans="1:58" x14ac:dyDescent="0.35">
      <c r="A50" s="21" t="s">
        <v>341</v>
      </c>
      <c r="C50" t="s">
        <v>342</v>
      </c>
      <c r="E50" t="s">
        <v>440</v>
      </c>
      <c r="F50" s="22" t="s">
        <v>436</v>
      </c>
      <c r="G50" s="21" t="s">
        <v>78</v>
      </c>
      <c r="H50" s="17" t="s">
        <v>1506</v>
      </c>
      <c r="I50" t="s">
        <v>1518</v>
      </c>
      <c r="J50" t="s">
        <v>1509</v>
      </c>
      <c r="L50" s="22" t="s">
        <v>293</v>
      </c>
      <c r="M50" t="s">
        <v>1173</v>
      </c>
      <c r="N50" s="51">
        <f>prod_table_raw!N216</f>
        <v>1139000</v>
      </c>
      <c r="O50" s="52">
        <f t="shared" si="3"/>
        <v>12095.786666666667</v>
      </c>
      <c r="P50" s="52">
        <f t="shared" si="4"/>
        <v>1126904.2133333334</v>
      </c>
      <c r="Q50" s="37">
        <f>prod_table_raw!N215</f>
        <v>0.1555175</v>
      </c>
      <c r="R50" s="37"/>
      <c r="S50" s="37">
        <f>prod_table_raw!N218</f>
        <v>3628.7359999999999</v>
      </c>
      <c r="T50" s="37"/>
      <c r="U50" s="37"/>
      <c r="V50" s="37"/>
      <c r="W50" s="37"/>
      <c r="X50" s="37"/>
      <c r="Y50" s="37"/>
      <c r="Z50" s="37"/>
      <c r="AA50" s="37"/>
      <c r="AB50" s="37"/>
      <c r="AC50" s="37"/>
      <c r="AD50" s="42"/>
      <c r="AE50" s="42"/>
      <c r="AF50" s="41">
        <f>S50/(concentrate_grade!$F$4/100)</f>
        <v>12095.786666666667</v>
      </c>
      <c r="AG50" s="41">
        <f>T50/(concentrate_grade!$F$6/100)</f>
        <v>0</v>
      </c>
      <c r="AH50" s="42"/>
      <c r="AI50" s="42"/>
      <c r="AJ50" s="42"/>
      <c r="AK50" s="42"/>
      <c r="AL50" s="42"/>
      <c r="AM50" s="42"/>
      <c r="AN50" s="42"/>
      <c r="AO50" s="42"/>
      <c r="AP50" s="42"/>
      <c r="AQ50" s="46">
        <f>Q50*Prices!$C$4</f>
        <v>8054.7388723625008</v>
      </c>
      <c r="AR50" s="46">
        <f>R50*Prices!$C$11</f>
        <v>0</v>
      </c>
      <c r="AS50" s="46">
        <f>S50*Prices!$C$3</f>
        <v>25038.278399999999</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33093.0172723625</v>
      </c>
      <c r="BD50" s="27">
        <f t="shared" si="1"/>
        <v>0.24339693192888107</v>
      </c>
      <c r="BE50" s="28">
        <f t="shared" si="2"/>
        <v>0.75660306807111888</v>
      </c>
      <c r="BF50" t="s">
        <v>1173</v>
      </c>
    </row>
    <row r="51" spans="1:58" x14ac:dyDescent="0.35">
      <c r="A51" s="21" t="s">
        <v>344</v>
      </c>
      <c r="C51" t="s">
        <v>347</v>
      </c>
      <c r="E51" t="s">
        <v>438</v>
      </c>
      <c r="F51" s="22" t="s">
        <v>436</v>
      </c>
      <c r="G51" s="21" t="s">
        <v>64</v>
      </c>
      <c r="H51" s="17" t="s">
        <v>1506</v>
      </c>
      <c r="I51" t="s">
        <v>1519</v>
      </c>
      <c r="J51" t="s">
        <v>1509</v>
      </c>
      <c r="L51" s="22" t="s">
        <v>65</v>
      </c>
      <c r="M51" t="s">
        <v>998</v>
      </c>
      <c r="N51" s="51">
        <f>prod_table_raw!N223</f>
        <v>841000</v>
      </c>
      <c r="O51" s="52">
        <f t="shared" si="3"/>
        <v>0</v>
      </c>
      <c r="P51" s="52">
        <f t="shared" si="4"/>
        <v>841000</v>
      </c>
      <c r="Q51" s="37">
        <f>prod_table_raw!N224</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998</v>
      </c>
    </row>
    <row r="52" spans="1:58" x14ac:dyDescent="0.35">
      <c r="A52" s="21" t="s">
        <v>358</v>
      </c>
      <c r="C52" t="s">
        <v>360</v>
      </c>
      <c r="E52" t="s">
        <v>443</v>
      </c>
      <c r="F52" s="22" t="s">
        <v>436</v>
      </c>
      <c r="G52" s="21" t="s">
        <v>78</v>
      </c>
      <c r="H52" t="s">
        <v>1500</v>
      </c>
      <c r="I52" t="s">
        <v>1519</v>
      </c>
      <c r="J52" t="s">
        <v>1509</v>
      </c>
      <c r="L52" s="22" t="s">
        <v>49</v>
      </c>
      <c r="M52" t="s">
        <v>1161</v>
      </c>
      <c r="N52" s="51">
        <f>prod_table_raw!N227</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1161</v>
      </c>
    </row>
    <row r="53" spans="1:58" x14ac:dyDescent="0.35">
      <c r="A53" s="21" t="s">
        <v>372</v>
      </c>
      <c r="B53" t="s">
        <v>163</v>
      </c>
      <c r="C53" t="s">
        <v>373</v>
      </c>
      <c r="D53" t="s">
        <v>165</v>
      </c>
      <c r="E53" t="s">
        <v>438</v>
      </c>
      <c r="F53" s="22" t="s">
        <v>436</v>
      </c>
      <c r="G53" s="21" t="s">
        <v>265</v>
      </c>
      <c r="H53" t="s">
        <v>1549</v>
      </c>
      <c r="I53" t="s">
        <v>1519</v>
      </c>
      <c r="L53" s="22" t="s">
        <v>374</v>
      </c>
      <c r="M53" t="s">
        <v>1489</v>
      </c>
      <c r="N53" s="51">
        <f>prod_table_raw!N240</f>
        <v>1025997</v>
      </c>
      <c r="O53" s="52">
        <f t="shared" si="3"/>
        <v>70909.166666666672</v>
      </c>
      <c r="P53" s="52">
        <f t="shared" si="4"/>
        <v>955087.83333333337</v>
      </c>
      <c r="Q53" s="37"/>
      <c r="R53" s="37"/>
      <c r="S53" s="37">
        <f>prod_table_raw!N238</f>
        <v>7154</v>
      </c>
      <c r="T53" s="37">
        <f>prod_table_raw!N239</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1489</v>
      </c>
    </row>
    <row r="54" spans="1:58" x14ac:dyDescent="0.35">
      <c r="A54" s="21" t="s">
        <v>377</v>
      </c>
      <c r="B54" t="s">
        <v>163</v>
      </c>
      <c r="C54" t="s">
        <v>378</v>
      </c>
      <c r="D54" t="s">
        <v>165</v>
      </c>
      <c r="E54" t="s">
        <v>438</v>
      </c>
      <c r="F54" s="22" t="s">
        <v>541</v>
      </c>
      <c r="G54" s="21" t="s">
        <v>379</v>
      </c>
      <c r="H54" t="s">
        <v>1253</v>
      </c>
      <c r="I54" t="s">
        <v>1511</v>
      </c>
      <c r="L54" s="22" t="s">
        <v>380</v>
      </c>
      <c r="M54" t="s">
        <v>1489</v>
      </c>
      <c r="N54" s="51"/>
      <c r="O54" s="52">
        <f t="shared" si="3"/>
        <v>434802.08333333331</v>
      </c>
      <c r="P54" s="52">
        <f t="shared" si="4"/>
        <v>-434802.08333333331</v>
      </c>
      <c r="Q54" s="37"/>
      <c r="R54" s="37"/>
      <c r="S54" s="37">
        <f>prod_table_raw!N242</f>
        <v>13720</v>
      </c>
      <c r="T54" s="37">
        <f>prod_table_raw!N241</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1489</v>
      </c>
    </row>
    <row r="55" spans="1:58" x14ac:dyDescent="0.35">
      <c r="A55" s="21" t="s">
        <v>382</v>
      </c>
      <c r="C55" t="s">
        <v>385</v>
      </c>
      <c r="E55" t="s">
        <v>438</v>
      </c>
      <c r="F55" s="22" t="s">
        <v>436</v>
      </c>
      <c r="G55" s="21" t="s">
        <v>64</v>
      </c>
      <c r="H55" s="11"/>
      <c r="L55" s="22" t="s">
        <v>116</v>
      </c>
      <c r="M55" t="s">
        <v>998</v>
      </c>
      <c r="N55" s="51">
        <f>prod_table_raw!N245</f>
        <v>234671</v>
      </c>
      <c r="O55" s="52">
        <f t="shared" si="3"/>
        <v>0</v>
      </c>
      <c r="P55" s="52">
        <f t="shared" si="4"/>
        <v>234671</v>
      </c>
      <c r="Q55" s="37">
        <f>prod_table_raw!N246</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998</v>
      </c>
    </row>
    <row r="56" spans="1:58" x14ac:dyDescent="0.35">
      <c r="A56" s="21" t="s">
        <v>388</v>
      </c>
      <c r="C56" t="s">
        <v>391</v>
      </c>
      <c r="E56" t="s">
        <v>539</v>
      </c>
      <c r="F56" s="22" t="s">
        <v>541</v>
      </c>
      <c r="G56" s="21" t="s">
        <v>71</v>
      </c>
      <c r="H56" t="s">
        <v>1254</v>
      </c>
      <c r="I56" t="s">
        <v>1511</v>
      </c>
      <c r="L56" s="22" t="s">
        <v>392</v>
      </c>
      <c r="M56" t="s">
        <v>1490</v>
      </c>
      <c r="N56" s="51"/>
      <c r="O56" s="52">
        <f t="shared" si="3"/>
        <v>201675</v>
      </c>
      <c r="P56" s="52">
        <f t="shared" si="4"/>
        <v>-201675</v>
      </c>
      <c r="Q56" s="37"/>
      <c r="R56" s="37"/>
      <c r="S56" s="37"/>
      <c r="T56" s="37">
        <f>prod_table_raw!N248</f>
        <v>32268</v>
      </c>
      <c r="U56" s="37">
        <f>prod_table_raw!N247</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1490</v>
      </c>
    </row>
    <row r="57" spans="1:58" x14ac:dyDescent="0.35">
      <c r="A57" s="21" t="s">
        <v>394</v>
      </c>
      <c r="C57" t="s">
        <v>396</v>
      </c>
      <c r="E57" t="s">
        <v>442</v>
      </c>
      <c r="F57" s="22" t="s">
        <v>436</v>
      </c>
      <c r="G57" s="21" t="s">
        <v>91</v>
      </c>
      <c r="H57" t="s">
        <v>1549</v>
      </c>
      <c r="I57" t="s">
        <v>1521</v>
      </c>
      <c r="L57" s="22" t="s">
        <v>397</v>
      </c>
      <c r="M57" t="s">
        <v>1489</v>
      </c>
      <c r="N57" s="51">
        <f>prod_table_raw!N251</f>
        <v>464705.88235294097</v>
      </c>
      <c r="O57" s="52">
        <f t="shared" si="3"/>
        <v>65041.666666666672</v>
      </c>
      <c r="P57" s="52">
        <f t="shared" si="4"/>
        <v>399664.21568627428</v>
      </c>
      <c r="Q57" s="37"/>
      <c r="R57" s="37"/>
      <c r="S57" s="37">
        <f>prod_table_raw!N249</f>
        <v>4700</v>
      </c>
      <c r="T57" s="37">
        <f>prod_table_raw!N250</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1489</v>
      </c>
    </row>
    <row r="58" spans="1:58" x14ac:dyDescent="0.35">
      <c r="A58" s="21" t="s">
        <v>534</v>
      </c>
      <c r="B58" t="s">
        <v>404</v>
      </c>
      <c r="C58" t="s">
        <v>405</v>
      </c>
      <c r="D58" t="s">
        <v>406</v>
      </c>
      <c r="E58" t="s">
        <v>438</v>
      </c>
      <c r="F58" s="22" t="s">
        <v>436</v>
      </c>
      <c r="G58" s="21" t="s">
        <v>99</v>
      </c>
      <c r="H58" t="s">
        <v>1549</v>
      </c>
      <c r="I58" t="s">
        <v>1514</v>
      </c>
      <c r="L58" s="22" t="s">
        <v>407</v>
      </c>
      <c r="M58" t="s">
        <v>1489</v>
      </c>
      <c r="N58" s="51">
        <f>prod_table_raw!N260</f>
        <v>414000</v>
      </c>
      <c r="O58" s="52">
        <f t="shared" si="3"/>
        <v>65530.833333333336</v>
      </c>
      <c r="P58" s="52">
        <f t="shared" si="4"/>
        <v>348469.16666666669</v>
      </c>
      <c r="Q58" s="37"/>
      <c r="R58" s="37"/>
      <c r="S58" s="37">
        <f>prod_table_raw!N259</f>
        <v>7783</v>
      </c>
      <c r="T58" s="37">
        <f>prod_table_raw!N258</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1489</v>
      </c>
    </row>
    <row r="59" spans="1:58" x14ac:dyDescent="0.35">
      <c r="A59" s="21" t="s">
        <v>410</v>
      </c>
      <c r="C59" t="s">
        <v>411</v>
      </c>
      <c r="E59" t="s">
        <v>440</v>
      </c>
      <c r="F59" s="22" t="s">
        <v>541</v>
      </c>
      <c r="G59" s="21" t="s">
        <v>71</v>
      </c>
      <c r="H59" t="s">
        <v>1508</v>
      </c>
      <c r="I59" t="s">
        <v>1512</v>
      </c>
      <c r="L59" s="22" t="s">
        <v>413</v>
      </c>
      <c r="M59" t="s">
        <v>1487</v>
      </c>
      <c r="N59" s="51"/>
      <c r="O59" s="52">
        <f t="shared" si="3"/>
        <v>0</v>
      </c>
      <c r="P59" s="52">
        <f t="shared" si="4"/>
        <v>0</v>
      </c>
      <c r="Q59" s="37"/>
      <c r="R59" s="37"/>
      <c r="S59" s="37"/>
      <c r="T59" s="37"/>
      <c r="U59" s="37"/>
      <c r="V59" s="37"/>
      <c r="W59" s="37">
        <f>prod_table_raw!N263</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1487</v>
      </c>
    </row>
    <row r="60" spans="1:58" x14ac:dyDescent="0.35">
      <c r="A60" s="21" t="s">
        <v>420</v>
      </c>
      <c r="C60" t="s">
        <v>421</v>
      </c>
      <c r="E60" t="s">
        <v>443</v>
      </c>
      <c r="F60" s="22" t="s">
        <v>436</v>
      </c>
      <c r="G60" s="21" t="s">
        <v>91</v>
      </c>
      <c r="H60" t="s">
        <v>1549</v>
      </c>
      <c r="I60" t="s">
        <v>1519</v>
      </c>
      <c r="L60" s="22" t="s">
        <v>422</v>
      </c>
      <c r="M60" t="s">
        <v>1489</v>
      </c>
      <c r="N60" s="51">
        <f>prod_table_raw!N269</f>
        <v>794117.64705882303</v>
      </c>
      <c r="O60" s="52">
        <f t="shared" si="3"/>
        <v>116375</v>
      </c>
      <c r="P60" s="52">
        <f t="shared" si="4"/>
        <v>677742.64705882303</v>
      </c>
      <c r="Q60" s="37"/>
      <c r="R60" s="37"/>
      <c r="S60" s="37">
        <f>prod_table_raw!N267</f>
        <v>9600</v>
      </c>
      <c r="T60" s="37">
        <f>prod_table_raw!N268</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1489</v>
      </c>
    </row>
    <row r="61" spans="1:58" x14ac:dyDescent="0.35">
      <c r="A61" s="21" t="s">
        <v>424</v>
      </c>
      <c r="C61" t="s">
        <v>427</v>
      </c>
      <c r="E61" t="s">
        <v>437</v>
      </c>
      <c r="F61" s="22" t="s">
        <v>436</v>
      </c>
      <c r="G61" s="21" t="s">
        <v>64</v>
      </c>
      <c r="H61" t="s">
        <v>1494</v>
      </c>
      <c r="I61" t="s">
        <v>1521</v>
      </c>
      <c r="J61" t="s">
        <v>1510</v>
      </c>
      <c r="L61" s="22" t="s">
        <v>65</v>
      </c>
      <c r="M61" t="s">
        <v>1168</v>
      </c>
      <c r="N61" s="51">
        <f>prod_table_raw!N272</f>
        <v>1034000</v>
      </c>
      <c r="O61" s="52">
        <f t="shared" si="3"/>
        <v>0</v>
      </c>
      <c r="P61" s="52">
        <f t="shared" si="4"/>
        <v>1034000</v>
      </c>
      <c r="Q61" s="37">
        <f>prod_table_raw!N274</f>
        <v>2.8926254999999998</v>
      </c>
      <c r="R61" s="37">
        <f>prod_table_raw!N275</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1168</v>
      </c>
    </row>
    <row r="62" spans="1:58" x14ac:dyDescent="0.35">
      <c r="A62" s="21" t="s">
        <v>429</v>
      </c>
      <c r="C62" t="s">
        <v>430</v>
      </c>
      <c r="E62" t="s">
        <v>438</v>
      </c>
      <c r="F62" s="22" t="s">
        <v>436</v>
      </c>
      <c r="G62" s="21" t="s">
        <v>64</v>
      </c>
      <c r="H62" t="s">
        <v>1494</v>
      </c>
      <c r="I62" t="s">
        <v>1519</v>
      </c>
      <c r="J62" t="s">
        <v>1509</v>
      </c>
      <c r="L62" s="22" t="s">
        <v>116</v>
      </c>
      <c r="M62" t="s">
        <v>998</v>
      </c>
      <c r="N62" s="51">
        <f>prod_table_raw!N278</f>
        <v>2878047</v>
      </c>
      <c r="O62" s="52">
        <f t="shared" si="3"/>
        <v>0</v>
      </c>
      <c r="P62" s="52">
        <f t="shared" si="4"/>
        <v>2878047</v>
      </c>
      <c r="Q62" s="37">
        <f>prod_table_raw!N276</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998</v>
      </c>
    </row>
    <row r="63" spans="1:58" x14ac:dyDescent="0.35">
      <c r="A63" s="21"/>
      <c r="B63" t="s">
        <v>274</v>
      </c>
      <c r="D63" t="s">
        <v>276</v>
      </c>
      <c r="E63" t="s">
        <v>435</v>
      </c>
      <c r="F63" s="22" t="s">
        <v>436</v>
      </c>
      <c r="G63" s="21" t="s">
        <v>325</v>
      </c>
      <c r="H63" t="s">
        <v>1494</v>
      </c>
      <c r="I63" t="s">
        <v>1519</v>
      </c>
      <c r="J63" t="s">
        <v>1509</v>
      </c>
      <c r="L63" s="22" t="s">
        <v>116</v>
      </c>
      <c r="M63" t="s">
        <v>1168</v>
      </c>
      <c r="N63" s="51">
        <f>prod_table_raw!N161</f>
        <v>3842649.0057279998</v>
      </c>
      <c r="O63" s="52">
        <f t="shared" si="3"/>
        <v>0</v>
      </c>
      <c r="P63" s="52">
        <f t="shared" si="4"/>
        <v>3842649.0057279998</v>
      </c>
      <c r="Q63" s="37">
        <f>prod_table_raw!N162</f>
        <v>13.426311830047601</v>
      </c>
      <c r="R63" s="37">
        <f>prod_table_raw!N163</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1168</v>
      </c>
    </row>
    <row r="64" spans="1:58" x14ac:dyDescent="0.35">
      <c r="A64" s="21"/>
      <c r="B64" t="s">
        <v>192</v>
      </c>
      <c r="D64" t="s">
        <v>194</v>
      </c>
      <c r="E64" t="s">
        <v>438</v>
      </c>
      <c r="F64" s="22" t="s">
        <v>436</v>
      </c>
      <c r="G64" s="21" t="s">
        <v>325</v>
      </c>
      <c r="H64" t="s">
        <v>1494</v>
      </c>
      <c r="I64" t="s">
        <v>1519</v>
      </c>
      <c r="J64" t="s">
        <v>1510</v>
      </c>
      <c r="L64" s="22" t="s">
        <v>116</v>
      </c>
      <c r="M64" t="s">
        <v>998</v>
      </c>
      <c r="N64" s="51">
        <f>prod_table_raw!N103</f>
        <v>2911000</v>
      </c>
      <c r="O64" s="52">
        <f t="shared" si="3"/>
        <v>0</v>
      </c>
      <c r="P64" s="52">
        <f t="shared" si="4"/>
        <v>2911000</v>
      </c>
      <c r="Q64" s="37">
        <f>prod_table_raw!N102</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998</v>
      </c>
    </row>
    <row r="65" spans="1:58" x14ac:dyDescent="0.35">
      <c r="A65" s="21"/>
      <c r="B65" t="s">
        <v>399</v>
      </c>
      <c r="D65" t="s">
        <v>403</v>
      </c>
      <c r="E65" t="s">
        <v>438</v>
      </c>
      <c r="F65" s="22" t="s">
        <v>436</v>
      </c>
      <c r="G65" s="21" t="s">
        <v>64</v>
      </c>
      <c r="H65" t="s">
        <v>1494</v>
      </c>
      <c r="I65" t="s">
        <v>1519</v>
      </c>
      <c r="J65" t="s">
        <v>1509</v>
      </c>
      <c r="L65" s="22" t="s">
        <v>116</v>
      </c>
      <c r="M65" t="s">
        <v>998</v>
      </c>
      <c r="N65" s="51">
        <f>prod_table_raw!N255</f>
        <v>1574000</v>
      </c>
      <c r="O65" s="52">
        <f t="shared" si="3"/>
        <v>0</v>
      </c>
      <c r="P65" s="52">
        <f t="shared" si="4"/>
        <v>1574000</v>
      </c>
      <c r="Q65" s="37">
        <f>prod_table_raw!N232</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998</v>
      </c>
    </row>
    <row r="66" spans="1:58" x14ac:dyDescent="0.35">
      <c r="A66" s="21"/>
      <c r="B66" t="s">
        <v>362</v>
      </c>
      <c r="D66" t="s">
        <v>366</v>
      </c>
      <c r="E66" t="s">
        <v>454</v>
      </c>
      <c r="F66" s="22" t="s">
        <v>436</v>
      </c>
      <c r="G66" s="21" t="s">
        <v>64</v>
      </c>
      <c r="H66" t="s">
        <v>1494</v>
      </c>
      <c r="I66" t="s">
        <v>1519</v>
      </c>
      <c r="J66" t="s">
        <v>1509</v>
      </c>
      <c r="L66" s="22" t="s">
        <v>116</v>
      </c>
      <c r="M66" t="s">
        <v>998</v>
      </c>
      <c r="N66" s="51">
        <f>prod_table_raw!N230</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998</v>
      </c>
    </row>
    <row r="67" spans="1:58" ht="15" thickBot="1" x14ac:dyDescent="0.4">
      <c r="A67" s="23"/>
      <c r="B67" s="24" t="s">
        <v>223</v>
      </c>
      <c r="C67" s="24"/>
      <c r="D67" s="24" t="s">
        <v>225</v>
      </c>
      <c r="E67" s="24" t="s">
        <v>442</v>
      </c>
      <c r="F67" s="25" t="s">
        <v>436</v>
      </c>
      <c r="G67" s="23" t="s">
        <v>64</v>
      </c>
      <c r="H67" s="24" t="s">
        <v>1494</v>
      </c>
      <c r="I67" s="24" t="s">
        <v>1520</v>
      </c>
      <c r="J67" s="24" t="s">
        <v>1509</v>
      </c>
      <c r="K67" s="24"/>
      <c r="L67" s="25" t="s">
        <v>226</v>
      </c>
      <c r="M67" t="s">
        <v>1172</v>
      </c>
      <c r="N67" s="53">
        <f>prod_table_raw!N194+prod_table_raw!N132</f>
        <v>2123641</v>
      </c>
      <c r="O67" s="52">
        <f t="shared" ref="O67" si="8">SUM(AD67:AP67)</f>
        <v>40513.333333333336</v>
      </c>
      <c r="P67" s="52">
        <f t="shared" ref="P67" si="9">N67-O67</f>
        <v>2083127.6666666667</v>
      </c>
      <c r="Q67" s="38">
        <f>prod_table_raw!N233</f>
        <v>5.8276450705</v>
      </c>
      <c r="R67" s="38">
        <f>prod_table_raw!N234</f>
        <v>26.4915663305</v>
      </c>
      <c r="S67" s="38">
        <f>prod_table_raw!N236</f>
        <v>12154</v>
      </c>
      <c r="T67" s="38"/>
      <c r="U67" s="38"/>
      <c r="V67" s="38"/>
      <c r="W67" s="38">
        <f>prod_table_raw!N235</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1172</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265625" defaultRowHeight="14.5" x14ac:dyDescent="0.35"/>
  <cols>
    <col min="1" max="1" width="16.6328125" bestFit="1" customWidth="1"/>
    <col min="2" max="2" width="50.54296875" bestFit="1" customWidth="1"/>
  </cols>
  <sheetData>
    <row r="1" spans="1:3" x14ac:dyDescent="0.35">
      <c r="A1" t="s">
        <v>984</v>
      </c>
    </row>
    <row r="2" spans="1:3" x14ac:dyDescent="0.35">
      <c r="A2" t="s">
        <v>985</v>
      </c>
    </row>
    <row r="3" spans="1:3" x14ac:dyDescent="0.35">
      <c r="A3" t="s">
        <v>986</v>
      </c>
    </row>
    <row r="4" spans="1:3" x14ac:dyDescent="0.35">
      <c r="A4" t="s">
        <v>987</v>
      </c>
    </row>
    <row r="7" spans="1:3" x14ac:dyDescent="0.35">
      <c r="A7" s="1" t="s">
        <v>988</v>
      </c>
      <c r="B7" s="1" t="s">
        <v>989</v>
      </c>
      <c r="C7" s="1" t="s">
        <v>990</v>
      </c>
    </row>
    <row r="8" spans="1:3" x14ac:dyDescent="0.35">
      <c r="A8" t="s">
        <v>991</v>
      </c>
      <c r="B8" t="s">
        <v>1019</v>
      </c>
      <c r="C8" t="s">
        <v>1021</v>
      </c>
    </row>
    <row r="9" spans="1:3" x14ac:dyDescent="0.35">
      <c r="A9" t="s">
        <v>992</v>
      </c>
      <c r="B9" t="s">
        <v>1020</v>
      </c>
      <c r="C9" t="s">
        <v>1021</v>
      </c>
    </row>
    <row r="10" spans="1:3" x14ac:dyDescent="0.35">
      <c r="A10" t="s">
        <v>993</v>
      </c>
    </row>
    <row r="11" spans="1:3" x14ac:dyDescent="0.35">
      <c r="A11" t="s">
        <v>1022</v>
      </c>
      <c r="B11" t="s">
        <v>1023</v>
      </c>
    </row>
    <row r="15" spans="1:3" x14ac:dyDescent="0.35">
      <c r="A15" t="s">
        <v>1573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sheetPr filterMode="1"/>
  <dimension ref="A1:R126"/>
  <sheetViews>
    <sheetView workbookViewId="0">
      <pane xSplit="5" topLeftCell="Q1" activePane="topRight" state="frozen"/>
      <selection pane="topRight" activeCell="V6" sqref="V6"/>
    </sheetView>
  </sheetViews>
  <sheetFormatPr baseColWidth="10" defaultRowHeight="14.5" x14ac:dyDescent="0.35"/>
  <cols>
    <col min="2" max="2" width="17.81640625" bestFit="1" customWidth="1"/>
    <col min="3" max="3" width="17.453125" bestFit="1" customWidth="1"/>
    <col min="4" max="4" width="29.7265625" bestFit="1" customWidth="1"/>
    <col min="5" max="5" width="32.26953125" bestFit="1" customWidth="1"/>
    <col min="6" max="6" width="32.26953125" customWidth="1"/>
    <col min="7" max="7" width="25.36328125" bestFit="1" customWidth="1"/>
    <col min="8" max="8" width="13.7265625" customWidth="1"/>
    <col min="9" max="9" width="32.81640625" bestFit="1" customWidth="1"/>
    <col min="10" max="10" width="44.453125" bestFit="1" customWidth="1"/>
    <col min="11" max="11" width="67.90625" bestFit="1" customWidth="1"/>
    <col min="12" max="12" width="21.6328125" customWidth="1"/>
    <col min="13" max="13" width="41" customWidth="1"/>
    <col min="14" max="14" width="118.453125" bestFit="1" customWidth="1"/>
    <col min="15" max="15" width="13.7265625" customWidth="1"/>
    <col min="16" max="16" width="105.08984375" customWidth="1"/>
    <col min="17" max="17" width="76.1796875" bestFit="1" customWidth="1"/>
    <col min="18" max="18" width="11.26953125" bestFit="1" customWidth="1"/>
  </cols>
  <sheetData>
    <row r="1" spans="1:18" s="1" customFormat="1" x14ac:dyDescent="0.35">
      <c r="A1" s="1" t="s">
        <v>578</v>
      </c>
      <c r="B1" s="1" t="s">
        <v>0</v>
      </c>
      <c r="C1" s="1" t="s">
        <v>1</v>
      </c>
      <c r="D1" s="1" t="s">
        <v>2</v>
      </c>
      <c r="E1" s="1" t="s">
        <v>3</v>
      </c>
      <c r="G1" s="1" t="s">
        <v>431</v>
      </c>
      <c r="H1" s="1" t="s">
        <v>432</v>
      </c>
      <c r="I1" s="1" t="s">
        <v>16</v>
      </c>
      <c r="J1" s="1" t="s">
        <v>17</v>
      </c>
      <c r="K1" s="1" t="s">
        <v>558</v>
      </c>
      <c r="L1" s="1" t="s">
        <v>559</v>
      </c>
      <c r="M1" s="1" t="s">
        <v>560</v>
      </c>
      <c r="N1" s="1" t="s">
        <v>1064</v>
      </c>
      <c r="O1" s="1" t="s">
        <v>1071</v>
      </c>
      <c r="P1" s="1" t="s">
        <v>561</v>
      </c>
      <c r="Q1" s="1" t="s">
        <v>1248</v>
      </c>
      <c r="R1" s="1" t="s">
        <v>13</v>
      </c>
    </row>
    <row r="2" spans="1:18" hidden="1" x14ac:dyDescent="0.35">
      <c r="A2" t="s">
        <v>577</v>
      </c>
      <c r="B2" t="s">
        <v>462</v>
      </c>
      <c r="D2" t="s">
        <v>463</v>
      </c>
      <c r="G2" t="s">
        <v>438</v>
      </c>
      <c r="H2" t="s">
        <v>541</v>
      </c>
      <c r="I2" t="s">
        <v>542</v>
      </c>
      <c r="J2" t="s">
        <v>36</v>
      </c>
      <c r="K2" t="s">
        <v>554</v>
      </c>
    </row>
    <row r="3" spans="1:18" hidden="1" x14ac:dyDescent="0.35">
      <c r="A3" t="s">
        <v>577</v>
      </c>
      <c r="B3" t="s">
        <v>24</v>
      </c>
      <c r="C3" t="s">
        <v>25</v>
      </c>
      <c r="D3" t="s">
        <v>27</v>
      </c>
      <c r="E3" t="s">
        <v>28</v>
      </c>
      <c r="G3" t="s">
        <v>437</v>
      </c>
      <c r="H3" t="s">
        <v>541</v>
      </c>
      <c r="I3" t="s">
        <v>29</v>
      </c>
      <c r="J3" t="s">
        <v>30</v>
      </c>
      <c r="K3" t="s">
        <v>554</v>
      </c>
      <c r="M3" t="s">
        <v>557</v>
      </c>
      <c r="P3" t="s">
        <v>572</v>
      </c>
    </row>
    <row r="4" spans="1:18" hidden="1" x14ac:dyDescent="0.35">
      <c r="A4" t="s">
        <v>577</v>
      </c>
      <c r="B4" t="s">
        <v>32</v>
      </c>
      <c r="C4" t="s">
        <v>25</v>
      </c>
      <c r="D4" t="s">
        <v>33</v>
      </c>
      <c r="E4" t="s">
        <v>28</v>
      </c>
      <c r="G4" t="s">
        <v>437</v>
      </c>
      <c r="H4" t="s">
        <v>541</v>
      </c>
      <c r="I4" t="s">
        <v>29</v>
      </c>
      <c r="J4" t="s">
        <v>34</v>
      </c>
      <c r="K4" t="s">
        <v>554</v>
      </c>
      <c r="M4" t="s">
        <v>557</v>
      </c>
      <c r="P4" t="s">
        <v>572</v>
      </c>
    </row>
    <row r="5" spans="1:18" hidden="1" x14ac:dyDescent="0.35">
      <c r="A5" t="s">
        <v>577</v>
      </c>
      <c r="B5" t="s">
        <v>464</v>
      </c>
      <c r="D5" t="s">
        <v>465</v>
      </c>
      <c r="G5" t="s">
        <v>539</v>
      </c>
      <c r="H5" t="s">
        <v>541</v>
      </c>
      <c r="I5" t="s">
        <v>106</v>
      </c>
      <c r="J5" t="s">
        <v>36</v>
      </c>
      <c r="K5" t="s">
        <v>554</v>
      </c>
    </row>
    <row r="6" spans="1:18" x14ac:dyDescent="0.35">
      <c r="A6" t="s">
        <v>577</v>
      </c>
      <c r="B6" t="s">
        <v>433</v>
      </c>
      <c r="C6" t="s">
        <v>274</v>
      </c>
      <c r="D6" t="s">
        <v>434</v>
      </c>
      <c r="E6" t="s">
        <v>276</v>
      </c>
      <c r="G6" t="s">
        <v>435</v>
      </c>
      <c r="H6" t="s">
        <v>436</v>
      </c>
      <c r="I6" t="s">
        <v>325</v>
      </c>
      <c r="J6" t="s">
        <v>116</v>
      </c>
      <c r="K6" t="s">
        <v>555</v>
      </c>
      <c r="P6" t="s">
        <v>562</v>
      </c>
      <c r="Q6" t="s">
        <v>1494</v>
      </c>
    </row>
    <row r="7" spans="1:18" hidden="1" x14ac:dyDescent="0.35">
      <c r="A7" t="s">
        <v>577</v>
      </c>
      <c r="B7" t="s">
        <v>41</v>
      </c>
      <c r="D7" t="s">
        <v>43</v>
      </c>
      <c r="G7" t="s">
        <v>438</v>
      </c>
      <c r="H7" t="s">
        <v>541</v>
      </c>
      <c r="I7" t="s">
        <v>44</v>
      </c>
      <c r="J7" t="s">
        <v>36</v>
      </c>
      <c r="K7" t="s">
        <v>554</v>
      </c>
    </row>
    <row r="8" spans="1:18" hidden="1" x14ac:dyDescent="0.35">
      <c r="A8" t="s">
        <v>577</v>
      </c>
      <c r="B8" t="s">
        <v>46</v>
      </c>
      <c r="C8" t="s">
        <v>25</v>
      </c>
      <c r="D8" t="s">
        <v>47</v>
      </c>
      <c r="E8" t="s">
        <v>28</v>
      </c>
      <c r="G8" t="s">
        <v>437</v>
      </c>
      <c r="H8" t="s">
        <v>541</v>
      </c>
      <c r="I8" t="s">
        <v>29</v>
      </c>
      <c r="J8" t="s">
        <v>48</v>
      </c>
      <c r="K8" t="s">
        <v>554</v>
      </c>
      <c r="M8" t="s">
        <v>557</v>
      </c>
      <c r="P8" t="s">
        <v>572</v>
      </c>
    </row>
    <row r="9" spans="1:18" hidden="1" x14ac:dyDescent="0.35">
      <c r="A9" t="s">
        <v>577</v>
      </c>
      <c r="B9" t="s">
        <v>456</v>
      </c>
      <c r="D9" t="s">
        <v>457</v>
      </c>
      <c r="G9" t="s">
        <v>437</v>
      </c>
      <c r="H9" t="s">
        <v>541</v>
      </c>
      <c r="I9" t="s">
        <v>29</v>
      </c>
      <c r="J9" t="s">
        <v>30</v>
      </c>
      <c r="K9" t="s">
        <v>554</v>
      </c>
    </row>
    <row r="10" spans="1:18" hidden="1" x14ac:dyDescent="0.35">
      <c r="A10" t="s">
        <v>577</v>
      </c>
      <c r="B10" t="s">
        <v>460</v>
      </c>
      <c r="D10" t="s">
        <v>461</v>
      </c>
      <c r="G10" t="s">
        <v>437</v>
      </c>
      <c r="H10" t="s">
        <v>541</v>
      </c>
      <c r="I10" t="s">
        <v>29</v>
      </c>
      <c r="J10" t="s">
        <v>30</v>
      </c>
      <c r="K10" t="s">
        <v>554</v>
      </c>
    </row>
    <row r="11" spans="1:18" hidden="1" x14ac:dyDescent="0.35">
      <c r="A11" t="s">
        <v>577</v>
      </c>
      <c r="B11" t="s">
        <v>480</v>
      </c>
      <c r="D11" t="s">
        <v>481</v>
      </c>
      <c r="G11" t="s">
        <v>437</v>
      </c>
      <c r="H11" t="s">
        <v>541</v>
      </c>
      <c r="J11" t="s">
        <v>546</v>
      </c>
      <c r="K11" t="s">
        <v>554</v>
      </c>
    </row>
    <row r="12" spans="1:18" x14ac:dyDescent="0.35">
      <c r="A12" t="s">
        <v>577</v>
      </c>
      <c r="B12" t="s">
        <v>449</v>
      </c>
      <c r="C12" t="s">
        <v>399</v>
      </c>
      <c r="D12" t="s">
        <v>450</v>
      </c>
      <c r="E12" t="s">
        <v>403</v>
      </c>
      <c r="G12" t="s">
        <v>438</v>
      </c>
      <c r="H12" t="s">
        <v>436</v>
      </c>
      <c r="I12" t="s">
        <v>64</v>
      </c>
      <c r="J12" t="s">
        <v>116</v>
      </c>
      <c r="K12" t="s">
        <v>555</v>
      </c>
      <c r="P12" t="s">
        <v>566</v>
      </c>
    </row>
    <row r="13" spans="1:18" x14ac:dyDescent="0.35">
      <c r="A13" t="s">
        <v>577</v>
      </c>
      <c r="B13" t="s">
        <v>53</v>
      </c>
      <c r="D13" t="s">
        <v>56</v>
      </c>
      <c r="G13" t="s">
        <v>437</v>
      </c>
      <c r="H13" t="s">
        <v>436</v>
      </c>
      <c r="I13" t="s">
        <v>57</v>
      </c>
      <c r="J13" t="s">
        <v>49</v>
      </c>
      <c r="K13" t="s">
        <v>554</v>
      </c>
      <c r="M13" t="s">
        <v>557</v>
      </c>
      <c r="Q13" t="s">
        <v>1283</v>
      </c>
    </row>
    <row r="14" spans="1:18" x14ac:dyDescent="0.35">
      <c r="A14" t="s">
        <v>577</v>
      </c>
      <c r="B14" t="s">
        <v>444</v>
      </c>
      <c r="C14" t="s">
        <v>192</v>
      </c>
      <c r="D14" t="s">
        <v>445</v>
      </c>
      <c r="E14" t="s">
        <v>194</v>
      </c>
      <c r="G14" t="s">
        <v>438</v>
      </c>
      <c r="H14" t="s">
        <v>436</v>
      </c>
      <c r="I14" t="s">
        <v>325</v>
      </c>
      <c r="J14" t="s">
        <v>116</v>
      </c>
      <c r="K14" t="s">
        <v>555</v>
      </c>
      <c r="L14" t="s">
        <v>556</v>
      </c>
      <c r="P14" t="s">
        <v>564</v>
      </c>
    </row>
    <row r="15" spans="1:18" x14ac:dyDescent="0.35">
      <c r="A15" t="s">
        <v>577</v>
      </c>
      <c r="B15" t="s">
        <v>471</v>
      </c>
      <c r="D15" t="s">
        <v>472</v>
      </c>
      <c r="G15" t="s">
        <v>438</v>
      </c>
      <c r="H15" t="s">
        <v>541</v>
      </c>
      <c r="I15" t="s">
        <v>71</v>
      </c>
      <c r="J15" t="s">
        <v>65</v>
      </c>
      <c r="K15" t="s">
        <v>554</v>
      </c>
    </row>
    <row r="16" spans="1:18" x14ac:dyDescent="0.35">
      <c r="A16" t="s">
        <v>577</v>
      </c>
      <c r="B16" t="s">
        <v>60</v>
      </c>
      <c r="D16" t="s">
        <v>63</v>
      </c>
      <c r="G16" t="s">
        <v>440</v>
      </c>
      <c r="H16" t="s">
        <v>436</v>
      </c>
      <c r="I16" t="s">
        <v>64</v>
      </c>
      <c r="J16" t="s">
        <v>65</v>
      </c>
      <c r="K16" t="s">
        <v>555</v>
      </c>
      <c r="M16" t="s">
        <v>1058</v>
      </c>
      <c r="N16" t="s">
        <v>1065</v>
      </c>
    </row>
    <row r="17" spans="1:17" hidden="1" x14ac:dyDescent="0.35">
      <c r="A17" t="s">
        <v>577</v>
      </c>
      <c r="B17" t="s">
        <v>486</v>
      </c>
      <c r="D17" t="s">
        <v>487</v>
      </c>
      <c r="G17" t="s">
        <v>438</v>
      </c>
      <c r="H17" t="s">
        <v>541</v>
      </c>
      <c r="I17" t="s">
        <v>106</v>
      </c>
      <c r="J17" t="s">
        <v>36</v>
      </c>
      <c r="K17" t="s">
        <v>554</v>
      </c>
    </row>
    <row r="18" spans="1:17" x14ac:dyDescent="0.35">
      <c r="A18" t="s">
        <v>577</v>
      </c>
      <c r="B18" t="s">
        <v>74</v>
      </c>
      <c r="D18" t="s">
        <v>77</v>
      </c>
      <c r="G18" t="s">
        <v>437</v>
      </c>
      <c r="H18" t="s">
        <v>436</v>
      </c>
      <c r="I18" t="s">
        <v>78</v>
      </c>
      <c r="J18" t="s">
        <v>65</v>
      </c>
      <c r="K18" t="s">
        <v>555</v>
      </c>
      <c r="M18" t="s">
        <v>557</v>
      </c>
      <c r="N18" t="s">
        <v>1072</v>
      </c>
      <c r="Q18" s="17" t="s">
        <v>1493</v>
      </c>
    </row>
    <row r="19" spans="1:17" x14ac:dyDescent="0.35">
      <c r="A19" t="s">
        <v>577</v>
      </c>
      <c r="B19" t="s">
        <v>82</v>
      </c>
      <c r="D19" t="s">
        <v>84</v>
      </c>
      <c r="G19" t="s">
        <v>443</v>
      </c>
      <c r="H19" t="s">
        <v>436</v>
      </c>
      <c r="I19" t="s">
        <v>78</v>
      </c>
      <c r="J19" t="s">
        <v>49</v>
      </c>
      <c r="K19" t="s">
        <v>1069</v>
      </c>
      <c r="M19" t="s">
        <v>1063</v>
      </c>
      <c r="Q19" t="s">
        <v>1497</v>
      </c>
    </row>
    <row r="20" spans="1:17" x14ac:dyDescent="0.35">
      <c r="A20" t="s">
        <v>577</v>
      </c>
      <c r="B20" t="s">
        <v>88</v>
      </c>
      <c r="D20" t="s">
        <v>90</v>
      </c>
      <c r="G20" t="s">
        <v>437</v>
      </c>
      <c r="H20" t="s">
        <v>436</v>
      </c>
      <c r="I20" t="s">
        <v>91</v>
      </c>
      <c r="J20" t="s">
        <v>65</v>
      </c>
      <c r="K20" t="s">
        <v>555</v>
      </c>
      <c r="M20" t="s">
        <v>1059</v>
      </c>
      <c r="Q20" t="s">
        <v>1494</v>
      </c>
    </row>
    <row r="21" spans="1:17" x14ac:dyDescent="0.35">
      <c r="A21" t="s">
        <v>577</v>
      </c>
      <c r="B21" t="s">
        <v>492</v>
      </c>
      <c r="C21" t="s">
        <v>494</v>
      </c>
      <c r="D21" t="s">
        <v>493</v>
      </c>
      <c r="E21" t="s">
        <v>493</v>
      </c>
      <c r="G21" t="s">
        <v>437</v>
      </c>
      <c r="H21" t="s">
        <v>541</v>
      </c>
      <c r="I21" t="s">
        <v>71</v>
      </c>
      <c r="J21" t="s">
        <v>548</v>
      </c>
      <c r="K21" t="s">
        <v>554</v>
      </c>
      <c r="M21" t="s">
        <v>557</v>
      </c>
      <c r="P21" t="s">
        <v>573</v>
      </c>
      <c r="Q21" t="s">
        <v>1250</v>
      </c>
    </row>
    <row r="22" spans="1:17" x14ac:dyDescent="0.35">
      <c r="A22" t="s">
        <v>577</v>
      </c>
      <c r="B22" t="s">
        <v>96</v>
      </c>
      <c r="D22" t="s">
        <v>98</v>
      </c>
      <c r="G22" t="s">
        <v>454</v>
      </c>
      <c r="H22" t="s">
        <v>436</v>
      </c>
      <c r="I22" t="s">
        <v>99</v>
      </c>
      <c r="J22" t="s">
        <v>93</v>
      </c>
      <c r="K22" t="s">
        <v>554</v>
      </c>
      <c r="M22" t="s">
        <v>557</v>
      </c>
    </row>
    <row r="23" spans="1:17" x14ac:dyDescent="0.35">
      <c r="A23" t="s">
        <v>577</v>
      </c>
      <c r="B23" t="s">
        <v>162</v>
      </c>
      <c r="C23" t="s">
        <v>163</v>
      </c>
      <c r="D23" t="s">
        <v>164</v>
      </c>
      <c r="E23" t="s">
        <v>165</v>
      </c>
      <c r="G23" t="s">
        <v>438</v>
      </c>
      <c r="H23" t="s">
        <v>436</v>
      </c>
      <c r="I23" t="s">
        <v>99</v>
      </c>
      <c r="J23" t="s">
        <v>166</v>
      </c>
      <c r="K23" t="s">
        <v>554</v>
      </c>
      <c r="P23" t="s">
        <v>575</v>
      </c>
      <c r="Q23" t="s">
        <v>1496</v>
      </c>
    </row>
    <row r="24" spans="1:17" x14ac:dyDescent="0.35">
      <c r="A24" t="s">
        <v>577</v>
      </c>
      <c r="B24" t="s">
        <v>306</v>
      </c>
      <c r="C24" t="s">
        <v>163</v>
      </c>
      <c r="D24" t="s">
        <v>307</v>
      </c>
      <c r="E24" t="s">
        <v>165</v>
      </c>
      <c r="G24" t="s">
        <v>438</v>
      </c>
      <c r="H24" t="s">
        <v>436</v>
      </c>
      <c r="I24" t="s">
        <v>99</v>
      </c>
      <c r="J24" t="s">
        <v>308</v>
      </c>
      <c r="K24" t="s">
        <v>554</v>
      </c>
      <c r="P24" t="s">
        <v>575</v>
      </c>
      <c r="Q24" t="s">
        <v>1496</v>
      </c>
    </row>
    <row r="25" spans="1:17" hidden="1" x14ac:dyDescent="0.35">
      <c r="A25" t="s">
        <v>577</v>
      </c>
      <c r="B25" t="s">
        <v>466</v>
      </c>
      <c r="C25" t="s">
        <v>103</v>
      </c>
      <c r="D25" t="s">
        <v>467</v>
      </c>
      <c r="E25" t="s">
        <v>105</v>
      </c>
      <c r="G25" t="s">
        <v>437</v>
      </c>
      <c r="H25" t="s">
        <v>541</v>
      </c>
      <c r="I25" t="s">
        <v>106</v>
      </c>
      <c r="J25" t="s">
        <v>36</v>
      </c>
      <c r="K25" t="s">
        <v>554</v>
      </c>
      <c r="P25" t="s">
        <v>568</v>
      </c>
    </row>
    <row r="26" spans="1:17" hidden="1" x14ac:dyDescent="0.35">
      <c r="A26" t="s">
        <v>577</v>
      </c>
      <c r="B26" t="s">
        <v>468</v>
      </c>
      <c r="C26" t="s">
        <v>103</v>
      </c>
      <c r="D26" t="s">
        <v>104</v>
      </c>
      <c r="E26" t="s">
        <v>105</v>
      </c>
      <c r="G26" t="s">
        <v>437</v>
      </c>
      <c r="H26" t="s">
        <v>541</v>
      </c>
      <c r="I26" t="s">
        <v>106</v>
      </c>
      <c r="J26" t="s">
        <v>36</v>
      </c>
      <c r="K26" t="s">
        <v>554</v>
      </c>
      <c r="P26" t="s">
        <v>568</v>
      </c>
    </row>
    <row r="27" spans="1:17" x14ac:dyDescent="0.35">
      <c r="A27" t="s">
        <v>577</v>
      </c>
      <c r="B27" t="s">
        <v>372</v>
      </c>
      <c r="C27" t="s">
        <v>163</v>
      </c>
      <c r="D27" t="s">
        <v>373</v>
      </c>
      <c r="E27" t="s">
        <v>165</v>
      </c>
      <c r="G27" t="s">
        <v>438</v>
      </c>
      <c r="H27" t="s">
        <v>436</v>
      </c>
      <c r="I27" t="s">
        <v>265</v>
      </c>
      <c r="J27" t="s">
        <v>374</v>
      </c>
      <c r="K27" t="s">
        <v>554</v>
      </c>
      <c r="M27" t="s">
        <v>557</v>
      </c>
      <c r="P27" t="s">
        <v>575</v>
      </c>
      <c r="Q27" t="s">
        <v>1496</v>
      </c>
    </row>
    <row r="28" spans="1:17" x14ac:dyDescent="0.35">
      <c r="A28" t="s">
        <v>577</v>
      </c>
      <c r="B28" t="s">
        <v>377</v>
      </c>
      <c r="C28" t="s">
        <v>163</v>
      </c>
      <c r="D28" t="s">
        <v>378</v>
      </c>
      <c r="E28" t="s">
        <v>165</v>
      </c>
      <c r="G28" t="s">
        <v>438</v>
      </c>
      <c r="H28" t="s">
        <v>541</v>
      </c>
      <c r="I28" t="s">
        <v>379</v>
      </c>
      <c r="J28" t="s">
        <v>380</v>
      </c>
      <c r="K28" t="s">
        <v>554</v>
      </c>
      <c r="M28" t="s">
        <v>557</v>
      </c>
      <c r="P28" t="s">
        <v>575</v>
      </c>
      <c r="Q28" t="s">
        <v>1253</v>
      </c>
    </row>
    <row r="29" spans="1:17" x14ac:dyDescent="0.35">
      <c r="A29" t="s">
        <v>577</v>
      </c>
      <c r="B29" t="s">
        <v>110</v>
      </c>
      <c r="D29" t="s">
        <v>113</v>
      </c>
      <c r="G29" t="s">
        <v>440</v>
      </c>
      <c r="H29" t="s">
        <v>436</v>
      </c>
      <c r="I29" t="s">
        <v>78</v>
      </c>
      <c r="J29" t="s">
        <v>114</v>
      </c>
      <c r="K29" t="s">
        <v>555</v>
      </c>
      <c r="M29" t="s">
        <v>1062</v>
      </c>
      <c r="Q29" t="s">
        <v>1496</v>
      </c>
    </row>
    <row r="30" spans="1:17" x14ac:dyDescent="0.35">
      <c r="A30" t="s">
        <v>576</v>
      </c>
      <c r="C30" t="s">
        <v>163</v>
      </c>
      <c r="E30" t="s">
        <v>165</v>
      </c>
      <c r="G30" t="s">
        <v>438</v>
      </c>
    </row>
    <row r="31" spans="1:17" hidden="1" x14ac:dyDescent="0.35">
      <c r="A31" t="s">
        <v>577</v>
      </c>
      <c r="B31" t="s">
        <v>458</v>
      </c>
      <c r="D31" t="s">
        <v>459</v>
      </c>
      <c r="G31" t="s">
        <v>437</v>
      </c>
      <c r="H31" t="s">
        <v>541</v>
      </c>
      <c r="I31" t="s">
        <v>29</v>
      </c>
      <c r="J31" t="s">
        <v>34</v>
      </c>
      <c r="K31" t="s">
        <v>554</v>
      </c>
    </row>
    <row r="32" spans="1:17" x14ac:dyDescent="0.35">
      <c r="A32" t="s">
        <v>577</v>
      </c>
      <c r="B32" t="s">
        <v>117</v>
      </c>
      <c r="D32" t="s">
        <v>118</v>
      </c>
      <c r="G32" t="s">
        <v>438</v>
      </c>
      <c r="H32" t="s">
        <v>436</v>
      </c>
      <c r="I32" t="s">
        <v>78</v>
      </c>
      <c r="J32" t="s">
        <v>116</v>
      </c>
      <c r="K32" t="s">
        <v>555</v>
      </c>
      <c r="M32" t="s">
        <v>557</v>
      </c>
      <c r="N32" t="s">
        <v>1072</v>
      </c>
      <c r="Q32" t="s">
        <v>1494</v>
      </c>
    </row>
    <row r="33" spans="1:17" hidden="1" x14ac:dyDescent="0.35">
      <c r="A33" t="s">
        <v>577</v>
      </c>
      <c r="B33" t="s">
        <v>122</v>
      </c>
      <c r="D33" t="s">
        <v>123</v>
      </c>
      <c r="G33" t="s">
        <v>540</v>
      </c>
      <c r="H33" t="s">
        <v>436</v>
      </c>
      <c r="I33" t="s">
        <v>124</v>
      </c>
      <c r="J33" t="s">
        <v>120</v>
      </c>
      <c r="K33" t="s">
        <v>554</v>
      </c>
    </row>
    <row r="34" spans="1:17" x14ac:dyDescent="0.35">
      <c r="A34" t="s">
        <v>577</v>
      </c>
      <c r="B34" t="s">
        <v>511</v>
      </c>
      <c r="C34" t="s">
        <v>513</v>
      </c>
      <c r="D34" t="s">
        <v>512</v>
      </c>
      <c r="E34" t="s">
        <v>514</v>
      </c>
      <c r="G34" t="s">
        <v>443</v>
      </c>
      <c r="H34" t="s">
        <v>436</v>
      </c>
      <c r="I34" t="s">
        <v>57</v>
      </c>
      <c r="J34" t="s">
        <v>49</v>
      </c>
      <c r="K34" t="s">
        <v>554</v>
      </c>
      <c r="M34" t="s">
        <v>557</v>
      </c>
      <c r="P34" t="s">
        <v>571</v>
      </c>
      <c r="Q34" t="s">
        <v>1284</v>
      </c>
    </row>
    <row r="35" spans="1:17" x14ac:dyDescent="0.35">
      <c r="A35" t="s">
        <v>577</v>
      </c>
      <c r="B35" t="s">
        <v>515</v>
      </c>
      <c r="C35" t="s">
        <v>513</v>
      </c>
      <c r="D35" t="s">
        <v>516</v>
      </c>
      <c r="E35" t="s">
        <v>514</v>
      </c>
      <c r="G35" t="s">
        <v>437</v>
      </c>
      <c r="H35" t="s">
        <v>436</v>
      </c>
      <c r="I35" t="s">
        <v>57</v>
      </c>
      <c r="J35" t="s">
        <v>49</v>
      </c>
      <c r="K35" t="s">
        <v>554</v>
      </c>
      <c r="M35" t="s">
        <v>557</v>
      </c>
      <c r="P35" t="s">
        <v>571</v>
      </c>
      <c r="Q35" t="s">
        <v>1284</v>
      </c>
    </row>
    <row r="36" spans="1:17" x14ac:dyDescent="0.35">
      <c r="A36" t="s">
        <v>577</v>
      </c>
      <c r="B36" t="s">
        <v>537</v>
      </c>
      <c r="D36" t="s">
        <v>538</v>
      </c>
      <c r="G36" t="s">
        <v>441</v>
      </c>
      <c r="H36" t="s">
        <v>436</v>
      </c>
      <c r="I36" t="s">
        <v>78</v>
      </c>
      <c r="J36" t="s">
        <v>116</v>
      </c>
      <c r="K36" t="s">
        <v>554</v>
      </c>
    </row>
    <row r="37" spans="1:17" x14ac:dyDescent="0.35">
      <c r="A37" t="s">
        <v>577</v>
      </c>
      <c r="B37" t="s">
        <v>126</v>
      </c>
      <c r="D37" t="s">
        <v>129</v>
      </c>
      <c r="G37" t="s">
        <v>438</v>
      </c>
      <c r="H37" t="s">
        <v>436</v>
      </c>
      <c r="I37" t="s">
        <v>64</v>
      </c>
      <c r="J37" t="s">
        <v>116</v>
      </c>
      <c r="K37" t="s">
        <v>555</v>
      </c>
      <c r="M37" t="s">
        <v>1062</v>
      </c>
      <c r="N37" t="s">
        <v>1073</v>
      </c>
      <c r="Q37" t="s">
        <v>1494</v>
      </c>
    </row>
    <row r="38" spans="1:17" hidden="1" x14ac:dyDescent="0.35">
      <c r="A38" t="s">
        <v>577</v>
      </c>
      <c r="B38" t="s">
        <v>132</v>
      </c>
      <c r="D38" t="s">
        <v>134</v>
      </c>
      <c r="G38" t="s">
        <v>540</v>
      </c>
      <c r="H38" t="s">
        <v>436</v>
      </c>
      <c r="I38" t="s">
        <v>124</v>
      </c>
      <c r="J38" t="s">
        <v>120</v>
      </c>
      <c r="K38" t="s">
        <v>554</v>
      </c>
      <c r="M38" t="s">
        <v>557</v>
      </c>
    </row>
    <row r="39" spans="1:17" x14ac:dyDescent="0.35">
      <c r="A39" t="s">
        <v>577</v>
      </c>
      <c r="B39" t="s">
        <v>136</v>
      </c>
      <c r="D39" t="s">
        <v>137</v>
      </c>
      <c r="G39" t="s">
        <v>437</v>
      </c>
      <c r="H39" t="s">
        <v>436</v>
      </c>
      <c r="I39" t="s">
        <v>64</v>
      </c>
      <c r="J39" t="s">
        <v>116</v>
      </c>
      <c r="K39" t="s">
        <v>555</v>
      </c>
      <c r="L39" t="s">
        <v>556</v>
      </c>
      <c r="M39" t="s">
        <v>1058</v>
      </c>
      <c r="N39" t="s">
        <v>1074</v>
      </c>
      <c r="Q39" t="s">
        <v>1494</v>
      </c>
    </row>
    <row r="40" spans="1:17" x14ac:dyDescent="0.35">
      <c r="A40" t="s">
        <v>577</v>
      </c>
      <c r="B40" t="s">
        <v>140</v>
      </c>
      <c r="D40" t="s">
        <v>143</v>
      </c>
      <c r="G40" t="s">
        <v>440</v>
      </c>
      <c r="H40" t="s">
        <v>436</v>
      </c>
      <c r="I40" t="s">
        <v>57</v>
      </c>
      <c r="J40" t="s">
        <v>116</v>
      </c>
      <c r="K40" t="s">
        <v>1247</v>
      </c>
      <c r="Q40" t="s">
        <v>1494</v>
      </c>
    </row>
    <row r="41" spans="1:17" hidden="1" x14ac:dyDescent="0.35">
      <c r="A41" t="s">
        <v>577</v>
      </c>
      <c r="B41" t="s">
        <v>478</v>
      </c>
      <c r="D41" t="s">
        <v>479</v>
      </c>
      <c r="G41" t="s">
        <v>437</v>
      </c>
      <c r="H41" t="s">
        <v>541</v>
      </c>
      <c r="J41" t="s">
        <v>545</v>
      </c>
      <c r="K41" t="s">
        <v>554</v>
      </c>
    </row>
    <row r="42" spans="1:17" hidden="1" x14ac:dyDescent="0.35">
      <c r="A42" t="s">
        <v>577</v>
      </c>
      <c r="B42" t="s">
        <v>146</v>
      </c>
      <c r="D42" t="s">
        <v>148</v>
      </c>
      <c r="G42" t="s">
        <v>454</v>
      </c>
      <c r="H42" t="s">
        <v>541</v>
      </c>
      <c r="I42" t="s">
        <v>106</v>
      </c>
      <c r="J42" t="s">
        <v>36</v>
      </c>
      <c r="K42" t="s">
        <v>554</v>
      </c>
    </row>
    <row r="43" spans="1:17" x14ac:dyDescent="0.35">
      <c r="A43" t="s">
        <v>577</v>
      </c>
      <c r="B43" t="s">
        <v>152</v>
      </c>
      <c r="C43" t="s">
        <v>153</v>
      </c>
      <c r="D43" t="s">
        <v>154</v>
      </c>
      <c r="E43" t="s">
        <v>155</v>
      </c>
      <c r="G43" t="s">
        <v>437</v>
      </c>
      <c r="H43" t="s">
        <v>436</v>
      </c>
      <c r="I43" t="s">
        <v>57</v>
      </c>
      <c r="J43" t="s">
        <v>49</v>
      </c>
      <c r="K43" t="s">
        <v>554</v>
      </c>
      <c r="M43" t="s">
        <v>557</v>
      </c>
      <c r="P43" t="s">
        <v>567</v>
      </c>
      <c r="Q43" t="s">
        <v>1498</v>
      </c>
    </row>
    <row r="44" spans="1:17" x14ac:dyDescent="0.35">
      <c r="A44" t="s">
        <v>577</v>
      </c>
      <c r="B44" t="s">
        <v>157</v>
      </c>
      <c r="D44" t="s">
        <v>160</v>
      </c>
      <c r="G44" t="s">
        <v>438</v>
      </c>
      <c r="H44" t="s">
        <v>436</v>
      </c>
      <c r="I44" t="s">
        <v>91</v>
      </c>
      <c r="J44" t="s">
        <v>116</v>
      </c>
      <c r="K44" t="s">
        <v>554</v>
      </c>
      <c r="Q44" t="s">
        <v>1494</v>
      </c>
    </row>
    <row r="45" spans="1:17" x14ac:dyDescent="0.35">
      <c r="A45" t="s">
        <v>577</v>
      </c>
      <c r="B45" t="s">
        <v>521</v>
      </c>
      <c r="C45" t="s">
        <v>404</v>
      </c>
      <c r="D45" t="s">
        <v>522</v>
      </c>
      <c r="E45" t="s">
        <v>406</v>
      </c>
      <c r="G45" t="s">
        <v>438</v>
      </c>
      <c r="H45" t="s">
        <v>436</v>
      </c>
      <c r="I45" t="s">
        <v>265</v>
      </c>
      <c r="J45" t="s">
        <v>374</v>
      </c>
      <c r="K45" t="s">
        <v>554</v>
      </c>
      <c r="P45" t="s">
        <v>574</v>
      </c>
      <c r="Q45" t="s">
        <v>1496</v>
      </c>
    </row>
    <row r="46" spans="1:17" hidden="1" x14ac:dyDescent="0.35">
      <c r="A46" t="s">
        <v>577</v>
      </c>
      <c r="B46" t="s">
        <v>476</v>
      </c>
      <c r="D46" t="s">
        <v>477</v>
      </c>
      <c r="G46" t="s">
        <v>540</v>
      </c>
      <c r="H46" t="s">
        <v>436</v>
      </c>
      <c r="I46" t="s">
        <v>544</v>
      </c>
      <c r="J46" t="s">
        <v>120</v>
      </c>
      <c r="K46" t="s">
        <v>554</v>
      </c>
    </row>
    <row r="47" spans="1:17" x14ac:dyDescent="0.35">
      <c r="A47" t="s">
        <v>577</v>
      </c>
      <c r="B47" t="s">
        <v>523</v>
      </c>
      <c r="C47" t="s">
        <v>404</v>
      </c>
      <c r="D47" t="s">
        <v>524</v>
      </c>
      <c r="E47" t="s">
        <v>406</v>
      </c>
      <c r="G47" t="s">
        <v>438</v>
      </c>
      <c r="H47" t="s">
        <v>436</v>
      </c>
      <c r="I47" t="s">
        <v>99</v>
      </c>
      <c r="J47" t="s">
        <v>374</v>
      </c>
      <c r="K47" t="s">
        <v>554</v>
      </c>
      <c r="P47" t="s">
        <v>574</v>
      </c>
      <c r="Q47" t="s">
        <v>1496</v>
      </c>
    </row>
    <row r="48" spans="1:17" x14ac:dyDescent="0.35">
      <c r="A48" t="s">
        <v>577</v>
      </c>
      <c r="B48" t="s">
        <v>168</v>
      </c>
      <c r="D48" t="s">
        <v>171</v>
      </c>
      <c r="G48" t="s">
        <v>440</v>
      </c>
      <c r="H48" t="s">
        <v>436</v>
      </c>
      <c r="I48" t="s">
        <v>78</v>
      </c>
      <c r="J48" t="s">
        <v>172</v>
      </c>
      <c r="K48" t="s">
        <v>555</v>
      </c>
      <c r="M48" t="s">
        <v>557</v>
      </c>
      <c r="N48" t="s">
        <v>1066</v>
      </c>
      <c r="Q48" t="s">
        <v>1496</v>
      </c>
    </row>
    <row r="49" spans="1:17" x14ac:dyDescent="0.35">
      <c r="A49" t="s">
        <v>577</v>
      </c>
      <c r="B49" t="s">
        <v>174</v>
      </c>
      <c r="D49" t="s">
        <v>175</v>
      </c>
      <c r="G49" t="s">
        <v>437</v>
      </c>
      <c r="H49" t="s">
        <v>436</v>
      </c>
      <c r="I49" t="s">
        <v>64</v>
      </c>
      <c r="J49" t="s">
        <v>65</v>
      </c>
      <c r="K49" t="s">
        <v>555</v>
      </c>
      <c r="M49" t="s">
        <v>557</v>
      </c>
      <c r="N49" t="s">
        <v>1072</v>
      </c>
      <c r="Q49" t="s">
        <v>1495</v>
      </c>
    </row>
    <row r="50" spans="1:17" hidden="1" x14ac:dyDescent="0.35">
      <c r="A50" t="s">
        <v>577</v>
      </c>
      <c r="B50" t="s">
        <v>177</v>
      </c>
      <c r="C50" t="s">
        <v>25</v>
      </c>
      <c r="D50" t="s">
        <v>178</v>
      </c>
      <c r="E50" t="s">
        <v>28</v>
      </c>
      <c r="G50" t="s">
        <v>437</v>
      </c>
      <c r="H50" t="s">
        <v>541</v>
      </c>
      <c r="I50" t="s">
        <v>29</v>
      </c>
      <c r="J50" t="s">
        <v>30</v>
      </c>
      <c r="K50" t="s">
        <v>554</v>
      </c>
      <c r="P50" t="s">
        <v>572</v>
      </c>
    </row>
    <row r="51" spans="1:17" hidden="1" x14ac:dyDescent="0.35">
      <c r="A51" t="s">
        <v>577</v>
      </c>
      <c r="B51" t="s">
        <v>505</v>
      </c>
      <c r="D51" t="s">
        <v>506</v>
      </c>
      <c r="G51" t="s">
        <v>438</v>
      </c>
      <c r="H51" t="s">
        <v>541</v>
      </c>
      <c r="I51" t="s">
        <v>542</v>
      </c>
      <c r="J51" t="s">
        <v>36</v>
      </c>
      <c r="K51" t="s">
        <v>554</v>
      </c>
    </row>
    <row r="52" spans="1:17" x14ac:dyDescent="0.35">
      <c r="A52" t="s">
        <v>577</v>
      </c>
      <c r="B52" t="s">
        <v>181</v>
      </c>
      <c r="D52" t="s">
        <v>184</v>
      </c>
      <c r="G52" t="s">
        <v>438</v>
      </c>
      <c r="H52" t="s">
        <v>436</v>
      </c>
      <c r="I52" t="s">
        <v>91</v>
      </c>
      <c r="J52" t="s">
        <v>116</v>
      </c>
      <c r="K52" t="s">
        <v>555</v>
      </c>
      <c r="M52" t="s">
        <v>1062</v>
      </c>
      <c r="N52" t="s">
        <v>1077</v>
      </c>
    </row>
    <row r="53" spans="1:17" x14ac:dyDescent="0.35">
      <c r="A53" t="s">
        <v>577</v>
      </c>
      <c r="B53" t="s">
        <v>187</v>
      </c>
      <c r="D53" t="s">
        <v>189</v>
      </c>
      <c r="G53" t="s">
        <v>440</v>
      </c>
      <c r="H53" t="s">
        <v>436</v>
      </c>
      <c r="I53" t="s">
        <v>78</v>
      </c>
      <c r="J53" t="s">
        <v>190</v>
      </c>
      <c r="K53" t="s">
        <v>554</v>
      </c>
      <c r="M53" t="s">
        <v>557</v>
      </c>
      <c r="N53" t="s">
        <v>1067</v>
      </c>
      <c r="Q53" t="s">
        <v>1496</v>
      </c>
    </row>
    <row r="54" spans="1:17" x14ac:dyDescent="0.35">
      <c r="A54" t="s">
        <v>577</v>
      </c>
      <c r="B54" t="s">
        <v>446</v>
      </c>
      <c r="C54" t="s">
        <v>192</v>
      </c>
      <c r="D54" t="s">
        <v>447</v>
      </c>
      <c r="E54" t="s">
        <v>194</v>
      </c>
      <c r="G54" t="s">
        <v>438</v>
      </c>
      <c r="H54" t="s">
        <v>436</v>
      </c>
      <c r="I54" t="s">
        <v>57</v>
      </c>
      <c r="J54" t="s">
        <v>116</v>
      </c>
      <c r="K54" t="s">
        <v>555</v>
      </c>
      <c r="P54" t="s">
        <v>564</v>
      </c>
    </row>
    <row r="55" spans="1:17" x14ac:dyDescent="0.35">
      <c r="A55" t="s">
        <v>577</v>
      </c>
      <c r="B55" t="s">
        <v>495</v>
      </c>
      <c r="C55" t="s">
        <v>494</v>
      </c>
      <c r="D55" t="s">
        <v>496</v>
      </c>
      <c r="E55" t="s">
        <v>493</v>
      </c>
      <c r="G55" t="s">
        <v>437</v>
      </c>
      <c r="H55" t="s">
        <v>541</v>
      </c>
      <c r="I55" t="s">
        <v>29</v>
      </c>
      <c r="J55" t="s">
        <v>549</v>
      </c>
      <c r="K55" t="s">
        <v>554</v>
      </c>
      <c r="M55" t="s">
        <v>557</v>
      </c>
      <c r="P55" t="s">
        <v>573</v>
      </c>
    </row>
    <row r="56" spans="1:17" x14ac:dyDescent="0.35">
      <c r="A56" t="s">
        <v>577</v>
      </c>
      <c r="B56" t="s">
        <v>448</v>
      </c>
      <c r="C56" t="s">
        <v>192</v>
      </c>
      <c r="D56" t="s">
        <v>193</v>
      </c>
      <c r="E56" t="s">
        <v>194</v>
      </c>
      <c r="G56" t="s">
        <v>438</v>
      </c>
      <c r="H56" t="s">
        <v>436</v>
      </c>
      <c r="I56" t="s">
        <v>99</v>
      </c>
      <c r="J56" t="s">
        <v>116</v>
      </c>
      <c r="K56" t="s">
        <v>555</v>
      </c>
      <c r="L56" t="s">
        <v>556</v>
      </c>
      <c r="P56" t="s">
        <v>564</v>
      </c>
    </row>
    <row r="57" spans="1:17" x14ac:dyDescent="0.35">
      <c r="A57" t="s">
        <v>577</v>
      </c>
      <c r="B57" t="s">
        <v>196</v>
      </c>
      <c r="D57" t="s">
        <v>199</v>
      </c>
      <c r="G57" t="s">
        <v>438</v>
      </c>
      <c r="H57" t="s">
        <v>436</v>
      </c>
      <c r="I57" t="s">
        <v>64</v>
      </c>
      <c r="J57" t="s">
        <v>116</v>
      </c>
      <c r="K57" t="s">
        <v>555</v>
      </c>
      <c r="L57" t="s">
        <v>556</v>
      </c>
      <c r="M57" t="s">
        <v>1060</v>
      </c>
      <c r="N57" t="s">
        <v>1067</v>
      </c>
      <c r="Q57" t="s">
        <v>1494</v>
      </c>
    </row>
    <row r="58" spans="1:17" hidden="1" x14ac:dyDescent="0.35">
      <c r="A58" t="s">
        <v>577</v>
      </c>
      <c r="B58" t="s">
        <v>497</v>
      </c>
      <c r="D58" t="s">
        <v>498</v>
      </c>
      <c r="G58" t="s">
        <v>438</v>
      </c>
      <c r="H58" t="s">
        <v>541</v>
      </c>
      <c r="I58" t="s">
        <v>106</v>
      </c>
      <c r="J58" t="s">
        <v>36</v>
      </c>
      <c r="K58" t="s">
        <v>554</v>
      </c>
    </row>
    <row r="59" spans="1:17" x14ac:dyDescent="0.35">
      <c r="A59" t="s">
        <v>577</v>
      </c>
      <c r="B59" t="s">
        <v>201</v>
      </c>
      <c r="D59" t="s">
        <v>203</v>
      </c>
      <c r="G59" t="s">
        <v>441</v>
      </c>
      <c r="H59" t="s">
        <v>436</v>
      </c>
      <c r="I59" t="s">
        <v>64</v>
      </c>
      <c r="J59" t="s">
        <v>204</v>
      </c>
      <c r="K59" t="s">
        <v>1024</v>
      </c>
      <c r="M59" t="s">
        <v>1059</v>
      </c>
      <c r="Q59" t="s">
        <v>1499</v>
      </c>
    </row>
    <row r="60" spans="1:17" x14ac:dyDescent="0.35">
      <c r="A60" t="s">
        <v>577</v>
      </c>
      <c r="B60" t="s">
        <v>473</v>
      </c>
      <c r="C60" t="s">
        <v>255</v>
      </c>
      <c r="D60" t="s">
        <v>474</v>
      </c>
      <c r="E60" t="s">
        <v>257</v>
      </c>
      <c r="G60" t="s">
        <v>454</v>
      </c>
      <c r="H60" t="s">
        <v>436</v>
      </c>
      <c r="I60" t="s">
        <v>265</v>
      </c>
      <c r="J60" t="s">
        <v>93</v>
      </c>
      <c r="K60" t="s">
        <v>554</v>
      </c>
      <c r="P60" t="s">
        <v>568</v>
      </c>
      <c r="Q60" t="s">
        <v>1286</v>
      </c>
    </row>
    <row r="61" spans="1:17" x14ac:dyDescent="0.35">
      <c r="A61" t="s">
        <v>577</v>
      </c>
      <c r="B61" t="s">
        <v>206</v>
      </c>
      <c r="D61" t="s">
        <v>207</v>
      </c>
      <c r="G61" t="s">
        <v>438</v>
      </c>
      <c r="H61" t="s">
        <v>436</v>
      </c>
      <c r="I61" t="s">
        <v>64</v>
      </c>
      <c r="J61" t="s">
        <v>208</v>
      </c>
      <c r="K61" t="s">
        <v>554</v>
      </c>
      <c r="M61" t="s">
        <v>557</v>
      </c>
      <c r="Q61" t="s">
        <v>1496</v>
      </c>
    </row>
    <row r="62" spans="1:17" x14ac:dyDescent="0.35">
      <c r="A62" t="s">
        <v>577</v>
      </c>
      <c r="B62" t="s">
        <v>210</v>
      </c>
      <c r="D62" t="s">
        <v>211</v>
      </c>
      <c r="G62" t="s">
        <v>437</v>
      </c>
      <c r="H62" t="s">
        <v>436</v>
      </c>
      <c r="I62" t="s">
        <v>78</v>
      </c>
      <c r="J62" t="s">
        <v>116</v>
      </c>
      <c r="K62" t="s">
        <v>555</v>
      </c>
      <c r="M62" t="s">
        <v>1059</v>
      </c>
      <c r="N62" t="s">
        <v>1081</v>
      </c>
      <c r="Q62" t="s">
        <v>1494</v>
      </c>
    </row>
    <row r="63" spans="1:17" x14ac:dyDescent="0.35">
      <c r="A63" t="s">
        <v>577</v>
      </c>
      <c r="B63" t="s">
        <v>499</v>
      </c>
      <c r="D63" t="s">
        <v>500</v>
      </c>
      <c r="G63" t="s">
        <v>438</v>
      </c>
      <c r="H63" t="s">
        <v>541</v>
      </c>
      <c r="K63" t="s">
        <v>554</v>
      </c>
    </row>
    <row r="64" spans="1:17" x14ac:dyDescent="0.35">
      <c r="A64" t="s">
        <v>577</v>
      </c>
      <c r="B64" t="s">
        <v>216</v>
      </c>
      <c r="D64" t="s">
        <v>219</v>
      </c>
      <c r="G64" t="s">
        <v>438</v>
      </c>
      <c r="H64" t="s">
        <v>436</v>
      </c>
      <c r="I64" t="s">
        <v>91</v>
      </c>
      <c r="J64" t="s">
        <v>220</v>
      </c>
      <c r="K64" t="s">
        <v>555</v>
      </c>
      <c r="M64" t="s">
        <v>1062</v>
      </c>
      <c r="N64" t="s">
        <v>1067</v>
      </c>
      <c r="Q64" t="s">
        <v>1496</v>
      </c>
    </row>
    <row r="65" spans="1:17" hidden="1" x14ac:dyDescent="0.35">
      <c r="A65" t="s">
        <v>577</v>
      </c>
      <c r="B65" t="s">
        <v>503</v>
      </c>
      <c r="C65" t="s">
        <v>353</v>
      </c>
      <c r="D65" t="s">
        <v>504</v>
      </c>
      <c r="E65" t="s">
        <v>355</v>
      </c>
      <c r="G65" t="s">
        <v>437</v>
      </c>
      <c r="H65" t="s">
        <v>436</v>
      </c>
      <c r="I65" t="s">
        <v>57</v>
      </c>
      <c r="J65" t="s">
        <v>550</v>
      </c>
      <c r="K65" t="s">
        <v>554</v>
      </c>
      <c r="P65" t="s">
        <v>569</v>
      </c>
    </row>
    <row r="66" spans="1:17" hidden="1" x14ac:dyDescent="0.35">
      <c r="A66" t="s">
        <v>577</v>
      </c>
      <c r="B66" t="s">
        <v>507</v>
      </c>
      <c r="D66" t="s">
        <v>508</v>
      </c>
      <c r="G66" t="s">
        <v>438</v>
      </c>
      <c r="H66" t="s">
        <v>541</v>
      </c>
      <c r="I66" t="s">
        <v>542</v>
      </c>
      <c r="J66" t="s">
        <v>36</v>
      </c>
      <c r="K66" t="s">
        <v>554</v>
      </c>
    </row>
    <row r="67" spans="1:17" x14ac:dyDescent="0.35">
      <c r="A67" t="s">
        <v>577</v>
      </c>
      <c r="B67" t="s">
        <v>222</v>
      </c>
      <c r="C67" t="s">
        <v>223</v>
      </c>
      <c r="D67" t="s">
        <v>224</v>
      </c>
      <c r="E67" t="s">
        <v>225</v>
      </c>
      <c r="G67" t="s">
        <v>442</v>
      </c>
      <c r="H67" t="s">
        <v>436</v>
      </c>
      <c r="I67" t="s">
        <v>99</v>
      </c>
      <c r="J67" t="s">
        <v>226</v>
      </c>
      <c r="K67" t="s">
        <v>555</v>
      </c>
      <c r="P67" t="s">
        <v>565</v>
      </c>
    </row>
    <row r="68" spans="1:17" x14ac:dyDescent="0.35">
      <c r="A68" t="s">
        <v>577</v>
      </c>
      <c r="B68" t="s">
        <v>228</v>
      </c>
      <c r="D68" t="s">
        <v>231</v>
      </c>
      <c r="G68" t="s">
        <v>437</v>
      </c>
      <c r="H68" t="s">
        <v>436</v>
      </c>
      <c r="I68" t="s">
        <v>64</v>
      </c>
      <c r="J68" t="s">
        <v>116</v>
      </c>
      <c r="K68" t="s">
        <v>1024</v>
      </c>
      <c r="M68" t="s">
        <v>1059</v>
      </c>
      <c r="N68" t="s">
        <v>1067</v>
      </c>
      <c r="Q68" t="s">
        <v>1494</v>
      </c>
    </row>
    <row r="69" spans="1:17" x14ac:dyDescent="0.35">
      <c r="A69" t="s">
        <v>577</v>
      </c>
      <c r="B69" t="s">
        <v>233</v>
      </c>
      <c r="D69" t="s">
        <v>234</v>
      </c>
      <c r="G69" t="s">
        <v>437</v>
      </c>
      <c r="H69" t="s">
        <v>436</v>
      </c>
      <c r="I69" t="s">
        <v>64</v>
      </c>
      <c r="J69" t="s">
        <v>235</v>
      </c>
      <c r="K69" t="s">
        <v>555</v>
      </c>
      <c r="M69" t="s">
        <v>557</v>
      </c>
      <c r="N69" t="s">
        <v>1075</v>
      </c>
      <c r="Q69" t="s">
        <v>1501</v>
      </c>
    </row>
    <row r="70" spans="1:17" hidden="1" x14ac:dyDescent="0.35">
      <c r="A70" t="s">
        <v>577</v>
      </c>
      <c r="B70" t="s">
        <v>237</v>
      </c>
      <c r="C70" t="s">
        <v>25</v>
      </c>
      <c r="D70" t="s">
        <v>238</v>
      </c>
      <c r="E70" t="s">
        <v>28</v>
      </c>
      <c r="G70" t="s">
        <v>437</v>
      </c>
      <c r="H70" t="s">
        <v>541</v>
      </c>
      <c r="I70" t="s">
        <v>29</v>
      </c>
      <c r="J70" t="s">
        <v>30</v>
      </c>
      <c r="K70" t="s">
        <v>554</v>
      </c>
      <c r="P70" t="s">
        <v>572</v>
      </c>
    </row>
    <row r="71" spans="1:17" x14ac:dyDescent="0.35">
      <c r="A71" t="s">
        <v>577</v>
      </c>
      <c r="B71" t="s">
        <v>535</v>
      </c>
      <c r="D71" t="s">
        <v>536</v>
      </c>
      <c r="G71" t="s">
        <v>443</v>
      </c>
      <c r="H71" t="s">
        <v>541</v>
      </c>
      <c r="I71" t="s">
        <v>71</v>
      </c>
      <c r="J71" t="s">
        <v>422</v>
      </c>
      <c r="K71" t="s">
        <v>554</v>
      </c>
      <c r="M71" t="s">
        <v>557</v>
      </c>
      <c r="Q71" t="s">
        <v>1252</v>
      </c>
    </row>
    <row r="72" spans="1:17" x14ac:dyDescent="0.35">
      <c r="A72" t="s">
        <v>577</v>
      </c>
      <c r="B72" t="s">
        <v>240</v>
      </c>
      <c r="D72" t="s">
        <v>241</v>
      </c>
      <c r="G72" t="s">
        <v>438</v>
      </c>
      <c r="H72" t="s">
        <v>436</v>
      </c>
      <c r="I72" t="s">
        <v>64</v>
      </c>
      <c r="J72" t="s">
        <v>65</v>
      </c>
      <c r="K72" t="s">
        <v>555</v>
      </c>
      <c r="M72" t="s">
        <v>557</v>
      </c>
      <c r="N72" t="s">
        <v>1075</v>
      </c>
      <c r="Q72" s="17" t="s">
        <v>1493</v>
      </c>
    </row>
    <row r="73" spans="1:17" x14ac:dyDescent="0.35">
      <c r="A73" t="s">
        <v>577</v>
      </c>
      <c r="B73" t="s">
        <v>244</v>
      </c>
      <c r="D73" t="s">
        <v>247</v>
      </c>
      <c r="G73" t="s">
        <v>438</v>
      </c>
      <c r="H73" t="s">
        <v>436</v>
      </c>
      <c r="I73" t="s">
        <v>78</v>
      </c>
      <c r="J73" t="s">
        <v>65</v>
      </c>
      <c r="K73" t="s">
        <v>554</v>
      </c>
      <c r="Q73" t="s">
        <v>1494</v>
      </c>
    </row>
    <row r="74" spans="1:17" hidden="1" x14ac:dyDescent="0.35">
      <c r="A74" t="s">
        <v>577</v>
      </c>
      <c r="B74" t="s">
        <v>488</v>
      </c>
      <c r="D74" t="s">
        <v>489</v>
      </c>
      <c r="G74" t="s">
        <v>442</v>
      </c>
      <c r="H74" t="s">
        <v>541</v>
      </c>
      <c r="I74" t="s">
        <v>106</v>
      </c>
      <c r="J74" t="s">
        <v>36</v>
      </c>
      <c r="K74" t="s">
        <v>554</v>
      </c>
    </row>
    <row r="75" spans="1:17" x14ac:dyDescent="0.35">
      <c r="A75" t="s">
        <v>577</v>
      </c>
      <c r="B75" t="s">
        <v>250</v>
      </c>
      <c r="D75" t="s">
        <v>252</v>
      </c>
      <c r="G75" t="s">
        <v>435</v>
      </c>
      <c r="H75" t="s">
        <v>436</v>
      </c>
      <c r="I75" t="s">
        <v>57</v>
      </c>
      <c r="J75" t="s">
        <v>49</v>
      </c>
      <c r="K75" t="s">
        <v>554</v>
      </c>
      <c r="M75" t="s">
        <v>1061</v>
      </c>
      <c r="Q75" t="s">
        <v>1284</v>
      </c>
    </row>
    <row r="76" spans="1:17" x14ac:dyDescent="0.35">
      <c r="A76" t="s">
        <v>577</v>
      </c>
      <c r="B76" t="s">
        <v>475</v>
      </c>
      <c r="C76" t="s">
        <v>255</v>
      </c>
      <c r="D76" t="s">
        <v>256</v>
      </c>
      <c r="E76" t="s">
        <v>257</v>
      </c>
      <c r="G76" t="s">
        <v>454</v>
      </c>
      <c r="H76" t="s">
        <v>436</v>
      </c>
      <c r="I76" t="s">
        <v>99</v>
      </c>
      <c r="J76" t="s">
        <v>93</v>
      </c>
      <c r="K76" t="s">
        <v>554</v>
      </c>
      <c r="M76" t="s">
        <v>557</v>
      </c>
      <c r="P76" t="s">
        <v>568</v>
      </c>
      <c r="Q76" t="s">
        <v>1286</v>
      </c>
    </row>
    <row r="77" spans="1:17" x14ac:dyDescent="0.35">
      <c r="A77" t="s">
        <v>577</v>
      </c>
      <c r="B77" t="s">
        <v>262</v>
      </c>
      <c r="D77" t="s">
        <v>264</v>
      </c>
      <c r="G77" t="s">
        <v>454</v>
      </c>
      <c r="H77" t="s">
        <v>436</v>
      </c>
      <c r="I77" t="s">
        <v>265</v>
      </c>
      <c r="J77" t="s">
        <v>93</v>
      </c>
      <c r="K77" t="s">
        <v>554</v>
      </c>
      <c r="M77" t="s">
        <v>557</v>
      </c>
      <c r="Q77" t="s">
        <v>1286</v>
      </c>
    </row>
    <row r="78" spans="1:17" x14ac:dyDescent="0.35">
      <c r="A78" t="s">
        <v>577</v>
      </c>
      <c r="B78" t="s">
        <v>268</v>
      </c>
      <c r="D78" t="s">
        <v>271</v>
      </c>
      <c r="G78" t="s">
        <v>438</v>
      </c>
      <c r="H78" t="s">
        <v>436</v>
      </c>
      <c r="I78" t="s">
        <v>99</v>
      </c>
      <c r="J78" t="s">
        <v>272</v>
      </c>
      <c r="K78" t="s">
        <v>554</v>
      </c>
    </row>
    <row r="79" spans="1:17" x14ac:dyDescent="0.35">
      <c r="A79" t="s">
        <v>577</v>
      </c>
      <c r="B79" t="s">
        <v>439</v>
      </c>
      <c r="C79" t="s">
        <v>274</v>
      </c>
      <c r="D79" t="s">
        <v>275</v>
      </c>
      <c r="E79" t="s">
        <v>276</v>
      </c>
      <c r="G79" t="s">
        <v>435</v>
      </c>
      <c r="H79" t="s">
        <v>436</v>
      </c>
      <c r="I79" t="s">
        <v>265</v>
      </c>
      <c r="J79" t="s">
        <v>116</v>
      </c>
      <c r="K79" t="s">
        <v>555</v>
      </c>
      <c r="M79" t="s">
        <v>557</v>
      </c>
      <c r="P79" t="s">
        <v>562</v>
      </c>
      <c r="Q79" t="s">
        <v>1494</v>
      </c>
    </row>
    <row r="80" spans="1:17" x14ac:dyDescent="0.35">
      <c r="A80" t="s">
        <v>577</v>
      </c>
      <c r="B80" t="s">
        <v>278</v>
      </c>
      <c r="D80" t="s">
        <v>279</v>
      </c>
      <c r="G80" t="s">
        <v>435</v>
      </c>
      <c r="H80" t="s">
        <v>436</v>
      </c>
      <c r="I80" t="s">
        <v>91</v>
      </c>
      <c r="J80" t="s">
        <v>116</v>
      </c>
      <c r="K80" t="s">
        <v>555</v>
      </c>
      <c r="M80" t="s">
        <v>557</v>
      </c>
      <c r="N80" t="s">
        <v>1076</v>
      </c>
      <c r="Q80" t="s">
        <v>1494</v>
      </c>
    </row>
    <row r="81" spans="1:18" x14ac:dyDescent="0.35">
      <c r="A81" t="s">
        <v>577</v>
      </c>
      <c r="B81" t="s">
        <v>482</v>
      </c>
      <c r="D81" t="s">
        <v>483</v>
      </c>
      <c r="G81" t="s">
        <v>443</v>
      </c>
      <c r="H81" t="s">
        <v>436</v>
      </c>
      <c r="I81" t="s">
        <v>99</v>
      </c>
      <c r="J81" t="s">
        <v>114</v>
      </c>
      <c r="K81" t="s">
        <v>554</v>
      </c>
      <c r="Q81" t="s">
        <v>1496</v>
      </c>
    </row>
    <row r="82" spans="1:18" x14ac:dyDescent="0.35">
      <c r="A82" t="s">
        <v>577</v>
      </c>
      <c r="B82" t="s">
        <v>281</v>
      </c>
      <c r="C82" t="s">
        <v>153</v>
      </c>
      <c r="D82" t="s">
        <v>282</v>
      </c>
      <c r="E82" t="s">
        <v>155</v>
      </c>
      <c r="G82" t="s">
        <v>437</v>
      </c>
      <c r="H82" t="s">
        <v>436</v>
      </c>
      <c r="I82" t="s">
        <v>78</v>
      </c>
      <c r="J82" t="s">
        <v>49</v>
      </c>
      <c r="K82" t="s">
        <v>554</v>
      </c>
      <c r="M82" t="s">
        <v>557</v>
      </c>
      <c r="P82" t="s">
        <v>567</v>
      </c>
      <c r="Q82" t="s">
        <v>1497</v>
      </c>
    </row>
    <row r="83" spans="1:18" x14ac:dyDescent="0.35">
      <c r="A83" t="s">
        <v>577</v>
      </c>
      <c r="B83" t="s">
        <v>284</v>
      </c>
      <c r="D83" t="s">
        <v>287</v>
      </c>
      <c r="G83" t="s">
        <v>440</v>
      </c>
      <c r="H83" t="s">
        <v>436</v>
      </c>
      <c r="I83" t="s">
        <v>78</v>
      </c>
      <c r="J83" t="s">
        <v>114</v>
      </c>
      <c r="K83" t="s">
        <v>1070</v>
      </c>
      <c r="M83" t="s">
        <v>1059</v>
      </c>
      <c r="Q83" t="s">
        <v>1496</v>
      </c>
    </row>
    <row r="84" spans="1:18" x14ac:dyDescent="0.35">
      <c r="A84" t="s">
        <v>577</v>
      </c>
      <c r="B84" t="s">
        <v>289</v>
      </c>
      <c r="D84" t="s">
        <v>292</v>
      </c>
      <c r="G84" t="s">
        <v>440</v>
      </c>
      <c r="H84" t="s">
        <v>436</v>
      </c>
      <c r="I84" t="s">
        <v>78</v>
      </c>
      <c r="J84" t="s">
        <v>293</v>
      </c>
      <c r="K84" t="s">
        <v>554</v>
      </c>
      <c r="M84" t="s">
        <v>557</v>
      </c>
      <c r="Q84" t="s">
        <v>1249</v>
      </c>
    </row>
    <row r="85" spans="1:18" x14ac:dyDescent="0.35">
      <c r="A85" t="s">
        <v>577</v>
      </c>
      <c r="B85" t="s">
        <v>295</v>
      </c>
      <c r="D85" t="s">
        <v>296</v>
      </c>
      <c r="G85" t="s">
        <v>438</v>
      </c>
      <c r="H85" t="s">
        <v>436</v>
      </c>
      <c r="I85" t="s">
        <v>64</v>
      </c>
      <c r="J85" t="s">
        <v>65</v>
      </c>
      <c r="K85" t="s">
        <v>555</v>
      </c>
      <c r="L85" t="s">
        <v>556</v>
      </c>
      <c r="M85" t="s">
        <v>1060</v>
      </c>
      <c r="N85" t="s">
        <v>1079</v>
      </c>
      <c r="Q85" t="s">
        <v>1494</v>
      </c>
    </row>
    <row r="86" spans="1:18" x14ac:dyDescent="0.35">
      <c r="A86" t="s">
        <v>577</v>
      </c>
      <c r="B86" t="s">
        <v>517</v>
      </c>
      <c r="D86" t="s">
        <v>518</v>
      </c>
      <c r="G86" t="s">
        <v>440</v>
      </c>
      <c r="H86" t="s">
        <v>436</v>
      </c>
      <c r="I86" t="s">
        <v>99</v>
      </c>
      <c r="J86" t="s">
        <v>551</v>
      </c>
      <c r="K86" t="s">
        <v>554</v>
      </c>
      <c r="Q86" t="s">
        <v>1496</v>
      </c>
    </row>
    <row r="87" spans="1:18" x14ac:dyDescent="0.35">
      <c r="A87" t="s">
        <v>577</v>
      </c>
      <c r="B87" t="s">
        <v>298</v>
      </c>
      <c r="D87" t="s">
        <v>301</v>
      </c>
      <c r="G87" t="s">
        <v>440</v>
      </c>
      <c r="H87" t="s">
        <v>436</v>
      </c>
      <c r="I87" t="s">
        <v>64</v>
      </c>
      <c r="J87" t="s">
        <v>293</v>
      </c>
      <c r="K87" t="s">
        <v>555</v>
      </c>
      <c r="L87" t="s">
        <v>556</v>
      </c>
      <c r="M87" t="s">
        <v>1059</v>
      </c>
      <c r="N87" t="s">
        <v>1067</v>
      </c>
      <c r="Q87" t="s">
        <v>1496</v>
      </c>
    </row>
    <row r="88" spans="1:18" x14ac:dyDescent="0.35">
      <c r="A88" t="s">
        <v>577</v>
      </c>
      <c r="B88" t="s">
        <v>302</v>
      </c>
      <c r="C88" t="s">
        <v>223</v>
      </c>
      <c r="D88" t="s">
        <v>303</v>
      </c>
      <c r="E88" t="s">
        <v>225</v>
      </c>
      <c r="G88" t="s">
        <v>442</v>
      </c>
      <c r="H88" t="s">
        <v>436</v>
      </c>
      <c r="I88" t="s">
        <v>265</v>
      </c>
      <c r="J88" t="s">
        <v>304</v>
      </c>
      <c r="K88" t="s">
        <v>555</v>
      </c>
      <c r="P88" t="s">
        <v>565</v>
      </c>
    </row>
    <row r="89" spans="1:18" x14ac:dyDescent="0.35">
      <c r="A89" t="s">
        <v>577</v>
      </c>
      <c r="B89" t="s">
        <v>527</v>
      </c>
      <c r="C89" t="s">
        <v>404</v>
      </c>
      <c r="D89" t="s">
        <v>526</v>
      </c>
      <c r="E89" t="s">
        <v>406</v>
      </c>
      <c r="G89" t="s">
        <v>438</v>
      </c>
      <c r="H89" t="s">
        <v>541</v>
      </c>
      <c r="I89" t="s">
        <v>412</v>
      </c>
      <c r="J89" t="s">
        <v>552</v>
      </c>
      <c r="K89" t="s">
        <v>554</v>
      </c>
      <c r="M89" t="s">
        <v>1291</v>
      </c>
      <c r="P89" t="s">
        <v>574</v>
      </c>
      <c r="Q89" t="s">
        <v>1251</v>
      </c>
    </row>
    <row r="90" spans="1:18" x14ac:dyDescent="0.35">
      <c r="A90" s="9" t="s">
        <v>577</v>
      </c>
      <c r="B90" s="9" t="s">
        <v>312</v>
      </c>
      <c r="C90" s="9"/>
      <c r="D90" s="9" t="s">
        <v>314</v>
      </c>
      <c r="E90" s="9"/>
      <c r="F90" s="9"/>
      <c r="G90" s="9" t="s">
        <v>437</v>
      </c>
      <c r="H90" s="9" t="s">
        <v>436</v>
      </c>
      <c r="I90" s="9" t="s">
        <v>64</v>
      </c>
      <c r="J90" s="9" t="s">
        <v>310</v>
      </c>
      <c r="K90" s="9" t="s">
        <v>554</v>
      </c>
      <c r="L90" s="9"/>
      <c r="M90" s="9" t="s">
        <v>557</v>
      </c>
      <c r="N90" s="9"/>
      <c r="O90" s="9"/>
      <c r="P90" s="9"/>
      <c r="Q90" s="9"/>
      <c r="R90" s="9"/>
    </row>
    <row r="91" spans="1:18" x14ac:dyDescent="0.35">
      <c r="A91" t="s">
        <v>577</v>
      </c>
      <c r="B91" t="s">
        <v>322</v>
      </c>
      <c r="D91" t="s">
        <v>324</v>
      </c>
      <c r="G91" t="s">
        <v>437</v>
      </c>
      <c r="H91" t="s">
        <v>436</v>
      </c>
      <c r="I91" t="s">
        <v>325</v>
      </c>
      <c r="J91" t="s">
        <v>321</v>
      </c>
      <c r="K91" t="s">
        <v>554</v>
      </c>
    </row>
    <row r="92" spans="1:18" x14ac:dyDescent="0.35">
      <c r="A92" t="s">
        <v>577</v>
      </c>
      <c r="B92" t="s">
        <v>484</v>
      </c>
      <c r="D92" t="s">
        <v>485</v>
      </c>
      <c r="G92" t="s">
        <v>443</v>
      </c>
      <c r="H92" t="s">
        <v>436</v>
      </c>
      <c r="I92" t="s">
        <v>265</v>
      </c>
      <c r="J92" t="s">
        <v>547</v>
      </c>
      <c r="K92" t="s">
        <v>554</v>
      </c>
    </row>
    <row r="93" spans="1:18" x14ac:dyDescent="0.35">
      <c r="A93" t="s">
        <v>577</v>
      </c>
      <c r="B93" t="s">
        <v>329</v>
      </c>
      <c r="D93" t="s">
        <v>331</v>
      </c>
      <c r="G93" t="s">
        <v>437</v>
      </c>
      <c r="H93" t="s">
        <v>436</v>
      </c>
      <c r="I93" t="s">
        <v>91</v>
      </c>
      <c r="J93" t="s">
        <v>332</v>
      </c>
      <c r="K93" t="s">
        <v>554</v>
      </c>
      <c r="M93" t="s">
        <v>1059</v>
      </c>
      <c r="N93" t="s">
        <v>1078</v>
      </c>
      <c r="Q93" t="s">
        <v>1496</v>
      </c>
    </row>
    <row r="94" spans="1:18" x14ac:dyDescent="0.35">
      <c r="A94" t="s">
        <v>577</v>
      </c>
      <c r="B94" t="s">
        <v>501</v>
      </c>
      <c r="D94" t="s">
        <v>502</v>
      </c>
      <c r="G94" t="s">
        <v>438</v>
      </c>
      <c r="H94" t="s">
        <v>436</v>
      </c>
      <c r="I94" t="s">
        <v>265</v>
      </c>
      <c r="J94" t="s">
        <v>116</v>
      </c>
      <c r="K94" t="s">
        <v>554</v>
      </c>
      <c r="M94" t="s">
        <v>557</v>
      </c>
      <c r="N94" t="s">
        <v>1080</v>
      </c>
    </row>
    <row r="95" spans="1:18" x14ac:dyDescent="0.35">
      <c r="A95" t="s">
        <v>577</v>
      </c>
      <c r="B95" t="s">
        <v>532</v>
      </c>
      <c r="D95" t="s">
        <v>533</v>
      </c>
      <c r="G95" t="s">
        <v>438</v>
      </c>
      <c r="H95" t="s">
        <v>541</v>
      </c>
      <c r="I95" t="s">
        <v>71</v>
      </c>
      <c r="J95" t="s">
        <v>553</v>
      </c>
      <c r="K95" t="s">
        <v>554</v>
      </c>
      <c r="M95" t="s">
        <v>557</v>
      </c>
    </row>
    <row r="96" spans="1:18" x14ac:dyDescent="0.35">
      <c r="A96" t="s">
        <v>577</v>
      </c>
      <c r="B96" t="s">
        <v>469</v>
      </c>
      <c r="C96" t="s">
        <v>153</v>
      </c>
      <c r="D96" t="s">
        <v>470</v>
      </c>
      <c r="E96" t="s">
        <v>155</v>
      </c>
      <c r="G96" t="s">
        <v>437</v>
      </c>
      <c r="H96" t="s">
        <v>541</v>
      </c>
      <c r="I96" t="s">
        <v>543</v>
      </c>
      <c r="J96" t="s">
        <v>150</v>
      </c>
      <c r="K96" t="s">
        <v>554</v>
      </c>
      <c r="P96" t="s">
        <v>570</v>
      </c>
      <c r="Q96" t="s">
        <v>1285</v>
      </c>
    </row>
    <row r="97" spans="1:17" x14ac:dyDescent="0.35">
      <c r="A97" t="s">
        <v>577</v>
      </c>
      <c r="B97" t="s">
        <v>334</v>
      </c>
      <c r="D97" t="s">
        <v>335</v>
      </c>
      <c r="G97" t="s">
        <v>437</v>
      </c>
      <c r="H97" t="s">
        <v>436</v>
      </c>
      <c r="I97" t="s">
        <v>64</v>
      </c>
      <c r="J97" t="s">
        <v>336</v>
      </c>
      <c r="K97" t="s">
        <v>554</v>
      </c>
      <c r="M97" t="s">
        <v>557</v>
      </c>
      <c r="Q97" t="s">
        <v>1496</v>
      </c>
    </row>
    <row r="98" spans="1:17" x14ac:dyDescent="0.35">
      <c r="A98" t="s">
        <v>577</v>
      </c>
      <c r="B98" t="s">
        <v>338</v>
      </c>
      <c r="D98" t="s">
        <v>339</v>
      </c>
      <c r="G98" t="s">
        <v>438</v>
      </c>
      <c r="H98" t="s">
        <v>436</v>
      </c>
      <c r="I98" t="s">
        <v>91</v>
      </c>
      <c r="J98" t="s">
        <v>65</v>
      </c>
      <c r="K98" t="s">
        <v>555</v>
      </c>
      <c r="L98" t="s">
        <v>556</v>
      </c>
      <c r="M98" t="s">
        <v>1062</v>
      </c>
      <c r="N98" t="s">
        <v>1067</v>
      </c>
      <c r="Q98" t="s">
        <v>1494</v>
      </c>
    </row>
    <row r="99" spans="1:17" x14ac:dyDescent="0.35">
      <c r="A99" t="s">
        <v>577</v>
      </c>
      <c r="B99" t="s">
        <v>341</v>
      </c>
      <c r="D99" t="s">
        <v>342</v>
      </c>
      <c r="G99" t="s">
        <v>440</v>
      </c>
      <c r="H99" t="s">
        <v>436</v>
      </c>
      <c r="I99" t="s">
        <v>78</v>
      </c>
      <c r="J99" t="s">
        <v>293</v>
      </c>
      <c r="K99" t="s">
        <v>555</v>
      </c>
      <c r="M99" t="s">
        <v>557</v>
      </c>
      <c r="Q99" t="s">
        <v>1496</v>
      </c>
    </row>
    <row r="100" spans="1:17" x14ac:dyDescent="0.35">
      <c r="A100" t="s">
        <v>577</v>
      </c>
      <c r="B100" t="s">
        <v>344</v>
      </c>
      <c r="D100" t="s">
        <v>347</v>
      </c>
      <c r="G100" t="s">
        <v>438</v>
      </c>
      <c r="H100" t="s">
        <v>436</v>
      </c>
      <c r="I100" t="s">
        <v>64</v>
      </c>
      <c r="J100" t="s">
        <v>65</v>
      </c>
      <c r="K100" t="s">
        <v>555</v>
      </c>
      <c r="M100" t="s">
        <v>1059</v>
      </c>
      <c r="N100" t="s">
        <v>1067</v>
      </c>
      <c r="Q100" s="17" t="s">
        <v>1493</v>
      </c>
    </row>
    <row r="101" spans="1:17" hidden="1" x14ac:dyDescent="0.35">
      <c r="A101" t="s">
        <v>577</v>
      </c>
      <c r="B101" t="s">
        <v>509</v>
      </c>
      <c r="D101" t="s">
        <v>510</v>
      </c>
      <c r="G101" t="s">
        <v>437</v>
      </c>
      <c r="H101" t="s">
        <v>436</v>
      </c>
      <c r="I101" t="s">
        <v>91</v>
      </c>
      <c r="J101" t="s">
        <v>120</v>
      </c>
      <c r="K101" t="s">
        <v>554</v>
      </c>
    </row>
    <row r="102" spans="1:17" hidden="1" x14ac:dyDescent="0.35">
      <c r="A102" t="s">
        <v>577</v>
      </c>
      <c r="B102" t="s">
        <v>352</v>
      </c>
      <c r="C102" t="s">
        <v>353</v>
      </c>
      <c r="D102" t="s">
        <v>354</v>
      </c>
      <c r="E102" t="s">
        <v>355</v>
      </c>
      <c r="G102" t="s">
        <v>437</v>
      </c>
      <c r="H102" t="s">
        <v>541</v>
      </c>
      <c r="I102" t="s">
        <v>106</v>
      </c>
      <c r="J102" t="s">
        <v>356</v>
      </c>
      <c r="K102" t="s">
        <v>554</v>
      </c>
      <c r="P102" t="s">
        <v>569</v>
      </c>
    </row>
    <row r="103" spans="1:17" x14ac:dyDescent="0.35">
      <c r="A103" t="s">
        <v>577</v>
      </c>
      <c r="B103" t="s">
        <v>452</v>
      </c>
      <c r="C103" t="s">
        <v>362</v>
      </c>
      <c r="D103" t="s">
        <v>453</v>
      </c>
      <c r="E103" t="s">
        <v>366</v>
      </c>
      <c r="G103" t="s">
        <v>454</v>
      </c>
      <c r="H103" t="s">
        <v>436</v>
      </c>
      <c r="I103" t="s">
        <v>99</v>
      </c>
      <c r="J103" t="s">
        <v>116</v>
      </c>
      <c r="K103" t="s">
        <v>555</v>
      </c>
      <c r="P103" t="s">
        <v>563</v>
      </c>
    </row>
    <row r="104" spans="1:17" x14ac:dyDescent="0.35">
      <c r="A104" t="s">
        <v>577</v>
      </c>
      <c r="B104" t="s">
        <v>358</v>
      </c>
      <c r="D104" t="s">
        <v>360</v>
      </c>
      <c r="G104" t="s">
        <v>443</v>
      </c>
      <c r="H104" t="s">
        <v>436</v>
      </c>
      <c r="I104" t="s">
        <v>78</v>
      </c>
      <c r="J104" t="s">
        <v>49</v>
      </c>
      <c r="K104" t="s">
        <v>555</v>
      </c>
      <c r="M104" t="s">
        <v>1062</v>
      </c>
      <c r="Q104" t="s">
        <v>1500</v>
      </c>
    </row>
    <row r="105" spans="1:17" x14ac:dyDescent="0.35">
      <c r="A105" t="s">
        <v>577</v>
      </c>
      <c r="B105" t="s">
        <v>455</v>
      </c>
      <c r="C105" t="s">
        <v>362</v>
      </c>
      <c r="D105" t="s">
        <v>365</v>
      </c>
      <c r="E105" t="s">
        <v>366</v>
      </c>
      <c r="G105" t="s">
        <v>454</v>
      </c>
      <c r="H105" t="s">
        <v>436</v>
      </c>
      <c r="I105" t="s">
        <v>265</v>
      </c>
      <c r="J105" t="s">
        <v>116</v>
      </c>
      <c r="K105" t="s">
        <v>555</v>
      </c>
      <c r="P105" t="s">
        <v>563</v>
      </c>
    </row>
    <row r="106" spans="1:17" x14ac:dyDescent="0.35">
      <c r="A106" t="s">
        <v>577</v>
      </c>
      <c r="B106" t="s">
        <v>368</v>
      </c>
      <c r="C106" t="s">
        <v>223</v>
      </c>
      <c r="D106" t="s">
        <v>369</v>
      </c>
      <c r="E106" t="s">
        <v>225</v>
      </c>
      <c r="G106" t="s">
        <v>442</v>
      </c>
      <c r="H106" t="s">
        <v>436</v>
      </c>
      <c r="I106" t="s">
        <v>265</v>
      </c>
      <c r="J106" t="s">
        <v>370</v>
      </c>
      <c r="K106" t="s">
        <v>555</v>
      </c>
      <c r="P106" t="s">
        <v>565</v>
      </c>
    </row>
    <row r="107" spans="1:17" x14ac:dyDescent="0.35">
      <c r="A107" t="s">
        <v>577</v>
      </c>
      <c r="B107" t="s">
        <v>525</v>
      </c>
      <c r="C107" t="s">
        <v>404</v>
      </c>
      <c r="D107" t="s">
        <v>526</v>
      </c>
      <c r="E107" t="s">
        <v>406</v>
      </c>
      <c r="G107" t="s">
        <v>438</v>
      </c>
      <c r="H107" t="s">
        <v>436</v>
      </c>
      <c r="I107" t="s">
        <v>99</v>
      </c>
      <c r="J107" t="s">
        <v>374</v>
      </c>
      <c r="K107" t="s">
        <v>554</v>
      </c>
      <c r="M107" t="s">
        <v>1291</v>
      </c>
      <c r="P107" t="s">
        <v>574</v>
      </c>
      <c r="Q107" t="s">
        <v>1496</v>
      </c>
    </row>
    <row r="108" spans="1:17" x14ac:dyDescent="0.35">
      <c r="A108" t="s">
        <v>577</v>
      </c>
      <c r="B108" t="s">
        <v>528</v>
      </c>
      <c r="C108" t="s">
        <v>404</v>
      </c>
      <c r="D108" t="s">
        <v>529</v>
      </c>
      <c r="E108" t="s">
        <v>406</v>
      </c>
      <c r="G108" t="s">
        <v>438</v>
      </c>
      <c r="H108" t="s">
        <v>436</v>
      </c>
      <c r="I108" t="s">
        <v>99</v>
      </c>
      <c r="J108" t="s">
        <v>374</v>
      </c>
      <c r="K108" t="s">
        <v>554</v>
      </c>
      <c r="P108" t="s">
        <v>574</v>
      </c>
      <c r="Q108" t="s">
        <v>1496</v>
      </c>
    </row>
    <row r="109" spans="1:17" x14ac:dyDescent="0.35">
      <c r="A109" t="s">
        <v>577</v>
      </c>
      <c r="B109" t="s">
        <v>388</v>
      </c>
      <c r="D109" t="s">
        <v>391</v>
      </c>
      <c r="G109" t="s">
        <v>539</v>
      </c>
      <c r="H109" t="s">
        <v>541</v>
      </c>
      <c r="I109" t="s">
        <v>71</v>
      </c>
      <c r="J109" t="s">
        <v>392</v>
      </c>
      <c r="K109" t="s">
        <v>554</v>
      </c>
      <c r="M109" t="s">
        <v>557</v>
      </c>
      <c r="Q109" t="s">
        <v>1254</v>
      </c>
    </row>
    <row r="110" spans="1:17" x14ac:dyDescent="0.35">
      <c r="A110" t="s">
        <v>577</v>
      </c>
      <c r="B110" t="s">
        <v>394</v>
      </c>
      <c r="D110" t="s">
        <v>396</v>
      </c>
      <c r="G110" t="s">
        <v>442</v>
      </c>
      <c r="H110" t="s">
        <v>436</v>
      </c>
      <c r="I110" t="s">
        <v>91</v>
      </c>
      <c r="J110" t="s">
        <v>397</v>
      </c>
      <c r="K110" t="s">
        <v>554</v>
      </c>
      <c r="M110" t="s">
        <v>557</v>
      </c>
      <c r="Q110" t="s">
        <v>1496</v>
      </c>
    </row>
    <row r="111" spans="1:17" x14ac:dyDescent="0.35">
      <c r="A111" t="s">
        <v>577</v>
      </c>
      <c r="B111" t="s">
        <v>451</v>
      </c>
      <c r="C111" t="s">
        <v>399</v>
      </c>
      <c r="D111" t="s">
        <v>402</v>
      </c>
      <c r="E111" t="s">
        <v>403</v>
      </c>
      <c r="G111" t="s">
        <v>438</v>
      </c>
      <c r="H111" t="s">
        <v>436</v>
      </c>
      <c r="I111" t="s">
        <v>99</v>
      </c>
      <c r="J111" t="s">
        <v>116</v>
      </c>
      <c r="K111" t="s">
        <v>555</v>
      </c>
      <c r="M111" t="s">
        <v>557</v>
      </c>
      <c r="P111" t="s">
        <v>566</v>
      </c>
    </row>
    <row r="112" spans="1:17" x14ac:dyDescent="0.35">
      <c r="A112" t="s">
        <v>577</v>
      </c>
      <c r="B112" t="s">
        <v>530</v>
      </c>
      <c r="C112" t="s">
        <v>404</v>
      </c>
      <c r="D112" t="s">
        <v>531</v>
      </c>
      <c r="E112" t="s">
        <v>406</v>
      </c>
      <c r="G112" t="s">
        <v>438</v>
      </c>
      <c r="H112" t="s">
        <v>436</v>
      </c>
      <c r="I112" t="s">
        <v>99</v>
      </c>
      <c r="J112" t="s">
        <v>374</v>
      </c>
      <c r="K112" t="s">
        <v>554</v>
      </c>
      <c r="P112" t="s">
        <v>574</v>
      </c>
      <c r="Q112" t="s">
        <v>1496</v>
      </c>
    </row>
    <row r="113" spans="1:17" x14ac:dyDescent="0.35">
      <c r="A113" t="s">
        <v>577</v>
      </c>
      <c r="B113" t="s">
        <v>410</v>
      </c>
      <c r="D113" t="s">
        <v>411</v>
      </c>
      <c r="G113" t="s">
        <v>440</v>
      </c>
      <c r="H113" t="s">
        <v>541</v>
      </c>
      <c r="I113" t="s">
        <v>412</v>
      </c>
      <c r="J113" t="s">
        <v>413</v>
      </c>
      <c r="K113" t="s">
        <v>554</v>
      </c>
      <c r="M113" t="s">
        <v>557</v>
      </c>
      <c r="N113" t="s">
        <v>1067</v>
      </c>
    </row>
    <row r="114" spans="1:17" hidden="1" x14ac:dyDescent="0.35">
      <c r="A114" t="s">
        <v>577</v>
      </c>
      <c r="B114" t="s">
        <v>417</v>
      </c>
      <c r="C114" t="s">
        <v>25</v>
      </c>
      <c r="D114" t="s">
        <v>418</v>
      </c>
      <c r="E114" t="s">
        <v>28</v>
      </c>
      <c r="G114" t="s">
        <v>437</v>
      </c>
      <c r="H114" t="s">
        <v>541</v>
      </c>
      <c r="I114" t="s">
        <v>71</v>
      </c>
      <c r="J114" t="s">
        <v>415</v>
      </c>
      <c r="K114" t="s">
        <v>554</v>
      </c>
      <c r="M114" t="s">
        <v>557</v>
      </c>
      <c r="P114" t="s">
        <v>572</v>
      </c>
    </row>
    <row r="115" spans="1:17" x14ac:dyDescent="0.35">
      <c r="A115" t="s">
        <v>577</v>
      </c>
      <c r="B115" t="s">
        <v>420</v>
      </c>
      <c r="D115" t="s">
        <v>421</v>
      </c>
      <c r="G115" t="s">
        <v>443</v>
      </c>
      <c r="H115" t="s">
        <v>436</v>
      </c>
      <c r="I115" t="s">
        <v>91</v>
      </c>
      <c r="J115" t="s">
        <v>422</v>
      </c>
      <c r="K115" t="s">
        <v>554</v>
      </c>
      <c r="M115" t="s">
        <v>557</v>
      </c>
      <c r="Q115" t="s">
        <v>1496</v>
      </c>
    </row>
    <row r="116" spans="1:17" hidden="1" x14ac:dyDescent="0.35">
      <c r="A116" t="s">
        <v>577</v>
      </c>
      <c r="B116" t="s">
        <v>519</v>
      </c>
      <c r="D116" t="s">
        <v>520</v>
      </c>
      <c r="G116" t="s">
        <v>438</v>
      </c>
      <c r="H116" t="s">
        <v>541</v>
      </c>
      <c r="I116" t="s">
        <v>106</v>
      </c>
      <c r="J116" t="s">
        <v>36</v>
      </c>
      <c r="K116" t="s">
        <v>554</v>
      </c>
    </row>
    <row r="117" spans="1:17" x14ac:dyDescent="0.35">
      <c r="A117" t="s">
        <v>577</v>
      </c>
      <c r="B117" t="s">
        <v>424</v>
      </c>
      <c r="D117" t="s">
        <v>427</v>
      </c>
      <c r="G117" t="s">
        <v>437</v>
      </c>
      <c r="H117" t="s">
        <v>436</v>
      </c>
      <c r="I117" t="s">
        <v>64</v>
      </c>
      <c r="J117" t="s">
        <v>65</v>
      </c>
      <c r="K117" t="s">
        <v>555</v>
      </c>
      <c r="L117" t="s">
        <v>556</v>
      </c>
      <c r="M117" t="s">
        <v>1062</v>
      </c>
      <c r="N117" t="s">
        <v>1068</v>
      </c>
      <c r="Q117" t="s">
        <v>1494</v>
      </c>
    </row>
    <row r="118" spans="1:17" hidden="1" x14ac:dyDescent="0.35">
      <c r="A118" t="s">
        <v>577</v>
      </c>
      <c r="B118" t="s">
        <v>490</v>
      </c>
      <c r="D118" t="s">
        <v>491</v>
      </c>
      <c r="G118" t="s">
        <v>438</v>
      </c>
      <c r="H118" t="s">
        <v>541</v>
      </c>
      <c r="I118" t="s">
        <v>106</v>
      </c>
      <c r="J118" t="s">
        <v>36</v>
      </c>
      <c r="K118" t="s">
        <v>554</v>
      </c>
    </row>
    <row r="119" spans="1:17" x14ac:dyDescent="0.35">
      <c r="A119" t="s">
        <v>577</v>
      </c>
      <c r="B119" t="s">
        <v>429</v>
      </c>
      <c r="D119" t="s">
        <v>430</v>
      </c>
      <c r="G119" t="s">
        <v>438</v>
      </c>
      <c r="H119" t="s">
        <v>436</v>
      </c>
      <c r="I119" t="s">
        <v>64</v>
      </c>
      <c r="J119" t="s">
        <v>116</v>
      </c>
      <c r="K119" t="s">
        <v>555</v>
      </c>
      <c r="L119" t="s">
        <v>556</v>
      </c>
      <c r="M119" t="s">
        <v>1060</v>
      </c>
      <c r="N119" t="s">
        <v>1067</v>
      </c>
      <c r="Q119" t="s">
        <v>1494</v>
      </c>
    </row>
    <row r="120" spans="1:17" x14ac:dyDescent="0.35">
      <c r="A120" t="s">
        <v>576</v>
      </c>
      <c r="C120" t="s">
        <v>274</v>
      </c>
      <c r="E120" t="s">
        <v>276</v>
      </c>
      <c r="G120" t="s">
        <v>435</v>
      </c>
      <c r="H120" t="s">
        <v>436</v>
      </c>
      <c r="I120" t="s">
        <v>325</v>
      </c>
      <c r="J120" t="s">
        <v>116</v>
      </c>
      <c r="K120" t="s">
        <v>555</v>
      </c>
      <c r="M120" t="s">
        <v>557</v>
      </c>
      <c r="N120" t="s">
        <v>1075</v>
      </c>
      <c r="P120" t="s">
        <v>562</v>
      </c>
      <c r="Q120" t="s">
        <v>1494</v>
      </c>
    </row>
    <row r="121" spans="1:17" x14ac:dyDescent="0.35">
      <c r="A121" t="s">
        <v>576</v>
      </c>
      <c r="C121" t="s">
        <v>192</v>
      </c>
      <c r="E121" t="s">
        <v>194</v>
      </c>
      <c r="G121" t="s">
        <v>438</v>
      </c>
      <c r="H121" t="s">
        <v>436</v>
      </c>
      <c r="I121" t="s">
        <v>325</v>
      </c>
      <c r="J121" t="s">
        <v>116</v>
      </c>
      <c r="K121" t="s">
        <v>555</v>
      </c>
      <c r="L121" t="s">
        <v>556</v>
      </c>
      <c r="M121" t="s">
        <v>1058</v>
      </c>
      <c r="N121" t="s">
        <v>1067</v>
      </c>
      <c r="P121" t="s">
        <v>564</v>
      </c>
      <c r="Q121" t="s">
        <v>1494</v>
      </c>
    </row>
    <row r="122" spans="1:17" x14ac:dyDescent="0.35">
      <c r="A122" t="s">
        <v>576</v>
      </c>
      <c r="C122" t="s">
        <v>399</v>
      </c>
      <c r="E122" t="s">
        <v>403</v>
      </c>
      <c r="G122" t="s">
        <v>438</v>
      </c>
      <c r="H122" t="s">
        <v>436</v>
      </c>
      <c r="I122" t="s">
        <v>64</v>
      </c>
      <c r="J122" t="s">
        <v>116</v>
      </c>
      <c r="K122" t="s">
        <v>555</v>
      </c>
      <c r="M122" t="s">
        <v>1059</v>
      </c>
      <c r="N122" t="s">
        <v>1067</v>
      </c>
      <c r="P122" t="s">
        <v>566</v>
      </c>
      <c r="Q122" t="s">
        <v>1494</v>
      </c>
    </row>
    <row r="123" spans="1:17" x14ac:dyDescent="0.35">
      <c r="A123" t="s">
        <v>576</v>
      </c>
      <c r="C123" t="s">
        <v>362</v>
      </c>
      <c r="E123" t="s">
        <v>366</v>
      </c>
      <c r="G123" t="s">
        <v>454</v>
      </c>
      <c r="H123" t="s">
        <v>436</v>
      </c>
      <c r="I123" t="s">
        <v>64</v>
      </c>
      <c r="J123" t="s">
        <v>116</v>
      </c>
      <c r="K123" t="s">
        <v>555</v>
      </c>
      <c r="M123" t="s">
        <v>1059</v>
      </c>
      <c r="N123" t="s">
        <v>1068</v>
      </c>
      <c r="P123" t="s">
        <v>563</v>
      </c>
      <c r="Q123" t="s">
        <v>1494</v>
      </c>
    </row>
    <row r="124" spans="1:17" x14ac:dyDescent="0.35">
      <c r="A124" t="s">
        <v>576</v>
      </c>
      <c r="C124" t="s">
        <v>223</v>
      </c>
      <c r="E124" t="s">
        <v>225</v>
      </c>
      <c r="G124" t="s">
        <v>442</v>
      </c>
      <c r="H124" t="s">
        <v>436</v>
      </c>
      <c r="I124" t="s">
        <v>64</v>
      </c>
      <c r="J124" t="s">
        <v>226</v>
      </c>
      <c r="K124" t="s">
        <v>555</v>
      </c>
      <c r="M124" t="s">
        <v>1059</v>
      </c>
      <c r="P124" t="s">
        <v>565</v>
      </c>
      <c r="Q124" t="s">
        <v>1494</v>
      </c>
    </row>
    <row r="125" spans="1:17" x14ac:dyDescent="0.35">
      <c r="A125" t="s">
        <v>577</v>
      </c>
      <c r="B125" t="s">
        <v>534</v>
      </c>
      <c r="C125" t="s">
        <v>404</v>
      </c>
      <c r="D125" t="s">
        <v>405</v>
      </c>
      <c r="E125" t="s">
        <v>406</v>
      </c>
      <c r="G125" t="s">
        <v>438</v>
      </c>
      <c r="H125" t="s">
        <v>436</v>
      </c>
      <c r="I125" t="s">
        <v>99</v>
      </c>
      <c r="J125" t="s">
        <v>407</v>
      </c>
      <c r="K125" t="s">
        <v>554</v>
      </c>
      <c r="P125" t="s">
        <v>574</v>
      </c>
      <c r="Q125" t="s">
        <v>1496</v>
      </c>
    </row>
    <row r="126" spans="1:17" x14ac:dyDescent="0.35">
      <c r="A126" t="s">
        <v>576</v>
      </c>
      <c r="C126" t="s">
        <v>192</v>
      </c>
      <c r="E126" t="s">
        <v>406</v>
      </c>
      <c r="G126" t="s">
        <v>438</v>
      </c>
      <c r="Q126" t="s">
        <v>1496</v>
      </c>
    </row>
  </sheetData>
  <autoFilter ref="A1:R126" xr:uid="{A8564214-080D-4E30-A7E8-7C2823AC0E88}">
    <filterColumn colId="9">
      <filters blank="1">
        <filter val="Copper"/>
        <filter val="Copper (cathodes), gold, silver, tellurium, selenium, nickel sulfate, copper sulfate, platinum group metals"/>
        <filter val="Copper anodes, precious metals, sulfuric acid"/>
        <filter val="Copper, gold, silver"/>
        <filter val="Copper, molybdenum, silver"/>
        <filter val="Copper, nickel, platinum group metals, gold, silver, cobalt"/>
        <filter val="Copper, silver, molybdenum"/>
        <filter val="Copper, zinc, silver, selenium, indium"/>
        <filter val="Electrolytic cobalt, platinum group metals (in residues), copper oxide"/>
        <filter val="Gold"/>
        <filter val="Gold, copper"/>
        <filter val="Gold, copper, silver"/>
        <filter val="Gold, silver"/>
        <filter val="Gold, zinc"/>
        <filter val="Gold, zinc, copper, silver"/>
        <filter val="Gold, zinc, copper, silver, cadmium"/>
        <filter val="Iron"/>
        <filter val="Iron ore"/>
        <filter val="Lithium"/>
        <filter val="Nickel (oxide sinter, pellets, powder, sulfide), copper cathodes, gold, silver, selenium cake, tellurium dioxide cake, platinum group metals (in residues), liquid sulfur dioxide, sulfuric acid"/>
        <filter val="Nickel, cobalt, copper sulfide, ammonium sulfate"/>
        <filter val="Nickel, cobalt, copper, platinum group metals, gold, silver"/>
        <filter val="Nickel, copper, cobalt"/>
        <filter val="Nickel, copper, cobalt, platinum group metals, gold"/>
        <filter val="Nickel, copper, platinum group metals, cobalt"/>
        <filter val="Nickel, copper, platinum group metals, gold, cobalt, silver"/>
        <filter val="Nickel, copper, platinum group metals, gold, silver, cobalt"/>
        <filter val="Nickel, copper, platinum group metals, gold, silver, cobalt, selenium, tellurium"/>
        <filter val="Nickel, platinum group metals, copper, cobalt, gold, silver"/>
        <filter val="Nickel-copper matte containing cobalt, gold, silver, platinum group metals"/>
        <filter val="Niobium"/>
        <filter val="Platinum group metals, gold, nickel, copper, cobalt"/>
        <filter val="Silver, zinc, lead"/>
        <filter val="Uranium"/>
        <filter val="Zinc, copper, silver, gold, lead"/>
        <filter val="Zinc, lead, bismuth, cadmium, indium, germanium, precious metals, liquid sulfur dioxide, sulfuric aci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sheetPr filterMode="1"/>
  <dimension ref="A1:AQ67"/>
  <sheetViews>
    <sheetView tabSelected="1" topLeftCell="F1" workbookViewId="0">
      <selection activeCell="H9" sqref="H9"/>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35.54296875" bestFit="1" customWidth="1"/>
    <col min="9" max="9" width="36.81640625" bestFit="1" customWidth="1"/>
    <col min="10" max="10" width="20.7265625" bestFit="1" customWidth="1"/>
    <col min="11" max="11" width="12.54296875" customWidth="1"/>
    <col min="12" max="12" width="50.54296875" bestFit="1" customWidth="1"/>
    <col min="13" max="13" width="13.1796875" bestFit="1" customWidth="1"/>
    <col min="14" max="14" width="15.08984375" customWidth="1"/>
    <col min="15" max="15" width="61.453125" customWidth="1"/>
    <col min="16" max="16" width="17.26953125" style="52" customWidth="1"/>
    <col min="17" max="17" width="14" style="52" bestFit="1" customWidth="1"/>
    <col min="18" max="18" width="20.26953125" style="52" customWidth="1"/>
    <col min="19" max="20" width="16.1796875" style="52" customWidth="1"/>
    <col min="21" max="23" width="11.81640625" style="39" customWidth="1"/>
    <col min="24" max="24" width="8.36328125" style="39" bestFit="1" customWidth="1"/>
    <col min="25" max="25" width="8.36328125" style="39" customWidth="1"/>
    <col min="26" max="26" width="10.90625" style="39" bestFit="1" customWidth="1"/>
    <col min="27" max="27" width="12.36328125" style="39" bestFit="1" customWidth="1"/>
    <col min="28" max="28" width="11.36328125" style="39" bestFit="1" customWidth="1"/>
    <col min="29" max="29" width="14.36328125" style="39" bestFit="1" customWidth="1"/>
    <col min="30" max="30" width="9.90625" style="39" bestFit="1" customWidth="1"/>
    <col min="31" max="33" width="9.90625" style="39" customWidth="1"/>
    <col min="34" max="34" width="11.81640625" style="44" customWidth="1"/>
    <col min="35" max="35" width="11.54296875" style="44" customWidth="1"/>
    <col min="36" max="36" width="12.54296875" style="44" bestFit="1" customWidth="1"/>
    <col min="37" max="37" width="11.81640625" style="44" bestFit="1" customWidth="1"/>
    <col min="38" max="38" width="11.81640625" style="44" customWidth="1"/>
    <col min="39" max="39" width="11.7265625" style="44" bestFit="1" customWidth="1"/>
    <col min="40" max="40" width="11.453125" style="44" bestFit="1" customWidth="1"/>
    <col min="41" max="41" width="11.81640625" style="44" customWidth="1"/>
    <col min="42" max="42" width="11" style="44" customWidth="1"/>
    <col min="43" max="43" width="12.08984375" style="44" customWidth="1"/>
  </cols>
  <sheetData>
    <row r="1" spans="1:43" x14ac:dyDescent="0.35">
      <c r="A1" s="18" t="s">
        <v>0</v>
      </c>
      <c r="B1" s="19" t="s">
        <v>1</v>
      </c>
      <c r="C1" s="19" t="s">
        <v>2</v>
      </c>
      <c r="D1" s="19" t="s">
        <v>3</v>
      </c>
      <c r="E1" s="19" t="s">
        <v>431</v>
      </c>
      <c r="F1" s="20" t="s">
        <v>432</v>
      </c>
      <c r="G1" s="18" t="s">
        <v>16</v>
      </c>
      <c r="H1" s="19" t="s">
        <v>1248</v>
      </c>
      <c r="I1" s="19" t="s">
        <v>1502</v>
      </c>
      <c r="J1" s="19" t="s">
        <v>1503</v>
      </c>
      <c r="K1" s="19" t="s">
        <v>1071</v>
      </c>
      <c r="L1" s="20" t="s">
        <v>17</v>
      </c>
      <c r="M1" s="1" t="s">
        <v>1576</v>
      </c>
      <c r="N1" s="1" t="s">
        <v>1160</v>
      </c>
      <c r="O1" s="1" t="s">
        <v>1571</v>
      </c>
      <c r="P1" s="49" t="s">
        <v>908</v>
      </c>
      <c r="Q1" s="50" t="s">
        <v>1578</v>
      </c>
      <c r="R1" s="50" t="s">
        <v>1579</v>
      </c>
      <c r="S1" s="50" t="s">
        <v>1580</v>
      </c>
      <c r="T1" s="50" t="s">
        <v>1574</v>
      </c>
      <c r="U1" s="35" t="s">
        <v>1010</v>
      </c>
      <c r="V1" s="35" t="s">
        <v>1011</v>
      </c>
      <c r="W1" s="35" t="s">
        <v>1012</v>
      </c>
      <c r="X1" s="35" t="s">
        <v>1013</v>
      </c>
      <c r="Y1" s="35" t="s">
        <v>1189</v>
      </c>
      <c r="Z1" s="35" t="s">
        <v>1016</v>
      </c>
      <c r="AA1" s="35" t="s">
        <v>1017</v>
      </c>
      <c r="AB1" s="35" t="s">
        <v>1018</v>
      </c>
      <c r="AC1" s="35" t="s">
        <v>1014</v>
      </c>
      <c r="AD1" s="35" t="s">
        <v>1015</v>
      </c>
      <c r="AE1" s="35" t="s">
        <v>1187</v>
      </c>
      <c r="AF1" s="35" t="s">
        <v>1466</v>
      </c>
      <c r="AG1" s="35" t="s">
        <v>1467</v>
      </c>
      <c r="AH1" s="40" t="s">
        <v>1581</v>
      </c>
      <c r="AI1" s="40" t="s">
        <v>1582</v>
      </c>
      <c r="AJ1" s="40" t="s">
        <v>1583</v>
      </c>
      <c r="AK1" s="40" t="s">
        <v>1584</v>
      </c>
      <c r="AL1" s="40" t="s">
        <v>1585</v>
      </c>
      <c r="AM1" s="40" t="s">
        <v>1586</v>
      </c>
      <c r="AN1" s="40" t="s">
        <v>1587</v>
      </c>
      <c r="AO1" s="40" t="s">
        <v>1588</v>
      </c>
      <c r="AP1" s="40" t="s">
        <v>1589</v>
      </c>
      <c r="AQ1" s="40" t="s">
        <v>1590</v>
      </c>
    </row>
    <row r="2" spans="1:43" x14ac:dyDescent="0.35">
      <c r="A2" s="21" t="s">
        <v>53</v>
      </c>
      <c r="B2" s="1"/>
      <c r="C2" t="s">
        <v>56</v>
      </c>
      <c r="D2" s="1"/>
      <c r="E2" t="s">
        <v>437</v>
      </c>
      <c r="F2" s="22" t="s">
        <v>436</v>
      </c>
      <c r="G2" s="21" t="s">
        <v>57</v>
      </c>
      <c r="H2" t="s">
        <v>1283</v>
      </c>
      <c r="I2" t="s">
        <v>1519</v>
      </c>
      <c r="L2" s="22" t="s">
        <v>49</v>
      </c>
      <c r="M2" t="s">
        <v>1206</v>
      </c>
      <c r="N2" s="1" t="s">
        <v>1161</v>
      </c>
      <c r="O2" t="s">
        <v>1566</v>
      </c>
      <c r="P2" s="51">
        <f>prod_table_raw!N11</f>
        <v>11187000</v>
      </c>
      <c r="S2" s="52">
        <f>P2-Q2-R2</f>
        <v>11187000</v>
      </c>
      <c r="T2" s="54">
        <f>1-(Q2+R2)/S2</f>
        <v>1</v>
      </c>
      <c r="U2" s="36"/>
      <c r="V2" s="36"/>
      <c r="W2" s="36"/>
      <c r="X2" s="36"/>
      <c r="Y2" s="36"/>
      <c r="Z2" s="36"/>
      <c r="AA2" s="36"/>
      <c r="AB2" s="36"/>
      <c r="AC2" s="36"/>
      <c r="AD2" s="36"/>
      <c r="AE2" s="36"/>
      <c r="AF2" s="36"/>
      <c r="AG2" s="36"/>
      <c r="AH2" s="44">
        <f>W2/(concentrate_grade!$F$4/100)</f>
        <v>0</v>
      </c>
      <c r="AI2" s="44">
        <f>X2/(concentrate_grade!$F$6/100)</f>
        <v>0</v>
      </c>
      <c r="AJ2" s="44">
        <f>Z2/(concentrate_grade!$F$5)</f>
        <v>0</v>
      </c>
      <c r="AK2" s="44">
        <f>AA2/(concentrate_grade!$F$9/100)</f>
        <v>0</v>
      </c>
      <c r="AL2" s="44">
        <f>AB2/(concentrate_grade!$F$8)</f>
        <v>0</v>
      </c>
      <c r="AM2" s="44">
        <f>AC2/concentrate_grade!$F$7</f>
        <v>0</v>
      </c>
      <c r="AQ2" s="44">
        <f>AG2/concentrate_grade!$F$10</f>
        <v>0</v>
      </c>
    </row>
    <row r="3" spans="1:43" x14ac:dyDescent="0.35">
      <c r="A3" s="21" t="s">
        <v>60</v>
      </c>
      <c r="C3" t="s">
        <v>63</v>
      </c>
      <c r="E3" t="s">
        <v>440</v>
      </c>
      <c r="F3" s="22" t="s">
        <v>436</v>
      </c>
      <c r="G3" s="21" t="s">
        <v>64</v>
      </c>
      <c r="I3" t="s">
        <v>1512</v>
      </c>
      <c r="J3" t="s">
        <v>1509</v>
      </c>
      <c r="L3" s="22" t="s">
        <v>65</v>
      </c>
      <c r="M3" t="s">
        <v>1206</v>
      </c>
      <c r="N3" t="s">
        <v>998</v>
      </c>
      <c r="P3" s="51">
        <f>prod_table_raw!N13</f>
        <v>166000</v>
      </c>
      <c r="Q3" s="52">
        <f>(U3+V3)/0.98</f>
        <v>0.92040969387755101</v>
      </c>
      <c r="S3" s="52">
        <f t="shared" ref="S3:S66" si="0">P3-Q3-R3</f>
        <v>165999.07959030612</v>
      </c>
      <c r="T3" s="54">
        <f>1-(Q3+R3)/S3</f>
        <v>0.99999445533254672</v>
      </c>
      <c r="U3" s="37">
        <f>prod_table_raw!N14</f>
        <v>0.90200150000000001</v>
      </c>
      <c r="V3" s="37"/>
      <c r="W3" s="37"/>
      <c r="X3" s="37"/>
      <c r="Y3" s="37"/>
      <c r="Z3" s="37"/>
      <c r="AA3" s="37"/>
      <c r="AB3" s="37"/>
      <c r="AC3" s="37"/>
      <c r="AD3" s="37"/>
      <c r="AE3" s="37"/>
      <c r="AF3" s="37"/>
      <c r="AG3" s="37"/>
      <c r="AH3" s="44">
        <f>W3/(concentrate_grade!$F$4/100)</f>
        <v>0</v>
      </c>
      <c r="AI3" s="44">
        <f>X3/(concentrate_grade!$F$6/100)</f>
        <v>0</v>
      </c>
      <c r="AJ3" s="44">
        <f>Z3/(concentrate_grade!$F$5)</f>
        <v>0</v>
      </c>
      <c r="AK3" s="44">
        <f>AA3/(concentrate_grade!$F$9/100)</f>
        <v>0</v>
      </c>
      <c r="AL3" s="44">
        <f>AB3/(concentrate_grade!$F$8)</f>
        <v>0</v>
      </c>
      <c r="AM3" s="44">
        <f>AC3/concentrate_grade!$F$7</f>
        <v>0</v>
      </c>
      <c r="AN3" s="42"/>
      <c r="AO3" s="42"/>
      <c r="AP3" s="42"/>
      <c r="AQ3" s="44">
        <f>AG3/concentrate_grade!$F$10</f>
        <v>0</v>
      </c>
    </row>
    <row r="4" spans="1:43" hidden="1" x14ac:dyDescent="0.35">
      <c r="A4" s="21" t="s">
        <v>68</v>
      </c>
      <c r="C4" t="s">
        <v>70</v>
      </c>
      <c r="E4" t="s">
        <v>437</v>
      </c>
      <c r="F4" s="22" t="s">
        <v>541</v>
      </c>
      <c r="G4" s="21" t="s">
        <v>71</v>
      </c>
      <c r="L4" s="22" t="s">
        <v>1462</v>
      </c>
      <c r="M4" t="s">
        <v>1210</v>
      </c>
      <c r="N4" t="s">
        <v>1487</v>
      </c>
      <c r="P4" s="51"/>
      <c r="S4" s="52">
        <f t="shared" si="0"/>
        <v>0</v>
      </c>
      <c r="U4" s="37"/>
      <c r="V4" s="37"/>
      <c r="W4" s="37"/>
      <c r="X4" s="37"/>
      <c r="Y4" s="37"/>
      <c r="Z4" s="37"/>
      <c r="AA4" s="37">
        <f>prod_table_raw!N16</f>
        <v>752600</v>
      </c>
      <c r="AB4" s="37">
        <f>prod_table_raw!N15</f>
        <v>244600</v>
      </c>
      <c r="AC4" s="37"/>
      <c r="AD4" s="37"/>
      <c r="AE4" s="37"/>
      <c r="AF4" s="37"/>
      <c r="AG4" s="37"/>
      <c r="AH4" s="41">
        <f>W4/(concentrate_grade!$F$4/100)</f>
        <v>0</v>
      </c>
      <c r="AI4" s="41">
        <f>X4/(concentrate_grade!$F$6/100)</f>
        <v>0</v>
      </c>
      <c r="AJ4" s="42"/>
      <c r="AK4" s="42"/>
      <c r="AL4" s="42"/>
      <c r="AM4" s="42"/>
      <c r="AN4" s="42"/>
      <c r="AO4" s="42"/>
      <c r="AP4" s="42"/>
      <c r="AQ4" s="42"/>
    </row>
    <row r="5" spans="1:43" x14ac:dyDescent="0.35">
      <c r="A5" s="21" t="s">
        <v>74</v>
      </c>
      <c r="C5" t="s">
        <v>77</v>
      </c>
      <c r="E5" t="s">
        <v>437</v>
      </c>
      <c r="F5" s="22" t="s">
        <v>436</v>
      </c>
      <c r="G5" s="21" t="s">
        <v>78</v>
      </c>
      <c r="H5" s="17" t="s">
        <v>1577</v>
      </c>
      <c r="I5" t="s">
        <v>1519</v>
      </c>
      <c r="J5" t="s">
        <v>1509</v>
      </c>
      <c r="L5" s="22" t="s">
        <v>65</v>
      </c>
      <c r="M5" t="s">
        <v>1206</v>
      </c>
      <c r="N5" t="s">
        <v>1168</v>
      </c>
      <c r="O5" t="s">
        <v>1557</v>
      </c>
      <c r="P5" s="51">
        <f>prod_table_raw!N17</f>
        <v>17332900</v>
      </c>
      <c r="Q5" s="52">
        <f>(U5+V5)/0.98</f>
        <v>29.039084533163262</v>
      </c>
      <c r="S5" s="52">
        <f t="shared" si="0"/>
        <v>17332870.960915469</v>
      </c>
      <c r="T5" s="54">
        <f t="shared" ref="T5:T8" si="1">1-(Q5+R5)/S5</f>
        <v>0.99999832462350879</v>
      </c>
      <c r="U5" s="37">
        <f>prod_table_raw!N18</f>
        <v>18.785114342499998</v>
      </c>
      <c r="V5" s="37">
        <f>prod_table_raw!N19</f>
        <v>9.6731885000000002</v>
      </c>
      <c r="W5" s="37"/>
      <c r="X5" s="37"/>
      <c r="Y5" s="37"/>
      <c r="Z5" s="37"/>
      <c r="AA5" s="37"/>
      <c r="AB5" s="37"/>
      <c r="AC5" s="37"/>
      <c r="AD5" s="37"/>
      <c r="AE5" s="37"/>
      <c r="AF5" s="37"/>
      <c r="AG5" s="37"/>
      <c r="AH5" s="44">
        <f>W5/(concentrate_grade!$F$4/100)</f>
        <v>0</v>
      </c>
      <c r="AI5" s="44">
        <f>X5/(concentrate_grade!$F$6/100)</f>
        <v>0</v>
      </c>
      <c r="AJ5" s="44">
        <f>Z5/(concentrate_grade!$F$5)</f>
        <v>0</v>
      </c>
      <c r="AK5" s="44">
        <f>AA5/(concentrate_grade!$F$9/100)</f>
        <v>0</v>
      </c>
      <c r="AL5" s="44">
        <f>AB5/(concentrate_grade!$F$8)</f>
        <v>0</v>
      </c>
      <c r="AM5" s="44">
        <f>AC5/concentrate_grade!$F$7</f>
        <v>0</v>
      </c>
      <c r="AN5" s="42"/>
      <c r="AO5" s="42"/>
      <c r="AP5" s="42"/>
      <c r="AQ5" s="44">
        <f>AG5/concentrate_grade!$F$10</f>
        <v>0</v>
      </c>
    </row>
    <row r="6" spans="1:43" hidden="1" x14ac:dyDescent="0.35">
      <c r="A6" s="21" t="s">
        <v>82</v>
      </c>
      <c r="C6" t="s">
        <v>84</v>
      </c>
      <c r="E6" t="s">
        <v>443</v>
      </c>
      <c r="F6" s="22" t="s">
        <v>436</v>
      </c>
      <c r="G6" s="21" t="s">
        <v>78</v>
      </c>
      <c r="H6" t="s">
        <v>1497</v>
      </c>
      <c r="I6" t="s">
        <v>1519</v>
      </c>
      <c r="J6" t="s">
        <v>1509</v>
      </c>
      <c r="L6" s="22" t="s">
        <v>49</v>
      </c>
      <c r="M6" t="s">
        <v>1210</v>
      </c>
      <c r="N6" t="s">
        <v>1161</v>
      </c>
      <c r="O6" t="s">
        <v>1568</v>
      </c>
      <c r="P6" s="51">
        <f>prod_table_raw!N21</f>
        <v>16478000</v>
      </c>
      <c r="S6" s="52">
        <f t="shared" si="0"/>
        <v>16478000</v>
      </c>
      <c r="T6" s="54">
        <f t="shared" si="1"/>
        <v>1</v>
      </c>
      <c r="U6" s="37"/>
      <c r="V6" s="37"/>
      <c r="W6" s="37"/>
      <c r="X6" s="37"/>
      <c r="Y6" s="37"/>
      <c r="Z6" s="37"/>
      <c r="AA6" s="37"/>
      <c r="AB6" s="37"/>
      <c r="AC6" s="37"/>
      <c r="AD6" s="37"/>
      <c r="AE6" s="37"/>
      <c r="AF6" s="37"/>
      <c r="AG6" s="37"/>
      <c r="AH6" s="44">
        <f>W6/(concentrate_grade!$F$4/100)</f>
        <v>0</v>
      </c>
      <c r="AI6" s="44">
        <f>X6/(concentrate_grade!$F$6/100)</f>
        <v>0</v>
      </c>
      <c r="AJ6" s="44">
        <f>Z6/(concentrate_grade!$F$5)</f>
        <v>0</v>
      </c>
      <c r="AK6" s="44">
        <f>AA6/(concentrate_grade!$F$9/100)</f>
        <v>0</v>
      </c>
      <c r="AL6" s="44">
        <f>AB6/(concentrate_grade!$F$8)</f>
        <v>0</v>
      </c>
      <c r="AM6" s="44">
        <f>AC6/concentrate_grade!$F$7</f>
        <v>0</v>
      </c>
      <c r="AN6" s="42"/>
      <c r="AO6" s="42"/>
      <c r="AP6" s="42"/>
      <c r="AQ6" s="44">
        <f>AG6/concentrate_grade!$F$10</f>
        <v>0</v>
      </c>
    </row>
    <row r="7" spans="1:43" x14ac:dyDescent="0.35">
      <c r="A7" s="21" t="s">
        <v>88</v>
      </c>
      <c r="C7" t="s">
        <v>90</v>
      </c>
      <c r="E7" t="s">
        <v>437</v>
      </c>
      <c r="F7" s="22" t="s">
        <v>436</v>
      </c>
      <c r="G7" s="21" t="s">
        <v>91</v>
      </c>
      <c r="H7" t="s">
        <v>1494</v>
      </c>
      <c r="I7" t="s">
        <v>1519</v>
      </c>
      <c r="J7" t="s">
        <v>1509</v>
      </c>
      <c r="L7" s="22" t="s">
        <v>65</v>
      </c>
      <c r="M7" t="s">
        <v>1206</v>
      </c>
      <c r="N7" t="s">
        <v>998</v>
      </c>
      <c r="O7" t="s">
        <v>1557</v>
      </c>
      <c r="P7" s="51">
        <f>prod_table_raw!N24</f>
        <v>1361450</v>
      </c>
      <c r="Q7" s="52">
        <f>(U7+V7)/0.98</f>
        <v>3.5165997959183577</v>
      </c>
      <c r="S7" s="52">
        <f t="shared" si="0"/>
        <v>1361446.483400204</v>
      </c>
      <c r="T7" s="54">
        <f t="shared" si="1"/>
        <v>0.99999741701209799</v>
      </c>
      <c r="U7" s="37">
        <f>prod_table_raw!N22</f>
        <v>2.6935630999999902</v>
      </c>
      <c r="V7" s="37">
        <f>prod_table_raw!N23</f>
        <v>0.7527047</v>
      </c>
      <c r="W7" s="37"/>
      <c r="X7" s="37"/>
      <c r="Y7" s="37"/>
      <c r="Z7" s="37"/>
      <c r="AA7" s="37"/>
      <c r="AB7" s="37"/>
      <c r="AC7" s="37"/>
      <c r="AD7" s="37"/>
      <c r="AE7" s="37"/>
      <c r="AF7" s="37"/>
      <c r="AG7" s="37"/>
      <c r="AH7" s="44">
        <f>W7/(concentrate_grade!$F$4/100)</f>
        <v>0</v>
      </c>
      <c r="AI7" s="44">
        <f>X7/(concentrate_grade!$F$6/100)</f>
        <v>0</v>
      </c>
      <c r="AJ7" s="44">
        <f>Z7/(concentrate_grade!$F$5)</f>
        <v>0</v>
      </c>
      <c r="AK7" s="44">
        <f>AA7/(concentrate_grade!$F$9/100)</f>
        <v>0</v>
      </c>
      <c r="AL7" s="44">
        <f>AB7/(concentrate_grade!$F$8)</f>
        <v>0</v>
      </c>
      <c r="AM7" s="44">
        <f>AC7/concentrate_grade!$F$7</f>
        <v>0</v>
      </c>
      <c r="AN7" s="42"/>
      <c r="AO7" s="42"/>
      <c r="AP7" s="42"/>
      <c r="AQ7" s="44">
        <f>AG7/concentrate_grade!$F$10</f>
        <v>0</v>
      </c>
    </row>
    <row r="8" spans="1:43" hidden="1" x14ac:dyDescent="0.35">
      <c r="A8" s="21" t="s">
        <v>96</v>
      </c>
      <c r="C8" t="s">
        <v>98</v>
      </c>
      <c r="E8" t="s">
        <v>454</v>
      </c>
      <c r="F8" s="22" t="s">
        <v>436</v>
      </c>
      <c r="G8" s="21" t="s">
        <v>99</v>
      </c>
      <c r="H8" t="s">
        <v>1505</v>
      </c>
      <c r="I8" t="s">
        <v>1519</v>
      </c>
      <c r="L8" s="22" t="s">
        <v>93</v>
      </c>
      <c r="M8" t="s">
        <v>1210</v>
      </c>
      <c r="N8" t="s">
        <v>1164</v>
      </c>
      <c r="O8" t="s">
        <v>1569</v>
      </c>
      <c r="P8" s="51">
        <f>prod_table_raw!N25</f>
        <v>43726.856187782003</v>
      </c>
      <c r="S8" s="52">
        <f t="shared" si="0"/>
        <v>43726.856187782003</v>
      </c>
      <c r="T8" s="54">
        <f t="shared" si="1"/>
        <v>1</v>
      </c>
      <c r="U8" s="37"/>
      <c r="V8" s="37"/>
      <c r="W8" s="37"/>
      <c r="X8" s="37"/>
      <c r="Y8" s="37"/>
      <c r="Z8" s="37"/>
      <c r="AA8" s="37"/>
      <c r="AB8" s="37"/>
      <c r="AC8" s="37"/>
      <c r="AD8" s="37"/>
      <c r="AE8" s="37"/>
      <c r="AF8" s="37">
        <f>prod_table_raw!N26</f>
        <v>6849.2392</v>
      </c>
      <c r="AG8" s="37"/>
      <c r="AH8" s="44">
        <f>W8/(concentrate_grade!$F$4/100)</f>
        <v>0</v>
      </c>
      <c r="AI8" s="44">
        <f>X8/(concentrate_grade!$F$6/100)</f>
        <v>0</v>
      </c>
      <c r="AJ8" s="44">
        <f>Z8/(concentrate_grade!$F$5)</f>
        <v>0</v>
      </c>
      <c r="AK8" s="44">
        <f>AA8/(concentrate_grade!$F$9/100)</f>
        <v>0</v>
      </c>
      <c r="AL8" s="44">
        <f>AB8/(concentrate_grade!$F$8)</f>
        <v>0</v>
      </c>
      <c r="AM8" s="44">
        <f>AC8/concentrate_grade!$F$7</f>
        <v>0</v>
      </c>
      <c r="AN8" s="42"/>
      <c r="AO8" s="42"/>
      <c r="AP8" s="42"/>
      <c r="AQ8" s="44">
        <f>AG8/concentrate_grade!$F$10</f>
        <v>0</v>
      </c>
    </row>
    <row r="9" spans="1:43" x14ac:dyDescent="0.35">
      <c r="A9" s="21" t="s">
        <v>525</v>
      </c>
      <c r="B9" t="s">
        <v>404</v>
      </c>
      <c r="C9" t="s">
        <v>1463</v>
      </c>
      <c r="D9" t="s">
        <v>406</v>
      </c>
      <c r="E9" t="s">
        <v>438</v>
      </c>
      <c r="F9" s="22" t="s">
        <v>436</v>
      </c>
      <c r="G9" s="21" t="s">
        <v>99</v>
      </c>
      <c r="H9" t="s">
        <v>1549</v>
      </c>
      <c r="I9" t="s">
        <v>1520</v>
      </c>
      <c r="L9" s="22" t="s">
        <v>374</v>
      </c>
      <c r="M9" t="s">
        <v>1206</v>
      </c>
      <c r="N9" t="s">
        <v>1489</v>
      </c>
      <c r="O9" t="s">
        <v>1554</v>
      </c>
      <c r="P9" s="51">
        <f>prod_table_raw!N32</f>
        <v>748000</v>
      </c>
      <c r="R9" s="52">
        <f>X9/(concentrate_grade!$F$6/100)</f>
        <v>54693.75</v>
      </c>
      <c r="S9" s="52">
        <f t="shared" si="0"/>
        <v>693306.25</v>
      </c>
      <c r="T9" s="54">
        <f>1-(Q9+R9)/S9</f>
        <v>0.92111170207970861</v>
      </c>
      <c r="U9" s="37"/>
      <c r="V9" s="37"/>
      <c r="W9" s="37">
        <f>prod_table_raw!N31</f>
        <v>10098</v>
      </c>
      <c r="X9" s="37">
        <f>prod_table_raw!N30</f>
        <v>8751</v>
      </c>
      <c r="Y9" s="37"/>
      <c r="Z9" s="37"/>
      <c r="AA9" s="37"/>
      <c r="AB9" s="37"/>
      <c r="AC9" s="37"/>
      <c r="AD9" s="37"/>
      <c r="AE9" s="37"/>
      <c r="AF9" s="37"/>
      <c r="AG9" s="37"/>
      <c r="AI9" s="44">
        <f>X9/(concentrate_grade!$F$6/100)</f>
        <v>54693.75</v>
      </c>
      <c r="AJ9" s="44">
        <f>Z9/(concentrate_grade!$F$5)</f>
        <v>0</v>
      </c>
      <c r="AK9" s="44">
        <f>AA9/(concentrate_grade!$F$9/100)</f>
        <v>0</v>
      </c>
      <c r="AL9" s="44">
        <f>AB9/(concentrate_grade!$F$8)</f>
        <v>0</v>
      </c>
      <c r="AM9" s="44">
        <f>AC9/concentrate_grade!$F$7</f>
        <v>0</v>
      </c>
      <c r="AN9" s="42"/>
      <c r="AO9" s="42"/>
      <c r="AP9" s="42"/>
      <c r="AQ9" s="44">
        <f>AG9/concentrate_grade!$F$10</f>
        <v>0</v>
      </c>
    </row>
    <row r="10" spans="1:43" hidden="1" x14ac:dyDescent="0.35">
      <c r="A10" s="21" t="s">
        <v>527</v>
      </c>
      <c r="B10" t="s">
        <v>404</v>
      </c>
      <c r="C10" t="s">
        <v>1464</v>
      </c>
      <c r="D10" t="s">
        <v>406</v>
      </c>
      <c r="E10" t="s">
        <v>438</v>
      </c>
      <c r="F10" s="22" t="s">
        <v>541</v>
      </c>
      <c r="G10" s="21" t="s">
        <v>412</v>
      </c>
      <c r="H10" t="s">
        <v>1504</v>
      </c>
      <c r="I10" t="s">
        <v>1511</v>
      </c>
      <c r="L10" s="22" t="s">
        <v>552</v>
      </c>
      <c r="M10" t="s">
        <v>1210</v>
      </c>
      <c r="N10" t="s">
        <v>1489</v>
      </c>
      <c r="O10" t="s">
        <v>1554</v>
      </c>
      <c r="P10" s="51"/>
      <c r="S10" s="52">
        <f t="shared" si="0"/>
        <v>0</v>
      </c>
      <c r="U10" s="37"/>
      <c r="V10" s="37"/>
      <c r="W10" s="37">
        <f>prod_table_raw!N33</f>
        <v>57900</v>
      </c>
      <c r="X10" s="37">
        <f>prod_table_raw!N34</f>
        <v>38200</v>
      </c>
      <c r="Y10" s="37"/>
      <c r="Z10" s="37"/>
      <c r="AA10" s="37"/>
      <c r="AB10" s="37"/>
      <c r="AC10" s="37"/>
      <c r="AD10" s="37"/>
      <c r="AE10" s="37"/>
      <c r="AF10" s="37"/>
      <c r="AG10" s="37"/>
      <c r="AH10" s="41"/>
      <c r="AI10" s="41">
        <f>X10/(concentrate_grade!$F$6/100)</f>
        <v>238750</v>
      </c>
      <c r="AJ10" s="42"/>
      <c r="AK10" s="42"/>
      <c r="AL10" s="42"/>
      <c r="AM10" s="42"/>
      <c r="AN10" s="42"/>
      <c r="AO10" s="42"/>
      <c r="AP10" s="42"/>
      <c r="AQ10" s="42"/>
    </row>
    <row r="11" spans="1:43" x14ac:dyDescent="0.35">
      <c r="A11" s="21" t="s">
        <v>110</v>
      </c>
      <c r="C11" t="s">
        <v>113</v>
      </c>
      <c r="E11" t="s">
        <v>440</v>
      </c>
      <c r="F11" s="22" t="s">
        <v>436</v>
      </c>
      <c r="G11" s="21" t="s">
        <v>78</v>
      </c>
      <c r="H11" t="s">
        <v>1550</v>
      </c>
      <c r="I11" t="s">
        <v>1519</v>
      </c>
      <c r="J11" t="s">
        <v>1509</v>
      </c>
      <c r="L11" s="22" t="s">
        <v>114</v>
      </c>
      <c r="M11" t="s">
        <v>1206</v>
      </c>
      <c r="N11" t="s">
        <v>1169</v>
      </c>
      <c r="O11" t="s">
        <v>1553</v>
      </c>
      <c r="P11" s="51">
        <f>prod_table_raw!N38</f>
        <v>6862152</v>
      </c>
      <c r="R11" s="52">
        <f>W11/(concentrate_grade!$F$4/100)</f>
        <v>63500</v>
      </c>
      <c r="S11" s="52">
        <f t="shared" si="0"/>
        <v>6798652</v>
      </c>
      <c r="T11" s="54">
        <f t="shared" ref="T11:T23" si="2">1-(Q11+R11)/S11</f>
        <v>0.99065991317102275</v>
      </c>
      <c r="U11" s="37">
        <f>prod_table_raw!N37</f>
        <v>0.27520376799999902</v>
      </c>
      <c r="V11" s="37">
        <f>prod_table_raw!N40</f>
        <v>6.7893341869999997</v>
      </c>
      <c r="W11" s="37">
        <f>prod_table_raw!N41</f>
        <v>19050</v>
      </c>
      <c r="X11" s="37"/>
      <c r="Y11" s="37"/>
      <c r="Z11" s="37"/>
      <c r="AA11" s="37"/>
      <c r="AB11" s="37"/>
      <c r="AC11" s="37"/>
      <c r="AD11" s="37"/>
      <c r="AE11" s="37"/>
      <c r="AF11" s="37"/>
      <c r="AG11" s="37"/>
      <c r="AH11" s="44">
        <f>W11/(concentrate_grade!$F$4/100)</f>
        <v>63500</v>
      </c>
      <c r="AI11" s="44">
        <f>X11/(concentrate_grade!$F$6/100)</f>
        <v>0</v>
      </c>
      <c r="AJ11" s="44">
        <f>Z11/(concentrate_grade!$F$5)</f>
        <v>0</v>
      </c>
      <c r="AK11" s="44">
        <f>AA11/(concentrate_grade!$F$9/100)</f>
        <v>0</v>
      </c>
      <c r="AL11" s="44">
        <f>AB11/(concentrate_grade!$F$8)</f>
        <v>0</v>
      </c>
      <c r="AM11" s="44">
        <f>AC11/concentrate_grade!$F$7</f>
        <v>0</v>
      </c>
      <c r="AN11" s="42"/>
      <c r="AO11" s="42"/>
      <c r="AP11" s="42"/>
      <c r="AQ11" s="44">
        <f>AG11/concentrate_grade!$F$10</f>
        <v>0</v>
      </c>
    </row>
    <row r="12" spans="1:43" x14ac:dyDescent="0.35">
      <c r="A12" s="21" t="s">
        <v>528</v>
      </c>
      <c r="B12" t="s">
        <v>404</v>
      </c>
      <c r="C12" t="s">
        <v>529</v>
      </c>
      <c r="D12" t="s">
        <v>406</v>
      </c>
      <c r="E12" t="s">
        <v>438</v>
      </c>
      <c r="F12" s="22" t="s">
        <v>436</v>
      </c>
      <c r="G12" s="21" t="s">
        <v>99</v>
      </c>
      <c r="H12" t="s">
        <v>1549</v>
      </c>
      <c r="I12" t="s">
        <v>1516</v>
      </c>
      <c r="L12" s="22" t="s">
        <v>374</v>
      </c>
      <c r="M12" t="s">
        <v>1206</v>
      </c>
      <c r="N12" t="s">
        <v>1489</v>
      </c>
      <c r="O12" t="s">
        <v>1554</v>
      </c>
      <c r="P12" s="51">
        <f>prod_table_raw!N46</f>
        <v>433000</v>
      </c>
      <c r="R12" s="52">
        <f>X12/(concentrate_grade!$F$6/100)</f>
        <v>70900</v>
      </c>
      <c r="S12" s="52">
        <f t="shared" si="0"/>
        <v>362100</v>
      </c>
      <c r="T12" s="54">
        <f t="shared" si="2"/>
        <v>0.80419773543220108</v>
      </c>
      <c r="U12" s="37"/>
      <c r="V12" s="37"/>
      <c r="W12" s="37">
        <f>prod_table_raw!N45</f>
        <v>9396</v>
      </c>
      <c r="X12" s="37">
        <f>prod_table_raw!N44</f>
        <v>11344</v>
      </c>
      <c r="Y12" s="37"/>
      <c r="Z12" s="37"/>
      <c r="AA12" s="37"/>
      <c r="AB12" s="37"/>
      <c r="AC12" s="37"/>
      <c r="AD12" s="37"/>
      <c r="AE12" s="37"/>
      <c r="AF12" s="37"/>
      <c r="AG12" s="37"/>
      <c r="AI12" s="44">
        <f>X12/(concentrate_grade!$F$6/100)</f>
        <v>70900</v>
      </c>
      <c r="AJ12" s="44">
        <f>Z12/(concentrate_grade!$F$5)</f>
        <v>0</v>
      </c>
      <c r="AK12" s="44">
        <f>AA12/(concentrate_grade!$F$9/100)</f>
        <v>0</v>
      </c>
      <c r="AL12" s="44">
        <f>AB12/(concentrate_grade!$F$8)</f>
        <v>0</v>
      </c>
      <c r="AM12" s="44">
        <f>AC12/concentrate_grade!$F$7</f>
        <v>0</v>
      </c>
      <c r="AN12" s="42"/>
      <c r="AO12" s="42"/>
      <c r="AP12" s="42"/>
      <c r="AQ12" s="44">
        <f>AG12/concentrate_grade!$F$10</f>
        <v>0</v>
      </c>
    </row>
    <row r="13" spans="1:43" x14ac:dyDescent="0.35">
      <c r="A13" s="21" t="s">
        <v>117</v>
      </c>
      <c r="C13" t="s">
        <v>118</v>
      </c>
      <c r="E13" t="s">
        <v>438</v>
      </c>
      <c r="F13" s="22" t="s">
        <v>436</v>
      </c>
      <c r="G13" s="21" t="s">
        <v>78</v>
      </c>
      <c r="H13" t="s">
        <v>1494</v>
      </c>
      <c r="I13" t="s">
        <v>1519</v>
      </c>
      <c r="J13" t="s">
        <v>1509</v>
      </c>
      <c r="L13" s="22" t="s">
        <v>116</v>
      </c>
      <c r="M13" t="s">
        <v>1206</v>
      </c>
      <c r="N13" t="s">
        <v>1168</v>
      </c>
      <c r="O13" t="s">
        <v>1557</v>
      </c>
      <c r="P13" s="51">
        <f>prod_table_raw!N50</f>
        <v>25434853.502416398</v>
      </c>
      <c r="Q13" s="52">
        <f t="shared" ref="Q13:Q17" si="3">(U13+V13)/0.98</f>
        <v>24.008283837755101</v>
      </c>
      <c r="S13" s="52">
        <f t="shared" si="0"/>
        <v>25434829.49413256</v>
      </c>
      <c r="T13" s="54">
        <f t="shared" si="2"/>
        <v>0.99999905608630701</v>
      </c>
      <c r="U13" s="37">
        <f>prod_table_raw!N51</f>
        <v>21.070941660999999</v>
      </c>
      <c r="V13" s="37">
        <f>prod_table_raw!N52</f>
        <v>2.4571765000000001</v>
      </c>
      <c r="W13" s="37"/>
      <c r="X13" s="37"/>
      <c r="Y13" s="37"/>
      <c r="Z13" s="37"/>
      <c r="AA13" s="37"/>
      <c r="AB13" s="37"/>
      <c r="AC13" s="37"/>
      <c r="AD13" s="37"/>
      <c r="AE13" s="37"/>
      <c r="AF13" s="37"/>
      <c r="AG13" s="37"/>
      <c r="AH13" s="44">
        <f>W13/(concentrate_grade!$F$4/100)</f>
        <v>0</v>
      </c>
      <c r="AI13" s="44">
        <f>X13/(concentrate_grade!$F$6/100)</f>
        <v>0</v>
      </c>
      <c r="AJ13" s="44">
        <f>Z13/(concentrate_grade!$F$5)</f>
        <v>0</v>
      </c>
      <c r="AK13" s="44">
        <f>AA13/(concentrate_grade!$F$9/100)</f>
        <v>0</v>
      </c>
      <c r="AL13" s="44">
        <f>AB13/(concentrate_grade!$F$8)</f>
        <v>0</v>
      </c>
      <c r="AM13" s="44">
        <f>AC13/concentrate_grade!$F$7</f>
        <v>0</v>
      </c>
      <c r="AN13" s="42"/>
      <c r="AO13" s="42"/>
      <c r="AP13" s="42"/>
      <c r="AQ13" s="44">
        <f>AG13/concentrate_grade!$F$10</f>
        <v>0</v>
      </c>
    </row>
    <row r="14" spans="1:43" x14ac:dyDescent="0.35">
      <c r="A14" s="21" t="s">
        <v>126</v>
      </c>
      <c r="C14" t="s">
        <v>129</v>
      </c>
      <c r="E14" t="s">
        <v>438</v>
      </c>
      <c r="F14" s="22" t="s">
        <v>436</v>
      </c>
      <c r="G14" s="21" t="s">
        <v>64</v>
      </c>
      <c r="H14" t="s">
        <v>1494</v>
      </c>
      <c r="I14" t="s">
        <v>1511</v>
      </c>
      <c r="J14" t="s">
        <v>1509</v>
      </c>
      <c r="L14" s="22" t="s">
        <v>116</v>
      </c>
      <c r="M14" t="s">
        <v>1206</v>
      </c>
      <c r="N14" t="s">
        <v>998</v>
      </c>
      <c r="O14" t="s">
        <v>1557</v>
      </c>
      <c r="P14" s="51">
        <f>prod_table_raw!N57</f>
        <v>222627</v>
      </c>
      <c r="Q14" s="52">
        <f>(U14+V14)/0.98</f>
        <v>2.7760508515306124</v>
      </c>
      <c r="S14" s="52">
        <f t="shared" si="0"/>
        <v>222624.22394914847</v>
      </c>
      <c r="T14" s="54">
        <f t="shared" si="2"/>
        <v>0.99998753032890009</v>
      </c>
      <c r="U14" s="37">
        <f>prod_table_raw!N56</f>
        <v>2.7205298345000002</v>
      </c>
      <c r="V14" s="37"/>
      <c r="W14" s="37"/>
      <c r="X14" s="37"/>
      <c r="Y14" s="37"/>
      <c r="Z14" s="37"/>
      <c r="AA14" s="37"/>
      <c r="AB14" s="37"/>
      <c r="AC14" s="37"/>
      <c r="AD14" s="37"/>
      <c r="AE14" s="37"/>
      <c r="AF14" s="37"/>
      <c r="AG14" s="37"/>
      <c r="AH14" s="44">
        <f>W14/(concentrate_grade!$F$4/100)</f>
        <v>0</v>
      </c>
      <c r="AI14" s="44">
        <f>X14/(concentrate_grade!$F$6/100)</f>
        <v>0</v>
      </c>
      <c r="AJ14" s="44">
        <f>Z14/(concentrate_grade!$F$5)</f>
        <v>0</v>
      </c>
      <c r="AK14" s="44">
        <f>AA14/(concentrate_grade!$F$9/100)</f>
        <v>0</v>
      </c>
      <c r="AL14" s="44">
        <f>AB14/(concentrate_grade!$F$8)</f>
        <v>0</v>
      </c>
      <c r="AM14" s="44">
        <f>AC14/concentrate_grade!$F$7</f>
        <v>0</v>
      </c>
      <c r="AN14" s="42"/>
      <c r="AO14" s="42"/>
      <c r="AP14" s="42"/>
      <c r="AQ14" s="44">
        <f>AG14/concentrate_grade!$F$10</f>
        <v>0</v>
      </c>
    </row>
    <row r="15" spans="1:43" x14ac:dyDescent="0.35">
      <c r="A15" s="21" t="s">
        <v>136</v>
      </c>
      <c r="C15" t="s">
        <v>137</v>
      </c>
      <c r="E15" t="s">
        <v>437</v>
      </c>
      <c r="F15" s="22" t="s">
        <v>436</v>
      </c>
      <c r="G15" s="21" t="s">
        <v>64</v>
      </c>
      <c r="H15" t="s">
        <v>1494</v>
      </c>
      <c r="I15" t="s">
        <v>1511</v>
      </c>
      <c r="J15" t="s">
        <v>1510</v>
      </c>
      <c r="L15" s="22" t="s">
        <v>65</v>
      </c>
      <c r="M15" t="s">
        <v>1206</v>
      </c>
      <c r="N15" t="s">
        <v>1168</v>
      </c>
      <c r="O15" t="s">
        <v>1557</v>
      </c>
      <c r="P15" s="51">
        <f>prod_table_raw!N64</f>
        <v>1661000</v>
      </c>
      <c r="Q15" s="52">
        <f t="shared" si="3"/>
        <v>7.7388999209183664</v>
      </c>
      <c r="S15" s="52">
        <f t="shared" si="0"/>
        <v>1660992.2611000792</v>
      </c>
      <c r="T15" s="54">
        <f t="shared" si="2"/>
        <v>0.99999534079712338</v>
      </c>
      <c r="U15" s="37">
        <f>prod_table_raw!N61</f>
        <v>7.2160120000000001</v>
      </c>
      <c r="V15" s="37">
        <f>prod_table_raw!N62</f>
        <v>0.36810992249999902</v>
      </c>
      <c r="W15" s="37"/>
      <c r="X15" s="37"/>
      <c r="Y15" s="37"/>
      <c r="Z15" s="37"/>
      <c r="AA15" s="37"/>
      <c r="AB15" s="37"/>
      <c r="AC15" s="37"/>
      <c r="AD15" s="37"/>
      <c r="AE15" s="37"/>
      <c r="AF15" s="37"/>
      <c r="AG15" s="37"/>
      <c r="AH15" s="44">
        <f>W15/(concentrate_grade!$F$4/100)</f>
        <v>0</v>
      </c>
      <c r="AI15" s="44">
        <f>X15/(concentrate_grade!$F$6/100)</f>
        <v>0</v>
      </c>
      <c r="AJ15" s="44">
        <f>Z15/(concentrate_grade!$F$5)</f>
        <v>0</v>
      </c>
      <c r="AK15" s="44">
        <f>AA15/(concentrate_grade!$F$9/100)</f>
        <v>0</v>
      </c>
      <c r="AL15" s="44">
        <f>AB15/(concentrate_grade!$F$8)</f>
        <v>0</v>
      </c>
      <c r="AM15" s="44">
        <f>AC15/concentrate_grade!$F$7</f>
        <v>0</v>
      </c>
      <c r="AN15" s="42"/>
      <c r="AO15" s="42"/>
      <c r="AP15" s="42"/>
      <c r="AQ15" s="44">
        <f>AG15/concentrate_grade!$F$10</f>
        <v>0</v>
      </c>
    </row>
    <row r="16" spans="1:43" x14ac:dyDescent="0.35">
      <c r="A16" s="21" t="s">
        <v>140</v>
      </c>
      <c r="C16" t="s">
        <v>143</v>
      </c>
      <c r="E16" t="s">
        <v>440</v>
      </c>
      <c r="F16" s="22" t="s">
        <v>436</v>
      </c>
      <c r="G16" s="21" t="s">
        <v>57</v>
      </c>
      <c r="H16" t="s">
        <v>1494</v>
      </c>
      <c r="I16" t="s">
        <v>1517</v>
      </c>
      <c r="L16" s="22" t="s">
        <v>116</v>
      </c>
      <c r="M16" t="s">
        <v>1206</v>
      </c>
      <c r="N16" t="s">
        <v>998</v>
      </c>
      <c r="O16" t="s">
        <v>1557</v>
      </c>
      <c r="P16" s="51">
        <f>prod_table_raw!N66</f>
        <v>33245</v>
      </c>
      <c r="Q16" s="52">
        <f t="shared" si="3"/>
        <v>0.12428704693877551</v>
      </c>
      <c r="S16" s="52">
        <f t="shared" si="0"/>
        <v>33244.875712953064</v>
      </c>
      <c r="T16" s="54">
        <f t="shared" si="2"/>
        <v>0.99999626146754128</v>
      </c>
      <c r="U16" s="37">
        <f>prod_table_raw!N67</f>
        <v>0.121801306</v>
      </c>
      <c r="V16" s="37"/>
      <c r="W16" s="37"/>
      <c r="X16" s="37"/>
      <c r="Y16" s="37"/>
      <c r="Z16" s="37"/>
      <c r="AA16" s="37"/>
      <c r="AB16" s="37"/>
      <c r="AC16" s="37"/>
      <c r="AD16" s="37"/>
      <c r="AE16" s="37"/>
      <c r="AF16" s="37"/>
      <c r="AG16" s="37"/>
      <c r="AH16" s="44">
        <f>W16/(concentrate_grade!$F$4/100)</f>
        <v>0</v>
      </c>
      <c r="AI16" s="44">
        <f>X16/(concentrate_grade!$F$6/100)</f>
        <v>0</v>
      </c>
      <c r="AJ16" s="44">
        <f>Z16/(concentrate_grade!$F$5)</f>
        <v>0</v>
      </c>
      <c r="AK16" s="44">
        <f>AA16/(concentrate_grade!$F$9/100)</f>
        <v>0</v>
      </c>
      <c r="AL16" s="44">
        <f>AB16/(concentrate_grade!$F$8)</f>
        <v>0</v>
      </c>
      <c r="AM16" s="44">
        <f>AC16/concentrate_grade!$F$7</f>
        <v>0</v>
      </c>
      <c r="AN16" s="42"/>
      <c r="AO16" s="42"/>
      <c r="AP16" s="42"/>
      <c r="AQ16" s="44">
        <f>AG16/concentrate_grade!$F$10</f>
        <v>0</v>
      </c>
    </row>
    <row r="17" spans="1:43" x14ac:dyDescent="0.35">
      <c r="A17" s="21" t="s">
        <v>157</v>
      </c>
      <c r="C17" t="s">
        <v>160</v>
      </c>
      <c r="E17" t="s">
        <v>438</v>
      </c>
      <c r="F17" s="22" t="s">
        <v>436</v>
      </c>
      <c r="G17" s="21" t="s">
        <v>91</v>
      </c>
      <c r="H17" t="s">
        <v>1494</v>
      </c>
      <c r="I17" t="s">
        <v>1516</v>
      </c>
      <c r="L17" s="22" t="s">
        <v>116</v>
      </c>
      <c r="M17" t="s">
        <v>1206</v>
      </c>
      <c r="N17" t="s">
        <v>998</v>
      </c>
      <c r="O17" t="s">
        <v>1557</v>
      </c>
      <c r="P17" s="51">
        <f>prod_table_raw!N72</f>
        <v>457000</v>
      </c>
      <c r="Q17" s="52">
        <f t="shared" si="3"/>
        <v>1.4536125510204081</v>
      </c>
      <c r="S17" s="52">
        <f t="shared" si="0"/>
        <v>456998.54638744897</v>
      </c>
      <c r="T17" s="54">
        <f t="shared" si="2"/>
        <v>0.99999681921843619</v>
      </c>
      <c r="U17" s="37">
        <f>prod_table_raw!N73</f>
        <v>1.3809954</v>
      </c>
      <c r="V17" s="37">
        <f>prod_table_raw!N74</f>
        <v>4.3544899999999997E-2</v>
      </c>
      <c r="W17" s="37"/>
      <c r="X17" s="37"/>
      <c r="Y17" s="37"/>
      <c r="Z17" s="37"/>
      <c r="AA17" s="37"/>
      <c r="AB17" s="37"/>
      <c r="AC17" s="37"/>
      <c r="AD17" s="37"/>
      <c r="AE17" s="37"/>
      <c r="AF17" s="37"/>
      <c r="AG17" s="37"/>
      <c r="AH17" s="44">
        <f>W17/(concentrate_grade!$F$4/100)</f>
        <v>0</v>
      </c>
      <c r="AI17" s="44">
        <f>X17/(concentrate_grade!$F$6/100)</f>
        <v>0</v>
      </c>
      <c r="AJ17" s="44">
        <f>Z17/(concentrate_grade!$F$5)</f>
        <v>0</v>
      </c>
      <c r="AK17" s="44">
        <f>AA17/(concentrate_grade!$F$9/100)</f>
        <v>0</v>
      </c>
      <c r="AL17" s="44">
        <f>AB17/(concentrate_grade!$F$8)</f>
        <v>0</v>
      </c>
      <c r="AM17" s="44">
        <f>AC17/concentrate_grade!$F$7</f>
        <v>0</v>
      </c>
      <c r="AN17" s="42"/>
      <c r="AO17" s="42"/>
      <c r="AP17" s="42"/>
      <c r="AQ17" s="44">
        <f>AG17/concentrate_grade!$F$10</f>
        <v>0</v>
      </c>
    </row>
    <row r="18" spans="1:43" hidden="1" x14ac:dyDescent="0.35">
      <c r="A18" s="21" t="s">
        <v>162</v>
      </c>
      <c r="B18" t="s">
        <v>163</v>
      </c>
      <c r="C18" t="s">
        <v>164</v>
      </c>
      <c r="D18" t="s">
        <v>165</v>
      </c>
      <c r="E18" t="s">
        <v>438</v>
      </c>
      <c r="F18" s="22" t="s">
        <v>436</v>
      </c>
      <c r="G18" s="21" t="s">
        <v>99</v>
      </c>
      <c r="H18" t="s">
        <v>1549</v>
      </c>
      <c r="I18" t="s">
        <v>1517</v>
      </c>
      <c r="L18" s="22" t="s">
        <v>166</v>
      </c>
      <c r="M18" t="s">
        <v>1210</v>
      </c>
      <c r="N18" t="s">
        <v>1489</v>
      </c>
      <c r="O18" t="s">
        <v>1554</v>
      </c>
      <c r="P18" s="51">
        <f>prod_table_raw!N75</f>
        <v>553033</v>
      </c>
      <c r="R18" s="52">
        <f>X18/(concentrate_grade!$F$6/100)</f>
        <v>0</v>
      </c>
      <c r="S18" s="52">
        <f t="shared" si="0"/>
        <v>553033</v>
      </c>
      <c r="T18" s="54">
        <f t="shared" si="2"/>
        <v>1</v>
      </c>
      <c r="U18" s="37"/>
      <c r="V18" s="37"/>
      <c r="W18" s="37"/>
      <c r="X18" s="37"/>
      <c r="Y18" s="37"/>
      <c r="Z18" s="37"/>
      <c r="AA18" s="37"/>
      <c r="AB18" s="37"/>
      <c r="AC18" s="37"/>
      <c r="AD18" s="37"/>
      <c r="AE18" s="37"/>
      <c r="AF18" s="37"/>
      <c r="AG18" s="37"/>
      <c r="AI18" s="44">
        <f>X18/(concentrate_grade!$F$6/100)</f>
        <v>0</v>
      </c>
      <c r="AJ18" s="44">
        <f>Z18/(concentrate_grade!$F$5)</f>
        <v>0</v>
      </c>
      <c r="AK18" s="44">
        <f>AA18/(concentrate_grade!$F$9/100)</f>
        <v>0</v>
      </c>
      <c r="AL18" s="44">
        <f>AB18/(concentrate_grade!$F$8)</f>
        <v>0</v>
      </c>
      <c r="AM18" s="44">
        <f>AC18/concentrate_grade!$F$7</f>
        <v>0</v>
      </c>
      <c r="AN18" s="42"/>
      <c r="AO18" s="42"/>
      <c r="AP18" s="42"/>
      <c r="AQ18" s="44">
        <f>AG18/concentrate_grade!$F$10</f>
        <v>0</v>
      </c>
    </row>
    <row r="19" spans="1:43" x14ac:dyDescent="0.35">
      <c r="A19" s="21" t="s">
        <v>530</v>
      </c>
      <c r="B19" t="s">
        <v>404</v>
      </c>
      <c r="C19" t="s">
        <v>531</v>
      </c>
      <c r="D19" t="s">
        <v>406</v>
      </c>
      <c r="E19" t="s">
        <v>438</v>
      </c>
      <c r="F19" s="22" t="s">
        <v>436</v>
      </c>
      <c r="G19" s="21" t="s">
        <v>99</v>
      </c>
      <c r="H19" t="s">
        <v>1549</v>
      </c>
      <c r="I19" t="s">
        <v>1520</v>
      </c>
      <c r="L19" s="22" t="s">
        <v>374</v>
      </c>
      <c r="M19" t="s">
        <v>1206</v>
      </c>
      <c r="N19" t="s">
        <v>1489</v>
      </c>
      <c r="O19" t="s">
        <v>1554</v>
      </c>
      <c r="P19" s="51">
        <f>prod_table_raw!N78</f>
        <v>616000</v>
      </c>
      <c r="R19" s="52">
        <f>X19/(concentrate_grade!$F$6/100)</f>
        <v>49662.5</v>
      </c>
      <c r="S19" s="52">
        <f t="shared" si="0"/>
        <v>566337.5</v>
      </c>
      <c r="T19" s="54">
        <f t="shared" si="2"/>
        <v>0.91230935617012821</v>
      </c>
      <c r="U19" s="37"/>
      <c r="V19" s="37"/>
      <c r="W19" s="37">
        <f>prod_table_raw!N77</f>
        <v>7453</v>
      </c>
      <c r="X19" s="37">
        <f>prod_table_raw!N76</f>
        <v>7946</v>
      </c>
      <c r="Y19" s="37"/>
      <c r="Z19" s="37"/>
      <c r="AA19" s="37"/>
      <c r="AB19" s="37"/>
      <c r="AC19" s="37"/>
      <c r="AD19" s="37"/>
      <c r="AE19" s="37"/>
      <c r="AF19" s="37"/>
      <c r="AG19" s="37"/>
      <c r="AI19" s="44">
        <f>X19/(concentrate_grade!$F$6/100)</f>
        <v>49662.5</v>
      </c>
      <c r="AJ19" s="44">
        <f>Z19/(concentrate_grade!$F$5)</f>
        <v>0</v>
      </c>
      <c r="AK19" s="44">
        <f>AA19/(concentrate_grade!$F$9/100)</f>
        <v>0</v>
      </c>
      <c r="AL19" s="44">
        <f>AB19/(concentrate_grade!$F$8)</f>
        <v>0</v>
      </c>
      <c r="AM19" s="44">
        <f>AC19/concentrate_grade!$F$7</f>
        <v>0</v>
      </c>
      <c r="AN19" s="42"/>
      <c r="AO19" s="42"/>
      <c r="AP19" s="42"/>
      <c r="AQ19" s="44">
        <f>AG19/concentrate_grade!$F$10</f>
        <v>0</v>
      </c>
    </row>
    <row r="20" spans="1:43" x14ac:dyDescent="0.35">
      <c r="A20" s="21" t="s">
        <v>168</v>
      </c>
      <c r="C20" t="s">
        <v>171</v>
      </c>
      <c r="E20" t="s">
        <v>440</v>
      </c>
      <c r="F20" s="22" t="s">
        <v>436</v>
      </c>
      <c r="G20" s="21" t="s">
        <v>78</v>
      </c>
      <c r="H20" t="s">
        <v>1551</v>
      </c>
      <c r="I20" t="s">
        <v>1518</v>
      </c>
      <c r="J20" t="s">
        <v>1509</v>
      </c>
      <c r="L20" s="22" t="s">
        <v>172</v>
      </c>
      <c r="M20" t="s">
        <v>1206</v>
      </c>
      <c r="N20" t="s">
        <v>1170</v>
      </c>
      <c r="O20" t="s">
        <v>1558</v>
      </c>
      <c r="P20" s="51">
        <f>prod_table_raw!N82</f>
        <v>30000000</v>
      </c>
      <c r="R20" s="52">
        <f>W20/(concentrate_grade!$F$4/100)+Z20/(concentrate_grade!$F$5/100)</f>
        <v>186436.98475294118</v>
      </c>
      <c r="S20" s="52">
        <f t="shared" si="0"/>
        <v>29813563.015247058</v>
      </c>
      <c r="T20" s="54">
        <f t="shared" si="2"/>
        <v>0.9937465714964161</v>
      </c>
      <c r="U20" s="37"/>
      <c r="V20" s="37"/>
      <c r="W20" s="37">
        <f>prod_table_raw!N84</f>
        <v>55610.379200000003</v>
      </c>
      <c r="X20" s="37"/>
      <c r="Y20" s="37"/>
      <c r="Z20" s="37">
        <f>prod_table_raw!N83</f>
        <v>545.21758399999999</v>
      </c>
      <c r="AA20" s="37"/>
      <c r="AB20" s="37"/>
      <c r="AC20" s="37"/>
      <c r="AD20" s="37"/>
      <c r="AE20" s="37"/>
      <c r="AF20" s="37"/>
      <c r="AG20" s="37"/>
      <c r="AH20" s="44">
        <f>W20/(concentrate_grade!$F$4/100)</f>
        <v>185367.93066666668</v>
      </c>
      <c r="AI20" s="44">
        <f>X20/(concentrate_grade!$F$6/100)</f>
        <v>0</v>
      </c>
      <c r="AJ20" s="44">
        <f>Z20/(concentrate_grade!$F$5)</f>
        <v>10.690540862745097</v>
      </c>
      <c r="AK20" s="44">
        <f>AA20/(concentrate_grade!$F$9/100)</f>
        <v>0</v>
      </c>
      <c r="AL20" s="44">
        <f>AB20/(concentrate_grade!$F$8)</f>
        <v>0</v>
      </c>
      <c r="AM20" s="44">
        <f>AC20/concentrate_grade!$F$7</f>
        <v>0</v>
      </c>
      <c r="AN20" s="42"/>
      <c r="AO20" s="42"/>
      <c r="AP20" s="42"/>
      <c r="AQ20" s="44">
        <f>AG20/concentrate_grade!$F$10</f>
        <v>0</v>
      </c>
    </row>
    <row r="21" spans="1:43" x14ac:dyDescent="0.35">
      <c r="A21" s="21" t="s">
        <v>174</v>
      </c>
      <c r="C21" t="s">
        <v>175</v>
      </c>
      <c r="E21" t="s">
        <v>437</v>
      </c>
      <c r="F21" s="22" t="s">
        <v>436</v>
      </c>
      <c r="G21" s="21" t="s">
        <v>64</v>
      </c>
      <c r="H21" t="s">
        <v>1494</v>
      </c>
      <c r="I21" t="s">
        <v>1519</v>
      </c>
      <c r="J21" t="s">
        <v>1509</v>
      </c>
      <c r="L21" s="22" t="s">
        <v>65</v>
      </c>
      <c r="M21" t="s">
        <v>1206</v>
      </c>
      <c r="N21" t="s">
        <v>1555</v>
      </c>
      <c r="O21" t="s">
        <v>1556</v>
      </c>
      <c r="P21" s="51">
        <f>prod_table_raw!N88</f>
        <v>2886927.3287240001</v>
      </c>
      <c r="Q21" s="52">
        <f t="shared" ref="Q21:Q22" si="4">(U21+V21)/0.98</f>
        <v>4.4745421183166938</v>
      </c>
      <c r="R21" s="52">
        <f>W21/(concentrate_grade!$F$4/100)</f>
        <v>130.12252666666666</v>
      </c>
      <c r="S21" s="52">
        <f t="shared" si="0"/>
        <v>2886792.7316552154</v>
      </c>
      <c r="T21" s="54">
        <f t="shared" si="2"/>
        <v>0.9999533748761007</v>
      </c>
      <c r="U21" s="37">
        <f>prod_table_raw!N89</f>
        <v>4.3850512759503602</v>
      </c>
      <c r="V21" s="37"/>
      <c r="W21" s="37">
        <f>prod_table_raw!N87</f>
        <v>39.036757999999999</v>
      </c>
      <c r="X21" s="37"/>
      <c r="Y21" s="37"/>
      <c r="Z21" s="37"/>
      <c r="AA21" s="37"/>
      <c r="AB21" s="37"/>
      <c r="AC21" s="37"/>
      <c r="AD21" s="37"/>
      <c r="AE21" s="37"/>
      <c r="AF21" s="37"/>
      <c r="AG21" s="37"/>
      <c r="AH21" s="44">
        <f>W21/(concentrate_grade!$F$4/100)</f>
        <v>130.12252666666666</v>
      </c>
      <c r="AI21" s="44">
        <f>X21/(concentrate_grade!$F$6/100)</f>
        <v>0</v>
      </c>
      <c r="AJ21" s="44">
        <f>Z21/(concentrate_grade!$F$5)</f>
        <v>0</v>
      </c>
      <c r="AK21" s="44">
        <f>AA21/(concentrate_grade!$F$9/100)</f>
        <v>0</v>
      </c>
      <c r="AL21" s="44">
        <f>AB21/(concentrate_grade!$F$8)</f>
        <v>0</v>
      </c>
      <c r="AM21" s="44">
        <f>AC21/concentrate_grade!$F$7</f>
        <v>0</v>
      </c>
      <c r="AN21" s="42"/>
      <c r="AO21" s="42"/>
      <c r="AP21" s="42"/>
      <c r="AQ21" s="44">
        <f>AG21/concentrate_grade!$F$10</f>
        <v>0</v>
      </c>
    </row>
    <row r="22" spans="1:43" x14ac:dyDescent="0.35">
      <c r="A22" s="21" t="s">
        <v>181</v>
      </c>
      <c r="C22" t="s">
        <v>184</v>
      </c>
      <c r="E22" t="s">
        <v>438</v>
      </c>
      <c r="F22" s="22" t="s">
        <v>436</v>
      </c>
      <c r="G22" s="21" t="s">
        <v>91</v>
      </c>
      <c r="I22" t="s">
        <v>1519</v>
      </c>
      <c r="J22" t="s">
        <v>1509</v>
      </c>
      <c r="L22" s="22" t="s">
        <v>116</v>
      </c>
      <c r="M22" t="s">
        <v>1206</v>
      </c>
      <c r="N22" t="s">
        <v>998</v>
      </c>
      <c r="O22" t="s">
        <v>1557</v>
      </c>
      <c r="P22" s="51">
        <f>prod_table_raw!N93</f>
        <v>1266009</v>
      </c>
      <c r="Q22" s="52">
        <f t="shared" si="4"/>
        <v>4.476523630102041</v>
      </c>
      <c r="S22" s="52">
        <f t="shared" si="0"/>
        <v>1266004.5234763699</v>
      </c>
      <c r="T22" s="54">
        <f t="shared" si="2"/>
        <v>0.99999646405400056</v>
      </c>
      <c r="U22" s="37">
        <f>prod_table_raw!N94</f>
        <v>4.3869931575000001</v>
      </c>
      <c r="V22" s="37"/>
      <c r="W22" s="37"/>
      <c r="X22" s="37"/>
      <c r="Y22" s="37"/>
      <c r="Z22" s="37"/>
      <c r="AA22" s="37"/>
      <c r="AB22" s="37"/>
      <c r="AC22" s="37"/>
      <c r="AD22" s="37"/>
      <c r="AE22" s="37"/>
      <c r="AF22" s="37"/>
      <c r="AG22" s="37"/>
      <c r="AH22" s="44">
        <f>W22/(concentrate_grade!$F$4/100)</f>
        <v>0</v>
      </c>
      <c r="AI22" s="44">
        <f>X22/(concentrate_grade!$F$6/100)</f>
        <v>0</v>
      </c>
      <c r="AJ22" s="44">
        <f>Z22/(concentrate_grade!$F$5)</f>
        <v>0</v>
      </c>
      <c r="AK22" s="44">
        <f>AA22/(concentrate_grade!$F$9/100)</f>
        <v>0</v>
      </c>
      <c r="AL22" s="44">
        <f>AB22/(concentrate_grade!$F$8)</f>
        <v>0</v>
      </c>
      <c r="AM22" s="44">
        <f>AC22/concentrate_grade!$F$7</f>
        <v>0</v>
      </c>
      <c r="AN22" s="42"/>
      <c r="AO22" s="42"/>
      <c r="AP22" s="42"/>
      <c r="AQ22" s="44">
        <f>AG22/concentrate_grade!$F$10</f>
        <v>0</v>
      </c>
    </row>
    <row r="23" spans="1:43" x14ac:dyDescent="0.35">
      <c r="A23" s="21" t="s">
        <v>187</v>
      </c>
      <c r="C23" t="s">
        <v>189</v>
      </c>
      <c r="E23" t="s">
        <v>440</v>
      </c>
      <c r="F23" s="22" t="s">
        <v>436</v>
      </c>
      <c r="G23" s="21" t="s">
        <v>78</v>
      </c>
      <c r="H23" t="s">
        <v>1551</v>
      </c>
      <c r="I23" t="s">
        <v>1518</v>
      </c>
      <c r="L23" s="22" t="s">
        <v>190</v>
      </c>
      <c r="M23" t="s">
        <v>1206</v>
      </c>
      <c r="N23" t="s">
        <v>1170</v>
      </c>
      <c r="O23" t="s">
        <v>1558</v>
      </c>
      <c r="P23" s="51">
        <f>prod_table_raw!N95</f>
        <v>215221530000</v>
      </c>
      <c r="R23" s="52">
        <f>W23/(concentrate_grade!$F$4/100)+Z23/(concentrate_grade!$F$5/100)</f>
        <v>343098.03921568632</v>
      </c>
      <c r="S23" s="52">
        <f t="shared" si="0"/>
        <v>215221186901.96078</v>
      </c>
      <c r="T23" s="54">
        <f t="shared" si="2"/>
        <v>0.99999840583520538</v>
      </c>
      <c r="U23" s="37"/>
      <c r="V23" s="37"/>
      <c r="W23" s="37">
        <f>prod_table_raw!N97</f>
        <v>102400</v>
      </c>
      <c r="X23" s="37"/>
      <c r="Y23" s="37"/>
      <c r="Z23" s="37">
        <f>prod_table_raw!N96</f>
        <v>900</v>
      </c>
      <c r="AA23" s="37"/>
      <c r="AB23" s="37"/>
      <c r="AC23" s="37"/>
      <c r="AD23" s="37"/>
      <c r="AE23" s="37"/>
      <c r="AF23" s="37"/>
      <c r="AG23" s="37"/>
      <c r="AH23" s="44">
        <f>W23/(concentrate_grade!$F$4/100)</f>
        <v>341333.33333333337</v>
      </c>
      <c r="AI23" s="44">
        <f>X23/(concentrate_grade!$F$6/100)</f>
        <v>0</v>
      </c>
      <c r="AJ23" s="44">
        <f>Z23/(concentrate_grade!$F$5)</f>
        <v>17.647058823529413</v>
      </c>
      <c r="AK23" s="44">
        <f>AA23/(concentrate_grade!$F$9/100)</f>
        <v>0</v>
      </c>
      <c r="AL23" s="44">
        <f>AB23/(concentrate_grade!$F$8)</f>
        <v>0</v>
      </c>
      <c r="AM23" s="44">
        <f>AC23/concentrate_grade!$F$7</f>
        <v>0</v>
      </c>
      <c r="AN23" s="42"/>
      <c r="AO23" s="42"/>
      <c r="AP23" s="42"/>
      <c r="AQ23" s="44">
        <f>AG23/concentrate_grade!$F$10</f>
        <v>0</v>
      </c>
    </row>
    <row r="24" spans="1:43" hidden="1" x14ac:dyDescent="0.35">
      <c r="A24" s="21" t="s">
        <v>495</v>
      </c>
      <c r="B24" t="s">
        <v>494</v>
      </c>
      <c r="C24" t="s">
        <v>496</v>
      </c>
      <c r="D24" t="s">
        <v>493</v>
      </c>
      <c r="E24" t="s">
        <v>437</v>
      </c>
      <c r="F24" s="22" t="s">
        <v>541</v>
      </c>
      <c r="G24" s="21" t="s">
        <v>29</v>
      </c>
      <c r="I24" t="s">
        <v>1511</v>
      </c>
      <c r="L24" s="22" t="s">
        <v>549</v>
      </c>
      <c r="M24" t="s">
        <v>1210</v>
      </c>
      <c r="N24" t="s">
        <v>995</v>
      </c>
      <c r="P24" s="51"/>
      <c r="S24" s="52">
        <f t="shared" si="0"/>
        <v>0</v>
      </c>
      <c r="U24" s="37"/>
      <c r="V24" s="37"/>
      <c r="W24" s="37"/>
      <c r="X24" s="37"/>
      <c r="Y24" s="37"/>
      <c r="Z24" s="37"/>
      <c r="AA24" s="37"/>
      <c r="AB24" s="37"/>
      <c r="AC24" s="37"/>
      <c r="AD24" s="37"/>
      <c r="AE24" s="37"/>
      <c r="AF24" s="37"/>
      <c r="AG24" s="37"/>
      <c r="AH24" s="41">
        <f>W24/(concentrate_grade!$F$4/100)</f>
        <v>0</v>
      </c>
      <c r="AI24" s="41">
        <f>X24/(concentrate_grade!$F$6/100)</f>
        <v>0</v>
      </c>
      <c r="AJ24" s="42"/>
      <c r="AK24" s="42"/>
      <c r="AL24" s="42"/>
      <c r="AM24" s="42"/>
      <c r="AN24" s="42"/>
      <c r="AO24" s="42"/>
      <c r="AP24" s="42"/>
      <c r="AQ24" s="42"/>
    </row>
    <row r="25" spans="1:43" x14ac:dyDescent="0.35">
      <c r="A25" s="21" t="s">
        <v>196</v>
      </c>
      <c r="C25" t="s">
        <v>199</v>
      </c>
      <c r="E25" t="s">
        <v>438</v>
      </c>
      <c r="F25" s="22" t="s">
        <v>436</v>
      </c>
      <c r="G25" s="21" t="s">
        <v>64</v>
      </c>
      <c r="H25" t="s">
        <v>1494</v>
      </c>
      <c r="I25" t="s">
        <v>1511</v>
      </c>
      <c r="J25" t="s">
        <v>1509</v>
      </c>
      <c r="L25" s="22" t="s">
        <v>116</v>
      </c>
      <c r="M25" t="s">
        <v>1206</v>
      </c>
      <c r="N25" t="s">
        <v>998</v>
      </c>
      <c r="O25" t="s">
        <v>1557</v>
      </c>
      <c r="P25" s="51">
        <f>prod_table_raw!N107</f>
        <v>439008</v>
      </c>
      <c r="Q25" s="52">
        <f>(U25+V25)/0.98</f>
        <v>4.1704080612244905</v>
      </c>
      <c r="S25" s="52">
        <f t="shared" si="0"/>
        <v>439003.82959193876</v>
      </c>
      <c r="T25" s="54">
        <f t="shared" ref="T25:T32" si="5">1-(Q25+R25)/S25</f>
        <v>0.99999050029229786</v>
      </c>
      <c r="U25" s="37">
        <f>prod_table_raw!N105</f>
        <v>4.0869999000000004</v>
      </c>
      <c r="V25" s="37"/>
      <c r="W25" s="37"/>
      <c r="X25" s="37"/>
      <c r="Y25" s="37"/>
      <c r="Z25" s="37"/>
      <c r="AA25" s="37"/>
      <c r="AB25" s="37"/>
      <c r="AC25" s="37"/>
      <c r="AD25" s="37"/>
      <c r="AE25" s="37"/>
      <c r="AF25" s="37"/>
      <c r="AG25" s="37"/>
      <c r="AH25" s="44">
        <f>W25/(concentrate_grade!$F$4/100)</f>
        <v>0</v>
      </c>
      <c r="AI25" s="44">
        <f>X25/(concentrate_grade!$F$6/100)</f>
        <v>0</v>
      </c>
      <c r="AJ25" s="44">
        <f>Z25/(concentrate_grade!$F$5)</f>
        <v>0</v>
      </c>
      <c r="AK25" s="44">
        <f>AA25/(concentrate_grade!$F$9/100)</f>
        <v>0</v>
      </c>
      <c r="AL25" s="44">
        <f>AB25/(concentrate_grade!$F$8)</f>
        <v>0</v>
      </c>
      <c r="AM25" s="44">
        <f>AC25/concentrate_grade!$F$7</f>
        <v>0</v>
      </c>
      <c r="AN25" s="42"/>
      <c r="AO25" s="42"/>
      <c r="AP25" s="42"/>
      <c r="AQ25" s="44">
        <f>AG25/concentrate_grade!$F$10</f>
        <v>0</v>
      </c>
    </row>
    <row r="26" spans="1:43" x14ac:dyDescent="0.35">
      <c r="A26" s="21" t="s">
        <v>201</v>
      </c>
      <c r="C26" t="s">
        <v>203</v>
      </c>
      <c r="E26" t="s">
        <v>441</v>
      </c>
      <c r="F26" s="22" t="s">
        <v>436</v>
      </c>
      <c r="G26" s="21" t="s">
        <v>64</v>
      </c>
      <c r="H26" t="s">
        <v>1507</v>
      </c>
      <c r="I26" s="11"/>
      <c r="J26" t="s">
        <v>1509</v>
      </c>
      <c r="L26" s="22" t="s">
        <v>204</v>
      </c>
      <c r="M26" t="s">
        <v>1206</v>
      </c>
      <c r="N26" t="s">
        <v>1561</v>
      </c>
      <c r="O26" t="s">
        <v>1562</v>
      </c>
      <c r="P26" s="51">
        <f>prod_table_raw!N112</f>
        <v>127307</v>
      </c>
      <c r="R26" s="52">
        <f>AA26/(concentrate_grade!F9/100)+AB26/(concentrate_grade!F8/100)</f>
        <v>4719.666666666667</v>
      </c>
      <c r="S26" s="52">
        <f t="shared" si="0"/>
        <v>122587.33333333333</v>
      </c>
      <c r="T26" s="54">
        <f t="shared" si="5"/>
        <v>0.96149955677856869</v>
      </c>
      <c r="U26" s="37"/>
      <c r="V26" s="37">
        <f>prod_table_raw!N111</f>
        <v>46.735403719499999</v>
      </c>
      <c r="W26" s="37"/>
      <c r="X26" s="37"/>
      <c r="Y26" s="37"/>
      <c r="Z26" s="37"/>
      <c r="AA26" s="37">
        <f>prod_table_raw!N114</f>
        <v>1339</v>
      </c>
      <c r="AB26" s="37">
        <f>prod_table_raw!N113</f>
        <v>1225</v>
      </c>
      <c r="AC26" s="37"/>
      <c r="AD26" s="37"/>
      <c r="AE26" s="37"/>
      <c r="AF26" s="37"/>
      <c r="AG26" s="37"/>
      <c r="AH26" s="44">
        <f>W26/(concentrate_grade!$F$4/100)</f>
        <v>0</v>
      </c>
      <c r="AI26" s="44">
        <f>X26/(concentrate_grade!$F$6/100)</f>
        <v>0</v>
      </c>
      <c r="AJ26" s="44">
        <f>Z26/(concentrate_grade!$F$5)</f>
        <v>0</v>
      </c>
      <c r="AK26" s="44">
        <f>AA26/(concentrate_grade!$F$9/100)</f>
        <v>2678</v>
      </c>
      <c r="AL26" s="44">
        <f>AB26/(concentrate_grade!$F$8)</f>
        <v>20.416666666666668</v>
      </c>
      <c r="AM26" s="44">
        <f>AC26/concentrate_grade!$F$7</f>
        <v>0</v>
      </c>
      <c r="AN26" s="42"/>
      <c r="AO26" s="42"/>
      <c r="AP26" s="42"/>
      <c r="AQ26" s="44">
        <f>AG26/concentrate_grade!$F$10</f>
        <v>0</v>
      </c>
    </row>
    <row r="27" spans="1:43" hidden="1" x14ac:dyDescent="0.35">
      <c r="A27" s="21"/>
      <c r="B27" t="s">
        <v>255</v>
      </c>
      <c r="C27" t="s">
        <v>257</v>
      </c>
      <c r="E27" t="s">
        <v>454</v>
      </c>
      <c r="F27" s="22" t="s">
        <v>436</v>
      </c>
      <c r="G27" s="21" t="s">
        <v>1465</v>
      </c>
      <c r="H27" t="s">
        <v>1505</v>
      </c>
      <c r="L27" s="22" t="s">
        <v>93</v>
      </c>
      <c r="M27" t="s">
        <v>1210</v>
      </c>
      <c r="N27" t="s">
        <v>1164</v>
      </c>
      <c r="O27" t="s">
        <v>1575</v>
      </c>
      <c r="P27" s="51">
        <f>prod_table_raw!N155</f>
        <v>98408.871032543204</v>
      </c>
      <c r="S27" s="52">
        <f t="shared" si="0"/>
        <v>98408.871032543204</v>
      </c>
      <c r="T27" s="54">
        <f t="shared" si="5"/>
        <v>1</v>
      </c>
      <c r="U27" s="37"/>
      <c r="V27" s="37"/>
      <c r="W27" s="37"/>
      <c r="X27" s="37"/>
      <c r="Y27" s="37"/>
      <c r="Z27" s="37"/>
      <c r="AA27" s="37"/>
      <c r="AB27" s="37"/>
      <c r="AC27" s="37"/>
      <c r="AD27" s="37"/>
      <c r="AE27" s="37"/>
      <c r="AF27" s="37">
        <f>prod_table_raw!N154</f>
        <v>6123.4920000000002</v>
      </c>
      <c r="AG27" s="37"/>
      <c r="AH27" s="44">
        <f>W27/(concentrate_grade!$F$4/100)</f>
        <v>0</v>
      </c>
      <c r="AI27" s="44">
        <f>X27/(concentrate_grade!$F$6/100)</f>
        <v>0</v>
      </c>
      <c r="AJ27" s="44">
        <f>Z27/(concentrate_grade!$F$5)</f>
        <v>0</v>
      </c>
      <c r="AK27" s="44">
        <f>AA27/(concentrate_grade!$F$9/100)</f>
        <v>0</v>
      </c>
      <c r="AL27" s="44">
        <f>AB27/(concentrate_grade!$F$8)</f>
        <v>0</v>
      </c>
      <c r="AM27" s="44">
        <f>AC27/concentrate_grade!$F$7</f>
        <v>0</v>
      </c>
      <c r="AN27" s="42"/>
      <c r="AO27" s="42"/>
      <c r="AP27" s="42"/>
      <c r="AQ27" s="44">
        <f>AG27/concentrate_grade!$F$10</f>
        <v>0</v>
      </c>
    </row>
    <row r="28" spans="1:43" x14ac:dyDescent="0.35">
      <c r="A28" s="21" t="s">
        <v>206</v>
      </c>
      <c r="C28" t="s">
        <v>207</v>
      </c>
      <c r="E28" t="s">
        <v>438</v>
      </c>
      <c r="F28" s="22" t="s">
        <v>436</v>
      </c>
      <c r="G28" s="21" t="s">
        <v>64</v>
      </c>
      <c r="H28" t="s">
        <v>1552</v>
      </c>
      <c r="I28" t="s">
        <v>1520</v>
      </c>
      <c r="L28" s="22" t="s">
        <v>208</v>
      </c>
      <c r="M28" t="s">
        <v>1206</v>
      </c>
      <c r="N28" t="s">
        <v>1188</v>
      </c>
      <c r="O28" t="s">
        <v>1559</v>
      </c>
      <c r="P28" s="51">
        <f>prod_table_raw!N118</f>
        <v>1340000</v>
      </c>
      <c r="R28" s="52">
        <f>W28/(concentrate_grade!$F$4/100)+AA28/(concentrate_grade!$F$9/100)</f>
        <v>152533.33333333334</v>
      </c>
      <c r="S28" s="52">
        <f t="shared" si="0"/>
        <v>1187466.6666666667</v>
      </c>
      <c r="T28" s="54">
        <f t="shared" si="5"/>
        <v>0.871547271502358</v>
      </c>
      <c r="U28" s="37"/>
      <c r="V28" s="37">
        <f>prod_table_raw!N117</f>
        <v>42.860622999999997</v>
      </c>
      <c r="W28" s="37">
        <f>prod_table_raw!N115</f>
        <v>22600</v>
      </c>
      <c r="X28" s="37"/>
      <c r="Y28" s="37"/>
      <c r="Z28" s="37"/>
      <c r="AA28" s="37">
        <f>prod_table_raw!N116</f>
        <v>38600</v>
      </c>
      <c r="AB28" s="37"/>
      <c r="AC28" s="37"/>
      <c r="AD28" s="37"/>
      <c r="AE28" s="37"/>
      <c r="AF28" s="37"/>
      <c r="AG28" s="37"/>
      <c r="AH28" s="44">
        <f>W28/(concentrate_grade!$F$4/100)</f>
        <v>75333.333333333343</v>
      </c>
      <c r="AI28" s="44">
        <f>X28/(concentrate_grade!$F$6/100)</f>
        <v>0</v>
      </c>
      <c r="AJ28" s="44">
        <f>Z28/(concentrate_grade!$F$5)</f>
        <v>0</v>
      </c>
      <c r="AK28" s="44">
        <f>AA28/(concentrate_grade!$F$9/100)</f>
        <v>77200</v>
      </c>
      <c r="AL28" s="44">
        <f>AB28/(concentrate_grade!$F$8)</f>
        <v>0</v>
      </c>
      <c r="AM28" s="44">
        <f>AC28/concentrate_grade!$F$7</f>
        <v>0</v>
      </c>
      <c r="AN28" s="42"/>
      <c r="AO28" s="42"/>
      <c r="AP28" s="42"/>
      <c r="AQ28" s="44">
        <f>AG28/concentrate_grade!$F$10</f>
        <v>0</v>
      </c>
    </row>
    <row r="29" spans="1:43" x14ac:dyDescent="0.35">
      <c r="A29" s="21" t="s">
        <v>210</v>
      </c>
      <c r="C29" t="s">
        <v>211</v>
      </c>
      <c r="E29" t="s">
        <v>437</v>
      </c>
      <c r="F29" s="22" t="s">
        <v>436</v>
      </c>
      <c r="G29" s="21" t="s">
        <v>78</v>
      </c>
      <c r="H29" t="s">
        <v>1494</v>
      </c>
      <c r="I29" t="s">
        <v>1517</v>
      </c>
      <c r="J29" t="s">
        <v>1509</v>
      </c>
      <c r="L29" s="22" t="s">
        <v>65</v>
      </c>
      <c r="M29" t="s">
        <v>1206</v>
      </c>
      <c r="N29" t="s">
        <v>1168</v>
      </c>
      <c r="O29" t="s">
        <v>1557</v>
      </c>
      <c r="P29" s="51">
        <f>prod_table_raw!N122</f>
        <v>191148</v>
      </c>
      <c r="Q29" s="52">
        <f>(U29+V29)/0.98</f>
        <v>1.2201776096938775</v>
      </c>
      <c r="S29" s="52">
        <f t="shared" si="0"/>
        <v>191146.77982239029</v>
      </c>
      <c r="T29" s="54">
        <f t="shared" si="5"/>
        <v>0.99999361654111663</v>
      </c>
      <c r="U29" s="37">
        <f>prod_table_raw!N121</f>
        <v>1.1053250795</v>
      </c>
      <c r="V29" s="37">
        <f>prod_table_raw!N123</f>
        <v>9.0448977999999999E-2</v>
      </c>
      <c r="W29" s="37"/>
      <c r="X29" s="37"/>
      <c r="Y29" s="37"/>
      <c r="Z29" s="37"/>
      <c r="AA29" s="37"/>
      <c r="AB29" s="37"/>
      <c r="AC29" s="37"/>
      <c r="AD29" s="37"/>
      <c r="AE29" s="37"/>
      <c r="AF29" s="37"/>
      <c r="AG29" s="37"/>
      <c r="AH29" s="44">
        <f>W29/(concentrate_grade!$F$4/100)</f>
        <v>0</v>
      </c>
      <c r="AI29" s="44">
        <f>X29/(concentrate_grade!$F$6/100)</f>
        <v>0</v>
      </c>
      <c r="AJ29" s="44">
        <f>Z29/(concentrate_grade!$F$5)</f>
        <v>0</v>
      </c>
      <c r="AK29" s="44">
        <f>AA29/(concentrate_grade!$F$9/100)</f>
        <v>0</v>
      </c>
      <c r="AL29" s="44">
        <f>AB29/(concentrate_grade!$F$8)</f>
        <v>0</v>
      </c>
      <c r="AM29" s="44">
        <f>AC29/concentrate_grade!$F$7</f>
        <v>0</v>
      </c>
      <c r="AN29" s="42"/>
      <c r="AO29" s="42"/>
      <c r="AP29" s="42"/>
      <c r="AQ29" s="44">
        <f>AG29/concentrate_grade!$F$10</f>
        <v>0</v>
      </c>
    </row>
    <row r="30" spans="1:43" hidden="1" x14ac:dyDescent="0.35">
      <c r="A30" s="21" t="s">
        <v>216</v>
      </c>
      <c r="C30" t="s">
        <v>219</v>
      </c>
      <c r="E30" t="s">
        <v>438</v>
      </c>
      <c r="F30" s="22" t="s">
        <v>436</v>
      </c>
      <c r="G30" s="21" t="s">
        <v>91</v>
      </c>
      <c r="H30" s="17" t="s">
        <v>1496</v>
      </c>
      <c r="I30" t="s">
        <v>1513</v>
      </c>
      <c r="J30" t="s">
        <v>1509</v>
      </c>
      <c r="L30" s="22" t="s">
        <v>220</v>
      </c>
      <c r="M30" t="s">
        <v>1210</v>
      </c>
      <c r="N30" t="s">
        <v>1006</v>
      </c>
      <c r="O30" t="s">
        <v>1563</v>
      </c>
      <c r="P30" s="51">
        <f>prod_table_raw!N126</f>
        <v>3798000</v>
      </c>
      <c r="S30" s="52">
        <f t="shared" si="0"/>
        <v>3798000</v>
      </c>
      <c r="T30" s="54">
        <f t="shared" si="5"/>
        <v>1</v>
      </c>
      <c r="U30" s="37">
        <f>prod_table_raw!N127</f>
        <v>0.59407684999999999</v>
      </c>
      <c r="V30" s="37"/>
      <c r="W30" s="37"/>
      <c r="X30" s="37"/>
      <c r="Y30" s="37"/>
      <c r="Z30" s="37"/>
      <c r="AA30" s="37"/>
      <c r="AB30" s="37"/>
      <c r="AC30" s="37"/>
      <c r="AD30" s="37">
        <f>prod_table_raw!N129</f>
        <v>0.67805629999999995</v>
      </c>
      <c r="AE30" s="37">
        <f>prod_table_raw!N128</f>
        <v>0.77758749999999999</v>
      </c>
      <c r="AF30" s="37"/>
      <c r="AG30" s="37"/>
      <c r="AH30" s="44">
        <f>W30/(concentrate_grade!$F$4/100)</f>
        <v>0</v>
      </c>
      <c r="AI30" s="44">
        <f>X30/(concentrate_grade!$F$6/100)</f>
        <v>0</v>
      </c>
      <c r="AJ30" s="44">
        <f>Z30/(concentrate_grade!$F$5)</f>
        <v>0</v>
      </c>
      <c r="AK30" s="44">
        <f>AA30/(concentrate_grade!$F$9/100)</f>
        <v>0</v>
      </c>
      <c r="AL30" s="44">
        <f>AB30/(concentrate_grade!$F$8)</f>
        <v>0</v>
      </c>
      <c r="AM30" s="44">
        <f>AC30/concentrate_grade!$F$7</f>
        <v>0</v>
      </c>
      <c r="AN30" s="42"/>
      <c r="AO30" s="42"/>
      <c r="AP30" s="42"/>
      <c r="AQ30" s="44">
        <f>AG30/concentrate_grade!$F$10</f>
        <v>0</v>
      </c>
    </row>
    <row r="31" spans="1:43" x14ac:dyDescent="0.35">
      <c r="A31" s="21" t="s">
        <v>228</v>
      </c>
      <c r="C31" t="s">
        <v>231</v>
      </c>
      <c r="E31" t="s">
        <v>437</v>
      </c>
      <c r="F31" s="22" t="s">
        <v>436</v>
      </c>
      <c r="G31" s="21" t="s">
        <v>64</v>
      </c>
      <c r="H31" t="s">
        <v>1494</v>
      </c>
      <c r="I31" t="s">
        <v>1517</v>
      </c>
      <c r="J31" t="s">
        <v>1509</v>
      </c>
      <c r="L31" s="22" t="s">
        <v>65</v>
      </c>
      <c r="M31" t="s">
        <v>1206</v>
      </c>
      <c r="N31" t="s">
        <v>1168</v>
      </c>
      <c r="O31" t="s">
        <v>1557</v>
      </c>
      <c r="P31" s="51">
        <f>prod_table_raw!N136</f>
        <v>838419</v>
      </c>
      <c r="Q31" s="52">
        <f t="shared" ref="Q31:Q32" si="6">(U31+V31)/0.98</f>
        <v>7.932820721938775</v>
      </c>
      <c r="S31" s="52">
        <f t="shared" si="0"/>
        <v>838411.067179278</v>
      </c>
      <c r="T31" s="54">
        <f t="shared" si="5"/>
        <v>0.99999053826812112</v>
      </c>
      <c r="U31" s="37">
        <f>prod_table_raw!N135</f>
        <v>5.5074656414999996</v>
      </c>
      <c r="V31" s="37">
        <f>prod_table_raw!N137</f>
        <v>2.2666986659999999</v>
      </c>
      <c r="W31" s="37"/>
      <c r="X31" s="37"/>
      <c r="Y31" s="37"/>
      <c r="Z31" s="37"/>
      <c r="AA31" s="37"/>
      <c r="AB31" s="37"/>
      <c r="AC31" s="37"/>
      <c r="AD31" s="37"/>
      <c r="AE31" s="37"/>
      <c r="AF31" s="37"/>
      <c r="AG31" s="37"/>
      <c r="AH31" s="44">
        <f>W31/(concentrate_grade!$F$4/100)</f>
        <v>0</v>
      </c>
      <c r="AI31" s="44">
        <f>X31/(concentrate_grade!$F$6/100)</f>
        <v>0</v>
      </c>
      <c r="AJ31" s="44">
        <f>Z31/(concentrate_grade!$F$5)</f>
        <v>0</v>
      </c>
      <c r="AK31" s="44">
        <f>AA31/(concentrate_grade!$F$9/100)</f>
        <v>0</v>
      </c>
      <c r="AL31" s="44">
        <f>AB31/(concentrate_grade!$F$8)</f>
        <v>0</v>
      </c>
      <c r="AM31" s="44">
        <f>AC31/concentrate_grade!$F$7</f>
        <v>0</v>
      </c>
      <c r="AN31" s="42"/>
      <c r="AO31" s="42"/>
      <c r="AP31" s="42"/>
      <c r="AQ31" s="44">
        <f>AG31/concentrate_grade!$F$10</f>
        <v>0</v>
      </c>
    </row>
    <row r="32" spans="1:43" x14ac:dyDescent="0.35">
      <c r="A32" s="21" t="s">
        <v>233</v>
      </c>
      <c r="C32" t="s">
        <v>234</v>
      </c>
      <c r="E32" t="s">
        <v>437</v>
      </c>
      <c r="F32" s="22" t="s">
        <v>436</v>
      </c>
      <c r="G32" s="21" t="s">
        <v>64</v>
      </c>
      <c r="H32" s="17" t="s">
        <v>1551</v>
      </c>
      <c r="I32" t="s">
        <v>1519</v>
      </c>
      <c r="J32" t="s">
        <v>1509</v>
      </c>
      <c r="L32" s="22" t="s">
        <v>235</v>
      </c>
      <c r="M32" t="s">
        <v>1206</v>
      </c>
      <c r="N32" t="s">
        <v>1172</v>
      </c>
      <c r="O32" t="s">
        <v>1572</v>
      </c>
      <c r="P32" s="51">
        <f>prod_table_raw!N141</f>
        <v>1501500</v>
      </c>
      <c r="Q32" s="52">
        <f t="shared" si="6"/>
        <v>9.8029027903061134</v>
      </c>
      <c r="R32" s="52">
        <f>W32/(concentrate_grade!$F$4/100)+AA32/(concentrate_grade!$F$9/100)</f>
        <v>23998.078283999999</v>
      </c>
      <c r="S32" s="52">
        <f t="shared" si="0"/>
        <v>1477492.1188132097</v>
      </c>
      <c r="T32" s="54">
        <f t="shared" si="5"/>
        <v>0.98375092436630085</v>
      </c>
      <c r="U32" s="37">
        <f>prod_table_raw!N140</f>
        <v>7.3401460684999904</v>
      </c>
      <c r="V32" s="37">
        <f>prod_table_raw!N137</f>
        <v>2.2666986659999999</v>
      </c>
      <c r="W32" s="37">
        <f>prod_table_raw!N139</f>
        <v>2577.9603750000001</v>
      </c>
      <c r="X32" s="37"/>
      <c r="Y32" s="37"/>
      <c r="Z32" s="37"/>
      <c r="AA32" s="37">
        <f>prod_table_raw!N138</f>
        <v>7702.4385169999996</v>
      </c>
      <c r="AB32" s="37"/>
      <c r="AC32" s="37"/>
      <c r="AD32" s="37"/>
      <c r="AE32" s="37"/>
      <c r="AF32" s="37"/>
      <c r="AG32" s="37"/>
      <c r="AH32" s="44">
        <f>W32/(concentrate_grade!$F$4/100)</f>
        <v>8593.2012500000001</v>
      </c>
      <c r="AI32" s="44">
        <f>X32/(concentrate_grade!$F$6/100)</f>
        <v>0</v>
      </c>
      <c r="AJ32" s="44">
        <f>Z32/(concentrate_grade!$F$5)</f>
        <v>0</v>
      </c>
      <c r="AK32" s="44">
        <f>AA32/(concentrate_grade!$F$9/100)</f>
        <v>15404.877033999999</v>
      </c>
      <c r="AL32" s="44">
        <f>AB32/(concentrate_grade!$F$8)</f>
        <v>0</v>
      </c>
      <c r="AM32" s="44">
        <f>AC32/concentrate_grade!$F$7</f>
        <v>0</v>
      </c>
      <c r="AN32" s="42"/>
      <c r="AO32" s="42"/>
      <c r="AP32" s="42"/>
      <c r="AQ32" s="44">
        <f>AG32/concentrate_grade!$F$10</f>
        <v>0</v>
      </c>
    </row>
    <row r="33" spans="1:43" hidden="1" x14ac:dyDescent="0.35">
      <c r="A33" s="21" t="s">
        <v>535</v>
      </c>
      <c r="C33" t="s">
        <v>536</v>
      </c>
      <c r="E33" t="s">
        <v>443</v>
      </c>
      <c r="F33" s="22" t="s">
        <v>541</v>
      </c>
      <c r="G33" s="21" t="s">
        <v>71</v>
      </c>
      <c r="H33" t="s">
        <v>1252</v>
      </c>
      <c r="I33" t="s">
        <v>1511</v>
      </c>
      <c r="L33" s="22" t="s">
        <v>327</v>
      </c>
      <c r="M33" t="s">
        <v>1210</v>
      </c>
      <c r="N33" t="s">
        <v>996</v>
      </c>
      <c r="P33" s="51"/>
      <c r="S33" s="52">
        <f t="shared" si="0"/>
        <v>0</v>
      </c>
      <c r="U33" s="37"/>
      <c r="V33" s="37"/>
      <c r="W33" s="37"/>
      <c r="X33" s="37">
        <f>prod_table_raw!N147</f>
        <v>27700</v>
      </c>
      <c r="Y33" s="37"/>
      <c r="Z33" s="37"/>
      <c r="AA33" s="37"/>
      <c r="AB33" s="37"/>
      <c r="AC33" s="37"/>
      <c r="AD33" s="37"/>
      <c r="AE33" s="37"/>
      <c r="AF33" s="37"/>
      <c r="AG33" s="37"/>
      <c r="AH33" s="41">
        <f>W33/(concentrate_grade!$F$4/100)</f>
        <v>0</v>
      </c>
      <c r="AI33" s="41">
        <f>X33/(concentrate_grade!$F$6/100)</f>
        <v>173125</v>
      </c>
      <c r="AJ33" s="42"/>
      <c r="AK33" s="42"/>
      <c r="AL33" s="42"/>
      <c r="AM33" s="42"/>
      <c r="AN33" s="42"/>
      <c r="AO33" s="42"/>
      <c r="AP33" s="42"/>
      <c r="AQ33" s="42"/>
    </row>
    <row r="34" spans="1:43" x14ac:dyDescent="0.35">
      <c r="A34" s="21" t="s">
        <v>240</v>
      </c>
      <c r="C34" t="s">
        <v>241</v>
      </c>
      <c r="E34" t="s">
        <v>438</v>
      </c>
      <c r="F34" s="22" t="s">
        <v>436</v>
      </c>
      <c r="G34" s="21" t="s">
        <v>64</v>
      </c>
      <c r="H34" s="17" t="s">
        <v>1494</v>
      </c>
      <c r="I34" t="s">
        <v>1519</v>
      </c>
      <c r="J34" t="s">
        <v>1509</v>
      </c>
      <c r="L34" s="22" t="s">
        <v>65</v>
      </c>
      <c r="M34" t="s">
        <v>1206</v>
      </c>
      <c r="N34" t="s">
        <v>998</v>
      </c>
      <c r="O34" t="s">
        <v>1557</v>
      </c>
      <c r="P34" s="51">
        <f>prod_table_raw!N148</f>
        <v>441588</v>
      </c>
      <c r="Q34" s="52">
        <f t="shared" ref="Q34:Q35" si="7">(U34+V34)/0.98</f>
        <v>7.253304461734694</v>
      </c>
      <c r="S34" s="52">
        <f t="shared" si="0"/>
        <v>441580.74669553828</v>
      </c>
      <c r="T34" s="54">
        <f t="shared" ref="T34:T45" si="8">1-(Q34+R34)/S34</f>
        <v>0.99998357422845985</v>
      </c>
      <c r="U34" s="37">
        <f>prod_table_raw!N149</f>
        <v>7.1082383724999998</v>
      </c>
      <c r="V34" s="37"/>
      <c r="W34" s="37"/>
      <c r="X34" s="37"/>
      <c r="Y34" s="37"/>
      <c r="Z34" s="37"/>
      <c r="AA34" s="37"/>
      <c r="AB34" s="37"/>
      <c r="AC34" s="37"/>
      <c r="AD34" s="37"/>
      <c r="AE34" s="37"/>
      <c r="AF34" s="37"/>
      <c r="AG34" s="37"/>
      <c r="AH34" s="44">
        <f>W34/(concentrate_grade!$F$4/100)</f>
        <v>0</v>
      </c>
      <c r="AI34" s="44">
        <f>X34/(concentrate_grade!$F$6/100)</f>
        <v>0</v>
      </c>
      <c r="AJ34" s="44">
        <f>Z34/(concentrate_grade!$F$5)</f>
        <v>0</v>
      </c>
      <c r="AK34" s="44">
        <f>AA34/(concentrate_grade!$F$9/100)</f>
        <v>0</v>
      </c>
      <c r="AL34" s="44">
        <f>AB34/(concentrate_grade!$F$8)</f>
        <v>0</v>
      </c>
      <c r="AM34" s="44">
        <f>AC34/concentrate_grade!$F$7</f>
        <v>0</v>
      </c>
      <c r="AN34" s="42"/>
      <c r="AO34" s="42"/>
      <c r="AP34" s="42"/>
      <c r="AQ34" s="44">
        <f>AG34/concentrate_grade!$F$10</f>
        <v>0</v>
      </c>
    </row>
    <row r="35" spans="1:43" x14ac:dyDescent="0.35">
      <c r="A35" s="21" t="s">
        <v>244</v>
      </c>
      <c r="C35" t="s">
        <v>247</v>
      </c>
      <c r="E35" t="s">
        <v>438</v>
      </c>
      <c r="F35" s="22" t="s">
        <v>436</v>
      </c>
      <c r="G35" s="21" t="s">
        <v>78</v>
      </c>
      <c r="H35" t="s">
        <v>1494</v>
      </c>
      <c r="I35" t="s">
        <v>1520</v>
      </c>
      <c r="L35" s="22" t="s">
        <v>65</v>
      </c>
      <c r="M35" t="s">
        <v>1206</v>
      </c>
      <c r="N35" t="s">
        <v>998</v>
      </c>
      <c r="O35" t="s">
        <v>1557</v>
      </c>
      <c r="P35" s="51">
        <f>prod_table_raw!N152</f>
        <v>1165551</v>
      </c>
      <c r="Q35" s="52">
        <f t="shared" si="7"/>
        <v>1.0473627551020408</v>
      </c>
      <c r="S35" s="52">
        <f t="shared" si="0"/>
        <v>1165549.9526372449</v>
      </c>
      <c r="T35" s="54">
        <f t="shared" si="8"/>
        <v>0.99999910140037096</v>
      </c>
      <c r="U35" s="37">
        <f>prod_table_raw!N150</f>
        <v>1.0264154999999999</v>
      </c>
      <c r="V35" s="37"/>
      <c r="W35" s="37"/>
      <c r="X35" s="37"/>
      <c r="Y35" s="37"/>
      <c r="Z35" s="37"/>
      <c r="AA35" s="37"/>
      <c r="AB35" s="37"/>
      <c r="AC35" s="37"/>
      <c r="AD35" s="37"/>
      <c r="AE35" s="37"/>
      <c r="AF35" s="37"/>
      <c r="AG35" s="37"/>
      <c r="AH35" s="44">
        <f>W35/(concentrate_grade!$F$4/100)</f>
        <v>0</v>
      </c>
      <c r="AI35" s="44">
        <f>X35/(concentrate_grade!$F$6/100)</f>
        <v>0</v>
      </c>
      <c r="AJ35" s="44">
        <f>Z35/(concentrate_grade!$F$5)</f>
        <v>0</v>
      </c>
      <c r="AK35" s="44">
        <f>AA35/(concentrate_grade!$F$9/100)</f>
        <v>0</v>
      </c>
      <c r="AL35" s="44">
        <f>AB35/(concentrate_grade!$F$8)</f>
        <v>0</v>
      </c>
      <c r="AM35" s="44">
        <f>AC35/concentrate_grade!$F$7</f>
        <v>0</v>
      </c>
      <c r="AN35" s="42"/>
      <c r="AO35" s="42"/>
      <c r="AP35" s="42"/>
      <c r="AQ35" s="44">
        <f>AG35/concentrate_grade!$F$10</f>
        <v>0</v>
      </c>
    </row>
    <row r="36" spans="1:43" x14ac:dyDescent="0.35">
      <c r="A36" s="21" t="s">
        <v>250</v>
      </c>
      <c r="C36" t="s">
        <v>252</v>
      </c>
      <c r="E36" t="s">
        <v>435</v>
      </c>
      <c r="F36" s="22" t="s">
        <v>436</v>
      </c>
      <c r="G36" s="21" t="s">
        <v>57</v>
      </c>
      <c r="H36" t="s">
        <v>1284</v>
      </c>
      <c r="I36" t="s">
        <v>1513</v>
      </c>
      <c r="L36" s="22" t="s">
        <v>150</v>
      </c>
      <c r="M36" t="s">
        <v>1206</v>
      </c>
      <c r="N36" t="s">
        <v>1161</v>
      </c>
      <c r="O36" t="s">
        <v>514</v>
      </c>
      <c r="P36" s="51">
        <f>prod_table_raw!N153</f>
        <v>5600000</v>
      </c>
      <c r="S36" s="52">
        <f t="shared" si="0"/>
        <v>5600000</v>
      </c>
      <c r="T36" s="54">
        <f t="shared" si="8"/>
        <v>1</v>
      </c>
      <c r="U36" s="37"/>
      <c r="V36" s="37"/>
      <c r="W36" s="37"/>
      <c r="X36" s="37"/>
      <c r="Y36" s="37"/>
      <c r="Z36" s="37"/>
      <c r="AA36" s="37"/>
      <c r="AB36" s="37"/>
      <c r="AC36" s="37"/>
      <c r="AD36" s="37"/>
      <c r="AE36" s="37"/>
      <c r="AF36" s="37"/>
      <c r="AG36" s="37"/>
      <c r="AH36" s="44">
        <f>W36/(concentrate_grade!$F$4/100)</f>
        <v>0</v>
      </c>
      <c r="AI36" s="44">
        <f>X36/(concentrate_grade!$F$6/100)</f>
        <v>0</v>
      </c>
      <c r="AJ36" s="44">
        <f>Z36/(concentrate_grade!$F$5)</f>
        <v>0</v>
      </c>
      <c r="AK36" s="44">
        <f>AA36/(concentrate_grade!$F$9/100)</f>
        <v>0</v>
      </c>
      <c r="AL36" s="44">
        <f>AB36/(concentrate_grade!$F$8)</f>
        <v>0</v>
      </c>
      <c r="AM36" s="44">
        <f>AC36/concentrate_grade!$F$7</f>
        <v>0</v>
      </c>
      <c r="AN36" s="42"/>
      <c r="AO36" s="42"/>
      <c r="AP36" s="42"/>
      <c r="AQ36" s="44">
        <f>AG36/concentrate_grade!$F$10</f>
        <v>0</v>
      </c>
    </row>
    <row r="37" spans="1:43" hidden="1" x14ac:dyDescent="0.35">
      <c r="A37" s="21" t="s">
        <v>262</v>
      </c>
      <c r="C37" t="s">
        <v>264</v>
      </c>
      <c r="E37" t="s">
        <v>454</v>
      </c>
      <c r="F37" s="22" t="s">
        <v>436</v>
      </c>
      <c r="G37" s="21" t="s">
        <v>265</v>
      </c>
      <c r="H37" t="s">
        <v>1505</v>
      </c>
      <c r="I37" t="s">
        <v>1519</v>
      </c>
      <c r="L37" s="22" t="s">
        <v>93</v>
      </c>
      <c r="M37" t="s">
        <v>1210</v>
      </c>
      <c r="N37" t="s">
        <v>1164</v>
      </c>
      <c r="O37" t="s">
        <v>1570</v>
      </c>
      <c r="P37" s="51"/>
      <c r="S37" s="52">
        <f t="shared" si="0"/>
        <v>0</v>
      </c>
      <c r="T37" s="54" t="e">
        <f t="shared" si="8"/>
        <v>#DIV/0!</v>
      </c>
      <c r="U37" s="37"/>
      <c r="V37" s="37"/>
      <c r="W37" s="37"/>
      <c r="X37" s="37"/>
      <c r="Y37" s="37"/>
      <c r="Z37" s="37"/>
      <c r="AA37" s="37"/>
      <c r="AB37" s="37"/>
      <c r="AC37" s="37"/>
      <c r="AD37" s="37"/>
      <c r="AE37" s="37"/>
      <c r="AF37" s="37">
        <f>prod_table_raw!N156</f>
        <v>8164.6559999999999</v>
      </c>
      <c r="AG37" s="37"/>
      <c r="AH37" s="44">
        <f>W37/(concentrate_grade!$F$4/100)</f>
        <v>0</v>
      </c>
      <c r="AI37" s="44">
        <f>X37/(concentrate_grade!$F$6/100)</f>
        <v>0</v>
      </c>
      <c r="AJ37" s="44">
        <f>Z37/(concentrate_grade!$F$5)</f>
        <v>0</v>
      </c>
      <c r="AK37" s="44">
        <f>AA37/(concentrate_grade!$F$9/100)</f>
        <v>0</v>
      </c>
      <c r="AL37" s="44">
        <f>AB37/(concentrate_grade!$F$8)</f>
        <v>0</v>
      </c>
      <c r="AM37" s="44">
        <f>AC37/concentrate_grade!$F$7</f>
        <v>0</v>
      </c>
      <c r="AN37" s="42"/>
      <c r="AO37" s="42"/>
      <c r="AP37" s="42"/>
      <c r="AQ37" s="44">
        <f>AG37/concentrate_grade!$F$10</f>
        <v>0</v>
      </c>
    </row>
    <row r="38" spans="1:43" hidden="1" x14ac:dyDescent="0.35">
      <c r="A38" s="21" t="s">
        <v>268</v>
      </c>
      <c r="C38" t="s">
        <v>271</v>
      </c>
      <c r="E38" t="s">
        <v>438</v>
      </c>
      <c r="F38" s="22" t="s">
        <v>436</v>
      </c>
      <c r="G38" s="21" t="s">
        <v>99</v>
      </c>
      <c r="H38" t="s">
        <v>1496</v>
      </c>
      <c r="I38" t="s">
        <v>1520</v>
      </c>
      <c r="L38" s="22" t="s">
        <v>272</v>
      </c>
      <c r="M38" t="s">
        <v>1210</v>
      </c>
      <c r="N38" t="s">
        <v>1515</v>
      </c>
      <c r="O38" t="s">
        <v>1564</v>
      </c>
      <c r="P38" s="51">
        <f>prod_table_raw!N158</f>
        <v>317660</v>
      </c>
      <c r="S38" s="52">
        <f t="shared" si="0"/>
        <v>317660</v>
      </c>
      <c r="T38" s="54">
        <f t="shared" si="8"/>
        <v>1</v>
      </c>
      <c r="U38" s="37"/>
      <c r="V38" s="37"/>
      <c r="W38" s="37"/>
      <c r="X38" s="37"/>
      <c r="Y38" s="37"/>
      <c r="Z38" s="37"/>
      <c r="AA38" s="37"/>
      <c r="AB38" s="37"/>
      <c r="AC38" s="37"/>
      <c r="AD38" s="37"/>
      <c r="AE38" s="37"/>
      <c r="AF38" s="37"/>
      <c r="AG38" s="37"/>
      <c r="AH38" s="44">
        <f>W38/(concentrate_grade!$F$4/100)</f>
        <v>0</v>
      </c>
      <c r="AI38" s="44">
        <f>X38/(concentrate_grade!$F$6/100)</f>
        <v>0</v>
      </c>
      <c r="AJ38" s="44">
        <f>Z38/(concentrate_grade!$F$5)</f>
        <v>0</v>
      </c>
      <c r="AK38" s="44">
        <f>AA38/(concentrate_grade!$F$9/100)</f>
        <v>0</v>
      </c>
      <c r="AL38" s="44">
        <f>AB38/(concentrate_grade!$F$8)</f>
        <v>0</v>
      </c>
      <c r="AM38" s="44">
        <f>AC38/concentrate_grade!$F$7</f>
        <v>0</v>
      </c>
      <c r="AN38" s="42"/>
      <c r="AO38" s="42"/>
      <c r="AP38" s="42"/>
      <c r="AQ38" s="44">
        <f>AG38/concentrate_grade!$F$10</f>
        <v>0</v>
      </c>
    </row>
    <row r="39" spans="1:43" x14ac:dyDescent="0.35">
      <c r="A39" s="21" t="s">
        <v>278</v>
      </c>
      <c r="C39" t="s">
        <v>279</v>
      </c>
      <c r="E39" t="s">
        <v>435</v>
      </c>
      <c r="F39" s="22" t="s">
        <v>436</v>
      </c>
      <c r="G39" s="21" t="s">
        <v>91</v>
      </c>
      <c r="H39" t="s">
        <v>1494</v>
      </c>
      <c r="I39" t="s">
        <v>1519</v>
      </c>
      <c r="J39" t="s">
        <v>1509</v>
      </c>
      <c r="L39" s="22" t="s">
        <v>116</v>
      </c>
      <c r="M39" t="s">
        <v>1206</v>
      </c>
      <c r="N39" t="s">
        <v>1168</v>
      </c>
      <c r="O39" t="s">
        <v>1557</v>
      </c>
      <c r="P39" s="51">
        <f>prod_table_raw!N164</f>
        <v>1918143</v>
      </c>
      <c r="Q39" s="52">
        <f>(U39+V39)/0.98</f>
        <v>12.41413683010194</v>
      </c>
      <c r="S39" s="52">
        <f t="shared" si="0"/>
        <v>1918130.58586317</v>
      </c>
      <c r="T39" s="54">
        <f t="shared" si="8"/>
        <v>0.99999352800225305</v>
      </c>
      <c r="U39" s="37">
        <f>prod_table_raw!N165</f>
        <v>11.326059593499901</v>
      </c>
      <c r="V39" s="37">
        <f>prod_table_raw!N166</f>
        <v>0.8397945</v>
      </c>
      <c r="W39" s="37"/>
      <c r="X39" s="37"/>
      <c r="Y39" s="37"/>
      <c r="Z39" s="37"/>
      <c r="AA39" s="37"/>
      <c r="AB39" s="37"/>
      <c r="AC39" s="37"/>
      <c r="AD39" s="37"/>
      <c r="AE39" s="37"/>
      <c r="AF39" s="37"/>
      <c r="AG39" s="37"/>
      <c r="AH39" s="44">
        <f>W39/(concentrate_grade!$F$4/100)</f>
        <v>0</v>
      </c>
      <c r="AI39" s="44">
        <f>X39/(concentrate_grade!$F$6/100)</f>
        <v>0</v>
      </c>
      <c r="AJ39" s="44">
        <f>Z39/(concentrate_grade!$F$5)</f>
        <v>0</v>
      </c>
      <c r="AK39" s="44">
        <f>AA39/(concentrate_grade!$F$9/100)</f>
        <v>0</v>
      </c>
      <c r="AL39" s="44">
        <f>AB39/(concentrate_grade!$F$8)</f>
        <v>0</v>
      </c>
      <c r="AM39" s="44">
        <f>AC39/concentrate_grade!$F$7</f>
        <v>0</v>
      </c>
      <c r="AN39" s="42"/>
      <c r="AO39" s="42"/>
      <c r="AP39" s="42"/>
      <c r="AQ39" s="44">
        <f>AG39/concentrate_grade!$F$10</f>
        <v>0</v>
      </c>
    </row>
    <row r="40" spans="1:43" x14ac:dyDescent="0.35">
      <c r="A40" s="21" t="s">
        <v>284</v>
      </c>
      <c r="C40" t="s">
        <v>287</v>
      </c>
      <c r="E40" t="s">
        <v>440</v>
      </c>
      <c r="F40" s="22" t="s">
        <v>436</v>
      </c>
      <c r="G40" s="21" t="s">
        <v>78</v>
      </c>
      <c r="H40" t="s">
        <v>1550</v>
      </c>
      <c r="I40" t="s">
        <v>1518</v>
      </c>
      <c r="J40" t="s">
        <v>1509</v>
      </c>
      <c r="L40" s="22" t="s">
        <v>114</v>
      </c>
      <c r="M40" t="s">
        <v>1206</v>
      </c>
      <c r="N40" t="s">
        <v>1173</v>
      </c>
      <c r="O40" t="s">
        <v>1565</v>
      </c>
      <c r="P40" s="51">
        <f>prod_table_raw!N176</f>
        <v>21680000</v>
      </c>
      <c r="R40" s="52">
        <f>W40/(concentrate_grade!$F$4/100)</f>
        <v>93533.694346666671</v>
      </c>
      <c r="S40" s="52">
        <f t="shared" si="0"/>
        <v>21586466.305653334</v>
      </c>
      <c r="T40" s="54">
        <f t="shared" si="8"/>
        <v>0.99566702150216357</v>
      </c>
      <c r="U40" s="37">
        <f>prod_table_raw!N174</f>
        <v>4.8021004684999999</v>
      </c>
      <c r="V40" s="37"/>
      <c r="W40" s="37">
        <f>prod_table_raw!N172</f>
        <v>28060.108304000001</v>
      </c>
      <c r="X40" s="37"/>
      <c r="Y40" s="37"/>
      <c r="Z40" s="37"/>
      <c r="AA40" s="37"/>
      <c r="AB40" s="37"/>
      <c r="AC40" s="37"/>
      <c r="AD40" s="37"/>
      <c r="AE40" s="37"/>
      <c r="AF40" s="37"/>
      <c r="AG40" s="37"/>
      <c r="AH40" s="44">
        <f>W40/(concentrate_grade!$F$4/100)</f>
        <v>93533.694346666671</v>
      </c>
      <c r="AI40" s="44">
        <f>X40/(concentrate_grade!$F$6/100)</f>
        <v>0</v>
      </c>
      <c r="AJ40" s="44">
        <f>Z40/(concentrate_grade!$F$5)</f>
        <v>0</v>
      </c>
      <c r="AK40" s="44">
        <f>AA40/(concentrate_grade!$F$9/100)</f>
        <v>0</v>
      </c>
      <c r="AL40" s="44">
        <f>AB40/(concentrate_grade!$F$8)</f>
        <v>0</v>
      </c>
      <c r="AM40" s="44">
        <f>AC40/concentrate_grade!$F$7</f>
        <v>0</v>
      </c>
      <c r="AN40" s="42"/>
      <c r="AO40" s="42"/>
      <c r="AP40" s="42"/>
      <c r="AQ40" s="44">
        <f>AG40/concentrate_grade!$F$10</f>
        <v>0</v>
      </c>
    </row>
    <row r="41" spans="1:43" x14ac:dyDescent="0.35">
      <c r="A41" s="21" t="s">
        <v>289</v>
      </c>
      <c r="C41" t="s">
        <v>292</v>
      </c>
      <c r="E41" t="s">
        <v>440</v>
      </c>
      <c r="F41" s="22" t="s">
        <v>436</v>
      </c>
      <c r="G41" s="21" t="s">
        <v>78</v>
      </c>
      <c r="H41" t="s">
        <v>1550</v>
      </c>
      <c r="I41" t="s">
        <v>1519</v>
      </c>
      <c r="L41" s="22" t="s">
        <v>293</v>
      </c>
      <c r="M41" t="s">
        <v>1206</v>
      </c>
      <c r="N41" t="s">
        <v>1173</v>
      </c>
      <c r="O41" t="s">
        <v>1565</v>
      </c>
      <c r="P41" s="51">
        <f>prod_table_raw!N180</f>
        <v>5948239</v>
      </c>
      <c r="R41" s="52">
        <f>W41/(concentrate_grade!$F$4/100)</f>
        <v>45578.436133333336</v>
      </c>
      <c r="S41" s="52">
        <f t="shared" si="0"/>
        <v>5902660.5638666665</v>
      </c>
      <c r="T41" s="54">
        <f t="shared" si="8"/>
        <v>0.99227832336957622</v>
      </c>
      <c r="U41" s="37">
        <f>prod_table_raw!N179</f>
        <v>1.301183819</v>
      </c>
      <c r="V41" s="37"/>
      <c r="W41" s="37">
        <f>prod_table_raw!N181</f>
        <v>13673.530839999999</v>
      </c>
      <c r="X41" s="37"/>
      <c r="Y41" s="37"/>
      <c r="Z41" s="37"/>
      <c r="AA41" s="37"/>
      <c r="AB41" s="37"/>
      <c r="AC41" s="37"/>
      <c r="AD41" s="37"/>
      <c r="AE41" s="37"/>
      <c r="AF41" s="37"/>
      <c r="AG41" s="37"/>
      <c r="AH41" s="44">
        <f>W41/(concentrate_grade!$F$4/100)</f>
        <v>45578.436133333336</v>
      </c>
      <c r="AI41" s="44">
        <f>X41/(concentrate_grade!$F$6/100)</f>
        <v>0</v>
      </c>
      <c r="AJ41" s="44">
        <f>Z41/(concentrate_grade!$F$5)</f>
        <v>0</v>
      </c>
      <c r="AK41" s="44">
        <f>AA41/(concentrate_grade!$F$9/100)</f>
        <v>0</v>
      </c>
      <c r="AL41" s="44">
        <f>AB41/(concentrate_grade!$F$8)</f>
        <v>0</v>
      </c>
      <c r="AM41" s="44">
        <f>AC41/concentrate_grade!$F$7</f>
        <v>0</v>
      </c>
      <c r="AN41" s="42"/>
      <c r="AO41" s="42"/>
      <c r="AP41" s="42"/>
      <c r="AQ41" s="44">
        <f>AG41/concentrate_grade!$F$10</f>
        <v>0</v>
      </c>
    </row>
    <row r="42" spans="1:43" x14ac:dyDescent="0.35">
      <c r="A42" s="21" t="s">
        <v>295</v>
      </c>
      <c r="C42" t="s">
        <v>296</v>
      </c>
      <c r="E42" t="s">
        <v>438</v>
      </c>
      <c r="F42" s="22" t="s">
        <v>436</v>
      </c>
      <c r="G42" s="21" t="s">
        <v>64</v>
      </c>
      <c r="H42" t="s">
        <v>1494</v>
      </c>
      <c r="I42" t="s">
        <v>1519</v>
      </c>
      <c r="J42" t="s">
        <v>1510</v>
      </c>
      <c r="L42" s="22" t="s">
        <v>65</v>
      </c>
      <c r="M42" t="s">
        <v>1206</v>
      </c>
      <c r="N42" t="s">
        <v>998</v>
      </c>
      <c r="O42" t="s">
        <v>1557</v>
      </c>
      <c r="P42" s="51">
        <f>prod_table_raw!N184</f>
        <v>1028000</v>
      </c>
      <c r="Q42" s="52">
        <f>(U42+V42)/0.98</f>
        <v>5.7128877551020407</v>
      </c>
      <c r="S42" s="52">
        <f t="shared" si="0"/>
        <v>1027994.2871122449</v>
      </c>
      <c r="T42" s="54">
        <f t="shared" si="8"/>
        <v>0.9999944426853079</v>
      </c>
      <c r="U42" s="37">
        <f>prod_table_raw!N185</f>
        <v>5.59863</v>
      </c>
      <c r="V42" s="37"/>
      <c r="W42" s="37"/>
      <c r="X42" s="37"/>
      <c r="Y42" s="37"/>
      <c r="Z42" s="37"/>
      <c r="AA42" s="37"/>
      <c r="AB42" s="37"/>
      <c r="AC42" s="37"/>
      <c r="AD42" s="37"/>
      <c r="AE42" s="37"/>
      <c r="AF42" s="37"/>
      <c r="AG42" s="37"/>
      <c r="AH42" s="44">
        <f>W42/(concentrate_grade!$F$4/100)</f>
        <v>0</v>
      </c>
      <c r="AI42" s="44">
        <f>X42/(concentrate_grade!$F$6/100)</f>
        <v>0</v>
      </c>
      <c r="AJ42" s="44">
        <f>Z42/(concentrate_grade!$F$5)</f>
        <v>0</v>
      </c>
      <c r="AK42" s="44">
        <f>AA42/(concentrate_grade!$F$9/100)</f>
        <v>0</v>
      </c>
      <c r="AL42" s="44">
        <f>AB42/(concentrate_grade!$F$8)</f>
        <v>0</v>
      </c>
      <c r="AM42" s="44">
        <f>AC42/concentrate_grade!$F$7</f>
        <v>0</v>
      </c>
      <c r="AN42" s="42"/>
      <c r="AO42" s="42"/>
      <c r="AP42" s="42"/>
      <c r="AQ42" s="44">
        <f>AG42/concentrate_grade!$F$10</f>
        <v>0</v>
      </c>
    </row>
    <row r="43" spans="1:43" x14ac:dyDescent="0.35">
      <c r="A43" s="21" t="s">
        <v>298</v>
      </c>
      <c r="C43" t="s">
        <v>301</v>
      </c>
      <c r="E43" t="s">
        <v>440</v>
      </c>
      <c r="F43" s="22" t="s">
        <v>436</v>
      </c>
      <c r="G43" s="21" t="s">
        <v>64</v>
      </c>
      <c r="H43" t="s">
        <v>1550</v>
      </c>
      <c r="I43" t="s">
        <v>1518</v>
      </c>
      <c r="J43" t="s">
        <v>1510</v>
      </c>
      <c r="L43" s="22" t="s">
        <v>293</v>
      </c>
      <c r="M43" t="s">
        <v>1206</v>
      </c>
      <c r="N43" t="s">
        <v>1173</v>
      </c>
      <c r="O43" t="s">
        <v>1565</v>
      </c>
      <c r="P43" s="51">
        <f>prod_table_raw!N190</f>
        <v>3065000</v>
      </c>
      <c r="R43" s="52">
        <f>W43/(concentrate_grade!$F$4/100)</f>
        <v>71667.536000000007</v>
      </c>
      <c r="S43" s="52">
        <f t="shared" si="0"/>
        <v>2993332.4640000002</v>
      </c>
      <c r="T43" s="54">
        <f t="shared" si="8"/>
        <v>0.97605760908220984</v>
      </c>
      <c r="U43" s="37">
        <f>prod_table_raw!N188</f>
        <v>2.0974023155000001</v>
      </c>
      <c r="V43" s="37"/>
      <c r="W43" s="37">
        <f>prod_table_raw!N191</f>
        <v>21500.2608</v>
      </c>
      <c r="X43" s="37"/>
      <c r="Y43" s="37"/>
      <c r="Z43" s="37"/>
      <c r="AA43" s="37"/>
      <c r="AB43" s="37"/>
      <c r="AC43" s="37"/>
      <c r="AD43" s="37"/>
      <c r="AE43" s="37"/>
      <c r="AF43" s="37"/>
      <c r="AG43" s="37"/>
      <c r="AH43" s="44">
        <f>W43/(concentrate_grade!$F$4/100)</f>
        <v>71667.536000000007</v>
      </c>
      <c r="AI43" s="44">
        <f>X43/(concentrate_grade!$F$6/100)</f>
        <v>0</v>
      </c>
      <c r="AJ43" s="44">
        <f>Z43/(concentrate_grade!$F$5)</f>
        <v>0</v>
      </c>
      <c r="AK43" s="44">
        <f>AA43/(concentrate_grade!$F$9/100)</f>
        <v>0</v>
      </c>
      <c r="AL43" s="44">
        <f>AB43/(concentrate_grade!$F$8)</f>
        <v>0</v>
      </c>
      <c r="AM43" s="44">
        <f>AC43/concentrate_grade!$F$7</f>
        <v>0</v>
      </c>
      <c r="AN43" s="42"/>
      <c r="AO43" s="42"/>
      <c r="AP43" s="42"/>
      <c r="AQ43" s="44">
        <f>AG43/concentrate_grade!$F$10</f>
        <v>0</v>
      </c>
    </row>
    <row r="44" spans="1:43" hidden="1" x14ac:dyDescent="0.35">
      <c r="A44" s="21" t="s">
        <v>306</v>
      </c>
      <c r="B44" t="s">
        <v>163</v>
      </c>
      <c r="C44" t="s">
        <v>307</v>
      </c>
      <c r="D44" t="s">
        <v>165</v>
      </c>
      <c r="E44" t="s">
        <v>438</v>
      </c>
      <c r="F44" s="22" t="s">
        <v>436</v>
      </c>
      <c r="G44" s="21" t="s">
        <v>99</v>
      </c>
      <c r="H44" t="s">
        <v>1549</v>
      </c>
      <c r="I44" t="s">
        <v>1520</v>
      </c>
      <c r="L44" s="22" t="s">
        <v>308</v>
      </c>
      <c r="M44" t="s">
        <v>1210</v>
      </c>
      <c r="N44" t="s">
        <v>1489</v>
      </c>
      <c r="O44" t="s">
        <v>1554</v>
      </c>
      <c r="P44" s="51">
        <f>prod_table_raw!N195</f>
        <v>320160</v>
      </c>
      <c r="R44" s="52">
        <f>X44/(concentrate_grade!$F$6/100)</f>
        <v>0</v>
      </c>
      <c r="S44" s="52">
        <f t="shared" si="0"/>
        <v>320160</v>
      </c>
      <c r="T44" s="54">
        <f t="shared" si="8"/>
        <v>1</v>
      </c>
      <c r="U44" s="37"/>
      <c r="V44" s="37"/>
      <c r="W44" s="37"/>
      <c r="X44" s="37"/>
      <c r="Y44" s="37"/>
      <c r="Z44" s="37"/>
      <c r="AA44" s="37"/>
      <c r="AB44" s="37"/>
      <c r="AC44" s="37"/>
      <c r="AD44" s="37"/>
      <c r="AE44" s="37"/>
      <c r="AF44" s="37"/>
      <c r="AG44" s="37"/>
      <c r="AI44" s="44">
        <f>X44/(concentrate_grade!$F$6/100)</f>
        <v>0</v>
      </c>
      <c r="AJ44" s="44">
        <f>Z44/(concentrate_grade!$F$5)</f>
        <v>0</v>
      </c>
      <c r="AK44" s="44">
        <f>AA44/(concentrate_grade!$F$9/100)</f>
        <v>0</v>
      </c>
      <c r="AL44" s="44">
        <f>AB44/(concentrate_grade!$F$8)</f>
        <v>0</v>
      </c>
      <c r="AM44" s="44">
        <f>AC44/concentrate_grade!$F$7</f>
        <v>0</v>
      </c>
      <c r="AN44" s="42"/>
      <c r="AO44" s="42"/>
      <c r="AP44" s="42"/>
      <c r="AQ44" s="44">
        <f>AG44/concentrate_grade!$F$10</f>
        <v>0</v>
      </c>
    </row>
    <row r="45" spans="1:43" hidden="1" x14ac:dyDescent="0.35">
      <c r="A45" s="21" t="s">
        <v>312</v>
      </c>
      <c r="C45" t="s">
        <v>314</v>
      </c>
      <c r="E45" t="s">
        <v>437</v>
      </c>
      <c r="F45" s="22" t="s">
        <v>436</v>
      </c>
      <c r="G45" s="21" t="s">
        <v>64</v>
      </c>
      <c r="H45" s="11"/>
      <c r="I45" t="s">
        <v>1519</v>
      </c>
      <c r="L45" s="22" t="s">
        <v>310</v>
      </c>
      <c r="M45" t="s">
        <v>1210</v>
      </c>
      <c r="N45" t="s">
        <v>1488</v>
      </c>
      <c r="O45" t="s">
        <v>1567</v>
      </c>
      <c r="P45" s="51">
        <f>prod_table_raw!N196</f>
        <v>2200000</v>
      </c>
      <c r="R45" s="52">
        <f>AG45/(concentrate_grade!F10/100)</f>
        <v>11325.775862068966</v>
      </c>
      <c r="S45" s="52">
        <f t="shared" si="0"/>
        <v>2188674.2241379311</v>
      </c>
      <c r="T45" s="54">
        <f t="shared" si="8"/>
        <v>0.99482528019146843</v>
      </c>
      <c r="U45" s="37"/>
      <c r="V45" s="37"/>
      <c r="W45" s="37"/>
      <c r="X45" s="37"/>
      <c r="Y45" s="37"/>
      <c r="Z45" s="37"/>
      <c r="AA45" s="37"/>
      <c r="AB45" s="37"/>
      <c r="AC45" s="37"/>
      <c r="AD45" s="37"/>
      <c r="AE45" s="37"/>
      <c r="AF45" s="37"/>
      <c r="AG45" s="37">
        <f>prod_table_raw!N197</f>
        <v>6568.95</v>
      </c>
      <c r="AH45" s="44">
        <f>W45/(concentrate_grade!$F$4/100)</f>
        <v>0</v>
      </c>
      <c r="AI45" s="44">
        <f>X45/(concentrate_grade!$F$6/100)</f>
        <v>0</v>
      </c>
      <c r="AJ45" s="44">
        <f>Z45/(concentrate_grade!$F$5)</f>
        <v>0</v>
      </c>
      <c r="AK45" s="44">
        <f>AA45/(concentrate_grade!$F$9/100)</f>
        <v>0</v>
      </c>
      <c r="AL45" s="44">
        <f>AB45/(concentrate_grade!$F$8)</f>
        <v>0</v>
      </c>
      <c r="AM45" s="44">
        <f>AC45/concentrate_grade!$F$7</f>
        <v>0</v>
      </c>
      <c r="AN45" s="42"/>
      <c r="AO45" s="42"/>
      <c r="AP45" s="42"/>
      <c r="AQ45" s="44">
        <f>AG45/concentrate_grade!$F$10</f>
        <v>113.25775862068966</v>
      </c>
    </row>
    <row r="46" spans="1:43" hidden="1" x14ac:dyDescent="0.35">
      <c r="A46" s="21" t="s">
        <v>317</v>
      </c>
      <c r="C46" t="s">
        <v>319</v>
      </c>
      <c r="E46" t="s">
        <v>437</v>
      </c>
      <c r="F46" s="22" t="s">
        <v>541</v>
      </c>
      <c r="G46" s="21" t="s">
        <v>1492</v>
      </c>
      <c r="H46" s="11"/>
      <c r="L46" s="22" t="s">
        <v>316</v>
      </c>
      <c r="M46" t="s">
        <v>1210</v>
      </c>
      <c r="N46" t="s">
        <v>1488</v>
      </c>
      <c r="P46" s="51"/>
      <c r="S46" s="52">
        <f t="shared" si="0"/>
        <v>0</v>
      </c>
      <c r="U46" s="37"/>
      <c r="V46" s="37"/>
      <c r="W46" s="37"/>
      <c r="X46" s="37"/>
      <c r="Y46" s="37"/>
      <c r="Z46" s="37"/>
      <c r="AA46" s="37"/>
      <c r="AB46" s="37"/>
      <c r="AC46" s="37"/>
      <c r="AD46" s="37"/>
      <c r="AE46" s="37"/>
      <c r="AF46" s="37"/>
      <c r="AG46" s="37">
        <f>prod_table_raw!N198</f>
        <v>11700</v>
      </c>
      <c r="AH46" s="41">
        <f>W46/(concentrate_grade!$F$4/100)</f>
        <v>0</v>
      </c>
      <c r="AI46" s="41">
        <f>X46/(concentrate_grade!$F$6/100)</f>
        <v>0</v>
      </c>
      <c r="AJ46" s="42"/>
      <c r="AK46" s="42"/>
      <c r="AL46" s="42"/>
      <c r="AM46" s="42"/>
      <c r="AN46" s="42"/>
      <c r="AO46" s="42"/>
      <c r="AP46" s="42"/>
      <c r="AQ46" s="42"/>
    </row>
    <row r="47" spans="1:43" x14ac:dyDescent="0.35">
      <c r="A47" s="21" t="s">
        <v>329</v>
      </c>
      <c r="C47" t="s">
        <v>331</v>
      </c>
      <c r="E47" t="s">
        <v>437</v>
      </c>
      <c r="F47" s="22" t="s">
        <v>436</v>
      </c>
      <c r="G47" s="21" t="s">
        <v>91</v>
      </c>
      <c r="H47" t="s">
        <v>1549</v>
      </c>
      <c r="I47" t="s">
        <v>1513</v>
      </c>
      <c r="L47" s="22" t="s">
        <v>332</v>
      </c>
      <c r="M47" t="s">
        <v>1206</v>
      </c>
      <c r="N47" t="s">
        <v>1489</v>
      </c>
      <c r="O47" t="s">
        <v>1554</v>
      </c>
      <c r="P47" s="56">
        <f>prod_table_raw!N203</f>
        <v>1082352.9411764699</v>
      </c>
      <c r="R47" s="52">
        <f>X47/(concentrate_grade!$F$6/100)</f>
        <v>363125</v>
      </c>
      <c r="S47" s="52">
        <f t="shared" si="0"/>
        <v>719227.9411764699</v>
      </c>
      <c r="T47" s="55">
        <f t="shared" ref="T47:T53" si="9">1-(Q47+R47)/S47</f>
        <v>0.49511833563359353</v>
      </c>
      <c r="U47" s="37"/>
      <c r="V47" s="37"/>
      <c r="W47" s="37">
        <f>prod_table_raw!N201</f>
        <v>40926</v>
      </c>
      <c r="X47" s="37">
        <f>prod_table_raw!N202</f>
        <v>58100</v>
      </c>
      <c r="Y47" s="37"/>
      <c r="Z47" s="37"/>
      <c r="AA47" s="37"/>
      <c r="AB47" s="37"/>
      <c r="AC47" s="37"/>
      <c r="AD47" s="37"/>
      <c r="AE47" s="37"/>
      <c r="AF47" s="37"/>
      <c r="AG47" s="37"/>
      <c r="AI47" s="44">
        <f>X47/(concentrate_grade!$F$6/100)</f>
        <v>363125</v>
      </c>
      <c r="AJ47" s="44">
        <f>Z47/(concentrate_grade!$F$5)</f>
        <v>0</v>
      </c>
      <c r="AK47" s="44">
        <f>AA47/(concentrate_grade!$F$9/100)</f>
        <v>0</v>
      </c>
      <c r="AL47" s="44">
        <f>AB47/(concentrate_grade!$F$8)</f>
        <v>0</v>
      </c>
      <c r="AM47" s="44">
        <f>AC47/concentrate_grade!$F$7</f>
        <v>0</v>
      </c>
      <c r="AN47" s="42"/>
      <c r="AO47" s="42"/>
      <c r="AP47" s="42"/>
      <c r="AQ47" s="44">
        <f>AG47/concentrate_grade!$F$10</f>
        <v>0</v>
      </c>
    </row>
    <row r="48" spans="1:43" x14ac:dyDescent="0.35">
      <c r="A48" s="21" t="s">
        <v>334</v>
      </c>
      <c r="C48" t="s">
        <v>335</v>
      </c>
      <c r="E48" t="s">
        <v>437</v>
      </c>
      <c r="F48" s="22" t="s">
        <v>436</v>
      </c>
      <c r="G48" s="21" t="s">
        <v>64</v>
      </c>
      <c r="H48" t="s">
        <v>1549</v>
      </c>
      <c r="I48" t="s">
        <v>1519</v>
      </c>
      <c r="L48" s="22" t="s">
        <v>336</v>
      </c>
      <c r="M48" t="s">
        <v>1206</v>
      </c>
      <c r="N48" t="s">
        <v>1491</v>
      </c>
      <c r="O48" t="s">
        <v>1554</v>
      </c>
      <c r="P48" s="51">
        <f>prod_table_raw!N208</f>
        <v>1500000</v>
      </c>
      <c r="R48" s="52">
        <f>X48/(concentrate_grade!$F$6/100)</f>
        <v>151450</v>
      </c>
      <c r="S48" s="52">
        <f t="shared" si="0"/>
        <v>1348550</v>
      </c>
      <c r="T48" s="54">
        <f t="shared" si="9"/>
        <v>0.88769419005598604</v>
      </c>
      <c r="U48" s="37"/>
      <c r="V48" s="37"/>
      <c r="W48" s="37">
        <f>prod_table_raw!N204</f>
        <v>5488</v>
      </c>
      <c r="X48" s="37">
        <f>prod_table_raw!N205</f>
        <v>24232</v>
      </c>
      <c r="Y48" s="37">
        <f>prod_table_raw!N206</f>
        <v>498</v>
      </c>
      <c r="Z48" s="37"/>
      <c r="AA48" s="37"/>
      <c r="AB48" s="37"/>
      <c r="AC48" s="37"/>
      <c r="AD48" s="37">
        <f>prod_table_raw!N207</f>
        <v>4.4160749299999997</v>
      </c>
      <c r="AE48" s="37"/>
      <c r="AF48" s="37"/>
      <c r="AG48" s="37"/>
      <c r="AI48" s="44">
        <f>X48/(concentrate_grade!$F$6/100)</f>
        <v>151450</v>
      </c>
      <c r="AJ48" s="44">
        <f>Z48/(concentrate_grade!$F$5)</f>
        <v>0</v>
      </c>
      <c r="AK48" s="44">
        <f>AA48/(concentrate_grade!$F$9/100)</f>
        <v>0</v>
      </c>
      <c r="AL48" s="44">
        <f>AB48/(concentrate_grade!$F$8)</f>
        <v>0</v>
      </c>
      <c r="AM48" s="44">
        <f>AC48/concentrate_grade!$F$7</f>
        <v>0</v>
      </c>
      <c r="AN48" s="42"/>
      <c r="AO48" s="42"/>
      <c r="AP48" s="42"/>
      <c r="AQ48" s="44">
        <f>AG48/concentrate_grade!$F$10</f>
        <v>0</v>
      </c>
    </row>
    <row r="49" spans="1:43" x14ac:dyDescent="0.35">
      <c r="A49" s="21" t="s">
        <v>338</v>
      </c>
      <c r="C49" t="s">
        <v>339</v>
      </c>
      <c r="E49" t="s">
        <v>438</v>
      </c>
      <c r="F49" s="22" t="s">
        <v>436</v>
      </c>
      <c r="G49" s="21" t="s">
        <v>91</v>
      </c>
      <c r="H49" t="s">
        <v>1494</v>
      </c>
      <c r="I49" t="s">
        <v>1519</v>
      </c>
      <c r="J49" t="s">
        <v>1510</v>
      </c>
      <c r="L49" s="22" t="s">
        <v>65</v>
      </c>
      <c r="M49" t="s">
        <v>1206</v>
      </c>
      <c r="N49" t="s">
        <v>998</v>
      </c>
      <c r="O49" t="s">
        <v>1557</v>
      </c>
      <c r="P49" s="51">
        <f>prod_table_raw!N212</f>
        <v>8764000</v>
      </c>
      <c r="Q49" s="52">
        <f>(U49+V49)/0.98</f>
        <v>8.0534261301020305</v>
      </c>
      <c r="S49" s="52">
        <f t="shared" si="0"/>
        <v>8763991.9465738703</v>
      </c>
      <c r="T49" s="54">
        <f t="shared" si="9"/>
        <v>0.99999908107787194</v>
      </c>
      <c r="U49" s="37">
        <f>prod_table_raw!N213</f>
        <v>7.8923576074999904</v>
      </c>
      <c r="V49" s="37"/>
      <c r="W49" s="37"/>
      <c r="X49" s="37"/>
      <c r="Y49" s="37"/>
      <c r="Z49" s="37"/>
      <c r="AA49" s="37"/>
      <c r="AB49" s="37"/>
      <c r="AC49" s="37"/>
      <c r="AD49" s="37"/>
      <c r="AE49" s="37"/>
      <c r="AF49" s="37"/>
      <c r="AG49" s="37"/>
      <c r="AH49" s="44">
        <f>W49/(concentrate_grade!$F$4/100)</f>
        <v>0</v>
      </c>
      <c r="AI49" s="44">
        <f>X49/(concentrate_grade!$F$6/100)</f>
        <v>0</v>
      </c>
      <c r="AJ49" s="44">
        <f>Z49/(concentrate_grade!$F$5)</f>
        <v>0</v>
      </c>
      <c r="AK49" s="44">
        <f>AA49/(concentrate_grade!$F$9/100)</f>
        <v>0</v>
      </c>
      <c r="AL49" s="44">
        <f>AB49/(concentrate_grade!$F$8)</f>
        <v>0</v>
      </c>
      <c r="AM49" s="44">
        <f>AC49/concentrate_grade!$F$7</f>
        <v>0</v>
      </c>
      <c r="AN49" s="42"/>
      <c r="AO49" s="42"/>
      <c r="AP49" s="42"/>
      <c r="AQ49" s="44">
        <f>AG49/concentrate_grade!$F$10</f>
        <v>0</v>
      </c>
    </row>
    <row r="50" spans="1:43" x14ac:dyDescent="0.35">
      <c r="A50" s="21" t="s">
        <v>341</v>
      </c>
      <c r="C50" t="s">
        <v>342</v>
      </c>
      <c r="E50" t="s">
        <v>440</v>
      </c>
      <c r="F50" s="22" t="s">
        <v>436</v>
      </c>
      <c r="G50" s="21" t="s">
        <v>78</v>
      </c>
      <c r="H50" s="17" t="s">
        <v>1577</v>
      </c>
      <c r="I50" t="s">
        <v>1518</v>
      </c>
      <c r="J50" t="s">
        <v>1509</v>
      </c>
      <c r="L50" s="22" t="s">
        <v>293</v>
      </c>
      <c r="M50" t="s">
        <v>1206</v>
      </c>
      <c r="N50" t="s">
        <v>1173</v>
      </c>
      <c r="O50" t="s">
        <v>1565</v>
      </c>
      <c r="P50" s="51">
        <f>prod_table_raw!N216</f>
        <v>1139000</v>
      </c>
      <c r="R50" s="52">
        <f>W50/(concentrate_grade!$F$4/100)</f>
        <v>12095.786666666667</v>
      </c>
      <c r="S50" s="52">
        <f t="shared" si="0"/>
        <v>1126904.2133333334</v>
      </c>
      <c r="T50" s="54">
        <f t="shared" si="9"/>
        <v>0.98926635775822702</v>
      </c>
      <c r="U50" s="37">
        <f>prod_table_raw!N215</f>
        <v>0.1555175</v>
      </c>
      <c r="V50" s="37"/>
      <c r="W50" s="37">
        <f>prod_table_raw!N218</f>
        <v>3628.7359999999999</v>
      </c>
      <c r="X50" s="37"/>
      <c r="Y50" s="37"/>
      <c r="Z50" s="37"/>
      <c r="AA50" s="37"/>
      <c r="AB50" s="37"/>
      <c r="AC50" s="37"/>
      <c r="AD50" s="37"/>
      <c r="AE50" s="37"/>
      <c r="AF50" s="37"/>
      <c r="AG50" s="37"/>
      <c r="AH50" s="44">
        <f>W50/(concentrate_grade!$F$4/100)</f>
        <v>12095.786666666667</v>
      </c>
      <c r="AI50" s="44">
        <f>X50/(concentrate_grade!$F$6/100)</f>
        <v>0</v>
      </c>
      <c r="AJ50" s="44">
        <f>Z50/(concentrate_grade!$F$5)</f>
        <v>0</v>
      </c>
      <c r="AK50" s="44">
        <f>AA50/(concentrate_grade!$F$9/100)</f>
        <v>0</v>
      </c>
      <c r="AL50" s="44">
        <f>AB50/(concentrate_grade!$F$8)</f>
        <v>0</v>
      </c>
      <c r="AM50" s="44">
        <f>AC50/concentrate_grade!$F$7</f>
        <v>0</v>
      </c>
      <c r="AN50" s="42"/>
      <c r="AO50" s="42"/>
      <c r="AP50" s="42"/>
      <c r="AQ50" s="44">
        <f>AG50/concentrate_grade!$F$10</f>
        <v>0</v>
      </c>
    </row>
    <row r="51" spans="1:43" x14ac:dyDescent="0.35">
      <c r="A51" s="21" t="s">
        <v>344</v>
      </c>
      <c r="C51" t="s">
        <v>347</v>
      </c>
      <c r="E51" t="s">
        <v>438</v>
      </c>
      <c r="F51" s="22" t="s">
        <v>436</v>
      </c>
      <c r="G51" s="21" t="s">
        <v>64</v>
      </c>
      <c r="H51" s="17" t="s">
        <v>1577</v>
      </c>
      <c r="I51" t="s">
        <v>1519</v>
      </c>
      <c r="J51" t="s">
        <v>1509</v>
      </c>
      <c r="L51" s="22" t="s">
        <v>65</v>
      </c>
      <c r="M51" t="s">
        <v>1206</v>
      </c>
      <c r="N51" t="s">
        <v>998</v>
      </c>
      <c r="O51" t="s">
        <v>1557</v>
      </c>
      <c r="P51" s="51">
        <f>prod_table_raw!N223</f>
        <v>841000</v>
      </c>
      <c r="Q51" s="52">
        <f>(U51+V51)/0.98</f>
        <v>3.5769025000000001</v>
      </c>
      <c r="S51" s="52">
        <f t="shared" si="0"/>
        <v>840996.4230975</v>
      </c>
      <c r="T51" s="54">
        <f t="shared" si="9"/>
        <v>0.99999574682792725</v>
      </c>
      <c r="U51" s="37">
        <f>prod_table_raw!N224</f>
        <v>3.5053644500000001</v>
      </c>
      <c r="V51" s="37"/>
      <c r="W51" s="37"/>
      <c r="X51" s="37"/>
      <c r="Y51" s="37"/>
      <c r="Z51" s="37"/>
      <c r="AA51" s="37"/>
      <c r="AB51" s="37"/>
      <c r="AC51" s="37"/>
      <c r="AD51" s="37"/>
      <c r="AE51" s="37"/>
      <c r="AF51" s="37"/>
      <c r="AG51" s="37"/>
      <c r="AH51" s="44">
        <f>W51/(concentrate_grade!$F$4/100)</f>
        <v>0</v>
      </c>
      <c r="AI51" s="44">
        <f>X51/(concentrate_grade!$F$6/100)</f>
        <v>0</v>
      </c>
      <c r="AJ51" s="44">
        <f>Z51/(concentrate_grade!$F$5)</f>
        <v>0</v>
      </c>
      <c r="AK51" s="44">
        <f>AA51/(concentrate_grade!$F$9/100)</f>
        <v>0</v>
      </c>
      <c r="AL51" s="44">
        <f>AB51/(concentrate_grade!$F$8)</f>
        <v>0</v>
      </c>
      <c r="AM51" s="44">
        <f>AC51/concentrate_grade!$F$7</f>
        <v>0</v>
      </c>
      <c r="AN51" s="42"/>
      <c r="AO51" s="42"/>
      <c r="AP51" s="42"/>
      <c r="AQ51" s="44">
        <f>AG51/concentrate_grade!$F$10</f>
        <v>0</v>
      </c>
    </row>
    <row r="52" spans="1:43" x14ac:dyDescent="0.35">
      <c r="A52" s="21" t="s">
        <v>358</v>
      </c>
      <c r="C52" t="s">
        <v>360</v>
      </c>
      <c r="E52" t="s">
        <v>443</v>
      </c>
      <c r="F52" s="22" t="s">
        <v>436</v>
      </c>
      <c r="G52" s="21" t="s">
        <v>78</v>
      </c>
      <c r="H52" t="s">
        <v>1500</v>
      </c>
      <c r="I52" t="s">
        <v>1519</v>
      </c>
      <c r="J52" t="s">
        <v>1509</v>
      </c>
      <c r="L52" s="22" t="s">
        <v>49</v>
      </c>
      <c r="M52" t="s">
        <v>1206</v>
      </c>
      <c r="N52" t="s">
        <v>1161</v>
      </c>
      <c r="O52" t="s">
        <v>1566</v>
      </c>
      <c r="P52" s="51">
        <f>prod_table_raw!N227</f>
        <v>3560000</v>
      </c>
      <c r="S52" s="52">
        <f t="shared" si="0"/>
        <v>3560000</v>
      </c>
      <c r="T52" s="54">
        <f t="shared" si="9"/>
        <v>1</v>
      </c>
      <c r="U52" s="37"/>
      <c r="V52" s="37"/>
      <c r="W52" s="37"/>
      <c r="X52" s="37"/>
      <c r="Y52" s="37"/>
      <c r="Z52" s="37"/>
      <c r="AA52" s="37"/>
      <c r="AB52" s="37"/>
      <c r="AC52" s="37"/>
      <c r="AD52" s="37"/>
      <c r="AE52" s="37"/>
      <c r="AF52" s="37"/>
      <c r="AG52" s="37"/>
      <c r="AH52" s="44">
        <f>W52/(concentrate_grade!$F$4/100)</f>
        <v>0</v>
      </c>
      <c r="AI52" s="44">
        <f>X52/(concentrate_grade!$F$6/100)</f>
        <v>0</v>
      </c>
      <c r="AJ52" s="44">
        <f>Z52/(concentrate_grade!$F$5)</f>
        <v>0</v>
      </c>
      <c r="AK52" s="44">
        <f>AA52/(concentrate_grade!$F$9/100)</f>
        <v>0</v>
      </c>
      <c r="AL52" s="44">
        <f>AB52/(concentrate_grade!$F$8)</f>
        <v>0</v>
      </c>
      <c r="AM52" s="44">
        <f>AC52/concentrate_grade!$F$7</f>
        <v>0</v>
      </c>
      <c r="AN52" s="42"/>
      <c r="AO52" s="42"/>
      <c r="AP52" s="42"/>
      <c r="AQ52" s="44">
        <f>AG52/concentrate_grade!$F$10</f>
        <v>0</v>
      </c>
    </row>
    <row r="53" spans="1:43" x14ac:dyDescent="0.35">
      <c r="A53" s="21" t="s">
        <v>372</v>
      </c>
      <c r="B53" t="s">
        <v>163</v>
      </c>
      <c r="C53" t="s">
        <v>373</v>
      </c>
      <c r="D53" t="s">
        <v>165</v>
      </c>
      <c r="E53" t="s">
        <v>438</v>
      </c>
      <c r="F53" s="22" t="s">
        <v>436</v>
      </c>
      <c r="G53" s="21" t="s">
        <v>265</v>
      </c>
      <c r="H53" t="s">
        <v>1549</v>
      </c>
      <c r="I53" t="s">
        <v>1519</v>
      </c>
      <c r="L53" s="22" t="s">
        <v>374</v>
      </c>
      <c r="M53" t="s">
        <v>1206</v>
      </c>
      <c r="N53" t="s">
        <v>1489</v>
      </c>
      <c r="O53" t="s">
        <v>1554</v>
      </c>
      <c r="P53" s="51">
        <f>prod_table_raw!N240</f>
        <v>1025997</v>
      </c>
      <c r="R53" s="52">
        <f>X53/(concentrate_grade!$F$6/100)</f>
        <v>47062.5</v>
      </c>
      <c r="S53" s="52">
        <f t="shared" si="0"/>
        <v>978934.5</v>
      </c>
      <c r="T53" s="54">
        <f t="shared" si="9"/>
        <v>0.95192477126917074</v>
      </c>
      <c r="U53" s="37"/>
      <c r="V53" s="37"/>
      <c r="W53" s="37">
        <f>prod_table_raw!N238</f>
        <v>7154</v>
      </c>
      <c r="X53" s="37">
        <f>prod_table_raw!N239</f>
        <v>7530</v>
      </c>
      <c r="Y53" s="37"/>
      <c r="Z53" s="37"/>
      <c r="AA53" s="37"/>
      <c r="AB53" s="37"/>
      <c r="AC53" s="37"/>
      <c r="AD53" s="37"/>
      <c r="AE53" s="37"/>
      <c r="AF53" s="37"/>
      <c r="AG53" s="37"/>
      <c r="AI53" s="44">
        <f>X53/(concentrate_grade!$F$6/100)</f>
        <v>47062.5</v>
      </c>
      <c r="AJ53" s="44">
        <f>Z53/(concentrate_grade!$F$5)</f>
        <v>0</v>
      </c>
      <c r="AK53" s="44">
        <f>AA53/(concentrate_grade!$F$9/100)</f>
        <v>0</v>
      </c>
      <c r="AL53" s="44">
        <f>AB53/(concentrate_grade!$F$8)</f>
        <v>0</v>
      </c>
      <c r="AM53" s="44">
        <f>AC53/concentrate_grade!$F$7</f>
        <v>0</v>
      </c>
      <c r="AN53" s="42"/>
      <c r="AO53" s="42"/>
      <c r="AP53" s="42"/>
      <c r="AQ53" s="44">
        <f>AG53/concentrate_grade!$F$10</f>
        <v>0</v>
      </c>
    </row>
    <row r="54" spans="1:43" hidden="1" x14ac:dyDescent="0.35">
      <c r="A54" s="21" t="s">
        <v>377</v>
      </c>
      <c r="B54" t="s">
        <v>163</v>
      </c>
      <c r="C54" t="s">
        <v>378</v>
      </c>
      <c r="D54" t="s">
        <v>165</v>
      </c>
      <c r="E54" t="s">
        <v>438</v>
      </c>
      <c r="F54" s="22" t="s">
        <v>541</v>
      </c>
      <c r="G54" s="21" t="s">
        <v>379</v>
      </c>
      <c r="H54" t="s">
        <v>1253</v>
      </c>
      <c r="I54" t="s">
        <v>1511</v>
      </c>
      <c r="L54" s="22" t="s">
        <v>380</v>
      </c>
      <c r="M54" t="s">
        <v>1210</v>
      </c>
      <c r="N54" t="s">
        <v>1489</v>
      </c>
      <c r="O54" t="s">
        <v>1554</v>
      </c>
      <c r="P54" s="51"/>
      <c r="S54" s="52">
        <f t="shared" si="0"/>
        <v>0</v>
      </c>
      <c r="U54" s="37"/>
      <c r="V54" s="37"/>
      <c r="W54" s="37">
        <f>prod_table_raw!N242</f>
        <v>13720</v>
      </c>
      <c r="X54" s="37">
        <f>prod_table_raw!N241</f>
        <v>62251</v>
      </c>
      <c r="Y54" s="37"/>
      <c r="Z54" s="37"/>
      <c r="AA54" s="37"/>
      <c r="AB54" s="37"/>
      <c r="AC54" s="37"/>
      <c r="AD54" s="37"/>
      <c r="AE54" s="37"/>
      <c r="AF54" s="37"/>
      <c r="AG54" s="37"/>
      <c r="AH54" s="41"/>
      <c r="AI54" s="41">
        <f>X54/(concentrate_grade!$F$6/100)</f>
        <v>389068.75</v>
      </c>
      <c r="AJ54" s="42"/>
      <c r="AK54" s="42"/>
      <c r="AL54" s="42"/>
      <c r="AM54" s="42"/>
      <c r="AN54" s="42"/>
      <c r="AO54" s="42"/>
      <c r="AP54" s="42"/>
      <c r="AQ54" s="42"/>
    </row>
    <row r="55" spans="1:43" x14ac:dyDescent="0.35">
      <c r="A55" s="21" t="s">
        <v>382</v>
      </c>
      <c r="C55" t="s">
        <v>385</v>
      </c>
      <c r="E55" t="s">
        <v>438</v>
      </c>
      <c r="F55" s="22" t="s">
        <v>436</v>
      </c>
      <c r="G55" s="21" t="s">
        <v>64</v>
      </c>
      <c r="H55" t="s">
        <v>1494</v>
      </c>
      <c r="L55" s="22" t="s">
        <v>116</v>
      </c>
      <c r="M55" t="s">
        <v>1206</v>
      </c>
      <c r="N55" t="s">
        <v>998</v>
      </c>
      <c r="O55" t="s">
        <v>1557</v>
      </c>
      <c r="P55" s="51">
        <f>prod_table_raw!N245</f>
        <v>234671</v>
      </c>
      <c r="Q55" s="52">
        <f>(U55+V55)/0.98</f>
        <v>1.2269695984693878</v>
      </c>
      <c r="S55" s="52">
        <f t="shared" si="0"/>
        <v>234669.77303040153</v>
      </c>
      <c r="T55" s="54">
        <f>1-(Q55+R55)/S55</f>
        <v>0.99999477150558158</v>
      </c>
      <c r="U55" s="37">
        <f>prod_table_raw!N246</f>
        <v>1.2024302065000001</v>
      </c>
      <c r="V55" s="37"/>
      <c r="W55" s="37"/>
      <c r="X55" s="37"/>
      <c r="Y55" s="37"/>
      <c r="Z55" s="37"/>
      <c r="AA55" s="37"/>
      <c r="AB55" s="37"/>
      <c r="AC55" s="37"/>
      <c r="AD55" s="37"/>
      <c r="AE55" s="37"/>
      <c r="AF55" s="37"/>
      <c r="AG55" s="37"/>
      <c r="AH55" s="44">
        <f>W55/(concentrate_grade!$F$4/100)</f>
        <v>0</v>
      </c>
      <c r="AI55" s="44">
        <f>X55/(concentrate_grade!$F$6/100)</f>
        <v>0</v>
      </c>
      <c r="AJ55" s="44">
        <f>Z55/(concentrate_grade!$F$5)</f>
        <v>0</v>
      </c>
      <c r="AK55" s="44">
        <f>AA55/(concentrate_grade!$F$9/100)</f>
        <v>0</v>
      </c>
      <c r="AL55" s="44">
        <f>AB55/(concentrate_grade!$F$8)</f>
        <v>0</v>
      </c>
      <c r="AM55" s="44">
        <f>AC55/concentrate_grade!$F$7</f>
        <v>0</v>
      </c>
      <c r="AN55" s="42"/>
      <c r="AO55" s="42"/>
      <c r="AP55" s="42"/>
      <c r="AQ55" s="44">
        <f>AG55/concentrate_grade!$F$10</f>
        <v>0</v>
      </c>
    </row>
    <row r="56" spans="1:43" hidden="1" x14ac:dyDescent="0.35">
      <c r="A56" s="21" t="s">
        <v>388</v>
      </c>
      <c r="C56" t="s">
        <v>391</v>
      </c>
      <c r="E56" t="s">
        <v>539</v>
      </c>
      <c r="F56" s="22" t="s">
        <v>541</v>
      </c>
      <c r="G56" s="21" t="s">
        <v>71</v>
      </c>
      <c r="H56" t="s">
        <v>1254</v>
      </c>
      <c r="I56" t="s">
        <v>1511</v>
      </c>
      <c r="L56" s="22" t="s">
        <v>392</v>
      </c>
      <c r="M56" t="s">
        <v>1210</v>
      </c>
      <c r="N56" t="s">
        <v>1490</v>
      </c>
      <c r="P56" s="51"/>
      <c r="S56" s="52">
        <f t="shared" si="0"/>
        <v>0</v>
      </c>
      <c r="U56" s="37"/>
      <c r="V56" s="37"/>
      <c r="W56" s="37"/>
      <c r="X56" s="37">
        <f>prod_table_raw!N248</f>
        <v>32268</v>
      </c>
      <c r="Y56" s="37">
        <f>prod_table_raw!N247</f>
        <v>3368</v>
      </c>
      <c r="Z56" s="37"/>
      <c r="AA56" s="37"/>
      <c r="AB56" s="37"/>
      <c r="AC56" s="37"/>
      <c r="AD56" s="37"/>
      <c r="AE56" s="37"/>
      <c r="AF56" s="37"/>
      <c r="AG56" s="37"/>
      <c r="AH56" s="41">
        <f>W56/(concentrate_grade!$F$4/100)</f>
        <v>0</v>
      </c>
      <c r="AI56" s="41">
        <f>X56/(concentrate_grade!$F$6/100)</f>
        <v>201675</v>
      </c>
      <c r="AJ56" s="42"/>
      <c r="AK56" s="42"/>
      <c r="AL56" s="42"/>
      <c r="AM56" s="42"/>
      <c r="AN56" s="42"/>
      <c r="AO56" s="42"/>
      <c r="AP56" s="42"/>
      <c r="AQ56" s="42"/>
    </row>
    <row r="57" spans="1:43" x14ac:dyDescent="0.35">
      <c r="A57" s="21" t="s">
        <v>394</v>
      </c>
      <c r="C57" t="s">
        <v>396</v>
      </c>
      <c r="E57" t="s">
        <v>442</v>
      </c>
      <c r="F57" s="22" t="s">
        <v>436</v>
      </c>
      <c r="G57" s="21" t="s">
        <v>91</v>
      </c>
      <c r="H57" t="s">
        <v>1549</v>
      </c>
      <c r="I57" t="s">
        <v>1521</v>
      </c>
      <c r="L57" s="22" t="s">
        <v>397</v>
      </c>
      <c r="M57" t="s">
        <v>1206</v>
      </c>
      <c r="N57" t="s">
        <v>1489</v>
      </c>
      <c r="O57" t="s">
        <v>1554</v>
      </c>
      <c r="P57" s="51">
        <f>prod_table_raw!N251</f>
        <v>464705.88235294097</v>
      </c>
      <c r="R57" s="52">
        <f>X57/(concentrate_grade!$F$6/100)</f>
        <v>49375</v>
      </c>
      <c r="S57" s="52">
        <f t="shared" si="0"/>
        <v>415330.88235294097</v>
      </c>
      <c r="T57" s="54">
        <f t="shared" ref="T57:T58" si="10">1-(Q57+R57)/S57</f>
        <v>0.88111888111888104</v>
      </c>
      <c r="U57" s="37"/>
      <c r="V57" s="37"/>
      <c r="W57" s="37">
        <f>prod_table_raw!N249</f>
        <v>4700</v>
      </c>
      <c r="X57" s="37">
        <f>prod_table_raw!N250</f>
        <v>7900</v>
      </c>
      <c r="Y57" s="37"/>
      <c r="Z57" s="37"/>
      <c r="AA57" s="37"/>
      <c r="AB57" s="37"/>
      <c r="AC57" s="37"/>
      <c r="AD57" s="37"/>
      <c r="AE57" s="37"/>
      <c r="AF57" s="37"/>
      <c r="AG57" s="37"/>
      <c r="AI57" s="44">
        <f>X57/(concentrate_grade!$F$6/100)</f>
        <v>49375</v>
      </c>
      <c r="AJ57" s="44">
        <f>Z57/(concentrate_grade!$F$5)</f>
        <v>0</v>
      </c>
      <c r="AK57" s="44">
        <f>AA57/(concentrate_grade!$F$9/100)</f>
        <v>0</v>
      </c>
      <c r="AL57" s="44">
        <f>AB57/(concentrate_grade!$F$8)</f>
        <v>0</v>
      </c>
      <c r="AM57" s="44">
        <f>AC57/concentrate_grade!$F$7</f>
        <v>0</v>
      </c>
      <c r="AN57" s="42"/>
      <c r="AO57" s="42"/>
      <c r="AP57" s="42"/>
      <c r="AQ57" s="44">
        <f>AG57/concentrate_grade!$F$10</f>
        <v>0</v>
      </c>
    </row>
    <row r="58" spans="1:43" x14ac:dyDescent="0.35">
      <c r="A58" s="21" t="s">
        <v>534</v>
      </c>
      <c r="B58" t="s">
        <v>404</v>
      </c>
      <c r="C58" t="s">
        <v>405</v>
      </c>
      <c r="D58" t="s">
        <v>406</v>
      </c>
      <c r="E58" t="s">
        <v>438</v>
      </c>
      <c r="F58" s="22" t="s">
        <v>436</v>
      </c>
      <c r="G58" s="21" t="s">
        <v>99</v>
      </c>
      <c r="H58" t="s">
        <v>1549</v>
      </c>
      <c r="I58" t="s">
        <v>1514</v>
      </c>
      <c r="L58" s="22" t="s">
        <v>407</v>
      </c>
      <c r="M58" t="s">
        <v>1206</v>
      </c>
      <c r="N58" t="s">
        <v>1489</v>
      </c>
      <c r="O58" t="s">
        <v>1554</v>
      </c>
      <c r="P58" s="51">
        <f>prod_table_raw!N260</f>
        <v>414000</v>
      </c>
      <c r="R58" s="52">
        <f>X58/(concentrate_grade!$F$6/100)</f>
        <v>39587.5</v>
      </c>
      <c r="S58" s="52">
        <f t="shared" si="0"/>
        <v>374412.5</v>
      </c>
      <c r="T58" s="54">
        <f t="shared" si="10"/>
        <v>0.894267686041465</v>
      </c>
      <c r="U58" s="37"/>
      <c r="V58" s="37"/>
      <c r="W58" s="37">
        <f>prod_table_raw!N259</f>
        <v>7783</v>
      </c>
      <c r="X58" s="37">
        <f>prod_table_raw!N258</f>
        <v>6334</v>
      </c>
      <c r="Y58" s="37"/>
      <c r="Z58" s="37"/>
      <c r="AA58" s="37"/>
      <c r="AB58" s="37"/>
      <c r="AC58" s="37"/>
      <c r="AD58" s="37"/>
      <c r="AE58" s="37"/>
      <c r="AF58" s="37"/>
      <c r="AG58" s="37"/>
      <c r="AI58" s="44">
        <f>X58/(concentrate_grade!$F$6/100)</f>
        <v>39587.5</v>
      </c>
      <c r="AJ58" s="44">
        <f>Z58/(concentrate_grade!$F$5)</f>
        <v>0</v>
      </c>
      <c r="AK58" s="44">
        <f>AA58/(concentrate_grade!$F$9/100)</f>
        <v>0</v>
      </c>
      <c r="AL58" s="44">
        <f>AB58/(concentrate_grade!$F$8)</f>
        <v>0</v>
      </c>
      <c r="AM58" s="44">
        <f>AC58/concentrate_grade!$F$7</f>
        <v>0</v>
      </c>
      <c r="AN58" s="42"/>
      <c r="AO58" s="42"/>
      <c r="AP58" s="42"/>
      <c r="AQ58" s="44">
        <f>AG58/concentrate_grade!$F$10</f>
        <v>0</v>
      </c>
    </row>
    <row r="59" spans="1:43" hidden="1" x14ac:dyDescent="0.35">
      <c r="A59" s="21" t="s">
        <v>410</v>
      </c>
      <c r="C59" t="s">
        <v>411</v>
      </c>
      <c r="E59" t="s">
        <v>440</v>
      </c>
      <c r="F59" s="22" t="s">
        <v>541</v>
      </c>
      <c r="G59" s="21" t="s">
        <v>71</v>
      </c>
      <c r="H59" t="s">
        <v>1508</v>
      </c>
      <c r="I59" t="s">
        <v>1512</v>
      </c>
      <c r="L59" s="22" t="s">
        <v>413</v>
      </c>
      <c r="M59" t="s">
        <v>1210</v>
      </c>
      <c r="N59" t="s">
        <v>1487</v>
      </c>
      <c r="P59" s="51"/>
      <c r="S59" s="52">
        <f t="shared" si="0"/>
        <v>0</v>
      </c>
      <c r="U59" s="37"/>
      <c r="V59" s="37"/>
      <c r="W59" s="37"/>
      <c r="X59" s="37"/>
      <c r="Y59" s="37"/>
      <c r="Z59" s="37"/>
      <c r="AA59" s="37">
        <f>prod_table_raw!N263</f>
        <v>256000</v>
      </c>
      <c r="AB59" s="37"/>
      <c r="AC59" s="37"/>
      <c r="AD59" s="37"/>
      <c r="AE59" s="37"/>
      <c r="AF59" s="37"/>
      <c r="AG59" s="37"/>
      <c r="AH59" s="41">
        <f>W59/(concentrate_grade!$F$4/100)</f>
        <v>0</v>
      </c>
      <c r="AI59" s="41">
        <f>X59/(concentrate_grade!$F$6/100)</f>
        <v>0</v>
      </c>
      <c r="AJ59" s="42"/>
      <c r="AK59" s="42"/>
      <c r="AL59" s="42"/>
      <c r="AM59" s="42"/>
      <c r="AN59" s="42"/>
      <c r="AO59" s="42"/>
      <c r="AP59" s="42"/>
      <c r="AQ59" s="42"/>
    </row>
    <row r="60" spans="1:43" x14ac:dyDescent="0.35">
      <c r="A60" s="21" t="s">
        <v>420</v>
      </c>
      <c r="C60" t="s">
        <v>421</v>
      </c>
      <c r="E60" t="s">
        <v>443</v>
      </c>
      <c r="F60" s="22" t="s">
        <v>436</v>
      </c>
      <c r="G60" s="21" t="s">
        <v>91</v>
      </c>
      <c r="H60" t="s">
        <v>1549</v>
      </c>
      <c r="I60" t="s">
        <v>1519</v>
      </c>
      <c r="L60" s="22" t="s">
        <v>422</v>
      </c>
      <c r="M60" t="s">
        <v>1206</v>
      </c>
      <c r="N60" t="s">
        <v>1489</v>
      </c>
      <c r="O60" t="s">
        <v>1554</v>
      </c>
      <c r="P60" s="51">
        <f>prod_table_raw!N269</f>
        <v>794117.64705882303</v>
      </c>
      <c r="R60" s="52">
        <f>X60/(concentrate_grade!$F$6/100)</f>
        <v>84375</v>
      </c>
      <c r="S60" s="52">
        <f t="shared" si="0"/>
        <v>709742.64705882303</v>
      </c>
      <c r="T60" s="54">
        <f t="shared" ref="T60:T67" si="11">1-(Q60+R60)/S60</f>
        <v>0.88111888111888104</v>
      </c>
      <c r="U60" s="37"/>
      <c r="V60" s="37"/>
      <c r="W60" s="37">
        <f>prod_table_raw!N267</f>
        <v>9600</v>
      </c>
      <c r="X60" s="37">
        <f>prod_table_raw!N268</f>
        <v>13500</v>
      </c>
      <c r="Y60" s="37"/>
      <c r="Z60" s="37"/>
      <c r="AA60" s="37"/>
      <c r="AB60" s="37"/>
      <c r="AC60" s="37"/>
      <c r="AD60" s="37"/>
      <c r="AE60" s="37"/>
      <c r="AF60" s="37"/>
      <c r="AG60" s="37"/>
      <c r="AI60" s="44">
        <f>X60/(concentrate_grade!$F$6/100)</f>
        <v>84375</v>
      </c>
      <c r="AJ60" s="44">
        <f>Z60/(concentrate_grade!$F$5)</f>
        <v>0</v>
      </c>
      <c r="AK60" s="44">
        <f>AA60/(concentrate_grade!$F$9/100)</f>
        <v>0</v>
      </c>
      <c r="AL60" s="44">
        <f>AB60/(concentrate_grade!$F$8)</f>
        <v>0</v>
      </c>
      <c r="AM60" s="44">
        <f>AC60/concentrate_grade!$F$7</f>
        <v>0</v>
      </c>
      <c r="AN60" s="42"/>
      <c r="AO60" s="42"/>
      <c r="AP60" s="42"/>
      <c r="AQ60" s="44">
        <f>AG60/concentrate_grade!$F$10</f>
        <v>0</v>
      </c>
    </row>
    <row r="61" spans="1:43" x14ac:dyDescent="0.35">
      <c r="A61" s="21" t="s">
        <v>424</v>
      </c>
      <c r="C61" t="s">
        <v>427</v>
      </c>
      <c r="E61" t="s">
        <v>437</v>
      </c>
      <c r="F61" s="22" t="s">
        <v>436</v>
      </c>
      <c r="G61" s="21" t="s">
        <v>64</v>
      </c>
      <c r="H61" t="s">
        <v>1494</v>
      </c>
      <c r="I61" t="s">
        <v>1521</v>
      </c>
      <c r="J61" t="s">
        <v>1510</v>
      </c>
      <c r="L61" s="22" t="s">
        <v>65</v>
      </c>
      <c r="M61" t="s">
        <v>1206</v>
      </c>
      <c r="N61" t="s">
        <v>1168</v>
      </c>
      <c r="O61" t="s">
        <v>1557</v>
      </c>
      <c r="P61" s="51">
        <f>prod_table_raw!N272</f>
        <v>1034000</v>
      </c>
      <c r="Q61" s="52">
        <f t="shared" ref="Q61:Q67" si="12">(U61+V61)/0.98</f>
        <v>4.1181668765306121</v>
      </c>
      <c r="S61" s="52">
        <f t="shared" si="0"/>
        <v>1033995.8818331235</v>
      </c>
      <c r="T61" s="54">
        <f t="shared" si="11"/>
        <v>0.99999601723087206</v>
      </c>
      <c r="U61" s="37">
        <f>prod_table_raw!N274</f>
        <v>2.8926254999999998</v>
      </c>
      <c r="V61" s="37">
        <f>prod_table_raw!N275</f>
        <v>1.1431780389999999</v>
      </c>
      <c r="W61" s="37"/>
      <c r="X61" s="37"/>
      <c r="Y61" s="37"/>
      <c r="Z61" s="37"/>
      <c r="AA61" s="37"/>
      <c r="AB61" s="37"/>
      <c r="AC61" s="37"/>
      <c r="AD61" s="37"/>
      <c r="AE61" s="37"/>
      <c r="AF61" s="37"/>
      <c r="AG61" s="37"/>
      <c r="AH61" s="44">
        <f>W61/(concentrate_grade!$F$4/100)</f>
        <v>0</v>
      </c>
      <c r="AI61" s="44">
        <f>X61/(concentrate_grade!$F$6/100)</f>
        <v>0</v>
      </c>
      <c r="AJ61" s="44">
        <f>Z61/(concentrate_grade!$F$5)</f>
        <v>0</v>
      </c>
      <c r="AK61" s="44">
        <f>AA61/(concentrate_grade!$F$9/100)</f>
        <v>0</v>
      </c>
      <c r="AL61" s="44">
        <f>AB61/(concentrate_grade!$F$8)</f>
        <v>0</v>
      </c>
      <c r="AM61" s="44">
        <f>AC61/concentrate_grade!$F$7</f>
        <v>0</v>
      </c>
      <c r="AN61" s="42"/>
      <c r="AO61" s="42"/>
      <c r="AP61" s="42"/>
      <c r="AQ61" s="44">
        <f>AG61/concentrate_grade!$F$10</f>
        <v>0</v>
      </c>
    </row>
    <row r="62" spans="1:43" x14ac:dyDescent="0.35">
      <c r="A62" s="21" t="s">
        <v>429</v>
      </c>
      <c r="C62" t="s">
        <v>430</v>
      </c>
      <c r="E62" t="s">
        <v>438</v>
      </c>
      <c r="F62" s="22" t="s">
        <v>436</v>
      </c>
      <c r="G62" s="21" t="s">
        <v>64</v>
      </c>
      <c r="H62" t="s">
        <v>1494</v>
      </c>
      <c r="I62" t="s">
        <v>1519</v>
      </c>
      <c r="J62" t="s">
        <v>1509</v>
      </c>
      <c r="L62" s="22" t="s">
        <v>116</v>
      </c>
      <c r="M62" t="s">
        <v>1206</v>
      </c>
      <c r="N62" t="s">
        <v>998</v>
      </c>
      <c r="O62" t="s">
        <v>1557</v>
      </c>
      <c r="P62" s="51">
        <f>prod_table_raw!N278</f>
        <v>2878047</v>
      </c>
      <c r="Q62" s="52">
        <f t="shared" si="12"/>
        <v>5.8747529081632548</v>
      </c>
      <c r="S62" s="52">
        <f t="shared" si="0"/>
        <v>2878041.125247092</v>
      </c>
      <c r="T62" s="54">
        <f t="shared" si="11"/>
        <v>0.99999795876686526</v>
      </c>
      <c r="U62" s="37">
        <f>prod_table_raw!N276</f>
        <v>5.7572578499999896</v>
      </c>
      <c r="V62" s="37"/>
      <c r="W62" s="37"/>
      <c r="X62" s="37"/>
      <c r="Y62" s="37"/>
      <c r="Z62" s="37"/>
      <c r="AA62" s="37"/>
      <c r="AB62" s="37"/>
      <c r="AC62" s="37"/>
      <c r="AD62" s="37"/>
      <c r="AE62" s="37"/>
      <c r="AF62" s="37"/>
      <c r="AG62" s="37"/>
      <c r="AH62" s="44">
        <f>W62/(concentrate_grade!$F$4/100)</f>
        <v>0</v>
      </c>
      <c r="AI62" s="44">
        <f>X62/(concentrate_grade!$F$6/100)</f>
        <v>0</v>
      </c>
      <c r="AJ62" s="44">
        <f>Z62/(concentrate_grade!$F$5)</f>
        <v>0</v>
      </c>
      <c r="AK62" s="44">
        <f>AA62/(concentrate_grade!$F$9/100)</f>
        <v>0</v>
      </c>
      <c r="AL62" s="44">
        <f>AB62/(concentrate_grade!$F$8)</f>
        <v>0</v>
      </c>
      <c r="AM62" s="44">
        <f>AC62/concentrate_grade!$F$7</f>
        <v>0</v>
      </c>
      <c r="AN62" s="42"/>
      <c r="AO62" s="42"/>
      <c r="AP62" s="42"/>
      <c r="AQ62" s="44">
        <f>AG62/concentrate_grade!$F$10</f>
        <v>0</v>
      </c>
    </row>
    <row r="63" spans="1:43" x14ac:dyDescent="0.35">
      <c r="A63" s="21"/>
      <c r="B63" t="s">
        <v>274</v>
      </c>
      <c r="D63" t="s">
        <v>276</v>
      </c>
      <c r="E63" t="s">
        <v>435</v>
      </c>
      <c r="F63" s="22" t="s">
        <v>436</v>
      </c>
      <c r="G63" s="21" t="s">
        <v>325</v>
      </c>
      <c r="H63" t="s">
        <v>1494</v>
      </c>
      <c r="I63" t="s">
        <v>1519</v>
      </c>
      <c r="J63" t="s">
        <v>1509</v>
      </c>
      <c r="L63" s="22" t="s">
        <v>116</v>
      </c>
      <c r="M63" t="s">
        <v>1206</v>
      </c>
      <c r="N63" t="s">
        <v>1168</v>
      </c>
      <c r="O63" t="s">
        <v>1557</v>
      </c>
      <c r="P63" s="51">
        <f>prod_table_raw!N161</f>
        <v>3842649.0057279998</v>
      </c>
      <c r="Q63" s="52">
        <f t="shared" si="12"/>
        <v>17.66760135719143</v>
      </c>
      <c r="S63" s="52">
        <f t="shared" si="0"/>
        <v>3842631.3381266426</v>
      </c>
      <c r="T63" s="54">
        <f t="shared" si="11"/>
        <v>0.99999540221275407</v>
      </c>
      <c r="U63" s="37">
        <f>prod_table_raw!N162</f>
        <v>13.426311830047601</v>
      </c>
      <c r="V63" s="37">
        <f>prod_table_raw!N163</f>
        <v>3.8879375</v>
      </c>
      <c r="W63" s="37"/>
      <c r="X63" s="37"/>
      <c r="Y63" s="37"/>
      <c r="Z63" s="37"/>
      <c r="AA63" s="37"/>
      <c r="AB63" s="37"/>
      <c r="AC63" s="37"/>
      <c r="AD63" s="37"/>
      <c r="AE63" s="37"/>
      <c r="AF63" s="37"/>
      <c r="AG63" s="37"/>
      <c r="AH63" s="44">
        <f>W63/(concentrate_grade!$F$4/100)</f>
        <v>0</v>
      </c>
      <c r="AI63" s="44">
        <f>X63/(concentrate_grade!$F$6/100)</f>
        <v>0</v>
      </c>
      <c r="AJ63" s="44">
        <f>Z63/(concentrate_grade!$F$5)</f>
        <v>0</v>
      </c>
      <c r="AK63" s="44">
        <f>AA63/(concentrate_grade!$F$9/100)</f>
        <v>0</v>
      </c>
      <c r="AL63" s="44">
        <f>AB63/(concentrate_grade!$F$8)</f>
        <v>0</v>
      </c>
      <c r="AM63" s="44">
        <f>AC63/concentrate_grade!$F$7</f>
        <v>0</v>
      </c>
      <c r="AN63" s="42"/>
      <c r="AO63" s="42"/>
      <c r="AP63" s="42"/>
      <c r="AQ63" s="44">
        <f>AG63/concentrate_grade!$F$10</f>
        <v>0</v>
      </c>
    </row>
    <row r="64" spans="1:43" x14ac:dyDescent="0.35">
      <c r="A64" s="21"/>
      <c r="B64" t="s">
        <v>192</v>
      </c>
      <c r="D64" t="s">
        <v>194</v>
      </c>
      <c r="E64" t="s">
        <v>438</v>
      </c>
      <c r="F64" s="22" t="s">
        <v>436</v>
      </c>
      <c r="G64" s="21" t="s">
        <v>325</v>
      </c>
      <c r="H64" t="s">
        <v>1494</v>
      </c>
      <c r="I64" t="s">
        <v>1519</v>
      </c>
      <c r="J64" t="s">
        <v>1510</v>
      </c>
      <c r="L64" s="22" t="s">
        <v>116</v>
      </c>
      <c r="M64" t="s">
        <v>1206</v>
      </c>
      <c r="N64" t="s">
        <v>998</v>
      </c>
      <c r="O64" t="s">
        <v>1557</v>
      </c>
      <c r="P64" s="51">
        <f>prod_table_raw!N103</f>
        <v>2911000</v>
      </c>
      <c r="Q64" s="52">
        <f t="shared" si="12"/>
        <v>8.2519489795918357</v>
      </c>
      <c r="S64" s="52">
        <f t="shared" si="0"/>
        <v>2910991.7480510203</v>
      </c>
      <c r="T64" s="54">
        <f t="shared" si="11"/>
        <v>0.99999716524480531</v>
      </c>
      <c r="U64" s="37">
        <f>prod_table_raw!N102</f>
        <v>8.0869099999999996</v>
      </c>
      <c r="V64" s="37"/>
      <c r="W64" s="37"/>
      <c r="X64" s="37"/>
      <c r="Y64" s="37"/>
      <c r="Z64" s="37"/>
      <c r="AA64" s="37"/>
      <c r="AB64" s="37"/>
      <c r="AC64" s="37"/>
      <c r="AD64" s="37"/>
      <c r="AE64" s="37"/>
      <c r="AF64" s="37"/>
      <c r="AG64" s="37"/>
      <c r="AH64" s="44">
        <f>W64/(concentrate_grade!$F$4/100)</f>
        <v>0</v>
      </c>
      <c r="AI64" s="44">
        <f>X64/(concentrate_grade!$F$6/100)</f>
        <v>0</v>
      </c>
      <c r="AJ64" s="44">
        <f>Z64/(concentrate_grade!$F$5)</f>
        <v>0</v>
      </c>
      <c r="AK64" s="44">
        <f>AA64/(concentrate_grade!$F$9/100)</f>
        <v>0</v>
      </c>
      <c r="AL64" s="44">
        <f>AB64/(concentrate_grade!$F$8)</f>
        <v>0</v>
      </c>
      <c r="AM64" s="44">
        <f>AC64/concentrate_grade!$F$7</f>
        <v>0</v>
      </c>
      <c r="AN64" s="42"/>
      <c r="AO64" s="42"/>
      <c r="AP64" s="42"/>
      <c r="AQ64" s="44">
        <f>AG64/concentrate_grade!$F$10</f>
        <v>0</v>
      </c>
    </row>
    <row r="65" spans="1:43" x14ac:dyDescent="0.35">
      <c r="A65" s="21"/>
      <c r="B65" t="s">
        <v>399</v>
      </c>
      <c r="D65" t="s">
        <v>403</v>
      </c>
      <c r="E65" t="s">
        <v>438</v>
      </c>
      <c r="F65" s="22" t="s">
        <v>436</v>
      </c>
      <c r="G65" s="21" t="s">
        <v>64</v>
      </c>
      <c r="H65" t="s">
        <v>1494</v>
      </c>
      <c r="I65" t="s">
        <v>1519</v>
      </c>
      <c r="J65" t="s">
        <v>1509</v>
      </c>
      <c r="L65" s="22" t="s">
        <v>116</v>
      </c>
      <c r="M65" t="s">
        <v>1206</v>
      </c>
      <c r="N65" t="s">
        <v>998</v>
      </c>
      <c r="O65" t="s">
        <v>1557</v>
      </c>
      <c r="P65" s="51">
        <f>prod_table_raw!N255</f>
        <v>1574000</v>
      </c>
      <c r="Q65" s="52">
        <f t="shared" si="12"/>
        <v>4.2180154591836736</v>
      </c>
      <c r="S65" s="52">
        <f t="shared" si="0"/>
        <v>1573995.7819845409</v>
      </c>
      <c r="T65" s="54">
        <f t="shared" si="11"/>
        <v>0.99999732018630072</v>
      </c>
      <c r="U65" s="37">
        <f>prod_table_raw!N256</f>
        <v>4.1336551500000001</v>
      </c>
      <c r="V65" s="37"/>
      <c r="W65" s="37"/>
      <c r="X65" s="37"/>
      <c r="Y65" s="37"/>
      <c r="Z65" s="37"/>
      <c r="AA65" s="37"/>
      <c r="AB65" s="37"/>
      <c r="AC65" s="37"/>
      <c r="AD65" s="37"/>
      <c r="AE65" s="37"/>
      <c r="AF65" s="37"/>
      <c r="AG65" s="37"/>
      <c r="AH65" s="44">
        <f>W65/(concentrate_grade!$F$4/100)</f>
        <v>0</v>
      </c>
      <c r="AI65" s="44">
        <f>X65/(concentrate_grade!$F$6/100)</f>
        <v>0</v>
      </c>
      <c r="AJ65" s="44">
        <f>Z65/(concentrate_grade!$F$5)</f>
        <v>0</v>
      </c>
      <c r="AK65" s="44">
        <f>AA65/(concentrate_grade!$F$9/100)</f>
        <v>0</v>
      </c>
      <c r="AL65" s="44">
        <f>AB65/(concentrate_grade!$F$8)</f>
        <v>0</v>
      </c>
      <c r="AM65" s="44">
        <f>AC65/concentrate_grade!$F$7</f>
        <v>0</v>
      </c>
      <c r="AN65" s="42"/>
      <c r="AO65" s="42"/>
      <c r="AP65" s="42"/>
      <c r="AQ65" s="44">
        <f>AG65/concentrate_grade!$F$10</f>
        <v>0</v>
      </c>
    </row>
    <row r="66" spans="1:43" x14ac:dyDescent="0.35">
      <c r="A66" s="21"/>
      <c r="B66" t="s">
        <v>362</v>
      </c>
      <c r="D66" t="s">
        <v>366</v>
      </c>
      <c r="E66" t="s">
        <v>454</v>
      </c>
      <c r="F66" s="22" t="s">
        <v>436</v>
      </c>
      <c r="G66" s="21" t="s">
        <v>64</v>
      </c>
      <c r="H66" t="s">
        <v>1494</v>
      </c>
      <c r="I66" t="s">
        <v>1519</v>
      </c>
      <c r="J66" t="s">
        <v>1509</v>
      </c>
      <c r="L66" s="22" t="s">
        <v>116</v>
      </c>
      <c r="M66" t="s">
        <v>1206</v>
      </c>
      <c r="N66" t="s">
        <v>998</v>
      </c>
      <c r="O66" t="s">
        <v>1557</v>
      </c>
      <c r="P66" s="51">
        <f>prod_table_raw!N230</f>
        <v>122000</v>
      </c>
      <c r="Q66" s="52">
        <f t="shared" si="12"/>
        <v>1.2300799484693878</v>
      </c>
      <c r="S66" s="52">
        <f t="shared" si="0"/>
        <v>121998.76992005153</v>
      </c>
      <c r="T66" s="54">
        <f t="shared" si="11"/>
        <v>0.99998991727581121</v>
      </c>
      <c r="U66" s="37">
        <f>prod_table_raw!N232</f>
        <v>1.2054783495000001</v>
      </c>
      <c r="V66" s="37"/>
      <c r="W66" s="37"/>
      <c r="X66" s="37"/>
      <c r="Y66" s="37"/>
      <c r="Z66" s="37"/>
      <c r="AA66" s="37"/>
      <c r="AB66" s="37"/>
      <c r="AC66" s="37"/>
      <c r="AD66" s="37"/>
      <c r="AE66" s="37"/>
      <c r="AF66" s="37"/>
      <c r="AG66" s="37"/>
      <c r="AH66" s="44">
        <f>W66/(concentrate_grade!$F$4/100)</f>
        <v>0</v>
      </c>
      <c r="AI66" s="44">
        <f>X66/(concentrate_grade!$F$6/100)</f>
        <v>0</v>
      </c>
      <c r="AJ66" s="44">
        <f>Z66/(concentrate_grade!$F$5)</f>
        <v>0</v>
      </c>
      <c r="AK66" s="44">
        <f>AA66/(concentrate_grade!$F$9/100)</f>
        <v>0</v>
      </c>
      <c r="AL66" s="44">
        <f>AB66/(concentrate_grade!$F$8)</f>
        <v>0</v>
      </c>
      <c r="AM66" s="44">
        <f>AC66/concentrate_grade!$F$7</f>
        <v>0</v>
      </c>
      <c r="AN66" s="42"/>
      <c r="AO66" s="42"/>
      <c r="AP66" s="42"/>
      <c r="AQ66" s="44">
        <f>AG66/concentrate_grade!$F$10</f>
        <v>0</v>
      </c>
    </row>
    <row r="67" spans="1:43" ht="15" thickBot="1" x14ac:dyDescent="0.4">
      <c r="A67" s="23"/>
      <c r="B67" s="24" t="s">
        <v>223</v>
      </c>
      <c r="C67" s="24"/>
      <c r="D67" s="24" t="s">
        <v>225</v>
      </c>
      <c r="E67" s="24" t="s">
        <v>442</v>
      </c>
      <c r="F67" s="25" t="s">
        <v>436</v>
      </c>
      <c r="G67" s="23" t="s">
        <v>64</v>
      </c>
      <c r="H67" s="24" t="s">
        <v>1494</v>
      </c>
      <c r="I67" s="24" t="s">
        <v>1520</v>
      </c>
      <c r="J67" s="24" t="s">
        <v>1509</v>
      </c>
      <c r="K67" s="24"/>
      <c r="L67" s="25" t="s">
        <v>226</v>
      </c>
      <c r="M67" t="s">
        <v>1206</v>
      </c>
      <c r="N67" t="s">
        <v>1172</v>
      </c>
      <c r="O67" t="s">
        <v>1560</v>
      </c>
      <c r="P67" s="53">
        <f>prod_table_raw!N194+prod_table_raw!N132</f>
        <v>2123641</v>
      </c>
      <c r="Q67" s="52">
        <f t="shared" si="12"/>
        <v>32.978787143877547</v>
      </c>
      <c r="R67" s="52">
        <f>W67/(concentrate_grade!$F$4/100)+AA67/(concentrate_grade!$F$9/100)</f>
        <v>109797.33333333334</v>
      </c>
      <c r="S67" s="52">
        <f t="shared" ref="S67" si="13">P67-Q67-R67</f>
        <v>2013810.687879523</v>
      </c>
      <c r="T67" s="54">
        <f t="shared" si="11"/>
        <v>0.94546145137598558</v>
      </c>
      <c r="U67" s="38">
        <f>prod_table_raw!N233</f>
        <v>5.8276450705</v>
      </c>
      <c r="V67" s="38">
        <f>prod_table_raw!N234</f>
        <v>26.4915663305</v>
      </c>
      <c r="W67" s="38">
        <f>prod_table_raw!N236</f>
        <v>12154</v>
      </c>
      <c r="X67" s="38"/>
      <c r="Y67" s="38"/>
      <c r="Z67" s="38"/>
      <c r="AA67" s="38">
        <f>prod_table_raw!N235</f>
        <v>34642</v>
      </c>
      <c r="AB67" s="38"/>
      <c r="AC67" s="38"/>
      <c r="AD67" s="38"/>
      <c r="AE67" s="38"/>
      <c r="AF67" s="38"/>
      <c r="AG67" s="38"/>
      <c r="AH67" s="44">
        <f>W67/(concentrate_grade!$F$4/100)</f>
        <v>40513.333333333336</v>
      </c>
      <c r="AI67" s="44">
        <f>X67/(concentrate_grade!$F$6/100)</f>
        <v>0</v>
      </c>
      <c r="AJ67" s="44">
        <f>Z67/(concentrate_grade!$F$5)</f>
        <v>0</v>
      </c>
      <c r="AK67" s="44">
        <f>AA67/(concentrate_grade!$F$9/100)</f>
        <v>69284</v>
      </c>
      <c r="AL67" s="44">
        <f>AB67/(concentrate_grade!$F$8)</f>
        <v>0</v>
      </c>
      <c r="AM67" s="44">
        <f>AC67/concentrate_grade!$F$7</f>
        <v>0</v>
      </c>
      <c r="AN67" s="43"/>
      <c r="AO67" s="43"/>
      <c r="AP67" s="43"/>
      <c r="AQ67" s="44">
        <f>AG67/concentrate_grade!$F$10</f>
        <v>0</v>
      </c>
    </row>
  </sheetData>
  <autoFilter ref="A1:AQ67" xr:uid="{19A21E0B-06A8-4909-8999-69A6CC63874F}">
    <filterColumn colId="12">
      <filters>
        <filter val="Yes"/>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G8" sqref="G8"/>
    </sheetView>
  </sheetViews>
  <sheetFormatPr baseColWidth="10" defaultRowHeight="14.5" x14ac:dyDescent="0.35"/>
  <cols>
    <col min="1" max="1" width="10.7265625" bestFit="1" customWidth="1"/>
    <col min="2" max="2" width="11.26953125" bestFit="1" customWidth="1"/>
    <col min="3" max="3" width="4.6328125" bestFit="1" customWidth="1"/>
    <col min="4" max="4" width="4.36328125" bestFit="1" customWidth="1"/>
    <col min="5" max="5" width="4.6328125" bestFit="1" customWidth="1"/>
    <col min="6" max="6" width="5.81640625" bestFit="1" customWidth="1"/>
    <col min="7" max="7" width="255.6328125" bestFit="1" customWidth="1"/>
  </cols>
  <sheetData>
    <row r="1" spans="1:7" x14ac:dyDescent="0.35">
      <c r="A1" s="1" t="s">
        <v>1051</v>
      </c>
      <c r="B1" s="1" t="s">
        <v>1183</v>
      </c>
      <c r="C1" s="1" t="s">
        <v>1522</v>
      </c>
      <c r="D1" s="1" t="s">
        <v>1523</v>
      </c>
      <c r="E1" s="1" t="s">
        <v>1524</v>
      </c>
      <c r="F1" s="1" t="s">
        <v>1525</v>
      </c>
      <c r="G1" s="1" t="s">
        <v>1471</v>
      </c>
    </row>
    <row r="2" spans="1:7" x14ac:dyDescent="0.35">
      <c r="A2" s="32" t="s">
        <v>998</v>
      </c>
      <c r="B2" s="32" t="s">
        <v>1526</v>
      </c>
      <c r="C2" s="32"/>
      <c r="D2" s="32">
        <v>80</v>
      </c>
      <c r="E2" s="32">
        <v>95</v>
      </c>
      <c r="F2" s="33">
        <v>88</v>
      </c>
    </row>
    <row r="3" spans="1:7" x14ac:dyDescent="0.35">
      <c r="A3" s="32" t="s">
        <v>999</v>
      </c>
      <c r="B3" s="32" t="s">
        <v>1526</v>
      </c>
      <c r="C3" s="32"/>
      <c r="D3" s="32">
        <v>5</v>
      </c>
      <c r="E3" s="32">
        <v>15</v>
      </c>
      <c r="F3" s="33">
        <v>10</v>
      </c>
    </row>
    <row r="4" spans="1:7" x14ac:dyDescent="0.35">
      <c r="A4" s="32" t="s">
        <v>995</v>
      </c>
      <c r="B4" s="32" t="s">
        <v>590</v>
      </c>
      <c r="C4" s="32" t="s">
        <v>746</v>
      </c>
      <c r="D4" s="32">
        <v>20</v>
      </c>
      <c r="E4" s="32">
        <v>40</v>
      </c>
      <c r="F4" s="33">
        <v>30</v>
      </c>
      <c r="G4" s="4" t="s">
        <v>1530</v>
      </c>
    </row>
    <row r="5" spans="1:7" x14ac:dyDescent="0.35">
      <c r="A5" t="s">
        <v>1163</v>
      </c>
      <c r="B5" t="s">
        <v>590</v>
      </c>
      <c r="C5" s="32" t="s">
        <v>746</v>
      </c>
      <c r="D5" s="32">
        <v>50</v>
      </c>
      <c r="E5" s="32">
        <v>52</v>
      </c>
      <c r="F5" s="33">
        <v>51</v>
      </c>
      <c r="G5" t="s">
        <v>1529</v>
      </c>
    </row>
    <row r="6" spans="1:7" x14ac:dyDescent="0.35">
      <c r="A6" s="32" t="s">
        <v>996</v>
      </c>
      <c r="B6" s="32" t="s">
        <v>590</v>
      </c>
      <c r="C6" s="32" t="s">
        <v>746</v>
      </c>
      <c r="D6">
        <v>10</v>
      </c>
      <c r="E6">
        <v>20</v>
      </c>
      <c r="F6" s="33">
        <v>16</v>
      </c>
      <c r="G6" t="s">
        <v>1527</v>
      </c>
    </row>
    <row r="7" spans="1:7" x14ac:dyDescent="0.35">
      <c r="A7" s="32" t="s">
        <v>1161</v>
      </c>
      <c r="B7" s="32" t="s">
        <v>590</v>
      </c>
      <c r="C7" s="32"/>
      <c r="D7">
        <v>64</v>
      </c>
      <c r="E7">
        <v>67</v>
      </c>
      <c r="F7" s="33">
        <v>66</v>
      </c>
      <c r="G7" s="4" t="s">
        <v>1528</v>
      </c>
    </row>
    <row r="8" spans="1:7" x14ac:dyDescent="0.35">
      <c r="A8" s="32" t="s">
        <v>1162</v>
      </c>
      <c r="B8" s="32" t="s">
        <v>590</v>
      </c>
      <c r="C8" s="32"/>
      <c r="D8">
        <v>50</v>
      </c>
      <c r="E8">
        <v>70</v>
      </c>
      <c r="F8" s="33">
        <v>60</v>
      </c>
    </row>
    <row r="9" spans="1:7" x14ac:dyDescent="0.35">
      <c r="A9" s="32" t="s">
        <v>1165</v>
      </c>
      <c r="B9" s="32" t="s">
        <v>590</v>
      </c>
      <c r="C9" s="32"/>
      <c r="D9">
        <v>45</v>
      </c>
      <c r="E9">
        <v>55</v>
      </c>
      <c r="F9" s="33">
        <v>50</v>
      </c>
    </row>
    <row r="10" spans="1:7" x14ac:dyDescent="0.35">
      <c r="A10" t="s">
        <v>1488</v>
      </c>
      <c r="B10" t="s">
        <v>590</v>
      </c>
      <c r="C10" s="32"/>
      <c r="D10" s="32"/>
      <c r="E10" s="32"/>
      <c r="F10" s="34">
        <v>58</v>
      </c>
      <c r="G10" t="s">
        <v>1531</v>
      </c>
    </row>
    <row r="11" spans="1:7" x14ac:dyDescent="0.35">
      <c r="A11" t="s">
        <v>1164</v>
      </c>
      <c r="B11" t="s">
        <v>590</v>
      </c>
      <c r="F11" s="34">
        <v>85</v>
      </c>
    </row>
    <row r="15" spans="1:7" x14ac:dyDescent="0.35">
      <c r="A15" t="s">
        <v>1532</v>
      </c>
    </row>
    <row r="16" spans="1:7" x14ac:dyDescent="0.35">
      <c r="A16" t="s">
        <v>1533</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dimension ref="A1:Q278"/>
  <sheetViews>
    <sheetView topLeftCell="K181" workbookViewId="0">
      <selection activeCell="N203" sqref="N203"/>
    </sheetView>
  </sheetViews>
  <sheetFormatPr baseColWidth="10" defaultRowHeight="14.5" x14ac:dyDescent="0.35"/>
  <cols>
    <col min="1" max="1" width="25.1796875" bestFit="1" customWidth="1"/>
    <col min="2" max="2" width="6.90625" bestFit="1" customWidth="1"/>
    <col min="3" max="3" width="12.08984375" bestFit="1" customWidth="1"/>
    <col min="4" max="4" width="18.08984375" bestFit="1" customWidth="1"/>
    <col min="5" max="5" width="17.453125" bestFit="1" customWidth="1"/>
    <col min="6" max="6" width="37.08984375" bestFit="1" customWidth="1"/>
    <col min="7" max="7" width="32.26953125" bestFit="1" customWidth="1"/>
    <col min="8" max="8" width="19.08984375" bestFit="1" customWidth="1"/>
    <col min="9" max="9" width="26.26953125" bestFit="1" customWidth="1"/>
    <col min="10" max="10" width="44.81640625" bestFit="1" customWidth="1"/>
    <col min="11" max="11" width="11.7265625" bestFit="1" customWidth="1"/>
    <col min="12" max="12" width="13.36328125" bestFit="1" customWidth="1"/>
    <col min="13" max="13" width="11.81640625" bestFit="1" customWidth="1"/>
    <col min="14" max="14" width="14.7265625" bestFit="1" customWidth="1"/>
    <col min="15" max="15" width="255.6328125" bestFit="1" customWidth="1"/>
    <col min="16" max="16" width="13.54296875" bestFit="1" customWidth="1"/>
    <col min="17" max="17" width="157.7265625" bestFit="1" customWidth="1"/>
  </cols>
  <sheetData>
    <row r="1" spans="1:17" s="1" customFormat="1" x14ac:dyDescent="0.35">
      <c r="A1" s="1" t="s">
        <v>5</v>
      </c>
      <c r="B1" s="1" t="s">
        <v>6</v>
      </c>
      <c r="C1" s="1" t="s">
        <v>1292</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x14ac:dyDescent="0.35">
      <c r="A2" t="s">
        <v>708</v>
      </c>
      <c r="B2">
        <v>2023</v>
      </c>
      <c r="C2" t="s">
        <v>1293</v>
      </c>
      <c r="D2" t="s">
        <v>24</v>
      </c>
      <c r="E2" t="s">
        <v>25</v>
      </c>
      <c r="F2" t="s">
        <v>27</v>
      </c>
      <c r="G2" t="s">
        <v>28</v>
      </c>
      <c r="H2" t="s">
        <v>19</v>
      </c>
      <c r="I2" t="s">
        <v>20</v>
      </c>
      <c r="J2" t="s">
        <v>21</v>
      </c>
      <c r="K2" t="s">
        <v>605</v>
      </c>
      <c r="L2" t="s">
        <v>73</v>
      </c>
      <c r="M2">
        <v>473000</v>
      </c>
      <c r="P2" t="s">
        <v>26</v>
      </c>
      <c r="Q2" t="s">
        <v>1294</v>
      </c>
    </row>
    <row r="3" spans="1:17" x14ac:dyDescent="0.35">
      <c r="A3" t="s">
        <v>18</v>
      </c>
      <c r="B3">
        <v>2023</v>
      </c>
      <c r="C3" t="s">
        <v>1293</v>
      </c>
      <c r="D3" t="s">
        <v>24</v>
      </c>
      <c r="E3" t="s">
        <v>25</v>
      </c>
      <c r="F3" t="s">
        <v>27</v>
      </c>
      <c r="G3" t="s">
        <v>28</v>
      </c>
      <c r="H3" t="s">
        <v>19</v>
      </c>
      <c r="I3" t="s">
        <v>20</v>
      </c>
      <c r="J3" t="s">
        <v>21</v>
      </c>
      <c r="K3" t="s">
        <v>22</v>
      </c>
      <c r="L3" t="s">
        <v>23</v>
      </c>
      <c r="M3">
        <v>484</v>
      </c>
      <c r="N3">
        <v>484000</v>
      </c>
      <c r="P3" t="s">
        <v>26</v>
      </c>
      <c r="Q3" t="s">
        <v>1295</v>
      </c>
    </row>
    <row r="4" spans="1:17" x14ac:dyDescent="0.35">
      <c r="A4" t="s">
        <v>709</v>
      </c>
      <c r="B4">
        <v>2023</v>
      </c>
      <c r="C4" t="s">
        <v>1293</v>
      </c>
      <c r="D4" t="s">
        <v>32</v>
      </c>
      <c r="E4" t="s">
        <v>25</v>
      </c>
      <c r="F4" t="s">
        <v>33</v>
      </c>
      <c r="G4" t="s">
        <v>28</v>
      </c>
      <c r="H4" t="s">
        <v>19</v>
      </c>
      <c r="I4" t="s">
        <v>20</v>
      </c>
      <c r="J4" t="s">
        <v>21</v>
      </c>
      <c r="K4" t="s">
        <v>605</v>
      </c>
      <c r="L4" t="s">
        <v>73</v>
      </c>
      <c r="M4">
        <v>620000</v>
      </c>
      <c r="P4" t="s">
        <v>26</v>
      </c>
      <c r="Q4" t="s">
        <v>1294</v>
      </c>
    </row>
    <row r="5" spans="1:17" x14ac:dyDescent="0.35">
      <c r="A5" t="s">
        <v>31</v>
      </c>
      <c r="B5">
        <v>2023</v>
      </c>
      <c r="C5" t="s">
        <v>1293</v>
      </c>
      <c r="D5" t="s">
        <v>32</v>
      </c>
      <c r="E5" t="s">
        <v>25</v>
      </c>
      <c r="F5" t="s">
        <v>33</v>
      </c>
      <c r="G5" t="s">
        <v>28</v>
      </c>
      <c r="H5" t="s">
        <v>19</v>
      </c>
      <c r="I5" t="s">
        <v>20</v>
      </c>
      <c r="J5" t="s">
        <v>21</v>
      </c>
      <c r="K5" t="s">
        <v>22</v>
      </c>
      <c r="L5" t="s">
        <v>23</v>
      </c>
      <c r="M5">
        <v>634</v>
      </c>
      <c r="N5">
        <v>634000</v>
      </c>
      <c r="P5" t="s">
        <v>26</v>
      </c>
      <c r="Q5" t="s">
        <v>1295</v>
      </c>
    </row>
    <row r="6" spans="1:17" x14ac:dyDescent="0.35">
      <c r="A6" t="s">
        <v>35</v>
      </c>
      <c r="B6">
        <v>2024</v>
      </c>
      <c r="C6" t="s">
        <v>1293</v>
      </c>
      <c r="D6" t="s">
        <v>41</v>
      </c>
      <c r="F6" t="s">
        <v>43</v>
      </c>
      <c r="H6" t="s">
        <v>36</v>
      </c>
      <c r="I6" t="s">
        <v>37</v>
      </c>
      <c r="J6" t="s">
        <v>38</v>
      </c>
      <c r="K6" t="s">
        <v>22</v>
      </c>
      <c r="L6" t="s">
        <v>39</v>
      </c>
      <c r="M6">
        <v>3.1</v>
      </c>
      <c r="N6">
        <v>3100000</v>
      </c>
      <c r="O6" t="s">
        <v>40</v>
      </c>
      <c r="P6" t="s">
        <v>42</v>
      </c>
      <c r="Q6" t="s">
        <v>1296</v>
      </c>
    </row>
    <row r="7" spans="1:17" x14ac:dyDescent="0.35">
      <c r="A7" t="s">
        <v>710</v>
      </c>
      <c r="B7">
        <v>2023</v>
      </c>
      <c r="C7" t="s">
        <v>1293</v>
      </c>
      <c r="D7" t="s">
        <v>46</v>
      </c>
      <c r="E7" t="s">
        <v>25</v>
      </c>
      <c r="F7" t="s">
        <v>47</v>
      </c>
      <c r="G7" t="s">
        <v>28</v>
      </c>
      <c r="H7" t="s">
        <v>19</v>
      </c>
      <c r="I7" t="s">
        <v>20</v>
      </c>
      <c r="J7" t="s">
        <v>21</v>
      </c>
      <c r="K7" t="s">
        <v>605</v>
      </c>
      <c r="L7" t="s">
        <v>73</v>
      </c>
      <c r="M7">
        <v>234000</v>
      </c>
      <c r="P7" t="s">
        <v>26</v>
      </c>
      <c r="Q7" t="s">
        <v>1295</v>
      </c>
    </row>
    <row r="8" spans="1:17" x14ac:dyDescent="0.35">
      <c r="A8" t="s">
        <v>45</v>
      </c>
      <c r="B8">
        <v>2023</v>
      </c>
      <c r="C8" t="s">
        <v>1293</v>
      </c>
      <c r="D8" t="s">
        <v>46</v>
      </c>
      <c r="E8" t="s">
        <v>25</v>
      </c>
      <c r="F8" t="s">
        <v>47</v>
      </c>
      <c r="G8" t="s">
        <v>28</v>
      </c>
      <c r="H8" t="s">
        <v>19</v>
      </c>
      <c r="I8" t="s">
        <v>20</v>
      </c>
      <c r="J8" t="s">
        <v>21</v>
      </c>
      <c r="K8" t="s">
        <v>22</v>
      </c>
      <c r="L8" t="s">
        <v>23</v>
      </c>
      <c r="M8">
        <v>172.03945200000001</v>
      </c>
      <c r="N8">
        <v>172039.45199999999</v>
      </c>
      <c r="P8" t="s">
        <v>26</v>
      </c>
      <c r="Q8" t="s">
        <v>1295</v>
      </c>
    </row>
    <row r="9" spans="1:17" x14ac:dyDescent="0.35">
      <c r="A9" t="s">
        <v>604</v>
      </c>
      <c r="B9">
        <v>2023</v>
      </c>
      <c r="C9" t="s">
        <v>1293</v>
      </c>
      <c r="D9" t="s">
        <v>456</v>
      </c>
      <c r="F9" t="s">
        <v>457</v>
      </c>
      <c r="H9" t="s">
        <v>19</v>
      </c>
      <c r="I9" t="s">
        <v>20</v>
      </c>
      <c r="J9" t="s">
        <v>605</v>
      </c>
      <c r="K9" t="s">
        <v>605</v>
      </c>
      <c r="L9" t="s">
        <v>73</v>
      </c>
      <c r="M9">
        <v>312000</v>
      </c>
      <c r="P9" t="s">
        <v>606</v>
      </c>
      <c r="Q9" t="s">
        <v>1294</v>
      </c>
    </row>
    <row r="10" spans="1:17" x14ac:dyDescent="0.35">
      <c r="A10" t="s">
        <v>608</v>
      </c>
      <c r="B10">
        <v>2023</v>
      </c>
      <c r="C10" t="s">
        <v>1293</v>
      </c>
      <c r="D10" t="s">
        <v>460</v>
      </c>
      <c r="F10" t="s">
        <v>461</v>
      </c>
      <c r="H10" t="s">
        <v>19</v>
      </c>
      <c r="I10" t="s">
        <v>20</v>
      </c>
      <c r="J10" t="s">
        <v>605</v>
      </c>
      <c r="K10" t="s">
        <v>605</v>
      </c>
      <c r="L10" t="s">
        <v>73</v>
      </c>
      <c r="M10">
        <v>462000</v>
      </c>
      <c r="P10" t="s">
        <v>609</v>
      </c>
      <c r="Q10" t="s">
        <v>1294</v>
      </c>
    </row>
    <row r="11" spans="1:17" x14ac:dyDescent="0.35">
      <c r="A11" t="s">
        <v>630</v>
      </c>
      <c r="B11">
        <v>2022</v>
      </c>
      <c r="C11" t="s">
        <v>1293</v>
      </c>
      <c r="D11" t="s">
        <v>53</v>
      </c>
      <c r="F11" t="s">
        <v>56</v>
      </c>
      <c r="H11" t="s">
        <v>49</v>
      </c>
      <c r="I11" t="s">
        <v>80</v>
      </c>
      <c r="J11" t="s">
        <v>81</v>
      </c>
      <c r="K11" t="s">
        <v>22</v>
      </c>
      <c r="L11" t="s">
        <v>23</v>
      </c>
      <c r="M11">
        <v>11187</v>
      </c>
      <c r="N11">
        <v>11187000</v>
      </c>
      <c r="P11" t="s">
        <v>54</v>
      </c>
      <c r="Q11" t="s">
        <v>1297</v>
      </c>
    </row>
    <row r="12" spans="1:17" x14ac:dyDescent="0.35">
      <c r="A12" t="s">
        <v>690</v>
      </c>
      <c r="B12">
        <v>2023</v>
      </c>
      <c r="C12" t="s">
        <v>1293</v>
      </c>
      <c r="D12" t="s">
        <v>60</v>
      </c>
      <c r="F12" t="s">
        <v>63</v>
      </c>
      <c r="H12" t="s">
        <v>59</v>
      </c>
      <c r="I12" t="s">
        <v>80</v>
      </c>
      <c r="J12" t="s">
        <v>81</v>
      </c>
      <c r="K12" t="s">
        <v>22</v>
      </c>
      <c r="L12" t="s">
        <v>23</v>
      </c>
      <c r="M12">
        <v>167</v>
      </c>
      <c r="N12">
        <v>167000</v>
      </c>
      <c r="P12" t="s">
        <v>61</v>
      </c>
      <c r="Q12" t="s">
        <v>1298</v>
      </c>
    </row>
    <row r="13" spans="1:17" x14ac:dyDescent="0.35">
      <c r="A13" t="s">
        <v>58</v>
      </c>
      <c r="B13">
        <v>2023</v>
      </c>
      <c r="C13" t="s">
        <v>1293</v>
      </c>
      <c r="D13" t="s">
        <v>60</v>
      </c>
      <c r="F13" t="s">
        <v>63</v>
      </c>
      <c r="H13" t="s">
        <v>59</v>
      </c>
      <c r="I13" t="s">
        <v>50</v>
      </c>
      <c r="J13" t="s">
        <v>51</v>
      </c>
      <c r="K13" t="s">
        <v>22</v>
      </c>
      <c r="L13" t="s">
        <v>23</v>
      </c>
      <c r="M13">
        <v>166</v>
      </c>
      <c r="N13">
        <v>166000</v>
      </c>
      <c r="P13" t="s">
        <v>61</v>
      </c>
      <c r="Q13" t="s">
        <v>1298</v>
      </c>
    </row>
    <row r="14" spans="1:17" x14ac:dyDescent="0.35">
      <c r="A14" t="s">
        <v>691</v>
      </c>
      <c r="B14">
        <v>2023</v>
      </c>
      <c r="C14" t="s">
        <v>1293</v>
      </c>
      <c r="D14" t="s">
        <v>60</v>
      </c>
      <c r="F14" t="s">
        <v>63</v>
      </c>
      <c r="H14" t="s">
        <v>116</v>
      </c>
      <c r="I14" t="s">
        <v>259</v>
      </c>
      <c r="J14" t="s">
        <v>1299</v>
      </c>
      <c r="K14" t="s">
        <v>22</v>
      </c>
      <c r="L14" t="s">
        <v>584</v>
      </c>
      <c r="M14">
        <v>29</v>
      </c>
      <c r="N14">
        <v>0.90200150000000001</v>
      </c>
      <c r="P14" t="s">
        <v>61</v>
      </c>
      <c r="Q14" t="s">
        <v>1298</v>
      </c>
    </row>
    <row r="15" spans="1:17" x14ac:dyDescent="0.35">
      <c r="A15" t="s">
        <v>66</v>
      </c>
      <c r="B15">
        <v>2023</v>
      </c>
      <c r="C15" t="s">
        <v>1293</v>
      </c>
      <c r="D15" t="s">
        <v>68</v>
      </c>
      <c r="F15" t="s">
        <v>70</v>
      </c>
      <c r="H15" t="s">
        <v>639</v>
      </c>
      <c r="I15" t="s">
        <v>37</v>
      </c>
      <c r="J15" t="s">
        <v>67</v>
      </c>
      <c r="K15" t="s">
        <v>22</v>
      </c>
      <c r="L15" t="s">
        <v>23</v>
      </c>
      <c r="M15">
        <v>244.6</v>
      </c>
      <c r="N15">
        <v>244600</v>
      </c>
      <c r="P15" t="s">
        <v>69</v>
      </c>
      <c r="Q15" t="s">
        <v>1300</v>
      </c>
    </row>
    <row r="16" spans="1:17" x14ac:dyDescent="0.35">
      <c r="A16" t="s">
        <v>640</v>
      </c>
      <c r="B16">
        <v>2023</v>
      </c>
      <c r="C16" t="s">
        <v>1293</v>
      </c>
      <c r="D16" t="s">
        <v>68</v>
      </c>
      <c r="F16" t="s">
        <v>70</v>
      </c>
      <c r="H16" t="s">
        <v>409</v>
      </c>
      <c r="I16" t="s">
        <v>37</v>
      </c>
      <c r="J16" t="s">
        <v>67</v>
      </c>
      <c r="K16" t="s">
        <v>22</v>
      </c>
      <c r="L16" t="s">
        <v>23</v>
      </c>
      <c r="M16">
        <v>752.6</v>
      </c>
      <c r="N16">
        <v>752600</v>
      </c>
      <c r="P16" t="s">
        <v>69</v>
      </c>
      <c r="Q16" t="s">
        <v>1300</v>
      </c>
    </row>
    <row r="17" spans="1:17" x14ac:dyDescent="0.35">
      <c r="A17" t="s">
        <v>72</v>
      </c>
      <c r="B17">
        <v>2023</v>
      </c>
      <c r="C17" t="s">
        <v>1293</v>
      </c>
      <c r="D17" t="s">
        <v>74</v>
      </c>
      <c r="F17" t="s">
        <v>77</v>
      </c>
      <c r="H17" t="s">
        <v>59</v>
      </c>
      <c r="I17" t="s">
        <v>50</v>
      </c>
      <c r="J17" t="s">
        <v>51</v>
      </c>
      <c r="K17" t="s">
        <v>22</v>
      </c>
      <c r="L17" t="s">
        <v>23</v>
      </c>
      <c r="M17">
        <v>17332.900000000001</v>
      </c>
      <c r="N17">
        <v>17332900</v>
      </c>
      <c r="P17" t="s">
        <v>75</v>
      </c>
      <c r="Q17" t="s">
        <v>1301</v>
      </c>
    </row>
    <row r="18" spans="1:17" x14ac:dyDescent="0.35">
      <c r="A18" t="s">
        <v>579</v>
      </c>
      <c r="B18">
        <v>2023</v>
      </c>
      <c r="C18" t="s">
        <v>1293</v>
      </c>
      <c r="D18" t="s">
        <v>74</v>
      </c>
      <c r="F18" t="s">
        <v>77</v>
      </c>
      <c r="H18" t="s">
        <v>116</v>
      </c>
      <c r="I18" t="s">
        <v>259</v>
      </c>
      <c r="J18" t="s">
        <v>1299</v>
      </c>
      <c r="K18" t="s">
        <v>22</v>
      </c>
      <c r="L18" t="s">
        <v>580</v>
      </c>
      <c r="M18">
        <v>603955</v>
      </c>
      <c r="N18">
        <v>18.785114342499998</v>
      </c>
      <c r="O18" t="s">
        <v>581</v>
      </c>
      <c r="P18" t="s">
        <v>75</v>
      </c>
      <c r="Q18" t="s">
        <v>1301</v>
      </c>
    </row>
    <row r="19" spans="1:17" x14ac:dyDescent="0.35">
      <c r="A19" t="s">
        <v>582</v>
      </c>
      <c r="B19">
        <v>2023</v>
      </c>
      <c r="C19" t="s">
        <v>1293</v>
      </c>
      <c r="D19" t="s">
        <v>74</v>
      </c>
      <c r="F19" t="s">
        <v>77</v>
      </c>
      <c r="H19" t="s">
        <v>583</v>
      </c>
      <c r="I19" t="s">
        <v>259</v>
      </c>
      <c r="J19" t="s">
        <v>1299</v>
      </c>
      <c r="K19" t="s">
        <v>22</v>
      </c>
      <c r="L19" t="s">
        <v>584</v>
      </c>
      <c r="M19">
        <v>311</v>
      </c>
      <c r="N19">
        <v>9.6731885000000002</v>
      </c>
      <c r="O19" t="s">
        <v>581</v>
      </c>
      <c r="P19" t="s">
        <v>75</v>
      </c>
      <c r="Q19" t="s">
        <v>1301</v>
      </c>
    </row>
    <row r="20" spans="1:17" x14ac:dyDescent="0.35">
      <c r="A20" t="s">
        <v>79</v>
      </c>
      <c r="B20">
        <v>2023</v>
      </c>
      <c r="C20" t="s">
        <v>1293</v>
      </c>
      <c r="D20" t="s">
        <v>82</v>
      </c>
      <c r="F20" t="s">
        <v>84</v>
      </c>
      <c r="H20" t="s">
        <v>49</v>
      </c>
      <c r="I20" t="s">
        <v>259</v>
      </c>
      <c r="J20" t="s">
        <v>605</v>
      </c>
      <c r="K20" t="s">
        <v>605</v>
      </c>
      <c r="L20" t="s">
        <v>23</v>
      </c>
      <c r="M20">
        <v>23000</v>
      </c>
      <c r="P20" t="s">
        <v>83</v>
      </c>
      <c r="Q20" t="s">
        <v>1302</v>
      </c>
    </row>
    <row r="21" spans="1:17" x14ac:dyDescent="0.35">
      <c r="A21" t="s">
        <v>680</v>
      </c>
      <c r="B21">
        <v>2023</v>
      </c>
      <c r="C21" t="s">
        <v>1293</v>
      </c>
      <c r="D21" t="s">
        <v>82</v>
      </c>
      <c r="F21" t="s">
        <v>84</v>
      </c>
      <c r="H21" t="s">
        <v>49</v>
      </c>
      <c r="I21" t="s">
        <v>80</v>
      </c>
      <c r="J21" t="s">
        <v>81</v>
      </c>
      <c r="K21" t="s">
        <v>22</v>
      </c>
      <c r="L21" t="s">
        <v>23</v>
      </c>
      <c r="M21">
        <v>16478</v>
      </c>
      <c r="N21">
        <v>16478000</v>
      </c>
      <c r="O21" t="s">
        <v>681</v>
      </c>
      <c r="P21" t="s">
        <v>83</v>
      </c>
      <c r="Q21" t="s">
        <v>1303</v>
      </c>
    </row>
    <row r="22" spans="1:17" x14ac:dyDescent="0.35">
      <c r="A22" t="s">
        <v>656</v>
      </c>
      <c r="B22">
        <v>2023</v>
      </c>
      <c r="C22" t="s">
        <v>1293</v>
      </c>
      <c r="D22" t="s">
        <v>88</v>
      </c>
      <c r="F22" t="s">
        <v>90</v>
      </c>
      <c r="H22" t="s">
        <v>116</v>
      </c>
      <c r="I22" t="s">
        <v>259</v>
      </c>
      <c r="J22" t="s">
        <v>1299</v>
      </c>
      <c r="K22" t="s">
        <v>22</v>
      </c>
      <c r="L22" t="s">
        <v>584</v>
      </c>
      <c r="M22">
        <v>86.6</v>
      </c>
      <c r="N22">
        <v>2.6935630999999902</v>
      </c>
      <c r="P22" t="s">
        <v>89</v>
      </c>
      <c r="Q22" t="s">
        <v>1304</v>
      </c>
    </row>
    <row r="23" spans="1:17" x14ac:dyDescent="0.35">
      <c r="A23" t="s">
        <v>657</v>
      </c>
      <c r="B23">
        <v>2023</v>
      </c>
      <c r="C23" t="s">
        <v>1293</v>
      </c>
      <c r="D23" t="s">
        <v>88</v>
      </c>
      <c r="F23" t="s">
        <v>90</v>
      </c>
      <c r="H23" t="s">
        <v>583</v>
      </c>
      <c r="I23" t="s">
        <v>259</v>
      </c>
      <c r="J23" t="s">
        <v>1299</v>
      </c>
      <c r="K23" t="s">
        <v>22</v>
      </c>
      <c r="L23" t="s">
        <v>584</v>
      </c>
      <c r="M23">
        <v>24.2</v>
      </c>
      <c r="N23">
        <v>0.7527047</v>
      </c>
      <c r="P23" t="s">
        <v>89</v>
      </c>
      <c r="Q23" t="s">
        <v>1304</v>
      </c>
    </row>
    <row r="24" spans="1:17" x14ac:dyDescent="0.35">
      <c r="A24" t="s">
        <v>85</v>
      </c>
      <c r="B24">
        <v>2023</v>
      </c>
      <c r="C24" t="s">
        <v>1293</v>
      </c>
      <c r="D24" t="s">
        <v>88</v>
      </c>
      <c r="F24" t="s">
        <v>90</v>
      </c>
      <c r="H24" t="s">
        <v>59</v>
      </c>
      <c r="I24" t="s">
        <v>50</v>
      </c>
      <c r="J24" t="s">
        <v>86</v>
      </c>
      <c r="K24" t="s">
        <v>22</v>
      </c>
      <c r="L24" t="s">
        <v>73</v>
      </c>
      <c r="M24">
        <v>1361450</v>
      </c>
      <c r="N24">
        <v>1361450</v>
      </c>
      <c r="O24" t="s">
        <v>87</v>
      </c>
      <c r="P24" t="s">
        <v>89</v>
      </c>
      <c r="Q24" t="s">
        <v>1305</v>
      </c>
    </row>
    <row r="25" spans="1:17" x14ac:dyDescent="0.35">
      <c r="A25" t="s">
        <v>618</v>
      </c>
      <c r="B25">
        <v>2023</v>
      </c>
      <c r="C25" t="s">
        <v>1293</v>
      </c>
      <c r="D25" t="s">
        <v>96</v>
      </c>
      <c r="F25" t="s">
        <v>98</v>
      </c>
      <c r="H25" t="s">
        <v>93</v>
      </c>
      <c r="I25" t="s">
        <v>50</v>
      </c>
      <c r="J25" t="s">
        <v>51</v>
      </c>
      <c r="K25" t="s">
        <v>22</v>
      </c>
      <c r="L25" t="s">
        <v>94</v>
      </c>
      <c r="M25">
        <v>96.401294969448401</v>
      </c>
      <c r="N25">
        <v>43726.856187782003</v>
      </c>
      <c r="O25" t="s">
        <v>95</v>
      </c>
      <c r="P25" t="s">
        <v>97</v>
      </c>
      <c r="Q25" t="s">
        <v>1306</v>
      </c>
    </row>
    <row r="26" spans="1:17" x14ac:dyDescent="0.35">
      <c r="A26" t="s">
        <v>92</v>
      </c>
      <c r="B26">
        <v>2023</v>
      </c>
      <c r="C26" t="s">
        <v>1293</v>
      </c>
      <c r="D26" t="s">
        <v>96</v>
      </c>
      <c r="F26" t="s">
        <v>98</v>
      </c>
      <c r="H26" t="s">
        <v>93</v>
      </c>
      <c r="I26" t="s">
        <v>259</v>
      </c>
      <c r="J26" t="s">
        <v>260</v>
      </c>
      <c r="K26" t="s">
        <v>22</v>
      </c>
      <c r="L26" t="s">
        <v>94</v>
      </c>
      <c r="M26">
        <v>15.1</v>
      </c>
      <c r="N26">
        <v>6849.2392</v>
      </c>
      <c r="O26" t="s">
        <v>619</v>
      </c>
      <c r="P26" t="s">
        <v>97</v>
      </c>
      <c r="Q26" t="s">
        <v>1307</v>
      </c>
    </row>
    <row r="27" spans="1:17" x14ac:dyDescent="0.35">
      <c r="A27" t="s">
        <v>1392</v>
      </c>
      <c r="B27">
        <v>2023</v>
      </c>
      <c r="C27" t="s">
        <v>1293</v>
      </c>
      <c r="D27" t="s">
        <v>523</v>
      </c>
      <c r="E27" t="s">
        <v>404</v>
      </c>
      <c r="F27" s="11" t="s">
        <v>524</v>
      </c>
      <c r="G27" t="s">
        <v>406</v>
      </c>
      <c r="H27" t="s">
        <v>547</v>
      </c>
      <c r="I27" t="s">
        <v>50</v>
      </c>
      <c r="K27" t="s">
        <v>22</v>
      </c>
      <c r="L27" t="s">
        <v>1393</v>
      </c>
      <c r="M27">
        <v>863000.00369283406</v>
      </c>
      <c r="N27">
        <v>863000.00369283406</v>
      </c>
      <c r="P27" t="s">
        <v>395</v>
      </c>
      <c r="Q27" t="s">
        <v>1394</v>
      </c>
    </row>
    <row r="28" spans="1:17" x14ac:dyDescent="0.35">
      <c r="A28" t="s">
        <v>1433</v>
      </c>
      <c r="B28">
        <v>2023</v>
      </c>
      <c r="C28" t="s">
        <v>1293</v>
      </c>
      <c r="D28" t="s">
        <v>523</v>
      </c>
      <c r="E28" t="s">
        <v>404</v>
      </c>
      <c r="F28" s="11" t="s">
        <v>524</v>
      </c>
      <c r="G28" t="s">
        <v>406</v>
      </c>
      <c r="I28" t="s">
        <v>50</v>
      </c>
      <c r="K28" t="s">
        <v>605</v>
      </c>
      <c r="L28" t="s">
        <v>1434</v>
      </c>
      <c r="M28">
        <v>4624000.0197863998</v>
      </c>
      <c r="N28">
        <v>4624000.0197863998</v>
      </c>
      <c r="P28" t="s">
        <v>395</v>
      </c>
      <c r="Q28" t="s">
        <v>1394</v>
      </c>
    </row>
    <row r="29" spans="1:17" x14ac:dyDescent="0.35">
      <c r="A29" t="s">
        <v>100</v>
      </c>
      <c r="B29">
        <v>2024</v>
      </c>
      <c r="C29" t="s">
        <v>1293</v>
      </c>
      <c r="E29" t="s">
        <v>103</v>
      </c>
      <c r="F29" t="s">
        <v>104</v>
      </c>
      <c r="G29" t="s">
        <v>105</v>
      </c>
      <c r="H29" t="s">
        <v>36</v>
      </c>
      <c r="I29" t="s">
        <v>37</v>
      </c>
      <c r="J29" t="s">
        <v>101</v>
      </c>
      <c r="K29" t="s">
        <v>22</v>
      </c>
      <c r="L29" t="s">
        <v>39</v>
      </c>
      <c r="M29">
        <v>1.9</v>
      </c>
      <c r="N29">
        <v>1900000</v>
      </c>
      <c r="O29" t="s">
        <v>102</v>
      </c>
      <c r="P29" t="s">
        <v>42</v>
      </c>
      <c r="Q29" t="s">
        <v>1296</v>
      </c>
    </row>
    <row r="30" spans="1:17" x14ac:dyDescent="0.35">
      <c r="A30" t="s">
        <v>1308</v>
      </c>
      <c r="B30">
        <v>2023</v>
      </c>
      <c r="C30" t="s">
        <v>1293</v>
      </c>
      <c r="D30" t="s">
        <v>525</v>
      </c>
      <c r="E30" t="s">
        <v>404</v>
      </c>
      <c r="F30" t="s">
        <v>526</v>
      </c>
      <c r="G30" t="s">
        <v>406</v>
      </c>
      <c r="H30" t="s">
        <v>327</v>
      </c>
      <c r="I30" t="s">
        <v>259</v>
      </c>
      <c r="J30" t="s">
        <v>260</v>
      </c>
      <c r="K30" t="s">
        <v>22</v>
      </c>
      <c r="L30" t="s">
        <v>73</v>
      </c>
      <c r="M30">
        <v>8751</v>
      </c>
      <c r="N30">
        <v>8751</v>
      </c>
      <c r="O30" t="s">
        <v>1309</v>
      </c>
      <c r="P30" t="s">
        <v>395</v>
      </c>
      <c r="Q30" t="s">
        <v>1310</v>
      </c>
    </row>
    <row r="31" spans="1:17" x14ac:dyDescent="0.35">
      <c r="A31" t="s">
        <v>1311</v>
      </c>
      <c r="B31">
        <v>2023</v>
      </c>
      <c r="C31" t="s">
        <v>1293</v>
      </c>
      <c r="D31" t="s">
        <v>525</v>
      </c>
      <c r="E31" t="s">
        <v>404</v>
      </c>
      <c r="F31" t="s">
        <v>526</v>
      </c>
      <c r="G31" t="s">
        <v>406</v>
      </c>
      <c r="H31" t="s">
        <v>547</v>
      </c>
      <c r="I31" t="s">
        <v>259</v>
      </c>
      <c r="J31" t="s">
        <v>260</v>
      </c>
      <c r="K31" t="s">
        <v>22</v>
      </c>
      <c r="L31" t="s">
        <v>73</v>
      </c>
      <c r="M31">
        <v>10098</v>
      </c>
      <c r="N31">
        <v>10098</v>
      </c>
      <c r="O31" t="s">
        <v>1309</v>
      </c>
      <c r="P31" t="s">
        <v>395</v>
      </c>
      <c r="Q31" t="s">
        <v>1310</v>
      </c>
    </row>
    <row r="32" spans="1:17" x14ac:dyDescent="0.35">
      <c r="A32" t="s">
        <v>1312</v>
      </c>
      <c r="B32">
        <v>2023</v>
      </c>
      <c r="C32" t="s">
        <v>1293</v>
      </c>
      <c r="D32" t="s">
        <v>525</v>
      </c>
      <c r="E32" t="s">
        <v>404</v>
      </c>
      <c r="F32" t="s">
        <v>526</v>
      </c>
      <c r="G32" t="s">
        <v>406</v>
      </c>
      <c r="H32" t="s">
        <v>59</v>
      </c>
      <c r="I32" t="s">
        <v>50</v>
      </c>
      <c r="J32" t="s">
        <v>51</v>
      </c>
      <c r="K32" t="s">
        <v>22</v>
      </c>
      <c r="L32" t="s">
        <v>73</v>
      </c>
      <c r="M32">
        <v>748000</v>
      </c>
      <c r="N32">
        <v>748000</v>
      </c>
      <c r="O32" t="s">
        <v>1309</v>
      </c>
      <c r="P32" t="s">
        <v>395</v>
      </c>
      <c r="Q32" t="s">
        <v>1310</v>
      </c>
    </row>
    <row r="33" spans="1:17" x14ac:dyDescent="0.35">
      <c r="A33" t="s">
        <v>1313</v>
      </c>
      <c r="B33">
        <v>2023</v>
      </c>
      <c r="C33" t="s">
        <v>1293</v>
      </c>
      <c r="D33" t="s">
        <v>527</v>
      </c>
      <c r="E33" t="s">
        <v>404</v>
      </c>
      <c r="F33" t="s">
        <v>526</v>
      </c>
      <c r="G33" t="s">
        <v>406</v>
      </c>
      <c r="H33" t="s">
        <v>547</v>
      </c>
      <c r="I33" t="s">
        <v>37</v>
      </c>
      <c r="J33" t="s">
        <v>67</v>
      </c>
      <c r="K33" t="s">
        <v>22</v>
      </c>
      <c r="L33" t="s">
        <v>23</v>
      </c>
      <c r="M33">
        <v>57.9</v>
      </c>
      <c r="N33">
        <v>57900</v>
      </c>
      <c r="O33" t="s">
        <v>1314</v>
      </c>
      <c r="P33" t="s">
        <v>395</v>
      </c>
      <c r="Q33" t="s">
        <v>1315</v>
      </c>
    </row>
    <row r="34" spans="1:17" x14ac:dyDescent="0.35">
      <c r="A34" t="s">
        <v>1316</v>
      </c>
      <c r="B34">
        <v>2023</v>
      </c>
      <c r="C34" t="s">
        <v>1293</v>
      </c>
      <c r="D34" t="s">
        <v>527</v>
      </c>
      <c r="E34" t="s">
        <v>404</v>
      </c>
      <c r="F34" t="s">
        <v>526</v>
      </c>
      <c r="G34" t="s">
        <v>406</v>
      </c>
      <c r="H34" t="s">
        <v>327</v>
      </c>
      <c r="I34" t="s">
        <v>37</v>
      </c>
      <c r="J34" t="s">
        <v>67</v>
      </c>
      <c r="K34" t="s">
        <v>22</v>
      </c>
      <c r="L34" t="s">
        <v>23</v>
      </c>
      <c r="M34">
        <v>38.200000000000003</v>
      </c>
      <c r="N34">
        <v>38200</v>
      </c>
      <c r="P34" t="s">
        <v>395</v>
      </c>
      <c r="Q34" t="s">
        <v>1315</v>
      </c>
    </row>
    <row r="35" spans="1:17" x14ac:dyDescent="0.35">
      <c r="A35" t="s">
        <v>1395</v>
      </c>
      <c r="B35">
        <v>2023</v>
      </c>
      <c r="C35" t="s">
        <v>1293</v>
      </c>
      <c r="D35" t="s">
        <v>525</v>
      </c>
      <c r="E35" t="s">
        <v>404</v>
      </c>
      <c r="F35" t="s">
        <v>526</v>
      </c>
      <c r="G35" t="s">
        <v>406</v>
      </c>
      <c r="H35" t="s">
        <v>547</v>
      </c>
      <c r="I35" t="s">
        <v>50</v>
      </c>
      <c r="K35" t="s">
        <v>22</v>
      </c>
      <c r="L35" t="s">
        <v>1393</v>
      </c>
      <c r="M35">
        <v>985000.00421488006</v>
      </c>
      <c r="N35">
        <v>985000.00421488006</v>
      </c>
      <c r="P35" t="s">
        <v>395</v>
      </c>
      <c r="Q35" t="s">
        <v>1394</v>
      </c>
    </row>
    <row r="36" spans="1:17" x14ac:dyDescent="0.35">
      <c r="A36" t="s">
        <v>1435</v>
      </c>
      <c r="B36">
        <v>2023</v>
      </c>
      <c r="C36" t="s">
        <v>1293</v>
      </c>
      <c r="D36" t="s">
        <v>525</v>
      </c>
      <c r="E36" t="s">
        <v>404</v>
      </c>
      <c r="F36" t="s">
        <v>526</v>
      </c>
      <c r="G36" t="s">
        <v>406</v>
      </c>
      <c r="I36" t="s">
        <v>50</v>
      </c>
      <c r="K36" t="s">
        <v>605</v>
      </c>
      <c r="L36" t="s">
        <v>1434</v>
      </c>
      <c r="M36">
        <v>35547000.152107902</v>
      </c>
      <c r="N36">
        <v>35547000.152107902</v>
      </c>
      <c r="P36" t="s">
        <v>395</v>
      </c>
      <c r="Q36" t="s">
        <v>1394</v>
      </c>
    </row>
    <row r="37" spans="1:17" x14ac:dyDescent="0.35">
      <c r="A37" t="s">
        <v>664</v>
      </c>
      <c r="B37">
        <v>2023</v>
      </c>
      <c r="C37" t="s">
        <v>1293</v>
      </c>
      <c r="D37" t="s">
        <v>110</v>
      </c>
      <c r="F37" t="s">
        <v>113</v>
      </c>
      <c r="H37" t="s">
        <v>116</v>
      </c>
      <c r="I37" t="s">
        <v>259</v>
      </c>
      <c r="J37" t="s">
        <v>1299</v>
      </c>
      <c r="K37" t="s">
        <v>22</v>
      </c>
      <c r="L37" t="s">
        <v>580</v>
      </c>
      <c r="M37">
        <v>8848</v>
      </c>
      <c r="N37">
        <v>0.27520376799999902</v>
      </c>
      <c r="O37" t="s">
        <v>109</v>
      </c>
      <c r="P37" t="s">
        <v>111</v>
      </c>
      <c r="Q37" t="s">
        <v>1317</v>
      </c>
    </row>
    <row r="38" spans="1:17" x14ac:dyDescent="0.35">
      <c r="A38" t="s">
        <v>665</v>
      </c>
      <c r="B38">
        <v>2023</v>
      </c>
      <c r="C38" t="s">
        <v>1293</v>
      </c>
      <c r="D38" t="s">
        <v>110</v>
      </c>
      <c r="F38" t="s">
        <v>113</v>
      </c>
      <c r="H38" t="s">
        <v>59</v>
      </c>
      <c r="I38" t="s">
        <v>50</v>
      </c>
      <c r="J38" t="s">
        <v>108</v>
      </c>
      <c r="K38" t="s">
        <v>22</v>
      </c>
      <c r="L38" t="s">
        <v>73</v>
      </c>
      <c r="M38">
        <v>6862152</v>
      </c>
      <c r="N38">
        <v>6862152</v>
      </c>
      <c r="O38" t="s">
        <v>109</v>
      </c>
      <c r="P38" t="s">
        <v>111</v>
      </c>
      <c r="Q38" t="s">
        <v>1317</v>
      </c>
    </row>
    <row r="39" spans="1:17" x14ac:dyDescent="0.35">
      <c r="A39" t="s">
        <v>666</v>
      </c>
      <c r="B39">
        <v>2023</v>
      </c>
      <c r="C39" t="s">
        <v>1293</v>
      </c>
      <c r="D39" t="s">
        <v>110</v>
      </c>
      <c r="F39" t="s">
        <v>113</v>
      </c>
      <c r="H39" t="s">
        <v>59</v>
      </c>
      <c r="I39" t="s">
        <v>80</v>
      </c>
      <c r="J39" t="s">
        <v>81</v>
      </c>
      <c r="K39" t="s">
        <v>22</v>
      </c>
      <c r="L39" t="s">
        <v>73</v>
      </c>
      <c r="M39">
        <v>6975389</v>
      </c>
      <c r="N39">
        <v>6975389</v>
      </c>
      <c r="O39" t="s">
        <v>109</v>
      </c>
      <c r="P39" t="s">
        <v>111</v>
      </c>
      <c r="Q39" t="s">
        <v>1317</v>
      </c>
    </row>
    <row r="40" spans="1:17" x14ac:dyDescent="0.35">
      <c r="A40" t="s">
        <v>107</v>
      </c>
      <c r="B40">
        <v>2023</v>
      </c>
      <c r="C40" t="s">
        <v>1293</v>
      </c>
      <c r="D40" t="s">
        <v>110</v>
      </c>
      <c r="F40" t="s">
        <v>113</v>
      </c>
      <c r="H40" t="s">
        <v>583</v>
      </c>
      <c r="I40" t="s">
        <v>259</v>
      </c>
      <c r="J40" t="s">
        <v>1299</v>
      </c>
      <c r="K40" t="s">
        <v>22</v>
      </c>
      <c r="L40" t="s">
        <v>580</v>
      </c>
      <c r="M40">
        <v>218282</v>
      </c>
      <c r="N40">
        <v>6.7893341869999997</v>
      </c>
      <c r="O40" t="s">
        <v>109</v>
      </c>
      <c r="P40" t="s">
        <v>111</v>
      </c>
      <c r="Q40" t="s">
        <v>1317</v>
      </c>
    </row>
    <row r="41" spans="1:17" x14ac:dyDescent="0.35">
      <c r="A41" t="s">
        <v>667</v>
      </c>
      <c r="B41">
        <v>2023</v>
      </c>
      <c r="C41" t="s">
        <v>1293</v>
      </c>
      <c r="D41" t="s">
        <v>110</v>
      </c>
      <c r="F41" t="s">
        <v>113</v>
      </c>
      <c r="H41" t="s">
        <v>547</v>
      </c>
      <c r="I41" t="s">
        <v>259</v>
      </c>
      <c r="J41" t="s">
        <v>260</v>
      </c>
      <c r="K41" t="s">
        <v>22</v>
      </c>
      <c r="L41" t="s">
        <v>73</v>
      </c>
      <c r="M41">
        <v>19050</v>
      </c>
      <c r="N41">
        <v>19050</v>
      </c>
      <c r="O41" t="s">
        <v>109</v>
      </c>
      <c r="P41" t="s">
        <v>111</v>
      </c>
      <c r="Q41" t="s">
        <v>1317</v>
      </c>
    </row>
    <row r="42" spans="1:17" x14ac:dyDescent="0.35">
      <c r="A42" t="s">
        <v>1396</v>
      </c>
      <c r="B42">
        <v>2023</v>
      </c>
      <c r="C42" t="s">
        <v>1293</v>
      </c>
      <c r="D42" t="s">
        <v>110</v>
      </c>
      <c r="F42" t="s">
        <v>113</v>
      </c>
      <c r="H42" t="s">
        <v>547</v>
      </c>
      <c r="I42" t="s">
        <v>50</v>
      </c>
      <c r="K42" t="s">
        <v>22</v>
      </c>
      <c r="L42" t="s">
        <v>1393</v>
      </c>
      <c r="M42">
        <v>14575000.0623673</v>
      </c>
      <c r="N42">
        <v>14575000.0623673</v>
      </c>
      <c r="P42" t="s">
        <v>111</v>
      </c>
      <c r="Q42" t="s">
        <v>1394</v>
      </c>
    </row>
    <row r="43" spans="1:17" x14ac:dyDescent="0.35">
      <c r="A43" t="s">
        <v>1436</v>
      </c>
      <c r="B43">
        <v>2023</v>
      </c>
      <c r="C43" t="s">
        <v>1293</v>
      </c>
      <c r="D43" t="s">
        <v>110</v>
      </c>
      <c r="F43" t="s">
        <v>113</v>
      </c>
      <c r="I43" t="s">
        <v>50</v>
      </c>
      <c r="K43" t="s">
        <v>605</v>
      </c>
      <c r="L43" t="s">
        <v>1434</v>
      </c>
      <c r="M43">
        <v>367000001.57041699</v>
      </c>
      <c r="N43">
        <v>367000001.57041699</v>
      </c>
      <c r="P43" t="s">
        <v>111</v>
      </c>
      <c r="Q43" t="s">
        <v>1394</v>
      </c>
    </row>
    <row r="44" spans="1:17" x14ac:dyDescent="0.35">
      <c r="A44" t="s">
        <v>1318</v>
      </c>
      <c r="B44">
        <v>2023</v>
      </c>
      <c r="C44" t="s">
        <v>1293</v>
      </c>
      <c r="D44" t="s">
        <v>528</v>
      </c>
      <c r="E44" t="s">
        <v>404</v>
      </c>
      <c r="F44" t="s">
        <v>529</v>
      </c>
      <c r="G44" t="s">
        <v>406</v>
      </c>
      <c r="H44" t="s">
        <v>327</v>
      </c>
      <c r="I44" t="s">
        <v>259</v>
      </c>
      <c r="J44" t="s">
        <v>260</v>
      </c>
      <c r="K44" t="s">
        <v>22</v>
      </c>
      <c r="L44" t="s">
        <v>73</v>
      </c>
      <c r="M44">
        <v>11344</v>
      </c>
      <c r="N44">
        <v>11344</v>
      </c>
      <c r="O44" t="s">
        <v>1319</v>
      </c>
      <c r="P44" t="s">
        <v>395</v>
      </c>
      <c r="Q44" t="s">
        <v>1310</v>
      </c>
    </row>
    <row r="45" spans="1:17" x14ac:dyDescent="0.35">
      <c r="A45" t="s">
        <v>1320</v>
      </c>
      <c r="B45">
        <v>2023</v>
      </c>
      <c r="C45" t="s">
        <v>1293</v>
      </c>
      <c r="D45" t="s">
        <v>528</v>
      </c>
      <c r="E45" t="s">
        <v>404</v>
      </c>
      <c r="F45" t="s">
        <v>529</v>
      </c>
      <c r="G45" t="s">
        <v>406</v>
      </c>
      <c r="H45" t="s">
        <v>547</v>
      </c>
      <c r="I45" t="s">
        <v>259</v>
      </c>
      <c r="J45" t="s">
        <v>260</v>
      </c>
      <c r="K45" t="s">
        <v>22</v>
      </c>
      <c r="L45" t="s">
        <v>73</v>
      </c>
      <c r="M45">
        <v>9396</v>
      </c>
      <c r="N45">
        <v>9396</v>
      </c>
      <c r="O45" t="s">
        <v>1319</v>
      </c>
      <c r="P45" t="s">
        <v>395</v>
      </c>
      <c r="Q45" t="s">
        <v>1310</v>
      </c>
    </row>
    <row r="46" spans="1:17" x14ac:dyDescent="0.35">
      <c r="A46" t="s">
        <v>1321</v>
      </c>
      <c r="B46">
        <v>2023</v>
      </c>
      <c r="C46" t="s">
        <v>1293</v>
      </c>
      <c r="D46" t="s">
        <v>528</v>
      </c>
      <c r="E46" t="s">
        <v>404</v>
      </c>
      <c r="F46" t="s">
        <v>529</v>
      </c>
      <c r="G46" t="s">
        <v>406</v>
      </c>
      <c r="H46" t="s">
        <v>59</v>
      </c>
      <c r="I46" t="s">
        <v>50</v>
      </c>
      <c r="J46" t="s">
        <v>51</v>
      </c>
      <c r="K46" t="s">
        <v>22</v>
      </c>
      <c r="L46" t="s">
        <v>73</v>
      </c>
      <c r="M46">
        <v>433000</v>
      </c>
      <c r="N46">
        <v>433000</v>
      </c>
      <c r="O46" t="s">
        <v>1319</v>
      </c>
      <c r="P46" t="s">
        <v>395</v>
      </c>
      <c r="Q46" t="s">
        <v>1310</v>
      </c>
    </row>
    <row r="47" spans="1:17" x14ac:dyDescent="0.35">
      <c r="A47" t="s">
        <v>1397</v>
      </c>
      <c r="B47">
        <v>2023</v>
      </c>
      <c r="C47" t="s">
        <v>1293</v>
      </c>
      <c r="D47" t="s">
        <v>528</v>
      </c>
      <c r="E47" t="s">
        <v>404</v>
      </c>
      <c r="F47" t="s">
        <v>529</v>
      </c>
      <c r="G47" t="s">
        <v>406</v>
      </c>
      <c r="H47" t="s">
        <v>547</v>
      </c>
      <c r="I47" t="s">
        <v>50</v>
      </c>
      <c r="K47" t="s">
        <v>22</v>
      </c>
      <c r="L47" t="s">
        <v>1393</v>
      </c>
      <c r="M47">
        <v>406000.00173730002</v>
      </c>
      <c r="N47">
        <v>406000.00173730002</v>
      </c>
      <c r="P47" t="s">
        <v>395</v>
      </c>
      <c r="Q47" t="s">
        <v>1394</v>
      </c>
    </row>
    <row r="48" spans="1:17" x14ac:dyDescent="0.35">
      <c r="A48" t="s">
        <v>1437</v>
      </c>
      <c r="B48">
        <v>2023</v>
      </c>
      <c r="C48" t="s">
        <v>1293</v>
      </c>
      <c r="D48" t="s">
        <v>528</v>
      </c>
      <c r="E48" t="s">
        <v>404</v>
      </c>
      <c r="F48" t="s">
        <v>529</v>
      </c>
      <c r="G48" t="s">
        <v>406</v>
      </c>
      <c r="I48" t="s">
        <v>50</v>
      </c>
      <c r="K48" t="s">
        <v>605</v>
      </c>
      <c r="L48" t="s">
        <v>1434</v>
      </c>
      <c r="M48">
        <v>11041000.0472451</v>
      </c>
      <c r="N48">
        <v>11041000.0472451</v>
      </c>
      <c r="P48" t="s">
        <v>395</v>
      </c>
      <c r="Q48" t="s">
        <v>1394</v>
      </c>
    </row>
    <row r="49" spans="1:17" x14ac:dyDescent="0.35">
      <c r="A49" t="s">
        <v>607</v>
      </c>
      <c r="B49">
        <v>2023</v>
      </c>
      <c r="C49" t="s">
        <v>1293</v>
      </c>
      <c r="D49" t="s">
        <v>458</v>
      </c>
      <c r="F49" t="s">
        <v>459</v>
      </c>
      <c r="H49" t="s">
        <v>19</v>
      </c>
      <c r="I49" t="s">
        <v>20</v>
      </c>
      <c r="J49" t="s">
        <v>605</v>
      </c>
      <c r="K49" t="s">
        <v>605</v>
      </c>
      <c r="L49" t="s">
        <v>73</v>
      </c>
      <c r="M49">
        <v>287000</v>
      </c>
      <c r="P49" t="s">
        <v>606</v>
      </c>
      <c r="Q49" t="s">
        <v>1294</v>
      </c>
    </row>
    <row r="50" spans="1:17" x14ac:dyDescent="0.35">
      <c r="A50" t="s">
        <v>115</v>
      </c>
      <c r="B50">
        <v>2023</v>
      </c>
      <c r="C50" t="s">
        <v>1293</v>
      </c>
      <c r="D50" t="s">
        <v>117</v>
      </c>
      <c r="F50" t="s">
        <v>118</v>
      </c>
      <c r="H50" t="s">
        <v>116</v>
      </c>
      <c r="I50" t="s">
        <v>50</v>
      </c>
      <c r="J50" t="s">
        <v>51</v>
      </c>
      <c r="K50" t="s">
        <v>22</v>
      </c>
      <c r="L50" t="s">
        <v>73</v>
      </c>
      <c r="M50">
        <v>25434853.502416398</v>
      </c>
      <c r="N50">
        <v>25434853.502416398</v>
      </c>
      <c r="P50" t="s">
        <v>75</v>
      </c>
      <c r="Q50" t="s">
        <v>1322</v>
      </c>
    </row>
    <row r="51" spans="1:17" x14ac:dyDescent="0.35">
      <c r="A51" t="s">
        <v>585</v>
      </c>
      <c r="B51">
        <v>2023</v>
      </c>
      <c r="C51" t="s">
        <v>1293</v>
      </c>
      <c r="D51" t="s">
        <v>117</v>
      </c>
      <c r="F51" t="s">
        <v>118</v>
      </c>
      <c r="H51" t="s">
        <v>116</v>
      </c>
      <c r="I51" t="s">
        <v>259</v>
      </c>
      <c r="J51" t="s">
        <v>1299</v>
      </c>
      <c r="K51" t="s">
        <v>22</v>
      </c>
      <c r="L51" t="s">
        <v>580</v>
      </c>
      <c r="M51">
        <v>677446</v>
      </c>
      <c r="N51">
        <v>21.070941660999999</v>
      </c>
      <c r="P51" t="s">
        <v>75</v>
      </c>
      <c r="Q51" t="s">
        <v>1322</v>
      </c>
    </row>
    <row r="52" spans="1:17" x14ac:dyDescent="0.35">
      <c r="A52" t="s">
        <v>586</v>
      </c>
      <c r="B52">
        <v>2023</v>
      </c>
      <c r="C52" t="s">
        <v>1293</v>
      </c>
      <c r="D52" t="s">
        <v>117</v>
      </c>
      <c r="F52" t="s">
        <v>118</v>
      </c>
      <c r="H52" t="s">
        <v>583</v>
      </c>
      <c r="I52" t="s">
        <v>259</v>
      </c>
      <c r="J52" t="s">
        <v>1299</v>
      </c>
      <c r="K52" t="s">
        <v>22</v>
      </c>
      <c r="L52" t="s">
        <v>584</v>
      </c>
      <c r="M52">
        <v>79</v>
      </c>
      <c r="N52">
        <v>2.4571765000000001</v>
      </c>
      <c r="P52" t="s">
        <v>75</v>
      </c>
      <c r="Q52" t="s">
        <v>1322</v>
      </c>
    </row>
    <row r="53" spans="1:17" x14ac:dyDescent="0.35">
      <c r="A53" t="s">
        <v>711</v>
      </c>
      <c r="B53">
        <v>2023</v>
      </c>
      <c r="C53" t="s">
        <v>1293</v>
      </c>
      <c r="D53" t="s">
        <v>122</v>
      </c>
      <c r="F53" t="s">
        <v>123</v>
      </c>
      <c r="H53" t="s">
        <v>120</v>
      </c>
      <c r="I53" t="s">
        <v>259</v>
      </c>
      <c r="J53" t="s">
        <v>712</v>
      </c>
      <c r="K53" t="s">
        <v>22</v>
      </c>
      <c r="L53" t="s">
        <v>121</v>
      </c>
      <c r="M53">
        <v>3339.7620299999999</v>
      </c>
      <c r="N53">
        <v>0.66795240600000005</v>
      </c>
      <c r="P53" t="s">
        <v>26</v>
      </c>
      <c r="Q53" t="s">
        <v>1323</v>
      </c>
    </row>
    <row r="54" spans="1:17" x14ac:dyDescent="0.35">
      <c r="A54" t="s">
        <v>119</v>
      </c>
      <c r="B54">
        <v>2023</v>
      </c>
      <c r="C54" t="s">
        <v>1293</v>
      </c>
      <c r="D54" t="s">
        <v>122</v>
      </c>
      <c r="F54" t="s">
        <v>123</v>
      </c>
      <c r="H54" t="s">
        <v>120</v>
      </c>
      <c r="I54" t="s">
        <v>50</v>
      </c>
      <c r="J54" t="s">
        <v>51</v>
      </c>
      <c r="K54" t="s">
        <v>22</v>
      </c>
      <c r="L54" t="s">
        <v>121</v>
      </c>
      <c r="M54">
        <v>1687.71</v>
      </c>
      <c r="N54">
        <v>0.33754200000000001</v>
      </c>
      <c r="P54" t="s">
        <v>26</v>
      </c>
      <c r="Q54" t="s">
        <v>1323</v>
      </c>
    </row>
    <row r="55" spans="1:17" x14ac:dyDescent="0.35">
      <c r="A55" t="s">
        <v>729</v>
      </c>
      <c r="B55">
        <v>2023</v>
      </c>
      <c r="C55" t="s">
        <v>1293</v>
      </c>
      <c r="E55" t="s">
        <v>513</v>
      </c>
      <c r="F55" t="s">
        <v>516</v>
      </c>
      <c r="G55" t="s">
        <v>514</v>
      </c>
      <c r="H55" t="s">
        <v>49</v>
      </c>
      <c r="I55" t="s">
        <v>80</v>
      </c>
      <c r="J55" t="s">
        <v>81</v>
      </c>
      <c r="K55" t="s">
        <v>605</v>
      </c>
      <c r="L55" t="s">
        <v>39</v>
      </c>
      <c r="M55">
        <v>4.2</v>
      </c>
      <c r="P55" t="s">
        <v>730</v>
      </c>
      <c r="Q55" t="s">
        <v>1324</v>
      </c>
    </row>
    <row r="56" spans="1:17" x14ac:dyDescent="0.35">
      <c r="A56" t="s">
        <v>738</v>
      </c>
      <c r="B56">
        <v>2023</v>
      </c>
      <c r="C56" t="s">
        <v>1293</v>
      </c>
      <c r="D56" t="s">
        <v>126</v>
      </c>
      <c r="F56" t="s">
        <v>129</v>
      </c>
      <c r="H56" t="s">
        <v>116</v>
      </c>
      <c r="I56" t="s">
        <v>259</v>
      </c>
      <c r="J56" t="s">
        <v>1299</v>
      </c>
      <c r="K56" t="s">
        <v>22</v>
      </c>
      <c r="L56" t="s">
        <v>580</v>
      </c>
      <c r="M56">
        <v>87467</v>
      </c>
      <c r="N56">
        <v>2.7205298345000002</v>
      </c>
      <c r="O56" t="s">
        <v>739</v>
      </c>
      <c r="P56" t="s">
        <v>127</v>
      </c>
      <c r="Q56" t="s">
        <v>1325</v>
      </c>
    </row>
    <row r="57" spans="1:17" x14ac:dyDescent="0.35">
      <c r="A57" t="s">
        <v>125</v>
      </c>
      <c r="B57">
        <v>2023</v>
      </c>
      <c r="C57" t="s">
        <v>1293</v>
      </c>
      <c r="D57" t="s">
        <v>126</v>
      </c>
      <c r="F57" t="s">
        <v>129</v>
      </c>
      <c r="H57" t="s">
        <v>116</v>
      </c>
      <c r="I57" t="s">
        <v>50</v>
      </c>
      <c r="J57" t="s">
        <v>108</v>
      </c>
      <c r="K57" t="s">
        <v>22</v>
      </c>
      <c r="L57" t="s">
        <v>73</v>
      </c>
      <c r="M57">
        <v>222627</v>
      </c>
      <c r="N57">
        <v>222627</v>
      </c>
      <c r="P57" t="s">
        <v>127</v>
      </c>
      <c r="Q57" t="s">
        <v>1325</v>
      </c>
    </row>
    <row r="58" spans="1:17" x14ac:dyDescent="0.35">
      <c r="A58" t="s">
        <v>613</v>
      </c>
      <c r="B58">
        <v>2023</v>
      </c>
      <c r="C58" t="s">
        <v>1293</v>
      </c>
      <c r="D58" t="s">
        <v>132</v>
      </c>
      <c r="F58" t="s">
        <v>134</v>
      </c>
      <c r="H58" t="s">
        <v>120</v>
      </c>
      <c r="I58" t="s">
        <v>259</v>
      </c>
      <c r="J58" t="s">
        <v>614</v>
      </c>
      <c r="K58" t="s">
        <v>22</v>
      </c>
      <c r="L58" t="s">
        <v>615</v>
      </c>
      <c r="M58">
        <v>5.0999999999999996</v>
      </c>
      <c r="N58">
        <v>1.02</v>
      </c>
      <c r="P58" t="s">
        <v>133</v>
      </c>
      <c r="Q58" t="s">
        <v>1326</v>
      </c>
    </row>
    <row r="59" spans="1:17" x14ac:dyDescent="0.35">
      <c r="A59" t="s">
        <v>130</v>
      </c>
      <c r="B59">
        <v>2023</v>
      </c>
      <c r="C59" t="s">
        <v>1293</v>
      </c>
      <c r="D59" t="s">
        <v>132</v>
      </c>
      <c r="F59" t="s">
        <v>134</v>
      </c>
      <c r="H59" t="s">
        <v>120</v>
      </c>
      <c r="I59" t="s">
        <v>50</v>
      </c>
      <c r="J59" t="s">
        <v>51</v>
      </c>
      <c r="K59" t="s">
        <v>22</v>
      </c>
      <c r="L59" t="s">
        <v>131</v>
      </c>
      <c r="M59">
        <v>4.2</v>
      </c>
      <c r="N59">
        <v>4200000</v>
      </c>
      <c r="P59" t="s">
        <v>133</v>
      </c>
      <c r="Q59" t="s">
        <v>1327</v>
      </c>
    </row>
    <row r="60" spans="1:17" x14ac:dyDescent="0.35">
      <c r="A60" t="s">
        <v>616</v>
      </c>
      <c r="B60">
        <v>2023</v>
      </c>
      <c r="C60" t="s">
        <v>1293</v>
      </c>
      <c r="D60" t="s">
        <v>132</v>
      </c>
      <c r="F60" t="s">
        <v>134</v>
      </c>
      <c r="H60" t="s">
        <v>120</v>
      </c>
      <c r="I60" t="s">
        <v>80</v>
      </c>
      <c r="J60" t="s">
        <v>81</v>
      </c>
      <c r="K60" t="s">
        <v>22</v>
      </c>
      <c r="L60" t="s">
        <v>617</v>
      </c>
      <c r="M60">
        <v>4.5999999999999996</v>
      </c>
      <c r="N60">
        <v>4600000</v>
      </c>
      <c r="P60" t="s">
        <v>133</v>
      </c>
      <c r="Q60" t="s">
        <v>1328</v>
      </c>
    </row>
    <row r="61" spans="1:17" x14ac:dyDescent="0.35">
      <c r="A61" t="s">
        <v>692</v>
      </c>
      <c r="B61">
        <v>2023</v>
      </c>
      <c r="C61" t="s">
        <v>1293</v>
      </c>
      <c r="D61" t="s">
        <v>136</v>
      </c>
      <c r="F61" t="s">
        <v>137</v>
      </c>
      <c r="H61" t="s">
        <v>116</v>
      </c>
      <c r="I61" t="s">
        <v>259</v>
      </c>
      <c r="J61" t="s">
        <v>1299</v>
      </c>
      <c r="K61" t="s">
        <v>22</v>
      </c>
      <c r="L61" t="s">
        <v>584</v>
      </c>
      <c r="M61">
        <v>232</v>
      </c>
      <c r="N61">
        <v>7.2160120000000001</v>
      </c>
      <c r="P61" t="s">
        <v>61</v>
      </c>
      <c r="Q61" t="s">
        <v>1298</v>
      </c>
    </row>
    <row r="62" spans="1:17" x14ac:dyDescent="0.35">
      <c r="A62" t="s">
        <v>693</v>
      </c>
      <c r="B62">
        <v>2023</v>
      </c>
      <c r="C62" t="s">
        <v>1293</v>
      </c>
      <c r="D62" t="s">
        <v>136</v>
      </c>
      <c r="F62" t="s">
        <v>137</v>
      </c>
      <c r="H62" t="s">
        <v>583</v>
      </c>
      <c r="I62" t="s">
        <v>259</v>
      </c>
      <c r="J62" t="s">
        <v>1299</v>
      </c>
      <c r="K62" t="s">
        <v>22</v>
      </c>
      <c r="L62" t="s">
        <v>580</v>
      </c>
      <c r="M62">
        <v>11835</v>
      </c>
      <c r="N62">
        <v>0.36810992249999902</v>
      </c>
      <c r="P62" t="s">
        <v>61</v>
      </c>
      <c r="Q62" t="s">
        <v>1329</v>
      </c>
    </row>
    <row r="63" spans="1:17" x14ac:dyDescent="0.35">
      <c r="A63" t="s">
        <v>135</v>
      </c>
      <c r="B63">
        <v>2023</v>
      </c>
      <c r="C63" t="s">
        <v>1293</v>
      </c>
      <c r="D63" t="s">
        <v>136</v>
      </c>
      <c r="F63" t="s">
        <v>137</v>
      </c>
      <c r="H63" t="s">
        <v>116</v>
      </c>
      <c r="I63" t="s">
        <v>80</v>
      </c>
      <c r="J63" t="s">
        <v>81</v>
      </c>
      <c r="K63" t="s">
        <v>22</v>
      </c>
      <c r="L63" t="s">
        <v>23</v>
      </c>
      <c r="M63">
        <v>1656</v>
      </c>
      <c r="N63">
        <v>1656000</v>
      </c>
      <c r="P63" t="s">
        <v>61</v>
      </c>
      <c r="Q63" t="s">
        <v>1298</v>
      </c>
    </row>
    <row r="64" spans="1:17" x14ac:dyDescent="0.35">
      <c r="A64" t="s">
        <v>1330</v>
      </c>
      <c r="B64">
        <v>2023</v>
      </c>
      <c r="C64" t="s">
        <v>1293</v>
      </c>
      <c r="D64" t="s">
        <v>136</v>
      </c>
      <c r="F64" t="s">
        <v>137</v>
      </c>
      <c r="H64" t="s">
        <v>116</v>
      </c>
      <c r="I64" t="s">
        <v>50</v>
      </c>
      <c r="J64" t="s">
        <v>51</v>
      </c>
      <c r="K64" t="s">
        <v>22</v>
      </c>
      <c r="L64" t="s">
        <v>23</v>
      </c>
      <c r="M64">
        <v>1661</v>
      </c>
      <c r="N64">
        <v>1661000</v>
      </c>
      <c r="P64" t="s">
        <v>61</v>
      </c>
      <c r="Q64" t="s">
        <v>1298</v>
      </c>
    </row>
    <row r="65" spans="1:17" x14ac:dyDescent="0.35">
      <c r="A65" t="s">
        <v>653</v>
      </c>
      <c r="B65">
        <v>2024</v>
      </c>
      <c r="C65" t="s">
        <v>1293</v>
      </c>
      <c r="D65" t="s">
        <v>140</v>
      </c>
      <c r="F65" t="s">
        <v>143</v>
      </c>
      <c r="H65" t="s">
        <v>116</v>
      </c>
      <c r="I65" t="s">
        <v>80</v>
      </c>
      <c r="J65" t="s">
        <v>81</v>
      </c>
      <c r="K65" t="s">
        <v>22</v>
      </c>
      <c r="L65" t="s">
        <v>73</v>
      </c>
      <c r="M65">
        <v>34017</v>
      </c>
      <c r="N65">
        <v>34017</v>
      </c>
      <c r="P65" t="s">
        <v>141</v>
      </c>
      <c r="Q65" t="s">
        <v>1331</v>
      </c>
    </row>
    <row r="66" spans="1:17" x14ac:dyDescent="0.35">
      <c r="A66" t="s">
        <v>138</v>
      </c>
      <c r="B66">
        <v>2024</v>
      </c>
      <c r="C66" t="s">
        <v>1293</v>
      </c>
      <c r="D66" t="s">
        <v>140</v>
      </c>
      <c r="F66" t="s">
        <v>143</v>
      </c>
      <c r="H66" t="s">
        <v>116</v>
      </c>
      <c r="I66" t="s">
        <v>50</v>
      </c>
      <c r="J66" t="s">
        <v>139</v>
      </c>
      <c r="K66" t="s">
        <v>22</v>
      </c>
      <c r="L66" t="s">
        <v>73</v>
      </c>
      <c r="M66">
        <v>33245</v>
      </c>
      <c r="N66">
        <v>33245</v>
      </c>
      <c r="P66" t="s">
        <v>141</v>
      </c>
      <c r="Q66" t="s">
        <v>1331</v>
      </c>
    </row>
    <row r="67" spans="1:17" x14ac:dyDescent="0.35">
      <c r="A67" t="s">
        <v>654</v>
      </c>
      <c r="B67">
        <v>2024</v>
      </c>
      <c r="C67" t="s">
        <v>1293</v>
      </c>
      <c r="D67" t="s">
        <v>140</v>
      </c>
      <c r="F67" t="s">
        <v>143</v>
      </c>
      <c r="H67" t="s">
        <v>116</v>
      </c>
      <c r="I67" t="s">
        <v>259</v>
      </c>
      <c r="J67" t="s">
        <v>1299</v>
      </c>
      <c r="K67" t="s">
        <v>22</v>
      </c>
      <c r="L67" t="s">
        <v>580</v>
      </c>
      <c r="M67">
        <v>3916</v>
      </c>
      <c r="N67">
        <v>0.121801306</v>
      </c>
      <c r="O67" t="s">
        <v>655</v>
      </c>
      <c r="P67" t="s">
        <v>141</v>
      </c>
      <c r="Q67" t="s">
        <v>1331</v>
      </c>
    </row>
    <row r="68" spans="1:17" x14ac:dyDescent="0.35">
      <c r="A68" t="s">
        <v>144</v>
      </c>
      <c r="B68">
        <v>2021</v>
      </c>
      <c r="C68" t="s">
        <v>1293</v>
      </c>
      <c r="D68" t="s">
        <v>146</v>
      </c>
      <c r="F68" t="s">
        <v>148</v>
      </c>
      <c r="H68" t="s">
        <v>36</v>
      </c>
      <c r="I68" t="s">
        <v>20</v>
      </c>
      <c r="J68" t="s">
        <v>145</v>
      </c>
      <c r="K68" t="s">
        <v>22</v>
      </c>
      <c r="L68" t="s">
        <v>23</v>
      </c>
      <c r="M68">
        <v>828</v>
      </c>
      <c r="N68">
        <v>828000</v>
      </c>
      <c r="P68" t="s">
        <v>147</v>
      </c>
      <c r="Q68" t="s">
        <v>1332</v>
      </c>
    </row>
    <row r="69" spans="1:17" x14ac:dyDescent="0.35">
      <c r="A69" t="s">
        <v>636</v>
      </c>
      <c r="B69">
        <v>2021</v>
      </c>
      <c r="C69" t="s">
        <v>1293</v>
      </c>
      <c r="D69" t="s">
        <v>146</v>
      </c>
      <c r="F69" t="s">
        <v>148</v>
      </c>
      <c r="H69" t="s">
        <v>36</v>
      </c>
      <c r="I69" t="s">
        <v>20</v>
      </c>
      <c r="J69" t="s">
        <v>637</v>
      </c>
      <c r="K69" t="s">
        <v>605</v>
      </c>
      <c r="L69" t="s">
        <v>638</v>
      </c>
      <c r="M69">
        <v>1200</v>
      </c>
      <c r="P69" t="s">
        <v>147</v>
      </c>
      <c r="Q69" t="s">
        <v>1332</v>
      </c>
    </row>
    <row r="70" spans="1:17" x14ac:dyDescent="0.35">
      <c r="A70" t="s">
        <v>149</v>
      </c>
      <c r="B70">
        <v>2023</v>
      </c>
      <c r="C70" t="s">
        <v>1293</v>
      </c>
      <c r="D70" t="s">
        <v>152</v>
      </c>
      <c r="E70" t="s">
        <v>153</v>
      </c>
      <c r="F70" t="s">
        <v>154</v>
      </c>
      <c r="G70" t="s">
        <v>155</v>
      </c>
      <c r="H70" t="s">
        <v>49</v>
      </c>
      <c r="I70" t="s">
        <v>80</v>
      </c>
      <c r="J70" t="s">
        <v>81</v>
      </c>
      <c r="K70" t="s">
        <v>22</v>
      </c>
      <c r="L70" t="s">
        <v>23</v>
      </c>
      <c r="M70">
        <v>5901</v>
      </c>
      <c r="N70">
        <v>5901000</v>
      </c>
      <c r="O70" t="s">
        <v>151</v>
      </c>
      <c r="P70" t="s">
        <v>42</v>
      </c>
      <c r="Q70" t="s">
        <v>1333</v>
      </c>
    </row>
    <row r="71" spans="1:17" x14ac:dyDescent="0.35">
      <c r="A71" t="s">
        <v>682</v>
      </c>
      <c r="B71">
        <v>2023</v>
      </c>
      <c r="C71" t="s">
        <v>1293</v>
      </c>
      <c r="D71" t="s">
        <v>157</v>
      </c>
      <c r="F71" t="s">
        <v>160</v>
      </c>
      <c r="H71" t="s">
        <v>116</v>
      </c>
      <c r="I71" t="s">
        <v>80</v>
      </c>
      <c r="J71" t="s">
        <v>81</v>
      </c>
      <c r="K71" t="s">
        <v>22</v>
      </c>
      <c r="L71" t="s">
        <v>23</v>
      </c>
      <c r="M71">
        <v>391</v>
      </c>
      <c r="N71">
        <v>391000</v>
      </c>
      <c r="O71" t="s">
        <v>1334</v>
      </c>
      <c r="P71" t="s">
        <v>158</v>
      </c>
      <c r="Q71" t="s">
        <v>1335</v>
      </c>
    </row>
    <row r="72" spans="1:17" x14ac:dyDescent="0.35">
      <c r="A72" t="s">
        <v>156</v>
      </c>
      <c r="B72">
        <v>2023</v>
      </c>
      <c r="C72" t="s">
        <v>1293</v>
      </c>
      <c r="D72" t="s">
        <v>157</v>
      </c>
      <c r="F72" t="s">
        <v>160</v>
      </c>
      <c r="H72" t="s">
        <v>116</v>
      </c>
      <c r="I72" t="s">
        <v>50</v>
      </c>
      <c r="J72" t="s">
        <v>51</v>
      </c>
      <c r="K72" t="s">
        <v>22</v>
      </c>
      <c r="L72" t="s">
        <v>23</v>
      </c>
      <c r="M72">
        <v>457</v>
      </c>
      <c r="N72">
        <v>457000</v>
      </c>
      <c r="O72" t="s">
        <v>1334</v>
      </c>
      <c r="P72" t="s">
        <v>158</v>
      </c>
      <c r="Q72" t="s">
        <v>1335</v>
      </c>
    </row>
    <row r="73" spans="1:17" x14ac:dyDescent="0.35">
      <c r="A73" t="s">
        <v>683</v>
      </c>
      <c r="B73">
        <v>2023</v>
      </c>
      <c r="C73" t="s">
        <v>1293</v>
      </c>
      <c r="D73" t="s">
        <v>157</v>
      </c>
      <c r="F73" t="s">
        <v>160</v>
      </c>
      <c r="H73" t="s">
        <v>116</v>
      </c>
      <c r="I73" t="s">
        <v>259</v>
      </c>
      <c r="J73" t="s">
        <v>1299</v>
      </c>
      <c r="K73" t="s">
        <v>22</v>
      </c>
      <c r="L73" t="s">
        <v>584</v>
      </c>
      <c r="M73">
        <v>44.4</v>
      </c>
      <c r="N73">
        <v>1.3809954</v>
      </c>
      <c r="O73" t="s">
        <v>1334</v>
      </c>
      <c r="P73" t="s">
        <v>158</v>
      </c>
      <c r="Q73" t="s">
        <v>1335</v>
      </c>
    </row>
    <row r="74" spans="1:17" x14ac:dyDescent="0.35">
      <c r="A74" t="s">
        <v>684</v>
      </c>
      <c r="B74">
        <v>2023</v>
      </c>
      <c r="C74" t="s">
        <v>1293</v>
      </c>
      <c r="D74" t="s">
        <v>157</v>
      </c>
      <c r="F74" t="s">
        <v>160</v>
      </c>
      <c r="H74" t="s">
        <v>583</v>
      </c>
      <c r="I74" t="s">
        <v>259</v>
      </c>
      <c r="J74" t="s">
        <v>1299</v>
      </c>
      <c r="K74" t="s">
        <v>22</v>
      </c>
      <c r="L74" t="s">
        <v>584</v>
      </c>
      <c r="M74">
        <v>1.4</v>
      </c>
      <c r="N74">
        <v>4.3544899999999997E-2</v>
      </c>
      <c r="O74" t="s">
        <v>1334</v>
      </c>
      <c r="P74" t="s">
        <v>158</v>
      </c>
      <c r="Q74" t="s">
        <v>1335</v>
      </c>
    </row>
    <row r="75" spans="1:17" x14ac:dyDescent="0.35">
      <c r="A75" t="s">
        <v>161</v>
      </c>
      <c r="B75">
        <v>2024</v>
      </c>
      <c r="C75" t="s">
        <v>1293</v>
      </c>
      <c r="D75" t="s">
        <v>162</v>
      </c>
      <c r="E75" t="s">
        <v>163</v>
      </c>
      <c r="F75" t="s">
        <v>164</v>
      </c>
      <c r="G75" t="s">
        <v>165</v>
      </c>
      <c r="H75" t="s">
        <v>59</v>
      </c>
      <c r="I75" t="s">
        <v>80</v>
      </c>
      <c r="J75" t="s">
        <v>81</v>
      </c>
      <c r="K75" t="s">
        <v>22</v>
      </c>
      <c r="L75" t="s">
        <v>73</v>
      </c>
      <c r="M75">
        <v>553033</v>
      </c>
      <c r="N75">
        <v>553033</v>
      </c>
      <c r="P75" t="s">
        <v>69</v>
      </c>
      <c r="Q75" t="s">
        <v>1336</v>
      </c>
    </row>
    <row r="76" spans="1:17" x14ac:dyDescent="0.35">
      <c r="A76" t="s">
        <v>1337</v>
      </c>
      <c r="B76">
        <v>2023</v>
      </c>
      <c r="C76" t="s">
        <v>1293</v>
      </c>
      <c r="D76" t="s">
        <v>530</v>
      </c>
      <c r="E76" t="s">
        <v>404</v>
      </c>
      <c r="F76" t="s">
        <v>531</v>
      </c>
      <c r="G76" t="s">
        <v>406</v>
      </c>
      <c r="H76" t="s">
        <v>327</v>
      </c>
      <c r="I76" t="s">
        <v>259</v>
      </c>
      <c r="J76" t="s">
        <v>260</v>
      </c>
      <c r="K76" t="s">
        <v>22</v>
      </c>
      <c r="L76" t="s">
        <v>73</v>
      </c>
      <c r="M76">
        <v>7946</v>
      </c>
      <c r="N76">
        <v>7946</v>
      </c>
      <c r="O76" t="s">
        <v>1338</v>
      </c>
      <c r="P76" t="s">
        <v>395</v>
      </c>
      <c r="Q76" t="s">
        <v>1310</v>
      </c>
    </row>
    <row r="77" spans="1:17" x14ac:dyDescent="0.35">
      <c r="A77" t="s">
        <v>1339</v>
      </c>
      <c r="B77">
        <v>2023</v>
      </c>
      <c r="C77" t="s">
        <v>1293</v>
      </c>
      <c r="D77" t="s">
        <v>530</v>
      </c>
      <c r="E77" t="s">
        <v>404</v>
      </c>
      <c r="F77" t="s">
        <v>531</v>
      </c>
      <c r="G77" t="s">
        <v>406</v>
      </c>
      <c r="H77" t="s">
        <v>547</v>
      </c>
      <c r="I77" t="s">
        <v>259</v>
      </c>
      <c r="J77" t="s">
        <v>260</v>
      </c>
      <c r="K77" t="s">
        <v>22</v>
      </c>
      <c r="L77" t="s">
        <v>73</v>
      </c>
      <c r="M77">
        <v>7453</v>
      </c>
      <c r="N77">
        <v>7453</v>
      </c>
      <c r="O77" t="s">
        <v>1338</v>
      </c>
      <c r="P77" t="s">
        <v>395</v>
      </c>
      <c r="Q77" t="s">
        <v>1310</v>
      </c>
    </row>
    <row r="78" spans="1:17" x14ac:dyDescent="0.35">
      <c r="A78" t="s">
        <v>1340</v>
      </c>
      <c r="B78">
        <v>2023</v>
      </c>
      <c r="C78" t="s">
        <v>1293</v>
      </c>
      <c r="D78" t="s">
        <v>530</v>
      </c>
      <c r="E78" t="s">
        <v>404</v>
      </c>
      <c r="F78" t="s">
        <v>531</v>
      </c>
      <c r="G78" t="s">
        <v>406</v>
      </c>
      <c r="H78" t="s">
        <v>59</v>
      </c>
      <c r="I78" t="s">
        <v>50</v>
      </c>
      <c r="J78" t="s">
        <v>51</v>
      </c>
      <c r="K78" t="s">
        <v>22</v>
      </c>
      <c r="L78" t="s">
        <v>73</v>
      </c>
      <c r="M78">
        <v>616000</v>
      </c>
      <c r="N78">
        <v>616000</v>
      </c>
      <c r="O78" t="s">
        <v>1338</v>
      </c>
      <c r="P78" t="s">
        <v>395</v>
      </c>
      <c r="Q78" t="s">
        <v>1310</v>
      </c>
    </row>
    <row r="79" spans="1:17" x14ac:dyDescent="0.35">
      <c r="A79" t="s">
        <v>1398</v>
      </c>
      <c r="B79">
        <v>2023</v>
      </c>
      <c r="C79" t="s">
        <v>1293</v>
      </c>
      <c r="D79" t="s">
        <v>530</v>
      </c>
      <c r="E79" t="s">
        <v>404</v>
      </c>
      <c r="F79" t="s">
        <v>531</v>
      </c>
      <c r="G79" t="s">
        <v>406</v>
      </c>
      <c r="H79" t="s">
        <v>547</v>
      </c>
      <c r="I79" t="s">
        <v>50</v>
      </c>
      <c r="K79" t="s">
        <v>22</v>
      </c>
      <c r="L79" t="s">
        <v>1393</v>
      </c>
      <c r="M79">
        <v>650000.00278139301</v>
      </c>
      <c r="N79">
        <v>650000.00278139301</v>
      </c>
      <c r="P79" t="s">
        <v>395</v>
      </c>
      <c r="Q79" t="s">
        <v>1394</v>
      </c>
    </row>
    <row r="80" spans="1:17" x14ac:dyDescent="0.35">
      <c r="A80" t="s">
        <v>1438</v>
      </c>
      <c r="B80">
        <v>2023</v>
      </c>
      <c r="C80" t="s">
        <v>1293</v>
      </c>
      <c r="D80" t="s">
        <v>530</v>
      </c>
      <c r="E80" t="s">
        <v>404</v>
      </c>
      <c r="F80" t="s">
        <v>531</v>
      </c>
      <c r="G80" t="s">
        <v>406</v>
      </c>
      <c r="I80" t="s">
        <v>50</v>
      </c>
      <c r="K80" t="s">
        <v>605</v>
      </c>
      <c r="L80" t="s">
        <v>1434</v>
      </c>
      <c r="M80">
        <v>4822000.02063365</v>
      </c>
      <c r="N80">
        <v>4822000.02063365</v>
      </c>
      <c r="P80" t="s">
        <v>395</v>
      </c>
      <c r="Q80" t="s">
        <v>1394</v>
      </c>
    </row>
    <row r="81" spans="1:17" x14ac:dyDescent="0.35">
      <c r="A81" t="s">
        <v>723</v>
      </c>
      <c r="B81">
        <v>2023</v>
      </c>
      <c r="C81" t="s">
        <v>1293</v>
      </c>
      <c r="D81" t="s">
        <v>168</v>
      </c>
      <c r="F81" t="s">
        <v>171</v>
      </c>
      <c r="H81" t="s">
        <v>59</v>
      </c>
      <c r="I81" t="s">
        <v>80</v>
      </c>
      <c r="J81" t="s">
        <v>81</v>
      </c>
      <c r="K81" t="s">
        <v>22</v>
      </c>
      <c r="L81" t="s">
        <v>39</v>
      </c>
      <c r="M81">
        <v>88.1</v>
      </c>
      <c r="N81">
        <v>88100000</v>
      </c>
      <c r="P81" t="s">
        <v>169</v>
      </c>
      <c r="Q81" t="s">
        <v>1341</v>
      </c>
    </row>
    <row r="82" spans="1:17" x14ac:dyDescent="0.35">
      <c r="A82" t="s">
        <v>167</v>
      </c>
      <c r="B82">
        <v>2023</v>
      </c>
      <c r="C82" t="s">
        <v>1293</v>
      </c>
      <c r="D82" t="s">
        <v>168</v>
      </c>
      <c r="F82" t="s">
        <v>171</v>
      </c>
      <c r="H82" t="s">
        <v>59</v>
      </c>
      <c r="I82" t="s">
        <v>50</v>
      </c>
      <c r="J82" t="s">
        <v>108</v>
      </c>
      <c r="K82" t="s">
        <v>22</v>
      </c>
      <c r="L82" t="s">
        <v>39</v>
      </c>
      <c r="M82">
        <v>30</v>
      </c>
      <c r="N82">
        <v>30000000</v>
      </c>
      <c r="P82" t="s">
        <v>169</v>
      </c>
      <c r="Q82" t="s">
        <v>1341</v>
      </c>
    </row>
    <row r="83" spans="1:17" x14ac:dyDescent="0.35">
      <c r="A83" t="s">
        <v>724</v>
      </c>
      <c r="B83">
        <v>2023</v>
      </c>
      <c r="C83" t="s">
        <v>1293</v>
      </c>
      <c r="D83" t="s">
        <v>168</v>
      </c>
      <c r="F83" t="s">
        <v>171</v>
      </c>
      <c r="H83" t="s">
        <v>727</v>
      </c>
      <c r="I83" t="s">
        <v>259</v>
      </c>
      <c r="J83" t="s">
        <v>260</v>
      </c>
      <c r="K83" t="s">
        <v>22</v>
      </c>
      <c r="L83" t="s">
        <v>626</v>
      </c>
      <c r="M83">
        <v>1202</v>
      </c>
      <c r="N83">
        <v>545.21758399999999</v>
      </c>
      <c r="O83" t="s">
        <v>728</v>
      </c>
      <c r="P83" t="s">
        <v>169</v>
      </c>
      <c r="Q83" t="s">
        <v>1341</v>
      </c>
    </row>
    <row r="84" spans="1:17" x14ac:dyDescent="0.35">
      <c r="A84" t="s">
        <v>726</v>
      </c>
      <c r="B84">
        <v>2023</v>
      </c>
      <c r="C84" t="s">
        <v>1293</v>
      </c>
      <c r="D84" t="s">
        <v>168</v>
      </c>
      <c r="F84" t="s">
        <v>171</v>
      </c>
      <c r="H84" t="s">
        <v>547</v>
      </c>
      <c r="I84" t="s">
        <v>259</v>
      </c>
      <c r="J84" t="s">
        <v>260</v>
      </c>
      <c r="K84" t="s">
        <v>22</v>
      </c>
      <c r="L84" t="s">
        <v>94</v>
      </c>
      <c r="M84">
        <v>122.6</v>
      </c>
      <c r="N84">
        <v>55610.379200000003</v>
      </c>
      <c r="O84" t="s">
        <v>725</v>
      </c>
      <c r="P84" t="s">
        <v>169</v>
      </c>
      <c r="Q84" t="s">
        <v>1341</v>
      </c>
    </row>
    <row r="85" spans="1:17" x14ac:dyDescent="0.35">
      <c r="A85" t="s">
        <v>1399</v>
      </c>
      <c r="B85">
        <v>2023</v>
      </c>
      <c r="C85" t="s">
        <v>1293</v>
      </c>
      <c r="D85" t="s">
        <v>168</v>
      </c>
      <c r="F85" t="s">
        <v>171</v>
      </c>
      <c r="H85" t="s">
        <v>547</v>
      </c>
      <c r="I85" t="s">
        <v>50</v>
      </c>
      <c r="K85" t="s">
        <v>22</v>
      </c>
      <c r="L85" t="s">
        <v>1393</v>
      </c>
      <c r="M85">
        <v>88100000.376985699</v>
      </c>
      <c r="N85">
        <v>88100000.376985699</v>
      </c>
      <c r="P85" t="s">
        <v>169</v>
      </c>
      <c r="Q85" t="s">
        <v>1394</v>
      </c>
    </row>
    <row r="86" spans="1:17" x14ac:dyDescent="0.35">
      <c r="A86" t="s">
        <v>1439</v>
      </c>
      <c r="B86">
        <v>2023</v>
      </c>
      <c r="C86" t="s">
        <v>1293</v>
      </c>
      <c r="D86" t="s">
        <v>168</v>
      </c>
      <c r="F86" t="s">
        <v>171</v>
      </c>
      <c r="I86" t="s">
        <v>50</v>
      </c>
      <c r="K86" t="s">
        <v>605</v>
      </c>
      <c r="L86" t="s">
        <v>1434</v>
      </c>
      <c r="M86">
        <v>645000002.75999701</v>
      </c>
      <c r="N86">
        <v>645000002.75999701</v>
      </c>
      <c r="P86" t="s">
        <v>169</v>
      </c>
      <c r="Q86" t="s">
        <v>1394</v>
      </c>
    </row>
    <row r="87" spans="1:17" x14ac:dyDescent="0.35">
      <c r="A87" t="s">
        <v>173</v>
      </c>
      <c r="B87">
        <v>2023</v>
      </c>
      <c r="C87" t="s">
        <v>1293</v>
      </c>
      <c r="D87" t="s">
        <v>174</v>
      </c>
      <c r="F87" t="s">
        <v>175</v>
      </c>
      <c r="H87" t="s">
        <v>547</v>
      </c>
      <c r="I87" t="s">
        <v>259</v>
      </c>
      <c r="J87" t="s">
        <v>260</v>
      </c>
      <c r="K87" t="s">
        <v>22</v>
      </c>
      <c r="L87" t="s">
        <v>73</v>
      </c>
      <c r="M87">
        <v>39.036757999999999</v>
      </c>
      <c r="N87">
        <v>39.036757999999999</v>
      </c>
      <c r="O87" t="s">
        <v>1342</v>
      </c>
      <c r="P87" t="s">
        <v>75</v>
      </c>
      <c r="Q87" t="s">
        <v>1301</v>
      </c>
    </row>
    <row r="88" spans="1:17" x14ac:dyDescent="0.35">
      <c r="A88" t="s">
        <v>587</v>
      </c>
      <c r="B88">
        <v>2023</v>
      </c>
      <c r="C88" t="s">
        <v>1293</v>
      </c>
      <c r="D88" t="s">
        <v>174</v>
      </c>
      <c r="F88" t="s">
        <v>175</v>
      </c>
      <c r="H88" t="s">
        <v>59</v>
      </c>
      <c r="I88" t="s">
        <v>50</v>
      </c>
      <c r="J88" t="s">
        <v>51</v>
      </c>
      <c r="K88" t="s">
        <v>22</v>
      </c>
      <c r="L88" t="s">
        <v>73</v>
      </c>
      <c r="M88">
        <v>2886927.3287240001</v>
      </c>
      <c r="N88">
        <v>2886927.3287240001</v>
      </c>
      <c r="P88" t="s">
        <v>75</v>
      </c>
      <c r="Q88" t="s">
        <v>1322</v>
      </c>
    </row>
    <row r="89" spans="1:17" x14ac:dyDescent="0.35">
      <c r="A89" t="s">
        <v>588</v>
      </c>
      <c r="B89">
        <v>2023</v>
      </c>
      <c r="C89" t="s">
        <v>1293</v>
      </c>
      <c r="D89" t="s">
        <v>174</v>
      </c>
      <c r="F89" t="s">
        <v>175</v>
      </c>
      <c r="H89" t="s">
        <v>116</v>
      </c>
      <c r="I89" t="s">
        <v>259</v>
      </c>
      <c r="J89" t="s">
        <v>1299</v>
      </c>
      <c r="K89" t="s">
        <v>22</v>
      </c>
      <c r="L89" t="s">
        <v>580</v>
      </c>
      <c r="M89">
        <v>140982.56710499999</v>
      </c>
      <c r="N89">
        <v>4.3850512759503602</v>
      </c>
      <c r="P89" t="s">
        <v>75</v>
      </c>
      <c r="Q89" t="s">
        <v>1322</v>
      </c>
    </row>
    <row r="90" spans="1:17" x14ac:dyDescent="0.35">
      <c r="A90" t="s">
        <v>589</v>
      </c>
      <c r="B90">
        <v>2023</v>
      </c>
      <c r="C90" t="s">
        <v>1293</v>
      </c>
      <c r="D90" t="s">
        <v>174</v>
      </c>
      <c r="F90" t="s">
        <v>175</v>
      </c>
      <c r="H90" t="s">
        <v>583</v>
      </c>
      <c r="I90" t="s">
        <v>259</v>
      </c>
      <c r="J90" t="s">
        <v>1299</v>
      </c>
      <c r="K90" t="s">
        <v>22</v>
      </c>
      <c r="L90" t="s">
        <v>584</v>
      </c>
      <c r="M90">
        <v>2</v>
      </c>
      <c r="N90">
        <v>6.2206999999999998E-2</v>
      </c>
      <c r="P90" t="s">
        <v>75</v>
      </c>
      <c r="Q90" t="s">
        <v>1322</v>
      </c>
    </row>
    <row r="91" spans="1:17" x14ac:dyDescent="0.35">
      <c r="A91" t="s">
        <v>713</v>
      </c>
      <c r="B91">
        <v>2023</v>
      </c>
      <c r="C91" t="s">
        <v>1293</v>
      </c>
      <c r="D91" t="s">
        <v>177</v>
      </c>
      <c r="E91" t="s">
        <v>25</v>
      </c>
      <c r="F91" t="s">
        <v>178</v>
      </c>
      <c r="G91" t="s">
        <v>28</v>
      </c>
      <c r="H91" t="s">
        <v>19</v>
      </c>
      <c r="I91" t="s">
        <v>20</v>
      </c>
      <c r="J91" t="s">
        <v>21</v>
      </c>
      <c r="K91" t="s">
        <v>605</v>
      </c>
      <c r="L91" t="s">
        <v>73</v>
      </c>
      <c r="M91">
        <v>233000</v>
      </c>
      <c r="P91" t="s">
        <v>26</v>
      </c>
      <c r="Q91" t="s">
        <v>1294</v>
      </c>
    </row>
    <row r="92" spans="1:17" x14ac:dyDescent="0.35">
      <c r="A92" t="s">
        <v>176</v>
      </c>
      <c r="B92">
        <v>2023</v>
      </c>
      <c r="C92" t="s">
        <v>1293</v>
      </c>
      <c r="D92" t="s">
        <v>177</v>
      </c>
      <c r="E92" t="s">
        <v>25</v>
      </c>
      <c r="F92" t="s">
        <v>178</v>
      </c>
      <c r="G92" t="s">
        <v>28</v>
      </c>
      <c r="H92" t="s">
        <v>19</v>
      </c>
      <c r="I92" t="s">
        <v>20</v>
      </c>
      <c r="J92" t="s">
        <v>21</v>
      </c>
      <c r="K92" t="s">
        <v>22</v>
      </c>
      <c r="L92" t="s">
        <v>23</v>
      </c>
      <c r="M92">
        <v>229</v>
      </c>
      <c r="N92">
        <v>229000</v>
      </c>
      <c r="P92" t="s">
        <v>26</v>
      </c>
      <c r="Q92" t="s">
        <v>1295</v>
      </c>
    </row>
    <row r="93" spans="1:17" x14ac:dyDescent="0.35">
      <c r="A93" t="s">
        <v>179</v>
      </c>
      <c r="B93">
        <v>2023</v>
      </c>
      <c r="C93" t="s">
        <v>1293</v>
      </c>
      <c r="D93" t="s">
        <v>181</v>
      </c>
      <c r="F93" t="s">
        <v>184</v>
      </c>
      <c r="H93" t="s">
        <v>116</v>
      </c>
      <c r="I93" t="s">
        <v>50</v>
      </c>
      <c r="J93" t="s">
        <v>51</v>
      </c>
      <c r="K93" t="s">
        <v>22</v>
      </c>
      <c r="L93" t="s">
        <v>73</v>
      </c>
      <c r="M93">
        <v>1266009</v>
      </c>
      <c r="N93">
        <v>1266009</v>
      </c>
      <c r="O93" t="s">
        <v>180</v>
      </c>
      <c r="P93" t="s">
        <v>182</v>
      </c>
      <c r="Q93" t="s">
        <v>1343</v>
      </c>
    </row>
    <row r="94" spans="1:17" x14ac:dyDescent="0.35">
      <c r="A94" t="s">
        <v>612</v>
      </c>
      <c r="B94">
        <v>2023</v>
      </c>
      <c r="C94" t="s">
        <v>1293</v>
      </c>
      <c r="D94" t="s">
        <v>181</v>
      </c>
      <c r="F94" t="s">
        <v>184</v>
      </c>
      <c r="H94" t="s">
        <v>116</v>
      </c>
      <c r="I94" t="s">
        <v>259</v>
      </c>
      <c r="J94" t="s">
        <v>1299</v>
      </c>
      <c r="K94" t="s">
        <v>22</v>
      </c>
      <c r="L94" t="s">
        <v>580</v>
      </c>
      <c r="M94">
        <v>141045</v>
      </c>
      <c r="N94">
        <v>4.3869931575000001</v>
      </c>
      <c r="P94" t="s">
        <v>182</v>
      </c>
      <c r="Q94" t="s">
        <v>1343</v>
      </c>
    </row>
    <row r="95" spans="1:17" x14ac:dyDescent="0.35">
      <c r="A95" t="s">
        <v>731</v>
      </c>
      <c r="B95">
        <v>2024</v>
      </c>
      <c r="C95" t="s">
        <v>1293</v>
      </c>
      <c r="D95" t="s">
        <v>187</v>
      </c>
      <c r="F95" t="s">
        <v>189</v>
      </c>
      <c r="H95" t="s">
        <v>59</v>
      </c>
      <c r="I95" t="s">
        <v>50</v>
      </c>
      <c r="J95" t="s">
        <v>51</v>
      </c>
      <c r="K95" t="s">
        <v>22</v>
      </c>
      <c r="L95" t="s">
        <v>23</v>
      </c>
      <c r="M95">
        <v>215221530</v>
      </c>
      <c r="N95">
        <v>215221530000</v>
      </c>
      <c r="O95" t="s">
        <v>186</v>
      </c>
      <c r="P95" t="s">
        <v>188</v>
      </c>
      <c r="Q95" t="s">
        <v>1344</v>
      </c>
    </row>
    <row r="96" spans="1:17" x14ac:dyDescent="0.35">
      <c r="A96" t="s">
        <v>732</v>
      </c>
      <c r="B96">
        <v>2024</v>
      </c>
      <c r="C96" t="s">
        <v>1293</v>
      </c>
      <c r="D96" t="s">
        <v>187</v>
      </c>
      <c r="F96" t="s">
        <v>189</v>
      </c>
      <c r="H96" t="s">
        <v>727</v>
      </c>
      <c r="I96" t="s">
        <v>259</v>
      </c>
      <c r="J96" t="s">
        <v>260</v>
      </c>
      <c r="K96" t="s">
        <v>22</v>
      </c>
      <c r="L96" t="s">
        <v>23</v>
      </c>
      <c r="M96">
        <v>0.9</v>
      </c>
      <c r="N96">
        <v>900</v>
      </c>
      <c r="P96" t="s">
        <v>188</v>
      </c>
      <c r="Q96" t="s">
        <v>1345</v>
      </c>
    </row>
    <row r="97" spans="1:17" x14ac:dyDescent="0.35">
      <c r="A97" t="s">
        <v>185</v>
      </c>
      <c r="B97">
        <v>2024</v>
      </c>
      <c r="C97" t="s">
        <v>1293</v>
      </c>
      <c r="D97" t="s">
        <v>187</v>
      </c>
      <c r="F97" t="s">
        <v>189</v>
      </c>
      <c r="H97" t="s">
        <v>547</v>
      </c>
      <c r="I97" t="s">
        <v>259</v>
      </c>
      <c r="J97" t="s">
        <v>260</v>
      </c>
      <c r="K97" t="s">
        <v>22</v>
      </c>
      <c r="L97" t="s">
        <v>23</v>
      </c>
      <c r="M97">
        <v>102.4</v>
      </c>
      <c r="N97">
        <v>102400</v>
      </c>
      <c r="P97" t="s">
        <v>188</v>
      </c>
      <c r="Q97" t="s">
        <v>1345</v>
      </c>
    </row>
    <row r="98" spans="1:17" x14ac:dyDescent="0.35">
      <c r="A98" t="s">
        <v>1400</v>
      </c>
      <c r="B98">
        <v>2023</v>
      </c>
      <c r="C98" t="s">
        <v>1293</v>
      </c>
      <c r="D98" t="s">
        <v>187</v>
      </c>
      <c r="F98" t="s">
        <v>189</v>
      </c>
      <c r="H98" t="s">
        <v>547</v>
      </c>
      <c r="I98" t="s">
        <v>50</v>
      </c>
      <c r="K98" t="s">
        <v>22</v>
      </c>
      <c r="L98" t="s">
        <v>1393</v>
      </c>
      <c r="M98">
        <v>72886000.311884001</v>
      </c>
      <c r="N98">
        <v>72886000.311884001</v>
      </c>
      <c r="P98" t="s">
        <v>188</v>
      </c>
      <c r="Q98" t="s">
        <v>1394</v>
      </c>
    </row>
    <row r="99" spans="1:17" x14ac:dyDescent="0.35">
      <c r="A99" t="s">
        <v>1440</v>
      </c>
      <c r="B99">
        <v>2023</v>
      </c>
      <c r="C99" t="s">
        <v>1293</v>
      </c>
      <c r="D99" t="s">
        <v>187</v>
      </c>
      <c r="F99" t="s">
        <v>189</v>
      </c>
      <c r="I99" t="s">
        <v>50</v>
      </c>
      <c r="K99" t="s">
        <v>605</v>
      </c>
      <c r="L99" t="s">
        <v>1434</v>
      </c>
      <c r="M99">
        <v>263100001.12582201</v>
      </c>
      <c r="N99">
        <v>263100001.12582201</v>
      </c>
      <c r="P99" t="s">
        <v>188</v>
      </c>
      <c r="Q99" t="s">
        <v>1394</v>
      </c>
    </row>
    <row r="100" spans="1:17" x14ac:dyDescent="0.35">
      <c r="A100" t="s">
        <v>1401</v>
      </c>
      <c r="B100">
        <v>2023</v>
      </c>
      <c r="C100" t="s">
        <v>1293</v>
      </c>
      <c r="D100" t="s">
        <v>495</v>
      </c>
      <c r="E100" t="s">
        <v>494</v>
      </c>
      <c r="F100" s="14" t="s">
        <v>496</v>
      </c>
      <c r="G100" t="s">
        <v>493</v>
      </c>
      <c r="H100" t="s">
        <v>547</v>
      </c>
      <c r="I100" t="s">
        <v>50</v>
      </c>
      <c r="K100" t="s">
        <v>22</v>
      </c>
      <c r="L100" t="s">
        <v>1393</v>
      </c>
      <c r="M100">
        <v>0</v>
      </c>
      <c r="N100">
        <v>0</v>
      </c>
      <c r="P100" t="s">
        <v>69</v>
      </c>
      <c r="Q100" t="s">
        <v>1394</v>
      </c>
    </row>
    <row r="101" spans="1:17" x14ac:dyDescent="0.35">
      <c r="A101" t="s">
        <v>1441</v>
      </c>
      <c r="B101">
        <v>2023</v>
      </c>
      <c r="C101" t="s">
        <v>1293</v>
      </c>
      <c r="D101" t="s">
        <v>495</v>
      </c>
      <c r="E101" t="s">
        <v>494</v>
      </c>
      <c r="F101" s="14" t="s">
        <v>496</v>
      </c>
      <c r="G101" t="s">
        <v>493</v>
      </c>
      <c r="I101" t="s">
        <v>50</v>
      </c>
      <c r="K101" t="s">
        <v>605</v>
      </c>
      <c r="L101" t="s">
        <v>1434</v>
      </c>
      <c r="M101">
        <v>87879592.968635201</v>
      </c>
      <c r="N101">
        <v>87879592.968635201</v>
      </c>
      <c r="P101" t="s">
        <v>69</v>
      </c>
      <c r="Q101" t="s">
        <v>1394</v>
      </c>
    </row>
    <row r="102" spans="1:17" x14ac:dyDescent="0.35">
      <c r="A102" t="s">
        <v>696</v>
      </c>
      <c r="B102">
        <v>2023</v>
      </c>
      <c r="C102" t="s">
        <v>1293</v>
      </c>
      <c r="E102" t="s">
        <v>192</v>
      </c>
      <c r="F102" t="s">
        <v>193</v>
      </c>
      <c r="G102" t="s">
        <v>194</v>
      </c>
      <c r="H102" t="s">
        <v>116</v>
      </c>
      <c r="I102" t="s">
        <v>259</v>
      </c>
      <c r="J102" t="s">
        <v>1299</v>
      </c>
      <c r="K102" t="s">
        <v>22</v>
      </c>
      <c r="L102" t="s">
        <v>584</v>
      </c>
      <c r="M102">
        <v>260</v>
      </c>
      <c r="N102">
        <v>8.0869099999999996</v>
      </c>
      <c r="P102" t="s">
        <v>61</v>
      </c>
      <c r="Q102" t="s">
        <v>1298</v>
      </c>
    </row>
    <row r="103" spans="1:17" x14ac:dyDescent="0.35">
      <c r="A103" t="s">
        <v>191</v>
      </c>
      <c r="B103">
        <v>2023</v>
      </c>
      <c r="C103" t="s">
        <v>1293</v>
      </c>
      <c r="E103" t="s">
        <v>192</v>
      </c>
      <c r="F103" t="s">
        <v>193</v>
      </c>
      <c r="G103" t="s">
        <v>194</v>
      </c>
      <c r="H103" t="s">
        <v>116</v>
      </c>
      <c r="I103" t="s">
        <v>50</v>
      </c>
      <c r="J103" t="s">
        <v>51</v>
      </c>
      <c r="K103" t="s">
        <v>22</v>
      </c>
      <c r="L103" t="s">
        <v>23</v>
      </c>
      <c r="M103">
        <v>2911</v>
      </c>
      <c r="N103">
        <v>2911000</v>
      </c>
      <c r="P103" t="s">
        <v>61</v>
      </c>
      <c r="Q103" t="s">
        <v>1298</v>
      </c>
    </row>
    <row r="104" spans="1:17" x14ac:dyDescent="0.35">
      <c r="A104" t="s">
        <v>697</v>
      </c>
      <c r="B104">
        <v>2023</v>
      </c>
      <c r="C104" t="s">
        <v>1293</v>
      </c>
      <c r="E104" t="s">
        <v>192</v>
      </c>
      <c r="F104" t="s">
        <v>193</v>
      </c>
      <c r="G104" t="s">
        <v>194</v>
      </c>
      <c r="H104" t="s">
        <v>116</v>
      </c>
      <c r="I104" t="s">
        <v>80</v>
      </c>
      <c r="J104" t="s">
        <v>81</v>
      </c>
      <c r="K104" t="s">
        <v>22</v>
      </c>
      <c r="L104" t="s">
        <v>23</v>
      </c>
      <c r="M104">
        <v>7831</v>
      </c>
      <c r="N104">
        <v>7831000</v>
      </c>
      <c r="O104" t="s">
        <v>698</v>
      </c>
      <c r="P104" t="s">
        <v>61</v>
      </c>
      <c r="Q104" t="s">
        <v>1298</v>
      </c>
    </row>
    <row r="105" spans="1:17" x14ac:dyDescent="0.35">
      <c r="A105" t="s">
        <v>600</v>
      </c>
      <c r="B105">
        <v>2023</v>
      </c>
      <c r="C105" t="s">
        <v>1293</v>
      </c>
      <c r="D105" t="s">
        <v>196</v>
      </c>
      <c r="F105" t="s">
        <v>199</v>
      </c>
      <c r="H105" t="s">
        <v>116</v>
      </c>
      <c r="I105" t="s">
        <v>259</v>
      </c>
      <c r="J105" t="s">
        <v>1299</v>
      </c>
      <c r="K105" t="s">
        <v>22</v>
      </c>
      <c r="L105" t="s">
        <v>580</v>
      </c>
      <c r="M105">
        <v>131400</v>
      </c>
      <c r="N105">
        <v>4.0869999000000004</v>
      </c>
      <c r="P105" t="s">
        <v>197</v>
      </c>
      <c r="Q105" t="s">
        <v>1346</v>
      </c>
    </row>
    <row r="106" spans="1:17" x14ac:dyDescent="0.35">
      <c r="A106" t="s">
        <v>601</v>
      </c>
      <c r="B106">
        <v>2023</v>
      </c>
      <c r="C106" t="s">
        <v>1293</v>
      </c>
      <c r="D106" t="s">
        <v>196</v>
      </c>
      <c r="F106" t="s">
        <v>199</v>
      </c>
      <c r="H106" t="s">
        <v>116</v>
      </c>
      <c r="I106" t="s">
        <v>80</v>
      </c>
      <c r="J106" t="s">
        <v>81</v>
      </c>
      <c r="K106" t="s">
        <v>22</v>
      </c>
      <c r="L106" t="s">
        <v>73</v>
      </c>
      <c r="M106">
        <v>437541</v>
      </c>
      <c r="N106">
        <v>437541</v>
      </c>
      <c r="P106" t="s">
        <v>197</v>
      </c>
      <c r="Q106" t="s">
        <v>1346</v>
      </c>
    </row>
    <row r="107" spans="1:17" x14ac:dyDescent="0.35">
      <c r="A107" t="s">
        <v>195</v>
      </c>
      <c r="B107">
        <v>2023</v>
      </c>
      <c r="C107" t="s">
        <v>1293</v>
      </c>
      <c r="D107" t="s">
        <v>196</v>
      </c>
      <c r="F107" t="s">
        <v>199</v>
      </c>
      <c r="H107" t="s">
        <v>116</v>
      </c>
      <c r="I107" t="s">
        <v>50</v>
      </c>
      <c r="J107" t="s">
        <v>51</v>
      </c>
      <c r="K107" t="s">
        <v>22</v>
      </c>
      <c r="L107" t="s">
        <v>73</v>
      </c>
      <c r="M107">
        <v>439008</v>
      </c>
      <c r="N107">
        <v>439008</v>
      </c>
      <c r="P107" t="s">
        <v>197</v>
      </c>
      <c r="Q107" t="s">
        <v>1346</v>
      </c>
    </row>
    <row r="108" spans="1:17" x14ac:dyDescent="0.35">
      <c r="A108" t="s">
        <v>662</v>
      </c>
      <c r="B108">
        <v>2023</v>
      </c>
      <c r="C108" t="s">
        <v>1293</v>
      </c>
      <c r="D108" t="s">
        <v>497</v>
      </c>
      <c r="F108" t="s">
        <v>498</v>
      </c>
      <c r="H108" t="s">
        <v>36</v>
      </c>
      <c r="I108" t="s">
        <v>20</v>
      </c>
      <c r="J108" t="s">
        <v>637</v>
      </c>
      <c r="K108" t="s">
        <v>605</v>
      </c>
      <c r="L108" t="s">
        <v>638</v>
      </c>
      <c r="M108">
        <v>650</v>
      </c>
      <c r="P108" t="s">
        <v>663</v>
      </c>
      <c r="Q108" t="s">
        <v>1347</v>
      </c>
    </row>
    <row r="109" spans="1:17" x14ac:dyDescent="0.35">
      <c r="A109" t="s">
        <v>1402</v>
      </c>
      <c r="B109">
        <v>2023</v>
      </c>
      <c r="C109" t="s">
        <v>1293</v>
      </c>
      <c r="D109" t="s">
        <v>1403</v>
      </c>
      <c r="F109" t="s">
        <v>1404</v>
      </c>
      <c r="H109" t="s">
        <v>547</v>
      </c>
      <c r="I109" t="s">
        <v>50</v>
      </c>
      <c r="K109" t="s">
        <v>22</v>
      </c>
      <c r="L109" t="s">
        <v>1393</v>
      </c>
      <c r="M109">
        <v>0</v>
      </c>
      <c r="N109">
        <v>0</v>
      </c>
      <c r="P109" t="s">
        <v>285</v>
      </c>
      <c r="Q109" t="s">
        <v>1394</v>
      </c>
    </row>
    <row r="110" spans="1:17" x14ac:dyDescent="0.35">
      <c r="A110" t="s">
        <v>1442</v>
      </c>
      <c r="B110">
        <v>2023</v>
      </c>
      <c r="C110" t="s">
        <v>1293</v>
      </c>
      <c r="D110" t="s">
        <v>1403</v>
      </c>
      <c r="F110" t="s">
        <v>1404</v>
      </c>
      <c r="I110" t="s">
        <v>50</v>
      </c>
      <c r="K110" t="s">
        <v>605</v>
      </c>
      <c r="L110" t="s">
        <v>1434</v>
      </c>
      <c r="M110">
        <v>107381000.45949</v>
      </c>
      <c r="N110">
        <v>107381000.45949</v>
      </c>
      <c r="P110" t="s">
        <v>285</v>
      </c>
      <c r="Q110" t="s">
        <v>1394</v>
      </c>
    </row>
    <row r="111" spans="1:17" x14ac:dyDescent="0.35">
      <c r="A111" t="s">
        <v>658</v>
      </c>
      <c r="B111">
        <v>2023</v>
      </c>
      <c r="C111" t="s">
        <v>1293</v>
      </c>
      <c r="D111" t="s">
        <v>201</v>
      </c>
      <c r="F111" t="s">
        <v>203</v>
      </c>
      <c r="H111" t="s">
        <v>583</v>
      </c>
      <c r="I111" t="s">
        <v>259</v>
      </c>
      <c r="J111" t="s">
        <v>1299</v>
      </c>
      <c r="K111" t="s">
        <v>22</v>
      </c>
      <c r="L111" t="s">
        <v>580</v>
      </c>
      <c r="M111">
        <v>1502577</v>
      </c>
      <c r="N111">
        <v>46.735403719499999</v>
      </c>
      <c r="O111" t="s">
        <v>659</v>
      </c>
      <c r="P111" t="s">
        <v>89</v>
      </c>
      <c r="Q111" t="s">
        <v>1348</v>
      </c>
    </row>
    <row r="112" spans="1:17" x14ac:dyDescent="0.35">
      <c r="A112" t="s">
        <v>200</v>
      </c>
      <c r="B112">
        <v>2024</v>
      </c>
      <c r="C112" t="s">
        <v>1293</v>
      </c>
      <c r="D112" t="s">
        <v>201</v>
      </c>
      <c r="F112" t="s">
        <v>203</v>
      </c>
      <c r="H112" t="s">
        <v>59</v>
      </c>
      <c r="I112" t="s">
        <v>50</v>
      </c>
      <c r="J112" t="s">
        <v>86</v>
      </c>
      <c r="K112" t="s">
        <v>22</v>
      </c>
      <c r="L112" t="s">
        <v>73</v>
      </c>
      <c r="M112">
        <v>127307</v>
      </c>
      <c r="N112">
        <v>127307</v>
      </c>
      <c r="P112" t="s">
        <v>89</v>
      </c>
      <c r="Q112" t="s">
        <v>1349</v>
      </c>
    </row>
    <row r="113" spans="1:17" x14ac:dyDescent="0.35">
      <c r="A113" t="s">
        <v>660</v>
      </c>
      <c r="B113">
        <v>2023</v>
      </c>
      <c r="C113" t="s">
        <v>1293</v>
      </c>
      <c r="D113" t="s">
        <v>201</v>
      </c>
      <c r="F113" t="s">
        <v>203</v>
      </c>
      <c r="H113" t="s">
        <v>639</v>
      </c>
      <c r="I113" t="s">
        <v>259</v>
      </c>
      <c r="J113" t="s">
        <v>260</v>
      </c>
      <c r="K113" t="s">
        <v>22</v>
      </c>
      <c r="L113" t="s">
        <v>73</v>
      </c>
      <c r="M113">
        <v>1225</v>
      </c>
      <c r="N113">
        <v>1225</v>
      </c>
      <c r="O113" t="s">
        <v>659</v>
      </c>
      <c r="P113" t="s">
        <v>89</v>
      </c>
      <c r="Q113" t="s">
        <v>1348</v>
      </c>
    </row>
    <row r="114" spans="1:17" x14ac:dyDescent="0.35">
      <c r="A114" t="s">
        <v>661</v>
      </c>
      <c r="B114">
        <v>2023</v>
      </c>
      <c r="C114" t="s">
        <v>1293</v>
      </c>
      <c r="D114" t="s">
        <v>201</v>
      </c>
      <c r="F114" t="s">
        <v>203</v>
      </c>
      <c r="H114" t="s">
        <v>409</v>
      </c>
      <c r="I114" t="s">
        <v>259</v>
      </c>
      <c r="J114" t="s">
        <v>260</v>
      </c>
      <c r="K114" t="s">
        <v>22</v>
      </c>
      <c r="L114" t="s">
        <v>73</v>
      </c>
      <c r="M114">
        <v>1339</v>
      </c>
      <c r="N114">
        <v>1339</v>
      </c>
      <c r="O114" t="s">
        <v>659</v>
      </c>
      <c r="P114" t="s">
        <v>89</v>
      </c>
      <c r="Q114" t="s">
        <v>1348</v>
      </c>
    </row>
    <row r="115" spans="1:17" x14ac:dyDescent="0.35">
      <c r="A115" t="s">
        <v>641</v>
      </c>
      <c r="B115">
        <v>2023</v>
      </c>
      <c r="C115" t="s">
        <v>1293</v>
      </c>
      <c r="D115" t="s">
        <v>206</v>
      </c>
      <c r="F115" t="s">
        <v>207</v>
      </c>
      <c r="H115" t="s">
        <v>547</v>
      </c>
      <c r="I115" t="s">
        <v>259</v>
      </c>
      <c r="J115" t="s">
        <v>260</v>
      </c>
      <c r="K115" t="s">
        <v>22</v>
      </c>
      <c r="L115" t="s">
        <v>23</v>
      </c>
      <c r="M115">
        <v>22.6</v>
      </c>
      <c r="N115">
        <v>22600</v>
      </c>
      <c r="P115" t="s">
        <v>69</v>
      </c>
      <c r="Q115" t="s">
        <v>1351</v>
      </c>
    </row>
    <row r="116" spans="1:17" x14ac:dyDescent="0.35">
      <c r="A116" t="s">
        <v>642</v>
      </c>
      <c r="B116">
        <v>2023</v>
      </c>
      <c r="C116" t="s">
        <v>1293</v>
      </c>
      <c r="D116" t="s">
        <v>206</v>
      </c>
      <c r="F116" t="s">
        <v>207</v>
      </c>
      <c r="H116" t="s">
        <v>409</v>
      </c>
      <c r="I116" t="s">
        <v>259</v>
      </c>
      <c r="J116" t="s">
        <v>260</v>
      </c>
      <c r="K116" t="s">
        <v>22</v>
      </c>
      <c r="L116" t="s">
        <v>23</v>
      </c>
      <c r="M116">
        <v>38.6</v>
      </c>
      <c r="N116">
        <v>38600</v>
      </c>
      <c r="P116" t="s">
        <v>69</v>
      </c>
      <c r="Q116" t="s">
        <v>1351</v>
      </c>
    </row>
    <row r="117" spans="1:17" x14ac:dyDescent="0.35">
      <c r="A117" t="s">
        <v>643</v>
      </c>
      <c r="B117">
        <v>2023</v>
      </c>
      <c r="C117" t="s">
        <v>1293</v>
      </c>
      <c r="D117" t="s">
        <v>206</v>
      </c>
      <c r="F117" t="s">
        <v>207</v>
      </c>
      <c r="H117" t="s">
        <v>583</v>
      </c>
      <c r="I117" t="s">
        <v>259</v>
      </c>
      <c r="J117" t="s">
        <v>1299</v>
      </c>
      <c r="K117" t="s">
        <v>22</v>
      </c>
      <c r="L117" t="s">
        <v>584</v>
      </c>
      <c r="M117">
        <v>1378</v>
      </c>
      <c r="N117">
        <v>42.860622999999997</v>
      </c>
      <c r="P117" t="s">
        <v>69</v>
      </c>
      <c r="Q117" t="s">
        <v>1351</v>
      </c>
    </row>
    <row r="118" spans="1:17" x14ac:dyDescent="0.35">
      <c r="A118" t="s">
        <v>205</v>
      </c>
      <c r="B118">
        <v>2023</v>
      </c>
      <c r="C118" t="s">
        <v>1293</v>
      </c>
      <c r="D118" t="s">
        <v>206</v>
      </c>
      <c r="F118" t="s">
        <v>207</v>
      </c>
      <c r="H118" t="s">
        <v>59</v>
      </c>
      <c r="I118" t="s">
        <v>50</v>
      </c>
      <c r="J118" t="s">
        <v>51</v>
      </c>
      <c r="K118" t="s">
        <v>22</v>
      </c>
      <c r="L118" t="s">
        <v>73</v>
      </c>
      <c r="M118">
        <v>1340000</v>
      </c>
      <c r="N118">
        <v>1340000</v>
      </c>
      <c r="P118" t="s">
        <v>69</v>
      </c>
      <c r="Q118" t="s">
        <v>1352</v>
      </c>
    </row>
    <row r="119" spans="1:17" x14ac:dyDescent="0.35">
      <c r="A119" t="s">
        <v>1429</v>
      </c>
      <c r="B119">
        <v>2023</v>
      </c>
      <c r="C119" t="s">
        <v>1293</v>
      </c>
      <c r="D119" t="s">
        <v>206</v>
      </c>
      <c r="F119" t="s">
        <v>207</v>
      </c>
      <c r="H119" t="s">
        <v>547</v>
      </c>
      <c r="I119" t="s">
        <v>50</v>
      </c>
      <c r="K119" t="s">
        <v>22</v>
      </c>
      <c r="L119" t="s">
        <v>1393</v>
      </c>
      <c r="M119">
        <v>1350000.0057767299</v>
      </c>
      <c r="N119">
        <v>1350000.0057767299</v>
      </c>
      <c r="P119" t="s">
        <v>69</v>
      </c>
      <c r="Q119" t="s">
        <v>1394</v>
      </c>
    </row>
    <row r="120" spans="1:17" x14ac:dyDescent="0.35">
      <c r="A120" t="s">
        <v>1459</v>
      </c>
      <c r="B120">
        <v>2023</v>
      </c>
      <c r="C120" t="s">
        <v>1293</v>
      </c>
      <c r="D120" t="s">
        <v>206</v>
      </c>
      <c r="F120" t="s">
        <v>207</v>
      </c>
      <c r="I120" t="s">
        <v>50</v>
      </c>
      <c r="K120" t="s">
        <v>605</v>
      </c>
      <c r="L120" t="s">
        <v>1434</v>
      </c>
      <c r="M120">
        <v>2500000.01069766</v>
      </c>
      <c r="N120">
        <v>2500000.01069766</v>
      </c>
      <c r="P120" t="s">
        <v>69</v>
      </c>
      <c r="Q120" t="s">
        <v>1394</v>
      </c>
    </row>
    <row r="121" spans="1:17" x14ac:dyDescent="0.35">
      <c r="A121" t="s">
        <v>740</v>
      </c>
      <c r="B121">
        <v>2023</v>
      </c>
      <c r="C121" t="s">
        <v>1293</v>
      </c>
      <c r="D121" t="s">
        <v>210</v>
      </c>
      <c r="F121" t="s">
        <v>211</v>
      </c>
      <c r="H121" t="s">
        <v>116</v>
      </c>
      <c r="I121" t="s">
        <v>259</v>
      </c>
      <c r="J121" t="s">
        <v>1299</v>
      </c>
      <c r="K121" t="s">
        <v>22</v>
      </c>
      <c r="L121" t="s">
        <v>580</v>
      </c>
      <c r="M121">
        <v>35537</v>
      </c>
      <c r="N121">
        <v>1.1053250795</v>
      </c>
      <c r="O121" t="s">
        <v>739</v>
      </c>
      <c r="P121" t="s">
        <v>127</v>
      </c>
      <c r="Q121" t="s">
        <v>1325</v>
      </c>
    </row>
    <row r="122" spans="1:17" x14ac:dyDescent="0.35">
      <c r="A122" t="s">
        <v>209</v>
      </c>
      <c r="B122">
        <v>2023</v>
      </c>
      <c r="C122" t="s">
        <v>1293</v>
      </c>
      <c r="D122" t="s">
        <v>210</v>
      </c>
      <c r="F122" t="s">
        <v>211</v>
      </c>
      <c r="H122" t="s">
        <v>116</v>
      </c>
      <c r="I122" t="s">
        <v>50</v>
      </c>
      <c r="J122" t="s">
        <v>108</v>
      </c>
      <c r="K122" t="s">
        <v>22</v>
      </c>
      <c r="L122" t="s">
        <v>73</v>
      </c>
      <c r="M122">
        <v>191148</v>
      </c>
      <c r="N122">
        <v>191148</v>
      </c>
      <c r="P122" t="s">
        <v>127</v>
      </c>
      <c r="Q122" t="s">
        <v>1325</v>
      </c>
    </row>
    <row r="123" spans="1:17" x14ac:dyDescent="0.35">
      <c r="A123" t="s">
        <v>1353</v>
      </c>
      <c r="B123">
        <v>2023</v>
      </c>
      <c r="C123" t="s">
        <v>1293</v>
      </c>
      <c r="D123" t="s">
        <v>210</v>
      </c>
      <c r="F123" t="s">
        <v>211</v>
      </c>
      <c r="H123" t="s">
        <v>583</v>
      </c>
      <c r="I123" t="s">
        <v>259</v>
      </c>
      <c r="J123" t="s">
        <v>1299</v>
      </c>
      <c r="K123" t="s">
        <v>22</v>
      </c>
      <c r="L123" t="s">
        <v>580</v>
      </c>
      <c r="M123">
        <v>2908</v>
      </c>
      <c r="N123">
        <v>9.0448977999999999E-2</v>
      </c>
      <c r="P123" t="s">
        <v>127</v>
      </c>
      <c r="Q123" t="s">
        <v>1329</v>
      </c>
    </row>
    <row r="124" spans="1:17" x14ac:dyDescent="0.35">
      <c r="A124" t="s">
        <v>714</v>
      </c>
      <c r="B124">
        <v>2023</v>
      </c>
      <c r="C124" t="s">
        <v>1293</v>
      </c>
      <c r="D124" t="s">
        <v>213</v>
      </c>
      <c r="F124" t="s">
        <v>214</v>
      </c>
      <c r="H124" t="s">
        <v>19</v>
      </c>
      <c r="I124" t="s">
        <v>20</v>
      </c>
      <c r="J124" t="s">
        <v>21</v>
      </c>
      <c r="K124" t="s">
        <v>605</v>
      </c>
      <c r="L124" t="s">
        <v>73</v>
      </c>
      <c r="M124">
        <v>432000</v>
      </c>
      <c r="P124" t="s">
        <v>26</v>
      </c>
      <c r="Q124" t="s">
        <v>1294</v>
      </c>
    </row>
    <row r="125" spans="1:17" x14ac:dyDescent="0.35">
      <c r="A125" t="s">
        <v>212</v>
      </c>
      <c r="B125">
        <v>2023</v>
      </c>
      <c r="C125" t="s">
        <v>1293</v>
      </c>
      <c r="D125" t="s">
        <v>213</v>
      </c>
      <c r="F125" t="s">
        <v>214</v>
      </c>
      <c r="H125" t="s">
        <v>19</v>
      </c>
      <c r="I125" t="s">
        <v>20</v>
      </c>
      <c r="J125" t="s">
        <v>21</v>
      </c>
      <c r="K125" t="s">
        <v>22</v>
      </c>
      <c r="L125" t="s">
        <v>23</v>
      </c>
      <c r="M125">
        <v>377.27207800000002</v>
      </c>
      <c r="N125">
        <v>377272.07799999998</v>
      </c>
      <c r="P125" t="s">
        <v>26</v>
      </c>
      <c r="Q125" t="s">
        <v>1295</v>
      </c>
    </row>
    <row r="126" spans="1:17" x14ac:dyDescent="0.35">
      <c r="A126" t="s">
        <v>215</v>
      </c>
      <c r="B126">
        <v>2023</v>
      </c>
      <c r="C126" t="s">
        <v>1293</v>
      </c>
      <c r="D126" t="s">
        <v>216</v>
      </c>
      <c r="F126" t="s">
        <v>219</v>
      </c>
      <c r="H126" t="s">
        <v>59</v>
      </c>
      <c r="I126" t="s">
        <v>50</v>
      </c>
      <c r="J126" t="s">
        <v>108</v>
      </c>
      <c r="K126" t="s">
        <v>22</v>
      </c>
      <c r="L126" t="s">
        <v>73</v>
      </c>
      <c r="M126">
        <v>3798000</v>
      </c>
      <c r="N126">
        <v>3798000</v>
      </c>
      <c r="P126" t="s">
        <v>217</v>
      </c>
      <c r="Q126" t="s">
        <v>1186</v>
      </c>
    </row>
    <row r="127" spans="1:17" x14ac:dyDescent="0.35">
      <c r="A127" t="s">
        <v>676</v>
      </c>
      <c r="B127">
        <v>2023</v>
      </c>
      <c r="C127" t="s">
        <v>1293</v>
      </c>
      <c r="D127" t="s">
        <v>216</v>
      </c>
      <c r="F127" t="s">
        <v>219</v>
      </c>
      <c r="H127" t="s">
        <v>116</v>
      </c>
      <c r="I127" t="s">
        <v>259</v>
      </c>
      <c r="J127" t="s">
        <v>1299</v>
      </c>
      <c r="K127" t="s">
        <v>22</v>
      </c>
      <c r="L127" t="s">
        <v>580</v>
      </c>
      <c r="M127">
        <v>19100</v>
      </c>
      <c r="N127">
        <v>0.59407684999999999</v>
      </c>
      <c r="O127" t="s">
        <v>1354</v>
      </c>
      <c r="P127" t="s">
        <v>217</v>
      </c>
      <c r="Q127" t="s">
        <v>1186</v>
      </c>
    </row>
    <row r="128" spans="1:17" x14ac:dyDescent="0.35">
      <c r="A128" t="s">
        <v>1355</v>
      </c>
      <c r="B128">
        <v>2023</v>
      </c>
      <c r="C128" t="s">
        <v>1293</v>
      </c>
      <c r="D128" t="s">
        <v>216</v>
      </c>
      <c r="F128" t="s">
        <v>219</v>
      </c>
      <c r="H128" t="s">
        <v>829</v>
      </c>
      <c r="I128" t="s">
        <v>259</v>
      </c>
      <c r="J128" t="s">
        <v>1299</v>
      </c>
      <c r="K128" t="s">
        <v>22</v>
      </c>
      <c r="L128" t="s">
        <v>580</v>
      </c>
      <c r="M128">
        <v>25000</v>
      </c>
      <c r="N128">
        <v>0.77758749999999999</v>
      </c>
      <c r="O128" t="s">
        <v>1354</v>
      </c>
      <c r="P128" t="s">
        <v>217</v>
      </c>
      <c r="Q128" t="s">
        <v>1186</v>
      </c>
    </row>
    <row r="129" spans="1:17" x14ac:dyDescent="0.35">
      <c r="A129" t="s">
        <v>1356</v>
      </c>
      <c r="B129">
        <v>2023</v>
      </c>
      <c r="C129" t="s">
        <v>1293</v>
      </c>
      <c r="D129" t="s">
        <v>216</v>
      </c>
      <c r="F129" t="s">
        <v>219</v>
      </c>
      <c r="H129" t="s">
        <v>831</v>
      </c>
      <c r="I129" t="s">
        <v>259</v>
      </c>
      <c r="J129" t="s">
        <v>1299</v>
      </c>
      <c r="K129" t="s">
        <v>22</v>
      </c>
      <c r="L129" t="s">
        <v>580</v>
      </c>
      <c r="M129">
        <v>21800</v>
      </c>
      <c r="N129">
        <v>0.67805629999999995</v>
      </c>
      <c r="O129" t="s">
        <v>1354</v>
      </c>
      <c r="P129" t="s">
        <v>217</v>
      </c>
      <c r="Q129" t="s">
        <v>1186</v>
      </c>
    </row>
    <row r="130" spans="1:17" x14ac:dyDescent="0.35">
      <c r="A130" t="s">
        <v>1430</v>
      </c>
      <c r="B130">
        <v>2023</v>
      </c>
      <c r="C130" t="s">
        <v>1293</v>
      </c>
      <c r="D130" t="s">
        <v>216</v>
      </c>
      <c r="F130" t="s">
        <v>219</v>
      </c>
      <c r="H130" t="s">
        <v>547</v>
      </c>
      <c r="I130" t="s">
        <v>50</v>
      </c>
      <c r="K130" t="s">
        <v>22</v>
      </c>
      <c r="L130" t="s">
        <v>1393</v>
      </c>
      <c r="M130">
        <v>3798000.01625189</v>
      </c>
      <c r="N130">
        <v>3798000.01625189</v>
      </c>
      <c r="P130" t="s">
        <v>217</v>
      </c>
      <c r="Q130" t="s">
        <v>1394</v>
      </c>
    </row>
    <row r="131" spans="1:17" x14ac:dyDescent="0.35">
      <c r="A131" t="s">
        <v>1460</v>
      </c>
      <c r="B131">
        <v>2023</v>
      </c>
      <c r="C131" t="s">
        <v>1293</v>
      </c>
      <c r="D131" t="s">
        <v>216</v>
      </c>
      <c r="F131" t="s">
        <v>219</v>
      </c>
      <c r="I131" t="s">
        <v>50</v>
      </c>
      <c r="K131" t="s">
        <v>605</v>
      </c>
      <c r="L131" t="s">
        <v>1434</v>
      </c>
      <c r="M131">
        <v>22000000.094139401</v>
      </c>
      <c r="N131">
        <v>22000000.094139401</v>
      </c>
      <c r="P131" t="s">
        <v>217</v>
      </c>
      <c r="Q131" t="s">
        <v>1394</v>
      </c>
    </row>
    <row r="132" spans="1:17" x14ac:dyDescent="0.35">
      <c r="A132" t="s">
        <v>221</v>
      </c>
      <c r="B132">
        <v>2023</v>
      </c>
      <c r="C132" t="s">
        <v>1293</v>
      </c>
      <c r="D132" t="s">
        <v>222</v>
      </c>
      <c r="E132" t="s">
        <v>223</v>
      </c>
      <c r="F132" t="s">
        <v>224</v>
      </c>
      <c r="G132" t="s">
        <v>225</v>
      </c>
      <c r="H132" t="s">
        <v>59</v>
      </c>
      <c r="I132" t="s">
        <v>80</v>
      </c>
      <c r="J132" t="s">
        <v>81</v>
      </c>
      <c r="K132" t="s">
        <v>22</v>
      </c>
      <c r="L132" t="s">
        <v>73</v>
      </c>
      <c r="M132">
        <v>1526729</v>
      </c>
      <c r="N132">
        <v>1526729</v>
      </c>
      <c r="P132" t="s">
        <v>111</v>
      </c>
      <c r="Q132" t="s">
        <v>1317</v>
      </c>
    </row>
    <row r="133" spans="1:17" x14ac:dyDescent="0.35">
      <c r="A133" t="s">
        <v>1405</v>
      </c>
      <c r="B133">
        <v>2023</v>
      </c>
      <c r="C133" t="s">
        <v>1293</v>
      </c>
      <c r="D133" t="s">
        <v>222</v>
      </c>
      <c r="E133" t="s">
        <v>223</v>
      </c>
      <c r="F133" t="s">
        <v>224</v>
      </c>
      <c r="G133" t="s">
        <v>225</v>
      </c>
      <c r="H133" t="s">
        <v>547</v>
      </c>
      <c r="I133" t="s">
        <v>50</v>
      </c>
      <c r="K133" t="s">
        <v>22</v>
      </c>
      <c r="L133" t="s">
        <v>1393</v>
      </c>
      <c r="M133">
        <v>1526729.0065329699</v>
      </c>
      <c r="N133">
        <v>1526729.0065329699</v>
      </c>
      <c r="P133" t="s">
        <v>111</v>
      </c>
      <c r="Q133" t="s">
        <v>1394</v>
      </c>
    </row>
    <row r="134" spans="1:17" x14ac:dyDescent="0.35">
      <c r="A134" t="s">
        <v>1443</v>
      </c>
      <c r="B134">
        <v>2023</v>
      </c>
      <c r="C134" t="s">
        <v>1293</v>
      </c>
      <c r="D134" t="s">
        <v>222</v>
      </c>
      <c r="E134" t="s">
        <v>223</v>
      </c>
      <c r="F134" t="s">
        <v>224</v>
      </c>
      <c r="G134" t="s">
        <v>225</v>
      </c>
      <c r="I134" t="s">
        <v>50</v>
      </c>
      <c r="K134" t="s">
        <v>605</v>
      </c>
      <c r="L134" t="s">
        <v>1434</v>
      </c>
      <c r="M134">
        <v>13570000.058066901</v>
      </c>
      <c r="N134">
        <v>13570000.058066901</v>
      </c>
      <c r="P134" t="s">
        <v>111</v>
      </c>
      <c r="Q134" t="s">
        <v>1394</v>
      </c>
    </row>
    <row r="135" spans="1:17" x14ac:dyDescent="0.35">
      <c r="A135" t="s">
        <v>631</v>
      </c>
      <c r="B135">
        <v>2023</v>
      </c>
      <c r="C135" t="s">
        <v>1293</v>
      </c>
      <c r="D135" t="s">
        <v>228</v>
      </c>
      <c r="F135" t="s">
        <v>231</v>
      </c>
      <c r="H135" t="s">
        <v>116</v>
      </c>
      <c r="I135" t="s">
        <v>259</v>
      </c>
      <c r="J135" t="s">
        <v>1299</v>
      </c>
      <c r="K135" t="s">
        <v>22</v>
      </c>
      <c r="L135" t="s">
        <v>580</v>
      </c>
      <c r="M135">
        <v>177069</v>
      </c>
      <c r="N135">
        <v>5.5074656414999996</v>
      </c>
      <c r="P135" t="s">
        <v>229</v>
      </c>
      <c r="Q135" t="s">
        <v>1357</v>
      </c>
    </row>
    <row r="136" spans="1:17" x14ac:dyDescent="0.35">
      <c r="A136" t="s">
        <v>227</v>
      </c>
      <c r="B136">
        <v>2023</v>
      </c>
      <c r="C136" t="s">
        <v>1293</v>
      </c>
      <c r="D136" t="s">
        <v>228</v>
      </c>
      <c r="F136" t="s">
        <v>231</v>
      </c>
      <c r="H136" t="s">
        <v>116</v>
      </c>
      <c r="I136" t="s">
        <v>50</v>
      </c>
      <c r="J136" t="s">
        <v>108</v>
      </c>
      <c r="K136" t="s">
        <v>22</v>
      </c>
      <c r="L136" t="s">
        <v>73</v>
      </c>
      <c r="M136">
        <v>838419</v>
      </c>
      <c r="N136">
        <v>838419</v>
      </c>
      <c r="P136" t="s">
        <v>229</v>
      </c>
      <c r="Q136" t="s">
        <v>1357</v>
      </c>
    </row>
    <row r="137" spans="1:17" x14ac:dyDescent="0.35">
      <c r="A137" t="s">
        <v>1358</v>
      </c>
      <c r="B137">
        <v>2023</v>
      </c>
      <c r="C137" t="s">
        <v>1293</v>
      </c>
      <c r="D137" t="s">
        <v>228</v>
      </c>
      <c r="F137" t="s">
        <v>231</v>
      </c>
      <c r="H137" t="s">
        <v>583</v>
      </c>
      <c r="I137" t="s">
        <v>259</v>
      </c>
      <c r="J137" t="s">
        <v>1299</v>
      </c>
      <c r="K137" t="s">
        <v>22</v>
      </c>
      <c r="L137" t="s">
        <v>580</v>
      </c>
      <c r="M137">
        <v>72876</v>
      </c>
      <c r="N137">
        <v>2.2666986659999999</v>
      </c>
      <c r="P137" t="s">
        <v>229</v>
      </c>
      <c r="Q137" t="s">
        <v>1329</v>
      </c>
    </row>
    <row r="138" spans="1:17" x14ac:dyDescent="0.35">
      <c r="A138" t="s">
        <v>591</v>
      </c>
      <c r="B138">
        <v>2023</v>
      </c>
      <c r="C138" t="s">
        <v>1293</v>
      </c>
      <c r="D138" t="s">
        <v>233</v>
      </c>
      <c r="F138" t="s">
        <v>234</v>
      </c>
      <c r="H138" t="s">
        <v>409</v>
      </c>
      <c r="I138" t="s">
        <v>259</v>
      </c>
      <c r="J138" t="s">
        <v>260</v>
      </c>
      <c r="K138" t="s">
        <v>22</v>
      </c>
      <c r="L138" t="s">
        <v>73</v>
      </c>
      <c r="M138">
        <v>7702.4385169999996</v>
      </c>
      <c r="N138">
        <v>7702.4385169999996</v>
      </c>
      <c r="O138" t="s">
        <v>1359</v>
      </c>
      <c r="P138" t="s">
        <v>75</v>
      </c>
      <c r="Q138" t="s">
        <v>1301</v>
      </c>
    </row>
    <row r="139" spans="1:17" x14ac:dyDescent="0.35">
      <c r="A139" t="s">
        <v>592</v>
      </c>
      <c r="B139">
        <v>2023</v>
      </c>
      <c r="C139" t="s">
        <v>1293</v>
      </c>
      <c r="D139" t="s">
        <v>233</v>
      </c>
      <c r="F139" t="s">
        <v>234</v>
      </c>
      <c r="H139" t="s">
        <v>547</v>
      </c>
      <c r="I139" t="s">
        <v>259</v>
      </c>
      <c r="J139" t="s">
        <v>260</v>
      </c>
      <c r="K139" t="s">
        <v>22</v>
      </c>
      <c r="L139" t="s">
        <v>73</v>
      </c>
      <c r="M139">
        <v>2577.9603750000001</v>
      </c>
      <c r="N139">
        <v>2577.9603750000001</v>
      </c>
      <c r="O139" t="s">
        <v>1359</v>
      </c>
      <c r="P139" t="s">
        <v>75</v>
      </c>
      <c r="Q139" t="s">
        <v>1301</v>
      </c>
    </row>
    <row r="140" spans="1:17" x14ac:dyDescent="0.35">
      <c r="A140" t="s">
        <v>232</v>
      </c>
      <c r="B140">
        <v>2023</v>
      </c>
      <c r="C140" t="s">
        <v>1293</v>
      </c>
      <c r="D140" t="s">
        <v>233</v>
      </c>
      <c r="F140" t="s">
        <v>234</v>
      </c>
      <c r="H140" t="s">
        <v>116</v>
      </c>
      <c r="I140" t="s">
        <v>259</v>
      </c>
      <c r="J140" t="s">
        <v>1299</v>
      </c>
      <c r="K140" t="s">
        <v>22</v>
      </c>
      <c r="L140" t="s">
        <v>580</v>
      </c>
      <c r="M140">
        <v>235991</v>
      </c>
      <c r="N140">
        <v>7.3401460684999904</v>
      </c>
      <c r="O140" t="s">
        <v>1359</v>
      </c>
      <c r="P140" t="s">
        <v>75</v>
      </c>
      <c r="Q140" t="s">
        <v>1301</v>
      </c>
    </row>
    <row r="141" spans="1:17" x14ac:dyDescent="0.35">
      <c r="A141" t="s">
        <v>593</v>
      </c>
      <c r="B141">
        <v>2023</v>
      </c>
      <c r="C141" t="s">
        <v>1293</v>
      </c>
      <c r="D141" t="s">
        <v>233</v>
      </c>
      <c r="F141" t="s">
        <v>234</v>
      </c>
      <c r="H141" t="s">
        <v>59</v>
      </c>
      <c r="I141" t="s">
        <v>50</v>
      </c>
      <c r="J141" t="s">
        <v>51</v>
      </c>
      <c r="K141" t="s">
        <v>22</v>
      </c>
      <c r="L141" t="s">
        <v>23</v>
      </c>
      <c r="M141">
        <v>1501.5</v>
      </c>
      <c r="N141">
        <v>1501500</v>
      </c>
      <c r="O141" t="s">
        <v>1359</v>
      </c>
      <c r="P141" t="s">
        <v>75</v>
      </c>
      <c r="Q141" t="s">
        <v>1301</v>
      </c>
    </row>
    <row r="142" spans="1:17" x14ac:dyDescent="0.35">
      <c r="A142" t="s">
        <v>594</v>
      </c>
      <c r="B142">
        <v>2023</v>
      </c>
      <c r="C142" t="s">
        <v>1293</v>
      </c>
      <c r="D142" t="s">
        <v>233</v>
      </c>
      <c r="F142" t="s">
        <v>234</v>
      </c>
      <c r="H142" t="s">
        <v>583</v>
      </c>
      <c r="I142" t="s">
        <v>259</v>
      </c>
      <c r="J142" t="s">
        <v>1299</v>
      </c>
      <c r="K142" t="s">
        <v>22</v>
      </c>
      <c r="L142" t="s">
        <v>584</v>
      </c>
      <c r="M142">
        <v>575</v>
      </c>
      <c r="N142">
        <v>17.8845125</v>
      </c>
      <c r="O142" t="s">
        <v>1359</v>
      </c>
      <c r="P142" t="s">
        <v>75</v>
      </c>
      <c r="Q142" t="s">
        <v>1301</v>
      </c>
    </row>
    <row r="143" spans="1:17" x14ac:dyDescent="0.35">
      <c r="A143" t="s">
        <v>1406</v>
      </c>
      <c r="B143">
        <v>2023</v>
      </c>
      <c r="C143" t="s">
        <v>1293</v>
      </c>
      <c r="D143" t="s">
        <v>233</v>
      </c>
      <c r="F143" t="s">
        <v>234</v>
      </c>
      <c r="H143" t="s">
        <v>547</v>
      </c>
      <c r="I143" t="s">
        <v>50</v>
      </c>
      <c r="K143" t="s">
        <v>22</v>
      </c>
      <c r="L143" t="s">
        <v>1393</v>
      </c>
      <c r="M143">
        <v>1501481.0064249299</v>
      </c>
      <c r="N143">
        <v>1501481.0064249299</v>
      </c>
      <c r="P143" t="s">
        <v>75</v>
      </c>
      <c r="Q143" t="s">
        <v>1394</v>
      </c>
    </row>
    <row r="144" spans="1:17" x14ac:dyDescent="0.35">
      <c r="A144" t="s">
        <v>1444</v>
      </c>
      <c r="B144">
        <v>2023</v>
      </c>
      <c r="C144" t="s">
        <v>1293</v>
      </c>
      <c r="D144" t="s">
        <v>233</v>
      </c>
      <c r="F144" t="s">
        <v>234</v>
      </c>
      <c r="I144" t="s">
        <v>50</v>
      </c>
      <c r="K144" t="s">
        <v>605</v>
      </c>
      <c r="L144" t="s">
        <v>1434</v>
      </c>
      <c r="M144">
        <v>19882000.085076299</v>
      </c>
      <c r="N144">
        <v>19882000.085076299</v>
      </c>
      <c r="P144" t="s">
        <v>75</v>
      </c>
      <c r="Q144" t="s">
        <v>1394</v>
      </c>
    </row>
    <row r="145" spans="1:17" x14ac:dyDescent="0.35">
      <c r="A145" t="s">
        <v>715</v>
      </c>
      <c r="B145">
        <v>2023</v>
      </c>
      <c r="C145" t="s">
        <v>1293</v>
      </c>
      <c r="D145" t="s">
        <v>237</v>
      </c>
      <c r="E145" t="s">
        <v>25</v>
      </c>
      <c r="F145" t="s">
        <v>238</v>
      </c>
      <c r="G145" t="s">
        <v>28</v>
      </c>
      <c r="H145" t="s">
        <v>19</v>
      </c>
      <c r="I145" t="s">
        <v>20</v>
      </c>
      <c r="J145" t="s">
        <v>21</v>
      </c>
      <c r="K145" t="s">
        <v>605</v>
      </c>
      <c r="L145" t="s">
        <v>73</v>
      </c>
      <c r="M145">
        <v>257000</v>
      </c>
      <c r="P145" t="s">
        <v>26</v>
      </c>
      <c r="Q145" t="s">
        <v>1294</v>
      </c>
    </row>
    <row r="146" spans="1:17" x14ac:dyDescent="0.35">
      <c r="A146" t="s">
        <v>236</v>
      </c>
      <c r="B146">
        <v>2023</v>
      </c>
      <c r="C146" t="s">
        <v>1293</v>
      </c>
      <c r="D146" t="s">
        <v>237</v>
      </c>
      <c r="E146" t="s">
        <v>25</v>
      </c>
      <c r="F146" t="s">
        <v>238</v>
      </c>
      <c r="G146" t="s">
        <v>28</v>
      </c>
      <c r="H146" t="s">
        <v>19</v>
      </c>
      <c r="I146" t="s">
        <v>20</v>
      </c>
      <c r="J146" t="s">
        <v>21</v>
      </c>
      <c r="K146" t="s">
        <v>22</v>
      </c>
      <c r="L146" t="s">
        <v>23</v>
      </c>
      <c r="M146">
        <v>243.851812</v>
      </c>
      <c r="N146">
        <v>243851.81200000001</v>
      </c>
      <c r="P146" t="s">
        <v>26</v>
      </c>
      <c r="Q146" t="s">
        <v>1295</v>
      </c>
    </row>
    <row r="147" spans="1:17" x14ac:dyDescent="0.35">
      <c r="A147" t="s">
        <v>1360</v>
      </c>
      <c r="B147">
        <v>2023</v>
      </c>
      <c r="C147" t="s">
        <v>1293</v>
      </c>
      <c r="D147" t="s">
        <v>535</v>
      </c>
      <c r="F147" t="s">
        <v>536</v>
      </c>
      <c r="H147" t="s">
        <v>327</v>
      </c>
      <c r="I147" t="s">
        <v>37</v>
      </c>
      <c r="J147" t="s">
        <v>67</v>
      </c>
      <c r="K147" t="s">
        <v>22</v>
      </c>
      <c r="L147" t="s">
        <v>23</v>
      </c>
      <c r="M147">
        <v>27.7</v>
      </c>
      <c r="N147">
        <v>27700</v>
      </c>
      <c r="O147" t="s">
        <v>1361</v>
      </c>
      <c r="P147" t="s">
        <v>395</v>
      </c>
      <c r="Q147" t="s">
        <v>1310</v>
      </c>
    </row>
    <row r="148" spans="1:17" x14ac:dyDescent="0.35">
      <c r="A148" t="s">
        <v>239</v>
      </c>
      <c r="B148">
        <v>2023</v>
      </c>
      <c r="C148" t="s">
        <v>1293</v>
      </c>
      <c r="D148" t="s">
        <v>240</v>
      </c>
      <c r="F148" t="s">
        <v>241</v>
      </c>
      <c r="H148" t="s">
        <v>59</v>
      </c>
      <c r="I148" t="s">
        <v>50</v>
      </c>
      <c r="J148" t="s">
        <v>51</v>
      </c>
      <c r="K148" t="s">
        <v>22</v>
      </c>
      <c r="L148" t="s">
        <v>73</v>
      </c>
      <c r="M148">
        <v>441588</v>
      </c>
      <c r="N148">
        <v>441588</v>
      </c>
      <c r="P148" t="s">
        <v>75</v>
      </c>
      <c r="Q148" t="s">
        <v>1322</v>
      </c>
    </row>
    <row r="149" spans="1:17" x14ac:dyDescent="0.35">
      <c r="A149" t="s">
        <v>595</v>
      </c>
      <c r="B149">
        <v>2023</v>
      </c>
      <c r="C149" t="s">
        <v>1293</v>
      </c>
      <c r="D149" t="s">
        <v>240</v>
      </c>
      <c r="F149" t="s">
        <v>241</v>
      </c>
      <c r="H149" t="s">
        <v>116</v>
      </c>
      <c r="I149" t="s">
        <v>259</v>
      </c>
      <c r="J149" t="s">
        <v>1299</v>
      </c>
      <c r="K149" t="s">
        <v>22</v>
      </c>
      <c r="L149" t="s">
        <v>580</v>
      </c>
      <c r="M149">
        <v>228535</v>
      </c>
      <c r="N149">
        <v>7.1082383724999998</v>
      </c>
      <c r="P149" t="s">
        <v>75</v>
      </c>
      <c r="Q149" t="s">
        <v>1322</v>
      </c>
    </row>
    <row r="150" spans="1:17" x14ac:dyDescent="0.35">
      <c r="A150" t="s">
        <v>610</v>
      </c>
      <c r="B150">
        <v>2024</v>
      </c>
      <c r="C150" t="s">
        <v>1293</v>
      </c>
      <c r="D150" t="s">
        <v>244</v>
      </c>
      <c r="F150" t="s">
        <v>247</v>
      </c>
      <c r="H150" t="s">
        <v>116</v>
      </c>
      <c r="I150" t="s">
        <v>259</v>
      </c>
      <c r="J150" t="s">
        <v>1299</v>
      </c>
      <c r="K150" t="s">
        <v>22</v>
      </c>
      <c r="L150" t="s">
        <v>580</v>
      </c>
      <c r="M150">
        <v>33000</v>
      </c>
      <c r="N150">
        <v>1.0264154999999999</v>
      </c>
      <c r="O150" t="s">
        <v>243</v>
      </c>
      <c r="P150" t="s">
        <v>245</v>
      </c>
      <c r="Q150" t="s">
        <v>1362</v>
      </c>
    </row>
    <row r="151" spans="1:17" x14ac:dyDescent="0.35">
      <c r="A151" t="s">
        <v>611</v>
      </c>
      <c r="B151">
        <v>2024</v>
      </c>
      <c r="C151" t="s">
        <v>1293</v>
      </c>
      <c r="D151" t="s">
        <v>244</v>
      </c>
      <c r="F151" t="s">
        <v>247</v>
      </c>
      <c r="H151" t="s">
        <v>116</v>
      </c>
      <c r="I151" t="s">
        <v>80</v>
      </c>
      <c r="J151" t="s">
        <v>81</v>
      </c>
      <c r="K151" t="s">
        <v>22</v>
      </c>
      <c r="L151" t="s">
        <v>73</v>
      </c>
      <c r="M151">
        <v>1838496</v>
      </c>
      <c r="N151">
        <v>1838496</v>
      </c>
      <c r="O151" t="s">
        <v>243</v>
      </c>
      <c r="P151" t="s">
        <v>245</v>
      </c>
      <c r="Q151" t="s">
        <v>1362</v>
      </c>
    </row>
    <row r="152" spans="1:17" x14ac:dyDescent="0.35">
      <c r="A152" t="s">
        <v>242</v>
      </c>
      <c r="B152">
        <v>2024</v>
      </c>
      <c r="C152" t="s">
        <v>1293</v>
      </c>
      <c r="D152" t="s">
        <v>244</v>
      </c>
      <c r="F152" t="s">
        <v>247</v>
      </c>
      <c r="H152" t="s">
        <v>116</v>
      </c>
      <c r="I152" t="s">
        <v>50</v>
      </c>
      <c r="J152" t="s">
        <v>51</v>
      </c>
      <c r="K152" t="s">
        <v>22</v>
      </c>
      <c r="L152" t="s">
        <v>73</v>
      </c>
      <c r="M152">
        <v>1165551</v>
      </c>
      <c r="N152">
        <v>1165551</v>
      </c>
      <c r="O152" t="s">
        <v>243</v>
      </c>
      <c r="P152" t="s">
        <v>245</v>
      </c>
      <c r="Q152" t="s">
        <v>1362</v>
      </c>
    </row>
    <row r="153" spans="1:17" x14ac:dyDescent="0.35">
      <c r="A153" t="s">
        <v>248</v>
      </c>
      <c r="B153">
        <v>2023</v>
      </c>
      <c r="C153" t="s">
        <v>1293</v>
      </c>
      <c r="D153" t="s">
        <v>250</v>
      </c>
      <c r="F153" t="s">
        <v>252</v>
      </c>
      <c r="H153" t="s">
        <v>49</v>
      </c>
      <c r="I153" t="s">
        <v>50</v>
      </c>
      <c r="J153" t="s">
        <v>51</v>
      </c>
      <c r="K153" t="s">
        <v>22</v>
      </c>
      <c r="L153" t="s">
        <v>23</v>
      </c>
      <c r="M153">
        <v>5600</v>
      </c>
      <c r="N153">
        <v>5600000</v>
      </c>
      <c r="O153" t="s">
        <v>249</v>
      </c>
      <c r="P153" t="s">
        <v>251</v>
      </c>
      <c r="Q153" t="s">
        <v>1363</v>
      </c>
    </row>
    <row r="154" spans="1:17" x14ac:dyDescent="0.35">
      <c r="A154" t="s">
        <v>620</v>
      </c>
      <c r="B154">
        <v>2023</v>
      </c>
      <c r="C154" t="s">
        <v>1293</v>
      </c>
      <c r="E154" t="s">
        <v>255</v>
      </c>
      <c r="F154" t="s">
        <v>256</v>
      </c>
      <c r="G154" t="s">
        <v>257</v>
      </c>
      <c r="H154" t="s">
        <v>93</v>
      </c>
      <c r="I154" t="s">
        <v>259</v>
      </c>
      <c r="J154" t="s">
        <v>260</v>
      </c>
      <c r="K154" t="s">
        <v>22</v>
      </c>
      <c r="L154" t="s">
        <v>94</v>
      </c>
      <c r="M154">
        <v>13.5</v>
      </c>
      <c r="N154">
        <v>6123.4920000000002</v>
      </c>
      <c r="O154" t="s">
        <v>619</v>
      </c>
      <c r="P154" t="s">
        <v>97</v>
      </c>
      <c r="Q154" t="s">
        <v>1307</v>
      </c>
    </row>
    <row r="155" spans="1:17" x14ac:dyDescent="0.35">
      <c r="A155" t="s">
        <v>253</v>
      </c>
      <c r="B155">
        <v>2023</v>
      </c>
      <c r="C155" t="s">
        <v>1293</v>
      </c>
      <c r="E155" t="s">
        <v>255</v>
      </c>
      <c r="F155" t="s">
        <v>256</v>
      </c>
      <c r="G155" t="s">
        <v>257</v>
      </c>
      <c r="H155" t="s">
        <v>93</v>
      </c>
      <c r="I155" t="s">
        <v>50</v>
      </c>
      <c r="J155" t="s">
        <v>51</v>
      </c>
      <c r="K155" t="s">
        <v>22</v>
      </c>
      <c r="L155" t="s">
        <v>94</v>
      </c>
      <c r="M155">
        <v>216.95460024106001</v>
      </c>
      <c r="N155">
        <v>98408.871032543204</v>
      </c>
      <c r="O155" t="s">
        <v>254</v>
      </c>
      <c r="P155" t="s">
        <v>97</v>
      </c>
      <c r="Q155" t="s">
        <v>1350</v>
      </c>
    </row>
    <row r="156" spans="1:17" x14ac:dyDescent="0.35">
      <c r="A156" t="s">
        <v>258</v>
      </c>
      <c r="B156">
        <v>2022</v>
      </c>
      <c r="C156" t="s">
        <v>1293</v>
      </c>
      <c r="D156" t="s">
        <v>262</v>
      </c>
      <c r="F156" t="s">
        <v>264</v>
      </c>
      <c r="H156" t="s">
        <v>93</v>
      </c>
      <c r="I156" t="s">
        <v>259</v>
      </c>
      <c r="J156" t="s">
        <v>260</v>
      </c>
      <c r="K156" t="s">
        <v>22</v>
      </c>
      <c r="L156" t="s">
        <v>94</v>
      </c>
      <c r="M156">
        <v>18</v>
      </c>
      <c r="N156">
        <v>8164.6559999999999</v>
      </c>
      <c r="O156" t="s">
        <v>261</v>
      </c>
      <c r="P156" t="s">
        <v>263</v>
      </c>
      <c r="Q156" t="s">
        <v>1364</v>
      </c>
    </row>
    <row r="157" spans="1:17" x14ac:dyDescent="0.35">
      <c r="A157" t="s">
        <v>704</v>
      </c>
      <c r="B157">
        <v>2022</v>
      </c>
      <c r="C157" t="s">
        <v>1293</v>
      </c>
      <c r="D157" t="s">
        <v>262</v>
      </c>
      <c r="F157" t="s">
        <v>264</v>
      </c>
      <c r="H157" t="s">
        <v>93</v>
      </c>
      <c r="I157" t="s">
        <v>259</v>
      </c>
      <c r="J157" t="s">
        <v>260</v>
      </c>
      <c r="K157" t="s">
        <v>605</v>
      </c>
      <c r="L157" t="s">
        <v>94</v>
      </c>
      <c r="M157">
        <v>24</v>
      </c>
      <c r="O157" t="s">
        <v>261</v>
      </c>
      <c r="P157" t="s">
        <v>263</v>
      </c>
      <c r="Q157" t="s">
        <v>1364</v>
      </c>
    </row>
    <row r="158" spans="1:17" x14ac:dyDescent="0.35">
      <c r="A158" t="s">
        <v>266</v>
      </c>
      <c r="B158">
        <v>2023</v>
      </c>
      <c r="C158" t="s">
        <v>1293</v>
      </c>
      <c r="D158" t="s">
        <v>268</v>
      </c>
      <c r="F158" t="s">
        <v>271</v>
      </c>
      <c r="H158" t="s">
        <v>59</v>
      </c>
      <c r="I158" t="s">
        <v>80</v>
      </c>
      <c r="J158" t="s">
        <v>81</v>
      </c>
      <c r="K158" t="s">
        <v>22</v>
      </c>
      <c r="L158" t="s">
        <v>73</v>
      </c>
      <c r="M158">
        <v>317660</v>
      </c>
      <c r="N158">
        <v>317660</v>
      </c>
      <c r="O158" t="s">
        <v>267</v>
      </c>
      <c r="P158" t="s">
        <v>269</v>
      </c>
      <c r="Q158" t="s">
        <v>1365</v>
      </c>
    </row>
    <row r="159" spans="1:17" x14ac:dyDescent="0.35">
      <c r="A159" t="s">
        <v>1407</v>
      </c>
      <c r="B159">
        <v>2023</v>
      </c>
      <c r="C159" t="s">
        <v>1293</v>
      </c>
      <c r="D159" t="s">
        <v>268</v>
      </c>
      <c r="F159" t="s">
        <v>271</v>
      </c>
      <c r="H159" t="s">
        <v>547</v>
      </c>
      <c r="I159" t="s">
        <v>50</v>
      </c>
      <c r="K159" t="s">
        <v>22</v>
      </c>
      <c r="L159" t="s">
        <v>1393</v>
      </c>
      <c r="M159">
        <v>527971.00225922198</v>
      </c>
      <c r="N159">
        <v>527971.00225922198</v>
      </c>
      <c r="P159" t="s">
        <v>269</v>
      </c>
      <c r="Q159" t="s">
        <v>1394</v>
      </c>
    </row>
    <row r="160" spans="1:17" x14ac:dyDescent="0.35">
      <c r="A160" t="s">
        <v>1445</v>
      </c>
      <c r="B160">
        <v>2023</v>
      </c>
      <c r="C160" t="s">
        <v>1293</v>
      </c>
      <c r="D160" t="s">
        <v>268</v>
      </c>
      <c r="F160" t="s">
        <v>271</v>
      </c>
      <c r="I160" t="s">
        <v>50</v>
      </c>
      <c r="K160" t="s">
        <v>605</v>
      </c>
      <c r="L160" t="s">
        <v>1434</v>
      </c>
      <c r="M160">
        <v>87879592.968635201</v>
      </c>
      <c r="N160">
        <v>87879592.968635201</v>
      </c>
      <c r="P160" t="s">
        <v>269</v>
      </c>
      <c r="Q160" t="s">
        <v>1394</v>
      </c>
    </row>
    <row r="161" spans="1:17" x14ac:dyDescent="0.35">
      <c r="A161" t="s">
        <v>273</v>
      </c>
      <c r="B161">
        <v>2023</v>
      </c>
      <c r="C161" t="s">
        <v>1293</v>
      </c>
      <c r="E161" t="s">
        <v>274</v>
      </c>
      <c r="F161" t="s">
        <v>275</v>
      </c>
      <c r="G161" t="s">
        <v>276</v>
      </c>
      <c r="H161" t="s">
        <v>116</v>
      </c>
      <c r="I161" t="s">
        <v>50</v>
      </c>
      <c r="J161" t="s">
        <v>51</v>
      </c>
      <c r="K161" t="s">
        <v>22</v>
      </c>
      <c r="L161" t="s">
        <v>73</v>
      </c>
      <c r="M161">
        <v>3842649.0057279998</v>
      </c>
      <c r="N161">
        <v>3842649.0057279998</v>
      </c>
      <c r="P161" t="s">
        <v>75</v>
      </c>
      <c r="Q161" t="s">
        <v>1322</v>
      </c>
    </row>
    <row r="162" spans="1:17" x14ac:dyDescent="0.35">
      <c r="A162" t="s">
        <v>596</v>
      </c>
      <c r="B162">
        <v>2023</v>
      </c>
      <c r="C162" t="s">
        <v>1293</v>
      </c>
      <c r="E162" t="s">
        <v>274</v>
      </c>
      <c r="F162" t="s">
        <v>275</v>
      </c>
      <c r="G162" t="s">
        <v>276</v>
      </c>
      <c r="H162" t="s">
        <v>116</v>
      </c>
      <c r="I162" t="s">
        <v>259</v>
      </c>
      <c r="J162" t="s">
        <v>1299</v>
      </c>
      <c r="K162" t="s">
        <v>22</v>
      </c>
      <c r="L162" t="s">
        <v>580</v>
      </c>
      <c r="M162">
        <v>431665.62702100002</v>
      </c>
      <c r="N162">
        <v>13.426311830047601</v>
      </c>
      <c r="P162" t="s">
        <v>75</v>
      </c>
      <c r="Q162" t="s">
        <v>1322</v>
      </c>
    </row>
    <row r="163" spans="1:17" x14ac:dyDescent="0.35">
      <c r="A163" t="s">
        <v>597</v>
      </c>
      <c r="B163">
        <v>2023</v>
      </c>
      <c r="C163" t="s">
        <v>1293</v>
      </c>
      <c r="E163" t="s">
        <v>274</v>
      </c>
      <c r="F163" t="s">
        <v>275</v>
      </c>
      <c r="G163" t="s">
        <v>276</v>
      </c>
      <c r="H163" t="s">
        <v>583</v>
      </c>
      <c r="I163" t="s">
        <v>259</v>
      </c>
      <c r="J163" t="s">
        <v>1299</v>
      </c>
      <c r="K163" t="s">
        <v>22</v>
      </c>
      <c r="L163" t="s">
        <v>584</v>
      </c>
      <c r="M163">
        <v>125</v>
      </c>
      <c r="N163">
        <v>3.8879375</v>
      </c>
      <c r="P163" t="s">
        <v>75</v>
      </c>
      <c r="Q163" t="s">
        <v>1322</v>
      </c>
    </row>
    <row r="164" spans="1:17" x14ac:dyDescent="0.35">
      <c r="A164" t="s">
        <v>277</v>
      </c>
      <c r="B164">
        <v>2023</v>
      </c>
      <c r="C164" t="s">
        <v>1293</v>
      </c>
      <c r="D164" t="s">
        <v>278</v>
      </c>
      <c r="F164" t="s">
        <v>279</v>
      </c>
      <c r="H164" t="s">
        <v>116</v>
      </c>
      <c r="I164" t="s">
        <v>50</v>
      </c>
      <c r="J164" t="s">
        <v>51</v>
      </c>
      <c r="K164" t="s">
        <v>22</v>
      </c>
      <c r="L164" t="s">
        <v>73</v>
      </c>
      <c r="M164">
        <v>1918143</v>
      </c>
      <c r="N164">
        <v>1918143</v>
      </c>
      <c r="P164" t="s">
        <v>75</v>
      </c>
      <c r="Q164" t="s">
        <v>1322</v>
      </c>
    </row>
    <row r="165" spans="1:17" x14ac:dyDescent="0.35">
      <c r="A165" t="s">
        <v>598</v>
      </c>
      <c r="B165">
        <v>2023</v>
      </c>
      <c r="C165" t="s">
        <v>1293</v>
      </c>
      <c r="D165" t="s">
        <v>278</v>
      </c>
      <c r="F165" t="s">
        <v>279</v>
      </c>
      <c r="H165" t="s">
        <v>116</v>
      </c>
      <c r="I165" t="s">
        <v>259</v>
      </c>
      <c r="J165" t="s">
        <v>1299</v>
      </c>
      <c r="K165" t="s">
        <v>22</v>
      </c>
      <c r="L165" t="s">
        <v>580</v>
      </c>
      <c r="M165">
        <v>364141</v>
      </c>
      <c r="N165">
        <v>11.326059593499901</v>
      </c>
      <c r="P165" t="s">
        <v>75</v>
      </c>
      <c r="Q165" t="s">
        <v>1322</v>
      </c>
    </row>
    <row r="166" spans="1:17" x14ac:dyDescent="0.35">
      <c r="A166" t="s">
        <v>599</v>
      </c>
      <c r="B166">
        <v>2023</v>
      </c>
      <c r="C166" t="s">
        <v>1293</v>
      </c>
      <c r="D166" t="s">
        <v>278</v>
      </c>
      <c r="F166" t="s">
        <v>279</v>
      </c>
      <c r="H166" t="s">
        <v>583</v>
      </c>
      <c r="I166" t="s">
        <v>259</v>
      </c>
      <c r="J166" t="s">
        <v>1299</v>
      </c>
      <c r="K166" t="s">
        <v>22</v>
      </c>
      <c r="L166" t="s">
        <v>584</v>
      </c>
      <c r="M166">
        <v>27</v>
      </c>
      <c r="N166">
        <v>0.8397945</v>
      </c>
      <c r="P166" t="s">
        <v>75</v>
      </c>
      <c r="Q166" t="s">
        <v>1322</v>
      </c>
    </row>
    <row r="167" spans="1:17" x14ac:dyDescent="0.35">
      <c r="A167" t="s">
        <v>1408</v>
      </c>
      <c r="B167">
        <v>2023</v>
      </c>
      <c r="C167" t="s">
        <v>1293</v>
      </c>
      <c r="D167" t="s">
        <v>482</v>
      </c>
      <c r="F167" s="14" t="s">
        <v>483</v>
      </c>
      <c r="H167" t="s">
        <v>547</v>
      </c>
      <c r="I167" t="s">
        <v>50</v>
      </c>
      <c r="K167" t="s">
        <v>22</v>
      </c>
      <c r="L167" t="s">
        <v>1393</v>
      </c>
      <c r="M167">
        <v>0</v>
      </c>
      <c r="N167">
        <v>0</v>
      </c>
      <c r="P167" t="s">
        <v>1409</v>
      </c>
      <c r="Q167" t="s">
        <v>1394</v>
      </c>
    </row>
    <row r="168" spans="1:17" x14ac:dyDescent="0.35">
      <c r="A168" t="s">
        <v>1446</v>
      </c>
      <c r="B168">
        <v>2023</v>
      </c>
      <c r="C168" t="s">
        <v>1293</v>
      </c>
      <c r="D168" t="s">
        <v>482</v>
      </c>
      <c r="F168" s="14" t="s">
        <v>483</v>
      </c>
      <c r="I168" t="s">
        <v>50</v>
      </c>
      <c r="K168" t="s">
        <v>605</v>
      </c>
      <c r="L168" t="s">
        <v>1434</v>
      </c>
      <c r="M168">
        <v>7413000.03172071</v>
      </c>
      <c r="N168">
        <v>7413000.03172071</v>
      </c>
      <c r="P168" t="s">
        <v>1409</v>
      </c>
      <c r="Q168" t="s">
        <v>1394</v>
      </c>
    </row>
    <row r="169" spans="1:17" x14ac:dyDescent="0.35">
      <c r="A169" t="s">
        <v>1410</v>
      </c>
      <c r="B169">
        <v>2023</v>
      </c>
      <c r="C169" t="s">
        <v>1293</v>
      </c>
      <c r="D169" t="s">
        <v>1411</v>
      </c>
      <c r="F169" s="14" t="s">
        <v>1413</v>
      </c>
      <c r="H169" t="s">
        <v>547</v>
      </c>
      <c r="I169" t="s">
        <v>50</v>
      </c>
      <c r="K169" t="s">
        <v>22</v>
      </c>
      <c r="L169" t="s">
        <v>1393</v>
      </c>
      <c r="M169">
        <v>0</v>
      </c>
      <c r="N169">
        <v>0</v>
      </c>
      <c r="P169" t="s">
        <v>1412</v>
      </c>
      <c r="Q169" t="s">
        <v>1394</v>
      </c>
    </row>
    <row r="170" spans="1:17" x14ac:dyDescent="0.35">
      <c r="A170" t="s">
        <v>1447</v>
      </c>
      <c r="B170">
        <v>2023</v>
      </c>
      <c r="C170" t="s">
        <v>1293</v>
      </c>
      <c r="D170" t="s">
        <v>1411</v>
      </c>
      <c r="F170" s="14" t="s">
        <v>1413</v>
      </c>
      <c r="I170" t="s">
        <v>50</v>
      </c>
      <c r="K170" t="s">
        <v>605</v>
      </c>
      <c r="L170" t="s">
        <v>1434</v>
      </c>
      <c r="M170">
        <v>2313000.0098974798</v>
      </c>
      <c r="N170">
        <v>2313000.0098974798</v>
      </c>
      <c r="P170" t="s">
        <v>1412</v>
      </c>
      <c r="Q170" t="s">
        <v>1394</v>
      </c>
    </row>
    <row r="171" spans="1:17" x14ac:dyDescent="0.35">
      <c r="A171" t="s">
        <v>280</v>
      </c>
      <c r="B171">
        <v>2023</v>
      </c>
      <c r="C171" t="s">
        <v>1293</v>
      </c>
      <c r="D171" t="s">
        <v>281</v>
      </c>
      <c r="E171" t="s">
        <v>153</v>
      </c>
      <c r="F171" t="s">
        <v>282</v>
      </c>
      <c r="G171" t="s">
        <v>155</v>
      </c>
      <c r="H171" t="s">
        <v>49</v>
      </c>
      <c r="I171" t="s">
        <v>80</v>
      </c>
      <c r="J171" t="s">
        <v>81</v>
      </c>
      <c r="K171" t="s">
        <v>22</v>
      </c>
      <c r="L171" t="s">
        <v>23</v>
      </c>
      <c r="M171">
        <v>16499</v>
      </c>
      <c r="N171">
        <v>16499000</v>
      </c>
      <c r="P171" t="s">
        <v>42</v>
      </c>
      <c r="Q171" t="s">
        <v>1366</v>
      </c>
    </row>
    <row r="172" spans="1:17" x14ac:dyDescent="0.35">
      <c r="A172" t="s">
        <v>622</v>
      </c>
      <c r="B172">
        <v>2023</v>
      </c>
      <c r="C172" t="s">
        <v>1293</v>
      </c>
      <c r="D172" t="s">
        <v>284</v>
      </c>
      <c r="F172" t="s">
        <v>287</v>
      </c>
      <c r="H172" t="s">
        <v>547</v>
      </c>
      <c r="I172" t="s">
        <v>259</v>
      </c>
      <c r="J172" t="s">
        <v>260</v>
      </c>
      <c r="K172" t="s">
        <v>22</v>
      </c>
      <c r="L172" t="s">
        <v>626</v>
      </c>
      <c r="M172">
        <v>61862</v>
      </c>
      <c r="N172">
        <v>28060.108304000001</v>
      </c>
      <c r="P172" t="s">
        <v>285</v>
      </c>
      <c r="Q172" t="s">
        <v>1367</v>
      </c>
    </row>
    <row r="173" spans="1:17" x14ac:dyDescent="0.35">
      <c r="A173" t="s">
        <v>625</v>
      </c>
      <c r="B173">
        <v>2023</v>
      </c>
      <c r="C173" t="s">
        <v>1293</v>
      </c>
      <c r="D173" t="s">
        <v>284</v>
      </c>
      <c r="F173" t="s">
        <v>287</v>
      </c>
      <c r="H173" t="s">
        <v>590</v>
      </c>
      <c r="I173" t="s">
        <v>259</v>
      </c>
      <c r="J173" t="s">
        <v>590</v>
      </c>
      <c r="K173" t="s">
        <v>22</v>
      </c>
      <c r="L173" t="s">
        <v>623</v>
      </c>
      <c r="M173">
        <v>142285</v>
      </c>
      <c r="N173">
        <v>142285</v>
      </c>
      <c r="O173" t="s">
        <v>624</v>
      </c>
      <c r="P173" t="s">
        <v>285</v>
      </c>
      <c r="Q173" t="s">
        <v>1367</v>
      </c>
    </row>
    <row r="174" spans="1:17" x14ac:dyDescent="0.35">
      <c r="A174" t="s">
        <v>628</v>
      </c>
      <c r="B174">
        <v>2023</v>
      </c>
      <c r="C174" t="s">
        <v>1293</v>
      </c>
      <c r="D174" t="s">
        <v>284</v>
      </c>
      <c r="F174" t="s">
        <v>287</v>
      </c>
      <c r="H174" t="s">
        <v>116</v>
      </c>
      <c r="I174" t="s">
        <v>259</v>
      </c>
      <c r="J174" t="s">
        <v>1299</v>
      </c>
      <c r="K174" t="s">
        <v>22</v>
      </c>
      <c r="L174" t="s">
        <v>580</v>
      </c>
      <c r="M174">
        <v>154391</v>
      </c>
      <c r="N174">
        <v>4.8021004684999999</v>
      </c>
      <c r="P174" t="s">
        <v>285</v>
      </c>
      <c r="Q174" t="s">
        <v>1367</v>
      </c>
    </row>
    <row r="175" spans="1:17" x14ac:dyDescent="0.35">
      <c r="A175" t="s">
        <v>629</v>
      </c>
      <c r="B175">
        <v>2023</v>
      </c>
      <c r="C175" t="s">
        <v>1293</v>
      </c>
      <c r="D175" t="s">
        <v>284</v>
      </c>
      <c r="F175" t="s">
        <v>287</v>
      </c>
      <c r="H175" t="s">
        <v>59</v>
      </c>
      <c r="I175" t="s">
        <v>80</v>
      </c>
      <c r="J175" t="s">
        <v>81</v>
      </c>
      <c r="K175" t="s">
        <v>22</v>
      </c>
      <c r="L175" t="s">
        <v>23</v>
      </c>
      <c r="M175">
        <v>21278</v>
      </c>
      <c r="N175">
        <v>21278000</v>
      </c>
      <c r="P175" t="s">
        <v>285</v>
      </c>
      <c r="Q175" t="s">
        <v>1367</v>
      </c>
    </row>
    <row r="176" spans="1:17" x14ac:dyDescent="0.35">
      <c r="A176" t="s">
        <v>283</v>
      </c>
      <c r="B176">
        <v>2023</v>
      </c>
      <c r="C176" t="s">
        <v>1293</v>
      </c>
      <c r="D176" t="s">
        <v>284</v>
      </c>
      <c r="F176" t="s">
        <v>287</v>
      </c>
      <c r="H176" t="s">
        <v>59</v>
      </c>
      <c r="I176" t="s">
        <v>50</v>
      </c>
      <c r="J176" t="s">
        <v>51</v>
      </c>
      <c r="K176" t="s">
        <v>22</v>
      </c>
      <c r="L176" t="s">
        <v>23</v>
      </c>
      <c r="M176">
        <v>21680</v>
      </c>
      <c r="N176">
        <v>21680000</v>
      </c>
      <c r="P176" t="s">
        <v>285</v>
      </c>
      <c r="Q176" t="s">
        <v>1367</v>
      </c>
    </row>
    <row r="177" spans="1:17" x14ac:dyDescent="0.35">
      <c r="A177" t="s">
        <v>1414</v>
      </c>
      <c r="B177">
        <v>2023</v>
      </c>
      <c r="C177" t="s">
        <v>1293</v>
      </c>
      <c r="D177" t="s">
        <v>284</v>
      </c>
      <c r="F177" t="s">
        <v>287</v>
      </c>
      <c r="H177" t="s">
        <v>547</v>
      </c>
      <c r="I177" t="s">
        <v>50</v>
      </c>
      <c r="K177" t="s">
        <v>22</v>
      </c>
      <c r="L177" t="s">
        <v>1393</v>
      </c>
      <c r="M177">
        <v>21278000.091049898</v>
      </c>
      <c r="N177">
        <v>21278000.091049898</v>
      </c>
      <c r="P177" t="s">
        <v>285</v>
      </c>
      <c r="Q177" t="s">
        <v>1394</v>
      </c>
    </row>
    <row r="178" spans="1:17" x14ac:dyDescent="0.35">
      <c r="A178" t="s">
        <v>1448</v>
      </c>
      <c r="B178">
        <v>2023</v>
      </c>
      <c r="C178" t="s">
        <v>1293</v>
      </c>
      <c r="D178" t="s">
        <v>284</v>
      </c>
      <c r="F178" t="s">
        <v>287</v>
      </c>
      <c r="I178" t="s">
        <v>50</v>
      </c>
      <c r="K178" t="s">
        <v>605</v>
      </c>
      <c r="L178" t="s">
        <v>1434</v>
      </c>
      <c r="M178">
        <v>250025001.06987301</v>
      </c>
      <c r="N178">
        <v>250025001.06987301</v>
      </c>
      <c r="P178" t="s">
        <v>285</v>
      </c>
      <c r="Q178" t="s">
        <v>1394</v>
      </c>
    </row>
    <row r="179" spans="1:17" x14ac:dyDescent="0.35">
      <c r="A179" t="s">
        <v>678</v>
      </c>
      <c r="B179">
        <v>2023</v>
      </c>
      <c r="C179" t="s">
        <v>1293</v>
      </c>
      <c r="D179" t="s">
        <v>289</v>
      </c>
      <c r="F179" t="s">
        <v>292</v>
      </c>
      <c r="H179" t="s">
        <v>116</v>
      </c>
      <c r="I179" t="s">
        <v>259</v>
      </c>
      <c r="J179" t="s">
        <v>1299</v>
      </c>
      <c r="K179" t="s">
        <v>22</v>
      </c>
      <c r="L179" t="s">
        <v>580</v>
      </c>
      <c r="M179">
        <v>41834</v>
      </c>
      <c r="N179">
        <v>1.301183819</v>
      </c>
      <c r="P179" t="s">
        <v>290</v>
      </c>
      <c r="Q179" t="s">
        <v>1368</v>
      </c>
    </row>
    <row r="180" spans="1:17" x14ac:dyDescent="0.35">
      <c r="A180" t="s">
        <v>679</v>
      </c>
      <c r="B180">
        <v>2023</v>
      </c>
      <c r="C180" t="s">
        <v>1293</v>
      </c>
      <c r="D180" t="s">
        <v>289</v>
      </c>
      <c r="F180" t="s">
        <v>292</v>
      </c>
      <c r="H180" t="s">
        <v>59</v>
      </c>
      <c r="I180" t="s">
        <v>50</v>
      </c>
      <c r="J180" t="s">
        <v>108</v>
      </c>
      <c r="K180" t="s">
        <v>22</v>
      </c>
      <c r="L180" t="s">
        <v>73</v>
      </c>
      <c r="M180">
        <v>5948239</v>
      </c>
      <c r="N180">
        <v>5948239</v>
      </c>
      <c r="P180" t="s">
        <v>290</v>
      </c>
      <c r="Q180" t="s">
        <v>1368</v>
      </c>
    </row>
    <row r="181" spans="1:17" x14ac:dyDescent="0.35">
      <c r="A181" t="s">
        <v>288</v>
      </c>
      <c r="B181">
        <v>2023</v>
      </c>
      <c r="C181" t="s">
        <v>1293</v>
      </c>
      <c r="D181" t="s">
        <v>289</v>
      </c>
      <c r="F181" t="s">
        <v>292</v>
      </c>
      <c r="H181" t="s">
        <v>547</v>
      </c>
      <c r="I181" t="s">
        <v>259</v>
      </c>
      <c r="J181" t="s">
        <v>260</v>
      </c>
      <c r="K181" t="s">
        <v>22</v>
      </c>
      <c r="L181" t="s">
        <v>626</v>
      </c>
      <c r="M181">
        <v>30145</v>
      </c>
      <c r="N181">
        <v>13673.530839999999</v>
      </c>
      <c r="P181" t="s">
        <v>290</v>
      </c>
      <c r="Q181" t="s">
        <v>1368</v>
      </c>
    </row>
    <row r="182" spans="1:17" x14ac:dyDescent="0.35">
      <c r="A182" t="s">
        <v>1415</v>
      </c>
      <c r="B182">
        <v>2023</v>
      </c>
      <c r="C182" t="s">
        <v>1293</v>
      </c>
      <c r="D182" t="s">
        <v>289</v>
      </c>
      <c r="F182" t="s">
        <v>292</v>
      </c>
      <c r="H182" t="s">
        <v>547</v>
      </c>
      <c r="I182" t="s">
        <v>50</v>
      </c>
      <c r="K182" t="s">
        <v>22</v>
      </c>
      <c r="L182" t="s">
        <v>1393</v>
      </c>
      <c r="M182">
        <v>5948239.0254528997</v>
      </c>
      <c r="N182">
        <v>5948239.0254528997</v>
      </c>
      <c r="P182" t="s">
        <v>290</v>
      </c>
      <c r="Q182" t="s">
        <v>1394</v>
      </c>
    </row>
    <row r="183" spans="1:17" x14ac:dyDescent="0.35">
      <c r="A183" t="s">
        <v>1449</v>
      </c>
      <c r="B183">
        <v>2023</v>
      </c>
      <c r="C183" t="s">
        <v>1293</v>
      </c>
      <c r="D183" t="s">
        <v>289</v>
      </c>
      <c r="F183" t="s">
        <v>292</v>
      </c>
      <c r="I183" t="s">
        <v>50</v>
      </c>
      <c r="K183" t="s">
        <v>605</v>
      </c>
      <c r="L183" t="s">
        <v>1434</v>
      </c>
      <c r="M183">
        <v>49029000.209798299</v>
      </c>
      <c r="N183">
        <v>49029000.209798299</v>
      </c>
      <c r="P183" t="s">
        <v>290</v>
      </c>
      <c r="Q183" t="s">
        <v>1394</v>
      </c>
    </row>
    <row r="184" spans="1:17" x14ac:dyDescent="0.35">
      <c r="A184" t="s">
        <v>294</v>
      </c>
      <c r="B184">
        <v>2023</v>
      </c>
      <c r="C184" t="s">
        <v>1293</v>
      </c>
      <c r="D184" t="s">
        <v>295</v>
      </c>
      <c r="F184" t="s">
        <v>296</v>
      </c>
      <c r="H184" t="s">
        <v>59</v>
      </c>
      <c r="I184" t="s">
        <v>50</v>
      </c>
      <c r="J184" t="s">
        <v>51</v>
      </c>
      <c r="K184" t="s">
        <v>22</v>
      </c>
      <c r="L184" t="s">
        <v>23</v>
      </c>
      <c r="M184">
        <v>1028</v>
      </c>
      <c r="N184">
        <v>1028000</v>
      </c>
      <c r="P184" t="s">
        <v>61</v>
      </c>
      <c r="Q184" t="s">
        <v>1298</v>
      </c>
    </row>
    <row r="185" spans="1:17" x14ac:dyDescent="0.35">
      <c r="A185" t="s">
        <v>695</v>
      </c>
      <c r="B185">
        <v>2023</v>
      </c>
      <c r="C185" t="s">
        <v>1293</v>
      </c>
      <c r="D185" t="s">
        <v>295</v>
      </c>
      <c r="F185" t="s">
        <v>296</v>
      </c>
      <c r="H185" t="s">
        <v>116</v>
      </c>
      <c r="I185" t="s">
        <v>259</v>
      </c>
      <c r="J185" t="s">
        <v>1299</v>
      </c>
      <c r="K185" t="s">
        <v>22</v>
      </c>
      <c r="L185" t="s">
        <v>584</v>
      </c>
      <c r="M185">
        <v>180</v>
      </c>
      <c r="N185">
        <v>5.59863</v>
      </c>
      <c r="P185" t="s">
        <v>61</v>
      </c>
      <c r="Q185" t="s">
        <v>1298</v>
      </c>
    </row>
    <row r="186" spans="1:17" x14ac:dyDescent="0.35">
      <c r="A186" t="s">
        <v>1416</v>
      </c>
      <c r="B186">
        <v>2023</v>
      </c>
      <c r="C186" t="s">
        <v>1293</v>
      </c>
      <c r="D186" t="s">
        <v>517</v>
      </c>
      <c r="F186" s="14" t="s">
        <v>518</v>
      </c>
      <c r="H186" t="s">
        <v>547</v>
      </c>
      <c r="I186" t="s">
        <v>50</v>
      </c>
      <c r="K186" t="s">
        <v>22</v>
      </c>
      <c r="L186" t="s">
        <v>1393</v>
      </c>
      <c r="M186">
        <v>45000.000192557898</v>
      </c>
      <c r="N186">
        <v>45000.000192557898</v>
      </c>
      <c r="P186" t="s">
        <v>1417</v>
      </c>
      <c r="Q186" t="s">
        <v>1394</v>
      </c>
    </row>
    <row r="187" spans="1:17" x14ac:dyDescent="0.35">
      <c r="A187" t="s">
        <v>1450</v>
      </c>
      <c r="B187">
        <v>2023</v>
      </c>
      <c r="C187" t="s">
        <v>1293</v>
      </c>
      <c r="D187" t="s">
        <v>517</v>
      </c>
      <c r="F187" s="14" t="s">
        <v>518</v>
      </c>
      <c r="I187" t="s">
        <v>50</v>
      </c>
      <c r="K187" t="s">
        <v>605</v>
      </c>
      <c r="L187" t="s">
        <v>1434</v>
      </c>
      <c r="M187">
        <v>4110000.01758696</v>
      </c>
      <c r="N187">
        <v>4110000.01758696</v>
      </c>
      <c r="P187" t="s">
        <v>1417</v>
      </c>
      <c r="Q187" t="s">
        <v>1394</v>
      </c>
    </row>
    <row r="188" spans="1:17" x14ac:dyDescent="0.35">
      <c r="A188" t="s">
        <v>685</v>
      </c>
      <c r="B188">
        <v>2023</v>
      </c>
      <c r="C188" t="s">
        <v>1293</v>
      </c>
      <c r="D188" t="s">
        <v>298</v>
      </c>
      <c r="F188" t="s">
        <v>301</v>
      </c>
      <c r="H188" t="s">
        <v>116</v>
      </c>
      <c r="I188" t="s">
        <v>259</v>
      </c>
      <c r="J188" t="s">
        <v>1299</v>
      </c>
      <c r="K188" t="s">
        <v>22</v>
      </c>
      <c r="L188" t="s">
        <v>580</v>
      </c>
      <c r="M188">
        <v>67433</v>
      </c>
      <c r="N188">
        <v>2.0974023155000001</v>
      </c>
      <c r="P188" t="s">
        <v>299</v>
      </c>
      <c r="Q188" t="s">
        <v>1369</v>
      </c>
    </row>
    <row r="189" spans="1:17" x14ac:dyDescent="0.35">
      <c r="A189" t="s">
        <v>686</v>
      </c>
      <c r="B189">
        <v>2023</v>
      </c>
      <c r="C189" t="s">
        <v>1293</v>
      </c>
      <c r="D189" t="s">
        <v>298</v>
      </c>
      <c r="F189" t="s">
        <v>301</v>
      </c>
      <c r="H189" t="s">
        <v>59</v>
      </c>
      <c r="I189" t="s">
        <v>80</v>
      </c>
      <c r="J189" t="s">
        <v>81</v>
      </c>
      <c r="K189" t="s">
        <v>22</v>
      </c>
      <c r="L189" t="s">
        <v>23</v>
      </c>
      <c r="M189">
        <v>2993</v>
      </c>
      <c r="N189">
        <v>2993000</v>
      </c>
      <c r="P189" t="s">
        <v>299</v>
      </c>
      <c r="Q189" t="s">
        <v>1369</v>
      </c>
    </row>
    <row r="190" spans="1:17" x14ac:dyDescent="0.35">
      <c r="A190" t="s">
        <v>687</v>
      </c>
      <c r="B190">
        <v>2023</v>
      </c>
      <c r="C190" t="s">
        <v>1293</v>
      </c>
      <c r="D190" t="s">
        <v>298</v>
      </c>
      <c r="F190" t="s">
        <v>301</v>
      </c>
      <c r="H190" t="s">
        <v>59</v>
      </c>
      <c r="I190" t="s">
        <v>50</v>
      </c>
      <c r="J190" t="s">
        <v>51</v>
      </c>
      <c r="K190" t="s">
        <v>22</v>
      </c>
      <c r="L190" t="s">
        <v>23</v>
      </c>
      <c r="M190">
        <v>3065</v>
      </c>
      <c r="N190">
        <v>3065000</v>
      </c>
      <c r="P190" t="s">
        <v>299</v>
      </c>
      <c r="Q190" t="s">
        <v>1369</v>
      </c>
    </row>
    <row r="191" spans="1:17" x14ac:dyDescent="0.35">
      <c r="A191" t="s">
        <v>297</v>
      </c>
      <c r="B191">
        <v>2023</v>
      </c>
      <c r="C191" t="s">
        <v>1293</v>
      </c>
      <c r="D191" t="s">
        <v>298</v>
      </c>
      <c r="F191" t="s">
        <v>301</v>
      </c>
      <c r="H191" t="s">
        <v>547</v>
      </c>
      <c r="I191" t="s">
        <v>259</v>
      </c>
      <c r="J191" t="s">
        <v>260</v>
      </c>
      <c r="K191" t="s">
        <v>22</v>
      </c>
      <c r="L191" t="s">
        <v>94</v>
      </c>
      <c r="M191">
        <v>47.4</v>
      </c>
      <c r="N191">
        <v>21500.2608</v>
      </c>
      <c r="O191" t="s">
        <v>627</v>
      </c>
      <c r="P191" t="s">
        <v>299</v>
      </c>
      <c r="Q191" t="s">
        <v>1369</v>
      </c>
    </row>
    <row r="192" spans="1:17" x14ac:dyDescent="0.35">
      <c r="A192" t="s">
        <v>1418</v>
      </c>
      <c r="B192">
        <v>2023</v>
      </c>
      <c r="C192" t="s">
        <v>1293</v>
      </c>
      <c r="D192" t="s">
        <v>298</v>
      </c>
      <c r="F192" t="s">
        <v>301</v>
      </c>
      <c r="H192" t="s">
        <v>547</v>
      </c>
      <c r="I192" t="s">
        <v>50</v>
      </c>
      <c r="K192" t="s">
        <v>22</v>
      </c>
      <c r="L192" t="s">
        <v>1393</v>
      </c>
      <c r="M192">
        <v>2993000.0128072398</v>
      </c>
      <c r="N192">
        <v>2993000.0128072398</v>
      </c>
      <c r="P192" t="s">
        <v>299</v>
      </c>
      <c r="Q192" t="s">
        <v>1394</v>
      </c>
    </row>
    <row r="193" spans="1:17" x14ac:dyDescent="0.35">
      <c r="A193" t="s">
        <v>1451</v>
      </c>
      <c r="B193">
        <v>2023</v>
      </c>
      <c r="C193" t="s">
        <v>1293</v>
      </c>
      <c r="D193" t="s">
        <v>298</v>
      </c>
      <c r="F193" t="s">
        <v>301</v>
      </c>
      <c r="I193" t="s">
        <v>50</v>
      </c>
      <c r="K193" t="s">
        <v>605</v>
      </c>
      <c r="L193" t="s">
        <v>1434</v>
      </c>
      <c r="M193">
        <v>34087000.145860501</v>
      </c>
      <c r="N193">
        <v>34087000.145860501</v>
      </c>
      <c r="P193" t="s">
        <v>299</v>
      </c>
      <c r="Q193" t="s">
        <v>1394</v>
      </c>
    </row>
    <row r="194" spans="1:17" x14ac:dyDescent="0.35">
      <c r="A194" t="s">
        <v>668</v>
      </c>
      <c r="B194">
        <v>2023</v>
      </c>
      <c r="C194" t="s">
        <v>1293</v>
      </c>
      <c r="D194" t="s">
        <v>302</v>
      </c>
      <c r="E194" t="s">
        <v>223</v>
      </c>
      <c r="F194" t="s">
        <v>303</v>
      </c>
      <c r="G194" t="s">
        <v>225</v>
      </c>
      <c r="H194" t="s">
        <v>59</v>
      </c>
      <c r="I194" t="s">
        <v>50</v>
      </c>
      <c r="J194" t="s">
        <v>108</v>
      </c>
      <c r="K194" t="s">
        <v>22</v>
      </c>
      <c r="L194" t="s">
        <v>73</v>
      </c>
      <c r="M194">
        <v>596912</v>
      </c>
      <c r="N194">
        <v>596912</v>
      </c>
      <c r="P194" t="s">
        <v>111</v>
      </c>
      <c r="Q194" t="s">
        <v>1317</v>
      </c>
    </row>
    <row r="195" spans="1:17" x14ac:dyDescent="0.35">
      <c r="A195" t="s">
        <v>305</v>
      </c>
      <c r="B195">
        <v>2024</v>
      </c>
      <c r="C195" t="s">
        <v>1293</v>
      </c>
      <c r="D195" t="s">
        <v>306</v>
      </c>
      <c r="E195" t="s">
        <v>163</v>
      </c>
      <c r="F195" t="s">
        <v>307</v>
      </c>
      <c r="G195" t="s">
        <v>165</v>
      </c>
      <c r="H195" t="s">
        <v>59</v>
      </c>
      <c r="I195" t="s">
        <v>80</v>
      </c>
      <c r="J195" t="s">
        <v>81</v>
      </c>
      <c r="K195" t="s">
        <v>22</v>
      </c>
      <c r="L195" t="s">
        <v>73</v>
      </c>
      <c r="M195">
        <v>320160</v>
      </c>
      <c r="N195">
        <v>320160</v>
      </c>
      <c r="P195" t="s">
        <v>69</v>
      </c>
      <c r="Q195" t="s">
        <v>1336</v>
      </c>
    </row>
    <row r="196" spans="1:17" x14ac:dyDescent="0.35">
      <c r="A196" t="s">
        <v>309</v>
      </c>
      <c r="B196">
        <v>2023</v>
      </c>
      <c r="C196" t="s">
        <v>1293</v>
      </c>
      <c r="D196" t="s">
        <v>312</v>
      </c>
      <c r="F196" t="s">
        <v>314</v>
      </c>
      <c r="H196" t="s">
        <v>310</v>
      </c>
      <c r="I196" t="s">
        <v>80</v>
      </c>
      <c r="J196" t="s">
        <v>81</v>
      </c>
      <c r="K196" t="s">
        <v>22</v>
      </c>
      <c r="L196" t="s">
        <v>39</v>
      </c>
      <c r="M196">
        <v>2.2000000000000002</v>
      </c>
      <c r="N196">
        <v>2200000</v>
      </c>
      <c r="O196" t="s">
        <v>311</v>
      </c>
      <c r="P196" t="s">
        <v>313</v>
      </c>
      <c r="Q196" t="s">
        <v>1370</v>
      </c>
    </row>
    <row r="197" spans="1:17" x14ac:dyDescent="0.35">
      <c r="A197" t="s">
        <v>1371</v>
      </c>
      <c r="B197">
        <v>2023</v>
      </c>
      <c r="C197" t="s">
        <v>1293</v>
      </c>
      <c r="D197" t="s">
        <v>312</v>
      </c>
      <c r="F197" t="s">
        <v>314</v>
      </c>
      <c r="H197" t="s">
        <v>310</v>
      </c>
      <c r="I197" t="s">
        <v>259</v>
      </c>
      <c r="J197" t="s">
        <v>260</v>
      </c>
      <c r="K197" t="s">
        <v>22</v>
      </c>
      <c r="L197" t="s">
        <v>1083</v>
      </c>
      <c r="M197">
        <v>6568950</v>
      </c>
      <c r="N197">
        <v>6568.95</v>
      </c>
      <c r="P197" t="s">
        <v>313</v>
      </c>
      <c r="Q197" t="s">
        <v>1329</v>
      </c>
    </row>
    <row r="198" spans="1:17" x14ac:dyDescent="0.35">
      <c r="A198" t="s">
        <v>315</v>
      </c>
      <c r="B198">
        <v>2023</v>
      </c>
      <c r="C198" t="s">
        <v>1293</v>
      </c>
      <c r="D198" t="s">
        <v>317</v>
      </c>
      <c r="F198" t="s">
        <v>319</v>
      </c>
      <c r="H198" t="s">
        <v>316</v>
      </c>
      <c r="I198" t="s">
        <v>20</v>
      </c>
      <c r="J198" t="s">
        <v>20</v>
      </c>
      <c r="K198" t="s">
        <v>22</v>
      </c>
      <c r="L198" t="s">
        <v>73</v>
      </c>
      <c r="M198">
        <v>11700</v>
      </c>
      <c r="N198">
        <v>11700</v>
      </c>
      <c r="P198" t="s">
        <v>318</v>
      </c>
      <c r="Q198" t="s">
        <v>1372</v>
      </c>
    </row>
    <row r="199" spans="1:17" x14ac:dyDescent="0.35">
      <c r="A199" t="s">
        <v>320</v>
      </c>
      <c r="B199">
        <v>2023</v>
      </c>
      <c r="C199" t="s">
        <v>1293</v>
      </c>
      <c r="D199" t="s">
        <v>322</v>
      </c>
      <c r="F199" t="s">
        <v>324</v>
      </c>
      <c r="H199" t="s">
        <v>321</v>
      </c>
      <c r="I199" t="s">
        <v>80</v>
      </c>
      <c r="J199" t="s">
        <v>81</v>
      </c>
      <c r="K199" t="s">
        <v>22</v>
      </c>
      <c r="L199" t="s">
        <v>52</v>
      </c>
      <c r="M199">
        <v>407034</v>
      </c>
      <c r="N199">
        <v>407034</v>
      </c>
      <c r="P199" t="s">
        <v>323</v>
      </c>
      <c r="Q199" t="s">
        <v>1373</v>
      </c>
    </row>
    <row r="200" spans="1:17" x14ac:dyDescent="0.35">
      <c r="A200" t="s">
        <v>716</v>
      </c>
      <c r="B200">
        <v>2023</v>
      </c>
      <c r="C200" t="s">
        <v>1293</v>
      </c>
      <c r="D200" t="s">
        <v>322</v>
      </c>
      <c r="F200" t="s">
        <v>324</v>
      </c>
      <c r="H200" t="s">
        <v>321</v>
      </c>
      <c r="I200" t="s">
        <v>259</v>
      </c>
      <c r="J200" t="s">
        <v>590</v>
      </c>
      <c r="K200" t="s">
        <v>22</v>
      </c>
      <c r="L200" t="s">
        <v>623</v>
      </c>
      <c r="M200">
        <v>33120</v>
      </c>
      <c r="N200">
        <v>33120</v>
      </c>
      <c r="P200" t="s">
        <v>323</v>
      </c>
      <c r="Q200" t="s">
        <v>1373</v>
      </c>
    </row>
    <row r="201" spans="1:17" x14ac:dyDescent="0.35">
      <c r="A201" t="s">
        <v>621</v>
      </c>
      <c r="B201">
        <v>2023</v>
      </c>
      <c r="C201" t="s">
        <v>1293</v>
      </c>
      <c r="D201" t="s">
        <v>329</v>
      </c>
      <c r="F201" t="s">
        <v>331</v>
      </c>
      <c r="H201" t="s">
        <v>547</v>
      </c>
      <c r="I201" t="s">
        <v>259</v>
      </c>
      <c r="J201" t="s">
        <v>260</v>
      </c>
      <c r="K201" t="s">
        <v>22</v>
      </c>
      <c r="L201" t="s">
        <v>73</v>
      </c>
      <c r="M201">
        <v>40926</v>
      </c>
      <c r="N201">
        <v>40926</v>
      </c>
      <c r="P201" t="s">
        <v>330</v>
      </c>
      <c r="Q201" t="s">
        <v>1329</v>
      </c>
    </row>
    <row r="202" spans="1:17" x14ac:dyDescent="0.35">
      <c r="A202" t="s">
        <v>326</v>
      </c>
      <c r="B202">
        <v>2023</v>
      </c>
      <c r="C202" t="s">
        <v>1293</v>
      </c>
      <c r="D202" t="s">
        <v>329</v>
      </c>
      <c r="F202" t="s">
        <v>331</v>
      </c>
      <c r="H202" t="s">
        <v>327</v>
      </c>
      <c r="I202" t="s">
        <v>259</v>
      </c>
      <c r="J202" t="s">
        <v>260</v>
      </c>
      <c r="K202" t="s">
        <v>22</v>
      </c>
      <c r="L202" t="s">
        <v>73</v>
      </c>
      <c r="M202">
        <v>58100</v>
      </c>
      <c r="N202">
        <v>58100</v>
      </c>
      <c r="P202" t="s">
        <v>330</v>
      </c>
      <c r="Q202" t="s">
        <v>1329</v>
      </c>
    </row>
    <row r="203" spans="1:17" x14ac:dyDescent="0.35">
      <c r="A203" t="s">
        <v>1374</v>
      </c>
      <c r="B203">
        <v>2023</v>
      </c>
      <c r="C203" t="s">
        <v>1293</v>
      </c>
      <c r="D203" t="s">
        <v>329</v>
      </c>
      <c r="F203" t="s">
        <v>331</v>
      </c>
      <c r="H203" t="s">
        <v>327</v>
      </c>
      <c r="I203" t="s">
        <v>50</v>
      </c>
      <c r="J203" t="s">
        <v>51</v>
      </c>
      <c r="K203" t="s">
        <v>22</v>
      </c>
      <c r="L203" t="s">
        <v>23</v>
      </c>
      <c r="M203">
        <v>1082.35294117647</v>
      </c>
      <c r="N203">
        <v>1082352.9411764699</v>
      </c>
      <c r="O203" t="s">
        <v>328</v>
      </c>
      <c r="P203" t="s">
        <v>330</v>
      </c>
      <c r="Q203" t="s">
        <v>1375</v>
      </c>
    </row>
    <row r="204" spans="1:17" x14ac:dyDescent="0.35">
      <c r="A204" t="s">
        <v>644</v>
      </c>
      <c r="B204">
        <v>2022</v>
      </c>
      <c r="C204" t="s">
        <v>1293</v>
      </c>
      <c r="D204" t="s">
        <v>334</v>
      </c>
      <c r="F204" t="s">
        <v>335</v>
      </c>
      <c r="H204" t="s">
        <v>547</v>
      </c>
      <c r="I204" t="s">
        <v>259</v>
      </c>
      <c r="J204" t="s">
        <v>260</v>
      </c>
      <c r="K204" t="s">
        <v>22</v>
      </c>
      <c r="L204" t="s">
        <v>73</v>
      </c>
      <c r="M204">
        <v>5488</v>
      </c>
      <c r="N204">
        <v>5488</v>
      </c>
      <c r="O204" t="s">
        <v>645</v>
      </c>
      <c r="P204" t="s">
        <v>69</v>
      </c>
      <c r="Q204" t="s">
        <v>1376</v>
      </c>
    </row>
    <row r="205" spans="1:17" x14ac:dyDescent="0.35">
      <c r="A205" t="s">
        <v>646</v>
      </c>
      <c r="B205">
        <v>2022</v>
      </c>
      <c r="C205" t="s">
        <v>1293</v>
      </c>
      <c r="D205" t="s">
        <v>334</v>
      </c>
      <c r="F205" t="s">
        <v>335</v>
      </c>
      <c r="H205" t="s">
        <v>327</v>
      </c>
      <c r="I205" t="s">
        <v>259</v>
      </c>
      <c r="J205" t="s">
        <v>260</v>
      </c>
      <c r="K205" t="s">
        <v>22</v>
      </c>
      <c r="L205" t="s">
        <v>73</v>
      </c>
      <c r="M205">
        <v>24232</v>
      </c>
      <c r="N205">
        <v>24232</v>
      </c>
      <c r="O205" t="s">
        <v>645</v>
      </c>
      <c r="P205" t="s">
        <v>69</v>
      </c>
      <c r="Q205" t="s">
        <v>1376</v>
      </c>
    </row>
    <row r="206" spans="1:17" x14ac:dyDescent="0.35">
      <c r="A206" t="s">
        <v>647</v>
      </c>
      <c r="B206">
        <v>2022</v>
      </c>
      <c r="C206" t="s">
        <v>1293</v>
      </c>
      <c r="D206" t="s">
        <v>334</v>
      </c>
      <c r="F206" t="s">
        <v>335</v>
      </c>
      <c r="H206" t="s">
        <v>648</v>
      </c>
      <c r="I206" t="s">
        <v>259</v>
      </c>
      <c r="J206" t="s">
        <v>260</v>
      </c>
      <c r="K206" t="s">
        <v>22</v>
      </c>
      <c r="L206" t="s">
        <v>73</v>
      </c>
      <c r="M206">
        <v>498</v>
      </c>
      <c r="N206">
        <v>498</v>
      </c>
      <c r="O206" t="s">
        <v>645</v>
      </c>
      <c r="P206" t="s">
        <v>69</v>
      </c>
      <c r="Q206" t="s">
        <v>1376</v>
      </c>
    </row>
    <row r="207" spans="1:17" x14ac:dyDescent="0.35">
      <c r="A207" t="s">
        <v>333</v>
      </c>
      <c r="B207">
        <v>2022</v>
      </c>
      <c r="C207" t="s">
        <v>1293</v>
      </c>
      <c r="D207" t="s">
        <v>334</v>
      </c>
      <c r="F207" t="s">
        <v>335</v>
      </c>
      <c r="H207" t="s">
        <v>1082</v>
      </c>
      <c r="I207" t="s">
        <v>259</v>
      </c>
      <c r="J207" t="s">
        <v>260</v>
      </c>
      <c r="K207" t="s">
        <v>22</v>
      </c>
      <c r="L207" t="s">
        <v>580</v>
      </c>
      <c r="M207">
        <v>141980</v>
      </c>
      <c r="N207">
        <v>4.4160749299999997</v>
      </c>
      <c r="O207" t="s">
        <v>645</v>
      </c>
      <c r="P207" t="s">
        <v>69</v>
      </c>
      <c r="Q207" t="s">
        <v>1329</v>
      </c>
    </row>
    <row r="208" spans="1:17" x14ac:dyDescent="0.35">
      <c r="A208" t="s">
        <v>1377</v>
      </c>
      <c r="B208">
        <v>2022</v>
      </c>
      <c r="C208" t="s">
        <v>1293</v>
      </c>
      <c r="D208" t="s">
        <v>334</v>
      </c>
      <c r="F208" t="s">
        <v>335</v>
      </c>
      <c r="H208" t="s">
        <v>59</v>
      </c>
      <c r="I208" t="s">
        <v>50</v>
      </c>
      <c r="J208" t="s">
        <v>51</v>
      </c>
      <c r="K208" t="s">
        <v>22</v>
      </c>
      <c r="L208" t="s">
        <v>39</v>
      </c>
      <c r="M208">
        <v>1.5</v>
      </c>
      <c r="N208">
        <v>1500000</v>
      </c>
      <c r="P208" t="s">
        <v>69</v>
      </c>
      <c r="Q208" t="s">
        <v>1376</v>
      </c>
    </row>
    <row r="209" spans="1:17" x14ac:dyDescent="0.35">
      <c r="A209" t="s">
        <v>1419</v>
      </c>
      <c r="B209">
        <v>2023</v>
      </c>
      <c r="C209" t="s">
        <v>1293</v>
      </c>
      <c r="D209" t="s">
        <v>334</v>
      </c>
      <c r="F209" t="s">
        <v>335</v>
      </c>
      <c r="H209" t="s">
        <v>547</v>
      </c>
      <c r="I209" t="s">
        <v>50</v>
      </c>
      <c r="K209" t="s">
        <v>22</v>
      </c>
      <c r="L209" t="s">
        <v>1393</v>
      </c>
      <c r="M209">
        <v>684879.00293064199</v>
      </c>
      <c r="N209">
        <v>684879.00293064199</v>
      </c>
      <c r="P209" t="s">
        <v>69</v>
      </c>
      <c r="Q209" t="s">
        <v>1394</v>
      </c>
    </row>
    <row r="210" spans="1:17" x14ac:dyDescent="0.35">
      <c r="A210" t="s">
        <v>1452</v>
      </c>
      <c r="B210">
        <v>2023</v>
      </c>
      <c r="C210" t="s">
        <v>1293</v>
      </c>
      <c r="D210" t="s">
        <v>334</v>
      </c>
      <c r="F210" t="s">
        <v>335</v>
      </c>
      <c r="I210" t="s">
        <v>50</v>
      </c>
      <c r="K210" t="s">
        <v>605</v>
      </c>
      <c r="L210" t="s">
        <v>1434</v>
      </c>
      <c r="M210">
        <v>15000000.064185901</v>
      </c>
      <c r="N210">
        <v>15000000.064185901</v>
      </c>
      <c r="P210" t="s">
        <v>69</v>
      </c>
      <c r="Q210" t="s">
        <v>1394</v>
      </c>
    </row>
    <row r="211" spans="1:17" x14ac:dyDescent="0.35">
      <c r="A211" t="s">
        <v>688</v>
      </c>
      <c r="B211">
        <v>2023</v>
      </c>
      <c r="C211" t="s">
        <v>1293</v>
      </c>
      <c r="D211" t="s">
        <v>338</v>
      </c>
      <c r="F211" t="s">
        <v>339</v>
      </c>
      <c r="H211" t="s">
        <v>59</v>
      </c>
      <c r="I211" t="s">
        <v>80</v>
      </c>
      <c r="J211" t="s">
        <v>81</v>
      </c>
      <c r="K211" t="s">
        <v>22</v>
      </c>
      <c r="L211" t="s">
        <v>23</v>
      </c>
      <c r="M211">
        <v>12412</v>
      </c>
      <c r="N211">
        <v>12412000</v>
      </c>
      <c r="P211" t="s">
        <v>299</v>
      </c>
      <c r="Q211" t="s">
        <v>1369</v>
      </c>
    </row>
    <row r="212" spans="1:17" x14ac:dyDescent="0.35">
      <c r="A212" t="s">
        <v>337</v>
      </c>
      <c r="B212">
        <v>2023</v>
      </c>
      <c r="C212" t="s">
        <v>1293</v>
      </c>
      <c r="D212" t="s">
        <v>338</v>
      </c>
      <c r="F212" t="s">
        <v>339</v>
      </c>
      <c r="H212" t="s">
        <v>59</v>
      </c>
      <c r="I212" t="s">
        <v>50</v>
      </c>
      <c r="J212" t="s">
        <v>51</v>
      </c>
      <c r="K212" t="s">
        <v>22</v>
      </c>
      <c r="L212" t="s">
        <v>23</v>
      </c>
      <c r="M212">
        <v>8764</v>
      </c>
      <c r="N212">
        <v>8764000</v>
      </c>
      <c r="P212" t="s">
        <v>299</v>
      </c>
      <c r="Q212" t="s">
        <v>1369</v>
      </c>
    </row>
    <row r="213" spans="1:17" x14ac:dyDescent="0.35">
      <c r="A213" t="s">
        <v>689</v>
      </c>
      <c r="B213">
        <v>2023</v>
      </c>
      <c r="C213" t="s">
        <v>1293</v>
      </c>
      <c r="D213" t="s">
        <v>338</v>
      </c>
      <c r="F213" t="s">
        <v>339</v>
      </c>
      <c r="H213" t="s">
        <v>116</v>
      </c>
      <c r="I213" t="s">
        <v>259</v>
      </c>
      <c r="J213" t="s">
        <v>1299</v>
      </c>
      <c r="K213" t="s">
        <v>22</v>
      </c>
      <c r="L213" t="s">
        <v>580</v>
      </c>
      <c r="M213">
        <v>253745</v>
      </c>
      <c r="N213">
        <v>7.8923576074999904</v>
      </c>
      <c r="P213" t="s">
        <v>299</v>
      </c>
      <c r="Q213" t="s">
        <v>1369</v>
      </c>
    </row>
    <row r="214" spans="1:17" x14ac:dyDescent="0.35">
      <c r="A214" t="s">
        <v>694</v>
      </c>
      <c r="B214">
        <v>2023</v>
      </c>
      <c r="C214" t="s">
        <v>1293</v>
      </c>
      <c r="D214" t="s">
        <v>341</v>
      </c>
      <c r="F214" t="s">
        <v>342</v>
      </c>
      <c r="H214" t="s">
        <v>59</v>
      </c>
      <c r="I214" t="s">
        <v>80</v>
      </c>
      <c r="J214" t="s">
        <v>81</v>
      </c>
      <c r="K214" t="s">
        <v>22</v>
      </c>
      <c r="L214" t="s">
        <v>23</v>
      </c>
      <c r="M214">
        <v>1027</v>
      </c>
      <c r="N214">
        <v>1027000</v>
      </c>
      <c r="P214" t="s">
        <v>61</v>
      </c>
      <c r="Q214" t="s">
        <v>1298</v>
      </c>
    </row>
    <row r="215" spans="1:17" x14ac:dyDescent="0.35">
      <c r="A215" t="s">
        <v>699</v>
      </c>
      <c r="B215">
        <v>2023</v>
      </c>
      <c r="C215" t="s">
        <v>1293</v>
      </c>
      <c r="D215" t="s">
        <v>341</v>
      </c>
      <c r="F215" t="s">
        <v>342</v>
      </c>
      <c r="H215" t="s">
        <v>116</v>
      </c>
      <c r="I215" t="s">
        <v>259</v>
      </c>
      <c r="J215" t="s">
        <v>1299</v>
      </c>
      <c r="K215" t="s">
        <v>22</v>
      </c>
      <c r="L215" t="s">
        <v>584</v>
      </c>
      <c r="M215">
        <v>5</v>
      </c>
      <c r="N215">
        <v>0.1555175</v>
      </c>
      <c r="P215" t="s">
        <v>61</v>
      </c>
      <c r="Q215" t="s">
        <v>1298</v>
      </c>
    </row>
    <row r="216" spans="1:17" x14ac:dyDescent="0.35">
      <c r="A216" t="s">
        <v>701</v>
      </c>
      <c r="B216">
        <v>2023</v>
      </c>
      <c r="C216" t="s">
        <v>1293</v>
      </c>
      <c r="D216" t="s">
        <v>341</v>
      </c>
      <c r="F216" t="s">
        <v>342</v>
      </c>
      <c r="H216" t="s">
        <v>59</v>
      </c>
      <c r="I216" t="s">
        <v>50</v>
      </c>
      <c r="J216" t="s">
        <v>51</v>
      </c>
      <c r="K216" t="s">
        <v>22</v>
      </c>
      <c r="L216" t="s">
        <v>23</v>
      </c>
      <c r="M216">
        <v>1139</v>
      </c>
      <c r="N216">
        <v>1139000</v>
      </c>
      <c r="P216" t="s">
        <v>61</v>
      </c>
      <c r="Q216" t="s">
        <v>1298</v>
      </c>
    </row>
    <row r="217" spans="1:17" x14ac:dyDescent="0.35">
      <c r="A217" t="s">
        <v>340</v>
      </c>
      <c r="B217">
        <v>2023</v>
      </c>
      <c r="C217" t="s">
        <v>1293</v>
      </c>
      <c r="D217" t="s">
        <v>341</v>
      </c>
      <c r="F217" t="s">
        <v>342</v>
      </c>
      <c r="H217" t="s">
        <v>59</v>
      </c>
      <c r="I217" t="s">
        <v>80</v>
      </c>
      <c r="J217" t="s">
        <v>81</v>
      </c>
      <c r="K217" t="s">
        <v>22</v>
      </c>
      <c r="L217" t="s">
        <v>23</v>
      </c>
      <c r="M217">
        <v>3769</v>
      </c>
      <c r="N217">
        <v>3769000</v>
      </c>
      <c r="O217" t="s">
        <v>703</v>
      </c>
      <c r="P217" t="s">
        <v>61</v>
      </c>
      <c r="Q217" t="s">
        <v>1298</v>
      </c>
    </row>
    <row r="218" spans="1:17" x14ac:dyDescent="0.35">
      <c r="A218" t="s">
        <v>702</v>
      </c>
      <c r="B218">
        <v>2023</v>
      </c>
      <c r="C218" t="s">
        <v>1293</v>
      </c>
      <c r="D218" t="s">
        <v>341</v>
      </c>
      <c r="F218" t="s">
        <v>342</v>
      </c>
      <c r="H218" t="s">
        <v>547</v>
      </c>
      <c r="I218" t="s">
        <v>259</v>
      </c>
      <c r="J218" t="s">
        <v>260</v>
      </c>
      <c r="K218" t="s">
        <v>22</v>
      </c>
      <c r="L218" t="s">
        <v>94</v>
      </c>
      <c r="M218">
        <v>8</v>
      </c>
      <c r="N218">
        <v>3628.7359999999999</v>
      </c>
      <c r="O218" t="s">
        <v>627</v>
      </c>
      <c r="P218" t="s">
        <v>61</v>
      </c>
      <c r="Q218" t="s">
        <v>1378</v>
      </c>
    </row>
    <row r="219" spans="1:17" x14ac:dyDescent="0.35">
      <c r="A219" t="s">
        <v>1420</v>
      </c>
      <c r="B219">
        <v>2023</v>
      </c>
      <c r="C219" t="s">
        <v>1293</v>
      </c>
      <c r="D219" t="s">
        <v>341</v>
      </c>
      <c r="F219" t="s">
        <v>342</v>
      </c>
      <c r="H219" t="s">
        <v>547</v>
      </c>
      <c r="I219" t="s">
        <v>50</v>
      </c>
      <c r="K219" t="s">
        <v>22</v>
      </c>
      <c r="L219" t="s">
        <v>1393</v>
      </c>
      <c r="M219">
        <v>6887709.0294729602</v>
      </c>
      <c r="N219">
        <v>6887709.0294729602</v>
      </c>
      <c r="P219" t="s">
        <v>61</v>
      </c>
      <c r="Q219" t="s">
        <v>1394</v>
      </c>
    </row>
    <row r="220" spans="1:17" x14ac:dyDescent="0.35">
      <c r="A220" t="s">
        <v>1453</v>
      </c>
      <c r="B220">
        <v>2023</v>
      </c>
      <c r="C220" t="s">
        <v>1293</v>
      </c>
      <c r="D220" t="s">
        <v>341</v>
      </c>
      <c r="F220" t="s">
        <v>342</v>
      </c>
      <c r="I220" t="s">
        <v>50</v>
      </c>
      <c r="K220" t="s">
        <v>605</v>
      </c>
      <c r="L220" t="s">
        <v>1434</v>
      </c>
      <c r="M220">
        <v>454900001.94654697</v>
      </c>
      <c r="N220">
        <v>454900001.94654697</v>
      </c>
      <c r="P220" t="s">
        <v>61</v>
      </c>
      <c r="Q220" t="s">
        <v>1394</v>
      </c>
    </row>
    <row r="221" spans="1:17" x14ac:dyDescent="0.35">
      <c r="A221" t="s">
        <v>632</v>
      </c>
      <c r="B221">
        <v>2024</v>
      </c>
      <c r="C221" t="s">
        <v>1293</v>
      </c>
      <c r="D221" t="s">
        <v>344</v>
      </c>
      <c r="F221" t="s">
        <v>347</v>
      </c>
      <c r="H221" t="s">
        <v>59</v>
      </c>
      <c r="I221" t="s">
        <v>80</v>
      </c>
      <c r="J221" t="s">
        <v>633</v>
      </c>
      <c r="K221" t="s">
        <v>22</v>
      </c>
      <c r="L221" t="s">
        <v>73</v>
      </c>
      <c r="M221">
        <v>1855271</v>
      </c>
      <c r="N221">
        <v>1855271</v>
      </c>
      <c r="P221" t="s">
        <v>345</v>
      </c>
      <c r="Q221" t="s">
        <v>1379</v>
      </c>
    </row>
    <row r="222" spans="1:17" x14ac:dyDescent="0.35">
      <c r="A222" t="s">
        <v>634</v>
      </c>
      <c r="B222">
        <v>2024</v>
      </c>
      <c r="C222" t="s">
        <v>1293</v>
      </c>
      <c r="D222" t="s">
        <v>344</v>
      </c>
      <c r="F222" t="s">
        <v>347</v>
      </c>
      <c r="H222" t="s">
        <v>59</v>
      </c>
      <c r="I222" t="s">
        <v>80</v>
      </c>
      <c r="J222" t="s">
        <v>81</v>
      </c>
      <c r="K222" t="s">
        <v>22</v>
      </c>
      <c r="L222" t="s">
        <v>73</v>
      </c>
      <c r="M222">
        <v>862000</v>
      </c>
      <c r="N222">
        <v>862000</v>
      </c>
      <c r="P222" t="s">
        <v>345</v>
      </c>
      <c r="Q222" t="s">
        <v>1379</v>
      </c>
    </row>
    <row r="223" spans="1:17" x14ac:dyDescent="0.35">
      <c r="A223" t="s">
        <v>343</v>
      </c>
      <c r="B223">
        <v>2024</v>
      </c>
      <c r="C223" t="s">
        <v>1293</v>
      </c>
      <c r="D223" t="s">
        <v>344</v>
      </c>
      <c r="F223" t="s">
        <v>347</v>
      </c>
      <c r="H223" t="s">
        <v>59</v>
      </c>
      <c r="I223" t="s">
        <v>50</v>
      </c>
      <c r="J223" t="s">
        <v>51</v>
      </c>
      <c r="K223" t="s">
        <v>22</v>
      </c>
      <c r="L223" t="s">
        <v>73</v>
      </c>
      <c r="M223">
        <v>841000</v>
      </c>
      <c r="N223">
        <v>841000</v>
      </c>
      <c r="P223" t="s">
        <v>345</v>
      </c>
      <c r="Q223" t="s">
        <v>1379</v>
      </c>
    </row>
    <row r="224" spans="1:17" x14ac:dyDescent="0.35">
      <c r="A224" t="s">
        <v>635</v>
      </c>
      <c r="B224">
        <v>2024</v>
      </c>
      <c r="C224" t="s">
        <v>1293</v>
      </c>
      <c r="D224" t="s">
        <v>344</v>
      </c>
      <c r="F224" t="s">
        <v>347</v>
      </c>
      <c r="H224" t="s">
        <v>116</v>
      </c>
      <c r="I224" t="s">
        <v>259</v>
      </c>
      <c r="J224" t="s">
        <v>1299</v>
      </c>
      <c r="K224" t="s">
        <v>22</v>
      </c>
      <c r="L224" t="s">
        <v>580</v>
      </c>
      <c r="M224">
        <v>112700</v>
      </c>
      <c r="N224">
        <v>3.5053644500000001</v>
      </c>
      <c r="P224" t="s">
        <v>345</v>
      </c>
      <c r="Q224" t="s">
        <v>1379</v>
      </c>
    </row>
    <row r="225" spans="1:17" x14ac:dyDescent="0.35">
      <c r="A225" t="s">
        <v>348</v>
      </c>
      <c r="B225">
        <v>2023</v>
      </c>
      <c r="C225" t="s">
        <v>1293</v>
      </c>
      <c r="D225" t="s">
        <v>352</v>
      </c>
      <c r="E225" t="s">
        <v>353</v>
      </c>
      <c r="F225" t="s">
        <v>354</v>
      </c>
      <c r="G225" t="s">
        <v>355</v>
      </c>
      <c r="H225" t="s">
        <v>349</v>
      </c>
      <c r="I225" t="s">
        <v>37</v>
      </c>
      <c r="J225" t="s">
        <v>350</v>
      </c>
      <c r="K225" t="s">
        <v>22</v>
      </c>
      <c r="L225" t="s">
        <v>23</v>
      </c>
      <c r="M225">
        <v>1111</v>
      </c>
      <c r="N225">
        <v>1111000</v>
      </c>
      <c r="O225" t="s">
        <v>351</v>
      </c>
      <c r="P225" t="s">
        <v>26</v>
      </c>
      <c r="Q225" t="s">
        <v>1295</v>
      </c>
    </row>
    <row r="226" spans="1:17" x14ac:dyDescent="0.35">
      <c r="A226" t="s">
        <v>721</v>
      </c>
      <c r="B226">
        <v>2023</v>
      </c>
      <c r="C226" t="s">
        <v>1293</v>
      </c>
      <c r="D226" t="s">
        <v>358</v>
      </c>
      <c r="F226" t="s">
        <v>360</v>
      </c>
      <c r="H226" t="s">
        <v>49</v>
      </c>
      <c r="I226" t="s">
        <v>259</v>
      </c>
      <c r="J226" t="s">
        <v>605</v>
      </c>
      <c r="K226" t="s">
        <v>605</v>
      </c>
      <c r="L226" t="s">
        <v>23</v>
      </c>
      <c r="M226">
        <v>6000</v>
      </c>
      <c r="O226" t="s">
        <v>722</v>
      </c>
      <c r="P226" t="s">
        <v>359</v>
      </c>
      <c r="Q226" t="s">
        <v>1380</v>
      </c>
    </row>
    <row r="227" spans="1:17" x14ac:dyDescent="0.35">
      <c r="A227" t="s">
        <v>357</v>
      </c>
      <c r="B227">
        <v>2023</v>
      </c>
      <c r="C227" t="s">
        <v>1293</v>
      </c>
      <c r="D227" t="s">
        <v>358</v>
      </c>
      <c r="F227" t="s">
        <v>360</v>
      </c>
      <c r="H227" t="s">
        <v>49</v>
      </c>
      <c r="I227" t="s">
        <v>80</v>
      </c>
      <c r="J227" t="s">
        <v>81</v>
      </c>
      <c r="K227" t="s">
        <v>22</v>
      </c>
      <c r="L227" t="s">
        <v>23</v>
      </c>
      <c r="M227">
        <v>3560</v>
      </c>
      <c r="N227">
        <v>3560000</v>
      </c>
      <c r="P227" t="s">
        <v>359</v>
      </c>
      <c r="Q227" t="s">
        <v>1380</v>
      </c>
    </row>
    <row r="228" spans="1:17" x14ac:dyDescent="0.35">
      <c r="A228" t="s">
        <v>1431</v>
      </c>
      <c r="B228">
        <v>2023</v>
      </c>
      <c r="C228" t="s">
        <v>1293</v>
      </c>
      <c r="D228" t="s">
        <v>358</v>
      </c>
      <c r="F228" t="s">
        <v>360</v>
      </c>
      <c r="H228" t="s">
        <v>49</v>
      </c>
      <c r="I228" t="s">
        <v>50</v>
      </c>
      <c r="K228" t="s">
        <v>22</v>
      </c>
      <c r="L228" t="s">
        <v>1432</v>
      </c>
      <c r="M228">
        <v>15782798.0675356</v>
      </c>
      <c r="N228">
        <v>15782798.0675356</v>
      </c>
      <c r="P228" t="s">
        <v>359</v>
      </c>
      <c r="Q228" t="s">
        <v>1394</v>
      </c>
    </row>
    <row r="229" spans="1:17" x14ac:dyDescent="0.35">
      <c r="A229" t="s">
        <v>1461</v>
      </c>
      <c r="B229">
        <v>2023</v>
      </c>
      <c r="C229" t="s">
        <v>1293</v>
      </c>
      <c r="D229" t="s">
        <v>358</v>
      </c>
      <c r="F229" t="s">
        <v>360</v>
      </c>
      <c r="I229" t="s">
        <v>50</v>
      </c>
      <c r="K229" t="s">
        <v>605</v>
      </c>
      <c r="L229" t="s">
        <v>1434</v>
      </c>
      <c r="M229">
        <v>478943002.04942799</v>
      </c>
      <c r="N229">
        <v>478943002.04942799</v>
      </c>
      <c r="P229" t="s">
        <v>359</v>
      </c>
      <c r="Q229" t="s">
        <v>1394</v>
      </c>
    </row>
    <row r="230" spans="1:17" x14ac:dyDescent="0.35">
      <c r="A230" t="s">
        <v>361</v>
      </c>
      <c r="B230">
        <v>2023</v>
      </c>
      <c r="C230" t="s">
        <v>1293</v>
      </c>
      <c r="E230" t="s">
        <v>362</v>
      </c>
      <c r="F230" t="s">
        <v>365</v>
      </c>
      <c r="G230" t="s">
        <v>366</v>
      </c>
      <c r="H230" t="s">
        <v>116</v>
      </c>
      <c r="I230" t="s">
        <v>50</v>
      </c>
      <c r="J230" t="s">
        <v>108</v>
      </c>
      <c r="K230" t="s">
        <v>22</v>
      </c>
      <c r="L230" t="s">
        <v>23</v>
      </c>
      <c r="M230">
        <v>122</v>
      </c>
      <c r="N230">
        <v>122000</v>
      </c>
      <c r="P230" t="s">
        <v>363</v>
      </c>
      <c r="Q230" t="s">
        <v>1381</v>
      </c>
    </row>
    <row r="231" spans="1:17" x14ac:dyDescent="0.35">
      <c r="A231" t="s">
        <v>719</v>
      </c>
      <c r="B231">
        <v>2023</v>
      </c>
      <c r="C231" t="s">
        <v>1293</v>
      </c>
      <c r="E231" t="s">
        <v>362</v>
      </c>
      <c r="F231" t="s">
        <v>365</v>
      </c>
      <c r="G231" t="s">
        <v>366</v>
      </c>
      <c r="H231" t="s">
        <v>116</v>
      </c>
      <c r="I231" t="s">
        <v>80</v>
      </c>
      <c r="J231" t="s">
        <v>81</v>
      </c>
      <c r="K231" t="s">
        <v>22</v>
      </c>
      <c r="L231" t="s">
        <v>23</v>
      </c>
      <c r="M231">
        <v>117</v>
      </c>
      <c r="N231">
        <v>117000</v>
      </c>
      <c r="P231" t="s">
        <v>363</v>
      </c>
      <c r="Q231" t="s">
        <v>1381</v>
      </c>
    </row>
    <row r="232" spans="1:17" x14ac:dyDescent="0.35">
      <c r="A232" t="s">
        <v>720</v>
      </c>
      <c r="B232">
        <v>2023</v>
      </c>
      <c r="C232" t="s">
        <v>1293</v>
      </c>
      <c r="E232" t="s">
        <v>362</v>
      </c>
      <c r="F232" t="s">
        <v>365</v>
      </c>
      <c r="G232" t="s">
        <v>366</v>
      </c>
      <c r="H232" t="s">
        <v>116</v>
      </c>
      <c r="I232" t="s">
        <v>259</v>
      </c>
      <c r="J232" t="s">
        <v>1299</v>
      </c>
      <c r="K232" t="s">
        <v>22</v>
      </c>
      <c r="L232" t="s">
        <v>580</v>
      </c>
      <c r="M232">
        <v>38757</v>
      </c>
      <c r="N232">
        <v>1.2054783495000001</v>
      </c>
      <c r="P232" t="s">
        <v>363</v>
      </c>
      <c r="Q232" t="s">
        <v>1381</v>
      </c>
    </row>
    <row r="233" spans="1:17" x14ac:dyDescent="0.35">
      <c r="A233" t="s">
        <v>669</v>
      </c>
      <c r="B233">
        <v>2023</v>
      </c>
      <c r="C233" t="s">
        <v>1293</v>
      </c>
      <c r="E233" t="s">
        <v>223</v>
      </c>
      <c r="G233" t="s">
        <v>225</v>
      </c>
      <c r="H233" t="s">
        <v>116</v>
      </c>
      <c r="I233" t="s">
        <v>259</v>
      </c>
      <c r="J233" t="s">
        <v>670</v>
      </c>
      <c r="K233" t="s">
        <v>22</v>
      </c>
      <c r="L233" t="s">
        <v>580</v>
      </c>
      <c r="M233">
        <v>187363</v>
      </c>
      <c r="N233">
        <v>5.8276450705</v>
      </c>
      <c r="P233" t="s">
        <v>111</v>
      </c>
      <c r="Q233" t="s">
        <v>1317</v>
      </c>
    </row>
    <row r="234" spans="1:17" x14ac:dyDescent="0.35">
      <c r="A234" t="s">
        <v>671</v>
      </c>
      <c r="B234">
        <v>2023</v>
      </c>
      <c r="C234" t="s">
        <v>1293</v>
      </c>
      <c r="E234" t="s">
        <v>223</v>
      </c>
      <c r="G234" t="s">
        <v>225</v>
      </c>
      <c r="H234" t="s">
        <v>583</v>
      </c>
      <c r="I234" t="s">
        <v>259</v>
      </c>
      <c r="J234" t="s">
        <v>670</v>
      </c>
      <c r="K234" t="s">
        <v>22</v>
      </c>
      <c r="L234" t="s">
        <v>580</v>
      </c>
      <c r="M234">
        <v>851723</v>
      </c>
      <c r="N234">
        <v>26.4915663305</v>
      </c>
      <c r="P234" t="s">
        <v>111</v>
      </c>
      <c r="Q234" t="s">
        <v>1317</v>
      </c>
    </row>
    <row r="235" spans="1:17" x14ac:dyDescent="0.35">
      <c r="A235" t="s">
        <v>672</v>
      </c>
      <c r="B235">
        <v>2023</v>
      </c>
      <c r="C235" t="s">
        <v>1293</v>
      </c>
      <c r="E235" t="s">
        <v>223</v>
      </c>
      <c r="G235" t="s">
        <v>225</v>
      </c>
      <c r="H235" t="s">
        <v>409</v>
      </c>
      <c r="I235" t="s">
        <v>259</v>
      </c>
      <c r="J235" t="s">
        <v>670</v>
      </c>
      <c r="K235" t="s">
        <v>22</v>
      </c>
      <c r="L235" t="s">
        <v>73</v>
      </c>
      <c r="M235">
        <v>34642</v>
      </c>
      <c r="N235">
        <v>34642</v>
      </c>
      <c r="P235" t="s">
        <v>111</v>
      </c>
      <c r="Q235" t="s">
        <v>1317</v>
      </c>
    </row>
    <row r="236" spans="1:17" x14ac:dyDescent="0.35">
      <c r="A236" t="s">
        <v>673</v>
      </c>
      <c r="B236">
        <v>2023</v>
      </c>
      <c r="C236" t="s">
        <v>1293</v>
      </c>
      <c r="E236" t="s">
        <v>223</v>
      </c>
      <c r="G236" t="s">
        <v>225</v>
      </c>
      <c r="H236" t="s">
        <v>547</v>
      </c>
      <c r="I236" t="s">
        <v>259</v>
      </c>
      <c r="J236" t="s">
        <v>670</v>
      </c>
      <c r="K236" t="s">
        <v>22</v>
      </c>
      <c r="L236" t="s">
        <v>73</v>
      </c>
      <c r="M236">
        <v>12154</v>
      </c>
      <c r="N236">
        <v>12154</v>
      </c>
      <c r="P236" t="s">
        <v>111</v>
      </c>
      <c r="Q236" t="s">
        <v>1317</v>
      </c>
    </row>
    <row r="237" spans="1:17" x14ac:dyDescent="0.35">
      <c r="A237" t="s">
        <v>367</v>
      </c>
      <c r="B237">
        <v>2023</v>
      </c>
      <c r="C237" t="s">
        <v>1293</v>
      </c>
      <c r="D237" t="s">
        <v>368</v>
      </c>
      <c r="E237" t="s">
        <v>223</v>
      </c>
      <c r="F237" t="s">
        <v>369</v>
      </c>
      <c r="G237" t="s">
        <v>225</v>
      </c>
      <c r="H237" t="s">
        <v>59</v>
      </c>
      <c r="I237" t="s">
        <v>50</v>
      </c>
      <c r="J237" t="s">
        <v>108</v>
      </c>
      <c r="K237" t="s">
        <v>22</v>
      </c>
      <c r="L237" t="s">
        <v>73</v>
      </c>
      <c r="M237">
        <v>965567</v>
      </c>
      <c r="N237">
        <v>965567</v>
      </c>
      <c r="P237" t="s">
        <v>111</v>
      </c>
      <c r="Q237" t="s">
        <v>1317</v>
      </c>
    </row>
    <row r="238" spans="1:17" x14ac:dyDescent="0.35">
      <c r="A238" t="s">
        <v>649</v>
      </c>
      <c r="B238">
        <v>2024</v>
      </c>
      <c r="C238" t="s">
        <v>1293</v>
      </c>
      <c r="D238" t="s">
        <v>372</v>
      </c>
      <c r="E238" t="s">
        <v>163</v>
      </c>
      <c r="F238" t="s">
        <v>373</v>
      </c>
      <c r="G238" t="s">
        <v>165</v>
      </c>
      <c r="H238" t="s">
        <v>547</v>
      </c>
      <c r="I238" t="s">
        <v>259</v>
      </c>
      <c r="J238" t="s">
        <v>260</v>
      </c>
      <c r="K238" t="s">
        <v>22</v>
      </c>
      <c r="L238" t="s">
        <v>73</v>
      </c>
      <c r="M238">
        <v>7154</v>
      </c>
      <c r="N238">
        <v>7154</v>
      </c>
      <c r="P238" t="s">
        <v>69</v>
      </c>
      <c r="Q238" t="s">
        <v>1336</v>
      </c>
    </row>
    <row r="239" spans="1:17" x14ac:dyDescent="0.35">
      <c r="A239" t="s">
        <v>371</v>
      </c>
      <c r="B239">
        <v>2024</v>
      </c>
      <c r="C239" t="s">
        <v>1293</v>
      </c>
      <c r="D239" t="s">
        <v>372</v>
      </c>
      <c r="E239" t="s">
        <v>163</v>
      </c>
      <c r="F239" t="s">
        <v>373</v>
      </c>
      <c r="G239" t="s">
        <v>165</v>
      </c>
      <c r="H239" t="s">
        <v>327</v>
      </c>
      <c r="I239" t="s">
        <v>259</v>
      </c>
      <c r="J239" t="s">
        <v>260</v>
      </c>
      <c r="K239" t="s">
        <v>22</v>
      </c>
      <c r="L239" t="s">
        <v>73</v>
      </c>
      <c r="M239">
        <v>7530</v>
      </c>
      <c r="N239">
        <v>7530</v>
      </c>
      <c r="O239" t="s">
        <v>651</v>
      </c>
      <c r="P239" t="s">
        <v>69</v>
      </c>
      <c r="Q239" t="s">
        <v>1336</v>
      </c>
    </row>
    <row r="240" spans="1:17" x14ac:dyDescent="0.35">
      <c r="A240" t="s">
        <v>650</v>
      </c>
      <c r="B240">
        <v>2024</v>
      </c>
      <c r="C240" t="s">
        <v>1293</v>
      </c>
      <c r="D240" t="s">
        <v>372</v>
      </c>
      <c r="E240" t="s">
        <v>163</v>
      </c>
      <c r="F240" t="s">
        <v>373</v>
      </c>
      <c r="G240" t="s">
        <v>165</v>
      </c>
      <c r="H240" t="s">
        <v>59</v>
      </c>
      <c r="I240" t="s">
        <v>50</v>
      </c>
      <c r="K240" t="s">
        <v>22</v>
      </c>
      <c r="L240" t="s">
        <v>73</v>
      </c>
      <c r="M240">
        <v>1025997</v>
      </c>
      <c r="N240">
        <v>1025997</v>
      </c>
      <c r="P240" t="s">
        <v>69</v>
      </c>
      <c r="Q240" t="s">
        <v>1336</v>
      </c>
    </row>
    <row r="241" spans="1:17" x14ac:dyDescent="0.35">
      <c r="A241" t="s">
        <v>375</v>
      </c>
      <c r="B241">
        <v>2024</v>
      </c>
      <c r="C241" t="s">
        <v>1293</v>
      </c>
      <c r="D241" t="s">
        <v>377</v>
      </c>
      <c r="E241" t="s">
        <v>163</v>
      </c>
      <c r="F241" t="s">
        <v>378</v>
      </c>
      <c r="G241" t="s">
        <v>165</v>
      </c>
      <c r="H241" t="s">
        <v>327</v>
      </c>
      <c r="I241" t="s">
        <v>20</v>
      </c>
      <c r="J241" t="s">
        <v>376</v>
      </c>
      <c r="K241" t="s">
        <v>22</v>
      </c>
      <c r="L241" t="s">
        <v>73</v>
      </c>
      <c r="M241">
        <v>62251</v>
      </c>
      <c r="N241">
        <v>62251</v>
      </c>
      <c r="P241" t="s">
        <v>69</v>
      </c>
      <c r="Q241" t="s">
        <v>1336</v>
      </c>
    </row>
    <row r="242" spans="1:17" x14ac:dyDescent="0.35">
      <c r="A242" t="s">
        <v>652</v>
      </c>
      <c r="B242">
        <v>2024</v>
      </c>
      <c r="C242" t="s">
        <v>1293</v>
      </c>
      <c r="D242" t="s">
        <v>377</v>
      </c>
      <c r="E242" t="s">
        <v>163</v>
      </c>
      <c r="F242" t="s">
        <v>378</v>
      </c>
      <c r="G242" t="s">
        <v>165</v>
      </c>
      <c r="H242" t="s">
        <v>547</v>
      </c>
      <c r="I242" t="s">
        <v>20</v>
      </c>
      <c r="J242" t="s">
        <v>376</v>
      </c>
      <c r="K242" t="s">
        <v>22</v>
      </c>
      <c r="L242" t="s">
        <v>73</v>
      </c>
      <c r="M242">
        <v>13720</v>
      </c>
      <c r="N242">
        <v>13720</v>
      </c>
      <c r="P242" t="s">
        <v>69</v>
      </c>
      <c r="Q242" t="s">
        <v>1336</v>
      </c>
    </row>
    <row r="243" spans="1:17" x14ac:dyDescent="0.35">
      <c r="A243" t="s">
        <v>1421</v>
      </c>
      <c r="B243">
        <v>2023</v>
      </c>
      <c r="C243" t="s">
        <v>1293</v>
      </c>
      <c r="D243" t="s">
        <v>377</v>
      </c>
      <c r="E243" t="s">
        <v>163</v>
      </c>
      <c r="F243" t="s">
        <v>378</v>
      </c>
      <c r="G243" t="s">
        <v>165</v>
      </c>
      <c r="H243" t="s">
        <v>547</v>
      </c>
      <c r="I243" t="s">
        <v>50</v>
      </c>
      <c r="K243" t="s">
        <v>22</v>
      </c>
      <c r="L243" t="s">
        <v>1393</v>
      </c>
      <c r="M243">
        <v>1431680.0061262499</v>
      </c>
      <c r="N243">
        <v>1431680.0061262499</v>
      </c>
      <c r="P243" t="s">
        <v>69</v>
      </c>
      <c r="Q243" t="s">
        <v>1394</v>
      </c>
    </row>
    <row r="244" spans="1:17" x14ac:dyDescent="0.35">
      <c r="A244" t="s">
        <v>1454</v>
      </c>
      <c r="B244">
        <v>2023</v>
      </c>
      <c r="C244" t="s">
        <v>1293</v>
      </c>
      <c r="D244" t="s">
        <v>377</v>
      </c>
      <c r="E244" t="s">
        <v>163</v>
      </c>
      <c r="F244" t="s">
        <v>378</v>
      </c>
      <c r="G244" t="s">
        <v>165</v>
      </c>
      <c r="I244" t="s">
        <v>50</v>
      </c>
      <c r="K244" t="s">
        <v>605</v>
      </c>
      <c r="L244" t="s">
        <v>1434</v>
      </c>
      <c r="M244">
        <v>16900000.0723162</v>
      </c>
      <c r="N244">
        <v>16900000.0723162</v>
      </c>
      <c r="P244" t="s">
        <v>69</v>
      </c>
      <c r="Q244" t="s">
        <v>1394</v>
      </c>
    </row>
    <row r="245" spans="1:17" x14ac:dyDescent="0.35">
      <c r="A245" t="s">
        <v>381</v>
      </c>
      <c r="B245">
        <v>2023</v>
      </c>
      <c r="C245" t="s">
        <v>1293</v>
      </c>
      <c r="D245" t="s">
        <v>382</v>
      </c>
      <c r="F245" t="s">
        <v>385</v>
      </c>
      <c r="H245" t="s">
        <v>116</v>
      </c>
      <c r="I245" t="s">
        <v>80</v>
      </c>
      <c r="J245" t="s">
        <v>81</v>
      </c>
      <c r="K245" t="s">
        <v>22</v>
      </c>
      <c r="L245" t="s">
        <v>73</v>
      </c>
      <c r="M245">
        <v>234671</v>
      </c>
      <c r="N245">
        <v>234671</v>
      </c>
      <c r="P245" t="s">
        <v>383</v>
      </c>
      <c r="Q245" t="s">
        <v>1382</v>
      </c>
    </row>
    <row r="246" spans="1:17" x14ac:dyDescent="0.35">
      <c r="A246" t="s">
        <v>718</v>
      </c>
      <c r="B246">
        <v>2023</v>
      </c>
      <c r="C246" t="s">
        <v>1293</v>
      </c>
      <c r="D246" t="s">
        <v>382</v>
      </c>
      <c r="F246" t="s">
        <v>385</v>
      </c>
      <c r="H246" t="s">
        <v>116</v>
      </c>
      <c r="I246" t="s">
        <v>259</v>
      </c>
      <c r="J246" t="s">
        <v>1299</v>
      </c>
      <c r="K246" t="s">
        <v>22</v>
      </c>
      <c r="L246" t="s">
        <v>580</v>
      </c>
      <c r="M246">
        <v>38659</v>
      </c>
      <c r="N246">
        <v>1.2024302065000001</v>
      </c>
      <c r="P246" t="s">
        <v>383</v>
      </c>
      <c r="Q246" t="s">
        <v>1382</v>
      </c>
    </row>
    <row r="247" spans="1:17" x14ac:dyDescent="0.35">
      <c r="A247" t="s">
        <v>386</v>
      </c>
      <c r="B247">
        <v>2022</v>
      </c>
      <c r="C247" t="s">
        <v>1293</v>
      </c>
      <c r="D247" t="s">
        <v>388</v>
      </c>
      <c r="F247" t="s">
        <v>391</v>
      </c>
      <c r="H247" t="s">
        <v>648</v>
      </c>
      <c r="I247" t="s">
        <v>37</v>
      </c>
      <c r="J247" t="s">
        <v>67</v>
      </c>
      <c r="K247" t="s">
        <v>22</v>
      </c>
      <c r="L247" t="s">
        <v>73</v>
      </c>
      <c r="M247">
        <v>3368</v>
      </c>
      <c r="N247">
        <v>3368</v>
      </c>
      <c r="O247" t="s">
        <v>387</v>
      </c>
      <c r="P247" t="s">
        <v>389</v>
      </c>
      <c r="Q247" t="s">
        <v>1383</v>
      </c>
    </row>
    <row r="248" spans="1:17" x14ac:dyDescent="0.35">
      <c r="A248" t="s">
        <v>717</v>
      </c>
      <c r="B248">
        <v>2022</v>
      </c>
      <c r="C248" t="s">
        <v>1293</v>
      </c>
      <c r="D248" t="s">
        <v>388</v>
      </c>
      <c r="F248" t="s">
        <v>391</v>
      </c>
      <c r="H248" t="s">
        <v>327</v>
      </c>
      <c r="I248" t="s">
        <v>37</v>
      </c>
      <c r="J248" t="s">
        <v>67</v>
      </c>
      <c r="K248" t="s">
        <v>22</v>
      </c>
      <c r="L248" t="s">
        <v>73</v>
      </c>
      <c r="M248">
        <v>32268</v>
      </c>
      <c r="N248">
        <v>32268</v>
      </c>
      <c r="P248" t="s">
        <v>389</v>
      </c>
      <c r="Q248" t="s">
        <v>1383</v>
      </c>
    </row>
    <row r="249" spans="1:17" x14ac:dyDescent="0.35">
      <c r="A249" t="s">
        <v>733</v>
      </c>
      <c r="B249">
        <v>2023</v>
      </c>
      <c r="C249" t="s">
        <v>1293</v>
      </c>
      <c r="D249" t="s">
        <v>394</v>
      </c>
      <c r="F249" t="s">
        <v>396</v>
      </c>
      <c r="H249" t="s">
        <v>547</v>
      </c>
      <c r="I249" t="s">
        <v>259</v>
      </c>
      <c r="J249" t="s">
        <v>260</v>
      </c>
      <c r="K249" t="s">
        <v>22</v>
      </c>
      <c r="L249" t="s">
        <v>23</v>
      </c>
      <c r="M249">
        <v>4.7</v>
      </c>
      <c r="N249">
        <v>4700</v>
      </c>
      <c r="O249" t="s">
        <v>734</v>
      </c>
      <c r="P249" t="s">
        <v>395</v>
      </c>
      <c r="Q249" t="s">
        <v>1315</v>
      </c>
    </row>
    <row r="250" spans="1:17" x14ac:dyDescent="0.35">
      <c r="A250" t="s">
        <v>735</v>
      </c>
      <c r="B250">
        <v>2023</v>
      </c>
      <c r="C250" t="s">
        <v>1293</v>
      </c>
      <c r="D250" t="s">
        <v>394</v>
      </c>
      <c r="F250" t="s">
        <v>396</v>
      </c>
      <c r="H250" t="s">
        <v>327</v>
      </c>
      <c r="I250" t="s">
        <v>259</v>
      </c>
      <c r="J250" t="s">
        <v>260</v>
      </c>
      <c r="K250" t="s">
        <v>22</v>
      </c>
      <c r="L250" t="s">
        <v>23</v>
      </c>
      <c r="M250">
        <v>7.9</v>
      </c>
      <c r="N250">
        <v>7900</v>
      </c>
      <c r="O250" t="s">
        <v>734</v>
      </c>
      <c r="P250" t="s">
        <v>395</v>
      </c>
      <c r="Q250" t="s">
        <v>1315</v>
      </c>
    </row>
    <row r="251" spans="1:17" x14ac:dyDescent="0.35">
      <c r="A251" t="s">
        <v>393</v>
      </c>
      <c r="B251">
        <v>2023</v>
      </c>
      <c r="C251" t="s">
        <v>1293</v>
      </c>
      <c r="D251" t="s">
        <v>394</v>
      </c>
      <c r="F251" t="s">
        <v>396</v>
      </c>
      <c r="H251" t="s">
        <v>59</v>
      </c>
      <c r="I251" t="s">
        <v>50</v>
      </c>
      <c r="J251" t="s">
        <v>51</v>
      </c>
      <c r="K251" t="s">
        <v>22</v>
      </c>
      <c r="L251" t="s">
        <v>23</v>
      </c>
      <c r="M251">
        <v>464.70588235294099</v>
      </c>
      <c r="N251">
        <v>464705.88235294097</v>
      </c>
      <c r="O251" t="s">
        <v>1384</v>
      </c>
      <c r="P251" t="s">
        <v>395</v>
      </c>
      <c r="Q251" t="s">
        <v>1310</v>
      </c>
    </row>
    <row r="252" spans="1:17" x14ac:dyDescent="0.35">
      <c r="A252" t="s">
        <v>1422</v>
      </c>
      <c r="B252">
        <v>2023</v>
      </c>
      <c r="C252" t="s">
        <v>1293</v>
      </c>
      <c r="D252" t="s">
        <v>394</v>
      </c>
      <c r="F252" t="s">
        <v>396</v>
      </c>
      <c r="H252" t="s">
        <v>547</v>
      </c>
      <c r="I252" t="s">
        <v>50</v>
      </c>
      <c r="K252" t="s">
        <v>22</v>
      </c>
      <c r="L252" t="s">
        <v>1393</v>
      </c>
      <c r="M252">
        <v>682000.00291832304</v>
      </c>
      <c r="N252">
        <v>682000.00291832304</v>
      </c>
      <c r="P252" t="s">
        <v>395</v>
      </c>
      <c r="Q252" t="s">
        <v>1394</v>
      </c>
    </row>
    <row r="253" spans="1:17" x14ac:dyDescent="0.35">
      <c r="A253" t="s">
        <v>1455</v>
      </c>
      <c r="B253">
        <v>2023</v>
      </c>
      <c r="C253" t="s">
        <v>1293</v>
      </c>
      <c r="D253" t="s">
        <v>394</v>
      </c>
      <c r="F253" t="s">
        <v>396</v>
      </c>
      <c r="I253" t="s">
        <v>50</v>
      </c>
      <c r="K253" t="s">
        <v>605</v>
      </c>
      <c r="L253" t="s">
        <v>1434</v>
      </c>
      <c r="M253">
        <v>87879592.968635201</v>
      </c>
      <c r="N253">
        <v>87879592.968635201</v>
      </c>
      <c r="P253" t="s">
        <v>395</v>
      </c>
      <c r="Q253" t="s">
        <v>1394</v>
      </c>
    </row>
    <row r="254" spans="1:17" x14ac:dyDescent="0.35">
      <c r="A254" t="s">
        <v>705</v>
      </c>
      <c r="B254">
        <v>2023</v>
      </c>
      <c r="C254" t="s">
        <v>1293</v>
      </c>
      <c r="E254" t="s">
        <v>399</v>
      </c>
      <c r="F254" t="s">
        <v>402</v>
      </c>
      <c r="G254" t="s">
        <v>403</v>
      </c>
      <c r="H254" t="s">
        <v>116</v>
      </c>
      <c r="I254" t="s">
        <v>80</v>
      </c>
      <c r="J254" t="s">
        <v>81</v>
      </c>
      <c r="K254" t="s">
        <v>22</v>
      </c>
      <c r="L254" t="s">
        <v>23</v>
      </c>
      <c r="M254">
        <v>1541</v>
      </c>
      <c r="N254">
        <v>1541000</v>
      </c>
      <c r="P254" t="s">
        <v>400</v>
      </c>
      <c r="Q254" t="s">
        <v>1385</v>
      </c>
    </row>
    <row r="255" spans="1:17" x14ac:dyDescent="0.35">
      <c r="A255" t="s">
        <v>398</v>
      </c>
      <c r="B255">
        <v>2023</v>
      </c>
      <c r="C255" t="s">
        <v>1293</v>
      </c>
      <c r="E255" t="s">
        <v>399</v>
      </c>
      <c r="F255" t="s">
        <v>402</v>
      </c>
      <c r="G255" t="s">
        <v>403</v>
      </c>
      <c r="H255" t="s">
        <v>116</v>
      </c>
      <c r="I255" t="s">
        <v>50</v>
      </c>
      <c r="J255" t="s">
        <v>51</v>
      </c>
      <c r="K255" t="s">
        <v>22</v>
      </c>
      <c r="L255" t="s">
        <v>23</v>
      </c>
      <c r="M255">
        <v>1574</v>
      </c>
      <c r="N255">
        <v>1574000</v>
      </c>
      <c r="P255" t="s">
        <v>400</v>
      </c>
      <c r="Q255" t="s">
        <v>1385</v>
      </c>
    </row>
    <row r="256" spans="1:17" x14ac:dyDescent="0.35">
      <c r="A256" t="s">
        <v>706</v>
      </c>
      <c r="B256">
        <v>2023</v>
      </c>
      <c r="C256" t="s">
        <v>1293</v>
      </c>
      <c r="E256" t="s">
        <v>399</v>
      </c>
      <c r="F256" t="s">
        <v>402</v>
      </c>
      <c r="G256" t="s">
        <v>403</v>
      </c>
      <c r="H256" t="s">
        <v>116</v>
      </c>
      <c r="I256" t="s">
        <v>259</v>
      </c>
      <c r="J256" t="s">
        <v>1299</v>
      </c>
      <c r="K256" t="s">
        <v>22</v>
      </c>
      <c r="L256" t="s">
        <v>584</v>
      </c>
      <c r="M256">
        <v>132.9</v>
      </c>
      <c r="N256">
        <v>4.1336551500000001</v>
      </c>
      <c r="P256" t="s">
        <v>400</v>
      </c>
      <c r="Q256" t="s">
        <v>1385</v>
      </c>
    </row>
    <row r="257" spans="1:17" x14ac:dyDescent="0.35">
      <c r="A257" t="s">
        <v>707</v>
      </c>
      <c r="B257">
        <v>2023</v>
      </c>
      <c r="C257" t="s">
        <v>1293</v>
      </c>
      <c r="E257" t="s">
        <v>399</v>
      </c>
      <c r="F257" t="s">
        <v>402</v>
      </c>
      <c r="G257" t="s">
        <v>403</v>
      </c>
      <c r="H257" t="s">
        <v>583</v>
      </c>
      <c r="I257" t="s">
        <v>259</v>
      </c>
      <c r="J257" t="s">
        <v>1299</v>
      </c>
      <c r="K257" t="s">
        <v>22</v>
      </c>
      <c r="L257" t="s">
        <v>584</v>
      </c>
      <c r="M257">
        <v>16</v>
      </c>
      <c r="N257">
        <v>0.49765599999999999</v>
      </c>
      <c r="P257" t="s">
        <v>400</v>
      </c>
      <c r="Q257" t="s">
        <v>1385</v>
      </c>
    </row>
    <row r="258" spans="1:17" x14ac:dyDescent="0.35">
      <c r="A258" t="s">
        <v>1386</v>
      </c>
      <c r="B258">
        <v>2023</v>
      </c>
      <c r="C258" t="s">
        <v>1293</v>
      </c>
      <c r="D258" t="s">
        <v>534</v>
      </c>
      <c r="E258" t="s">
        <v>404</v>
      </c>
      <c r="F258" t="s">
        <v>405</v>
      </c>
      <c r="G258" t="s">
        <v>406</v>
      </c>
      <c r="H258" t="s">
        <v>327</v>
      </c>
      <c r="I258" t="s">
        <v>259</v>
      </c>
      <c r="J258" t="s">
        <v>260</v>
      </c>
      <c r="K258" t="s">
        <v>22</v>
      </c>
      <c r="L258" t="s">
        <v>73</v>
      </c>
      <c r="M258">
        <v>6334</v>
      </c>
      <c r="N258">
        <v>6334</v>
      </c>
      <c r="O258" t="s">
        <v>1387</v>
      </c>
      <c r="P258" t="s">
        <v>395</v>
      </c>
      <c r="Q258" t="s">
        <v>1310</v>
      </c>
    </row>
    <row r="259" spans="1:17" x14ac:dyDescent="0.35">
      <c r="A259" t="s">
        <v>1388</v>
      </c>
      <c r="B259">
        <v>2023</v>
      </c>
      <c r="C259" t="s">
        <v>1293</v>
      </c>
      <c r="D259" t="s">
        <v>534</v>
      </c>
      <c r="E259" t="s">
        <v>404</v>
      </c>
      <c r="F259" t="s">
        <v>405</v>
      </c>
      <c r="G259" t="s">
        <v>406</v>
      </c>
      <c r="H259" t="s">
        <v>547</v>
      </c>
      <c r="I259" t="s">
        <v>259</v>
      </c>
      <c r="J259" t="s">
        <v>260</v>
      </c>
      <c r="K259" t="s">
        <v>22</v>
      </c>
      <c r="L259" t="s">
        <v>73</v>
      </c>
      <c r="M259">
        <v>7783</v>
      </c>
      <c r="N259">
        <v>7783</v>
      </c>
      <c r="O259" t="s">
        <v>1387</v>
      </c>
      <c r="P259" t="s">
        <v>395</v>
      </c>
      <c r="Q259" t="s">
        <v>1310</v>
      </c>
    </row>
    <row r="260" spans="1:17" x14ac:dyDescent="0.35">
      <c r="A260" t="s">
        <v>1389</v>
      </c>
      <c r="B260">
        <v>2023</v>
      </c>
      <c r="C260" t="s">
        <v>1293</v>
      </c>
      <c r="D260" t="s">
        <v>534</v>
      </c>
      <c r="E260" t="s">
        <v>404</v>
      </c>
      <c r="F260" t="s">
        <v>405</v>
      </c>
      <c r="G260" t="s">
        <v>406</v>
      </c>
      <c r="H260" t="s">
        <v>59</v>
      </c>
      <c r="I260" t="s">
        <v>50</v>
      </c>
      <c r="J260" t="s">
        <v>51</v>
      </c>
      <c r="K260" t="s">
        <v>22</v>
      </c>
      <c r="L260" t="s">
        <v>73</v>
      </c>
      <c r="M260">
        <v>414000</v>
      </c>
      <c r="N260">
        <v>414000</v>
      </c>
      <c r="O260" t="s">
        <v>1387</v>
      </c>
      <c r="P260" t="s">
        <v>395</v>
      </c>
      <c r="Q260" t="s">
        <v>1310</v>
      </c>
    </row>
    <row r="261" spans="1:17" x14ac:dyDescent="0.35">
      <c r="A261" t="s">
        <v>1423</v>
      </c>
      <c r="B261">
        <v>2023</v>
      </c>
      <c r="C261" t="s">
        <v>1293</v>
      </c>
      <c r="D261" t="s">
        <v>534</v>
      </c>
      <c r="E261" t="s">
        <v>404</v>
      </c>
      <c r="F261" t="s">
        <v>405</v>
      </c>
      <c r="G261" t="s">
        <v>406</v>
      </c>
      <c r="H261" t="s">
        <v>547</v>
      </c>
      <c r="I261" t="s">
        <v>50</v>
      </c>
      <c r="K261" t="s">
        <v>22</v>
      </c>
      <c r="L261" t="s">
        <v>1393</v>
      </c>
      <c r="M261">
        <v>518000.00221655599</v>
      </c>
      <c r="N261">
        <v>518000.00221655599</v>
      </c>
      <c r="P261" t="s">
        <v>395</v>
      </c>
      <c r="Q261" t="s">
        <v>1394</v>
      </c>
    </row>
    <row r="262" spans="1:17" x14ac:dyDescent="0.35">
      <c r="A262" t="s">
        <v>1456</v>
      </c>
      <c r="B262">
        <v>2023</v>
      </c>
      <c r="C262" t="s">
        <v>1293</v>
      </c>
      <c r="D262" t="s">
        <v>534</v>
      </c>
      <c r="E262" t="s">
        <v>404</v>
      </c>
      <c r="F262" t="s">
        <v>405</v>
      </c>
      <c r="G262" t="s">
        <v>406</v>
      </c>
      <c r="I262" t="s">
        <v>50</v>
      </c>
      <c r="K262" t="s">
        <v>605</v>
      </c>
      <c r="L262" t="s">
        <v>1434</v>
      </c>
      <c r="M262">
        <v>2453000.01049654</v>
      </c>
      <c r="N262">
        <v>2453000.01049654</v>
      </c>
      <c r="P262" t="s">
        <v>395</v>
      </c>
      <c r="Q262" t="s">
        <v>1394</v>
      </c>
    </row>
    <row r="263" spans="1:17" x14ac:dyDescent="0.35">
      <c r="A263" t="s">
        <v>408</v>
      </c>
      <c r="B263">
        <v>2024</v>
      </c>
      <c r="C263" t="s">
        <v>1293</v>
      </c>
      <c r="D263" t="s">
        <v>410</v>
      </c>
      <c r="F263" t="s">
        <v>411</v>
      </c>
      <c r="H263" t="s">
        <v>409</v>
      </c>
      <c r="I263" t="s">
        <v>37</v>
      </c>
      <c r="J263" t="s">
        <v>67</v>
      </c>
      <c r="K263" t="s">
        <v>22</v>
      </c>
      <c r="L263" t="s">
        <v>23</v>
      </c>
      <c r="M263">
        <v>256</v>
      </c>
      <c r="N263">
        <v>256000</v>
      </c>
      <c r="P263" t="s">
        <v>188</v>
      </c>
      <c r="Q263" t="s">
        <v>1345</v>
      </c>
    </row>
    <row r="264" spans="1:17" x14ac:dyDescent="0.35">
      <c r="A264" t="s">
        <v>1424</v>
      </c>
      <c r="B264">
        <v>2023</v>
      </c>
      <c r="C264" t="s">
        <v>1293</v>
      </c>
      <c r="D264" t="s">
        <v>1425</v>
      </c>
      <c r="F264" t="s">
        <v>1427</v>
      </c>
      <c r="H264" t="s">
        <v>547</v>
      </c>
      <c r="I264" t="s">
        <v>50</v>
      </c>
      <c r="K264" t="s">
        <v>22</v>
      </c>
      <c r="L264" t="s">
        <v>1393</v>
      </c>
      <c r="M264">
        <v>0</v>
      </c>
      <c r="N264">
        <v>0</v>
      </c>
      <c r="P264" t="s">
        <v>1426</v>
      </c>
      <c r="Q264" t="s">
        <v>1394</v>
      </c>
    </row>
    <row r="265" spans="1:17" x14ac:dyDescent="0.35">
      <c r="A265" t="s">
        <v>1457</v>
      </c>
      <c r="B265">
        <v>2023</v>
      </c>
      <c r="C265" t="s">
        <v>1293</v>
      </c>
      <c r="D265" t="s">
        <v>1425</v>
      </c>
      <c r="F265" t="s">
        <v>1427</v>
      </c>
      <c r="I265" t="s">
        <v>50</v>
      </c>
      <c r="K265" t="s">
        <v>605</v>
      </c>
      <c r="L265" t="s">
        <v>1434</v>
      </c>
      <c r="M265">
        <v>87879592.968635201</v>
      </c>
      <c r="N265">
        <v>87879592.968635201</v>
      </c>
      <c r="P265" t="s">
        <v>1426</v>
      </c>
      <c r="Q265" t="s">
        <v>1394</v>
      </c>
    </row>
    <row r="266" spans="1:17" x14ac:dyDescent="0.35">
      <c r="A266" t="s">
        <v>414</v>
      </c>
      <c r="B266">
        <v>2023</v>
      </c>
      <c r="C266" t="s">
        <v>1293</v>
      </c>
      <c r="D266" t="s">
        <v>417</v>
      </c>
      <c r="E266" t="s">
        <v>25</v>
      </c>
      <c r="F266" t="s">
        <v>418</v>
      </c>
      <c r="G266" t="s">
        <v>28</v>
      </c>
      <c r="H266" t="s">
        <v>415</v>
      </c>
      <c r="I266" t="s">
        <v>20</v>
      </c>
      <c r="J266" t="s">
        <v>416</v>
      </c>
      <c r="K266" t="s">
        <v>22</v>
      </c>
      <c r="L266" t="s">
        <v>23</v>
      </c>
      <c r="M266">
        <v>1391.8058030326899</v>
      </c>
      <c r="N266">
        <v>1391805.80303269</v>
      </c>
      <c r="P266" t="s">
        <v>26</v>
      </c>
      <c r="Q266" t="s">
        <v>1295</v>
      </c>
    </row>
    <row r="267" spans="1:17" x14ac:dyDescent="0.35">
      <c r="A267" t="s">
        <v>736</v>
      </c>
      <c r="B267">
        <v>2023</v>
      </c>
      <c r="C267" t="s">
        <v>1293</v>
      </c>
      <c r="D267" t="s">
        <v>420</v>
      </c>
      <c r="F267" t="s">
        <v>421</v>
      </c>
      <c r="H267" t="s">
        <v>547</v>
      </c>
      <c r="I267" t="s">
        <v>259</v>
      </c>
      <c r="J267" t="s">
        <v>260</v>
      </c>
      <c r="K267" t="s">
        <v>22</v>
      </c>
      <c r="L267" t="s">
        <v>23</v>
      </c>
      <c r="M267">
        <v>9.6</v>
      </c>
      <c r="N267">
        <v>9600</v>
      </c>
      <c r="O267" t="s">
        <v>734</v>
      </c>
      <c r="P267" t="s">
        <v>395</v>
      </c>
      <c r="Q267" t="s">
        <v>1315</v>
      </c>
    </row>
    <row r="268" spans="1:17" x14ac:dyDescent="0.35">
      <c r="A268" t="s">
        <v>737</v>
      </c>
      <c r="B268">
        <v>2023</v>
      </c>
      <c r="C268" t="s">
        <v>1293</v>
      </c>
      <c r="D268" t="s">
        <v>420</v>
      </c>
      <c r="F268" t="s">
        <v>421</v>
      </c>
      <c r="H268" t="s">
        <v>327</v>
      </c>
      <c r="I268" t="s">
        <v>259</v>
      </c>
      <c r="J268" t="s">
        <v>260</v>
      </c>
      <c r="K268" t="s">
        <v>22</v>
      </c>
      <c r="L268" t="s">
        <v>23</v>
      </c>
      <c r="M268">
        <v>13.5</v>
      </c>
      <c r="N268">
        <v>13500</v>
      </c>
      <c r="O268" t="s">
        <v>734</v>
      </c>
      <c r="P268" t="s">
        <v>395</v>
      </c>
      <c r="Q268" t="s">
        <v>1315</v>
      </c>
    </row>
    <row r="269" spans="1:17" x14ac:dyDescent="0.35">
      <c r="A269" t="s">
        <v>419</v>
      </c>
      <c r="B269">
        <v>2023</v>
      </c>
      <c r="C269" t="s">
        <v>1293</v>
      </c>
      <c r="D269" t="s">
        <v>420</v>
      </c>
      <c r="F269" t="s">
        <v>421</v>
      </c>
      <c r="H269" t="s">
        <v>59</v>
      </c>
      <c r="I269" t="s">
        <v>50</v>
      </c>
      <c r="J269" t="s">
        <v>51</v>
      </c>
      <c r="K269" t="s">
        <v>22</v>
      </c>
      <c r="L269" t="s">
        <v>23</v>
      </c>
      <c r="M269">
        <v>794.11764705882297</v>
      </c>
      <c r="N269">
        <v>794117.64705882303</v>
      </c>
      <c r="O269" t="s">
        <v>1384</v>
      </c>
      <c r="P269" t="s">
        <v>395</v>
      </c>
      <c r="Q269" t="s">
        <v>1310</v>
      </c>
    </row>
    <row r="270" spans="1:17" x14ac:dyDescent="0.35">
      <c r="A270" t="s">
        <v>1428</v>
      </c>
      <c r="B270">
        <v>2023</v>
      </c>
      <c r="C270" t="s">
        <v>1293</v>
      </c>
      <c r="D270" t="s">
        <v>420</v>
      </c>
      <c r="F270" t="s">
        <v>421</v>
      </c>
      <c r="H270" t="s">
        <v>547</v>
      </c>
      <c r="I270" t="s">
        <v>50</v>
      </c>
      <c r="K270" t="s">
        <v>22</v>
      </c>
      <c r="L270" t="s">
        <v>1393</v>
      </c>
      <c r="M270">
        <v>1760000.00753115</v>
      </c>
      <c r="N270">
        <v>1760000.00753115</v>
      </c>
      <c r="P270" t="s">
        <v>395</v>
      </c>
      <c r="Q270" t="s">
        <v>1394</v>
      </c>
    </row>
    <row r="271" spans="1:17" x14ac:dyDescent="0.35">
      <c r="A271" t="s">
        <v>1458</v>
      </c>
      <c r="B271">
        <v>2023</v>
      </c>
      <c r="C271" t="s">
        <v>1293</v>
      </c>
      <c r="D271" t="s">
        <v>420</v>
      </c>
      <c r="F271" t="s">
        <v>421</v>
      </c>
      <c r="I271" t="s">
        <v>50</v>
      </c>
      <c r="K271" t="s">
        <v>605</v>
      </c>
      <c r="L271" t="s">
        <v>1434</v>
      </c>
      <c r="M271">
        <v>31100000.133078899</v>
      </c>
      <c r="N271">
        <v>31100000.133078899</v>
      </c>
      <c r="P271" t="s">
        <v>395</v>
      </c>
      <c r="Q271" t="s">
        <v>1394</v>
      </c>
    </row>
    <row r="272" spans="1:17" x14ac:dyDescent="0.35">
      <c r="A272" t="s">
        <v>423</v>
      </c>
      <c r="B272">
        <v>2023</v>
      </c>
      <c r="C272" t="s">
        <v>1293</v>
      </c>
      <c r="D272" t="s">
        <v>424</v>
      </c>
      <c r="F272" t="s">
        <v>427</v>
      </c>
      <c r="H272" t="s">
        <v>59</v>
      </c>
      <c r="I272" t="s">
        <v>50</v>
      </c>
      <c r="J272" t="s">
        <v>108</v>
      </c>
      <c r="K272" t="s">
        <v>22</v>
      </c>
      <c r="L272" t="s">
        <v>23</v>
      </c>
      <c r="M272">
        <v>1034</v>
      </c>
      <c r="N272">
        <v>1034000</v>
      </c>
      <c r="P272" t="s">
        <v>425</v>
      </c>
      <c r="Q272" t="s">
        <v>1390</v>
      </c>
    </row>
    <row r="273" spans="1:17" x14ac:dyDescent="0.35">
      <c r="A273" t="s">
        <v>674</v>
      </c>
      <c r="B273">
        <v>2023</v>
      </c>
      <c r="C273" t="s">
        <v>1293</v>
      </c>
      <c r="D273" t="s">
        <v>424</v>
      </c>
      <c r="F273" t="s">
        <v>427</v>
      </c>
      <c r="H273" t="s">
        <v>59</v>
      </c>
      <c r="I273" t="s">
        <v>80</v>
      </c>
      <c r="J273" t="s">
        <v>81</v>
      </c>
      <c r="K273" t="s">
        <v>22</v>
      </c>
      <c r="L273" t="s">
        <v>23</v>
      </c>
      <c r="M273">
        <v>1022</v>
      </c>
      <c r="N273">
        <v>1022000</v>
      </c>
      <c r="P273" t="s">
        <v>425</v>
      </c>
      <c r="Q273" t="s">
        <v>1390</v>
      </c>
    </row>
    <row r="274" spans="1:17" x14ac:dyDescent="0.35">
      <c r="A274" t="s">
        <v>675</v>
      </c>
      <c r="B274">
        <v>2023</v>
      </c>
      <c r="C274" t="s">
        <v>1293</v>
      </c>
      <c r="D274" t="s">
        <v>424</v>
      </c>
      <c r="F274" t="s">
        <v>427</v>
      </c>
      <c r="H274" t="s">
        <v>116</v>
      </c>
      <c r="I274" t="s">
        <v>259</v>
      </c>
      <c r="J274" t="s">
        <v>1299</v>
      </c>
      <c r="K274" t="s">
        <v>22</v>
      </c>
      <c r="L274" t="s">
        <v>584</v>
      </c>
      <c r="M274">
        <v>93</v>
      </c>
      <c r="N274">
        <v>2.8926254999999998</v>
      </c>
      <c r="P274" t="s">
        <v>425</v>
      </c>
      <c r="Q274" t="s">
        <v>1390</v>
      </c>
    </row>
    <row r="275" spans="1:17" x14ac:dyDescent="0.35">
      <c r="A275" t="s">
        <v>1391</v>
      </c>
      <c r="B275">
        <v>2023</v>
      </c>
      <c r="C275" t="s">
        <v>1293</v>
      </c>
      <c r="D275" t="s">
        <v>424</v>
      </c>
      <c r="F275" t="s">
        <v>427</v>
      </c>
      <c r="H275" t="s">
        <v>583</v>
      </c>
      <c r="I275" t="s">
        <v>259</v>
      </c>
      <c r="J275" t="s">
        <v>1299</v>
      </c>
      <c r="K275" t="s">
        <v>22</v>
      </c>
      <c r="L275" t="s">
        <v>580</v>
      </c>
      <c r="M275">
        <v>36754</v>
      </c>
      <c r="N275">
        <v>1.1431780389999999</v>
      </c>
      <c r="P275" t="s">
        <v>425</v>
      </c>
      <c r="Q275" t="s">
        <v>1329</v>
      </c>
    </row>
    <row r="276" spans="1:17" x14ac:dyDescent="0.35">
      <c r="A276" t="s">
        <v>602</v>
      </c>
      <c r="B276">
        <v>2023</v>
      </c>
      <c r="C276" t="s">
        <v>1293</v>
      </c>
      <c r="D276" t="s">
        <v>429</v>
      </c>
      <c r="F276" t="s">
        <v>430</v>
      </c>
      <c r="H276" t="s">
        <v>116</v>
      </c>
      <c r="I276" t="s">
        <v>259</v>
      </c>
      <c r="J276" t="s">
        <v>1299</v>
      </c>
      <c r="K276" t="s">
        <v>22</v>
      </c>
      <c r="L276" t="s">
        <v>580</v>
      </c>
      <c r="M276">
        <v>185100</v>
      </c>
      <c r="N276">
        <v>5.7572578499999896</v>
      </c>
      <c r="P276" t="s">
        <v>197</v>
      </c>
      <c r="Q276" t="s">
        <v>1346</v>
      </c>
    </row>
    <row r="277" spans="1:17" x14ac:dyDescent="0.35">
      <c r="A277" t="s">
        <v>603</v>
      </c>
      <c r="B277">
        <v>2023</v>
      </c>
      <c r="C277" t="s">
        <v>1293</v>
      </c>
      <c r="D277" t="s">
        <v>429</v>
      </c>
      <c r="F277" t="s">
        <v>430</v>
      </c>
      <c r="H277" t="s">
        <v>116</v>
      </c>
      <c r="I277" t="s">
        <v>80</v>
      </c>
      <c r="J277" t="s">
        <v>81</v>
      </c>
      <c r="K277" t="s">
        <v>22</v>
      </c>
      <c r="L277" t="s">
        <v>73</v>
      </c>
      <c r="M277">
        <v>2878155</v>
      </c>
      <c r="N277">
        <v>2878155</v>
      </c>
      <c r="P277" t="s">
        <v>197</v>
      </c>
      <c r="Q277" t="s">
        <v>1346</v>
      </c>
    </row>
    <row r="278" spans="1:17" x14ac:dyDescent="0.35">
      <c r="A278" t="s">
        <v>428</v>
      </c>
      <c r="B278">
        <v>2023</v>
      </c>
      <c r="C278" t="s">
        <v>1293</v>
      </c>
      <c r="D278" t="s">
        <v>429</v>
      </c>
      <c r="F278" t="s">
        <v>430</v>
      </c>
      <c r="H278" t="s">
        <v>116</v>
      </c>
      <c r="I278" t="s">
        <v>50</v>
      </c>
      <c r="J278" t="s">
        <v>51</v>
      </c>
      <c r="K278" t="s">
        <v>22</v>
      </c>
      <c r="L278" t="s">
        <v>73</v>
      </c>
      <c r="M278">
        <v>2878047</v>
      </c>
      <c r="N278">
        <v>2878047</v>
      </c>
      <c r="P278" t="s">
        <v>197</v>
      </c>
      <c r="Q278" t="s">
        <v>1346</v>
      </c>
    </row>
  </sheetData>
  <autoFilter ref="A1:Q278" xr:uid="{3A35163C-6C25-4317-AF36-C99FD8FDAA8B}"/>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4.5" x14ac:dyDescent="0.35"/>
  <cols>
    <col min="1" max="1" width="16.453125" customWidth="1"/>
    <col min="2" max="2" width="18" bestFit="1" customWidth="1"/>
    <col min="3" max="3" width="29.7265625" bestFit="1" customWidth="1"/>
    <col min="4" max="4" width="43.1796875" bestFit="1" customWidth="1"/>
    <col min="5" max="5" width="36.08984375" bestFit="1" customWidth="1"/>
  </cols>
  <sheetData>
    <row r="1" spans="1:6" x14ac:dyDescent="0.35">
      <c r="A1" s="1" t="s">
        <v>1175</v>
      </c>
      <c r="B1" s="1" t="s">
        <v>1177</v>
      </c>
      <c r="C1" s="1" t="s">
        <v>1178</v>
      </c>
      <c r="D1" s="1" t="s">
        <v>1180</v>
      </c>
      <c r="E1" s="1" t="s">
        <v>1183</v>
      </c>
      <c r="F1" s="1" t="s">
        <v>1185</v>
      </c>
    </row>
    <row r="2" spans="1:6" x14ac:dyDescent="0.35">
      <c r="A2" t="s">
        <v>1176</v>
      </c>
      <c r="B2" t="s">
        <v>53</v>
      </c>
      <c r="C2" t="s">
        <v>56</v>
      </c>
      <c r="D2" t="s">
        <v>150</v>
      </c>
      <c r="E2" t="s">
        <v>1181</v>
      </c>
    </row>
    <row r="3" spans="1:6" x14ac:dyDescent="0.35">
      <c r="A3" t="s">
        <v>1179</v>
      </c>
      <c r="B3" t="s">
        <v>82</v>
      </c>
      <c r="C3" t="s">
        <v>84</v>
      </c>
      <c r="D3" t="s">
        <v>150</v>
      </c>
      <c r="E3" t="s">
        <v>1181</v>
      </c>
    </row>
    <row r="4" spans="1:6" x14ac:dyDescent="0.35">
      <c r="A4" s="15" t="s">
        <v>1176</v>
      </c>
      <c r="B4" s="15" t="s">
        <v>521</v>
      </c>
      <c r="C4" s="15" t="s">
        <v>522</v>
      </c>
      <c r="D4" s="15" t="s">
        <v>407</v>
      </c>
      <c r="E4" s="15" t="s">
        <v>1181</v>
      </c>
    </row>
    <row r="5" spans="1:6" x14ac:dyDescent="0.35">
      <c r="A5" s="15" t="s">
        <v>1176</v>
      </c>
      <c r="B5" s="15" t="s">
        <v>528</v>
      </c>
      <c r="C5" s="15" t="s">
        <v>529</v>
      </c>
      <c r="D5" s="15" t="s">
        <v>407</v>
      </c>
      <c r="E5" s="15" t="s">
        <v>1181</v>
      </c>
    </row>
    <row r="6" spans="1:6" x14ac:dyDescent="0.35">
      <c r="A6" t="s">
        <v>1176</v>
      </c>
      <c r="B6" t="s">
        <v>140</v>
      </c>
      <c r="C6" t="s">
        <v>143</v>
      </c>
      <c r="D6" t="s">
        <v>116</v>
      </c>
      <c r="E6" t="s">
        <v>1181</v>
      </c>
      <c r="F6" t="s">
        <v>1184</v>
      </c>
    </row>
    <row r="7" spans="1:6" x14ac:dyDescent="0.35">
      <c r="A7" t="s">
        <v>1176</v>
      </c>
      <c r="B7" t="s">
        <v>157</v>
      </c>
      <c r="C7" t="s">
        <v>160</v>
      </c>
      <c r="D7" t="s">
        <v>116</v>
      </c>
      <c r="E7" t="s">
        <v>1181</v>
      </c>
    </row>
    <row r="8" spans="1:6" x14ac:dyDescent="0.35">
      <c r="A8" s="15" t="s">
        <v>1176</v>
      </c>
      <c r="B8" s="15" t="s">
        <v>530</v>
      </c>
      <c r="C8" s="15" t="s">
        <v>531</v>
      </c>
      <c r="D8" s="15" t="s">
        <v>407</v>
      </c>
      <c r="E8" s="15" t="s">
        <v>1181</v>
      </c>
    </row>
    <row r="9" spans="1:6" x14ac:dyDescent="0.35">
      <c r="A9" t="s">
        <v>1176</v>
      </c>
      <c r="B9" t="s">
        <v>187</v>
      </c>
      <c r="C9" t="s">
        <v>189</v>
      </c>
      <c r="D9" t="s">
        <v>190</v>
      </c>
      <c r="E9" t="s">
        <v>1181</v>
      </c>
    </row>
    <row r="10" spans="1:6" x14ac:dyDescent="0.35">
      <c r="A10" t="s">
        <v>1176</v>
      </c>
      <c r="B10" t="s">
        <v>206</v>
      </c>
      <c r="C10" t="s">
        <v>207</v>
      </c>
      <c r="D10" t="s">
        <v>208</v>
      </c>
      <c r="E10" t="s">
        <v>1181</v>
      </c>
    </row>
    <row r="11" spans="1:6" x14ac:dyDescent="0.35">
      <c r="A11" s="15" t="s">
        <v>1176</v>
      </c>
      <c r="B11" s="16" t="s">
        <v>222</v>
      </c>
      <c r="C11" s="15" t="s">
        <v>224</v>
      </c>
      <c r="D11" s="15"/>
      <c r="E11" s="15"/>
    </row>
    <row r="12" spans="1:6" x14ac:dyDescent="0.35">
      <c r="A12" t="s">
        <v>1176</v>
      </c>
      <c r="B12" t="s">
        <v>244</v>
      </c>
      <c r="C12" t="s">
        <v>247</v>
      </c>
      <c r="D12" t="s">
        <v>65</v>
      </c>
      <c r="E12" t="s">
        <v>1181</v>
      </c>
    </row>
    <row r="13" spans="1:6" x14ac:dyDescent="0.35">
      <c r="A13" t="s">
        <v>1176</v>
      </c>
      <c r="B13" t="s">
        <v>268</v>
      </c>
      <c r="C13" t="s">
        <v>271</v>
      </c>
      <c r="D13" t="s">
        <v>272</v>
      </c>
      <c r="E13" t="s">
        <v>1181</v>
      </c>
    </row>
    <row r="14" spans="1:6" x14ac:dyDescent="0.35">
      <c r="A14" t="s">
        <v>1176</v>
      </c>
      <c r="B14" t="s">
        <v>289</v>
      </c>
      <c r="C14" t="s">
        <v>292</v>
      </c>
      <c r="D14" t="s">
        <v>293</v>
      </c>
      <c r="E14" t="s">
        <v>1181</v>
      </c>
    </row>
    <row r="15" spans="1:6" x14ac:dyDescent="0.35">
      <c r="A15" s="15" t="s">
        <v>1176</v>
      </c>
      <c r="B15" s="15" t="s">
        <v>302</v>
      </c>
      <c r="C15" s="15" t="s">
        <v>303</v>
      </c>
      <c r="D15" s="15"/>
      <c r="E15" s="15"/>
    </row>
    <row r="16" spans="1:6" x14ac:dyDescent="0.35">
      <c r="A16" t="s">
        <v>1179</v>
      </c>
      <c r="B16" t="s">
        <v>358</v>
      </c>
      <c r="C16" t="s">
        <v>360</v>
      </c>
      <c r="D16" t="s">
        <v>150</v>
      </c>
      <c r="E16" t="s">
        <v>1181</v>
      </c>
    </row>
    <row r="17" spans="1:6" x14ac:dyDescent="0.35">
      <c r="A17" s="15" t="s">
        <v>1179</v>
      </c>
      <c r="B17" s="16" t="s">
        <v>223</v>
      </c>
      <c r="C17" s="15" t="s">
        <v>225</v>
      </c>
      <c r="D17" s="15"/>
      <c r="E17" s="15"/>
    </row>
    <row r="18" spans="1:6" x14ac:dyDescent="0.35">
      <c r="A18" s="15" t="s">
        <v>1176</v>
      </c>
      <c r="B18" s="15" t="s">
        <v>368</v>
      </c>
      <c r="C18" s="15" t="s">
        <v>369</v>
      </c>
      <c r="D18" s="15"/>
      <c r="E18" s="15"/>
    </row>
    <row r="19" spans="1:6" x14ac:dyDescent="0.35">
      <c r="A19" t="s">
        <v>1176</v>
      </c>
      <c r="B19" t="s">
        <v>382</v>
      </c>
      <c r="C19" t="s">
        <v>385</v>
      </c>
      <c r="D19" t="s">
        <v>116</v>
      </c>
      <c r="E19" t="s">
        <v>1181</v>
      </c>
      <c r="F19" t="s">
        <v>1184</v>
      </c>
    </row>
    <row r="20" spans="1:6" x14ac:dyDescent="0.35">
      <c r="A20" t="s">
        <v>1176</v>
      </c>
      <c r="B20" s="13" t="s">
        <v>388</v>
      </c>
      <c r="C20" t="s">
        <v>391</v>
      </c>
      <c r="D20" t="s">
        <v>392</v>
      </c>
      <c r="E20" t="s">
        <v>1182</v>
      </c>
    </row>
    <row r="21" spans="1:6" x14ac:dyDescent="0.35">
      <c r="A21" s="15" t="s">
        <v>1176</v>
      </c>
      <c r="B21" s="15" t="s">
        <v>534</v>
      </c>
      <c r="C21" s="15" t="s">
        <v>405</v>
      </c>
      <c r="D21" s="15" t="s">
        <v>407</v>
      </c>
      <c r="E21" s="15" t="s">
        <v>1181</v>
      </c>
    </row>
    <row r="26" spans="1:6" x14ac:dyDescent="0.35">
      <c r="A26" t="s">
        <v>1192</v>
      </c>
      <c r="B26" t="s">
        <v>1193</v>
      </c>
      <c r="C26" t="s">
        <v>1194</v>
      </c>
      <c r="D26" t="s">
        <v>1195</v>
      </c>
      <c r="E26" t="s">
        <v>1196</v>
      </c>
      <c r="F26" t="s">
        <v>1197</v>
      </c>
    </row>
    <row r="27" spans="1:6" x14ac:dyDescent="0.35">
      <c r="A27" t="s">
        <v>63</v>
      </c>
      <c r="B27" t="s">
        <v>99</v>
      </c>
      <c r="C27" t="s">
        <v>1198</v>
      </c>
      <c r="D27" t="s">
        <v>1199</v>
      </c>
      <c r="E27" t="s">
        <v>1200</v>
      </c>
      <c r="F27" t="s">
        <v>1201</v>
      </c>
    </row>
    <row r="28" spans="1:6" x14ac:dyDescent="0.35">
      <c r="A28" t="s">
        <v>77</v>
      </c>
      <c r="B28" t="s">
        <v>1202</v>
      </c>
      <c r="C28" t="s">
        <v>1203</v>
      </c>
      <c r="D28" t="s">
        <v>1204</v>
      </c>
      <c r="E28" t="s">
        <v>1205</v>
      </c>
      <c r="F28" t="s">
        <v>1206</v>
      </c>
    </row>
    <row r="29" spans="1:6" x14ac:dyDescent="0.35">
      <c r="A29" t="s">
        <v>84</v>
      </c>
      <c r="B29" t="s">
        <v>57</v>
      </c>
      <c r="C29" t="s">
        <v>1207</v>
      </c>
      <c r="D29" t="s">
        <v>1208</v>
      </c>
      <c r="E29" t="s">
        <v>1209</v>
      </c>
      <c r="F29" t="s">
        <v>1210</v>
      </c>
    </row>
    <row r="30" spans="1:6" x14ac:dyDescent="0.35">
      <c r="A30" t="s">
        <v>90</v>
      </c>
      <c r="B30" t="s">
        <v>1211</v>
      </c>
      <c r="C30" t="s">
        <v>1203</v>
      </c>
      <c r="D30" t="s">
        <v>1212</v>
      </c>
      <c r="E30" t="s">
        <v>1205</v>
      </c>
      <c r="F30" t="s">
        <v>1206</v>
      </c>
    </row>
    <row r="31" spans="1:6" x14ac:dyDescent="0.35">
      <c r="A31" t="s">
        <v>113</v>
      </c>
      <c r="B31" t="s">
        <v>57</v>
      </c>
      <c r="C31" t="s">
        <v>1213</v>
      </c>
      <c r="D31" t="s">
        <v>1214</v>
      </c>
      <c r="E31" t="s">
        <v>1215</v>
      </c>
      <c r="F31" t="s">
        <v>1210</v>
      </c>
    </row>
    <row r="32" spans="1:6" x14ac:dyDescent="0.35">
      <c r="A32" t="s">
        <v>118</v>
      </c>
      <c r="B32" t="s">
        <v>57</v>
      </c>
      <c r="C32" t="s">
        <v>1203</v>
      </c>
      <c r="D32" t="s">
        <v>1216</v>
      </c>
      <c r="E32" t="s">
        <v>1205</v>
      </c>
      <c r="F32" t="s">
        <v>1206</v>
      </c>
    </row>
    <row r="33" spans="1:6" x14ac:dyDescent="0.35">
      <c r="A33" t="s">
        <v>129</v>
      </c>
      <c r="B33" t="s">
        <v>99</v>
      </c>
      <c r="C33" t="s">
        <v>1203</v>
      </c>
      <c r="D33" t="s">
        <v>1217</v>
      </c>
      <c r="E33" t="s">
        <v>1205</v>
      </c>
      <c r="F33" t="s">
        <v>1206</v>
      </c>
    </row>
    <row r="34" spans="1:6" x14ac:dyDescent="0.35">
      <c r="A34" t="s">
        <v>137</v>
      </c>
      <c r="B34" t="s">
        <v>99</v>
      </c>
      <c r="C34" t="s">
        <v>1213</v>
      </c>
      <c r="D34" t="s">
        <v>1218</v>
      </c>
      <c r="E34" t="s">
        <v>1205</v>
      </c>
      <c r="F34" t="s">
        <v>1206</v>
      </c>
    </row>
    <row r="35" spans="1:6" x14ac:dyDescent="0.35">
      <c r="A35" t="s">
        <v>171</v>
      </c>
      <c r="B35" t="s">
        <v>57</v>
      </c>
      <c r="C35" t="s">
        <v>1219</v>
      </c>
      <c r="D35" t="s">
        <v>1220</v>
      </c>
      <c r="E35" t="s">
        <v>1221</v>
      </c>
      <c r="F35" t="s">
        <v>1210</v>
      </c>
    </row>
    <row r="36" spans="1:6" x14ac:dyDescent="0.35">
      <c r="A36" t="s">
        <v>175</v>
      </c>
      <c r="B36" t="s">
        <v>99</v>
      </c>
      <c r="C36" t="s">
        <v>1198</v>
      </c>
      <c r="D36" t="s">
        <v>1222</v>
      </c>
      <c r="E36" t="s">
        <v>1223</v>
      </c>
      <c r="F36" t="s">
        <v>1201</v>
      </c>
    </row>
    <row r="37" spans="1:6" x14ac:dyDescent="0.35">
      <c r="A37" t="s">
        <v>184</v>
      </c>
      <c r="B37" t="s">
        <v>99</v>
      </c>
      <c r="C37" t="s">
        <v>1203</v>
      </c>
      <c r="D37" t="s">
        <v>1216</v>
      </c>
      <c r="E37" t="s">
        <v>1205</v>
      </c>
      <c r="F37" t="s">
        <v>1206</v>
      </c>
    </row>
    <row r="38" spans="1:6" x14ac:dyDescent="0.35">
      <c r="A38" t="s">
        <v>199</v>
      </c>
      <c r="B38" t="s">
        <v>99</v>
      </c>
      <c r="C38" t="s">
        <v>1203</v>
      </c>
      <c r="D38" t="s">
        <v>1224</v>
      </c>
      <c r="E38" t="s">
        <v>1205</v>
      </c>
      <c r="F38" t="s">
        <v>1206</v>
      </c>
    </row>
    <row r="39" spans="1:6" x14ac:dyDescent="0.35">
      <c r="A39" t="s">
        <v>203</v>
      </c>
      <c r="B39" t="s">
        <v>99</v>
      </c>
      <c r="C39" t="s">
        <v>1225</v>
      </c>
      <c r="D39" t="s">
        <v>1214</v>
      </c>
      <c r="E39" t="s">
        <v>1226</v>
      </c>
      <c r="F39" t="s">
        <v>1210</v>
      </c>
    </row>
    <row r="40" spans="1:6" x14ac:dyDescent="0.35">
      <c r="A40" t="s">
        <v>211</v>
      </c>
      <c r="B40" t="s">
        <v>99</v>
      </c>
      <c r="C40" t="s">
        <v>1203</v>
      </c>
      <c r="D40" t="s">
        <v>1224</v>
      </c>
      <c r="E40" t="s">
        <v>1205</v>
      </c>
      <c r="F40" t="s">
        <v>1206</v>
      </c>
    </row>
    <row r="41" spans="1:6" x14ac:dyDescent="0.35">
      <c r="A41" t="s">
        <v>219</v>
      </c>
      <c r="B41" t="s">
        <v>1202</v>
      </c>
      <c r="C41" t="s">
        <v>1227</v>
      </c>
      <c r="D41" t="s">
        <v>1214</v>
      </c>
      <c r="E41" t="s">
        <v>1228</v>
      </c>
      <c r="F41" t="s">
        <v>1210</v>
      </c>
    </row>
    <row r="42" spans="1:6" x14ac:dyDescent="0.35">
      <c r="A42" t="s">
        <v>231</v>
      </c>
      <c r="B42" t="s">
        <v>99</v>
      </c>
      <c r="C42" t="s">
        <v>1203</v>
      </c>
      <c r="D42" t="s">
        <v>1229</v>
      </c>
      <c r="E42" t="s">
        <v>1205</v>
      </c>
      <c r="F42" t="s">
        <v>1206</v>
      </c>
    </row>
    <row r="43" spans="1:6" x14ac:dyDescent="0.35">
      <c r="A43" t="s">
        <v>234</v>
      </c>
      <c r="B43" t="s">
        <v>99</v>
      </c>
      <c r="C43" t="s">
        <v>1230</v>
      </c>
      <c r="D43" t="s">
        <v>1231</v>
      </c>
      <c r="E43" t="s">
        <v>1232</v>
      </c>
      <c r="F43" t="s">
        <v>1206</v>
      </c>
    </row>
    <row r="44" spans="1:6" x14ac:dyDescent="0.35">
      <c r="A44" t="s">
        <v>241</v>
      </c>
      <c r="B44" t="s">
        <v>99</v>
      </c>
      <c r="C44" t="s">
        <v>1203</v>
      </c>
      <c r="D44" t="s">
        <v>1233</v>
      </c>
      <c r="E44" t="s">
        <v>1205</v>
      </c>
      <c r="F44" t="s">
        <v>1206</v>
      </c>
    </row>
    <row r="45" spans="1:6" x14ac:dyDescent="0.35">
      <c r="A45" t="s">
        <v>279</v>
      </c>
      <c r="B45" t="s">
        <v>1202</v>
      </c>
      <c r="C45" t="s">
        <v>1234</v>
      </c>
      <c r="D45" t="s">
        <v>1235</v>
      </c>
      <c r="E45" t="s">
        <v>1205</v>
      </c>
      <c r="F45" t="s">
        <v>1206</v>
      </c>
    </row>
    <row r="46" spans="1:6" x14ac:dyDescent="0.35">
      <c r="A46" t="s">
        <v>287</v>
      </c>
      <c r="B46" t="s">
        <v>57</v>
      </c>
      <c r="C46" t="s">
        <v>1213</v>
      </c>
      <c r="D46" t="s">
        <v>1214</v>
      </c>
      <c r="E46" t="s">
        <v>1236</v>
      </c>
      <c r="F46" t="s">
        <v>1210</v>
      </c>
    </row>
    <row r="47" spans="1:6" x14ac:dyDescent="0.35">
      <c r="A47" t="s">
        <v>296</v>
      </c>
      <c r="B47" t="s">
        <v>99</v>
      </c>
      <c r="C47" t="s">
        <v>1203</v>
      </c>
      <c r="D47" t="s">
        <v>1229</v>
      </c>
      <c r="E47" t="s">
        <v>1205</v>
      </c>
      <c r="F47" t="s">
        <v>1206</v>
      </c>
    </row>
    <row r="48" spans="1:6" x14ac:dyDescent="0.35">
      <c r="A48" t="s">
        <v>301</v>
      </c>
      <c r="B48" t="s">
        <v>99</v>
      </c>
      <c r="C48" t="s">
        <v>1213</v>
      </c>
      <c r="D48" t="s">
        <v>1199</v>
      </c>
      <c r="E48" t="s">
        <v>1236</v>
      </c>
      <c r="F48" t="s">
        <v>1210</v>
      </c>
    </row>
    <row r="49" spans="1:6" x14ac:dyDescent="0.35">
      <c r="A49" t="s">
        <v>339</v>
      </c>
      <c r="B49" t="s">
        <v>1202</v>
      </c>
      <c r="C49" t="s">
        <v>1203</v>
      </c>
      <c r="D49" t="s">
        <v>1237</v>
      </c>
      <c r="E49" t="s">
        <v>1205</v>
      </c>
      <c r="F49" t="s">
        <v>1206</v>
      </c>
    </row>
    <row r="50" spans="1:6" x14ac:dyDescent="0.35">
      <c r="A50" t="s">
        <v>342</v>
      </c>
      <c r="B50" t="s">
        <v>57</v>
      </c>
      <c r="C50" t="s">
        <v>1213</v>
      </c>
      <c r="D50" t="s">
        <v>1214</v>
      </c>
      <c r="E50" t="s">
        <v>1236</v>
      </c>
      <c r="F50" t="s">
        <v>1210</v>
      </c>
    </row>
    <row r="51" spans="1:6" x14ac:dyDescent="0.35">
      <c r="A51" t="s">
        <v>347</v>
      </c>
      <c r="B51" t="s">
        <v>99</v>
      </c>
      <c r="C51" t="s">
        <v>1238</v>
      </c>
      <c r="D51" t="s">
        <v>1239</v>
      </c>
      <c r="E51" t="s">
        <v>1205</v>
      </c>
      <c r="F51" t="s">
        <v>1206</v>
      </c>
    </row>
    <row r="52" spans="1:6" x14ac:dyDescent="0.35">
      <c r="A52" t="s">
        <v>360</v>
      </c>
      <c r="B52" t="s">
        <v>57</v>
      </c>
      <c r="C52" t="s">
        <v>1240</v>
      </c>
      <c r="D52" t="s">
        <v>1208</v>
      </c>
      <c r="E52" t="s">
        <v>1209</v>
      </c>
      <c r="F52" t="s">
        <v>1210</v>
      </c>
    </row>
    <row r="53" spans="1:6" x14ac:dyDescent="0.35">
      <c r="A53" t="s">
        <v>427</v>
      </c>
      <c r="B53" t="s">
        <v>1211</v>
      </c>
      <c r="C53" t="s">
        <v>1203</v>
      </c>
      <c r="D53" t="s">
        <v>1229</v>
      </c>
      <c r="E53" t="s">
        <v>1205</v>
      </c>
      <c r="F53" t="s">
        <v>1206</v>
      </c>
    </row>
    <row r="54" spans="1:6" x14ac:dyDescent="0.35">
      <c r="A54" t="s">
        <v>430</v>
      </c>
      <c r="B54" t="s">
        <v>99</v>
      </c>
      <c r="C54" t="s">
        <v>1241</v>
      </c>
      <c r="D54" t="s">
        <v>1242</v>
      </c>
      <c r="E54" t="s">
        <v>1205</v>
      </c>
      <c r="F54" t="s">
        <v>1206</v>
      </c>
    </row>
    <row r="55" spans="1:6" x14ac:dyDescent="0.35">
      <c r="A55" t="s">
        <v>276</v>
      </c>
      <c r="B55" t="s">
        <v>1202</v>
      </c>
      <c r="C55" t="s">
        <v>1234</v>
      </c>
      <c r="D55" t="s">
        <v>1235</v>
      </c>
      <c r="E55" t="s">
        <v>1205</v>
      </c>
      <c r="F55" t="s">
        <v>1206</v>
      </c>
    </row>
    <row r="56" spans="1:6" x14ac:dyDescent="0.35">
      <c r="A56" t="s">
        <v>194</v>
      </c>
      <c r="B56" t="s">
        <v>1202</v>
      </c>
      <c r="C56" t="s">
        <v>1203</v>
      </c>
      <c r="D56" t="s">
        <v>1224</v>
      </c>
      <c r="E56" t="s">
        <v>1205</v>
      </c>
      <c r="F56" t="s">
        <v>1206</v>
      </c>
    </row>
    <row r="57" spans="1:6" x14ac:dyDescent="0.35">
      <c r="A57" t="s">
        <v>403</v>
      </c>
      <c r="B57" t="s">
        <v>99</v>
      </c>
      <c r="C57" t="s">
        <v>1203</v>
      </c>
      <c r="D57" t="s">
        <v>1243</v>
      </c>
      <c r="E57" t="s">
        <v>1205</v>
      </c>
      <c r="F57" t="s">
        <v>1206</v>
      </c>
    </row>
    <row r="58" spans="1:6" x14ac:dyDescent="0.35">
      <c r="A58" t="s">
        <v>366</v>
      </c>
      <c r="B58" t="s">
        <v>99</v>
      </c>
      <c r="C58" t="s">
        <v>1203</v>
      </c>
      <c r="D58" t="s">
        <v>1237</v>
      </c>
      <c r="E58" t="s">
        <v>1205</v>
      </c>
      <c r="F58" t="s">
        <v>1206</v>
      </c>
    </row>
    <row r="59" spans="1:6" x14ac:dyDescent="0.35">
      <c r="A59" t="s">
        <v>225</v>
      </c>
      <c r="B59" t="s">
        <v>99</v>
      </c>
      <c r="C59" t="s">
        <v>1244</v>
      </c>
      <c r="D59" t="s">
        <v>1245</v>
      </c>
      <c r="E59" t="s">
        <v>1246</v>
      </c>
      <c r="F59" t="s">
        <v>1206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4.5" x14ac:dyDescent="0.35"/>
  <cols>
    <col min="2" max="2" width="20.26953125" bestFit="1" customWidth="1"/>
  </cols>
  <sheetData>
    <row r="1" spans="1:3" x14ac:dyDescent="0.35">
      <c r="A1" s="1" t="s">
        <v>1051</v>
      </c>
      <c r="B1" s="1" t="s">
        <v>1084</v>
      </c>
      <c r="C1" s="1" t="s">
        <v>1085</v>
      </c>
    </row>
    <row r="2" spans="1:3" x14ac:dyDescent="0.35">
      <c r="A2" t="s">
        <v>49</v>
      </c>
      <c r="B2" t="s">
        <v>56</v>
      </c>
    </row>
    <row r="3" spans="1:3" x14ac:dyDescent="0.35">
      <c r="A3" t="s">
        <v>49</v>
      </c>
      <c r="B3" t="s">
        <v>1052</v>
      </c>
    </row>
    <row r="4" spans="1:3" x14ac:dyDescent="0.35">
      <c r="A4" t="s">
        <v>49</v>
      </c>
      <c r="B4" t="s">
        <v>84</v>
      </c>
    </row>
    <row r="5" spans="1:3" x14ac:dyDescent="0.35">
      <c r="A5" t="s">
        <v>49</v>
      </c>
      <c r="B5" t="s">
        <v>252</v>
      </c>
    </row>
    <row r="6" spans="1:3" x14ac:dyDescent="0.35">
      <c r="A6" t="s">
        <v>49</v>
      </c>
      <c r="B6" t="s">
        <v>1053</v>
      </c>
    </row>
    <row r="7" spans="1:3" x14ac:dyDescent="0.35">
      <c r="A7" t="s">
        <v>116</v>
      </c>
      <c r="B7" t="s">
        <v>118</v>
      </c>
    </row>
    <row r="8" spans="1:3" x14ac:dyDescent="0.35">
      <c r="A8" t="s">
        <v>116</v>
      </c>
      <c r="B8" t="s">
        <v>77</v>
      </c>
    </row>
    <row r="9" spans="1:3" x14ac:dyDescent="0.35">
      <c r="A9" t="s">
        <v>116</v>
      </c>
      <c r="B9" t="s">
        <v>276</v>
      </c>
    </row>
    <row r="10" spans="1:3" x14ac:dyDescent="0.35">
      <c r="A10" t="s">
        <v>116</v>
      </c>
      <c r="B10" t="s">
        <v>279</v>
      </c>
    </row>
    <row r="11" spans="1:3" x14ac:dyDescent="0.35">
      <c r="A11" t="s">
        <v>116</v>
      </c>
      <c r="B11" t="s">
        <v>63</v>
      </c>
    </row>
    <row r="12" spans="1:3" x14ac:dyDescent="0.35">
      <c r="A12" t="s">
        <v>583</v>
      </c>
      <c r="B12" t="s">
        <v>1054</v>
      </c>
    </row>
    <row r="13" spans="1:3" x14ac:dyDescent="0.35">
      <c r="A13" t="s">
        <v>583</v>
      </c>
      <c r="B13" t="s">
        <v>207</v>
      </c>
    </row>
    <row r="14" spans="1:3" x14ac:dyDescent="0.35">
      <c r="A14" t="s">
        <v>583</v>
      </c>
      <c r="B14" t="s">
        <v>234</v>
      </c>
    </row>
    <row r="15" spans="1:3" x14ac:dyDescent="0.35">
      <c r="A15" t="s">
        <v>583</v>
      </c>
      <c r="B15" t="s">
        <v>1055</v>
      </c>
    </row>
    <row r="16" spans="1:3" x14ac:dyDescent="0.35">
      <c r="A16" t="s">
        <v>583</v>
      </c>
      <c r="B16" t="s">
        <v>339</v>
      </c>
    </row>
    <row r="17" spans="1:6" x14ac:dyDescent="0.35">
      <c r="A17" t="s">
        <v>409</v>
      </c>
      <c r="B17" t="s">
        <v>1055</v>
      </c>
    </row>
    <row r="18" spans="1:6" x14ac:dyDescent="0.35">
      <c r="A18" t="s">
        <v>409</v>
      </c>
      <c r="B18" t="s">
        <v>207</v>
      </c>
    </row>
    <row r="19" spans="1:6" x14ac:dyDescent="0.35">
      <c r="A19" t="s">
        <v>409</v>
      </c>
      <c r="B19" t="s">
        <v>234</v>
      </c>
    </row>
    <row r="20" spans="1:6" x14ac:dyDescent="0.35">
      <c r="A20" s="14" t="s">
        <v>327</v>
      </c>
      <c r="B20" s="14" t="s">
        <v>335</v>
      </c>
    </row>
    <row r="21" spans="1:6" x14ac:dyDescent="0.35">
      <c r="A21" s="14" t="s">
        <v>327</v>
      </c>
      <c r="B21" s="14" t="s">
        <v>1056</v>
      </c>
    </row>
    <row r="22" spans="1:6" x14ac:dyDescent="0.35">
      <c r="A22" s="14" t="s">
        <v>327</v>
      </c>
      <c r="B22" s="14" t="s">
        <v>1057</v>
      </c>
    </row>
    <row r="23" spans="1:6" x14ac:dyDescent="0.35">
      <c r="A23" s="14" t="s">
        <v>327</v>
      </c>
      <c r="B23" s="14" t="s">
        <v>524</v>
      </c>
    </row>
    <row r="24" spans="1:6" x14ac:dyDescent="0.35">
      <c r="A24" s="14" t="s">
        <v>327</v>
      </c>
      <c r="B24" s="14" t="s">
        <v>331</v>
      </c>
    </row>
    <row r="25" spans="1:6" x14ac:dyDescent="0.35">
      <c r="A25" t="s">
        <v>547</v>
      </c>
      <c r="B25" t="s">
        <v>189</v>
      </c>
    </row>
    <row r="26" spans="1:6" x14ac:dyDescent="0.35">
      <c r="A26" t="s">
        <v>547</v>
      </c>
      <c r="B26" t="s">
        <v>171</v>
      </c>
    </row>
    <row r="27" spans="1:6" x14ac:dyDescent="0.35">
      <c r="A27" t="s">
        <v>547</v>
      </c>
      <c r="B27" t="s">
        <v>113</v>
      </c>
    </row>
    <row r="28" spans="1:6" x14ac:dyDescent="0.35">
      <c r="A28" t="s">
        <v>547</v>
      </c>
      <c r="B28" t="s">
        <v>287</v>
      </c>
    </row>
    <row r="29" spans="1:6" x14ac:dyDescent="0.35">
      <c r="A29" t="s">
        <v>547</v>
      </c>
      <c r="B29" t="s">
        <v>207</v>
      </c>
    </row>
    <row r="32" spans="1:6" x14ac:dyDescent="0.35">
      <c r="A32" s="10"/>
      <c r="B32" s="10"/>
      <c r="C32" s="10"/>
      <c r="D32" s="10"/>
      <c r="E32" s="10"/>
      <c r="F32" s="10"/>
    </row>
    <row r="33" spans="1:6" x14ac:dyDescent="0.35">
      <c r="A33" s="7"/>
      <c r="B33" s="7"/>
      <c r="C33" s="7"/>
      <c r="D33" s="7"/>
      <c r="E33" s="7"/>
      <c r="F33" s="7"/>
    </row>
    <row r="34" spans="1:6" x14ac:dyDescent="0.35">
      <c r="A34" s="7"/>
      <c r="B34" s="7"/>
      <c r="C34" s="7"/>
      <c r="D34" s="7"/>
      <c r="E34" s="7"/>
      <c r="F34" s="7"/>
    </row>
    <row r="35" spans="1:6" x14ac:dyDescent="0.35">
      <c r="A35" s="7"/>
      <c r="B35" s="7"/>
      <c r="C35" s="7"/>
      <c r="D35" s="7"/>
      <c r="E35" s="7"/>
      <c r="F35" s="7"/>
    </row>
    <row r="36" spans="1:6" x14ac:dyDescent="0.35">
      <c r="A36" s="7"/>
      <c r="B36" s="7"/>
      <c r="C36" s="7"/>
      <c r="D36" s="7"/>
      <c r="E36" s="7"/>
      <c r="F36" s="7"/>
    </row>
    <row r="40" spans="1:6" x14ac:dyDescent="0.3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4.5" x14ac:dyDescent="0.35"/>
  <cols>
    <col min="1" max="1" width="31.6328125" bestFit="1" customWidth="1"/>
    <col min="2" max="2" width="29.26953125" bestFit="1" customWidth="1"/>
    <col min="3" max="4" width="52.36328125" bestFit="1" customWidth="1"/>
    <col min="5" max="5" width="40.6328125" bestFit="1" customWidth="1"/>
    <col min="6" max="6" width="26" bestFit="1" customWidth="1"/>
    <col min="7" max="7" width="38.7265625" bestFit="1" customWidth="1"/>
    <col min="8" max="8" width="69.08984375" bestFit="1" customWidth="1"/>
    <col min="9" max="9" width="63.08984375" bestFit="1" customWidth="1"/>
    <col min="10" max="10" width="108.36328125" bestFit="1" customWidth="1"/>
  </cols>
  <sheetData>
    <row r="1" spans="1:10" s="1" customFormat="1" x14ac:dyDescent="0.35">
      <c r="A1" s="1" t="s">
        <v>1127</v>
      </c>
      <c r="B1" s="8" t="s">
        <v>1086</v>
      </c>
      <c r="C1" s="8" t="s">
        <v>1087</v>
      </c>
      <c r="D1" s="8" t="s">
        <v>1148</v>
      </c>
      <c r="E1" s="8" t="s">
        <v>1088</v>
      </c>
      <c r="F1" s="8" t="s">
        <v>1089</v>
      </c>
      <c r="G1" s="8" t="s">
        <v>1090</v>
      </c>
      <c r="H1" s="8" t="s">
        <v>1091</v>
      </c>
      <c r="I1" s="1" t="s">
        <v>1132</v>
      </c>
      <c r="J1" s="1" t="s">
        <v>1133</v>
      </c>
    </row>
    <row r="2" spans="1:10" x14ac:dyDescent="0.35">
      <c r="A2" t="s">
        <v>995</v>
      </c>
      <c r="B2" s="2" t="s">
        <v>1092</v>
      </c>
      <c r="C2" s="2" t="s">
        <v>1093</v>
      </c>
      <c r="D2" s="2" t="s">
        <v>1150</v>
      </c>
      <c r="E2" s="2" t="s">
        <v>1119</v>
      </c>
      <c r="F2" s="2" t="s">
        <v>1094</v>
      </c>
      <c r="G2" s="2" t="s">
        <v>1095</v>
      </c>
      <c r="H2" s="12" t="s">
        <v>1096</v>
      </c>
      <c r="I2" s="1" t="s">
        <v>1131</v>
      </c>
      <c r="J2" t="s">
        <v>1134</v>
      </c>
    </row>
    <row r="3" spans="1:10" x14ac:dyDescent="0.35">
      <c r="A3" t="s">
        <v>995</v>
      </c>
      <c r="B3" s="2" t="s">
        <v>1097</v>
      </c>
      <c r="C3" s="2" t="s">
        <v>1093</v>
      </c>
      <c r="D3" s="2"/>
      <c r="E3" s="2" t="s">
        <v>1098</v>
      </c>
      <c r="F3" s="2" t="s">
        <v>1099</v>
      </c>
      <c r="G3" s="2" t="s">
        <v>1124</v>
      </c>
      <c r="H3" s="12" t="s">
        <v>1100</v>
      </c>
      <c r="I3" t="s">
        <v>1135</v>
      </c>
      <c r="J3" t="s">
        <v>1136</v>
      </c>
    </row>
    <row r="4" spans="1:10" x14ac:dyDescent="0.35">
      <c r="A4" t="s">
        <v>1128</v>
      </c>
      <c r="B4" s="2" t="s">
        <v>1101</v>
      </c>
      <c r="C4" s="2" t="s">
        <v>1102</v>
      </c>
      <c r="D4" s="2" t="s">
        <v>1150</v>
      </c>
      <c r="E4" s="2" t="s">
        <v>1120</v>
      </c>
      <c r="F4" s="2" t="s">
        <v>1103</v>
      </c>
      <c r="G4" s="2" t="s">
        <v>376</v>
      </c>
      <c r="H4" s="12" t="s">
        <v>1104</v>
      </c>
      <c r="I4" t="s">
        <v>1138</v>
      </c>
      <c r="J4" s="1" t="s">
        <v>1137</v>
      </c>
    </row>
    <row r="5" spans="1:10" x14ac:dyDescent="0.35">
      <c r="A5" t="s">
        <v>996</v>
      </c>
      <c r="B5" s="2" t="s">
        <v>1139</v>
      </c>
      <c r="C5" s="2" t="s">
        <v>1102</v>
      </c>
      <c r="D5" s="2" t="s">
        <v>1150</v>
      </c>
      <c r="E5" s="2" t="s">
        <v>1105</v>
      </c>
      <c r="F5" s="2" t="s">
        <v>1106</v>
      </c>
      <c r="G5" s="2" t="s">
        <v>1107</v>
      </c>
      <c r="H5" s="12" t="s">
        <v>1108</v>
      </c>
      <c r="I5" s="1" t="s">
        <v>1140</v>
      </c>
      <c r="J5" t="s">
        <v>1141</v>
      </c>
    </row>
    <row r="6" spans="1:10" x14ac:dyDescent="0.35">
      <c r="A6" t="s">
        <v>1128</v>
      </c>
      <c r="B6" s="2" t="s">
        <v>1109</v>
      </c>
      <c r="C6" s="2" t="s">
        <v>1093</v>
      </c>
      <c r="D6" s="2" t="s">
        <v>1150</v>
      </c>
      <c r="E6" s="2" t="s">
        <v>1121</v>
      </c>
      <c r="F6" s="2" t="s">
        <v>1110</v>
      </c>
      <c r="G6" s="2" t="s">
        <v>376</v>
      </c>
      <c r="H6" s="12" t="s">
        <v>1111</v>
      </c>
      <c r="I6" t="s">
        <v>1142</v>
      </c>
      <c r="J6" t="s">
        <v>1143</v>
      </c>
    </row>
    <row r="7" spans="1:10" x14ac:dyDescent="0.35">
      <c r="A7" t="s">
        <v>1129</v>
      </c>
      <c r="B7" s="2" t="s">
        <v>1112</v>
      </c>
      <c r="C7" s="2" t="s">
        <v>1102</v>
      </c>
      <c r="D7" s="2" t="s">
        <v>1149</v>
      </c>
      <c r="E7" s="2" t="s">
        <v>1122</v>
      </c>
      <c r="F7" s="2" t="s">
        <v>1113</v>
      </c>
      <c r="G7" s="2" t="s">
        <v>1125</v>
      </c>
      <c r="H7" s="12" t="s">
        <v>1114</v>
      </c>
      <c r="I7" s="1" t="s">
        <v>1144</v>
      </c>
      <c r="J7" t="s">
        <v>1145</v>
      </c>
    </row>
    <row r="8" spans="1:10" x14ac:dyDescent="0.35">
      <c r="A8" t="s">
        <v>1130</v>
      </c>
      <c r="B8" s="2" t="s">
        <v>1115</v>
      </c>
      <c r="C8" s="2" t="s">
        <v>1116</v>
      </c>
      <c r="D8" s="2"/>
      <c r="E8" s="2" t="s">
        <v>1123</v>
      </c>
      <c r="F8" s="2" t="s">
        <v>1126</v>
      </c>
      <c r="G8" s="2" t="s">
        <v>1117</v>
      </c>
      <c r="H8" s="12" t="s">
        <v>1118</v>
      </c>
      <c r="I8" s="1" t="s">
        <v>1146</v>
      </c>
      <c r="J8" t="s">
        <v>1147</v>
      </c>
    </row>
    <row r="15" spans="1:10" x14ac:dyDescent="0.35">
      <c r="A15" s="1" t="s">
        <v>1255</v>
      </c>
      <c r="B15" s="1" t="s">
        <v>1087</v>
      </c>
      <c r="C15" s="1" t="s">
        <v>1276</v>
      </c>
      <c r="D15" s="1" t="s">
        <v>1256</v>
      </c>
      <c r="E15" s="1" t="s">
        <v>1273</v>
      </c>
      <c r="F15" s="1" t="s">
        <v>1257</v>
      </c>
      <c r="G15" s="1" t="s">
        <v>1148</v>
      </c>
      <c r="H15" s="1" t="s">
        <v>1288</v>
      </c>
    </row>
    <row r="16" spans="1:10" x14ac:dyDescent="0.35">
      <c r="A16" s="1" t="s">
        <v>496</v>
      </c>
      <c r="B16" s="1" t="s">
        <v>1093</v>
      </c>
      <c r="C16" s="1" t="s">
        <v>29</v>
      </c>
      <c r="D16" s="1" t="s">
        <v>1289</v>
      </c>
      <c r="E16" s="1" t="s">
        <v>1290</v>
      </c>
      <c r="F16" s="1" t="s">
        <v>1095</v>
      </c>
      <c r="G16" s="1"/>
      <c r="H16" s="12" t="s">
        <v>1096</v>
      </c>
    </row>
    <row r="17" spans="1:8" x14ac:dyDescent="0.35">
      <c r="A17" t="s">
        <v>1258</v>
      </c>
      <c r="B17" t="s">
        <v>1093</v>
      </c>
      <c r="C17" t="s">
        <v>1250</v>
      </c>
      <c r="D17" t="s">
        <v>1259</v>
      </c>
      <c r="E17" t="s">
        <v>1274</v>
      </c>
      <c r="F17" t="s">
        <v>1260</v>
      </c>
      <c r="G17" s="2" t="s">
        <v>1150</v>
      </c>
    </row>
    <row r="18" spans="1:8" x14ac:dyDescent="0.35">
      <c r="A18" t="s">
        <v>1261</v>
      </c>
      <c r="B18" t="s">
        <v>1093</v>
      </c>
      <c r="C18" t="s">
        <v>1281</v>
      </c>
      <c r="D18" t="s">
        <v>1262</v>
      </c>
      <c r="E18" t="s">
        <v>1275</v>
      </c>
      <c r="F18" t="s">
        <v>1263</v>
      </c>
      <c r="G18" s="2" t="s">
        <v>1150</v>
      </c>
      <c r="H18" s="12" t="s">
        <v>1104</v>
      </c>
    </row>
    <row r="19" spans="1:8" x14ac:dyDescent="0.35">
      <c r="A19" t="s">
        <v>1264</v>
      </c>
      <c r="B19" t="s">
        <v>1102</v>
      </c>
      <c r="C19" t="s">
        <v>1280</v>
      </c>
      <c r="D19" t="s">
        <v>1265</v>
      </c>
      <c r="E19" t="s">
        <v>1277</v>
      </c>
      <c r="F19" t="s">
        <v>1266</v>
      </c>
      <c r="G19" s="2" t="s">
        <v>1149</v>
      </c>
      <c r="H19" s="12" t="s">
        <v>1114</v>
      </c>
    </row>
    <row r="20" spans="1:8" x14ac:dyDescent="0.35">
      <c r="A20" t="s">
        <v>1267</v>
      </c>
      <c r="B20" t="s">
        <v>1093</v>
      </c>
      <c r="C20" t="s">
        <v>1282</v>
      </c>
      <c r="D20" t="s">
        <v>1268</v>
      </c>
      <c r="E20" t="s">
        <v>1278</v>
      </c>
      <c r="F20" t="s">
        <v>1269</v>
      </c>
      <c r="G20" s="2" t="s">
        <v>1150</v>
      </c>
      <c r="H20" s="12" t="s">
        <v>1111</v>
      </c>
    </row>
    <row r="21" spans="1:8" x14ac:dyDescent="0.35">
      <c r="A21" t="s">
        <v>1270</v>
      </c>
      <c r="B21" t="s">
        <v>1116</v>
      </c>
      <c r="C21" t="s">
        <v>1279</v>
      </c>
      <c r="D21" t="s">
        <v>1271</v>
      </c>
      <c r="E21" t="s">
        <v>1287</v>
      </c>
      <c r="F21" t="s">
        <v>1272</v>
      </c>
      <c r="H21" s="12" t="s">
        <v>1118</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8" t="s">
        <v>1025</v>
      </c>
      <c r="B1" s="8" t="s">
        <v>1026</v>
      </c>
      <c r="C1" s="8" t="s">
        <v>1027</v>
      </c>
      <c r="D1" s="8" t="s">
        <v>1028</v>
      </c>
    </row>
    <row r="2" spans="1:4" x14ac:dyDescent="0.35">
      <c r="A2" s="2" t="s">
        <v>116</v>
      </c>
      <c r="B2" s="2" t="s">
        <v>1029</v>
      </c>
      <c r="C2" s="2" t="s">
        <v>1030</v>
      </c>
      <c r="D2" s="2" t="s">
        <v>1031</v>
      </c>
    </row>
    <row r="3" spans="1:4" x14ac:dyDescent="0.35">
      <c r="A3" s="2" t="s">
        <v>583</v>
      </c>
      <c r="B3" s="2" t="s">
        <v>1032</v>
      </c>
      <c r="C3" s="2" t="s">
        <v>1033</v>
      </c>
      <c r="D3" s="2" t="s">
        <v>1034</v>
      </c>
    </row>
    <row r="4" spans="1:4" x14ac:dyDescent="0.35">
      <c r="A4" s="2" t="s">
        <v>547</v>
      </c>
      <c r="B4" s="2" t="s">
        <v>1035</v>
      </c>
      <c r="C4" s="2" t="s">
        <v>1036</v>
      </c>
      <c r="D4" s="2" t="s">
        <v>1037</v>
      </c>
    </row>
    <row r="5" spans="1:4" x14ac:dyDescent="0.35">
      <c r="A5" s="2" t="s">
        <v>49</v>
      </c>
      <c r="B5" s="2" t="s">
        <v>1038</v>
      </c>
      <c r="C5" s="2" t="s">
        <v>1039</v>
      </c>
      <c r="D5" s="2" t="s">
        <v>1040</v>
      </c>
    </row>
    <row r="6" spans="1:4" x14ac:dyDescent="0.35">
      <c r="A6" s="2" t="s">
        <v>1041</v>
      </c>
      <c r="B6" s="2" t="s">
        <v>1042</v>
      </c>
      <c r="C6" s="2" t="s">
        <v>1043</v>
      </c>
      <c r="D6" s="2" t="s">
        <v>1044</v>
      </c>
    </row>
    <row r="7" spans="1:4" x14ac:dyDescent="0.35">
      <c r="A7" s="2" t="s">
        <v>93</v>
      </c>
      <c r="B7" s="2" t="s">
        <v>1045</v>
      </c>
      <c r="C7" s="2" t="s">
        <v>1046</v>
      </c>
      <c r="D7" s="2" t="s">
        <v>1047</v>
      </c>
    </row>
    <row r="8" spans="1:4" x14ac:dyDescent="0.35">
      <c r="A8" s="2" t="s">
        <v>310</v>
      </c>
      <c r="B8" s="2" t="s">
        <v>1048</v>
      </c>
      <c r="C8" s="2" t="s">
        <v>1049</v>
      </c>
      <c r="D8" s="2" t="s">
        <v>1050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4.5" x14ac:dyDescent="0.35"/>
  <cols>
    <col min="1" max="1" width="92" bestFit="1" customWidth="1"/>
    <col min="2" max="2" width="13.08984375" bestFit="1" customWidth="1"/>
    <col min="3" max="3" width="15.54296875" bestFit="1" customWidth="1"/>
    <col min="4" max="4" width="28" bestFit="1" customWidth="1"/>
  </cols>
  <sheetData>
    <row r="1" spans="1:4" x14ac:dyDescent="0.35">
      <c r="A1" s="1" t="s">
        <v>1473</v>
      </c>
      <c r="B1" s="1" t="s">
        <v>1051</v>
      </c>
      <c r="C1" s="1" t="s">
        <v>1485</v>
      </c>
      <c r="D1" s="1" t="s">
        <v>1471</v>
      </c>
    </row>
    <row r="2" spans="1:4" x14ac:dyDescent="0.35">
      <c r="A2" t="s">
        <v>1474</v>
      </c>
      <c r="B2" t="s">
        <v>1191</v>
      </c>
      <c r="C2">
        <v>9.3391084359322303</v>
      </c>
      <c r="D2" t="s">
        <v>1472</v>
      </c>
    </row>
    <row r="3" spans="1:4" x14ac:dyDescent="0.35">
      <c r="A3" t="s">
        <v>1475</v>
      </c>
      <c r="B3" t="s">
        <v>995</v>
      </c>
      <c r="C3">
        <v>6.9</v>
      </c>
      <c r="D3" t="s">
        <v>1472</v>
      </c>
    </row>
    <row r="4" spans="1:4" x14ac:dyDescent="0.35">
      <c r="A4" t="s">
        <v>1476</v>
      </c>
      <c r="B4" t="s">
        <v>998</v>
      </c>
      <c r="C4">
        <v>51793.135000000002</v>
      </c>
      <c r="D4" t="s">
        <v>1472</v>
      </c>
    </row>
    <row r="5" spans="1:4" x14ac:dyDescent="0.35">
      <c r="A5" t="s">
        <v>1477</v>
      </c>
      <c r="B5" t="s">
        <v>1161</v>
      </c>
      <c r="C5">
        <v>15.31</v>
      </c>
      <c r="D5" t="s">
        <v>1472</v>
      </c>
    </row>
    <row r="6" spans="1:4" x14ac:dyDescent="0.35">
      <c r="A6" t="s">
        <v>1478</v>
      </c>
      <c r="B6" t="s">
        <v>1162</v>
      </c>
      <c r="C6">
        <v>2.0625835737454548</v>
      </c>
      <c r="D6" t="s">
        <v>1472</v>
      </c>
    </row>
    <row r="7" spans="1:4" x14ac:dyDescent="0.35">
      <c r="A7" t="s">
        <v>1479</v>
      </c>
      <c r="B7" t="s">
        <v>1163</v>
      </c>
      <c r="C7">
        <v>29.24</v>
      </c>
      <c r="D7" t="s">
        <v>1472</v>
      </c>
    </row>
    <row r="8" spans="1:4" x14ac:dyDescent="0.35">
      <c r="A8" t="s">
        <v>1480</v>
      </c>
      <c r="B8" t="s">
        <v>996</v>
      </c>
      <c r="C8">
        <v>15.59</v>
      </c>
      <c r="D8" t="s">
        <v>1472</v>
      </c>
    </row>
    <row r="9" spans="1:4" x14ac:dyDescent="0.35">
      <c r="B9" t="s">
        <v>1006</v>
      </c>
      <c r="C9">
        <f>72449*0.71</f>
        <v>51438.79</v>
      </c>
      <c r="D9" t="s">
        <v>1486</v>
      </c>
    </row>
    <row r="10" spans="1:4" x14ac:dyDescent="0.35">
      <c r="B10" t="s">
        <v>1481</v>
      </c>
      <c r="C10">
        <f>72449*0.71</f>
        <v>51438.79</v>
      </c>
      <c r="D10" t="s">
        <v>1486</v>
      </c>
    </row>
    <row r="11" spans="1:4" x14ac:dyDescent="0.35">
      <c r="A11" t="s">
        <v>1482</v>
      </c>
      <c r="B11" t="s">
        <v>999</v>
      </c>
      <c r="C11">
        <v>672.13</v>
      </c>
      <c r="D11" t="s">
        <v>1472</v>
      </c>
    </row>
    <row r="12" spans="1:4" x14ac:dyDescent="0.35">
      <c r="B12" t="s">
        <v>1164</v>
      </c>
      <c r="C12">
        <v>0.17169999999999999</v>
      </c>
      <c r="D12" t="s">
        <v>1486</v>
      </c>
    </row>
    <row r="13" spans="1:4" x14ac:dyDescent="0.35">
      <c r="A13" t="s">
        <v>1483</v>
      </c>
      <c r="B13" t="s">
        <v>1165</v>
      </c>
      <c r="C13">
        <v>2.5793145391818189</v>
      </c>
      <c r="D13" t="s">
        <v>1472</v>
      </c>
    </row>
    <row r="14" spans="1:4" x14ac:dyDescent="0.35">
      <c r="A14" t="s">
        <v>1484</v>
      </c>
      <c r="B14" t="s">
        <v>1470</v>
      </c>
      <c r="C14">
        <v>78.78</v>
      </c>
      <c r="D14" t="s">
        <v>1472</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994</v>
      </c>
      <c r="B1" t="s">
        <v>910</v>
      </c>
      <c r="C1" t="s">
        <v>1008</v>
      </c>
      <c r="D1" t="s">
        <v>914</v>
      </c>
    </row>
    <row r="2" spans="1:4" x14ac:dyDescent="0.35">
      <c r="A2" t="s">
        <v>995</v>
      </c>
      <c r="B2" t="s">
        <v>1002</v>
      </c>
      <c r="C2" t="s">
        <v>997</v>
      </c>
      <c r="D2" t="s">
        <v>1001</v>
      </c>
    </row>
    <row r="3" spans="1:4" x14ac:dyDescent="0.35">
      <c r="A3" t="s">
        <v>996</v>
      </c>
      <c r="B3" t="s">
        <v>1003</v>
      </c>
      <c r="C3" t="s">
        <v>997</v>
      </c>
      <c r="D3" t="s">
        <v>1001</v>
      </c>
    </row>
    <row r="4" spans="1:4" x14ac:dyDescent="0.35">
      <c r="A4" t="s">
        <v>998</v>
      </c>
      <c r="B4" t="s">
        <v>1004</v>
      </c>
      <c r="C4" t="s">
        <v>1000</v>
      </c>
      <c r="D4" t="s">
        <v>1007</v>
      </c>
    </row>
    <row r="5" spans="1:4" x14ac:dyDescent="0.35">
      <c r="A5" t="s">
        <v>999</v>
      </c>
      <c r="B5" t="s">
        <v>1005</v>
      </c>
      <c r="C5" t="s">
        <v>1000</v>
      </c>
      <c r="D5" t="s">
        <v>1007</v>
      </c>
    </row>
    <row r="6" spans="1:4" x14ac:dyDescent="0.35">
      <c r="A6" t="s">
        <v>1006</v>
      </c>
      <c r="B6" t="s">
        <v>1009</v>
      </c>
      <c r="C6" t="s">
        <v>1000</v>
      </c>
      <c r="D6" t="s">
        <v>1007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1" t="s">
        <v>909</v>
      </c>
      <c r="B1" s="1" t="s">
        <v>910</v>
      </c>
      <c r="C1" s="1" t="s">
        <v>911</v>
      </c>
      <c r="D1" s="1" t="s">
        <v>912</v>
      </c>
      <c r="E1" s="1" t="s">
        <v>913</v>
      </c>
      <c r="F1" s="1" t="s">
        <v>914</v>
      </c>
    </row>
    <row r="2" spans="1:6" ht="29" x14ac:dyDescent="0.35">
      <c r="A2" s="2" t="s">
        <v>915</v>
      </c>
      <c r="B2" s="3" t="s">
        <v>916</v>
      </c>
      <c r="C2" t="s">
        <v>917</v>
      </c>
      <c r="E2" s="4" t="s">
        <v>918</v>
      </c>
    </row>
    <row r="3" spans="1:6" ht="29" x14ac:dyDescent="0.35">
      <c r="A3" s="2" t="s">
        <v>919</v>
      </c>
      <c r="B3" s="3" t="s">
        <v>920</v>
      </c>
      <c r="C3" t="s">
        <v>917</v>
      </c>
      <c r="E3" s="4" t="s">
        <v>921</v>
      </c>
    </row>
    <row r="4" spans="1:6" x14ac:dyDescent="0.35">
      <c r="A4" s="2" t="s">
        <v>922</v>
      </c>
      <c r="B4" t="s">
        <v>923</v>
      </c>
      <c r="C4" s="2" t="s">
        <v>924</v>
      </c>
      <c r="D4" s="2" t="s">
        <v>925</v>
      </c>
      <c r="E4" s="4" t="s">
        <v>926</v>
      </c>
    </row>
    <row r="5" spans="1:6" x14ac:dyDescent="0.35">
      <c r="A5" s="2" t="s">
        <v>927</v>
      </c>
      <c r="B5" t="s">
        <v>928</v>
      </c>
      <c r="C5" s="2" t="s">
        <v>924</v>
      </c>
      <c r="D5" s="2" t="s">
        <v>925</v>
      </c>
      <c r="E5" s="4" t="s">
        <v>929</v>
      </c>
    </row>
    <row r="6" spans="1:6" x14ac:dyDescent="0.35">
      <c r="A6" s="2" t="s">
        <v>930</v>
      </c>
      <c r="B6" t="s">
        <v>931</v>
      </c>
      <c r="C6" t="s">
        <v>917</v>
      </c>
      <c r="D6" t="s">
        <v>932</v>
      </c>
      <c r="E6" s="4" t="s">
        <v>933</v>
      </c>
    </row>
    <row r="7" spans="1:6" x14ac:dyDescent="0.35">
      <c r="A7" s="2" t="s">
        <v>934</v>
      </c>
      <c r="B7" t="s">
        <v>968</v>
      </c>
      <c r="C7" t="s">
        <v>924</v>
      </c>
      <c r="D7" t="s">
        <v>935</v>
      </c>
      <c r="E7" s="4" t="s">
        <v>976</v>
      </c>
    </row>
    <row r="8" spans="1:6" x14ac:dyDescent="0.35">
      <c r="A8" s="2" t="s">
        <v>934</v>
      </c>
      <c r="B8" s="3" t="s">
        <v>727</v>
      </c>
      <c r="C8" t="s">
        <v>924</v>
      </c>
      <c r="D8" t="s">
        <v>935</v>
      </c>
      <c r="E8" s="4" t="s">
        <v>936</v>
      </c>
    </row>
    <row r="9" spans="1:6" x14ac:dyDescent="0.35">
      <c r="A9" s="2" t="s">
        <v>937</v>
      </c>
      <c r="B9" s="3" t="s">
        <v>116</v>
      </c>
      <c r="C9" t="s">
        <v>924</v>
      </c>
      <c r="D9" t="s">
        <v>932</v>
      </c>
      <c r="E9" s="5" t="s">
        <v>938</v>
      </c>
    </row>
    <row r="10" spans="1:6" x14ac:dyDescent="0.35">
      <c r="A10" s="6" t="s">
        <v>939</v>
      </c>
      <c r="B10" s="3" t="s">
        <v>968</v>
      </c>
      <c r="C10" t="s">
        <v>917</v>
      </c>
      <c r="D10" t="s">
        <v>932</v>
      </c>
      <c r="E10" s="5" t="s">
        <v>972</v>
      </c>
    </row>
    <row r="11" spans="1:6" x14ac:dyDescent="0.35">
      <c r="A11" s="6" t="s">
        <v>939</v>
      </c>
      <c r="B11" s="3" t="s">
        <v>969</v>
      </c>
      <c r="C11" t="s">
        <v>917</v>
      </c>
      <c r="D11" t="s">
        <v>932</v>
      </c>
      <c r="E11" s="5" t="s">
        <v>940</v>
      </c>
    </row>
    <row r="12" spans="1:6" x14ac:dyDescent="0.35">
      <c r="A12" s="6" t="s">
        <v>939</v>
      </c>
      <c r="B12" s="3" t="s">
        <v>970</v>
      </c>
      <c r="C12" t="s">
        <v>917</v>
      </c>
      <c r="D12" t="s">
        <v>932</v>
      </c>
      <c r="E12" s="5" t="s">
        <v>973</v>
      </c>
    </row>
    <row r="13" spans="1:6" x14ac:dyDescent="0.35">
      <c r="A13" s="6" t="s">
        <v>939</v>
      </c>
      <c r="B13" s="3" t="s">
        <v>971</v>
      </c>
      <c r="C13" t="s">
        <v>917</v>
      </c>
      <c r="D13" t="s">
        <v>932</v>
      </c>
      <c r="E13" s="5" t="s">
        <v>974</v>
      </c>
    </row>
    <row r="14" spans="1:6" x14ac:dyDescent="0.35">
      <c r="A14" s="2" t="s">
        <v>941</v>
      </c>
      <c r="B14" s="7" t="s">
        <v>116</v>
      </c>
      <c r="C14" s="7" t="s">
        <v>917</v>
      </c>
      <c r="D14" t="s">
        <v>932</v>
      </c>
      <c r="E14" s="5" t="s">
        <v>975</v>
      </c>
    </row>
    <row r="15" spans="1:6" x14ac:dyDescent="0.35">
      <c r="A15" s="2" t="s">
        <v>941</v>
      </c>
      <c r="B15" s="7" t="s">
        <v>583</v>
      </c>
      <c r="C15" s="7" t="s">
        <v>917</v>
      </c>
      <c r="D15" t="s">
        <v>932</v>
      </c>
      <c r="E15" s="5" t="s">
        <v>942</v>
      </c>
    </row>
    <row r="16" spans="1:6" x14ac:dyDescent="0.35">
      <c r="A16" s="2" t="s">
        <v>943</v>
      </c>
      <c r="B16" t="s">
        <v>944</v>
      </c>
      <c r="C16" s="2" t="s">
        <v>917</v>
      </c>
      <c r="D16" s="2" t="s">
        <v>932</v>
      </c>
      <c r="E16" s="4" t="s">
        <v>945</v>
      </c>
    </row>
    <row r="17" spans="1:5" x14ac:dyDescent="0.35">
      <c r="A17" s="2" t="s">
        <v>946</v>
      </c>
      <c r="B17" t="s">
        <v>977</v>
      </c>
      <c r="C17" t="s">
        <v>917</v>
      </c>
      <c r="D17" t="s">
        <v>932</v>
      </c>
      <c r="E17" s="4" t="s">
        <v>947</v>
      </c>
    </row>
    <row r="18" spans="1:5" x14ac:dyDescent="0.35">
      <c r="A18" s="2" t="s">
        <v>978</v>
      </c>
      <c r="B18" t="s">
        <v>978</v>
      </c>
      <c r="C18" t="s">
        <v>917</v>
      </c>
      <c r="D18" t="s">
        <v>932</v>
      </c>
      <c r="E18" s="4" t="s">
        <v>979</v>
      </c>
    </row>
    <row r="19" spans="1:5" x14ac:dyDescent="0.35">
      <c r="A19" s="2" t="s">
        <v>948</v>
      </c>
      <c r="B19" t="s">
        <v>949</v>
      </c>
      <c r="C19" s="2" t="s">
        <v>924</v>
      </c>
      <c r="D19" s="2" t="s">
        <v>932</v>
      </c>
      <c r="E19" s="4" t="s">
        <v>950</v>
      </c>
    </row>
    <row r="20" spans="1:5" x14ac:dyDescent="0.35">
      <c r="A20" s="2" t="s">
        <v>951</v>
      </c>
      <c r="B20" t="s">
        <v>952</v>
      </c>
      <c r="C20" s="2" t="s">
        <v>924</v>
      </c>
      <c r="D20" s="2" t="s">
        <v>932</v>
      </c>
      <c r="E20" s="4" t="s">
        <v>953</v>
      </c>
    </row>
    <row r="21" spans="1:5" x14ac:dyDescent="0.35">
      <c r="A21" s="2" t="s">
        <v>954</v>
      </c>
      <c r="B21" t="s">
        <v>955</v>
      </c>
      <c r="C21" t="s">
        <v>917</v>
      </c>
      <c r="D21" t="s">
        <v>932</v>
      </c>
      <c r="E21" s="4" t="s">
        <v>956</v>
      </c>
    </row>
    <row r="22" spans="1:5" x14ac:dyDescent="0.35">
      <c r="A22" s="2" t="s">
        <v>957</v>
      </c>
      <c r="B22" t="s">
        <v>980</v>
      </c>
      <c r="C22" t="s">
        <v>917</v>
      </c>
      <c r="D22" t="s">
        <v>958</v>
      </c>
      <c r="E22" s="4" t="s">
        <v>959</v>
      </c>
    </row>
    <row r="23" spans="1:5" x14ac:dyDescent="0.35">
      <c r="A23" s="2" t="s">
        <v>957</v>
      </c>
      <c r="B23" t="s">
        <v>981</v>
      </c>
      <c r="C23" t="s">
        <v>917</v>
      </c>
      <c r="D23" t="s">
        <v>958</v>
      </c>
      <c r="E23" s="4" t="s">
        <v>959</v>
      </c>
    </row>
    <row r="24" spans="1:5" x14ac:dyDescent="0.35">
      <c r="A24" s="2" t="s">
        <v>957</v>
      </c>
      <c r="B24" t="s">
        <v>982</v>
      </c>
      <c r="C24" t="s">
        <v>917</v>
      </c>
      <c r="D24" t="s">
        <v>958</v>
      </c>
      <c r="E24" s="4" t="s">
        <v>959</v>
      </c>
    </row>
    <row r="25" spans="1:5" x14ac:dyDescent="0.35">
      <c r="A25" s="2" t="s">
        <v>957</v>
      </c>
      <c r="B25" t="s">
        <v>983</v>
      </c>
      <c r="C25" t="s">
        <v>917</v>
      </c>
      <c r="D25" t="s">
        <v>958</v>
      </c>
      <c r="E25" s="4" t="s">
        <v>959</v>
      </c>
    </row>
    <row r="26" spans="1:5" x14ac:dyDescent="0.35">
      <c r="A26" s="2" t="s">
        <v>957</v>
      </c>
      <c r="B26" t="s">
        <v>409</v>
      </c>
      <c r="C26" t="s">
        <v>917</v>
      </c>
      <c r="D26" t="s">
        <v>958</v>
      </c>
      <c r="E26" s="4" t="s">
        <v>959</v>
      </c>
    </row>
    <row r="27" spans="1:5" x14ac:dyDescent="0.35">
      <c r="A27" s="2" t="s">
        <v>960</v>
      </c>
      <c r="B27" t="s">
        <v>961</v>
      </c>
      <c r="C27" t="s">
        <v>917</v>
      </c>
      <c r="D27" t="s">
        <v>932</v>
      </c>
      <c r="E27" s="4" t="s">
        <v>962</v>
      </c>
    </row>
    <row r="28" spans="1:5" x14ac:dyDescent="0.35">
      <c r="A28" s="2" t="s">
        <v>963</v>
      </c>
      <c r="B28" t="s">
        <v>949</v>
      </c>
      <c r="C28" s="2" t="s">
        <v>924</v>
      </c>
      <c r="D28" s="2" t="s">
        <v>932</v>
      </c>
      <c r="E28" s="4" t="s">
        <v>964</v>
      </c>
    </row>
    <row r="29" spans="1:5" x14ac:dyDescent="0.35">
      <c r="A29" s="2" t="s">
        <v>965</v>
      </c>
      <c r="B29" t="s">
        <v>966</v>
      </c>
      <c r="C29" s="2" t="s">
        <v>924</v>
      </c>
      <c r="D29" s="2" t="s">
        <v>932</v>
      </c>
      <c r="E29" s="4" t="s">
        <v>967</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741</v>
      </c>
      <c r="B1" t="s">
        <v>6</v>
      </c>
      <c r="C1" t="s">
        <v>0</v>
      </c>
      <c r="D1" t="s">
        <v>1</v>
      </c>
      <c r="E1" t="s">
        <v>2</v>
      </c>
      <c r="F1" t="s">
        <v>3</v>
      </c>
      <c r="G1" t="s">
        <v>4</v>
      </c>
      <c r="H1" t="s">
        <v>7</v>
      </c>
      <c r="I1" t="s">
        <v>8</v>
      </c>
      <c r="J1" t="s">
        <v>742</v>
      </c>
      <c r="K1" t="s">
        <v>10</v>
      </c>
      <c r="L1" t="s">
        <v>11</v>
      </c>
      <c r="M1" t="s">
        <v>13</v>
      </c>
      <c r="N1" t="s">
        <v>14</v>
      </c>
      <c r="O1" t="s">
        <v>15</v>
      </c>
    </row>
    <row r="2" spans="1:15" x14ac:dyDescent="0.35">
      <c r="A2" t="s">
        <v>743</v>
      </c>
      <c r="B2">
        <v>2022</v>
      </c>
      <c r="C2" t="s">
        <v>53</v>
      </c>
      <c r="E2" t="s">
        <v>56</v>
      </c>
      <c r="G2" t="s">
        <v>49</v>
      </c>
      <c r="H2" t="s">
        <v>259</v>
      </c>
      <c r="I2" t="s">
        <v>744</v>
      </c>
      <c r="J2" t="s">
        <v>745</v>
      </c>
      <c r="K2" t="s">
        <v>746</v>
      </c>
      <c r="L2">
        <v>0.66200000000000003</v>
      </c>
      <c r="N2" t="s">
        <v>54</v>
      </c>
      <c r="O2" t="s">
        <v>55</v>
      </c>
    </row>
    <row r="3" spans="1:15" x14ac:dyDescent="0.35">
      <c r="A3" t="s">
        <v>864</v>
      </c>
      <c r="B3">
        <v>2023</v>
      </c>
      <c r="C3" t="s">
        <v>60</v>
      </c>
      <c r="E3" t="s">
        <v>63</v>
      </c>
      <c r="G3" t="s">
        <v>59</v>
      </c>
      <c r="H3" t="s">
        <v>50</v>
      </c>
      <c r="I3" t="s">
        <v>865</v>
      </c>
      <c r="J3" t="s">
        <v>745</v>
      </c>
      <c r="K3" t="s">
        <v>754</v>
      </c>
      <c r="L3">
        <v>5.6849999999999996</v>
      </c>
      <c r="N3" t="s">
        <v>61</v>
      </c>
      <c r="O3" t="s">
        <v>62</v>
      </c>
    </row>
    <row r="4" spans="1:15" x14ac:dyDescent="0.35">
      <c r="A4" t="s">
        <v>869</v>
      </c>
      <c r="B4">
        <v>2023</v>
      </c>
      <c r="C4" t="s">
        <v>60</v>
      </c>
      <c r="E4" t="s">
        <v>63</v>
      </c>
      <c r="G4" t="s">
        <v>59</v>
      </c>
      <c r="H4" t="s">
        <v>50</v>
      </c>
      <c r="I4" t="s">
        <v>779</v>
      </c>
      <c r="J4" t="s">
        <v>745</v>
      </c>
      <c r="K4" t="s">
        <v>746</v>
      </c>
      <c r="L4">
        <v>96</v>
      </c>
      <c r="N4" t="s">
        <v>61</v>
      </c>
      <c r="O4" t="s">
        <v>62</v>
      </c>
    </row>
    <row r="5" spans="1:15" x14ac:dyDescent="0.35">
      <c r="A5" t="s">
        <v>765</v>
      </c>
      <c r="B5">
        <v>2023</v>
      </c>
      <c r="C5" t="s">
        <v>74</v>
      </c>
      <c r="E5" t="s">
        <v>77</v>
      </c>
      <c r="G5" t="s">
        <v>59</v>
      </c>
      <c r="H5" t="s">
        <v>50</v>
      </c>
      <c r="I5" t="s">
        <v>748</v>
      </c>
      <c r="J5" t="s">
        <v>749</v>
      </c>
      <c r="K5" t="s">
        <v>750</v>
      </c>
      <c r="L5">
        <v>1.0001405976077</v>
      </c>
      <c r="M5" t="s">
        <v>751</v>
      </c>
      <c r="N5" t="s">
        <v>75</v>
      </c>
      <c r="O5" t="s">
        <v>76</v>
      </c>
    </row>
    <row r="6" spans="1:15" x14ac:dyDescent="0.35">
      <c r="A6" t="s">
        <v>768</v>
      </c>
      <c r="B6">
        <v>2023</v>
      </c>
      <c r="C6" t="s">
        <v>74</v>
      </c>
      <c r="E6" t="s">
        <v>77</v>
      </c>
      <c r="G6" t="s">
        <v>116</v>
      </c>
      <c r="H6" t="s">
        <v>50</v>
      </c>
      <c r="I6" t="s">
        <v>753</v>
      </c>
      <c r="J6" t="s">
        <v>745</v>
      </c>
      <c r="K6" t="s">
        <v>754</v>
      </c>
      <c r="L6">
        <v>1.17</v>
      </c>
      <c r="N6" t="s">
        <v>75</v>
      </c>
      <c r="O6" t="s">
        <v>755</v>
      </c>
    </row>
    <row r="7" spans="1:15" x14ac:dyDescent="0.35">
      <c r="A7" t="s">
        <v>769</v>
      </c>
      <c r="B7">
        <v>2023</v>
      </c>
      <c r="C7" t="s">
        <v>74</v>
      </c>
      <c r="E7" t="s">
        <v>77</v>
      </c>
      <c r="G7" t="s">
        <v>116</v>
      </c>
      <c r="H7" t="s">
        <v>50</v>
      </c>
      <c r="I7" t="s">
        <v>757</v>
      </c>
      <c r="J7" t="s">
        <v>745</v>
      </c>
      <c r="K7" t="s">
        <v>746</v>
      </c>
      <c r="L7">
        <v>92.8</v>
      </c>
      <c r="N7" t="s">
        <v>75</v>
      </c>
      <c r="O7" t="s">
        <v>755</v>
      </c>
    </row>
    <row r="8" spans="1:15" x14ac:dyDescent="0.35">
      <c r="A8" t="s">
        <v>761</v>
      </c>
      <c r="B8">
        <v>2023</v>
      </c>
      <c r="C8" t="s">
        <v>110</v>
      </c>
      <c r="E8" t="s">
        <v>113</v>
      </c>
      <c r="G8" t="s">
        <v>547</v>
      </c>
      <c r="H8" t="s">
        <v>50</v>
      </c>
      <c r="I8" t="s">
        <v>753</v>
      </c>
      <c r="J8" t="s">
        <v>745</v>
      </c>
      <c r="K8" t="s">
        <v>746</v>
      </c>
      <c r="L8">
        <v>0.35</v>
      </c>
      <c r="M8" t="s">
        <v>109</v>
      </c>
      <c r="N8" t="s">
        <v>111</v>
      </c>
      <c r="O8" t="s">
        <v>112</v>
      </c>
    </row>
    <row r="9" spans="1:15" x14ac:dyDescent="0.35">
      <c r="A9" t="s">
        <v>762</v>
      </c>
      <c r="B9">
        <v>2023</v>
      </c>
      <c r="C9" t="s">
        <v>110</v>
      </c>
      <c r="E9" t="s">
        <v>113</v>
      </c>
      <c r="G9" t="s">
        <v>547</v>
      </c>
      <c r="H9" t="s">
        <v>50</v>
      </c>
      <c r="I9" t="s">
        <v>757</v>
      </c>
      <c r="J9" t="s">
        <v>745</v>
      </c>
      <c r="K9" t="s">
        <v>746</v>
      </c>
      <c r="L9">
        <v>79.7</v>
      </c>
      <c r="M9" t="s">
        <v>109</v>
      </c>
      <c r="N9" t="s">
        <v>111</v>
      </c>
      <c r="O9" t="s">
        <v>112</v>
      </c>
    </row>
    <row r="10" spans="1:15" x14ac:dyDescent="0.35">
      <c r="A10" t="s">
        <v>763</v>
      </c>
      <c r="B10">
        <v>2023</v>
      </c>
      <c r="C10" t="s">
        <v>110</v>
      </c>
      <c r="E10" t="s">
        <v>113</v>
      </c>
      <c r="G10" t="s">
        <v>547</v>
      </c>
      <c r="H10" t="s">
        <v>259</v>
      </c>
      <c r="I10" t="s">
        <v>744</v>
      </c>
      <c r="J10" t="s">
        <v>745</v>
      </c>
      <c r="K10" t="s">
        <v>746</v>
      </c>
      <c r="L10">
        <v>23.1</v>
      </c>
      <c r="M10" t="s">
        <v>109</v>
      </c>
      <c r="N10" t="s">
        <v>111</v>
      </c>
      <c r="O10" t="s">
        <v>112</v>
      </c>
    </row>
    <row r="11" spans="1:15" x14ac:dyDescent="0.35">
      <c r="A11" t="s">
        <v>766</v>
      </c>
      <c r="B11">
        <v>2023</v>
      </c>
      <c r="C11" t="s">
        <v>110</v>
      </c>
      <c r="E11" t="s">
        <v>113</v>
      </c>
      <c r="G11" t="s">
        <v>583</v>
      </c>
      <c r="H11" t="s">
        <v>50</v>
      </c>
      <c r="I11" t="s">
        <v>753</v>
      </c>
      <c r="J11" t="s">
        <v>745</v>
      </c>
      <c r="K11" t="s">
        <v>754</v>
      </c>
      <c r="L11">
        <v>1.36</v>
      </c>
      <c r="N11" t="s">
        <v>111</v>
      </c>
      <c r="O11" t="s">
        <v>112</v>
      </c>
    </row>
    <row r="12" spans="1:15" x14ac:dyDescent="0.35">
      <c r="A12" t="s">
        <v>767</v>
      </c>
      <c r="B12">
        <v>2023</v>
      </c>
      <c r="C12" t="s">
        <v>110</v>
      </c>
      <c r="E12" t="s">
        <v>113</v>
      </c>
      <c r="G12" t="s">
        <v>583</v>
      </c>
      <c r="H12" t="s">
        <v>50</v>
      </c>
      <c r="I12" t="s">
        <v>757</v>
      </c>
      <c r="J12" t="s">
        <v>745</v>
      </c>
      <c r="K12" t="s">
        <v>746</v>
      </c>
      <c r="L12">
        <v>73</v>
      </c>
      <c r="M12" t="s">
        <v>109</v>
      </c>
      <c r="N12" t="s">
        <v>111</v>
      </c>
      <c r="O12" t="s">
        <v>112</v>
      </c>
    </row>
    <row r="13" spans="1:15" x14ac:dyDescent="0.35">
      <c r="A13" t="s">
        <v>816</v>
      </c>
      <c r="B13">
        <v>2023</v>
      </c>
      <c r="C13" t="s">
        <v>110</v>
      </c>
      <c r="E13" t="s">
        <v>113</v>
      </c>
      <c r="G13" t="s">
        <v>59</v>
      </c>
      <c r="H13" t="s">
        <v>80</v>
      </c>
      <c r="I13" t="s">
        <v>748</v>
      </c>
      <c r="J13" t="s">
        <v>745</v>
      </c>
      <c r="K13" t="s">
        <v>750</v>
      </c>
      <c r="L13">
        <v>3.82</v>
      </c>
      <c r="M13" t="s">
        <v>109</v>
      </c>
      <c r="N13" t="s">
        <v>111</v>
      </c>
      <c r="O13" t="s">
        <v>112</v>
      </c>
    </row>
    <row r="14" spans="1:15" x14ac:dyDescent="0.35">
      <c r="A14" t="s">
        <v>820</v>
      </c>
      <c r="B14">
        <v>2023</v>
      </c>
      <c r="C14" t="s">
        <v>110</v>
      </c>
      <c r="E14" t="s">
        <v>113</v>
      </c>
      <c r="G14" t="s">
        <v>116</v>
      </c>
      <c r="H14" t="s">
        <v>50</v>
      </c>
      <c r="I14" t="s">
        <v>753</v>
      </c>
      <c r="J14" t="s">
        <v>745</v>
      </c>
      <c r="K14" t="s">
        <v>754</v>
      </c>
      <c r="L14">
        <v>7.0000000000000007E-2</v>
      </c>
      <c r="N14" t="s">
        <v>111</v>
      </c>
      <c r="O14" t="s">
        <v>112</v>
      </c>
    </row>
    <row r="15" spans="1:15" x14ac:dyDescent="0.35">
      <c r="A15" t="s">
        <v>821</v>
      </c>
      <c r="B15">
        <v>2023</v>
      </c>
      <c r="C15" t="s">
        <v>110</v>
      </c>
      <c r="E15" t="s">
        <v>113</v>
      </c>
      <c r="G15" t="s">
        <v>116</v>
      </c>
      <c r="H15" t="s">
        <v>50</v>
      </c>
      <c r="I15" t="s">
        <v>757</v>
      </c>
      <c r="J15" t="s">
        <v>745</v>
      </c>
      <c r="K15" t="s">
        <v>746</v>
      </c>
      <c r="L15">
        <v>55.9</v>
      </c>
      <c r="M15" t="s">
        <v>109</v>
      </c>
      <c r="N15" t="s">
        <v>111</v>
      </c>
      <c r="O15" t="s">
        <v>112</v>
      </c>
    </row>
    <row r="16" spans="1:15" x14ac:dyDescent="0.35">
      <c r="A16" t="s">
        <v>758</v>
      </c>
      <c r="B16">
        <v>2023</v>
      </c>
      <c r="C16" t="s">
        <v>117</v>
      </c>
      <c r="E16" t="s">
        <v>118</v>
      </c>
      <c r="G16" t="s">
        <v>59</v>
      </c>
      <c r="H16" t="s">
        <v>50</v>
      </c>
      <c r="I16" t="s">
        <v>748</v>
      </c>
      <c r="J16" t="s">
        <v>749</v>
      </c>
      <c r="K16" t="s">
        <v>750</v>
      </c>
      <c r="L16">
        <v>4.3275814028000097</v>
      </c>
      <c r="M16" t="s">
        <v>751</v>
      </c>
      <c r="N16" t="s">
        <v>75</v>
      </c>
      <c r="O16" t="s">
        <v>76</v>
      </c>
    </row>
    <row r="17" spans="1:15" x14ac:dyDescent="0.35">
      <c r="A17" t="s">
        <v>902</v>
      </c>
      <c r="B17">
        <v>2023</v>
      </c>
      <c r="C17" t="s">
        <v>126</v>
      </c>
      <c r="E17" t="s">
        <v>129</v>
      </c>
      <c r="G17" t="s">
        <v>59</v>
      </c>
      <c r="H17" t="s">
        <v>50</v>
      </c>
      <c r="I17" t="s">
        <v>748</v>
      </c>
      <c r="J17" t="s">
        <v>749</v>
      </c>
      <c r="K17" t="s">
        <v>750</v>
      </c>
      <c r="L17">
        <v>0.64937765859486896</v>
      </c>
      <c r="M17" t="s">
        <v>851</v>
      </c>
      <c r="N17" t="s">
        <v>127</v>
      </c>
      <c r="O17" t="s">
        <v>128</v>
      </c>
    </row>
    <row r="18" spans="1:15" x14ac:dyDescent="0.35">
      <c r="A18" t="s">
        <v>903</v>
      </c>
      <c r="B18">
        <v>2023</v>
      </c>
      <c r="C18" t="s">
        <v>126</v>
      </c>
      <c r="E18" t="s">
        <v>129</v>
      </c>
      <c r="G18" t="s">
        <v>116</v>
      </c>
      <c r="H18" t="s">
        <v>50</v>
      </c>
      <c r="I18" t="s">
        <v>753</v>
      </c>
      <c r="J18" t="s">
        <v>745</v>
      </c>
      <c r="K18" t="s">
        <v>754</v>
      </c>
      <c r="L18">
        <v>12.6</v>
      </c>
      <c r="N18" t="s">
        <v>127</v>
      </c>
      <c r="O18" t="s">
        <v>128</v>
      </c>
    </row>
    <row r="19" spans="1:15" x14ac:dyDescent="0.35">
      <c r="A19" t="s">
        <v>904</v>
      </c>
      <c r="B19">
        <v>2023</v>
      </c>
      <c r="C19" t="s">
        <v>126</v>
      </c>
      <c r="E19" t="s">
        <v>129</v>
      </c>
      <c r="G19" t="s">
        <v>116</v>
      </c>
      <c r="H19" t="s">
        <v>50</v>
      </c>
      <c r="I19" t="s">
        <v>757</v>
      </c>
      <c r="J19" t="s">
        <v>745</v>
      </c>
      <c r="K19" t="s">
        <v>746</v>
      </c>
      <c r="L19">
        <v>96.9</v>
      </c>
      <c r="N19" t="s">
        <v>127</v>
      </c>
      <c r="O19" t="s">
        <v>128</v>
      </c>
    </row>
    <row r="20" spans="1:15" x14ac:dyDescent="0.35">
      <c r="A20" t="s">
        <v>879</v>
      </c>
      <c r="B20">
        <v>2023</v>
      </c>
      <c r="C20" t="s">
        <v>136</v>
      </c>
      <c r="E20" t="s">
        <v>137</v>
      </c>
      <c r="G20" t="s">
        <v>59</v>
      </c>
      <c r="H20" t="s">
        <v>50</v>
      </c>
      <c r="I20" t="s">
        <v>748</v>
      </c>
      <c r="J20" t="s">
        <v>749</v>
      </c>
      <c r="K20" t="s">
        <v>750</v>
      </c>
      <c r="L20">
        <v>0.36170620108368401</v>
      </c>
      <c r="M20" t="s">
        <v>774</v>
      </c>
      <c r="N20" t="s">
        <v>61</v>
      </c>
      <c r="O20" t="s">
        <v>62</v>
      </c>
    </row>
    <row r="21" spans="1:15" x14ac:dyDescent="0.35">
      <c r="A21" t="s">
        <v>880</v>
      </c>
      <c r="B21">
        <v>2023</v>
      </c>
      <c r="C21" t="s">
        <v>136</v>
      </c>
      <c r="E21" t="s">
        <v>137</v>
      </c>
      <c r="G21" t="s">
        <v>116</v>
      </c>
      <c r="H21" t="s">
        <v>50</v>
      </c>
      <c r="I21" t="s">
        <v>865</v>
      </c>
      <c r="J21" t="s">
        <v>745</v>
      </c>
      <c r="K21" t="s">
        <v>754</v>
      </c>
      <c r="L21">
        <v>4.7850000000000001</v>
      </c>
      <c r="N21" t="s">
        <v>61</v>
      </c>
      <c r="O21" t="s">
        <v>62</v>
      </c>
    </row>
    <row r="22" spans="1:15" x14ac:dyDescent="0.35">
      <c r="A22" t="s">
        <v>881</v>
      </c>
      <c r="B22">
        <v>2023</v>
      </c>
      <c r="C22" t="s">
        <v>136</v>
      </c>
      <c r="E22" t="s">
        <v>137</v>
      </c>
      <c r="G22" t="s">
        <v>116</v>
      </c>
      <c r="H22" t="s">
        <v>50</v>
      </c>
      <c r="I22" t="s">
        <v>779</v>
      </c>
      <c r="J22" t="s">
        <v>745</v>
      </c>
      <c r="K22" t="s">
        <v>746</v>
      </c>
      <c r="L22">
        <v>91</v>
      </c>
      <c r="N22" t="s">
        <v>61</v>
      </c>
      <c r="O22" t="s">
        <v>62</v>
      </c>
    </row>
    <row r="23" spans="1:15" x14ac:dyDescent="0.35">
      <c r="A23" t="s">
        <v>811</v>
      </c>
      <c r="B23">
        <v>2024</v>
      </c>
      <c r="C23" t="s">
        <v>140</v>
      </c>
      <c r="E23" t="s">
        <v>143</v>
      </c>
      <c r="G23" t="s">
        <v>116</v>
      </c>
      <c r="H23" t="s">
        <v>80</v>
      </c>
      <c r="I23" t="s">
        <v>748</v>
      </c>
      <c r="J23" t="s">
        <v>745</v>
      </c>
      <c r="K23" t="s">
        <v>750</v>
      </c>
      <c r="L23">
        <v>47.7</v>
      </c>
      <c r="N23" t="s">
        <v>141</v>
      </c>
      <c r="O23" t="s">
        <v>142</v>
      </c>
    </row>
    <row r="24" spans="1:15" x14ac:dyDescent="0.35">
      <c r="A24" t="s">
        <v>812</v>
      </c>
      <c r="B24">
        <v>2024</v>
      </c>
      <c r="C24" t="s">
        <v>140</v>
      </c>
      <c r="E24" t="s">
        <v>143</v>
      </c>
      <c r="G24" t="s">
        <v>116</v>
      </c>
      <c r="H24" t="s">
        <v>50</v>
      </c>
      <c r="I24" t="s">
        <v>781</v>
      </c>
      <c r="J24" t="s">
        <v>745</v>
      </c>
      <c r="K24" t="s">
        <v>754</v>
      </c>
      <c r="L24">
        <v>4.26</v>
      </c>
      <c r="N24" t="s">
        <v>141</v>
      </c>
      <c r="O24" t="s">
        <v>142</v>
      </c>
    </row>
    <row r="25" spans="1:15" x14ac:dyDescent="0.35">
      <c r="A25" t="s">
        <v>848</v>
      </c>
      <c r="B25">
        <v>2023</v>
      </c>
      <c r="C25" t="s">
        <v>157</v>
      </c>
      <c r="E25" t="s">
        <v>160</v>
      </c>
      <c r="G25" t="s">
        <v>116</v>
      </c>
      <c r="H25" t="s">
        <v>50</v>
      </c>
      <c r="I25" t="s">
        <v>753</v>
      </c>
      <c r="J25" t="s">
        <v>745</v>
      </c>
      <c r="K25" t="s">
        <v>754</v>
      </c>
      <c r="L25">
        <v>2.84</v>
      </c>
      <c r="N25" t="s">
        <v>158</v>
      </c>
      <c r="O25" t="s">
        <v>159</v>
      </c>
    </row>
    <row r="26" spans="1:15" x14ac:dyDescent="0.35">
      <c r="A26" t="s">
        <v>849</v>
      </c>
      <c r="B26">
        <v>2023</v>
      </c>
      <c r="C26" t="s">
        <v>157</v>
      </c>
      <c r="E26" t="s">
        <v>160</v>
      </c>
      <c r="G26" t="s">
        <v>116</v>
      </c>
      <c r="H26" t="s">
        <v>50</v>
      </c>
      <c r="I26" t="s">
        <v>781</v>
      </c>
      <c r="J26" t="s">
        <v>745</v>
      </c>
      <c r="K26" t="s">
        <v>754</v>
      </c>
      <c r="L26">
        <v>3.08</v>
      </c>
      <c r="N26" t="s">
        <v>158</v>
      </c>
      <c r="O26" t="s">
        <v>159</v>
      </c>
    </row>
    <row r="27" spans="1:15" x14ac:dyDescent="0.35">
      <c r="A27" t="s">
        <v>785</v>
      </c>
      <c r="B27">
        <v>2023</v>
      </c>
      <c r="C27" t="s">
        <v>168</v>
      </c>
      <c r="E27" t="s">
        <v>171</v>
      </c>
      <c r="G27" t="s">
        <v>547</v>
      </c>
      <c r="H27" t="s">
        <v>259</v>
      </c>
      <c r="I27" t="s">
        <v>753</v>
      </c>
      <c r="J27" t="s">
        <v>745</v>
      </c>
      <c r="K27" t="s">
        <v>746</v>
      </c>
      <c r="L27">
        <v>0.25</v>
      </c>
      <c r="N27" t="s">
        <v>169</v>
      </c>
      <c r="O27" t="s">
        <v>170</v>
      </c>
    </row>
    <row r="28" spans="1:15" x14ac:dyDescent="0.35">
      <c r="A28" t="s">
        <v>786</v>
      </c>
      <c r="B28">
        <v>2023</v>
      </c>
      <c r="C28" t="s">
        <v>168</v>
      </c>
      <c r="E28" t="s">
        <v>171</v>
      </c>
      <c r="G28" t="s">
        <v>547</v>
      </c>
      <c r="H28" t="s">
        <v>259</v>
      </c>
      <c r="I28" t="s">
        <v>787</v>
      </c>
      <c r="J28" t="s">
        <v>745</v>
      </c>
      <c r="K28" t="s">
        <v>746</v>
      </c>
      <c r="L28">
        <v>82.6</v>
      </c>
      <c r="N28" t="s">
        <v>169</v>
      </c>
      <c r="O28" t="s">
        <v>170</v>
      </c>
    </row>
    <row r="29" spans="1:15" x14ac:dyDescent="0.35">
      <c r="A29" t="s">
        <v>901</v>
      </c>
      <c r="B29">
        <v>2023</v>
      </c>
      <c r="C29" t="s">
        <v>168</v>
      </c>
      <c r="E29" t="s">
        <v>171</v>
      </c>
      <c r="G29" t="s">
        <v>59</v>
      </c>
      <c r="H29" t="s">
        <v>50</v>
      </c>
      <c r="I29" t="s">
        <v>748</v>
      </c>
      <c r="J29" t="s">
        <v>745</v>
      </c>
      <c r="K29" t="s">
        <v>750</v>
      </c>
      <c r="L29">
        <v>1.3</v>
      </c>
      <c r="N29" t="s">
        <v>169</v>
      </c>
      <c r="O29" t="s">
        <v>170</v>
      </c>
    </row>
    <row r="30" spans="1:15" x14ac:dyDescent="0.35">
      <c r="A30" t="s">
        <v>797</v>
      </c>
      <c r="B30">
        <v>2023</v>
      </c>
      <c r="C30" t="s">
        <v>181</v>
      </c>
      <c r="E30" t="s">
        <v>184</v>
      </c>
      <c r="G30" t="s">
        <v>59</v>
      </c>
      <c r="H30" t="s">
        <v>50</v>
      </c>
      <c r="I30" t="s">
        <v>748</v>
      </c>
      <c r="J30" t="s">
        <v>749</v>
      </c>
      <c r="K30" t="s">
        <v>750</v>
      </c>
      <c r="L30">
        <v>1.20852695359985</v>
      </c>
      <c r="M30" t="s">
        <v>798</v>
      </c>
      <c r="N30" t="s">
        <v>182</v>
      </c>
      <c r="O30" t="s">
        <v>183</v>
      </c>
    </row>
    <row r="31" spans="1:15" x14ac:dyDescent="0.35">
      <c r="A31" t="s">
        <v>882</v>
      </c>
      <c r="B31">
        <v>2023</v>
      </c>
      <c r="D31" t="s">
        <v>192</v>
      </c>
      <c r="E31" t="s">
        <v>193</v>
      </c>
      <c r="F31" t="s">
        <v>194</v>
      </c>
      <c r="G31" t="s">
        <v>116</v>
      </c>
      <c r="H31" t="s">
        <v>50</v>
      </c>
      <c r="I31" t="s">
        <v>865</v>
      </c>
      <c r="J31" t="s">
        <v>745</v>
      </c>
      <c r="K31" t="s">
        <v>754</v>
      </c>
      <c r="L31">
        <v>3.0150000000000001</v>
      </c>
      <c r="N31" t="s">
        <v>61</v>
      </c>
      <c r="O31" t="s">
        <v>62</v>
      </c>
    </row>
    <row r="32" spans="1:15" x14ac:dyDescent="0.35">
      <c r="A32" t="s">
        <v>886</v>
      </c>
      <c r="B32">
        <v>2023</v>
      </c>
      <c r="D32" t="s">
        <v>192</v>
      </c>
      <c r="E32" t="s">
        <v>193</v>
      </c>
      <c r="F32" t="s">
        <v>194</v>
      </c>
      <c r="G32" t="s">
        <v>116</v>
      </c>
      <c r="H32" t="s">
        <v>50</v>
      </c>
      <c r="I32" t="s">
        <v>779</v>
      </c>
      <c r="J32" t="s">
        <v>745</v>
      </c>
      <c r="K32" t="s">
        <v>746</v>
      </c>
      <c r="L32">
        <v>91.4</v>
      </c>
      <c r="N32" t="s">
        <v>61</v>
      </c>
      <c r="O32" t="s">
        <v>62</v>
      </c>
    </row>
    <row r="33" spans="1:15" x14ac:dyDescent="0.35">
      <c r="A33" t="s">
        <v>773</v>
      </c>
      <c r="B33">
        <v>2023</v>
      </c>
      <c r="C33" t="s">
        <v>196</v>
      </c>
      <c r="E33" t="s">
        <v>199</v>
      </c>
      <c r="G33" t="s">
        <v>59</v>
      </c>
      <c r="H33" t="s">
        <v>50</v>
      </c>
      <c r="I33" t="s">
        <v>748</v>
      </c>
      <c r="J33" t="s">
        <v>749</v>
      </c>
      <c r="K33" t="s">
        <v>750</v>
      </c>
      <c r="L33">
        <v>0.167682459667962</v>
      </c>
      <c r="M33" t="s">
        <v>774</v>
      </c>
      <c r="N33" t="s">
        <v>197</v>
      </c>
      <c r="O33" t="s">
        <v>198</v>
      </c>
    </row>
    <row r="34" spans="1:15" x14ac:dyDescent="0.35">
      <c r="A34" t="s">
        <v>775</v>
      </c>
      <c r="B34">
        <v>2023</v>
      </c>
      <c r="C34" t="s">
        <v>196</v>
      </c>
      <c r="E34" t="s">
        <v>199</v>
      </c>
      <c r="G34" t="s">
        <v>116</v>
      </c>
      <c r="H34" t="s">
        <v>50</v>
      </c>
      <c r="I34" t="s">
        <v>776</v>
      </c>
      <c r="J34" t="s">
        <v>745</v>
      </c>
      <c r="K34" t="s">
        <v>754</v>
      </c>
      <c r="L34">
        <v>9.48</v>
      </c>
      <c r="M34" t="s">
        <v>777</v>
      </c>
      <c r="N34" t="s">
        <v>197</v>
      </c>
      <c r="O34" t="s">
        <v>198</v>
      </c>
    </row>
    <row r="35" spans="1:15" x14ac:dyDescent="0.35">
      <c r="A35" t="s">
        <v>778</v>
      </c>
      <c r="B35">
        <v>2023</v>
      </c>
      <c r="C35" t="s">
        <v>196</v>
      </c>
      <c r="E35" t="s">
        <v>199</v>
      </c>
      <c r="G35" t="s">
        <v>116</v>
      </c>
      <c r="H35" t="s">
        <v>50</v>
      </c>
      <c r="I35" t="s">
        <v>779</v>
      </c>
      <c r="J35" t="s">
        <v>745</v>
      </c>
      <c r="K35" t="s">
        <v>746</v>
      </c>
      <c r="L35">
        <v>97</v>
      </c>
      <c r="N35" t="s">
        <v>197</v>
      </c>
      <c r="O35" t="s">
        <v>198</v>
      </c>
    </row>
    <row r="36" spans="1:15" x14ac:dyDescent="0.35">
      <c r="A36" t="s">
        <v>780</v>
      </c>
      <c r="B36">
        <v>2023</v>
      </c>
      <c r="C36" t="s">
        <v>196</v>
      </c>
      <c r="E36" t="s">
        <v>199</v>
      </c>
      <c r="G36" t="s">
        <v>116</v>
      </c>
      <c r="H36" t="s">
        <v>50</v>
      </c>
      <c r="I36" t="s">
        <v>781</v>
      </c>
      <c r="J36" t="s">
        <v>745</v>
      </c>
      <c r="K36" t="s">
        <v>754</v>
      </c>
      <c r="L36">
        <v>9.43</v>
      </c>
      <c r="M36" t="s">
        <v>777</v>
      </c>
      <c r="N36" t="s">
        <v>197</v>
      </c>
      <c r="O36" t="s">
        <v>198</v>
      </c>
    </row>
    <row r="37" spans="1:15" x14ac:dyDescent="0.35">
      <c r="A37" t="s">
        <v>794</v>
      </c>
      <c r="B37">
        <v>2024</v>
      </c>
      <c r="C37" t="s">
        <v>201</v>
      </c>
      <c r="E37" t="s">
        <v>203</v>
      </c>
      <c r="G37" t="s">
        <v>583</v>
      </c>
      <c r="H37" t="s">
        <v>50</v>
      </c>
      <c r="I37" t="s">
        <v>753</v>
      </c>
      <c r="J37" t="s">
        <v>745</v>
      </c>
      <c r="K37" t="s">
        <v>754</v>
      </c>
      <c r="L37">
        <v>944</v>
      </c>
      <c r="N37" t="s">
        <v>89</v>
      </c>
      <c r="O37" t="s">
        <v>202</v>
      </c>
    </row>
    <row r="38" spans="1:15" x14ac:dyDescent="0.35">
      <c r="A38" t="s">
        <v>795</v>
      </c>
      <c r="B38">
        <v>2024</v>
      </c>
      <c r="C38" t="s">
        <v>201</v>
      </c>
      <c r="E38" t="s">
        <v>203</v>
      </c>
      <c r="G38" t="s">
        <v>639</v>
      </c>
      <c r="H38" t="s">
        <v>50</v>
      </c>
      <c r="I38" t="s">
        <v>753</v>
      </c>
      <c r="J38" t="s">
        <v>745</v>
      </c>
      <c r="K38" t="s">
        <v>746</v>
      </c>
      <c r="L38">
        <v>2.11</v>
      </c>
      <c r="N38" t="s">
        <v>89</v>
      </c>
      <c r="O38" t="s">
        <v>202</v>
      </c>
    </row>
    <row r="39" spans="1:15" x14ac:dyDescent="0.35">
      <c r="A39" t="s">
        <v>796</v>
      </c>
      <c r="B39">
        <v>2024</v>
      </c>
      <c r="C39" t="s">
        <v>201</v>
      </c>
      <c r="E39" t="s">
        <v>203</v>
      </c>
      <c r="G39" t="s">
        <v>409</v>
      </c>
      <c r="H39" t="s">
        <v>50</v>
      </c>
      <c r="I39" t="s">
        <v>753</v>
      </c>
      <c r="J39" t="s">
        <v>745</v>
      </c>
      <c r="K39" t="s">
        <v>746</v>
      </c>
      <c r="L39">
        <v>1.34</v>
      </c>
      <c r="N39" t="s">
        <v>89</v>
      </c>
      <c r="O39" t="s">
        <v>202</v>
      </c>
    </row>
    <row r="40" spans="1:15" x14ac:dyDescent="0.35">
      <c r="A40" t="s">
        <v>905</v>
      </c>
      <c r="B40">
        <v>2023</v>
      </c>
      <c r="C40" t="s">
        <v>210</v>
      </c>
      <c r="E40" t="s">
        <v>211</v>
      </c>
      <c r="G40" t="s">
        <v>59</v>
      </c>
      <c r="H40" t="s">
        <v>50</v>
      </c>
      <c r="I40" t="s">
        <v>748</v>
      </c>
      <c r="J40" t="s">
        <v>749</v>
      </c>
      <c r="K40" t="s">
        <v>750</v>
      </c>
      <c r="L40">
        <v>0.848295561554397</v>
      </c>
      <c r="M40" t="s">
        <v>851</v>
      </c>
      <c r="N40" t="s">
        <v>127</v>
      </c>
      <c r="O40" t="s">
        <v>128</v>
      </c>
    </row>
    <row r="41" spans="1:15" x14ac:dyDescent="0.35">
      <c r="A41" t="s">
        <v>906</v>
      </c>
      <c r="B41">
        <v>2023</v>
      </c>
      <c r="C41" t="s">
        <v>210</v>
      </c>
      <c r="E41" t="s">
        <v>211</v>
      </c>
      <c r="G41" t="s">
        <v>116</v>
      </c>
      <c r="H41" t="s">
        <v>50</v>
      </c>
      <c r="I41" t="s">
        <v>753</v>
      </c>
      <c r="J41" t="s">
        <v>745</v>
      </c>
      <c r="K41" t="s">
        <v>754</v>
      </c>
      <c r="L41">
        <v>5.9</v>
      </c>
      <c r="N41" t="s">
        <v>127</v>
      </c>
      <c r="O41" t="s">
        <v>128</v>
      </c>
    </row>
    <row r="42" spans="1:15" x14ac:dyDescent="0.35">
      <c r="A42" t="s">
        <v>907</v>
      </c>
      <c r="B42">
        <v>2023</v>
      </c>
      <c r="C42" t="s">
        <v>210</v>
      </c>
      <c r="E42" t="s">
        <v>211</v>
      </c>
      <c r="G42" t="s">
        <v>116</v>
      </c>
      <c r="H42" t="s">
        <v>50</v>
      </c>
      <c r="I42" t="s">
        <v>757</v>
      </c>
      <c r="J42" t="s">
        <v>745</v>
      </c>
      <c r="K42" t="s">
        <v>746</v>
      </c>
      <c r="L42">
        <v>98.3</v>
      </c>
      <c r="N42" t="s">
        <v>127</v>
      </c>
      <c r="O42" t="s">
        <v>128</v>
      </c>
    </row>
    <row r="43" spans="1:15" x14ac:dyDescent="0.35">
      <c r="A43" t="s">
        <v>803</v>
      </c>
      <c r="B43">
        <v>2023</v>
      </c>
      <c r="C43" t="s">
        <v>216</v>
      </c>
      <c r="E43" t="s">
        <v>219</v>
      </c>
      <c r="G43" t="s">
        <v>677</v>
      </c>
      <c r="H43" t="s">
        <v>50</v>
      </c>
      <c r="I43" t="s">
        <v>753</v>
      </c>
      <c r="J43" t="s">
        <v>745</v>
      </c>
      <c r="K43" t="s">
        <v>754</v>
      </c>
      <c r="L43">
        <v>3.88</v>
      </c>
      <c r="N43" t="s">
        <v>217</v>
      </c>
      <c r="O43" t="s">
        <v>218</v>
      </c>
    </row>
    <row r="44" spans="1:15" x14ac:dyDescent="0.35">
      <c r="A44" t="s">
        <v>804</v>
      </c>
      <c r="B44">
        <v>2023</v>
      </c>
      <c r="C44" t="s">
        <v>222</v>
      </c>
      <c r="D44" t="s">
        <v>223</v>
      </c>
      <c r="E44" t="s">
        <v>224</v>
      </c>
      <c r="F44" t="s">
        <v>225</v>
      </c>
      <c r="G44" t="s">
        <v>547</v>
      </c>
      <c r="H44" t="s">
        <v>50</v>
      </c>
      <c r="I44" t="s">
        <v>781</v>
      </c>
      <c r="J44" t="s">
        <v>745</v>
      </c>
      <c r="K44" t="s">
        <v>746</v>
      </c>
      <c r="L44">
        <v>0.86</v>
      </c>
      <c r="N44" t="s">
        <v>111</v>
      </c>
      <c r="O44" t="s">
        <v>112</v>
      </c>
    </row>
    <row r="45" spans="1:15" x14ac:dyDescent="0.35">
      <c r="A45" t="s">
        <v>806</v>
      </c>
      <c r="B45">
        <v>2023</v>
      </c>
      <c r="C45" t="s">
        <v>222</v>
      </c>
      <c r="D45" t="s">
        <v>223</v>
      </c>
      <c r="E45" t="s">
        <v>224</v>
      </c>
      <c r="F45" t="s">
        <v>225</v>
      </c>
      <c r="G45" t="s">
        <v>583</v>
      </c>
      <c r="H45" t="s">
        <v>50</v>
      </c>
      <c r="I45" t="s">
        <v>781</v>
      </c>
      <c r="J45" t="s">
        <v>745</v>
      </c>
      <c r="K45" t="s">
        <v>754</v>
      </c>
      <c r="L45">
        <v>24.51</v>
      </c>
      <c r="N45" t="s">
        <v>111</v>
      </c>
      <c r="O45" t="s">
        <v>112</v>
      </c>
    </row>
    <row r="46" spans="1:15" x14ac:dyDescent="0.35">
      <c r="A46" t="s">
        <v>807</v>
      </c>
      <c r="B46">
        <v>2023</v>
      </c>
      <c r="C46" t="s">
        <v>222</v>
      </c>
      <c r="D46" t="s">
        <v>223</v>
      </c>
      <c r="E46" t="s">
        <v>224</v>
      </c>
      <c r="F46" t="s">
        <v>225</v>
      </c>
      <c r="G46" t="s">
        <v>409</v>
      </c>
      <c r="H46" t="s">
        <v>50</v>
      </c>
      <c r="I46" t="s">
        <v>781</v>
      </c>
      <c r="J46" t="s">
        <v>745</v>
      </c>
      <c r="K46" t="s">
        <v>746</v>
      </c>
      <c r="L46">
        <v>3</v>
      </c>
      <c r="N46" t="s">
        <v>111</v>
      </c>
      <c r="O46" t="s">
        <v>112</v>
      </c>
    </row>
    <row r="47" spans="1:15" x14ac:dyDescent="0.35">
      <c r="A47" t="s">
        <v>826</v>
      </c>
      <c r="B47">
        <v>2023</v>
      </c>
      <c r="C47" t="s">
        <v>222</v>
      </c>
      <c r="D47" t="s">
        <v>223</v>
      </c>
      <c r="E47" t="s">
        <v>224</v>
      </c>
      <c r="F47" t="s">
        <v>225</v>
      </c>
      <c r="G47" t="s">
        <v>116</v>
      </c>
      <c r="H47" t="s">
        <v>50</v>
      </c>
      <c r="I47" t="s">
        <v>781</v>
      </c>
      <c r="J47" t="s">
        <v>745</v>
      </c>
      <c r="K47" t="s">
        <v>754</v>
      </c>
      <c r="L47">
        <v>4.74</v>
      </c>
      <c r="N47" t="s">
        <v>111</v>
      </c>
      <c r="O47" t="s">
        <v>112</v>
      </c>
    </row>
    <row r="48" spans="1:15" x14ac:dyDescent="0.35">
      <c r="A48" t="s">
        <v>805</v>
      </c>
      <c r="B48">
        <v>2023</v>
      </c>
      <c r="C48" t="s">
        <v>228</v>
      </c>
      <c r="E48" t="s">
        <v>231</v>
      </c>
      <c r="G48" t="s">
        <v>116</v>
      </c>
      <c r="H48" t="s">
        <v>50</v>
      </c>
      <c r="I48" t="s">
        <v>753</v>
      </c>
      <c r="J48" t="s">
        <v>745</v>
      </c>
      <c r="K48" t="s">
        <v>754</v>
      </c>
      <c r="L48">
        <v>6.76</v>
      </c>
      <c r="N48" t="s">
        <v>229</v>
      </c>
      <c r="O48" t="s">
        <v>230</v>
      </c>
    </row>
    <row r="49" spans="1:15" x14ac:dyDescent="0.35">
      <c r="A49" t="s">
        <v>808</v>
      </c>
      <c r="B49">
        <v>2023</v>
      </c>
      <c r="C49" t="s">
        <v>228</v>
      </c>
      <c r="E49" t="s">
        <v>231</v>
      </c>
      <c r="G49" t="s">
        <v>116</v>
      </c>
      <c r="H49" t="s">
        <v>50</v>
      </c>
      <c r="I49" t="s">
        <v>757</v>
      </c>
      <c r="J49" t="s">
        <v>745</v>
      </c>
      <c r="K49" t="s">
        <v>746</v>
      </c>
      <c r="L49">
        <v>0.97099999999999997</v>
      </c>
      <c r="N49" t="s">
        <v>229</v>
      </c>
      <c r="O49" t="s">
        <v>230</v>
      </c>
    </row>
    <row r="50" spans="1:15" x14ac:dyDescent="0.35">
      <c r="A50" t="s">
        <v>759</v>
      </c>
      <c r="B50">
        <v>2023</v>
      </c>
      <c r="C50" t="s">
        <v>233</v>
      </c>
      <c r="E50" t="s">
        <v>234</v>
      </c>
      <c r="G50" t="s">
        <v>59</v>
      </c>
      <c r="H50" t="s">
        <v>50</v>
      </c>
      <c r="I50" t="s">
        <v>748</v>
      </c>
      <c r="J50" t="s">
        <v>749</v>
      </c>
      <c r="K50" t="s">
        <v>750</v>
      </c>
      <c r="L50">
        <v>1.46708992187948</v>
      </c>
      <c r="M50" t="s">
        <v>751</v>
      </c>
      <c r="N50" t="s">
        <v>75</v>
      </c>
      <c r="O50" t="s">
        <v>76</v>
      </c>
    </row>
    <row r="51" spans="1:15" x14ac:dyDescent="0.35">
      <c r="A51" t="s">
        <v>760</v>
      </c>
      <c r="B51">
        <v>2023</v>
      </c>
      <c r="C51" t="s">
        <v>233</v>
      </c>
      <c r="E51" t="s">
        <v>234</v>
      </c>
      <c r="G51" t="s">
        <v>116</v>
      </c>
      <c r="H51" t="s">
        <v>50</v>
      </c>
      <c r="I51" t="s">
        <v>753</v>
      </c>
      <c r="J51" t="s">
        <v>745</v>
      </c>
      <c r="K51" t="s">
        <v>754</v>
      </c>
      <c r="L51">
        <v>5.23</v>
      </c>
      <c r="N51" t="s">
        <v>75</v>
      </c>
      <c r="O51" t="s">
        <v>755</v>
      </c>
    </row>
    <row r="52" spans="1:15" x14ac:dyDescent="0.35">
      <c r="A52" t="s">
        <v>764</v>
      </c>
      <c r="B52">
        <v>2023</v>
      </c>
      <c r="C52" t="s">
        <v>233</v>
      </c>
      <c r="E52" t="s">
        <v>234</v>
      </c>
      <c r="G52" t="s">
        <v>116</v>
      </c>
      <c r="H52" t="s">
        <v>50</v>
      </c>
      <c r="I52" t="s">
        <v>757</v>
      </c>
      <c r="J52" t="s">
        <v>745</v>
      </c>
      <c r="K52" t="s">
        <v>746</v>
      </c>
      <c r="L52">
        <v>93.5</v>
      </c>
      <c r="N52" t="s">
        <v>75</v>
      </c>
      <c r="O52" t="s">
        <v>755</v>
      </c>
    </row>
    <row r="53" spans="1:15" x14ac:dyDescent="0.35">
      <c r="A53" t="s">
        <v>813</v>
      </c>
      <c r="B53">
        <v>2023</v>
      </c>
      <c r="C53" t="s">
        <v>233</v>
      </c>
      <c r="E53" t="s">
        <v>234</v>
      </c>
      <c r="G53" t="s">
        <v>583</v>
      </c>
      <c r="H53" t="s">
        <v>50</v>
      </c>
      <c r="I53" t="s">
        <v>753</v>
      </c>
      <c r="J53" t="s">
        <v>745</v>
      </c>
      <c r="K53" t="s">
        <v>754</v>
      </c>
      <c r="L53">
        <v>16.149999999999999</v>
      </c>
      <c r="N53" t="s">
        <v>75</v>
      </c>
      <c r="O53" t="s">
        <v>755</v>
      </c>
    </row>
    <row r="54" spans="1:15" x14ac:dyDescent="0.35">
      <c r="A54" t="s">
        <v>814</v>
      </c>
      <c r="B54">
        <v>2023</v>
      </c>
      <c r="C54" t="s">
        <v>233</v>
      </c>
      <c r="E54" t="s">
        <v>234</v>
      </c>
      <c r="G54" t="s">
        <v>409</v>
      </c>
      <c r="H54" t="s">
        <v>50</v>
      </c>
      <c r="I54" t="s">
        <v>753</v>
      </c>
      <c r="J54" t="s">
        <v>745</v>
      </c>
      <c r="K54" t="s">
        <v>746</v>
      </c>
      <c r="L54">
        <v>0.44</v>
      </c>
      <c r="N54" t="s">
        <v>75</v>
      </c>
      <c r="O54" t="s">
        <v>755</v>
      </c>
    </row>
    <row r="55" spans="1:15" x14ac:dyDescent="0.35">
      <c r="A55" t="s">
        <v>815</v>
      </c>
      <c r="B55">
        <v>2023</v>
      </c>
      <c r="C55" t="s">
        <v>233</v>
      </c>
      <c r="E55" t="s">
        <v>234</v>
      </c>
      <c r="G55" t="s">
        <v>547</v>
      </c>
      <c r="H55" t="s">
        <v>50</v>
      </c>
      <c r="I55" t="s">
        <v>753</v>
      </c>
      <c r="J55" t="s">
        <v>745</v>
      </c>
      <c r="K55" t="s">
        <v>746</v>
      </c>
      <c r="L55">
        <v>0.13</v>
      </c>
      <c r="N55" t="s">
        <v>75</v>
      </c>
      <c r="O55" t="s">
        <v>755</v>
      </c>
    </row>
    <row r="56" spans="1:15" x14ac:dyDescent="0.35">
      <c r="A56" t="s">
        <v>817</v>
      </c>
      <c r="B56">
        <v>2023</v>
      </c>
      <c r="C56" t="s">
        <v>233</v>
      </c>
      <c r="E56" t="s">
        <v>234</v>
      </c>
      <c r="G56" t="s">
        <v>583</v>
      </c>
      <c r="H56" t="s">
        <v>50</v>
      </c>
      <c r="I56" t="s">
        <v>757</v>
      </c>
      <c r="J56" t="s">
        <v>745</v>
      </c>
      <c r="K56" t="s">
        <v>746</v>
      </c>
      <c r="L56">
        <v>85.7</v>
      </c>
      <c r="N56" t="s">
        <v>75</v>
      </c>
      <c r="O56" t="s">
        <v>755</v>
      </c>
    </row>
    <row r="57" spans="1:15" x14ac:dyDescent="0.35">
      <c r="A57" t="s">
        <v>818</v>
      </c>
      <c r="B57">
        <v>2023</v>
      </c>
      <c r="C57" t="s">
        <v>233</v>
      </c>
      <c r="E57" t="s">
        <v>234</v>
      </c>
      <c r="G57" t="s">
        <v>409</v>
      </c>
      <c r="H57" t="s">
        <v>50</v>
      </c>
      <c r="I57" t="s">
        <v>757</v>
      </c>
      <c r="J57" t="s">
        <v>745</v>
      </c>
      <c r="K57" t="s">
        <v>746</v>
      </c>
      <c r="L57">
        <v>76.8</v>
      </c>
      <c r="N57" t="s">
        <v>75</v>
      </c>
      <c r="O57" t="s">
        <v>755</v>
      </c>
    </row>
    <row r="58" spans="1:15" x14ac:dyDescent="0.35">
      <c r="A58" t="s">
        <v>819</v>
      </c>
      <c r="B58">
        <v>2023</v>
      </c>
      <c r="C58" t="s">
        <v>233</v>
      </c>
      <c r="E58" t="s">
        <v>234</v>
      </c>
      <c r="G58" t="s">
        <v>547</v>
      </c>
      <c r="H58" t="s">
        <v>50</v>
      </c>
      <c r="I58" t="s">
        <v>757</v>
      </c>
      <c r="J58" t="s">
        <v>745</v>
      </c>
      <c r="K58" t="s">
        <v>746</v>
      </c>
      <c r="L58">
        <v>80.8</v>
      </c>
      <c r="N58" t="s">
        <v>75</v>
      </c>
      <c r="O58" t="s">
        <v>755</v>
      </c>
    </row>
    <row r="59" spans="1:15" x14ac:dyDescent="0.35">
      <c r="A59" t="s">
        <v>789</v>
      </c>
      <c r="B59">
        <v>2023</v>
      </c>
      <c r="C59" t="s">
        <v>244</v>
      </c>
      <c r="E59" t="s">
        <v>247</v>
      </c>
      <c r="G59" t="s">
        <v>59</v>
      </c>
      <c r="H59" t="s">
        <v>50</v>
      </c>
      <c r="I59" t="s">
        <v>748</v>
      </c>
      <c r="J59" t="s">
        <v>749</v>
      </c>
      <c r="K59" t="s">
        <v>750</v>
      </c>
      <c r="L59">
        <v>5.7994562228508197</v>
      </c>
      <c r="M59" t="s">
        <v>790</v>
      </c>
      <c r="N59" t="s">
        <v>245</v>
      </c>
      <c r="O59" t="s">
        <v>246</v>
      </c>
    </row>
    <row r="60" spans="1:15" x14ac:dyDescent="0.35">
      <c r="A60" t="s">
        <v>791</v>
      </c>
      <c r="B60">
        <v>2024</v>
      </c>
      <c r="C60" t="s">
        <v>244</v>
      </c>
      <c r="E60" t="s">
        <v>247</v>
      </c>
      <c r="G60" t="s">
        <v>116</v>
      </c>
      <c r="H60" t="s">
        <v>50</v>
      </c>
      <c r="I60" t="s">
        <v>781</v>
      </c>
      <c r="J60" t="s">
        <v>745</v>
      </c>
      <c r="K60" t="s">
        <v>754</v>
      </c>
      <c r="L60">
        <v>0.81</v>
      </c>
      <c r="M60" t="s">
        <v>243</v>
      </c>
      <c r="N60" t="s">
        <v>245</v>
      </c>
      <c r="O60" t="s">
        <v>246</v>
      </c>
    </row>
    <row r="61" spans="1:15" x14ac:dyDescent="0.35">
      <c r="A61" t="s">
        <v>792</v>
      </c>
      <c r="B61">
        <v>2024</v>
      </c>
      <c r="C61" t="s">
        <v>244</v>
      </c>
      <c r="E61" t="s">
        <v>247</v>
      </c>
      <c r="G61" t="s">
        <v>116</v>
      </c>
      <c r="H61" t="s">
        <v>50</v>
      </c>
      <c r="I61" t="s">
        <v>753</v>
      </c>
      <c r="J61" t="s">
        <v>745</v>
      </c>
      <c r="K61" t="s">
        <v>754</v>
      </c>
      <c r="L61">
        <v>0.91</v>
      </c>
      <c r="M61" t="s">
        <v>243</v>
      </c>
      <c r="N61" t="s">
        <v>245</v>
      </c>
      <c r="O61" t="s">
        <v>246</v>
      </c>
    </row>
    <row r="62" spans="1:15" x14ac:dyDescent="0.35">
      <c r="A62" t="s">
        <v>793</v>
      </c>
      <c r="B62">
        <v>2024</v>
      </c>
      <c r="C62" t="s">
        <v>244</v>
      </c>
      <c r="E62" t="s">
        <v>247</v>
      </c>
      <c r="G62" t="s">
        <v>116</v>
      </c>
      <c r="H62" t="s">
        <v>50</v>
      </c>
      <c r="I62" t="s">
        <v>757</v>
      </c>
      <c r="J62" t="s">
        <v>745</v>
      </c>
      <c r="K62" t="s">
        <v>746</v>
      </c>
      <c r="L62">
        <v>95</v>
      </c>
      <c r="M62" t="s">
        <v>243</v>
      </c>
      <c r="N62" t="s">
        <v>245</v>
      </c>
      <c r="O62" t="s">
        <v>246</v>
      </c>
    </row>
    <row r="63" spans="1:15" x14ac:dyDescent="0.35">
      <c r="A63" t="s">
        <v>824</v>
      </c>
      <c r="B63">
        <v>2023</v>
      </c>
      <c r="C63" t="s">
        <v>268</v>
      </c>
      <c r="E63" t="s">
        <v>271</v>
      </c>
      <c r="G63" t="s">
        <v>648</v>
      </c>
      <c r="H63" t="s">
        <v>50</v>
      </c>
      <c r="I63" t="s">
        <v>753</v>
      </c>
      <c r="J63" t="s">
        <v>745</v>
      </c>
      <c r="K63" t="s">
        <v>746</v>
      </c>
      <c r="L63">
        <v>0.01</v>
      </c>
      <c r="N63" t="s">
        <v>269</v>
      </c>
      <c r="O63" t="s">
        <v>270</v>
      </c>
    </row>
    <row r="64" spans="1:15" x14ac:dyDescent="0.35">
      <c r="A64" t="s">
        <v>825</v>
      </c>
      <c r="B64">
        <v>2023</v>
      </c>
      <c r="C64" t="s">
        <v>268</v>
      </c>
      <c r="E64" t="s">
        <v>271</v>
      </c>
      <c r="G64" t="s">
        <v>547</v>
      </c>
      <c r="H64" t="s">
        <v>50</v>
      </c>
      <c r="I64" t="s">
        <v>753</v>
      </c>
      <c r="J64" t="s">
        <v>745</v>
      </c>
      <c r="K64" t="s">
        <v>746</v>
      </c>
      <c r="L64">
        <v>1.59</v>
      </c>
      <c r="N64" t="s">
        <v>269</v>
      </c>
      <c r="O64" t="s">
        <v>270</v>
      </c>
    </row>
    <row r="65" spans="1:15" x14ac:dyDescent="0.35">
      <c r="A65" t="s">
        <v>827</v>
      </c>
      <c r="B65">
        <v>2023</v>
      </c>
      <c r="C65" t="s">
        <v>268</v>
      </c>
      <c r="E65" t="s">
        <v>271</v>
      </c>
      <c r="G65" t="s">
        <v>327</v>
      </c>
      <c r="H65" t="s">
        <v>50</v>
      </c>
      <c r="I65" t="s">
        <v>753</v>
      </c>
      <c r="J65" t="s">
        <v>745</v>
      </c>
      <c r="K65" t="s">
        <v>746</v>
      </c>
      <c r="L65">
        <v>0.23</v>
      </c>
      <c r="N65" t="s">
        <v>269</v>
      </c>
      <c r="O65" t="s">
        <v>270</v>
      </c>
    </row>
    <row r="66" spans="1:15" x14ac:dyDescent="0.35">
      <c r="A66" t="s">
        <v>828</v>
      </c>
      <c r="B66">
        <v>2023</v>
      </c>
      <c r="C66" t="s">
        <v>268</v>
      </c>
      <c r="E66" t="s">
        <v>271</v>
      </c>
      <c r="G66" t="s">
        <v>829</v>
      </c>
      <c r="H66" t="s">
        <v>50</v>
      </c>
      <c r="I66" t="s">
        <v>753</v>
      </c>
      <c r="J66" t="s">
        <v>745</v>
      </c>
      <c r="K66" t="s">
        <v>754</v>
      </c>
      <c r="L66">
        <v>1.34</v>
      </c>
      <c r="N66" t="s">
        <v>269</v>
      </c>
      <c r="O66" t="s">
        <v>270</v>
      </c>
    </row>
    <row r="67" spans="1:15" x14ac:dyDescent="0.35">
      <c r="A67" t="s">
        <v>830</v>
      </c>
      <c r="B67">
        <v>2023</v>
      </c>
      <c r="C67" t="s">
        <v>268</v>
      </c>
      <c r="E67" t="s">
        <v>271</v>
      </c>
      <c r="G67" t="s">
        <v>831</v>
      </c>
      <c r="H67" t="s">
        <v>50</v>
      </c>
      <c r="I67" t="s">
        <v>753</v>
      </c>
      <c r="J67" t="s">
        <v>745</v>
      </c>
      <c r="K67" t="s">
        <v>754</v>
      </c>
      <c r="L67">
        <v>1.03</v>
      </c>
      <c r="N67" t="s">
        <v>269</v>
      </c>
      <c r="O67" t="s">
        <v>270</v>
      </c>
    </row>
    <row r="68" spans="1:15" x14ac:dyDescent="0.35">
      <c r="A68" t="s">
        <v>832</v>
      </c>
      <c r="B68">
        <v>2023</v>
      </c>
      <c r="C68" t="s">
        <v>268</v>
      </c>
      <c r="E68" t="s">
        <v>271</v>
      </c>
      <c r="G68" t="s">
        <v>583</v>
      </c>
      <c r="H68" t="s">
        <v>50</v>
      </c>
      <c r="I68" t="s">
        <v>753</v>
      </c>
      <c r="J68" t="s">
        <v>745</v>
      </c>
      <c r="K68" t="s">
        <v>754</v>
      </c>
      <c r="L68">
        <v>14.05</v>
      </c>
      <c r="N68" t="s">
        <v>269</v>
      </c>
      <c r="O68" t="s">
        <v>270</v>
      </c>
    </row>
    <row r="69" spans="1:15" x14ac:dyDescent="0.35">
      <c r="A69" t="s">
        <v>847</v>
      </c>
      <c r="B69">
        <v>2023</v>
      </c>
      <c r="C69" t="s">
        <v>268</v>
      </c>
      <c r="E69" t="s">
        <v>271</v>
      </c>
      <c r="G69" t="s">
        <v>116</v>
      </c>
      <c r="H69" t="s">
        <v>50</v>
      </c>
      <c r="I69" t="s">
        <v>753</v>
      </c>
      <c r="J69" t="s">
        <v>745</v>
      </c>
      <c r="K69" t="s">
        <v>754</v>
      </c>
      <c r="L69">
        <v>0.41</v>
      </c>
      <c r="N69" t="s">
        <v>269</v>
      </c>
      <c r="O69" t="s">
        <v>270</v>
      </c>
    </row>
    <row r="70" spans="1:15" x14ac:dyDescent="0.35">
      <c r="A70" t="s">
        <v>770</v>
      </c>
      <c r="B70">
        <v>2023</v>
      </c>
      <c r="D70" t="s">
        <v>274</v>
      </c>
      <c r="E70" t="s">
        <v>275</v>
      </c>
      <c r="F70" t="s">
        <v>276</v>
      </c>
      <c r="G70" t="s">
        <v>59</v>
      </c>
      <c r="H70" t="s">
        <v>50</v>
      </c>
      <c r="I70" t="s">
        <v>748</v>
      </c>
      <c r="J70" t="s">
        <v>749</v>
      </c>
      <c r="K70" t="s">
        <v>750</v>
      </c>
      <c r="L70">
        <v>9.5538046923556603</v>
      </c>
      <c r="M70" t="s">
        <v>751</v>
      </c>
      <c r="N70" t="s">
        <v>75</v>
      </c>
      <c r="O70" t="s">
        <v>76</v>
      </c>
    </row>
    <row r="71" spans="1:15" x14ac:dyDescent="0.35">
      <c r="A71" t="s">
        <v>771</v>
      </c>
      <c r="B71">
        <v>2023</v>
      </c>
      <c r="D71" t="s">
        <v>274</v>
      </c>
      <c r="E71" t="s">
        <v>275</v>
      </c>
      <c r="F71" t="s">
        <v>276</v>
      </c>
      <c r="G71" t="s">
        <v>116</v>
      </c>
      <c r="H71" t="s">
        <v>50</v>
      </c>
      <c r="I71" t="s">
        <v>753</v>
      </c>
      <c r="J71" t="s">
        <v>745</v>
      </c>
      <c r="K71" t="s">
        <v>754</v>
      </c>
      <c r="L71">
        <v>3.86</v>
      </c>
      <c r="N71" t="s">
        <v>75</v>
      </c>
      <c r="O71" t="s">
        <v>755</v>
      </c>
    </row>
    <row r="72" spans="1:15" x14ac:dyDescent="0.35">
      <c r="A72" t="s">
        <v>772</v>
      </c>
      <c r="B72">
        <v>2023</v>
      </c>
      <c r="D72" t="s">
        <v>274</v>
      </c>
      <c r="E72" t="s">
        <v>275</v>
      </c>
      <c r="F72" t="s">
        <v>276</v>
      </c>
      <c r="G72" t="s">
        <v>116</v>
      </c>
      <c r="H72" t="s">
        <v>50</v>
      </c>
      <c r="I72" t="s">
        <v>757</v>
      </c>
      <c r="J72" t="s">
        <v>745</v>
      </c>
      <c r="K72" t="s">
        <v>746</v>
      </c>
      <c r="L72">
        <v>90.6</v>
      </c>
      <c r="N72" t="s">
        <v>75</v>
      </c>
      <c r="O72" t="s">
        <v>755</v>
      </c>
    </row>
    <row r="73" spans="1:15" x14ac:dyDescent="0.35">
      <c r="A73" t="s">
        <v>747</v>
      </c>
      <c r="B73">
        <v>2023</v>
      </c>
      <c r="C73" t="s">
        <v>278</v>
      </c>
      <c r="E73" t="s">
        <v>279</v>
      </c>
      <c r="G73" t="s">
        <v>59</v>
      </c>
      <c r="H73" t="s">
        <v>50</v>
      </c>
      <c r="I73" t="s">
        <v>748</v>
      </c>
      <c r="J73" t="s">
        <v>749</v>
      </c>
      <c r="K73" t="s">
        <v>750</v>
      </c>
      <c r="L73">
        <v>3.1482939488870199</v>
      </c>
      <c r="M73" t="s">
        <v>751</v>
      </c>
      <c r="N73" t="s">
        <v>75</v>
      </c>
      <c r="O73" t="s">
        <v>76</v>
      </c>
    </row>
    <row r="74" spans="1:15" x14ac:dyDescent="0.35">
      <c r="A74" t="s">
        <v>752</v>
      </c>
      <c r="B74">
        <v>2023</v>
      </c>
      <c r="C74" t="s">
        <v>278</v>
      </c>
      <c r="E74" t="s">
        <v>279</v>
      </c>
      <c r="G74" t="s">
        <v>116</v>
      </c>
      <c r="H74" t="s">
        <v>50</v>
      </c>
      <c r="I74" t="s">
        <v>753</v>
      </c>
      <c r="J74" t="s">
        <v>745</v>
      </c>
      <c r="K74" t="s">
        <v>754</v>
      </c>
      <c r="L74">
        <v>6.11</v>
      </c>
      <c r="N74" t="s">
        <v>75</v>
      </c>
      <c r="O74" t="s">
        <v>755</v>
      </c>
    </row>
    <row r="75" spans="1:15" x14ac:dyDescent="0.35">
      <c r="A75" t="s">
        <v>756</v>
      </c>
      <c r="B75">
        <v>2023</v>
      </c>
      <c r="C75" t="s">
        <v>278</v>
      </c>
      <c r="E75" t="s">
        <v>279</v>
      </c>
      <c r="G75" t="s">
        <v>116</v>
      </c>
      <c r="H75" t="s">
        <v>50</v>
      </c>
      <c r="I75" t="s">
        <v>757</v>
      </c>
      <c r="J75" t="s">
        <v>745</v>
      </c>
      <c r="K75" t="s">
        <v>746</v>
      </c>
      <c r="L75">
        <v>96.6</v>
      </c>
      <c r="N75" t="s">
        <v>75</v>
      </c>
      <c r="O75" t="s">
        <v>755</v>
      </c>
    </row>
    <row r="76" spans="1:15" x14ac:dyDescent="0.35">
      <c r="A76" t="s">
        <v>799</v>
      </c>
      <c r="B76">
        <v>2023</v>
      </c>
      <c r="C76" t="s">
        <v>284</v>
      </c>
      <c r="E76" t="s">
        <v>287</v>
      </c>
      <c r="G76" t="s">
        <v>116</v>
      </c>
      <c r="H76" t="s">
        <v>50</v>
      </c>
      <c r="I76" t="s">
        <v>753</v>
      </c>
      <c r="J76" t="s">
        <v>745</v>
      </c>
      <c r="K76" t="s">
        <v>754</v>
      </c>
      <c r="L76">
        <v>0.36</v>
      </c>
      <c r="N76" t="s">
        <v>800</v>
      </c>
      <c r="O76" t="s">
        <v>286</v>
      </c>
    </row>
    <row r="77" spans="1:15" x14ac:dyDescent="0.35">
      <c r="A77" t="s">
        <v>801</v>
      </c>
      <c r="B77">
        <v>2023</v>
      </c>
      <c r="C77" t="s">
        <v>284</v>
      </c>
      <c r="E77" t="s">
        <v>287</v>
      </c>
      <c r="G77" t="s">
        <v>116</v>
      </c>
      <c r="H77" t="s">
        <v>50</v>
      </c>
      <c r="I77" t="s">
        <v>757</v>
      </c>
      <c r="J77" t="s">
        <v>745</v>
      </c>
      <c r="K77" t="s">
        <v>746</v>
      </c>
      <c r="L77">
        <v>64</v>
      </c>
      <c r="N77" t="s">
        <v>802</v>
      </c>
      <c r="O77" t="s">
        <v>286</v>
      </c>
    </row>
    <row r="78" spans="1:15" x14ac:dyDescent="0.35">
      <c r="A78" t="s">
        <v>840</v>
      </c>
      <c r="B78">
        <v>2023</v>
      </c>
      <c r="C78" t="s">
        <v>284</v>
      </c>
      <c r="E78" t="s">
        <v>287</v>
      </c>
      <c r="G78" t="s">
        <v>547</v>
      </c>
      <c r="H78" t="s">
        <v>50</v>
      </c>
      <c r="I78" t="s">
        <v>753</v>
      </c>
      <c r="J78" t="s">
        <v>745</v>
      </c>
      <c r="K78" t="s">
        <v>746</v>
      </c>
      <c r="L78">
        <v>0.18</v>
      </c>
      <c r="N78" t="s">
        <v>285</v>
      </c>
      <c r="O78" t="s">
        <v>286</v>
      </c>
    </row>
    <row r="79" spans="1:15" x14ac:dyDescent="0.35">
      <c r="A79" t="s">
        <v>841</v>
      </c>
      <c r="B79">
        <v>2023</v>
      </c>
      <c r="C79" t="s">
        <v>284</v>
      </c>
      <c r="E79" t="s">
        <v>287</v>
      </c>
      <c r="G79" t="s">
        <v>547</v>
      </c>
      <c r="H79" t="s">
        <v>50</v>
      </c>
      <c r="I79" t="s">
        <v>757</v>
      </c>
      <c r="J79" t="s">
        <v>745</v>
      </c>
      <c r="K79" t="s">
        <v>746</v>
      </c>
      <c r="L79">
        <v>77.599999999999994</v>
      </c>
      <c r="N79" t="s">
        <v>842</v>
      </c>
      <c r="O79" t="s">
        <v>286</v>
      </c>
    </row>
    <row r="80" spans="1:15" x14ac:dyDescent="0.35">
      <c r="A80" t="s">
        <v>843</v>
      </c>
      <c r="B80">
        <v>2023</v>
      </c>
      <c r="C80" t="s">
        <v>289</v>
      </c>
      <c r="E80" t="s">
        <v>292</v>
      </c>
      <c r="G80" t="s">
        <v>116</v>
      </c>
      <c r="H80" t="s">
        <v>50</v>
      </c>
      <c r="I80" t="s">
        <v>781</v>
      </c>
      <c r="J80" t="s">
        <v>745</v>
      </c>
      <c r="K80" t="s">
        <v>754</v>
      </c>
      <c r="L80">
        <v>0.311</v>
      </c>
      <c r="N80" t="s">
        <v>290</v>
      </c>
      <c r="O80" t="s">
        <v>291</v>
      </c>
    </row>
    <row r="81" spans="1:15" x14ac:dyDescent="0.35">
      <c r="A81" t="s">
        <v>844</v>
      </c>
      <c r="B81">
        <v>2023</v>
      </c>
      <c r="C81" t="s">
        <v>289</v>
      </c>
      <c r="E81" t="s">
        <v>292</v>
      </c>
      <c r="G81" t="s">
        <v>116</v>
      </c>
      <c r="H81" t="s">
        <v>50</v>
      </c>
      <c r="I81" t="s">
        <v>757</v>
      </c>
      <c r="J81" t="s">
        <v>745</v>
      </c>
      <c r="K81" t="s">
        <v>746</v>
      </c>
      <c r="L81">
        <v>70.400000000000006</v>
      </c>
      <c r="N81" t="s">
        <v>290</v>
      </c>
      <c r="O81" t="s">
        <v>291</v>
      </c>
    </row>
    <row r="82" spans="1:15" x14ac:dyDescent="0.35">
      <c r="A82" t="s">
        <v>845</v>
      </c>
      <c r="B82">
        <v>2023</v>
      </c>
      <c r="C82" t="s">
        <v>289</v>
      </c>
      <c r="E82" t="s">
        <v>292</v>
      </c>
      <c r="G82" t="s">
        <v>547</v>
      </c>
      <c r="H82" t="s">
        <v>50</v>
      </c>
      <c r="I82" t="s">
        <v>781</v>
      </c>
      <c r="J82" t="s">
        <v>745</v>
      </c>
      <c r="K82" t="s">
        <v>746</v>
      </c>
      <c r="L82">
        <v>0.28699999999999998</v>
      </c>
      <c r="N82" t="s">
        <v>290</v>
      </c>
      <c r="O82" t="s">
        <v>291</v>
      </c>
    </row>
    <row r="83" spans="1:15" x14ac:dyDescent="0.35">
      <c r="A83" t="s">
        <v>846</v>
      </c>
      <c r="B83">
        <v>2023</v>
      </c>
      <c r="C83" t="s">
        <v>289</v>
      </c>
      <c r="E83" t="s">
        <v>292</v>
      </c>
      <c r="G83" t="s">
        <v>547</v>
      </c>
      <c r="H83" t="s">
        <v>50</v>
      </c>
      <c r="I83" t="s">
        <v>757</v>
      </c>
      <c r="J83" t="s">
        <v>745</v>
      </c>
      <c r="K83" t="s">
        <v>746</v>
      </c>
      <c r="L83">
        <v>80</v>
      </c>
      <c r="N83" t="s">
        <v>290</v>
      </c>
      <c r="O83" t="s">
        <v>291</v>
      </c>
    </row>
    <row r="84" spans="1:15" x14ac:dyDescent="0.35">
      <c r="A84" t="s">
        <v>872</v>
      </c>
      <c r="B84">
        <v>2023</v>
      </c>
      <c r="C84" t="s">
        <v>295</v>
      </c>
      <c r="E84" t="s">
        <v>296</v>
      </c>
      <c r="G84" t="s">
        <v>59</v>
      </c>
      <c r="H84" t="s">
        <v>50</v>
      </c>
      <c r="I84" t="s">
        <v>748</v>
      </c>
      <c r="J84" t="s">
        <v>749</v>
      </c>
      <c r="K84" t="s">
        <v>750</v>
      </c>
      <c r="L84">
        <v>0.68211478599221698</v>
      </c>
      <c r="M84" t="s">
        <v>774</v>
      </c>
      <c r="N84" t="s">
        <v>61</v>
      </c>
      <c r="O84" t="s">
        <v>700</v>
      </c>
    </row>
    <row r="85" spans="1:15" x14ac:dyDescent="0.35">
      <c r="A85" t="s">
        <v>873</v>
      </c>
      <c r="B85">
        <v>2023</v>
      </c>
      <c r="C85" t="s">
        <v>295</v>
      </c>
      <c r="E85" t="s">
        <v>296</v>
      </c>
      <c r="G85" t="s">
        <v>59</v>
      </c>
      <c r="H85" t="s">
        <v>50</v>
      </c>
      <c r="I85" t="s">
        <v>865</v>
      </c>
      <c r="J85" t="s">
        <v>745</v>
      </c>
      <c r="K85" t="s">
        <v>754</v>
      </c>
      <c r="L85">
        <v>5.7009999999999996</v>
      </c>
      <c r="N85" t="s">
        <v>61</v>
      </c>
      <c r="O85" t="s">
        <v>874</v>
      </c>
    </row>
    <row r="86" spans="1:15" x14ac:dyDescent="0.35">
      <c r="A86" t="s">
        <v>877</v>
      </c>
      <c r="B86">
        <v>2023</v>
      </c>
      <c r="C86" t="s">
        <v>295</v>
      </c>
      <c r="E86" t="s">
        <v>296</v>
      </c>
      <c r="G86" t="s">
        <v>59</v>
      </c>
      <c r="H86" t="s">
        <v>50</v>
      </c>
      <c r="I86" t="s">
        <v>779</v>
      </c>
      <c r="J86" t="s">
        <v>745</v>
      </c>
      <c r="K86" t="s">
        <v>746</v>
      </c>
      <c r="L86">
        <v>95.7</v>
      </c>
      <c r="N86" t="s">
        <v>61</v>
      </c>
      <c r="O86" t="s">
        <v>878</v>
      </c>
    </row>
    <row r="87" spans="1:15" x14ac:dyDescent="0.35">
      <c r="A87" t="s">
        <v>850</v>
      </c>
      <c r="B87">
        <v>2023</v>
      </c>
      <c r="C87" t="s">
        <v>298</v>
      </c>
      <c r="E87" t="s">
        <v>301</v>
      </c>
      <c r="G87" t="s">
        <v>59</v>
      </c>
      <c r="H87" t="s">
        <v>50</v>
      </c>
      <c r="I87" t="s">
        <v>748</v>
      </c>
      <c r="J87" t="s">
        <v>749</v>
      </c>
      <c r="K87" t="s">
        <v>750</v>
      </c>
      <c r="L87">
        <v>0.18713344208809099</v>
      </c>
      <c r="M87" t="s">
        <v>851</v>
      </c>
      <c r="N87" t="s">
        <v>299</v>
      </c>
      <c r="O87" t="s">
        <v>300</v>
      </c>
    </row>
    <row r="88" spans="1:15" x14ac:dyDescent="0.35">
      <c r="A88" t="s">
        <v>852</v>
      </c>
      <c r="B88">
        <v>2023</v>
      </c>
      <c r="C88" t="s">
        <v>298</v>
      </c>
      <c r="E88" t="s">
        <v>301</v>
      </c>
      <c r="G88" t="s">
        <v>116</v>
      </c>
      <c r="H88" t="s">
        <v>50</v>
      </c>
      <c r="I88" t="s">
        <v>781</v>
      </c>
      <c r="J88" t="s">
        <v>745</v>
      </c>
      <c r="K88" t="s">
        <v>754</v>
      </c>
      <c r="L88">
        <v>0.72</v>
      </c>
      <c r="M88" t="s">
        <v>853</v>
      </c>
      <c r="N88" t="s">
        <v>299</v>
      </c>
      <c r="O88" t="s">
        <v>300</v>
      </c>
    </row>
    <row r="89" spans="1:15" x14ac:dyDescent="0.35">
      <c r="A89" t="s">
        <v>854</v>
      </c>
      <c r="B89">
        <v>2023</v>
      </c>
      <c r="C89" t="s">
        <v>298</v>
      </c>
      <c r="E89" t="s">
        <v>301</v>
      </c>
      <c r="G89" t="s">
        <v>116</v>
      </c>
      <c r="H89" t="s">
        <v>50</v>
      </c>
      <c r="I89" t="s">
        <v>757</v>
      </c>
      <c r="J89" t="s">
        <v>745</v>
      </c>
      <c r="K89" t="s">
        <v>746</v>
      </c>
      <c r="L89">
        <v>90</v>
      </c>
      <c r="N89" t="s">
        <v>299</v>
      </c>
      <c r="O89" t="s">
        <v>300</v>
      </c>
    </row>
    <row r="90" spans="1:15" x14ac:dyDescent="0.35">
      <c r="A90" t="s">
        <v>855</v>
      </c>
      <c r="B90">
        <v>2023</v>
      </c>
      <c r="C90" t="s">
        <v>298</v>
      </c>
      <c r="E90" t="s">
        <v>301</v>
      </c>
      <c r="G90" t="s">
        <v>547</v>
      </c>
      <c r="H90" t="s">
        <v>50</v>
      </c>
      <c r="I90" t="s">
        <v>781</v>
      </c>
      <c r="J90" t="s">
        <v>745</v>
      </c>
      <c r="K90" t="s">
        <v>746</v>
      </c>
      <c r="L90">
        <v>0.77</v>
      </c>
      <c r="M90" t="s">
        <v>853</v>
      </c>
      <c r="N90" t="s">
        <v>299</v>
      </c>
      <c r="O90" t="s">
        <v>300</v>
      </c>
    </row>
    <row r="91" spans="1:15" x14ac:dyDescent="0.35">
      <c r="A91" t="s">
        <v>856</v>
      </c>
      <c r="B91">
        <v>2023</v>
      </c>
      <c r="C91" t="s">
        <v>298</v>
      </c>
      <c r="E91" t="s">
        <v>301</v>
      </c>
      <c r="G91" t="s">
        <v>547</v>
      </c>
      <c r="H91" t="s">
        <v>50</v>
      </c>
      <c r="I91" t="s">
        <v>757</v>
      </c>
      <c r="J91" t="s">
        <v>745</v>
      </c>
      <c r="K91" t="s">
        <v>746</v>
      </c>
      <c r="L91">
        <v>91</v>
      </c>
      <c r="N91" t="s">
        <v>299</v>
      </c>
      <c r="O91" t="s">
        <v>300</v>
      </c>
    </row>
    <row r="92" spans="1:15" x14ac:dyDescent="0.35">
      <c r="A92" t="s">
        <v>833</v>
      </c>
      <c r="B92">
        <v>2023</v>
      </c>
      <c r="C92" t="s">
        <v>302</v>
      </c>
      <c r="D92" t="s">
        <v>223</v>
      </c>
      <c r="E92" t="s">
        <v>303</v>
      </c>
      <c r="F92" t="s">
        <v>225</v>
      </c>
      <c r="G92" t="s">
        <v>116</v>
      </c>
      <c r="H92" t="s">
        <v>50</v>
      </c>
      <c r="I92" t="s">
        <v>753</v>
      </c>
      <c r="J92" t="s">
        <v>745</v>
      </c>
      <c r="K92" t="s">
        <v>754</v>
      </c>
      <c r="L92">
        <v>6.76</v>
      </c>
      <c r="N92" t="s">
        <v>111</v>
      </c>
      <c r="O92" t="s">
        <v>112</v>
      </c>
    </row>
    <row r="93" spans="1:15" x14ac:dyDescent="0.35">
      <c r="A93" t="s">
        <v>834</v>
      </c>
      <c r="B93">
        <v>2023</v>
      </c>
      <c r="C93" t="s">
        <v>302</v>
      </c>
      <c r="D93" t="s">
        <v>223</v>
      </c>
      <c r="E93" t="s">
        <v>303</v>
      </c>
      <c r="F93" t="s">
        <v>225</v>
      </c>
      <c r="G93" t="s">
        <v>116</v>
      </c>
      <c r="H93" t="s">
        <v>50</v>
      </c>
      <c r="I93" t="s">
        <v>757</v>
      </c>
      <c r="J93" t="s">
        <v>745</v>
      </c>
      <c r="K93" t="s">
        <v>746</v>
      </c>
      <c r="L93">
        <v>88.6</v>
      </c>
      <c r="N93" t="s">
        <v>111</v>
      </c>
      <c r="O93" t="s">
        <v>112</v>
      </c>
    </row>
    <row r="94" spans="1:15" x14ac:dyDescent="0.35">
      <c r="A94" t="s">
        <v>859</v>
      </c>
      <c r="B94">
        <v>2023</v>
      </c>
      <c r="C94" t="s">
        <v>302</v>
      </c>
      <c r="D94" t="s">
        <v>223</v>
      </c>
      <c r="E94" t="s">
        <v>303</v>
      </c>
      <c r="F94" t="s">
        <v>225</v>
      </c>
      <c r="G94" t="s">
        <v>547</v>
      </c>
      <c r="H94" t="s">
        <v>50</v>
      </c>
      <c r="I94" t="s">
        <v>753</v>
      </c>
      <c r="J94" t="s">
        <v>745</v>
      </c>
      <c r="K94" t="s">
        <v>746</v>
      </c>
      <c r="L94">
        <v>1.03</v>
      </c>
      <c r="N94" t="s">
        <v>111</v>
      </c>
      <c r="O94" t="s">
        <v>112</v>
      </c>
    </row>
    <row r="95" spans="1:15" x14ac:dyDescent="0.35">
      <c r="A95" t="s">
        <v>860</v>
      </c>
      <c r="B95">
        <v>2023</v>
      </c>
      <c r="C95" t="s">
        <v>302</v>
      </c>
      <c r="D95" t="s">
        <v>223</v>
      </c>
      <c r="E95" t="s">
        <v>303</v>
      </c>
      <c r="F95" t="s">
        <v>225</v>
      </c>
      <c r="G95" t="s">
        <v>547</v>
      </c>
      <c r="H95" t="s">
        <v>50</v>
      </c>
      <c r="I95" t="s">
        <v>757</v>
      </c>
      <c r="J95" t="s">
        <v>745</v>
      </c>
      <c r="K95" t="s">
        <v>746</v>
      </c>
      <c r="L95">
        <v>93.3</v>
      </c>
      <c r="N95" t="s">
        <v>111</v>
      </c>
      <c r="O95" t="s">
        <v>112</v>
      </c>
    </row>
    <row r="96" spans="1:15" x14ac:dyDescent="0.35">
      <c r="A96" t="s">
        <v>861</v>
      </c>
      <c r="B96">
        <v>2023</v>
      </c>
      <c r="C96" t="s">
        <v>302</v>
      </c>
      <c r="D96" t="s">
        <v>223</v>
      </c>
      <c r="E96" t="s">
        <v>303</v>
      </c>
      <c r="F96" t="s">
        <v>225</v>
      </c>
      <c r="G96" t="s">
        <v>547</v>
      </c>
      <c r="H96" t="s">
        <v>259</v>
      </c>
      <c r="I96" t="s">
        <v>744</v>
      </c>
      <c r="J96" t="s">
        <v>745</v>
      </c>
      <c r="K96" t="s">
        <v>862</v>
      </c>
      <c r="L96">
        <v>15.44</v>
      </c>
      <c r="N96" t="s">
        <v>111</v>
      </c>
      <c r="O96" t="s">
        <v>112</v>
      </c>
    </row>
    <row r="97" spans="1:15" x14ac:dyDescent="0.35">
      <c r="A97" t="s">
        <v>866</v>
      </c>
      <c r="B97">
        <v>2023</v>
      </c>
      <c r="C97" t="s">
        <v>302</v>
      </c>
      <c r="D97" t="s">
        <v>223</v>
      </c>
      <c r="E97" t="s">
        <v>303</v>
      </c>
      <c r="F97" t="s">
        <v>225</v>
      </c>
      <c r="G97" t="s">
        <v>583</v>
      </c>
      <c r="H97" t="s">
        <v>50</v>
      </c>
      <c r="I97" t="s">
        <v>753</v>
      </c>
      <c r="J97" t="s">
        <v>745</v>
      </c>
      <c r="K97" t="s">
        <v>746</v>
      </c>
      <c r="L97">
        <v>25.11</v>
      </c>
      <c r="N97" t="s">
        <v>111</v>
      </c>
      <c r="O97" t="s">
        <v>112</v>
      </c>
    </row>
    <row r="98" spans="1:15" x14ac:dyDescent="0.35">
      <c r="A98" t="s">
        <v>867</v>
      </c>
      <c r="B98">
        <v>2023</v>
      </c>
      <c r="C98" t="s">
        <v>302</v>
      </c>
      <c r="D98" t="s">
        <v>223</v>
      </c>
      <c r="E98" t="s">
        <v>303</v>
      </c>
      <c r="F98" t="s">
        <v>225</v>
      </c>
      <c r="G98" t="s">
        <v>583</v>
      </c>
      <c r="H98" t="s">
        <v>50</v>
      </c>
      <c r="I98" t="s">
        <v>757</v>
      </c>
      <c r="J98" t="s">
        <v>745</v>
      </c>
      <c r="K98" t="s">
        <v>746</v>
      </c>
      <c r="L98">
        <v>81.5</v>
      </c>
      <c r="N98" t="s">
        <v>111</v>
      </c>
      <c r="O98" t="s">
        <v>112</v>
      </c>
    </row>
    <row r="99" spans="1:15" x14ac:dyDescent="0.35">
      <c r="A99" t="s">
        <v>868</v>
      </c>
      <c r="B99">
        <v>2023</v>
      </c>
      <c r="C99" t="s">
        <v>302</v>
      </c>
      <c r="D99" t="s">
        <v>223</v>
      </c>
      <c r="E99" t="s">
        <v>303</v>
      </c>
      <c r="F99" t="s">
        <v>225</v>
      </c>
      <c r="G99" t="s">
        <v>409</v>
      </c>
      <c r="H99" t="s">
        <v>50</v>
      </c>
      <c r="I99" t="s">
        <v>753</v>
      </c>
      <c r="J99" t="s">
        <v>745</v>
      </c>
      <c r="K99" t="s">
        <v>746</v>
      </c>
      <c r="L99">
        <v>0.84</v>
      </c>
      <c r="N99" t="s">
        <v>111</v>
      </c>
      <c r="O99" t="s">
        <v>112</v>
      </c>
    </row>
    <row r="100" spans="1:15" x14ac:dyDescent="0.35">
      <c r="A100" t="s">
        <v>857</v>
      </c>
      <c r="B100">
        <v>2023</v>
      </c>
      <c r="C100" t="s">
        <v>338</v>
      </c>
      <c r="E100" t="s">
        <v>339</v>
      </c>
      <c r="G100" t="s">
        <v>59</v>
      </c>
      <c r="H100" t="s">
        <v>50</v>
      </c>
      <c r="I100" t="s">
        <v>748</v>
      </c>
      <c r="J100" t="s">
        <v>749</v>
      </c>
      <c r="K100" t="s">
        <v>750</v>
      </c>
      <c r="L100">
        <v>3.4725899132815998</v>
      </c>
      <c r="M100" t="s">
        <v>851</v>
      </c>
      <c r="N100" t="s">
        <v>299</v>
      </c>
      <c r="O100" t="s">
        <v>300</v>
      </c>
    </row>
    <row r="101" spans="1:15" x14ac:dyDescent="0.35">
      <c r="A101" t="s">
        <v>858</v>
      </c>
      <c r="B101">
        <v>2023</v>
      </c>
      <c r="C101" t="s">
        <v>338</v>
      </c>
      <c r="E101" t="s">
        <v>339</v>
      </c>
      <c r="G101" t="s">
        <v>116</v>
      </c>
      <c r="H101" t="s">
        <v>50</v>
      </c>
      <c r="I101" t="s">
        <v>781</v>
      </c>
      <c r="J101" t="s">
        <v>745</v>
      </c>
      <c r="K101" t="s">
        <v>754</v>
      </c>
      <c r="L101">
        <v>0.99</v>
      </c>
      <c r="M101" t="s">
        <v>853</v>
      </c>
      <c r="N101" t="s">
        <v>299</v>
      </c>
      <c r="O101" t="s">
        <v>300</v>
      </c>
    </row>
    <row r="102" spans="1:15" x14ac:dyDescent="0.35">
      <c r="A102" t="s">
        <v>863</v>
      </c>
      <c r="B102">
        <v>2023</v>
      </c>
      <c r="C102" t="s">
        <v>338</v>
      </c>
      <c r="E102" t="s">
        <v>339</v>
      </c>
      <c r="G102" t="s">
        <v>59</v>
      </c>
      <c r="H102" t="s">
        <v>50</v>
      </c>
      <c r="I102" t="s">
        <v>757</v>
      </c>
      <c r="J102" t="s">
        <v>745</v>
      </c>
      <c r="K102" t="s">
        <v>746</v>
      </c>
      <c r="L102">
        <v>91</v>
      </c>
      <c r="N102" t="s">
        <v>299</v>
      </c>
      <c r="O102" t="s">
        <v>300</v>
      </c>
    </row>
    <row r="103" spans="1:15" x14ac:dyDescent="0.35">
      <c r="A103" t="s">
        <v>870</v>
      </c>
      <c r="B103">
        <v>2023</v>
      </c>
      <c r="C103" t="s">
        <v>341</v>
      </c>
      <c r="E103" t="s">
        <v>342</v>
      </c>
      <c r="G103" t="s">
        <v>116</v>
      </c>
      <c r="H103" t="s">
        <v>50</v>
      </c>
      <c r="I103" t="s">
        <v>865</v>
      </c>
      <c r="J103" t="s">
        <v>745</v>
      </c>
      <c r="K103" t="s">
        <v>754</v>
      </c>
      <c r="L103">
        <v>0.27600000000000002</v>
      </c>
      <c r="N103" t="s">
        <v>61</v>
      </c>
      <c r="O103" t="s">
        <v>62</v>
      </c>
    </row>
    <row r="104" spans="1:15" x14ac:dyDescent="0.35">
      <c r="A104" t="s">
        <v>871</v>
      </c>
      <c r="B104">
        <v>2023</v>
      </c>
      <c r="C104" t="s">
        <v>341</v>
      </c>
      <c r="E104" t="s">
        <v>342</v>
      </c>
      <c r="G104" t="s">
        <v>116</v>
      </c>
      <c r="H104" t="s">
        <v>50</v>
      </c>
      <c r="I104" t="s">
        <v>779</v>
      </c>
      <c r="J104" t="s">
        <v>745</v>
      </c>
      <c r="K104" t="s">
        <v>746</v>
      </c>
      <c r="L104">
        <v>54.2</v>
      </c>
      <c r="N104" t="s">
        <v>61</v>
      </c>
      <c r="O104" t="s">
        <v>62</v>
      </c>
    </row>
    <row r="105" spans="1:15" x14ac:dyDescent="0.35">
      <c r="A105" t="s">
        <v>875</v>
      </c>
      <c r="B105">
        <v>2023</v>
      </c>
      <c r="C105" t="s">
        <v>341</v>
      </c>
      <c r="E105" t="s">
        <v>342</v>
      </c>
      <c r="G105" t="s">
        <v>547</v>
      </c>
      <c r="H105" t="s">
        <v>50</v>
      </c>
      <c r="I105" t="s">
        <v>865</v>
      </c>
      <c r="J105" t="s">
        <v>745</v>
      </c>
      <c r="K105" t="s">
        <v>746</v>
      </c>
      <c r="L105">
        <v>0.4</v>
      </c>
      <c r="N105" t="s">
        <v>61</v>
      </c>
      <c r="O105" t="s">
        <v>62</v>
      </c>
    </row>
    <row r="106" spans="1:15" x14ac:dyDescent="0.35">
      <c r="A106" t="s">
        <v>876</v>
      </c>
      <c r="B106">
        <v>2023</v>
      </c>
      <c r="C106" t="s">
        <v>341</v>
      </c>
      <c r="E106" t="s">
        <v>342</v>
      </c>
      <c r="G106" t="s">
        <v>547</v>
      </c>
      <c r="H106" t="s">
        <v>50</v>
      </c>
      <c r="I106" t="s">
        <v>779</v>
      </c>
      <c r="J106" t="s">
        <v>745</v>
      </c>
      <c r="K106" t="s">
        <v>746</v>
      </c>
      <c r="L106">
        <v>81.2</v>
      </c>
      <c r="N106" t="s">
        <v>61</v>
      </c>
      <c r="O106" t="s">
        <v>62</v>
      </c>
    </row>
    <row r="107" spans="1:15" x14ac:dyDescent="0.35">
      <c r="A107" t="s">
        <v>809</v>
      </c>
      <c r="B107">
        <v>2023</v>
      </c>
      <c r="C107" t="s">
        <v>344</v>
      </c>
      <c r="E107" t="s">
        <v>347</v>
      </c>
      <c r="G107" t="s">
        <v>59</v>
      </c>
      <c r="H107" t="s">
        <v>50</v>
      </c>
      <c r="I107" t="s">
        <v>748</v>
      </c>
      <c r="J107" t="s">
        <v>749</v>
      </c>
      <c r="K107" t="s">
        <v>750</v>
      </c>
      <c r="L107">
        <v>1.1810594530320999</v>
      </c>
      <c r="M107" t="s">
        <v>810</v>
      </c>
      <c r="N107" t="s">
        <v>345</v>
      </c>
      <c r="O107" t="s">
        <v>346</v>
      </c>
    </row>
    <row r="108" spans="1:15" x14ac:dyDescent="0.35">
      <c r="A108" t="s">
        <v>898</v>
      </c>
      <c r="B108">
        <v>2023</v>
      </c>
      <c r="D108" t="s">
        <v>362</v>
      </c>
      <c r="E108" t="s">
        <v>365</v>
      </c>
      <c r="F108" t="s">
        <v>366</v>
      </c>
      <c r="G108" t="s">
        <v>116</v>
      </c>
      <c r="H108" t="s">
        <v>50</v>
      </c>
      <c r="I108" t="s">
        <v>899</v>
      </c>
      <c r="J108" t="s">
        <v>745</v>
      </c>
      <c r="K108" t="s">
        <v>754</v>
      </c>
      <c r="L108">
        <v>10.14</v>
      </c>
      <c r="N108" t="s">
        <v>363</v>
      </c>
      <c r="O108" t="s">
        <v>364</v>
      </c>
    </row>
    <row r="109" spans="1:15" x14ac:dyDescent="0.35">
      <c r="A109" t="s">
        <v>900</v>
      </c>
      <c r="B109">
        <v>2023</v>
      </c>
      <c r="D109" t="s">
        <v>362</v>
      </c>
      <c r="E109" t="s">
        <v>365</v>
      </c>
      <c r="F109" t="s">
        <v>366</v>
      </c>
      <c r="G109" t="s">
        <v>116</v>
      </c>
      <c r="H109" t="s">
        <v>50</v>
      </c>
      <c r="I109" t="s">
        <v>757</v>
      </c>
      <c r="J109" t="s">
        <v>745</v>
      </c>
      <c r="K109" t="s">
        <v>746</v>
      </c>
      <c r="L109">
        <v>97</v>
      </c>
      <c r="N109" t="s">
        <v>363</v>
      </c>
      <c r="O109" t="s">
        <v>364</v>
      </c>
    </row>
    <row r="110" spans="1:15" x14ac:dyDescent="0.35">
      <c r="A110" t="s">
        <v>822</v>
      </c>
      <c r="B110">
        <v>2023</v>
      </c>
      <c r="C110" t="s">
        <v>368</v>
      </c>
      <c r="D110" t="s">
        <v>223</v>
      </c>
      <c r="E110" t="s">
        <v>369</v>
      </c>
      <c r="F110" t="s">
        <v>225</v>
      </c>
      <c r="G110" t="s">
        <v>116</v>
      </c>
      <c r="H110" t="s">
        <v>50</v>
      </c>
      <c r="I110" t="s">
        <v>753</v>
      </c>
      <c r="J110" t="s">
        <v>745</v>
      </c>
      <c r="K110" t="s">
        <v>754</v>
      </c>
      <c r="L110">
        <v>3.45</v>
      </c>
      <c r="N110" t="s">
        <v>111</v>
      </c>
      <c r="O110" t="s">
        <v>112</v>
      </c>
    </row>
    <row r="111" spans="1:15" x14ac:dyDescent="0.35">
      <c r="A111" t="s">
        <v>823</v>
      </c>
      <c r="B111">
        <v>2023</v>
      </c>
      <c r="C111" t="s">
        <v>368</v>
      </c>
      <c r="D111" t="s">
        <v>223</v>
      </c>
      <c r="E111" t="s">
        <v>369</v>
      </c>
      <c r="F111" t="s">
        <v>225</v>
      </c>
      <c r="G111" t="s">
        <v>116</v>
      </c>
      <c r="H111" t="s">
        <v>50</v>
      </c>
      <c r="I111" t="s">
        <v>757</v>
      </c>
      <c r="J111" t="s">
        <v>745</v>
      </c>
      <c r="K111" t="s">
        <v>746</v>
      </c>
      <c r="L111">
        <v>64.8</v>
      </c>
      <c r="N111" t="s">
        <v>111</v>
      </c>
      <c r="O111" t="s">
        <v>112</v>
      </c>
    </row>
    <row r="112" spans="1:15" x14ac:dyDescent="0.35">
      <c r="A112" t="s">
        <v>883</v>
      </c>
      <c r="B112">
        <v>2023</v>
      </c>
      <c r="C112" t="s">
        <v>368</v>
      </c>
      <c r="D112" t="s">
        <v>223</v>
      </c>
      <c r="E112" t="s">
        <v>369</v>
      </c>
      <c r="F112" t="s">
        <v>225</v>
      </c>
      <c r="G112" t="s">
        <v>547</v>
      </c>
      <c r="H112" t="s">
        <v>259</v>
      </c>
      <c r="I112" t="s">
        <v>744</v>
      </c>
      <c r="J112" t="s">
        <v>745</v>
      </c>
      <c r="K112" t="s">
        <v>862</v>
      </c>
      <c r="L112">
        <v>20.11</v>
      </c>
      <c r="N112" t="s">
        <v>111</v>
      </c>
      <c r="O112" t="s">
        <v>112</v>
      </c>
    </row>
    <row r="113" spans="1:15" x14ac:dyDescent="0.35">
      <c r="A113" t="s">
        <v>884</v>
      </c>
      <c r="B113">
        <v>2023</v>
      </c>
      <c r="C113" t="s">
        <v>368</v>
      </c>
      <c r="D113" t="s">
        <v>223</v>
      </c>
      <c r="E113" t="s">
        <v>369</v>
      </c>
      <c r="F113" t="s">
        <v>225</v>
      </c>
      <c r="G113" t="s">
        <v>547</v>
      </c>
      <c r="H113" t="s">
        <v>50</v>
      </c>
      <c r="I113" t="s">
        <v>753</v>
      </c>
      <c r="J113" t="s">
        <v>745</v>
      </c>
      <c r="K113" t="s">
        <v>746</v>
      </c>
      <c r="L113">
        <v>0.74</v>
      </c>
      <c r="N113" t="s">
        <v>111</v>
      </c>
      <c r="O113" t="s">
        <v>112</v>
      </c>
    </row>
    <row r="114" spans="1:15" x14ac:dyDescent="0.35">
      <c r="A114" t="s">
        <v>885</v>
      </c>
      <c r="B114">
        <v>2023</v>
      </c>
      <c r="C114" t="s">
        <v>368</v>
      </c>
      <c r="D114" t="s">
        <v>223</v>
      </c>
      <c r="E114" t="s">
        <v>369</v>
      </c>
      <c r="F114" t="s">
        <v>225</v>
      </c>
      <c r="G114" t="s">
        <v>547</v>
      </c>
      <c r="H114" t="s">
        <v>50</v>
      </c>
      <c r="I114" t="s">
        <v>757</v>
      </c>
      <c r="J114" t="s">
        <v>745</v>
      </c>
      <c r="K114" t="s">
        <v>746</v>
      </c>
      <c r="L114">
        <v>90.4</v>
      </c>
      <c r="N114" t="s">
        <v>111</v>
      </c>
      <c r="O114" t="s">
        <v>112</v>
      </c>
    </row>
    <row r="115" spans="1:15" x14ac:dyDescent="0.35">
      <c r="A115" t="s">
        <v>888</v>
      </c>
      <c r="B115">
        <v>2023</v>
      </c>
      <c r="C115" t="s">
        <v>368</v>
      </c>
      <c r="D115" t="s">
        <v>223</v>
      </c>
      <c r="E115" t="s">
        <v>369</v>
      </c>
      <c r="F115" t="s">
        <v>225</v>
      </c>
      <c r="G115" t="s">
        <v>583</v>
      </c>
      <c r="H115" t="s">
        <v>50</v>
      </c>
      <c r="I115" t="s">
        <v>753</v>
      </c>
      <c r="J115" t="s">
        <v>745</v>
      </c>
      <c r="K115" t="s">
        <v>754</v>
      </c>
      <c r="L115">
        <v>24.19</v>
      </c>
      <c r="N115" t="s">
        <v>111</v>
      </c>
      <c r="O115" t="s">
        <v>112</v>
      </c>
    </row>
    <row r="116" spans="1:15" x14ac:dyDescent="0.35">
      <c r="A116" t="s">
        <v>889</v>
      </c>
      <c r="B116">
        <v>2023</v>
      </c>
      <c r="C116" t="s">
        <v>368</v>
      </c>
      <c r="D116" t="s">
        <v>223</v>
      </c>
      <c r="E116" t="s">
        <v>369</v>
      </c>
      <c r="F116" t="s">
        <v>225</v>
      </c>
      <c r="G116" t="s">
        <v>583</v>
      </c>
      <c r="H116" t="s">
        <v>50</v>
      </c>
      <c r="I116" t="s">
        <v>757</v>
      </c>
      <c r="J116" t="s">
        <v>745</v>
      </c>
      <c r="K116" t="s">
        <v>746</v>
      </c>
      <c r="L116">
        <v>61.4</v>
      </c>
      <c r="N116" t="s">
        <v>111</v>
      </c>
      <c r="O116" t="s">
        <v>112</v>
      </c>
    </row>
    <row r="117" spans="1:15" x14ac:dyDescent="0.35">
      <c r="A117" t="s">
        <v>890</v>
      </c>
      <c r="B117">
        <v>2023</v>
      </c>
      <c r="C117" t="s">
        <v>368</v>
      </c>
      <c r="D117" t="s">
        <v>223</v>
      </c>
      <c r="E117" t="s">
        <v>369</v>
      </c>
      <c r="F117" t="s">
        <v>225</v>
      </c>
      <c r="G117" t="s">
        <v>409</v>
      </c>
      <c r="H117" t="s">
        <v>259</v>
      </c>
      <c r="I117" t="s">
        <v>744</v>
      </c>
      <c r="J117" t="s">
        <v>745</v>
      </c>
      <c r="K117" t="s">
        <v>891</v>
      </c>
      <c r="L117">
        <v>51.84</v>
      </c>
      <c r="N117" t="s">
        <v>111</v>
      </c>
      <c r="O117" t="s">
        <v>112</v>
      </c>
    </row>
    <row r="118" spans="1:15" x14ac:dyDescent="0.35">
      <c r="A118" t="s">
        <v>892</v>
      </c>
      <c r="B118">
        <v>2023</v>
      </c>
      <c r="C118" t="s">
        <v>368</v>
      </c>
      <c r="D118" t="s">
        <v>223</v>
      </c>
      <c r="E118" t="s">
        <v>369</v>
      </c>
      <c r="F118" t="s">
        <v>225</v>
      </c>
      <c r="G118" t="s">
        <v>409</v>
      </c>
      <c r="H118" t="s">
        <v>50</v>
      </c>
      <c r="I118" t="s">
        <v>753</v>
      </c>
      <c r="J118" t="s">
        <v>745</v>
      </c>
      <c r="K118" t="s">
        <v>746</v>
      </c>
      <c r="L118">
        <v>4.3600000000000003</v>
      </c>
      <c r="N118" t="s">
        <v>111</v>
      </c>
      <c r="O118" t="s">
        <v>112</v>
      </c>
    </row>
    <row r="119" spans="1:15" x14ac:dyDescent="0.35">
      <c r="A119" t="s">
        <v>893</v>
      </c>
      <c r="B119">
        <v>2023</v>
      </c>
      <c r="C119" t="s">
        <v>368</v>
      </c>
      <c r="D119" t="s">
        <v>223</v>
      </c>
      <c r="E119" t="s">
        <v>369</v>
      </c>
      <c r="F119" t="s">
        <v>225</v>
      </c>
      <c r="G119" t="s">
        <v>409</v>
      </c>
      <c r="H119" t="s">
        <v>50</v>
      </c>
      <c r="I119" t="s">
        <v>757</v>
      </c>
      <c r="J119" t="s">
        <v>745</v>
      </c>
      <c r="K119" t="s">
        <v>746</v>
      </c>
      <c r="L119">
        <v>82.2</v>
      </c>
      <c r="N119" t="s">
        <v>111</v>
      </c>
      <c r="O119" t="s">
        <v>112</v>
      </c>
    </row>
    <row r="120" spans="1:15" x14ac:dyDescent="0.35">
      <c r="A120" t="s">
        <v>894</v>
      </c>
      <c r="B120">
        <v>2023</v>
      </c>
      <c r="C120" t="s">
        <v>382</v>
      </c>
      <c r="E120" t="s">
        <v>385</v>
      </c>
      <c r="G120" t="s">
        <v>116</v>
      </c>
      <c r="H120" t="s">
        <v>259</v>
      </c>
      <c r="I120" t="s">
        <v>781</v>
      </c>
      <c r="J120" t="s">
        <v>745</v>
      </c>
      <c r="K120" t="s">
        <v>754</v>
      </c>
      <c r="L120">
        <v>5.0999999999999996</v>
      </c>
      <c r="M120" t="s">
        <v>853</v>
      </c>
      <c r="N120" t="s">
        <v>383</v>
      </c>
      <c r="O120" t="s">
        <v>384</v>
      </c>
    </row>
    <row r="121" spans="1:15" x14ac:dyDescent="0.35">
      <c r="A121" t="s">
        <v>895</v>
      </c>
      <c r="B121">
        <v>2022</v>
      </c>
      <c r="C121" t="s">
        <v>388</v>
      </c>
      <c r="E121" t="s">
        <v>391</v>
      </c>
      <c r="G121" t="s">
        <v>648</v>
      </c>
      <c r="H121" t="s">
        <v>50</v>
      </c>
      <c r="I121" t="s">
        <v>757</v>
      </c>
      <c r="J121" t="s">
        <v>745</v>
      </c>
      <c r="K121" t="s">
        <v>746</v>
      </c>
      <c r="L121">
        <v>81.2</v>
      </c>
      <c r="M121" t="s">
        <v>896</v>
      </c>
      <c r="N121" t="s">
        <v>389</v>
      </c>
      <c r="O121" t="s">
        <v>390</v>
      </c>
    </row>
    <row r="122" spans="1:15" x14ac:dyDescent="0.35">
      <c r="A122" t="s">
        <v>897</v>
      </c>
      <c r="B122">
        <v>2022</v>
      </c>
      <c r="C122" t="s">
        <v>388</v>
      </c>
      <c r="E122" t="s">
        <v>391</v>
      </c>
      <c r="G122" t="s">
        <v>327</v>
      </c>
      <c r="H122" t="s">
        <v>50</v>
      </c>
      <c r="I122" t="s">
        <v>757</v>
      </c>
      <c r="J122" t="s">
        <v>745</v>
      </c>
      <c r="K122" t="s">
        <v>746</v>
      </c>
      <c r="L122">
        <v>83.5</v>
      </c>
      <c r="M122" t="s">
        <v>896</v>
      </c>
      <c r="N122" t="s">
        <v>389</v>
      </c>
      <c r="O122" t="s">
        <v>390</v>
      </c>
    </row>
    <row r="123" spans="1:15" x14ac:dyDescent="0.35">
      <c r="A123" t="s">
        <v>887</v>
      </c>
      <c r="B123">
        <v>2023</v>
      </c>
      <c r="D123" t="s">
        <v>399</v>
      </c>
      <c r="E123" t="s">
        <v>402</v>
      </c>
      <c r="F123" t="s">
        <v>403</v>
      </c>
      <c r="G123" t="s">
        <v>116</v>
      </c>
      <c r="H123" t="s">
        <v>50</v>
      </c>
      <c r="I123" t="s">
        <v>781</v>
      </c>
      <c r="J123" t="s">
        <v>745</v>
      </c>
      <c r="K123" t="s">
        <v>754</v>
      </c>
      <c r="L123">
        <v>2.7</v>
      </c>
      <c r="M123" t="s">
        <v>853</v>
      </c>
      <c r="N123" t="s">
        <v>400</v>
      </c>
      <c r="O123" t="s">
        <v>401</v>
      </c>
    </row>
    <row r="124" spans="1:15" x14ac:dyDescent="0.35">
      <c r="A124" t="s">
        <v>835</v>
      </c>
      <c r="B124">
        <v>2023</v>
      </c>
      <c r="C124" t="s">
        <v>424</v>
      </c>
      <c r="E124" t="s">
        <v>427</v>
      </c>
      <c r="G124" t="s">
        <v>59</v>
      </c>
      <c r="H124" t="s">
        <v>50</v>
      </c>
      <c r="I124" t="s">
        <v>748</v>
      </c>
      <c r="J124" t="s">
        <v>749</v>
      </c>
      <c r="K124" t="s">
        <v>750</v>
      </c>
      <c r="L124">
        <v>2.3439110251450601</v>
      </c>
      <c r="M124" t="s">
        <v>836</v>
      </c>
      <c r="N124" t="s">
        <v>425</v>
      </c>
      <c r="O124" t="s">
        <v>426</v>
      </c>
    </row>
    <row r="125" spans="1:15" x14ac:dyDescent="0.35">
      <c r="A125" t="s">
        <v>837</v>
      </c>
      <c r="B125">
        <v>2023</v>
      </c>
      <c r="C125" t="s">
        <v>424</v>
      </c>
      <c r="E125" t="s">
        <v>427</v>
      </c>
      <c r="G125" t="s">
        <v>59</v>
      </c>
      <c r="H125" t="s">
        <v>50</v>
      </c>
      <c r="I125" t="s">
        <v>753</v>
      </c>
      <c r="J125" t="s">
        <v>745</v>
      </c>
      <c r="K125" t="s">
        <v>754</v>
      </c>
      <c r="L125">
        <v>3.03</v>
      </c>
      <c r="N125" t="s">
        <v>425</v>
      </c>
      <c r="O125" t="s">
        <v>426</v>
      </c>
    </row>
    <row r="126" spans="1:15" x14ac:dyDescent="0.35">
      <c r="A126" t="s">
        <v>838</v>
      </c>
      <c r="B126">
        <v>2023</v>
      </c>
      <c r="C126" t="s">
        <v>424</v>
      </c>
      <c r="E126" t="s">
        <v>427</v>
      </c>
      <c r="G126" t="s">
        <v>59</v>
      </c>
      <c r="H126" t="s">
        <v>50</v>
      </c>
      <c r="I126" t="s">
        <v>781</v>
      </c>
      <c r="J126" t="s">
        <v>745</v>
      </c>
      <c r="K126" t="s">
        <v>754</v>
      </c>
      <c r="L126">
        <v>3.19</v>
      </c>
      <c r="N126" t="s">
        <v>425</v>
      </c>
      <c r="O126" t="s">
        <v>426</v>
      </c>
    </row>
    <row r="127" spans="1:15" x14ac:dyDescent="0.35">
      <c r="A127" t="s">
        <v>839</v>
      </c>
      <c r="B127">
        <v>2023</v>
      </c>
      <c r="C127" t="s">
        <v>424</v>
      </c>
      <c r="E127" t="s">
        <v>427</v>
      </c>
      <c r="G127" t="s">
        <v>59</v>
      </c>
      <c r="H127" t="s">
        <v>50</v>
      </c>
      <c r="I127" t="s">
        <v>757</v>
      </c>
      <c r="J127" t="s">
        <v>745</v>
      </c>
      <c r="K127" t="s">
        <v>746</v>
      </c>
      <c r="L127">
        <v>93</v>
      </c>
      <c r="N127" t="s">
        <v>425</v>
      </c>
      <c r="O127" t="s">
        <v>426</v>
      </c>
    </row>
    <row r="128" spans="1:15" x14ac:dyDescent="0.35">
      <c r="A128" t="s">
        <v>782</v>
      </c>
      <c r="B128">
        <v>2023</v>
      </c>
      <c r="C128" t="s">
        <v>429</v>
      </c>
      <c r="E128" t="s">
        <v>430</v>
      </c>
      <c r="G128" t="s">
        <v>59</v>
      </c>
      <c r="H128" t="s">
        <v>50</v>
      </c>
      <c r="I128" t="s">
        <v>748</v>
      </c>
      <c r="J128" t="s">
        <v>749</v>
      </c>
      <c r="K128" t="s">
        <v>750</v>
      </c>
      <c r="L128">
        <v>0.15680324192064901</v>
      </c>
      <c r="M128" t="s">
        <v>774</v>
      </c>
      <c r="N128" t="s">
        <v>197</v>
      </c>
      <c r="O128" t="s">
        <v>198</v>
      </c>
    </row>
    <row r="129" spans="1:15" x14ac:dyDescent="0.35">
      <c r="A129" t="s">
        <v>783</v>
      </c>
      <c r="B129">
        <v>2023</v>
      </c>
      <c r="C129" t="s">
        <v>429</v>
      </c>
      <c r="E129" t="s">
        <v>430</v>
      </c>
      <c r="G129" t="s">
        <v>116</v>
      </c>
      <c r="H129" t="s">
        <v>50</v>
      </c>
      <c r="I129" t="s">
        <v>776</v>
      </c>
      <c r="J129" t="s">
        <v>745</v>
      </c>
      <c r="K129" t="s">
        <v>754</v>
      </c>
      <c r="L129">
        <v>2.2000000000000002</v>
      </c>
      <c r="M129" t="s">
        <v>777</v>
      </c>
      <c r="N129" t="s">
        <v>197</v>
      </c>
      <c r="O129" t="s">
        <v>198</v>
      </c>
    </row>
    <row r="130" spans="1:15" x14ac:dyDescent="0.35">
      <c r="A130" t="s">
        <v>784</v>
      </c>
      <c r="B130">
        <v>2023</v>
      </c>
      <c r="C130" t="s">
        <v>429</v>
      </c>
      <c r="E130" t="s">
        <v>430</v>
      </c>
      <c r="G130" t="s">
        <v>116</v>
      </c>
      <c r="H130" t="s">
        <v>50</v>
      </c>
      <c r="I130" t="s">
        <v>779</v>
      </c>
      <c r="J130" t="s">
        <v>745</v>
      </c>
      <c r="K130" t="s">
        <v>746</v>
      </c>
      <c r="L130">
        <v>90</v>
      </c>
      <c r="N130" t="s">
        <v>197</v>
      </c>
      <c r="O130" t="s">
        <v>198</v>
      </c>
    </row>
    <row r="131" spans="1:15" x14ac:dyDescent="0.35">
      <c r="A131" t="s">
        <v>788</v>
      </c>
      <c r="B131">
        <v>2023</v>
      </c>
      <c r="C131" t="s">
        <v>429</v>
      </c>
      <c r="E131" t="s">
        <v>430</v>
      </c>
      <c r="G131" t="s">
        <v>116</v>
      </c>
      <c r="H131" t="s">
        <v>50</v>
      </c>
      <c r="I131" t="s">
        <v>781</v>
      </c>
      <c r="J131" t="s">
        <v>745</v>
      </c>
      <c r="K131" t="s">
        <v>754</v>
      </c>
      <c r="L131">
        <v>2.2000000000000002</v>
      </c>
      <c r="M131" t="s">
        <v>777</v>
      </c>
      <c r="N131" t="s">
        <v>197</v>
      </c>
      <c r="O131" t="s">
        <v>198</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2025-11-28T21:24:13Z</dcterms:modified>
</cp:coreProperties>
</file>