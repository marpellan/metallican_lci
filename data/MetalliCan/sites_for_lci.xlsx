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polymtlca-my.sharepoint.com/personal/marin_pellan_polymtl_ca/Documents/POST_DOC/CODE/regionalized_lci_mineral/data/MetalliCan/"/>
    </mc:Choice>
  </mc:AlternateContent>
  <xr:revisionPtr revIDLastSave="3192" documentId="13_ncr:1_{965BE886-D2C4-44D2-937F-E901E74C4ED2}" xr6:coauthVersionLast="47" xr6:coauthVersionMax="47" xr10:uidLastSave="{8D110C5B-79AF-4105-B58B-9EE87A743CCC}"/>
  <bookViews>
    <workbookView xWindow="-120" yWindow="-120" windowWidth="29040" windowHeight="15720" firstSheet="1" activeTab="3" xr2:uid="{9D292A65-B8C8-46CC-8162-88CB3EA3ABC7}"/>
  </bookViews>
  <sheets>
    <sheet name="prod_$_data" sheetId="25" state="hidden" r:id="rId1"/>
    <sheet name="README" sheetId="1" r:id="rId2"/>
    <sheet name="site_selection" sheetId="2" state="hidden" r:id="rId3"/>
    <sheet name="prod_data" sheetId="11" r:id="rId4"/>
    <sheet name="market_shares" sheetId="26" r:id="rId5"/>
    <sheet name="concentrate_grade" sheetId="23" r:id="rId6"/>
    <sheet name="prod_table_raw" sheetId="22" r:id="rId7"/>
    <sheet name="site_selection_1" sheetId="21" state="hidden" r:id="rId8"/>
    <sheet name="ms_benchmark" sheetId="16" r:id="rId9"/>
    <sheet name="Arch_refineries" sheetId="17" state="hidden" r:id="rId10"/>
    <sheet name="archetypes" sheetId="15" state="hidden" r:id="rId11"/>
    <sheet name="prices" sheetId="20" r:id="rId12"/>
    <sheet name="ta_data" sheetId="10" state="hidden" r:id="rId13"/>
  </sheets>
  <definedNames>
    <definedName name="_xlnm._FilterDatabase" localSheetId="9" hidden="1">Arch_refineries!$A$1:$J$1</definedName>
    <definedName name="_xlnm._FilterDatabase" localSheetId="4" hidden="1">market_shares!$A$1:$J$66</definedName>
    <definedName name="_xlnm._FilterDatabase" localSheetId="8" hidden="1">ms_benchmark!$A$1:$C$1</definedName>
    <definedName name="_xlnm._FilterDatabase" localSheetId="11" hidden="1">prices!$A$1:$D$1</definedName>
    <definedName name="_xlnm._FilterDatabase" localSheetId="0" hidden="1">'prod_$_data'!$A$1:$BF$67</definedName>
    <definedName name="_xlnm._FilterDatabase" localSheetId="3" hidden="1">prod_data!$A$1:$EI$66</definedName>
    <definedName name="_xlnm._FilterDatabase" localSheetId="6" hidden="1">prod_table_raw!$A$1:$Q$277</definedName>
    <definedName name="_xlnm._FilterDatabase" localSheetId="2" hidden="1">site_selection!$A$1:$R$126</definedName>
    <definedName name="_xlnm._FilterDatabase" localSheetId="7" hidden="1">site_selection_1!$A$1:$F$1</definedName>
    <definedName name="_xlnm._FilterDatabase" localSheetId="12" hidden="1">ta_data!$A$1:$S$1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26" l="1"/>
  <c r="D4" i="26"/>
  <c r="D5"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2" i="26"/>
  <c r="C3" i="26"/>
  <c r="C4" i="26"/>
  <c r="C5"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2" i="26"/>
  <c r="A3" i="26"/>
  <c r="B3" i="26"/>
  <c r="A4" i="26"/>
  <c r="B4" i="26"/>
  <c r="A5" i="26"/>
  <c r="B5" i="26"/>
  <c r="A6" i="26"/>
  <c r="B6" i="26"/>
  <c r="A7" i="26"/>
  <c r="B7" i="26"/>
  <c r="A8" i="26"/>
  <c r="B8" i="26"/>
  <c r="A9" i="26"/>
  <c r="B9" i="26"/>
  <c r="A10" i="26"/>
  <c r="B10" i="26"/>
  <c r="A11" i="26"/>
  <c r="B11" i="26"/>
  <c r="A12" i="26"/>
  <c r="B12" i="26"/>
  <c r="A13" i="26"/>
  <c r="B13" i="26"/>
  <c r="A14" i="26"/>
  <c r="B14" i="26"/>
  <c r="A15" i="26"/>
  <c r="B15" i="26"/>
  <c r="A16" i="26"/>
  <c r="B16" i="26"/>
  <c r="A17" i="26"/>
  <c r="B17" i="26"/>
  <c r="A18" i="26"/>
  <c r="B18" i="26"/>
  <c r="A19" i="26"/>
  <c r="B19" i="26"/>
  <c r="A20" i="26"/>
  <c r="B20" i="26"/>
  <c r="A21" i="26"/>
  <c r="B21" i="26"/>
  <c r="A22" i="26"/>
  <c r="B22" i="26"/>
  <c r="A23" i="26"/>
  <c r="B23" i="26"/>
  <c r="A24" i="26"/>
  <c r="B24" i="26"/>
  <c r="A25" i="26"/>
  <c r="B25" i="26"/>
  <c r="A26" i="26"/>
  <c r="B26" i="26"/>
  <c r="A27" i="26"/>
  <c r="B27" i="26"/>
  <c r="A28" i="26"/>
  <c r="B28" i="26"/>
  <c r="A29" i="26"/>
  <c r="B29" i="26"/>
  <c r="A30" i="26"/>
  <c r="B30" i="26"/>
  <c r="A31" i="26"/>
  <c r="B31" i="26"/>
  <c r="A32" i="26"/>
  <c r="B32" i="26"/>
  <c r="A33" i="26"/>
  <c r="B33" i="26"/>
  <c r="A34" i="26"/>
  <c r="B34" i="26"/>
  <c r="A35" i="26"/>
  <c r="B35" i="26"/>
  <c r="A36" i="26"/>
  <c r="B36" i="26"/>
  <c r="A37" i="26"/>
  <c r="B37" i="26"/>
  <c r="A38" i="26"/>
  <c r="B38" i="26"/>
  <c r="A39" i="26"/>
  <c r="B39" i="26"/>
  <c r="A40" i="26"/>
  <c r="B40" i="26"/>
  <c r="A41" i="26"/>
  <c r="B41" i="26"/>
  <c r="A42" i="26"/>
  <c r="B42" i="26"/>
  <c r="A43" i="26"/>
  <c r="B43" i="26"/>
  <c r="A44" i="26"/>
  <c r="B44" i="26"/>
  <c r="A45" i="26"/>
  <c r="B45" i="26"/>
  <c r="A46" i="26"/>
  <c r="B46" i="26"/>
  <c r="A47" i="26"/>
  <c r="B47" i="26"/>
  <c r="A48" i="26"/>
  <c r="B48" i="26"/>
  <c r="A49" i="26"/>
  <c r="B49" i="26"/>
  <c r="A50" i="26"/>
  <c r="B50" i="26"/>
  <c r="A51" i="26"/>
  <c r="B51" i="26"/>
  <c r="A52" i="26"/>
  <c r="B52" i="26"/>
  <c r="A53" i="26"/>
  <c r="B53" i="26"/>
  <c r="A54" i="26"/>
  <c r="B54" i="26"/>
  <c r="A55" i="26"/>
  <c r="B55" i="26"/>
  <c r="A56" i="26"/>
  <c r="B56" i="26"/>
  <c r="A57" i="26"/>
  <c r="B57" i="26"/>
  <c r="A58" i="26"/>
  <c r="B58" i="26"/>
  <c r="A59" i="26"/>
  <c r="B59" i="26"/>
  <c r="A60" i="26"/>
  <c r="B60" i="26"/>
  <c r="A61" i="26"/>
  <c r="B61" i="26"/>
  <c r="A62" i="26"/>
  <c r="B62" i="26"/>
  <c r="A63" i="26"/>
  <c r="B63" i="26"/>
  <c r="A64" i="26"/>
  <c r="B64" i="26"/>
  <c r="A65" i="26"/>
  <c r="B65" i="26"/>
  <c r="A66" i="26"/>
  <c r="B66" i="26"/>
  <c r="B2" i="26"/>
  <c r="A2" i="26"/>
  <c r="AN68" i="11"/>
  <c r="AX68" i="11"/>
  <c r="AY68" i="11"/>
  <c r="AZ68" i="11"/>
  <c r="AW31" i="11"/>
  <c r="AW6" i="11"/>
  <c r="AW34" i="11"/>
  <c r="AW36" i="11"/>
  <c r="AW46" i="11"/>
  <c r="AW32" i="11"/>
  <c r="AW17" i="11"/>
  <c r="AW55" i="11"/>
  <c r="AW51" i="11"/>
  <c r="AW18" i="11"/>
  <c r="AW16" i="11"/>
  <c r="AW11" i="11"/>
  <c r="AW9" i="11"/>
  <c r="AW24" i="11"/>
  <c r="AW21" i="11"/>
  <c r="AW35" i="11"/>
  <c r="AW59" i="11"/>
  <c r="AW48" i="11"/>
  <c r="AW33" i="11"/>
  <c r="AW28" i="11"/>
  <c r="AW12" i="11"/>
  <c r="AW13" i="11"/>
  <c r="AW50" i="11"/>
  <c r="AW8" i="11"/>
  <c r="AW52" i="11"/>
  <c r="AW26" i="11"/>
  <c r="AW41" i="11"/>
  <c r="AW39" i="11"/>
  <c r="AW58" i="11"/>
  <c r="AW2" i="11"/>
  <c r="AW23" i="11"/>
  <c r="AW44" i="11"/>
  <c r="AW43" i="11"/>
  <c r="AW14" i="11"/>
  <c r="AW27" i="11"/>
  <c r="AW42" i="11"/>
  <c r="AW45" i="11"/>
  <c r="AW7" i="11"/>
  <c r="AW20" i="11"/>
  <c r="AW30" i="11"/>
  <c r="AW5" i="11"/>
  <c r="AW29" i="11"/>
  <c r="AW60" i="11"/>
  <c r="AW61" i="11"/>
  <c r="AW62" i="11"/>
  <c r="AW63" i="11"/>
  <c r="AW64" i="11"/>
  <c r="AW65" i="11"/>
  <c r="AW66" i="11"/>
  <c r="AW15" i="11"/>
  <c r="AW10" i="11"/>
  <c r="AW19" i="11"/>
  <c r="AW3" i="11"/>
  <c r="AW47" i="11"/>
  <c r="AW40" i="11"/>
  <c r="AW22" i="11"/>
  <c r="AW37" i="11"/>
  <c r="AW54" i="11"/>
  <c r="AW57" i="11"/>
  <c r="AW49" i="11"/>
  <c r="AW38" i="11"/>
  <c r="AU31" i="11"/>
  <c r="AU6" i="11"/>
  <c r="AU34" i="11"/>
  <c r="AU36" i="11"/>
  <c r="AU46" i="11"/>
  <c r="AU32" i="11"/>
  <c r="AU17" i="11"/>
  <c r="AU55" i="11"/>
  <c r="AU51" i="11"/>
  <c r="AU18" i="11"/>
  <c r="AU16" i="11"/>
  <c r="AU11" i="11"/>
  <c r="AU9" i="11"/>
  <c r="AU24" i="11"/>
  <c r="AU21" i="11"/>
  <c r="AU35" i="11"/>
  <c r="AU59" i="11"/>
  <c r="AU48" i="11"/>
  <c r="AU33" i="11"/>
  <c r="AU28" i="11"/>
  <c r="AU12" i="11"/>
  <c r="AU13" i="11"/>
  <c r="AU50" i="11"/>
  <c r="AU8" i="11"/>
  <c r="AU52" i="11"/>
  <c r="AU26" i="11"/>
  <c r="AU41" i="11"/>
  <c r="AU39" i="11"/>
  <c r="AU58" i="11"/>
  <c r="AU2" i="11"/>
  <c r="AU23" i="11"/>
  <c r="AU44" i="11"/>
  <c r="AU43" i="11"/>
  <c r="AU14" i="11"/>
  <c r="AU27" i="11"/>
  <c r="AU42" i="11"/>
  <c r="AU45" i="11"/>
  <c r="AU7" i="11"/>
  <c r="AU20" i="11"/>
  <c r="AU4" i="11"/>
  <c r="AU30" i="11"/>
  <c r="AU5" i="11"/>
  <c r="AU29" i="11"/>
  <c r="AU60" i="11"/>
  <c r="AU25" i="11"/>
  <c r="AU61" i="11"/>
  <c r="AU62" i="11"/>
  <c r="AU63" i="11"/>
  <c r="AU64" i="11"/>
  <c r="AU65" i="11"/>
  <c r="AU66" i="11"/>
  <c r="AU15" i="11"/>
  <c r="AU10" i="11"/>
  <c r="AU3" i="11"/>
  <c r="AU47" i="11"/>
  <c r="AU40" i="11"/>
  <c r="AU37" i="11"/>
  <c r="AU54" i="11"/>
  <c r="AU57" i="11"/>
  <c r="AU49" i="11"/>
  <c r="AU38" i="11"/>
  <c r="AQ60" i="11"/>
  <c r="BA60" i="11" s="1"/>
  <c r="AA60" i="11" s="1"/>
  <c r="AD60" i="11" s="1"/>
  <c r="Y60" i="11"/>
  <c r="AC60" i="11" s="1"/>
  <c r="N93" i="22" l="1"/>
  <c r="BC60" i="11" l="1"/>
  <c r="BC25" i="11"/>
  <c r="BC61" i="11"/>
  <c r="BC56" i="11"/>
  <c r="BC38" i="11"/>
  <c r="BC10" i="11"/>
  <c r="BC19" i="11"/>
  <c r="BC40" i="11"/>
  <c r="BC22" i="11"/>
  <c r="BC37" i="11"/>
  <c r="BC54" i="11"/>
  <c r="BC57" i="11"/>
  <c r="BC49" i="11"/>
  <c r="BC31" i="11"/>
  <c r="BC6" i="11"/>
  <c r="BC34" i="11"/>
  <c r="BC17" i="11"/>
  <c r="BC55" i="11"/>
  <c r="BC51" i="11"/>
  <c r="BC18" i="11"/>
  <c r="BC11" i="11"/>
  <c r="BC9" i="11"/>
  <c r="BC35" i="11"/>
  <c r="BC28" i="11"/>
  <c r="BC50" i="11"/>
  <c r="BC8" i="11"/>
  <c r="BC26" i="11"/>
  <c r="BC41" i="11"/>
  <c r="BC2" i="11"/>
  <c r="BC23" i="11"/>
  <c r="BC44" i="11"/>
  <c r="BC43" i="11"/>
  <c r="BC42" i="11"/>
  <c r="BC45" i="11"/>
  <c r="BC4" i="11"/>
  <c r="BC53" i="11"/>
  <c r="BB66" i="11"/>
  <c r="BB65" i="11"/>
  <c r="BB64" i="11"/>
  <c r="BB63" i="11"/>
  <c r="BB62" i="11"/>
  <c r="BB59" i="11"/>
  <c r="BB58" i="11"/>
  <c r="BB57" i="11"/>
  <c r="BB55" i="11"/>
  <c r="BB54" i="11"/>
  <c r="BB52" i="11"/>
  <c r="BB50" i="11"/>
  <c r="BB49" i="11"/>
  <c r="BB48" i="11"/>
  <c r="BB47" i="11"/>
  <c r="BB46" i="11"/>
  <c r="BB45" i="11"/>
  <c r="BB44" i="11"/>
  <c r="BB41" i="11"/>
  <c r="BB40" i="11"/>
  <c r="BB39" i="11"/>
  <c r="BB38" i="11"/>
  <c r="BB37" i="11"/>
  <c r="BB36" i="11"/>
  <c r="BB35" i="11"/>
  <c r="BB34" i="11"/>
  <c r="BB33" i="11"/>
  <c r="BB32" i="11"/>
  <c r="BB30" i="11"/>
  <c r="BB29" i="11"/>
  <c r="BB28" i="11"/>
  <c r="BB27" i="11"/>
  <c r="BB26" i="11"/>
  <c r="BB61" i="11"/>
  <c r="BB25" i="11"/>
  <c r="BB24" i="11"/>
  <c r="BB22" i="11"/>
  <c r="BB21" i="11"/>
  <c r="BB20" i="11"/>
  <c r="BB19" i="11"/>
  <c r="BB18" i="11"/>
  <c r="BB17" i="11"/>
  <c r="BB16" i="11"/>
  <c r="BB15" i="11"/>
  <c r="BB14" i="11"/>
  <c r="BB13" i="11"/>
  <c r="BB12" i="11"/>
  <c r="BB11" i="11"/>
  <c r="BB10" i="11"/>
  <c r="BB8" i="11"/>
  <c r="BB60" i="11"/>
  <c r="BB7" i="11"/>
  <c r="BB6" i="11"/>
  <c r="BB5" i="11"/>
  <c r="BB3" i="11"/>
  <c r="BB2" i="11"/>
  <c r="AV65" i="11"/>
  <c r="AV64" i="11"/>
  <c r="AV63" i="11"/>
  <c r="AV62" i="11"/>
  <c r="AV59" i="11"/>
  <c r="AV58" i="11"/>
  <c r="AV57" i="11"/>
  <c r="AV55" i="11"/>
  <c r="AV54" i="11"/>
  <c r="AV52" i="11"/>
  <c r="AV50" i="11"/>
  <c r="AV49" i="11"/>
  <c r="AV48" i="11"/>
  <c r="AV47" i="11"/>
  <c r="AV46" i="11"/>
  <c r="AV45" i="11"/>
  <c r="AV44" i="11"/>
  <c r="AV42" i="11"/>
  <c r="AV41" i="11"/>
  <c r="AV40" i="11"/>
  <c r="AV39" i="11"/>
  <c r="AV38" i="11"/>
  <c r="AV37" i="11"/>
  <c r="AV36" i="11"/>
  <c r="AV35" i="11"/>
  <c r="AV34" i="11"/>
  <c r="AV33" i="11"/>
  <c r="AV32" i="11"/>
  <c r="AV29" i="11"/>
  <c r="AV28" i="11"/>
  <c r="AV27" i="11"/>
  <c r="AV61" i="11"/>
  <c r="AV24" i="11"/>
  <c r="AV22" i="11"/>
  <c r="AV21" i="11"/>
  <c r="AV20" i="11"/>
  <c r="AV19" i="11"/>
  <c r="AV18" i="11"/>
  <c r="AV17" i="11"/>
  <c r="AV16" i="11"/>
  <c r="AV15" i="11"/>
  <c r="AV14" i="11"/>
  <c r="AV13" i="11"/>
  <c r="AV12" i="11"/>
  <c r="AV11" i="11"/>
  <c r="AV10" i="11"/>
  <c r="AV8" i="11"/>
  <c r="AV60" i="11"/>
  <c r="AV7" i="11"/>
  <c r="AV6" i="11"/>
  <c r="AV5" i="11"/>
  <c r="AV3" i="11"/>
  <c r="AV2" i="11"/>
  <c r="AT2" i="11"/>
  <c r="AF64" i="11"/>
  <c r="AF65" i="11"/>
  <c r="Z65" i="11" s="1"/>
  <c r="AF21" i="11"/>
  <c r="AF13" i="11"/>
  <c r="Z13" i="11" s="1"/>
  <c r="AA41" i="11"/>
  <c r="AA17" i="11"/>
  <c r="AB4" i="11"/>
  <c r="AB9" i="11"/>
  <c r="AB23" i="11"/>
  <c r="AB31" i="11"/>
  <c r="AB43" i="11"/>
  <c r="AB51" i="11"/>
  <c r="AB53" i="11"/>
  <c r="AB56" i="11"/>
  <c r="BB67" i="25"/>
  <c r="BA67" i="25"/>
  <c r="AZ67" i="25"/>
  <c r="AY67" i="25"/>
  <c r="AX67" i="25"/>
  <c r="AV67" i="25"/>
  <c r="AU67" i="25"/>
  <c r="AT67" i="25"/>
  <c r="AG67" i="25"/>
  <c r="W67" i="25"/>
  <c r="AW67" i="25" s="1"/>
  <c r="S67" i="25"/>
  <c r="AF67" i="25" s="1"/>
  <c r="O67" i="25" s="1"/>
  <c r="R67" i="25"/>
  <c r="AR67" i="25" s="1"/>
  <c r="Q67" i="25"/>
  <c r="AQ67" i="25" s="1"/>
  <c r="N67" i="25"/>
  <c r="BB66" i="25"/>
  <c r="BA66" i="25"/>
  <c r="AZ66" i="25"/>
  <c r="AY66" i="25"/>
  <c r="AX66" i="25"/>
  <c r="AW66" i="25"/>
  <c r="AV66" i="25"/>
  <c r="AU66" i="25"/>
  <c r="AT66" i="25"/>
  <c r="AS66" i="25"/>
  <c r="AR66" i="25"/>
  <c r="AQ66" i="25"/>
  <c r="AG66" i="25"/>
  <c r="AF66" i="25"/>
  <c r="O66" i="25"/>
  <c r="N66" i="25"/>
  <c r="P66" i="25" s="1"/>
  <c r="BB65" i="25"/>
  <c r="BA65" i="25"/>
  <c r="AZ65" i="25"/>
  <c r="AY65" i="25"/>
  <c r="AX65" i="25"/>
  <c r="AW65" i="25"/>
  <c r="AV65" i="25"/>
  <c r="AU65" i="25"/>
  <c r="AT65" i="25"/>
  <c r="AS65" i="25"/>
  <c r="AR65" i="25"/>
  <c r="AG65" i="25"/>
  <c r="AF65" i="25"/>
  <c r="O65" i="25" s="1"/>
  <c r="Q65" i="25"/>
  <c r="AQ65" i="25" s="1"/>
  <c r="N65" i="25"/>
  <c r="BB64" i="25"/>
  <c r="BA64" i="25"/>
  <c r="AZ64" i="25"/>
  <c r="AY64" i="25"/>
  <c r="AX64" i="25"/>
  <c r="AW64" i="25"/>
  <c r="AV64" i="25"/>
  <c r="AU64" i="25"/>
  <c r="AT64" i="25"/>
  <c r="AS64" i="25"/>
  <c r="AR64" i="25"/>
  <c r="AG64" i="25"/>
  <c r="AF64" i="25"/>
  <c r="Q64" i="25"/>
  <c r="AQ64" i="25" s="1"/>
  <c r="O64" i="25"/>
  <c r="N64" i="25"/>
  <c r="P64" i="25" s="1"/>
  <c r="BB63" i="25"/>
  <c r="BA63" i="25"/>
  <c r="AZ63" i="25"/>
  <c r="AY63" i="25"/>
  <c r="AX63" i="25"/>
  <c r="AW63" i="25"/>
  <c r="AV63" i="25"/>
  <c r="AU63" i="25"/>
  <c r="AT63" i="25"/>
  <c r="AS63" i="25"/>
  <c r="AG63" i="25"/>
  <c r="AF63" i="25"/>
  <c r="R63" i="25"/>
  <c r="AR63" i="25" s="1"/>
  <c r="Q63" i="25"/>
  <c r="AQ63" i="25" s="1"/>
  <c r="N63" i="25"/>
  <c r="BB62" i="25"/>
  <c r="BA62" i="25"/>
  <c r="AZ62" i="25"/>
  <c r="AY62" i="25"/>
  <c r="AX62" i="25"/>
  <c r="AW62" i="25"/>
  <c r="AV62" i="25"/>
  <c r="AU62" i="25"/>
  <c r="AT62" i="25"/>
  <c r="AS62" i="25"/>
  <c r="AR62" i="25"/>
  <c r="AG62" i="25"/>
  <c r="AF62" i="25"/>
  <c r="Q62" i="25"/>
  <c r="AQ62" i="25" s="1"/>
  <c r="N62" i="25"/>
  <c r="BB61" i="25"/>
  <c r="BA61" i="25"/>
  <c r="AZ61" i="25"/>
  <c r="AY61" i="25"/>
  <c r="AX61" i="25"/>
  <c r="AW61" i="25"/>
  <c r="AV61" i="25"/>
  <c r="AU61" i="25"/>
  <c r="AT61" i="25"/>
  <c r="AS61" i="25"/>
  <c r="AG61" i="25"/>
  <c r="AF61" i="25"/>
  <c r="O61" i="25" s="1"/>
  <c r="R61" i="25"/>
  <c r="AR61" i="25" s="1"/>
  <c r="Q61" i="25"/>
  <c r="AQ61" i="25" s="1"/>
  <c r="N61" i="25"/>
  <c r="BB60" i="25"/>
  <c r="BA60" i="25"/>
  <c r="AZ60" i="25"/>
  <c r="AY60" i="25"/>
  <c r="AX60" i="25"/>
  <c r="AW60" i="25"/>
  <c r="AV60" i="25"/>
  <c r="AU60" i="25"/>
  <c r="AR60" i="25"/>
  <c r="AQ60" i="25"/>
  <c r="T60" i="25"/>
  <c r="AT60" i="25" s="1"/>
  <c r="S60" i="25"/>
  <c r="AF60" i="25" s="1"/>
  <c r="N60" i="25"/>
  <c r="BB59" i="25"/>
  <c r="BA59" i="25"/>
  <c r="AZ59" i="25"/>
  <c r="AY59" i="25"/>
  <c r="AX59" i="25"/>
  <c r="AV59" i="25"/>
  <c r="AU59" i="25"/>
  <c r="AT59" i="25"/>
  <c r="AS59" i="25"/>
  <c r="AR59" i="25"/>
  <c r="AQ59" i="25"/>
  <c r="AG59" i="25"/>
  <c r="AF59" i="25"/>
  <c r="W59" i="25"/>
  <c r="AW59" i="25" s="1"/>
  <c r="BB58" i="25"/>
  <c r="BA58" i="25"/>
  <c r="AZ58" i="25"/>
  <c r="AY58" i="25"/>
  <c r="AX58" i="25"/>
  <c r="AW58" i="25"/>
  <c r="AV58" i="25"/>
  <c r="AU58" i="25"/>
  <c r="AR58" i="25"/>
  <c r="AQ58" i="25"/>
  <c r="T58" i="25"/>
  <c r="AG58" i="25" s="1"/>
  <c r="S58" i="25"/>
  <c r="AF58" i="25" s="1"/>
  <c r="N58" i="25"/>
  <c r="BB57" i="25"/>
  <c r="BA57" i="25"/>
  <c r="AZ57" i="25"/>
  <c r="AY57" i="25"/>
  <c r="AX57" i="25"/>
  <c r="AW57" i="25"/>
  <c r="AV57" i="25"/>
  <c r="AU57" i="25"/>
  <c r="AR57" i="25"/>
  <c r="AQ57" i="25"/>
  <c r="T57" i="25"/>
  <c r="AG57" i="25" s="1"/>
  <c r="S57" i="25"/>
  <c r="AF57" i="25" s="1"/>
  <c r="N57" i="25"/>
  <c r="BB56" i="25"/>
  <c r="BA56" i="25"/>
  <c r="AZ56" i="25"/>
  <c r="AY56" i="25"/>
  <c r="AX56" i="25"/>
  <c r="AW56" i="25"/>
  <c r="AV56" i="25"/>
  <c r="AS56" i="25"/>
  <c r="AR56" i="25"/>
  <c r="AQ56" i="25"/>
  <c r="AF56" i="25"/>
  <c r="U56" i="25"/>
  <c r="AU56" i="25" s="1"/>
  <c r="T56" i="25"/>
  <c r="AT56" i="25" s="1"/>
  <c r="BB55" i="25"/>
  <c r="BA55" i="25"/>
  <c r="AZ55" i="25"/>
  <c r="AY55" i="25"/>
  <c r="AX55" i="25"/>
  <c r="AW55" i="25"/>
  <c r="AV55" i="25"/>
  <c r="AU55" i="25"/>
  <c r="AT55" i="25"/>
  <c r="AS55" i="25"/>
  <c r="AR55" i="25"/>
  <c r="AG55" i="25"/>
  <c r="AF55" i="25"/>
  <c r="O55" i="25" s="1"/>
  <c r="Q55" i="25"/>
  <c r="AQ55" i="25" s="1"/>
  <c r="BC55" i="25" s="1"/>
  <c r="N55" i="25"/>
  <c r="BB54" i="25"/>
  <c r="BA54" i="25"/>
  <c r="AZ54" i="25"/>
  <c r="AY54" i="25"/>
  <c r="AX54" i="25"/>
  <c r="AW54" i="25"/>
  <c r="AV54" i="25"/>
  <c r="AU54" i="25"/>
  <c r="AR54" i="25"/>
  <c r="AQ54" i="25"/>
  <c r="T54" i="25"/>
  <c r="AT54" i="25" s="1"/>
  <c r="S54" i="25"/>
  <c r="AF54" i="25" s="1"/>
  <c r="BB53" i="25"/>
  <c r="BA53" i="25"/>
  <c r="AZ53" i="25"/>
  <c r="AY53" i="25"/>
  <c r="AX53" i="25"/>
  <c r="AW53" i="25"/>
  <c r="AV53" i="25"/>
  <c r="AU53" i="25"/>
  <c r="AR53" i="25"/>
  <c r="AQ53" i="25"/>
  <c r="T53" i="25"/>
  <c r="S53" i="25"/>
  <c r="AS53" i="25" s="1"/>
  <c r="N53" i="25"/>
  <c r="BB52" i="25"/>
  <c r="BA52" i="25"/>
  <c r="AZ52" i="25"/>
  <c r="AY52" i="25"/>
  <c r="AX52" i="25"/>
  <c r="AW52" i="25"/>
  <c r="AV52" i="25"/>
  <c r="AU52" i="25"/>
  <c r="AT52" i="25"/>
  <c r="AS52" i="25"/>
  <c r="BC52" i="25" s="1"/>
  <c r="BD52" i="25" s="1"/>
  <c r="AR52" i="25"/>
  <c r="AQ52" i="25"/>
  <c r="AG52" i="25"/>
  <c r="AF52" i="25"/>
  <c r="O52" i="25"/>
  <c r="N52" i="25"/>
  <c r="P52" i="25" s="1"/>
  <c r="BB51" i="25"/>
  <c r="BA51" i="25"/>
  <c r="AZ51" i="25"/>
  <c r="AY51" i="25"/>
  <c r="AX51" i="25"/>
  <c r="AW51" i="25"/>
  <c r="AV51" i="25"/>
  <c r="AU51" i="25"/>
  <c r="AT51" i="25"/>
  <c r="AS51" i="25"/>
  <c r="AR51" i="25"/>
  <c r="AG51" i="25"/>
  <c r="AF51" i="25"/>
  <c r="Q51" i="25"/>
  <c r="AQ51" i="25" s="1"/>
  <c r="N51" i="25"/>
  <c r="BB50" i="25"/>
  <c r="BA50" i="25"/>
  <c r="AZ50" i="25"/>
  <c r="AY50" i="25"/>
  <c r="AX50" i="25"/>
  <c r="AW50" i="25"/>
  <c r="AV50" i="25"/>
  <c r="AU50" i="25"/>
  <c r="AT50" i="25"/>
  <c r="AR50" i="25"/>
  <c r="AG50" i="25"/>
  <c r="S50" i="25"/>
  <c r="Q50" i="25"/>
  <c r="AQ50" i="25" s="1"/>
  <c r="N50" i="25"/>
  <c r="BB49" i="25"/>
  <c r="BA49" i="25"/>
  <c r="AZ49" i="25"/>
  <c r="AY49" i="25"/>
  <c r="AX49" i="25"/>
  <c r="AW49" i="25"/>
  <c r="AV49" i="25"/>
  <c r="AU49" i="25"/>
  <c r="AT49" i="25"/>
  <c r="AS49" i="25"/>
  <c r="AR49" i="25"/>
  <c r="AG49" i="25"/>
  <c r="AF49" i="25"/>
  <c r="O49" i="25" s="1"/>
  <c r="Q49" i="25"/>
  <c r="AQ49" i="25" s="1"/>
  <c r="N49" i="25"/>
  <c r="BB48" i="25"/>
  <c r="BA48" i="25"/>
  <c r="AY48" i="25"/>
  <c r="AX48" i="25"/>
  <c r="AW48" i="25"/>
  <c r="AV48" i="25"/>
  <c r="AR48" i="25"/>
  <c r="AQ48" i="25"/>
  <c r="Z48" i="25"/>
  <c r="AZ48" i="25" s="1"/>
  <c r="U48" i="25"/>
  <c r="AU48" i="25" s="1"/>
  <c r="T48" i="25"/>
  <c r="AT48" i="25" s="1"/>
  <c r="S48" i="25"/>
  <c r="AS48" i="25" s="1"/>
  <c r="N48" i="25"/>
  <c r="BB47" i="25"/>
  <c r="BA47" i="25"/>
  <c r="AZ47" i="25"/>
  <c r="AY47" i="25"/>
  <c r="AX47" i="25"/>
  <c r="AW47" i="25"/>
  <c r="AV47" i="25"/>
  <c r="AU47" i="25"/>
  <c r="AR47" i="25"/>
  <c r="AQ47" i="25"/>
  <c r="T47" i="25"/>
  <c r="AG47" i="25" s="1"/>
  <c r="S47" i="25"/>
  <c r="AF47" i="25" s="1"/>
  <c r="N47" i="25"/>
  <c r="BA46" i="25"/>
  <c r="AZ46" i="25"/>
  <c r="AY46" i="25"/>
  <c r="AX46" i="25"/>
  <c r="AW46" i="25"/>
  <c r="BC46" i="25" s="1"/>
  <c r="AV46" i="25"/>
  <c r="AU46" i="25"/>
  <c r="AT46" i="25"/>
  <c r="AS46" i="25"/>
  <c r="AR46" i="25"/>
  <c r="AQ46" i="25"/>
  <c r="AG46" i="25"/>
  <c r="AF46" i="25"/>
  <c r="O46" i="25" s="1"/>
  <c r="P46" i="25" s="1"/>
  <c r="AC46" i="25"/>
  <c r="BB46" i="25" s="1"/>
  <c r="BA45" i="25"/>
  <c r="AZ45" i="25"/>
  <c r="AY45" i="25"/>
  <c r="AX45" i="25"/>
  <c r="AW45" i="25"/>
  <c r="AV45" i="25"/>
  <c r="AU45" i="25"/>
  <c r="AT45" i="25"/>
  <c r="AS45" i="25"/>
  <c r="AR45" i="25"/>
  <c r="AQ45" i="25"/>
  <c r="AG45" i="25"/>
  <c r="AF45" i="25"/>
  <c r="O45" i="25" s="1"/>
  <c r="AC45" i="25"/>
  <c r="BB45" i="25" s="1"/>
  <c r="N45" i="25"/>
  <c r="BB44" i="25"/>
  <c r="BA44" i="25"/>
  <c r="AZ44" i="25"/>
  <c r="AY44" i="25"/>
  <c r="AX44" i="25"/>
  <c r="AW44" i="25"/>
  <c r="AV44" i="25"/>
  <c r="AU44" i="25"/>
  <c r="AT44" i="25"/>
  <c r="AS44" i="25"/>
  <c r="AR44" i="25"/>
  <c r="AQ44" i="25"/>
  <c r="AG44" i="25"/>
  <c r="AF44" i="25"/>
  <c r="N44" i="25"/>
  <c r="BB43" i="25"/>
  <c r="BA43" i="25"/>
  <c r="AZ43" i="25"/>
  <c r="AY43" i="25"/>
  <c r="AX43" i="25"/>
  <c r="AW43" i="25"/>
  <c r="AV43" i="25"/>
  <c r="AU43" i="25"/>
  <c r="AT43" i="25"/>
  <c r="AR43" i="25"/>
  <c r="AG43" i="25"/>
  <c r="S43" i="25"/>
  <c r="AF43" i="25" s="1"/>
  <c r="O43" i="25" s="1"/>
  <c r="Q43" i="25"/>
  <c r="AQ43" i="25" s="1"/>
  <c r="N43" i="25"/>
  <c r="BB42" i="25"/>
  <c r="BA42" i="25"/>
  <c r="AZ42" i="25"/>
  <c r="AY42" i="25"/>
  <c r="AX42" i="25"/>
  <c r="AW42" i="25"/>
  <c r="AV42" i="25"/>
  <c r="AU42" i="25"/>
  <c r="AT42" i="25"/>
  <c r="AS42" i="25"/>
  <c r="AR42" i="25"/>
  <c r="AG42" i="25"/>
  <c r="AF42" i="25"/>
  <c r="Q42" i="25"/>
  <c r="AQ42" i="25" s="1"/>
  <c r="N42" i="25"/>
  <c r="BB41" i="25"/>
  <c r="BA41" i="25"/>
  <c r="AZ41" i="25"/>
  <c r="AY41" i="25"/>
  <c r="AX41" i="25"/>
  <c r="AW41" i="25"/>
  <c r="AV41" i="25"/>
  <c r="AU41" i="25"/>
  <c r="AT41" i="25"/>
  <c r="AR41" i="25"/>
  <c r="AG41" i="25"/>
  <c r="S41" i="25"/>
  <c r="AS41" i="25" s="1"/>
  <c r="Q41" i="25"/>
  <c r="AQ41" i="25" s="1"/>
  <c r="N41" i="25"/>
  <c r="BB40" i="25"/>
  <c r="BA40" i="25"/>
  <c r="AZ40" i="25"/>
  <c r="AY40" i="25"/>
  <c r="AX40" i="25"/>
  <c r="AW40" i="25"/>
  <c r="AV40" i="25"/>
  <c r="AU40" i="25"/>
  <c r="AT40" i="25"/>
  <c r="AR40" i="25"/>
  <c r="AG40" i="25"/>
  <c r="S40" i="25"/>
  <c r="AF40" i="25" s="1"/>
  <c r="Q40" i="25"/>
  <c r="AQ40" i="25" s="1"/>
  <c r="N40" i="25"/>
  <c r="BB39" i="25"/>
  <c r="BA39" i="25"/>
  <c r="AZ39" i="25"/>
  <c r="AY39" i="25"/>
  <c r="AX39" i="25"/>
  <c r="AW39" i="25"/>
  <c r="AV39" i="25"/>
  <c r="AU39" i="25"/>
  <c r="AT39" i="25"/>
  <c r="AS39" i="25"/>
  <c r="AG39" i="25"/>
  <c r="O39" i="25" s="1"/>
  <c r="AF39" i="25"/>
  <c r="R39" i="25"/>
  <c r="AR39" i="25" s="1"/>
  <c r="Q39" i="25"/>
  <c r="AQ39" i="25" s="1"/>
  <c r="N39" i="25"/>
  <c r="BB38" i="25"/>
  <c r="BA38" i="25"/>
  <c r="AZ38" i="25"/>
  <c r="AY38" i="25"/>
  <c r="AX38" i="25"/>
  <c r="AW38" i="25"/>
  <c r="AV38" i="25"/>
  <c r="AU38" i="25"/>
  <c r="AT38" i="25"/>
  <c r="AS38" i="25"/>
  <c r="AR38" i="25"/>
  <c r="AQ38" i="25"/>
  <c r="AG38" i="25"/>
  <c r="AF38" i="25"/>
  <c r="N38" i="25"/>
  <c r="BB37" i="25"/>
  <c r="AZ37" i="25"/>
  <c r="AY37" i="25"/>
  <c r="AX37" i="25"/>
  <c r="AW37" i="25"/>
  <c r="AV37" i="25"/>
  <c r="AU37" i="25"/>
  <c r="AT37" i="25"/>
  <c r="AS37" i="25"/>
  <c r="AR37" i="25"/>
  <c r="AQ37" i="25"/>
  <c r="AG37" i="25"/>
  <c r="O37" i="25" s="1"/>
  <c r="P37" i="25" s="1"/>
  <c r="AF37" i="25"/>
  <c r="AB37" i="25"/>
  <c r="BA37" i="25" s="1"/>
  <c r="BB36" i="25"/>
  <c r="BA36" i="25"/>
  <c r="AZ36" i="25"/>
  <c r="AY36" i="25"/>
  <c r="AX36" i="25"/>
  <c r="AW36" i="25"/>
  <c r="AV36" i="25"/>
  <c r="AU36" i="25"/>
  <c r="AT36" i="25"/>
  <c r="AS36" i="25"/>
  <c r="AR36" i="25"/>
  <c r="AQ36" i="25"/>
  <c r="AG36" i="25"/>
  <c r="AF36" i="25"/>
  <c r="N36" i="25"/>
  <c r="BB35" i="25"/>
  <c r="BA35" i="25"/>
  <c r="AZ35" i="25"/>
  <c r="AY35" i="25"/>
  <c r="AX35" i="25"/>
  <c r="AW35" i="25"/>
  <c r="AV35" i="25"/>
  <c r="AU35" i="25"/>
  <c r="AT35" i="25"/>
  <c r="AS35" i="25"/>
  <c r="AR35" i="25"/>
  <c r="AG35" i="25"/>
  <c r="AF35" i="25"/>
  <c r="O35" i="25" s="1"/>
  <c r="Q35" i="25"/>
  <c r="AQ35" i="25" s="1"/>
  <c r="N35" i="25"/>
  <c r="BB34" i="25"/>
  <c r="BA34" i="25"/>
  <c r="AZ34" i="25"/>
  <c r="AY34" i="25"/>
  <c r="AX34" i="25"/>
  <c r="AW34" i="25"/>
  <c r="AV34" i="25"/>
  <c r="AU34" i="25"/>
  <c r="AT34" i="25"/>
  <c r="AS34" i="25"/>
  <c r="AR34" i="25"/>
  <c r="AG34" i="25"/>
  <c r="AF34" i="25"/>
  <c r="Q34" i="25"/>
  <c r="AQ34" i="25" s="1"/>
  <c r="N34" i="25"/>
  <c r="BB33" i="25"/>
  <c r="BA33" i="25"/>
  <c r="AZ33" i="25"/>
  <c r="AY33" i="25"/>
  <c r="AX33" i="25"/>
  <c r="AW33" i="25"/>
  <c r="AV33" i="25"/>
  <c r="AU33" i="25"/>
  <c r="AS33" i="25"/>
  <c r="AR33" i="25"/>
  <c r="AQ33" i="25"/>
  <c r="AF33" i="25"/>
  <c r="T33" i="25"/>
  <c r="AT33" i="25" s="1"/>
  <c r="BB32" i="25"/>
  <c r="BA32" i="25"/>
  <c r="AZ32" i="25"/>
  <c r="AY32" i="25"/>
  <c r="AX32" i="25"/>
  <c r="AV32" i="25"/>
  <c r="AU32" i="25"/>
  <c r="AT32" i="25"/>
  <c r="AG32" i="25"/>
  <c r="W32" i="25"/>
  <c r="AW32" i="25" s="1"/>
  <c r="S32" i="25"/>
  <c r="AF32" i="25" s="1"/>
  <c r="R32" i="25"/>
  <c r="AR32" i="25" s="1"/>
  <c r="Q32" i="25"/>
  <c r="AQ32" i="25" s="1"/>
  <c r="N32" i="25"/>
  <c r="BB31" i="25"/>
  <c r="BA31" i="25"/>
  <c r="AZ31" i="25"/>
  <c r="AY31" i="25"/>
  <c r="AX31" i="25"/>
  <c r="AW31" i="25"/>
  <c r="AV31" i="25"/>
  <c r="AU31" i="25"/>
  <c r="AT31" i="25"/>
  <c r="AS31" i="25"/>
  <c r="AG31" i="25"/>
  <c r="AF31" i="25"/>
  <c r="O31" i="25" s="1"/>
  <c r="R31" i="25"/>
  <c r="AR31" i="25" s="1"/>
  <c r="Q31" i="25"/>
  <c r="AQ31" i="25" s="1"/>
  <c r="N31" i="25"/>
  <c r="BB30" i="25"/>
  <c r="BA30" i="25"/>
  <c r="AY30" i="25"/>
  <c r="AX30" i="25"/>
  <c r="AW30" i="25"/>
  <c r="AV30" i="25"/>
  <c r="AU30" i="25"/>
  <c r="AT30" i="25"/>
  <c r="AS30" i="25"/>
  <c r="AR30" i="25"/>
  <c r="AG30" i="25"/>
  <c r="AF30" i="25"/>
  <c r="O30" i="25" s="1"/>
  <c r="AA30" i="25"/>
  <c r="Z30" i="25"/>
  <c r="AZ30" i="25" s="1"/>
  <c r="Q30" i="25"/>
  <c r="AQ30" i="25" s="1"/>
  <c r="N30" i="25"/>
  <c r="BB29" i="25"/>
  <c r="BA29" i="25"/>
  <c r="AZ29" i="25"/>
  <c r="AY29" i="25"/>
  <c r="AX29" i="25"/>
  <c r="AW29" i="25"/>
  <c r="AV29" i="25"/>
  <c r="AU29" i="25"/>
  <c r="AT29" i="25"/>
  <c r="AS29" i="25"/>
  <c r="AG29" i="25"/>
  <c r="AF29" i="25"/>
  <c r="R29" i="25"/>
  <c r="AR29" i="25" s="1"/>
  <c r="Q29" i="25"/>
  <c r="AQ29" i="25" s="1"/>
  <c r="N29" i="25"/>
  <c r="BB28" i="25"/>
  <c r="BA28" i="25"/>
  <c r="AZ28" i="25"/>
  <c r="AY28" i="25"/>
  <c r="AX28" i="25"/>
  <c r="AV28" i="25"/>
  <c r="AU28" i="25"/>
  <c r="AT28" i="25"/>
  <c r="AQ28" i="25"/>
  <c r="AG28" i="25"/>
  <c r="W28" i="25"/>
  <c r="AW28" i="25" s="1"/>
  <c r="S28" i="25"/>
  <c r="AS28" i="25" s="1"/>
  <c r="R28" i="25"/>
  <c r="AR28" i="25" s="1"/>
  <c r="N28" i="25"/>
  <c r="BB27" i="25"/>
  <c r="AZ27" i="25"/>
  <c r="AY27" i="25"/>
  <c r="AX27" i="25"/>
  <c r="AW27" i="25"/>
  <c r="AV27" i="25"/>
  <c r="AU27" i="25"/>
  <c r="BC27" i="25" s="1"/>
  <c r="BD27" i="25" s="1"/>
  <c r="AT27" i="25"/>
  <c r="AS27" i="25"/>
  <c r="AR27" i="25"/>
  <c r="AQ27" i="25"/>
  <c r="AG27" i="25"/>
  <c r="AF27" i="25"/>
  <c r="O27" i="25" s="1"/>
  <c r="AB27" i="25"/>
  <c r="BA27" i="25" s="1"/>
  <c r="N27" i="25"/>
  <c r="BB26" i="25"/>
  <c r="BA26" i="25"/>
  <c r="AZ26" i="25"/>
  <c r="AY26" i="25"/>
  <c r="AV26" i="25"/>
  <c r="AU26" i="25"/>
  <c r="AT26" i="25"/>
  <c r="AS26" i="25"/>
  <c r="AQ26" i="25"/>
  <c r="AG26" i="25"/>
  <c r="AF26" i="25"/>
  <c r="X26" i="25"/>
  <c r="AX26" i="25" s="1"/>
  <c r="W26" i="25"/>
  <c r="AW26" i="25" s="1"/>
  <c r="R26" i="25"/>
  <c r="AR26" i="25" s="1"/>
  <c r="O26" i="25"/>
  <c r="N26" i="25"/>
  <c r="BB25" i="25"/>
  <c r="BA25" i="25"/>
  <c r="AZ25" i="25"/>
  <c r="AY25" i="25"/>
  <c r="AX25" i="25"/>
  <c r="AW25" i="25"/>
  <c r="AV25" i="25"/>
  <c r="AU25" i="25"/>
  <c r="AT25" i="25"/>
  <c r="AS25" i="25"/>
  <c r="AR25" i="25"/>
  <c r="AG25" i="25"/>
  <c r="AF25" i="25"/>
  <c r="O25" i="25" s="1"/>
  <c r="Q25" i="25"/>
  <c r="AQ25" i="25" s="1"/>
  <c r="N25" i="25"/>
  <c r="BB24" i="25"/>
  <c r="BA24" i="25"/>
  <c r="AZ24" i="25"/>
  <c r="AY24" i="25"/>
  <c r="AX24" i="25"/>
  <c r="AW24" i="25"/>
  <c r="AV24" i="25"/>
  <c r="AU24" i="25"/>
  <c r="AT24" i="25"/>
  <c r="BC24" i="25" s="1"/>
  <c r="AS24" i="25"/>
  <c r="AR24" i="25"/>
  <c r="AQ24" i="25"/>
  <c r="AG24" i="25"/>
  <c r="AF24" i="25"/>
  <c r="O24" i="25" s="1"/>
  <c r="P24" i="25" s="1"/>
  <c r="BB23" i="25"/>
  <c r="BA23" i="25"/>
  <c r="AZ23" i="25"/>
  <c r="AY23" i="25"/>
  <c r="AX23" i="25"/>
  <c r="AW23" i="25"/>
  <c r="AU23" i="25"/>
  <c r="AT23" i="25"/>
  <c r="AR23" i="25"/>
  <c r="AQ23" i="25"/>
  <c r="AG23" i="25"/>
  <c r="V23" i="25"/>
  <c r="AV23" i="25" s="1"/>
  <c r="S23" i="25"/>
  <c r="AF23" i="25" s="1"/>
  <c r="N23" i="25"/>
  <c r="BB22" i="25"/>
  <c r="BA22" i="25"/>
  <c r="AZ22" i="25"/>
  <c r="AY22" i="25"/>
  <c r="AX22" i="25"/>
  <c r="AW22" i="25"/>
  <c r="AV22" i="25"/>
  <c r="AU22" i="25"/>
  <c r="AT22" i="25"/>
  <c r="AS22" i="25"/>
  <c r="AR22" i="25"/>
  <c r="AG22" i="25"/>
  <c r="AF22" i="25"/>
  <c r="O22" i="25" s="1"/>
  <c r="Q22" i="25"/>
  <c r="AQ22" i="25" s="1"/>
  <c r="BC22" i="25" s="1"/>
  <c r="N22" i="25"/>
  <c r="BB21" i="25"/>
  <c r="BA21" i="25"/>
  <c r="AZ21" i="25"/>
  <c r="AY21" i="25"/>
  <c r="AX21" i="25"/>
  <c r="AW21" i="25"/>
  <c r="AV21" i="25"/>
  <c r="AU21" i="25"/>
  <c r="AT21" i="25"/>
  <c r="AR21" i="25"/>
  <c r="AG21" i="25"/>
  <c r="S21" i="25"/>
  <c r="AF21" i="25" s="1"/>
  <c r="O21" i="25" s="1"/>
  <c r="Q21" i="25"/>
  <c r="AQ21" i="25" s="1"/>
  <c r="N21" i="25"/>
  <c r="BB20" i="25"/>
  <c r="BA20" i="25"/>
  <c r="AZ20" i="25"/>
  <c r="AY20" i="25"/>
  <c r="AX20" i="25"/>
  <c r="AW20" i="25"/>
  <c r="AU20" i="25"/>
  <c r="AT20" i="25"/>
  <c r="AR20" i="25"/>
  <c r="AQ20" i="25"/>
  <c r="AG20" i="25"/>
  <c r="V20" i="25"/>
  <c r="AV20" i="25" s="1"/>
  <c r="S20" i="25"/>
  <c r="AF20" i="25" s="1"/>
  <c r="O20" i="25" s="1"/>
  <c r="N20" i="25"/>
  <c r="BB19" i="25"/>
  <c r="BA19" i="25"/>
  <c r="AZ19" i="25"/>
  <c r="AY19" i="25"/>
  <c r="AX19" i="25"/>
  <c r="AW19" i="25"/>
  <c r="AV19" i="25"/>
  <c r="AU19" i="25"/>
  <c r="AR19" i="25"/>
  <c r="AQ19" i="25"/>
  <c r="T19" i="25"/>
  <c r="AT19" i="25" s="1"/>
  <c r="S19" i="25"/>
  <c r="AS19" i="25" s="1"/>
  <c r="N19" i="25"/>
  <c r="BB18" i="25"/>
  <c r="BA18" i="25"/>
  <c r="AZ18" i="25"/>
  <c r="AY18" i="25"/>
  <c r="AX18" i="25"/>
  <c r="AW18" i="25"/>
  <c r="AV18" i="25"/>
  <c r="AU18" i="25"/>
  <c r="BC18" i="25" s="1"/>
  <c r="AT18" i="25"/>
  <c r="AS18" i="25"/>
  <c r="AR18" i="25"/>
  <c r="AQ18" i="25"/>
  <c r="AG18" i="25"/>
  <c r="O18" i="25" s="1"/>
  <c r="AF18" i="25"/>
  <c r="N18" i="25"/>
  <c r="BB17" i="25"/>
  <c r="BA17" i="25"/>
  <c r="AZ17" i="25"/>
  <c r="AY17" i="25"/>
  <c r="AX17" i="25"/>
  <c r="AW17" i="25"/>
  <c r="AV17" i="25"/>
  <c r="AU17" i="25"/>
  <c r="AT17" i="25"/>
  <c r="AS17" i="25"/>
  <c r="AG17" i="25"/>
  <c r="AF17" i="25"/>
  <c r="O17" i="25" s="1"/>
  <c r="R17" i="25"/>
  <c r="AR17" i="25" s="1"/>
  <c r="Q17" i="25"/>
  <c r="AQ17" i="25" s="1"/>
  <c r="N17" i="25"/>
  <c r="BB16" i="25"/>
  <c r="BA16" i="25"/>
  <c r="AZ16" i="25"/>
  <c r="AY16" i="25"/>
  <c r="AX16" i="25"/>
  <c r="AW16" i="25"/>
  <c r="AV16" i="25"/>
  <c r="AU16" i="25"/>
  <c r="AT16" i="25"/>
  <c r="AS16" i="25"/>
  <c r="AR16" i="25"/>
  <c r="AG16" i="25"/>
  <c r="AF16" i="25"/>
  <c r="O16" i="25" s="1"/>
  <c r="Q16" i="25"/>
  <c r="AQ16" i="25" s="1"/>
  <c r="N16" i="25"/>
  <c r="BB15" i="25"/>
  <c r="BA15" i="25"/>
  <c r="AZ15" i="25"/>
  <c r="AY15" i="25"/>
  <c r="AX15" i="25"/>
  <c r="AW15" i="25"/>
  <c r="AV15" i="25"/>
  <c r="AU15" i="25"/>
  <c r="AT15" i="25"/>
  <c r="AS15" i="25"/>
  <c r="AG15" i="25"/>
  <c r="AF15" i="25"/>
  <c r="O15" i="25" s="1"/>
  <c r="R15" i="25"/>
  <c r="AR15" i="25" s="1"/>
  <c r="Q15" i="25"/>
  <c r="AQ15" i="25" s="1"/>
  <c r="N15" i="25"/>
  <c r="BB14" i="25"/>
  <c r="BA14" i="25"/>
  <c r="AZ14" i="25"/>
  <c r="AY14" i="25"/>
  <c r="AX14" i="25"/>
  <c r="AW14" i="25"/>
  <c r="AV14" i="25"/>
  <c r="AU14" i="25"/>
  <c r="AT14" i="25"/>
  <c r="AS14" i="25"/>
  <c r="AR14" i="25"/>
  <c r="AG14" i="25"/>
  <c r="AF14" i="25"/>
  <c r="O14" i="25" s="1"/>
  <c r="Q14" i="25"/>
  <c r="AQ14" i="25" s="1"/>
  <c r="N14" i="25"/>
  <c r="BB13" i="25"/>
  <c r="BA13" i="25"/>
  <c r="AZ13" i="25"/>
  <c r="AY13" i="25"/>
  <c r="AX13" i="25"/>
  <c r="AW13" i="25"/>
  <c r="AV13" i="25"/>
  <c r="AU13" i="25"/>
  <c r="AT13" i="25"/>
  <c r="AS13" i="25"/>
  <c r="AG13" i="25"/>
  <c r="AF13" i="25"/>
  <c r="O13" i="25" s="1"/>
  <c r="R13" i="25"/>
  <c r="AR13" i="25" s="1"/>
  <c r="Q13" i="25"/>
  <c r="AQ13" i="25" s="1"/>
  <c r="N13" i="25"/>
  <c r="BB12" i="25"/>
  <c r="BA12" i="25"/>
  <c r="AZ12" i="25"/>
  <c r="AY12" i="25"/>
  <c r="AX12" i="25"/>
  <c r="AW12" i="25"/>
  <c r="AV12" i="25"/>
  <c r="AU12" i="25"/>
  <c r="AR12" i="25"/>
  <c r="AQ12" i="25"/>
  <c r="T12" i="25"/>
  <c r="AG12" i="25" s="1"/>
  <c r="S12" i="25"/>
  <c r="AS12" i="25" s="1"/>
  <c r="N12" i="25"/>
  <c r="BB11" i="25"/>
  <c r="BA11" i="25"/>
  <c r="AZ11" i="25"/>
  <c r="AY11" i="25"/>
  <c r="AX11" i="25"/>
  <c r="AW11" i="25"/>
  <c r="AV11" i="25"/>
  <c r="AU11" i="25"/>
  <c r="AT11" i="25"/>
  <c r="AG11" i="25"/>
  <c r="S11" i="25"/>
  <c r="AF11" i="25" s="1"/>
  <c r="R11" i="25"/>
  <c r="AR11" i="25" s="1"/>
  <c r="Q11" i="25"/>
  <c r="AQ11" i="25" s="1"/>
  <c r="N11" i="25"/>
  <c r="BB10" i="25"/>
  <c r="BA10" i="25"/>
  <c r="AZ10" i="25"/>
  <c r="AY10" i="25"/>
  <c r="AX10" i="25"/>
  <c r="AW10" i="25"/>
  <c r="AV10" i="25"/>
  <c r="AU10" i="25"/>
  <c r="AR10" i="25"/>
  <c r="AQ10" i="25"/>
  <c r="T10" i="25"/>
  <c r="AG10" i="25" s="1"/>
  <c r="S10" i="25"/>
  <c r="AF10" i="25" s="1"/>
  <c r="BB9" i="25"/>
  <c r="BA9" i="25"/>
  <c r="AZ9" i="25"/>
  <c r="AY9" i="25"/>
  <c r="AX9" i="25"/>
  <c r="AW9" i="25"/>
  <c r="AV9" i="25"/>
  <c r="AU9" i="25"/>
  <c r="AR9" i="25"/>
  <c r="AQ9" i="25"/>
  <c r="T9" i="25"/>
  <c r="AT9" i="25" s="1"/>
  <c r="S9" i="25"/>
  <c r="AF9" i="25" s="1"/>
  <c r="N9" i="25"/>
  <c r="BB8" i="25"/>
  <c r="AZ8" i="25"/>
  <c r="AY8" i="25"/>
  <c r="AX8" i="25"/>
  <c r="AW8" i="25"/>
  <c r="AV8" i="25"/>
  <c r="AU8" i="25"/>
  <c r="AT8" i="25"/>
  <c r="BC8" i="25" s="1"/>
  <c r="AS8" i="25"/>
  <c r="AR8" i="25"/>
  <c r="AQ8" i="25"/>
  <c r="AG8" i="25"/>
  <c r="AF8" i="25"/>
  <c r="O8" i="25" s="1"/>
  <c r="AB8" i="25"/>
  <c r="BA8" i="25" s="1"/>
  <c r="N8" i="25"/>
  <c r="BB7" i="25"/>
  <c r="BA7" i="25"/>
  <c r="AZ7" i="25"/>
  <c r="AY7" i="25"/>
  <c r="AX7" i="25"/>
  <c r="AW7" i="25"/>
  <c r="AV7" i="25"/>
  <c r="AU7" i="25"/>
  <c r="AT7" i="25"/>
  <c r="AS7" i="25"/>
  <c r="AG7" i="25"/>
  <c r="AF7" i="25"/>
  <c r="O7" i="25" s="1"/>
  <c r="R7" i="25"/>
  <c r="AR7" i="25" s="1"/>
  <c r="Q7" i="25"/>
  <c r="AQ7" i="25" s="1"/>
  <c r="N7" i="25"/>
  <c r="BB6" i="25"/>
  <c r="BA6" i="25"/>
  <c r="AZ6" i="25"/>
  <c r="AY6" i="25"/>
  <c r="AX6" i="25"/>
  <c r="AW6" i="25"/>
  <c r="AV6" i="25"/>
  <c r="AU6" i="25"/>
  <c r="AT6" i="25"/>
  <c r="AS6" i="25"/>
  <c r="AR6" i="25"/>
  <c r="AQ6" i="25"/>
  <c r="AG6" i="25"/>
  <c r="AF6" i="25"/>
  <c r="N6" i="25"/>
  <c r="BB5" i="25"/>
  <c r="BA5" i="25"/>
  <c r="AZ5" i="25"/>
  <c r="AY5" i="25"/>
  <c r="AX5" i="25"/>
  <c r="AW5" i="25"/>
  <c r="AV5" i="25"/>
  <c r="AU5" i="25"/>
  <c r="AT5" i="25"/>
  <c r="AS5" i="25"/>
  <c r="AG5" i="25"/>
  <c r="AF5" i="25"/>
  <c r="O5" i="25" s="1"/>
  <c r="R5" i="25"/>
  <c r="AR5" i="25" s="1"/>
  <c r="Q5" i="25"/>
  <c r="AQ5" i="25" s="1"/>
  <c r="N5" i="25"/>
  <c r="BB4" i="25"/>
  <c r="BA4" i="25"/>
  <c r="AZ4" i="25"/>
  <c r="AY4" i="25"/>
  <c r="AV4" i="25"/>
  <c r="AU4" i="25"/>
  <c r="AT4" i="25"/>
  <c r="AS4" i="25"/>
  <c r="AR4" i="25"/>
  <c r="AQ4" i="25"/>
  <c r="AG4" i="25"/>
  <c r="AF4" i="25"/>
  <c r="O4" i="25" s="1"/>
  <c r="P4" i="25" s="1"/>
  <c r="X4" i="25"/>
  <c r="AX4" i="25" s="1"/>
  <c r="W4" i="25"/>
  <c r="AW4" i="25" s="1"/>
  <c r="BB3" i="25"/>
  <c r="BA3" i="25"/>
  <c r="AZ3" i="25"/>
  <c r="AY3" i="25"/>
  <c r="AX3" i="25"/>
  <c r="AW3" i="25"/>
  <c r="AV3" i="25"/>
  <c r="AU3" i="25"/>
  <c r="AT3" i="25"/>
  <c r="AS3" i="25"/>
  <c r="AR3" i="25"/>
  <c r="AG3" i="25"/>
  <c r="AF3" i="25"/>
  <c r="Q3" i="25"/>
  <c r="AQ3" i="25" s="1"/>
  <c r="N3" i="25"/>
  <c r="BB2" i="25"/>
  <c r="BA2" i="25"/>
  <c r="AZ2" i="25"/>
  <c r="AY2" i="25"/>
  <c r="AX2" i="25"/>
  <c r="AW2" i="25"/>
  <c r="AV2" i="25"/>
  <c r="AU2" i="25"/>
  <c r="AT2" i="25"/>
  <c r="AS2" i="25"/>
  <c r="BC2" i="25" s="1"/>
  <c r="BD2" i="25" s="1"/>
  <c r="AR2" i="25"/>
  <c r="AQ2" i="25"/>
  <c r="AG2" i="25"/>
  <c r="AF2" i="25"/>
  <c r="O2" i="25" s="1"/>
  <c r="N2" i="25"/>
  <c r="BC13" i="11" l="1"/>
  <c r="BC65" i="11"/>
  <c r="P27" i="25"/>
  <c r="O29" i="25"/>
  <c r="O32" i="25"/>
  <c r="P7" i="25"/>
  <c r="O34" i="25"/>
  <c r="O42" i="25"/>
  <c r="P42" i="25" s="1"/>
  <c r="P17" i="25"/>
  <c r="P39" i="25"/>
  <c r="P45" i="25"/>
  <c r="P49" i="25"/>
  <c r="P22" i="25"/>
  <c r="O23" i="25"/>
  <c r="P2" i="25"/>
  <c r="O11" i="25"/>
  <c r="P11" i="25" s="1"/>
  <c r="P13" i="25"/>
  <c r="O38" i="25"/>
  <c r="P38" i="25" s="1"/>
  <c r="O40" i="25"/>
  <c r="P40" i="25" s="1"/>
  <c r="O44" i="25"/>
  <c r="P44" i="25" s="1"/>
  <c r="O62" i="25"/>
  <c r="P62" i="25" s="1"/>
  <c r="P65" i="25"/>
  <c r="BC35" i="25"/>
  <c r="BD35" i="25" s="1"/>
  <c r="AS58" i="25"/>
  <c r="AG33" i="25"/>
  <c r="O33" i="25" s="1"/>
  <c r="P33" i="25" s="1"/>
  <c r="AS23" i="25"/>
  <c r="BC33" i="25"/>
  <c r="BE33" i="25" s="1"/>
  <c r="BC15" i="25"/>
  <c r="BD15" i="25" s="1"/>
  <c r="AS32" i="25"/>
  <c r="AS21" i="25"/>
  <c r="BC21" i="25" s="1"/>
  <c r="BE21" i="25" s="1"/>
  <c r="AG54" i="25"/>
  <c r="O54" i="25" s="1"/>
  <c r="P54" i="25" s="1"/>
  <c r="P18" i="25"/>
  <c r="P35" i="25"/>
  <c r="AT58" i="25"/>
  <c r="BC58" i="25" s="1"/>
  <c r="BD58" i="25" s="1"/>
  <c r="AG56" i="25"/>
  <c r="O56" i="25" s="1"/>
  <c r="P56" i="25" s="1"/>
  <c r="AT57" i="25"/>
  <c r="P15" i="25"/>
  <c r="P43" i="25"/>
  <c r="AG48" i="25"/>
  <c r="O58" i="25"/>
  <c r="P58" i="25" s="1"/>
  <c r="AS54" i="25"/>
  <c r="BC54" i="25" s="1"/>
  <c r="BD54" i="25" s="1"/>
  <c r="P67" i="25"/>
  <c r="AS43" i="25"/>
  <c r="BC43" i="25" s="1"/>
  <c r="BD43" i="25" s="1"/>
  <c r="BC5" i="25"/>
  <c r="BD5" i="25" s="1"/>
  <c r="AS9" i="25"/>
  <c r="BC9" i="25" s="1"/>
  <c r="AS47" i="25"/>
  <c r="BC62" i="25"/>
  <c r="BE62" i="25" s="1"/>
  <c r="P5" i="25"/>
  <c r="O10" i="25"/>
  <c r="P10" i="25" s="1"/>
  <c r="AF19" i="25"/>
  <c r="P31" i="25"/>
  <c r="AT47" i="25"/>
  <c r="AS57" i="25"/>
  <c r="P61" i="25"/>
  <c r="AG60" i="25"/>
  <c r="O60" i="25" s="1"/>
  <c r="P60" i="25" s="1"/>
  <c r="AS20" i="25"/>
  <c r="BC20" i="25" s="1"/>
  <c r="BD20" i="25" s="1"/>
  <c r="P26" i="25"/>
  <c r="AG9" i="25"/>
  <c r="O9" i="25" s="1"/>
  <c r="P9" i="25" s="1"/>
  <c r="AS10" i="25"/>
  <c r="AS11" i="25"/>
  <c r="BC11" i="25" s="1"/>
  <c r="BD11" i="25" s="1"/>
  <c r="P20" i="25"/>
  <c r="P21" i="25"/>
  <c r="P32" i="25"/>
  <c r="P55" i="25"/>
  <c r="P8" i="25"/>
  <c r="AT10" i="25"/>
  <c r="AS60" i="25"/>
  <c r="AF48" i="25"/>
  <c r="AS67" i="25"/>
  <c r="BC67" i="25" s="1"/>
  <c r="BE67" i="25" s="1"/>
  <c r="BD8" i="25"/>
  <c r="BE8" i="25"/>
  <c r="BE24" i="25"/>
  <c r="BD24" i="25"/>
  <c r="BC32" i="25"/>
  <c r="BD32" i="25" s="1"/>
  <c r="BE46" i="25"/>
  <c r="BD46" i="25"/>
  <c r="BC16" i="25"/>
  <c r="BE16" i="25" s="1"/>
  <c r="BE18" i="25"/>
  <c r="BD18" i="25"/>
  <c r="BE22" i="25"/>
  <c r="BD22" i="25"/>
  <c r="BD33" i="25"/>
  <c r="BC14" i="25"/>
  <c r="BE14" i="25" s="1"/>
  <c r="AT53" i="25"/>
  <c r="AG53" i="25"/>
  <c r="BC66" i="25"/>
  <c r="BD66" i="25" s="1"/>
  <c r="AF12" i="25"/>
  <c r="O12" i="25" s="1"/>
  <c r="P12" i="25" s="1"/>
  <c r="P25" i="25"/>
  <c r="BC28" i="25"/>
  <c r="BD28" i="25" s="1"/>
  <c r="BC29" i="25"/>
  <c r="BE29" i="25" s="1"/>
  <c r="BC31" i="25"/>
  <c r="BE31" i="25" s="1"/>
  <c r="BE35" i="25"/>
  <c r="AF41" i="25"/>
  <c r="O41" i="25" s="1"/>
  <c r="P41" i="25" s="1"/>
  <c r="BD45" i="25"/>
  <c r="BC45" i="25"/>
  <c r="BC48" i="25"/>
  <c r="BE48" i="25" s="1"/>
  <c r="AF53" i="25"/>
  <c r="BD55" i="25"/>
  <c r="O57" i="25"/>
  <c r="P57" i="25" s="1"/>
  <c r="BC65" i="25"/>
  <c r="BE65" i="25" s="1"/>
  <c r="O6" i="25"/>
  <c r="P6" i="25" s="1"/>
  <c r="P14" i="25"/>
  <c r="AG19" i="25"/>
  <c r="BC23" i="25"/>
  <c r="BE23" i="25" s="1"/>
  <c r="BC26" i="25"/>
  <c r="BE26" i="25" s="1"/>
  <c r="P34" i="25"/>
  <c r="AS40" i="25"/>
  <c r="O47" i="25"/>
  <c r="P47" i="25" s="1"/>
  <c r="O59" i="25"/>
  <c r="P59" i="25" s="1"/>
  <c r="O63" i="25"/>
  <c r="P63" i="25" s="1"/>
  <c r="BE66" i="25"/>
  <c r="BC3" i="25"/>
  <c r="BE3" i="25" s="1"/>
  <c r="BC7" i="25"/>
  <c r="BD7" i="25" s="1"/>
  <c r="BC36" i="25"/>
  <c r="BE36" i="25" s="1"/>
  <c r="BD36" i="25"/>
  <c r="BC19" i="25"/>
  <c r="BE19" i="25" s="1"/>
  <c r="BC38" i="25"/>
  <c r="BE38" i="25" s="1"/>
  <c r="BC64" i="25"/>
  <c r="BE64" i="25" s="1"/>
  <c r="AT12" i="25"/>
  <c r="BC12" i="25" s="1"/>
  <c r="BD12" i="25" s="1"/>
  <c r="BE37" i="25"/>
  <c r="BC42" i="25"/>
  <c r="BD42" i="25" s="1"/>
  <c r="BC13" i="25"/>
  <c r="P23" i="25"/>
  <c r="BC25" i="25"/>
  <c r="BE25" i="25" s="1"/>
  <c r="BE27" i="25"/>
  <c r="AF28" i="25"/>
  <c r="O28" i="25" s="1"/>
  <c r="P28" i="25" s="1"/>
  <c r="BC30" i="25"/>
  <c r="BE30" i="25" s="1"/>
  <c r="BC41" i="25"/>
  <c r="BE41" i="25" s="1"/>
  <c r="BC49" i="25"/>
  <c r="BE49" i="25" s="1"/>
  <c r="BE55" i="25"/>
  <c r="BC61" i="25"/>
  <c r="BE61" i="25" s="1"/>
  <c r="BD61" i="25"/>
  <c r="BC39" i="25"/>
  <c r="BE39" i="25" s="1"/>
  <c r="BE2" i="25"/>
  <c r="BC51" i="25"/>
  <c r="BE51" i="25" s="1"/>
  <c r="BE45" i="25"/>
  <c r="BE52" i="25"/>
  <c r="BC4" i="25"/>
  <c r="BE4" i="25" s="1"/>
  <c r="BC6" i="25"/>
  <c r="BE6" i="25" s="1"/>
  <c r="BD6" i="25"/>
  <c r="P29" i="25"/>
  <c r="BC53" i="25"/>
  <c r="BD53" i="25" s="1"/>
  <c r="BC56" i="25"/>
  <c r="BC59" i="25"/>
  <c r="BC63" i="25"/>
  <c r="BE63" i="25" s="1"/>
  <c r="BD63" i="25"/>
  <c r="O3" i="25"/>
  <c r="P3" i="25" s="1"/>
  <c r="P16" i="25"/>
  <c r="BC17" i="25"/>
  <c r="BD17" i="25" s="1"/>
  <c r="P30" i="25"/>
  <c r="BC34" i="25"/>
  <c r="BE34" i="25" s="1"/>
  <c r="O36" i="25"/>
  <c r="P36" i="25" s="1"/>
  <c r="BC37" i="25"/>
  <c r="BD37" i="25" s="1"/>
  <c r="BC44" i="25"/>
  <c r="AF50" i="25"/>
  <c r="O50" i="25" s="1"/>
  <c r="P50" i="25" s="1"/>
  <c r="AS50" i="25"/>
  <c r="O51" i="25"/>
  <c r="P51" i="25" s="1"/>
  <c r="BD51" i="25" l="1"/>
  <c r="BC10" i="25"/>
  <c r="BE10" i="25" s="1"/>
  <c r="O48" i="25"/>
  <c r="P48" i="25" s="1"/>
  <c r="BE15" i="25"/>
  <c r="BE5" i="25"/>
  <c r="BC57" i="25"/>
  <c r="BD57" i="25" s="1"/>
  <c r="BD26" i="25"/>
  <c r="BD14" i="25"/>
  <c r="BE43" i="25"/>
  <c r="BD29" i="25"/>
  <c r="BC47" i="25"/>
  <c r="BE47" i="25" s="1"/>
  <c r="BE32" i="25"/>
  <c r="BE42" i="25"/>
  <c r="O19" i="25"/>
  <c r="P19" i="25" s="1"/>
  <c r="BD48" i="25"/>
  <c r="O53" i="25"/>
  <c r="P53" i="25" s="1"/>
  <c r="BD49" i="25"/>
  <c r="BC60" i="25"/>
  <c r="BD60" i="25" s="1"/>
  <c r="BE58" i="25"/>
  <c r="BD39" i="25"/>
  <c r="BD10" i="25"/>
  <c r="BE20" i="25"/>
  <c r="BD21" i="25"/>
  <c r="BD62" i="25"/>
  <c r="BE54" i="25"/>
  <c r="BE11" i="25"/>
  <c r="BD4" i="25"/>
  <c r="BD13" i="25"/>
  <c r="BE13" i="25"/>
  <c r="BD67" i="25"/>
  <c r="BD9" i="25"/>
  <c r="BE9" i="25"/>
  <c r="BC40" i="25"/>
  <c r="BD40" i="25" s="1"/>
  <c r="BE53" i="25"/>
  <c r="BE44" i="25"/>
  <c r="BD44" i="25"/>
  <c r="BD19" i="25"/>
  <c r="BD25" i="25"/>
  <c r="BD16" i="25"/>
  <c r="BD34" i="25"/>
  <c r="BD64" i="25"/>
  <c r="BE7" i="25"/>
  <c r="BD31" i="25"/>
  <c r="BE17" i="25"/>
  <c r="BD41" i="25"/>
  <c r="BD65" i="25"/>
  <c r="BD56" i="25"/>
  <c r="BE56" i="25"/>
  <c r="BC50" i="25"/>
  <c r="BD50" i="25" s="1"/>
  <c r="BD3" i="25"/>
  <c r="BE12" i="25"/>
  <c r="BE59" i="25"/>
  <c r="BD59" i="25"/>
  <c r="BD30" i="25"/>
  <c r="BD38" i="25"/>
  <c r="BD23" i="25"/>
  <c r="BE28" i="25"/>
  <c r="AT3" i="11"/>
  <c r="AT4" i="11"/>
  <c r="AT5" i="11"/>
  <c r="AT6" i="11"/>
  <c r="AT7" i="11"/>
  <c r="AT60" i="11"/>
  <c r="AT10" i="11"/>
  <c r="AT12" i="11"/>
  <c r="AT13" i="11"/>
  <c r="AT14" i="11"/>
  <c r="AT15" i="11"/>
  <c r="AT16" i="11"/>
  <c r="AT17" i="11"/>
  <c r="AT19" i="11"/>
  <c r="AT20" i="11"/>
  <c r="AT21" i="11"/>
  <c r="AT22" i="11"/>
  <c r="AT23" i="11"/>
  <c r="AT24" i="11"/>
  <c r="AT25" i="11"/>
  <c r="AT61" i="11"/>
  <c r="AT26" i="11"/>
  <c r="AT27" i="11"/>
  <c r="AT28" i="11"/>
  <c r="AT29" i="11"/>
  <c r="AT30" i="11"/>
  <c r="AT32" i="11"/>
  <c r="AT33" i="11"/>
  <c r="AT34" i="11"/>
  <c r="AT35" i="11"/>
  <c r="AT36" i="11"/>
  <c r="AT37" i="11"/>
  <c r="AT38" i="11"/>
  <c r="AT39" i="11"/>
  <c r="AT40" i="11"/>
  <c r="AT41" i="11"/>
  <c r="AT42" i="11"/>
  <c r="AT43" i="11"/>
  <c r="AT46" i="11"/>
  <c r="AT47" i="11"/>
  <c r="AT48" i="11"/>
  <c r="AT49" i="11"/>
  <c r="AT52" i="11"/>
  <c r="AT56" i="11"/>
  <c r="AT58" i="11"/>
  <c r="AT59" i="11"/>
  <c r="AT62" i="11"/>
  <c r="AT63" i="11"/>
  <c r="AT64" i="11"/>
  <c r="AT65" i="11"/>
  <c r="AT66" i="11"/>
  <c r="AS3" i="11"/>
  <c r="AS4" i="11"/>
  <c r="AS5" i="11"/>
  <c r="AS6" i="11"/>
  <c r="AS7" i="11"/>
  <c r="AS60" i="11"/>
  <c r="AS12" i="11"/>
  <c r="AS13" i="11"/>
  <c r="AS14" i="11"/>
  <c r="AS15" i="11"/>
  <c r="AS16" i="11"/>
  <c r="AS21" i="11"/>
  <c r="AS23" i="11"/>
  <c r="AS24" i="11"/>
  <c r="AS25" i="11"/>
  <c r="AS61" i="11"/>
  <c r="AS27" i="11"/>
  <c r="AS28" i="11"/>
  <c r="AS29" i="11"/>
  <c r="AS31" i="11"/>
  <c r="AS32" i="11"/>
  <c r="AS33" i="11"/>
  <c r="AS34" i="11"/>
  <c r="AS35" i="11"/>
  <c r="AS36" i="11"/>
  <c r="AS39" i="11"/>
  <c r="AS42" i="11"/>
  <c r="AS43" i="11"/>
  <c r="AS46" i="11"/>
  <c r="AS48" i="11"/>
  <c r="AS49" i="11"/>
  <c r="AS52" i="11"/>
  <c r="AS53" i="11"/>
  <c r="AS56" i="11"/>
  <c r="AS58" i="11"/>
  <c r="AS59" i="11"/>
  <c r="AS62" i="11"/>
  <c r="AS63" i="11"/>
  <c r="AS64" i="11"/>
  <c r="AS65" i="11"/>
  <c r="AS2" i="11"/>
  <c r="AF3" i="11"/>
  <c r="AL4" i="11"/>
  <c r="AM4" i="11"/>
  <c r="AF5" i="11"/>
  <c r="AG5" i="11"/>
  <c r="AF7" i="11"/>
  <c r="AG7" i="11"/>
  <c r="AH8" i="11"/>
  <c r="AI8" i="11"/>
  <c r="AH9" i="11"/>
  <c r="AI9" i="11"/>
  <c r="AF10" i="11"/>
  <c r="AG10" i="11"/>
  <c r="AH10" i="11"/>
  <c r="AH11" i="11"/>
  <c r="AI11" i="11"/>
  <c r="AF12" i="11"/>
  <c r="AG12" i="11"/>
  <c r="AF14" i="11"/>
  <c r="AG14" i="11"/>
  <c r="AF15" i="11"/>
  <c r="Z15" i="11" s="1"/>
  <c r="AF16" i="11"/>
  <c r="AG16" i="11"/>
  <c r="AH18" i="11"/>
  <c r="AI18" i="11"/>
  <c r="AH19" i="11"/>
  <c r="AK19" i="11"/>
  <c r="AF20" i="11"/>
  <c r="Z20" i="11" s="1"/>
  <c r="AH20" i="11"/>
  <c r="Z21" i="11"/>
  <c r="AH22" i="11"/>
  <c r="AK22" i="11"/>
  <c r="AU22" i="11" s="1"/>
  <c r="AF24" i="11"/>
  <c r="Z24" i="11" s="1"/>
  <c r="AG25" i="11"/>
  <c r="AL25" i="11"/>
  <c r="AV25" i="11" s="1"/>
  <c r="AM25" i="11"/>
  <c r="AW25" i="11" s="1"/>
  <c r="AQ61" i="11"/>
  <c r="AG26" i="11"/>
  <c r="AH26" i="11"/>
  <c r="AL26" i="11"/>
  <c r="AV26" i="11" s="1"/>
  <c r="AF27" i="11"/>
  <c r="AG27" i="11"/>
  <c r="AF28" i="11"/>
  <c r="AO28" i="11"/>
  <c r="AP28" i="11"/>
  <c r="AP68" i="11" s="1"/>
  <c r="AF29" i="11"/>
  <c r="AG29" i="11"/>
  <c r="AF30" i="11"/>
  <c r="AG30" i="11"/>
  <c r="AH30" i="11"/>
  <c r="AL30" i="11"/>
  <c r="AV30" i="11" s="1"/>
  <c r="AI31" i="11"/>
  <c r="AF32" i="11"/>
  <c r="Z32" i="11" s="1"/>
  <c r="AF33" i="11"/>
  <c r="Z33" i="11" s="1"/>
  <c r="AF36" i="11"/>
  <c r="AG36" i="11"/>
  <c r="AF37" i="11"/>
  <c r="AH37" i="11"/>
  <c r="AF38" i="11"/>
  <c r="AH38" i="11"/>
  <c r="AF39" i="11"/>
  <c r="Z39" i="11" s="1"/>
  <c r="AF40" i="11"/>
  <c r="AH40" i="11"/>
  <c r="AR42" i="11"/>
  <c r="AR43" i="11"/>
  <c r="AH44" i="11"/>
  <c r="AI44" i="11"/>
  <c r="AH45" i="11"/>
  <c r="AI45" i="11"/>
  <c r="AJ45" i="11"/>
  <c r="AO45" i="11"/>
  <c r="AF46" i="11"/>
  <c r="Z46" i="11" s="1"/>
  <c r="AF47" i="11"/>
  <c r="Z47" i="11" s="1"/>
  <c r="AH47" i="11"/>
  <c r="AF48" i="11"/>
  <c r="Z48" i="11" s="1"/>
  <c r="AH50" i="11"/>
  <c r="AI50" i="11"/>
  <c r="AH51" i="11"/>
  <c r="AI51" i="11"/>
  <c r="AF52" i="11"/>
  <c r="Z52" i="11" s="1"/>
  <c r="AI53" i="11"/>
  <c r="AJ53" i="11"/>
  <c r="AH54" i="11"/>
  <c r="AI54" i="11"/>
  <c r="AH55" i="11"/>
  <c r="AI55" i="11"/>
  <c r="AL56" i="11"/>
  <c r="AH57" i="11"/>
  <c r="AI57" i="11"/>
  <c r="AF58" i="11"/>
  <c r="AG58" i="11"/>
  <c r="AF59" i="11"/>
  <c r="Z59" i="11" s="1"/>
  <c r="AF62" i="11"/>
  <c r="AG62" i="11"/>
  <c r="AF63" i="11"/>
  <c r="Z63" i="11" s="1"/>
  <c r="Z64" i="11"/>
  <c r="AF66" i="11"/>
  <c r="AG66" i="11"/>
  <c r="AH66" i="11"/>
  <c r="AL66" i="11"/>
  <c r="AV66" i="11" s="1"/>
  <c r="Y10" i="11"/>
  <c r="AC10" i="11" s="1"/>
  <c r="AO68" i="11" l="1"/>
  <c r="AR68" i="11"/>
  <c r="AW4" i="11"/>
  <c r="AW68" i="11" s="1"/>
  <c r="AM68" i="11"/>
  <c r="AL68" i="11"/>
  <c r="AI68" i="11"/>
  <c r="Z3" i="11"/>
  <c r="AF68" i="11"/>
  <c r="AU19" i="11"/>
  <c r="AU68" i="11" s="1"/>
  <c r="AK68" i="11"/>
  <c r="AJ68" i="11"/>
  <c r="AH68" i="11"/>
  <c r="BA61" i="11"/>
  <c r="AA61" i="11" s="1"/>
  <c r="AQ68" i="11"/>
  <c r="AG68" i="11"/>
  <c r="BC52" i="11"/>
  <c r="BC24" i="11"/>
  <c r="BC64" i="11"/>
  <c r="BC46" i="11"/>
  <c r="BC63" i="11"/>
  <c r="BC33" i="11"/>
  <c r="BC39" i="11"/>
  <c r="BC15" i="11"/>
  <c r="BC48" i="11"/>
  <c r="BC47" i="11"/>
  <c r="BC21" i="11"/>
  <c r="BC32" i="11"/>
  <c r="BC59" i="11"/>
  <c r="BC20" i="11"/>
  <c r="AV68" i="11"/>
  <c r="I25" i="26" s="1"/>
  <c r="BA68" i="11"/>
  <c r="BC3" i="11"/>
  <c r="BE57" i="25"/>
  <c r="BE60" i="25"/>
  <c r="BD47" i="25"/>
  <c r="AA42" i="11"/>
  <c r="BB42" i="11"/>
  <c r="BB68" i="11" s="1"/>
  <c r="Z58" i="11"/>
  <c r="AA25" i="11"/>
  <c r="Z14" i="11"/>
  <c r="AS10" i="11"/>
  <c r="AA10" i="11"/>
  <c r="AS20" i="11"/>
  <c r="AA20" i="11"/>
  <c r="Z7" i="11"/>
  <c r="AS66" i="11"/>
  <c r="AA66" i="11"/>
  <c r="AS47" i="11"/>
  <c r="AA47" i="11"/>
  <c r="AS30" i="11"/>
  <c r="AA30" i="11"/>
  <c r="AS19" i="11"/>
  <c r="AA19" i="11"/>
  <c r="AS40" i="11"/>
  <c r="AA40" i="11"/>
  <c r="AS37" i="11"/>
  <c r="AA37" i="11"/>
  <c r="AS26" i="11"/>
  <c r="AA26" i="11"/>
  <c r="AS22" i="11"/>
  <c r="AA22" i="11"/>
  <c r="AS38" i="11"/>
  <c r="AA38" i="11"/>
  <c r="AT57" i="11"/>
  <c r="AA57" i="11"/>
  <c r="Z5" i="11"/>
  <c r="Z36" i="11"/>
  <c r="Z30" i="11"/>
  <c r="Z12" i="11"/>
  <c r="AT8" i="11"/>
  <c r="AA8" i="11"/>
  <c r="Z66" i="11"/>
  <c r="AT18" i="11"/>
  <c r="AA18" i="11"/>
  <c r="AT55" i="11"/>
  <c r="AA55" i="11"/>
  <c r="AT11" i="11"/>
  <c r="AA11" i="11"/>
  <c r="Z62" i="11"/>
  <c r="AT50" i="11"/>
  <c r="AA50" i="11"/>
  <c r="AT45" i="11"/>
  <c r="AA45" i="11"/>
  <c r="Z29" i="11"/>
  <c r="Z16" i="11"/>
  <c r="AT54" i="11"/>
  <c r="AA54" i="11"/>
  <c r="Z27" i="11"/>
  <c r="AT44" i="11"/>
  <c r="AA44" i="11"/>
  <c r="BE50" i="25"/>
  <c r="BE40" i="25"/>
  <c r="AB10" i="11" l="1"/>
  <c r="AE10" i="11" s="1"/>
  <c r="AD10" i="11"/>
  <c r="BC12" i="11"/>
  <c r="BC58" i="11"/>
  <c r="BC16" i="11"/>
  <c r="BC7" i="11"/>
  <c r="BC29" i="11"/>
  <c r="BC5" i="11"/>
  <c r="BC27" i="11"/>
  <c r="BC66" i="11"/>
  <c r="BC14" i="11"/>
  <c r="BC30" i="11"/>
  <c r="BC36" i="11"/>
  <c r="BC62" i="11"/>
  <c r="J53" i="26"/>
  <c r="J54" i="26"/>
  <c r="J23" i="26"/>
  <c r="J29" i="26"/>
  <c r="J6" i="26"/>
  <c r="J38" i="26"/>
  <c r="J16" i="26"/>
  <c r="J24" i="26"/>
  <c r="J32" i="26"/>
  <c r="J48" i="26"/>
  <c r="J9" i="26"/>
  <c r="J25" i="26"/>
  <c r="J7" i="26"/>
  <c r="J39" i="26"/>
  <c r="J47" i="26"/>
  <c r="J45" i="26"/>
  <c r="J46" i="26"/>
  <c r="J15" i="26"/>
  <c r="J56" i="26"/>
  <c r="J64" i="26"/>
  <c r="J28" i="26"/>
  <c r="J34" i="26"/>
  <c r="J8" i="26"/>
  <c r="J3" i="26"/>
  <c r="J21" i="26"/>
  <c r="J11" i="26"/>
  <c r="J65" i="26"/>
  <c r="J35" i="26"/>
  <c r="J10" i="26"/>
  <c r="J50" i="26"/>
  <c r="J44" i="26"/>
  <c r="J5" i="26"/>
  <c r="J55" i="26"/>
  <c r="J14" i="26"/>
  <c r="J43" i="26"/>
  <c r="J59" i="26"/>
  <c r="J41" i="26"/>
  <c r="J33" i="26"/>
  <c r="J26" i="26"/>
  <c r="J61" i="26"/>
  <c r="J58" i="26"/>
  <c r="J57" i="26"/>
  <c r="J12" i="26"/>
  <c r="J18" i="26"/>
  <c r="J27" i="26"/>
  <c r="J60" i="26"/>
  <c r="J62" i="26"/>
  <c r="J17" i="26"/>
  <c r="J31" i="26"/>
  <c r="J36" i="26"/>
  <c r="J37" i="26"/>
  <c r="J2" i="26"/>
  <c r="J52" i="26"/>
  <c r="J13" i="26"/>
  <c r="J66" i="26"/>
  <c r="J49" i="26"/>
  <c r="J63" i="26"/>
  <c r="J51" i="26"/>
  <c r="J42" i="26"/>
  <c r="J30" i="26"/>
  <c r="J4" i="26"/>
  <c r="J20" i="26"/>
  <c r="J40" i="26"/>
  <c r="H9" i="26"/>
  <c r="H17" i="26"/>
  <c r="H25" i="26"/>
  <c r="H33" i="26"/>
  <c r="H41" i="26"/>
  <c r="H49" i="26"/>
  <c r="H57" i="26"/>
  <c r="H65" i="26"/>
  <c r="H43" i="26"/>
  <c r="H20" i="26"/>
  <c r="H44" i="26"/>
  <c r="H29" i="26"/>
  <c r="H10" i="26"/>
  <c r="H18" i="26"/>
  <c r="H26" i="26"/>
  <c r="H34" i="26"/>
  <c r="H42" i="26"/>
  <c r="H50" i="26"/>
  <c r="H58" i="26"/>
  <c r="H66" i="26"/>
  <c r="H3" i="26"/>
  <c r="H11" i="26"/>
  <c r="H19" i="26"/>
  <c r="H35" i="26"/>
  <c r="H51" i="26"/>
  <c r="H59" i="26"/>
  <c r="H4" i="26"/>
  <c r="H28" i="26"/>
  <c r="H52" i="26"/>
  <c r="H13" i="26"/>
  <c r="H53" i="26"/>
  <c r="H7" i="26"/>
  <c r="H15" i="26"/>
  <c r="H23" i="26"/>
  <c r="H31" i="26"/>
  <c r="H39" i="26"/>
  <c r="H47" i="26"/>
  <c r="H55" i="26"/>
  <c r="H63" i="26"/>
  <c r="H5" i="26"/>
  <c r="H37" i="26"/>
  <c r="H8" i="26"/>
  <c r="H16" i="26"/>
  <c r="H24" i="26"/>
  <c r="H32" i="26"/>
  <c r="H40" i="26"/>
  <c r="H48" i="26"/>
  <c r="H56" i="26"/>
  <c r="H64" i="26"/>
  <c r="H27" i="26"/>
  <c r="H2" i="26"/>
  <c r="H12" i="26"/>
  <c r="H36" i="26"/>
  <c r="H60" i="26"/>
  <c r="H21" i="26"/>
  <c r="H45" i="26"/>
  <c r="H54" i="26"/>
  <c r="H30" i="26"/>
  <c r="H62" i="26"/>
  <c r="H22" i="26"/>
  <c r="H6" i="26"/>
  <c r="H14" i="26"/>
  <c r="H38" i="26"/>
  <c r="H46" i="26"/>
  <c r="I30" i="26"/>
  <c r="H61" i="26"/>
  <c r="J22" i="26"/>
  <c r="I43" i="26"/>
  <c r="I51" i="26"/>
  <c r="I4" i="26"/>
  <c r="I56" i="26"/>
  <c r="I9" i="26"/>
  <c r="I53" i="26"/>
  <c r="I31" i="26"/>
  <c r="I23" i="26"/>
  <c r="I50" i="26"/>
  <c r="I60" i="26"/>
  <c r="I15" i="26"/>
  <c r="I27" i="26"/>
  <c r="I47" i="26"/>
  <c r="I29" i="26"/>
  <c r="I22" i="26"/>
  <c r="I35" i="26"/>
  <c r="I21" i="26"/>
  <c r="I7" i="26"/>
  <c r="I2" i="26"/>
  <c r="I3" i="26"/>
  <c r="I63" i="26"/>
  <c r="I16" i="26"/>
  <c r="I65" i="26"/>
  <c r="I37" i="26"/>
  <c r="I58" i="26"/>
  <c r="I39" i="26"/>
  <c r="I32" i="26"/>
  <c r="I55" i="26"/>
  <c r="I12" i="26"/>
  <c r="I6" i="26"/>
  <c r="I61" i="26"/>
  <c r="I46" i="26"/>
  <c r="I48" i="26"/>
  <c r="I13" i="26"/>
  <c r="I42" i="26"/>
  <c r="I24" i="26"/>
  <c r="I40" i="26"/>
  <c r="I44" i="26"/>
  <c r="I17" i="26"/>
  <c r="I38" i="26"/>
  <c r="I19" i="26"/>
  <c r="I20" i="26"/>
  <c r="I5" i="26"/>
  <c r="I34" i="26"/>
  <c r="I36" i="26"/>
  <c r="I57" i="26"/>
  <c r="I64" i="26"/>
  <c r="I59" i="26"/>
  <c r="I45" i="26"/>
  <c r="I10" i="26"/>
  <c r="I18" i="26"/>
  <c r="I49" i="26"/>
  <c r="I33" i="26"/>
  <c r="I14" i="26"/>
  <c r="I8" i="26"/>
  <c r="I54" i="26"/>
  <c r="I28" i="26"/>
  <c r="I11" i="26"/>
  <c r="I62" i="26"/>
  <c r="I41" i="26"/>
  <c r="I52" i="26"/>
  <c r="I66" i="26"/>
  <c r="I26" i="26"/>
  <c r="J19" i="26"/>
  <c r="AS68" i="11"/>
  <c r="F26" i="26" s="1"/>
  <c r="AT68" i="11"/>
  <c r="G45" i="26" s="1"/>
  <c r="Z68" i="11"/>
  <c r="E66" i="26" s="1"/>
  <c r="AA68" i="11"/>
  <c r="C10" i="20"/>
  <c r="C9" i="20"/>
  <c r="BC68" i="11" l="1"/>
  <c r="E62" i="26"/>
  <c r="E36" i="26"/>
  <c r="E27" i="26"/>
  <c r="E16" i="26"/>
  <c r="E30" i="26"/>
  <c r="E5" i="26"/>
  <c r="E58" i="26"/>
  <c r="E11" i="26"/>
  <c r="E19" i="26"/>
  <c r="E35" i="26"/>
  <c r="E43" i="26"/>
  <c r="E51" i="26"/>
  <c r="E2" i="26"/>
  <c r="E42" i="26"/>
  <c r="E4" i="26"/>
  <c r="E28" i="26"/>
  <c r="E44" i="26"/>
  <c r="E60" i="26"/>
  <c r="E31" i="26"/>
  <c r="E10" i="26"/>
  <c r="E37" i="26"/>
  <c r="E45" i="26"/>
  <c r="E53" i="26"/>
  <c r="E61" i="26"/>
  <c r="E26" i="26"/>
  <c r="E6" i="26"/>
  <c r="E22" i="26"/>
  <c r="E38" i="26"/>
  <c r="E54" i="26"/>
  <c r="E23" i="26"/>
  <c r="E18" i="26"/>
  <c r="E55" i="26"/>
  <c r="E50" i="26"/>
  <c r="E8" i="26"/>
  <c r="E40" i="26"/>
  <c r="E56" i="26"/>
  <c r="E9" i="26"/>
  <c r="E17" i="26"/>
  <c r="E25" i="26"/>
  <c r="E41" i="26"/>
  <c r="E49" i="26"/>
  <c r="E57" i="26"/>
  <c r="E34" i="26"/>
  <c r="E13" i="26"/>
  <c r="E65" i="26"/>
  <c r="E3" i="26"/>
  <c r="E46" i="26"/>
  <c r="E15" i="26"/>
  <c r="E32" i="26"/>
  <c r="E33" i="26"/>
  <c r="E64" i="26"/>
  <c r="E52" i="26"/>
  <c r="E63" i="26"/>
  <c r="E59" i="26"/>
  <c r="E24" i="26"/>
  <c r="E39" i="26"/>
  <c r="E48" i="26"/>
  <c r="E20" i="26"/>
  <c r="E21" i="26"/>
  <c r="E47" i="26"/>
  <c r="F66" i="26"/>
  <c r="E14" i="26"/>
  <c r="E29" i="26"/>
  <c r="E12" i="26"/>
  <c r="E7" i="26"/>
  <c r="F55" i="26"/>
  <c r="F41" i="26"/>
  <c r="F18" i="26"/>
  <c r="F50" i="26"/>
  <c r="F11" i="26"/>
  <c r="F8" i="26"/>
  <c r="F9" i="26"/>
  <c r="F45" i="26"/>
  <c r="F54" i="26"/>
  <c r="F17" i="26"/>
  <c r="F57" i="26"/>
  <c r="F51" i="26"/>
  <c r="F44" i="26"/>
  <c r="F34" i="26"/>
  <c r="F36" i="26"/>
  <c r="F28" i="26"/>
  <c r="F39" i="26"/>
  <c r="F15" i="26"/>
  <c r="F31" i="26"/>
  <c r="F25" i="26"/>
  <c r="F62" i="26"/>
  <c r="F7" i="26"/>
  <c r="F14" i="26"/>
  <c r="F6" i="26"/>
  <c r="F65" i="26"/>
  <c r="F12" i="26"/>
  <c r="F27" i="26"/>
  <c r="F46" i="26"/>
  <c r="F42" i="26"/>
  <c r="F48" i="26"/>
  <c r="F29" i="26"/>
  <c r="F33" i="26"/>
  <c r="F2" i="26"/>
  <c r="F58" i="26"/>
  <c r="F52" i="26"/>
  <c r="F43" i="26"/>
  <c r="F24" i="26"/>
  <c r="F56" i="26"/>
  <c r="F63" i="26"/>
  <c r="F32" i="26"/>
  <c r="F61" i="26"/>
  <c r="F23" i="26"/>
  <c r="F16" i="26"/>
  <c r="F59" i="26"/>
  <c r="F35" i="26"/>
  <c r="F53" i="26"/>
  <c r="F64" i="26"/>
  <c r="F4" i="26"/>
  <c r="F60" i="26"/>
  <c r="F5" i="26"/>
  <c r="F21" i="26"/>
  <c r="F13" i="26"/>
  <c r="F3" i="26"/>
  <c r="F49" i="26"/>
  <c r="F19" i="26"/>
  <c r="F47" i="26"/>
  <c r="F20" i="26"/>
  <c r="G55" i="26"/>
  <c r="F30" i="26"/>
  <c r="G8" i="26"/>
  <c r="F10" i="26"/>
  <c r="F40" i="26"/>
  <c r="F37" i="26"/>
  <c r="G51" i="26"/>
  <c r="G9" i="26"/>
  <c r="G31" i="26"/>
  <c r="G53" i="26"/>
  <c r="G2" i="26"/>
  <c r="G27" i="26"/>
  <c r="G59" i="26"/>
  <c r="G36" i="26"/>
  <c r="G52" i="26"/>
  <c r="G33" i="26"/>
  <c r="G14" i="26"/>
  <c r="G13" i="26"/>
  <c r="G37" i="26"/>
  <c r="G19" i="26"/>
  <c r="G25" i="26"/>
  <c r="G15" i="26"/>
  <c r="G49" i="26"/>
  <c r="G16" i="26"/>
  <c r="G7" i="26"/>
  <c r="G38" i="26"/>
  <c r="G20" i="26"/>
  <c r="G43" i="26"/>
  <c r="G17" i="26"/>
  <c r="G40" i="26"/>
  <c r="G6" i="26"/>
  <c r="G4" i="26"/>
  <c r="G3" i="26"/>
  <c r="G56" i="26"/>
  <c r="G28" i="26"/>
  <c r="G64" i="26"/>
  <c r="G60" i="26"/>
  <c r="G39" i="26"/>
  <c r="G10" i="26"/>
  <c r="G35" i="26"/>
  <c r="G32" i="26"/>
  <c r="G62" i="26"/>
  <c r="G21" i="26"/>
  <c r="G34" i="26"/>
  <c r="G46" i="26"/>
  <c r="G5" i="26"/>
  <c r="G66" i="26"/>
  <c r="G48" i="26"/>
  <c r="G26" i="26"/>
  <c r="G41" i="26"/>
  <c r="G24" i="26"/>
  <c r="G58" i="26"/>
  <c r="G65" i="26"/>
  <c r="G12" i="26"/>
  <c r="G30" i="26"/>
  <c r="G29" i="26"/>
  <c r="G42" i="26"/>
  <c r="G63" i="26"/>
  <c r="G23" i="26"/>
  <c r="G61" i="26"/>
  <c r="G22" i="26"/>
  <c r="G47" i="26"/>
  <c r="F22" i="26"/>
  <c r="F38" i="26"/>
  <c r="G18" i="26"/>
  <c r="G54" i="26"/>
  <c r="G44" i="26"/>
  <c r="G11" i="26"/>
  <c r="G57" i="26"/>
  <c r="G50" i="26"/>
  <c r="Y66" i="11"/>
  <c r="AB66" i="11" l="1"/>
  <c r="AE66" i="11" s="1"/>
  <c r="AD66" i="11"/>
  <c r="AC66" i="11"/>
  <c r="Y65" i="11"/>
  <c r="Y64" i="11"/>
  <c r="Y63" i="11"/>
  <c r="Y62" i="11"/>
  <c r="Y57" i="11"/>
  <c r="Y59" i="11"/>
  <c r="Y58" i="11"/>
  <c r="Y55" i="11"/>
  <c r="Y54" i="11"/>
  <c r="Y52" i="11"/>
  <c r="Y50" i="11"/>
  <c r="Y49" i="11"/>
  <c r="Y48" i="11"/>
  <c r="Y47" i="11"/>
  <c r="Y46" i="11"/>
  <c r="Y45" i="11"/>
  <c r="Y44" i="11"/>
  <c r="Y42" i="11"/>
  <c r="Y41" i="11"/>
  <c r="Y40" i="11"/>
  <c r="Y39" i="11"/>
  <c r="Y38" i="11"/>
  <c r="Y37" i="11"/>
  <c r="Y36" i="11"/>
  <c r="Y35" i="11"/>
  <c r="Y61" i="11"/>
  <c r="Y34" i="11"/>
  <c r="Y33" i="11"/>
  <c r="Y32" i="11"/>
  <c r="Y30" i="11"/>
  <c r="Y29" i="11"/>
  <c r="Y28" i="11"/>
  <c r="Y27" i="11"/>
  <c r="Y26" i="11"/>
  <c r="Y25" i="11"/>
  <c r="Y24" i="11"/>
  <c r="Y22" i="11"/>
  <c r="Y21" i="11"/>
  <c r="Y20" i="11"/>
  <c r="Y19" i="11"/>
  <c r="Y18" i="11"/>
  <c r="Y17" i="11"/>
  <c r="Y16" i="11"/>
  <c r="Y15" i="11"/>
  <c r="Y14" i="11"/>
  <c r="Y13" i="11"/>
  <c r="Y12" i="11"/>
  <c r="Y11" i="11"/>
  <c r="Y8" i="11"/>
  <c r="AB60" i="11"/>
  <c r="AE60" i="11" s="1"/>
  <c r="Y7" i="11"/>
  <c r="Y6" i="11"/>
  <c r="Y5" i="11"/>
  <c r="Y3" i="11"/>
  <c r="Y2" i="11"/>
  <c r="AB22" i="11" l="1"/>
  <c r="AC22" i="11"/>
  <c r="AD22" i="11"/>
  <c r="AB48" i="11"/>
  <c r="AE48" i="11" s="1"/>
  <c r="AD48" i="11"/>
  <c r="AC48" i="11"/>
  <c r="AB24" i="11"/>
  <c r="AE24" i="11" s="1"/>
  <c r="AD24" i="11"/>
  <c r="AC24" i="11"/>
  <c r="AB62" i="11"/>
  <c r="AE62" i="11" s="1"/>
  <c r="AD62" i="11"/>
  <c r="AC62" i="11"/>
  <c r="AB34" i="11"/>
  <c r="AE34" i="11" s="1"/>
  <c r="AD34" i="11"/>
  <c r="AC34" i="11"/>
  <c r="AB50" i="11"/>
  <c r="AE50" i="11" s="1"/>
  <c r="AC50" i="11"/>
  <c r="AD50" i="11"/>
  <c r="AB17" i="11"/>
  <c r="AE17" i="11" s="1"/>
  <c r="AC17" i="11"/>
  <c r="AD17" i="11"/>
  <c r="AB64" i="11"/>
  <c r="AE64" i="11" s="1"/>
  <c r="AD64" i="11"/>
  <c r="AC64" i="11"/>
  <c r="AB27" i="11"/>
  <c r="AE27" i="11" s="1"/>
  <c r="AD27" i="11"/>
  <c r="AC27" i="11"/>
  <c r="AB44" i="11"/>
  <c r="AE44" i="11" s="1"/>
  <c r="AC44" i="11"/>
  <c r="AD44" i="11"/>
  <c r="AB65" i="11"/>
  <c r="AE65" i="11" s="1"/>
  <c r="AD65" i="11"/>
  <c r="AC65" i="11"/>
  <c r="AB14" i="11"/>
  <c r="AE14" i="11" s="1"/>
  <c r="AD14" i="11"/>
  <c r="AC14" i="11"/>
  <c r="AB39" i="11"/>
  <c r="AE39" i="11" s="1"/>
  <c r="AD39" i="11"/>
  <c r="AC39" i="11"/>
  <c r="AB15" i="11"/>
  <c r="AE15" i="11" s="1"/>
  <c r="AD15" i="11"/>
  <c r="AC15" i="11"/>
  <c r="AB33" i="11"/>
  <c r="AE33" i="11" s="1"/>
  <c r="AD33" i="11"/>
  <c r="AC33" i="11"/>
  <c r="AB7" i="11"/>
  <c r="AE7" i="11" s="1"/>
  <c r="AD7" i="11"/>
  <c r="AC7" i="11"/>
  <c r="AB25" i="11"/>
  <c r="AE25" i="11" s="1"/>
  <c r="AC25" i="11"/>
  <c r="AD25" i="11"/>
  <c r="AB41" i="11"/>
  <c r="AE41" i="11" s="1"/>
  <c r="AC41" i="11"/>
  <c r="AD41" i="11"/>
  <c r="AB26" i="11"/>
  <c r="AE26" i="11" s="1"/>
  <c r="AC26" i="11"/>
  <c r="AD26" i="11"/>
  <c r="AB52" i="11"/>
  <c r="AE52" i="11" s="1"/>
  <c r="AD52" i="11"/>
  <c r="AC52" i="11"/>
  <c r="AB8" i="11"/>
  <c r="AE8" i="11" s="1"/>
  <c r="AC8" i="11"/>
  <c r="AD8" i="11"/>
  <c r="AB18" i="11"/>
  <c r="AE18" i="11" s="1"/>
  <c r="AC18" i="11"/>
  <c r="AD18" i="11"/>
  <c r="AB35" i="11"/>
  <c r="AE35" i="11" s="1"/>
  <c r="AD35" i="11"/>
  <c r="AC35" i="11"/>
  <c r="AB54" i="11"/>
  <c r="AE54" i="11" s="1"/>
  <c r="AC54" i="11"/>
  <c r="AD54" i="11"/>
  <c r="AB11" i="11"/>
  <c r="AE11" i="11" s="1"/>
  <c r="AC11" i="11"/>
  <c r="AD11" i="11"/>
  <c r="AB19" i="11"/>
  <c r="AE19" i="11" s="1"/>
  <c r="AC19" i="11"/>
  <c r="AD19" i="11"/>
  <c r="AB28" i="11"/>
  <c r="AE28" i="11" s="1"/>
  <c r="AC28" i="11"/>
  <c r="AD28" i="11"/>
  <c r="AB36" i="11"/>
  <c r="AE36" i="11" s="1"/>
  <c r="AD36" i="11"/>
  <c r="AC36" i="11"/>
  <c r="AB45" i="11"/>
  <c r="AE45" i="11" s="1"/>
  <c r="AC45" i="11"/>
  <c r="AD45" i="11"/>
  <c r="AB55" i="11"/>
  <c r="AE55" i="11" s="1"/>
  <c r="AC55" i="11"/>
  <c r="AD55" i="11"/>
  <c r="AB5" i="11"/>
  <c r="AE5" i="11" s="1"/>
  <c r="AD5" i="11"/>
  <c r="AC5" i="11"/>
  <c r="AB57" i="11"/>
  <c r="AE57" i="11" s="1"/>
  <c r="AC57" i="11"/>
  <c r="AD57" i="11"/>
  <c r="AB40" i="11"/>
  <c r="AE40" i="11" s="1"/>
  <c r="AC40" i="11"/>
  <c r="AD40" i="11"/>
  <c r="AB16" i="11"/>
  <c r="AE16" i="11" s="1"/>
  <c r="AD16" i="11"/>
  <c r="AC16" i="11"/>
  <c r="AB63" i="11"/>
  <c r="AE63" i="11" s="1"/>
  <c r="AD63" i="11"/>
  <c r="AC63" i="11"/>
  <c r="AB61" i="11"/>
  <c r="AE61" i="11" s="1"/>
  <c r="AC61" i="11"/>
  <c r="AD61" i="11"/>
  <c r="AB20" i="11"/>
  <c r="AE20" i="11" s="1"/>
  <c r="AC20" i="11"/>
  <c r="AD20" i="11"/>
  <c r="AB37" i="11"/>
  <c r="AE37" i="11" s="1"/>
  <c r="AC37" i="11"/>
  <c r="AD37" i="11"/>
  <c r="AB46" i="11"/>
  <c r="AE46" i="11" s="1"/>
  <c r="AD46" i="11"/>
  <c r="AC46" i="11"/>
  <c r="AB58" i="11"/>
  <c r="AE58" i="11" s="1"/>
  <c r="AD58" i="11"/>
  <c r="AC58" i="11"/>
  <c r="AB32" i="11"/>
  <c r="AE32" i="11" s="1"/>
  <c r="AD32" i="11"/>
  <c r="AC32" i="11"/>
  <c r="AB6" i="11"/>
  <c r="AE6" i="11" s="1"/>
  <c r="AD6" i="11"/>
  <c r="AC6" i="11"/>
  <c r="AB49" i="11"/>
  <c r="AE49" i="11" s="1"/>
  <c r="AC49" i="11"/>
  <c r="AD49" i="11"/>
  <c r="AB42" i="11"/>
  <c r="AE42" i="11" s="1"/>
  <c r="AC42" i="11"/>
  <c r="AC2" i="11"/>
  <c r="AD2" i="11"/>
  <c r="AB12" i="11"/>
  <c r="AE12" i="11" s="1"/>
  <c r="AD12" i="11"/>
  <c r="AC12" i="11"/>
  <c r="AB29" i="11"/>
  <c r="AE29" i="11" s="1"/>
  <c r="AD29" i="11"/>
  <c r="AC29" i="11"/>
  <c r="AB3" i="11"/>
  <c r="AE3" i="11" s="1"/>
  <c r="AD3" i="11"/>
  <c r="AC3" i="11"/>
  <c r="AB13" i="11"/>
  <c r="AE13" i="11" s="1"/>
  <c r="AD13" i="11"/>
  <c r="AC13" i="11"/>
  <c r="AB21" i="11"/>
  <c r="AE21" i="11" s="1"/>
  <c r="AD21" i="11"/>
  <c r="AC21" i="11"/>
  <c r="AB30" i="11"/>
  <c r="AE30" i="11" s="1"/>
  <c r="AC30" i="11"/>
  <c r="AD30" i="11"/>
  <c r="AB38" i="11"/>
  <c r="AE38" i="11" s="1"/>
  <c r="AC38" i="11"/>
  <c r="AD38" i="11"/>
  <c r="AB47" i="11"/>
  <c r="AE47" i="11" s="1"/>
  <c r="AC47" i="11"/>
  <c r="AD47" i="11"/>
  <c r="AB59" i="11"/>
  <c r="AE59" i="11" s="1"/>
  <c r="AD59" i="11"/>
  <c r="AC59" i="11"/>
  <c r="AB2" i="11"/>
  <c r="AE2" i="11" s="1"/>
  <c r="Y68" i="11"/>
  <c r="AE22" i="11"/>
  <c r="AC68" i="11" l="1"/>
  <c r="AB68" i="11"/>
  <c r="AE68"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tc={A944B3C9-06D2-4A77-B1F3-3D45536A913B}</author>
    <author>tc={D4996DAA-9865-4A83-9BA8-E1F043903D76}</author>
  </authors>
  <commentList>
    <comment ref="I3" authorId="0" shapeId="0" xr:uid="{A944B3C9-06D2-4A77-B1F3-3D45536A913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Water withdrawal only</t>
      </text>
    </comment>
    <comment ref="I50" authorId="1" shapeId="0" xr:uid="{D4996DAA-9865-4A83-9BA8-E1F043903D7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Withrawal only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tc={E7F5B2C4-0154-4799-A16A-456D1B04A18F}</author>
    <author>tc={38A45787-AA35-4CB3-A759-723A5678C6EF}</author>
    <author>tc={6E07C32C-7795-4EEA-96E2-52B1486CB85F}</author>
    <author>tc={6990FD3D-3CAF-4426-B5E3-C9F38CA3626E}</author>
  </authors>
  <commentList>
    <comment ref="K3" authorId="0" shapeId="0" xr:uid="{E7F5B2C4-0154-4799-A16A-456D1B04A18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Water withdrawal only</t>
      </text>
    </comment>
    <comment ref="X35" authorId="1" shapeId="0" xr:uid="{38A45787-AA35-4CB3-A759-723A5678C6E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Cu-PGM sent to Glencore, Ni-Cu sent to Vale</t>
      </text>
    </comment>
    <comment ref="AE44" authorId="2" shapeId="0" xr:uid="{6E07C32C-7795-4EEA-96E2-52B1486CB85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Comes from assumption for ore processed probably</t>
      </text>
    </comment>
    <comment ref="K47" authorId="3" shapeId="0" xr:uid="{6990FD3D-3CAF-4426-B5E3-C9F38CA3626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Withrawal only</t>
      </text>
    </comment>
  </commentList>
</comments>
</file>

<file path=xl/sharedStrings.xml><?xml version="1.0" encoding="utf-8"?>
<sst xmlns="http://schemas.openxmlformats.org/spreadsheetml/2006/main" count="8495" uniqueCount="1591">
  <si>
    <t>main_id</t>
  </si>
  <si>
    <t>facility_group_id</t>
  </si>
  <si>
    <t>facility_name</t>
  </si>
  <si>
    <t>facility_group_name</t>
  </si>
  <si>
    <t>commodity</t>
  </si>
  <si>
    <t>prod_id</t>
  </si>
  <si>
    <t>year</t>
  </si>
  <si>
    <t>reference_point</t>
  </si>
  <si>
    <t>material_type</t>
  </si>
  <si>
    <t>data_type</t>
  </si>
  <si>
    <t>unit</t>
  </si>
  <si>
    <t>value</t>
  </si>
  <si>
    <t>value_tonnes</t>
  </si>
  <si>
    <t>comment</t>
  </si>
  <si>
    <t>company_id</t>
  </si>
  <si>
    <t>source_id</t>
  </si>
  <si>
    <t>mining_processing_type</t>
  </si>
  <si>
    <t>commodities</t>
  </si>
  <si>
    <t>PROD-3aa117d8-2023-2</t>
  </si>
  <si>
    <t>Aluminum</t>
  </si>
  <si>
    <t>Intermediate metal produced</t>
  </si>
  <si>
    <t>Smelter production</t>
  </si>
  <si>
    <t>Production</t>
  </si>
  <si>
    <t>kt</t>
  </si>
  <si>
    <t>QC-MAIN-3aa117d8</t>
  </si>
  <si>
    <t>GRP-677b5973</t>
  </si>
  <si>
    <t>CMP-7a096012</t>
  </si>
  <si>
    <t>Alma</t>
  </si>
  <si>
    <t>Saguenay–Lac-Saint-Jean Operations</t>
  </si>
  <si>
    <t>Smelter</t>
  </si>
  <si>
    <t>Aluminum (pure or alloyed)</t>
  </si>
  <si>
    <t>PROD-8d6616b4-2023-2</t>
  </si>
  <si>
    <t>QC-MAIN-8d6616b4</t>
  </si>
  <si>
    <t>Alouette</t>
  </si>
  <si>
    <t>Aluminum (pure)</t>
  </si>
  <si>
    <t>PROD-4c35e094-2024-1</t>
  </si>
  <si>
    <t>Steel</t>
  </si>
  <si>
    <t>Refined metal produced</t>
  </si>
  <si>
    <t>Flat</t>
  </si>
  <si>
    <t>mt</t>
  </si>
  <si>
    <t>Integrated, mini-mill</t>
  </si>
  <si>
    <t>ON-MAIN-4c35e094</t>
  </si>
  <si>
    <t>CMP-3775c12e</t>
  </si>
  <si>
    <t>ArcelorMittal Dofasco</t>
  </si>
  <si>
    <t>Basic oxygen furnace, electric arc furnace</t>
  </si>
  <si>
    <t>PROD-c1c7eb99-2023-2</t>
  </si>
  <si>
    <t>QC-MAIN-c1c7eb99</t>
  </si>
  <si>
    <t>Arvida</t>
  </si>
  <si>
    <t>Aluminum (pure or alloyed), alumina, aluminum chemicals, composites</t>
  </si>
  <si>
    <t>Iron</t>
  </si>
  <si>
    <t>Crude ore</t>
  </si>
  <si>
    <t>Ore processed</t>
  </si>
  <si>
    <t>wmt</t>
  </si>
  <si>
    <t>QC-MAIN-089f3c60</t>
  </si>
  <si>
    <t>CMP-c08ac7d7</t>
  </si>
  <si>
    <t>SRC_ChampionIronLtd_TR_Bloom_Lake_2023</t>
  </si>
  <si>
    <t>Bloom Lake</t>
  </si>
  <si>
    <t>Open-pit</t>
  </si>
  <si>
    <t>PROD-857b7b89-2023-2</t>
  </si>
  <si>
    <t>Ore</t>
  </si>
  <si>
    <t>BC-MAIN-857b7b89</t>
  </si>
  <si>
    <t>CMP-4a434d72</t>
  </si>
  <si>
    <t>SRC_NewmontCorporation_Operating_statistics_2023</t>
  </si>
  <si>
    <t>Brucejack</t>
  </si>
  <si>
    <t>Underground, concentrator</t>
  </si>
  <si>
    <t>Gold, silver</t>
  </si>
  <si>
    <t>PROD-de3d8b7b-2023-1</t>
  </si>
  <si>
    <t>Refinery production</t>
  </si>
  <si>
    <t>QC-MAIN-de3d8b7b</t>
  </si>
  <si>
    <t>CMP-d5f1c66b</t>
  </si>
  <si>
    <t>Canadian Electrolytic Zinc Limited (CEZinc)</t>
  </si>
  <si>
    <t>Refinery</t>
  </si>
  <si>
    <t>PROD-e7e6a960-2023-1</t>
  </si>
  <si>
    <t>t</t>
  </si>
  <si>
    <t>QC-MAIN-e7e6a960</t>
  </si>
  <si>
    <t>CMP-6265c407</t>
  </si>
  <si>
    <t>SRC_AgnicoEagleMinesLimited_2023-Sustainability-Performance_data</t>
  </si>
  <si>
    <t>Canadian Malartic</t>
  </si>
  <si>
    <t>Open-pit, concentrator</t>
  </si>
  <si>
    <t>PROD-dd723db4-2023-1</t>
  </si>
  <si>
    <t>Total extraction</t>
  </si>
  <si>
    <t>Ore mined</t>
  </si>
  <si>
    <t>NL-MAIN-dd723db4</t>
  </si>
  <si>
    <t>CMP-2da4630a</t>
  </si>
  <si>
    <t>Carol Lake</t>
  </si>
  <si>
    <t>PROD-b86f7d07-2023-3</t>
  </si>
  <si>
    <t>Mill feed</t>
  </si>
  <si>
    <t>"The Casa Berardi mill processes 3,730tpd, with future maximum production of 4,400tpd."</t>
  </si>
  <si>
    <t>QC-MAIN-b86f7d07</t>
  </si>
  <si>
    <t>CMP-7e360a1f</t>
  </si>
  <si>
    <t>Casa Berardi</t>
  </si>
  <si>
    <t>Open-pit, underground, concentrator</t>
  </si>
  <si>
    <t>Uranium</t>
  </si>
  <si>
    <t>mlbs</t>
  </si>
  <si>
    <t>Calculated based on a 15,87% ore grade and 98,7% recovery rate</t>
  </si>
  <si>
    <t>SK-MAIN-91cf5448</t>
  </si>
  <si>
    <t>CMP-cadb529a</t>
  </si>
  <si>
    <t>Cigar Lake</t>
  </si>
  <si>
    <t>Underground</t>
  </si>
  <si>
    <t>PROD-GRP-7a9ba115-2024-1</t>
  </si>
  <si>
    <t>Long/wire rod, bars, slabs</t>
  </si>
  <si>
    <t>Mini-mill</t>
  </si>
  <si>
    <t>GRP-7a9ba115</t>
  </si>
  <si>
    <t>Contrecœur West</t>
  </si>
  <si>
    <t>Contrecoeur</t>
  </si>
  <si>
    <t>Electric arc furnace</t>
  </si>
  <si>
    <t>PROD-599152a0-2023-4</t>
  </si>
  <si>
    <t>Ore milled</t>
  </si>
  <si>
    <t>"As Copper Mountain was acquired on June 20, 2023, the results for the year ended December 31, 2023 represents the period from the acquisition date, June 20, 2023, through to the end of the fourth quarter of 2023"</t>
  </si>
  <si>
    <t>BC-MAIN-599152a0</t>
  </si>
  <si>
    <t>CMP-12afc634</t>
  </si>
  <si>
    <t>SRC_HudbayMineralsInc_MDA25</t>
  </si>
  <si>
    <t>Copper Mountain</t>
  </si>
  <si>
    <t>Copper, gold, silver</t>
  </si>
  <si>
    <t>PROD-aeafbb59-2023-1</t>
  </si>
  <si>
    <t>Gold</t>
  </si>
  <si>
    <t>ON-MAIN-aeafbb59</t>
  </si>
  <si>
    <t>Detour Lake</t>
  </si>
  <si>
    <t>PROD-0ec39ce0-2023-2</t>
  </si>
  <si>
    <t>Diamonds</t>
  </si>
  <si>
    <t>kct</t>
  </si>
  <si>
    <t>NT-MAIN-0ec39ce0</t>
  </si>
  <si>
    <t>Diavik</t>
  </si>
  <si>
    <t>Underground, plant</t>
  </si>
  <si>
    <t>PROD-cb85213a-2023-2</t>
  </si>
  <si>
    <t>ON-MAIN-cb85213a</t>
  </si>
  <si>
    <t>CMP-3d2c4955</t>
  </si>
  <si>
    <t>SRC_WesdomeGoldMinesLtd_2024-MDA-FINAL</t>
  </si>
  <si>
    <t>Eagle River</t>
  </si>
  <si>
    <t>PROD-6c1d6ee6-2023-2</t>
  </si>
  <si>
    <t>mdmt</t>
  </si>
  <si>
    <t>NT-MAIN-6c1d6ee6</t>
  </si>
  <si>
    <t>CMP-caa580a0</t>
  </si>
  <si>
    <t>Ekati</t>
  </si>
  <si>
    <t>PROD-6dc537e6-2023-3</t>
  </si>
  <si>
    <t>QC-MAIN-6dc537e6</t>
  </si>
  <si>
    <t>Éléonore</t>
  </si>
  <si>
    <t>PROD-4724f4ba-2024-2</t>
  </si>
  <si>
    <t>Ore delivered</t>
  </si>
  <si>
    <t>BC-MAIN-4724f4ba</t>
  </si>
  <si>
    <t>CMP-d726df1c</t>
  </si>
  <si>
    <t>SRC_GoldMountainMiningCorp_gold-mountain-reports-its-interim-q4-2025-financial-and-operating-results-1001121?utm_source=chatgpt</t>
  </si>
  <si>
    <t>Elk</t>
  </si>
  <si>
    <t>PROD-26b9aaf3-2021-1</t>
  </si>
  <si>
    <t>EAF production</t>
  </si>
  <si>
    <t>SK-MAIN-26b9aaf3</t>
  </si>
  <si>
    <t>CMP-28720916</t>
  </si>
  <si>
    <t>EVRAZ Regina</t>
  </si>
  <si>
    <t>PROD-33c09b8b-2023-1</t>
  </si>
  <si>
    <t>Iron ore</t>
  </si>
  <si>
    <t>Given in ttpa (total ton per annum)</t>
  </si>
  <si>
    <t>QC-MAIN-33c09b8b</t>
  </si>
  <si>
    <t>GRP-1402249f</t>
  </si>
  <si>
    <t>Fire Lake</t>
  </si>
  <si>
    <t>AMMC</t>
  </si>
  <si>
    <t>PROD-4e0734b5-2023-2</t>
  </si>
  <si>
    <t>ON-MAIN-4e0734b5</t>
  </si>
  <si>
    <t>CMP-3ff42329</t>
  </si>
  <si>
    <t>SRC_McEwenMiningInc_SEC_2024</t>
  </si>
  <si>
    <t>Fox Complex</t>
  </si>
  <si>
    <t>PROD-206041d1-2024-1</t>
  </si>
  <si>
    <t>ON-MAIN-206041d1</t>
  </si>
  <si>
    <t>GRP-de097f20</t>
  </si>
  <si>
    <t>Fraser</t>
  </si>
  <si>
    <t>Integrated Nickel Operations</t>
  </si>
  <si>
    <t>Nickel, copper, platinum group metals, gold, cobalt, silver</t>
  </si>
  <si>
    <t>PROD-6b4800fe-2023-2</t>
  </si>
  <si>
    <t>BC-MAIN-6b4800fe</t>
  </si>
  <si>
    <t>CMP-e35f138c</t>
  </si>
  <si>
    <t>SRC_TasekoMinesLimited_taseko-reports-strong-fourth-quarter-financial-performance-and-190-million-of-adjusted-ebitda-for-2023</t>
  </si>
  <si>
    <t>Gibraltar</t>
  </si>
  <si>
    <t>Copper, molybdenum, silver</t>
  </si>
  <si>
    <t>PROD-c0660aec-2023-1</t>
  </si>
  <si>
    <t>QC-MAIN-c0660aec</t>
  </si>
  <si>
    <t>Goldex</t>
  </si>
  <si>
    <t>PROD-01c1e81f-2023-2</t>
  </si>
  <si>
    <t>QC-MAIN-01c1e81f</t>
  </si>
  <si>
    <t>Grande-Baie</t>
  </si>
  <si>
    <t>PROD-6e9be24e-2023-1</t>
  </si>
  <si>
    <t>Not sure of the unit</t>
  </si>
  <si>
    <t>ON-MAIN-6e9be24e</t>
  </si>
  <si>
    <t>CMP-79bcdb91</t>
  </si>
  <si>
    <t>SRC_BarrickGoldCorporation_Barrick_2023_Performance-Data</t>
  </si>
  <si>
    <t>Hemlo (Williams)</t>
  </si>
  <si>
    <t>PROD-bf503b6b-2024-3</t>
  </si>
  <si>
    <t>Assumed 0,34% ore grade and 85% recovery rate, taking copper as the reference</t>
  </si>
  <si>
    <t>BC-MAIN-bf503b6b</t>
  </si>
  <si>
    <t>CMP-06e20c6e</t>
  </si>
  <si>
    <t>Highland Valley</t>
  </si>
  <si>
    <t>Copper, silver, molybdenum</t>
  </si>
  <si>
    <t>PROD-GRP-0d911886-2023-2</t>
  </si>
  <si>
    <t>GRP-0d911886</t>
  </si>
  <si>
    <t>Hoyle Pond</t>
  </si>
  <si>
    <t>Porcupine complex</t>
  </si>
  <si>
    <t>PROD-687b8c8d-2023-3</t>
  </si>
  <si>
    <t>ON-MAIN-687b8c8d</t>
  </si>
  <si>
    <t>CMP-3a4ccc7f</t>
  </si>
  <si>
    <t>SRC_AlamosGoldInc_Data_2023</t>
  </si>
  <si>
    <t>Island</t>
  </si>
  <si>
    <t>PROD-44857446-2024-1</t>
  </si>
  <si>
    <t>YT-MAIN-44857446</t>
  </si>
  <si>
    <t>SRC_HeclaMiningCompany_TR_Keno_Hill_2024</t>
  </si>
  <si>
    <t>Keno Hill Silver District</t>
  </si>
  <si>
    <t>Silver, zinc, lead</t>
  </si>
  <si>
    <t>PROD-f8313ebd-2023-4</t>
  </si>
  <si>
    <t>ON-MAIN-f8313ebd</t>
  </si>
  <si>
    <t>Kidd Creek</t>
  </si>
  <si>
    <t>Copper, zinc, silver, selenium, indium</t>
  </si>
  <si>
    <t>PROD-9de9bb0d-2023-2</t>
  </si>
  <si>
    <t>QC-MAIN-9de9bb0d</t>
  </si>
  <si>
    <t>Kiena</t>
  </si>
  <si>
    <t>PROD-eb47f7c7-2023-2</t>
  </si>
  <si>
    <t>BC-MAIN-eb47f7c7</t>
  </si>
  <si>
    <t>Kitimat</t>
  </si>
  <si>
    <t>PROD-a3c56a83-2023-1</t>
  </si>
  <si>
    <t>ON-MAIN-a3c56a83</t>
  </si>
  <si>
    <t>CMP-967076a1</t>
  </si>
  <si>
    <t>SRC_ImpalaCanadaLtd_FY2024</t>
  </si>
  <si>
    <t>Lac des Iles</t>
  </si>
  <si>
    <t>Platinum group metals, gold, nickel, copper, cobalt</t>
  </si>
  <si>
    <t>PROD-be5b3dc8-2023-1</t>
  </si>
  <si>
    <t>MB-MAIN-be5b3dc8</t>
  </si>
  <si>
    <t>GRP-a13779f8</t>
  </si>
  <si>
    <t>Lalor Lake</t>
  </si>
  <si>
    <t>Snow Lake</t>
  </si>
  <si>
    <t>Gold, zinc, copper, silver</t>
  </si>
  <si>
    <t>PROD-f9e41c2a-2023-2</t>
  </si>
  <si>
    <t>QC-MAIN-f9e41c2a</t>
  </si>
  <si>
    <t>CMP-64d60fd7</t>
  </si>
  <si>
    <t>SRC_EldoradoGold_Data</t>
  </si>
  <si>
    <t>Lamaque</t>
  </si>
  <si>
    <t>PROD-e51eda66-2023-3</t>
  </si>
  <si>
    <t>QC-MAIN-e51eda66</t>
  </si>
  <si>
    <t>LaRonde</t>
  </si>
  <si>
    <t>Gold, zinc, copper, silver, cadmium</t>
  </si>
  <si>
    <t>PROD-c0e3a48b-2023-2</t>
  </si>
  <si>
    <t>QC-MAIN-c0e3a48b</t>
  </si>
  <si>
    <t>Laterrière</t>
  </si>
  <si>
    <t>PROD-1f126a43-2023-1</t>
  </si>
  <si>
    <t>ON-MAIN-1f126a43</t>
  </si>
  <si>
    <t>Macassa</t>
  </si>
  <si>
    <t>PROD-8825d90d-2024-3</t>
  </si>
  <si>
    <t>Data from Alamos Gold</t>
  </si>
  <si>
    <t>ON-MAIN-8825d90d</t>
  </si>
  <si>
    <t>CMP-a6812c47</t>
  </si>
  <si>
    <t>SRC_ArgonautGoldInc_Data_2023</t>
  </si>
  <si>
    <t>Magino</t>
  </si>
  <si>
    <t>PROD-5154702a-2023-1</t>
  </si>
  <si>
    <t>Given in ttpa (total ton per annum). Assumed ore processed as it does not require concentration (DSO), 'What makes Baffinland's operations different than many other mines is that we crush and screen the ore on site, and then ship it directly to markets – no concentrating or processing is needed, and therefore no tailings are produced.'</t>
  </si>
  <si>
    <t>NU-MAIN-5154702a</t>
  </si>
  <si>
    <t>CMP-84fc7d46</t>
  </si>
  <si>
    <t>Mary River</t>
  </si>
  <si>
    <t>PROD-GRP-21eee27d-2023-2</t>
  </si>
  <si>
    <t>Calculated based on a 6,55% ore grade and 95% recovery rate</t>
  </si>
  <si>
    <t>GRP-21eee27d</t>
  </si>
  <si>
    <t>McArthur River</t>
  </si>
  <si>
    <t>Key Lake + McArthur River</t>
  </si>
  <si>
    <t>PROD-60ba74c4-2022-1</t>
  </si>
  <si>
    <t>Usable ore</t>
  </si>
  <si>
    <t>Contained metal in concentrate</t>
  </si>
  <si>
    <t>Process the high-grade uranium ore which is supplied by the Cigar Lake mine</t>
  </si>
  <si>
    <t>SK-MAIN-60ba74c4</t>
  </si>
  <si>
    <t>CMP-43299e17</t>
  </si>
  <si>
    <t>McClean Lake</t>
  </si>
  <si>
    <t>Concentrator</t>
  </si>
  <si>
    <t>PROD-7001a391-2023-1</t>
  </si>
  <si>
    <t xml:space="preserve">Ore from McCreedy West is processed by Vale at the local Clarabelle Mill under an offtake agreement. </t>
  </si>
  <si>
    <t>ON-MAIN-7001a391</t>
  </si>
  <si>
    <t>CMP-5f083f16</t>
  </si>
  <si>
    <t>SRC_KGHMPolskaMiedźS.A._mccreedy-west-project</t>
  </si>
  <si>
    <t>McCreedy West</t>
  </si>
  <si>
    <t>Copper, nickel, platinum group metals, gold, silver, cobalt</t>
  </si>
  <si>
    <t>PROD-GRP-0a2c0d69-2023-1</t>
  </si>
  <si>
    <t>GRP-0a2c0d69</t>
  </si>
  <si>
    <t>Meadowbank</t>
  </si>
  <si>
    <t>Meadowbank complex</t>
  </si>
  <si>
    <t>PROD-8b0264c9-2023-1</t>
  </si>
  <si>
    <t>NU-MAIN-8b0264c9</t>
  </si>
  <si>
    <t>Meliadine</t>
  </si>
  <si>
    <t>PROD-084bd95c-2023-1</t>
  </si>
  <si>
    <t>QC-MAIN-084bd95c</t>
  </si>
  <si>
    <t>Mont-Wright</t>
  </si>
  <si>
    <t>PROD-ed23117f-2023-5</t>
  </si>
  <si>
    <t>BC-MAIN-ed23117f</t>
  </si>
  <si>
    <t>CMP-fa032e20</t>
  </si>
  <si>
    <t>SRC_CenterraGoldInc_Data</t>
  </si>
  <si>
    <t>Mount Milligan</t>
  </si>
  <si>
    <t>PROD-3f490561-2023-3</t>
  </si>
  <si>
    <t>BC-MAIN-3f490561</t>
  </si>
  <si>
    <t>CMP-0dfcd91e</t>
  </si>
  <si>
    <t>SRC_ImperialMetalsCorporation_2024-Q4-MDA</t>
  </si>
  <si>
    <t>Mount Polley</t>
  </si>
  <si>
    <t>Gold, copper, silver</t>
  </si>
  <si>
    <t>PROD-fefeaee4-2023-1</t>
  </si>
  <si>
    <t>ON-MAIN-fefeaee4</t>
  </si>
  <si>
    <t>Musselwhite</t>
  </si>
  <si>
    <t>PROD-aa76f6f2-2023-4</t>
  </si>
  <si>
    <t>BC-MAIN-aa76f6f2</t>
  </si>
  <si>
    <t>CMP-d94be190</t>
  </si>
  <si>
    <t>SRC_NewGoldInc_New_gold_production</t>
  </si>
  <si>
    <t>New Afton</t>
  </si>
  <si>
    <t>MB-MAIN-da0b5c3d</t>
  </si>
  <si>
    <t>New Britannia</t>
  </si>
  <si>
    <t>Gold, copper</t>
  </si>
  <si>
    <t>PROD-fcb287a4-2024-1</t>
  </si>
  <si>
    <t>ON-MAIN-fcb287a4</t>
  </si>
  <si>
    <t>Nickel Rim South</t>
  </si>
  <si>
    <t>Nickel, copper, cobalt, platinum group metals, gold</t>
  </si>
  <si>
    <t>PROD-a555d9b9-2023-1</t>
  </si>
  <si>
    <t>Niobium</t>
  </si>
  <si>
    <t>Assumed ore mined and stable production</t>
  </si>
  <si>
    <t>QC-MAIN-a555d9b9</t>
  </si>
  <si>
    <t>CMP-f0009ac4</t>
  </si>
  <si>
    <t>Niobec</t>
  </si>
  <si>
    <t>PROD-649d2873-2023-1</t>
  </si>
  <si>
    <t>Ferroniobium</t>
  </si>
  <si>
    <t>QC-MAIN-649d2873</t>
  </si>
  <si>
    <t>CMP-9abb4c27</t>
  </si>
  <si>
    <t>Niobec Converter</t>
  </si>
  <si>
    <t>PROD-dc1a16f9-2023-1</t>
  </si>
  <si>
    <t>Lithium</t>
  </si>
  <si>
    <t>QC-MAIN-dc1a16f9</t>
  </si>
  <si>
    <t>CMP-9f967ad1</t>
  </si>
  <si>
    <t>North American Lithium</t>
  </si>
  <si>
    <t>Open-pit, underground</t>
  </si>
  <si>
    <t>PROD-5ce331b8-2023-2</t>
  </si>
  <si>
    <t>Nickel</t>
  </si>
  <si>
    <t>Assumed 1% ore grade and 85% recovery rate (hypothesis, no data)</t>
  </si>
  <si>
    <t>QC-MAIN-5ce331b8</t>
  </si>
  <si>
    <t>CMP-d87d1101</t>
  </si>
  <si>
    <t>Nunavik Nickel</t>
  </si>
  <si>
    <t>Nickel, copper, platinum group metals, cobalt</t>
  </si>
  <si>
    <t>PROD-a97821c0-2022-4</t>
  </si>
  <si>
    <t>QC-MAIN-a97821c0</t>
  </si>
  <si>
    <t>Raglan</t>
  </si>
  <si>
    <t>Nickel, platinum group metals, copper, cobalt, gold, silver</t>
  </si>
  <si>
    <t>PROD-0aadf28f-2023-2</t>
  </si>
  <si>
    <t>ON-MAIN-0aadf28f</t>
  </si>
  <si>
    <t>Rainy River</t>
  </si>
  <si>
    <t>PROD-8eb8be0d-2023-4</t>
  </si>
  <si>
    <t>BC-MAIN-8eb8be0d</t>
  </si>
  <si>
    <t>Red Chris</t>
  </si>
  <si>
    <t>PROD-7f050560-2024-3</t>
  </si>
  <si>
    <t>ON-MAIN-7f050560</t>
  </si>
  <si>
    <t>CMP-ca642bce</t>
  </si>
  <si>
    <t>SRC_EvolutionMiningLtd_EVN_FY24-ESG-Performance-Data_web</t>
  </si>
  <si>
    <t>Red Lake</t>
  </si>
  <si>
    <t>PROD-3e146840-2023-1</t>
  </si>
  <si>
    <t>Titanium dioxide slag</t>
  </si>
  <si>
    <t>Unspecified</t>
  </si>
  <si>
    <t>Difficult to assign a reference point. Probably 4 or 5?</t>
  </si>
  <si>
    <t>QC-MAIN-3e146840</t>
  </si>
  <si>
    <t>GRP-25483238</t>
  </si>
  <si>
    <t>Rio Tinto Iron and Titanium</t>
  </si>
  <si>
    <t>RTFT Operations Quebec</t>
  </si>
  <si>
    <t>Steel, titanium dioxide, scandium</t>
  </si>
  <si>
    <t>PROD-b64bae7a-2023-2</t>
  </si>
  <si>
    <t>NL-MAIN-b64bae7a</t>
  </si>
  <si>
    <t>CMP-8a99044e</t>
  </si>
  <si>
    <t>Scully</t>
  </si>
  <si>
    <t>PROD-GRP-14bfbb82-2023-1</t>
  </si>
  <si>
    <t>GRP-14bfbb82</t>
  </si>
  <si>
    <t>CMP-4a73c5f8</t>
  </si>
  <si>
    <t>SRC_SSRMiningInc_FY2024</t>
  </si>
  <si>
    <t>Seabee</t>
  </si>
  <si>
    <t>Seabee Gold Operation</t>
  </si>
  <si>
    <t>PROD-0898e255-2023-1</t>
  </si>
  <si>
    <t>MB-MAIN-0898e255</t>
  </si>
  <si>
    <t>Stall Lake</t>
  </si>
  <si>
    <t>Gold, zinc</t>
  </si>
  <si>
    <t>PROD-ed85ac94-2024-2</t>
  </si>
  <si>
    <t>ON-MAIN-ed85ac94</t>
  </si>
  <si>
    <t>Strathcona</t>
  </si>
  <si>
    <t>Nickel, copper, platinum group metals, gold, silver, cobalt, selenium, tellurium</t>
  </si>
  <si>
    <t>PROD-40ce0593-2024-1</t>
  </si>
  <si>
    <t>Matte</t>
  </si>
  <si>
    <t>ON-MAIN-40ce0593</t>
  </si>
  <si>
    <t>Sudbury</t>
  </si>
  <si>
    <t>Smelter, plant</t>
  </si>
  <si>
    <t>Nickel-copper matte containing cobalt, gold, silver, platinum group metals</t>
  </si>
  <si>
    <t>PROD-f4fc3276-2023-1</t>
  </si>
  <si>
    <t>ON-MAIN-f4fc3276</t>
  </si>
  <si>
    <t>CMP-79f8bb59</t>
  </si>
  <si>
    <t>SRC_SilverLakeResourcesLtd_AR_2023</t>
  </si>
  <si>
    <t>Sugar Zone</t>
  </si>
  <si>
    <t>PROD-d3a4aba9-2022-1</t>
  </si>
  <si>
    <t>Deducted as the difference and verified in the SR</t>
  </si>
  <si>
    <t>AB-MAIN-d3a4aba9</t>
  </si>
  <si>
    <t>CMP-2ef1f553</t>
  </si>
  <si>
    <t>SRC_SherrittInternationalCorporationandGeneralNickelCompanyS.A._TR_2023</t>
  </si>
  <si>
    <t>The Cobalt Refinery Company Inc.</t>
  </si>
  <si>
    <t>Nickel, cobalt, copper sulfide, ammonium sulfate</t>
  </si>
  <si>
    <t>PROD-e0a6250e-2023-3</t>
  </si>
  <si>
    <t>MB-MAIN-e0a6250e</t>
  </si>
  <si>
    <t>CMP-9617aef4</t>
  </si>
  <si>
    <t>Thompson (T-1 and T-3)</t>
  </si>
  <si>
    <t>Nickel, cobalt, copper, platinum group metals, gold, silver</t>
  </si>
  <si>
    <t>PROD-GRP-147b3123-2023-2</t>
  </si>
  <si>
    <t>GRP-147b3123</t>
  </si>
  <si>
    <t>CMP-48a36546</t>
  </si>
  <si>
    <t>SRC_PanAmericanSilverCorp._Financial_results</t>
  </si>
  <si>
    <t>Timmins West</t>
  </si>
  <si>
    <t>Timmins Operation</t>
  </si>
  <si>
    <t>GRP-dc07540b</t>
  </si>
  <si>
    <t>Totten</t>
  </si>
  <si>
    <t>Sudbury Operation</t>
  </si>
  <si>
    <t>Nickel, copper, platinum group metals, gold, silver, cobalt</t>
  </si>
  <si>
    <t>PROD-3bb6b7cd-2024-1</t>
  </si>
  <si>
    <t>Zinc</t>
  </si>
  <si>
    <t>BC-MAIN-3bb6b7cd</t>
  </si>
  <si>
    <t>Trail</t>
  </si>
  <si>
    <t>Smelter, refinery, plant</t>
  </si>
  <si>
    <t>Zinc, lead, bismuth, cadmium, indium, germanium, precious metals, liquid sulfur dioxide, sulfuric acid</t>
  </si>
  <si>
    <t>PROD-92628f16-2023-1</t>
  </si>
  <si>
    <t>Alumina</t>
  </si>
  <si>
    <t>Smelter grade alumina</t>
  </si>
  <si>
    <t>QC-MAIN-92628f16</t>
  </si>
  <si>
    <t>Vaudreuil</t>
  </si>
  <si>
    <t>PROD-2d8801d6-2023-3</t>
  </si>
  <si>
    <t>NL-MAIN-2d8801d6</t>
  </si>
  <si>
    <t>Voisey’s Bay</t>
  </si>
  <si>
    <t>Nickel, copper, cobalt</t>
  </si>
  <si>
    <t>PROD-02884fb5-2023-1</t>
  </si>
  <si>
    <t>QC-MAIN-02884fb5</t>
  </si>
  <si>
    <t>CMP-3d0a95b7</t>
  </si>
  <si>
    <t>SRC_IAMGOLDCorporation_operational_data</t>
  </si>
  <si>
    <t>Westwood-Doyon</t>
  </si>
  <si>
    <t>PROD-7607a50e-2023-3</t>
  </si>
  <si>
    <t>ON-MAIN-7607a50e</t>
  </si>
  <si>
    <t>Young-Davidson</t>
  </si>
  <si>
    <t>province</t>
  </si>
  <si>
    <t>facility_type</t>
  </si>
  <si>
    <t>NU-MAIN-4ea8ac9d</t>
  </si>
  <si>
    <t>Amaruq</t>
  </si>
  <si>
    <t>Nunavut</t>
  </si>
  <si>
    <t>mining</t>
  </si>
  <si>
    <t>Quebec</t>
  </si>
  <si>
    <t>Ontario</t>
  </si>
  <si>
    <t>NU-MAIN-730aefe3</t>
  </si>
  <si>
    <t>British Columbia</t>
  </si>
  <si>
    <t>Yukon</t>
  </si>
  <si>
    <t>Manitoba</t>
  </si>
  <si>
    <t>Newfoundland and Labrador</t>
  </si>
  <si>
    <t>ON-MAIN-1c674cd0</t>
  </si>
  <si>
    <t>Borden</t>
  </si>
  <si>
    <t>ON-MAIN-8629a493</t>
  </si>
  <si>
    <t>Hollinger</t>
  </si>
  <si>
    <t>ON-MAIN-538513cd</t>
  </si>
  <si>
    <t>ON-MAIN-bfbcd72e</t>
  </si>
  <si>
    <t>Bell Creek</t>
  </si>
  <si>
    <t>ON-MAIN-f3e6ff08</t>
  </si>
  <si>
    <t>SK-MAIN-22ce14be</t>
  </si>
  <si>
    <t>Santoy</t>
  </si>
  <si>
    <t>Saskatchewan</t>
  </si>
  <si>
    <t>SK-MAIN-29afbdb5</t>
  </si>
  <si>
    <t>QC-MAIN-52c01ae4</t>
  </si>
  <si>
    <t>Baie-Comeau</t>
  </si>
  <si>
    <t>QC-MAIN-eac5a52b</t>
  </si>
  <si>
    <t>Deschambault</t>
  </si>
  <si>
    <t>QC-MAIN-c8966bdc</t>
  </si>
  <si>
    <t>Bécancour</t>
  </si>
  <si>
    <t>ON-MAIN-eab8c362</t>
  </si>
  <si>
    <t>Algoma Steel</t>
  </si>
  <si>
    <t>AB-MAIN-9fed34a8</t>
  </si>
  <si>
    <t>AltaSteel</t>
  </si>
  <si>
    <t>QC-MAIN-1eee4ace</t>
  </si>
  <si>
    <t>Contrecœur East</t>
  </si>
  <si>
    <t>QC-MAIN-844dcc47</t>
  </si>
  <si>
    <t>QC-MAIN-e25eed27</t>
  </si>
  <si>
    <t>Port-Cartier</t>
  </si>
  <si>
    <t>ON-MAIN-e928d96a</t>
  </si>
  <si>
    <t>Brampton</t>
  </si>
  <si>
    <t>SK-MAIN-bb89158f</t>
  </si>
  <si>
    <t>Key Lake</t>
  </si>
  <si>
    <t>SK-MAIN-d3c471e8</t>
  </si>
  <si>
    <t>NT-MAIN-94e652a5</t>
  </si>
  <si>
    <t>Gahcho Kué</t>
  </si>
  <si>
    <t>QC-MAIN-5398dfac</t>
  </si>
  <si>
    <t>Elkem Chicoutimi</t>
  </si>
  <si>
    <t>QC-MAIN-c1cc9f7c</t>
  </si>
  <si>
    <t>Becancour Silicon</t>
  </si>
  <si>
    <t>NL-MAIN-c139de6d</t>
  </si>
  <si>
    <t>Ming</t>
  </si>
  <si>
    <t>NL-MAIN-842ba1b4</t>
  </si>
  <si>
    <t>Nugget Pond</t>
  </si>
  <si>
    <t>ON-MAIN-bddeaef0</t>
  </si>
  <si>
    <t>Cambridge Mill</t>
  </si>
  <si>
    <t>MB-MAIN-b4ca1426</t>
  </si>
  <si>
    <t>Manitoba Mill</t>
  </si>
  <si>
    <t>ON-MAIN-21b6ab35</t>
  </si>
  <si>
    <t>Whitby Mill</t>
  </si>
  <si>
    <t>QC-MAIN-529c96b4</t>
  </si>
  <si>
    <t>CCR</t>
  </si>
  <si>
    <t>GRP-b48ec279</t>
  </si>
  <si>
    <t>QC-MAIN-30c1828c</t>
  </si>
  <si>
    <t>Horne</t>
  </si>
  <si>
    <t>ON-MAIN-fc6f1a44</t>
  </si>
  <si>
    <t>Ivaco Rolling Mills</t>
  </si>
  <si>
    <t>ON-MAIN-6bd6cc80</t>
  </si>
  <si>
    <t>Kingston Operation</t>
  </si>
  <si>
    <t>ON-MAIN-3b3e5365</t>
  </si>
  <si>
    <t>Porcupine</t>
  </si>
  <si>
    <t>QC-MAIN-e82266c5</t>
  </si>
  <si>
    <t>Lac Tio</t>
  </si>
  <si>
    <t>ON-MAIN-020a683c</t>
  </si>
  <si>
    <t>Hamilton Works</t>
  </si>
  <si>
    <t>ON-MAIN-b2e5c9bb</t>
  </si>
  <si>
    <t>Lake Erie Works</t>
  </si>
  <si>
    <t>QC-MAIN-3032c251</t>
  </si>
  <si>
    <t>Renard</t>
  </si>
  <si>
    <t>NL-MAIN-e09881ff</t>
  </si>
  <si>
    <t>DSO (3 and 4)</t>
  </si>
  <si>
    <t>GRP-2a663492</t>
  </si>
  <si>
    <t>DSO</t>
  </si>
  <si>
    <t>QC-MAIN-b8c826a2</t>
  </si>
  <si>
    <t>DSO (Goodwood)</t>
  </si>
  <si>
    <t>BC-MAIN-23155c25</t>
  </si>
  <si>
    <t>Myra Falls</t>
  </si>
  <si>
    <t>ON-MAIN-387b06fe</t>
  </si>
  <si>
    <t>Welland Mill</t>
  </si>
  <si>
    <t>ON-MAIN-de2f9639</t>
  </si>
  <si>
    <t>Clarabelle</t>
  </si>
  <si>
    <t>ON-MAIN-6e9b2449</t>
  </si>
  <si>
    <t>Coleman</t>
  </si>
  <si>
    <t>ON-MAIN-f080c409</t>
  </si>
  <si>
    <t>Copper Cliff Complex</t>
  </si>
  <si>
    <t>ON-MAIN-63b394c3</t>
  </si>
  <si>
    <t>ON-MAIN-52224e1e</t>
  </si>
  <si>
    <t>Creighton</t>
  </si>
  <si>
    <t>ON-MAIN-48fe2205</t>
  </si>
  <si>
    <t>Garson</t>
  </si>
  <si>
    <t>ON-MAIN-2e13aaa0</t>
  </si>
  <si>
    <t>Port Colborne</t>
  </si>
  <si>
    <t>ON-MAIN-28f3f0fc</t>
  </si>
  <si>
    <t>NL-MAIN-d9036091</t>
  </si>
  <si>
    <t>Long Harbour</t>
  </si>
  <si>
    <t>YT-MAIN-e05ed9fe</t>
  </si>
  <si>
    <t>Eagle (Dublin Gulch)</t>
  </si>
  <si>
    <t>Alberta</t>
  </si>
  <si>
    <t>Northwest Territories</t>
  </si>
  <si>
    <t>manufacturing</t>
  </si>
  <si>
    <t>Basic oxygen furnace</t>
  </si>
  <si>
    <t>Pelletizing plant</t>
  </si>
  <si>
    <t>Open-pit, plant</t>
  </si>
  <si>
    <t>Ferrosilicon</t>
  </si>
  <si>
    <t>Silicon metal, ferrosilicon</t>
  </si>
  <si>
    <t>Copper</t>
  </si>
  <si>
    <t>Copper (cathodes), gold, silver, tellurium, selenium, nickel sulfate, copper sulfate, platinum group metals</t>
  </si>
  <si>
    <t>Copper anodes, precious metals, sulfuric acid</t>
  </si>
  <si>
    <t>Ilmenite</t>
  </si>
  <si>
    <t>Zinc, copper, silver, gold, lead</t>
  </si>
  <si>
    <t>Nickel (oxide sinter, pellets, powder, sulfide), copper cathodes, gold, silver, selenium cake, tellurium dioxide cake, platinum group metals (in residues), liquid sulfur dioxide, sulfuric acid</t>
  </si>
  <si>
    <t>Electrolytic cobalt, platinum group metals (in residues), copper oxide</t>
  </si>
  <si>
    <t>has some biosphere flows only</t>
  </si>
  <si>
    <t>has some technosphere and biosphere flows</t>
  </si>
  <si>
    <t>has some material flows</t>
  </si>
  <si>
    <t>has GHG data</t>
  </si>
  <si>
    <t>technosphere_biosphere_data?</t>
  </si>
  <si>
    <t>material_data?</t>
  </si>
  <si>
    <t>ghg_data?</t>
  </si>
  <si>
    <t>fg_aggregation?</t>
  </si>
  <si>
    <t>Aggregated production data at FG; biosphere flows only for Meadowbank</t>
  </si>
  <si>
    <t>Aggregated production data at FG; biosphere flows only for Seabee</t>
  </si>
  <si>
    <t>Aggregated production data at FG; biosphere flows only for Borden and Hoyle Pond</t>
  </si>
  <si>
    <t>Production at F level (need to aggregate production); biosphere flows only for New Britannia and Snow Lake</t>
  </si>
  <si>
    <t>Aggregated production data at FG; biosphere flows for Bell Creek and Timmins West (need to aggregate biosphere flows)</t>
  </si>
  <si>
    <t>Production data at F level only for Fire Lake and Mont-Wright</t>
  </si>
  <si>
    <t>Aggregated production at FG</t>
  </si>
  <si>
    <t>Production at F level only for Rio Tinto Iron and Titanium</t>
  </si>
  <si>
    <t>Production at F level only for Fire Lake and Mont-Wright</t>
  </si>
  <si>
    <t>Aggregated production data at FG</t>
  </si>
  <si>
    <t>Production at F level for all facilities</t>
  </si>
  <si>
    <t>Production available for Horne only</t>
  </si>
  <si>
    <t>Aggregated at FG</t>
  </si>
  <si>
    <t>Production at F level</t>
  </si>
  <si>
    <t>created</t>
  </si>
  <si>
    <t>extracted</t>
  </si>
  <si>
    <t>skip</t>
  </si>
  <si>
    <t>PROD-e7e6a960-2023-2</t>
  </si>
  <si>
    <t>oz</t>
  </si>
  <si>
    <t>"Production reflects Agnico Eagle's 50% interest up to March 30 2023 and 100% thereafter"</t>
  </si>
  <si>
    <t>PROD-e7e6a960-2023-3</t>
  </si>
  <si>
    <t>Silver</t>
  </si>
  <si>
    <t>koz</t>
  </si>
  <si>
    <t>PROD-aeafbb59-2023-2</t>
  </si>
  <si>
    <t>PROD-aeafbb59-2023-3</t>
  </si>
  <si>
    <t>PROD-c0660aec-2023-2</t>
  </si>
  <si>
    <t>PROD-c0660aec-2023-3</t>
  </si>
  <si>
    <t>PROD-c0660aec-2023-4</t>
  </si>
  <si>
    <t>Concentrate</t>
  </si>
  <si>
    <t>PROD-e51eda66-2023-1</t>
  </si>
  <si>
    <t>PROD-e51eda66-2023-2</t>
  </si>
  <si>
    <t>PROD-e51eda66-2023-4</t>
  </si>
  <si>
    <t>PROD-e51eda66-2023-5</t>
  </si>
  <si>
    <t>PROD-1f126a43-2023-2</t>
  </si>
  <si>
    <t>PROD-GRP-0a2c0d69-2023-2</t>
  </si>
  <si>
    <t>PROD-GRP-0a2c0d69-2023-3</t>
  </si>
  <si>
    <t>PROD-8b0264c9-2023-2</t>
  </si>
  <si>
    <t>PROD-8b0264c9-2023-3</t>
  </si>
  <si>
    <t>PROD-687b8c8d-2023-1</t>
  </si>
  <si>
    <t>PROD-687b8c8d-2023-2</t>
  </si>
  <si>
    <t>PROD-7607a50e-2023-1</t>
  </si>
  <si>
    <t>PROD-7607a50e-2023-2</t>
  </si>
  <si>
    <t>PROD-52c01ae4-2023-1</t>
  </si>
  <si>
    <t>Capacity</t>
  </si>
  <si>
    <t>CMP-140e111b</t>
  </si>
  <si>
    <t>PROD-eac5a52b-2023-1</t>
  </si>
  <si>
    <t>PROD-c8966bdc-2023-1</t>
  </si>
  <si>
    <t>CMP-dc21de8a</t>
  </si>
  <si>
    <t>PROD-8825d90d-2024-1</t>
  </si>
  <si>
    <t>PROD-8825d90d-2024-2</t>
  </si>
  <si>
    <t>PROD-6e9be24e-2023-2</t>
  </si>
  <si>
    <t>PROD-6c1d6ee6-2023-1</t>
  </si>
  <si>
    <t>Carats recovered</t>
  </si>
  <si>
    <t>mcts</t>
  </si>
  <si>
    <t>PROD-6c1d6ee6-2023-3</t>
  </si>
  <si>
    <t>mwmt</t>
  </si>
  <si>
    <t>PROD-91cf5448-2023-1</t>
  </si>
  <si>
    <t>On a 100% ownership basis, Assumed contained metal in concentrate as it is given in U3O8</t>
  </si>
  <si>
    <t>PROD-GRP-21eee27d-2023-1</t>
  </si>
  <si>
    <t>PROD-5ce331b8-2023-1</t>
  </si>
  <si>
    <t>PROD-ed23117f-2023-1</t>
  </si>
  <si>
    <t>dmt</t>
  </si>
  <si>
    <t>No commodity is given, probably a concentrate mix?</t>
  </si>
  <si>
    <t>PROD-ed23117f-2023-2</t>
  </si>
  <si>
    <t>klbs</t>
  </si>
  <si>
    <t>Assumed concentrate as it is not a refinery/smelter</t>
  </si>
  <si>
    <t>PROD-ed23117f-2023-3</t>
  </si>
  <si>
    <t>PROD-ed23117f-2023-4</t>
  </si>
  <si>
    <t>PROD-089f3c60-2022-1</t>
  </si>
  <si>
    <t>PROD-f9e41c2a-2023-1</t>
  </si>
  <si>
    <t>PROD-7f050560-2024-1</t>
  </si>
  <si>
    <t>Material mined</t>
  </si>
  <si>
    <t>PROD-7f050560-2024-2</t>
  </si>
  <si>
    <t>PROD-7f050560-2024-4</t>
  </si>
  <si>
    <t>PROD-26b9aaf3-2021-2</t>
  </si>
  <si>
    <t>Nominal crude steel capacity</t>
  </si>
  <si>
    <t>ttpa</t>
  </si>
  <si>
    <t>Lead</t>
  </si>
  <si>
    <t>PROD-de3d8b7b-2023-2</t>
  </si>
  <si>
    <t>PROD-f8313ebd-2023-1</t>
  </si>
  <si>
    <t>PROD-f8313ebd-2023-2</t>
  </si>
  <si>
    <t>PROD-f8313ebd-2023-3</t>
  </si>
  <si>
    <t>PROD-a97821c0-2022-1</t>
  </si>
  <si>
    <t>Nickel concentrate from Raglan is transported to Sudbury smelter (ship + train), returns to Quebec (train) and is shipped to Nikkelverk refinery in Norway</t>
  </si>
  <si>
    <t>PROD-a97821c0-2022-2</t>
  </si>
  <si>
    <t>PROD-a97821c0-2022-3</t>
  </si>
  <si>
    <t>Cobalt</t>
  </si>
  <si>
    <t>PROD-ed85ac94-2024-1</t>
  </si>
  <si>
    <t>PROD-ed85ac94-2024-3</t>
  </si>
  <si>
    <t>Mining Technology provides a figure of 18,59kt in 2023, we rely on official Glencore's data,</t>
  </si>
  <si>
    <t>PROD-40ce0593-2024-2</t>
  </si>
  <si>
    <t>PROD-4724f4ba-2024-1</t>
  </si>
  <si>
    <t>PROD-4724f4ba-2024-3</t>
  </si>
  <si>
    <t>Gold ounces sold'</t>
  </si>
  <si>
    <t>PROD-b86f7d07-2023-1</t>
  </si>
  <si>
    <t>PROD-b86f7d07-2023-2</t>
  </si>
  <si>
    <t>PROD-44857446-2023-1</t>
  </si>
  <si>
    <t>Ambigous production type</t>
  </si>
  <si>
    <t>PROD-44857446-2023-2</t>
  </si>
  <si>
    <t>PROD-44857446-2023-3</t>
  </si>
  <si>
    <t>PROD-fc6f1a44-2023-1</t>
  </si>
  <si>
    <t>CMP-a27e87a3</t>
  </si>
  <si>
    <t>PROD-599152a0-2023-1</t>
  </si>
  <si>
    <t>PROD-599152a0-2023-2</t>
  </si>
  <si>
    <t>PROD-599152a0-2023-3</t>
  </si>
  <si>
    <t>PROD-599152a0-2023-5</t>
  </si>
  <si>
    <t>PROD-da0b5c3d-2023-1</t>
  </si>
  <si>
    <t>PROD-GRP-a13779f8-2023-1</t>
  </si>
  <si>
    <t>Contained metal in concentrate and doré produced</t>
  </si>
  <si>
    <t>PROD-GRP-a13779f8-2023-2</t>
  </si>
  <si>
    <t>PROD-GRP-a13779f8-2023-3</t>
  </si>
  <si>
    <t>PROD-GRP-a13779f8-2023-4</t>
  </si>
  <si>
    <t>PROD-02884fb5-2023-2</t>
  </si>
  <si>
    <t>PROD-02884fb5-2023-3</t>
  </si>
  <si>
    <t>PROD-a3c56a83-2023-2</t>
  </si>
  <si>
    <t>PGM</t>
  </si>
  <si>
    <t>PROD-3f490561-2023-1</t>
  </si>
  <si>
    <t>PROD-3f490561-2023-2</t>
  </si>
  <si>
    <t>PROD-dd723db4-2023-2</t>
  </si>
  <si>
    <t>Total production based on Rio Tinto's ownership share</t>
  </si>
  <si>
    <t>PROD-4e0734b5-2023-1</t>
  </si>
  <si>
    <t>PROD-4e0734b5-2023-3</t>
  </si>
  <si>
    <t>PROD-4e0734b5-2023-4</t>
  </si>
  <si>
    <t>PROD-aa76f6f2-2023-1</t>
  </si>
  <si>
    <t>PROD-aa76f6f2-2023-2</t>
  </si>
  <si>
    <t>PROD-aa76f6f2-2023-3</t>
  </si>
  <si>
    <t>PROD-0aadf28f-2023-1</t>
  </si>
  <si>
    <t>PROD-0aadf28f-2023-3</t>
  </si>
  <si>
    <t>PROD-857b7b89-2023-1</t>
  </si>
  <si>
    <t>PROD-857b7b89-2023-3</t>
  </si>
  <si>
    <t>PROD-6dc537e6-2023-1</t>
  </si>
  <si>
    <t>PROD-6dc537e6-2023-2</t>
  </si>
  <si>
    <t>PROD-8eb8be0d-2023-1</t>
  </si>
  <si>
    <t>PROD-fefeaee4-2023-2</t>
  </si>
  <si>
    <t>PROD-GRP-0d911886-2023-1</t>
  </si>
  <si>
    <t>PROD-GRP-0d911886-2023-3</t>
  </si>
  <si>
    <t>Sum of total open pit and total underground ore</t>
  </si>
  <si>
    <t>PROD-8eb8be0d-2023-2</t>
  </si>
  <si>
    <t>SRC_NewmontCorporation_AR_2024</t>
  </si>
  <si>
    <t>PROD-8eb8be0d-2023-3</t>
  </si>
  <si>
    <t>PROD-8eb8be0d-2023-5</t>
  </si>
  <si>
    <t>Sum of open pit ore and open pit waste</t>
  </si>
  <si>
    <t>PROD-60ba74c4-2022-2</t>
  </si>
  <si>
    <t>PROD-GRP-147b3123-2023-1</t>
  </si>
  <si>
    <t>PROD-GRP-147b3123-2023-3</t>
  </si>
  <si>
    <t>PROD-GRP-147b3123-2023-4</t>
  </si>
  <si>
    <t>PROD-3aa117d8-2023-1</t>
  </si>
  <si>
    <t>PROD-8d6616b4-2023-1</t>
  </si>
  <si>
    <t>PROD-c1c7eb99-2023-1</t>
  </si>
  <si>
    <t>PROD-0ec39ce0-2023-1</t>
  </si>
  <si>
    <t>Diamond recovered</t>
  </si>
  <si>
    <t>PROD-01c1e81f-2023-1</t>
  </si>
  <si>
    <t>PROD-eb47f7c7-2023-1</t>
  </si>
  <si>
    <t>PROD-c0e3a48b-2023-1</t>
  </si>
  <si>
    <t>PROD-dc1a16f9-2023-2</t>
  </si>
  <si>
    <t>PROD-d3a4aba9-2022-2</t>
  </si>
  <si>
    <t>PROD-f4fc3276-2023-2</t>
  </si>
  <si>
    <t>PROD-GRP-14bfbb82-2023-2</t>
  </si>
  <si>
    <t>PROD-GRP-14bfbb82-2023-3</t>
  </si>
  <si>
    <t>PROD-b64bae7a-2023-1</t>
  </si>
  <si>
    <t xml:space="preserve"> </t>
  </si>
  <si>
    <t>PROD-6b4800fe-2023-1</t>
  </si>
  <si>
    <t>PROD-6b4800fe-2023-3</t>
  </si>
  <si>
    <t>Given in Mlbs Cu so assumed metal in concentrate</t>
  </si>
  <si>
    <t>PROD-6b4800fe-2023-4</t>
  </si>
  <si>
    <t>Molybdenum</t>
  </si>
  <si>
    <t>Given in klbs Mo so assumed metal in concentrate</t>
  </si>
  <si>
    <t>PROD-GRP-2a663492-2023-1</t>
  </si>
  <si>
    <t>CMP-31bb0d19</t>
  </si>
  <si>
    <t>PROD-bf503b6b-2024-1</t>
  </si>
  <si>
    <t>PROD-bf503b6b-2024-2</t>
  </si>
  <si>
    <t>PROD-e0a6250e-2023-1</t>
  </si>
  <si>
    <t>"Finished production", unclear what it refers to, Assumed metal in concentrate as it is a mine</t>
  </si>
  <si>
    <t>PROD-e0a6250e-2023-2</t>
  </si>
  <si>
    <t>PROD-2d8801d6-2023-1</t>
  </si>
  <si>
    <t>PROD-2d8801d6-2023-2</t>
  </si>
  <si>
    <t>PROD-cb85213a-2023-1</t>
  </si>
  <si>
    <t>Gold production'</t>
  </si>
  <si>
    <t>PROD-9de9bb0d-2023-1</t>
  </si>
  <si>
    <t>tech_attr_id</t>
  </si>
  <si>
    <t>method</t>
  </si>
  <si>
    <t>TA-089f3c60-2022-1</t>
  </si>
  <si>
    <t>Concentrate grade</t>
  </si>
  <si>
    <t>Reported</t>
  </si>
  <si>
    <t>%</t>
  </si>
  <si>
    <t>TA-8b0264c9-2023-1</t>
  </si>
  <si>
    <t>Strip ratio</t>
  </si>
  <si>
    <t>Calculated</t>
  </si>
  <si>
    <t>waste/ore</t>
  </si>
  <si>
    <t>Total waste generated taken for calculation</t>
  </si>
  <si>
    <t>TA-8b0264c9-2023-2</t>
  </si>
  <si>
    <t>Head grade</t>
  </si>
  <si>
    <t>g/t</t>
  </si>
  <si>
    <t>SRC_AgnicoEagleMinesLimited_operational_data</t>
  </si>
  <si>
    <t>TA-8b0264c9-2023-3</t>
  </si>
  <si>
    <t>Recovery rate</t>
  </si>
  <si>
    <t>TA-aeafbb59-2023-1</t>
  </si>
  <si>
    <t>TA-e51eda66-2023-1</t>
  </si>
  <si>
    <t>TA-e51eda66-2023-2</t>
  </si>
  <si>
    <t>TA-599152a0-2023-1</t>
  </si>
  <si>
    <t>TA-599152a0-2023-2</t>
  </si>
  <si>
    <t>TA-599152a0-2023-3</t>
  </si>
  <si>
    <t>TA-e51eda66-2023-3</t>
  </si>
  <si>
    <t>TA-e7e6a960-2023-1</t>
  </si>
  <si>
    <t>TA-599152a0-2023-4</t>
  </si>
  <si>
    <t>TA-599152a0-2023-5</t>
  </si>
  <si>
    <t>TA-e7e6a960-2023-2</t>
  </si>
  <si>
    <t>TA-e7e6a960-2023-3</t>
  </si>
  <si>
    <t>TA-GRP-0a2c0d69-2023-1</t>
  </si>
  <si>
    <t>TA-GRP-0a2c0d69-2023-2</t>
  </si>
  <si>
    <t>TA-GRP-0a2c0d69-2023-3</t>
  </si>
  <si>
    <t>TA-687b8c8d-2023-1</t>
  </si>
  <si>
    <t>Total waste rock generated taken for calculation</t>
  </si>
  <si>
    <t>TA-687b8c8d-2023-2</t>
  </si>
  <si>
    <t>Mill grade</t>
  </si>
  <si>
    <t>Assumed g/t</t>
  </si>
  <si>
    <t>TA-687b8c8d-2023-3</t>
  </si>
  <si>
    <t>Mill recovery rate</t>
  </si>
  <si>
    <t>TA-687b8c8d-2023-4</t>
  </si>
  <si>
    <t>Ore grade</t>
  </si>
  <si>
    <t>TA-7607a50e-2023-1</t>
  </si>
  <si>
    <t>TA-7607a50e-2023-2</t>
  </si>
  <si>
    <t>TA-7607a50e-2023-3</t>
  </si>
  <si>
    <t>TA-6b4800fe-2023-1</t>
  </si>
  <si>
    <t>TA-6b4800fe-2023-2</t>
  </si>
  <si>
    <t>Copper recovery</t>
  </si>
  <si>
    <t>TA-7607a50e-2023-4</t>
  </si>
  <si>
    <t>TA-8825d90d-2023-1</t>
  </si>
  <si>
    <t>Waste mined taken for calculation. Data from Alamos Gold</t>
  </si>
  <si>
    <t>TA-8825d90d-2024-1</t>
  </si>
  <si>
    <t>TA-8825d90d-2024-2</t>
  </si>
  <si>
    <t>TA-8825d90d-2024-3</t>
  </si>
  <si>
    <t>TA-44857446-2024-1</t>
  </si>
  <si>
    <t>TA-44857446-2024-2</t>
  </si>
  <si>
    <t>TA-44857446-2024-3</t>
  </si>
  <si>
    <t>TA-6e9be24e-2023-1</t>
  </si>
  <si>
    <t>Waste rock mined taken for calculation</t>
  </si>
  <si>
    <t>TA-ed23117f-2023-1</t>
  </si>
  <si>
    <t>CMP-fa032e22</t>
  </si>
  <si>
    <t>TA-ed23117f-2023-2</t>
  </si>
  <si>
    <t>CMP-fa032e23</t>
  </si>
  <si>
    <t>TA-a3c56a83-2023-1</t>
  </si>
  <si>
    <t>TA-be5b3dc8-2023-1</t>
  </si>
  <si>
    <t>TA-f9e41c2a-2023-1</t>
  </si>
  <si>
    <t>TA-be5b3dc8-2023-2</t>
  </si>
  <si>
    <t>TA-be5b3dc8-2023-3</t>
  </si>
  <si>
    <t>TA-f9e41c2a-2023-2</t>
  </si>
  <si>
    <t>TA-7f050560-2023-1</t>
  </si>
  <si>
    <t>Total waste mined taken for calculation</t>
  </si>
  <si>
    <t>TA-4724f4ba-2024-1</t>
  </si>
  <si>
    <t>TA-4724f4ba-2024-2</t>
  </si>
  <si>
    <t>TA-e51eda66-2023-4</t>
  </si>
  <si>
    <t>TA-e51eda66-2023-5</t>
  </si>
  <si>
    <t>TA-e51eda66-2023-6</t>
  </si>
  <si>
    <t>TA-599152a0-2023-6</t>
  </si>
  <si>
    <t>TA-e51eda66-2023-7</t>
  </si>
  <si>
    <t>TA-e51eda66-2023-8</t>
  </si>
  <si>
    <t>TA-e51eda66-2023-9</t>
  </si>
  <si>
    <t>TA-599152a0-2023-7</t>
  </si>
  <si>
    <t>TA-599152a0-2023-8</t>
  </si>
  <si>
    <t>TA-0898e255-2023-1</t>
  </si>
  <si>
    <t>TA-0898e255-2023-2</t>
  </si>
  <si>
    <t>TA-7001a391-2023-1</t>
  </si>
  <si>
    <t>TA-7001a391-2023-2</t>
  </si>
  <si>
    <t>TA-be5b3dc8-2023-4</t>
  </si>
  <si>
    <t>TA-7001a391-2023-3</t>
  </si>
  <si>
    <t>TA-7001a391-2023-4</t>
  </si>
  <si>
    <t>Palladium</t>
  </si>
  <si>
    <t>TA-7001a391-2023-5</t>
  </si>
  <si>
    <t>Platinum</t>
  </si>
  <si>
    <t>TA-7001a391-2023-6</t>
  </si>
  <si>
    <t>TA-da0b5c3d-2023-1</t>
  </si>
  <si>
    <t>TA-da0b5c3d-2023-2</t>
  </si>
  <si>
    <t>TA-02884fb5-2023-1</t>
  </si>
  <si>
    <t>Mineral waste|Waste rock taken for calculation</t>
  </si>
  <si>
    <t>TA-02884fb5-2023-2</t>
  </si>
  <si>
    <t>TA-02884fb5-2023-3</t>
  </si>
  <si>
    <t>TA-02884fb5-2023-4</t>
  </si>
  <si>
    <t>TA-ed23117f-2023-3</t>
  </si>
  <si>
    <t>TA-ed23117f-2023-4</t>
  </si>
  <si>
    <t>CMP-fa032e21</t>
  </si>
  <si>
    <t>TA-3f490561-2023-1</t>
  </si>
  <si>
    <t>TA-3f490561-2023-2</t>
  </si>
  <si>
    <t>TA-3f490561-2023-3</t>
  </si>
  <si>
    <t>TA-3f490561-2023-4</t>
  </si>
  <si>
    <t>TA-7001a391-2023-7</t>
  </si>
  <si>
    <t>TA-4e0734b5-2023-1</t>
  </si>
  <si>
    <t>TA-4e0734b5-2023-2</t>
  </si>
  <si>
    <t>TA-aa76f6f2-2023-1</t>
  </si>
  <si>
    <t>Waste rock generated taken for calculation</t>
  </si>
  <si>
    <t>TA-aa76f6f2-2023-2</t>
  </si>
  <si>
    <t>Assumed ore grade</t>
  </si>
  <si>
    <t>TA-aa76f6f2-2023-3</t>
  </si>
  <si>
    <t>TA-aa76f6f2-2023-4</t>
  </si>
  <si>
    <t>TA-aa76f6f2-2023-5</t>
  </si>
  <si>
    <t>TA-0aadf28f-2023-1</t>
  </si>
  <si>
    <t>TA-0aadf28f-2023-2</t>
  </si>
  <si>
    <t>TA-da0b5c3d-2023-3</t>
  </si>
  <si>
    <t>TA-da0b5c3d-2023-4</t>
  </si>
  <si>
    <t>TA-da0b5c3d-2023-5</t>
  </si>
  <si>
    <t>% Cu</t>
  </si>
  <si>
    <t>TA-0aadf28f-2023-3</t>
  </si>
  <si>
    <t>TA-857b7b89-2023-1</t>
  </si>
  <si>
    <t>Mill ore grade</t>
  </si>
  <si>
    <t>TA-da0b5c3d-2023-6</t>
  </si>
  <si>
    <t>TA-da0b5c3d-2023-7</t>
  </si>
  <si>
    <t>TA-da0b5c3d-2023-8</t>
  </si>
  <si>
    <t>TA-857b7b89-2023-2</t>
  </si>
  <si>
    <t>TA-8eb8be0d-2023-1</t>
  </si>
  <si>
    <t>TA-8eb8be0d-2023-2</t>
  </si>
  <si>
    <t>TA-fefeaee4-2023-1</t>
  </si>
  <si>
    <t>TA-fefeaee4-2023-2</t>
  </si>
  <si>
    <t>SRC_NewmontCorporation_Operating_statistics_2024</t>
  </si>
  <si>
    <t>TA-8eb8be0d-2023-3</t>
  </si>
  <si>
    <t>TA-8eb8be0d-2023-4</t>
  </si>
  <si>
    <t>TA-fefeaee4-2023-3</t>
  </si>
  <si>
    <t>SRC_NewmontCorporation_Operating_statistics_2025</t>
  </si>
  <si>
    <t>TA-6dc537e6-2023-1</t>
  </si>
  <si>
    <t>TA-6dc537e6-2023-2</t>
  </si>
  <si>
    <t>TA-6dc537e6-2023-3</t>
  </si>
  <si>
    <t>TA-GRP-0d911886-2023-1</t>
  </si>
  <si>
    <t>TA-0898e255-2023-3</t>
  </si>
  <si>
    <t>TA-0898e255-2023-4</t>
  </si>
  <si>
    <t>TA-0898e255-2023-5</t>
  </si>
  <si>
    <t>TA-GRP-0d911886-2023-2</t>
  </si>
  <si>
    <t>TA-GRP-147b3123-2023-1</t>
  </si>
  <si>
    <t>TA-0898e255-2023-6</t>
  </si>
  <si>
    <t>TA-0898e255-2023-7</t>
  </si>
  <si>
    <t>TA-0898e255-2023-8</t>
  </si>
  <si>
    <t>% Zn</t>
  </si>
  <si>
    <t>TA-0898e255-2023-9</t>
  </si>
  <si>
    <t>TA-0898e255-2023-10</t>
  </si>
  <si>
    <t>TA-f4fc3276-2023-1</t>
  </si>
  <si>
    <t>TA-d3a4aba9-2022-1</t>
  </si>
  <si>
    <t>Includes other third pary feeds</t>
  </si>
  <si>
    <t>TA-d3a4aba9-2022-2</t>
  </si>
  <si>
    <t>TA-GRP-14bfbb82-2023-1</t>
  </si>
  <si>
    <t>Mill feed grade</t>
  </si>
  <si>
    <t>TA-GRP-14bfbb82-2023-2</t>
  </si>
  <si>
    <t>TA-6b4800fe-2023-3</t>
  </si>
  <si>
    <t>TA-cb85213a-2023-1</t>
  </si>
  <si>
    <t>TA-cb85213a-2023-2</t>
  </si>
  <si>
    <t>TA-cb85213a-2023-3</t>
  </si>
  <si>
    <t>TA-9de9bb0d-2023-1</t>
  </si>
  <si>
    <t>TA-9de9bb0d-2023-2</t>
  </si>
  <si>
    <t>TA-9de9bb0d-2023-3</t>
  </si>
  <si>
    <t>ore_processed_t</t>
  </si>
  <si>
    <r>
      <rPr>
        <b/>
        <sz val="11"/>
        <color theme="1"/>
        <rFont val="Calibri"/>
        <family val="2"/>
        <scheme val="minor"/>
      </rPr>
      <t>Title of the article</t>
    </r>
    <r>
      <rPr>
        <sz val="11"/>
        <color theme="1"/>
        <rFont val="Calibri"/>
        <family val="2"/>
        <scheme val="minor"/>
      </rPr>
      <t xml:space="preserve">: </t>
    </r>
  </si>
  <si>
    <r>
      <rPr>
        <b/>
        <sz val="11"/>
        <color theme="1"/>
        <rFont val="Calibri"/>
        <family val="2"/>
        <scheme val="minor"/>
      </rPr>
      <t>Authors</t>
    </r>
    <r>
      <rPr>
        <sz val="11"/>
        <color theme="1"/>
        <rFont val="Calibri"/>
        <family val="2"/>
        <scheme val="minor"/>
      </rPr>
      <t xml:space="preserve">: </t>
    </r>
  </si>
  <si>
    <r>
      <rPr>
        <b/>
        <sz val="11"/>
        <color theme="1"/>
        <rFont val="Calibri"/>
        <family val="2"/>
        <scheme val="minor"/>
      </rPr>
      <t>Affiliations</t>
    </r>
    <r>
      <rPr>
        <sz val="11"/>
        <color theme="1"/>
        <rFont val="Calibri"/>
        <family val="2"/>
        <scheme val="minor"/>
      </rPr>
      <t xml:space="preserve">: </t>
    </r>
  </si>
  <si>
    <r>
      <rPr>
        <b/>
        <sz val="11"/>
        <color theme="1"/>
        <rFont val="Calibri"/>
        <family val="2"/>
        <scheme val="minor"/>
      </rPr>
      <t>Journal</t>
    </r>
    <r>
      <rPr>
        <sz val="11"/>
        <color theme="1"/>
        <rFont val="Calibri"/>
        <family val="2"/>
        <scheme val="minor"/>
      </rPr>
      <t xml:space="preserve">: </t>
    </r>
  </si>
  <si>
    <t>TAB_NAME</t>
  </si>
  <si>
    <t>DESCRIPTION</t>
  </si>
  <si>
    <t>SOURCE</t>
  </si>
  <si>
    <t>site_selection</t>
  </si>
  <si>
    <t>prod_data</t>
  </si>
  <si>
    <t>fu</t>
  </si>
  <si>
    <t>Cu</t>
  </si>
  <si>
    <t>Ni</t>
  </si>
  <si>
    <t>Au</t>
  </si>
  <si>
    <t>Ag</t>
  </si>
  <si>
    <t>Pt</t>
  </si>
  <si>
    <t>Au_t</t>
  </si>
  <si>
    <t>Ag_t</t>
  </si>
  <si>
    <t>Cu_t</t>
  </si>
  <si>
    <t>Ni_t</t>
  </si>
  <si>
    <t>Fe_t</t>
  </si>
  <si>
    <t>Pt_t</t>
  </si>
  <si>
    <t>Mo_t</t>
  </si>
  <si>
    <t>Zn_t</t>
  </si>
  <si>
    <t>Pb_t</t>
  </si>
  <si>
    <t>Describe the selection of sites and their associated data</t>
  </si>
  <si>
    <t>Ore processed and metal content in product for each sites</t>
  </si>
  <si>
    <t>MetalliCan</t>
  </si>
  <si>
    <t>EI</t>
  </si>
  <si>
    <t>Ecoquery link to some Ecoinvent activities</t>
  </si>
  <si>
    <t>has some technosphere and biosphere flows, but no NPRI</t>
  </si>
  <si>
    <t>Metal</t>
  </si>
  <si>
    <t>Typical Ore Type</t>
  </si>
  <si>
    <t>Main Processing Route</t>
  </si>
  <si>
    <t>Main Product</t>
  </si>
  <si>
    <t>Sulfide/oxide</t>
  </si>
  <si>
    <t>Crushing → Grinding → CIP/CIL cyanidation</t>
  </si>
  <si>
    <t>Doré (Au–Ag)</t>
  </si>
  <si>
    <t>Sulfide (Pb–Zn–Ag)</t>
  </si>
  <si>
    <t>Sequential flotation</t>
  </si>
  <si>
    <t>Pb–Ag, Zn–Ag concentrates</t>
  </si>
  <si>
    <t>Sulfide (chalcopyrite)</t>
  </si>
  <si>
    <t>Flotation → Smelting → Refining</t>
  </si>
  <si>
    <t>Cu concentrate / cathodes</t>
  </si>
  <si>
    <t>Magnetite, hematite</t>
  </si>
  <si>
    <t>Magnetic separation → Pelletizing</t>
  </si>
  <si>
    <t>Concentrate / pellets</t>
  </si>
  <si>
    <t>Nickel &amp; PGM</t>
  </si>
  <si>
    <t>Sulfide (Ni–Cu–Co)</t>
  </si>
  <si>
    <t>Flotation → Smelting → Electrorefining</t>
  </si>
  <si>
    <t>Ni cathodes, PGM metals</t>
  </si>
  <si>
    <t>Sandstone, high-grade</t>
  </si>
  <si>
    <t>Jet-boring → Leaching → SX → Calcination</t>
  </si>
  <si>
    <t>U₃O₈ (yellowcake)</t>
  </si>
  <si>
    <t>Carbonatite (pyrochlore)</t>
  </si>
  <si>
    <t>Flotation → Aluminothermic reduction</t>
  </si>
  <si>
    <t>Ferroniobium (66 % Nb)</t>
  </si>
  <si>
    <t>Commodity</t>
  </si>
  <si>
    <t>Sudbury area</t>
  </si>
  <si>
    <t>Voisey's Bay</t>
  </si>
  <si>
    <t>Scope 1-2-3 collected</t>
  </si>
  <si>
    <t>Scope 1-2 collected</t>
  </si>
  <si>
    <t>has GHG data. Scope 1-2-3 collected</t>
  </si>
  <si>
    <t>Scope 1 collected</t>
  </si>
  <si>
    <t>has GHG data. Scope 1-2 collected</t>
  </si>
  <si>
    <t>has GHG data. Scope1+2 (aggregated) collected</t>
  </si>
  <si>
    <t>water_data?</t>
  </si>
  <si>
    <t>Withdrawal</t>
  </si>
  <si>
    <t>Withdrawal, consumption (freshwater only)</t>
  </si>
  <si>
    <t>Withdrawal , consumption, discharged</t>
  </si>
  <si>
    <t>Withdrawal (freshwater only), consumption, discharged</t>
  </si>
  <si>
    <t>has some technosphere and biosphere flows. Only total energy</t>
  </si>
  <si>
    <t>has some technosphere and biosphere flows, but no NPRI. Energy data in GHG</t>
  </si>
  <si>
    <t>land_data?</t>
  </si>
  <si>
    <t>Withdrawal (freshwater separated), consumption, discharged. Freshwater withdrawal intensity per ore processed and oz gold</t>
  </si>
  <si>
    <t>Withdrawal (freshwater separated), consumption, discharged. Water intensity per ore processed and oz gold</t>
  </si>
  <si>
    <t>Withdrawal, consumption, discharged. Water intensity per ore processed and oz gold</t>
  </si>
  <si>
    <t>Withdrawal (freshwater separated) , consumption, discharged. Freshwater withdrawal intensity per ore processed and oz gold</t>
  </si>
  <si>
    <t>Withdrawal, consumption. Freshwater withdrawal intensity per ore processed and oz gold</t>
  </si>
  <si>
    <t>Withdrawal (high quality), consumption, discharged (high quality). Withdrawal and consumption intensity per ore processed and oz gold</t>
  </si>
  <si>
    <t>Water intensity per ore</t>
  </si>
  <si>
    <t>Withdrawal , consumption, discharged. Water intensity</t>
  </si>
  <si>
    <t>Water intensity</t>
  </si>
  <si>
    <t>Withdrawal (freshwater separated) , consumption, discharged. Water intensity</t>
  </si>
  <si>
    <t>PGMs</t>
  </si>
  <si>
    <t>kg</t>
  </si>
  <si>
    <t>Site</t>
  </si>
  <si>
    <t>Owner</t>
  </si>
  <si>
    <t>Archetype</t>
  </si>
  <si>
    <t>Main inputs</t>
  </si>
  <si>
    <t>Main outputs</t>
  </si>
  <si>
    <t>Downstream / Notes</t>
  </si>
  <si>
    <t>Horne Smelter (QC)</t>
  </si>
  <si>
    <t>Glencore</t>
  </si>
  <si>
    <t>Cu conc., e-scrap</t>
  </si>
  <si>
    <t>Cu anodes (99.1%)</t>
  </si>
  <si>
    <t>Sent to CCR for electro-refining; slimes to PM recovery. (Glencore Canada)</t>
  </si>
  <si>
    <t>CCR (QC)</t>
  </si>
  <si>
    <t>Cu electro-refining</t>
  </si>
  <si>
    <t>Cu anodes</t>
  </si>
  <si>
    <t>PM recovery on-site; integrated with Horne. (Glencore Canada)</t>
  </si>
  <si>
    <t>Copper Cliff Smelter (ON)</t>
  </si>
  <si>
    <t>Vale</t>
  </si>
  <si>
    <t>Ni-Cu conc.</t>
  </si>
  <si>
    <t>Feeds CC Nickel Refinery. (MineDocs)</t>
  </si>
  <si>
    <t>Carbonyl refining</t>
  </si>
  <si>
    <t>Ni matte/intermediate</t>
  </si>
  <si>
    <t>Ni pellets/powders</t>
  </si>
  <si>
    <t>Mond process; high-purity forms. (Vale)</t>
  </si>
  <si>
    <t>Sudbury Smelter (ON)</t>
  </si>
  <si>
    <t>Ni-Cu conc. (Sudbury/Raglan)</t>
  </si>
  <si>
    <t>Matte shipped to Nikkelverk (Norway) for refining. (The Transition Accelerator)</t>
  </si>
  <si>
    <t>Long Harbour (NL)</t>
  </si>
  <si>
    <t>Voisey’s Bay conc.</t>
  </si>
  <si>
    <t>Nameplate ~50 kt/y Ni; “smoke-free” hydromet. (Wikipédia)</t>
  </si>
  <si>
    <t>CRCI / Fort Saskatchewan (AB)</t>
  </si>
  <si>
    <t>Sherritt</t>
  </si>
  <si>
    <t>Refined Ni &amp; Co</t>
  </si>
  <si>
    <t>Long-running Sherritt process site; Fort Site capacity data available. (Q4cdn)</t>
  </si>
  <si>
    <t>Cu pyrometallurgy (smelter)</t>
  </si>
  <si>
    <t>Ni-Cu pyrometallurgy</t>
  </si>
  <si>
    <t>Ni pyrometallurgy</t>
  </si>
  <si>
    <t>Hydrometallurgy (POX + SX/EW)</t>
  </si>
  <si>
    <t>Hydrometallurgy (ammoniacal pressure leach)</t>
  </si>
  <si>
    <r>
      <t>Cu cathodes (99.99%)</t>
    </r>
    <r>
      <rPr>
        <sz val="11"/>
        <color theme="1"/>
        <rFont val="Calibri"/>
        <family val="2"/>
        <scheme val="minor"/>
      </rPr>
      <t>, slimes (Au/Ag/Se/Te)</t>
    </r>
  </si>
  <si>
    <r>
      <t>Ni rounds</t>
    </r>
    <r>
      <rPr>
        <sz val="11"/>
        <color theme="1"/>
        <rFont val="Calibri"/>
        <family val="2"/>
        <scheme val="minor"/>
      </rPr>
      <t>, Co/Cu products</t>
    </r>
  </si>
  <si>
    <r>
      <t>MSP</t>
    </r>
    <r>
      <rPr>
        <sz val="11"/>
        <color theme="1"/>
        <rFont val="Calibri"/>
        <family val="2"/>
        <scheme val="minor"/>
      </rPr>
      <t xml:space="preserve"> from Moa (Cuba)</t>
    </r>
  </si>
  <si>
    <t>Product</t>
  </si>
  <si>
    <t>Ni-Cu</t>
  </si>
  <si>
    <t>Ni, Cu-Co</t>
  </si>
  <si>
    <t>Ni-Co</t>
  </si>
  <si>
    <r>
      <t>Casting 99.1% Cu anodes</t>
    </r>
    <r>
      <rPr>
        <sz val="11"/>
        <color theme="1"/>
        <rFont val="Calibri"/>
        <family val="2"/>
        <scheme val="minor"/>
      </rPr>
      <t>. Anodes are shipped to CCR for electro-refining</t>
    </r>
  </si>
  <si>
    <t>Details</t>
  </si>
  <si>
    <t>LCI_mapping</t>
  </si>
  <si>
    <r>
      <t xml:space="preserve">Use </t>
    </r>
    <r>
      <rPr>
        <b/>
        <sz val="11"/>
        <color theme="1"/>
        <rFont val="Calibri"/>
        <family val="2"/>
        <scheme val="minor"/>
      </rPr>
      <t>Cu pyromet→anode</t>
    </r>
    <r>
      <rPr>
        <sz val="11"/>
        <color theme="1"/>
        <rFont val="Calibri"/>
        <family val="2"/>
        <scheme val="minor"/>
      </rPr>
      <t xml:space="preserve"> inventory; include off-gas capture/SO₂; allocate/by-account for PM-rich anode slime headed to CCR.</t>
    </r>
  </si>
  <si>
    <r>
      <t xml:space="preserve">Anode dissolution → </t>
    </r>
    <r>
      <rPr>
        <b/>
        <sz val="11"/>
        <color theme="1"/>
        <rFont val="Calibri"/>
        <family val="2"/>
        <scheme val="minor"/>
      </rPr>
      <t>Cu cathode (99.99%)</t>
    </r>
    <r>
      <rPr>
        <sz val="11"/>
        <color theme="1"/>
        <rFont val="Calibri"/>
        <family val="2"/>
        <scheme val="minor"/>
      </rPr>
      <t xml:space="preserve"> via electro-refining; </t>
    </r>
    <r>
      <rPr>
        <b/>
        <sz val="11"/>
        <color theme="1"/>
        <rFont val="Calibri"/>
        <family val="2"/>
        <scheme val="minor"/>
      </rPr>
      <t>slimes</t>
    </r>
    <r>
      <rPr>
        <sz val="11"/>
        <color theme="1"/>
        <rFont val="Calibri"/>
        <family val="2"/>
        <scheme val="minor"/>
      </rPr>
      <t xml:space="preserve"> recovery for Au/Ag/Se/Te, etc</t>
    </r>
  </si>
  <si>
    <r>
      <t xml:space="preserve">Map to </t>
    </r>
    <r>
      <rPr>
        <b/>
        <sz val="11"/>
        <color theme="1"/>
        <rFont val="Calibri"/>
        <family val="2"/>
        <scheme val="minor"/>
      </rPr>
      <t>Cu hydromet/electro-refining to cathode</t>
    </r>
    <r>
      <rPr>
        <sz val="11"/>
        <color theme="1"/>
        <rFont val="Calibri"/>
        <family val="2"/>
        <scheme val="minor"/>
      </rPr>
      <t>; include by-product recovery chain for slimes.</t>
    </r>
  </si>
  <si>
    <r>
      <rPr>
        <sz val="11"/>
        <color theme="1"/>
        <rFont val="Calibri"/>
        <family val="2"/>
        <scheme val="minor"/>
      </rPr>
      <t xml:space="preserve">Use </t>
    </r>
    <r>
      <rPr>
        <b/>
        <sz val="11"/>
        <color theme="1"/>
        <rFont val="Calibri"/>
        <family val="2"/>
        <scheme val="minor"/>
      </rPr>
      <t>Ni sulfide pyromet→matte</t>
    </r>
    <r>
      <rPr>
        <sz val="11"/>
        <color theme="1"/>
        <rFont val="Calibri"/>
        <family val="2"/>
        <scheme val="minor"/>
      </rPr>
      <t xml:space="preserve"> inventory; track SO₂ capture projects (AER retrofit legacy)</t>
    </r>
  </si>
  <si>
    <r>
      <t xml:space="preserve">Electric/flash smelting + converting → </t>
    </r>
    <r>
      <rPr>
        <b/>
        <sz val="11"/>
        <color theme="1"/>
        <rFont val="Calibri"/>
        <family val="2"/>
        <scheme val="minor"/>
      </rPr>
      <t>Ni-Cu matte</t>
    </r>
    <r>
      <rPr>
        <sz val="11"/>
        <color theme="1"/>
        <rFont val="Calibri"/>
        <family val="2"/>
        <scheme val="minor"/>
      </rPr>
      <t xml:space="preserve">; stringent Ontario rules reference </t>
    </r>
    <r>
      <rPr>
        <b/>
        <sz val="11"/>
        <color theme="1"/>
        <rFont val="Calibri"/>
        <family val="2"/>
        <scheme val="minor"/>
      </rPr>
      <t>pyro-metallurgical vessels</t>
    </r>
    <r>
      <rPr>
        <sz val="11"/>
        <color theme="1"/>
        <rFont val="Calibri"/>
        <family val="2"/>
        <scheme val="minor"/>
      </rPr>
      <t xml:space="preserve"> &amp; primary/secondary capture.</t>
    </r>
  </si>
  <si>
    <t>Copper Cliff Nickel Refinery (ON)</t>
  </si>
  <si>
    <r>
      <t>Mond carbonyl</t>
    </r>
    <r>
      <rPr>
        <sz val="11"/>
        <color theme="1"/>
        <rFont val="Calibri"/>
        <family val="2"/>
        <scheme val="minor"/>
      </rPr>
      <t xml:space="preserve"> process → nickel carbonyl → decomposition → </t>
    </r>
    <r>
      <rPr>
        <b/>
        <sz val="11"/>
        <color theme="1"/>
        <rFont val="Calibri"/>
        <family val="2"/>
        <scheme val="minor"/>
      </rPr>
      <t>pellets, discs, chips, powders</t>
    </r>
    <r>
      <rPr>
        <sz val="11"/>
        <color theme="1"/>
        <rFont val="Calibri"/>
        <family val="2"/>
        <scheme val="minor"/>
      </rPr>
      <t xml:space="preserve"> (high-purity Ni)</t>
    </r>
  </si>
  <si>
    <r>
      <t xml:space="preserve">Map matte-to-refined </t>
    </r>
    <r>
      <rPr>
        <b/>
        <sz val="11"/>
        <color theme="1"/>
        <rFont val="Calibri"/>
        <family val="2"/>
        <scheme val="minor"/>
      </rPr>
      <t>carbonyl route</t>
    </r>
    <r>
      <rPr>
        <sz val="11"/>
        <color theme="1"/>
        <rFont val="Calibri"/>
        <family val="2"/>
        <scheme val="minor"/>
      </rPr>
      <t xml:space="preserve"> (distinct from SX-EW); include CO recycle &amp; off-gas handling.</t>
    </r>
  </si>
  <si>
    <r>
      <t xml:space="preserve">Smelting Sudbury/Raglan </t>
    </r>
    <r>
      <rPr>
        <b/>
        <sz val="11"/>
        <color theme="1"/>
        <rFont val="Calibri"/>
        <family val="2"/>
        <scheme val="minor"/>
      </rPr>
      <t>sulfide concentrates</t>
    </r>
    <r>
      <rPr>
        <sz val="11"/>
        <color theme="1"/>
        <rFont val="Calibri"/>
        <family val="2"/>
        <scheme val="minor"/>
      </rPr>
      <t xml:space="preserve"> → </t>
    </r>
    <r>
      <rPr>
        <b/>
        <sz val="11"/>
        <color theme="1"/>
        <rFont val="Calibri"/>
        <family val="2"/>
        <scheme val="minor"/>
      </rPr>
      <t>nickel matte</t>
    </r>
    <r>
      <rPr>
        <sz val="11"/>
        <color theme="1"/>
        <rFont val="Calibri"/>
        <family val="2"/>
        <scheme val="minor"/>
      </rPr>
      <t xml:space="preserve">, </t>
    </r>
    <r>
      <rPr>
        <b/>
        <sz val="11"/>
        <color theme="1"/>
        <rFont val="Calibri"/>
        <family val="2"/>
        <scheme val="minor"/>
      </rPr>
      <t>shipped to Nikkelverk (Norway) for hydromet/electro-refining</t>
    </r>
    <r>
      <rPr>
        <sz val="11"/>
        <color theme="1"/>
        <rFont val="Calibri"/>
        <family val="2"/>
        <scheme val="minor"/>
      </rPr>
      <t>.</t>
    </r>
  </si>
  <si>
    <r>
      <t xml:space="preserve">Use </t>
    </r>
    <r>
      <rPr>
        <b/>
        <sz val="11"/>
        <color theme="1"/>
        <rFont val="Calibri"/>
        <family val="2"/>
        <scheme val="minor"/>
      </rPr>
      <t>Ni sulfide pyromet→matte</t>
    </r>
    <r>
      <rPr>
        <sz val="11"/>
        <color theme="1"/>
        <rFont val="Calibri"/>
        <family val="2"/>
        <scheme val="minor"/>
      </rPr>
      <t xml:space="preserve">; downstream refining is </t>
    </r>
    <r>
      <rPr>
        <b/>
        <sz val="11"/>
        <color theme="1"/>
        <rFont val="Calibri"/>
        <family val="2"/>
        <scheme val="minor"/>
      </rPr>
      <t>ex-Canada</t>
    </r>
    <r>
      <rPr>
        <sz val="11"/>
        <color theme="1"/>
        <rFont val="Calibri"/>
        <family val="2"/>
        <scheme val="minor"/>
      </rPr>
      <t xml:space="preserve"> (Nikkelverk).</t>
    </r>
  </si>
  <si>
    <r>
      <t>Pressure oxidation leach</t>
    </r>
    <r>
      <rPr>
        <sz val="11"/>
        <color theme="1"/>
        <rFont val="Calibri"/>
        <family val="2"/>
        <scheme val="minor"/>
      </rPr>
      <t xml:space="preserve"> (acidic) → solution purification/solvent extraction → </t>
    </r>
    <r>
      <rPr>
        <b/>
        <sz val="11"/>
        <color theme="1"/>
        <rFont val="Calibri"/>
        <family val="2"/>
        <scheme val="minor"/>
      </rPr>
      <t>electrowinning</t>
    </r>
    <r>
      <rPr>
        <sz val="11"/>
        <color theme="1"/>
        <rFont val="Calibri"/>
        <family val="2"/>
        <scheme val="minor"/>
      </rPr>
      <t>/</t>
    </r>
    <r>
      <rPr>
        <b/>
        <sz val="11"/>
        <color theme="1"/>
        <rFont val="Calibri"/>
        <family val="2"/>
        <scheme val="minor"/>
      </rPr>
      <t>electrolytic</t>
    </r>
    <r>
      <rPr>
        <sz val="11"/>
        <color theme="1"/>
        <rFont val="Calibri"/>
        <family val="2"/>
        <scheme val="minor"/>
      </rPr>
      <t xml:space="preserve"> production of </t>
    </r>
    <r>
      <rPr>
        <b/>
        <sz val="11"/>
        <color theme="1"/>
        <rFont val="Calibri"/>
        <family val="2"/>
        <scheme val="minor"/>
      </rPr>
      <t>nickel melt rounds</t>
    </r>
    <r>
      <rPr>
        <sz val="11"/>
        <color theme="1"/>
        <rFont val="Calibri"/>
        <family val="2"/>
        <scheme val="minor"/>
      </rPr>
      <t xml:space="preserve"> (and Co/Ni/Cu products). Nameplate Ni ≈ </t>
    </r>
    <r>
      <rPr>
        <b/>
        <sz val="11"/>
        <color theme="1"/>
        <rFont val="Calibri"/>
        <family val="2"/>
        <scheme val="minor"/>
      </rPr>
      <t>50 kt/y</t>
    </r>
    <r>
      <rPr>
        <sz val="11"/>
        <color theme="1"/>
        <rFont val="Calibri"/>
        <family val="2"/>
        <scheme val="minor"/>
      </rPr>
      <t>.</t>
    </r>
  </si>
  <si>
    <r>
      <t xml:space="preserve">Closest to your </t>
    </r>
    <r>
      <rPr>
        <b/>
        <sz val="11"/>
        <color theme="1"/>
        <rFont val="Calibri"/>
        <family val="2"/>
        <scheme val="minor"/>
      </rPr>
      <t>POX leaching of sulfide ores</t>
    </r>
    <r>
      <rPr>
        <sz val="11"/>
        <color theme="1"/>
        <rFont val="Calibri"/>
        <family val="2"/>
        <scheme val="minor"/>
      </rPr>
      <t xml:space="preserve"> archetype with downstream </t>
    </r>
    <r>
      <rPr>
        <b/>
        <sz val="11"/>
        <color theme="1"/>
        <rFont val="Calibri"/>
        <family val="2"/>
        <scheme val="minor"/>
      </rPr>
      <t>SX/EW</t>
    </r>
    <r>
      <rPr>
        <sz val="11"/>
        <color theme="1"/>
        <rFont val="Calibri"/>
        <family val="2"/>
        <scheme val="minor"/>
      </rPr>
      <t xml:space="preserve"> to Ni cathode/rounds.</t>
    </r>
  </si>
  <si>
    <r>
      <t>Ammoniacal pressure leach</t>
    </r>
    <r>
      <rPr>
        <sz val="11"/>
        <color theme="1"/>
        <rFont val="Calibri"/>
        <family val="2"/>
        <scheme val="minor"/>
      </rPr>
      <t xml:space="preserve"> in autoclaves → solution purification → Ni &amp; Co separation → crystallization/finishing; long-running </t>
    </r>
    <r>
      <rPr>
        <b/>
        <sz val="11"/>
        <color theme="1"/>
        <rFont val="Calibri"/>
        <family val="2"/>
        <scheme val="minor"/>
      </rPr>
      <t>Sherritt process</t>
    </r>
    <r>
      <rPr>
        <sz val="11"/>
        <color theme="1"/>
        <rFont val="Calibri"/>
        <family val="2"/>
        <scheme val="minor"/>
      </rPr>
      <t xml:space="preserve"> site.</t>
    </r>
  </si>
  <si>
    <r>
      <t xml:space="preserve">Map to </t>
    </r>
    <r>
      <rPr>
        <b/>
        <sz val="11"/>
        <color theme="1"/>
        <rFont val="Calibri"/>
        <family val="2"/>
        <scheme val="minor"/>
      </rPr>
      <t>hydromet refining from MSP</t>
    </r>
    <r>
      <rPr>
        <sz val="11"/>
        <color theme="1"/>
        <rFont val="Calibri"/>
        <family val="2"/>
        <scheme val="minor"/>
      </rPr>
      <t xml:space="preserve"> (not from ore/concentrate). Fits your </t>
    </r>
    <r>
      <rPr>
        <b/>
        <sz val="11"/>
        <color theme="1"/>
        <rFont val="Calibri"/>
        <family val="2"/>
        <scheme val="minor"/>
      </rPr>
      <t>hydromet sulfide intermediate</t>
    </r>
    <r>
      <rPr>
        <sz val="11"/>
        <color theme="1"/>
        <rFont val="Calibri"/>
        <family val="2"/>
        <scheme val="minor"/>
      </rPr>
      <t xml:space="preserve"> archetype, not POX-from-concentrate.</t>
    </r>
  </si>
  <si>
    <t>Sofia_LCI</t>
  </si>
  <si>
    <t>POX leaching processing of sulfide ores</t>
  </si>
  <si>
    <t>Pyrometallurgical treatment of sulfide ores</t>
  </si>
  <si>
    <t>Au_$</t>
  </si>
  <si>
    <t>Ag_$</t>
  </si>
  <si>
    <t>Cu_$</t>
  </si>
  <si>
    <t>Ni_$</t>
  </si>
  <si>
    <t>Mo_$</t>
  </si>
  <si>
    <t>Zn_$</t>
  </si>
  <si>
    <t>Pb_$</t>
  </si>
  <si>
    <t>Fe_$</t>
  </si>
  <si>
    <t>Pt_$</t>
  </si>
  <si>
    <t>Main_product</t>
  </si>
  <si>
    <t>Fe</t>
  </si>
  <si>
    <t>Pb</t>
  </si>
  <si>
    <t>Mo</t>
  </si>
  <si>
    <t>U</t>
  </si>
  <si>
    <t>Zn</t>
  </si>
  <si>
    <t>Sum</t>
  </si>
  <si>
    <t>%Au</t>
  </si>
  <si>
    <t>Au (Ag)</t>
  </si>
  <si>
    <t>Cu (Au, Ag)</t>
  </si>
  <si>
    <t>Cu (Mo)</t>
  </si>
  <si>
    <t>Ag (Zn)</t>
  </si>
  <si>
    <t>Au (Zn, Cu, Ag)</t>
  </si>
  <si>
    <t>Cu+Au</t>
  </si>
  <si>
    <t>%Cu</t>
  </si>
  <si>
    <t>Category</t>
  </si>
  <si>
    <t>Unique_to_TA</t>
  </si>
  <si>
    <t>Site_id</t>
  </si>
  <si>
    <t>Site_name</t>
  </si>
  <si>
    <t>Unique_to_matnrj</t>
  </si>
  <si>
    <t>Commodities</t>
  </si>
  <si>
    <t>Mining</t>
  </si>
  <si>
    <t>Manufacturing</t>
  </si>
  <si>
    <t>Type</t>
  </si>
  <si>
    <t>No biosphere flows</t>
  </si>
  <si>
    <t>Comment</t>
  </si>
  <si>
    <t>https://www.geologyontario.mines.gov.on.ca/mineral-inventory/MDI52H04NE00003</t>
  </si>
  <si>
    <t>Pd_t</t>
  </si>
  <si>
    <t>Cu (Zn, Ag)</t>
  </si>
  <si>
    <t>Co_t</t>
  </si>
  <si>
    <t>Co_$</t>
  </si>
  <si>
    <t>Co</t>
  </si>
  <si>
    <t>Mine Name</t>
  </si>
  <si>
    <t>Mining Method</t>
  </si>
  <si>
    <t>Ore Type</t>
  </si>
  <si>
    <t>Processing Steps</t>
  </si>
  <si>
    <t>Final Product</t>
  </si>
  <si>
    <t>Onsite Refining</t>
  </si>
  <si>
    <t>Partially free-milling, partially refractory</t>
  </si>
  <si>
    <t>Gravity + Flotation</t>
  </si>
  <si>
    <t>Doré + Gold-Silver Concentrate</t>
  </si>
  <si>
    <t>Partial</t>
  </si>
  <si>
    <t>Open-pit + Underground</t>
  </si>
  <si>
    <t>Free-milling</t>
  </si>
  <si>
    <t>Crushing, Grinding, Cyanide Leaching, CIP</t>
  </si>
  <si>
    <t>Doré</t>
  </si>
  <si>
    <t>Yes</t>
  </si>
  <si>
    <t>Magnetite/Hematite (Iron Ore)</t>
  </si>
  <si>
    <t>Crushing, Grinding, Magnetic Separation</t>
  </si>
  <si>
    <t>Iron Ore Concentrate</t>
  </si>
  <si>
    <t>No</t>
  </si>
  <si>
    <t>Underground + Open-pit</t>
  </si>
  <si>
    <t>Gravity, Cyanidation, CIL</t>
  </si>
  <si>
    <t>Refractory</t>
  </si>
  <si>
    <t>Flotation</t>
  </si>
  <si>
    <t>Copper Concentrate (Au/Ag by-products)</t>
  </si>
  <si>
    <t>Gravity, Cyanidation, CIP</t>
  </si>
  <si>
    <t>Cyanidation, Merrill-Crowe</t>
  </si>
  <si>
    <t>Gravity, Flotation, Regrind, Leaching, CIP</t>
  </si>
  <si>
    <t>Porphyry Copper (Gold/Silver in sulfides)</t>
  </si>
  <si>
    <t>Crushing, Grinding, Flotation</t>
  </si>
  <si>
    <t>Copper &amp; Molybdenum Concentrates</t>
  </si>
  <si>
    <t>Gravity + Flotation (concentrate sent to LaRonde)</t>
  </si>
  <si>
    <t>Doré + Pyrite Concentrate</t>
  </si>
  <si>
    <t>Gravity + CIP</t>
  </si>
  <si>
    <t>Polymetallic sulfide</t>
  </si>
  <si>
    <t>Silver-Lead and Zinc Concentrates</t>
  </si>
  <si>
    <t>PGM sulfide</t>
  </si>
  <si>
    <t>PGM + Cu/Ni Concentrate</t>
  </si>
  <si>
    <t>Gravity + Leaching + CIP</t>
  </si>
  <si>
    <t>Refractory, Polymetallic</t>
  </si>
  <si>
    <t>Flotation, Autoclave, CIP</t>
  </si>
  <si>
    <t>Doré + Cu/Zn Concentrates</t>
  </si>
  <si>
    <t>Gravity + Merrill-Crowe</t>
  </si>
  <si>
    <t>Free-milling to mildly refractory</t>
  </si>
  <si>
    <t>Gravity + CIL</t>
  </si>
  <si>
    <t>Copper-Gold Concentrate</t>
  </si>
  <si>
    <t>Gravity + Leaching + CIL</t>
  </si>
  <si>
    <t>Free-milling and Refractory</t>
  </si>
  <si>
    <t>Gravity, CIP, Flotation, Autoclave</t>
  </si>
  <si>
    <t>Iron ore (hematite/magnetite)</t>
  </si>
  <si>
    <t>Mostly Free-milling</t>
  </si>
  <si>
    <t>Gravity + Flotation + CIL</t>
  </si>
  <si>
    <t>Gravity + Leaching</t>
  </si>
  <si>
    <t>Partly Free-milling, Partly Refractory</t>
  </si>
  <si>
    <t>Flotation (Cu/Zn), Gravity + CIL (Au)</t>
  </si>
  <si>
    <t>Doré + Base Metal Concentrates</t>
  </si>
  <si>
    <t>has some technosphere flows</t>
  </si>
  <si>
    <t>archetypes</t>
  </si>
  <si>
    <t>Concentrator with flotation &amp; dewatering; copper-gold concentrate shipped to smelter.</t>
  </si>
  <si>
    <t>Cu electrorefinery</t>
  </si>
  <si>
    <t>Ni-Cu metallurgical complex</t>
  </si>
  <si>
    <t>Ni hydrometallurgical refinery</t>
  </si>
  <si>
    <t>Ni-Cu smelter</t>
  </si>
  <si>
    <t>Co hydrometallurgical refinery</t>
  </si>
  <si>
    <t xml:space="preserve">Site </t>
  </si>
  <si>
    <t xml:space="preserve"> What it does </t>
  </si>
  <si>
    <t xml:space="preserve"> Key outputs</t>
  </si>
  <si>
    <t xml:space="preserve">CCR (Montreal East) </t>
  </si>
  <si>
    <t xml:space="preserve"> Refining of copper anodes to 99.99% Cu </t>
  </si>
  <si>
    <t xml:space="preserve"> Copper cathodes, precious metals</t>
  </si>
  <si>
    <t xml:space="preserve">Copper Cliff Complex </t>
  </si>
  <si>
    <t xml:space="preserve"> Smelts Ni–Cu concentrates → matte; makes copper anodes </t>
  </si>
  <si>
    <t xml:space="preserve"> Ni–Cu matte, Cu anodes, sulphuric acid</t>
  </si>
  <si>
    <t xml:space="preserve">Long Harbour </t>
  </si>
  <si>
    <t xml:space="preserve"> POX leaching + SX + EW </t>
  </si>
  <si>
    <t xml:space="preserve"> Ni cathodes, Co by-products, Cu by-products</t>
  </si>
  <si>
    <t xml:space="preserve">Sudbury INO </t>
  </si>
  <si>
    <t xml:space="preserve"> Smelts Ni/Cu concentrates → matte </t>
  </si>
  <si>
    <t xml:space="preserve"> Ni–Cu matte, sulphuric acid</t>
  </si>
  <si>
    <t xml:space="preserve">Cobalt Refinery Co. (Port Colborne) </t>
  </si>
  <si>
    <t xml:space="preserve"> Hydrometallurgical cobalt refining </t>
  </si>
  <si>
    <t xml:space="preserve"> Co sulphate, Co oxide, Co powder, Ni salts</t>
  </si>
  <si>
    <t>Inputs/Feeds</t>
  </si>
  <si>
    <t>Copper anodes from Horne Smelter + imported anodes from RoW</t>
  </si>
  <si>
    <t>Ni-Cu concentrates from Sudbury Basin</t>
  </si>
  <si>
    <t>Archetypes</t>
  </si>
  <si>
    <t>Ni-Co matte from Voisey's Bay</t>
  </si>
  <si>
    <t>Ni-Cu concentrates from Strathcona Mill</t>
  </si>
  <si>
    <t>Co hydrometallurgy refinery</t>
  </si>
  <si>
    <t>Ni hydrometallurgy refinery</t>
  </si>
  <si>
    <t xml:space="preserve">Smelter &amp; matte production </t>
  </si>
  <si>
    <t xml:space="preserve">Smelter </t>
  </si>
  <si>
    <t>Magnetite concentrator</t>
  </si>
  <si>
    <t>Direct Shipping Ore</t>
  </si>
  <si>
    <t>Pellet Plant + Port</t>
  </si>
  <si>
    <t xml:space="preserve">High-grade uranium acid-leach mills </t>
  </si>
  <si>
    <t>MSP from Cuba</t>
  </si>
  <si>
    <t>Link</t>
  </si>
  <si>
    <t xml:space="preserve">Smelts </t>
  </si>
  <si>
    <t>Cu concentrates</t>
  </si>
  <si>
    <t>has GHG data (aggregated)</t>
  </si>
  <si>
    <t>geography</t>
  </si>
  <si>
    <t>Canada</t>
  </si>
  <si>
    <t>https://aluminium.ca/en/the-industry/</t>
  </si>
  <si>
    <t>RioTinto_rt-fact-book-addendum</t>
  </si>
  <si>
    <t>ArcelorMittal_Factbook_2024</t>
  </si>
  <si>
    <t>https://www.gem.wiki/Quebec_Iron_Bloom_Lake_Mine</t>
  </si>
  <si>
    <t>NewmontCorporation_Operating_statistics_2023</t>
  </si>
  <si>
    <t>Contained metal in doré</t>
  </si>
  <si>
    <t>Glencore_GLEN_2024-FY_ProductionReport_tables</t>
  </si>
  <si>
    <t>AgnicoEagleMinesLimited_operational_data</t>
  </si>
  <si>
    <t>https://www.gem.wiki/IOC_Carol_Lake_Mine</t>
  </si>
  <si>
    <t>IronOreCompanyofCanada_rt-fact-book-addendum</t>
  </si>
  <si>
    <t>https://www.hecla.com/operations/casa-berardi-quebec-canada</t>
  </si>
  <si>
    <t>HeclaMiningCompany_TR_Casa_Berardi_2024</t>
  </si>
  <si>
    <t>https://www.cameco.com/businesses/uranium-operations/canada/cigar-lake</t>
  </si>
  <si>
    <t>CamecoCorporation_AR_2023</t>
  </si>
  <si>
    <t>PROD-f080c409-2023-1</t>
  </si>
  <si>
    <t>https://www.geologyontario.mines.gov.on.ca/mineral-inventory/MDI41I06NE00002</t>
  </si>
  <si>
    <t>Vale_nan</t>
  </si>
  <si>
    <t>PROD-f080c409-2023-2</t>
  </si>
  <si>
    <t>PROD-f080c409-2023-3</t>
  </si>
  <si>
    <t>PROD-63b394c3-2023-1</t>
  </si>
  <si>
    <t>Finished production by source (In Vale's reporting, "by source" refers to finished production from ore that originated from a specific mine), no data for site. 7.2kt additional feed from third-parties</t>
  </si>
  <si>
    <t>Vale_Vale'sperformancein1Q25-xls</t>
  </si>
  <si>
    <t>PROD-63b394c3-2023-2</t>
  </si>
  <si>
    <t>HudbayMineralsInc_MDA25</t>
  </si>
  <si>
    <t>PROD-52224e1e-2023-1</t>
  </si>
  <si>
    <t>https://www.geologyontario.mndm.gov.on.ca/mndmfiles/mdi/data/records/MDI41I06NE00005.html</t>
  </si>
  <si>
    <t>PROD-52224e1e-2023-2</t>
  </si>
  <si>
    <t>PROD-52224e1e-2023-3</t>
  </si>
  <si>
    <t>AgnicoEagleMinesLimited_2023-Sustainability-Performance_data</t>
  </si>
  <si>
    <t>RioTinto_2024-4qor-xlsx</t>
  </si>
  <si>
    <t>https://www.gov.nl.ca/iet/files/Mining-in-NL-Fall-2024.pdf</t>
  </si>
  <si>
    <t>WesdomeGoldMinesLtd_2024-MDA-FINAL</t>
  </si>
  <si>
    <t>BurgundyDiamondMines_Quarterly-Activities-Report-for-the-Period-ended-September-30th-2027</t>
  </si>
  <si>
    <t>BurgundyDiamondMines_Quarterly-Activities-Report-for-the-Period-ended-September-30th-2026</t>
  </si>
  <si>
    <t>BurgundyDiamondMines_Quarterly-Activities-Report-for-the-Period-ended-September-30th-2025</t>
  </si>
  <si>
    <t>https://mrnf.gouv.qc.ca/en/mines/publications/quantity-mine-mouth-output-value-and-duties-paid-by-mining-companies/</t>
  </si>
  <si>
    <t>PROD-6dc537e6-2023-4</t>
  </si>
  <si>
    <t>https://www.accessnewswire.com/newsroom/en/metals-and-mining/gold-mountain-reports-its-interim-q4-2025-financial-and-operating-results-1001121?utm_source=chatgpt.com</t>
  </si>
  <si>
    <t>https://www.gem.wiki/Evraz_Regina_Steel_plant</t>
  </si>
  <si>
    <t>https://www.gem.wiki/ArcelorMittal_Fire_Lake_Mine</t>
  </si>
  <si>
    <t>Unit confirmed in the website: https://www.mcewenmining.com/operations/black-fox-complex/default.aspx</t>
  </si>
  <si>
    <t>McEwenMiningInc_SEC_2024</t>
  </si>
  <si>
    <t>https://www.glencore.ca/en/sudburyino/who-we-are/at-a-glance</t>
  </si>
  <si>
    <t>PROD-48fe2205-2023-1</t>
  </si>
  <si>
    <t>https://www.geologyontario.mndm.gov.on.ca/mndmfiles/mdi/data/records/MDI41I10SW00006.html</t>
  </si>
  <si>
    <t>PROD-48fe2205-2023-2</t>
  </si>
  <si>
    <t>PROD-48fe2205-2023-3</t>
  </si>
  <si>
    <t>https://www.tasekomines.com/investors/news/taseko-reports-strong-fourth-quarter-financial-performance-and-190-million-of-adjusted-ebitda-for-2023/</t>
  </si>
  <si>
    <t>The sustainability report inversed zinc and copper</t>
  </si>
  <si>
    <t>BarrickGoldCorporation_Barrick_2023_Performance-Data</t>
  </si>
  <si>
    <t>https://minfile.gov.bc.ca/summary.aspx?minfilno=092ISW012</t>
  </si>
  <si>
    <t>TeckResourcesLimited_2024_Annual_report</t>
  </si>
  <si>
    <t>AlamosGoldInc_Data_2023</t>
  </si>
  <si>
    <t>https://www.gem.wiki/Ivaco_Rolling_Mills_steel_plant</t>
  </si>
  <si>
    <t>https://www.hecla.com/operations/hecla-keno-hill-yukon-territory-canada</t>
  </si>
  <si>
    <t>HeclaMiningCompany_TR_Keno_Hill_2024</t>
  </si>
  <si>
    <t>https://www.cameco.com/businesses/uranium-operations/canada/mcarthur-river-key-lake</t>
  </si>
  <si>
    <t>Glencore_GLEN_2024_FY_ProductionReport</t>
  </si>
  <si>
    <t>https://www.geologyontario.mines.gov.on.ca/mineral-inventory/MDI42A11NW00002</t>
  </si>
  <si>
    <t>PROD-9de9bb0d-2023-3</t>
  </si>
  <si>
    <t>Assumed contained metal in dore</t>
  </si>
  <si>
    <t>PROD-a3c56a83-2023-3</t>
  </si>
  <si>
    <t>PROD-a3c56a83-2023-4</t>
  </si>
  <si>
    <t>EldoradoGold_Data</t>
  </si>
  <si>
    <t>PROD-f9e41c2a-2023-3</t>
  </si>
  <si>
    <t>The sustainability report gives a different figure, we relied on operational data</t>
  </si>
  <si>
    <t>PROD-d9036091-2023-1</t>
  </si>
  <si>
    <t>Finished production by site (In Vale's reporting, "by source" refers to finished production from ore that originated from a specific mine). Assumed 'Voisey's Bay &amp; Long Harbour' refers to the refinery production at Long Harbour</t>
  </si>
  <si>
    <t>ArgonautGoldInc_Data_2023</t>
  </si>
  <si>
    <t>https://www.gem.wiki/Baffinland_Mary_River_Mine</t>
  </si>
  <si>
    <t>https://www.orano.group/canada/en/our-uranium-expertise/mining-and-milling</t>
  </si>
  <si>
    <t>https://magnamining.com/about/mccreedy-west-project/</t>
  </si>
  <si>
    <t>https://www.gem.wiki/ArcelorMittal_Mont_Wright_Mine</t>
  </si>
  <si>
    <t>CenterraGoldInc_Data</t>
  </si>
  <si>
    <t>ImperialMetalsCorporation_2024-Q4-MDA</t>
  </si>
  <si>
    <t>NewGoldInc_New_gold_production</t>
  </si>
  <si>
    <t>https://iaac-aeic.gc.ca/050/evaluations/proj/80011</t>
  </si>
  <si>
    <t>PROD-a555d9b9-2023-2</t>
  </si>
  <si>
    <t>MagrisPerformanceMaterialsInc._SR_2023</t>
  </si>
  <si>
    <t>SayonaQuébecInc_AR_2023</t>
  </si>
  <si>
    <t>PROD-5ce331b8-2023-3</t>
  </si>
  <si>
    <t>https://www.mining-technology.com/marketdata/five-largest-nickel-mines-canada/?cf-view</t>
  </si>
  <si>
    <t>https://www.glencore.ca/en/raglan/what-we-do/our-mining-activity</t>
  </si>
  <si>
    <t>PROD-a97821c0-2022-5</t>
  </si>
  <si>
    <t>NewmontCorporation_AR_2024</t>
  </si>
  <si>
    <t>EvolutionMiningLtd_EVN_FY24-ESG-Performance-Data_web</t>
  </si>
  <si>
    <t>https://www.gem.wiki/Tacora_Resources_Scully_Mine</t>
  </si>
  <si>
    <t>SSRMiningInc_FY2024</t>
  </si>
  <si>
    <t>SilverLakeResourcesLtd_AR_2023</t>
  </si>
  <si>
    <t>SherrittInternationalCorporationandGeneralNickelCompanyS.A._TR_2023</t>
  </si>
  <si>
    <t>Assumed 2% ore grade and 85% recovery rate, taking nickel as the reference</t>
  </si>
  <si>
    <t>PanAmericanSilverCorp._Financial_results</t>
  </si>
  <si>
    <t>PROD-28f3f0fc-2023-1</t>
  </si>
  <si>
    <t>https://www.geologyontario.mndm.gov.on.ca/mndmfiles/mdi/data/records/MDI41I06NW00004.html</t>
  </si>
  <si>
    <t>PROD-28f3f0fc-2023-2</t>
  </si>
  <si>
    <t>PROD-28f3f0fc-2023-3</t>
  </si>
  <si>
    <t>IAMGOLDCorporation_operational_data</t>
  </si>
  <si>
    <t>PROD-02884fb5-2023-4</t>
  </si>
  <si>
    <t>1754055_prod</t>
  </si>
  <si>
    <t>t of copper ore</t>
  </si>
  <si>
    <t>https://github.com/climatetracecoalition/methodology-documents/tree/main/2024/Mineral%20Extraction</t>
  </si>
  <si>
    <t>1754056_prod</t>
  </si>
  <si>
    <t>1754057_prod</t>
  </si>
  <si>
    <t>1754058_prod</t>
  </si>
  <si>
    <t>1754060_prod</t>
  </si>
  <si>
    <t>1754061_prod</t>
  </si>
  <si>
    <t>1754066_prod</t>
  </si>
  <si>
    <t>1754067_prod</t>
  </si>
  <si>
    <t>1754071_prod</t>
  </si>
  <si>
    <t>BC-MAIN-e34feb4d</t>
  </si>
  <si>
    <t>Kemess</t>
  </si>
  <si>
    <t>1754075_prod</t>
  </si>
  <si>
    <t>1754077_prod</t>
  </si>
  <si>
    <t>1754081_prod</t>
  </si>
  <si>
    <t>1754082_prod</t>
  </si>
  <si>
    <t>CMP-24a4f1d5</t>
  </si>
  <si>
    <t>1754083_prod</t>
  </si>
  <si>
    <t>YT-MAIN-752fbcae</t>
  </si>
  <si>
    <t>CMP-e0e7077f</t>
  </si>
  <si>
    <t>Minto</t>
  </si>
  <si>
    <t>1754084_prod</t>
  </si>
  <si>
    <t>1754085_prod</t>
  </si>
  <si>
    <t>1754086_prod</t>
  </si>
  <si>
    <t>CMP-05423572</t>
  </si>
  <si>
    <t>1754087_prod</t>
  </si>
  <si>
    <t>1754096_prod</t>
  </si>
  <si>
    <t>1754097_prod</t>
  </si>
  <si>
    <t>1754102_prod</t>
  </si>
  <si>
    <t>1754103_prod</t>
  </si>
  <si>
    <t>1754104_prod</t>
  </si>
  <si>
    <t>1754105_prod</t>
  </si>
  <si>
    <t>QC-MAIN-b2148882</t>
  </si>
  <si>
    <t>CMP-1fbde0ec</t>
  </si>
  <si>
    <t>Troilus</t>
  </si>
  <si>
    <t>1754106_prod</t>
  </si>
  <si>
    <t>25486533_prod</t>
  </si>
  <si>
    <t>25486534_prod</t>
  </si>
  <si>
    <t>36395102_prod</t>
  </si>
  <si>
    <t>t of iron ore</t>
  </si>
  <si>
    <t>1754055_cap</t>
  </si>
  <si>
    <t>tonnes</t>
  </si>
  <si>
    <t>1754056_cap</t>
  </si>
  <si>
    <t>1754057_cap</t>
  </si>
  <si>
    <t>1754058_cap</t>
  </si>
  <si>
    <t>1754060_cap</t>
  </si>
  <si>
    <t>1754061_cap</t>
  </si>
  <si>
    <t>1754066_cap</t>
  </si>
  <si>
    <t>1754067_cap</t>
  </si>
  <si>
    <t>1754071_cap</t>
  </si>
  <si>
    <t>1754075_cap</t>
  </si>
  <si>
    <t>1754077_cap</t>
  </si>
  <si>
    <t>1754081_cap</t>
  </si>
  <si>
    <t>1754082_cap</t>
  </si>
  <si>
    <t>1754083_cap</t>
  </si>
  <si>
    <t>1754084_cap</t>
  </si>
  <si>
    <t>1754085_cap</t>
  </si>
  <si>
    <t>1754086_cap</t>
  </si>
  <si>
    <t>1754087_cap</t>
  </si>
  <si>
    <t>1754096_cap</t>
  </si>
  <si>
    <t>1754097_cap</t>
  </si>
  <si>
    <t>1754102_cap</t>
  </si>
  <si>
    <t>1754103_cap</t>
  </si>
  <si>
    <t>1754104_cap</t>
  </si>
  <si>
    <t>1754105_cap</t>
  </si>
  <si>
    <t>1754106_cap</t>
  </si>
  <si>
    <t>25486533_cap</t>
  </si>
  <si>
    <t>25486534_cap</t>
  </si>
  <si>
    <t>36395102_cap</t>
  </si>
  <si>
    <t>Lead, zinc</t>
  </si>
  <si>
    <t>Copper Cliff Complex (mine)</t>
  </si>
  <si>
    <t>Copper Cliff Complex (refinery)</t>
  </si>
  <si>
    <t>Underground, Concentrator</t>
  </si>
  <si>
    <t>U_t</t>
  </si>
  <si>
    <t>Nb_t</t>
  </si>
  <si>
    <t>U_$</t>
  </si>
  <si>
    <t>N_$</t>
  </si>
  <si>
    <t>N</t>
  </si>
  <si>
    <t>Source</t>
  </si>
  <si>
    <t>Lai et al. 2025</t>
  </si>
  <si>
    <t>HS code</t>
  </si>
  <si>
    <t>(CoSO4) Cobalt; mattes and other intermediate products of cobalt metallurgy, unwrought cobalt, powders</t>
  </si>
  <si>
    <t>Copper; refined, unwrought</t>
  </si>
  <si>
    <t>Metals; gold, non-monetary, unwrought (but not powder)</t>
  </si>
  <si>
    <t>Iron or steel, pig iron, spiegeleisen; granules thereof</t>
  </si>
  <si>
    <t>Lead; unwrought, refined</t>
  </si>
  <si>
    <t>Molybdenum oxides and hydroxides</t>
  </si>
  <si>
    <t>Nickel; unwrought, not alloyed</t>
  </si>
  <si>
    <t>Pd</t>
  </si>
  <si>
    <t>Metals; silver powder / unwrought, (but not powder)</t>
  </si>
  <si>
    <t>Zinc; unwrought, (not alloyed)</t>
  </si>
  <si>
    <t>Gallium, germanium, hafnium, indium, niobium (columbium), rhenium and vanadium; articles thereof, other than unwrought including waste and scrap and powders</t>
  </si>
  <si>
    <t>Price (USD/kg)</t>
  </si>
  <si>
    <t>MAC 2025 + taux de change 0.71</t>
  </si>
  <si>
    <t>Zn (Pb)</t>
  </si>
  <si>
    <t>Nb</t>
  </si>
  <si>
    <t>Ni+Cu</t>
  </si>
  <si>
    <t>Ni+Co</t>
  </si>
  <si>
    <t>Ni+PGM+Cu (Co)</t>
  </si>
  <si>
    <t>Convertor</t>
  </si>
  <si>
    <t>Refractory?</t>
  </si>
  <si>
    <t>Free-miling</t>
  </si>
  <si>
    <t>Free-miling + significant gravite dore + sometimes some flotation</t>
  </si>
  <si>
    <t>Porphyry sulfide, flotation-based</t>
  </si>
  <si>
    <t>Fe concentrator + pellet plant</t>
  </si>
  <si>
    <t>Fe concentrator feed</t>
  </si>
  <si>
    <t>Polymetallic high-grade Pb-Zn-Ag</t>
  </si>
  <si>
    <t>Fe concentrator</t>
  </si>
  <si>
    <t>Not clear</t>
  </si>
  <si>
    <t>biosphere_data?</t>
  </si>
  <si>
    <t>technosphere_data?</t>
  </si>
  <si>
    <t>Cu-Ni smelter and refinery</t>
  </si>
  <si>
    <t xml:space="preserve">High-grade U acid-leach mills </t>
  </si>
  <si>
    <t>Mixed free-miling-refactory</t>
  </si>
  <si>
    <t>High-grade polymetallic Pb-Zn-Ag</t>
  </si>
  <si>
    <t>Zn refinery</t>
  </si>
  <si>
    <t>Energy</t>
  </si>
  <si>
    <t>Energy and materials</t>
  </si>
  <si>
    <t>NPRI+GHG</t>
  </si>
  <si>
    <t>NPRI+GHG+Water</t>
  </si>
  <si>
    <t>GHG</t>
  </si>
  <si>
    <t>NPRI</t>
  </si>
  <si>
    <t>PGMs+Cu+Ni</t>
  </si>
  <si>
    <t>NPRI+land</t>
  </si>
  <si>
    <t>Land</t>
  </si>
  <si>
    <t>NPRI+GHG+Water+Land</t>
  </si>
  <si>
    <t>NPRI+GHG+Land</t>
  </si>
  <si>
    <t>NPRI+Land</t>
  </si>
  <si>
    <t>GHG+Land</t>
  </si>
  <si>
    <t>Unit</t>
  </si>
  <si>
    <t>Min</t>
  </si>
  <si>
    <t>Max</t>
  </si>
  <si>
    <t>Value</t>
  </si>
  <si>
    <t>Dore</t>
  </si>
  <si>
    <t>https://www.newswire.ca/news-releases/royal-nickel-completes-dumont-bulk-test-and-successfully-produces-worlds-highest-grade-nickel-sulphide-concentrate-562307091.html#:~:text=as%20the%20basis%20of%20the,performed%20well%20with%20pilot%20plant</t>
  </si>
  <si>
    <t>https://www.chemetalusa.com/dual-track-analysis-of-molybdenum-concentrate-prices-in-april-2025-domestic-mine-transactions-vs-international-fob-benchmarks/#:~:text=Dual,premium%20over%20domestic%20Chinese</t>
  </si>
  <si>
    <t>https://internationalcopper.org/wp-content/uploads/2021/11/copper-concentrates-2014.pdf#:~:text=The%20concentrates%20from%20primary%20sulfides,concentrations%20of%20up%20to%2040; https://www.teck.com/media/2006_Teck_Sustainability_Report_Highland_Valley_Copper.PDF?utm_source=chatgpt.com</t>
  </si>
  <si>
    <t>Dore bars = 70-90% Au, 5-20% Ag, 0-10% impurities</t>
  </si>
  <si>
    <t>Dore mass = mass Au in dore + mass Ag in dore + impurities</t>
  </si>
  <si>
    <t>tailings_mass_t</t>
  </si>
  <si>
    <t>Au_conc_t</t>
  </si>
  <si>
    <t>Ag_conc_t</t>
  </si>
  <si>
    <t>Cu_conc_t</t>
  </si>
  <si>
    <t>Ni_conc_t</t>
  </si>
  <si>
    <t>Co_conc_t</t>
  </si>
  <si>
    <t>Mo_conc_t</t>
  </si>
  <si>
    <t>Zn_conc_t</t>
  </si>
  <si>
    <t>Pb_conc_t</t>
  </si>
  <si>
    <t>Fe_conc_t</t>
  </si>
  <si>
    <t>Pt_conc_t</t>
  </si>
  <si>
    <t>Pd_conc_t</t>
  </si>
  <si>
    <t>U_conc_t</t>
  </si>
  <si>
    <t>Nb_conc_t</t>
  </si>
  <si>
    <t>concentrate_dore_mass_t</t>
  </si>
  <si>
    <t>Ni-Cu Porphyry sulfide, flotation-based</t>
  </si>
  <si>
    <t>Cu-Au Porphyry sulfide, flotation-based</t>
  </si>
  <si>
    <t>Cu-Mo Porphyry sulfide, flotation-based</t>
  </si>
  <si>
    <t>Cu-Zn Porphyry sulfide, flotation-based</t>
  </si>
  <si>
    <t>Au (Cu, Ag)</t>
  </si>
  <si>
    <t>Ag (Zn, Pb)</t>
  </si>
  <si>
    <t>Stream</t>
  </si>
  <si>
    <t>For dore we assume 88% of Au, 10% of Si and 2% impurities</t>
  </si>
  <si>
    <t>% tailings</t>
  </si>
  <si>
    <t>Create_LCI?</t>
  </si>
  <si>
    <t>dore_t_mass</t>
  </si>
  <si>
    <t>tailings_t_mass</t>
  </si>
  <si>
    <t>Cu_conc</t>
  </si>
  <si>
    <t>Ni_conc</t>
  </si>
  <si>
    <t>Mo_conc</t>
  </si>
  <si>
    <t>Zn_conc</t>
  </si>
  <si>
    <t>Pb_conc</t>
  </si>
  <si>
    <t>Fe_conc</t>
  </si>
  <si>
    <t>Pt_conc</t>
  </si>
  <si>
    <t>Pd_conc</t>
  </si>
  <si>
    <t>U_conc</t>
  </si>
  <si>
    <t>Nb_conc</t>
  </si>
  <si>
    <t>ta_data?</t>
  </si>
  <si>
    <t>HG, RR</t>
  </si>
  <si>
    <t>HG</t>
  </si>
  <si>
    <t>OG</t>
  </si>
  <si>
    <t>OG, SR</t>
  </si>
  <si>
    <t>HG, RR, SR</t>
  </si>
  <si>
    <t>SR</t>
  </si>
  <si>
    <t>OG, HG</t>
  </si>
  <si>
    <t>HG (Au, Ag, Cu), RR, SR</t>
  </si>
  <si>
    <t>HG, RR, SR for Au</t>
  </si>
  <si>
    <t>HG, SR, RR for Cu</t>
  </si>
  <si>
    <t>HG (Cu)</t>
  </si>
  <si>
    <t>OG, HG, RR</t>
  </si>
  <si>
    <t>HG (Ag, Pb, Zn)</t>
  </si>
  <si>
    <t>HG (Cu, Zn)</t>
  </si>
  <si>
    <t>HG (PGMs)</t>
  </si>
  <si>
    <t>HG, RR (Cu, Au, Zn), SR</t>
  </si>
  <si>
    <t>HG (Co, Pd, Pt, Ag, Au, Cu, Ni)</t>
  </si>
  <si>
    <t>HG, RR (Cu, Au)</t>
  </si>
  <si>
    <t>OG, RR (Cu, Au)</t>
  </si>
  <si>
    <t>OG, RR</t>
  </si>
  <si>
    <t>OG, RR, SR</t>
  </si>
  <si>
    <t>HG, RR, CG for New Britannia and Stall Lake (Cu, AG, Au, Zn)</t>
  </si>
  <si>
    <t>HG (Cu, Ni)</t>
  </si>
  <si>
    <t>OG, HG, SR, RR</t>
  </si>
  <si>
    <t>Not sure (no NPRI)</t>
  </si>
  <si>
    <t>Not sure (no NPRI) but technosphere</t>
  </si>
  <si>
    <t>Not sure (no technosphere)</t>
  </si>
  <si>
    <t>Au_conc</t>
  </si>
  <si>
    <t>conc_t_mass</t>
  </si>
  <si>
    <t>Energy and explosives</t>
  </si>
  <si>
    <t>Energy and materials (blasting and acid only)</t>
  </si>
  <si>
    <t>(NRJ could be back calculated with GHG)</t>
  </si>
  <si>
    <t>Cu smelter</t>
  </si>
  <si>
    <t>Nb mine</t>
  </si>
  <si>
    <t>Nb smelter</t>
  </si>
  <si>
    <t>infer_energy_data</t>
  </si>
  <si>
    <t>infer_land_data</t>
  </si>
  <si>
    <t>infer_material_data</t>
  </si>
  <si>
    <t>Energy (but sanity issue)</t>
  </si>
  <si>
    <t>Energy and explosives (but sanity issue)</t>
  </si>
  <si>
    <t>infer_explosives_data</t>
  </si>
  <si>
    <t>npv</t>
  </si>
  <si>
    <t>Cold Evergreen Needleleaf Forest</t>
  </si>
  <si>
    <t>Cool Evergreen Needleleaf Forest</t>
  </si>
  <si>
    <t>Low and High Shrub Tundra</t>
  </si>
  <si>
    <t>Temperate Evergreen Needleleaf Open Woodland</t>
  </si>
  <si>
    <t>Cool Mixed Forest</t>
  </si>
  <si>
    <t>Graminoid and Forb Tundra</t>
  </si>
  <si>
    <t>infer_water_data</t>
  </si>
  <si>
    <t>m3/t</t>
  </si>
  <si>
    <t>archetypes_detailed</t>
  </si>
  <si>
    <t>High water consumption</t>
  </si>
  <si>
    <t>Particular production pattern</t>
  </si>
  <si>
    <t>Particular production pattern, zinc and copper flotation in addition to precious metals and recovery and refining</t>
  </si>
  <si>
    <t>Might contain refractory ore?</t>
  </si>
  <si>
    <t>Contains PGMs so might be a bit special</t>
  </si>
  <si>
    <t>Only mining</t>
  </si>
  <si>
    <t>NPRI+Land+GHG</t>
  </si>
  <si>
    <t>Not sure (no GHG)</t>
  </si>
  <si>
    <t>Particular production pattern. Check GHG coverage (only one facility?)</t>
  </si>
  <si>
    <t>Yes (manufacturing)</t>
  </si>
  <si>
    <t>Refined Ni+Cu</t>
  </si>
  <si>
    <t>Refined Ni</t>
  </si>
  <si>
    <t>Refined Co+Ni</t>
  </si>
  <si>
    <t>Might contain refractory ore? Big GHG outlier</t>
  </si>
  <si>
    <t>No (iron)</t>
  </si>
  <si>
    <t>Cigar Lake + McClean Lake</t>
  </si>
  <si>
    <t>High-grade U mine + mill</t>
  </si>
  <si>
    <t>GRP-91aaa60b</t>
  </si>
  <si>
    <t>Cu (Au)</t>
  </si>
  <si>
    <t>Cu+Zn (Ag)</t>
  </si>
  <si>
    <t>Au-Ag+Cu</t>
  </si>
  <si>
    <t>Au-Ag+Cu+Zn</t>
  </si>
  <si>
    <t>Cu+Mo</t>
  </si>
  <si>
    <t>Not sure (no technosphere and no GHG)</t>
  </si>
  <si>
    <t>Not sure (Vale Sudbury)</t>
  </si>
  <si>
    <t>Only concentration? Or need to integrate Fraser + Nickel Rim South (mines)</t>
  </si>
  <si>
    <t>Au+Cu</t>
  </si>
  <si>
    <t>Au–Ag free-milling</t>
  </si>
  <si>
    <t>Au–Ag refractory</t>
  </si>
  <si>
    <t>Au–Ag polymetallic</t>
  </si>
  <si>
    <t>Cu Porphyry</t>
  </si>
  <si>
    <t>Cu polymetallic</t>
  </si>
  <si>
    <t>Ni–Cu sulfide</t>
  </si>
  <si>
    <t>Big outlier in GHG, not sure if doré is really produced</t>
  </si>
  <si>
    <t>Yellowcake</t>
  </si>
  <si>
    <t>Ag polymetallic</t>
  </si>
  <si>
    <t>Not sure</t>
  </si>
  <si>
    <t>Au-Ag doré</t>
  </si>
  <si>
    <t>Ni-Cu bulk conc.</t>
  </si>
  <si>
    <t>Cu and Mo conc.</t>
  </si>
  <si>
    <t>Au-Ag doré, Cu conc.</t>
  </si>
  <si>
    <t>Au-Ag doré, Cu and Zn conc.</t>
  </si>
  <si>
    <t>Fe conc.</t>
  </si>
  <si>
    <t>Fe conc., Fe pellets</t>
  </si>
  <si>
    <t>PGM bulk conc.</t>
  </si>
  <si>
    <t>Cu-PGM conc. and Ni-Cu conc.</t>
  </si>
  <si>
    <t>Nb conc.</t>
  </si>
  <si>
    <t>Pb and Zn conc.</t>
  </si>
  <si>
    <t>Cu and Zn conc.</t>
  </si>
  <si>
    <t>Cu conc.</t>
  </si>
  <si>
    <t>Land+GHG</t>
  </si>
  <si>
    <t>Au-Ag</t>
  </si>
  <si>
    <t>stream</t>
  </si>
  <si>
    <t>mine</t>
  </si>
  <si>
    <t>source</t>
  </si>
  <si>
    <t>https://www.mining-technology.com/marketdata/five-largest-gold-mines-canada/</t>
  </si>
  <si>
    <t>https://www.mining-technology.com/marketdata/five-largest-copper-mines-canada/</t>
  </si>
  <si>
    <t>https://www.mining-technology.com/marketdata/five-largest-nickel-mines-canada/</t>
  </si>
  <si>
    <t>https://www.orano.group/en/unpacking-nuclear/mining-recipe-for-yellowcake</t>
  </si>
  <si>
    <t>https://www.championiron.com/project/bloom-lake/</t>
  </si>
  <si>
    <t>dore_yield</t>
  </si>
  <si>
    <t>concentrate_yield</t>
  </si>
  <si>
    <t>infer_cement_data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</si>
</sst>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s>
  <fills count="13">
    <fill>
      <patternFill patternType="none"/>
    </fill>
    <fill>
      <patternFill patternType="gray125"/>
    </fill>
    <fill>
      <patternFill patternType="solid">
        <fgColor theme="4" tint="0.79998168889431442"/>
        <bgColor indexed="64"/>
      </patternFill>
    </fill>
    <fill>
      <patternFill patternType="solid">
        <fgColor rgb="FFFFC000"/>
        <bgColor indexed="64"/>
      </patternFill>
    </fill>
    <fill>
      <patternFill patternType="solid">
        <fgColor rgb="FFFFFF00"/>
        <bgColor indexed="64"/>
      </patternFill>
    </fill>
    <fill>
      <patternFill patternType="solid">
        <fgColor theme="1" tint="0.499984740745262"/>
        <bgColor indexed="64"/>
      </patternFill>
    </fill>
    <fill>
      <patternFill patternType="solid">
        <fgColor theme="7"/>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7" tint="-0.499984740745262"/>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theme="1"/>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0" fontId="2" fillId="0" borderId="0" applyNumberFormat="0" applyFill="0" applyBorder="0" applyAlignment="0" applyProtection="0"/>
    <xf numFmtId="9" fontId="3" fillId="0" borderId="0" applyFont="0" applyFill="0" applyBorder="0" applyAlignment="0" applyProtection="0"/>
  </cellStyleXfs>
  <cellXfs count="74">
    <xf numFmtId="0" fontId="0" fillId="0" borderId="0" xfId="0"/>
    <xf numFmtId="0" fontId="1" fillId="0" borderId="0" xfId="0" applyFont="1"/>
    <xf numFmtId="0" fontId="0" fillId="0" borderId="0" xfId="0" applyAlignment="1">
      <alignment vertical="center"/>
    </xf>
    <xf numFmtId="0" fontId="2" fillId="0" borderId="0" xfId="1"/>
    <xf numFmtId="0" fontId="0" fillId="0" borderId="0" xfId="0" applyAlignment="1">
      <alignment vertical="center" wrapText="1"/>
    </xf>
    <xf numFmtId="0" fontId="1" fillId="0" borderId="0" xfId="0" applyFont="1" applyAlignment="1">
      <alignment horizontal="center" vertical="center"/>
    </xf>
    <xf numFmtId="0" fontId="0" fillId="2" borderId="0" xfId="0" applyFill="1"/>
    <xf numFmtId="0" fontId="1" fillId="0" borderId="0" xfId="0" applyFont="1" applyAlignment="1">
      <alignment horizontal="center" vertical="center" wrapText="1"/>
    </xf>
    <xf numFmtId="0" fontId="0" fillId="3" borderId="0" xfId="0" applyFill="1"/>
    <xf numFmtId="0" fontId="2" fillId="0" borderId="0" xfId="1" applyAlignment="1">
      <alignment vertical="center"/>
    </xf>
    <xf numFmtId="0" fontId="0" fillId="0" borderId="0" xfId="0" quotePrefix="1"/>
    <xf numFmtId="0" fontId="0" fillId="4" borderId="0" xfId="0" applyFill="1"/>
    <xf numFmtId="0" fontId="0" fillId="5" borderId="0" xfId="0" applyFill="1"/>
    <xf numFmtId="0" fontId="0" fillId="5" borderId="0" xfId="0" quotePrefix="1" applyFill="1"/>
    <xf numFmtId="0" fontId="0" fillId="6" borderId="0" xfId="0" applyFill="1"/>
    <xf numFmtId="0" fontId="1" fillId="0" borderId="1" xfId="0" applyFont="1" applyBorder="1"/>
    <xf numFmtId="0" fontId="1" fillId="0" borderId="2" xfId="0" applyFont="1" applyBorder="1"/>
    <xf numFmtId="0" fontId="1" fillId="0" borderId="3" xfId="0" applyFont="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3" fontId="0" fillId="0" borderId="0" xfId="0" applyNumberFormat="1"/>
    <xf numFmtId="9" fontId="0" fillId="0" borderId="0" xfId="2" applyFont="1" applyFill="1" applyBorder="1"/>
    <xf numFmtId="9" fontId="0" fillId="0" borderId="5" xfId="2" applyFont="1" applyFill="1" applyBorder="1"/>
    <xf numFmtId="3" fontId="0" fillId="0" borderId="7" xfId="0" applyNumberFormat="1" applyBorder="1"/>
    <xf numFmtId="9" fontId="0" fillId="0" borderId="7" xfId="2" applyFont="1" applyFill="1" applyBorder="1"/>
    <xf numFmtId="9" fontId="0" fillId="0" borderId="8" xfId="2" applyFont="1" applyFill="1" applyBorder="1"/>
    <xf numFmtId="0" fontId="3" fillId="0" borderId="0" xfId="0" applyFont="1"/>
    <xf numFmtId="2" fontId="3" fillId="0" borderId="0" xfId="0" applyNumberFormat="1" applyFont="1"/>
    <xf numFmtId="2" fontId="0" fillId="0" borderId="0" xfId="0" applyNumberFormat="1"/>
    <xf numFmtId="0" fontId="1" fillId="7" borderId="2" xfId="0" applyFont="1" applyFill="1" applyBorder="1"/>
    <xf numFmtId="0" fontId="1" fillId="7" borderId="0" xfId="0" applyFont="1" applyFill="1"/>
    <xf numFmtId="2" fontId="0" fillId="7" borderId="0" xfId="0" applyNumberFormat="1" applyFill="1"/>
    <xf numFmtId="2" fontId="0" fillId="7" borderId="7" xfId="0" applyNumberFormat="1" applyFill="1" applyBorder="1"/>
    <xf numFmtId="0" fontId="0" fillId="7" borderId="0" xfId="0" applyFill="1"/>
    <xf numFmtId="0" fontId="1" fillId="8" borderId="2" xfId="0" applyFont="1" applyFill="1" applyBorder="1"/>
    <xf numFmtId="0" fontId="1" fillId="8" borderId="0" xfId="0" applyFont="1" applyFill="1"/>
    <xf numFmtId="2" fontId="0" fillId="8" borderId="0" xfId="0" applyNumberFormat="1" applyFill="1"/>
    <xf numFmtId="2" fontId="0" fillId="8" borderId="7" xfId="0" applyNumberFormat="1" applyFill="1" applyBorder="1"/>
    <xf numFmtId="0" fontId="0" fillId="8" borderId="0" xfId="0" applyFill="1"/>
    <xf numFmtId="0" fontId="1" fillId="9" borderId="2" xfId="0" applyFont="1" applyFill="1" applyBorder="1"/>
    <xf numFmtId="3" fontId="0" fillId="9" borderId="0" xfId="0" applyNumberFormat="1" applyFill="1"/>
    <xf numFmtId="3" fontId="0" fillId="9" borderId="7" xfId="0" applyNumberFormat="1" applyFill="1" applyBorder="1"/>
    <xf numFmtId="0" fontId="0" fillId="9" borderId="0" xfId="0" applyFill="1"/>
    <xf numFmtId="0" fontId="1" fillId="10" borderId="1" xfId="0" applyFont="1" applyFill="1" applyBorder="1"/>
    <xf numFmtId="0" fontId="1" fillId="10" borderId="2" xfId="0" applyFont="1" applyFill="1" applyBorder="1"/>
    <xf numFmtId="0" fontId="0" fillId="10" borderId="4" xfId="0" applyFill="1" applyBorder="1"/>
    <xf numFmtId="0" fontId="0" fillId="10" borderId="0" xfId="0" applyFill="1"/>
    <xf numFmtId="0" fontId="0" fillId="10" borderId="6" xfId="0" applyFill="1" applyBorder="1"/>
    <xf numFmtId="9" fontId="0" fillId="0" borderId="0" xfId="2" applyFont="1" applyFill="1"/>
    <xf numFmtId="2" fontId="0" fillId="0" borderId="7" xfId="0" applyNumberFormat="1" applyBorder="1"/>
    <xf numFmtId="0" fontId="0" fillId="11" borderId="4" xfId="0" applyFill="1" applyBorder="1"/>
    <xf numFmtId="0" fontId="0" fillId="11" borderId="0" xfId="0" applyFill="1"/>
    <xf numFmtId="0" fontId="0" fillId="11" borderId="5" xfId="0" applyFill="1" applyBorder="1"/>
    <xf numFmtId="9" fontId="0" fillId="11" borderId="0" xfId="2" applyFont="1" applyFill="1"/>
    <xf numFmtId="2" fontId="0" fillId="11" borderId="0" xfId="0" applyNumberFormat="1" applyFill="1"/>
    <xf numFmtId="0" fontId="0" fillId="7" borderId="4" xfId="0" applyFill="1" applyBorder="1"/>
    <xf numFmtId="0" fontId="0" fillId="7" borderId="5" xfId="0" applyFill="1" applyBorder="1"/>
    <xf numFmtId="9" fontId="0" fillId="7" borderId="0" xfId="2" applyFont="1" applyFill="1"/>
    <xf numFmtId="0" fontId="0" fillId="10" borderId="9" xfId="0" applyFill="1" applyBorder="1"/>
    <xf numFmtId="0" fontId="0" fillId="10" borderId="10" xfId="0" applyFill="1" applyBorder="1"/>
    <xf numFmtId="0" fontId="0" fillId="10" borderId="11" xfId="0" applyFill="1" applyBorder="1"/>
    <xf numFmtId="0" fontId="0" fillId="12" borderId="4" xfId="0" applyFill="1" applyBorder="1"/>
    <xf numFmtId="0" fontId="1" fillId="12" borderId="0" xfId="0" applyFont="1" applyFill="1"/>
    <xf numFmtId="0" fontId="0" fillId="12" borderId="0" xfId="0" applyFill="1"/>
    <xf numFmtId="0" fontId="0" fillId="12" borderId="5" xfId="0" applyFill="1" applyBorder="1"/>
    <xf numFmtId="9" fontId="0" fillId="12" borderId="0" xfId="2" applyFont="1" applyFill="1"/>
    <xf numFmtId="2" fontId="0" fillId="12" borderId="0" xfId="0" applyNumberFormat="1" applyFill="1"/>
    <xf numFmtId="164" fontId="0" fillId="0" borderId="0" xfId="2" applyNumberFormat="1" applyFont="1"/>
    <xf numFmtId="10" fontId="0" fillId="0" borderId="0" xfId="2" applyNumberFormat="1" applyFont="1"/>
    <xf numFmtId="11" fontId="0" fillId="0" borderId="0" xfId="0" applyNumberFormat="1"/>
    <xf numFmtId="11" fontId="0" fillId="10" borderId="10" xfId="0" applyNumberFormat="1" applyFill="1" applyBorder="1"/>
  </cellXfs>
  <cellStyles count="3">
    <cellStyle name="Lien hypertexte" xfId="1" builtinId="8"/>
    <cellStyle name="Normal" xfId="0" builtinId="0"/>
    <cellStyle name="Pourcentag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17</xdr:row>
      <xdr:rowOff>19050</xdr:rowOff>
    </xdr:from>
    <xdr:to>
      <xdr:col>2</xdr:col>
      <xdr:colOff>3057791</xdr:colOff>
      <xdr:row>45</xdr:row>
      <xdr:rowOff>171718</xdr:rowOff>
    </xdr:to>
    <xdr:pic>
      <xdr:nvPicPr>
        <xdr:cNvPr id="2" name="Image 1">
          <a:extLst>
            <a:ext uri="{FF2B5EF4-FFF2-40B4-BE49-F238E27FC236}">
              <a16:creationId xmlns:a16="http://schemas.microsoft.com/office/drawing/2014/main" id="{60633226-0017-7926-059C-4ECE1240F9A3}"/>
            </a:ext>
          </a:extLst>
        </xdr:cNvPr>
        <xdr:cNvPicPr>
          <a:picLocks noChangeAspect="1"/>
        </xdr:cNvPicPr>
      </xdr:nvPicPr>
      <xdr:blipFill>
        <a:blip xmlns:r="http://schemas.openxmlformats.org/officeDocument/2006/relationships" r:embed="rId1"/>
        <a:stretch>
          <a:fillRect/>
        </a:stretch>
      </xdr:blipFill>
      <xdr:spPr>
        <a:xfrm>
          <a:off x="0" y="3257550"/>
          <a:ext cx="5172341" cy="5486668"/>
        </a:xfrm>
        <a:prstGeom prst="rect">
          <a:avLst/>
        </a:prstGeom>
      </xdr:spPr>
    </xdr:pic>
    <xdr:clientData/>
  </xdr:twoCellAnchor>
  <xdr:twoCellAnchor editAs="oneCell">
    <xdr:from>
      <xdr:col>0</xdr:col>
      <xdr:colOff>38100</xdr:colOff>
      <xdr:row>48</xdr:row>
      <xdr:rowOff>44450</xdr:rowOff>
    </xdr:from>
    <xdr:to>
      <xdr:col>2</xdr:col>
      <xdr:colOff>3181620</xdr:colOff>
      <xdr:row>64</xdr:row>
      <xdr:rowOff>101751</xdr:rowOff>
    </xdr:to>
    <xdr:pic>
      <xdr:nvPicPr>
        <xdr:cNvPr id="3" name="Image 2">
          <a:extLst>
            <a:ext uri="{FF2B5EF4-FFF2-40B4-BE49-F238E27FC236}">
              <a16:creationId xmlns:a16="http://schemas.microsoft.com/office/drawing/2014/main" id="{4540794F-87BA-ED57-F99B-301CB6AF98F0}"/>
            </a:ext>
          </a:extLst>
        </xdr:cNvPr>
        <xdr:cNvPicPr>
          <a:picLocks noChangeAspect="1"/>
        </xdr:cNvPicPr>
      </xdr:nvPicPr>
      <xdr:blipFill>
        <a:blip xmlns:r="http://schemas.openxmlformats.org/officeDocument/2006/relationships" r:embed="rId2"/>
        <a:stretch>
          <a:fillRect/>
        </a:stretch>
      </xdr:blipFill>
      <xdr:spPr>
        <a:xfrm>
          <a:off x="38100" y="9188450"/>
          <a:ext cx="5258070" cy="3105301"/>
        </a:xfrm>
        <a:prstGeom prst="rect">
          <a:avLst/>
        </a:prstGeom>
      </xdr:spPr>
    </xdr:pic>
    <xdr:clientData/>
  </xdr:twoCellAnchor>
  <xdr:twoCellAnchor editAs="oneCell">
    <xdr:from>
      <xdr:col>6</xdr:col>
      <xdr:colOff>638175</xdr:colOff>
      <xdr:row>17</xdr:row>
      <xdr:rowOff>19050</xdr:rowOff>
    </xdr:from>
    <xdr:to>
      <xdr:col>12</xdr:col>
      <xdr:colOff>390747</xdr:colOff>
      <xdr:row>42</xdr:row>
      <xdr:rowOff>111362</xdr:rowOff>
    </xdr:to>
    <xdr:pic>
      <xdr:nvPicPr>
        <xdr:cNvPr id="4" name="Image 3">
          <a:extLst>
            <a:ext uri="{FF2B5EF4-FFF2-40B4-BE49-F238E27FC236}">
              <a16:creationId xmlns:a16="http://schemas.microsoft.com/office/drawing/2014/main" id="{822A200C-1324-AF51-6CC4-9D3429FF4932}"/>
            </a:ext>
          </a:extLst>
        </xdr:cNvPr>
        <xdr:cNvPicPr>
          <a:picLocks noChangeAspect="1"/>
        </xdr:cNvPicPr>
      </xdr:nvPicPr>
      <xdr:blipFill>
        <a:blip xmlns:r="http://schemas.openxmlformats.org/officeDocument/2006/relationships" r:embed="rId3"/>
        <a:stretch>
          <a:fillRect/>
        </a:stretch>
      </xdr:blipFill>
      <xdr:spPr>
        <a:xfrm>
          <a:off x="5800725" y="3257550"/>
          <a:ext cx="4324572" cy="4854812"/>
        </a:xfrm>
        <a:prstGeom prst="rect">
          <a:avLst/>
        </a:prstGeom>
      </xdr:spPr>
    </xdr:pic>
    <xdr:clientData/>
  </xdr:twoCellAnchor>
  <xdr:twoCellAnchor editAs="oneCell">
    <xdr:from>
      <xdr:col>6</xdr:col>
      <xdr:colOff>749300</xdr:colOff>
      <xdr:row>42</xdr:row>
      <xdr:rowOff>171450</xdr:rowOff>
    </xdr:from>
    <xdr:to>
      <xdr:col>12</xdr:col>
      <xdr:colOff>444719</xdr:colOff>
      <xdr:row>53</xdr:row>
      <xdr:rowOff>28670</xdr:rowOff>
    </xdr:to>
    <xdr:pic>
      <xdr:nvPicPr>
        <xdr:cNvPr id="5" name="Image 4">
          <a:extLst>
            <a:ext uri="{FF2B5EF4-FFF2-40B4-BE49-F238E27FC236}">
              <a16:creationId xmlns:a16="http://schemas.microsoft.com/office/drawing/2014/main" id="{0D5594E9-A12D-C2E4-41CD-42B6023F6C1C}"/>
            </a:ext>
          </a:extLst>
        </xdr:cNvPr>
        <xdr:cNvPicPr>
          <a:picLocks noChangeAspect="1"/>
        </xdr:cNvPicPr>
      </xdr:nvPicPr>
      <xdr:blipFill>
        <a:blip xmlns:r="http://schemas.openxmlformats.org/officeDocument/2006/relationships" r:embed="rId4"/>
        <a:stretch>
          <a:fillRect/>
        </a:stretch>
      </xdr:blipFill>
      <xdr:spPr>
        <a:xfrm>
          <a:off x="5911850" y="8172450"/>
          <a:ext cx="4267419" cy="195272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arin Pellan" id="{218E4635-0DBE-48FF-904B-A64F2717E97C}" userId="S::marin.pellan@polymtl.ca::3f7c0edb-e8ec-4a37-8825-7980f4e34b6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3" dT="2025-11-20T22:34:50.20" personId="{218E4635-0DBE-48FF-904B-A64F2717E97C}" id="{A944B3C9-06D2-4A77-B1F3-3D45536A913B}">
    <text>Water withdrawal only</text>
  </threadedComment>
  <threadedComment ref="I50" dT="2025-11-20T22:48:38.15" personId="{218E4635-0DBE-48FF-904B-A64F2717E97C}" id="{D4996DAA-9865-4A83-9BA8-E1F043903D76}">
    <text>Withrawal only</text>
  </threadedComment>
</ThreadedComments>
</file>

<file path=xl/threadedComments/threadedComment2.xml><?xml version="1.0" encoding="utf-8"?>
<ThreadedComments xmlns="http://schemas.microsoft.com/office/spreadsheetml/2018/threadedcomments" xmlns:x="http://schemas.openxmlformats.org/spreadsheetml/2006/main">
  <threadedComment ref="K3" dT="2025-11-20T22:34:50.20" personId="{218E4635-0DBE-48FF-904B-A64F2717E97C}" id="{E7F5B2C4-0154-4799-A16A-456D1B04A18F}">
    <text>Water withdrawal only</text>
  </threadedComment>
  <threadedComment ref="X35" dT="2025-11-27T19:41:05.63" personId="{218E4635-0DBE-48FF-904B-A64F2717E97C}" id="{38A45787-AA35-4CB3-A759-723A5678C6EF}">
    <text>Cu-PGM sent to Glencore, Ni-Cu sent to Vale</text>
  </threadedComment>
  <threadedComment ref="AE44" dT="2025-11-27T21:01:22.89" personId="{218E4635-0DBE-48FF-904B-A64F2717E97C}" id="{6E07C32C-7795-4EEA-96E2-52B1486CB85F}">
    <text>Comes from assumption for ore processed probably</text>
  </threadedComment>
  <threadedComment ref="K47" dT="2025-11-20T22:48:38.15" personId="{218E4635-0DBE-48FF-904B-A64F2717E97C}" id="{6990FD3D-3CAF-4426-B5E3-C9F38CA3626E}">
    <text>Withrawal only</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hyperlink" Target="https://www.championiron.com/project/bloom-lake/" TargetMode="External"/><Relationship Id="rId1" Type="http://schemas.openxmlformats.org/officeDocument/2006/relationships/hyperlink" Target="https://internationalcopper.org/wp-content/uploads/2021/11/copper-concentrates-2014.pdf"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8" Type="http://schemas.openxmlformats.org/officeDocument/2006/relationships/hyperlink" Target="https://s2.q4cdn.com/343762060/files/doc_downloads/How_Sherritt_Refines_Metals_2017.pdf?utm_source=chatgpt.com" TargetMode="External"/><Relationship Id="rId3" Type="http://schemas.openxmlformats.org/officeDocument/2006/relationships/hyperlink" Target="https://minedocs.com/24/Sudbury-TR-12312022.pdf?utm_source=chatgpt.com" TargetMode="External"/><Relationship Id="rId7" Type="http://schemas.openxmlformats.org/officeDocument/2006/relationships/hyperlink" Target="https://s2.q4cdn.com/343762060/files/doc_downloads/How_Sherritt_Refines_Metals_2017.pdf?utm_source=chatgpt.com" TargetMode="External"/><Relationship Id="rId12" Type="http://schemas.openxmlformats.org/officeDocument/2006/relationships/hyperlink" Target="https://www.glencore.ca/en/horne/ce-que-nous-faisons/nos-operations?utm_source=chatgpt.com" TargetMode="External"/><Relationship Id="rId2" Type="http://schemas.openxmlformats.org/officeDocument/2006/relationships/hyperlink" Target="https://www.glencore.ca/en/ccr?utm_source=chatgpt.com" TargetMode="External"/><Relationship Id="rId1" Type="http://schemas.openxmlformats.org/officeDocument/2006/relationships/hyperlink" Target="https://www.glencore.ca/en/horne/ce-que-nous-faisons/nos-operations?utm_source=chatgpt.com" TargetMode="External"/><Relationship Id="rId6" Type="http://schemas.openxmlformats.org/officeDocument/2006/relationships/hyperlink" Target="https://en.wikipedia.org/wiki/Long_Harbour_Nickel_Processing_Plant?utm_source=chatgpt.com" TargetMode="External"/><Relationship Id="rId11" Type="http://schemas.openxmlformats.org/officeDocument/2006/relationships/hyperlink" Target="https://minedocs.com/24/Sudbury-TR-12312022.pdf?utm_source=chatgpt.com" TargetMode="External"/><Relationship Id="rId5" Type="http://schemas.openxmlformats.org/officeDocument/2006/relationships/hyperlink" Target="https://transitionaccelerator.ca/wp-content/uploads/2025/08/From-Rocks-to-Power-Nickel.pdf?utm_source=chatgpt.com" TargetMode="External"/><Relationship Id="rId10" Type="http://schemas.openxmlformats.org/officeDocument/2006/relationships/hyperlink" Target="https://transitionaccelerator.ca/wp-content/uploads/2025/08/From-Rocks-to-Power-Nickel.pdf?utm_source=chatgpt.com" TargetMode="External"/><Relationship Id="rId4" Type="http://schemas.openxmlformats.org/officeDocument/2006/relationships/hyperlink" Target="https://vale.com/documents/d/guest/nickel_p_pellets_can-2?utm_source=chatgpt.com" TargetMode="External"/><Relationship Id="rId9" Type="http://schemas.openxmlformats.org/officeDocument/2006/relationships/hyperlink" Target="https://en.wikipedia.org/wiki/Long_Harbour_Nickel_Processing_Plant?utm_source=chatgpt.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F6F16-C637-42DA-AE51-5ADB7A92F79C}">
  <dimension ref="A1:BF67"/>
  <sheetViews>
    <sheetView workbookViewId="0">
      <selection activeCell="BF22" sqref="BF22"/>
    </sheetView>
  </sheetViews>
  <sheetFormatPr baseColWidth="10" defaultRowHeight="15" x14ac:dyDescent="0.25"/>
  <cols>
    <col min="1" max="1" width="18.140625" bestFit="1" customWidth="1"/>
    <col min="2" max="2" width="17.42578125" bestFit="1" customWidth="1"/>
    <col min="3" max="3" width="37.140625" bestFit="1" customWidth="1"/>
    <col min="4" max="4" width="20.85546875" bestFit="1" customWidth="1"/>
    <col min="5" max="5" width="25" bestFit="1" customWidth="1"/>
    <col min="6" max="6" width="13.7109375" bestFit="1" customWidth="1"/>
    <col min="7" max="7" width="32.85546875" customWidth="1"/>
    <col min="8" max="8" width="29.7109375" bestFit="1" customWidth="1"/>
    <col min="9" max="9" width="36.85546875" bestFit="1" customWidth="1"/>
    <col min="10" max="10" width="20.7109375" bestFit="1" customWidth="1"/>
    <col min="11" max="11" width="12.5703125" customWidth="1"/>
    <col min="12" max="12" width="50.5703125" bestFit="1" customWidth="1"/>
    <col min="13" max="13" width="15.140625" bestFit="1" customWidth="1"/>
    <col min="14" max="14" width="17.28515625" style="49" customWidth="1"/>
    <col min="15" max="15" width="20.28515625" style="49" customWidth="1"/>
    <col min="16" max="16" width="16.140625" style="49" bestFit="1" customWidth="1"/>
    <col min="17" max="19" width="11.85546875" style="36" customWidth="1"/>
    <col min="20" max="20" width="8.42578125" style="36" bestFit="1" customWidth="1"/>
    <col min="21" max="21" width="8.42578125" style="36" customWidth="1"/>
    <col min="22" max="22" width="10.85546875" style="36" bestFit="1" customWidth="1"/>
    <col min="23" max="23" width="12.42578125" style="36" bestFit="1" customWidth="1"/>
    <col min="24" max="24" width="11.42578125" style="36" bestFit="1" customWidth="1"/>
    <col min="25" max="25" width="14.42578125" style="36" bestFit="1" customWidth="1"/>
    <col min="26" max="26" width="9.85546875" style="36" bestFit="1" customWidth="1"/>
    <col min="27" max="29" width="9.85546875" style="36" customWidth="1"/>
    <col min="30" max="30" width="12" style="41" bestFit="1" customWidth="1"/>
    <col min="31" max="32" width="11.85546875" style="41" customWidth="1"/>
    <col min="33" max="33" width="11.5703125" style="41" bestFit="1" customWidth="1"/>
    <col min="34" max="34" width="11.85546875" style="41" bestFit="1" customWidth="1"/>
    <col min="35" max="35" width="12.5703125" style="41" bestFit="1" customWidth="1"/>
    <col min="36" max="36" width="11.7109375" style="41" bestFit="1" customWidth="1"/>
    <col min="37" max="37" width="11.85546875" style="41" bestFit="1" customWidth="1"/>
    <col min="38" max="38" width="11.7109375" style="41" bestFit="1" customWidth="1"/>
    <col min="39" max="39" width="11.42578125" style="41" bestFit="1" customWidth="1"/>
    <col min="40" max="40" width="11.85546875" style="41" bestFit="1" customWidth="1"/>
    <col min="41" max="41" width="11" style="41" bestFit="1" customWidth="1"/>
    <col min="42" max="42" width="12.140625" style="41" bestFit="1" customWidth="1"/>
    <col min="43" max="45" width="11" style="45" bestFit="1" customWidth="1"/>
    <col min="46" max="47" width="10.85546875" style="45"/>
    <col min="48" max="50" width="11" style="45" bestFit="1" customWidth="1"/>
    <col min="51" max="51" width="11.42578125" style="45" bestFit="1" customWidth="1"/>
    <col min="52" max="52" width="11" style="45" bestFit="1" customWidth="1"/>
    <col min="53" max="54" width="11" style="45" customWidth="1"/>
    <col min="55" max="55" width="11.42578125" bestFit="1" customWidth="1"/>
    <col min="58" max="58" width="15.140625" bestFit="1" customWidth="1"/>
  </cols>
  <sheetData>
    <row r="1" spans="1:58" x14ac:dyDescent="0.25">
      <c r="A1" s="15" t="s">
        <v>0</v>
      </c>
      <c r="B1" s="16" t="s">
        <v>1</v>
      </c>
      <c r="C1" s="16" t="s">
        <v>2</v>
      </c>
      <c r="D1" s="16" t="s">
        <v>3</v>
      </c>
      <c r="E1" s="16" t="s">
        <v>430</v>
      </c>
      <c r="F1" s="17" t="s">
        <v>431</v>
      </c>
      <c r="G1" s="15" t="s">
        <v>16</v>
      </c>
      <c r="H1" s="16" t="s">
        <v>1155</v>
      </c>
      <c r="I1" s="16" t="s">
        <v>1409</v>
      </c>
      <c r="J1" s="16" t="s">
        <v>1410</v>
      </c>
      <c r="K1" s="16" t="s">
        <v>980</v>
      </c>
      <c r="L1" s="17" t="s">
        <v>17</v>
      </c>
      <c r="M1" s="1" t="s">
        <v>1067</v>
      </c>
      <c r="N1" s="46" t="s">
        <v>907</v>
      </c>
      <c r="O1" s="47" t="s">
        <v>1453</v>
      </c>
      <c r="P1" s="47" t="s">
        <v>1439</v>
      </c>
      <c r="Q1" s="32" t="s">
        <v>923</v>
      </c>
      <c r="R1" s="32" t="s">
        <v>924</v>
      </c>
      <c r="S1" s="32" t="s">
        <v>925</v>
      </c>
      <c r="T1" s="32" t="s">
        <v>926</v>
      </c>
      <c r="U1" s="32" t="s">
        <v>1096</v>
      </c>
      <c r="V1" s="32" t="s">
        <v>929</v>
      </c>
      <c r="W1" s="32" t="s">
        <v>930</v>
      </c>
      <c r="X1" s="32" t="s">
        <v>931</v>
      </c>
      <c r="Y1" s="32" t="s">
        <v>927</v>
      </c>
      <c r="Z1" s="32" t="s">
        <v>928</v>
      </c>
      <c r="AA1" s="32" t="s">
        <v>1094</v>
      </c>
      <c r="AB1" s="32" t="s">
        <v>1373</v>
      </c>
      <c r="AC1" s="32" t="s">
        <v>1374</v>
      </c>
      <c r="AD1" s="37" t="s">
        <v>1440</v>
      </c>
      <c r="AE1" s="37" t="s">
        <v>1441</v>
      </c>
      <c r="AF1" s="37" t="s">
        <v>1442</v>
      </c>
      <c r="AG1" s="37" t="s">
        <v>1443</v>
      </c>
      <c r="AH1" s="37" t="s">
        <v>1444</v>
      </c>
      <c r="AI1" s="37" t="s">
        <v>1445</v>
      </c>
      <c r="AJ1" s="37" t="s">
        <v>1446</v>
      </c>
      <c r="AK1" s="37" t="s">
        <v>1447</v>
      </c>
      <c r="AL1" s="37" t="s">
        <v>1448</v>
      </c>
      <c r="AM1" s="37" t="s">
        <v>1449</v>
      </c>
      <c r="AN1" s="37" t="s">
        <v>1450</v>
      </c>
      <c r="AO1" s="37" t="s">
        <v>1451</v>
      </c>
      <c r="AP1" s="37" t="s">
        <v>1452</v>
      </c>
      <c r="AQ1" s="42" t="s">
        <v>1058</v>
      </c>
      <c r="AR1" s="42" t="s">
        <v>1059</v>
      </c>
      <c r="AS1" s="42" t="s">
        <v>1060</v>
      </c>
      <c r="AT1" s="42" t="s">
        <v>1061</v>
      </c>
      <c r="AU1" s="42" t="s">
        <v>1097</v>
      </c>
      <c r="AV1" s="42" t="s">
        <v>1062</v>
      </c>
      <c r="AW1" s="42" t="s">
        <v>1063</v>
      </c>
      <c r="AX1" s="42" t="s">
        <v>1064</v>
      </c>
      <c r="AY1" s="42" t="s">
        <v>1065</v>
      </c>
      <c r="AZ1" s="42" t="s">
        <v>1066</v>
      </c>
      <c r="BA1" s="42" t="s">
        <v>1375</v>
      </c>
      <c r="BB1" s="42" t="s">
        <v>1376</v>
      </c>
      <c r="BC1" s="16" t="s">
        <v>1073</v>
      </c>
      <c r="BD1" s="16" t="s">
        <v>1074</v>
      </c>
      <c r="BE1" s="17" t="s">
        <v>1081</v>
      </c>
      <c r="BF1" s="1" t="s">
        <v>1067</v>
      </c>
    </row>
    <row r="2" spans="1:58" x14ac:dyDescent="0.25">
      <c r="A2" s="18" t="s">
        <v>53</v>
      </c>
      <c r="B2" s="1"/>
      <c r="C2" t="s">
        <v>56</v>
      </c>
      <c r="D2" s="1"/>
      <c r="E2" t="s">
        <v>436</v>
      </c>
      <c r="F2" s="19" t="s">
        <v>435</v>
      </c>
      <c r="G2" s="18" t="s">
        <v>57</v>
      </c>
      <c r="H2" t="s">
        <v>1190</v>
      </c>
      <c r="I2" t="s">
        <v>1426</v>
      </c>
      <c r="L2" s="19" t="s">
        <v>49</v>
      </c>
      <c r="M2" s="1" t="s">
        <v>1068</v>
      </c>
      <c r="N2" s="48">
        <f>prod_table_raw!N11</f>
        <v>11187000</v>
      </c>
      <c r="O2" s="49">
        <f>SUM(AD2:AP2)</f>
        <v>0</v>
      </c>
      <c r="P2" s="49">
        <f>N2-O2</f>
        <v>11187000</v>
      </c>
      <c r="Q2" s="33"/>
      <c r="R2" s="33"/>
      <c r="S2" s="33"/>
      <c r="T2" s="33"/>
      <c r="U2" s="33"/>
      <c r="V2" s="33"/>
      <c r="W2" s="33"/>
      <c r="X2" s="33"/>
      <c r="Y2" s="33"/>
      <c r="Z2" s="33"/>
      <c r="AA2" s="33"/>
      <c r="AB2" s="33"/>
      <c r="AC2" s="33"/>
      <c r="AD2" s="38"/>
      <c r="AE2" s="38"/>
      <c r="AF2" s="38">
        <f>S2/(concentrate_grade!$F$4/100)</f>
        <v>0</v>
      </c>
      <c r="AG2" s="38">
        <f>T2/(concentrate_grade!$F$6/100)</f>
        <v>0</v>
      </c>
      <c r="AH2" s="38"/>
      <c r="AI2" s="38"/>
      <c r="AJ2" s="38"/>
      <c r="AK2" s="38"/>
      <c r="AL2" s="38"/>
      <c r="AM2" s="38"/>
      <c r="AN2" s="38"/>
      <c r="AO2" s="38"/>
      <c r="AP2" s="38"/>
      <c r="AQ2" s="43">
        <f>Q2*prices!$C$4</f>
        <v>0</v>
      </c>
      <c r="AR2" s="43">
        <f>R2*prices!$C$11</f>
        <v>0</v>
      </c>
      <c r="AS2" s="43">
        <f>S2*prices!$C$3</f>
        <v>0</v>
      </c>
      <c r="AT2" s="43">
        <f>T2*prices!$C$8</f>
        <v>0</v>
      </c>
      <c r="AU2" s="43">
        <f>U2*prices!$C$2</f>
        <v>0</v>
      </c>
      <c r="AV2" s="43">
        <f>V2*prices!$C$7</f>
        <v>0</v>
      </c>
      <c r="AW2" s="43">
        <f>W2*prices!$C$13</f>
        <v>0</v>
      </c>
      <c r="AX2" s="43">
        <f>X2*prices!$C$6</f>
        <v>0</v>
      </c>
      <c r="AY2" s="43">
        <f>Y2*prices!$C$5</f>
        <v>0</v>
      </c>
      <c r="AZ2" s="43">
        <f>Z2*prices!$C$9</f>
        <v>0</v>
      </c>
      <c r="BA2" s="43">
        <f>AB2*prices!$C$12</f>
        <v>0</v>
      </c>
      <c r="BB2" s="43">
        <f>AC2*prices!$C$14</f>
        <v>0</v>
      </c>
      <c r="BC2" s="23">
        <f t="shared" ref="BC2:BC65" si="0">SUM(AQ2:AZ2)</f>
        <v>0</v>
      </c>
      <c r="BD2" s="24" t="e">
        <f t="shared" ref="BD2:BD65" si="1">AQ2/BC2</f>
        <v>#DIV/0!</v>
      </c>
      <c r="BE2" s="25" t="e">
        <f t="shared" ref="BE2:BE65" si="2">AS2/BC2</f>
        <v>#DIV/0!</v>
      </c>
      <c r="BF2" s="1" t="s">
        <v>1068</v>
      </c>
    </row>
    <row r="3" spans="1:58" x14ac:dyDescent="0.25">
      <c r="A3" s="18" t="s">
        <v>60</v>
      </c>
      <c r="C3" t="s">
        <v>63</v>
      </c>
      <c r="E3" t="s">
        <v>439</v>
      </c>
      <c r="F3" s="19" t="s">
        <v>435</v>
      </c>
      <c r="G3" s="18" t="s">
        <v>64</v>
      </c>
      <c r="I3" t="s">
        <v>1419</v>
      </c>
      <c r="J3" t="s">
        <v>1416</v>
      </c>
      <c r="L3" s="19" t="s">
        <v>65</v>
      </c>
      <c r="M3" t="s">
        <v>920</v>
      </c>
      <c r="N3" s="48">
        <f>prod_table_raw!N13</f>
        <v>166000</v>
      </c>
      <c r="O3" s="49">
        <f t="shared" ref="O3:O66" si="3">SUM(AD3:AP3)</f>
        <v>0</v>
      </c>
      <c r="P3" s="49">
        <f t="shared" ref="P3:P66" si="4">N3-O3</f>
        <v>166000</v>
      </c>
      <c r="Q3" s="34">
        <f>prod_table_raw!N14</f>
        <v>0.90200150000000001</v>
      </c>
      <c r="R3" s="34"/>
      <c r="S3" s="34"/>
      <c r="T3" s="34"/>
      <c r="U3" s="34"/>
      <c r="V3" s="34"/>
      <c r="W3" s="34"/>
      <c r="X3" s="34"/>
      <c r="Y3" s="34"/>
      <c r="Z3" s="34"/>
      <c r="AA3" s="34"/>
      <c r="AB3" s="34"/>
      <c r="AC3" s="34"/>
      <c r="AD3" s="39"/>
      <c r="AE3" s="39"/>
      <c r="AF3" s="38">
        <f>S3/(concentrate_grade!$F$4/100)</f>
        <v>0</v>
      </c>
      <c r="AG3" s="38">
        <f>T3/(concentrate_grade!$F$6/100)</f>
        <v>0</v>
      </c>
      <c r="AH3" s="39"/>
      <c r="AI3" s="39"/>
      <c r="AJ3" s="39"/>
      <c r="AK3" s="39"/>
      <c r="AL3" s="39"/>
      <c r="AM3" s="39"/>
      <c r="AN3" s="39"/>
      <c r="AO3" s="39"/>
      <c r="AP3" s="39"/>
      <c r="AQ3" s="43">
        <f>Q3*prices!$C$4</f>
        <v>46717.485459702504</v>
      </c>
      <c r="AR3" s="43">
        <f>R3*prices!$C$11</f>
        <v>0</v>
      </c>
      <c r="AS3" s="43">
        <f>S3*prices!$C$3</f>
        <v>0</v>
      </c>
      <c r="AT3" s="43">
        <f>T3*prices!$C$8</f>
        <v>0</v>
      </c>
      <c r="AU3" s="43">
        <f>U3*prices!$C$2</f>
        <v>0</v>
      </c>
      <c r="AV3" s="43">
        <f>V3*prices!$C$7</f>
        <v>0</v>
      </c>
      <c r="AW3" s="43">
        <f>W3*prices!$C$13</f>
        <v>0</v>
      </c>
      <c r="AX3" s="43">
        <f>X3*prices!$C$6</f>
        <v>0</v>
      </c>
      <c r="AY3" s="43">
        <f>Y3*prices!$C$5</f>
        <v>0</v>
      </c>
      <c r="AZ3" s="43">
        <f>Z3*prices!$C$9</f>
        <v>0</v>
      </c>
      <c r="BA3" s="43">
        <f>AB3*prices!$C$12</f>
        <v>0</v>
      </c>
      <c r="BB3" s="43">
        <f>AC3*prices!$C$14</f>
        <v>0</v>
      </c>
      <c r="BC3" s="23">
        <f t="shared" si="0"/>
        <v>46717.485459702504</v>
      </c>
      <c r="BD3" s="24">
        <f t="shared" si="1"/>
        <v>1</v>
      </c>
      <c r="BE3" s="25">
        <f t="shared" si="2"/>
        <v>0</v>
      </c>
      <c r="BF3" t="s">
        <v>920</v>
      </c>
    </row>
    <row r="4" spans="1:58" x14ac:dyDescent="0.25">
      <c r="A4" s="18" t="s">
        <v>68</v>
      </c>
      <c r="C4" t="s">
        <v>70</v>
      </c>
      <c r="E4" t="s">
        <v>436</v>
      </c>
      <c r="F4" s="19" t="s">
        <v>540</v>
      </c>
      <c r="G4" s="18" t="s">
        <v>71</v>
      </c>
      <c r="L4" s="19" t="s">
        <v>1369</v>
      </c>
      <c r="M4" t="s">
        <v>1394</v>
      </c>
      <c r="N4" s="48"/>
      <c r="O4" s="49">
        <f t="shared" si="3"/>
        <v>0</v>
      </c>
      <c r="P4" s="49">
        <f t="shared" si="4"/>
        <v>0</v>
      </c>
      <c r="Q4" s="34"/>
      <c r="R4" s="34"/>
      <c r="S4" s="34"/>
      <c r="T4" s="34"/>
      <c r="U4" s="34"/>
      <c r="V4" s="34"/>
      <c r="W4" s="34">
        <f>prod_table_raw!N16</f>
        <v>752600</v>
      </c>
      <c r="X4" s="34">
        <f>prod_table_raw!N15</f>
        <v>244600</v>
      </c>
      <c r="Y4" s="34"/>
      <c r="Z4" s="34"/>
      <c r="AA4" s="34"/>
      <c r="AB4" s="34"/>
      <c r="AC4" s="34"/>
      <c r="AD4" s="39"/>
      <c r="AE4" s="39"/>
      <c r="AF4" s="38">
        <f>S4/(concentrate_grade!$F$4/100)</f>
        <v>0</v>
      </c>
      <c r="AG4" s="38">
        <f>T4/(concentrate_grade!$F$6/100)</f>
        <v>0</v>
      </c>
      <c r="AH4" s="39"/>
      <c r="AI4" s="39"/>
      <c r="AJ4" s="39"/>
      <c r="AK4" s="39"/>
      <c r="AL4" s="39"/>
      <c r="AM4" s="39"/>
      <c r="AN4" s="39"/>
      <c r="AO4" s="39"/>
      <c r="AP4" s="39"/>
      <c r="AQ4" s="43">
        <f>Q4*prices!$C$4</f>
        <v>0</v>
      </c>
      <c r="AR4" s="43">
        <f>R4*prices!$C$11</f>
        <v>0</v>
      </c>
      <c r="AS4" s="43">
        <f>S4*prices!$C$3</f>
        <v>0</v>
      </c>
      <c r="AT4" s="43">
        <f>T4*prices!$C$8</f>
        <v>0</v>
      </c>
      <c r="AU4" s="43">
        <f>U4*prices!$C$2</f>
        <v>0</v>
      </c>
      <c r="AV4" s="43">
        <f>V4*prices!$C$7</f>
        <v>0</v>
      </c>
      <c r="AW4" s="43">
        <f>W4*prices!$C$13</f>
        <v>1941192.1221882368</v>
      </c>
      <c r="AX4" s="43">
        <f>X4*prices!$C$6</f>
        <v>504507.94213813823</v>
      </c>
      <c r="AY4" s="43">
        <f>Y4*prices!$C$5</f>
        <v>0</v>
      </c>
      <c r="AZ4" s="43">
        <f>Z4*prices!$C$9</f>
        <v>0</v>
      </c>
      <c r="BA4" s="43">
        <f>AB4*prices!$C$12</f>
        <v>0</v>
      </c>
      <c r="BB4" s="43">
        <f>AC4*prices!$C$14</f>
        <v>0</v>
      </c>
      <c r="BC4" s="23">
        <f t="shared" si="0"/>
        <v>2445700.0643263748</v>
      </c>
      <c r="BD4" s="24">
        <f t="shared" si="1"/>
        <v>0</v>
      </c>
      <c r="BE4" s="25">
        <f t="shared" si="2"/>
        <v>0</v>
      </c>
      <c r="BF4" t="s">
        <v>1394</v>
      </c>
    </row>
    <row r="5" spans="1:58" x14ac:dyDescent="0.25">
      <c r="A5" s="18" t="s">
        <v>74</v>
      </c>
      <c r="C5" t="s">
        <v>77</v>
      </c>
      <c r="E5" t="s">
        <v>436</v>
      </c>
      <c r="F5" s="19" t="s">
        <v>435</v>
      </c>
      <c r="G5" s="18" t="s">
        <v>78</v>
      </c>
      <c r="H5" s="14" t="s">
        <v>1413</v>
      </c>
      <c r="I5" t="s">
        <v>1426</v>
      </c>
      <c r="J5" t="s">
        <v>1416</v>
      </c>
      <c r="L5" s="19" t="s">
        <v>65</v>
      </c>
      <c r="M5" t="s">
        <v>1075</v>
      </c>
      <c r="N5" s="48">
        <f>prod_table_raw!N17</f>
        <v>17332900</v>
      </c>
      <c r="O5" s="49">
        <f t="shared" si="3"/>
        <v>0</v>
      </c>
      <c r="P5" s="49">
        <f t="shared" si="4"/>
        <v>17332900</v>
      </c>
      <c r="Q5" s="34">
        <f>prod_table_raw!N18</f>
        <v>18.785114342499998</v>
      </c>
      <c r="R5" s="34">
        <f>prod_table_raw!N19</f>
        <v>9.6731885000000002</v>
      </c>
      <c r="S5" s="34"/>
      <c r="T5" s="34"/>
      <c r="U5" s="34"/>
      <c r="V5" s="34"/>
      <c r="W5" s="34"/>
      <c r="X5" s="34"/>
      <c r="Y5" s="34"/>
      <c r="Z5" s="34"/>
      <c r="AA5" s="34"/>
      <c r="AB5" s="34"/>
      <c r="AC5" s="34"/>
      <c r="AD5" s="39"/>
      <c r="AE5" s="39"/>
      <c r="AF5" s="38">
        <f>S5/(concentrate_grade!$F$4/100)</f>
        <v>0</v>
      </c>
      <c r="AG5" s="38">
        <f>T5/(concentrate_grade!$F$6/100)</f>
        <v>0</v>
      </c>
      <c r="AH5" s="39"/>
      <c r="AI5" s="39"/>
      <c r="AJ5" s="39"/>
      <c r="AK5" s="39"/>
      <c r="AL5" s="39"/>
      <c r="AM5" s="39"/>
      <c r="AN5" s="39"/>
      <c r="AO5" s="39"/>
      <c r="AP5" s="39"/>
      <c r="AQ5" s="43">
        <f>Q5*prices!$C$4</f>
        <v>972939.96313153871</v>
      </c>
      <c r="AR5" s="43">
        <f>R5*prices!$C$11</f>
        <v>6501.6401865050002</v>
      </c>
      <c r="AS5" s="43">
        <f>S5*prices!$C$3</f>
        <v>0</v>
      </c>
      <c r="AT5" s="43">
        <f>T5*prices!$C$8</f>
        <v>0</v>
      </c>
      <c r="AU5" s="43">
        <f>U5*prices!$C$2</f>
        <v>0</v>
      </c>
      <c r="AV5" s="43">
        <f>V5*prices!$C$7</f>
        <v>0</v>
      </c>
      <c r="AW5" s="43">
        <f>W5*prices!$C$13</f>
        <v>0</v>
      </c>
      <c r="AX5" s="43">
        <f>X5*prices!$C$6</f>
        <v>0</v>
      </c>
      <c r="AY5" s="43">
        <f>Y5*prices!$C$5</f>
        <v>0</v>
      </c>
      <c r="AZ5" s="43">
        <f>Z5*prices!$C$9</f>
        <v>0</v>
      </c>
      <c r="BA5" s="43">
        <f>AB5*prices!$C$12</f>
        <v>0</v>
      </c>
      <c r="BB5" s="43">
        <f>AC5*prices!$C$14</f>
        <v>0</v>
      </c>
      <c r="BC5" s="23">
        <f t="shared" si="0"/>
        <v>979441.60331804375</v>
      </c>
      <c r="BD5" s="24">
        <f t="shared" si="1"/>
        <v>0.9933618909341001</v>
      </c>
      <c r="BE5" s="25">
        <f t="shared" si="2"/>
        <v>0</v>
      </c>
      <c r="BF5" t="s">
        <v>1075</v>
      </c>
    </row>
    <row r="6" spans="1:58" x14ac:dyDescent="0.25">
      <c r="A6" s="18" t="s">
        <v>82</v>
      </c>
      <c r="C6" t="s">
        <v>84</v>
      </c>
      <c r="E6" t="s">
        <v>442</v>
      </c>
      <c r="F6" s="19" t="s">
        <v>435</v>
      </c>
      <c r="G6" s="18" t="s">
        <v>78</v>
      </c>
      <c r="H6" t="s">
        <v>1404</v>
      </c>
      <c r="I6" t="s">
        <v>1426</v>
      </c>
      <c r="J6" t="s">
        <v>1416</v>
      </c>
      <c r="L6" s="19" t="s">
        <v>49</v>
      </c>
      <c r="M6" t="s">
        <v>1068</v>
      </c>
      <c r="N6" s="48">
        <f>prod_table_raw!N21</f>
        <v>16478000</v>
      </c>
      <c r="O6" s="49">
        <f t="shared" si="3"/>
        <v>0</v>
      </c>
      <c r="P6" s="49">
        <f t="shared" si="4"/>
        <v>16478000</v>
      </c>
      <c r="Q6" s="34"/>
      <c r="R6" s="34"/>
      <c r="S6" s="34"/>
      <c r="T6" s="34"/>
      <c r="U6" s="34"/>
      <c r="V6" s="34"/>
      <c r="W6" s="34"/>
      <c r="X6" s="34"/>
      <c r="Y6" s="34"/>
      <c r="Z6" s="34"/>
      <c r="AA6" s="34"/>
      <c r="AB6" s="34"/>
      <c r="AC6" s="34"/>
      <c r="AD6" s="39"/>
      <c r="AE6" s="39"/>
      <c r="AF6" s="38">
        <f>S6/(concentrate_grade!$F$4/100)</f>
        <v>0</v>
      </c>
      <c r="AG6" s="38">
        <f>T6/(concentrate_grade!$F$6/100)</f>
        <v>0</v>
      </c>
      <c r="AH6" s="39"/>
      <c r="AI6" s="39"/>
      <c r="AJ6" s="39"/>
      <c r="AK6" s="39"/>
      <c r="AL6" s="39"/>
      <c r="AM6" s="39"/>
      <c r="AN6" s="39"/>
      <c r="AO6" s="39"/>
      <c r="AP6" s="39"/>
      <c r="AQ6" s="43">
        <f>Q6*prices!$C$4</f>
        <v>0</v>
      </c>
      <c r="AR6" s="43">
        <f>R6*prices!$C$11</f>
        <v>0</v>
      </c>
      <c r="AS6" s="43">
        <f>S6*prices!$C$3</f>
        <v>0</v>
      </c>
      <c r="AT6" s="43">
        <f>T6*prices!$C$8</f>
        <v>0</v>
      </c>
      <c r="AU6" s="43">
        <f>U6*prices!$C$2</f>
        <v>0</v>
      </c>
      <c r="AV6" s="43">
        <f>V6*prices!$C$7</f>
        <v>0</v>
      </c>
      <c r="AW6" s="43">
        <f>W6*prices!$C$13</f>
        <v>0</v>
      </c>
      <c r="AX6" s="43">
        <f>X6*prices!$C$6</f>
        <v>0</v>
      </c>
      <c r="AY6" s="43">
        <f>Y6*prices!$C$5</f>
        <v>0</v>
      </c>
      <c r="AZ6" s="43">
        <f>Z6*prices!$C$9</f>
        <v>0</v>
      </c>
      <c r="BA6" s="43">
        <f>AB6*prices!$C$12</f>
        <v>0</v>
      </c>
      <c r="BB6" s="43">
        <f>AC6*prices!$C$14</f>
        <v>0</v>
      </c>
      <c r="BC6" s="23">
        <f t="shared" si="0"/>
        <v>0</v>
      </c>
      <c r="BD6" s="24" t="e">
        <f t="shared" si="1"/>
        <v>#DIV/0!</v>
      </c>
      <c r="BE6" s="25" t="e">
        <f t="shared" si="2"/>
        <v>#DIV/0!</v>
      </c>
      <c r="BF6" t="s">
        <v>1068</v>
      </c>
    </row>
    <row r="7" spans="1:58" x14ac:dyDescent="0.25">
      <c r="A7" s="18" t="s">
        <v>88</v>
      </c>
      <c r="C7" t="s">
        <v>90</v>
      </c>
      <c r="E7" t="s">
        <v>436</v>
      </c>
      <c r="F7" s="19" t="s">
        <v>435</v>
      </c>
      <c r="G7" s="18" t="s">
        <v>91</v>
      </c>
      <c r="H7" t="s">
        <v>1401</v>
      </c>
      <c r="I7" t="s">
        <v>1426</v>
      </c>
      <c r="J7" t="s">
        <v>1416</v>
      </c>
      <c r="L7" s="19" t="s">
        <v>65</v>
      </c>
      <c r="M7" t="s">
        <v>920</v>
      </c>
      <c r="N7" s="48">
        <f>prod_table_raw!N24</f>
        <v>1361450</v>
      </c>
      <c r="O7" s="49">
        <f t="shared" si="3"/>
        <v>0</v>
      </c>
      <c r="P7" s="49">
        <f t="shared" si="4"/>
        <v>1361450</v>
      </c>
      <c r="Q7" s="34">
        <f>prod_table_raw!N22</f>
        <v>2.6935630999999902</v>
      </c>
      <c r="R7" s="34">
        <f>prod_table_raw!N23</f>
        <v>0.7527047</v>
      </c>
      <c r="S7" s="34"/>
      <c r="T7" s="34"/>
      <c r="U7" s="34"/>
      <c r="V7" s="34"/>
      <c r="W7" s="34"/>
      <c r="X7" s="34"/>
      <c r="Y7" s="34"/>
      <c r="Z7" s="34"/>
      <c r="AA7" s="34"/>
      <c r="AB7" s="34"/>
      <c r="AC7" s="34"/>
      <c r="AD7" s="39"/>
      <c r="AE7" s="39"/>
      <c r="AF7" s="38">
        <f>S7/(concentrate_grade!$F$4/100)</f>
        <v>0</v>
      </c>
      <c r="AG7" s="38">
        <f>T7/(concentrate_grade!$F$6/100)</f>
        <v>0</v>
      </c>
      <c r="AH7" s="39"/>
      <c r="AI7" s="39"/>
      <c r="AJ7" s="39"/>
      <c r="AK7" s="39"/>
      <c r="AL7" s="39"/>
      <c r="AM7" s="39"/>
      <c r="AN7" s="39"/>
      <c r="AO7" s="39"/>
      <c r="AP7" s="39"/>
      <c r="AQ7" s="43">
        <f>Q7*prices!$C$4</f>
        <v>139508.07726931799</v>
      </c>
      <c r="AR7" s="43">
        <f>R7*prices!$C$11</f>
        <v>505.91541001100001</v>
      </c>
      <c r="AS7" s="43">
        <f>S7*prices!$C$3</f>
        <v>0</v>
      </c>
      <c r="AT7" s="43">
        <f>T7*prices!$C$8</f>
        <v>0</v>
      </c>
      <c r="AU7" s="43">
        <f>U7*prices!$C$2</f>
        <v>0</v>
      </c>
      <c r="AV7" s="43">
        <f>V7*prices!$C$7</f>
        <v>0</v>
      </c>
      <c r="AW7" s="43">
        <f>W7*prices!$C$13</f>
        <v>0</v>
      </c>
      <c r="AX7" s="43">
        <f>X7*prices!$C$6</f>
        <v>0</v>
      </c>
      <c r="AY7" s="43">
        <f>Y7*prices!$C$5</f>
        <v>0</v>
      </c>
      <c r="AZ7" s="43">
        <f>Z7*prices!$C$9</f>
        <v>0</v>
      </c>
      <c r="BA7" s="43">
        <f>AB7*prices!$C$12</f>
        <v>0</v>
      </c>
      <c r="BB7" s="43">
        <f>AC7*prices!$C$14</f>
        <v>0</v>
      </c>
      <c r="BC7" s="23">
        <f t="shared" si="0"/>
        <v>140013.99267932898</v>
      </c>
      <c r="BD7" s="24">
        <f t="shared" si="1"/>
        <v>0.99638667964301486</v>
      </c>
      <c r="BE7" s="25">
        <f t="shared" si="2"/>
        <v>0</v>
      </c>
      <c r="BF7" t="s">
        <v>920</v>
      </c>
    </row>
    <row r="8" spans="1:58" x14ac:dyDescent="0.25">
      <c r="A8" s="18" t="s">
        <v>95</v>
      </c>
      <c r="C8" t="s">
        <v>97</v>
      </c>
      <c r="E8" t="s">
        <v>453</v>
      </c>
      <c r="F8" s="19" t="s">
        <v>435</v>
      </c>
      <c r="G8" s="18" t="s">
        <v>98</v>
      </c>
      <c r="H8" t="s">
        <v>1412</v>
      </c>
      <c r="I8" t="s">
        <v>1426</v>
      </c>
      <c r="L8" s="19" t="s">
        <v>92</v>
      </c>
      <c r="M8" t="s">
        <v>1071</v>
      </c>
      <c r="N8" s="48" t="e">
        <f>prod_table_raw!#REF!</f>
        <v>#REF!</v>
      </c>
      <c r="O8" s="49">
        <f t="shared" si="3"/>
        <v>0</v>
      </c>
      <c r="P8" s="49" t="e">
        <f t="shared" si="4"/>
        <v>#REF!</v>
      </c>
      <c r="Q8" s="34"/>
      <c r="R8" s="34"/>
      <c r="S8" s="34"/>
      <c r="T8" s="34"/>
      <c r="U8" s="34"/>
      <c r="V8" s="34"/>
      <c r="W8" s="34"/>
      <c r="X8" s="34"/>
      <c r="Y8" s="34"/>
      <c r="Z8" s="34"/>
      <c r="AA8" s="34"/>
      <c r="AB8" s="34" t="e">
        <f>prod_table_raw!#REF!</f>
        <v>#REF!</v>
      </c>
      <c r="AC8" s="34"/>
      <c r="AD8" s="39"/>
      <c r="AE8" s="39"/>
      <c r="AF8" s="38">
        <f>S8/(concentrate_grade!$F$4/100)</f>
        <v>0</v>
      </c>
      <c r="AG8" s="38">
        <f>T8/(concentrate_grade!$F$6/100)</f>
        <v>0</v>
      </c>
      <c r="AH8" s="39"/>
      <c r="AI8" s="39"/>
      <c r="AJ8" s="39"/>
      <c r="AK8" s="39"/>
      <c r="AL8" s="39"/>
      <c r="AM8" s="39"/>
      <c r="AN8" s="39"/>
      <c r="AO8" s="39"/>
      <c r="AP8" s="39"/>
      <c r="AQ8" s="43">
        <f>Q8*prices!$C$4</f>
        <v>0</v>
      </c>
      <c r="AR8" s="43">
        <f>R8*prices!$C$11</f>
        <v>0</v>
      </c>
      <c r="AS8" s="43">
        <f>S8*prices!$C$3</f>
        <v>0</v>
      </c>
      <c r="AT8" s="43">
        <f>T8*prices!$C$8</f>
        <v>0</v>
      </c>
      <c r="AU8" s="43">
        <f>U8*prices!$C$2</f>
        <v>0</v>
      </c>
      <c r="AV8" s="43">
        <f>V8*prices!$C$7</f>
        <v>0</v>
      </c>
      <c r="AW8" s="43">
        <f>W8*prices!$C$13</f>
        <v>0</v>
      </c>
      <c r="AX8" s="43">
        <f>X8*prices!$C$6</f>
        <v>0</v>
      </c>
      <c r="AY8" s="43">
        <f>Y8*prices!$C$5</f>
        <v>0</v>
      </c>
      <c r="AZ8" s="43">
        <f>Z8*prices!$C$9</f>
        <v>0</v>
      </c>
      <c r="BA8" s="43" t="e">
        <f>AB8*prices!$C$12</f>
        <v>#REF!</v>
      </c>
      <c r="BB8" s="43">
        <f>AC8*prices!$C$14</f>
        <v>0</v>
      </c>
      <c r="BC8" s="23">
        <f t="shared" si="0"/>
        <v>0</v>
      </c>
      <c r="BD8" s="24" t="e">
        <f t="shared" si="1"/>
        <v>#DIV/0!</v>
      </c>
      <c r="BE8" s="25" t="e">
        <f t="shared" si="2"/>
        <v>#DIV/0!</v>
      </c>
      <c r="BF8" t="s">
        <v>1071</v>
      </c>
    </row>
    <row r="9" spans="1:58" x14ac:dyDescent="0.25">
      <c r="A9" s="18" t="s">
        <v>524</v>
      </c>
      <c r="B9" t="s">
        <v>403</v>
      </c>
      <c r="C9" t="s">
        <v>1370</v>
      </c>
      <c r="D9" t="s">
        <v>405</v>
      </c>
      <c r="E9" t="s">
        <v>437</v>
      </c>
      <c r="F9" s="19" t="s">
        <v>435</v>
      </c>
      <c r="G9" s="18" t="s">
        <v>98</v>
      </c>
      <c r="H9" t="s">
        <v>1454</v>
      </c>
      <c r="I9" t="s">
        <v>1427</v>
      </c>
      <c r="L9" s="19" t="s">
        <v>373</v>
      </c>
      <c r="M9" t="s">
        <v>1396</v>
      </c>
      <c r="N9" s="48">
        <f>prod_table_raw!N30</f>
        <v>748000</v>
      </c>
      <c r="O9" s="49">
        <f t="shared" si="3"/>
        <v>88353.75</v>
      </c>
      <c r="P9" s="49">
        <f t="shared" si="4"/>
        <v>659646.25</v>
      </c>
      <c r="Q9" s="34"/>
      <c r="R9" s="34"/>
      <c r="S9" s="34">
        <f>prod_table_raw!N29</f>
        <v>10098</v>
      </c>
      <c r="T9" s="34">
        <f>prod_table_raw!N28</f>
        <v>8751</v>
      </c>
      <c r="U9" s="34"/>
      <c r="V9" s="34"/>
      <c r="W9" s="34"/>
      <c r="X9" s="34"/>
      <c r="Y9" s="34"/>
      <c r="Z9" s="34"/>
      <c r="AA9" s="34"/>
      <c r="AB9" s="34"/>
      <c r="AC9" s="34"/>
      <c r="AD9" s="39"/>
      <c r="AE9" s="39"/>
      <c r="AF9" s="38">
        <f>S9/(concentrate_grade!$F$4/100)</f>
        <v>33660</v>
      </c>
      <c r="AG9" s="38">
        <f>T9/(concentrate_grade!$F$6/100)</f>
        <v>54693.75</v>
      </c>
      <c r="AH9" s="39"/>
      <c r="AI9" s="39"/>
      <c r="AJ9" s="39"/>
      <c r="AK9" s="39"/>
      <c r="AL9" s="39"/>
      <c r="AM9" s="39"/>
      <c r="AN9" s="39"/>
      <c r="AO9" s="39"/>
      <c r="AP9" s="39"/>
      <c r="AQ9" s="43">
        <f>Q9*prices!$C$4</f>
        <v>0</v>
      </c>
      <c r="AR9" s="43">
        <f>R9*prices!$C$11</f>
        <v>0</v>
      </c>
      <c r="AS9" s="43">
        <f>S9*prices!$C$3</f>
        <v>69676.2</v>
      </c>
      <c r="AT9" s="43">
        <f>T9*prices!$C$8</f>
        <v>136428.09</v>
      </c>
      <c r="AU9" s="43">
        <f>U9*prices!$C$2</f>
        <v>0</v>
      </c>
      <c r="AV9" s="43">
        <f>V9*prices!$C$7</f>
        <v>0</v>
      </c>
      <c r="AW9" s="43">
        <f>W9*prices!$C$13</f>
        <v>0</v>
      </c>
      <c r="AX9" s="43">
        <f>X9*prices!$C$6</f>
        <v>0</v>
      </c>
      <c r="AY9" s="43">
        <f>Y9*prices!$C$5</f>
        <v>0</v>
      </c>
      <c r="AZ9" s="43">
        <f>Z9*prices!$C$9</f>
        <v>0</v>
      </c>
      <c r="BA9" s="43">
        <f>AB9*prices!$C$12</f>
        <v>0</v>
      </c>
      <c r="BB9" s="43">
        <f>AC9*prices!$C$14</f>
        <v>0</v>
      </c>
      <c r="BC9" s="23">
        <f t="shared" si="0"/>
        <v>206104.28999999998</v>
      </c>
      <c r="BD9" s="24">
        <f t="shared" si="1"/>
        <v>0</v>
      </c>
      <c r="BE9" s="25">
        <f t="shared" si="2"/>
        <v>0.33806283217103344</v>
      </c>
      <c r="BF9" t="s">
        <v>1396</v>
      </c>
    </row>
    <row r="10" spans="1:58" x14ac:dyDescent="0.25">
      <c r="A10" s="18" t="s">
        <v>526</v>
      </c>
      <c r="B10" t="s">
        <v>403</v>
      </c>
      <c r="C10" t="s">
        <v>1371</v>
      </c>
      <c r="D10" t="s">
        <v>405</v>
      </c>
      <c r="E10" t="s">
        <v>437</v>
      </c>
      <c r="F10" s="19" t="s">
        <v>540</v>
      </c>
      <c r="G10" s="18" t="s">
        <v>411</v>
      </c>
      <c r="H10" t="s">
        <v>1411</v>
      </c>
      <c r="I10" t="s">
        <v>1418</v>
      </c>
      <c r="L10" s="19" t="s">
        <v>551</v>
      </c>
      <c r="M10" t="s">
        <v>1396</v>
      </c>
      <c r="N10" s="48"/>
      <c r="O10" s="49">
        <f t="shared" si="3"/>
        <v>431750</v>
      </c>
      <c r="P10" s="49">
        <f t="shared" si="4"/>
        <v>-431750</v>
      </c>
      <c r="Q10" s="34"/>
      <c r="R10" s="34"/>
      <c r="S10" s="34">
        <f>prod_table_raw!N31</f>
        <v>57900</v>
      </c>
      <c r="T10" s="34">
        <f>prod_table_raw!N32</f>
        <v>38200</v>
      </c>
      <c r="U10" s="34"/>
      <c r="V10" s="34"/>
      <c r="W10" s="34"/>
      <c r="X10" s="34"/>
      <c r="Y10" s="34"/>
      <c r="Z10" s="34"/>
      <c r="AA10" s="34"/>
      <c r="AB10" s="34"/>
      <c r="AC10" s="34"/>
      <c r="AD10" s="39"/>
      <c r="AE10" s="39"/>
      <c r="AF10" s="38">
        <f>S10/(concentrate_grade!$F$4/100)</f>
        <v>193000</v>
      </c>
      <c r="AG10" s="38">
        <f>T10/(concentrate_grade!$F$6/100)</f>
        <v>238750</v>
      </c>
      <c r="AH10" s="39"/>
      <c r="AI10" s="39"/>
      <c r="AJ10" s="39"/>
      <c r="AK10" s="39"/>
      <c r="AL10" s="39"/>
      <c r="AM10" s="39"/>
      <c r="AN10" s="39"/>
      <c r="AO10" s="39"/>
      <c r="AP10" s="39"/>
      <c r="AQ10" s="43">
        <f>Q10*prices!$C$4</f>
        <v>0</v>
      </c>
      <c r="AR10" s="43">
        <f>R10*prices!$C$11</f>
        <v>0</v>
      </c>
      <c r="AS10" s="43">
        <f>S10*prices!$C$3</f>
        <v>399510</v>
      </c>
      <c r="AT10" s="43">
        <f>T10*prices!$C$8</f>
        <v>595538</v>
      </c>
      <c r="AU10" s="43">
        <f>U10*prices!$C$2</f>
        <v>0</v>
      </c>
      <c r="AV10" s="43">
        <f>V10*prices!$C$7</f>
        <v>0</v>
      </c>
      <c r="AW10" s="43">
        <f>W10*prices!$C$13</f>
        <v>0</v>
      </c>
      <c r="AX10" s="43">
        <f>X10*prices!$C$6</f>
        <v>0</v>
      </c>
      <c r="AY10" s="43">
        <f>Y10*prices!$C$5</f>
        <v>0</v>
      </c>
      <c r="AZ10" s="43">
        <f>Z10*prices!$C$9</f>
        <v>0</v>
      </c>
      <c r="BA10" s="43">
        <f>AB10*prices!$C$12</f>
        <v>0</v>
      </c>
      <c r="BB10" s="43">
        <f>AC10*prices!$C$14</f>
        <v>0</v>
      </c>
      <c r="BC10" s="23">
        <f t="shared" si="0"/>
        <v>995048</v>
      </c>
      <c r="BD10" s="24">
        <f t="shared" si="1"/>
        <v>0</v>
      </c>
      <c r="BE10" s="25">
        <f t="shared" si="2"/>
        <v>0.40149821918138623</v>
      </c>
      <c r="BF10" t="s">
        <v>1396</v>
      </c>
    </row>
    <row r="11" spans="1:58" x14ac:dyDescent="0.25">
      <c r="A11" s="18" t="s">
        <v>109</v>
      </c>
      <c r="C11" t="s">
        <v>112</v>
      </c>
      <c r="E11" t="s">
        <v>439</v>
      </c>
      <c r="F11" s="19" t="s">
        <v>435</v>
      </c>
      <c r="G11" s="18" t="s">
        <v>78</v>
      </c>
      <c r="H11" t="s">
        <v>1455</v>
      </c>
      <c r="I11" t="s">
        <v>1426</v>
      </c>
      <c r="J11" t="s">
        <v>1416</v>
      </c>
      <c r="L11" s="19" t="s">
        <v>113</v>
      </c>
      <c r="M11" t="s">
        <v>1076</v>
      </c>
      <c r="N11" s="48">
        <f>prod_table_raw!N36</f>
        <v>6862152</v>
      </c>
      <c r="O11" s="49">
        <f t="shared" si="3"/>
        <v>63500</v>
      </c>
      <c r="P11" s="49">
        <f t="shared" si="4"/>
        <v>6798652</v>
      </c>
      <c r="Q11" s="34">
        <f>prod_table_raw!N35</f>
        <v>0.27520376799999902</v>
      </c>
      <c r="R11" s="34">
        <f>prod_table_raw!N38</f>
        <v>6.7893341869999997</v>
      </c>
      <c r="S11" s="34">
        <f>prod_table_raw!N39</f>
        <v>19050</v>
      </c>
      <c r="T11" s="34"/>
      <c r="U11" s="34"/>
      <c r="V11" s="34"/>
      <c r="W11" s="34"/>
      <c r="X11" s="34"/>
      <c r="Y11" s="34"/>
      <c r="Z11" s="34"/>
      <c r="AA11" s="34"/>
      <c r="AB11" s="34"/>
      <c r="AC11" s="34"/>
      <c r="AD11" s="39"/>
      <c r="AE11" s="39"/>
      <c r="AF11" s="38">
        <f>S11/(concentrate_grade!$F$4/100)</f>
        <v>63500</v>
      </c>
      <c r="AG11" s="38">
        <f>T11/(concentrate_grade!$F$6/100)</f>
        <v>0</v>
      </c>
      <c r="AH11" s="39"/>
      <c r="AI11" s="39"/>
      <c r="AJ11" s="39"/>
      <c r="AK11" s="39"/>
      <c r="AL11" s="39"/>
      <c r="AM11" s="39"/>
      <c r="AN11" s="39"/>
      <c r="AO11" s="39"/>
      <c r="AP11" s="39"/>
      <c r="AQ11" s="43">
        <f>Q11*prices!$C$4</f>
        <v>14253.66590853263</v>
      </c>
      <c r="AR11" s="43">
        <f>R11*prices!$C$11</f>
        <v>4563.3151871083101</v>
      </c>
      <c r="AS11" s="43">
        <f>S11*prices!$C$3</f>
        <v>131445</v>
      </c>
      <c r="AT11" s="43">
        <f>T11*prices!$C$8</f>
        <v>0</v>
      </c>
      <c r="AU11" s="43">
        <f>U11*prices!$C$2</f>
        <v>0</v>
      </c>
      <c r="AV11" s="43">
        <f>V11*prices!$C$7</f>
        <v>0</v>
      </c>
      <c r="AW11" s="43">
        <f>W11*prices!$C$13</f>
        <v>0</v>
      </c>
      <c r="AX11" s="43">
        <f>X11*prices!$C$6</f>
        <v>0</v>
      </c>
      <c r="AY11" s="43">
        <f>Y11*prices!$C$5</f>
        <v>0</v>
      </c>
      <c r="AZ11" s="43">
        <f>Z11*prices!$C$9</f>
        <v>0</v>
      </c>
      <c r="BA11" s="43">
        <f>AB11*prices!$C$12</f>
        <v>0</v>
      </c>
      <c r="BB11" s="43">
        <f>AC11*prices!$C$14</f>
        <v>0</v>
      </c>
      <c r="BC11" s="23">
        <f t="shared" si="0"/>
        <v>150261.98109564095</v>
      </c>
      <c r="BD11" s="24">
        <f t="shared" si="1"/>
        <v>9.4858764702830903E-2</v>
      </c>
      <c r="BE11" s="25">
        <f t="shared" si="2"/>
        <v>0.87477217484798075</v>
      </c>
      <c r="BF11" t="s">
        <v>1076</v>
      </c>
    </row>
    <row r="12" spans="1:58" x14ac:dyDescent="0.25">
      <c r="A12" s="18" t="s">
        <v>527</v>
      </c>
      <c r="B12" t="s">
        <v>403</v>
      </c>
      <c r="C12" t="s">
        <v>528</v>
      </c>
      <c r="D12" t="s">
        <v>405</v>
      </c>
      <c r="E12" t="s">
        <v>437</v>
      </c>
      <c r="F12" s="19" t="s">
        <v>435</v>
      </c>
      <c r="G12" s="18" t="s">
        <v>98</v>
      </c>
      <c r="H12" t="s">
        <v>1454</v>
      </c>
      <c r="I12" t="s">
        <v>1423</v>
      </c>
      <c r="L12" s="19" t="s">
        <v>373</v>
      </c>
      <c r="M12" t="s">
        <v>1396</v>
      </c>
      <c r="N12" s="48">
        <f>prod_table_raw!N44</f>
        <v>433000</v>
      </c>
      <c r="O12" s="49">
        <f t="shared" si="3"/>
        <v>102220</v>
      </c>
      <c r="P12" s="49">
        <f t="shared" si="4"/>
        <v>330780</v>
      </c>
      <c r="Q12" s="34"/>
      <c r="R12" s="34"/>
      <c r="S12" s="34">
        <f>prod_table_raw!N43</f>
        <v>9396</v>
      </c>
      <c r="T12" s="34">
        <f>prod_table_raw!N42</f>
        <v>11344</v>
      </c>
      <c r="U12" s="34"/>
      <c r="V12" s="34"/>
      <c r="W12" s="34"/>
      <c r="X12" s="34"/>
      <c r="Y12" s="34"/>
      <c r="Z12" s="34"/>
      <c r="AA12" s="34"/>
      <c r="AB12" s="34"/>
      <c r="AC12" s="34"/>
      <c r="AD12" s="39"/>
      <c r="AE12" s="39"/>
      <c r="AF12" s="38">
        <f>S12/(concentrate_grade!$F$4/100)</f>
        <v>31320</v>
      </c>
      <c r="AG12" s="38">
        <f>T12/(concentrate_grade!$F$6/100)</f>
        <v>70900</v>
      </c>
      <c r="AH12" s="39"/>
      <c r="AI12" s="39"/>
      <c r="AJ12" s="39"/>
      <c r="AK12" s="39"/>
      <c r="AL12" s="39"/>
      <c r="AM12" s="39"/>
      <c r="AN12" s="39"/>
      <c r="AO12" s="39"/>
      <c r="AP12" s="39"/>
      <c r="AQ12" s="43">
        <f>Q12*prices!$C$4</f>
        <v>0</v>
      </c>
      <c r="AR12" s="43">
        <f>R12*prices!$C$11</f>
        <v>0</v>
      </c>
      <c r="AS12" s="43">
        <f>S12*prices!$C$3</f>
        <v>64832.4</v>
      </c>
      <c r="AT12" s="43">
        <f>T12*prices!$C$8</f>
        <v>176852.96</v>
      </c>
      <c r="AU12" s="43">
        <f>U12*prices!$C$2</f>
        <v>0</v>
      </c>
      <c r="AV12" s="43">
        <f>V12*prices!$C$7</f>
        <v>0</v>
      </c>
      <c r="AW12" s="43">
        <f>W12*prices!$C$13</f>
        <v>0</v>
      </c>
      <c r="AX12" s="43">
        <f>X12*prices!$C$6</f>
        <v>0</v>
      </c>
      <c r="AY12" s="43">
        <f>Y12*prices!$C$5</f>
        <v>0</v>
      </c>
      <c r="AZ12" s="43">
        <f>Z12*prices!$C$9</f>
        <v>0</v>
      </c>
      <c r="BA12" s="43">
        <f>AB12*prices!$C$12</f>
        <v>0</v>
      </c>
      <c r="BB12" s="43">
        <f>AC12*prices!$C$14</f>
        <v>0</v>
      </c>
      <c r="BC12" s="23">
        <f t="shared" si="0"/>
        <v>241685.36</v>
      </c>
      <c r="BD12" s="24">
        <f t="shared" si="1"/>
        <v>0</v>
      </c>
      <c r="BE12" s="25">
        <f t="shared" si="2"/>
        <v>0.26825125030328689</v>
      </c>
      <c r="BF12" t="s">
        <v>1396</v>
      </c>
    </row>
    <row r="13" spans="1:58" x14ac:dyDescent="0.25">
      <c r="A13" s="18" t="s">
        <v>116</v>
      </c>
      <c r="C13" t="s">
        <v>117</v>
      </c>
      <c r="E13" t="s">
        <v>437</v>
      </c>
      <c r="F13" s="19" t="s">
        <v>435</v>
      </c>
      <c r="G13" s="18" t="s">
        <v>78</v>
      </c>
      <c r="H13" t="s">
        <v>1401</v>
      </c>
      <c r="I13" t="s">
        <v>1426</v>
      </c>
      <c r="J13" t="s">
        <v>1416</v>
      </c>
      <c r="L13" s="19" t="s">
        <v>115</v>
      </c>
      <c r="M13" t="s">
        <v>1075</v>
      </c>
      <c r="N13" s="48">
        <f>prod_table_raw!N48</f>
        <v>25434853.502416398</v>
      </c>
      <c r="O13" s="49">
        <f t="shared" si="3"/>
        <v>0</v>
      </c>
      <c r="P13" s="49">
        <f t="shared" si="4"/>
        <v>25434853.502416398</v>
      </c>
      <c r="Q13" s="34">
        <f>prod_table_raw!N49</f>
        <v>21.070941660999999</v>
      </c>
      <c r="R13" s="34">
        <f>prod_table_raw!N50</f>
        <v>2.4571765000000001</v>
      </c>
      <c r="S13" s="34"/>
      <c r="T13" s="34"/>
      <c r="U13" s="34"/>
      <c r="V13" s="34"/>
      <c r="W13" s="34"/>
      <c r="X13" s="34"/>
      <c r="Y13" s="34"/>
      <c r="Z13" s="34"/>
      <c r="AA13" s="34"/>
      <c r="AB13" s="34"/>
      <c r="AC13" s="34"/>
      <c r="AD13" s="39"/>
      <c r="AE13" s="39"/>
      <c r="AF13" s="38">
        <f>S13/(concentrate_grade!$F$4/100)</f>
        <v>0</v>
      </c>
      <c r="AG13" s="38">
        <f>T13/(concentrate_grade!$F$6/100)</f>
        <v>0</v>
      </c>
      <c r="AH13" s="39"/>
      <c r="AI13" s="39"/>
      <c r="AJ13" s="39"/>
      <c r="AK13" s="39"/>
      <c r="AL13" s="39"/>
      <c r="AM13" s="39"/>
      <c r="AN13" s="39"/>
      <c r="AO13" s="39"/>
      <c r="AP13" s="39"/>
      <c r="AQ13" s="43">
        <f>Q13*prices!$C$4</f>
        <v>1091330.1260252972</v>
      </c>
      <c r="AR13" s="43">
        <f>R13*prices!$C$11</f>
        <v>1651.5420409450001</v>
      </c>
      <c r="AS13" s="43">
        <f>S13*prices!$C$3</f>
        <v>0</v>
      </c>
      <c r="AT13" s="43">
        <f>T13*prices!$C$8</f>
        <v>0</v>
      </c>
      <c r="AU13" s="43">
        <f>U13*prices!$C$2</f>
        <v>0</v>
      </c>
      <c r="AV13" s="43">
        <f>V13*prices!$C$7</f>
        <v>0</v>
      </c>
      <c r="AW13" s="43">
        <f>W13*prices!$C$13</f>
        <v>0</v>
      </c>
      <c r="AX13" s="43">
        <f>X13*prices!$C$6</f>
        <v>0</v>
      </c>
      <c r="AY13" s="43">
        <f>Y13*prices!$C$5</f>
        <v>0</v>
      </c>
      <c r="AZ13" s="43">
        <f>Z13*prices!$C$9</f>
        <v>0</v>
      </c>
      <c r="BA13" s="43">
        <f>AB13*prices!$C$12</f>
        <v>0</v>
      </c>
      <c r="BB13" s="43">
        <f>AC13*prices!$C$14</f>
        <v>0</v>
      </c>
      <c r="BC13" s="23">
        <f t="shared" si="0"/>
        <v>1092981.6680662422</v>
      </c>
      <c r="BD13" s="24">
        <f t="shared" si="1"/>
        <v>0.99848895723579056</v>
      </c>
      <c r="BE13" s="25">
        <f t="shared" si="2"/>
        <v>0</v>
      </c>
      <c r="BF13" t="s">
        <v>1075</v>
      </c>
    </row>
    <row r="14" spans="1:58" x14ac:dyDescent="0.25">
      <c r="A14" s="18" t="s">
        <v>125</v>
      </c>
      <c r="C14" t="s">
        <v>128</v>
      </c>
      <c r="E14" t="s">
        <v>437</v>
      </c>
      <c r="F14" s="19" t="s">
        <v>435</v>
      </c>
      <c r="G14" s="18" t="s">
        <v>64</v>
      </c>
      <c r="H14" t="s">
        <v>1401</v>
      </c>
      <c r="I14" t="s">
        <v>1418</v>
      </c>
      <c r="J14" t="s">
        <v>1416</v>
      </c>
      <c r="L14" s="19" t="s">
        <v>115</v>
      </c>
      <c r="M14" t="s">
        <v>920</v>
      </c>
      <c r="N14" s="48">
        <f>prod_table_raw!N55</f>
        <v>222627</v>
      </c>
      <c r="O14" s="49">
        <f t="shared" si="3"/>
        <v>0</v>
      </c>
      <c r="P14" s="49">
        <f t="shared" si="4"/>
        <v>222627</v>
      </c>
      <c r="Q14" s="34">
        <f>prod_table_raw!N55</f>
        <v>222627</v>
      </c>
      <c r="R14" s="34"/>
      <c r="S14" s="34"/>
      <c r="T14" s="34"/>
      <c r="U14" s="34"/>
      <c r="V14" s="34"/>
      <c r="W14" s="34"/>
      <c r="X14" s="34"/>
      <c r="Y14" s="34"/>
      <c r="Z14" s="34"/>
      <c r="AA14" s="34"/>
      <c r="AB14" s="34"/>
      <c r="AC14" s="34"/>
      <c r="AD14" s="39"/>
      <c r="AE14" s="39"/>
      <c r="AF14" s="38">
        <f>S14/(concentrate_grade!$F$4/100)</f>
        <v>0</v>
      </c>
      <c r="AG14" s="38">
        <f>T14/(concentrate_grade!$F$6/100)</f>
        <v>0</v>
      </c>
      <c r="AH14" s="39"/>
      <c r="AI14" s="39"/>
      <c r="AJ14" s="39"/>
      <c r="AK14" s="39"/>
      <c r="AL14" s="39"/>
      <c r="AM14" s="39"/>
      <c r="AN14" s="39"/>
      <c r="AO14" s="39"/>
      <c r="AP14" s="39"/>
      <c r="AQ14" s="43">
        <f>Q14*prices!$C$4</f>
        <v>11530550265.645</v>
      </c>
      <c r="AR14" s="43">
        <f>R14*prices!$C$11</f>
        <v>0</v>
      </c>
      <c r="AS14" s="43">
        <f>S14*prices!$C$3</f>
        <v>0</v>
      </c>
      <c r="AT14" s="43">
        <f>T14*prices!$C$8</f>
        <v>0</v>
      </c>
      <c r="AU14" s="43">
        <f>U14*prices!$C$2</f>
        <v>0</v>
      </c>
      <c r="AV14" s="43">
        <f>V14*prices!$C$7</f>
        <v>0</v>
      </c>
      <c r="AW14" s="43">
        <f>W14*prices!$C$13</f>
        <v>0</v>
      </c>
      <c r="AX14" s="43">
        <f>X14*prices!$C$6</f>
        <v>0</v>
      </c>
      <c r="AY14" s="43">
        <f>Y14*prices!$C$5</f>
        <v>0</v>
      </c>
      <c r="AZ14" s="43">
        <f>Z14*prices!$C$9</f>
        <v>0</v>
      </c>
      <c r="BA14" s="43">
        <f>AB14*prices!$C$12</f>
        <v>0</v>
      </c>
      <c r="BB14" s="43">
        <f>AC14*prices!$C$14</f>
        <v>0</v>
      </c>
      <c r="BC14" s="23">
        <f t="shared" si="0"/>
        <v>11530550265.645</v>
      </c>
      <c r="BD14" s="24">
        <f t="shared" si="1"/>
        <v>1</v>
      </c>
      <c r="BE14" s="25">
        <f t="shared" si="2"/>
        <v>0</v>
      </c>
      <c r="BF14" t="s">
        <v>920</v>
      </c>
    </row>
    <row r="15" spans="1:58" x14ac:dyDescent="0.25">
      <c r="A15" s="18" t="s">
        <v>135</v>
      </c>
      <c r="C15" t="s">
        <v>136</v>
      </c>
      <c r="E15" t="s">
        <v>436</v>
      </c>
      <c r="F15" s="19" t="s">
        <v>435</v>
      </c>
      <c r="G15" s="18" t="s">
        <v>64</v>
      </c>
      <c r="H15" t="s">
        <v>1401</v>
      </c>
      <c r="I15" t="s">
        <v>1418</v>
      </c>
      <c r="J15" t="s">
        <v>1417</v>
      </c>
      <c r="L15" s="19" t="s">
        <v>65</v>
      </c>
      <c r="M15" t="s">
        <v>1075</v>
      </c>
      <c r="N15" s="48">
        <f>prod_table_raw!N62</f>
        <v>1661000</v>
      </c>
      <c r="O15" s="49">
        <f t="shared" si="3"/>
        <v>0</v>
      </c>
      <c r="P15" s="49">
        <f t="shared" si="4"/>
        <v>1661000</v>
      </c>
      <c r="Q15" s="34">
        <f>prod_table_raw!N59</f>
        <v>7.2160120000000001</v>
      </c>
      <c r="R15" s="34">
        <f>prod_table_raw!N60</f>
        <v>0.36810992249999902</v>
      </c>
      <c r="S15" s="34"/>
      <c r="T15" s="34"/>
      <c r="U15" s="34"/>
      <c r="V15" s="34"/>
      <c r="W15" s="34"/>
      <c r="X15" s="34"/>
      <c r="Y15" s="34"/>
      <c r="Z15" s="34"/>
      <c r="AA15" s="34"/>
      <c r="AB15" s="34"/>
      <c r="AC15" s="34"/>
      <c r="AD15" s="39"/>
      <c r="AE15" s="39"/>
      <c r="AF15" s="38">
        <f>S15/(concentrate_grade!$F$4/100)</f>
        <v>0</v>
      </c>
      <c r="AG15" s="38">
        <f>T15/(concentrate_grade!$F$6/100)</f>
        <v>0</v>
      </c>
      <c r="AH15" s="39"/>
      <c r="AI15" s="39"/>
      <c r="AJ15" s="39"/>
      <c r="AK15" s="39"/>
      <c r="AL15" s="39"/>
      <c r="AM15" s="39"/>
      <c r="AN15" s="39"/>
      <c r="AO15" s="39"/>
      <c r="AP15" s="39"/>
      <c r="AQ15" s="43">
        <f>Q15*prices!$C$4</f>
        <v>373739.88367762003</v>
      </c>
      <c r="AR15" s="43">
        <f>R15*prices!$C$11</f>
        <v>247.41772220992434</v>
      </c>
      <c r="AS15" s="43">
        <f>S15*prices!$C$3</f>
        <v>0</v>
      </c>
      <c r="AT15" s="43">
        <f>T15*prices!$C$8</f>
        <v>0</v>
      </c>
      <c r="AU15" s="43">
        <f>U15*prices!$C$2</f>
        <v>0</v>
      </c>
      <c r="AV15" s="43">
        <f>V15*prices!$C$7</f>
        <v>0</v>
      </c>
      <c r="AW15" s="43">
        <f>W15*prices!$C$13</f>
        <v>0</v>
      </c>
      <c r="AX15" s="43">
        <f>X15*prices!$C$6</f>
        <v>0</v>
      </c>
      <c r="AY15" s="43">
        <f>Y15*prices!$C$5</f>
        <v>0</v>
      </c>
      <c r="AZ15" s="43">
        <f>Z15*prices!$C$9</f>
        <v>0</v>
      </c>
      <c r="BA15" s="43">
        <f>AB15*prices!$C$12</f>
        <v>0</v>
      </c>
      <c r="BB15" s="43">
        <f>AC15*prices!$C$14</f>
        <v>0</v>
      </c>
      <c r="BC15" s="23">
        <f t="shared" si="0"/>
        <v>373987.30139982997</v>
      </c>
      <c r="BD15" s="24">
        <f t="shared" si="1"/>
        <v>0.99933843282570334</v>
      </c>
      <c r="BE15" s="25">
        <f t="shared" si="2"/>
        <v>0</v>
      </c>
      <c r="BF15" t="s">
        <v>1075</v>
      </c>
    </row>
    <row r="16" spans="1:58" x14ac:dyDescent="0.25">
      <c r="A16" s="18" t="s">
        <v>139</v>
      </c>
      <c r="C16" t="s">
        <v>142</v>
      </c>
      <c r="E16" t="s">
        <v>439</v>
      </c>
      <c r="F16" s="19" t="s">
        <v>435</v>
      </c>
      <c r="G16" s="18" t="s">
        <v>57</v>
      </c>
      <c r="H16" t="s">
        <v>1401</v>
      </c>
      <c r="I16" t="s">
        <v>1424</v>
      </c>
      <c r="L16" s="19" t="s">
        <v>115</v>
      </c>
      <c r="M16" t="s">
        <v>920</v>
      </c>
      <c r="N16" s="48">
        <f>prod_table_raw!N64</f>
        <v>33245</v>
      </c>
      <c r="O16" s="49">
        <f t="shared" si="3"/>
        <v>0</v>
      </c>
      <c r="P16" s="49">
        <f t="shared" si="4"/>
        <v>33245</v>
      </c>
      <c r="Q16" s="34">
        <f>prod_table_raw!N65</f>
        <v>0.121801306</v>
      </c>
      <c r="R16" s="34"/>
      <c r="S16" s="34"/>
      <c r="T16" s="34"/>
      <c r="U16" s="34"/>
      <c r="V16" s="34"/>
      <c r="W16" s="34"/>
      <c r="X16" s="34"/>
      <c r="Y16" s="34"/>
      <c r="Z16" s="34"/>
      <c r="AA16" s="34"/>
      <c r="AB16" s="34"/>
      <c r="AC16" s="34"/>
      <c r="AD16" s="39"/>
      <c r="AE16" s="39"/>
      <c r="AF16" s="38">
        <f>S16/(concentrate_grade!$F$4/100)</f>
        <v>0</v>
      </c>
      <c r="AG16" s="38">
        <f>T16/(concentrate_grade!$F$6/100)</f>
        <v>0</v>
      </c>
      <c r="AH16" s="39"/>
      <c r="AI16" s="39"/>
      <c r="AJ16" s="39"/>
      <c r="AK16" s="39"/>
      <c r="AL16" s="39"/>
      <c r="AM16" s="39"/>
      <c r="AN16" s="39"/>
      <c r="AO16" s="39"/>
      <c r="AP16" s="39"/>
      <c r="AQ16" s="43">
        <f>Q16*prices!$C$4</f>
        <v>6308.4714848343101</v>
      </c>
      <c r="AR16" s="43">
        <f>R16*prices!$C$11</f>
        <v>0</v>
      </c>
      <c r="AS16" s="43">
        <f>S16*prices!$C$3</f>
        <v>0</v>
      </c>
      <c r="AT16" s="43">
        <f>T16*prices!$C$8</f>
        <v>0</v>
      </c>
      <c r="AU16" s="43">
        <f>U16*prices!$C$2</f>
        <v>0</v>
      </c>
      <c r="AV16" s="43">
        <f>V16*prices!$C$7</f>
        <v>0</v>
      </c>
      <c r="AW16" s="43">
        <f>W16*prices!$C$13</f>
        <v>0</v>
      </c>
      <c r="AX16" s="43">
        <f>X16*prices!$C$6</f>
        <v>0</v>
      </c>
      <c r="AY16" s="43">
        <f>Y16*prices!$C$5</f>
        <v>0</v>
      </c>
      <c r="AZ16" s="43">
        <f>Z16*prices!$C$9</f>
        <v>0</v>
      </c>
      <c r="BA16" s="43">
        <f>AB16*prices!$C$12</f>
        <v>0</v>
      </c>
      <c r="BB16" s="43">
        <f>AC16*prices!$C$14</f>
        <v>0</v>
      </c>
      <c r="BC16" s="23">
        <f t="shared" si="0"/>
        <v>6308.4714848343101</v>
      </c>
      <c r="BD16" s="24">
        <f t="shared" si="1"/>
        <v>1</v>
      </c>
      <c r="BE16" s="25">
        <f t="shared" si="2"/>
        <v>0</v>
      </c>
      <c r="BF16" t="s">
        <v>920</v>
      </c>
    </row>
    <row r="17" spans="1:58" x14ac:dyDescent="0.25">
      <c r="A17" s="18" t="s">
        <v>156</v>
      </c>
      <c r="C17" t="s">
        <v>159</v>
      </c>
      <c r="E17" t="s">
        <v>437</v>
      </c>
      <c r="F17" s="19" t="s">
        <v>435</v>
      </c>
      <c r="G17" s="18" t="s">
        <v>91</v>
      </c>
      <c r="H17" t="s">
        <v>1401</v>
      </c>
      <c r="I17" t="s">
        <v>1423</v>
      </c>
      <c r="L17" s="19" t="s">
        <v>115</v>
      </c>
      <c r="M17" t="s">
        <v>920</v>
      </c>
      <c r="N17" s="48">
        <f>prod_table_raw!N70</f>
        <v>457000</v>
      </c>
      <c r="O17" s="49">
        <f t="shared" si="3"/>
        <v>0</v>
      </c>
      <c r="P17" s="49">
        <f t="shared" si="4"/>
        <v>457000</v>
      </c>
      <c r="Q17" s="34">
        <f>prod_table_raw!N71</f>
        <v>1.3809954</v>
      </c>
      <c r="R17" s="34">
        <f>prod_table_raw!N72</f>
        <v>4.3544899999999997E-2</v>
      </c>
      <c r="S17" s="34"/>
      <c r="T17" s="34"/>
      <c r="U17" s="34"/>
      <c r="V17" s="34"/>
      <c r="W17" s="34"/>
      <c r="X17" s="34"/>
      <c r="Y17" s="34"/>
      <c r="Z17" s="34"/>
      <c r="AA17" s="34"/>
      <c r="AB17" s="34"/>
      <c r="AC17" s="34"/>
      <c r="AD17" s="39"/>
      <c r="AE17" s="39"/>
      <c r="AF17" s="38">
        <f>S17/(concentrate_grade!$F$4/100)</f>
        <v>0</v>
      </c>
      <c r="AG17" s="38">
        <f>T17/(concentrate_grade!$F$6/100)</f>
        <v>0</v>
      </c>
      <c r="AH17" s="39"/>
      <c r="AI17" s="39"/>
      <c r="AJ17" s="39"/>
      <c r="AK17" s="39"/>
      <c r="AL17" s="39"/>
      <c r="AM17" s="39"/>
      <c r="AN17" s="39"/>
      <c r="AO17" s="39"/>
      <c r="AP17" s="39"/>
      <c r="AQ17" s="43">
        <f>Q17*prices!$C$4</f>
        <v>71526.081186579002</v>
      </c>
      <c r="AR17" s="43">
        <f>R17*prices!$C$11</f>
        <v>29.267833636999999</v>
      </c>
      <c r="AS17" s="43">
        <f>S17*prices!$C$3</f>
        <v>0</v>
      </c>
      <c r="AT17" s="43">
        <f>T17*prices!$C$8</f>
        <v>0</v>
      </c>
      <c r="AU17" s="43">
        <f>U17*prices!$C$2</f>
        <v>0</v>
      </c>
      <c r="AV17" s="43">
        <f>V17*prices!$C$7</f>
        <v>0</v>
      </c>
      <c r="AW17" s="43">
        <f>W17*prices!$C$13</f>
        <v>0</v>
      </c>
      <c r="AX17" s="43">
        <f>X17*prices!$C$6</f>
        <v>0</v>
      </c>
      <c r="AY17" s="43">
        <f>Y17*prices!$C$5</f>
        <v>0</v>
      </c>
      <c r="AZ17" s="43">
        <f>Z17*prices!$C$9</f>
        <v>0</v>
      </c>
      <c r="BA17" s="43">
        <f>AB17*prices!$C$12</f>
        <v>0</v>
      </c>
      <c r="BB17" s="43">
        <f>AC17*prices!$C$14</f>
        <v>0</v>
      </c>
      <c r="BC17" s="23">
        <f t="shared" si="0"/>
        <v>71555.349020216003</v>
      </c>
      <c r="BD17" s="24">
        <f t="shared" si="1"/>
        <v>0.99959097629963722</v>
      </c>
      <c r="BE17" s="25">
        <f t="shared" si="2"/>
        <v>0</v>
      </c>
      <c r="BF17" t="s">
        <v>920</v>
      </c>
    </row>
    <row r="18" spans="1:58" x14ac:dyDescent="0.25">
      <c r="A18" s="18" t="s">
        <v>161</v>
      </c>
      <c r="B18" t="s">
        <v>162</v>
      </c>
      <c r="C18" t="s">
        <v>163</v>
      </c>
      <c r="D18" t="s">
        <v>164</v>
      </c>
      <c r="E18" t="s">
        <v>437</v>
      </c>
      <c r="F18" s="19" t="s">
        <v>435</v>
      </c>
      <c r="G18" s="18" t="s">
        <v>98</v>
      </c>
      <c r="H18" t="s">
        <v>1454</v>
      </c>
      <c r="I18" t="s">
        <v>1424</v>
      </c>
      <c r="L18" s="19" t="s">
        <v>165</v>
      </c>
      <c r="M18" t="s">
        <v>1396</v>
      </c>
      <c r="N18" s="48">
        <f>prod_table_raw!N73</f>
        <v>553033</v>
      </c>
      <c r="O18" s="49">
        <f t="shared" si="3"/>
        <v>0</v>
      </c>
      <c r="P18" s="49">
        <f t="shared" si="4"/>
        <v>553033</v>
      </c>
      <c r="Q18" s="34"/>
      <c r="R18" s="34"/>
      <c r="S18" s="34"/>
      <c r="T18" s="34"/>
      <c r="U18" s="34"/>
      <c r="V18" s="34"/>
      <c r="W18" s="34"/>
      <c r="X18" s="34"/>
      <c r="Y18" s="34"/>
      <c r="Z18" s="34"/>
      <c r="AA18" s="34"/>
      <c r="AB18" s="34"/>
      <c r="AC18" s="34"/>
      <c r="AD18" s="39"/>
      <c r="AE18" s="39"/>
      <c r="AF18" s="38">
        <f>S18/(concentrate_grade!$F$4/100)</f>
        <v>0</v>
      </c>
      <c r="AG18" s="38">
        <f>T18/(concentrate_grade!$F$6/100)</f>
        <v>0</v>
      </c>
      <c r="AH18" s="39"/>
      <c r="AI18" s="39"/>
      <c r="AJ18" s="39"/>
      <c r="AK18" s="39"/>
      <c r="AL18" s="39"/>
      <c r="AM18" s="39"/>
      <c r="AN18" s="39"/>
      <c r="AO18" s="39"/>
      <c r="AP18" s="39"/>
      <c r="AQ18" s="43">
        <f>Q18*prices!$C$4</f>
        <v>0</v>
      </c>
      <c r="AR18" s="43">
        <f>R18*prices!$C$11</f>
        <v>0</v>
      </c>
      <c r="AS18" s="43">
        <f>S18*prices!$C$3</f>
        <v>0</v>
      </c>
      <c r="AT18" s="43">
        <f>T18*prices!$C$8</f>
        <v>0</v>
      </c>
      <c r="AU18" s="43">
        <f>U18*prices!$C$2</f>
        <v>0</v>
      </c>
      <c r="AV18" s="43">
        <f>V18*prices!$C$7</f>
        <v>0</v>
      </c>
      <c r="AW18" s="43">
        <f>W18*prices!$C$13</f>
        <v>0</v>
      </c>
      <c r="AX18" s="43">
        <f>X18*prices!$C$6</f>
        <v>0</v>
      </c>
      <c r="AY18" s="43">
        <f>Y18*prices!$C$5</f>
        <v>0</v>
      </c>
      <c r="AZ18" s="43">
        <f>Z18*prices!$C$9</f>
        <v>0</v>
      </c>
      <c r="BA18" s="43">
        <f>AB18*prices!$C$12</f>
        <v>0</v>
      </c>
      <c r="BB18" s="43">
        <f>AC18*prices!$C$14</f>
        <v>0</v>
      </c>
      <c r="BC18" s="23">
        <f t="shared" si="0"/>
        <v>0</v>
      </c>
      <c r="BD18" s="24" t="e">
        <f t="shared" si="1"/>
        <v>#DIV/0!</v>
      </c>
      <c r="BE18" s="25" t="e">
        <f t="shared" si="2"/>
        <v>#DIV/0!</v>
      </c>
      <c r="BF18" t="s">
        <v>1396</v>
      </c>
    </row>
    <row r="19" spans="1:58" x14ac:dyDescent="0.25">
      <c r="A19" s="18" t="s">
        <v>529</v>
      </c>
      <c r="B19" t="s">
        <v>403</v>
      </c>
      <c r="C19" t="s">
        <v>530</v>
      </c>
      <c r="D19" t="s">
        <v>405</v>
      </c>
      <c r="E19" t="s">
        <v>437</v>
      </c>
      <c r="F19" s="19" t="s">
        <v>435</v>
      </c>
      <c r="G19" s="18" t="s">
        <v>98</v>
      </c>
      <c r="H19" t="s">
        <v>1454</v>
      </c>
      <c r="I19" t="s">
        <v>1427</v>
      </c>
      <c r="L19" s="19" t="s">
        <v>373</v>
      </c>
      <c r="M19" t="s">
        <v>1396</v>
      </c>
      <c r="N19" s="48">
        <f>prod_table_raw!N76</f>
        <v>616000</v>
      </c>
      <c r="O19" s="49">
        <f t="shared" si="3"/>
        <v>74505.833333333343</v>
      </c>
      <c r="P19" s="49">
        <f t="shared" si="4"/>
        <v>541494.16666666663</v>
      </c>
      <c r="Q19" s="34"/>
      <c r="R19" s="34"/>
      <c r="S19" s="34">
        <f>prod_table_raw!N75</f>
        <v>7453</v>
      </c>
      <c r="T19" s="34">
        <f>prod_table_raw!N74</f>
        <v>7946</v>
      </c>
      <c r="U19" s="34"/>
      <c r="V19" s="34"/>
      <c r="W19" s="34"/>
      <c r="X19" s="34"/>
      <c r="Y19" s="34"/>
      <c r="Z19" s="34"/>
      <c r="AA19" s="34"/>
      <c r="AB19" s="34"/>
      <c r="AC19" s="34"/>
      <c r="AD19" s="39"/>
      <c r="AE19" s="39"/>
      <c r="AF19" s="38">
        <f>S19/(concentrate_grade!$F$4/100)</f>
        <v>24843.333333333336</v>
      </c>
      <c r="AG19" s="38">
        <f>T19/(concentrate_grade!$F$6/100)</f>
        <v>49662.5</v>
      </c>
      <c r="AH19" s="39"/>
      <c r="AI19" s="39"/>
      <c r="AJ19" s="39"/>
      <c r="AK19" s="39"/>
      <c r="AL19" s="39"/>
      <c r="AM19" s="39"/>
      <c r="AN19" s="39"/>
      <c r="AO19" s="39"/>
      <c r="AP19" s="39"/>
      <c r="AQ19" s="43">
        <f>Q19*prices!$C$4</f>
        <v>0</v>
      </c>
      <c r="AR19" s="43">
        <f>R19*prices!$C$11</f>
        <v>0</v>
      </c>
      <c r="AS19" s="43">
        <f>S19*prices!$C$3</f>
        <v>51425.700000000004</v>
      </c>
      <c r="AT19" s="43">
        <f>T19*prices!$C$8</f>
        <v>123878.14</v>
      </c>
      <c r="AU19" s="43">
        <f>U19*prices!$C$2</f>
        <v>0</v>
      </c>
      <c r="AV19" s="43">
        <f>V19*prices!$C$7</f>
        <v>0</v>
      </c>
      <c r="AW19" s="43">
        <f>W19*prices!$C$13</f>
        <v>0</v>
      </c>
      <c r="AX19" s="43">
        <f>X19*prices!$C$6</f>
        <v>0</v>
      </c>
      <c r="AY19" s="43">
        <f>Y19*prices!$C$5</f>
        <v>0</v>
      </c>
      <c r="AZ19" s="43">
        <f>Z19*prices!$C$9</f>
        <v>0</v>
      </c>
      <c r="BA19" s="43">
        <f>AB19*prices!$C$12</f>
        <v>0</v>
      </c>
      <c r="BB19" s="43">
        <f>AC19*prices!$C$14</f>
        <v>0</v>
      </c>
      <c r="BC19" s="23">
        <f t="shared" si="0"/>
        <v>175303.84</v>
      </c>
      <c r="BD19" s="24">
        <f t="shared" si="1"/>
        <v>0</v>
      </c>
      <c r="BE19" s="25">
        <f t="shared" si="2"/>
        <v>0.29335181705089863</v>
      </c>
      <c r="BF19" t="s">
        <v>1396</v>
      </c>
    </row>
    <row r="20" spans="1:58" x14ac:dyDescent="0.25">
      <c r="A20" s="18" t="s">
        <v>167</v>
      </c>
      <c r="C20" t="s">
        <v>170</v>
      </c>
      <c r="E20" t="s">
        <v>439</v>
      </c>
      <c r="F20" s="19" t="s">
        <v>435</v>
      </c>
      <c r="G20" s="18" t="s">
        <v>78</v>
      </c>
      <c r="H20" t="s">
        <v>1456</v>
      </c>
      <c r="I20" t="s">
        <v>1425</v>
      </c>
      <c r="J20" t="s">
        <v>1416</v>
      </c>
      <c r="L20" s="19" t="s">
        <v>171</v>
      </c>
      <c r="M20" t="s">
        <v>1077</v>
      </c>
      <c r="N20" s="48">
        <f>prod_table_raw!N80</f>
        <v>30000000</v>
      </c>
      <c r="O20" s="49">
        <f t="shared" si="3"/>
        <v>185367.93066666668</v>
      </c>
      <c r="P20" s="49">
        <f t="shared" si="4"/>
        <v>29814632.069333334</v>
      </c>
      <c r="Q20" s="34"/>
      <c r="R20" s="34"/>
      <c r="S20" s="34">
        <f>prod_table_raw!N82</f>
        <v>55610.379200000003</v>
      </c>
      <c r="T20" s="34"/>
      <c r="U20" s="34"/>
      <c r="V20" s="34">
        <f>prod_table_raw!N81</f>
        <v>545.21758399999999</v>
      </c>
      <c r="W20" s="34"/>
      <c r="X20" s="34"/>
      <c r="Y20" s="34"/>
      <c r="Z20" s="34"/>
      <c r="AA20" s="34"/>
      <c r="AB20" s="34"/>
      <c r="AC20" s="34"/>
      <c r="AD20" s="39"/>
      <c r="AE20" s="39"/>
      <c r="AF20" s="38">
        <f>S20/(concentrate_grade!$F$4/100)</f>
        <v>185367.93066666668</v>
      </c>
      <c r="AG20" s="38">
        <f>T20/(concentrate_grade!$F$6/100)</f>
        <v>0</v>
      </c>
      <c r="AH20" s="39"/>
      <c r="AI20" s="39"/>
      <c r="AJ20" s="39"/>
      <c r="AK20" s="39"/>
      <c r="AL20" s="39"/>
      <c r="AM20" s="39"/>
      <c r="AN20" s="39"/>
      <c r="AO20" s="39"/>
      <c r="AP20" s="39"/>
      <c r="AQ20" s="43">
        <f>Q20*prices!$C$4</f>
        <v>0</v>
      </c>
      <c r="AR20" s="43">
        <f>R20*prices!$C$11</f>
        <v>0</v>
      </c>
      <c r="AS20" s="43">
        <f>S20*prices!$C$3</f>
        <v>383711.61648000003</v>
      </c>
      <c r="AT20" s="43">
        <f>T20*prices!$C$8</f>
        <v>0</v>
      </c>
      <c r="AU20" s="43">
        <f>U20*prices!$C$2</f>
        <v>0</v>
      </c>
      <c r="AV20" s="43">
        <f>V20*prices!$C$7</f>
        <v>15942.162156159999</v>
      </c>
      <c r="AW20" s="43">
        <f>W20*prices!$C$13</f>
        <v>0</v>
      </c>
      <c r="AX20" s="43">
        <f>X20*prices!$C$6</f>
        <v>0</v>
      </c>
      <c r="AY20" s="43">
        <f>Y20*prices!$C$5</f>
        <v>0</v>
      </c>
      <c r="AZ20" s="43">
        <f>Z20*prices!$C$9</f>
        <v>0</v>
      </c>
      <c r="BA20" s="43">
        <f>AB20*prices!$C$12</f>
        <v>0</v>
      </c>
      <c r="BB20" s="43">
        <f>AC20*prices!$C$14</f>
        <v>0</v>
      </c>
      <c r="BC20" s="23">
        <f t="shared" si="0"/>
        <v>399653.77863616002</v>
      </c>
      <c r="BD20" s="24">
        <f t="shared" si="1"/>
        <v>0</v>
      </c>
      <c r="BE20" s="25">
        <f t="shared" si="2"/>
        <v>0.960110067742726</v>
      </c>
      <c r="BF20" t="s">
        <v>1077</v>
      </c>
    </row>
    <row r="21" spans="1:58" x14ac:dyDescent="0.25">
      <c r="A21" s="18" t="s">
        <v>173</v>
      </c>
      <c r="C21" t="s">
        <v>174</v>
      </c>
      <c r="E21" t="s">
        <v>436</v>
      </c>
      <c r="F21" s="19" t="s">
        <v>435</v>
      </c>
      <c r="G21" s="18" t="s">
        <v>64</v>
      </c>
      <c r="H21" t="s">
        <v>1401</v>
      </c>
      <c r="I21" t="s">
        <v>1426</v>
      </c>
      <c r="J21" t="s">
        <v>1416</v>
      </c>
      <c r="L21" s="19" t="s">
        <v>65</v>
      </c>
      <c r="M21" t="s">
        <v>1458</v>
      </c>
      <c r="N21" s="48">
        <f>prod_table_raw!N86</f>
        <v>2886927.3287240001</v>
      </c>
      <c r="O21" s="49">
        <f t="shared" si="3"/>
        <v>130.12252666666666</v>
      </c>
      <c r="P21" s="49">
        <f t="shared" si="4"/>
        <v>2886797.2061973335</v>
      </c>
      <c r="Q21" s="34">
        <f>prod_table_raw!N87</f>
        <v>4.3850512759503602</v>
      </c>
      <c r="R21" s="34"/>
      <c r="S21" s="34">
        <f>prod_table_raw!N85</f>
        <v>39.036757999999999</v>
      </c>
      <c r="T21" s="34"/>
      <c r="U21" s="34"/>
      <c r="V21" s="34"/>
      <c r="W21" s="34"/>
      <c r="X21" s="34"/>
      <c r="Y21" s="34"/>
      <c r="Z21" s="34"/>
      <c r="AA21" s="34"/>
      <c r="AB21" s="34"/>
      <c r="AC21" s="34"/>
      <c r="AD21" s="39"/>
      <c r="AE21" s="39"/>
      <c r="AF21" s="38">
        <f>S21/(concentrate_grade!$F$4/100)</f>
        <v>130.12252666666666</v>
      </c>
      <c r="AG21" s="38">
        <f>T21/(concentrate_grade!$F$6/100)</f>
        <v>0</v>
      </c>
      <c r="AH21" s="39"/>
      <c r="AI21" s="39"/>
      <c r="AJ21" s="39"/>
      <c r="AK21" s="39"/>
      <c r="AL21" s="39"/>
      <c r="AM21" s="39"/>
      <c r="AN21" s="39"/>
      <c r="AO21" s="39"/>
      <c r="AP21" s="39"/>
      <c r="AQ21" s="43">
        <f>Q21*prices!$C$4</f>
        <v>227115.55271721925</v>
      </c>
      <c r="AR21" s="43">
        <f>R21*prices!$C$11</f>
        <v>0</v>
      </c>
      <c r="AS21" s="43">
        <f>S21*prices!$C$3</f>
        <v>269.3536302</v>
      </c>
      <c r="AT21" s="43">
        <f>T21*prices!$C$8</f>
        <v>0</v>
      </c>
      <c r="AU21" s="43">
        <f>U21*prices!$C$2</f>
        <v>0</v>
      </c>
      <c r="AV21" s="43">
        <f>V21*prices!$C$7</f>
        <v>0</v>
      </c>
      <c r="AW21" s="43">
        <f>W21*prices!$C$13</f>
        <v>0</v>
      </c>
      <c r="AX21" s="43">
        <f>X21*prices!$C$6</f>
        <v>0</v>
      </c>
      <c r="AY21" s="43">
        <f>Y21*prices!$C$5</f>
        <v>0</v>
      </c>
      <c r="AZ21" s="43">
        <f>Z21*prices!$C$9</f>
        <v>0</v>
      </c>
      <c r="BA21" s="43">
        <f>AB21*prices!$C$12</f>
        <v>0</v>
      </c>
      <c r="BB21" s="43">
        <f>AC21*prices!$C$14</f>
        <v>0</v>
      </c>
      <c r="BC21" s="23">
        <f t="shared" si="0"/>
        <v>227384.90634741925</v>
      </c>
      <c r="BD21" s="24">
        <f t="shared" si="1"/>
        <v>0.99881542871720586</v>
      </c>
      <c r="BE21" s="25">
        <f t="shared" si="2"/>
        <v>1.1845712827941936E-3</v>
      </c>
      <c r="BF21" t="s">
        <v>1458</v>
      </c>
    </row>
    <row r="22" spans="1:58" x14ac:dyDescent="0.25">
      <c r="A22" s="18" t="s">
        <v>180</v>
      </c>
      <c r="C22" t="s">
        <v>183</v>
      </c>
      <c r="E22" t="s">
        <v>437</v>
      </c>
      <c r="F22" s="19" t="s">
        <v>435</v>
      </c>
      <c r="G22" s="18" t="s">
        <v>91</v>
      </c>
      <c r="I22" t="s">
        <v>1426</v>
      </c>
      <c r="J22" t="s">
        <v>1416</v>
      </c>
      <c r="L22" s="19" t="s">
        <v>115</v>
      </c>
      <c r="M22" t="s">
        <v>920</v>
      </c>
      <c r="N22" s="48">
        <f>prod_table_raw!N91</f>
        <v>1266009</v>
      </c>
      <c r="O22" s="49">
        <f t="shared" si="3"/>
        <v>0</v>
      </c>
      <c r="P22" s="49">
        <f t="shared" si="4"/>
        <v>1266009</v>
      </c>
      <c r="Q22" s="34">
        <f>prod_table_raw!N91</f>
        <v>1266009</v>
      </c>
      <c r="R22" s="34"/>
      <c r="S22" s="34"/>
      <c r="T22" s="34"/>
      <c r="U22" s="34"/>
      <c r="V22" s="34"/>
      <c r="W22" s="34"/>
      <c r="X22" s="34"/>
      <c r="Y22" s="34"/>
      <c r="Z22" s="34"/>
      <c r="AA22" s="34"/>
      <c r="AB22" s="34"/>
      <c r="AC22" s="34"/>
      <c r="AD22" s="39"/>
      <c r="AE22" s="39"/>
      <c r="AF22" s="38">
        <f>S22/(concentrate_grade!$F$4/100)</f>
        <v>0</v>
      </c>
      <c r="AG22" s="38">
        <f>T22/(concentrate_grade!$F$6/100)</f>
        <v>0</v>
      </c>
      <c r="AH22" s="39"/>
      <c r="AI22" s="39"/>
      <c r="AJ22" s="39"/>
      <c r="AK22" s="39"/>
      <c r="AL22" s="39"/>
      <c r="AM22" s="39"/>
      <c r="AN22" s="39"/>
      <c r="AO22" s="39"/>
      <c r="AP22" s="39"/>
      <c r="AQ22" s="43">
        <f>Q22*prices!$C$4</f>
        <v>65570575048.215004</v>
      </c>
      <c r="AR22" s="43">
        <f>R22*prices!$C$11</f>
        <v>0</v>
      </c>
      <c r="AS22" s="43">
        <f>S22*prices!$C$3</f>
        <v>0</v>
      </c>
      <c r="AT22" s="43">
        <f>T22*prices!$C$8</f>
        <v>0</v>
      </c>
      <c r="AU22" s="43">
        <f>U22*prices!$C$2</f>
        <v>0</v>
      </c>
      <c r="AV22" s="43">
        <f>V22*prices!$C$7</f>
        <v>0</v>
      </c>
      <c r="AW22" s="43">
        <f>W22*prices!$C$13</f>
        <v>0</v>
      </c>
      <c r="AX22" s="43">
        <f>X22*prices!$C$6</f>
        <v>0</v>
      </c>
      <c r="AY22" s="43">
        <f>Y22*prices!$C$5</f>
        <v>0</v>
      </c>
      <c r="AZ22" s="43">
        <f>Z22*prices!$C$9</f>
        <v>0</v>
      </c>
      <c r="BA22" s="43">
        <f>AB22*prices!$C$12</f>
        <v>0</v>
      </c>
      <c r="BB22" s="43">
        <f>AC22*prices!$C$14</f>
        <v>0</v>
      </c>
      <c r="BC22" s="23">
        <f t="shared" si="0"/>
        <v>65570575048.215004</v>
      </c>
      <c r="BD22" s="24">
        <f t="shared" si="1"/>
        <v>1</v>
      </c>
      <c r="BE22" s="25">
        <f t="shared" si="2"/>
        <v>0</v>
      </c>
      <c r="BF22" t="s">
        <v>920</v>
      </c>
    </row>
    <row r="23" spans="1:58" x14ac:dyDescent="0.25">
      <c r="A23" s="18" t="s">
        <v>186</v>
      </c>
      <c r="C23" t="s">
        <v>188</v>
      </c>
      <c r="E23" t="s">
        <v>439</v>
      </c>
      <c r="F23" s="19" t="s">
        <v>435</v>
      </c>
      <c r="G23" s="18" t="s">
        <v>78</v>
      </c>
      <c r="H23" t="s">
        <v>1456</v>
      </c>
      <c r="I23" t="s">
        <v>1425</v>
      </c>
      <c r="L23" s="19" t="s">
        <v>189</v>
      </c>
      <c r="M23" t="s">
        <v>1077</v>
      </c>
      <c r="N23" s="48">
        <f>prod_table_raw!N93</f>
        <v>17408000</v>
      </c>
      <c r="O23" s="49">
        <f t="shared" si="3"/>
        <v>341333.33333333337</v>
      </c>
      <c r="P23" s="49">
        <f t="shared" si="4"/>
        <v>17066666.666666668</v>
      </c>
      <c r="Q23" s="34"/>
      <c r="R23" s="34"/>
      <c r="S23" s="34">
        <f>prod_table_raw!N95</f>
        <v>102400</v>
      </c>
      <c r="T23" s="34"/>
      <c r="U23" s="34"/>
      <c r="V23" s="34">
        <f>prod_table_raw!N94</f>
        <v>900</v>
      </c>
      <c r="W23" s="34"/>
      <c r="X23" s="34"/>
      <c r="Y23" s="34"/>
      <c r="Z23" s="34"/>
      <c r="AA23" s="34"/>
      <c r="AB23" s="34"/>
      <c r="AC23" s="34"/>
      <c r="AD23" s="39"/>
      <c r="AE23" s="39"/>
      <c r="AF23" s="38">
        <f>S23/(concentrate_grade!$F$4/100)</f>
        <v>341333.33333333337</v>
      </c>
      <c r="AG23" s="38">
        <f>T23/(concentrate_grade!$F$6/100)</f>
        <v>0</v>
      </c>
      <c r="AH23" s="39"/>
      <c r="AI23" s="39"/>
      <c r="AJ23" s="39"/>
      <c r="AK23" s="39"/>
      <c r="AL23" s="39"/>
      <c r="AM23" s="39"/>
      <c r="AN23" s="39"/>
      <c r="AO23" s="39"/>
      <c r="AP23" s="39"/>
      <c r="AQ23" s="43">
        <f>Q23*prices!$C$4</f>
        <v>0</v>
      </c>
      <c r="AR23" s="43">
        <f>R23*prices!$C$11</f>
        <v>0</v>
      </c>
      <c r="AS23" s="43">
        <f>S23*prices!$C$3</f>
        <v>706560</v>
      </c>
      <c r="AT23" s="43">
        <f>T23*prices!$C$8</f>
        <v>0</v>
      </c>
      <c r="AU23" s="43">
        <f>U23*prices!$C$2</f>
        <v>0</v>
      </c>
      <c r="AV23" s="43">
        <f>V23*prices!$C$7</f>
        <v>26316</v>
      </c>
      <c r="AW23" s="43">
        <f>W23*prices!$C$13</f>
        <v>0</v>
      </c>
      <c r="AX23" s="43">
        <f>X23*prices!$C$6</f>
        <v>0</v>
      </c>
      <c r="AY23" s="43">
        <f>Y23*prices!$C$5</f>
        <v>0</v>
      </c>
      <c r="AZ23" s="43">
        <f>Z23*prices!$C$9</f>
        <v>0</v>
      </c>
      <c r="BA23" s="43">
        <f>AB23*prices!$C$12</f>
        <v>0</v>
      </c>
      <c r="BB23" s="43">
        <f>AC23*prices!$C$14</f>
        <v>0</v>
      </c>
      <c r="BC23" s="23">
        <f t="shared" si="0"/>
        <v>732876</v>
      </c>
      <c r="BD23" s="24">
        <f t="shared" si="1"/>
        <v>0</v>
      </c>
      <c r="BE23" s="25">
        <f t="shared" si="2"/>
        <v>0.96409215201480192</v>
      </c>
      <c r="BF23" t="s">
        <v>1077</v>
      </c>
    </row>
    <row r="24" spans="1:58" x14ac:dyDescent="0.25">
      <c r="A24" s="18" t="s">
        <v>494</v>
      </c>
      <c r="B24" t="s">
        <v>493</v>
      </c>
      <c r="C24" t="s">
        <v>495</v>
      </c>
      <c r="D24" t="s">
        <v>492</v>
      </c>
      <c r="E24" t="s">
        <v>436</v>
      </c>
      <c r="F24" s="19" t="s">
        <v>540</v>
      </c>
      <c r="G24" s="18" t="s">
        <v>29</v>
      </c>
      <c r="I24" t="s">
        <v>1418</v>
      </c>
      <c r="L24" s="19" t="s">
        <v>548</v>
      </c>
      <c r="M24" t="s">
        <v>918</v>
      </c>
      <c r="N24" s="48"/>
      <c r="O24" s="49">
        <f t="shared" si="3"/>
        <v>0</v>
      </c>
      <c r="P24" s="49">
        <f t="shared" si="4"/>
        <v>0</v>
      </c>
      <c r="Q24" s="34"/>
      <c r="R24" s="34"/>
      <c r="S24" s="34"/>
      <c r="T24" s="34"/>
      <c r="U24" s="34"/>
      <c r="V24" s="34"/>
      <c r="W24" s="34"/>
      <c r="X24" s="34"/>
      <c r="Y24" s="34"/>
      <c r="Z24" s="34"/>
      <c r="AA24" s="34"/>
      <c r="AB24" s="34"/>
      <c r="AC24" s="34"/>
      <c r="AD24" s="39"/>
      <c r="AE24" s="39"/>
      <c r="AF24" s="38">
        <f>S24/(concentrate_grade!$F$4/100)</f>
        <v>0</v>
      </c>
      <c r="AG24" s="38">
        <f>T24/(concentrate_grade!$F$6/100)</f>
        <v>0</v>
      </c>
      <c r="AH24" s="39"/>
      <c r="AI24" s="39"/>
      <c r="AJ24" s="39"/>
      <c r="AK24" s="39"/>
      <c r="AL24" s="39"/>
      <c r="AM24" s="39"/>
      <c r="AN24" s="39"/>
      <c r="AO24" s="39"/>
      <c r="AP24" s="39"/>
      <c r="AQ24" s="43">
        <f>Q24*prices!$C$4</f>
        <v>0</v>
      </c>
      <c r="AR24" s="43">
        <f>R24*prices!$C$11</f>
        <v>0</v>
      </c>
      <c r="AS24" s="43">
        <f>S24*prices!$C$3</f>
        <v>0</v>
      </c>
      <c r="AT24" s="43">
        <f>T24*prices!$C$8</f>
        <v>0</v>
      </c>
      <c r="AU24" s="43">
        <f>U24*prices!$C$2</f>
        <v>0</v>
      </c>
      <c r="AV24" s="43">
        <f>V24*prices!$C$7</f>
        <v>0</v>
      </c>
      <c r="AW24" s="43">
        <f>W24*prices!$C$13</f>
        <v>0</v>
      </c>
      <c r="AX24" s="43">
        <f>X24*prices!$C$6</f>
        <v>0</v>
      </c>
      <c r="AY24" s="43">
        <f>Y24*prices!$C$5</f>
        <v>0</v>
      </c>
      <c r="AZ24" s="43">
        <f>Z24*prices!$C$9</f>
        <v>0</v>
      </c>
      <c r="BA24" s="43">
        <f>AB24*prices!$C$12</f>
        <v>0</v>
      </c>
      <c r="BB24" s="43">
        <f>AC24*prices!$C$14</f>
        <v>0</v>
      </c>
      <c r="BC24" s="23">
        <f t="shared" si="0"/>
        <v>0</v>
      </c>
      <c r="BD24" s="24" t="e">
        <f t="shared" si="1"/>
        <v>#DIV/0!</v>
      </c>
      <c r="BE24" s="25" t="e">
        <f t="shared" si="2"/>
        <v>#DIV/0!</v>
      </c>
      <c r="BF24" t="s">
        <v>918</v>
      </c>
    </row>
    <row r="25" spans="1:58" x14ac:dyDescent="0.25">
      <c r="A25" s="18" t="s">
        <v>195</v>
      </c>
      <c r="C25" t="s">
        <v>198</v>
      </c>
      <c r="E25" t="s">
        <v>437</v>
      </c>
      <c r="F25" s="19" t="s">
        <v>435</v>
      </c>
      <c r="G25" s="18" t="s">
        <v>64</v>
      </c>
      <c r="H25" t="s">
        <v>1401</v>
      </c>
      <c r="I25" t="s">
        <v>1418</v>
      </c>
      <c r="J25" t="s">
        <v>1416</v>
      </c>
      <c r="L25" s="19" t="s">
        <v>115</v>
      </c>
      <c r="M25" t="s">
        <v>920</v>
      </c>
      <c r="N25" s="48">
        <f>prod_table_raw!N105</f>
        <v>439008</v>
      </c>
      <c r="O25" s="49">
        <f t="shared" si="3"/>
        <v>0</v>
      </c>
      <c r="P25" s="49">
        <f t="shared" si="4"/>
        <v>439008</v>
      </c>
      <c r="Q25" s="34">
        <f>prod_table_raw!N103</f>
        <v>4.0869999000000004</v>
      </c>
      <c r="R25" s="34"/>
      <c r="S25" s="34"/>
      <c r="T25" s="34"/>
      <c r="U25" s="34"/>
      <c r="V25" s="34"/>
      <c r="W25" s="34"/>
      <c r="X25" s="34"/>
      <c r="Y25" s="34"/>
      <c r="Z25" s="34"/>
      <c r="AA25" s="34"/>
      <c r="AB25" s="34"/>
      <c r="AC25" s="34"/>
      <c r="AD25" s="39"/>
      <c r="AE25" s="39"/>
      <c r="AF25" s="38">
        <f>S25/(concentrate_grade!$F$4/100)</f>
        <v>0</v>
      </c>
      <c r="AG25" s="38">
        <f>T25/(concentrate_grade!$F$6/100)</f>
        <v>0</v>
      </c>
      <c r="AH25" s="39"/>
      <c r="AI25" s="39"/>
      <c r="AJ25" s="39"/>
      <c r="AK25" s="39"/>
      <c r="AL25" s="39"/>
      <c r="AM25" s="39"/>
      <c r="AN25" s="39"/>
      <c r="AO25" s="39"/>
      <c r="AP25" s="39"/>
      <c r="AQ25" s="43">
        <f>Q25*prices!$C$4</f>
        <v>211678.53756568654</v>
      </c>
      <c r="AR25" s="43">
        <f>R25*prices!$C$11</f>
        <v>0</v>
      </c>
      <c r="AS25" s="43">
        <f>S25*prices!$C$3</f>
        <v>0</v>
      </c>
      <c r="AT25" s="43">
        <f>T25*prices!$C$8</f>
        <v>0</v>
      </c>
      <c r="AU25" s="43">
        <f>U25*prices!$C$2</f>
        <v>0</v>
      </c>
      <c r="AV25" s="43">
        <f>V25*prices!$C$7</f>
        <v>0</v>
      </c>
      <c r="AW25" s="43">
        <f>W25*prices!$C$13</f>
        <v>0</v>
      </c>
      <c r="AX25" s="43">
        <f>X25*prices!$C$6</f>
        <v>0</v>
      </c>
      <c r="AY25" s="43">
        <f>Y25*prices!$C$5</f>
        <v>0</v>
      </c>
      <c r="AZ25" s="43">
        <f>Z25*prices!$C$9</f>
        <v>0</v>
      </c>
      <c r="BA25" s="43">
        <f>AB25*prices!$C$12</f>
        <v>0</v>
      </c>
      <c r="BB25" s="43">
        <f>AC25*prices!$C$14</f>
        <v>0</v>
      </c>
      <c r="BC25" s="23">
        <f t="shared" si="0"/>
        <v>211678.53756568654</v>
      </c>
      <c r="BD25" s="24">
        <f t="shared" si="1"/>
        <v>1</v>
      </c>
      <c r="BE25" s="25">
        <f t="shared" si="2"/>
        <v>0</v>
      </c>
      <c r="BF25" t="s">
        <v>920</v>
      </c>
    </row>
    <row r="26" spans="1:58" x14ac:dyDescent="0.25">
      <c r="A26" s="18" t="s">
        <v>200</v>
      </c>
      <c r="C26" t="s">
        <v>202</v>
      </c>
      <c r="E26" t="s">
        <v>440</v>
      </c>
      <c r="F26" s="19" t="s">
        <v>435</v>
      </c>
      <c r="G26" s="18" t="s">
        <v>64</v>
      </c>
      <c r="H26" t="s">
        <v>1414</v>
      </c>
      <c r="I26" s="8"/>
      <c r="J26" t="s">
        <v>1416</v>
      </c>
      <c r="L26" s="19" t="s">
        <v>203</v>
      </c>
      <c r="M26" t="s">
        <v>1078</v>
      </c>
      <c r="N26" s="48">
        <f>prod_table_raw!N110</f>
        <v>127307</v>
      </c>
      <c r="O26" s="49">
        <f t="shared" si="3"/>
        <v>0</v>
      </c>
      <c r="P26" s="49">
        <f t="shared" si="4"/>
        <v>127307</v>
      </c>
      <c r="Q26" s="34"/>
      <c r="R26" s="34">
        <f>prod_table_raw!N109</f>
        <v>46.735403719499999</v>
      </c>
      <c r="S26" s="34"/>
      <c r="T26" s="34"/>
      <c r="U26" s="34"/>
      <c r="V26" s="34"/>
      <c r="W26" s="34">
        <f>prod_table_raw!N112</f>
        <v>1339</v>
      </c>
      <c r="X26" s="34">
        <f>prod_table_raw!N111</f>
        <v>1225</v>
      </c>
      <c r="Y26" s="34"/>
      <c r="Z26" s="34"/>
      <c r="AA26" s="34"/>
      <c r="AB26" s="34"/>
      <c r="AC26" s="34"/>
      <c r="AD26" s="39"/>
      <c r="AE26" s="39"/>
      <c r="AF26" s="38">
        <f>S26/(concentrate_grade!$F$4/100)</f>
        <v>0</v>
      </c>
      <c r="AG26" s="38">
        <f>T26/(concentrate_grade!$F$6/100)</f>
        <v>0</v>
      </c>
      <c r="AH26" s="39"/>
      <c r="AI26" s="39"/>
      <c r="AJ26" s="39"/>
      <c r="AK26" s="39"/>
      <c r="AL26" s="39"/>
      <c r="AM26" s="39"/>
      <c r="AN26" s="39"/>
      <c r="AO26" s="39"/>
      <c r="AP26" s="39"/>
      <c r="AQ26" s="43">
        <f>Q26*prices!$C$4</f>
        <v>0</v>
      </c>
      <c r="AR26" s="43">
        <f>R26*prices!$C$11</f>
        <v>31412.266901987536</v>
      </c>
      <c r="AS26" s="43">
        <f>S26*prices!$C$3</f>
        <v>0</v>
      </c>
      <c r="AT26" s="43">
        <f>T26*prices!$C$8</f>
        <v>0</v>
      </c>
      <c r="AU26" s="43">
        <f>U26*prices!$C$2</f>
        <v>0</v>
      </c>
      <c r="AV26" s="43">
        <f>V26*prices!$C$7</f>
        <v>0</v>
      </c>
      <c r="AW26" s="43">
        <f>W26*prices!$C$13</f>
        <v>3453.7021679644554</v>
      </c>
      <c r="AX26" s="43">
        <f>X26*prices!$C$6</f>
        <v>2526.6648778381823</v>
      </c>
      <c r="AY26" s="43">
        <f>Y26*prices!$C$5</f>
        <v>0</v>
      </c>
      <c r="AZ26" s="43">
        <f>Z26*prices!$C$9</f>
        <v>0</v>
      </c>
      <c r="BA26" s="43">
        <f>AB26*prices!$C$12</f>
        <v>0</v>
      </c>
      <c r="BB26" s="43">
        <f>AC26*prices!$C$14</f>
        <v>0</v>
      </c>
      <c r="BC26" s="23">
        <f t="shared" si="0"/>
        <v>37392.633947790178</v>
      </c>
      <c r="BD26" s="24">
        <f t="shared" si="1"/>
        <v>0</v>
      </c>
      <c r="BE26" s="25">
        <f t="shared" si="2"/>
        <v>0</v>
      </c>
      <c r="BF26" t="s">
        <v>1078</v>
      </c>
    </row>
    <row r="27" spans="1:58" x14ac:dyDescent="0.25">
      <c r="A27" s="18"/>
      <c r="B27" t="s">
        <v>254</v>
      </c>
      <c r="C27" t="s">
        <v>256</v>
      </c>
      <c r="E27" t="s">
        <v>453</v>
      </c>
      <c r="F27" s="19" t="s">
        <v>435</v>
      </c>
      <c r="G27" s="18" t="s">
        <v>1372</v>
      </c>
      <c r="H27" t="s">
        <v>1412</v>
      </c>
      <c r="L27" s="19" t="s">
        <v>92</v>
      </c>
      <c r="M27" t="s">
        <v>1071</v>
      </c>
      <c r="N27" s="48">
        <f>prod_table_raw!N153</f>
        <v>98408.871032543204</v>
      </c>
      <c r="O27" s="49">
        <f t="shared" si="3"/>
        <v>0</v>
      </c>
      <c r="P27" s="49">
        <f t="shared" si="4"/>
        <v>98408.871032543204</v>
      </c>
      <c r="Q27" s="34"/>
      <c r="R27" s="34"/>
      <c r="S27" s="34"/>
      <c r="T27" s="34"/>
      <c r="U27" s="34"/>
      <c r="V27" s="34"/>
      <c r="W27" s="34"/>
      <c r="X27" s="34"/>
      <c r="Y27" s="34"/>
      <c r="Z27" s="34"/>
      <c r="AA27" s="34"/>
      <c r="AB27" s="34">
        <f>prod_table_raw!N152</f>
        <v>6123.4920000000002</v>
      </c>
      <c r="AC27" s="34"/>
      <c r="AD27" s="39"/>
      <c r="AE27" s="39"/>
      <c r="AF27" s="38">
        <f>S27/(concentrate_grade!$F$4/100)</f>
        <v>0</v>
      </c>
      <c r="AG27" s="38">
        <f>T27/(concentrate_grade!$F$6/100)</f>
        <v>0</v>
      </c>
      <c r="AH27" s="39"/>
      <c r="AI27" s="39"/>
      <c r="AJ27" s="39"/>
      <c r="AK27" s="39"/>
      <c r="AL27" s="39"/>
      <c r="AM27" s="39"/>
      <c r="AN27" s="39"/>
      <c r="AO27" s="39"/>
      <c r="AP27" s="39"/>
      <c r="AQ27" s="43">
        <f>Q27*prices!$C$4</f>
        <v>0</v>
      </c>
      <c r="AR27" s="43">
        <f>R27*prices!$C$11</f>
        <v>0</v>
      </c>
      <c r="AS27" s="43">
        <f>S27*prices!$C$3</f>
        <v>0</v>
      </c>
      <c r="AT27" s="43">
        <f>T27*prices!$C$8</f>
        <v>0</v>
      </c>
      <c r="AU27" s="43">
        <f>U27*prices!$C$2</f>
        <v>0</v>
      </c>
      <c r="AV27" s="43">
        <f>V27*prices!$C$7</f>
        <v>0</v>
      </c>
      <c r="AW27" s="43">
        <f>W27*prices!$C$13</f>
        <v>0</v>
      </c>
      <c r="AX27" s="43">
        <f>X27*prices!$C$6</f>
        <v>0</v>
      </c>
      <c r="AY27" s="43">
        <f>Y27*prices!$C$5</f>
        <v>0</v>
      </c>
      <c r="AZ27" s="43">
        <f>Z27*prices!$C$9</f>
        <v>0</v>
      </c>
      <c r="BA27" s="43">
        <f>AB27*prices!$C$12</f>
        <v>1051.4035764</v>
      </c>
      <c r="BB27" s="43">
        <f>AC27*prices!$C$14</f>
        <v>0</v>
      </c>
      <c r="BC27" s="23">
        <f t="shared" si="0"/>
        <v>0</v>
      </c>
      <c r="BD27" s="24" t="e">
        <f t="shared" si="1"/>
        <v>#DIV/0!</v>
      </c>
      <c r="BE27" s="25" t="e">
        <f t="shared" si="2"/>
        <v>#DIV/0!</v>
      </c>
      <c r="BF27" t="s">
        <v>1071</v>
      </c>
    </row>
    <row r="28" spans="1:58" x14ac:dyDescent="0.25">
      <c r="A28" s="18" t="s">
        <v>205</v>
      </c>
      <c r="C28" t="s">
        <v>206</v>
      </c>
      <c r="E28" t="s">
        <v>437</v>
      </c>
      <c r="F28" s="19" t="s">
        <v>435</v>
      </c>
      <c r="G28" s="18" t="s">
        <v>64</v>
      </c>
      <c r="H28" t="s">
        <v>1457</v>
      </c>
      <c r="I28" t="s">
        <v>1427</v>
      </c>
      <c r="L28" s="19" t="s">
        <v>207</v>
      </c>
      <c r="M28" t="s">
        <v>1095</v>
      </c>
      <c r="N28" s="48">
        <f>prod_table_raw!N116</f>
        <v>1340000</v>
      </c>
      <c r="O28" s="49">
        <f t="shared" si="3"/>
        <v>75333.333333333343</v>
      </c>
      <c r="P28" s="49">
        <f t="shared" si="4"/>
        <v>1264666.6666666667</v>
      </c>
      <c r="Q28" s="34"/>
      <c r="R28" s="34">
        <f>prod_table_raw!N115</f>
        <v>42.860622999999997</v>
      </c>
      <c r="S28" s="34">
        <f>prod_table_raw!N113</f>
        <v>22600</v>
      </c>
      <c r="T28" s="34"/>
      <c r="U28" s="34"/>
      <c r="V28" s="34"/>
      <c r="W28" s="34">
        <f>prod_table_raw!N114</f>
        <v>38600</v>
      </c>
      <c r="X28" s="34"/>
      <c r="Y28" s="34"/>
      <c r="Z28" s="34"/>
      <c r="AA28" s="34"/>
      <c r="AB28" s="34"/>
      <c r="AC28" s="34"/>
      <c r="AD28" s="39"/>
      <c r="AE28" s="39"/>
      <c r="AF28" s="38">
        <f>S28/(concentrate_grade!$F$4/100)</f>
        <v>75333.333333333343</v>
      </c>
      <c r="AG28" s="38">
        <f>T28/(concentrate_grade!$F$6/100)</f>
        <v>0</v>
      </c>
      <c r="AH28" s="39"/>
      <c r="AI28" s="39"/>
      <c r="AJ28" s="39"/>
      <c r="AK28" s="39"/>
      <c r="AL28" s="39"/>
      <c r="AM28" s="39"/>
      <c r="AN28" s="39"/>
      <c r="AO28" s="39"/>
      <c r="AP28" s="39"/>
      <c r="AQ28" s="43">
        <f>Q28*prices!$C$4</f>
        <v>0</v>
      </c>
      <c r="AR28" s="43">
        <f>R28*prices!$C$11</f>
        <v>28807.910536989999</v>
      </c>
      <c r="AS28" s="43">
        <f>S28*prices!$C$3</f>
        <v>155940</v>
      </c>
      <c r="AT28" s="43">
        <f>T28*prices!$C$8</f>
        <v>0</v>
      </c>
      <c r="AU28" s="43">
        <f>U28*prices!$C$2</f>
        <v>0</v>
      </c>
      <c r="AV28" s="43">
        <f>V28*prices!$C$7</f>
        <v>0</v>
      </c>
      <c r="AW28" s="43">
        <f>W28*prices!$C$13</f>
        <v>99561.541212418204</v>
      </c>
      <c r="AX28" s="43">
        <f>X28*prices!$C$6</f>
        <v>0</v>
      </c>
      <c r="AY28" s="43">
        <f>Y28*prices!$C$5</f>
        <v>0</v>
      </c>
      <c r="AZ28" s="43">
        <f>Z28*prices!$C$9</f>
        <v>0</v>
      </c>
      <c r="BA28" s="43">
        <f>AB28*prices!$C$12</f>
        <v>0</v>
      </c>
      <c r="BB28" s="43">
        <f>AC28*prices!$C$14</f>
        <v>0</v>
      </c>
      <c r="BC28" s="23">
        <f t="shared" si="0"/>
        <v>284309.45174940821</v>
      </c>
      <c r="BD28" s="24">
        <f t="shared" si="1"/>
        <v>0</v>
      </c>
      <c r="BE28" s="25">
        <f t="shared" si="2"/>
        <v>0.5484868654224212</v>
      </c>
      <c r="BF28" t="s">
        <v>1095</v>
      </c>
    </row>
    <row r="29" spans="1:58" x14ac:dyDescent="0.25">
      <c r="A29" s="18" t="s">
        <v>209</v>
      </c>
      <c r="C29" t="s">
        <v>210</v>
      </c>
      <c r="E29" t="s">
        <v>436</v>
      </c>
      <c r="F29" s="19" t="s">
        <v>435</v>
      </c>
      <c r="G29" s="18" t="s">
        <v>78</v>
      </c>
      <c r="H29" t="s">
        <v>1401</v>
      </c>
      <c r="I29" t="s">
        <v>1424</v>
      </c>
      <c r="J29" t="s">
        <v>1416</v>
      </c>
      <c r="L29" s="19" t="s">
        <v>65</v>
      </c>
      <c r="M29" t="s">
        <v>1075</v>
      </c>
      <c r="N29" s="48">
        <f>prod_table_raw!N120</f>
        <v>191148</v>
      </c>
      <c r="O29" s="49">
        <f t="shared" si="3"/>
        <v>0</v>
      </c>
      <c r="P29" s="49">
        <f t="shared" si="4"/>
        <v>191148</v>
      </c>
      <c r="Q29" s="34">
        <f>prod_table_raw!N119</f>
        <v>1.1053250795</v>
      </c>
      <c r="R29" s="34">
        <f>prod_table_raw!N121</f>
        <v>9.0448977999999999E-2</v>
      </c>
      <c r="S29" s="34"/>
      <c r="T29" s="34"/>
      <c r="U29" s="34"/>
      <c r="V29" s="34"/>
      <c r="W29" s="34"/>
      <c r="X29" s="34"/>
      <c r="Y29" s="34"/>
      <c r="Z29" s="34"/>
      <c r="AA29" s="34"/>
      <c r="AB29" s="34"/>
      <c r="AC29" s="34"/>
      <c r="AD29" s="39"/>
      <c r="AE29" s="39"/>
      <c r="AF29" s="38">
        <f>S29/(concentrate_grade!$F$4/100)</f>
        <v>0</v>
      </c>
      <c r="AG29" s="38">
        <f>T29/(concentrate_grade!$F$6/100)</f>
        <v>0</v>
      </c>
      <c r="AH29" s="39"/>
      <c r="AI29" s="39"/>
      <c r="AJ29" s="39"/>
      <c r="AK29" s="39"/>
      <c r="AL29" s="39"/>
      <c r="AM29" s="39"/>
      <c r="AN29" s="39"/>
      <c r="AO29" s="39"/>
      <c r="AP29" s="39"/>
      <c r="AQ29" s="43">
        <f>Q29*prices!$C$4</f>
        <v>57248.251061429233</v>
      </c>
      <c r="AR29" s="43">
        <f>R29*prices!$C$11</f>
        <v>60.793471583139997</v>
      </c>
      <c r="AS29" s="43">
        <f>S29*prices!$C$3</f>
        <v>0</v>
      </c>
      <c r="AT29" s="43">
        <f>T29*prices!$C$8</f>
        <v>0</v>
      </c>
      <c r="AU29" s="43">
        <f>U29*prices!$C$2</f>
        <v>0</v>
      </c>
      <c r="AV29" s="43">
        <f>V29*prices!$C$7</f>
        <v>0</v>
      </c>
      <c r="AW29" s="43">
        <f>W29*prices!$C$13</f>
        <v>0</v>
      </c>
      <c r="AX29" s="43">
        <f>X29*prices!$C$6</f>
        <v>0</v>
      </c>
      <c r="AY29" s="43">
        <f>Y29*prices!$C$5</f>
        <v>0</v>
      </c>
      <c r="AZ29" s="43">
        <f>Z29*prices!$C$9</f>
        <v>0</v>
      </c>
      <c r="BA29" s="43">
        <f>AB29*prices!$C$12</f>
        <v>0</v>
      </c>
      <c r="BB29" s="43">
        <f>AC29*prices!$C$14</f>
        <v>0</v>
      </c>
      <c r="BC29" s="23">
        <f t="shared" si="0"/>
        <v>57309.044533012377</v>
      </c>
      <c r="BD29" s="24">
        <f t="shared" si="1"/>
        <v>0.99893919935189068</v>
      </c>
      <c r="BE29" s="25">
        <f t="shared" si="2"/>
        <v>0</v>
      </c>
      <c r="BF29" t="s">
        <v>1075</v>
      </c>
    </row>
    <row r="30" spans="1:58" x14ac:dyDescent="0.25">
      <c r="A30" s="18" t="s">
        <v>215</v>
      </c>
      <c r="C30" t="s">
        <v>218</v>
      </c>
      <c r="E30" t="s">
        <v>437</v>
      </c>
      <c r="F30" s="19" t="s">
        <v>435</v>
      </c>
      <c r="G30" s="18" t="s">
        <v>91</v>
      </c>
      <c r="H30" s="14" t="s">
        <v>1403</v>
      </c>
      <c r="I30" t="s">
        <v>1420</v>
      </c>
      <c r="J30" t="s">
        <v>1416</v>
      </c>
      <c r="L30" s="19" t="s">
        <v>219</v>
      </c>
      <c r="M30" t="s">
        <v>922</v>
      </c>
      <c r="N30" s="48">
        <f>prod_table_raw!N124</f>
        <v>3798000</v>
      </c>
      <c r="O30" s="49">
        <f t="shared" si="3"/>
        <v>0</v>
      </c>
      <c r="P30" s="49">
        <f t="shared" si="4"/>
        <v>3798000</v>
      </c>
      <c r="Q30" s="34">
        <f>prod_table_raw!N125</f>
        <v>0.59407684999999999</v>
      </c>
      <c r="R30" s="34"/>
      <c r="S30" s="34"/>
      <c r="T30" s="34"/>
      <c r="U30" s="34"/>
      <c r="V30" s="34"/>
      <c r="W30" s="34"/>
      <c r="X30" s="34"/>
      <c r="Y30" s="34"/>
      <c r="Z30" s="34">
        <f>prod_table_raw!N127</f>
        <v>0.67805629999999995</v>
      </c>
      <c r="AA30" s="34">
        <f>prod_table_raw!N126</f>
        <v>0.77758749999999999</v>
      </c>
      <c r="AB30" s="34"/>
      <c r="AC30" s="34"/>
      <c r="AD30" s="39"/>
      <c r="AE30" s="39"/>
      <c r="AF30" s="38">
        <f>S30/(concentrate_grade!$F$4/100)</f>
        <v>0</v>
      </c>
      <c r="AG30" s="38">
        <f>T30/(concentrate_grade!$F$6/100)</f>
        <v>0</v>
      </c>
      <c r="AH30" s="39"/>
      <c r="AI30" s="39"/>
      <c r="AJ30" s="39"/>
      <c r="AK30" s="39"/>
      <c r="AL30" s="39"/>
      <c r="AM30" s="39"/>
      <c r="AN30" s="39"/>
      <c r="AO30" s="39"/>
      <c r="AP30" s="39"/>
      <c r="AQ30" s="43">
        <f>Q30*prices!$C$4</f>
        <v>30769.10249242475</v>
      </c>
      <c r="AR30" s="43">
        <f>R30*prices!$C$11</f>
        <v>0</v>
      </c>
      <c r="AS30" s="43">
        <f>S30*prices!$C$3</f>
        <v>0</v>
      </c>
      <c r="AT30" s="43">
        <f>T30*prices!$C$8</f>
        <v>0</v>
      </c>
      <c r="AU30" s="43">
        <f>U30*prices!$C$2</f>
        <v>0</v>
      </c>
      <c r="AV30" s="43">
        <f>V30*prices!$C$7</f>
        <v>0</v>
      </c>
      <c r="AW30" s="43">
        <f>W30*prices!$C$13</f>
        <v>0</v>
      </c>
      <c r="AX30" s="43">
        <f>X30*prices!$C$6</f>
        <v>0</v>
      </c>
      <c r="AY30" s="43">
        <f>Y30*prices!$C$5</f>
        <v>0</v>
      </c>
      <c r="AZ30" s="43">
        <f>Z30*prices!$C$9</f>
        <v>34878.395623876997</v>
      </c>
      <c r="BA30" s="43">
        <f>AB30*prices!$C$12</f>
        <v>0</v>
      </c>
      <c r="BB30" s="43">
        <f>AC30*prices!$C$14</f>
        <v>0</v>
      </c>
      <c r="BC30" s="23">
        <f t="shared" si="0"/>
        <v>65647.498116301751</v>
      </c>
      <c r="BD30" s="24">
        <f t="shared" si="1"/>
        <v>0.46870182985365116</v>
      </c>
      <c r="BE30" s="25">
        <f t="shared" si="2"/>
        <v>0</v>
      </c>
      <c r="BF30" t="s">
        <v>922</v>
      </c>
    </row>
    <row r="31" spans="1:58" x14ac:dyDescent="0.25">
      <c r="A31" s="18" t="s">
        <v>227</v>
      </c>
      <c r="C31" t="s">
        <v>230</v>
      </c>
      <c r="E31" t="s">
        <v>436</v>
      </c>
      <c r="F31" s="19" t="s">
        <v>435</v>
      </c>
      <c r="G31" s="18" t="s">
        <v>64</v>
      </c>
      <c r="H31" t="s">
        <v>1401</v>
      </c>
      <c r="I31" t="s">
        <v>1424</v>
      </c>
      <c r="J31" t="s">
        <v>1416</v>
      </c>
      <c r="L31" s="19" t="s">
        <v>65</v>
      </c>
      <c r="M31" t="s">
        <v>1075</v>
      </c>
      <c r="N31" s="48">
        <f>prod_table_raw!N134</f>
        <v>838419</v>
      </c>
      <c r="O31" s="49">
        <f t="shared" si="3"/>
        <v>0</v>
      </c>
      <c r="P31" s="49">
        <f t="shared" si="4"/>
        <v>838419</v>
      </c>
      <c r="Q31" s="34">
        <f>prod_table_raw!N133</f>
        <v>5.5074656414999996</v>
      </c>
      <c r="R31" s="34">
        <f>prod_table_raw!N135</f>
        <v>2.2666986659999999</v>
      </c>
      <c r="S31" s="34"/>
      <c r="T31" s="34"/>
      <c r="U31" s="34"/>
      <c r="V31" s="34"/>
      <c r="W31" s="34"/>
      <c r="X31" s="34"/>
      <c r="Y31" s="34"/>
      <c r="Z31" s="34"/>
      <c r="AA31" s="34"/>
      <c r="AB31" s="34"/>
      <c r="AC31" s="34"/>
      <c r="AD31" s="39"/>
      <c r="AE31" s="39"/>
      <c r="AF31" s="38">
        <f>S31/(concentrate_grade!$F$4/100)</f>
        <v>0</v>
      </c>
      <c r="AG31" s="38">
        <f>T31/(concentrate_grade!$F$6/100)</f>
        <v>0</v>
      </c>
      <c r="AH31" s="39"/>
      <c r="AI31" s="39"/>
      <c r="AJ31" s="39"/>
      <c r="AK31" s="39"/>
      <c r="AL31" s="39"/>
      <c r="AM31" s="39"/>
      <c r="AN31" s="39"/>
      <c r="AO31" s="39"/>
      <c r="AP31" s="39"/>
      <c r="AQ31" s="43">
        <f>Q31*prices!$C$4</f>
        <v>285248.91147807107</v>
      </c>
      <c r="AR31" s="43">
        <f>R31*prices!$C$11</f>
        <v>1523.51617437858</v>
      </c>
      <c r="AS31" s="43">
        <f>S31*prices!$C$3</f>
        <v>0</v>
      </c>
      <c r="AT31" s="43">
        <f>T31*prices!$C$8</f>
        <v>0</v>
      </c>
      <c r="AU31" s="43">
        <f>U31*prices!$C$2</f>
        <v>0</v>
      </c>
      <c r="AV31" s="43">
        <f>V31*prices!$C$7</f>
        <v>0</v>
      </c>
      <c r="AW31" s="43">
        <f>W31*prices!$C$13</f>
        <v>0</v>
      </c>
      <c r="AX31" s="43">
        <f>X31*prices!$C$6</f>
        <v>0</v>
      </c>
      <c r="AY31" s="43">
        <f>Y31*prices!$C$5</f>
        <v>0</v>
      </c>
      <c r="AZ31" s="43">
        <f>Z31*prices!$C$9</f>
        <v>0</v>
      </c>
      <c r="BA31" s="43">
        <f>AB31*prices!$C$12</f>
        <v>0</v>
      </c>
      <c r="BB31" s="43">
        <f>AC31*prices!$C$14</f>
        <v>0</v>
      </c>
      <c r="BC31" s="23">
        <f t="shared" si="0"/>
        <v>286772.42765244964</v>
      </c>
      <c r="BD31" s="24">
        <f t="shared" si="1"/>
        <v>0.99468736870259722</v>
      </c>
      <c r="BE31" s="25">
        <f t="shared" si="2"/>
        <v>0</v>
      </c>
      <c r="BF31" t="s">
        <v>1075</v>
      </c>
    </row>
    <row r="32" spans="1:58" x14ac:dyDescent="0.25">
      <c r="A32" s="18" t="s">
        <v>232</v>
      </c>
      <c r="C32" t="s">
        <v>233</v>
      </c>
      <c r="E32" t="s">
        <v>436</v>
      </c>
      <c r="F32" s="19" t="s">
        <v>435</v>
      </c>
      <c r="G32" s="18" t="s">
        <v>64</v>
      </c>
      <c r="H32" s="14" t="s">
        <v>1456</v>
      </c>
      <c r="I32" t="s">
        <v>1426</v>
      </c>
      <c r="J32" t="s">
        <v>1416</v>
      </c>
      <c r="L32" s="19" t="s">
        <v>234</v>
      </c>
      <c r="M32" t="s">
        <v>1079</v>
      </c>
      <c r="N32" s="48">
        <f>prod_table_raw!N139</f>
        <v>1501500</v>
      </c>
      <c r="O32" s="49">
        <f t="shared" si="3"/>
        <v>8593.2012500000001</v>
      </c>
      <c r="P32" s="49">
        <f t="shared" si="4"/>
        <v>1492906.7987500001</v>
      </c>
      <c r="Q32" s="34">
        <f>prod_table_raw!N138</f>
        <v>7.3401460684999904</v>
      </c>
      <c r="R32" s="34">
        <f>prod_table_raw!N135</f>
        <v>2.2666986659999999</v>
      </c>
      <c r="S32" s="34">
        <f>prod_table_raw!N137</f>
        <v>2577.9603750000001</v>
      </c>
      <c r="T32" s="34"/>
      <c r="U32" s="34"/>
      <c r="V32" s="34"/>
      <c r="W32" s="34">
        <f>prod_table_raw!N136</f>
        <v>7702.4385169999996</v>
      </c>
      <c r="X32" s="34"/>
      <c r="Y32" s="34"/>
      <c r="Z32" s="34"/>
      <c r="AA32" s="34"/>
      <c r="AB32" s="34"/>
      <c r="AC32" s="34"/>
      <c r="AD32" s="39"/>
      <c r="AE32" s="39"/>
      <c r="AF32" s="38">
        <f>S32/(concentrate_grade!$F$4/100)</f>
        <v>8593.2012500000001</v>
      </c>
      <c r="AG32" s="38">
        <f>T32/(concentrate_grade!$F$6/100)</f>
        <v>0</v>
      </c>
      <c r="AH32" s="39"/>
      <c r="AI32" s="39"/>
      <c r="AJ32" s="39"/>
      <c r="AK32" s="39"/>
      <c r="AL32" s="39"/>
      <c r="AM32" s="39"/>
      <c r="AN32" s="39"/>
      <c r="AO32" s="39"/>
      <c r="AP32" s="39"/>
      <c r="AQ32" s="43">
        <f>Q32*prices!$C$4</f>
        <v>380169.17624553927</v>
      </c>
      <c r="AR32" s="43">
        <f>R32*prices!$C$11</f>
        <v>1523.51617437858</v>
      </c>
      <c r="AS32" s="43">
        <f>S32*prices!$C$3</f>
        <v>17787.926587500002</v>
      </c>
      <c r="AT32" s="43">
        <f>T32*prices!$C$8</f>
        <v>0</v>
      </c>
      <c r="AU32" s="43">
        <f>U32*prices!$C$2</f>
        <v>0</v>
      </c>
      <c r="AV32" s="43">
        <f>V32*prices!$C$7</f>
        <v>0</v>
      </c>
      <c r="AW32" s="43">
        <f>W32*prices!$C$13</f>
        <v>19867.011654052145</v>
      </c>
      <c r="AX32" s="43">
        <f>X32*prices!$C$6</f>
        <v>0</v>
      </c>
      <c r="AY32" s="43">
        <f>Y32*prices!$C$5</f>
        <v>0</v>
      </c>
      <c r="AZ32" s="43">
        <f>Z32*prices!$C$9</f>
        <v>0</v>
      </c>
      <c r="BA32" s="43">
        <f>AB32*prices!$C$12</f>
        <v>0</v>
      </c>
      <c r="BB32" s="43">
        <f>AC32*prices!$C$14</f>
        <v>0</v>
      </c>
      <c r="BC32" s="23">
        <f t="shared" si="0"/>
        <v>419347.63066147</v>
      </c>
      <c r="BD32" s="24">
        <f t="shared" si="1"/>
        <v>0.90657284898896062</v>
      </c>
      <c r="BE32" s="25">
        <f t="shared" si="2"/>
        <v>4.241809250106339E-2</v>
      </c>
      <c r="BF32" t="s">
        <v>1079</v>
      </c>
    </row>
    <row r="33" spans="1:58" x14ac:dyDescent="0.25">
      <c r="A33" s="18" t="s">
        <v>534</v>
      </c>
      <c r="C33" t="s">
        <v>535</v>
      </c>
      <c r="E33" t="s">
        <v>442</v>
      </c>
      <c r="F33" s="19" t="s">
        <v>540</v>
      </c>
      <c r="G33" s="18" t="s">
        <v>71</v>
      </c>
      <c r="H33" t="s">
        <v>1159</v>
      </c>
      <c r="I33" t="s">
        <v>1418</v>
      </c>
      <c r="L33" s="19" t="s">
        <v>326</v>
      </c>
      <c r="M33" t="s">
        <v>919</v>
      </c>
      <c r="N33" s="48"/>
      <c r="O33" s="49">
        <f t="shared" si="3"/>
        <v>173125</v>
      </c>
      <c r="P33" s="49">
        <f t="shared" si="4"/>
        <v>-173125</v>
      </c>
      <c r="Q33" s="34"/>
      <c r="R33" s="34"/>
      <c r="S33" s="34"/>
      <c r="T33" s="34">
        <f>prod_table_raw!N145</f>
        <v>27700</v>
      </c>
      <c r="U33" s="34"/>
      <c r="V33" s="34"/>
      <c r="W33" s="34"/>
      <c r="X33" s="34"/>
      <c r="Y33" s="34"/>
      <c r="Z33" s="34"/>
      <c r="AA33" s="34"/>
      <c r="AB33" s="34"/>
      <c r="AC33" s="34"/>
      <c r="AD33" s="39"/>
      <c r="AE33" s="39"/>
      <c r="AF33" s="38">
        <f>S33/(concentrate_grade!$F$4/100)</f>
        <v>0</v>
      </c>
      <c r="AG33" s="38">
        <f>T33/(concentrate_grade!$F$6/100)</f>
        <v>173125</v>
      </c>
      <c r="AH33" s="39"/>
      <c r="AI33" s="39"/>
      <c r="AJ33" s="39"/>
      <c r="AK33" s="39"/>
      <c r="AL33" s="39"/>
      <c r="AM33" s="39"/>
      <c r="AN33" s="39"/>
      <c r="AO33" s="39"/>
      <c r="AP33" s="39"/>
      <c r="AQ33" s="43">
        <f>Q33*prices!$C$4</f>
        <v>0</v>
      </c>
      <c r="AR33" s="43">
        <f>R33*prices!$C$11</f>
        <v>0</v>
      </c>
      <c r="AS33" s="43">
        <f>S33*prices!$C$3</f>
        <v>0</v>
      </c>
      <c r="AT33" s="43">
        <f>T33*prices!$C$8</f>
        <v>431843</v>
      </c>
      <c r="AU33" s="43">
        <f>U33*prices!$C$2</f>
        <v>0</v>
      </c>
      <c r="AV33" s="43">
        <f>V33*prices!$C$7</f>
        <v>0</v>
      </c>
      <c r="AW33" s="43">
        <f>W33*prices!$C$13</f>
        <v>0</v>
      </c>
      <c r="AX33" s="43">
        <f>X33*prices!$C$6</f>
        <v>0</v>
      </c>
      <c r="AY33" s="43">
        <f>Y33*prices!$C$5</f>
        <v>0</v>
      </c>
      <c r="AZ33" s="43">
        <f>Z33*prices!$C$9</f>
        <v>0</v>
      </c>
      <c r="BA33" s="43">
        <f>AB33*prices!$C$12</f>
        <v>0</v>
      </c>
      <c r="BB33" s="43">
        <f>AC33*prices!$C$14</f>
        <v>0</v>
      </c>
      <c r="BC33" s="23">
        <f t="shared" si="0"/>
        <v>431843</v>
      </c>
      <c r="BD33" s="24">
        <f t="shared" si="1"/>
        <v>0</v>
      </c>
      <c r="BE33" s="25">
        <f t="shared" si="2"/>
        <v>0</v>
      </c>
      <c r="BF33" t="s">
        <v>919</v>
      </c>
    </row>
    <row r="34" spans="1:58" x14ac:dyDescent="0.25">
      <c r="A34" s="18" t="s">
        <v>239</v>
      </c>
      <c r="C34" t="s">
        <v>240</v>
      </c>
      <c r="E34" t="s">
        <v>437</v>
      </c>
      <c r="F34" s="19" t="s">
        <v>435</v>
      </c>
      <c r="G34" s="18" t="s">
        <v>64</v>
      </c>
      <c r="H34" s="14"/>
      <c r="I34" t="s">
        <v>1426</v>
      </c>
      <c r="J34" t="s">
        <v>1416</v>
      </c>
      <c r="L34" s="19" t="s">
        <v>65</v>
      </c>
      <c r="M34" t="s">
        <v>920</v>
      </c>
      <c r="N34" s="48">
        <f>prod_table_raw!N146</f>
        <v>441588</v>
      </c>
      <c r="O34" s="49">
        <f t="shared" si="3"/>
        <v>0</v>
      </c>
      <c r="P34" s="49">
        <f t="shared" si="4"/>
        <v>441588</v>
      </c>
      <c r="Q34" s="34">
        <f>prod_table_raw!N147</f>
        <v>7.1082383724999998</v>
      </c>
      <c r="R34" s="34"/>
      <c r="S34" s="34"/>
      <c r="T34" s="34"/>
      <c r="U34" s="34"/>
      <c r="V34" s="34"/>
      <c r="W34" s="34"/>
      <c r="X34" s="34"/>
      <c r="Y34" s="34"/>
      <c r="Z34" s="34"/>
      <c r="AA34" s="34"/>
      <c r="AB34" s="34"/>
      <c r="AC34" s="34"/>
      <c r="AD34" s="39"/>
      <c r="AE34" s="39"/>
      <c r="AF34" s="38">
        <f>S34/(concentrate_grade!$F$4/100)</f>
        <v>0</v>
      </c>
      <c r="AG34" s="38">
        <f>T34/(concentrate_grade!$F$6/100)</f>
        <v>0</v>
      </c>
      <c r="AH34" s="39"/>
      <c r="AI34" s="39"/>
      <c r="AJ34" s="39"/>
      <c r="AK34" s="39"/>
      <c r="AL34" s="39"/>
      <c r="AM34" s="39"/>
      <c r="AN34" s="39"/>
      <c r="AO34" s="39"/>
      <c r="AP34" s="39"/>
      <c r="AQ34" s="43">
        <f>Q34*prices!$C$4</f>
        <v>368157.94963907282</v>
      </c>
      <c r="AR34" s="43">
        <f>R34*prices!$C$11</f>
        <v>0</v>
      </c>
      <c r="AS34" s="43">
        <f>S34*prices!$C$3</f>
        <v>0</v>
      </c>
      <c r="AT34" s="43">
        <f>T34*prices!$C$8</f>
        <v>0</v>
      </c>
      <c r="AU34" s="43">
        <f>U34*prices!$C$2</f>
        <v>0</v>
      </c>
      <c r="AV34" s="43">
        <f>V34*prices!$C$7</f>
        <v>0</v>
      </c>
      <c r="AW34" s="43">
        <f>W34*prices!$C$13</f>
        <v>0</v>
      </c>
      <c r="AX34" s="43">
        <f>X34*prices!$C$6</f>
        <v>0</v>
      </c>
      <c r="AY34" s="43">
        <f>Y34*prices!$C$5</f>
        <v>0</v>
      </c>
      <c r="AZ34" s="43">
        <f>Z34*prices!$C$9</f>
        <v>0</v>
      </c>
      <c r="BA34" s="43">
        <f>AB34*prices!$C$12</f>
        <v>0</v>
      </c>
      <c r="BB34" s="43">
        <f>AC34*prices!$C$14</f>
        <v>0</v>
      </c>
      <c r="BC34" s="23">
        <f t="shared" si="0"/>
        <v>368157.94963907282</v>
      </c>
      <c r="BD34" s="24">
        <f t="shared" si="1"/>
        <v>1</v>
      </c>
      <c r="BE34" s="25">
        <f t="shared" si="2"/>
        <v>0</v>
      </c>
      <c r="BF34" t="s">
        <v>920</v>
      </c>
    </row>
    <row r="35" spans="1:58" x14ac:dyDescent="0.25">
      <c r="A35" s="18" t="s">
        <v>243</v>
      </c>
      <c r="C35" t="s">
        <v>246</v>
      </c>
      <c r="E35" t="s">
        <v>437</v>
      </c>
      <c r="F35" s="19" t="s">
        <v>435</v>
      </c>
      <c r="G35" s="18" t="s">
        <v>78</v>
      </c>
      <c r="H35" t="s">
        <v>1401</v>
      </c>
      <c r="I35" t="s">
        <v>1427</v>
      </c>
      <c r="L35" s="19" t="s">
        <v>65</v>
      </c>
      <c r="M35" t="s">
        <v>920</v>
      </c>
      <c r="N35" s="48">
        <f>prod_table_raw!N150</f>
        <v>1165551</v>
      </c>
      <c r="O35" s="49">
        <f t="shared" si="3"/>
        <v>0</v>
      </c>
      <c r="P35" s="49">
        <f t="shared" si="4"/>
        <v>1165551</v>
      </c>
      <c r="Q35" s="34">
        <f>prod_table_raw!N148</f>
        <v>1.0264154999999999</v>
      </c>
      <c r="R35" s="34"/>
      <c r="S35" s="34"/>
      <c r="T35" s="34"/>
      <c r="U35" s="34"/>
      <c r="V35" s="34"/>
      <c r="W35" s="34"/>
      <c r="X35" s="34"/>
      <c r="Y35" s="34"/>
      <c r="Z35" s="34"/>
      <c r="AA35" s="34"/>
      <c r="AB35" s="34"/>
      <c r="AC35" s="34"/>
      <c r="AD35" s="39"/>
      <c r="AE35" s="39"/>
      <c r="AF35" s="38">
        <f>S35/(concentrate_grade!$F$4/100)</f>
        <v>0</v>
      </c>
      <c r="AG35" s="38">
        <f>T35/(concentrate_grade!$F$6/100)</f>
        <v>0</v>
      </c>
      <c r="AH35" s="39"/>
      <c r="AI35" s="39"/>
      <c r="AJ35" s="39"/>
      <c r="AK35" s="39"/>
      <c r="AL35" s="39"/>
      <c r="AM35" s="39"/>
      <c r="AN35" s="39"/>
      <c r="AO35" s="39"/>
      <c r="AP35" s="39"/>
      <c r="AQ35" s="43">
        <f>Q35*prices!$C$4</f>
        <v>53161.2765575925</v>
      </c>
      <c r="AR35" s="43">
        <f>R35*prices!$C$11</f>
        <v>0</v>
      </c>
      <c r="AS35" s="43">
        <f>S35*prices!$C$3</f>
        <v>0</v>
      </c>
      <c r="AT35" s="43">
        <f>T35*prices!$C$8</f>
        <v>0</v>
      </c>
      <c r="AU35" s="43">
        <f>U35*prices!$C$2</f>
        <v>0</v>
      </c>
      <c r="AV35" s="43">
        <f>V35*prices!$C$7</f>
        <v>0</v>
      </c>
      <c r="AW35" s="43">
        <f>W35*prices!$C$13</f>
        <v>0</v>
      </c>
      <c r="AX35" s="43">
        <f>X35*prices!$C$6</f>
        <v>0</v>
      </c>
      <c r="AY35" s="43">
        <f>Y35*prices!$C$5</f>
        <v>0</v>
      </c>
      <c r="AZ35" s="43">
        <f>Z35*prices!$C$9</f>
        <v>0</v>
      </c>
      <c r="BA35" s="43">
        <f>AB35*prices!$C$12</f>
        <v>0</v>
      </c>
      <c r="BB35" s="43">
        <f>AC35*prices!$C$14</f>
        <v>0</v>
      </c>
      <c r="BC35" s="23">
        <f t="shared" si="0"/>
        <v>53161.2765575925</v>
      </c>
      <c r="BD35" s="24">
        <f t="shared" si="1"/>
        <v>1</v>
      </c>
      <c r="BE35" s="25">
        <f t="shared" si="2"/>
        <v>0</v>
      </c>
      <c r="BF35" t="s">
        <v>920</v>
      </c>
    </row>
    <row r="36" spans="1:58" x14ac:dyDescent="0.25">
      <c r="A36" s="18" t="s">
        <v>249</v>
      </c>
      <c r="C36" t="s">
        <v>251</v>
      </c>
      <c r="E36" t="s">
        <v>434</v>
      </c>
      <c r="F36" s="19" t="s">
        <v>435</v>
      </c>
      <c r="G36" s="18" t="s">
        <v>57</v>
      </c>
      <c r="H36" t="s">
        <v>1191</v>
      </c>
      <c r="I36" t="s">
        <v>1420</v>
      </c>
      <c r="L36" s="19" t="s">
        <v>149</v>
      </c>
      <c r="M36" t="s">
        <v>1071</v>
      </c>
      <c r="N36" s="48">
        <f>prod_table_raw!N151</f>
        <v>5600000</v>
      </c>
      <c r="O36" s="49">
        <f t="shared" si="3"/>
        <v>0</v>
      </c>
      <c r="P36" s="49">
        <f t="shared" si="4"/>
        <v>5600000</v>
      </c>
      <c r="Q36" s="34"/>
      <c r="R36" s="34"/>
      <c r="S36" s="34"/>
      <c r="T36" s="34"/>
      <c r="U36" s="34"/>
      <c r="V36" s="34"/>
      <c r="W36" s="34"/>
      <c r="X36" s="34"/>
      <c r="Y36" s="34"/>
      <c r="Z36" s="34"/>
      <c r="AA36" s="34"/>
      <c r="AB36" s="34"/>
      <c r="AC36" s="34"/>
      <c r="AD36" s="39"/>
      <c r="AE36" s="39"/>
      <c r="AF36" s="38">
        <f>S36/(concentrate_grade!$F$4/100)</f>
        <v>0</v>
      </c>
      <c r="AG36" s="38">
        <f>T36/(concentrate_grade!$F$6/100)</f>
        <v>0</v>
      </c>
      <c r="AH36" s="39"/>
      <c r="AI36" s="39"/>
      <c r="AJ36" s="39"/>
      <c r="AK36" s="39"/>
      <c r="AL36" s="39"/>
      <c r="AM36" s="39"/>
      <c r="AN36" s="39"/>
      <c r="AO36" s="39"/>
      <c r="AP36" s="39"/>
      <c r="AQ36" s="43">
        <f>Q36*prices!$C$4</f>
        <v>0</v>
      </c>
      <c r="AR36" s="43">
        <f>R36*prices!$C$11</f>
        <v>0</v>
      </c>
      <c r="AS36" s="43">
        <f>S36*prices!$C$3</f>
        <v>0</v>
      </c>
      <c r="AT36" s="43">
        <f>T36*prices!$C$8</f>
        <v>0</v>
      </c>
      <c r="AU36" s="43">
        <f>U36*prices!$C$2</f>
        <v>0</v>
      </c>
      <c r="AV36" s="43">
        <f>V36*prices!$C$7</f>
        <v>0</v>
      </c>
      <c r="AW36" s="43">
        <f>W36*prices!$C$13</f>
        <v>0</v>
      </c>
      <c r="AX36" s="43">
        <f>X36*prices!$C$6</f>
        <v>0</v>
      </c>
      <c r="AY36" s="43">
        <f>Y36*prices!$C$5</f>
        <v>0</v>
      </c>
      <c r="AZ36" s="43">
        <f>Z36*prices!$C$9</f>
        <v>0</v>
      </c>
      <c r="BA36" s="43">
        <f>AB36*prices!$C$12</f>
        <v>0</v>
      </c>
      <c r="BB36" s="43">
        <f>AC36*prices!$C$14</f>
        <v>0</v>
      </c>
      <c r="BC36" s="23">
        <f t="shared" si="0"/>
        <v>0</v>
      </c>
      <c r="BD36" s="24" t="e">
        <f t="shared" si="1"/>
        <v>#DIV/0!</v>
      </c>
      <c r="BE36" s="25" t="e">
        <f t="shared" si="2"/>
        <v>#DIV/0!</v>
      </c>
      <c r="BF36" t="s">
        <v>1071</v>
      </c>
    </row>
    <row r="37" spans="1:58" x14ac:dyDescent="0.25">
      <c r="A37" s="18" t="s">
        <v>261</v>
      </c>
      <c r="C37" t="s">
        <v>263</v>
      </c>
      <c r="E37" t="s">
        <v>453</v>
      </c>
      <c r="F37" s="19" t="s">
        <v>435</v>
      </c>
      <c r="G37" s="18" t="s">
        <v>264</v>
      </c>
      <c r="H37" t="s">
        <v>1412</v>
      </c>
      <c r="I37" t="s">
        <v>1426</v>
      </c>
      <c r="L37" s="19" t="s">
        <v>92</v>
      </c>
      <c r="M37" t="s">
        <v>1071</v>
      </c>
      <c r="N37" s="48"/>
      <c r="O37" s="49">
        <f t="shared" si="3"/>
        <v>0</v>
      </c>
      <c r="P37" s="49">
        <f t="shared" si="4"/>
        <v>0</v>
      </c>
      <c r="Q37" s="34"/>
      <c r="R37" s="34"/>
      <c r="S37" s="34"/>
      <c r="T37" s="34"/>
      <c r="U37" s="34"/>
      <c r="V37" s="34"/>
      <c r="W37" s="34"/>
      <c r="X37" s="34"/>
      <c r="Y37" s="34"/>
      <c r="Z37" s="34"/>
      <c r="AA37" s="34"/>
      <c r="AB37" s="34">
        <f>prod_table_raw!N155</f>
        <v>8164.6559999999999</v>
      </c>
      <c r="AC37" s="34"/>
      <c r="AD37" s="39"/>
      <c r="AE37" s="39"/>
      <c r="AF37" s="38">
        <f>S37/(concentrate_grade!$F$4/100)</f>
        <v>0</v>
      </c>
      <c r="AG37" s="38">
        <f>T37/(concentrate_grade!$F$6/100)</f>
        <v>0</v>
      </c>
      <c r="AH37" s="39"/>
      <c r="AI37" s="39"/>
      <c r="AJ37" s="39"/>
      <c r="AK37" s="39"/>
      <c r="AL37" s="39"/>
      <c r="AM37" s="39"/>
      <c r="AN37" s="39"/>
      <c r="AO37" s="39"/>
      <c r="AP37" s="39"/>
      <c r="AQ37" s="43">
        <f>Q37*prices!$C$4</f>
        <v>0</v>
      </c>
      <c r="AR37" s="43">
        <f>R37*prices!$C$11</f>
        <v>0</v>
      </c>
      <c r="AS37" s="43">
        <f>S37*prices!$C$3</f>
        <v>0</v>
      </c>
      <c r="AT37" s="43">
        <f>T37*prices!$C$8</f>
        <v>0</v>
      </c>
      <c r="AU37" s="43">
        <f>U37*prices!$C$2</f>
        <v>0</v>
      </c>
      <c r="AV37" s="43">
        <f>V37*prices!$C$7</f>
        <v>0</v>
      </c>
      <c r="AW37" s="43">
        <f>W37*prices!$C$13</f>
        <v>0</v>
      </c>
      <c r="AX37" s="43">
        <f>X37*prices!$C$6</f>
        <v>0</v>
      </c>
      <c r="AY37" s="43">
        <f>Y37*prices!$C$5</f>
        <v>0</v>
      </c>
      <c r="AZ37" s="43">
        <f>Z37*prices!$C$9</f>
        <v>0</v>
      </c>
      <c r="BA37" s="43">
        <f>AB37*prices!$C$12</f>
        <v>1401.8714352</v>
      </c>
      <c r="BB37" s="43">
        <f>AC37*prices!$C$14</f>
        <v>0</v>
      </c>
      <c r="BC37" s="23">
        <f t="shared" si="0"/>
        <v>0</v>
      </c>
      <c r="BD37" s="24" t="e">
        <f t="shared" si="1"/>
        <v>#DIV/0!</v>
      </c>
      <c r="BE37" s="25" t="e">
        <f t="shared" si="2"/>
        <v>#DIV/0!</v>
      </c>
      <c r="BF37" t="s">
        <v>1071</v>
      </c>
    </row>
    <row r="38" spans="1:58" x14ac:dyDescent="0.25">
      <c r="A38" s="18" t="s">
        <v>267</v>
      </c>
      <c r="C38" t="s">
        <v>270</v>
      </c>
      <c r="E38" t="s">
        <v>437</v>
      </c>
      <c r="F38" s="19" t="s">
        <v>435</v>
      </c>
      <c r="G38" s="18" t="s">
        <v>98</v>
      </c>
      <c r="H38" t="s">
        <v>1403</v>
      </c>
      <c r="I38" t="s">
        <v>1427</v>
      </c>
      <c r="L38" s="19" t="s">
        <v>271</v>
      </c>
      <c r="M38" t="s">
        <v>1422</v>
      </c>
      <c r="N38" s="48">
        <f>prod_table_raw!N157</f>
        <v>317660</v>
      </c>
      <c r="O38" s="49">
        <f t="shared" si="3"/>
        <v>0</v>
      </c>
      <c r="P38" s="49">
        <f t="shared" si="4"/>
        <v>317660</v>
      </c>
      <c r="Q38" s="34"/>
      <c r="R38" s="34"/>
      <c r="S38" s="34"/>
      <c r="T38" s="34"/>
      <c r="U38" s="34"/>
      <c r="V38" s="34"/>
      <c r="W38" s="34"/>
      <c r="X38" s="34"/>
      <c r="Y38" s="34"/>
      <c r="Z38" s="34"/>
      <c r="AA38" s="34"/>
      <c r="AB38" s="34"/>
      <c r="AC38" s="34"/>
      <c r="AD38" s="39"/>
      <c r="AE38" s="39"/>
      <c r="AF38" s="38">
        <f>S38/(concentrate_grade!$F$4/100)</f>
        <v>0</v>
      </c>
      <c r="AG38" s="38">
        <f>T38/(concentrate_grade!$F$6/100)</f>
        <v>0</v>
      </c>
      <c r="AH38" s="39"/>
      <c r="AI38" s="39"/>
      <c r="AJ38" s="39"/>
      <c r="AK38" s="39"/>
      <c r="AL38" s="39"/>
      <c r="AM38" s="39"/>
      <c r="AN38" s="39"/>
      <c r="AO38" s="39"/>
      <c r="AP38" s="39"/>
      <c r="AQ38" s="43">
        <f>Q38*prices!$C$4</f>
        <v>0</v>
      </c>
      <c r="AR38" s="43">
        <f>R38*prices!$C$11</f>
        <v>0</v>
      </c>
      <c r="AS38" s="43">
        <f>S38*prices!$C$3</f>
        <v>0</v>
      </c>
      <c r="AT38" s="43">
        <f>T38*prices!$C$8</f>
        <v>0</v>
      </c>
      <c r="AU38" s="43">
        <f>U38*prices!$C$2</f>
        <v>0</v>
      </c>
      <c r="AV38" s="43">
        <f>V38*prices!$C$7</f>
        <v>0</v>
      </c>
      <c r="AW38" s="43">
        <f>W38*prices!$C$13</f>
        <v>0</v>
      </c>
      <c r="AX38" s="43">
        <f>X38*prices!$C$6</f>
        <v>0</v>
      </c>
      <c r="AY38" s="43">
        <f>Y38*prices!$C$5</f>
        <v>0</v>
      </c>
      <c r="AZ38" s="43">
        <f>Z38*prices!$C$9</f>
        <v>0</v>
      </c>
      <c r="BA38" s="43">
        <f>AB38*prices!$C$12</f>
        <v>0</v>
      </c>
      <c r="BB38" s="43">
        <f>AC38*prices!$C$14</f>
        <v>0</v>
      </c>
      <c r="BC38" s="23">
        <f t="shared" si="0"/>
        <v>0</v>
      </c>
      <c r="BD38" s="24" t="e">
        <f t="shared" si="1"/>
        <v>#DIV/0!</v>
      </c>
      <c r="BE38" s="25" t="e">
        <f t="shared" si="2"/>
        <v>#DIV/0!</v>
      </c>
      <c r="BF38" t="s">
        <v>1422</v>
      </c>
    </row>
    <row r="39" spans="1:58" x14ac:dyDescent="0.25">
      <c r="A39" s="18" t="s">
        <v>277</v>
      </c>
      <c r="C39" t="s">
        <v>278</v>
      </c>
      <c r="E39" t="s">
        <v>434</v>
      </c>
      <c r="F39" s="19" t="s">
        <v>435</v>
      </c>
      <c r="G39" s="18" t="s">
        <v>91</v>
      </c>
      <c r="H39" t="s">
        <v>1401</v>
      </c>
      <c r="I39" t="s">
        <v>1426</v>
      </c>
      <c r="J39" t="s">
        <v>1416</v>
      </c>
      <c r="L39" s="19" t="s">
        <v>115</v>
      </c>
      <c r="M39" t="s">
        <v>1075</v>
      </c>
      <c r="N39" s="48">
        <f>prod_table_raw!N163</f>
        <v>1918143</v>
      </c>
      <c r="O39" s="49">
        <f t="shared" si="3"/>
        <v>0</v>
      </c>
      <c r="P39" s="49">
        <f t="shared" si="4"/>
        <v>1918143</v>
      </c>
      <c r="Q39" s="34">
        <f>prod_table_raw!N164</f>
        <v>11.326059593499901</v>
      </c>
      <c r="R39" s="34">
        <f>prod_table_raw!N165</f>
        <v>0.8397945</v>
      </c>
      <c r="S39" s="34"/>
      <c r="T39" s="34"/>
      <c r="U39" s="34"/>
      <c r="V39" s="34"/>
      <c r="W39" s="34"/>
      <c r="X39" s="34"/>
      <c r="Y39" s="34"/>
      <c r="Z39" s="34"/>
      <c r="AA39" s="34"/>
      <c r="AB39" s="34"/>
      <c r="AC39" s="34"/>
      <c r="AD39" s="39"/>
      <c r="AE39" s="39"/>
      <c r="AF39" s="38">
        <f>S39/(concentrate_grade!$F$4/100)</f>
        <v>0</v>
      </c>
      <c r="AG39" s="38">
        <f>T39/(concentrate_grade!$F$6/100)</f>
        <v>0</v>
      </c>
      <c r="AH39" s="39"/>
      <c r="AI39" s="39"/>
      <c r="AJ39" s="39"/>
      <c r="AK39" s="39"/>
      <c r="AL39" s="39"/>
      <c r="AM39" s="39"/>
      <c r="AN39" s="39"/>
      <c r="AO39" s="39"/>
      <c r="AP39" s="39"/>
      <c r="AQ39" s="43">
        <f>Q39*prices!$C$4</f>
        <v>586612.13354418555</v>
      </c>
      <c r="AR39" s="43">
        <f>R39*prices!$C$11</f>
        <v>564.451077285</v>
      </c>
      <c r="AS39" s="43">
        <f>S39*prices!$C$3</f>
        <v>0</v>
      </c>
      <c r="AT39" s="43">
        <f>T39*prices!$C$8</f>
        <v>0</v>
      </c>
      <c r="AU39" s="43">
        <f>U39*prices!$C$2</f>
        <v>0</v>
      </c>
      <c r="AV39" s="43">
        <f>V39*prices!$C$7</f>
        <v>0</v>
      </c>
      <c r="AW39" s="43">
        <f>W39*prices!$C$13</f>
        <v>0</v>
      </c>
      <c r="AX39" s="43">
        <f>X39*prices!$C$6</f>
        <v>0</v>
      </c>
      <c r="AY39" s="43">
        <f>Y39*prices!$C$5</f>
        <v>0</v>
      </c>
      <c r="AZ39" s="43">
        <f>Z39*prices!$C$9</f>
        <v>0</v>
      </c>
      <c r="BA39" s="43">
        <f>AB39*prices!$C$12</f>
        <v>0</v>
      </c>
      <c r="BB39" s="43">
        <f>AC39*prices!$C$14</f>
        <v>0</v>
      </c>
      <c r="BC39" s="23">
        <f t="shared" si="0"/>
        <v>587176.58462147054</v>
      </c>
      <c r="BD39" s="24">
        <f t="shared" si="1"/>
        <v>0.99903870302040587</v>
      </c>
      <c r="BE39" s="25">
        <f t="shared" si="2"/>
        <v>0</v>
      </c>
      <c r="BF39" t="s">
        <v>1075</v>
      </c>
    </row>
    <row r="40" spans="1:58" x14ac:dyDescent="0.25">
      <c r="A40" s="18" t="s">
        <v>283</v>
      </c>
      <c r="C40" t="s">
        <v>286</v>
      </c>
      <c r="E40" t="s">
        <v>439</v>
      </c>
      <c r="F40" s="19" t="s">
        <v>435</v>
      </c>
      <c r="G40" s="18" t="s">
        <v>78</v>
      </c>
      <c r="H40" t="s">
        <v>1455</v>
      </c>
      <c r="I40" t="s">
        <v>1425</v>
      </c>
      <c r="J40" t="s">
        <v>1416</v>
      </c>
      <c r="L40" s="19" t="s">
        <v>113</v>
      </c>
      <c r="M40" t="s">
        <v>1080</v>
      </c>
      <c r="N40" s="48">
        <f>prod_table_raw!N175</f>
        <v>21680000</v>
      </c>
      <c r="O40" s="49">
        <f t="shared" si="3"/>
        <v>93533.694346666671</v>
      </c>
      <c r="P40" s="49">
        <f t="shared" si="4"/>
        <v>21586466.305653334</v>
      </c>
      <c r="Q40" s="34">
        <f>prod_table_raw!N173</f>
        <v>4.8021004684999999</v>
      </c>
      <c r="R40" s="34"/>
      <c r="S40" s="34">
        <f>prod_table_raw!N171</f>
        <v>28060.108304000001</v>
      </c>
      <c r="T40" s="34"/>
      <c r="U40" s="34"/>
      <c r="V40" s="34"/>
      <c r="W40" s="34"/>
      <c r="X40" s="34"/>
      <c r="Y40" s="34"/>
      <c r="Z40" s="34"/>
      <c r="AA40" s="34"/>
      <c r="AB40" s="34"/>
      <c r="AC40" s="34"/>
      <c r="AD40" s="39"/>
      <c r="AE40" s="39"/>
      <c r="AF40" s="38">
        <f>S40/(concentrate_grade!$F$4/100)</f>
        <v>93533.694346666671</v>
      </c>
      <c r="AG40" s="38">
        <f>T40/(concentrate_grade!$F$6/100)</f>
        <v>0</v>
      </c>
      <c r="AH40" s="39"/>
      <c r="AI40" s="39"/>
      <c r="AJ40" s="39"/>
      <c r="AK40" s="39"/>
      <c r="AL40" s="39"/>
      <c r="AM40" s="39"/>
      <c r="AN40" s="39"/>
      <c r="AO40" s="39"/>
      <c r="AP40" s="39"/>
      <c r="AQ40" s="43">
        <f>Q40*prices!$C$4</f>
        <v>248715.83784858376</v>
      </c>
      <c r="AR40" s="43">
        <f>R40*prices!$C$11</f>
        <v>0</v>
      </c>
      <c r="AS40" s="43">
        <f>S40*prices!$C$3</f>
        <v>193614.74729760003</v>
      </c>
      <c r="AT40" s="43">
        <f>T40*prices!$C$8</f>
        <v>0</v>
      </c>
      <c r="AU40" s="43">
        <f>U40*prices!$C$2</f>
        <v>0</v>
      </c>
      <c r="AV40" s="43">
        <f>V40*prices!$C$7</f>
        <v>0</v>
      </c>
      <c r="AW40" s="43">
        <f>W40*prices!$C$13</f>
        <v>0</v>
      </c>
      <c r="AX40" s="43">
        <f>X40*prices!$C$6</f>
        <v>0</v>
      </c>
      <c r="AY40" s="43">
        <f>Y40*prices!$C$5</f>
        <v>0</v>
      </c>
      <c r="AZ40" s="43">
        <f>Z40*prices!$C$9</f>
        <v>0</v>
      </c>
      <c r="BA40" s="43">
        <f>AB40*prices!$C$12</f>
        <v>0</v>
      </c>
      <c r="BB40" s="43">
        <f>AC40*prices!$C$14</f>
        <v>0</v>
      </c>
      <c r="BC40" s="23">
        <f t="shared" si="0"/>
        <v>442330.58514618379</v>
      </c>
      <c r="BD40" s="24">
        <f t="shared" si="1"/>
        <v>0.56228496559058161</v>
      </c>
      <c r="BE40" s="25">
        <f t="shared" si="2"/>
        <v>0.43771503440941845</v>
      </c>
      <c r="BF40" t="s">
        <v>1080</v>
      </c>
    </row>
    <row r="41" spans="1:58" x14ac:dyDescent="0.25">
      <c r="A41" s="18" t="s">
        <v>288</v>
      </c>
      <c r="C41" t="s">
        <v>291</v>
      </c>
      <c r="E41" t="s">
        <v>439</v>
      </c>
      <c r="F41" s="19" t="s">
        <v>435</v>
      </c>
      <c r="G41" s="18" t="s">
        <v>78</v>
      </c>
      <c r="H41" t="s">
        <v>1455</v>
      </c>
      <c r="I41" t="s">
        <v>1426</v>
      </c>
      <c r="L41" s="19" t="s">
        <v>292</v>
      </c>
      <c r="M41" t="s">
        <v>1080</v>
      </c>
      <c r="N41" s="48">
        <f>prod_table_raw!N179</f>
        <v>5948239</v>
      </c>
      <c r="O41" s="49">
        <f t="shared" si="3"/>
        <v>45578.436133333336</v>
      </c>
      <c r="P41" s="49">
        <f t="shared" si="4"/>
        <v>5902660.5638666665</v>
      </c>
      <c r="Q41" s="34">
        <f>prod_table_raw!N178</f>
        <v>1.301183819</v>
      </c>
      <c r="R41" s="34"/>
      <c r="S41" s="34">
        <f>prod_table_raw!N180</f>
        <v>13673.530839999999</v>
      </c>
      <c r="T41" s="34"/>
      <c r="U41" s="34"/>
      <c r="V41" s="34"/>
      <c r="W41" s="34"/>
      <c r="X41" s="34"/>
      <c r="Y41" s="34"/>
      <c r="Z41" s="34"/>
      <c r="AA41" s="34"/>
      <c r="AB41" s="34"/>
      <c r="AC41" s="34"/>
      <c r="AD41" s="39"/>
      <c r="AE41" s="39"/>
      <c r="AF41" s="38">
        <f>S41/(concentrate_grade!$F$4/100)</f>
        <v>45578.436133333336</v>
      </c>
      <c r="AG41" s="38">
        <f>T41/(concentrate_grade!$F$6/100)</f>
        <v>0</v>
      </c>
      <c r="AH41" s="39"/>
      <c r="AI41" s="39"/>
      <c r="AJ41" s="39"/>
      <c r="AK41" s="39"/>
      <c r="AL41" s="39"/>
      <c r="AM41" s="39"/>
      <c r="AN41" s="39"/>
      <c r="AO41" s="39"/>
      <c r="AP41" s="39"/>
      <c r="AQ41" s="43">
        <f>Q41*prices!$C$4</f>
        <v>67392.389197282566</v>
      </c>
      <c r="AR41" s="43">
        <f>R41*prices!$C$11</f>
        <v>0</v>
      </c>
      <c r="AS41" s="43">
        <f>S41*prices!$C$3</f>
        <v>94347.362796000001</v>
      </c>
      <c r="AT41" s="43">
        <f>T41*prices!$C$8</f>
        <v>0</v>
      </c>
      <c r="AU41" s="43">
        <f>U41*prices!$C$2</f>
        <v>0</v>
      </c>
      <c r="AV41" s="43">
        <f>V41*prices!$C$7</f>
        <v>0</v>
      </c>
      <c r="AW41" s="43">
        <f>W41*prices!$C$13</f>
        <v>0</v>
      </c>
      <c r="AX41" s="43">
        <f>X41*prices!$C$6</f>
        <v>0</v>
      </c>
      <c r="AY41" s="43">
        <f>Y41*prices!$C$5</f>
        <v>0</v>
      </c>
      <c r="AZ41" s="43">
        <f>Z41*prices!$C$9</f>
        <v>0</v>
      </c>
      <c r="BA41" s="43">
        <f>AB41*prices!$C$12</f>
        <v>0</v>
      </c>
      <c r="BB41" s="43">
        <f>AC41*prices!$C$14</f>
        <v>0</v>
      </c>
      <c r="BC41" s="23">
        <f t="shared" si="0"/>
        <v>161739.75199328258</v>
      </c>
      <c r="BD41" s="24">
        <f t="shared" si="1"/>
        <v>0.41667177281242229</v>
      </c>
      <c r="BE41" s="25">
        <f t="shared" si="2"/>
        <v>0.5833282271875776</v>
      </c>
      <c r="BF41" t="s">
        <v>1080</v>
      </c>
    </row>
    <row r="42" spans="1:58" x14ac:dyDescent="0.25">
      <c r="A42" s="18" t="s">
        <v>294</v>
      </c>
      <c r="C42" t="s">
        <v>295</v>
      </c>
      <c r="E42" t="s">
        <v>437</v>
      </c>
      <c r="F42" s="19" t="s">
        <v>435</v>
      </c>
      <c r="G42" s="18" t="s">
        <v>64</v>
      </c>
      <c r="H42" t="s">
        <v>1401</v>
      </c>
      <c r="I42" t="s">
        <v>1426</v>
      </c>
      <c r="J42" t="s">
        <v>1417</v>
      </c>
      <c r="L42" s="19" t="s">
        <v>65</v>
      </c>
      <c r="M42" t="s">
        <v>920</v>
      </c>
      <c r="N42" s="48">
        <f>prod_table_raw!N183</f>
        <v>1028000</v>
      </c>
      <c r="O42" s="49">
        <f t="shared" si="3"/>
        <v>0</v>
      </c>
      <c r="P42" s="49">
        <f t="shared" si="4"/>
        <v>1028000</v>
      </c>
      <c r="Q42" s="34">
        <f>prod_table_raw!N184</f>
        <v>5.59863</v>
      </c>
      <c r="R42" s="34"/>
      <c r="S42" s="34"/>
      <c r="T42" s="34"/>
      <c r="U42" s="34"/>
      <c r="V42" s="34"/>
      <c r="W42" s="34"/>
      <c r="X42" s="34"/>
      <c r="Y42" s="34"/>
      <c r="Z42" s="34"/>
      <c r="AA42" s="34"/>
      <c r="AB42" s="34"/>
      <c r="AC42" s="34"/>
      <c r="AD42" s="39"/>
      <c r="AE42" s="39"/>
      <c r="AF42" s="38">
        <f>S42/(concentrate_grade!$F$4/100)</f>
        <v>0</v>
      </c>
      <c r="AG42" s="38">
        <f>T42/(concentrate_grade!$F$6/100)</f>
        <v>0</v>
      </c>
      <c r="AH42" s="39"/>
      <c r="AI42" s="39"/>
      <c r="AJ42" s="39"/>
      <c r="AK42" s="39"/>
      <c r="AL42" s="39"/>
      <c r="AM42" s="39"/>
      <c r="AN42" s="39"/>
      <c r="AO42" s="39"/>
      <c r="AP42" s="39"/>
      <c r="AQ42" s="43">
        <f>Q42*prices!$C$4</f>
        <v>289970.59940504999</v>
      </c>
      <c r="AR42" s="43">
        <f>R42*prices!$C$11</f>
        <v>0</v>
      </c>
      <c r="AS42" s="43">
        <f>S42*prices!$C$3</f>
        <v>0</v>
      </c>
      <c r="AT42" s="43">
        <f>T42*prices!$C$8</f>
        <v>0</v>
      </c>
      <c r="AU42" s="43">
        <f>U42*prices!$C$2</f>
        <v>0</v>
      </c>
      <c r="AV42" s="43">
        <f>V42*prices!$C$7</f>
        <v>0</v>
      </c>
      <c r="AW42" s="43">
        <f>W42*prices!$C$13</f>
        <v>0</v>
      </c>
      <c r="AX42" s="43">
        <f>X42*prices!$C$6</f>
        <v>0</v>
      </c>
      <c r="AY42" s="43">
        <f>Y42*prices!$C$5</f>
        <v>0</v>
      </c>
      <c r="AZ42" s="43">
        <f>Z42*prices!$C$9</f>
        <v>0</v>
      </c>
      <c r="BA42" s="43">
        <f>AB42*prices!$C$12</f>
        <v>0</v>
      </c>
      <c r="BB42" s="43">
        <f>AC42*prices!$C$14</f>
        <v>0</v>
      </c>
      <c r="BC42" s="23">
        <f t="shared" si="0"/>
        <v>289970.59940504999</v>
      </c>
      <c r="BD42" s="24">
        <f t="shared" si="1"/>
        <v>1</v>
      </c>
      <c r="BE42" s="25">
        <f t="shared" si="2"/>
        <v>0</v>
      </c>
      <c r="BF42" t="s">
        <v>920</v>
      </c>
    </row>
    <row r="43" spans="1:58" x14ac:dyDescent="0.25">
      <c r="A43" s="18" t="s">
        <v>297</v>
      </c>
      <c r="C43" t="s">
        <v>300</v>
      </c>
      <c r="E43" t="s">
        <v>439</v>
      </c>
      <c r="F43" s="19" t="s">
        <v>435</v>
      </c>
      <c r="G43" s="18" t="s">
        <v>64</v>
      </c>
      <c r="H43" t="s">
        <v>1455</v>
      </c>
      <c r="I43" t="s">
        <v>1425</v>
      </c>
      <c r="J43" t="s">
        <v>1417</v>
      </c>
      <c r="L43" s="19" t="s">
        <v>292</v>
      </c>
      <c r="M43" t="s">
        <v>1080</v>
      </c>
      <c r="N43" s="48">
        <f>prod_table_raw!N189</f>
        <v>3065000</v>
      </c>
      <c r="O43" s="49">
        <f t="shared" si="3"/>
        <v>71667.536000000007</v>
      </c>
      <c r="P43" s="49">
        <f t="shared" si="4"/>
        <v>2993332.4640000002</v>
      </c>
      <c r="Q43" s="34">
        <f>prod_table_raw!N187</f>
        <v>2.0974023155000001</v>
      </c>
      <c r="R43" s="34"/>
      <c r="S43" s="34">
        <f>prod_table_raw!N190</f>
        <v>21500.2608</v>
      </c>
      <c r="T43" s="34"/>
      <c r="U43" s="34"/>
      <c r="V43" s="34"/>
      <c r="W43" s="34"/>
      <c r="X43" s="34"/>
      <c r="Y43" s="34"/>
      <c r="Z43" s="34"/>
      <c r="AA43" s="34"/>
      <c r="AB43" s="34"/>
      <c r="AC43" s="34"/>
      <c r="AD43" s="39"/>
      <c r="AE43" s="39"/>
      <c r="AF43" s="38">
        <f>S43/(concentrate_grade!$F$4/100)</f>
        <v>71667.536000000007</v>
      </c>
      <c r="AG43" s="38">
        <f>T43/(concentrate_grade!$F$6/100)</f>
        <v>0</v>
      </c>
      <c r="AH43" s="39"/>
      <c r="AI43" s="39"/>
      <c r="AJ43" s="39"/>
      <c r="AK43" s="39"/>
      <c r="AL43" s="39"/>
      <c r="AM43" s="39"/>
      <c r="AN43" s="39"/>
      <c r="AO43" s="39"/>
      <c r="AP43" s="39"/>
      <c r="AQ43" s="43">
        <f>Q43*prices!$C$4</f>
        <v>108631.04127600411</v>
      </c>
      <c r="AR43" s="43">
        <f>R43*prices!$C$11</f>
        <v>0</v>
      </c>
      <c r="AS43" s="43">
        <f>S43*prices!$C$3</f>
        <v>148351.79952</v>
      </c>
      <c r="AT43" s="43">
        <f>T43*prices!$C$8</f>
        <v>0</v>
      </c>
      <c r="AU43" s="43">
        <f>U43*prices!$C$2</f>
        <v>0</v>
      </c>
      <c r="AV43" s="43">
        <f>V43*prices!$C$7</f>
        <v>0</v>
      </c>
      <c r="AW43" s="43">
        <f>W43*prices!$C$13</f>
        <v>0</v>
      </c>
      <c r="AX43" s="43">
        <f>X43*prices!$C$6</f>
        <v>0</v>
      </c>
      <c r="AY43" s="43">
        <f>Y43*prices!$C$5</f>
        <v>0</v>
      </c>
      <c r="AZ43" s="43">
        <f>Z43*prices!$C$9</f>
        <v>0</v>
      </c>
      <c r="BA43" s="43">
        <f>AB43*prices!$C$12</f>
        <v>0</v>
      </c>
      <c r="BB43" s="43">
        <f>AC43*prices!$C$14</f>
        <v>0</v>
      </c>
      <c r="BC43" s="23">
        <f t="shared" si="0"/>
        <v>256982.84079600411</v>
      </c>
      <c r="BD43" s="24">
        <f t="shared" si="1"/>
        <v>0.42271710025276227</v>
      </c>
      <c r="BE43" s="25">
        <f t="shared" si="2"/>
        <v>0.57728289974723779</v>
      </c>
      <c r="BF43" t="s">
        <v>1080</v>
      </c>
    </row>
    <row r="44" spans="1:58" x14ac:dyDescent="0.25">
      <c r="A44" s="18" t="s">
        <v>305</v>
      </c>
      <c r="B44" t="s">
        <v>162</v>
      </c>
      <c r="C44" t="s">
        <v>306</v>
      </c>
      <c r="D44" t="s">
        <v>164</v>
      </c>
      <c r="E44" t="s">
        <v>437</v>
      </c>
      <c r="F44" s="19" t="s">
        <v>435</v>
      </c>
      <c r="G44" s="18" t="s">
        <v>98</v>
      </c>
      <c r="H44" t="s">
        <v>1454</v>
      </c>
      <c r="I44" t="s">
        <v>1427</v>
      </c>
      <c r="L44" s="19" t="s">
        <v>307</v>
      </c>
      <c r="M44" t="s">
        <v>1396</v>
      </c>
      <c r="N44" s="48">
        <f>prod_table_raw!N194</f>
        <v>320160</v>
      </c>
      <c r="O44" s="49">
        <f t="shared" si="3"/>
        <v>0</v>
      </c>
      <c r="P44" s="49">
        <f t="shared" si="4"/>
        <v>320160</v>
      </c>
      <c r="Q44" s="34"/>
      <c r="R44" s="34"/>
      <c r="S44" s="34"/>
      <c r="T44" s="34"/>
      <c r="U44" s="34"/>
      <c r="V44" s="34"/>
      <c r="W44" s="34"/>
      <c r="X44" s="34"/>
      <c r="Y44" s="34"/>
      <c r="Z44" s="34"/>
      <c r="AA44" s="34"/>
      <c r="AB44" s="34"/>
      <c r="AC44" s="34"/>
      <c r="AD44" s="39"/>
      <c r="AE44" s="39"/>
      <c r="AF44" s="38">
        <f>S44/(concentrate_grade!$F$4/100)</f>
        <v>0</v>
      </c>
      <c r="AG44" s="38">
        <f>T44/(concentrate_grade!$F$6/100)</f>
        <v>0</v>
      </c>
      <c r="AH44" s="39"/>
      <c r="AI44" s="39"/>
      <c r="AJ44" s="39"/>
      <c r="AK44" s="39"/>
      <c r="AL44" s="39"/>
      <c r="AM44" s="39"/>
      <c r="AN44" s="39"/>
      <c r="AO44" s="39"/>
      <c r="AP44" s="39"/>
      <c r="AQ44" s="43">
        <f>Q44*prices!$C$4</f>
        <v>0</v>
      </c>
      <c r="AR44" s="43">
        <f>R44*prices!$C$11</f>
        <v>0</v>
      </c>
      <c r="AS44" s="43">
        <f>S44*prices!$C$3</f>
        <v>0</v>
      </c>
      <c r="AT44" s="43">
        <f>T44*prices!$C$8</f>
        <v>0</v>
      </c>
      <c r="AU44" s="43">
        <f>U44*prices!$C$2</f>
        <v>0</v>
      </c>
      <c r="AV44" s="43">
        <f>V44*prices!$C$7</f>
        <v>0</v>
      </c>
      <c r="AW44" s="43">
        <f>W44*prices!$C$13</f>
        <v>0</v>
      </c>
      <c r="AX44" s="43">
        <f>X44*prices!$C$6</f>
        <v>0</v>
      </c>
      <c r="AY44" s="43">
        <f>Y44*prices!$C$5</f>
        <v>0</v>
      </c>
      <c r="AZ44" s="43">
        <f>Z44*prices!$C$9</f>
        <v>0</v>
      </c>
      <c r="BA44" s="43">
        <f>AB44*prices!$C$12</f>
        <v>0</v>
      </c>
      <c r="BB44" s="43">
        <f>AC44*prices!$C$14</f>
        <v>0</v>
      </c>
      <c r="BC44" s="23">
        <f t="shared" si="0"/>
        <v>0</v>
      </c>
      <c r="BD44" s="24" t="e">
        <f t="shared" si="1"/>
        <v>#DIV/0!</v>
      </c>
      <c r="BE44" s="25" t="e">
        <f t="shared" si="2"/>
        <v>#DIV/0!</v>
      </c>
      <c r="BF44" t="s">
        <v>1396</v>
      </c>
    </row>
    <row r="45" spans="1:58" x14ac:dyDescent="0.25">
      <c r="A45" s="18" t="s">
        <v>311</v>
      </c>
      <c r="C45" t="s">
        <v>313</v>
      </c>
      <c r="E45" t="s">
        <v>436</v>
      </c>
      <c r="F45" s="19" t="s">
        <v>435</v>
      </c>
      <c r="G45" s="18" t="s">
        <v>64</v>
      </c>
      <c r="H45" s="8"/>
      <c r="I45" t="s">
        <v>1426</v>
      </c>
      <c r="L45" s="19" t="s">
        <v>309</v>
      </c>
      <c r="M45" t="s">
        <v>1395</v>
      </c>
      <c r="N45" s="48">
        <f>prod_table_raw!N195</f>
        <v>2200000</v>
      </c>
      <c r="O45" s="49">
        <f t="shared" si="3"/>
        <v>0</v>
      </c>
      <c r="P45" s="49">
        <f t="shared" si="4"/>
        <v>2200000</v>
      </c>
      <c r="Q45" s="34"/>
      <c r="R45" s="34"/>
      <c r="S45" s="34"/>
      <c r="T45" s="34"/>
      <c r="U45" s="34"/>
      <c r="V45" s="34"/>
      <c r="W45" s="34"/>
      <c r="X45" s="34"/>
      <c r="Y45" s="34"/>
      <c r="Z45" s="34"/>
      <c r="AA45" s="34"/>
      <c r="AB45" s="34"/>
      <c r="AC45" s="34">
        <f>prod_table_raw!N196</f>
        <v>6568.95</v>
      </c>
      <c r="AD45" s="39"/>
      <c r="AE45" s="39"/>
      <c r="AF45" s="38">
        <f>S45/(concentrate_grade!$F$4/100)</f>
        <v>0</v>
      </c>
      <c r="AG45" s="38">
        <f>T45/(concentrate_grade!$F$6/100)</f>
        <v>0</v>
      </c>
      <c r="AH45" s="39"/>
      <c r="AI45" s="39"/>
      <c r="AJ45" s="39"/>
      <c r="AK45" s="39"/>
      <c r="AL45" s="39"/>
      <c r="AM45" s="39"/>
      <c r="AN45" s="39"/>
      <c r="AO45" s="39"/>
      <c r="AP45" s="39"/>
      <c r="AQ45" s="43">
        <f>Q45*prices!$C$4</f>
        <v>0</v>
      </c>
      <c r="AR45" s="43">
        <f>R45*prices!$C$11</f>
        <v>0</v>
      </c>
      <c r="AS45" s="43">
        <f>S45*prices!$C$3</f>
        <v>0</v>
      </c>
      <c r="AT45" s="43">
        <f>T45*prices!$C$8</f>
        <v>0</v>
      </c>
      <c r="AU45" s="43">
        <f>U45*prices!$C$2</f>
        <v>0</v>
      </c>
      <c r="AV45" s="43">
        <f>V45*prices!$C$7</f>
        <v>0</v>
      </c>
      <c r="AW45" s="43">
        <f>W45*prices!$C$13</f>
        <v>0</v>
      </c>
      <c r="AX45" s="43">
        <f>X45*prices!$C$6</f>
        <v>0</v>
      </c>
      <c r="AY45" s="43">
        <f>Y45*prices!$C$5</f>
        <v>0</v>
      </c>
      <c r="AZ45" s="43">
        <f>Z45*prices!$C$9</f>
        <v>0</v>
      </c>
      <c r="BA45" s="43">
        <f>AB45*prices!$C$12</f>
        <v>0</v>
      </c>
      <c r="BB45" s="43">
        <f>AC45*prices!$C$14</f>
        <v>517501.88099999999</v>
      </c>
      <c r="BC45" s="23">
        <f t="shared" si="0"/>
        <v>0</v>
      </c>
      <c r="BD45" s="24" t="e">
        <f t="shared" si="1"/>
        <v>#DIV/0!</v>
      </c>
      <c r="BE45" s="25" t="e">
        <f t="shared" si="2"/>
        <v>#DIV/0!</v>
      </c>
      <c r="BF45" t="s">
        <v>1395</v>
      </c>
    </row>
    <row r="46" spans="1:58" x14ac:dyDescent="0.25">
      <c r="A46" s="18" t="s">
        <v>316</v>
      </c>
      <c r="C46" t="s">
        <v>318</v>
      </c>
      <c r="E46" t="s">
        <v>436</v>
      </c>
      <c r="F46" s="19" t="s">
        <v>540</v>
      </c>
      <c r="G46" s="18" t="s">
        <v>1399</v>
      </c>
      <c r="H46" s="8"/>
      <c r="L46" s="19" t="s">
        <v>315</v>
      </c>
      <c r="M46" t="s">
        <v>1395</v>
      </c>
      <c r="N46" s="48"/>
      <c r="O46" s="49">
        <f t="shared" si="3"/>
        <v>0</v>
      </c>
      <c r="P46" s="49">
        <f t="shared" si="4"/>
        <v>0</v>
      </c>
      <c r="Q46" s="34"/>
      <c r="R46" s="34"/>
      <c r="S46" s="34"/>
      <c r="T46" s="34"/>
      <c r="U46" s="34"/>
      <c r="V46" s="34"/>
      <c r="W46" s="34"/>
      <c r="X46" s="34"/>
      <c r="Y46" s="34"/>
      <c r="Z46" s="34"/>
      <c r="AA46" s="34"/>
      <c r="AB46" s="34"/>
      <c r="AC46" s="34">
        <f>prod_table_raw!N197</f>
        <v>11700</v>
      </c>
      <c r="AD46" s="39"/>
      <c r="AE46" s="39"/>
      <c r="AF46" s="38">
        <f>S46/(concentrate_grade!$F$4/100)</f>
        <v>0</v>
      </c>
      <c r="AG46" s="38">
        <f>T46/(concentrate_grade!$F$6/100)</f>
        <v>0</v>
      </c>
      <c r="AH46" s="39"/>
      <c r="AI46" s="39"/>
      <c r="AJ46" s="39"/>
      <c r="AK46" s="39"/>
      <c r="AL46" s="39"/>
      <c r="AM46" s="39"/>
      <c r="AN46" s="39"/>
      <c r="AO46" s="39"/>
      <c r="AP46" s="39"/>
      <c r="AQ46" s="43">
        <f>Q46*prices!$C$4</f>
        <v>0</v>
      </c>
      <c r="AR46" s="43">
        <f>R46*prices!$C$11</f>
        <v>0</v>
      </c>
      <c r="AS46" s="43">
        <f>S46*prices!$C$3</f>
        <v>0</v>
      </c>
      <c r="AT46" s="43">
        <f>T46*prices!$C$8</f>
        <v>0</v>
      </c>
      <c r="AU46" s="43">
        <f>U46*prices!$C$2</f>
        <v>0</v>
      </c>
      <c r="AV46" s="43">
        <f>V46*prices!$C$7</f>
        <v>0</v>
      </c>
      <c r="AW46" s="43">
        <f>W46*prices!$C$13</f>
        <v>0</v>
      </c>
      <c r="AX46" s="43">
        <f>X46*prices!$C$6</f>
        <v>0</v>
      </c>
      <c r="AY46" s="43">
        <f>Y46*prices!$C$5</f>
        <v>0</v>
      </c>
      <c r="AZ46" s="43">
        <f>Z46*prices!$C$9</f>
        <v>0</v>
      </c>
      <c r="BA46" s="43">
        <f>AB46*prices!$C$12</f>
        <v>0</v>
      </c>
      <c r="BB46" s="43">
        <f>AC46*prices!$C$14</f>
        <v>921726</v>
      </c>
      <c r="BC46" s="23">
        <f t="shared" si="0"/>
        <v>0</v>
      </c>
      <c r="BD46" s="24" t="e">
        <f t="shared" si="1"/>
        <v>#DIV/0!</v>
      </c>
      <c r="BE46" s="25" t="e">
        <f t="shared" si="2"/>
        <v>#DIV/0!</v>
      </c>
      <c r="BF46" t="s">
        <v>1395</v>
      </c>
    </row>
    <row r="47" spans="1:58" x14ac:dyDescent="0.25">
      <c r="A47" s="18" t="s">
        <v>328</v>
      </c>
      <c r="C47" t="s">
        <v>330</v>
      </c>
      <c r="E47" t="s">
        <v>436</v>
      </c>
      <c r="F47" s="19" t="s">
        <v>435</v>
      </c>
      <c r="G47" s="18" t="s">
        <v>91</v>
      </c>
      <c r="H47" t="s">
        <v>1454</v>
      </c>
      <c r="I47" t="s">
        <v>1420</v>
      </c>
      <c r="L47" s="19" t="s">
        <v>331</v>
      </c>
      <c r="M47" t="s">
        <v>1396</v>
      </c>
      <c r="N47" s="48">
        <f>prod_table_raw!N202</f>
        <v>6835294.1176470499</v>
      </c>
      <c r="O47" s="49">
        <f t="shared" si="3"/>
        <v>499545</v>
      </c>
      <c r="P47" s="49">
        <f t="shared" si="4"/>
        <v>6335749.1176470499</v>
      </c>
      <c r="Q47" s="34"/>
      <c r="R47" s="34"/>
      <c r="S47" s="34">
        <f>prod_table_raw!N200</f>
        <v>40926</v>
      </c>
      <c r="T47" s="34">
        <f>prod_table_raw!N201</f>
        <v>58100</v>
      </c>
      <c r="U47" s="34"/>
      <c r="V47" s="34"/>
      <c r="W47" s="34"/>
      <c r="X47" s="34"/>
      <c r="Y47" s="34"/>
      <c r="Z47" s="34"/>
      <c r="AA47" s="34"/>
      <c r="AB47" s="34"/>
      <c r="AC47" s="34"/>
      <c r="AD47" s="39"/>
      <c r="AE47" s="39"/>
      <c r="AF47" s="38">
        <f>S47/(concentrate_grade!$F$4/100)</f>
        <v>136420</v>
      </c>
      <c r="AG47" s="38">
        <f>T47/(concentrate_grade!$F$6/100)</f>
        <v>363125</v>
      </c>
      <c r="AH47" s="39"/>
      <c r="AI47" s="39"/>
      <c r="AJ47" s="39"/>
      <c r="AK47" s="39"/>
      <c r="AL47" s="39"/>
      <c r="AM47" s="39"/>
      <c r="AN47" s="39"/>
      <c r="AO47" s="39"/>
      <c r="AP47" s="39"/>
      <c r="AQ47" s="43">
        <f>Q47*prices!$C$4</f>
        <v>0</v>
      </c>
      <c r="AR47" s="43">
        <f>R47*prices!$C$11</f>
        <v>0</v>
      </c>
      <c r="AS47" s="43">
        <f>S47*prices!$C$3</f>
        <v>282389.40000000002</v>
      </c>
      <c r="AT47" s="43">
        <f>T47*prices!$C$8</f>
        <v>905779</v>
      </c>
      <c r="AU47" s="43">
        <f>U47*prices!$C$2</f>
        <v>0</v>
      </c>
      <c r="AV47" s="43">
        <f>V47*prices!$C$7</f>
        <v>0</v>
      </c>
      <c r="AW47" s="43">
        <f>W47*prices!$C$13</f>
        <v>0</v>
      </c>
      <c r="AX47" s="43">
        <f>X47*prices!$C$6</f>
        <v>0</v>
      </c>
      <c r="AY47" s="43">
        <f>Y47*prices!$C$5</f>
        <v>0</v>
      </c>
      <c r="AZ47" s="43">
        <f>Z47*prices!$C$9</f>
        <v>0</v>
      </c>
      <c r="BA47" s="43">
        <f>AB47*prices!$C$12</f>
        <v>0</v>
      </c>
      <c r="BB47" s="43">
        <f>AC47*prices!$C$14</f>
        <v>0</v>
      </c>
      <c r="BC47" s="23">
        <f t="shared" si="0"/>
        <v>1188168.3999999999</v>
      </c>
      <c r="BD47" s="24">
        <f t="shared" si="1"/>
        <v>0</v>
      </c>
      <c r="BE47" s="25">
        <f t="shared" si="2"/>
        <v>0.23766782553718821</v>
      </c>
      <c r="BF47" t="s">
        <v>1396</v>
      </c>
    </row>
    <row r="48" spans="1:58" x14ac:dyDescent="0.25">
      <c r="A48" s="18" t="s">
        <v>333</v>
      </c>
      <c r="C48" t="s">
        <v>334</v>
      </c>
      <c r="E48" t="s">
        <v>436</v>
      </c>
      <c r="F48" s="19" t="s">
        <v>435</v>
      </c>
      <c r="G48" s="18" t="s">
        <v>64</v>
      </c>
      <c r="H48" t="s">
        <v>1454</v>
      </c>
      <c r="I48" t="s">
        <v>1426</v>
      </c>
      <c r="L48" s="19" t="s">
        <v>335</v>
      </c>
      <c r="M48" t="s">
        <v>1398</v>
      </c>
      <c r="N48" s="48">
        <f>prod_table_raw!N207</f>
        <v>1500000</v>
      </c>
      <c r="O48" s="49">
        <f t="shared" si="3"/>
        <v>169743.33333333334</v>
      </c>
      <c r="P48" s="49">
        <f t="shared" si="4"/>
        <v>1330256.6666666667</v>
      </c>
      <c r="Q48" s="34"/>
      <c r="R48" s="34"/>
      <c r="S48" s="34">
        <f>prod_table_raw!N203</f>
        <v>5488</v>
      </c>
      <c r="T48" s="34">
        <f>prod_table_raw!N204</f>
        <v>24232</v>
      </c>
      <c r="U48" s="34">
        <f>prod_table_raw!N205</f>
        <v>498</v>
      </c>
      <c r="V48" s="34"/>
      <c r="W48" s="34"/>
      <c r="X48" s="34"/>
      <c r="Y48" s="34"/>
      <c r="Z48" s="34">
        <f>prod_table_raw!N206</f>
        <v>4.4160749299999997</v>
      </c>
      <c r="AA48" s="34"/>
      <c r="AB48" s="34"/>
      <c r="AC48" s="34"/>
      <c r="AD48" s="39"/>
      <c r="AE48" s="39"/>
      <c r="AF48" s="38">
        <f>S48/(concentrate_grade!$F$4/100)</f>
        <v>18293.333333333336</v>
      </c>
      <c r="AG48" s="38">
        <f>T48/(concentrate_grade!$F$6/100)</f>
        <v>151450</v>
      </c>
      <c r="AH48" s="39"/>
      <c r="AI48" s="39"/>
      <c r="AJ48" s="39"/>
      <c r="AK48" s="39"/>
      <c r="AL48" s="39"/>
      <c r="AM48" s="39"/>
      <c r="AN48" s="39"/>
      <c r="AO48" s="39"/>
      <c r="AP48" s="39"/>
      <c r="AQ48" s="43">
        <f>Q48*prices!$C$4</f>
        <v>0</v>
      </c>
      <c r="AR48" s="43">
        <f>R48*prices!$C$11</f>
        <v>0</v>
      </c>
      <c r="AS48" s="43">
        <f>S48*prices!$C$3</f>
        <v>37867.200000000004</v>
      </c>
      <c r="AT48" s="43">
        <f>T48*prices!$C$8</f>
        <v>377776.88</v>
      </c>
      <c r="AU48" s="43">
        <f>U48*prices!$C$2</f>
        <v>4650.8760010942506</v>
      </c>
      <c r="AV48" s="43">
        <f>V48*prices!$C$7</f>
        <v>0</v>
      </c>
      <c r="AW48" s="43">
        <f>W48*prices!$C$13</f>
        <v>0</v>
      </c>
      <c r="AX48" s="43">
        <f>X48*prices!$C$6</f>
        <v>0</v>
      </c>
      <c r="AY48" s="43">
        <f>Y48*prices!$C$5</f>
        <v>0</v>
      </c>
      <c r="AZ48" s="43">
        <f>Z48*prices!$C$9</f>
        <v>227157.55094853468</v>
      </c>
      <c r="BA48" s="43">
        <f>AB48*prices!$C$12</f>
        <v>0</v>
      </c>
      <c r="BB48" s="43">
        <f>AC48*prices!$C$14</f>
        <v>0</v>
      </c>
      <c r="BC48" s="23">
        <f t="shared" si="0"/>
        <v>647452.50694962894</v>
      </c>
      <c r="BD48" s="24">
        <f t="shared" si="1"/>
        <v>0</v>
      </c>
      <c r="BE48" s="25">
        <f t="shared" si="2"/>
        <v>5.8486452046352229E-2</v>
      </c>
      <c r="BF48" t="s">
        <v>1398</v>
      </c>
    </row>
    <row r="49" spans="1:58" x14ac:dyDescent="0.25">
      <c r="A49" s="18" t="s">
        <v>337</v>
      </c>
      <c r="C49" t="s">
        <v>338</v>
      </c>
      <c r="E49" t="s">
        <v>437</v>
      </c>
      <c r="F49" s="19" t="s">
        <v>435</v>
      </c>
      <c r="G49" s="18" t="s">
        <v>91</v>
      </c>
      <c r="H49" t="s">
        <v>1401</v>
      </c>
      <c r="I49" t="s">
        <v>1426</v>
      </c>
      <c r="J49" t="s">
        <v>1417</v>
      </c>
      <c r="L49" s="19" t="s">
        <v>65</v>
      </c>
      <c r="M49" t="s">
        <v>920</v>
      </c>
      <c r="N49" s="48">
        <f>prod_table_raw!N211</f>
        <v>8764000</v>
      </c>
      <c r="O49" s="49">
        <f t="shared" si="3"/>
        <v>0</v>
      </c>
      <c r="P49" s="49">
        <f t="shared" si="4"/>
        <v>8764000</v>
      </c>
      <c r="Q49" s="34">
        <f>prod_table_raw!N212</f>
        <v>7.8923576074999904</v>
      </c>
      <c r="R49" s="34"/>
      <c r="S49" s="34"/>
      <c r="T49" s="34"/>
      <c r="U49" s="34"/>
      <c r="V49" s="34"/>
      <c r="W49" s="34"/>
      <c r="X49" s="34"/>
      <c r="Y49" s="34"/>
      <c r="Z49" s="34"/>
      <c r="AA49" s="34"/>
      <c r="AB49" s="34"/>
      <c r="AC49" s="34"/>
      <c r="AD49" s="39"/>
      <c r="AE49" s="39"/>
      <c r="AF49" s="38">
        <f>S49/(concentrate_grade!$F$4/100)</f>
        <v>0</v>
      </c>
      <c r="AG49" s="38">
        <f>T49/(concentrate_grade!$F$6/100)</f>
        <v>0</v>
      </c>
      <c r="AH49" s="39"/>
      <c r="AI49" s="39"/>
      <c r="AJ49" s="39"/>
      <c r="AK49" s="39"/>
      <c r="AL49" s="39"/>
      <c r="AM49" s="39"/>
      <c r="AN49" s="39"/>
      <c r="AO49" s="39"/>
      <c r="AP49" s="39"/>
      <c r="AQ49" s="43">
        <f>Q49*prices!$C$4</f>
        <v>408769.94303352403</v>
      </c>
      <c r="AR49" s="43">
        <f>R49*prices!$C$11</f>
        <v>0</v>
      </c>
      <c r="AS49" s="43">
        <f>S49*prices!$C$3</f>
        <v>0</v>
      </c>
      <c r="AT49" s="43">
        <f>T49*prices!$C$8</f>
        <v>0</v>
      </c>
      <c r="AU49" s="43">
        <f>U49*prices!$C$2</f>
        <v>0</v>
      </c>
      <c r="AV49" s="43">
        <f>V49*prices!$C$7</f>
        <v>0</v>
      </c>
      <c r="AW49" s="43">
        <f>W49*prices!$C$13</f>
        <v>0</v>
      </c>
      <c r="AX49" s="43">
        <f>X49*prices!$C$6</f>
        <v>0</v>
      </c>
      <c r="AY49" s="43">
        <f>Y49*prices!$C$5</f>
        <v>0</v>
      </c>
      <c r="AZ49" s="43">
        <f>Z49*prices!$C$9</f>
        <v>0</v>
      </c>
      <c r="BA49" s="43">
        <f>AB49*prices!$C$12</f>
        <v>0</v>
      </c>
      <c r="BB49" s="43">
        <f>AC49*prices!$C$14</f>
        <v>0</v>
      </c>
      <c r="BC49" s="23">
        <f t="shared" si="0"/>
        <v>408769.94303352403</v>
      </c>
      <c r="BD49" s="24">
        <f t="shared" si="1"/>
        <v>1</v>
      </c>
      <c r="BE49" s="25">
        <f t="shared" si="2"/>
        <v>0</v>
      </c>
      <c r="BF49" t="s">
        <v>920</v>
      </c>
    </row>
    <row r="50" spans="1:58" x14ac:dyDescent="0.25">
      <c r="A50" s="18" t="s">
        <v>340</v>
      </c>
      <c r="C50" t="s">
        <v>341</v>
      </c>
      <c r="E50" t="s">
        <v>439</v>
      </c>
      <c r="F50" s="19" t="s">
        <v>435</v>
      </c>
      <c r="G50" s="18" t="s">
        <v>78</v>
      </c>
      <c r="H50" s="14" t="s">
        <v>1413</v>
      </c>
      <c r="I50" t="s">
        <v>1425</v>
      </c>
      <c r="J50" t="s">
        <v>1416</v>
      </c>
      <c r="L50" s="19" t="s">
        <v>292</v>
      </c>
      <c r="M50" t="s">
        <v>1080</v>
      </c>
      <c r="N50" s="48">
        <f>prod_table_raw!N215</f>
        <v>1139000</v>
      </c>
      <c r="O50" s="49">
        <f t="shared" si="3"/>
        <v>13333.333333333334</v>
      </c>
      <c r="P50" s="49">
        <f t="shared" si="4"/>
        <v>1125666.6666666667</v>
      </c>
      <c r="Q50" s="34">
        <f>prod_table_raw!N214</f>
        <v>0.1555175</v>
      </c>
      <c r="R50" s="34"/>
      <c r="S50" s="34">
        <f>prod_table_raw!N217</f>
        <v>4000</v>
      </c>
      <c r="T50" s="34"/>
      <c r="U50" s="34"/>
      <c r="V50" s="34"/>
      <c r="W50" s="34"/>
      <c r="X50" s="34"/>
      <c r="Y50" s="34"/>
      <c r="Z50" s="34"/>
      <c r="AA50" s="34"/>
      <c r="AB50" s="34"/>
      <c r="AC50" s="34"/>
      <c r="AD50" s="39"/>
      <c r="AE50" s="39"/>
      <c r="AF50" s="38">
        <f>S50/(concentrate_grade!$F$4/100)</f>
        <v>13333.333333333334</v>
      </c>
      <c r="AG50" s="38">
        <f>T50/(concentrate_grade!$F$6/100)</f>
        <v>0</v>
      </c>
      <c r="AH50" s="39"/>
      <c r="AI50" s="39"/>
      <c r="AJ50" s="39"/>
      <c r="AK50" s="39"/>
      <c r="AL50" s="39"/>
      <c r="AM50" s="39"/>
      <c r="AN50" s="39"/>
      <c r="AO50" s="39"/>
      <c r="AP50" s="39"/>
      <c r="AQ50" s="43">
        <f>Q50*prices!$C$4</f>
        <v>8054.7388723625008</v>
      </c>
      <c r="AR50" s="43">
        <f>R50*prices!$C$11</f>
        <v>0</v>
      </c>
      <c r="AS50" s="43">
        <f>S50*prices!$C$3</f>
        <v>27600</v>
      </c>
      <c r="AT50" s="43">
        <f>T50*prices!$C$8</f>
        <v>0</v>
      </c>
      <c r="AU50" s="43">
        <f>U50*prices!$C$2</f>
        <v>0</v>
      </c>
      <c r="AV50" s="43">
        <f>V50*prices!$C$7</f>
        <v>0</v>
      </c>
      <c r="AW50" s="43">
        <f>W50*prices!$C$13</f>
        <v>0</v>
      </c>
      <c r="AX50" s="43">
        <f>X50*prices!$C$6</f>
        <v>0</v>
      </c>
      <c r="AY50" s="43">
        <f>Y50*prices!$C$5</f>
        <v>0</v>
      </c>
      <c r="AZ50" s="43">
        <f>Z50*prices!$C$9</f>
        <v>0</v>
      </c>
      <c r="BA50" s="43">
        <f>AB50*prices!$C$12</f>
        <v>0</v>
      </c>
      <c r="BB50" s="43">
        <f>AC50*prices!$C$14</f>
        <v>0</v>
      </c>
      <c r="BC50" s="23">
        <f t="shared" si="0"/>
        <v>35654.738872362504</v>
      </c>
      <c r="BD50" s="24">
        <f t="shared" si="1"/>
        <v>0.22590934969954499</v>
      </c>
      <c r="BE50" s="25">
        <f t="shared" si="2"/>
        <v>0.77409065030045487</v>
      </c>
      <c r="BF50" t="s">
        <v>1080</v>
      </c>
    </row>
    <row r="51" spans="1:58" x14ac:dyDescent="0.25">
      <c r="A51" s="18" t="s">
        <v>343</v>
      </c>
      <c r="C51" t="s">
        <v>346</v>
      </c>
      <c r="E51" t="s">
        <v>437</v>
      </c>
      <c r="F51" s="19" t="s">
        <v>435</v>
      </c>
      <c r="G51" s="18" t="s">
        <v>64</v>
      </c>
      <c r="H51" s="14" t="s">
        <v>1413</v>
      </c>
      <c r="I51" t="s">
        <v>1426</v>
      </c>
      <c r="J51" t="s">
        <v>1416</v>
      </c>
      <c r="L51" s="19" t="s">
        <v>65</v>
      </c>
      <c r="M51" t="s">
        <v>920</v>
      </c>
      <c r="N51" s="48">
        <f>prod_table_raw!N222</f>
        <v>841000</v>
      </c>
      <c r="O51" s="49">
        <f t="shared" si="3"/>
        <v>0</v>
      </c>
      <c r="P51" s="49">
        <f t="shared" si="4"/>
        <v>841000</v>
      </c>
      <c r="Q51" s="34">
        <f>prod_table_raw!N223</f>
        <v>3.5053644500000001</v>
      </c>
      <c r="R51" s="34"/>
      <c r="S51" s="34"/>
      <c r="T51" s="34"/>
      <c r="U51" s="34"/>
      <c r="V51" s="34"/>
      <c r="W51" s="34"/>
      <c r="X51" s="34"/>
      <c r="Y51" s="34"/>
      <c r="Z51" s="34"/>
      <c r="AA51" s="34"/>
      <c r="AB51" s="34"/>
      <c r="AC51" s="34"/>
      <c r="AD51" s="39"/>
      <c r="AE51" s="39"/>
      <c r="AF51" s="38">
        <f>S51/(concentrate_grade!$F$4/100)</f>
        <v>0</v>
      </c>
      <c r="AG51" s="38">
        <f>T51/(concentrate_grade!$F$6/100)</f>
        <v>0</v>
      </c>
      <c r="AH51" s="39"/>
      <c r="AI51" s="39"/>
      <c r="AJ51" s="39"/>
      <c r="AK51" s="39"/>
      <c r="AL51" s="39"/>
      <c r="AM51" s="39"/>
      <c r="AN51" s="39"/>
      <c r="AO51" s="39"/>
      <c r="AP51" s="39"/>
      <c r="AQ51" s="43">
        <f>Q51*prices!$C$4</f>
        <v>181553.81418305077</v>
      </c>
      <c r="AR51" s="43">
        <f>R51*prices!$C$11</f>
        <v>0</v>
      </c>
      <c r="AS51" s="43">
        <f>S51*prices!$C$3</f>
        <v>0</v>
      </c>
      <c r="AT51" s="43">
        <f>T51*prices!$C$8</f>
        <v>0</v>
      </c>
      <c r="AU51" s="43">
        <f>U51*prices!$C$2</f>
        <v>0</v>
      </c>
      <c r="AV51" s="43">
        <f>V51*prices!$C$7</f>
        <v>0</v>
      </c>
      <c r="AW51" s="43">
        <f>W51*prices!$C$13</f>
        <v>0</v>
      </c>
      <c r="AX51" s="43">
        <f>X51*prices!$C$6</f>
        <v>0</v>
      </c>
      <c r="AY51" s="43">
        <f>Y51*prices!$C$5</f>
        <v>0</v>
      </c>
      <c r="AZ51" s="43">
        <f>Z51*prices!$C$9</f>
        <v>0</v>
      </c>
      <c r="BA51" s="43">
        <f>AB51*prices!$C$12</f>
        <v>0</v>
      </c>
      <c r="BB51" s="43">
        <f>AC51*prices!$C$14</f>
        <v>0</v>
      </c>
      <c r="BC51" s="23">
        <f t="shared" si="0"/>
        <v>181553.81418305077</v>
      </c>
      <c r="BD51" s="24">
        <f t="shared" si="1"/>
        <v>1</v>
      </c>
      <c r="BE51" s="25">
        <f t="shared" si="2"/>
        <v>0</v>
      </c>
      <c r="BF51" t="s">
        <v>920</v>
      </c>
    </row>
    <row r="52" spans="1:58" x14ac:dyDescent="0.25">
      <c r="A52" s="18" t="s">
        <v>357</v>
      </c>
      <c r="C52" t="s">
        <v>359</v>
      </c>
      <c r="E52" t="s">
        <v>442</v>
      </c>
      <c r="F52" s="19" t="s">
        <v>435</v>
      </c>
      <c r="G52" s="18" t="s">
        <v>78</v>
      </c>
      <c r="H52" t="s">
        <v>1407</v>
      </c>
      <c r="I52" t="s">
        <v>1426</v>
      </c>
      <c r="J52" t="s">
        <v>1416</v>
      </c>
      <c r="L52" s="19" t="s">
        <v>49</v>
      </c>
      <c r="M52" t="s">
        <v>1068</v>
      </c>
      <c r="N52" s="48">
        <f>prod_table_raw!N226</f>
        <v>3560000</v>
      </c>
      <c r="O52" s="49">
        <f t="shared" si="3"/>
        <v>0</v>
      </c>
      <c r="P52" s="49">
        <f t="shared" si="4"/>
        <v>3560000</v>
      </c>
      <c r="Q52" s="34"/>
      <c r="R52" s="34"/>
      <c r="S52" s="34"/>
      <c r="T52" s="34"/>
      <c r="U52" s="34"/>
      <c r="V52" s="34"/>
      <c r="W52" s="34"/>
      <c r="X52" s="34"/>
      <c r="Y52" s="34"/>
      <c r="Z52" s="34"/>
      <c r="AA52" s="34"/>
      <c r="AB52" s="34"/>
      <c r="AC52" s="34"/>
      <c r="AD52" s="39"/>
      <c r="AE52" s="39"/>
      <c r="AF52" s="38">
        <f>S52/(concentrate_grade!$F$4/100)</f>
        <v>0</v>
      </c>
      <c r="AG52" s="38">
        <f>T52/(concentrate_grade!$F$6/100)</f>
        <v>0</v>
      </c>
      <c r="AH52" s="39"/>
      <c r="AI52" s="39"/>
      <c r="AJ52" s="39"/>
      <c r="AK52" s="39"/>
      <c r="AL52" s="39"/>
      <c r="AM52" s="39"/>
      <c r="AN52" s="39"/>
      <c r="AO52" s="39"/>
      <c r="AP52" s="39"/>
      <c r="AQ52" s="43">
        <f>Q52*prices!$C$4</f>
        <v>0</v>
      </c>
      <c r="AR52" s="43">
        <f>R52*prices!$C$11</f>
        <v>0</v>
      </c>
      <c r="AS52" s="43">
        <f>S52*prices!$C$3</f>
        <v>0</v>
      </c>
      <c r="AT52" s="43">
        <f>T52*prices!$C$8</f>
        <v>0</v>
      </c>
      <c r="AU52" s="43">
        <f>U52*prices!$C$2</f>
        <v>0</v>
      </c>
      <c r="AV52" s="43">
        <f>V52*prices!$C$7</f>
        <v>0</v>
      </c>
      <c r="AW52" s="43">
        <f>W52*prices!$C$13</f>
        <v>0</v>
      </c>
      <c r="AX52" s="43">
        <f>X52*prices!$C$6</f>
        <v>0</v>
      </c>
      <c r="AY52" s="43">
        <f>Y52*prices!$C$5</f>
        <v>0</v>
      </c>
      <c r="AZ52" s="43">
        <f>Z52*prices!$C$9</f>
        <v>0</v>
      </c>
      <c r="BA52" s="43">
        <f>AB52*prices!$C$12</f>
        <v>0</v>
      </c>
      <c r="BB52" s="43">
        <f>AC52*prices!$C$14</f>
        <v>0</v>
      </c>
      <c r="BC52" s="23">
        <f t="shared" si="0"/>
        <v>0</v>
      </c>
      <c r="BD52" s="24" t="e">
        <f t="shared" si="1"/>
        <v>#DIV/0!</v>
      </c>
      <c r="BE52" s="25" t="e">
        <f t="shared" si="2"/>
        <v>#DIV/0!</v>
      </c>
      <c r="BF52" t="s">
        <v>1068</v>
      </c>
    </row>
    <row r="53" spans="1:58" x14ac:dyDescent="0.25">
      <c r="A53" s="18" t="s">
        <v>371</v>
      </c>
      <c r="B53" t="s">
        <v>162</v>
      </c>
      <c r="C53" t="s">
        <v>372</v>
      </c>
      <c r="D53" t="s">
        <v>164</v>
      </c>
      <c r="E53" t="s">
        <v>437</v>
      </c>
      <c r="F53" s="19" t="s">
        <v>435</v>
      </c>
      <c r="G53" s="18" t="s">
        <v>264</v>
      </c>
      <c r="H53" t="s">
        <v>1454</v>
      </c>
      <c r="I53" t="s">
        <v>1426</v>
      </c>
      <c r="L53" s="19" t="s">
        <v>373</v>
      </c>
      <c r="M53" t="s">
        <v>1396</v>
      </c>
      <c r="N53" s="48">
        <f>prod_table_raw!N239</f>
        <v>1025997</v>
      </c>
      <c r="O53" s="49">
        <f t="shared" si="3"/>
        <v>70909.166666666672</v>
      </c>
      <c r="P53" s="49">
        <f t="shared" si="4"/>
        <v>955087.83333333337</v>
      </c>
      <c r="Q53" s="34"/>
      <c r="R53" s="34"/>
      <c r="S53" s="34">
        <f>prod_table_raw!N237</f>
        <v>7154</v>
      </c>
      <c r="T53" s="34">
        <f>prod_table_raw!N238</f>
        <v>7530</v>
      </c>
      <c r="U53" s="34"/>
      <c r="V53" s="34"/>
      <c r="W53" s="34"/>
      <c r="X53" s="34"/>
      <c r="Y53" s="34"/>
      <c r="Z53" s="34"/>
      <c r="AA53" s="34"/>
      <c r="AB53" s="34"/>
      <c r="AC53" s="34"/>
      <c r="AD53" s="39"/>
      <c r="AE53" s="39"/>
      <c r="AF53" s="38">
        <f>S53/(concentrate_grade!$F$4/100)</f>
        <v>23846.666666666668</v>
      </c>
      <c r="AG53" s="38">
        <f>T53/(concentrate_grade!$F$6/100)</f>
        <v>47062.5</v>
      </c>
      <c r="AH53" s="39"/>
      <c r="AI53" s="39"/>
      <c r="AJ53" s="39"/>
      <c r="AK53" s="39"/>
      <c r="AL53" s="39"/>
      <c r="AM53" s="39"/>
      <c r="AN53" s="39"/>
      <c r="AO53" s="39"/>
      <c r="AP53" s="39"/>
      <c r="AQ53" s="43">
        <f>Q53*prices!$C$4</f>
        <v>0</v>
      </c>
      <c r="AR53" s="43">
        <f>R53*prices!$C$11</f>
        <v>0</v>
      </c>
      <c r="AS53" s="43">
        <f>S53*prices!$C$3</f>
        <v>49362.600000000006</v>
      </c>
      <c r="AT53" s="43">
        <f>T53*prices!$C$8</f>
        <v>117392.7</v>
      </c>
      <c r="AU53" s="43">
        <f>U53*prices!$C$2</f>
        <v>0</v>
      </c>
      <c r="AV53" s="43">
        <f>V53*prices!$C$7</f>
        <v>0</v>
      </c>
      <c r="AW53" s="43">
        <f>W53*prices!$C$13</f>
        <v>0</v>
      </c>
      <c r="AX53" s="43">
        <f>X53*prices!$C$6</f>
        <v>0</v>
      </c>
      <c r="AY53" s="43">
        <f>Y53*prices!$C$5</f>
        <v>0</v>
      </c>
      <c r="AZ53" s="43">
        <f>Z53*prices!$C$9</f>
        <v>0</v>
      </c>
      <c r="BA53" s="43">
        <f>AB53*prices!$C$12</f>
        <v>0</v>
      </c>
      <c r="BB53" s="43">
        <f>AC53*prices!$C$14</f>
        <v>0</v>
      </c>
      <c r="BC53" s="23">
        <f t="shared" si="0"/>
        <v>166755.29999999999</v>
      </c>
      <c r="BD53" s="24">
        <f t="shared" si="1"/>
        <v>0</v>
      </c>
      <c r="BE53" s="25">
        <f t="shared" si="2"/>
        <v>0.29601817753318793</v>
      </c>
      <c r="BF53" t="s">
        <v>1396</v>
      </c>
    </row>
    <row r="54" spans="1:58" x14ac:dyDescent="0.25">
      <c r="A54" s="18" t="s">
        <v>376</v>
      </c>
      <c r="B54" t="s">
        <v>162</v>
      </c>
      <c r="C54" t="s">
        <v>377</v>
      </c>
      <c r="D54" t="s">
        <v>164</v>
      </c>
      <c r="E54" t="s">
        <v>437</v>
      </c>
      <c r="F54" s="19" t="s">
        <v>540</v>
      </c>
      <c r="G54" s="18" t="s">
        <v>378</v>
      </c>
      <c r="H54" t="s">
        <v>1160</v>
      </c>
      <c r="I54" t="s">
        <v>1418</v>
      </c>
      <c r="L54" s="19" t="s">
        <v>379</v>
      </c>
      <c r="M54" t="s">
        <v>1396</v>
      </c>
      <c r="N54" s="48"/>
      <c r="O54" s="49">
        <f t="shared" si="3"/>
        <v>434802.08333333331</v>
      </c>
      <c r="P54" s="49">
        <f t="shared" si="4"/>
        <v>-434802.08333333331</v>
      </c>
      <c r="Q54" s="34"/>
      <c r="R54" s="34"/>
      <c r="S54" s="34">
        <f>prod_table_raw!N241</f>
        <v>13720</v>
      </c>
      <c r="T54" s="34">
        <f>prod_table_raw!N240</f>
        <v>62251</v>
      </c>
      <c r="U54" s="34"/>
      <c r="V54" s="34"/>
      <c r="W54" s="34"/>
      <c r="X54" s="34"/>
      <c r="Y54" s="34"/>
      <c r="Z54" s="34"/>
      <c r="AA54" s="34"/>
      <c r="AB54" s="34"/>
      <c r="AC54" s="34"/>
      <c r="AD54" s="39"/>
      <c r="AE54" s="39"/>
      <c r="AF54" s="38">
        <f>S54/(concentrate_grade!$F$4/100)</f>
        <v>45733.333333333336</v>
      </c>
      <c r="AG54" s="38">
        <f>T54/(concentrate_grade!$F$6/100)</f>
        <v>389068.75</v>
      </c>
      <c r="AH54" s="39"/>
      <c r="AI54" s="39"/>
      <c r="AJ54" s="39"/>
      <c r="AK54" s="39"/>
      <c r="AL54" s="39"/>
      <c r="AM54" s="39"/>
      <c r="AN54" s="39"/>
      <c r="AO54" s="39"/>
      <c r="AP54" s="39"/>
      <c r="AQ54" s="43">
        <f>Q54*prices!$C$4</f>
        <v>0</v>
      </c>
      <c r="AR54" s="43">
        <f>R54*prices!$C$11</f>
        <v>0</v>
      </c>
      <c r="AS54" s="43">
        <f>S54*prices!$C$3</f>
        <v>94668</v>
      </c>
      <c r="AT54" s="43">
        <f>T54*prices!$C$8</f>
        <v>970493.09</v>
      </c>
      <c r="AU54" s="43">
        <f>U54*prices!$C$2</f>
        <v>0</v>
      </c>
      <c r="AV54" s="43">
        <f>V54*prices!$C$7</f>
        <v>0</v>
      </c>
      <c r="AW54" s="43">
        <f>W54*prices!$C$13</f>
        <v>0</v>
      </c>
      <c r="AX54" s="43">
        <f>X54*prices!$C$6</f>
        <v>0</v>
      </c>
      <c r="AY54" s="43">
        <f>Y54*prices!$C$5</f>
        <v>0</v>
      </c>
      <c r="AZ54" s="43">
        <f>Z54*prices!$C$9</f>
        <v>0</v>
      </c>
      <c r="BA54" s="43">
        <f>AB54*prices!$C$12</f>
        <v>0</v>
      </c>
      <c r="BB54" s="43">
        <f>AC54*prices!$C$14</f>
        <v>0</v>
      </c>
      <c r="BC54" s="23">
        <f t="shared" si="0"/>
        <v>1065161.0899999999</v>
      </c>
      <c r="BD54" s="24">
        <f t="shared" si="1"/>
        <v>0</v>
      </c>
      <c r="BE54" s="25">
        <f t="shared" si="2"/>
        <v>8.8876697514363778E-2</v>
      </c>
      <c r="BF54" t="s">
        <v>1396</v>
      </c>
    </row>
    <row r="55" spans="1:58" x14ac:dyDescent="0.25">
      <c r="A55" s="18" t="s">
        <v>381</v>
      </c>
      <c r="C55" t="s">
        <v>384</v>
      </c>
      <c r="E55" t="s">
        <v>437</v>
      </c>
      <c r="F55" s="19" t="s">
        <v>435</v>
      </c>
      <c r="G55" s="18" t="s">
        <v>64</v>
      </c>
      <c r="H55" s="8"/>
      <c r="L55" s="19" t="s">
        <v>115</v>
      </c>
      <c r="M55" t="s">
        <v>920</v>
      </c>
      <c r="N55" s="48">
        <f>prod_table_raw!N244</f>
        <v>234671</v>
      </c>
      <c r="O55" s="49">
        <f t="shared" si="3"/>
        <v>0</v>
      </c>
      <c r="P55" s="49">
        <f t="shared" si="4"/>
        <v>234671</v>
      </c>
      <c r="Q55" s="34">
        <f>prod_table_raw!N245</f>
        <v>1.2024302065000001</v>
      </c>
      <c r="R55" s="34"/>
      <c r="S55" s="34"/>
      <c r="T55" s="34"/>
      <c r="U55" s="34"/>
      <c r="V55" s="34"/>
      <c r="W55" s="34"/>
      <c r="X55" s="34"/>
      <c r="Y55" s="34"/>
      <c r="Z55" s="34"/>
      <c r="AA55" s="34"/>
      <c r="AB55" s="34"/>
      <c r="AC55" s="34"/>
      <c r="AD55" s="39"/>
      <c r="AE55" s="39"/>
      <c r="AF55" s="38">
        <f>S55/(concentrate_grade!$F$4/100)</f>
        <v>0</v>
      </c>
      <c r="AG55" s="38">
        <f>T55/(concentrate_grade!$F$6/100)</f>
        <v>0</v>
      </c>
      <c r="AH55" s="39"/>
      <c r="AI55" s="39"/>
      <c r="AJ55" s="39"/>
      <c r="AK55" s="39"/>
      <c r="AL55" s="39"/>
      <c r="AM55" s="39"/>
      <c r="AN55" s="39"/>
      <c r="AO55" s="39"/>
      <c r="AP55" s="39"/>
      <c r="AQ55" s="43">
        <f>Q55*prices!$C$4</f>
        <v>62277.630013332382</v>
      </c>
      <c r="AR55" s="43">
        <f>R55*prices!$C$11</f>
        <v>0</v>
      </c>
      <c r="AS55" s="43">
        <f>S55*prices!$C$3</f>
        <v>0</v>
      </c>
      <c r="AT55" s="43">
        <f>T55*prices!$C$8</f>
        <v>0</v>
      </c>
      <c r="AU55" s="43">
        <f>U55*prices!$C$2</f>
        <v>0</v>
      </c>
      <c r="AV55" s="43">
        <f>V55*prices!$C$7</f>
        <v>0</v>
      </c>
      <c r="AW55" s="43">
        <f>W55*prices!$C$13</f>
        <v>0</v>
      </c>
      <c r="AX55" s="43">
        <f>X55*prices!$C$6</f>
        <v>0</v>
      </c>
      <c r="AY55" s="43">
        <f>Y55*prices!$C$5</f>
        <v>0</v>
      </c>
      <c r="AZ55" s="43">
        <f>Z55*prices!$C$9</f>
        <v>0</v>
      </c>
      <c r="BA55" s="43">
        <f>AB55*prices!$C$12</f>
        <v>0</v>
      </c>
      <c r="BB55" s="43">
        <f>AC55*prices!$C$14</f>
        <v>0</v>
      </c>
      <c r="BC55" s="23">
        <f t="shared" si="0"/>
        <v>62277.630013332382</v>
      </c>
      <c r="BD55" s="24">
        <f t="shared" si="1"/>
        <v>1</v>
      </c>
      <c r="BE55" s="25">
        <f t="shared" si="2"/>
        <v>0</v>
      </c>
      <c r="BF55" t="s">
        <v>920</v>
      </c>
    </row>
    <row r="56" spans="1:58" x14ac:dyDescent="0.25">
      <c r="A56" s="18" t="s">
        <v>387</v>
      </c>
      <c r="C56" t="s">
        <v>390</v>
      </c>
      <c r="E56" t="s">
        <v>538</v>
      </c>
      <c r="F56" s="19" t="s">
        <v>540</v>
      </c>
      <c r="G56" s="18" t="s">
        <v>71</v>
      </c>
      <c r="H56" t="s">
        <v>1161</v>
      </c>
      <c r="I56" t="s">
        <v>1418</v>
      </c>
      <c r="L56" s="19" t="s">
        <v>391</v>
      </c>
      <c r="M56" t="s">
        <v>1397</v>
      </c>
      <c r="N56" s="48"/>
      <c r="O56" s="49">
        <f t="shared" si="3"/>
        <v>201675</v>
      </c>
      <c r="P56" s="49">
        <f t="shared" si="4"/>
        <v>-201675</v>
      </c>
      <c r="Q56" s="34"/>
      <c r="R56" s="34"/>
      <c r="S56" s="34"/>
      <c r="T56" s="34">
        <f>prod_table_raw!N247</f>
        <v>32268</v>
      </c>
      <c r="U56" s="34">
        <f>prod_table_raw!N246</f>
        <v>3368</v>
      </c>
      <c r="V56" s="34"/>
      <c r="W56" s="34"/>
      <c r="X56" s="34"/>
      <c r="Y56" s="34"/>
      <c r="Z56" s="34"/>
      <c r="AA56" s="34"/>
      <c r="AB56" s="34"/>
      <c r="AC56" s="34"/>
      <c r="AD56" s="39"/>
      <c r="AE56" s="39"/>
      <c r="AF56" s="38">
        <f>S56/(concentrate_grade!$F$4/100)</f>
        <v>0</v>
      </c>
      <c r="AG56" s="38">
        <f>T56/(concentrate_grade!$F$6/100)</f>
        <v>201675</v>
      </c>
      <c r="AH56" s="39"/>
      <c r="AI56" s="39"/>
      <c r="AJ56" s="39"/>
      <c r="AK56" s="39"/>
      <c r="AL56" s="39"/>
      <c r="AM56" s="39"/>
      <c r="AN56" s="39"/>
      <c r="AO56" s="39"/>
      <c r="AP56" s="39"/>
      <c r="AQ56" s="43">
        <f>Q56*prices!$C$4</f>
        <v>0</v>
      </c>
      <c r="AR56" s="43">
        <f>R56*prices!$C$11</f>
        <v>0</v>
      </c>
      <c r="AS56" s="43">
        <f>S56*prices!$C$3</f>
        <v>0</v>
      </c>
      <c r="AT56" s="43">
        <f>T56*prices!$C$8</f>
        <v>503058.12</v>
      </c>
      <c r="AU56" s="43">
        <f>U56*prices!$C$2</f>
        <v>31454.117212219753</v>
      </c>
      <c r="AV56" s="43">
        <f>V56*prices!$C$7</f>
        <v>0</v>
      </c>
      <c r="AW56" s="43">
        <f>W56*prices!$C$13</f>
        <v>0</v>
      </c>
      <c r="AX56" s="43">
        <f>X56*prices!$C$6</f>
        <v>0</v>
      </c>
      <c r="AY56" s="43">
        <f>Y56*prices!$C$5</f>
        <v>0</v>
      </c>
      <c r="AZ56" s="43">
        <f>Z56*prices!$C$9</f>
        <v>0</v>
      </c>
      <c r="BA56" s="43">
        <f>AB56*prices!$C$12</f>
        <v>0</v>
      </c>
      <c r="BB56" s="43">
        <f>AC56*prices!$C$14</f>
        <v>0</v>
      </c>
      <c r="BC56" s="23">
        <f t="shared" si="0"/>
        <v>534512.23721221974</v>
      </c>
      <c r="BD56" s="24">
        <f t="shared" si="1"/>
        <v>0</v>
      </c>
      <c r="BE56" s="25">
        <f t="shared" si="2"/>
        <v>0</v>
      </c>
      <c r="BF56" t="s">
        <v>1397</v>
      </c>
    </row>
    <row r="57" spans="1:58" x14ac:dyDescent="0.25">
      <c r="A57" s="18" t="s">
        <v>393</v>
      </c>
      <c r="C57" t="s">
        <v>395</v>
      </c>
      <c r="E57" t="s">
        <v>441</v>
      </c>
      <c r="F57" s="19" t="s">
        <v>435</v>
      </c>
      <c r="G57" s="18" t="s">
        <v>91</v>
      </c>
      <c r="H57" t="s">
        <v>1454</v>
      </c>
      <c r="I57" t="s">
        <v>1428</v>
      </c>
      <c r="L57" s="19" t="s">
        <v>396</v>
      </c>
      <c r="M57" t="s">
        <v>1396</v>
      </c>
      <c r="N57" s="48">
        <f>prod_table_raw!N250</f>
        <v>464705.88235294097</v>
      </c>
      <c r="O57" s="49">
        <f t="shared" si="3"/>
        <v>65041.666666666672</v>
      </c>
      <c r="P57" s="49">
        <f t="shared" si="4"/>
        <v>399664.21568627428</v>
      </c>
      <c r="Q57" s="34"/>
      <c r="R57" s="34"/>
      <c r="S57" s="34">
        <f>prod_table_raw!N248</f>
        <v>4700</v>
      </c>
      <c r="T57" s="34">
        <f>prod_table_raw!N249</f>
        <v>7900</v>
      </c>
      <c r="U57" s="34"/>
      <c r="V57" s="34"/>
      <c r="W57" s="34"/>
      <c r="X57" s="34"/>
      <c r="Y57" s="34"/>
      <c r="Z57" s="34"/>
      <c r="AA57" s="34"/>
      <c r="AB57" s="34"/>
      <c r="AC57" s="34"/>
      <c r="AD57" s="39"/>
      <c r="AE57" s="39"/>
      <c r="AF57" s="38">
        <f>S57/(concentrate_grade!$F$4/100)</f>
        <v>15666.666666666668</v>
      </c>
      <c r="AG57" s="38">
        <f>T57/(concentrate_grade!$F$6/100)</f>
        <v>49375</v>
      </c>
      <c r="AH57" s="39"/>
      <c r="AI57" s="39"/>
      <c r="AJ57" s="39"/>
      <c r="AK57" s="39"/>
      <c r="AL57" s="39"/>
      <c r="AM57" s="39"/>
      <c r="AN57" s="39"/>
      <c r="AO57" s="39"/>
      <c r="AP57" s="39"/>
      <c r="AQ57" s="43">
        <f>Q57*prices!$C$4</f>
        <v>0</v>
      </c>
      <c r="AR57" s="43">
        <f>R57*prices!$C$11</f>
        <v>0</v>
      </c>
      <c r="AS57" s="43">
        <f>S57*prices!$C$3</f>
        <v>32430</v>
      </c>
      <c r="AT57" s="43">
        <f>T57*prices!$C$8</f>
        <v>123161</v>
      </c>
      <c r="AU57" s="43">
        <f>U57*prices!$C$2</f>
        <v>0</v>
      </c>
      <c r="AV57" s="43">
        <f>V57*prices!$C$7</f>
        <v>0</v>
      </c>
      <c r="AW57" s="43">
        <f>W57*prices!$C$13</f>
        <v>0</v>
      </c>
      <c r="AX57" s="43">
        <f>X57*prices!$C$6</f>
        <v>0</v>
      </c>
      <c r="AY57" s="43">
        <f>Y57*prices!$C$5</f>
        <v>0</v>
      </c>
      <c r="AZ57" s="43">
        <f>Z57*prices!$C$9</f>
        <v>0</v>
      </c>
      <c r="BA57" s="43">
        <f>AB57*prices!$C$12</f>
        <v>0</v>
      </c>
      <c r="BB57" s="43">
        <f>AC57*prices!$C$14</f>
        <v>0</v>
      </c>
      <c r="BC57" s="23">
        <f t="shared" si="0"/>
        <v>155591</v>
      </c>
      <c r="BD57" s="24">
        <f t="shared" si="1"/>
        <v>0</v>
      </c>
      <c r="BE57" s="25">
        <f t="shared" si="2"/>
        <v>0.20843107891844645</v>
      </c>
      <c r="BF57" t="s">
        <v>1396</v>
      </c>
    </row>
    <row r="58" spans="1:58" x14ac:dyDescent="0.25">
      <c r="A58" s="18" t="s">
        <v>533</v>
      </c>
      <c r="B58" t="s">
        <v>403</v>
      </c>
      <c r="C58" t="s">
        <v>404</v>
      </c>
      <c r="D58" t="s">
        <v>405</v>
      </c>
      <c r="E58" t="s">
        <v>437</v>
      </c>
      <c r="F58" s="19" t="s">
        <v>435</v>
      </c>
      <c r="G58" s="18" t="s">
        <v>98</v>
      </c>
      <c r="H58" t="s">
        <v>1454</v>
      </c>
      <c r="I58" t="s">
        <v>1421</v>
      </c>
      <c r="L58" s="19" t="s">
        <v>406</v>
      </c>
      <c r="M58" t="s">
        <v>1396</v>
      </c>
      <c r="N58" s="48">
        <f>prod_table_raw!N259</f>
        <v>414000</v>
      </c>
      <c r="O58" s="49">
        <f t="shared" si="3"/>
        <v>65530.833333333336</v>
      </c>
      <c r="P58" s="49">
        <f t="shared" si="4"/>
        <v>348469.16666666669</v>
      </c>
      <c r="Q58" s="34"/>
      <c r="R58" s="34"/>
      <c r="S58" s="34">
        <f>prod_table_raw!N258</f>
        <v>7783</v>
      </c>
      <c r="T58" s="34">
        <f>prod_table_raw!N257</f>
        <v>6334</v>
      </c>
      <c r="U58" s="34"/>
      <c r="V58" s="34"/>
      <c r="W58" s="34"/>
      <c r="X58" s="34"/>
      <c r="Y58" s="34"/>
      <c r="Z58" s="34"/>
      <c r="AA58" s="34"/>
      <c r="AB58" s="34"/>
      <c r="AC58" s="34"/>
      <c r="AD58" s="39"/>
      <c r="AE58" s="39"/>
      <c r="AF58" s="38">
        <f>S58/(concentrate_grade!$F$4/100)</f>
        <v>25943.333333333336</v>
      </c>
      <c r="AG58" s="38">
        <f>T58/(concentrate_grade!$F$6/100)</f>
        <v>39587.5</v>
      </c>
      <c r="AH58" s="39"/>
      <c r="AI58" s="39"/>
      <c r="AJ58" s="39"/>
      <c r="AK58" s="39"/>
      <c r="AL58" s="39"/>
      <c r="AM58" s="39"/>
      <c r="AN58" s="39"/>
      <c r="AO58" s="39"/>
      <c r="AP58" s="39"/>
      <c r="AQ58" s="43">
        <f>Q58*prices!$C$4</f>
        <v>0</v>
      </c>
      <c r="AR58" s="43">
        <f>R58*prices!$C$11</f>
        <v>0</v>
      </c>
      <c r="AS58" s="43">
        <f>S58*prices!$C$3</f>
        <v>53702.700000000004</v>
      </c>
      <c r="AT58" s="43">
        <f>T58*prices!$C$8</f>
        <v>98747.06</v>
      </c>
      <c r="AU58" s="43">
        <f>U58*prices!$C$2</f>
        <v>0</v>
      </c>
      <c r="AV58" s="43">
        <f>V58*prices!$C$7</f>
        <v>0</v>
      </c>
      <c r="AW58" s="43">
        <f>W58*prices!$C$13</f>
        <v>0</v>
      </c>
      <c r="AX58" s="43">
        <f>X58*prices!$C$6</f>
        <v>0</v>
      </c>
      <c r="AY58" s="43">
        <f>Y58*prices!$C$5</f>
        <v>0</v>
      </c>
      <c r="AZ58" s="43">
        <f>Z58*prices!$C$9</f>
        <v>0</v>
      </c>
      <c r="BA58" s="43">
        <f>AB58*prices!$C$12</f>
        <v>0</v>
      </c>
      <c r="BB58" s="43">
        <f>AC58*prices!$C$14</f>
        <v>0</v>
      </c>
      <c r="BC58" s="23">
        <f t="shared" si="0"/>
        <v>152449.76</v>
      </c>
      <c r="BD58" s="24">
        <f t="shared" si="1"/>
        <v>0</v>
      </c>
      <c r="BE58" s="25">
        <f t="shared" si="2"/>
        <v>0.35226490353280976</v>
      </c>
      <c r="BF58" t="s">
        <v>1396</v>
      </c>
    </row>
    <row r="59" spans="1:58" x14ac:dyDescent="0.25">
      <c r="A59" s="18" t="s">
        <v>409</v>
      </c>
      <c r="C59" t="s">
        <v>410</v>
      </c>
      <c r="E59" t="s">
        <v>439</v>
      </c>
      <c r="F59" s="19" t="s">
        <v>540</v>
      </c>
      <c r="G59" s="18" t="s">
        <v>71</v>
      </c>
      <c r="H59" t="s">
        <v>1415</v>
      </c>
      <c r="I59" t="s">
        <v>1419</v>
      </c>
      <c r="L59" s="19" t="s">
        <v>412</v>
      </c>
      <c r="M59" t="s">
        <v>1394</v>
      </c>
      <c r="N59" s="48"/>
      <c r="O59" s="49">
        <f t="shared" si="3"/>
        <v>0</v>
      </c>
      <c r="P59" s="49">
        <f t="shared" si="4"/>
        <v>0</v>
      </c>
      <c r="Q59" s="34"/>
      <c r="R59" s="34"/>
      <c r="S59" s="34"/>
      <c r="T59" s="34"/>
      <c r="U59" s="34"/>
      <c r="V59" s="34"/>
      <c r="W59" s="34">
        <f>prod_table_raw!N262</f>
        <v>256000</v>
      </c>
      <c r="X59" s="34"/>
      <c r="Y59" s="34"/>
      <c r="Z59" s="34"/>
      <c r="AA59" s="34"/>
      <c r="AB59" s="34"/>
      <c r="AC59" s="34"/>
      <c r="AD59" s="39"/>
      <c r="AE59" s="39"/>
      <c r="AF59" s="38">
        <f>S59/(concentrate_grade!$F$4/100)</f>
        <v>0</v>
      </c>
      <c r="AG59" s="38">
        <f>T59/(concentrate_grade!$F$6/100)</f>
        <v>0</v>
      </c>
      <c r="AH59" s="39"/>
      <c r="AI59" s="39"/>
      <c r="AJ59" s="39"/>
      <c r="AK59" s="39"/>
      <c r="AL59" s="39"/>
      <c r="AM59" s="39"/>
      <c r="AN59" s="39"/>
      <c r="AO59" s="39"/>
      <c r="AP59" s="39"/>
      <c r="AQ59" s="43">
        <f>Q59*prices!$C$4</f>
        <v>0</v>
      </c>
      <c r="AR59" s="43">
        <f>R59*prices!$C$11</f>
        <v>0</v>
      </c>
      <c r="AS59" s="43">
        <f>S59*prices!$C$3</f>
        <v>0</v>
      </c>
      <c r="AT59" s="43">
        <f>T59*prices!$C$8</f>
        <v>0</v>
      </c>
      <c r="AU59" s="43">
        <f>U59*prices!$C$2</f>
        <v>0</v>
      </c>
      <c r="AV59" s="43">
        <f>V59*prices!$C$7</f>
        <v>0</v>
      </c>
      <c r="AW59" s="43">
        <f>W59*prices!$C$13</f>
        <v>660304.52203054563</v>
      </c>
      <c r="AX59" s="43">
        <f>X59*prices!$C$6</f>
        <v>0</v>
      </c>
      <c r="AY59" s="43">
        <f>Y59*prices!$C$5</f>
        <v>0</v>
      </c>
      <c r="AZ59" s="43">
        <f>Z59*prices!$C$9</f>
        <v>0</v>
      </c>
      <c r="BA59" s="43">
        <f>AB59*prices!$C$12</f>
        <v>0</v>
      </c>
      <c r="BB59" s="43">
        <f>AC59*prices!$C$14</f>
        <v>0</v>
      </c>
      <c r="BC59" s="23">
        <f t="shared" si="0"/>
        <v>660304.52203054563</v>
      </c>
      <c r="BD59" s="24">
        <f t="shared" si="1"/>
        <v>0</v>
      </c>
      <c r="BE59" s="25">
        <f t="shared" si="2"/>
        <v>0</v>
      </c>
      <c r="BF59" t="s">
        <v>1394</v>
      </c>
    </row>
    <row r="60" spans="1:58" x14ac:dyDescent="0.25">
      <c r="A60" s="18" t="s">
        <v>419</v>
      </c>
      <c r="C60" t="s">
        <v>420</v>
      </c>
      <c r="E60" t="s">
        <v>442</v>
      </c>
      <c r="F60" s="19" t="s">
        <v>435</v>
      </c>
      <c r="G60" s="18" t="s">
        <v>91</v>
      </c>
      <c r="H60" t="s">
        <v>1454</v>
      </c>
      <c r="I60" t="s">
        <v>1426</v>
      </c>
      <c r="L60" s="19" t="s">
        <v>421</v>
      </c>
      <c r="M60" t="s">
        <v>1396</v>
      </c>
      <c r="N60" s="48">
        <f>prod_table_raw!N268</f>
        <v>794117.64705882303</v>
      </c>
      <c r="O60" s="49">
        <f t="shared" si="3"/>
        <v>116375</v>
      </c>
      <c r="P60" s="49">
        <f t="shared" si="4"/>
        <v>677742.64705882303</v>
      </c>
      <c r="Q60" s="34"/>
      <c r="R60" s="34"/>
      <c r="S60" s="34">
        <f>prod_table_raw!N266</f>
        <v>9600</v>
      </c>
      <c r="T60" s="34">
        <f>prod_table_raw!N267</f>
        <v>13500</v>
      </c>
      <c r="U60" s="34"/>
      <c r="V60" s="34"/>
      <c r="W60" s="34"/>
      <c r="X60" s="34"/>
      <c r="Y60" s="34"/>
      <c r="Z60" s="34"/>
      <c r="AA60" s="34"/>
      <c r="AB60" s="34"/>
      <c r="AC60" s="34"/>
      <c r="AD60" s="39"/>
      <c r="AE60" s="39"/>
      <c r="AF60" s="38">
        <f>S60/(concentrate_grade!$F$4/100)</f>
        <v>32000</v>
      </c>
      <c r="AG60" s="38">
        <f>T60/(concentrate_grade!$F$6/100)</f>
        <v>84375</v>
      </c>
      <c r="AH60" s="39"/>
      <c r="AI60" s="39"/>
      <c r="AJ60" s="39"/>
      <c r="AK60" s="39"/>
      <c r="AL60" s="39"/>
      <c r="AM60" s="39"/>
      <c r="AN60" s="39"/>
      <c r="AO60" s="39"/>
      <c r="AP60" s="39"/>
      <c r="AQ60" s="43">
        <f>Q60*prices!$C$4</f>
        <v>0</v>
      </c>
      <c r="AR60" s="43">
        <f>R60*prices!$C$11</f>
        <v>0</v>
      </c>
      <c r="AS60" s="43">
        <f>S60*prices!$C$3</f>
        <v>66240</v>
      </c>
      <c r="AT60" s="43">
        <f>T60*prices!$C$8</f>
        <v>210465</v>
      </c>
      <c r="AU60" s="43">
        <f>U60*prices!$C$2</f>
        <v>0</v>
      </c>
      <c r="AV60" s="43">
        <f>V60*prices!$C$7</f>
        <v>0</v>
      </c>
      <c r="AW60" s="43">
        <f>W60*prices!$C$13</f>
        <v>0</v>
      </c>
      <c r="AX60" s="43">
        <f>X60*prices!$C$6</f>
        <v>0</v>
      </c>
      <c r="AY60" s="43">
        <f>Y60*prices!$C$5</f>
        <v>0</v>
      </c>
      <c r="AZ60" s="43">
        <f>Z60*prices!$C$9</f>
        <v>0</v>
      </c>
      <c r="BA60" s="43">
        <f>AB60*prices!$C$12</f>
        <v>0</v>
      </c>
      <c r="BB60" s="43">
        <f>AC60*prices!$C$14</f>
        <v>0</v>
      </c>
      <c r="BC60" s="23">
        <f t="shared" si="0"/>
        <v>276705</v>
      </c>
      <c r="BD60" s="24">
        <f t="shared" si="1"/>
        <v>0</v>
      </c>
      <c r="BE60" s="25">
        <f t="shared" si="2"/>
        <v>0.2393885184582859</v>
      </c>
      <c r="BF60" t="s">
        <v>1396</v>
      </c>
    </row>
    <row r="61" spans="1:58" x14ac:dyDescent="0.25">
      <c r="A61" s="18" t="s">
        <v>423</v>
      </c>
      <c r="C61" t="s">
        <v>426</v>
      </c>
      <c r="E61" t="s">
        <v>436</v>
      </c>
      <c r="F61" s="19" t="s">
        <v>435</v>
      </c>
      <c r="G61" s="18" t="s">
        <v>64</v>
      </c>
      <c r="H61" t="s">
        <v>1401</v>
      </c>
      <c r="I61" t="s">
        <v>1428</v>
      </c>
      <c r="J61" t="s">
        <v>1417</v>
      </c>
      <c r="L61" s="19" t="s">
        <v>65</v>
      </c>
      <c r="M61" t="s">
        <v>1075</v>
      </c>
      <c r="N61" s="48">
        <f>prod_table_raw!N271</f>
        <v>1034000</v>
      </c>
      <c r="O61" s="49">
        <f t="shared" si="3"/>
        <v>0</v>
      </c>
      <c r="P61" s="49">
        <f t="shared" si="4"/>
        <v>1034000</v>
      </c>
      <c r="Q61" s="34">
        <f>prod_table_raw!N273</f>
        <v>2.8926254999999998</v>
      </c>
      <c r="R61" s="34">
        <f>prod_table_raw!N274</f>
        <v>1.1431780389999999</v>
      </c>
      <c r="S61" s="34"/>
      <c r="T61" s="34"/>
      <c r="U61" s="34"/>
      <c r="V61" s="34"/>
      <c r="W61" s="34"/>
      <c r="X61" s="34"/>
      <c r="Y61" s="34"/>
      <c r="Z61" s="34"/>
      <c r="AA61" s="34"/>
      <c r="AB61" s="34"/>
      <c r="AC61" s="34"/>
      <c r="AD61" s="39"/>
      <c r="AE61" s="39"/>
      <c r="AF61" s="38">
        <f>S61/(concentrate_grade!$F$4/100)</f>
        <v>0</v>
      </c>
      <c r="AG61" s="38">
        <f>T61/(concentrate_grade!$F$6/100)</f>
        <v>0</v>
      </c>
      <c r="AH61" s="39"/>
      <c r="AI61" s="39"/>
      <c r="AJ61" s="39"/>
      <c r="AK61" s="39"/>
      <c r="AL61" s="39"/>
      <c r="AM61" s="39"/>
      <c r="AN61" s="39"/>
      <c r="AO61" s="39"/>
      <c r="AP61" s="39"/>
      <c r="AQ61" s="43">
        <f>Q61*prices!$C$4</f>
        <v>149818.1430259425</v>
      </c>
      <c r="AR61" s="43">
        <f>R61*prices!$C$11</f>
        <v>768.36425535306989</v>
      </c>
      <c r="AS61" s="43">
        <f>S61*prices!$C$3</f>
        <v>0</v>
      </c>
      <c r="AT61" s="43">
        <f>T61*prices!$C$8</f>
        <v>0</v>
      </c>
      <c r="AU61" s="43">
        <f>U61*prices!$C$2</f>
        <v>0</v>
      </c>
      <c r="AV61" s="43">
        <f>V61*prices!$C$7</f>
        <v>0</v>
      </c>
      <c r="AW61" s="43">
        <f>W61*prices!$C$13</f>
        <v>0</v>
      </c>
      <c r="AX61" s="43">
        <f>X61*prices!$C$6</f>
        <v>0</v>
      </c>
      <c r="AY61" s="43">
        <f>Y61*prices!$C$5</f>
        <v>0</v>
      </c>
      <c r="AZ61" s="43">
        <f>Z61*prices!$C$9</f>
        <v>0</v>
      </c>
      <c r="BA61" s="43">
        <f>AB61*prices!$C$12</f>
        <v>0</v>
      </c>
      <c r="BB61" s="43">
        <f>AC61*prices!$C$14</f>
        <v>0</v>
      </c>
      <c r="BC61" s="23">
        <f t="shared" si="0"/>
        <v>150586.50728129558</v>
      </c>
      <c r="BD61" s="24">
        <f t="shared" si="1"/>
        <v>0.99489752256543296</v>
      </c>
      <c r="BE61" s="25">
        <f t="shared" si="2"/>
        <v>0</v>
      </c>
      <c r="BF61" t="s">
        <v>1075</v>
      </c>
    </row>
    <row r="62" spans="1:58" x14ac:dyDescent="0.25">
      <c r="A62" s="18" t="s">
        <v>428</v>
      </c>
      <c r="C62" t="s">
        <v>429</v>
      </c>
      <c r="E62" t="s">
        <v>437</v>
      </c>
      <c r="F62" s="19" t="s">
        <v>435</v>
      </c>
      <c r="G62" s="18" t="s">
        <v>64</v>
      </c>
      <c r="H62" t="s">
        <v>1401</v>
      </c>
      <c r="I62" t="s">
        <v>1426</v>
      </c>
      <c r="J62" t="s">
        <v>1416</v>
      </c>
      <c r="L62" s="19" t="s">
        <v>115</v>
      </c>
      <c r="M62" t="s">
        <v>920</v>
      </c>
      <c r="N62" s="48">
        <f>prod_table_raw!N277</f>
        <v>2878047</v>
      </c>
      <c r="O62" s="49">
        <f t="shared" si="3"/>
        <v>0</v>
      </c>
      <c r="P62" s="49">
        <f t="shared" si="4"/>
        <v>2878047</v>
      </c>
      <c r="Q62" s="34">
        <f>prod_table_raw!N275</f>
        <v>5.7572578499999896</v>
      </c>
      <c r="R62" s="34"/>
      <c r="S62" s="34"/>
      <c r="T62" s="34"/>
      <c r="U62" s="34"/>
      <c r="V62" s="34"/>
      <c r="W62" s="34"/>
      <c r="X62" s="34"/>
      <c r="Y62" s="34"/>
      <c r="Z62" s="34"/>
      <c r="AA62" s="34"/>
      <c r="AB62" s="34"/>
      <c r="AC62" s="34"/>
      <c r="AD62" s="39"/>
      <c r="AE62" s="39"/>
      <c r="AF62" s="38">
        <f>S62/(concentrate_grade!$F$4/100)</f>
        <v>0</v>
      </c>
      <c r="AG62" s="38">
        <f>T62/(concentrate_grade!$F$6/100)</f>
        <v>0</v>
      </c>
      <c r="AH62" s="39"/>
      <c r="AI62" s="39"/>
      <c r="AJ62" s="39"/>
      <c r="AK62" s="39"/>
      <c r="AL62" s="39"/>
      <c r="AM62" s="39"/>
      <c r="AN62" s="39"/>
      <c r="AO62" s="39"/>
      <c r="AP62" s="39"/>
      <c r="AQ62" s="43">
        <f>Q62*prices!$C$4</f>
        <v>298186.43305485923</v>
      </c>
      <c r="AR62" s="43">
        <f>R62*prices!$C$11</f>
        <v>0</v>
      </c>
      <c r="AS62" s="43">
        <f>S62*prices!$C$3</f>
        <v>0</v>
      </c>
      <c r="AT62" s="43">
        <f>T62*prices!$C$8</f>
        <v>0</v>
      </c>
      <c r="AU62" s="43">
        <f>U62*prices!$C$2</f>
        <v>0</v>
      </c>
      <c r="AV62" s="43">
        <f>V62*prices!$C$7</f>
        <v>0</v>
      </c>
      <c r="AW62" s="43">
        <f>W62*prices!$C$13</f>
        <v>0</v>
      </c>
      <c r="AX62" s="43">
        <f>X62*prices!$C$6</f>
        <v>0</v>
      </c>
      <c r="AY62" s="43">
        <f>Y62*prices!$C$5</f>
        <v>0</v>
      </c>
      <c r="AZ62" s="43">
        <f>Z62*prices!$C$9</f>
        <v>0</v>
      </c>
      <c r="BA62" s="43">
        <f>AB62*prices!$C$12</f>
        <v>0</v>
      </c>
      <c r="BB62" s="43">
        <f>AC62*prices!$C$14</f>
        <v>0</v>
      </c>
      <c r="BC62" s="23">
        <f t="shared" si="0"/>
        <v>298186.43305485923</v>
      </c>
      <c r="BD62" s="24">
        <f t="shared" si="1"/>
        <v>1</v>
      </c>
      <c r="BE62" s="25">
        <f t="shared" si="2"/>
        <v>0</v>
      </c>
      <c r="BF62" t="s">
        <v>920</v>
      </c>
    </row>
    <row r="63" spans="1:58" x14ac:dyDescent="0.25">
      <c r="A63" s="18"/>
      <c r="B63" t="s">
        <v>273</v>
      </c>
      <c r="D63" t="s">
        <v>275</v>
      </c>
      <c r="E63" t="s">
        <v>434</v>
      </c>
      <c r="F63" s="19" t="s">
        <v>435</v>
      </c>
      <c r="G63" s="18" t="s">
        <v>324</v>
      </c>
      <c r="H63" t="s">
        <v>1401</v>
      </c>
      <c r="I63" t="s">
        <v>1426</v>
      </c>
      <c r="J63" t="s">
        <v>1416</v>
      </c>
      <c r="L63" s="19" t="s">
        <v>115</v>
      </c>
      <c r="M63" t="s">
        <v>1075</v>
      </c>
      <c r="N63" s="48">
        <f>prod_table_raw!N160</f>
        <v>3842649.0057279998</v>
      </c>
      <c r="O63" s="49">
        <f t="shared" si="3"/>
        <v>0</v>
      </c>
      <c r="P63" s="49">
        <f t="shared" si="4"/>
        <v>3842649.0057279998</v>
      </c>
      <c r="Q63" s="34">
        <f>prod_table_raw!N161</f>
        <v>13.426311830047601</v>
      </c>
      <c r="R63" s="34">
        <f>prod_table_raw!N162</f>
        <v>3.8879375</v>
      </c>
      <c r="S63" s="34"/>
      <c r="T63" s="34"/>
      <c r="U63" s="34"/>
      <c r="V63" s="34"/>
      <c r="W63" s="34"/>
      <c r="X63" s="34"/>
      <c r="Y63" s="34"/>
      <c r="Z63" s="34"/>
      <c r="AA63" s="34"/>
      <c r="AB63" s="34"/>
      <c r="AC63" s="34"/>
      <c r="AD63" s="39"/>
      <c r="AE63" s="39"/>
      <c r="AF63" s="38">
        <f>S63/(concentrate_grade!$F$4/100)</f>
        <v>0</v>
      </c>
      <c r="AG63" s="38">
        <f>T63/(concentrate_grade!$F$6/100)</f>
        <v>0</v>
      </c>
      <c r="AH63" s="39"/>
      <c r="AI63" s="39"/>
      <c r="AJ63" s="39"/>
      <c r="AK63" s="39"/>
      <c r="AL63" s="39"/>
      <c r="AM63" s="39"/>
      <c r="AN63" s="39"/>
      <c r="AO63" s="39"/>
      <c r="AP63" s="39"/>
      <c r="AQ63" s="43">
        <f>Q63*prices!$C$4</f>
        <v>695390.78116575244</v>
      </c>
      <c r="AR63" s="43">
        <f>R63*prices!$C$11</f>
        <v>2613.1994318749998</v>
      </c>
      <c r="AS63" s="43">
        <f>S63*prices!$C$3</f>
        <v>0</v>
      </c>
      <c r="AT63" s="43">
        <f>T63*prices!$C$8</f>
        <v>0</v>
      </c>
      <c r="AU63" s="43">
        <f>U63*prices!$C$2</f>
        <v>0</v>
      </c>
      <c r="AV63" s="43">
        <f>V63*prices!$C$7</f>
        <v>0</v>
      </c>
      <c r="AW63" s="43">
        <f>W63*prices!$C$13</f>
        <v>0</v>
      </c>
      <c r="AX63" s="43">
        <f>X63*prices!$C$6</f>
        <v>0</v>
      </c>
      <c r="AY63" s="43">
        <f>Y63*prices!$C$5</f>
        <v>0</v>
      </c>
      <c r="AZ63" s="43">
        <f>Z63*prices!$C$9</f>
        <v>0</v>
      </c>
      <c r="BA63" s="43">
        <f>AB63*prices!$C$12</f>
        <v>0</v>
      </c>
      <c r="BB63" s="43">
        <f>AC63*prices!$C$14</f>
        <v>0</v>
      </c>
      <c r="BC63" s="23">
        <f t="shared" si="0"/>
        <v>698003.98059762747</v>
      </c>
      <c r="BD63" s="24">
        <f t="shared" si="1"/>
        <v>0.99625618262285898</v>
      </c>
      <c r="BE63" s="25">
        <f t="shared" si="2"/>
        <v>0</v>
      </c>
      <c r="BF63" t="s">
        <v>1075</v>
      </c>
    </row>
    <row r="64" spans="1:58" x14ac:dyDescent="0.25">
      <c r="A64" s="18"/>
      <c r="B64" t="s">
        <v>191</v>
      </c>
      <c r="D64" t="s">
        <v>193</v>
      </c>
      <c r="E64" t="s">
        <v>437</v>
      </c>
      <c r="F64" s="19" t="s">
        <v>435</v>
      </c>
      <c r="G64" s="18" t="s">
        <v>324</v>
      </c>
      <c r="H64" t="s">
        <v>1401</v>
      </c>
      <c r="I64" t="s">
        <v>1426</v>
      </c>
      <c r="J64" t="s">
        <v>1417</v>
      </c>
      <c r="L64" s="19" t="s">
        <v>115</v>
      </c>
      <c r="M64" t="s">
        <v>920</v>
      </c>
      <c r="N64" s="48">
        <f>prod_table_raw!N101</f>
        <v>2911000</v>
      </c>
      <c r="O64" s="49">
        <f t="shared" si="3"/>
        <v>0</v>
      </c>
      <c r="P64" s="49">
        <f t="shared" si="4"/>
        <v>2911000</v>
      </c>
      <c r="Q64" s="34">
        <f>prod_table_raw!N100</f>
        <v>8.0869099999999996</v>
      </c>
      <c r="R64" s="34"/>
      <c r="S64" s="34"/>
      <c r="T64" s="34"/>
      <c r="U64" s="34"/>
      <c r="V64" s="34"/>
      <c r="W64" s="34"/>
      <c r="X64" s="34"/>
      <c r="Y64" s="34"/>
      <c r="Z64" s="34"/>
      <c r="AA64" s="34"/>
      <c r="AB64" s="34"/>
      <c r="AC64" s="34"/>
      <c r="AD64" s="39"/>
      <c r="AE64" s="39"/>
      <c r="AF64" s="38">
        <f>S64/(concentrate_grade!$F$4/100)</f>
        <v>0</v>
      </c>
      <c r="AG64" s="38">
        <f>T64/(concentrate_grade!$F$6/100)</f>
        <v>0</v>
      </c>
      <c r="AH64" s="39"/>
      <c r="AI64" s="39"/>
      <c r="AJ64" s="39"/>
      <c r="AK64" s="39"/>
      <c r="AL64" s="39"/>
      <c r="AM64" s="39"/>
      <c r="AN64" s="39"/>
      <c r="AO64" s="39"/>
      <c r="AP64" s="39"/>
      <c r="AQ64" s="43">
        <f>Q64*prices!$C$4</f>
        <v>418846.42136285</v>
      </c>
      <c r="AR64" s="43">
        <f>R64*prices!$C$11</f>
        <v>0</v>
      </c>
      <c r="AS64" s="43">
        <f>S64*prices!$C$3</f>
        <v>0</v>
      </c>
      <c r="AT64" s="43">
        <f>T64*prices!$C$8</f>
        <v>0</v>
      </c>
      <c r="AU64" s="43">
        <f>U64*prices!$C$2</f>
        <v>0</v>
      </c>
      <c r="AV64" s="43">
        <f>V64*prices!$C$7</f>
        <v>0</v>
      </c>
      <c r="AW64" s="43">
        <f>W64*prices!$C$13</f>
        <v>0</v>
      </c>
      <c r="AX64" s="43">
        <f>X64*prices!$C$6</f>
        <v>0</v>
      </c>
      <c r="AY64" s="43">
        <f>Y64*prices!$C$5</f>
        <v>0</v>
      </c>
      <c r="AZ64" s="43">
        <f>Z64*prices!$C$9</f>
        <v>0</v>
      </c>
      <c r="BA64" s="43">
        <f>AB64*prices!$C$12</f>
        <v>0</v>
      </c>
      <c r="BB64" s="43">
        <f>AC64*prices!$C$14</f>
        <v>0</v>
      </c>
      <c r="BC64" s="23">
        <f t="shared" si="0"/>
        <v>418846.42136285</v>
      </c>
      <c r="BD64" s="24">
        <f t="shared" si="1"/>
        <v>1</v>
      </c>
      <c r="BE64" s="25">
        <f t="shared" si="2"/>
        <v>0</v>
      </c>
      <c r="BF64" t="s">
        <v>920</v>
      </c>
    </row>
    <row r="65" spans="1:58" x14ac:dyDescent="0.25">
      <c r="A65" s="18"/>
      <c r="B65" t="s">
        <v>398</v>
      </c>
      <c r="D65" t="s">
        <v>402</v>
      </c>
      <c r="E65" t="s">
        <v>437</v>
      </c>
      <c r="F65" s="19" t="s">
        <v>435</v>
      </c>
      <c r="G65" s="18" t="s">
        <v>64</v>
      </c>
      <c r="H65" t="s">
        <v>1401</v>
      </c>
      <c r="I65" t="s">
        <v>1426</v>
      </c>
      <c r="J65" t="s">
        <v>1416</v>
      </c>
      <c r="L65" s="19" t="s">
        <v>115</v>
      </c>
      <c r="M65" t="s">
        <v>920</v>
      </c>
      <c r="N65" s="48">
        <f>prod_table_raw!N254</f>
        <v>1574000</v>
      </c>
      <c r="O65" s="49">
        <f t="shared" si="3"/>
        <v>0</v>
      </c>
      <c r="P65" s="49">
        <f t="shared" si="4"/>
        <v>1574000</v>
      </c>
      <c r="Q65" s="34">
        <f>prod_table_raw!N231</f>
        <v>1.2054783495000001</v>
      </c>
      <c r="R65" s="34"/>
      <c r="S65" s="34"/>
      <c r="T65" s="34"/>
      <c r="U65" s="34"/>
      <c r="V65" s="34"/>
      <c r="W65" s="34"/>
      <c r="X65" s="34"/>
      <c r="Y65" s="34"/>
      <c r="Z65" s="34"/>
      <c r="AA65" s="34"/>
      <c r="AB65" s="34"/>
      <c r="AC65" s="34"/>
      <c r="AD65" s="39"/>
      <c r="AE65" s="39"/>
      <c r="AF65" s="38">
        <f>S65/(concentrate_grade!$F$4/100)</f>
        <v>0</v>
      </c>
      <c r="AG65" s="38">
        <f>T65/(concentrate_grade!$F$6/100)</f>
        <v>0</v>
      </c>
      <c r="AH65" s="39"/>
      <c r="AI65" s="39"/>
      <c r="AJ65" s="39"/>
      <c r="AK65" s="39"/>
      <c r="AL65" s="39"/>
      <c r="AM65" s="39"/>
      <c r="AN65" s="39"/>
      <c r="AO65" s="39"/>
      <c r="AP65" s="39"/>
      <c r="AQ65" s="43">
        <f>Q65*prices!$C$4</f>
        <v>62435.502895230689</v>
      </c>
      <c r="AR65" s="43">
        <f>R65*prices!$C$11</f>
        <v>0</v>
      </c>
      <c r="AS65" s="43">
        <f>S65*prices!$C$3</f>
        <v>0</v>
      </c>
      <c r="AT65" s="43">
        <f>T65*prices!$C$8</f>
        <v>0</v>
      </c>
      <c r="AU65" s="43">
        <f>U65*prices!$C$2</f>
        <v>0</v>
      </c>
      <c r="AV65" s="43">
        <f>V65*prices!$C$7</f>
        <v>0</v>
      </c>
      <c r="AW65" s="43">
        <f>W65*prices!$C$13</f>
        <v>0</v>
      </c>
      <c r="AX65" s="43">
        <f>X65*prices!$C$6</f>
        <v>0</v>
      </c>
      <c r="AY65" s="43">
        <f>Y65*prices!$C$5</f>
        <v>0</v>
      </c>
      <c r="AZ65" s="43">
        <f>Z65*prices!$C$9</f>
        <v>0</v>
      </c>
      <c r="BA65" s="43">
        <f>AB65*prices!$C$12</f>
        <v>0</v>
      </c>
      <c r="BB65" s="43">
        <f>AC65*prices!$C$14</f>
        <v>0</v>
      </c>
      <c r="BC65" s="23">
        <f t="shared" si="0"/>
        <v>62435.502895230689</v>
      </c>
      <c r="BD65" s="24">
        <f t="shared" si="1"/>
        <v>1</v>
      </c>
      <c r="BE65" s="25">
        <f t="shared" si="2"/>
        <v>0</v>
      </c>
      <c r="BF65" t="s">
        <v>920</v>
      </c>
    </row>
    <row r="66" spans="1:58" x14ac:dyDescent="0.25">
      <c r="A66" s="18"/>
      <c r="B66" t="s">
        <v>361</v>
      </c>
      <c r="D66" t="s">
        <v>365</v>
      </c>
      <c r="E66" t="s">
        <v>453</v>
      </c>
      <c r="F66" s="19" t="s">
        <v>435</v>
      </c>
      <c r="G66" s="18" t="s">
        <v>64</v>
      </c>
      <c r="H66" t="s">
        <v>1401</v>
      </c>
      <c r="I66" t="s">
        <v>1426</v>
      </c>
      <c r="J66" t="s">
        <v>1416</v>
      </c>
      <c r="L66" s="19" t="s">
        <v>115</v>
      </c>
      <c r="M66" t="s">
        <v>920</v>
      </c>
      <c r="N66" s="48">
        <f>prod_table_raw!N229</f>
        <v>122000</v>
      </c>
      <c r="O66" s="49">
        <f t="shared" si="3"/>
        <v>0</v>
      </c>
      <c r="P66" s="49">
        <f t="shared" si="4"/>
        <v>122000</v>
      </c>
      <c r="Q66" s="34"/>
      <c r="R66" s="34"/>
      <c r="S66" s="34"/>
      <c r="T66" s="34"/>
      <c r="U66" s="34"/>
      <c r="V66" s="34"/>
      <c r="W66" s="34"/>
      <c r="X66" s="34"/>
      <c r="Y66" s="34"/>
      <c r="Z66" s="34"/>
      <c r="AA66" s="34"/>
      <c r="AB66" s="34"/>
      <c r="AC66" s="34"/>
      <c r="AD66" s="39"/>
      <c r="AE66" s="39"/>
      <c r="AF66" s="38">
        <f>S66/(concentrate_grade!$F$4/100)</f>
        <v>0</v>
      </c>
      <c r="AG66" s="38">
        <f>T66/(concentrate_grade!$F$6/100)</f>
        <v>0</v>
      </c>
      <c r="AH66" s="39"/>
      <c r="AI66" s="39"/>
      <c r="AJ66" s="39"/>
      <c r="AK66" s="39"/>
      <c r="AL66" s="39"/>
      <c r="AM66" s="39"/>
      <c r="AN66" s="39"/>
      <c r="AO66" s="39"/>
      <c r="AP66" s="39"/>
      <c r="AQ66" s="43">
        <f>Q66*prices!$C$4</f>
        <v>0</v>
      </c>
      <c r="AR66" s="43">
        <f>R66*prices!$C$11</f>
        <v>0</v>
      </c>
      <c r="AS66" s="43">
        <f>S66*prices!$C$3</f>
        <v>0</v>
      </c>
      <c r="AT66" s="43">
        <f>T66*prices!$C$8</f>
        <v>0</v>
      </c>
      <c r="AU66" s="43">
        <f>U66*prices!$C$2</f>
        <v>0</v>
      </c>
      <c r="AV66" s="43">
        <f>V66*prices!$C$7</f>
        <v>0</v>
      </c>
      <c r="AW66" s="43">
        <f>W66*prices!$C$13</f>
        <v>0</v>
      </c>
      <c r="AX66" s="43">
        <f>X66*prices!$C$6</f>
        <v>0</v>
      </c>
      <c r="AY66" s="43">
        <f>Y66*prices!$C$5</f>
        <v>0</v>
      </c>
      <c r="AZ66" s="43">
        <f>Z66*prices!$C$9</f>
        <v>0</v>
      </c>
      <c r="BA66" s="43">
        <f>AB66*prices!$C$12</f>
        <v>0</v>
      </c>
      <c r="BB66" s="43">
        <f>AC66*prices!$C$14</f>
        <v>0</v>
      </c>
      <c r="BC66" s="23">
        <f t="shared" ref="BC66:BC67" si="5">SUM(AQ66:AZ66)</f>
        <v>0</v>
      </c>
      <c r="BD66" s="24" t="e">
        <f t="shared" ref="BD66:BD67" si="6">AQ66/BC66</f>
        <v>#DIV/0!</v>
      </c>
      <c r="BE66" s="25" t="e">
        <f t="shared" ref="BE66:BE67" si="7">AS66/BC66</f>
        <v>#DIV/0!</v>
      </c>
      <c r="BF66" t="s">
        <v>920</v>
      </c>
    </row>
    <row r="67" spans="1:58" ht="15.75" thickBot="1" x14ac:dyDescent="0.3">
      <c r="A67" s="20"/>
      <c r="B67" s="21" t="s">
        <v>222</v>
      </c>
      <c r="C67" s="21"/>
      <c r="D67" s="21" t="s">
        <v>224</v>
      </c>
      <c r="E67" s="21" t="s">
        <v>441</v>
      </c>
      <c r="F67" s="22" t="s">
        <v>435</v>
      </c>
      <c r="G67" s="20" t="s">
        <v>64</v>
      </c>
      <c r="H67" s="21" t="s">
        <v>1401</v>
      </c>
      <c r="I67" s="21" t="s">
        <v>1427</v>
      </c>
      <c r="J67" s="21" t="s">
        <v>1416</v>
      </c>
      <c r="K67" s="21"/>
      <c r="L67" s="22" t="s">
        <v>225</v>
      </c>
      <c r="M67" t="s">
        <v>1079</v>
      </c>
      <c r="N67" s="50">
        <f>prod_table_raw!N193+prod_table_raw!N130</f>
        <v>2123641</v>
      </c>
      <c r="O67" s="49">
        <f t="shared" ref="O67" si="8">SUM(AD67:AP67)</f>
        <v>40513.333333333336</v>
      </c>
      <c r="P67" s="49">
        <f t="shared" ref="P67" si="9">N67-O67</f>
        <v>2083127.6666666667</v>
      </c>
      <c r="Q67" s="35">
        <f>prod_table_raw!N232</f>
        <v>5.8276450705</v>
      </c>
      <c r="R67" s="35">
        <f>prod_table_raw!N233</f>
        <v>26.4915663305</v>
      </c>
      <c r="S67" s="35">
        <f>prod_table_raw!N235</f>
        <v>12154</v>
      </c>
      <c r="T67" s="35"/>
      <c r="U67" s="35"/>
      <c r="V67" s="35"/>
      <c r="W67" s="35">
        <f>prod_table_raw!N234</f>
        <v>34642</v>
      </c>
      <c r="X67" s="35"/>
      <c r="Y67" s="35"/>
      <c r="Z67" s="35"/>
      <c r="AA67" s="35"/>
      <c r="AB67" s="35"/>
      <c r="AC67" s="35"/>
      <c r="AD67" s="40"/>
      <c r="AE67" s="40"/>
      <c r="AF67" s="38">
        <f>S67/(concentrate_grade!$F$4/100)</f>
        <v>40513.333333333336</v>
      </c>
      <c r="AG67" s="38">
        <f>T67/(concentrate_grade!$F$6/100)</f>
        <v>0</v>
      </c>
      <c r="AH67" s="40"/>
      <c r="AI67" s="40"/>
      <c r="AJ67" s="40"/>
      <c r="AK67" s="40"/>
      <c r="AL67" s="40"/>
      <c r="AM67" s="40"/>
      <c r="AN67" s="40"/>
      <c r="AO67" s="40"/>
      <c r="AP67" s="40"/>
      <c r="AQ67" s="44">
        <f>Q67*prices!$C$4</f>
        <v>301832.00786849105</v>
      </c>
      <c r="AR67" s="44">
        <f>R67*prices!$C$11</f>
        <v>17805.776477718966</v>
      </c>
      <c r="AS67" s="44">
        <f>S67*prices!$C$3</f>
        <v>83862.600000000006</v>
      </c>
      <c r="AT67" s="44">
        <f>T67*prices!$C$8</f>
        <v>0</v>
      </c>
      <c r="AU67" s="44">
        <f>U67*prices!$C$2</f>
        <v>0</v>
      </c>
      <c r="AV67" s="44">
        <f>V67*prices!$C$7</f>
        <v>0</v>
      </c>
      <c r="AW67" s="44">
        <f>W67*prices!$C$13</f>
        <v>89352.614266336575</v>
      </c>
      <c r="AX67" s="44">
        <f>X67*prices!$C$6</f>
        <v>0</v>
      </c>
      <c r="AY67" s="44">
        <f>Y67*prices!$C$5</f>
        <v>0</v>
      </c>
      <c r="AZ67" s="44">
        <f>Z67*prices!$C$9</f>
        <v>0</v>
      </c>
      <c r="BA67" s="44">
        <f>AB67*prices!$C$12</f>
        <v>0</v>
      </c>
      <c r="BB67" s="44">
        <f>AC67*prices!$C$14</f>
        <v>0</v>
      </c>
      <c r="BC67" s="26">
        <f t="shared" si="5"/>
        <v>492852.99861254659</v>
      </c>
      <c r="BD67" s="27">
        <f t="shared" si="6"/>
        <v>0.61241791917304422</v>
      </c>
      <c r="BE67" s="28">
        <f t="shared" si="7"/>
        <v>0.17015743078785259</v>
      </c>
      <c r="BF67" t="s">
        <v>1079</v>
      </c>
    </row>
  </sheetData>
  <autoFilter ref="A1:BF67" xr:uid="{19A21E0B-06A8-4909-8999-69A6CC63874F}"/>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15"/>
  <sheetViews>
    <sheetView workbookViewId="0">
      <selection activeCell="A16" sqref="A16"/>
    </sheetView>
  </sheetViews>
  <sheetFormatPr baseColWidth="10" defaultColWidth="8.7109375" defaultRowHeight="15" x14ac:dyDescent="0.25"/>
  <cols>
    <col min="1" max="1" width="16.5703125" bestFit="1" customWidth="1"/>
    <col min="2" max="2" width="50.5703125" bestFit="1" customWidth="1"/>
  </cols>
  <sheetData>
    <row r="1" spans="1:3" x14ac:dyDescent="0.25">
      <c r="A1" t="s">
        <v>908</v>
      </c>
    </row>
    <row r="2" spans="1:3" x14ac:dyDescent="0.25">
      <c r="A2" t="s">
        <v>909</v>
      </c>
    </row>
    <row r="3" spans="1:3" x14ac:dyDescent="0.25">
      <c r="A3" t="s">
        <v>910</v>
      </c>
    </row>
    <row r="4" spans="1:3" x14ac:dyDescent="0.25">
      <c r="A4" t="s">
        <v>911</v>
      </c>
    </row>
    <row r="7" spans="1:3" x14ac:dyDescent="0.25">
      <c r="A7" s="1" t="s">
        <v>912</v>
      </c>
      <c r="B7" s="1" t="s">
        <v>913</v>
      </c>
      <c r="C7" s="1" t="s">
        <v>914</v>
      </c>
    </row>
    <row r="8" spans="1:3" x14ac:dyDescent="0.25">
      <c r="A8" t="s">
        <v>915</v>
      </c>
      <c r="B8" t="s">
        <v>932</v>
      </c>
      <c r="C8" t="s">
        <v>934</v>
      </c>
    </row>
    <row r="9" spans="1:3" x14ac:dyDescent="0.25">
      <c r="A9" t="s">
        <v>916</v>
      </c>
      <c r="B9" t="s">
        <v>933</v>
      </c>
      <c r="C9" t="s">
        <v>934</v>
      </c>
    </row>
    <row r="10" spans="1:3" x14ac:dyDescent="0.25">
      <c r="A10" t="s">
        <v>917</v>
      </c>
    </row>
    <row r="11" spans="1:3" x14ac:dyDescent="0.25">
      <c r="A11" t="s">
        <v>935</v>
      </c>
      <c r="B11" t="s">
        <v>936</v>
      </c>
    </row>
    <row r="15" spans="1:3" x14ac:dyDescent="0.25">
      <c r="A15" t="s">
        <v>1461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64214-080D-4E30-A7E8-7C2823AC0E88}">
  <dimension ref="A1:R126"/>
  <sheetViews>
    <sheetView workbookViewId="0">
      <selection activeCell="B2" sqref="B2"/>
    </sheetView>
  </sheetViews>
  <sheetFormatPr baseColWidth="10" defaultRowHeight="15" x14ac:dyDescent="0.25"/>
  <cols>
    <col min="2" max="2" width="17.85546875" bestFit="1" customWidth="1"/>
    <col min="3" max="3" width="17.42578125" bestFit="1" customWidth="1"/>
    <col min="4" max="4" width="29.7109375" bestFit="1" customWidth="1"/>
    <col min="5" max="5" width="32.28515625" bestFit="1" customWidth="1"/>
    <col min="6" max="6" width="32.28515625" customWidth="1"/>
    <col min="7" max="7" width="25.42578125" bestFit="1" customWidth="1"/>
    <col min="8" max="8" width="13.7109375" customWidth="1"/>
    <col min="9" max="9" width="32.85546875" bestFit="1" customWidth="1"/>
    <col min="10" max="10" width="44.42578125" bestFit="1" customWidth="1"/>
    <col min="11" max="11" width="67.85546875" bestFit="1" customWidth="1"/>
    <col min="12" max="12" width="21.5703125" customWidth="1"/>
    <col min="13" max="13" width="41" customWidth="1"/>
    <col min="14" max="14" width="118.42578125" bestFit="1" customWidth="1"/>
    <col min="15" max="15" width="13.7109375" customWidth="1"/>
    <col min="16" max="16" width="105.140625" customWidth="1"/>
    <col min="17" max="17" width="76.140625" bestFit="1" customWidth="1"/>
    <col min="18" max="18" width="11.28515625" bestFit="1" customWidth="1"/>
  </cols>
  <sheetData>
    <row r="1" spans="1:18" s="1" customFormat="1" x14ac:dyDescent="0.25">
      <c r="A1" s="1" t="s">
        <v>577</v>
      </c>
      <c r="B1" s="1" t="s">
        <v>0</v>
      </c>
      <c r="C1" s="1" t="s">
        <v>1</v>
      </c>
      <c r="D1" s="1" t="s">
        <v>2</v>
      </c>
      <c r="E1" s="1" t="s">
        <v>3</v>
      </c>
      <c r="G1" s="1" t="s">
        <v>430</v>
      </c>
      <c r="H1" s="1" t="s">
        <v>431</v>
      </c>
      <c r="I1" s="1" t="s">
        <v>16</v>
      </c>
      <c r="J1" s="1" t="s">
        <v>17</v>
      </c>
      <c r="K1" s="1" t="s">
        <v>557</v>
      </c>
      <c r="L1" s="1" t="s">
        <v>558</v>
      </c>
      <c r="M1" s="1" t="s">
        <v>559</v>
      </c>
      <c r="N1" s="1" t="s">
        <v>973</v>
      </c>
      <c r="O1" s="1" t="s">
        <v>980</v>
      </c>
      <c r="P1" s="1" t="s">
        <v>560</v>
      </c>
      <c r="Q1" s="1" t="s">
        <v>1155</v>
      </c>
      <c r="R1" s="1" t="s">
        <v>13</v>
      </c>
    </row>
    <row r="2" spans="1:18" x14ac:dyDescent="0.25">
      <c r="A2" t="s">
        <v>576</v>
      </c>
      <c r="B2" t="s">
        <v>463</v>
      </c>
      <c r="D2" t="s">
        <v>464</v>
      </c>
      <c r="G2" t="s">
        <v>538</v>
      </c>
      <c r="H2" t="s">
        <v>540</v>
      </c>
      <c r="I2" t="s">
        <v>105</v>
      </c>
      <c r="J2" t="s">
        <v>36</v>
      </c>
      <c r="K2" t="s">
        <v>553</v>
      </c>
    </row>
    <row r="3" spans="1:18" x14ac:dyDescent="0.25">
      <c r="A3" t="s">
        <v>576</v>
      </c>
      <c r="B3" t="s">
        <v>387</v>
      </c>
      <c r="D3" t="s">
        <v>390</v>
      </c>
      <c r="G3" t="s">
        <v>538</v>
      </c>
      <c r="H3" t="s">
        <v>540</v>
      </c>
      <c r="I3" t="s">
        <v>71</v>
      </c>
      <c r="J3" t="s">
        <v>391</v>
      </c>
      <c r="K3" t="s">
        <v>553</v>
      </c>
      <c r="M3" t="s">
        <v>556</v>
      </c>
      <c r="Q3" t="s">
        <v>1161</v>
      </c>
    </row>
    <row r="4" spans="1:18" x14ac:dyDescent="0.25">
      <c r="A4" t="s">
        <v>576</v>
      </c>
      <c r="B4" t="s">
        <v>516</v>
      </c>
      <c r="D4" t="s">
        <v>517</v>
      </c>
      <c r="G4" t="s">
        <v>439</v>
      </c>
      <c r="H4" t="s">
        <v>435</v>
      </c>
      <c r="I4" t="s">
        <v>98</v>
      </c>
      <c r="J4" t="s">
        <v>550</v>
      </c>
      <c r="K4" t="s">
        <v>553</v>
      </c>
      <c r="Q4" t="s">
        <v>1403</v>
      </c>
    </row>
    <row r="5" spans="1:18" x14ac:dyDescent="0.25">
      <c r="A5" t="s">
        <v>576</v>
      </c>
      <c r="B5" t="s">
        <v>409</v>
      </c>
      <c r="D5" t="s">
        <v>410</v>
      </c>
      <c r="G5" t="s">
        <v>439</v>
      </c>
      <c r="H5" t="s">
        <v>540</v>
      </c>
      <c r="I5" t="s">
        <v>411</v>
      </c>
      <c r="J5" t="s">
        <v>412</v>
      </c>
      <c r="K5" t="s">
        <v>553</v>
      </c>
      <c r="M5" t="s">
        <v>556</v>
      </c>
      <c r="N5" t="s">
        <v>976</v>
      </c>
    </row>
    <row r="6" spans="1:18" x14ac:dyDescent="0.25">
      <c r="A6" t="s">
        <v>576</v>
      </c>
      <c r="B6" t="s">
        <v>288</v>
      </c>
      <c r="D6" t="s">
        <v>291</v>
      </c>
      <c r="G6" t="s">
        <v>439</v>
      </c>
      <c r="H6" t="s">
        <v>435</v>
      </c>
      <c r="I6" t="s">
        <v>78</v>
      </c>
      <c r="J6" t="s">
        <v>292</v>
      </c>
      <c r="K6" t="s">
        <v>553</v>
      </c>
      <c r="M6" t="s">
        <v>556</v>
      </c>
      <c r="Q6" t="s">
        <v>1156</v>
      </c>
    </row>
    <row r="7" spans="1:18" x14ac:dyDescent="0.25">
      <c r="A7" t="s">
        <v>576</v>
      </c>
      <c r="B7" t="s">
        <v>139</v>
      </c>
      <c r="D7" t="s">
        <v>142</v>
      </c>
      <c r="G7" t="s">
        <v>439</v>
      </c>
      <c r="H7" t="s">
        <v>435</v>
      </c>
      <c r="I7" t="s">
        <v>57</v>
      </c>
      <c r="J7" t="s">
        <v>115</v>
      </c>
      <c r="K7" t="s">
        <v>1154</v>
      </c>
      <c r="Q7" t="s">
        <v>1401</v>
      </c>
    </row>
    <row r="8" spans="1:18" x14ac:dyDescent="0.25">
      <c r="A8" t="s">
        <v>576</v>
      </c>
      <c r="B8" t="s">
        <v>109</v>
      </c>
      <c r="D8" t="s">
        <v>112</v>
      </c>
      <c r="G8" t="s">
        <v>439</v>
      </c>
      <c r="H8" t="s">
        <v>435</v>
      </c>
      <c r="I8" t="s">
        <v>78</v>
      </c>
      <c r="J8" t="s">
        <v>113</v>
      </c>
      <c r="K8" t="s">
        <v>554</v>
      </c>
      <c r="M8" t="s">
        <v>971</v>
      </c>
      <c r="Q8" t="s">
        <v>1403</v>
      </c>
    </row>
    <row r="9" spans="1:18" x14ac:dyDescent="0.25">
      <c r="A9" t="s">
        <v>576</v>
      </c>
      <c r="B9" t="s">
        <v>167</v>
      </c>
      <c r="D9" t="s">
        <v>170</v>
      </c>
      <c r="G9" t="s">
        <v>439</v>
      </c>
      <c r="H9" t="s">
        <v>435</v>
      </c>
      <c r="I9" t="s">
        <v>78</v>
      </c>
      <c r="J9" t="s">
        <v>171</v>
      </c>
      <c r="K9" t="s">
        <v>554</v>
      </c>
      <c r="M9" t="s">
        <v>556</v>
      </c>
      <c r="N9" t="s">
        <v>975</v>
      </c>
      <c r="Q9" t="s">
        <v>1403</v>
      </c>
    </row>
    <row r="10" spans="1:18" x14ac:dyDescent="0.25">
      <c r="A10" t="s">
        <v>576</v>
      </c>
      <c r="B10" t="s">
        <v>60</v>
      </c>
      <c r="D10" t="s">
        <v>63</v>
      </c>
      <c r="G10" t="s">
        <v>439</v>
      </c>
      <c r="H10" t="s">
        <v>435</v>
      </c>
      <c r="I10" t="s">
        <v>64</v>
      </c>
      <c r="J10" t="s">
        <v>65</v>
      </c>
      <c r="K10" t="s">
        <v>554</v>
      </c>
      <c r="M10" t="s">
        <v>967</v>
      </c>
      <c r="N10" t="s">
        <v>974</v>
      </c>
    </row>
    <row r="11" spans="1:18" x14ac:dyDescent="0.25">
      <c r="A11" t="s">
        <v>576</v>
      </c>
      <c r="B11" t="s">
        <v>340</v>
      </c>
      <c r="D11" t="s">
        <v>341</v>
      </c>
      <c r="G11" t="s">
        <v>439</v>
      </c>
      <c r="H11" t="s">
        <v>435</v>
      </c>
      <c r="I11" t="s">
        <v>78</v>
      </c>
      <c r="J11" t="s">
        <v>292</v>
      </c>
      <c r="K11" t="s">
        <v>554</v>
      </c>
      <c r="M11" t="s">
        <v>556</v>
      </c>
      <c r="Q11" t="s">
        <v>1403</v>
      </c>
    </row>
    <row r="12" spans="1:18" x14ac:dyDescent="0.25">
      <c r="A12" t="s">
        <v>576</v>
      </c>
      <c r="B12" t="s">
        <v>297</v>
      </c>
      <c r="D12" t="s">
        <v>300</v>
      </c>
      <c r="G12" t="s">
        <v>439</v>
      </c>
      <c r="H12" t="s">
        <v>435</v>
      </c>
      <c r="I12" t="s">
        <v>64</v>
      </c>
      <c r="J12" t="s">
        <v>292</v>
      </c>
      <c r="K12" t="s">
        <v>554</v>
      </c>
      <c r="L12" t="s">
        <v>555</v>
      </c>
      <c r="M12" t="s">
        <v>968</v>
      </c>
      <c r="N12" t="s">
        <v>976</v>
      </c>
      <c r="Q12" t="s">
        <v>1403</v>
      </c>
    </row>
    <row r="13" spans="1:18" x14ac:dyDescent="0.25">
      <c r="A13" t="s">
        <v>576</v>
      </c>
      <c r="B13" t="s">
        <v>186</v>
      </c>
      <c r="D13" t="s">
        <v>188</v>
      </c>
      <c r="G13" t="s">
        <v>439</v>
      </c>
      <c r="H13" t="s">
        <v>435</v>
      </c>
      <c r="I13" t="s">
        <v>78</v>
      </c>
      <c r="J13" t="s">
        <v>189</v>
      </c>
      <c r="K13" t="s">
        <v>553</v>
      </c>
      <c r="M13" t="s">
        <v>556</v>
      </c>
      <c r="N13" t="s">
        <v>976</v>
      </c>
      <c r="Q13" t="s">
        <v>1403</v>
      </c>
    </row>
    <row r="14" spans="1:18" x14ac:dyDescent="0.25">
      <c r="A14" t="s">
        <v>576</v>
      </c>
      <c r="B14" t="s">
        <v>283</v>
      </c>
      <c r="D14" t="s">
        <v>286</v>
      </c>
      <c r="G14" t="s">
        <v>439</v>
      </c>
      <c r="H14" t="s">
        <v>435</v>
      </c>
      <c r="I14" t="s">
        <v>78</v>
      </c>
      <c r="J14" t="s">
        <v>113</v>
      </c>
      <c r="K14" t="s">
        <v>979</v>
      </c>
      <c r="M14" t="s">
        <v>968</v>
      </c>
      <c r="Q14" t="s">
        <v>1403</v>
      </c>
    </row>
    <row r="15" spans="1:18" x14ac:dyDescent="0.25">
      <c r="A15" t="s">
        <v>576</v>
      </c>
      <c r="B15" t="s">
        <v>367</v>
      </c>
      <c r="C15" t="s">
        <v>222</v>
      </c>
      <c r="D15" t="s">
        <v>368</v>
      </c>
      <c r="E15" t="s">
        <v>224</v>
      </c>
      <c r="G15" t="s">
        <v>441</v>
      </c>
      <c r="H15" t="s">
        <v>435</v>
      </c>
      <c r="I15" t="s">
        <v>264</v>
      </c>
      <c r="J15" t="s">
        <v>369</v>
      </c>
      <c r="K15" t="s">
        <v>554</v>
      </c>
      <c r="P15" t="s">
        <v>564</v>
      </c>
    </row>
    <row r="16" spans="1:18" x14ac:dyDescent="0.25">
      <c r="A16" t="s">
        <v>576</v>
      </c>
      <c r="B16" t="s">
        <v>487</v>
      </c>
      <c r="D16" t="s">
        <v>488</v>
      </c>
      <c r="G16" t="s">
        <v>441</v>
      </c>
      <c r="H16" t="s">
        <v>540</v>
      </c>
      <c r="I16" t="s">
        <v>105</v>
      </c>
      <c r="J16" t="s">
        <v>36</v>
      </c>
      <c r="K16" t="s">
        <v>553</v>
      </c>
    </row>
    <row r="17" spans="1:17" x14ac:dyDescent="0.25">
      <c r="A17" t="s">
        <v>576</v>
      </c>
      <c r="B17" t="s">
        <v>221</v>
      </c>
      <c r="C17" t="s">
        <v>222</v>
      </c>
      <c r="D17" t="s">
        <v>223</v>
      </c>
      <c r="E17" t="s">
        <v>224</v>
      </c>
      <c r="G17" t="s">
        <v>441</v>
      </c>
      <c r="H17" t="s">
        <v>435</v>
      </c>
      <c r="I17" t="s">
        <v>98</v>
      </c>
      <c r="J17" t="s">
        <v>225</v>
      </c>
      <c r="K17" t="s">
        <v>554</v>
      </c>
      <c r="P17" t="s">
        <v>564</v>
      </c>
    </row>
    <row r="18" spans="1:17" x14ac:dyDescent="0.25">
      <c r="A18" t="s">
        <v>576</v>
      </c>
      <c r="B18" t="s">
        <v>301</v>
      </c>
      <c r="C18" t="s">
        <v>222</v>
      </c>
      <c r="D18" t="s">
        <v>302</v>
      </c>
      <c r="E18" t="s">
        <v>224</v>
      </c>
      <c r="G18" t="s">
        <v>441</v>
      </c>
      <c r="H18" t="s">
        <v>435</v>
      </c>
      <c r="I18" t="s">
        <v>264</v>
      </c>
      <c r="J18" t="s">
        <v>303</v>
      </c>
      <c r="K18" t="s">
        <v>554</v>
      </c>
      <c r="P18" t="s">
        <v>564</v>
      </c>
    </row>
    <row r="19" spans="1:17" x14ac:dyDescent="0.25">
      <c r="A19" t="s">
        <v>576</v>
      </c>
      <c r="B19" t="s">
        <v>393</v>
      </c>
      <c r="D19" t="s">
        <v>395</v>
      </c>
      <c r="G19" t="s">
        <v>441</v>
      </c>
      <c r="H19" t="s">
        <v>435</v>
      </c>
      <c r="I19" t="s">
        <v>91</v>
      </c>
      <c r="J19" t="s">
        <v>396</v>
      </c>
      <c r="K19" t="s">
        <v>553</v>
      </c>
      <c r="M19" t="s">
        <v>556</v>
      </c>
      <c r="Q19" t="s">
        <v>1403</v>
      </c>
    </row>
    <row r="20" spans="1:17" x14ac:dyDescent="0.25">
      <c r="A20" t="s">
        <v>576</v>
      </c>
      <c r="B20" t="s">
        <v>419</v>
      </c>
      <c r="D20" t="s">
        <v>420</v>
      </c>
      <c r="G20" t="s">
        <v>442</v>
      </c>
      <c r="H20" t="s">
        <v>435</v>
      </c>
      <c r="I20" t="s">
        <v>91</v>
      </c>
      <c r="J20" t="s">
        <v>421</v>
      </c>
      <c r="K20" t="s">
        <v>553</v>
      </c>
      <c r="M20" t="s">
        <v>556</v>
      </c>
      <c r="Q20" t="s">
        <v>1403</v>
      </c>
    </row>
    <row r="21" spans="1:17" x14ac:dyDescent="0.25">
      <c r="A21" t="s">
        <v>576</v>
      </c>
      <c r="B21" t="s">
        <v>483</v>
      </c>
      <c r="D21" t="s">
        <v>484</v>
      </c>
      <c r="G21" t="s">
        <v>442</v>
      </c>
      <c r="H21" t="s">
        <v>435</v>
      </c>
      <c r="I21" t="s">
        <v>264</v>
      </c>
      <c r="J21" t="s">
        <v>546</v>
      </c>
      <c r="K21" t="s">
        <v>553</v>
      </c>
    </row>
    <row r="22" spans="1:17" x14ac:dyDescent="0.25">
      <c r="A22" t="s">
        <v>576</v>
      </c>
      <c r="B22" t="s">
        <v>357</v>
      </c>
      <c r="D22" t="s">
        <v>359</v>
      </c>
      <c r="G22" t="s">
        <v>442</v>
      </c>
      <c r="H22" t="s">
        <v>435</v>
      </c>
      <c r="I22" t="s">
        <v>78</v>
      </c>
      <c r="J22" t="s">
        <v>49</v>
      </c>
      <c r="K22" t="s">
        <v>554</v>
      </c>
      <c r="M22" t="s">
        <v>971</v>
      </c>
      <c r="Q22" t="s">
        <v>1407</v>
      </c>
    </row>
    <row r="23" spans="1:17" x14ac:dyDescent="0.25">
      <c r="A23" t="s">
        <v>576</v>
      </c>
      <c r="B23" t="s">
        <v>481</v>
      </c>
      <c r="D23" t="s">
        <v>482</v>
      </c>
      <c r="G23" t="s">
        <v>442</v>
      </c>
      <c r="H23" t="s">
        <v>435</v>
      </c>
      <c r="I23" t="s">
        <v>98</v>
      </c>
      <c r="J23" t="s">
        <v>113</v>
      </c>
      <c r="K23" t="s">
        <v>553</v>
      </c>
      <c r="Q23" t="s">
        <v>1403</v>
      </c>
    </row>
    <row r="24" spans="1:17" x14ac:dyDescent="0.25">
      <c r="A24" t="s">
        <v>576</v>
      </c>
      <c r="B24" t="s">
        <v>534</v>
      </c>
      <c r="D24" t="s">
        <v>535</v>
      </c>
      <c r="G24" t="s">
        <v>442</v>
      </c>
      <c r="H24" t="s">
        <v>540</v>
      </c>
      <c r="I24" t="s">
        <v>71</v>
      </c>
      <c r="J24" t="s">
        <v>421</v>
      </c>
      <c r="K24" t="s">
        <v>553</v>
      </c>
      <c r="M24" t="s">
        <v>556</v>
      </c>
      <c r="Q24" t="s">
        <v>1159</v>
      </c>
    </row>
    <row r="25" spans="1:17" x14ac:dyDescent="0.25">
      <c r="A25" t="s">
        <v>576</v>
      </c>
      <c r="B25" t="s">
        <v>82</v>
      </c>
      <c r="D25" t="s">
        <v>84</v>
      </c>
      <c r="G25" t="s">
        <v>442</v>
      </c>
      <c r="H25" t="s">
        <v>435</v>
      </c>
      <c r="I25" t="s">
        <v>78</v>
      </c>
      <c r="J25" t="s">
        <v>49</v>
      </c>
      <c r="K25" t="s">
        <v>978</v>
      </c>
      <c r="M25" t="s">
        <v>972</v>
      </c>
      <c r="Q25" t="s">
        <v>1404</v>
      </c>
    </row>
    <row r="26" spans="1:17" x14ac:dyDescent="0.25">
      <c r="A26" t="s">
        <v>576</v>
      </c>
      <c r="B26" t="s">
        <v>510</v>
      </c>
      <c r="C26" t="s">
        <v>512</v>
      </c>
      <c r="D26" t="s">
        <v>511</v>
      </c>
      <c r="E26" t="s">
        <v>513</v>
      </c>
      <c r="G26" t="s">
        <v>442</v>
      </c>
      <c r="H26" t="s">
        <v>435</v>
      </c>
      <c r="I26" t="s">
        <v>57</v>
      </c>
      <c r="J26" t="s">
        <v>49</v>
      </c>
      <c r="K26" t="s">
        <v>553</v>
      </c>
      <c r="M26" t="s">
        <v>556</v>
      </c>
      <c r="P26" t="s">
        <v>570</v>
      </c>
      <c r="Q26" t="s">
        <v>1191</v>
      </c>
    </row>
    <row r="27" spans="1:17" x14ac:dyDescent="0.25">
      <c r="A27" t="s">
        <v>576</v>
      </c>
      <c r="B27" t="s">
        <v>121</v>
      </c>
      <c r="D27" t="s">
        <v>122</v>
      </c>
      <c r="G27" t="s">
        <v>539</v>
      </c>
      <c r="H27" t="s">
        <v>435</v>
      </c>
      <c r="I27" t="s">
        <v>123</v>
      </c>
      <c r="J27" t="s">
        <v>119</v>
      </c>
      <c r="K27" t="s">
        <v>553</v>
      </c>
    </row>
    <row r="28" spans="1:17" x14ac:dyDescent="0.25">
      <c r="A28" t="s">
        <v>576</v>
      </c>
      <c r="B28" t="s">
        <v>131</v>
      </c>
      <c r="D28" t="s">
        <v>133</v>
      </c>
      <c r="G28" t="s">
        <v>539</v>
      </c>
      <c r="H28" t="s">
        <v>435</v>
      </c>
      <c r="I28" t="s">
        <v>123</v>
      </c>
      <c r="J28" t="s">
        <v>119</v>
      </c>
      <c r="K28" t="s">
        <v>553</v>
      </c>
      <c r="M28" t="s">
        <v>556</v>
      </c>
    </row>
    <row r="29" spans="1:17" x14ac:dyDescent="0.25">
      <c r="A29" t="s">
        <v>576</v>
      </c>
      <c r="B29" t="s">
        <v>475</v>
      </c>
      <c r="D29" t="s">
        <v>476</v>
      </c>
      <c r="G29" t="s">
        <v>539</v>
      </c>
      <c r="H29" t="s">
        <v>435</v>
      </c>
      <c r="I29" t="s">
        <v>543</v>
      </c>
      <c r="J29" t="s">
        <v>119</v>
      </c>
      <c r="K29" t="s">
        <v>553</v>
      </c>
    </row>
    <row r="30" spans="1:17" x14ac:dyDescent="0.25">
      <c r="A30" t="s">
        <v>576</v>
      </c>
      <c r="B30" t="s">
        <v>432</v>
      </c>
      <c r="C30" t="s">
        <v>273</v>
      </c>
      <c r="D30" t="s">
        <v>433</v>
      </c>
      <c r="E30" t="s">
        <v>275</v>
      </c>
      <c r="G30" t="s">
        <v>434</v>
      </c>
      <c r="H30" t="s">
        <v>435</v>
      </c>
      <c r="I30" t="s">
        <v>324</v>
      </c>
      <c r="J30" t="s">
        <v>115</v>
      </c>
      <c r="K30" t="s">
        <v>554</v>
      </c>
      <c r="P30" t="s">
        <v>561</v>
      </c>
      <c r="Q30" t="s">
        <v>1401</v>
      </c>
    </row>
    <row r="31" spans="1:17" x14ac:dyDescent="0.25">
      <c r="A31" t="s">
        <v>576</v>
      </c>
      <c r="B31" t="s">
        <v>249</v>
      </c>
      <c r="D31" t="s">
        <v>251</v>
      </c>
      <c r="G31" t="s">
        <v>434</v>
      </c>
      <c r="H31" t="s">
        <v>435</v>
      </c>
      <c r="I31" t="s">
        <v>57</v>
      </c>
      <c r="J31" t="s">
        <v>49</v>
      </c>
      <c r="K31" t="s">
        <v>553</v>
      </c>
      <c r="M31" t="s">
        <v>970</v>
      </c>
      <c r="Q31" t="s">
        <v>1191</v>
      </c>
    </row>
    <row r="32" spans="1:17" x14ac:dyDescent="0.25">
      <c r="A32" t="s">
        <v>576</v>
      </c>
      <c r="B32" t="s">
        <v>438</v>
      </c>
      <c r="C32" t="s">
        <v>273</v>
      </c>
      <c r="D32" t="s">
        <v>274</v>
      </c>
      <c r="E32" t="s">
        <v>275</v>
      </c>
      <c r="G32" t="s">
        <v>434</v>
      </c>
      <c r="H32" t="s">
        <v>435</v>
      </c>
      <c r="I32" t="s">
        <v>264</v>
      </c>
      <c r="J32" t="s">
        <v>115</v>
      </c>
      <c r="K32" t="s">
        <v>554</v>
      </c>
      <c r="M32" t="s">
        <v>556</v>
      </c>
      <c r="P32" t="s">
        <v>561</v>
      </c>
      <c r="Q32" t="s">
        <v>1401</v>
      </c>
    </row>
    <row r="33" spans="1:17" x14ac:dyDescent="0.25">
      <c r="A33" t="s">
        <v>576</v>
      </c>
      <c r="B33" t="s">
        <v>277</v>
      </c>
      <c r="D33" t="s">
        <v>278</v>
      </c>
      <c r="G33" t="s">
        <v>434</v>
      </c>
      <c r="H33" t="s">
        <v>435</v>
      </c>
      <c r="I33" t="s">
        <v>91</v>
      </c>
      <c r="J33" t="s">
        <v>115</v>
      </c>
      <c r="K33" t="s">
        <v>554</v>
      </c>
      <c r="M33" t="s">
        <v>556</v>
      </c>
      <c r="N33" t="s">
        <v>985</v>
      </c>
      <c r="Q33" t="s">
        <v>1401</v>
      </c>
    </row>
    <row r="34" spans="1:17" x14ac:dyDescent="0.25">
      <c r="A34" t="s">
        <v>576</v>
      </c>
      <c r="B34" t="s">
        <v>504</v>
      </c>
      <c r="D34" t="s">
        <v>505</v>
      </c>
      <c r="G34" t="s">
        <v>437</v>
      </c>
      <c r="H34" t="s">
        <v>540</v>
      </c>
      <c r="I34" t="s">
        <v>541</v>
      </c>
      <c r="J34" t="s">
        <v>36</v>
      </c>
      <c r="K34" t="s">
        <v>553</v>
      </c>
    </row>
    <row r="35" spans="1:17" x14ac:dyDescent="0.25">
      <c r="A35" t="s">
        <v>576</v>
      </c>
      <c r="B35" t="s">
        <v>337</v>
      </c>
      <c r="D35" t="s">
        <v>338</v>
      </c>
      <c r="G35" t="s">
        <v>437</v>
      </c>
      <c r="H35" t="s">
        <v>435</v>
      </c>
      <c r="I35" t="s">
        <v>91</v>
      </c>
      <c r="J35" t="s">
        <v>65</v>
      </c>
      <c r="K35" t="s">
        <v>554</v>
      </c>
      <c r="L35" t="s">
        <v>555</v>
      </c>
      <c r="M35" t="s">
        <v>971</v>
      </c>
      <c r="N35" t="s">
        <v>976</v>
      </c>
      <c r="Q35" t="s">
        <v>1401</v>
      </c>
    </row>
    <row r="36" spans="1:17" x14ac:dyDescent="0.25">
      <c r="A36" t="s">
        <v>576</v>
      </c>
      <c r="B36" t="s">
        <v>443</v>
      </c>
      <c r="C36" t="s">
        <v>191</v>
      </c>
      <c r="D36" t="s">
        <v>444</v>
      </c>
      <c r="E36" t="s">
        <v>193</v>
      </c>
      <c r="G36" t="s">
        <v>437</v>
      </c>
      <c r="H36" t="s">
        <v>435</v>
      </c>
      <c r="I36" t="s">
        <v>324</v>
      </c>
      <c r="J36" t="s">
        <v>115</v>
      </c>
      <c r="K36" t="s">
        <v>554</v>
      </c>
      <c r="L36" t="s">
        <v>555</v>
      </c>
      <c r="P36" t="s">
        <v>563</v>
      </c>
    </row>
    <row r="37" spans="1:17" x14ac:dyDescent="0.25">
      <c r="A37" t="s">
        <v>576</v>
      </c>
      <c r="B37" t="s">
        <v>239</v>
      </c>
      <c r="D37" t="s">
        <v>240</v>
      </c>
      <c r="G37" t="s">
        <v>437</v>
      </c>
      <c r="H37" t="s">
        <v>435</v>
      </c>
      <c r="I37" t="s">
        <v>64</v>
      </c>
      <c r="J37" t="s">
        <v>65</v>
      </c>
      <c r="K37" t="s">
        <v>554</v>
      </c>
      <c r="M37" t="s">
        <v>556</v>
      </c>
      <c r="N37" t="s">
        <v>984</v>
      </c>
      <c r="Q37" s="14" t="s">
        <v>1400</v>
      </c>
    </row>
    <row r="38" spans="1:17" x14ac:dyDescent="0.25">
      <c r="A38" t="s">
        <v>576</v>
      </c>
      <c r="B38" t="s">
        <v>161</v>
      </c>
      <c r="C38" t="s">
        <v>162</v>
      </c>
      <c r="D38" t="s">
        <v>163</v>
      </c>
      <c r="E38" t="s">
        <v>164</v>
      </c>
      <c r="G38" t="s">
        <v>437</v>
      </c>
      <c r="H38" t="s">
        <v>435</v>
      </c>
      <c r="I38" t="s">
        <v>98</v>
      </c>
      <c r="J38" t="s">
        <v>165</v>
      </c>
      <c r="K38" t="s">
        <v>553</v>
      </c>
      <c r="P38" t="s">
        <v>574</v>
      </c>
      <c r="Q38" t="s">
        <v>1403</v>
      </c>
    </row>
    <row r="39" spans="1:17" x14ac:dyDescent="0.25">
      <c r="A39" t="s">
        <v>576</v>
      </c>
      <c r="B39" t="s">
        <v>489</v>
      </c>
      <c r="D39" t="s">
        <v>490</v>
      </c>
      <c r="G39" t="s">
        <v>437</v>
      </c>
      <c r="H39" t="s">
        <v>540</v>
      </c>
      <c r="I39" t="s">
        <v>105</v>
      </c>
      <c r="J39" t="s">
        <v>36</v>
      </c>
      <c r="K39" t="s">
        <v>553</v>
      </c>
    </row>
    <row r="40" spans="1:17" x14ac:dyDescent="0.25">
      <c r="A40" t="s">
        <v>576</v>
      </c>
      <c r="B40" t="s">
        <v>533</v>
      </c>
      <c r="C40" t="s">
        <v>403</v>
      </c>
      <c r="D40" t="s">
        <v>404</v>
      </c>
      <c r="E40" t="s">
        <v>405</v>
      </c>
      <c r="G40" t="s">
        <v>437</v>
      </c>
      <c r="H40" t="s">
        <v>435</v>
      </c>
      <c r="I40" t="s">
        <v>98</v>
      </c>
      <c r="J40" t="s">
        <v>406</v>
      </c>
      <c r="K40" t="s">
        <v>553</v>
      </c>
      <c r="P40" t="s">
        <v>573</v>
      </c>
      <c r="Q40" t="s">
        <v>1403</v>
      </c>
    </row>
    <row r="41" spans="1:17" x14ac:dyDescent="0.25">
      <c r="A41" t="s">
        <v>576</v>
      </c>
      <c r="B41" t="s">
        <v>531</v>
      </c>
      <c r="D41" t="s">
        <v>532</v>
      </c>
      <c r="G41" t="s">
        <v>437</v>
      </c>
      <c r="H41" t="s">
        <v>540</v>
      </c>
      <c r="I41" t="s">
        <v>71</v>
      </c>
      <c r="J41" t="s">
        <v>552</v>
      </c>
      <c r="K41" t="s">
        <v>553</v>
      </c>
      <c r="M41" t="s">
        <v>556</v>
      </c>
    </row>
    <row r="42" spans="1:17" x14ac:dyDescent="0.25">
      <c r="A42" t="s">
        <v>576</v>
      </c>
      <c r="B42" t="s">
        <v>518</v>
      </c>
      <c r="D42" t="s">
        <v>519</v>
      </c>
      <c r="G42" t="s">
        <v>437</v>
      </c>
      <c r="H42" t="s">
        <v>540</v>
      </c>
      <c r="I42" t="s">
        <v>105</v>
      </c>
      <c r="J42" t="s">
        <v>36</v>
      </c>
      <c r="K42" t="s">
        <v>553</v>
      </c>
    </row>
    <row r="43" spans="1:17" x14ac:dyDescent="0.25">
      <c r="A43" t="s">
        <v>576</v>
      </c>
      <c r="B43" t="s">
        <v>500</v>
      </c>
      <c r="D43" t="s">
        <v>501</v>
      </c>
      <c r="G43" t="s">
        <v>437</v>
      </c>
      <c r="H43" t="s">
        <v>435</v>
      </c>
      <c r="I43" t="s">
        <v>264</v>
      </c>
      <c r="J43" t="s">
        <v>115</v>
      </c>
      <c r="K43" t="s">
        <v>553</v>
      </c>
      <c r="M43" t="s">
        <v>556</v>
      </c>
      <c r="N43" t="s">
        <v>989</v>
      </c>
    </row>
    <row r="44" spans="1:17" x14ac:dyDescent="0.25">
      <c r="A44" t="s">
        <v>576</v>
      </c>
      <c r="B44" t="s">
        <v>376</v>
      </c>
      <c r="C44" t="s">
        <v>162</v>
      </c>
      <c r="D44" t="s">
        <v>377</v>
      </c>
      <c r="E44" t="s">
        <v>164</v>
      </c>
      <c r="G44" t="s">
        <v>437</v>
      </c>
      <c r="H44" t="s">
        <v>540</v>
      </c>
      <c r="I44" t="s">
        <v>378</v>
      </c>
      <c r="J44" t="s">
        <v>379</v>
      </c>
      <c r="K44" t="s">
        <v>553</v>
      </c>
      <c r="M44" t="s">
        <v>556</v>
      </c>
      <c r="P44" t="s">
        <v>574</v>
      </c>
      <c r="Q44" t="s">
        <v>1160</v>
      </c>
    </row>
    <row r="45" spans="1:17" x14ac:dyDescent="0.25">
      <c r="A45" t="s">
        <v>576</v>
      </c>
      <c r="B45" t="s">
        <v>529</v>
      </c>
      <c r="C45" t="s">
        <v>403</v>
      </c>
      <c r="D45" t="s">
        <v>530</v>
      </c>
      <c r="E45" t="s">
        <v>405</v>
      </c>
      <c r="G45" t="s">
        <v>437</v>
      </c>
      <c r="H45" t="s">
        <v>435</v>
      </c>
      <c r="I45" t="s">
        <v>98</v>
      </c>
      <c r="J45" t="s">
        <v>373</v>
      </c>
      <c r="K45" t="s">
        <v>553</v>
      </c>
      <c r="P45" t="s">
        <v>573</v>
      </c>
      <c r="Q45" t="s">
        <v>1403</v>
      </c>
    </row>
    <row r="46" spans="1:17" x14ac:dyDescent="0.25">
      <c r="A46" t="s">
        <v>576</v>
      </c>
      <c r="B46" t="s">
        <v>41</v>
      </c>
      <c r="D46" t="s">
        <v>43</v>
      </c>
      <c r="G46" t="s">
        <v>437</v>
      </c>
      <c r="H46" t="s">
        <v>540</v>
      </c>
      <c r="I46" t="s">
        <v>44</v>
      </c>
      <c r="J46" t="s">
        <v>36</v>
      </c>
      <c r="K46" t="s">
        <v>553</v>
      </c>
    </row>
    <row r="47" spans="1:17" x14ac:dyDescent="0.25">
      <c r="A47" t="s">
        <v>576</v>
      </c>
      <c r="B47" t="s">
        <v>156</v>
      </c>
      <c r="D47" t="s">
        <v>159</v>
      </c>
      <c r="G47" t="s">
        <v>437</v>
      </c>
      <c r="H47" t="s">
        <v>435</v>
      </c>
      <c r="I47" t="s">
        <v>91</v>
      </c>
      <c r="J47" t="s">
        <v>115</v>
      </c>
      <c r="K47" t="s">
        <v>553</v>
      </c>
      <c r="Q47" t="s">
        <v>1401</v>
      </c>
    </row>
    <row r="48" spans="1:17" x14ac:dyDescent="0.25">
      <c r="A48" t="s">
        <v>576</v>
      </c>
      <c r="B48" t="s">
        <v>527</v>
      </c>
      <c r="C48" t="s">
        <v>403</v>
      </c>
      <c r="D48" t="s">
        <v>528</v>
      </c>
      <c r="E48" t="s">
        <v>405</v>
      </c>
      <c r="G48" t="s">
        <v>437</v>
      </c>
      <c r="H48" t="s">
        <v>435</v>
      </c>
      <c r="I48" t="s">
        <v>98</v>
      </c>
      <c r="J48" t="s">
        <v>373</v>
      </c>
      <c r="K48" t="s">
        <v>553</v>
      </c>
      <c r="P48" t="s">
        <v>573</v>
      </c>
      <c r="Q48" t="s">
        <v>1403</v>
      </c>
    </row>
    <row r="49" spans="1:17" x14ac:dyDescent="0.25">
      <c r="A49" t="s">
        <v>576</v>
      </c>
      <c r="B49" t="s">
        <v>447</v>
      </c>
      <c r="C49" t="s">
        <v>191</v>
      </c>
      <c r="D49" t="s">
        <v>192</v>
      </c>
      <c r="E49" t="s">
        <v>193</v>
      </c>
      <c r="G49" t="s">
        <v>437</v>
      </c>
      <c r="H49" t="s">
        <v>435</v>
      </c>
      <c r="I49" t="s">
        <v>98</v>
      </c>
      <c r="J49" t="s">
        <v>115</v>
      </c>
      <c r="K49" t="s">
        <v>554</v>
      </c>
      <c r="L49" t="s">
        <v>555</v>
      </c>
      <c r="P49" t="s">
        <v>563</v>
      </c>
    </row>
    <row r="50" spans="1:17" x14ac:dyDescent="0.25">
      <c r="A50" t="s">
        <v>576</v>
      </c>
      <c r="B50" t="s">
        <v>526</v>
      </c>
      <c r="C50" t="s">
        <v>403</v>
      </c>
      <c r="D50" t="s">
        <v>525</v>
      </c>
      <c r="E50" t="s">
        <v>405</v>
      </c>
      <c r="G50" t="s">
        <v>437</v>
      </c>
      <c r="H50" t="s">
        <v>540</v>
      </c>
      <c r="I50" t="s">
        <v>411</v>
      </c>
      <c r="J50" t="s">
        <v>551</v>
      </c>
      <c r="K50" t="s">
        <v>553</v>
      </c>
      <c r="M50" t="s">
        <v>1198</v>
      </c>
      <c r="P50" t="s">
        <v>573</v>
      </c>
      <c r="Q50" t="s">
        <v>1158</v>
      </c>
    </row>
    <row r="51" spans="1:17" x14ac:dyDescent="0.25">
      <c r="A51" t="s">
        <v>576</v>
      </c>
      <c r="B51" t="s">
        <v>195</v>
      </c>
      <c r="D51" t="s">
        <v>198</v>
      </c>
      <c r="G51" t="s">
        <v>437</v>
      </c>
      <c r="H51" t="s">
        <v>435</v>
      </c>
      <c r="I51" t="s">
        <v>64</v>
      </c>
      <c r="J51" t="s">
        <v>115</v>
      </c>
      <c r="K51" t="s">
        <v>554</v>
      </c>
      <c r="L51" t="s">
        <v>555</v>
      </c>
      <c r="M51" t="s">
        <v>969</v>
      </c>
      <c r="N51" t="s">
        <v>976</v>
      </c>
      <c r="Q51" t="s">
        <v>1401</v>
      </c>
    </row>
    <row r="52" spans="1:17" x14ac:dyDescent="0.25">
      <c r="A52" t="s">
        <v>576</v>
      </c>
      <c r="B52" t="s">
        <v>498</v>
      </c>
      <c r="D52" t="s">
        <v>499</v>
      </c>
      <c r="G52" t="s">
        <v>437</v>
      </c>
      <c r="H52" t="s">
        <v>540</v>
      </c>
      <c r="K52" t="s">
        <v>553</v>
      </c>
    </row>
    <row r="53" spans="1:17" x14ac:dyDescent="0.25">
      <c r="A53" t="s">
        <v>576</v>
      </c>
      <c r="B53" t="s">
        <v>522</v>
      </c>
      <c r="C53" t="s">
        <v>403</v>
      </c>
      <c r="D53" t="s">
        <v>523</v>
      </c>
      <c r="E53" t="s">
        <v>405</v>
      </c>
      <c r="G53" t="s">
        <v>437</v>
      </c>
      <c r="H53" t="s">
        <v>435</v>
      </c>
      <c r="I53" t="s">
        <v>98</v>
      </c>
      <c r="J53" t="s">
        <v>373</v>
      </c>
      <c r="K53" t="s">
        <v>553</v>
      </c>
      <c r="P53" t="s">
        <v>573</v>
      </c>
      <c r="Q53" t="s">
        <v>1403</v>
      </c>
    </row>
    <row r="54" spans="1:17" x14ac:dyDescent="0.25">
      <c r="A54" t="s">
        <v>576</v>
      </c>
      <c r="B54" t="s">
        <v>180</v>
      </c>
      <c r="D54" t="s">
        <v>183</v>
      </c>
      <c r="G54" t="s">
        <v>437</v>
      </c>
      <c r="H54" t="s">
        <v>435</v>
      </c>
      <c r="I54" t="s">
        <v>91</v>
      </c>
      <c r="J54" t="s">
        <v>115</v>
      </c>
      <c r="K54" t="s">
        <v>554</v>
      </c>
      <c r="M54" t="s">
        <v>971</v>
      </c>
      <c r="N54" t="s">
        <v>986</v>
      </c>
    </row>
    <row r="55" spans="1:17" x14ac:dyDescent="0.25">
      <c r="A55" t="s">
        <v>576</v>
      </c>
      <c r="B55" t="s">
        <v>267</v>
      </c>
      <c r="D55" t="s">
        <v>270</v>
      </c>
      <c r="G55" t="s">
        <v>437</v>
      </c>
      <c r="H55" t="s">
        <v>435</v>
      </c>
      <c r="I55" t="s">
        <v>98</v>
      </c>
      <c r="J55" t="s">
        <v>271</v>
      </c>
      <c r="K55" t="s">
        <v>553</v>
      </c>
    </row>
    <row r="56" spans="1:17" x14ac:dyDescent="0.25">
      <c r="A56" t="s">
        <v>576</v>
      </c>
      <c r="B56" t="s">
        <v>428</v>
      </c>
      <c r="D56" t="s">
        <v>429</v>
      </c>
      <c r="G56" t="s">
        <v>437</v>
      </c>
      <c r="H56" t="s">
        <v>435</v>
      </c>
      <c r="I56" t="s">
        <v>64</v>
      </c>
      <c r="J56" t="s">
        <v>115</v>
      </c>
      <c r="K56" t="s">
        <v>554</v>
      </c>
      <c r="L56" t="s">
        <v>555</v>
      </c>
      <c r="M56" t="s">
        <v>969</v>
      </c>
      <c r="N56" t="s">
        <v>976</v>
      </c>
      <c r="Q56" t="s">
        <v>1401</v>
      </c>
    </row>
    <row r="57" spans="1:17" x14ac:dyDescent="0.25">
      <c r="A57" t="s">
        <v>576</v>
      </c>
      <c r="B57" t="s">
        <v>343</v>
      </c>
      <c r="D57" t="s">
        <v>346</v>
      </c>
      <c r="G57" t="s">
        <v>437</v>
      </c>
      <c r="H57" t="s">
        <v>435</v>
      </c>
      <c r="I57" t="s">
        <v>64</v>
      </c>
      <c r="J57" t="s">
        <v>65</v>
      </c>
      <c r="K57" t="s">
        <v>554</v>
      </c>
      <c r="M57" t="s">
        <v>968</v>
      </c>
      <c r="N57" t="s">
        <v>976</v>
      </c>
      <c r="Q57" s="14" t="s">
        <v>1400</v>
      </c>
    </row>
    <row r="58" spans="1:17" x14ac:dyDescent="0.25">
      <c r="A58" t="s">
        <v>576</v>
      </c>
      <c r="B58" t="s">
        <v>445</v>
      </c>
      <c r="C58" t="s">
        <v>191</v>
      </c>
      <c r="D58" t="s">
        <v>446</v>
      </c>
      <c r="E58" t="s">
        <v>193</v>
      </c>
      <c r="G58" t="s">
        <v>437</v>
      </c>
      <c r="H58" t="s">
        <v>435</v>
      </c>
      <c r="I58" t="s">
        <v>57</v>
      </c>
      <c r="J58" t="s">
        <v>115</v>
      </c>
      <c r="K58" t="s">
        <v>554</v>
      </c>
      <c r="P58" t="s">
        <v>563</v>
      </c>
    </row>
    <row r="59" spans="1:17" x14ac:dyDescent="0.25">
      <c r="A59" t="s">
        <v>576</v>
      </c>
      <c r="B59" t="s">
        <v>243</v>
      </c>
      <c r="D59" t="s">
        <v>246</v>
      </c>
      <c r="G59" t="s">
        <v>437</v>
      </c>
      <c r="H59" t="s">
        <v>435</v>
      </c>
      <c r="I59" t="s">
        <v>78</v>
      </c>
      <c r="J59" t="s">
        <v>65</v>
      </c>
      <c r="K59" t="s">
        <v>553</v>
      </c>
      <c r="Q59" t="s">
        <v>1401</v>
      </c>
    </row>
    <row r="60" spans="1:17" x14ac:dyDescent="0.25">
      <c r="A60" t="s">
        <v>576</v>
      </c>
      <c r="B60" t="s">
        <v>215</v>
      </c>
      <c r="D60" t="s">
        <v>218</v>
      </c>
      <c r="G60" t="s">
        <v>437</v>
      </c>
      <c r="H60" t="s">
        <v>435</v>
      </c>
      <c r="I60" t="s">
        <v>91</v>
      </c>
      <c r="J60" t="s">
        <v>219</v>
      </c>
      <c r="K60" t="s">
        <v>554</v>
      </c>
      <c r="M60" t="s">
        <v>971</v>
      </c>
      <c r="N60" t="s">
        <v>976</v>
      </c>
      <c r="Q60" t="s">
        <v>1403</v>
      </c>
    </row>
    <row r="61" spans="1:17" x14ac:dyDescent="0.25">
      <c r="A61" t="s">
        <v>576</v>
      </c>
      <c r="B61" t="s">
        <v>116</v>
      </c>
      <c r="D61" t="s">
        <v>117</v>
      </c>
      <c r="G61" t="s">
        <v>437</v>
      </c>
      <c r="H61" t="s">
        <v>435</v>
      </c>
      <c r="I61" t="s">
        <v>78</v>
      </c>
      <c r="J61" t="s">
        <v>115</v>
      </c>
      <c r="K61" t="s">
        <v>554</v>
      </c>
      <c r="M61" t="s">
        <v>556</v>
      </c>
      <c r="N61" t="s">
        <v>981</v>
      </c>
      <c r="Q61" t="s">
        <v>1401</v>
      </c>
    </row>
    <row r="62" spans="1:17" x14ac:dyDescent="0.25">
      <c r="A62" t="s">
        <v>576</v>
      </c>
      <c r="B62" t="s">
        <v>506</v>
      </c>
      <c r="D62" t="s">
        <v>507</v>
      </c>
      <c r="G62" t="s">
        <v>437</v>
      </c>
      <c r="H62" t="s">
        <v>540</v>
      </c>
      <c r="I62" t="s">
        <v>541</v>
      </c>
      <c r="J62" t="s">
        <v>36</v>
      </c>
      <c r="K62" t="s">
        <v>553</v>
      </c>
    </row>
    <row r="63" spans="1:17" x14ac:dyDescent="0.25">
      <c r="A63" t="s">
        <v>576</v>
      </c>
      <c r="B63" t="s">
        <v>485</v>
      </c>
      <c r="D63" t="s">
        <v>486</v>
      </c>
      <c r="G63" t="s">
        <v>437</v>
      </c>
      <c r="H63" t="s">
        <v>540</v>
      </c>
      <c r="I63" t="s">
        <v>105</v>
      </c>
      <c r="J63" t="s">
        <v>36</v>
      </c>
      <c r="K63" t="s">
        <v>553</v>
      </c>
    </row>
    <row r="64" spans="1:17" x14ac:dyDescent="0.25">
      <c r="A64" t="s">
        <v>576</v>
      </c>
      <c r="B64" t="s">
        <v>448</v>
      </c>
      <c r="C64" t="s">
        <v>398</v>
      </c>
      <c r="D64" t="s">
        <v>449</v>
      </c>
      <c r="E64" t="s">
        <v>402</v>
      </c>
      <c r="G64" t="s">
        <v>437</v>
      </c>
      <c r="H64" t="s">
        <v>435</v>
      </c>
      <c r="I64" t="s">
        <v>64</v>
      </c>
      <c r="J64" t="s">
        <v>115</v>
      </c>
      <c r="K64" t="s">
        <v>554</v>
      </c>
      <c r="P64" t="s">
        <v>565</v>
      </c>
    </row>
    <row r="65" spans="1:17" x14ac:dyDescent="0.25">
      <c r="A65" t="s">
        <v>576</v>
      </c>
      <c r="B65" t="s">
        <v>125</v>
      </c>
      <c r="D65" t="s">
        <v>128</v>
      </c>
      <c r="G65" t="s">
        <v>437</v>
      </c>
      <c r="H65" t="s">
        <v>435</v>
      </c>
      <c r="I65" t="s">
        <v>64</v>
      </c>
      <c r="J65" t="s">
        <v>115</v>
      </c>
      <c r="K65" t="s">
        <v>554</v>
      </c>
      <c r="M65" t="s">
        <v>971</v>
      </c>
      <c r="N65" t="s">
        <v>982</v>
      </c>
      <c r="Q65" t="s">
        <v>1401</v>
      </c>
    </row>
    <row r="66" spans="1:17" x14ac:dyDescent="0.25">
      <c r="A66" t="s">
        <v>576</v>
      </c>
      <c r="B66" t="s">
        <v>520</v>
      </c>
      <c r="C66" t="s">
        <v>403</v>
      </c>
      <c r="D66" t="s">
        <v>521</v>
      </c>
      <c r="E66" t="s">
        <v>405</v>
      </c>
      <c r="G66" t="s">
        <v>437</v>
      </c>
      <c r="H66" t="s">
        <v>435</v>
      </c>
      <c r="I66" t="s">
        <v>264</v>
      </c>
      <c r="J66" t="s">
        <v>373</v>
      </c>
      <c r="K66" t="s">
        <v>553</v>
      </c>
      <c r="P66" t="s">
        <v>573</v>
      </c>
      <c r="Q66" t="s">
        <v>1403</v>
      </c>
    </row>
    <row r="67" spans="1:17" x14ac:dyDescent="0.25">
      <c r="A67" t="s">
        <v>576</v>
      </c>
      <c r="B67" t="s">
        <v>470</v>
      </c>
      <c r="D67" t="s">
        <v>471</v>
      </c>
      <c r="G67" t="s">
        <v>437</v>
      </c>
      <c r="H67" t="s">
        <v>540</v>
      </c>
      <c r="I67" t="s">
        <v>71</v>
      </c>
      <c r="J67" t="s">
        <v>65</v>
      </c>
      <c r="K67" t="s">
        <v>553</v>
      </c>
    </row>
    <row r="68" spans="1:17" x14ac:dyDescent="0.25">
      <c r="A68" t="s">
        <v>576</v>
      </c>
      <c r="B68" t="s">
        <v>461</v>
      </c>
      <c r="D68" t="s">
        <v>462</v>
      </c>
      <c r="G68" t="s">
        <v>437</v>
      </c>
      <c r="H68" t="s">
        <v>540</v>
      </c>
      <c r="I68" t="s">
        <v>541</v>
      </c>
      <c r="J68" t="s">
        <v>36</v>
      </c>
      <c r="K68" t="s">
        <v>553</v>
      </c>
    </row>
    <row r="69" spans="1:17" x14ac:dyDescent="0.25">
      <c r="A69" t="s">
        <v>576</v>
      </c>
      <c r="B69" t="s">
        <v>371</v>
      </c>
      <c r="C69" t="s">
        <v>162</v>
      </c>
      <c r="D69" t="s">
        <v>372</v>
      </c>
      <c r="E69" t="s">
        <v>164</v>
      </c>
      <c r="G69" t="s">
        <v>437</v>
      </c>
      <c r="H69" t="s">
        <v>435</v>
      </c>
      <c r="I69" t="s">
        <v>264</v>
      </c>
      <c r="J69" t="s">
        <v>373</v>
      </c>
      <c r="K69" t="s">
        <v>553</v>
      </c>
      <c r="M69" t="s">
        <v>556</v>
      </c>
      <c r="P69" t="s">
        <v>574</v>
      </c>
      <c r="Q69" t="s">
        <v>1403</v>
      </c>
    </row>
    <row r="70" spans="1:17" x14ac:dyDescent="0.25">
      <c r="A70" t="s">
        <v>576</v>
      </c>
      <c r="B70" t="s">
        <v>524</v>
      </c>
      <c r="C70" t="s">
        <v>403</v>
      </c>
      <c r="D70" t="s">
        <v>525</v>
      </c>
      <c r="E70" t="s">
        <v>405</v>
      </c>
      <c r="G70" t="s">
        <v>437</v>
      </c>
      <c r="H70" t="s">
        <v>435</v>
      </c>
      <c r="I70" t="s">
        <v>98</v>
      </c>
      <c r="J70" t="s">
        <v>373</v>
      </c>
      <c r="K70" t="s">
        <v>553</v>
      </c>
      <c r="M70" t="s">
        <v>1198</v>
      </c>
      <c r="P70" t="s">
        <v>573</v>
      </c>
      <c r="Q70" t="s">
        <v>1403</v>
      </c>
    </row>
    <row r="71" spans="1:17" x14ac:dyDescent="0.25">
      <c r="A71" t="s">
        <v>576</v>
      </c>
      <c r="B71" t="s">
        <v>450</v>
      </c>
      <c r="C71" t="s">
        <v>398</v>
      </c>
      <c r="D71" t="s">
        <v>401</v>
      </c>
      <c r="E71" t="s">
        <v>402</v>
      </c>
      <c r="G71" t="s">
        <v>437</v>
      </c>
      <c r="H71" t="s">
        <v>435</v>
      </c>
      <c r="I71" t="s">
        <v>98</v>
      </c>
      <c r="J71" t="s">
        <v>115</v>
      </c>
      <c r="K71" t="s">
        <v>554</v>
      </c>
      <c r="M71" t="s">
        <v>556</v>
      </c>
      <c r="P71" t="s">
        <v>565</v>
      </c>
    </row>
    <row r="72" spans="1:17" x14ac:dyDescent="0.25">
      <c r="A72" t="s">
        <v>576</v>
      </c>
      <c r="B72" t="s">
        <v>205</v>
      </c>
      <c r="D72" t="s">
        <v>206</v>
      </c>
      <c r="G72" t="s">
        <v>437</v>
      </c>
      <c r="H72" t="s">
        <v>435</v>
      </c>
      <c r="I72" t="s">
        <v>64</v>
      </c>
      <c r="J72" t="s">
        <v>207</v>
      </c>
      <c r="K72" t="s">
        <v>553</v>
      </c>
      <c r="M72" t="s">
        <v>556</v>
      </c>
      <c r="Q72" t="s">
        <v>1403</v>
      </c>
    </row>
    <row r="73" spans="1:17" x14ac:dyDescent="0.25">
      <c r="A73" t="s">
        <v>576</v>
      </c>
      <c r="B73" t="s">
        <v>496</v>
      </c>
      <c r="D73" t="s">
        <v>497</v>
      </c>
      <c r="G73" t="s">
        <v>437</v>
      </c>
      <c r="H73" t="s">
        <v>540</v>
      </c>
      <c r="I73" t="s">
        <v>105</v>
      </c>
      <c r="J73" t="s">
        <v>36</v>
      </c>
      <c r="K73" t="s">
        <v>553</v>
      </c>
    </row>
    <row r="74" spans="1:17" x14ac:dyDescent="0.25">
      <c r="A74" t="s">
        <v>576</v>
      </c>
      <c r="B74" t="s">
        <v>305</v>
      </c>
      <c r="C74" t="s">
        <v>162</v>
      </c>
      <c r="D74" t="s">
        <v>306</v>
      </c>
      <c r="E74" t="s">
        <v>164</v>
      </c>
      <c r="G74" t="s">
        <v>437</v>
      </c>
      <c r="H74" t="s">
        <v>435</v>
      </c>
      <c r="I74" t="s">
        <v>98</v>
      </c>
      <c r="J74" t="s">
        <v>307</v>
      </c>
      <c r="K74" t="s">
        <v>553</v>
      </c>
      <c r="P74" t="s">
        <v>574</v>
      </c>
      <c r="Q74" t="s">
        <v>1403</v>
      </c>
    </row>
    <row r="75" spans="1:17" x14ac:dyDescent="0.25">
      <c r="A75" t="s">
        <v>576</v>
      </c>
      <c r="B75" t="s">
        <v>294</v>
      </c>
      <c r="D75" t="s">
        <v>295</v>
      </c>
      <c r="G75" t="s">
        <v>437</v>
      </c>
      <c r="H75" t="s">
        <v>435</v>
      </c>
      <c r="I75" t="s">
        <v>64</v>
      </c>
      <c r="J75" t="s">
        <v>65</v>
      </c>
      <c r="K75" t="s">
        <v>554</v>
      </c>
      <c r="L75" t="s">
        <v>555</v>
      </c>
      <c r="M75" t="s">
        <v>969</v>
      </c>
      <c r="N75" t="s">
        <v>988</v>
      </c>
      <c r="Q75" t="s">
        <v>1401</v>
      </c>
    </row>
    <row r="76" spans="1:17" x14ac:dyDescent="0.25">
      <c r="A76" t="s">
        <v>576</v>
      </c>
      <c r="B76" t="s">
        <v>176</v>
      </c>
      <c r="C76" t="s">
        <v>25</v>
      </c>
      <c r="D76" t="s">
        <v>177</v>
      </c>
      <c r="E76" t="s">
        <v>28</v>
      </c>
      <c r="G76" t="s">
        <v>436</v>
      </c>
      <c r="H76" t="s">
        <v>540</v>
      </c>
      <c r="I76" t="s">
        <v>29</v>
      </c>
      <c r="J76" t="s">
        <v>30</v>
      </c>
      <c r="K76" t="s">
        <v>553</v>
      </c>
      <c r="P76" t="s">
        <v>571</v>
      </c>
    </row>
    <row r="77" spans="1:17" x14ac:dyDescent="0.25">
      <c r="A77" t="s">
        <v>576</v>
      </c>
      <c r="B77" t="s">
        <v>423</v>
      </c>
      <c r="D77" t="s">
        <v>426</v>
      </c>
      <c r="G77" t="s">
        <v>436</v>
      </c>
      <c r="H77" t="s">
        <v>435</v>
      </c>
      <c r="I77" t="s">
        <v>64</v>
      </c>
      <c r="J77" t="s">
        <v>65</v>
      </c>
      <c r="K77" t="s">
        <v>554</v>
      </c>
      <c r="L77" t="s">
        <v>555</v>
      </c>
      <c r="M77" t="s">
        <v>971</v>
      </c>
      <c r="N77" t="s">
        <v>977</v>
      </c>
      <c r="Q77" t="s">
        <v>1401</v>
      </c>
    </row>
    <row r="78" spans="1:17" x14ac:dyDescent="0.25">
      <c r="A78" t="s">
        <v>576</v>
      </c>
      <c r="B78" t="s">
        <v>280</v>
      </c>
      <c r="C78" t="s">
        <v>152</v>
      </c>
      <c r="D78" t="s">
        <v>281</v>
      </c>
      <c r="E78" t="s">
        <v>154</v>
      </c>
      <c r="G78" t="s">
        <v>436</v>
      </c>
      <c r="H78" t="s">
        <v>435</v>
      </c>
      <c r="I78" t="s">
        <v>78</v>
      </c>
      <c r="J78" t="s">
        <v>49</v>
      </c>
      <c r="K78" t="s">
        <v>553</v>
      </c>
      <c r="M78" t="s">
        <v>556</v>
      </c>
      <c r="P78" t="s">
        <v>566</v>
      </c>
      <c r="Q78" t="s">
        <v>1404</v>
      </c>
    </row>
    <row r="79" spans="1:17" x14ac:dyDescent="0.25">
      <c r="A79" t="s">
        <v>576</v>
      </c>
      <c r="B79" t="s">
        <v>53</v>
      </c>
      <c r="D79" t="s">
        <v>56</v>
      </c>
      <c r="G79" t="s">
        <v>436</v>
      </c>
      <c r="H79" t="s">
        <v>435</v>
      </c>
      <c r="I79" t="s">
        <v>57</v>
      </c>
      <c r="J79" t="s">
        <v>49</v>
      </c>
      <c r="K79" t="s">
        <v>553</v>
      </c>
      <c r="M79" t="s">
        <v>556</v>
      </c>
      <c r="Q79" t="s">
        <v>1190</v>
      </c>
    </row>
    <row r="80" spans="1:17" x14ac:dyDescent="0.25">
      <c r="A80" t="s">
        <v>576</v>
      </c>
      <c r="B80" t="s">
        <v>465</v>
      </c>
      <c r="C80" t="s">
        <v>102</v>
      </c>
      <c r="D80" t="s">
        <v>466</v>
      </c>
      <c r="E80" t="s">
        <v>104</v>
      </c>
      <c r="G80" t="s">
        <v>436</v>
      </c>
      <c r="H80" t="s">
        <v>540</v>
      </c>
      <c r="I80" t="s">
        <v>105</v>
      </c>
      <c r="J80" t="s">
        <v>36</v>
      </c>
      <c r="K80" t="s">
        <v>553</v>
      </c>
      <c r="P80" t="s">
        <v>567</v>
      </c>
    </row>
    <row r="81" spans="1:18" x14ac:dyDescent="0.25">
      <c r="A81" t="s">
        <v>576</v>
      </c>
      <c r="B81" t="s">
        <v>508</v>
      </c>
      <c r="D81" t="s">
        <v>509</v>
      </c>
      <c r="G81" t="s">
        <v>436</v>
      </c>
      <c r="H81" t="s">
        <v>435</v>
      </c>
      <c r="I81" t="s">
        <v>91</v>
      </c>
      <c r="J81" t="s">
        <v>119</v>
      </c>
      <c r="K81" t="s">
        <v>553</v>
      </c>
    </row>
    <row r="82" spans="1:18" x14ac:dyDescent="0.25">
      <c r="A82" t="s">
        <v>576</v>
      </c>
      <c r="B82" t="s">
        <v>494</v>
      </c>
      <c r="C82" t="s">
        <v>493</v>
      </c>
      <c r="D82" t="s">
        <v>495</v>
      </c>
      <c r="E82" t="s">
        <v>492</v>
      </c>
      <c r="G82" t="s">
        <v>436</v>
      </c>
      <c r="H82" t="s">
        <v>540</v>
      </c>
      <c r="I82" t="s">
        <v>29</v>
      </c>
      <c r="J82" t="s">
        <v>548</v>
      </c>
      <c r="K82" t="s">
        <v>553</v>
      </c>
      <c r="M82" t="s">
        <v>556</v>
      </c>
      <c r="P82" t="s">
        <v>572</v>
      </c>
    </row>
    <row r="83" spans="1:18" x14ac:dyDescent="0.25">
      <c r="A83" t="s">
        <v>576</v>
      </c>
      <c r="B83" t="s">
        <v>151</v>
      </c>
      <c r="C83" t="s">
        <v>152</v>
      </c>
      <c r="D83" t="s">
        <v>153</v>
      </c>
      <c r="E83" t="s">
        <v>154</v>
      </c>
      <c r="G83" t="s">
        <v>436</v>
      </c>
      <c r="H83" t="s">
        <v>435</v>
      </c>
      <c r="I83" t="s">
        <v>57</v>
      </c>
      <c r="J83" t="s">
        <v>49</v>
      </c>
      <c r="K83" t="s">
        <v>553</v>
      </c>
      <c r="M83" t="s">
        <v>556</v>
      </c>
      <c r="P83" t="s">
        <v>566</v>
      </c>
      <c r="Q83" t="s">
        <v>1405</v>
      </c>
    </row>
    <row r="84" spans="1:18" x14ac:dyDescent="0.25">
      <c r="A84" t="s">
        <v>576</v>
      </c>
      <c r="B84" t="s">
        <v>24</v>
      </c>
      <c r="C84" t="s">
        <v>25</v>
      </c>
      <c r="D84" t="s">
        <v>27</v>
      </c>
      <c r="E84" t="s">
        <v>28</v>
      </c>
      <c r="G84" t="s">
        <v>436</v>
      </c>
      <c r="H84" t="s">
        <v>540</v>
      </c>
      <c r="I84" t="s">
        <v>29</v>
      </c>
      <c r="J84" t="s">
        <v>30</v>
      </c>
      <c r="K84" t="s">
        <v>553</v>
      </c>
      <c r="M84" t="s">
        <v>556</v>
      </c>
      <c r="P84" t="s">
        <v>571</v>
      </c>
    </row>
    <row r="85" spans="1:18" x14ac:dyDescent="0.25">
      <c r="A85" t="s">
        <v>576</v>
      </c>
      <c r="B85" t="s">
        <v>351</v>
      </c>
      <c r="C85" t="s">
        <v>352</v>
      </c>
      <c r="D85" t="s">
        <v>353</v>
      </c>
      <c r="E85" t="s">
        <v>354</v>
      </c>
      <c r="G85" t="s">
        <v>436</v>
      </c>
      <c r="H85" t="s">
        <v>540</v>
      </c>
      <c r="I85" t="s">
        <v>105</v>
      </c>
      <c r="J85" t="s">
        <v>355</v>
      </c>
      <c r="K85" t="s">
        <v>553</v>
      </c>
      <c r="P85" t="s">
        <v>568</v>
      </c>
    </row>
    <row r="86" spans="1:18" x14ac:dyDescent="0.25">
      <c r="A86" t="s">
        <v>576</v>
      </c>
      <c r="B86" t="s">
        <v>491</v>
      </c>
      <c r="C86" t="s">
        <v>493</v>
      </c>
      <c r="D86" t="s">
        <v>492</v>
      </c>
      <c r="E86" t="s">
        <v>492</v>
      </c>
      <c r="G86" t="s">
        <v>436</v>
      </c>
      <c r="H86" t="s">
        <v>540</v>
      </c>
      <c r="I86" t="s">
        <v>71</v>
      </c>
      <c r="J86" t="s">
        <v>547</v>
      </c>
      <c r="K86" t="s">
        <v>553</v>
      </c>
      <c r="M86" t="s">
        <v>556</v>
      </c>
      <c r="P86" t="s">
        <v>572</v>
      </c>
      <c r="Q86" t="s">
        <v>1157</v>
      </c>
    </row>
    <row r="87" spans="1:18" x14ac:dyDescent="0.25">
      <c r="A87" t="s">
        <v>576</v>
      </c>
      <c r="B87" t="s">
        <v>455</v>
      </c>
      <c r="D87" t="s">
        <v>456</v>
      </c>
      <c r="G87" t="s">
        <v>436</v>
      </c>
      <c r="H87" t="s">
        <v>540</v>
      </c>
      <c r="I87" t="s">
        <v>29</v>
      </c>
      <c r="J87" t="s">
        <v>30</v>
      </c>
      <c r="K87" t="s">
        <v>553</v>
      </c>
    </row>
    <row r="88" spans="1:18" x14ac:dyDescent="0.25">
      <c r="A88" t="s">
        <v>576</v>
      </c>
      <c r="B88" t="s">
        <v>477</v>
      </c>
      <c r="D88" t="s">
        <v>478</v>
      </c>
      <c r="G88" t="s">
        <v>436</v>
      </c>
      <c r="H88" t="s">
        <v>540</v>
      </c>
      <c r="J88" t="s">
        <v>544</v>
      </c>
      <c r="K88" t="s">
        <v>553</v>
      </c>
    </row>
    <row r="89" spans="1:18" x14ac:dyDescent="0.25">
      <c r="A89" t="s">
        <v>576</v>
      </c>
      <c r="B89" t="s">
        <v>328</v>
      </c>
      <c r="D89" t="s">
        <v>330</v>
      </c>
      <c r="G89" t="s">
        <v>436</v>
      </c>
      <c r="H89" t="s">
        <v>435</v>
      </c>
      <c r="I89" t="s">
        <v>91</v>
      </c>
      <c r="J89" t="s">
        <v>331</v>
      </c>
      <c r="K89" t="s">
        <v>553</v>
      </c>
      <c r="M89" t="s">
        <v>968</v>
      </c>
      <c r="N89" t="s">
        <v>987</v>
      </c>
      <c r="Q89" t="s">
        <v>1403</v>
      </c>
    </row>
    <row r="90" spans="1:18" x14ac:dyDescent="0.25">
      <c r="A90" t="s">
        <v>576</v>
      </c>
      <c r="B90" t="s">
        <v>135</v>
      </c>
      <c r="D90" t="s">
        <v>136</v>
      </c>
      <c r="G90" t="s">
        <v>436</v>
      </c>
      <c r="H90" t="s">
        <v>435</v>
      </c>
      <c r="I90" t="s">
        <v>64</v>
      </c>
      <c r="J90" t="s">
        <v>115</v>
      </c>
      <c r="K90" t="s">
        <v>554</v>
      </c>
      <c r="L90" t="s">
        <v>555</v>
      </c>
      <c r="M90" t="s">
        <v>967</v>
      </c>
      <c r="N90" t="s">
        <v>983</v>
      </c>
      <c r="Q90" t="s">
        <v>1401</v>
      </c>
    </row>
    <row r="91" spans="1:18" x14ac:dyDescent="0.25">
      <c r="A91" t="s">
        <v>576</v>
      </c>
      <c r="B91" t="s">
        <v>467</v>
      </c>
      <c r="C91" t="s">
        <v>102</v>
      </c>
      <c r="D91" t="s">
        <v>103</v>
      </c>
      <c r="E91" t="s">
        <v>104</v>
      </c>
      <c r="G91" t="s">
        <v>436</v>
      </c>
      <c r="H91" t="s">
        <v>540</v>
      </c>
      <c r="I91" t="s">
        <v>105</v>
      </c>
      <c r="J91" t="s">
        <v>36</v>
      </c>
      <c r="K91" t="s">
        <v>553</v>
      </c>
      <c r="P91" t="s">
        <v>567</v>
      </c>
    </row>
    <row r="92" spans="1:18" x14ac:dyDescent="0.25">
      <c r="A92" t="s">
        <v>576</v>
      </c>
      <c r="B92" t="s">
        <v>32</v>
      </c>
      <c r="C92" t="s">
        <v>25</v>
      </c>
      <c r="D92" t="s">
        <v>33</v>
      </c>
      <c r="E92" t="s">
        <v>28</v>
      </c>
      <c r="G92" t="s">
        <v>436</v>
      </c>
      <c r="H92" t="s">
        <v>540</v>
      </c>
      <c r="I92" t="s">
        <v>29</v>
      </c>
      <c r="J92" t="s">
        <v>34</v>
      </c>
      <c r="K92" t="s">
        <v>553</v>
      </c>
      <c r="M92" t="s">
        <v>556</v>
      </c>
      <c r="P92" t="s">
        <v>571</v>
      </c>
    </row>
    <row r="93" spans="1:18" x14ac:dyDescent="0.25">
      <c r="A93" t="s">
        <v>576</v>
      </c>
      <c r="B93" t="s">
        <v>416</v>
      </c>
      <c r="C93" t="s">
        <v>25</v>
      </c>
      <c r="D93" t="s">
        <v>417</v>
      </c>
      <c r="E93" t="s">
        <v>28</v>
      </c>
      <c r="G93" t="s">
        <v>436</v>
      </c>
      <c r="H93" t="s">
        <v>540</v>
      </c>
      <c r="I93" t="s">
        <v>71</v>
      </c>
      <c r="J93" t="s">
        <v>414</v>
      </c>
      <c r="K93" t="s">
        <v>553</v>
      </c>
      <c r="M93" t="s">
        <v>556</v>
      </c>
      <c r="P93" t="s">
        <v>571</v>
      </c>
    </row>
    <row r="94" spans="1:18" x14ac:dyDescent="0.25">
      <c r="A94" t="s">
        <v>576</v>
      </c>
      <c r="B94" t="s">
        <v>209</v>
      </c>
      <c r="D94" t="s">
        <v>210</v>
      </c>
      <c r="G94" t="s">
        <v>436</v>
      </c>
      <c r="H94" t="s">
        <v>435</v>
      </c>
      <c r="I94" t="s">
        <v>78</v>
      </c>
      <c r="J94" t="s">
        <v>115</v>
      </c>
      <c r="K94" t="s">
        <v>554</v>
      </c>
      <c r="M94" t="s">
        <v>968</v>
      </c>
      <c r="N94" t="s">
        <v>990</v>
      </c>
      <c r="Q94" t="s">
        <v>1401</v>
      </c>
    </row>
    <row r="95" spans="1:18" x14ac:dyDescent="0.25">
      <c r="A95" s="6" t="s">
        <v>576</v>
      </c>
      <c r="B95" s="6" t="s">
        <v>311</v>
      </c>
      <c r="C95" s="6"/>
      <c r="D95" s="6" t="s">
        <v>313</v>
      </c>
      <c r="E95" s="6"/>
      <c r="F95" s="6"/>
      <c r="G95" s="6" t="s">
        <v>436</v>
      </c>
      <c r="H95" s="6" t="s">
        <v>435</v>
      </c>
      <c r="I95" s="6" t="s">
        <v>64</v>
      </c>
      <c r="J95" s="6" t="s">
        <v>309</v>
      </c>
      <c r="K95" s="6" t="s">
        <v>553</v>
      </c>
      <c r="L95" s="6"/>
      <c r="M95" s="6" t="s">
        <v>556</v>
      </c>
      <c r="N95" s="6"/>
      <c r="O95" s="6"/>
      <c r="P95" s="6"/>
      <c r="Q95" s="6"/>
      <c r="R95" s="6"/>
    </row>
    <row r="96" spans="1:18" x14ac:dyDescent="0.25">
      <c r="A96" t="s">
        <v>576</v>
      </c>
      <c r="B96" t="s">
        <v>333</v>
      </c>
      <c r="D96" t="s">
        <v>334</v>
      </c>
      <c r="G96" t="s">
        <v>436</v>
      </c>
      <c r="H96" t="s">
        <v>435</v>
      </c>
      <c r="I96" t="s">
        <v>64</v>
      </c>
      <c r="J96" t="s">
        <v>335</v>
      </c>
      <c r="K96" t="s">
        <v>553</v>
      </c>
      <c r="M96" t="s">
        <v>556</v>
      </c>
      <c r="Q96" t="s">
        <v>1403</v>
      </c>
    </row>
    <row r="97" spans="1:17" x14ac:dyDescent="0.25">
      <c r="A97" t="s">
        <v>576</v>
      </c>
      <c r="B97" t="s">
        <v>88</v>
      </c>
      <c r="D97" t="s">
        <v>90</v>
      </c>
      <c r="G97" t="s">
        <v>436</v>
      </c>
      <c r="H97" t="s">
        <v>435</v>
      </c>
      <c r="I97" t="s">
        <v>91</v>
      </c>
      <c r="J97" t="s">
        <v>65</v>
      </c>
      <c r="K97" t="s">
        <v>554</v>
      </c>
      <c r="M97" t="s">
        <v>968</v>
      </c>
      <c r="Q97" t="s">
        <v>1401</v>
      </c>
    </row>
    <row r="98" spans="1:17" x14ac:dyDescent="0.25">
      <c r="A98" t="s">
        <v>576</v>
      </c>
      <c r="B98" t="s">
        <v>514</v>
      </c>
      <c r="C98" t="s">
        <v>512</v>
      </c>
      <c r="D98" t="s">
        <v>515</v>
      </c>
      <c r="E98" t="s">
        <v>513</v>
      </c>
      <c r="G98" t="s">
        <v>436</v>
      </c>
      <c r="H98" t="s">
        <v>435</v>
      </c>
      <c r="I98" t="s">
        <v>57</v>
      </c>
      <c r="J98" t="s">
        <v>49</v>
      </c>
      <c r="K98" t="s">
        <v>553</v>
      </c>
      <c r="M98" t="s">
        <v>556</v>
      </c>
      <c r="P98" t="s">
        <v>570</v>
      </c>
      <c r="Q98" t="s">
        <v>1191</v>
      </c>
    </row>
    <row r="99" spans="1:17" x14ac:dyDescent="0.25">
      <c r="A99" t="s">
        <v>576</v>
      </c>
      <c r="B99" t="s">
        <v>173</v>
      </c>
      <c r="D99" t="s">
        <v>174</v>
      </c>
      <c r="G99" t="s">
        <v>436</v>
      </c>
      <c r="H99" t="s">
        <v>435</v>
      </c>
      <c r="I99" t="s">
        <v>64</v>
      </c>
      <c r="J99" t="s">
        <v>65</v>
      </c>
      <c r="K99" t="s">
        <v>554</v>
      </c>
      <c r="M99" t="s">
        <v>556</v>
      </c>
      <c r="N99" t="s">
        <v>981</v>
      </c>
      <c r="Q99" t="s">
        <v>1402</v>
      </c>
    </row>
    <row r="100" spans="1:17" x14ac:dyDescent="0.25">
      <c r="A100" t="s">
        <v>576</v>
      </c>
      <c r="B100" t="s">
        <v>236</v>
      </c>
      <c r="C100" t="s">
        <v>25</v>
      </c>
      <c r="D100" t="s">
        <v>237</v>
      </c>
      <c r="E100" t="s">
        <v>28</v>
      </c>
      <c r="G100" t="s">
        <v>436</v>
      </c>
      <c r="H100" t="s">
        <v>540</v>
      </c>
      <c r="I100" t="s">
        <v>29</v>
      </c>
      <c r="J100" t="s">
        <v>30</v>
      </c>
      <c r="K100" t="s">
        <v>553</v>
      </c>
      <c r="P100" t="s">
        <v>571</v>
      </c>
    </row>
    <row r="101" spans="1:17" x14ac:dyDescent="0.25">
      <c r="A101" t="s">
        <v>576</v>
      </c>
      <c r="B101" t="s">
        <v>46</v>
      </c>
      <c r="C101" t="s">
        <v>25</v>
      </c>
      <c r="D101" t="s">
        <v>47</v>
      </c>
      <c r="E101" t="s">
        <v>28</v>
      </c>
      <c r="G101" t="s">
        <v>436</v>
      </c>
      <c r="H101" t="s">
        <v>540</v>
      </c>
      <c r="I101" t="s">
        <v>29</v>
      </c>
      <c r="J101" t="s">
        <v>48</v>
      </c>
      <c r="K101" t="s">
        <v>553</v>
      </c>
      <c r="M101" t="s">
        <v>556</v>
      </c>
      <c r="P101" t="s">
        <v>571</v>
      </c>
    </row>
    <row r="102" spans="1:17" x14ac:dyDescent="0.25">
      <c r="A102" t="s">
        <v>576</v>
      </c>
      <c r="B102" t="s">
        <v>479</v>
      </c>
      <c r="D102" t="s">
        <v>480</v>
      </c>
      <c r="G102" t="s">
        <v>436</v>
      </c>
      <c r="H102" t="s">
        <v>540</v>
      </c>
      <c r="J102" t="s">
        <v>545</v>
      </c>
      <c r="K102" t="s">
        <v>553</v>
      </c>
    </row>
    <row r="103" spans="1:17" x14ac:dyDescent="0.25">
      <c r="A103" t="s">
        <v>576</v>
      </c>
      <c r="B103" t="s">
        <v>459</v>
      </c>
      <c r="D103" t="s">
        <v>460</v>
      </c>
      <c r="G103" t="s">
        <v>436</v>
      </c>
      <c r="H103" t="s">
        <v>540</v>
      </c>
      <c r="I103" t="s">
        <v>29</v>
      </c>
      <c r="J103" t="s">
        <v>30</v>
      </c>
      <c r="K103" t="s">
        <v>553</v>
      </c>
    </row>
    <row r="104" spans="1:17" x14ac:dyDescent="0.25">
      <c r="A104" t="s">
        <v>576</v>
      </c>
      <c r="B104" t="s">
        <v>321</v>
      </c>
      <c r="D104" t="s">
        <v>323</v>
      </c>
      <c r="G104" t="s">
        <v>436</v>
      </c>
      <c r="H104" t="s">
        <v>435</v>
      </c>
      <c r="I104" t="s">
        <v>324</v>
      </c>
      <c r="J104" t="s">
        <v>320</v>
      </c>
      <c r="K104" t="s">
        <v>553</v>
      </c>
    </row>
    <row r="105" spans="1:17" x14ac:dyDescent="0.25">
      <c r="A105" t="s">
        <v>576</v>
      </c>
      <c r="B105" t="s">
        <v>468</v>
      </c>
      <c r="C105" t="s">
        <v>152</v>
      </c>
      <c r="D105" t="s">
        <v>469</v>
      </c>
      <c r="E105" t="s">
        <v>154</v>
      </c>
      <c r="G105" t="s">
        <v>436</v>
      </c>
      <c r="H105" t="s">
        <v>540</v>
      </c>
      <c r="I105" t="s">
        <v>542</v>
      </c>
      <c r="J105" t="s">
        <v>149</v>
      </c>
      <c r="K105" t="s">
        <v>553</v>
      </c>
      <c r="P105" t="s">
        <v>569</v>
      </c>
      <c r="Q105" t="s">
        <v>1192</v>
      </c>
    </row>
    <row r="106" spans="1:17" x14ac:dyDescent="0.25">
      <c r="A106" t="s">
        <v>576</v>
      </c>
      <c r="B106" t="s">
        <v>232</v>
      </c>
      <c r="D106" t="s">
        <v>233</v>
      </c>
      <c r="G106" t="s">
        <v>436</v>
      </c>
      <c r="H106" t="s">
        <v>435</v>
      </c>
      <c r="I106" t="s">
        <v>64</v>
      </c>
      <c r="J106" t="s">
        <v>234</v>
      </c>
      <c r="K106" t="s">
        <v>554</v>
      </c>
      <c r="M106" t="s">
        <v>556</v>
      </c>
      <c r="N106" t="s">
        <v>984</v>
      </c>
      <c r="Q106" t="s">
        <v>1408</v>
      </c>
    </row>
    <row r="107" spans="1:17" x14ac:dyDescent="0.25">
      <c r="A107" t="s">
        <v>576</v>
      </c>
      <c r="B107" t="s">
        <v>74</v>
      </c>
      <c r="D107" t="s">
        <v>77</v>
      </c>
      <c r="G107" t="s">
        <v>436</v>
      </c>
      <c r="H107" t="s">
        <v>435</v>
      </c>
      <c r="I107" t="s">
        <v>78</v>
      </c>
      <c r="J107" t="s">
        <v>65</v>
      </c>
      <c r="K107" t="s">
        <v>554</v>
      </c>
      <c r="M107" t="s">
        <v>556</v>
      </c>
      <c r="N107" t="s">
        <v>981</v>
      </c>
      <c r="Q107" s="14" t="s">
        <v>1400</v>
      </c>
    </row>
    <row r="108" spans="1:17" x14ac:dyDescent="0.25">
      <c r="A108" t="s">
        <v>576</v>
      </c>
      <c r="B108" t="s">
        <v>502</v>
      </c>
      <c r="C108" t="s">
        <v>352</v>
      </c>
      <c r="D108" t="s">
        <v>503</v>
      </c>
      <c r="E108" t="s">
        <v>354</v>
      </c>
      <c r="G108" t="s">
        <v>436</v>
      </c>
      <c r="H108" t="s">
        <v>435</v>
      </c>
      <c r="I108" t="s">
        <v>57</v>
      </c>
      <c r="J108" t="s">
        <v>549</v>
      </c>
      <c r="K108" t="s">
        <v>553</v>
      </c>
      <c r="P108" t="s">
        <v>568</v>
      </c>
    </row>
    <row r="109" spans="1:17" x14ac:dyDescent="0.25">
      <c r="A109" t="s">
        <v>576</v>
      </c>
      <c r="B109" t="s">
        <v>457</v>
      </c>
      <c r="D109" t="s">
        <v>458</v>
      </c>
      <c r="G109" t="s">
        <v>436</v>
      </c>
      <c r="H109" t="s">
        <v>540</v>
      </c>
      <c r="I109" t="s">
        <v>29</v>
      </c>
      <c r="J109" t="s">
        <v>34</v>
      </c>
      <c r="K109" t="s">
        <v>553</v>
      </c>
    </row>
    <row r="110" spans="1:17" x14ac:dyDescent="0.25">
      <c r="A110" t="s">
        <v>576</v>
      </c>
      <c r="B110" t="s">
        <v>227</v>
      </c>
      <c r="D110" t="s">
        <v>230</v>
      </c>
      <c r="G110" t="s">
        <v>436</v>
      </c>
      <c r="H110" t="s">
        <v>435</v>
      </c>
      <c r="I110" t="s">
        <v>64</v>
      </c>
      <c r="J110" t="s">
        <v>115</v>
      </c>
      <c r="K110" t="s">
        <v>937</v>
      </c>
      <c r="M110" t="s">
        <v>968</v>
      </c>
      <c r="N110" t="s">
        <v>976</v>
      </c>
      <c r="Q110" t="s">
        <v>1401</v>
      </c>
    </row>
    <row r="111" spans="1:17" x14ac:dyDescent="0.25">
      <c r="A111" t="s">
        <v>576</v>
      </c>
      <c r="B111" t="s">
        <v>451</v>
      </c>
      <c r="C111" t="s">
        <v>361</v>
      </c>
      <c r="D111" t="s">
        <v>452</v>
      </c>
      <c r="E111" t="s">
        <v>365</v>
      </c>
      <c r="G111" t="s">
        <v>453</v>
      </c>
      <c r="H111" t="s">
        <v>435</v>
      </c>
      <c r="I111" t="s">
        <v>98</v>
      </c>
      <c r="J111" t="s">
        <v>115</v>
      </c>
      <c r="K111" t="s">
        <v>554</v>
      </c>
      <c r="P111" t="s">
        <v>562</v>
      </c>
    </row>
    <row r="112" spans="1:17" x14ac:dyDescent="0.25">
      <c r="A112" t="s">
        <v>576</v>
      </c>
      <c r="B112" t="s">
        <v>145</v>
      </c>
      <c r="D112" t="s">
        <v>147</v>
      </c>
      <c r="G112" t="s">
        <v>453</v>
      </c>
      <c r="H112" t="s">
        <v>540</v>
      </c>
      <c r="I112" t="s">
        <v>105</v>
      </c>
      <c r="J112" t="s">
        <v>36</v>
      </c>
      <c r="K112" t="s">
        <v>553</v>
      </c>
    </row>
    <row r="113" spans="1:17" x14ac:dyDescent="0.25">
      <c r="A113" t="s">
        <v>576</v>
      </c>
      <c r="B113" t="s">
        <v>454</v>
      </c>
      <c r="C113" t="s">
        <v>361</v>
      </c>
      <c r="D113" t="s">
        <v>364</v>
      </c>
      <c r="E113" t="s">
        <v>365</v>
      </c>
      <c r="G113" t="s">
        <v>453</v>
      </c>
      <c r="H113" t="s">
        <v>435</v>
      </c>
      <c r="I113" t="s">
        <v>264</v>
      </c>
      <c r="J113" t="s">
        <v>115</v>
      </c>
      <c r="K113" t="s">
        <v>554</v>
      </c>
      <c r="P113" t="s">
        <v>562</v>
      </c>
    </row>
    <row r="114" spans="1:17" x14ac:dyDescent="0.25">
      <c r="A114" t="s">
        <v>576</v>
      </c>
      <c r="B114" t="s">
        <v>261</v>
      </c>
      <c r="D114" t="s">
        <v>263</v>
      </c>
      <c r="G114" t="s">
        <v>453</v>
      </c>
      <c r="H114" t="s">
        <v>435</v>
      </c>
      <c r="I114" t="s">
        <v>264</v>
      </c>
      <c r="J114" t="s">
        <v>92</v>
      </c>
      <c r="K114" t="s">
        <v>553</v>
      </c>
      <c r="M114" t="s">
        <v>556</v>
      </c>
      <c r="Q114" t="s">
        <v>1193</v>
      </c>
    </row>
    <row r="115" spans="1:17" x14ac:dyDescent="0.25">
      <c r="A115" t="s">
        <v>576</v>
      </c>
      <c r="B115" t="s">
        <v>95</v>
      </c>
      <c r="D115" t="s">
        <v>97</v>
      </c>
      <c r="G115" t="s">
        <v>453</v>
      </c>
      <c r="H115" t="s">
        <v>435</v>
      </c>
      <c r="I115" t="s">
        <v>98</v>
      </c>
      <c r="J115" t="s">
        <v>92</v>
      </c>
      <c r="K115" t="s">
        <v>553</v>
      </c>
      <c r="M115" t="s">
        <v>556</v>
      </c>
    </row>
    <row r="116" spans="1:17" x14ac:dyDescent="0.25">
      <c r="A116" t="s">
        <v>576</v>
      </c>
      <c r="B116" t="s">
        <v>472</v>
      </c>
      <c r="C116" t="s">
        <v>254</v>
      </c>
      <c r="D116" t="s">
        <v>473</v>
      </c>
      <c r="E116" t="s">
        <v>256</v>
      </c>
      <c r="G116" t="s">
        <v>453</v>
      </c>
      <c r="H116" t="s">
        <v>435</v>
      </c>
      <c r="I116" t="s">
        <v>264</v>
      </c>
      <c r="J116" t="s">
        <v>92</v>
      </c>
      <c r="K116" t="s">
        <v>553</v>
      </c>
      <c r="P116" t="s">
        <v>567</v>
      </c>
      <c r="Q116" t="s">
        <v>1193</v>
      </c>
    </row>
    <row r="117" spans="1:17" x14ac:dyDescent="0.25">
      <c r="A117" t="s">
        <v>576</v>
      </c>
      <c r="B117" t="s">
        <v>474</v>
      </c>
      <c r="C117" t="s">
        <v>254</v>
      </c>
      <c r="D117" t="s">
        <v>255</v>
      </c>
      <c r="E117" t="s">
        <v>256</v>
      </c>
      <c r="G117" t="s">
        <v>453</v>
      </c>
      <c r="H117" t="s">
        <v>435</v>
      </c>
      <c r="I117" t="s">
        <v>98</v>
      </c>
      <c r="J117" t="s">
        <v>92</v>
      </c>
      <c r="K117" t="s">
        <v>553</v>
      </c>
      <c r="M117" t="s">
        <v>556</v>
      </c>
      <c r="P117" t="s">
        <v>567</v>
      </c>
      <c r="Q117" t="s">
        <v>1193</v>
      </c>
    </row>
    <row r="118" spans="1:17" x14ac:dyDescent="0.25">
      <c r="A118" t="s">
        <v>576</v>
      </c>
      <c r="B118" t="s">
        <v>200</v>
      </c>
      <c r="D118" t="s">
        <v>202</v>
      </c>
      <c r="G118" t="s">
        <v>440</v>
      </c>
      <c r="H118" t="s">
        <v>435</v>
      </c>
      <c r="I118" t="s">
        <v>64</v>
      </c>
      <c r="J118" t="s">
        <v>203</v>
      </c>
      <c r="K118" t="s">
        <v>937</v>
      </c>
      <c r="M118" t="s">
        <v>968</v>
      </c>
      <c r="Q118" t="s">
        <v>1406</v>
      </c>
    </row>
    <row r="119" spans="1:17" x14ac:dyDescent="0.25">
      <c r="A119" t="s">
        <v>576</v>
      </c>
      <c r="B119" t="s">
        <v>536</v>
      </c>
      <c r="D119" t="s">
        <v>537</v>
      </c>
      <c r="G119" t="s">
        <v>440</v>
      </c>
      <c r="H119" t="s">
        <v>435</v>
      </c>
      <c r="I119" t="s">
        <v>78</v>
      </c>
      <c r="J119" t="s">
        <v>115</v>
      </c>
      <c r="K119" t="s">
        <v>553</v>
      </c>
    </row>
    <row r="120" spans="1:17" x14ac:dyDescent="0.25">
      <c r="A120" t="s">
        <v>575</v>
      </c>
      <c r="C120" t="s">
        <v>162</v>
      </c>
      <c r="E120" t="s">
        <v>164</v>
      </c>
      <c r="G120" t="s">
        <v>437</v>
      </c>
    </row>
    <row r="121" spans="1:17" x14ac:dyDescent="0.25">
      <c r="A121" t="s">
        <v>575</v>
      </c>
      <c r="C121" t="s">
        <v>273</v>
      </c>
      <c r="E121" t="s">
        <v>275</v>
      </c>
      <c r="G121" t="s">
        <v>434</v>
      </c>
      <c r="H121" t="s">
        <v>435</v>
      </c>
      <c r="I121" t="s">
        <v>324</v>
      </c>
      <c r="J121" t="s">
        <v>115</v>
      </c>
      <c r="K121" t="s">
        <v>554</v>
      </c>
      <c r="M121" t="s">
        <v>556</v>
      </c>
      <c r="N121" t="s">
        <v>984</v>
      </c>
      <c r="P121" t="s">
        <v>561</v>
      </c>
      <c r="Q121" t="s">
        <v>1401</v>
      </c>
    </row>
    <row r="122" spans="1:17" x14ac:dyDescent="0.25">
      <c r="A122" t="s">
        <v>575</v>
      </c>
      <c r="C122" t="s">
        <v>191</v>
      </c>
      <c r="E122" t="s">
        <v>193</v>
      </c>
      <c r="G122" t="s">
        <v>437</v>
      </c>
      <c r="H122" t="s">
        <v>435</v>
      </c>
      <c r="I122" t="s">
        <v>324</v>
      </c>
      <c r="J122" t="s">
        <v>115</v>
      </c>
      <c r="K122" t="s">
        <v>554</v>
      </c>
      <c r="L122" t="s">
        <v>555</v>
      </c>
      <c r="M122" t="s">
        <v>967</v>
      </c>
      <c r="N122" t="s">
        <v>976</v>
      </c>
      <c r="P122" t="s">
        <v>563</v>
      </c>
      <c r="Q122" t="s">
        <v>1401</v>
      </c>
    </row>
    <row r="123" spans="1:17" x14ac:dyDescent="0.25">
      <c r="A123" t="s">
        <v>575</v>
      </c>
      <c r="C123" t="s">
        <v>398</v>
      </c>
      <c r="E123" t="s">
        <v>402</v>
      </c>
      <c r="G123" t="s">
        <v>437</v>
      </c>
      <c r="H123" t="s">
        <v>435</v>
      </c>
      <c r="I123" t="s">
        <v>64</v>
      </c>
      <c r="J123" t="s">
        <v>115</v>
      </c>
      <c r="K123" t="s">
        <v>554</v>
      </c>
      <c r="M123" t="s">
        <v>968</v>
      </c>
      <c r="N123" t="s">
        <v>976</v>
      </c>
      <c r="P123" t="s">
        <v>565</v>
      </c>
      <c r="Q123" t="s">
        <v>1401</v>
      </c>
    </row>
    <row r="124" spans="1:17" x14ac:dyDescent="0.25">
      <c r="A124" t="s">
        <v>575</v>
      </c>
      <c r="C124" t="s">
        <v>361</v>
      </c>
      <c r="E124" t="s">
        <v>365</v>
      </c>
      <c r="G124" t="s">
        <v>453</v>
      </c>
      <c r="H124" t="s">
        <v>435</v>
      </c>
      <c r="I124" t="s">
        <v>64</v>
      </c>
      <c r="J124" t="s">
        <v>115</v>
      </c>
      <c r="K124" t="s">
        <v>554</v>
      </c>
      <c r="M124" t="s">
        <v>968</v>
      </c>
      <c r="N124" t="s">
        <v>977</v>
      </c>
      <c r="P124" t="s">
        <v>562</v>
      </c>
      <c r="Q124" t="s">
        <v>1401</v>
      </c>
    </row>
    <row r="125" spans="1:17" x14ac:dyDescent="0.25">
      <c r="A125" t="s">
        <v>575</v>
      </c>
      <c r="C125" t="s">
        <v>222</v>
      </c>
      <c r="E125" t="s">
        <v>224</v>
      </c>
      <c r="G125" t="s">
        <v>441</v>
      </c>
      <c r="H125" t="s">
        <v>435</v>
      </c>
      <c r="I125" t="s">
        <v>64</v>
      </c>
      <c r="J125" t="s">
        <v>225</v>
      </c>
      <c r="K125" t="s">
        <v>554</v>
      </c>
      <c r="M125" t="s">
        <v>968</v>
      </c>
      <c r="P125" t="s">
        <v>564</v>
      </c>
      <c r="Q125" t="s">
        <v>1401</v>
      </c>
    </row>
    <row r="126" spans="1:17" x14ac:dyDescent="0.25">
      <c r="A126" t="s">
        <v>575</v>
      </c>
      <c r="C126" t="s">
        <v>191</v>
      </c>
      <c r="E126" t="s">
        <v>405</v>
      </c>
      <c r="G126" t="s">
        <v>437</v>
      </c>
      <c r="Q126" t="s">
        <v>1403</v>
      </c>
    </row>
  </sheetData>
  <autoFilter ref="A1:R126" xr:uid="{A8564214-080D-4E30-A7E8-7C2823AC0E88}">
    <sortState xmlns:xlrd2="http://schemas.microsoft.com/office/spreadsheetml/2017/richdata2" ref="A2:R126">
      <sortCondition ref="B1:B126"/>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21E0B-06A8-4909-8999-69A6CC63874F}">
  <dimension ref="A1:EI68"/>
  <sheetViews>
    <sheetView tabSelected="1" topLeftCell="A37" workbookViewId="0">
      <pane xSplit="4" topLeftCell="M1" activePane="topRight" state="frozen"/>
      <selection pane="topRight" activeCell="S12" sqref="S12"/>
    </sheetView>
  </sheetViews>
  <sheetFormatPr baseColWidth="10" defaultRowHeight="15" x14ac:dyDescent="0.25"/>
  <cols>
    <col min="1" max="1" width="18.140625" customWidth="1"/>
    <col min="2" max="2" width="17.42578125" bestFit="1" customWidth="1"/>
    <col min="3" max="3" width="37.140625" bestFit="1" customWidth="1"/>
    <col min="4" max="4" width="27" bestFit="1" customWidth="1"/>
    <col min="5" max="5" width="26.5703125" bestFit="1" customWidth="1"/>
    <col min="6" max="6" width="14.28515625" bestFit="1" customWidth="1"/>
    <col min="7" max="8" width="32.85546875" customWidth="1"/>
    <col min="9" max="9" width="35.5703125" bestFit="1" customWidth="1"/>
    <col min="10" max="10" width="96.85546875" customWidth="1"/>
    <col min="11" max="11" width="36.85546875" bestFit="1" customWidth="1"/>
    <col min="12" max="12" width="39.140625" bestFit="1" customWidth="1"/>
    <col min="13" max="13" width="12.5703125" customWidth="1"/>
    <col min="14" max="14" width="20.85546875" customWidth="1"/>
    <col min="15" max="15" width="18.85546875" bestFit="1" customWidth="1"/>
    <col min="16" max="16" width="16.5703125" bestFit="1" customWidth="1"/>
    <col min="17" max="17" width="21" bestFit="1" customWidth="1"/>
    <col min="18" max="18" width="20.140625" customWidth="1"/>
    <col min="19" max="19" width="23" bestFit="1" customWidth="1"/>
    <col min="20" max="20" width="20.140625" customWidth="1"/>
    <col min="21" max="21" width="50.5703125" bestFit="1" customWidth="1"/>
    <col min="22" max="22" width="32.5703125" customWidth="1"/>
    <col min="23" max="23" width="15.7109375" bestFit="1" customWidth="1"/>
    <col min="24" max="24" width="27.7109375" bestFit="1" customWidth="1"/>
    <col min="25" max="25" width="18" style="49" bestFit="1" customWidth="1"/>
    <col min="26" max="26" width="14.5703125" style="49" bestFit="1" customWidth="1"/>
    <col min="27" max="27" width="14.42578125" style="49" bestFit="1" customWidth="1"/>
    <col min="28" max="28" width="16.85546875" style="49" bestFit="1" customWidth="1"/>
    <col min="29" max="29" width="16.85546875" style="49" customWidth="1"/>
    <col min="30" max="30" width="19.42578125" style="49" bestFit="1" customWidth="1"/>
    <col min="31" max="31" width="16.140625" style="49" customWidth="1"/>
    <col min="32" max="34" width="11.85546875" style="36" customWidth="1"/>
    <col min="35" max="35" width="8.42578125" style="36" bestFit="1" customWidth="1"/>
    <col min="36" max="36" width="8.42578125" style="36" customWidth="1"/>
    <col min="37" max="37" width="10.85546875" style="36" bestFit="1" customWidth="1"/>
    <col min="38" max="38" width="12.42578125" style="36" bestFit="1" customWidth="1"/>
    <col min="39" max="39" width="11.42578125" style="36" bestFit="1" customWidth="1"/>
    <col min="40" max="40" width="14.42578125" style="36" bestFit="1" customWidth="1"/>
    <col min="41" max="41" width="9.85546875" style="36" bestFit="1" customWidth="1"/>
    <col min="42" max="44" width="9.85546875" style="36" customWidth="1"/>
    <col min="45" max="45" width="11.85546875" style="41" customWidth="1"/>
    <col min="46" max="46" width="11.5703125" style="41" customWidth="1"/>
    <col min="47" max="47" width="12.5703125" style="41" bestFit="1" customWidth="1"/>
    <col min="48" max="48" width="11.85546875" style="41" bestFit="1" customWidth="1"/>
    <col min="49" max="49" width="11.85546875" style="41" customWidth="1"/>
    <col min="50" max="50" width="11.7109375" style="41" bestFit="1" customWidth="1"/>
    <col min="51" max="51" width="11.42578125" style="41" bestFit="1" customWidth="1"/>
    <col min="52" max="52" width="11.85546875" style="41" customWidth="1"/>
    <col min="53" max="53" width="11" style="41" customWidth="1"/>
    <col min="54" max="54" width="10.85546875" style="41" bestFit="1" customWidth="1"/>
  </cols>
  <sheetData>
    <row r="1" spans="1:55" x14ac:dyDescent="0.25">
      <c r="A1" s="15" t="s">
        <v>0</v>
      </c>
      <c r="B1" s="16" t="s">
        <v>1</v>
      </c>
      <c r="C1" s="16" t="s">
        <v>2</v>
      </c>
      <c r="D1" s="16" t="s">
        <v>3</v>
      </c>
      <c r="E1" s="16" t="s">
        <v>430</v>
      </c>
      <c r="F1" s="17" t="s">
        <v>431</v>
      </c>
      <c r="G1" s="15" t="s">
        <v>16</v>
      </c>
      <c r="H1" s="16" t="s">
        <v>1518</v>
      </c>
      <c r="I1" s="16" t="s">
        <v>1155</v>
      </c>
      <c r="J1" s="16" t="s">
        <v>1527</v>
      </c>
      <c r="K1" s="16" t="s">
        <v>1409</v>
      </c>
      <c r="L1" s="16" t="s">
        <v>1410</v>
      </c>
      <c r="M1" s="16" t="s">
        <v>980</v>
      </c>
      <c r="N1" s="16" t="s">
        <v>1476</v>
      </c>
      <c r="O1" s="16" t="s">
        <v>1512</v>
      </c>
      <c r="P1" s="16" t="s">
        <v>1513</v>
      </c>
      <c r="Q1" s="16" t="s">
        <v>1514</v>
      </c>
      <c r="R1" s="16" t="s">
        <v>1590</v>
      </c>
      <c r="S1" s="16" t="s">
        <v>1517</v>
      </c>
      <c r="T1" s="16" t="s">
        <v>1525</v>
      </c>
      <c r="U1" s="17" t="s">
        <v>17</v>
      </c>
      <c r="V1" s="1" t="s">
        <v>1463</v>
      </c>
      <c r="W1" s="1" t="s">
        <v>1067</v>
      </c>
      <c r="X1" s="1" t="s">
        <v>1460</v>
      </c>
      <c r="Y1" s="15" t="s">
        <v>907</v>
      </c>
      <c r="Z1" s="16" t="s">
        <v>1464</v>
      </c>
      <c r="AA1" s="16" t="s">
        <v>1505</v>
      </c>
      <c r="AB1" s="16" t="s">
        <v>1465</v>
      </c>
      <c r="AC1" s="16" t="s">
        <v>1588</v>
      </c>
      <c r="AD1" s="16" t="s">
        <v>1589</v>
      </c>
      <c r="AE1" s="16" t="s">
        <v>1462</v>
      </c>
      <c r="AF1" s="16" t="s">
        <v>923</v>
      </c>
      <c r="AG1" s="16" t="s">
        <v>924</v>
      </c>
      <c r="AH1" s="16" t="s">
        <v>925</v>
      </c>
      <c r="AI1" s="16" t="s">
        <v>926</v>
      </c>
      <c r="AJ1" s="16" t="s">
        <v>1096</v>
      </c>
      <c r="AK1" s="16" t="s">
        <v>929</v>
      </c>
      <c r="AL1" s="16" t="s">
        <v>930</v>
      </c>
      <c r="AM1" s="16" t="s">
        <v>931</v>
      </c>
      <c r="AN1" s="16" t="s">
        <v>927</v>
      </c>
      <c r="AO1" s="16" t="s">
        <v>928</v>
      </c>
      <c r="AP1" s="16" t="s">
        <v>1094</v>
      </c>
      <c r="AQ1" s="16" t="s">
        <v>1373</v>
      </c>
      <c r="AR1" s="16" t="s">
        <v>1374</v>
      </c>
      <c r="AS1" s="16" t="s">
        <v>1466</v>
      </c>
      <c r="AT1" s="16" t="s">
        <v>1467</v>
      </c>
      <c r="AU1" s="16" t="s">
        <v>1468</v>
      </c>
      <c r="AV1" s="16" t="s">
        <v>1469</v>
      </c>
      <c r="AW1" s="16" t="s">
        <v>1470</v>
      </c>
      <c r="AX1" s="16" t="s">
        <v>1471</v>
      </c>
      <c r="AY1" s="16" t="s">
        <v>1472</v>
      </c>
      <c r="AZ1" s="16" t="s">
        <v>1473</v>
      </c>
      <c r="BA1" s="16" t="s">
        <v>1474</v>
      </c>
      <c r="BB1" s="16" t="s">
        <v>1475</v>
      </c>
      <c r="BC1" s="1" t="s">
        <v>1504</v>
      </c>
    </row>
    <row r="2" spans="1:55" s="66" customFormat="1" x14ac:dyDescent="0.25">
      <c r="A2" s="64" t="s">
        <v>53</v>
      </c>
      <c r="B2" s="65"/>
      <c r="C2" s="66" t="s">
        <v>56</v>
      </c>
      <c r="D2" s="65"/>
      <c r="E2" s="66" t="s">
        <v>436</v>
      </c>
      <c r="F2" s="67" t="s">
        <v>435</v>
      </c>
      <c r="G2" s="64" t="s">
        <v>57</v>
      </c>
      <c r="I2" s="66" t="s">
        <v>1190</v>
      </c>
      <c r="J2" s="66" t="s">
        <v>1533</v>
      </c>
      <c r="K2" s="66" t="s">
        <v>1426</v>
      </c>
      <c r="L2" s="66" t="s">
        <v>1508</v>
      </c>
      <c r="M2" s="66">
        <v>15702687.604910901</v>
      </c>
      <c r="N2" s="66" t="s">
        <v>743</v>
      </c>
      <c r="O2" s="66" t="s">
        <v>1113</v>
      </c>
      <c r="Q2" s="66" t="s">
        <v>1113</v>
      </c>
      <c r="R2" s="66" t="s">
        <v>1113</v>
      </c>
      <c r="S2" s="66" t="s">
        <v>1113</v>
      </c>
      <c r="T2" s="66" t="s">
        <v>1113</v>
      </c>
      <c r="U2" s="67" t="s">
        <v>49</v>
      </c>
      <c r="V2" s="66" t="s">
        <v>1542</v>
      </c>
      <c r="W2" s="65" t="s">
        <v>1068</v>
      </c>
      <c r="X2" s="66" t="s">
        <v>1570</v>
      </c>
      <c r="Y2" s="64">
        <f>prod_table_raw!N11</f>
        <v>11187000</v>
      </c>
      <c r="AB2" s="66">
        <f t="shared" ref="AB2:AB33" si="0">Y2-Z2-AA2</f>
        <v>11187000</v>
      </c>
      <c r="AC2" s="72">
        <f>Z2/Y2</f>
        <v>0</v>
      </c>
      <c r="AD2">
        <f>AA2/Y2</f>
        <v>0</v>
      </c>
      <c r="AE2" s="68">
        <f>1-(Z2+AA2)/AB2</f>
        <v>1</v>
      </c>
      <c r="AF2" s="65"/>
      <c r="AG2" s="65"/>
      <c r="AH2" s="65"/>
      <c r="AI2" s="65"/>
      <c r="AJ2" s="65"/>
      <c r="AK2" s="65"/>
      <c r="AL2" s="65"/>
      <c r="AM2" s="65"/>
      <c r="AN2" s="65"/>
      <c r="AO2" s="65"/>
      <c r="AP2" s="65"/>
      <c r="AQ2" s="65"/>
      <c r="AR2" s="65"/>
      <c r="AS2" s="66">
        <f>AH2/(concentrate_grade!$F$4/100)</f>
        <v>0</v>
      </c>
      <c r="AT2" s="66">
        <f>AI2/(concentrate_grade!$F$6/100)</f>
        <v>0</v>
      </c>
      <c r="AU2" s="66">
        <f>AK2/(concentrate_grade!$F$5/100)</f>
        <v>0</v>
      </c>
      <c r="AV2" s="66">
        <f>AL2/(concentrate_grade!$F$9/100)</f>
        <v>0</v>
      </c>
      <c r="AW2" s="66">
        <f>AM2/(concentrate_grade!$F$8/100)</f>
        <v>0</v>
      </c>
      <c r="BB2" s="66" t="e">
        <f>AR2/concentrate_grade!#REF!</f>
        <v>#REF!</v>
      </c>
      <c r="BC2" s="66">
        <f t="shared" ref="BC2:BC33" si="1">Z2</f>
        <v>0</v>
      </c>
    </row>
    <row r="3" spans="1:55" s="54" customFormat="1" x14ac:dyDescent="0.25">
      <c r="A3" s="53" t="s">
        <v>60</v>
      </c>
      <c r="C3" s="54" t="s">
        <v>63</v>
      </c>
      <c r="E3" s="54" t="s">
        <v>439</v>
      </c>
      <c r="F3" s="55" t="s">
        <v>435</v>
      </c>
      <c r="G3" s="53" t="s">
        <v>64</v>
      </c>
      <c r="H3" s="54" t="s">
        <v>1521</v>
      </c>
      <c r="I3" s="54" t="s">
        <v>1555</v>
      </c>
      <c r="J3" s="54" t="s">
        <v>1541</v>
      </c>
      <c r="K3" s="54" t="s">
        <v>1419</v>
      </c>
      <c r="L3" s="54" t="s">
        <v>1416</v>
      </c>
      <c r="N3" s="54" t="s">
        <v>1477</v>
      </c>
      <c r="P3" s="54" t="s">
        <v>1113</v>
      </c>
      <c r="Q3" s="54" t="s">
        <v>1113</v>
      </c>
      <c r="R3" s="54" t="s">
        <v>1113</v>
      </c>
      <c r="S3" s="54" t="s">
        <v>1113</v>
      </c>
      <c r="T3" s="54" t="s">
        <v>1117</v>
      </c>
      <c r="U3" s="55" t="s">
        <v>65</v>
      </c>
      <c r="V3" s="54" t="s">
        <v>1113</v>
      </c>
      <c r="W3" s="54" t="s">
        <v>920</v>
      </c>
      <c r="X3" s="54" t="s">
        <v>1565</v>
      </c>
      <c r="Y3" s="53">
        <f>prod_table_raw!N13</f>
        <v>166000</v>
      </c>
      <c r="Z3" s="54">
        <f>(AF3+AG3)/0.98</f>
        <v>0.92040969387755101</v>
      </c>
      <c r="AB3" s="54">
        <f t="shared" si="0"/>
        <v>165999.07959030612</v>
      </c>
      <c r="AC3" s="72">
        <f t="shared" ref="AC3:AC66" si="2">Z3/Y3</f>
        <v>5.544636710105729E-6</v>
      </c>
      <c r="AD3">
        <f t="shared" ref="AD3:AD66" si="3">AA3/Y3</f>
        <v>0</v>
      </c>
      <c r="AE3" s="56">
        <f>1-(Z3+AA3)/AB3</f>
        <v>0.99999445533254672</v>
      </c>
      <c r="AF3" s="57">
        <f>prod_table_raw!N14</f>
        <v>0.90200150000000001</v>
      </c>
      <c r="AG3" s="57"/>
      <c r="AH3" s="57"/>
      <c r="AI3" s="57"/>
      <c r="AJ3" s="57"/>
      <c r="AK3" s="57"/>
      <c r="AL3" s="57"/>
      <c r="AM3" s="57"/>
      <c r="AN3" s="57"/>
      <c r="AO3" s="57"/>
      <c r="AP3" s="57"/>
      <c r="AQ3" s="57"/>
      <c r="AR3" s="57"/>
      <c r="AS3" s="54">
        <f>AH3/(concentrate_grade!$F$4/100)</f>
        <v>0</v>
      </c>
      <c r="AT3" s="54">
        <f>AI3/(concentrate_grade!$F$6/100)</f>
        <v>0</v>
      </c>
      <c r="AU3" s="54">
        <f>AK3/(concentrate_grade!$F$5/100)</f>
        <v>0</v>
      </c>
      <c r="AV3" s="54">
        <f>AL3/(concentrate_grade!$F$9/100)</f>
        <v>0</v>
      </c>
      <c r="AW3" s="54">
        <f>AM3/(concentrate_grade!$F$8/100)</f>
        <v>0</v>
      </c>
      <c r="AY3" s="57"/>
      <c r="AZ3" s="57"/>
      <c r="BA3" s="57"/>
      <c r="BB3" s="54" t="e">
        <f>AR3/concentrate_grade!#REF!</f>
        <v>#REF!</v>
      </c>
      <c r="BC3" s="54">
        <f t="shared" si="1"/>
        <v>0.92040969387755101</v>
      </c>
    </row>
    <row r="4" spans="1:55" s="66" customFormat="1" x14ac:dyDescent="0.25">
      <c r="A4" s="64" t="s">
        <v>68</v>
      </c>
      <c r="C4" s="66" t="s">
        <v>70</v>
      </c>
      <c r="E4" s="66" t="s">
        <v>436</v>
      </c>
      <c r="F4" s="67" t="s">
        <v>540</v>
      </c>
      <c r="G4" s="64" t="s">
        <v>71</v>
      </c>
      <c r="I4" s="66" t="s">
        <v>1415</v>
      </c>
      <c r="K4" s="66" t="s">
        <v>1424</v>
      </c>
      <c r="M4" s="66">
        <v>1248584.6715172599</v>
      </c>
      <c r="Q4" s="66" t="s">
        <v>1113</v>
      </c>
      <c r="R4" s="66" t="s">
        <v>1113</v>
      </c>
      <c r="T4" s="66" t="s">
        <v>1113</v>
      </c>
      <c r="U4" s="67" t="s">
        <v>1369</v>
      </c>
      <c r="V4" s="66" t="s">
        <v>1117</v>
      </c>
      <c r="W4" s="66" t="s">
        <v>1394</v>
      </c>
      <c r="Y4" s="64"/>
      <c r="AB4" s="66">
        <f t="shared" si="0"/>
        <v>0</v>
      </c>
      <c r="AC4" s="72"/>
      <c r="AD4"/>
      <c r="AF4" s="69"/>
      <c r="AG4" s="69"/>
      <c r="AH4" s="69"/>
      <c r="AI4" s="69"/>
      <c r="AJ4" s="69"/>
      <c r="AK4" s="69"/>
      <c r="AL4" s="69">
        <f>prod_table_raw!N16</f>
        <v>752600</v>
      </c>
      <c r="AM4" s="69">
        <f>prod_table_raw!N15</f>
        <v>244600</v>
      </c>
      <c r="AN4" s="69"/>
      <c r="AO4" s="69"/>
      <c r="AP4" s="69"/>
      <c r="AQ4" s="69"/>
      <c r="AR4" s="69"/>
      <c r="AS4" s="65">
        <f>AH4/(concentrate_grade!$F$4/100)</f>
        <v>0</v>
      </c>
      <c r="AT4" s="65">
        <f>AI4/(concentrate_grade!$F$6/100)</f>
        <v>0</v>
      </c>
      <c r="AU4" s="66">
        <f>AK4/(concentrate_grade!$F$5/100)</f>
        <v>0</v>
      </c>
      <c r="AV4" s="69"/>
      <c r="AW4" s="66">
        <f>AM4/(concentrate_grade!$F$8/100)</f>
        <v>407666.66666666669</v>
      </c>
      <c r="AX4" s="69"/>
      <c r="AY4" s="69"/>
      <c r="AZ4" s="69"/>
      <c r="BA4" s="69"/>
      <c r="BB4" s="69"/>
      <c r="BC4" s="66">
        <f t="shared" si="1"/>
        <v>0</v>
      </c>
    </row>
    <row r="5" spans="1:55" x14ac:dyDescent="0.25">
      <c r="A5" s="18" t="s">
        <v>74</v>
      </c>
      <c r="C5" t="s">
        <v>77</v>
      </c>
      <c r="E5" t="s">
        <v>436</v>
      </c>
      <c r="F5" s="19" t="s">
        <v>435</v>
      </c>
      <c r="G5" s="18" t="s">
        <v>78</v>
      </c>
      <c r="H5" t="s">
        <v>1523</v>
      </c>
      <c r="I5" t="s">
        <v>1555</v>
      </c>
      <c r="J5" t="s">
        <v>1531</v>
      </c>
      <c r="K5" t="s">
        <v>1426</v>
      </c>
      <c r="L5" t="s">
        <v>1416</v>
      </c>
      <c r="M5">
        <v>19028718.451565798</v>
      </c>
      <c r="N5" t="s">
        <v>1485</v>
      </c>
      <c r="Q5" t="s">
        <v>1113</v>
      </c>
      <c r="R5" t="s">
        <v>1113</v>
      </c>
      <c r="S5" t="s">
        <v>1113</v>
      </c>
      <c r="T5" t="s">
        <v>1526</v>
      </c>
      <c r="U5" s="19" t="s">
        <v>65</v>
      </c>
      <c r="V5" t="s">
        <v>1113</v>
      </c>
      <c r="W5" t="s">
        <v>1075</v>
      </c>
      <c r="X5" t="s">
        <v>1565</v>
      </c>
      <c r="Y5" s="18">
        <f>prod_table_raw!N17</f>
        <v>17332900</v>
      </c>
      <c r="Z5">
        <f>(AF5+AG5)/0.98</f>
        <v>29.039084533163262</v>
      </c>
      <c r="AA5"/>
      <c r="AB5">
        <f t="shared" si="0"/>
        <v>17332870.960915469</v>
      </c>
      <c r="AC5" s="72">
        <f t="shared" si="2"/>
        <v>1.6753736843322964E-6</v>
      </c>
      <c r="AD5">
        <f t="shared" si="3"/>
        <v>0</v>
      </c>
      <c r="AE5" s="51">
        <f>1-(Z5+AA5)/AB5</f>
        <v>0.99999832462350879</v>
      </c>
      <c r="AF5" s="31">
        <f>prod_table_raw!N18</f>
        <v>18.785114342499998</v>
      </c>
      <c r="AG5" s="31">
        <f>prod_table_raw!N19</f>
        <v>9.6731885000000002</v>
      </c>
      <c r="AH5" s="31"/>
      <c r="AI5" s="31"/>
      <c r="AJ5" s="31"/>
      <c r="AK5" s="31"/>
      <c r="AL5" s="31"/>
      <c r="AM5" s="31"/>
      <c r="AN5" s="31"/>
      <c r="AO5" s="31"/>
      <c r="AP5" s="31"/>
      <c r="AQ5" s="31"/>
      <c r="AR5" s="31"/>
      <c r="AS5">
        <f>AH5/(concentrate_grade!$F$4/100)</f>
        <v>0</v>
      </c>
      <c r="AT5">
        <f>AI5/(concentrate_grade!$F$6/100)</f>
        <v>0</v>
      </c>
      <c r="AU5">
        <f>AK5/(concentrate_grade!$F$5/100)</f>
        <v>0</v>
      </c>
      <c r="AV5">
        <f>AL5/(concentrate_grade!$F$9/100)</f>
        <v>0</v>
      </c>
      <c r="AW5">
        <f>AM5/(concentrate_grade!$F$8/100)</f>
        <v>0</v>
      </c>
      <c r="AX5"/>
      <c r="AY5" s="31"/>
      <c r="AZ5" s="31"/>
      <c r="BA5" s="31"/>
      <c r="BB5" t="e">
        <f>AR5/concentrate_grade!#REF!</f>
        <v>#REF!</v>
      </c>
      <c r="BC5">
        <f t="shared" si="1"/>
        <v>29.039084533163262</v>
      </c>
    </row>
    <row r="6" spans="1:55" s="66" customFormat="1" x14ac:dyDescent="0.25">
      <c r="A6" s="64" t="s">
        <v>82</v>
      </c>
      <c r="C6" s="66" t="s">
        <v>84</v>
      </c>
      <c r="E6" s="66" t="s">
        <v>442</v>
      </c>
      <c r="F6" s="67" t="s">
        <v>435</v>
      </c>
      <c r="G6" s="64" t="s">
        <v>78</v>
      </c>
      <c r="H6" s="66" t="s">
        <v>1519</v>
      </c>
      <c r="I6" s="66" t="s">
        <v>1404</v>
      </c>
      <c r="K6" s="66" t="s">
        <v>1426</v>
      </c>
      <c r="L6" s="66" t="s">
        <v>1416</v>
      </c>
      <c r="M6" s="66">
        <v>26104648.817951292</v>
      </c>
      <c r="Q6" s="66" t="s">
        <v>1113</v>
      </c>
      <c r="R6" t="s">
        <v>1113</v>
      </c>
      <c r="S6" s="66" t="s">
        <v>1113</v>
      </c>
      <c r="T6" s="66" t="s">
        <v>1113</v>
      </c>
      <c r="U6" s="67" t="s">
        <v>49</v>
      </c>
      <c r="V6" s="66" t="s">
        <v>1542</v>
      </c>
      <c r="W6" s="66" t="s">
        <v>1068</v>
      </c>
      <c r="X6" s="66" t="s">
        <v>1571</v>
      </c>
      <c r="Y6" s="64">
        <f>prod_table_raw!N21</f>
        <v>16478000</v>
      </c>
      <c r="AB6" s="66">
        <f t="shared" si="0"/>
        <v>16478000</v>
      </c>
      <c r="AC6" s="72">
        <f t="shared" si="2"/>
        <v>0</v>
      </c>
      <c r="AD6">
        <f t="shared" si="3"/>
        <v>0</v>
      </c>
      <c r="AE6" s="68">
        <f>1-(Z6+AA6)/AB6</f>
        <v>1</v>
      </c>
      <c r="AF6" s="69"/>
      <c r="AG6" s="69"/>
      <c r="AH6" s="69"/>
      <c r="AI6" s="69"/>
      <c r="AJ6" s="69"/>
      <c r="AK6" s="69"/>
      <c r="AL6" s="69"/>
      <c r="AM6" s="69"/>
      <c r="AN6" s="69"/>
      <c r="AO6" s="69"/>
      <c r="AP6" s="69"/>
      <c r="AQ6" s="69"/>
      <c r="AR6" s="69"/>
      <c r="AS6" s="66">
        <f>AH6/(concentrate_grade!$F$4/100)</f>
        <v>0</v>
      </c>
      <c r="AT6" s="66">
        <f>AI6/(concentrate_grade!$F$6/100)</f>
        <v>0</v>
      </c>
      <c r="AU6" s="66">
        <f>AK6/(concentrate_grade!$F$5/100)</f>
        <v>0</v>
      </c>
      <c r="AV6" s="66">
        <f>AL6/(concentrate_grade!$F$9/100)</f>
        <v>0</v>
      </c>
      <c r="AW6" s="66">
        <f>AM6/(concentrate_grade!$F$8/100)</f>
        <v>0</v>
      </c>
      <c r="AY6" s="69"/>
      <c r="AZ6" s="69"/>
      <c r="BA6" s="69"/>
      <c r="BB6" s="66" t="e">
        <f>AR6/concentrate_grade!#REF!</f>
        <v>#REF!</v>
      </c>
      <c r="BC6" s="66">
        <f t="shared" si="1"/>
        <v>0</v>
      </c>
    </row>
    <row r="7" spans="1:55" x14ac:dyDescent="0.25">
      <c r="A7" s="18" t="s">
        <v>88</v>
      </c>
      <c r="C7" t="s">
        <v>90</v>
      </c>
      <c r="E7" t="s">
        <v>436</v>
      </c>
      <c r="F7" s="19" t="s">
        <v>435</v>
      </c>
      <c r="G7" s="18" t="s">
        <v>91</v>
      </c>
      <c r="H7" t="s">
        <v>1523</v>
      </c>
      <c r="I7" t="s">
        <v>1555</v>
      </c>
      <c r="K7" t="s">
        <v>1426</v>
      </c>
      <c r="L7" t="s">
        <v>1506</v>
      </c>
      <c r="M7">
        <v>6202897.0171400001</v>
      </c>
      <c r="N7" t="s">
        <v>1478</v>
      </c>
      <c r="R7" t="s">
        <v>1113</v>
      </c>
      <c r="T7" t="s">
        <v>1113</v>
      </c>
      <c r="U7" s="19" t="s">
        <v>65</v>
      </c>
      <c r="V7" t="s">
        <v>1113</v>
      </c>
      <c r="W7" t="s">
        <v>920</v>
      </c>
      <c r="X7" t="s">
        <v>1565</v>
      </c>
      <c r="Y7" s="18">
        <f>prod_table_raw!N24</f>
        <v>1361450</v>
      </c>
      <c r="Z7">
        <f>(AF7+AG7)/0.98</f>
        <v>3.5165997959183577</v>
      </c>
      <c r="AA7"/>
      <c r="AB7">
        <f t="shared" si="0"/>
        <v>1361446.483400204</v>
      </c>
      <c r="AC7" s="72">
        <f t="shared" si="2"/>
        <v>2.5829812302459567E-6</v>
      </c>
      <c r="AD7">
        <f t="shared" si="3"/>
        <v>0</v>
      </c>
      <c r="AE7" s="51">
        <f>1-(Z7+AA7)/AB7</f>
        <v>0.99999741701209799</v>
      </c>
      <c r="AF7" s="31">
        <f>prod_table_raw!N22</f>
        <v>2.6935630999999902</v>
      </c>
      <c r="AG7" s="31">
        <f>prod_table_raw!N23</f>
        <v>0.7527047</v>
      </c>
      <c r="AH7" s="31"/>
      <c r="AI7" s="31"/>
      <c r="AJ7" s="31"/>
      <c r="AK7" s="31"/>
      <c r="AL7" s="31"/>
      <c r="AM7" s="31"/>
      <c r="AN7" s="31"/>
      <c r="AO7" s="31"/>
      <c r="AP7" s="31"/>
      <c r="AQ7" s="31"/>
      <c r="AR7" s="31"/>
      <c r="AS7">
        <f>AH7/(concentrate_grade!$F$4/100)</f>
        <v>0</v>
      </c>
      <c r="AT7">
        <f>AI7/(concentrate_grade!$F$6/100)</f>
        <v>0</v>
      </c>
      <c r="AU7">
        <f>AK7/(concentrate_grade!$F$5/100)</f>
        <v>0</v>
      </c>
      <c r="AV7">
        <f>AL7/(concentrate_grade!$F$9/100)</f>
        <v>0</v>
      </c>
      <c r="AW7">
        <f>AM7/(concentrate_grade!$F$8/100)</f>
        <v>0</v>
      </c>
      <c r="AX7"/>
      <c r="AY7" s="31"/>
      <c r="AZ7" s="31"/>
      <c r="BA7" s="31"/>
      <c r="BB7" t="e">
        <f>AR7/concentrate_grade!#REF!</f>
        <v>#REF!</v>
      </c>
      <c r="BC7">
        <f t="shared" si="1"/>
        <v>3.5165997959183577</v>
      </c>
    </row>
    <row r="8" spans="1:55" x14ac:dyDescent="0.25">
      <c r="A8" s="18" t="s">
        <v>524</v>
      </c>
      <c r="B8" t="s">
        <v>403</v>
      </c>
      <c r="C8" t="s">
        <v>1370</v>
      </c>
      <c r="D8" t="s">
        <v>405</v>
      </c>
      <c r="E8" t="s">
        <v>437</v>
      </c>
      <c r="F8" s="19" t="s">
        <v>435</v>
      </c>
      <c r="G8" s="18" t="s">
        <v>98</v>
      </c>
      <c r="H8" t="s">
        <v>1523</v>
      </c>
      <c r="I8" t="s">
        <v>1560</v>
      </c>
      <c r="J8" t="s">
        <v>1533</v>
      </c>
      <c r="K8" t="s">
        <v>1427</v>
      </c>
      <c r="M8">
        <v>21591249.4628</v>
      </c>
      <c r="Q8" t="s">
        <v>1113</v>
      </c>
      <c r="R8" t="s">
        <v>1113</v>
      </c>
      <c r="S8" t="s">
        <v>1113</v>
      </c>
      <c r="T8" t="s">
        <v>1113</v>
      </c>
      <c r="U8" s="19" t="s">
        <v>373</v>
      </c>
      <c r="V8" t="s">
        <v>1552</v>
      </c>
      <c r="W8" t="s">
        <v>1396</v>
      </c>
      <c r="X8" t="s">
        <v>1566</v>
      </c>
      <c r="Y8" s="18">
        <f>prod_table_raw!N30</f>
        <v>748000</v>
      </c>
      <c r="Z8"/>
      <c r="AA8">
        <f>AI8/(concentrate_grade!$F$6/100)</f>
        <v>54693.75</v>
      </c>
      <c r="AB8">
        <f t="shared" si="0"/>
        <v>693306.25</v>
      </c>
      <c r="AC8" s="72">
        <f t="shared" si="2"/>
        <v>0</v>
      </c>
      <c r="AD8">
        <f t="shared" si="3"/>
        <v>7.3119986631016043E-2</v>
      </c>
      <c r="AE8" s="51">
        <f>1-(Z8+AA8)/AB8</f>
        <v>0.92111170207970861</v>
      </c>
      <c r="AF8" s="31"/>
      <c r="AG8" s="31"/>
      <c r="AH8" s="31">
        <f>prod_table_raw!N29</f>
        <v>10098</v>
      </c>
      <c r="AI8" s="31">
        <f>prod_table_raw!N28</f>
        <v>8751</v>
      </c>
      <c r="AJ8" s="31"/>
      <c r="AK8" s="31"/>
      <c r="AL8" s="31"/>
      <c r="AM8" s="31"/>
      <c r="AN8" s="31"/>
      <c r="AO8" s="31"/>
      <c r="AP8" s="31"/>
      <c r="AQ8" s="31"/>
      <c r="AR8" s="31"/>
      <c r="AS8"/>
      <c r="AT8">
        <f>AI8/(concentrate_grade!$F$6/100)</f>
        <v>54693.75</v>
      </c>
      <c r="AU8">
        <f>AK8/(concentrate_grade!$F$5/100)</f>
        <v>0</v>
      </c>
      <c r="AV8">
        <f>AL8/(concentrate_grade!$F$9/100)</f>
        <v>0</v>
      </c>
      <c r="AW8">
        <f>AM8/(concentrate_grade!$F$8/100)</f>
        <v>0</v>
      </c>
      <c r="AX8"/>
      <c r="AY8" s="31"/>
      <c r="AZ8" s="31"/>
      <c r="BA8" s="31"/>
      <c r="BB8" t="e">
        <f>AR8/concentrate_grade!#REF!</f>
        <v>#REF!</v>
      </c>
      <c r="BC8">
        <f t="shared" si="1"/>
        <v>0</v>
      </c>
    </row>
    <row r="9" spans="1:55" s="66" customFormat="1" x14ac:dyDescent="0.25">
      <c r="A9" s="64" t="s">
        <v>526</v>
      </c>
      <c r="B9" s="66" t="s">
        <v>403</v>
      </c>
      <c r="C9" s="66" t="s">
        <v>1371</v>
      </c>
      <c r="D9" s="66" t="s">
        <v>405</v>
      </c>
      <c r="E9" s="66" t="s">
        <v>437</v>
      </c>
      <c r="F9" s="67" t="s">
        <v>540</v>
      </c>
      <c r="G9" s="64" t="s">
        <v>411</v>
      </c>
      <c r="H9" s="66" t="s">
        <v>1523</v>
      </c>
      <c r="I9" s="66" t="s">
        <v>1411</v>
      </c>
      <c r="K9" s="66" t="s">
        <v>1426</v>
      </c>
      <c r="L9" s="66" t="s">
        <v>1508</v>
      </c>
      <c r="M9" s="66">
        <v>3963061.6444813549</v>
      </c>
      <c r="O9" s="66" t="s">
        <v>1113</v>
      </c>
      <c r="Q9" s="66" t="s">
        <v>1113</v>
      </c>
      <c r="R9" t="s">
        <v>1113</v>
      </c>
      <c r="T9" s="66" t="s">
        <v>1113</v>
      </c>
      <c r="U9" s="67" t="s">
        <v>551</v>
      </c>
      <c r="V9" s="66" t="s">
        <v>1552</v>
      </c>
      <c r="W9" s="66" t="s">
        <v>1396</v>
      </c>
      <c r="X9" s="66" t="s">
        <v>1538</v>
      </c>
      <c r="Y9" s="64"/>
      <c r="AB9" s="66">
        <f t="shared" si="0"/>
        <v>0</v>
      </c>
      <c r="AC9" s="72"/>
      <c r="AD9"/>
      <c r="AF9" s="69"/>
      <c r="AG9" s="69"/>
      <c r="AH9" s="69">
        <f>prod_table_raw!N31</f>
        <v>57900</v>
      </c>
      <c r="AI9" s="69">
        <f>prod_table_raw!N32</f>
        <v>38200</v>
      </c>
      <c r="AJ9" s="69"/>
      <c r="AK9" s="69"/>
      <c r="AL9" s="69"/>
      <c r="AM9" s="69"/>
      <c r="AN9" s="69"/>
      <c r="AO9" s="69"/>
      <c r="AP9" s="69"/>
      <c r="AQ9" s="69"/>
      <c r="AR9" s="69"/>
      <c r="AS9" s="65"/>
      <c r="AT9" s="65"/>
      <c r="AU9" s="66">
        <f>AK9/(concentrate_grade!$F$5/100)</f>
        <v>0</v>
      </c>
      <c r="AV9" s="69"/>
      <c r="AW9" s="66">
        <f>AM9/(concentrate_grade!$F$8/100)</f>
        <v>0</v>
      </c>
      <c r="AX9" s="69"/>
      <c r="AY9" s="69"/>
      <c r="AZ9" s="69"/>
      <c r="BA9" s="69"/>
      <c r="BB9" s="69"/>
      <c r="BC9" s="66">
        <f t="shared" si="1"/>
        <v>0</v>
      </c>
    </row>
    <row r="10" spans="1:55" x14ac:dyDescent="0.25">
      <c r="A10" s="18" t="s">
        <v>109</v>
      </c>
      <c r="C10" t="s">
        <v>112</v>
      </c>
      <c r="E10" t="s">
        <v>439</v>
      </c>
      <c r="F10" s="19" t="s">
        <v>435</v>
      </c>
      <c r="G10" s="18" t="s">
        <v>78</v>
      </c>
      <c r="H10" t="s">
        <v>1520</v>
      </c>
      <c r="I10" t="s">
        <v>1558</v>
      </c>
      <c r="K10" t="s">
        <v>1426</v>
      </c>
      <c r="L10" t="s">
        <v>1515</v>
      </c>
      <c r="M10">
        <v>13233210.388599999</v>
      </c>
      <c r="N10" t="s">
        <v>1484</v>
      </c>
      <c r="O10" t="s">
        <v>1113</v>
      </c>
      <c r="Q10" t="s">
        <v>1113</v>
      </c>
      <c r="R10" t="s">
        <v>1113</v>
      </c>
      <c r="S10" t="s">
        <v>1113</v>
      </c>
      <c r="T10" t="s">
        <v>1113</v>
      </c>
      <c r="U10" s="19" t="s">
        <v>113</v>
      </c>
      <c r="V10" t="s">
        <v>1113</v>
      </c>
      <c r="W10" t="s">
        <v>1076</v>
      </c>
      <c r="X10" t="s">
        <v>1577</v>
      </c>
      <c r="Y10" s="18">
        <f>prod_table_raw!N36</f>
        <v>6862152</v>
      </c>
      <c r="Z10"/>
      <c r="AA10">
        <f>AH10/(concentrate_grade!$F$4/100)</f>
        <v>63500</v>
      </c>
      <c r="AB10">
        <f t="shared" si="0"/>
        <v>6798652</v>
      </c>
      <c r="AC10" s="72">
        <f t="shared" si="2"/>
        <v>0</v>
      </c>
      <c r="AD10">
        <f t="shared" si="3"/>
        <v>9.2536568703228961E-3</v>
      </c>
      <c r="AE10" s="51">
        <f t="shared" ref="AE10:AE22" si="4">1-(Z10+AA10)/AB10</f>
        <v>0.99065991317102275</v>
      </c>
      <c r="AF10" s="31">
        <f>prod_table_raw!N35</f>
        <v>0.27520376799999902</v>
      </c>
      <c r="AG10" s="31">
        <f>prod_table_raw!N38</f>
        <v>6.7893341869999997</v>
      </c>
      <c r="AH10" s="31">
        <f>prod_table_raw!N39</f>
        <v>19050</v>
      </c>
      <c r="AI10" s="31"/>
      <c r="AJ10" s="31"/>
      <c r="AK10" s="31"/>
      <c r="AL10" s="31"/>
      <c r="AM10" s="31"/>
      <c r="AN10" s="31"/>
      <c r="AO10" s="31"/>
      <c r="AP10" s="31"/>
      <c r="AQ10" s="31"/>
      <c r="AR10" s="31"/>
      <c r="AS10">
        <f>AH10/(concentrate_grade!$F$4/100)</f>
        <v>63500</v>
      </c>
      <c r="AT10">
        <f>AI10/(concentrate_grade!$F$6/100)</f>
        <v>0</v>
      </c>
      <c r="AU10">
        <f>AK10/(concentrate_grade!$F$5/100)</f>
        <v>0</v>
      </c>
      <c r="AV10">
        <f>AL10/(concentrate_grade!$F$9/100)</f>
        <v>0</v>
      </c>
      <c r="AW10">
        <f>AM10/(concentrate_grade!$F$8/100)</f>
        <v>0</v>
      </c>
      <c r="AX10"/>
      <c r="AY10" s="31"/>
      <c r="AZ10" s="31"/>
      <c r="BA10" s="31"/>
      <c r="BB10" t="e">
        <f>AR10/concentrate_grade!#REF!</f>
        <v>#REF!</v>
      </c>
      <c r="BC10">
        <f t="shared" si="1"/>
        <v>0</v>
      </c>
    </row>
    <row r="11" spans="1:55" x14ac:dyDescent="0.25">
      <c r="A11" s="18" t="s">
        <v>527</v>
      </c>
      <c r="B11" t="s">
        <v>403</v>
      </c>
      <c r="C11" t="s">
        <v>528</v>
      </c>
      <c r="D11" t="s">
        <v>405</v>
      </c>
      <c r="E11" t="s">
        <v>437</v>
      </c>
      <c r="F11" s="19" t="s">
        <v>435</v>
      </c>
      <c r="G11" s="18" t="s">
        <v>98</v>
      </c>
      <c r="H11" t="s">
        <v>1523</v>
      </c>
      <c r="I11" t="s">
        <v>1560</v>
      </c>
      <c r="J11" t="s">
        <v>1533</v>
      </c>
      <c r="K11" t="s">
        <v>1423</v>
      </c>
      <c r="M11">
        <v>1929968.1763706871</v>
      </c>
      <c r="N11" t="s">
        <v>1478</v>
      </c>
      <c r="Q11" t="s">
        <v>1113</v>
      </c>
      <c r="R11" t="s">
        <v>1113</v>
      </c>
      <c r="S11" t="s">
        <v>1113</v>
      </c>
      <c r="T11" t="s">
        <v>1113</v>
      </c>
      <c r="U11" s="19" t="s">
        <v>373</v>
      </c>
      <c r="V11" t="s">
        <v>1552</v>
      </c>
      <c r="W11" t="s">
        <v>1396</v>
      </c>
      <c r="X11" t="s">
        <v>1566</v>
      </c>
      <c r="Y11" s="18">
        <f>prod_table_raw!N44</f>
        <v>433000</v>
      </c>
      <c r="Z11"/>
      <c r="AA11">
        <f>AI11/(concentrate_grade!$F$6/100)</f>
        <v>70900</v>
      </c>
      <c r="AB11">
        <f t="shared" si="0"/>
        <v>362100</v>
      </c>
      <c r="AC11" s="72">
        <f t="shared" si="2"/>
        <v>0</v>
      </c>
      <c r="AD11">
        <f t="shared" si="3"/>
        <v>0.16374133949191685</v>
      </c>
      <c r="AE11" s="51">
        <f t="shared" si="4"/>
        <v>0.80419773543220108</v>
      </c>
      <c r="AF11" s="31"/>
      <c r="AG11" s="31"/>
      <c r="AH11" s="31">
        <f>prod_table_raw!N43</f>
        <v>9396</v>
      </c>
      <c r="AI11" s="31">
        <f>prod_table_raw!N42</f>
        <v>11344</v>
      </c>
      <c r="AJ11" s="31"/>
      <c r="AK11" s="31"/>
      <c r="AL11" s="31"/>
      <c r="AM11" s="31"/>
      <c r="AN11" s="31"/>
      <c r="AO11" s="31"/>
      <c r="AP11" s="31"/>
      <c r="AQ11" s="31"/>
      <c r="AR11" s="31"/>
      <c r="AS11"/>
      <c r="AT11">
        <f>AI11/(concentrate_grade!$F$6/100)</f>
        <v>70900</v>
      </c>
      <c r="AU11">
        <f>AK11/(concentrate_grade!$F$5/100)</f>
        <v>0</v>
      </c>
      <c r="AV11">
        <f>AL11/(concentrate_grade!$F$9/100)</f>
        <v>0</v>
      </c>
      <c r="AW11">
        <f>AM11/(concentrate_grade!$F$8/100)</f>
        <v>0</v>
      </c>
      <c r="AX11"/>
      <c r="AY11" s="31"/>
      <c r="AZ11" s="31"/>
      <c r="BA11" s="31"/>
      <c r="BB11" t="e">
        <f>AR11/concentrate_grade!#REF!</f>
        <v>#REF!</v>
      </c>
      <c r="BC11">
        <f t="shared" si="1"/>
        <v>0</v>
      </c>
    </row>
    <row r="12" spans="1:55" x14ac:dyDescent="0.25">
      <c r="A12" s="18" t="s">
        <v>116</v>
      </c>
      <c r="C12" t="s">
        <v>117</v>
      </c>
      <c r="E12" t="s">
        <v>437</v>
      </c>
      <c r="F12" s="19" t="s">
        <v>435</v>
      </c>
      <c r="G12" s="18" t="s">
        <v>78</v>
      </c>
      <c r="H12" t="s">
        <v>1520</v>
      </c>
      <c r="I12" t="s">
        <v>1555</v>
      </c>
      <c r="K12" t="s">
        <v>1426</v>
      </c>
      <c r="L12" t="s">
        <v>1416</v>
      </c>
      <c r="M12">
        <v>10276967.100669291</v>
      </c>
      <c r="N12" t="s">
        <v>1482</v>
      </c>
      <c r="Q12" t="s">
        <v>1113</v>
      </c>
      <c r="R12" t="s">
        <v>1113</v>
      </c>
      <c r="T12" t="s">
        <v>1526</v>
      </c>
      <c r="U12" s="19" t="s">
        <v>115</v>
      </c>
      <c r="V12" t="s">
        <v>1113</v>
      </c>
      <c r="W12" t="s">
        <v>1075</v>
      </c>
      <c r="X12" t="s">
        <v>1565</v>
      </c>
      <c r="Y12" s="18">
        <f>prod_table_raw!N48</f>
        <v>25434853.502416398</v>
      </c>
      <c r="Z12">
        <f>(AF12+AG12)/0.98</f>
        <v>24.008283837755101</v>
      </c>
      <c r="AA12"/>
      <c r="AB12">
        <f t="shared" si="0"/>
        <v>25434829.49413256</v>
      </c>
      <c r="AC12" s="72">
        <f t="shared" si="2"/>
        <v>9.4391280199330541E-7</v>
      </c>
      <c r="AD12">
        <f t="shared" si="3"/>
        <v>0</v>
      </c>
      <c r="AE12" s="51">
        <f t="shared" si="4"/>
        <v>0.99999905608630701</v>
      </c>
      <c r="AF12" s="31">
        <f>prod_table_raw!N49</f>
        <v>21.070941660999999</v>
      </c>
      <c r="AG12" s="31">
        <f>prod_table_raw!N50</f>
        <v>2.4571765000000001</v>
      </c>
      <c r="AH12" s="31"/>
      <c r="AI12" s="31"/>
      <c r="AJ12" s="31"/>
      <c r="AK12" s="31"/>
      <c r="AL12" s="31"/>
      <c r="AM12" s="31"/>
      <c r="AN12" s="31"/>
      <c r="AO12" s="31"/>
      <c r="AP12" s="31"/>
      <c r="AQ12" s="31"/>
      <c r="AR12" s="31"/>
      <c r="AS12">
        <f>AH12/(concentrate_grade!$F$4/100)</f>
        <v>0</v>
      </c>
      <c r="AT12">
        <f>AI12/(concentrate_grade!$F$6/100)</f>
        <v>0</v>
      </c>
      <c r="AU12">
        <f>AK12/(concentrate_grade!$F$5/100)</f>
        <v>0</v>
      </c>
      <c r="AV12">
        <f>AL12/(concentrate_grade!$F$9/100)</f>
        <v>0</v>
      </c>
      <c r="AW12">
        <f>AM12/(concentrate_grade!$F$8/100)</f>
        <v>0</v>
      </c>
      <c r="AX12"/>
      <c r="AY12" s="31"/>
      <c r="AZ12" s="31"/>
      <c r="BA12" s="31"/>
      <c r="BB12" t="e">
        <f>AR12/concentrate_grade!#REF!</f>
        <v>#REF!</v>
      </c>
      <c r="BC12">
        <f t="shared" si="1"/>
        <v>24.008283837755101</v>
      </c>
    </row>
    <row r="13" spans="1:55" x14ac:dyDescent="0.25">
      <c r="A13" s="18" t="s">
        <v>125</v>
      </c>
      <c r="C13" t="s">
        <v>128</v>
      </c>
      <c r="E13" t="s">
        <v>437</v>
      </c>
      <c r="F13" s="19" t="s">
        <v>435</v>
      </c>
      <c r="G13" s="18" t="s">
        <v>64</v>
      </c>
      <c r="H13" t="s">
        <v>1523</v>
      </c>
      <c r="I13" t="s">
        <v>1555</v>
      </c>
      <c r="K13" t="s">
        <v>1418</v>
      </c>
      <c r="L13" t="s">
        <v>1516</v>
      </c>
      <c r="M13">
        <v>352884.57374953461</v>
      </c>
      <c r="N13" t="s">
        <v>1481</v>
      </c>
      <c r="O13" t="s">
        <v>1113</v>
      </c>
      <c r="R13" t="s">
        <v>1113</v>
      </c>
      <c r="T13" t="s">
        <v>1526</v>
      </c>
      <c r="U13" s="19" t="s">
        <v>115</v>
      </c>
      <c r="V13" t="s">
        <v>1113</v>
      </c>
      <c r="W13" t="s">
        <v>920</v>
      </c>
      <c r="X13" t="s">
        <v>1565</v>
      </c>
      <c r="Y13" s="18">
        <f>prod_table_raw!N55</f>
        <v>222627</v>
      </c>
      <c r="Z13">
        <f>(AF13+AG13)/0.98</f>
        <v>2.7760508515306124</v>
      </c>
      <c r="AA13"/>
      <c r="AB13">
        <f t="shared" si="0"/>
        <v>222624.22394914847</v>
      </c>
      <c r="AC13" s="72">
        <f t="shared" si="2"/>
        <v>1.2469515609205588E-5</v>
      </c>
      <c r="AD13">
        <f t="shared" si="3"/>
        <v>0</v>
      </c>
      <c r="AE13" s="51">
        <f t="shared" si="4"/>
        <v>0.99998753032890009</v>
      </c>
      <c r="AF13" s="31">
        <f>prod_table_raw!N54</f>
        <v>2.7205298345000002</v>
      </c>
      <c r="AG13" s="31"/>
      <c r="AH13" s="31"/>
      <c r="AI13" s="31"/>
      <c r="AJ13" s="31"/>
      <c r="AK13" s="31"/>
      <c r="AL13" s="31"/>
      <c r="AM13" s="31"/>
      <c r="AN13" s="31"/>
      <c r="AO13" s="31"/>
      <c r="AP13" s="31"/>
      <c r="AQ13" s="31"/>
      <c r="AR13" s="31"/>
      <c r="AS13">
        <f>AH13/(concentrate_grade!$F$4/100)</f>
        <v>0</v>
      </c>
      <c r="AT13">
        <f>AI13/(concentrate_grade!$F$6/100)</f>
        <v>0</v>
      </c>
      <c r="AU13">
        <f>AK13/(concentrate_grade!$F$5/100)</f>
        <v>0</v>
      </c>
      <c r="AV13">
        <f>AL13/(concentrate_grade!$F$9/100)</f>
        <v>0</v>
      </c>
      <c r="AW13">
        <f>AM13/(concentrate_grade!$F$8/100)</f>
        <v>0</v>
      </c>
      <c r="AX13"/>
      <c r="AY13" s="31"/>
      <c r="AZ13" s="31"/>
      <c r="BA13" s="31"/>
      <c r="BB13" t="e">
        <f>AR13/concentrate_grade!#REF!</f>
        <v>#REF!</v>
      </c>
      <c r="BC13">
        <f t="shared" si="1"/>
        <v>2.7760508515306124</v>
      </c>
    </row>
    <row r="14" spans="1:55" x14ac:dyDescent="0.25">
      <c r="A14" s="18" t="s">
        <v>135</v>
      </c>
      <c r="C14" t="s">
        <v>136</v>
      </c>
      <c r="E14" t="s">
        <v>436</v>
      </c>
      <c r="F14" s="19" t="s">
        <v>435</v>
      </c>
      <c r="G14" s="18" t="s">
        <v>64</v>
      </c>
      <c r="H14" t="s">
        <v>1519</v>
      </c>
      <c r="I14" t="s">
        <v>1555</v>
      </c>
      <c r="K14" t="s">
        <v>1418</v>
      </c>
      <c r="L14" t="s">
        <v>1417</v>
      </c>
      <c r="M14">
        <v>1445491.9253398541</v>
      </c>
      <c r="N14" t="s">
        <v>1481</v>
      </c>
      <c r="S14" t="s">
        <v>1113</v>
      </c>
      <c r="T14" t="s">
        <v>1113</v>
      </c>
      <c r="U14" s="19" t="s">
        <v>65</v>
      </c>
      <c r="V14" t="s">
        <v>1113</v>
      </c>
      <c r="W14" t="s">
        <v>1075</v>
      </c>
      <c r="X14" t="s">
        <v>1565</v>
      </c>
      <c r="Y14" s="18">
        <f>prod_table_raw!N62</f>
        <v>1661000</v>
      </c>
      <c r="Z14">
        <f>(AF14+AG14)/0.98</f>
        <v>7.7388999209183664</v>
      </c>
      <c r="AA14"/>
      <c r="AB14">
        <f t="shared" si="0"/>
        <v>1660992.2611000792</v>
      </c>
      <c r="AC14" s="72">
        <f t="shared" si="2"/>
        <v>4.6591811685240014E-6</v>
      </c>
      <c r="AD14">
        <f t="shared" si="3"/>
        <v>0</v>
      </c>
      <c r="AE14" s="51">
        <f t="shared" si="4"/>
        <v>0.99999534079712338</v>
      </c>
      <c r="AF14" s="31">
        <f>prod_table_raw!N59</f>
        <v>7.2160120000000001</v>
      </c>
      <c r="AG14" s="31">
        <f>prod_table_raw!N60</f>
        <v>0.36810992249999902</v>
      </c>
      <c r="AH14" s="31"/>
      <c r="AI14" s="31"/>
      <c r="AJ14" s="31"/>
      <c r="AK14" s="31"/>
      <c r="AL14" s="31"/>
      <c r="AM14" s="31"/>
      <c r="AN14" s="31"/>
      <c r="AO14" s="31"/>
      <c r="AP14" s="31"/>
      <c r="AQ14" s="31"/>
      <c r="AR14" s="31"/>
      <c r="AS14">
        <f>AH14/(concentrate_grade!$F$4/100)</f>
        <v>0</v>
      </c>
      <c r="AT14">
        <f>AI14/(concentrate_grade!$F$6/100)</f>
        <v>0</v>
      </c>
      <c r="AU14">
        <f>AK14/(concentrate_grade!$F$5/100)</f>
        <v>0</v>
      </c>
      <c r="AV14">
        <f>AL14/(concentrate_grade!$F$9/100)</f>
        <v>0</v>
      </c>
      <c r="AW14">
        <f>AM14/(concentrate_grade!$F$8/100)</f>
        <v>0</v>
      </c>
      <c r="AX14"/>
      <c r="AY14" s="31"/>
      <c r="AZ14" s="31"/>
      <c r="BA14" s="31"/>
      <c r="BB14" t="e">
        <f>AR14/concentrate_grade!#REF!</f>
        <v>#REF!</v>
      </c>
      <c r="BC14">
        <f t="shared" si="1"/>
        <v>7.7388999209183664</v>
      </c>
    </row>
    <row r="15" spans="1:55" x14ac:dyDescent="0.25">
      <c r="A15" s="18" t="s">
        <v>139</v>
      </c>
      <c r="C15" t="s">
        <v>142</v>
      </c>
      <c r="E15" t="s">
        <v>439</v>
      </c>
      <c r="F15" s="19" t="s">
        <v>435</v>
      </c>
      <c r="G15" s="18" t="s">
        <v>57</v>
      </c>
      <c r="H15" t="s">
        <v>1519</v>
      </c>
      <c r="I15" t="s">
        <v>1555</v>
      </c>
      <c r="J15" t="s">
        <v>1533</v>
      </c>
      <c r="K15" t="s">
        <v>1424</v>
      </c>
      <c r="M15">
        <v>416736.86034155951</v>
      </c>
      <c r="N15" t="s">
        <v>1480</v>
      </c>
      <c r="Q15" t="s">
        <v>1113</v>
      </c>
      <c r="R15" t="s">
        <v>1113</v>
      </c>
      <c r="S15" t="s">
        <v>1113</v>
      </c>
      <c r="T15" t="s">
        <v>1113</v>
      </c>
      <c r="U15" s="19" t="s">
        <v>115</v>
      </c>
      <c r="V15" t="s">
        <v>1501</v>
      </c>
      <c r="W15" t="s">
        <v>920</v>
      </c>
      <c r="X15" t="s">
        <v>1565</v>
      </c>
      <c r="Y15" s="18">
        <f>prod_table_raw!N64</f>
        <v>33245</v>
      </c>
      <c r="Z15">
        <f>(AF15+AG15)/0.98</f>
        <v>0.12428704693877551</v>
      </c>
      <c r="AA15"/>
      <c r="AB15">
        <f t="shared" si="0"/>
        <v>33244.875712953064</v>
      </c>
      <c r="AC15" s="72">
        <f t="shared" si="2"/>
        <v>3.7385184821409389E-6</v>
      </c>
      <c r="AD15">
        <f t="shared" si="3"/>
        <v>0</v>
      </c>
      <c r="AE15" s="51">
        <f t="shared" si="4"/>
        <v>0.99999626146754128</v>
      </c>
      <c r="AF15" s="31">
        <f>prod_table_raw!N65</f>
        <v>0.121801306</v>
      </c>
      <c r="AG15" s="31"/>
      <c r="AH15" s="31"/>
      <c r="AI15" s="31"/>
      <c r="AJ15" s="31"/>
      <c r="AK15" s="31"/>
      <c r="AL15" s="31"/>
      <c r="AM15" s="31"/>
      <c r="AN15" s="31"/>
      <c r="AO15" s="31"/>
      <c r="AP15" s="31"/>
      <c r="AQ15" s="31"/>
      <c r="AR15" s="31"/>
      <c r="AS15">
        <f>AH15/(concentrate_grade!$F$4/100)</f>
        <v>0</v>
      </c>
      <c r="AT15">
        <f>AI15/(concentrate_grade!$F$6/100)</f>
        <v>0</v>
      </c>
      <c r="AU15">
        <f>AK15/(concentrate_grade!$F$5/100)</f>
        <v>0</v>
      </c>
      <c r="AV15">
        <f>AL15/(concentrate_grade!$F$9/100)</f>
        <v>0</v>
      </c>
      <c r="AW15">
        <f>AM15/(concentrate_grade!$F$8/100)</f>
        <v>0</v>
      </c>
      <c r="AX15"/>
      <c r="AY15" s="31"/>
      <c r="AZ15" s="31"/>
      <c r="BA15" s="31"/>
      <c r="BB15" t="e">
        <f>AR15/concentrate_grade!#REF!</f>
        <v>#REF!</v>
      </c>
      <c r="BC15">
        <f t="shared" si="1"/>
        <v>0.12428704693877551</v>
      </c>
    </row>
    <row r="16" spans="1:55" s="36" customFormat="1" x14ac:dyDescent="0.25">
      <c r="A16" s="58" t="s">
        <v>156</v>
      </c>
      <c r="C16" s="36" t="s">
        <v>159</v>
      </c>
      <c r="E16" s="36" t="s">
        <v>437</v>
      </c>
      <c r="F16" s="59" t="s">
        <v>435</v>
      </c>
      <c r="G16" s="58" t="s">
        <v>91</v>
      </c>
      <c r="H16" s="36" t="s">
        <v>1523</v>
      </c>
      <c r="I16" s="36" t="s">
        <v>1555</v>
      </c>
      <c r="K16" s="36" t="s">
        <v>1423</v>
      </c>
      <c r="M16" s="36">
        <v>7405086.2285420913</v>
      </c>
      <c r="N16" s="36" t="s">
        <v>1483</v>
      </c>
      <c r="Q16" s="36" t="s">
        <v>1113</v>
      </c>
      <c r="R16" t="s">
        <v>1113</v>
      </c>
      <c r="S16" s="36" t="s">
        <v>1113</v>
      </c>
      <c r="T16" s="36" t="s">
        <v>1113</v>
      </c>
      <c r="U16" s="59" t="s">
        <v>115</v>
      </c>
      <c r="V16" s="36" t="s">
        <v>1503</v>
      </c>
      <c r="W16" s="36" t="s">
        <v>920</v>
      </c>
      <c r="X16" s="36" t="s">
        <v>1565</v>
      </c>
      <c r="Y16" s="58">
        <f>prod_table_raw!N70</f>
        <v>457000</v>
      </c>
      <c r="Z16" s="36">
        <f>(AF16+AG16)/0.98</f>
        <v>1.4536125510204081</v>
      </c>
      <c r="AB16" s="36">
        <f t="shared" si="0"/>
        <v>456998.54638744897</v>
      </c>
      <c r="AC16" s="72">
        <f t="shared" si="2"/>
        <v>3.1807714464341536E-6</v>
      </c>
      <c r="AD16">
        <f t="shared" si="3"/>
        <v>0</v>
      </c>
      <c r="AE16" s="60">
        <f t="shared" si="4"/>
        <v>0.99999681921843619</v>
      </c>
      <c r="AF16" s="34">
        <f>prod_table_raw!N71</f>
        <v>1.3809954</v>
      </c>
      <c r="AG16" s="34">
        <f>prod_table_raw!N72</f>
        <v>4.3544899999999997E-2</v>
      </c>
      <c r="AH16" s="34"/>
      <c r="AI16" s="34"/>
      <c r="AJ16" s="34"/>
      <c r="AK16" s="34"/>
      <c r="AL16" s="34"/>
      <c r="AM16" s="34"/>
      <c r="AN16" s="34"/>
      <c r="AO16" s="34"/>
      <c r="AP16" s="34"/>
      <c r="AQ16" s="34"/>
      <c r="AR16" s="34"/>
      <c r="AS16" s="36">
        <f>AH16/(concentrate_grade!$F$4/100)</f>
        <v>0</v>
      </c>
      <c r="AT16" s="36">
        <f>AI16/(concentrate_grade!$F$6/100)</f>
        <v>0</v>
      </c>
      <c r="AU16" s="36">
        <f>AK16/(concentrate_grade!$F$5/100)</f>
        <v>0</v>
      </c>
      <c r="AV16" s="36">
        <f>AL16/(concentrate_grade!$F$9/100)</f>
        <v>0</v>
      </c>
      <c r="AW16" s="36">
        <f>AM16/(concentrate_grade!$F$8/100)</f>
        <v>0</v>
      </c>
      <c r="AY16" s="34"/>
      <c r="AZ16" s="34"/>
      <c r="BA16" s="34"/>
      <c r="BB16" s="36" t="e">
        <f>AR16/concentrate_grade!#REF!</f>
        <v>#REF!</v>
      </c>
      <c r="BC16" s="36">
        <f t="shared" si="1"/>
        <v>1.4536125510204081</v>
      </c>
    </row>
    <row r="17" spans="1:55" x14ac:dyDescent="0.25">
      <c r="A17" s="18" t="s">
        <v>161</v>
      </c>
      <c r="B17" t="s">
        <v>162</v>
      </c>
      <c r="C17" t="s">
        <v>163</v>
      </c>
      <c r="D17" t="s">
        <v>164</v>
      </c>
      <c r="E17" t="s">
        <v>437</v>
      </c>
      <c r="F17" s="19" t="s">
        <v>435</v>
      </c>
      <c r="G17" s="18" t="s">
        <v>98</v>
      </c>
      <c r="H17" t="s">
        <v>1523</v>
      </c>
      <c r="I17" t="s">
        <v>1560</v>
      </c>
      <c r="J17" t="s">
        <v>1533</v>
      </c>
      <c r="K17" t="s">
        <v>1424</v>
      </c>
      <c r="M17">
        <v>1760913.595839669</v>
      </c>
      <c r="Q17" t="s">
        <v>1113</v>
      </c>
      <c r="R17" t="s">
        <v>1113</v>
      </c>
      <c r="S17" t="s">
        <v>1113</v>
      </c>
      <c r="T17" t="s">
        <v>1113</v>
      </c>
      <c r="U17" s="19" t="s">
        <v>165</v>
      </c>
      <c r="V17" t="s">
        <v>1117</v>
      </c>
      <c r="W17" t="s">
        <v>1396</v>
      </c>
      <c r="X17" t="s">
        <v>1566</v>
      </c>
      <c r="Y17" s="18">
        <f>prod_table_raw!N73</f>
        <v>553033</v>
      </c>
      <c r="Z17"/>
      <c r="AA17">
        <f>AI17/(concentrate_grade!$F$6/100)</f>
        <v>0</v>
      </c>
      <c r="AB17">
        <f t="shared" si="0"/>
        <v>553033</v>
      </c>
      <c r="AC17" s="72">
        <f t="shared" si="2"/>
        <v>0</v>
      </c>
      <c r="AD17">
        <f t="shared" si="3"/>
        <v>0</v>
      </c>
      <c r="AE17" s="51">
        <f t="shared" si="4"/>
        <v>1</v>
      </c>
      <c r="AF17" s="31"/>
      <c r="AG17" s="31"/>
      <c r="AH17" s="31"/>
      <c r="AI17" s="31"/>
      <c r="AJ17" s="31"/>
      <c r="AK17" s="31"/>
      <c r="AL17" s="31"/>
      <c r="AM17" s="31"/>
      <c r="AN17" s="31"/>
      <c r="AO17" s="31"/>
      <c r="AP17" s="31"/>
      <c r="AQ17" s="31"/>
      <c r="AR17" s="31"/>
      <c r="AS17"/>
      <c r="AT17">
        <f>AI17/(concentrate_grade!$F$6/100)</f>
        <v>0</v>
      </c>
      <c r="AU17">
        <f>AK17/(concentrate_grade!$F$5/100)</f>
        <v>0</v>
      </c>
      <c r="AV17">
        <f>AL17/(concentrate_grade!$F$9/100)</f>
        <v>0</v>
      </c>
      <c r="AW17">
        <f>AM17/(concentrate_grade!$F$8/100)</f>
        <v>0</v>
      </c>
      <c r="AX17"/>
      <c r="AY17" s="31"/>
      <c r="AZ17" s="31"/>
      <c r="BA17" s="31"/>
      <c r="BB17" t="e">
        <f>AR17/concentrate_grade!#REF!</f>
        <v>#REF!</v>
      </c>
      <c r="BC17">
        <f t="shared" si="1"/>
        <v>0</v>
      </c>
    </row>
    <row r="18" spans="1:55" x14ac:dyDescent="0.25">
      <c r="A18" s="18" t="s">
        <v>529</v>
      </c>
      <c r="B18" t="s">
        <v>403</v>
      </c>
      <c r="C18" t="s">
        <v>530</v>
      </c>
      <c r="D18" t="s">
        <v>405</v>
      </c>
      <c r="E18" t="s">
        <v>437</v>
      </c>
      <c r="F18" s="19" t="s">
        <v>435</v>
      </c>
      <c r="G18" s="18" t="s">
        <v>98</v>
      </c>
      <c r="H18" t="s">
        <v>1523</v>
      </c>
      <c r="I18" t="s">
        <v>1560</v>
      </c>
      <c r="J18" t="s">
        <v>1533</v>
      </c>
      <c r="K18" t="s">
        <v>1427</v>
      </c>
      <c r="M18">
        <v>2161806.0909095029</v>
      </c>
      <c r="N18" t="s">
        <v>1478</v>
      </c>
      <c r="Q18" t="s">
        <v>1113</v>
      </c>
      <c r="R18" t="s">
        <v>1113</v>
      </c>
      <c r="S18" t="s">
        <v>1113</v>
      </c>
      <c r="T18" t="s">
        <v>1113</v>
      </c>
      <c r="U18" s="19" t="s">
        <v>373</v>
      </c>
      <c r="V18" t="s">
        <v>1552</v>
      </c>
      <c r="W18" t="s">
        <v>1396</v>
      </c>
      <c r="X18" t="s">
        <v>1566</v>
      </c>
      <c r="Y18" s="18">
        <f>prod_table_raw!N76</f>
        <v>616000</v>
      </c>
      <c r="Z18"/>
      <c r="AA18">
        <f>AI18/(concentrate_grade!$F$6/100)</f>
        <v>49662.5</v>
      </c>
      <c r="AB18">
        <f t="shared" si="0"/>
        <v>566337.5</v>
      </c>
      <c r="AC18" s="72">
        <f t="shared" si="2"/>
        <v>0</v>
      </c>
      <c r="AD18">
        <f t="shared" si="3"/>
        <v>8.0620941558441558E-2</v>
      </c>
      <c r="AE18" s="51">
        <f t="shared" si="4"/>
        <v>0.91230935617012821</v>
      </c>
      <c r="AF18" s="31"/>
      <c r="AG18" s="31"/>
      <c r="AH18" s="31">
        <f>prod_table_raw!N75</f>
        <v>7453</v>
      </c>
      <c r="AI18" s="31">
        <f>prod_table_raw!N74</f>
        <v>7946</v>
      </c>
      <c r="AJ18" s="31"/>
      <c r="AK18" s="31"/>
      <c r="AL18" s="31"/>
      <c r="AM18" s="31"/>
      <c r="AN18" s="31"/>
      <c r="AO18" s="31"/>
      <c r="AP18" s="31"/>
      <c r="AQ18" s="31"/>
      <c r="AR18" s="31"/>
      <c r="AS18"/>
      <c r="AT18">
        <f>AI18/(concentrate_grade!$F$6/100)</f>
        <v>49662.5</v>
      </c>
      <c r="AU18">
        <f>AK18/(concentrate_grade!$F$5/100)</f>
        <v>0</v>
      </c>
      <c r="AV18">
        <f>AL18/(concentrate_grade!$F$9/100)</f>
        <v>0</v>
      </c>
      <c r="AW18">
        <f>AM18/(concentrate_grade!$F$8/100)</f>
        <v>0</v>
      </c>
      <c r="AX18"/>
      <c r="AY18" s="31"/>
      <c r="AZ18" s="31"/>
      <c r="BA18" s="31"/>
      <c r="BB18" t="e">
        <f>AR18/concentrate_grade!#REF!</f>
        <v>#REF!</v>
      </c>
      <c r="BC18">
        <f t="shared" si="1"/>
        <v>0</v>
      </c>
    </row>
    <row r="19" spans="1:55" x14ac:dyDescent="0.25">
      <c r="A19" s="18" t="s">
        <v>167</v>
      </c>
      <c r="C19" t="s">
        <v>170</v>
      </c>
      <c r="E19" t="s">
        <v>439</v>
      </c>
      <c r="F19" s="19" t="s">
        <v>435</v>
      </c>
      <c r="G19" s="18" t="s">
        <v>78</v>
      </c>
      <c r="H19" t="s">
        <v>1519</v>
      </c>
      <c r="I19" t="s">
        <v>1559</v>
      </c>
      <c r="K19" t="s">
        <v>1425</v>
      </c>
      <c r="L19" t="s">
        <v>1416</v>
      </c>
      <c r="M19">
        <v>22527998.6785</v>
      </c>
      <c r="N19" t="s">
        <v>1486</v>
      </c>
      <c r="Q19" t="s">
        <v>1113</v>
      </c>
      <c r="R19" t="s">
        <v>1113</v>
      </c>
      <c r="S19" t="s">
        <v>1113</v>
      </c>
      <c r="T19" t="s">
        <v>1117</v>
      </c>
      <c r="U19" s="19" t="s">
        <v>171</v>
      </c>
      <c r="V19" t="s">
        <v>1113</v>
      </c>
      <c r="W19" t="s">
        <v>1550</v>
      </c>
      <c r="X19" t="s">
        <v>1567</v>
      </c>
      <c r="Y19" s="18">
        <f>prod_table_raw!N80</f>
        <v>30000000</v>
      </c>
      <c r="Z19"/>
      <c r="AA19">
        <f>AH19/(concentrate_grade!$F$4/100)+AK19/(concentrate_grade!$F$5/100)</f>
        <v>186436.98475294118</v>
      </c>
      <c r="AB19">
        <f t="shared" si="0"/>
        <v>29813563.015247058</v>
      </c>
      <c r="AC19" s="72">
        <f t="shared" si="2"/>
        <v>0</v>
      </c>
      <c r="AD19">
        <f t="shared" si="3"/>
        <v>6.2145661584313725E-3</v>
      </c>
      <c r="AE19" s="51">
        <f t="shared" si="4"/>
        <v>0.9937465714964161</v>
      </c>
      <c r="AF19" s="31"/>
      <c r="AG19" s="31"/>
      <c r="AH19" s="31">
        <f>prod_table_raw!N82</f>
        <v>55610.379200000003</v>
      </c>
      <c r="AI19" s="31"/>
      <c r="AJ19" s="31"/>
      <c r="AK19" s="31">
        <f>prod_table_raw!N81</f>
        <v>545.21758399999999</v>
      </c>
      <c r="AL19" s="31"/>
      <c r="AM19" s="31"/>
      <c r="AN19" s="31"/>
      <c r="AO19" s="31"/>
      <c r="AP19" s="31"/>
      <c r="AQ19" s="31"/>
      <c r="AR19" s="31"/>
      <c r="AS19">
        <f>AH19/(concentrate_grade!$F$4/100)</f>
        <v>185367.93066666668</v>
      </c>
      <c r="AT19">
        <f>AI19/(concentrate_grade!$F$6/100)</f>
        <v>0</v>
      </c>
      <c r="AU19">
        <f>AK19/(concentrate_grade!$F$5/100)</f>
        <v>1069.0540862745097</v>
      </c>
      <c r="AV19">
        <f>AL19/(concentrate_grade!$F$9/100)</f>
        <v>0</v>
      </c>
      <c r="AW19">
        <f>AM19/(concentrate_grade!$F$8/100)</f>
        <v>0</v>
      </c>
      <c r="AX19"/>
      <c r="AY19" s="31"/>
      <c r="AZ19" s="31"/>
      <c r="BA19" s="31"/>
      <c r="BB19" t="e">
        <f>AR19/concentrate_grade!#REF!</f>
        <v>#REF!</v>
      </c>
      <c r="BC19">
        <f t="shared" si="1"/>
        <v>0</v>
      </c>
    </row>
    <row r="20" spans="1:55" x14ac:dyDescent="0.25">
      <c r="A20" s="18" t="s">
        <v>173</v>
      </c>
      <c r="C20" t="s">
        <v>174</v>
      </c>
      <c r="E20" t="s">
        <v>436</v>
      </c>
      <c r="F20" s="19" t="s">
        <v>435</v>
      </c>
      <c r="G20" s="18" t="s">
        <v>64</v>
      </c>
      <c r="I20" s="2" t="s">
        <v>1557</v>
      </c>
      <c r="J20" t="s">
        <v>1529</v>
      </c>
      <c r="K20" t="s">
        <v>1426</v>
      </c>
      <c r="L20" t="s">
        <v>1416</v>
      </c>
      <c r="M20">
        <v>1341835.17078</v>
      </c>
      <c r="N20" t="s">
        <v>1477</v>
      </c>
      <c r="Q20" t="s">
        <v>1113</v>
      </c>
      <c r="R20" t="s">
        <v>1113</v>
      </c>
      <c r="S20" t="s">
        <v>1113</v>
      </c>
      <c r="T20" t="s">
        <v>1526</v>
      </c>
      <c r="U20" s="19" t="s">
        <v>65</v>
      </c>
      <c r="V20" t="s">
        <v>1113</v>
      </c>
      <c r="W20" t="s">
        <v>1548</v>
      </c>
      <c r="X20" t="s">
        <v>1568</v>
      </c>
      <c r="Y20" s="18">
        <f>prod_table_raw!N86</f>
        <v>2886927.3287240001</v>
      </c>
      <c r="Z20">
        <f>(AF20+AG20)/0.98</f>
        <v>4.4745421183166938</v>
      </c>
      <c r="AA20">
        <f>AH20/(concentrate_grade!$F$4/100)</f>
        <v>130.12252666666666</v>
      </c>
      <c r="AB20">
        <f t="shared" si="0"/>
        <v>2886792.7316552154</v>
      </c>
      <c r="AC20" s="72">
        <f t="shared" si="2"/>
        <v>1.5499323705853058E-6</v>
      </c>
      <c r="AD20">
        <f t="shared" si="3"/>
        <v>4.5073017727876032E-5</v>
      </c>
      <c r="AE20" s="51">
        <f t="shared" si="4"/>
        <v>0.9999533748761007</v>
      </c>
      <c r="AF20" s="31">
        <f>prod_table_raw!N87</f>
        <v>4.3850512759503602</v>
      </c>
      <c r="AG20" s="31"/>
      <c r="AH20" s="31">
        <f>prod_table_raw!N85</f>
        <v>39.036757999999999</v>
      </c>
      <c r="AI20" s="31"/>
      <c r="AJ20" s="31"/>
      <c r="AK20" s="31"/>
      <c r="AL20" s="31"/>
      <c r="AM20" s="31"/>
      <c r="AN20" s="31"/>
      <c r="AO20" s="31"/>
      <c r="AP20" s="31"/>
      <c r="AQ20" s="31"/>
      <c r="AR20" s="31"/>
      <c r="AS20">
        <f>AH20/(concentrate_grade!$F$4/100)</f>
        <v>130.12252666666666</v>
      </c>
      <c r="AT20">
        <f>AI20/(concentrate_grade!$F$6/100)</f>
        <v>0</v>
      </c>
      <c r="AU20">
        <f>AK20/(concentrate_grade!$F$5/100)</f>
        <v>0</v>
      </c>
      <c r="AV20">
        <f>AL20/(concentrate_grade!$F$9/100)</f>
        <v>0</v>
      </c>
      <c r="AW20">
        <f>AM20/(concentrate_grade!$F$8/100)</f>
        <v>0</v>
      </c>
      <c r="AX20"/>
      <c r="AY20" s="31"/>
      <c r="AZ20" s="31"/>
      <c r="BA20" s="31"/>
      <c r="BB20" t="e">
        <f>AR20/concentrate_grade!#REF!</f>
        <v>#REF!</v>
      </c>
      <c r="BC20">
        <f t="shared" si="1"/>
        <v>4.4745421183166938</v>
      </c>
    </row>
    <row r="21" spans="1:55" x14ac:dyDescent="0.25">
      <c r="A21" s="18" t="s">
        <v>180</v>
      </c>
      <c r="C21" t="s">
        <v>183</v>
      </c>
      <c r="E21" t="s">
        <v>437</v>
      </c>
      <c r="F21" s="19" t="s">
        <v>435</v>
      </c>
      <c r="G21" s="18" t="s">
        <v>91</v>
      </c>
      <c r="H21" t="s">
        <v>1523</v>
      </c>
      <c r="I21" t="s">
        <v>1555</v>
      </c>
      <c r="K21" t="s">
        <v>1426</v>
      </c>
      <c r="L21" t="s">
        <v>1515</v>
      </c>
      <c r="M21">
        <v>3503071.0617284952</v>
      </c>
      <c r="N21" t="s">
        <v>1482</v>
      </c>
      <c r="O21" t="s">
        <v>1113</v>
      </c>
      <c r="Q21" t="s">
        <v>1113</v>
      </c>
      <c r="R21" t="s">
        <v>1113</v>
      </c>
      <c r="S21" t="s">
        <v>1113</v>
      </c>
      <c r="T21" t="s">
        <v>1526</v>
      </c>
      <c r="U21" s="19" t="s">
        <v>115</v>
      </c>
      <c r="V21" t="s">
        <v>1113</v>
      </c>
      <c r="W21" t="s">
        <v>920</v>
      </c>
      <c r="X21" t="s">
        <v>1565</v>
      </c>
      <c r="Y21" s="18">
        <f>prod_table_raw!N91</f>
        <v>1266009</v>
      </c>
      <c r="Z21">
        <f>(AF21+AG21)/0.98</f>
        <v>4.476523630102041</v>
      </c>
      <c r="AA21"/>
      <c r="AB21">
        <f t="shared" si="0"/>
        <v>1266004.5234763699</v>
      </c>
      <c r="AC21" s="72">
        <f t="shared" si="2"/>
        <v>3.5359334966039271E-6</v>
      </c>
      <c r="AD21">
        <f t="shared" si="3"/>
        <v>0</v>
      </c>
      <c r="AE21" s="51">
        <f t="shared" si="4"/>
        <v>0.99999646405400056</v>
      </c>
      <c r="AF21" s="31">
        <f>prod_table_raw!N92</f>
        <v>4.3869931575000001</v>
      </c>
      <c r="AG21" s="31"/>
      <c r="AH21" s="31"/>
      <c r="AI21" s="31"/>
      <c r="AJ21" s="31"/>
      <c r="AK21" s="31"/>
      <c r="AL21" s="31"/>
      <c r="AM21" s="31"/>
      <c r="AN21" s="31"/>
      <c r="AO21" s="31"/>
      <c r="AP21" s="31"/>
      <c r="AQ21" s="31"/>
      <c r="AR21" s="31"/>
      <c r="AS21">
        <f>AH21/(concentrate_grade!$F$4/100)</f>
        <v>0</v>
      </c>
      <c r="AT21">
        <f>AI21/(concentrate_grade!$F$6/100)</f>
        <v>0</v>
      </c>
      <c r="AU21">
        <f>AK21/(concentrate_grade!$F$5/100)</f>
        <v>0</v>
      </c>
      <c r="AV21">
        <f>AL21/(concentrate_grade!$F$9/100)</f>
        <v>0</v>
      </c>
      <c r="AW21">
        <f>AM21/(concentrate_grade!$F$8/100)</f>
        <v>0</v>
      </c>
      <c r="AX21"/>
      <c r="AY21" s="31"/>
      <c r="AZ21" s="31"/>
      <c r="BA21" s="31"/>
      <c r="BB21" t="e">
        <f>AR21/concentrate_grade!#REF!</f>
        <v>#REF!</v>
      </c>
      <c r="BC21">
        <f t="shared" si="1"/>
        <v>4.476523630102041</v>
      </c>
    </row>
    <row r="22" spans="1:55" x14ac:dyDescent="0.25">
      <c r="A22" s="18" t="s">
        <v>186</v>
      </c>
      <c r="C22" t="s">
        <v>188</v>
      </c>
      <c r="E22" t="s">
        <v>439</v>
      </c>
      <c r="F22" s="19" t="s">
        <v>435</v>
      </c>
      <c r="G22" s="18" t="s">
        <v>78</v>
      </c>
      <c r="H22" t="s">
        <v>1520</v>
      </c>
      <c r="I22" t="s">
        <v>1559</v>
      </c>
      <c r="K22" t="s">
        <v>1425</v>
      </c>
      <c r="L22" t="s">
        <v>1508</v>
      </c>
      <c r="M22">
        <v>63924259.804899998</v>
      </c>
      <c r="N22" t="s">
        <v>1487</v>
      </c>
      <c r="O22" t="s">
        <v>1113</v>
      </c>
      <c r="Q22" t="s">
        <v>1113</v>
      </c>
      <c r="R22" t="s">
        <v>1113</v>
      </c>
      <c r="S22" t="s">
        <v>1113</v>
      </c>
      <c r="T22" t="s">
        <v>1117</v>
      </c>
      <c r="U22" s="19" t="s">
        <v>189</v>
      </c>
      <c r="V22" t="s">
        <v>1113</v>
      </c>
      <c r="W22" t="s">
        <v>1550</v>
      </c>
      <c r="X22" t="s">
        <v>1567</v>
      </c>
      <c r="Y22" s="18">
        <f>prod_table_raw!N93</f>
        <v>17408000</v>
      </c>
      <c r="Z22"/>
      <c r="AA22">
        <f>AH22/(concentrate_grade!$F$4/100)+AK22/(concentrate_grade!$F$5/100)</f>
        <v>343098.03921568632</v>
      </c>
      <c r="AB22">
        <f t="shared" si="0"/>
        <v>17064901.960784312</v>
      </c>
      <c r="AC22" s="72">
        <f t="shared" si="2"/>
        <v>0</v>
      </c>
      <c r="AD22">
        <f t="shared" si="3"/>
        <v>1.9709216407151099E-2</v>
      </c>
      <c r="AE22" s="51">
        <f t="shared" si="4"/>
        <v>0.97989452034332591</v>
      </c>
      <c r="AF22" s="31"/>
      <c r="AG22" s="31"/>
      <c r="AH22" s="31">
        <f>prod_table_raw!N95</f>
        <v>102400</v>
      </c>
      <c r="AI22" s="31"/>
      <c r="AJ22" s="31"/>
      <c r="AK22" s="31">
        <f>prod_table_raw!N94</f>
        <v>900</v>
      </c>
      <c r="AL22" s="31"/>
      <c r="AM22" s="31"/>
      <c r="AN22" s="31"/>
      <c r="AO22" s="31"/>
      <c r="AP22" s="31"/>
      <c r="AQ22" s="31"/>
      <c r="AR22" s="31"/>
      <c r="AS22">
        <f>AH22/(concentrate_grade!$F$4/100)</f>
        <v>341333.33333333337</v>
      </c>
      <c r="AT22">
        <f>AI22/(concentrate_grade!$F$6/100)</f>
        <v>0</v>
      </c>
      <c r="AU22">
        <f>AK22/(concentrate_grade!$F$5/100)</f>
        <v>1764.7058823529412</v>
      </c>
      <c r="AV22">
        <f>AL22/(concentrate_grade!$F$9/100)</f>
        <v>0</v>
      </c>
      <c r="AW22">
        <f>AM22/(concentrate_grade!$F$8/100)</f>
        <v>0</v>
      </c>
      <c r="AX22"/>
      <c r="AY22" s="31"/>
      <c r="AZ22" s="31"/>
      <c r="BA22" s="31"/>
      <c r="BB22" t="e">
        <f>AR22/concentrate_grade!#REF!</f>
        <v>#REF!</v>
      </c>
      <c r="BC22">
        <f t="shared" si="1"/>
        <v>0</v>
      </c>
    </row>
    <row r="23" spans="1:55" s="66" customFormat="1" x14ac:dyDescent="0.25">
      <c r="A23" s="64" t="s">
        <v>494</v>
      </c>
      <c r="B23" s="66" t="s">
        <v>493</v>
      </c>
      <c r="C23" s="66" t="s">
        <v>495</v>
      </c>
      <c r="D23" s="66" t="s">
        <v>492</v>
      </c>
      <c r="E23" s="66" t="s">
        <v>436</v>
      </c>
      <c r="F23" s="67" t="s">
        <v>540</v>
      </c>
      <c r="G23" s="64" t="s">
        <v>29</v>
      </c>
      <c r="H23" s="66" t="s">
        <v>1523</v>
      </c>
      <c r="I23" s="66" t="s">
        <v>1509</v>
      </c>
      <c r="K23" s="66" t="s">
        <v>1418</v>
      </c>
      <c r="L23" s="66" t="s">
        <v>1508</v>
      </c>
      <c r="O23" s="66" t="s">
        <v>1113</v>
      </c>
      <c r="P23" s="66" t="s">
        <v>1113</v>
      </c>
      <c r="Q23" s="66" t="s">
        <v>1113</v>
      </c>
      <c r="R23" t="s">
        <v>1113</v>
      </c>
      <c r="T23" s="66" t="s">
        <v>1113</v>
      </c>
      <c r="U23" s="67" t="s">
        <v>548</v>
      </c>
      <c r="V23" s="66" t="s">
        <v>1089</v>
      </c>
      <c r="W23" s="66" t="s">
        <v>918</v>
      </c>
      <c r="Y23" s="64"/>
      <c r="AB23" s="66">
        <f t="shared" si="0"/>
        <v>0</v>
      </c>
      <c r="AC23" s="72"/>
      <c r="AD23"/>
      <c r="AF23" s="69"/>
      <c r="AG23" s="69"/>
      <c r="AH23" s="69"/>
      <c r="AI23" s="69"/>
      <c r="AJ23" s="69"/>
      <c r="AK23" s="69"/>
      <c r="AL23" s="69"/>
      <c r="AM23" s="69"/>
      <c r="AN23" s="69"/>
      <c r="AO23" s="69"/>
      <c r="AP23" s="69"/>
      <c r="AQ23" s="69"/>
      <c r="AR23" s="69"/>
      <c r="AS23" s="65">
        <f>AH23/(concentrate_grade!$F$4/100)</f>
        <v>0</v>
      </c>
      <c r="AT23" s="65">
        <f>AI23/(concentrate_grade!$F$6/100)</f>
        <v>0</v>
      </c>
      <c r="AU23" s="66">
        <f>AK23/(concentrate_grade!$F$5/100)</f>
        <v>0</v>
      </c>
      <c r="AV23" s="69"/>
      <c r="AW23" s="66">
        <f>AM23/(concentrate_grade!$F$8/100)</f>
        <v>0</v>
      </c>
      <c r="AX23" s="69"/>
      <c r="AY23" s="69"/>
      <c r="AZ23" s="69"/>
      <c r="BA23" s="69"/>
      <c r="BB23" s="69"/>
      <c r="BC23" s="66">
        <f t="shared" si="1"/>
        <v>0</v>
      </c>
    </row>
    <row r="24" spans="1:55" x14ac:dyDescent="0.25">
      <c r="A24" s="18" t="s">
        <v>195</v>
      </c>
      <c r="C24" t="s">
        <v>198</v>
      </c>
      <c r="E24" t="s">
        <v>437</v>
      </c>
      <c r="F24" s="19" t="s">
        <v>435</v>
      </c>
      <c r="G24" s="18" t="s">
        <v>64</v>
      </c>
      <c r="H24" t="s">
        <v>1523</v>
      </c>
      <c r="I24" t="s">
        <v>1555</v>
      </c>
      <c r="K24" t="s">
        <v>1418</v>
      </c>
      <c r="L24" t="s">
        <v>1507</v>
      </c>
      <c r="N24" t="s">
        <v>1488</v>
      </c>
      <c r="P24" t="s">
        <v>1113</v>
      </c>
      <c r="R24" t="s">
        <v>1113</v>
      </c>
      <c r="T24" t="s">
        <v>1113</v>
      </c>
      <c r="U24" s="19" t="s">
        <v>115</v>
      </c>
      <c r="V24" t="s">
        <v>1113</v>
      </c>
      <c r="W24" t="s">
        <v>920</v>
      </c>
      <c r="X24" t="s">
        <v>1565</v>
      </c>
      <c r="Y24" s="18">
        <f>prod_table_raw!N105</f>
        <v>439008</v>
      </c>
      <c r="Z24">
        <f>(AF24+AG24)/0.98</f>
        <v>4.1704080612244905</v>
      </c>
      <c r="AA24"/>
      <c r="AB24">
        <f t="shared" si="0"/>
        <v>439003.82959193876</v>
      </c>
      <c r="AC24" s="72">
        <f t="shared" si="2"/>
        <v>9.4996174585075685E-6</v>
      </c>
      <c r="AD24">
        <f t="shared" si="3"/>
        <v>0</v>
      </c>
      <c r="AE24" s="51">
        <f t="shared" ref="AE24:AE30" si="5">1-(Z24+AA24)/AB24</f>
        <v>0.99999050029229786</v>
      </c>
      <c r="AF24" s="31">
        <f>prod_table_raw!N103</f>
        <v>4.0869999000000004</v>
      </c>
      <c r="AG24" s="31"/>
      <c r="AH24" s="31"/>
      <c r="AI24" s="31"/>
      <c r="AJ24" s="31"/>
      <c r="AK24" s="31"/>
      <c r="AL24" s="31"/>
      <c r="AM24" s="31"/>
      <c r="AN24" s="31"/>
      <c r="AO24" s="31"/>
      <c r="AP24" s="31"/>
      <c r="AQ24" s="31"/>
      <c r="AR24" s="31"/>
      <c r="AS24">
        <f>AH24/(concentrate_grade!$F$4/100)</f>
        <v>0</v>
      </c>
      <c r="AT24">
        <f>AI24/(concentrate_grade!$F$6/100)</f>
        <v>0</v>
      </c>
      <c r="AU24">
        <f>AK24/(concentrate_grade!$F$5/100)</f>
        <v>0</v>
      </c>
      <c r="AV24">
        <f>AL24/(concentrate_grade!$F$9/100)</f>
        <v>0</v>
      </c>
      <c r="AW24">
        <f>AM24/(concentrate_grade!$F$8/100)</f>
        <v>0</v>
      </c>
      <c r="AX24"/>
      <c r="AY24" s="31"/>
      <c r="AZ24" s="31"/>
      <c r="BA24" s="31"/>
      <c r="BB24" t="e">
        <f>AR24/concentrate_grade!#REF!</f>
        <v>#REF!</v>
      </c>
      <c r="BC24">
        <f t="shared" si="1"/>
        <v>4.1704080612244905</v>
      </c>
    </row>
    <row r="25" spans="1:55" x14ac:dyDescent="0.25">
      <c r="A25" s="18" t="s">
        <v>200</v>
      </c>
      <c r="C25" t="s">
        <v>202</v>
      </c>
      <c r="D25" t="s">
        <v>256</v>
      </c>
      <c r="E25" t="s">
        <v>440</v>
      </c>
      <c r="F25" s="19" t="s">
        <v>435</v>
      </c>
      <c r="G25" s="18" t="s">
        <v>64</v>
      </c>
      <c r="H25" t="s">
        <v>1519</v>
      </c>
      <c r="I25" t="s">
        <v>1563</v>
      </c>
      <c r="L25" t="s">
        <v>1506</v>
      </c>
      <c r="M25">
        <v>5293594.021862885</v>
      </c>
      <c r="N25" t="s">
        <v>1489</v>
      </c>
      <c r="R25" t="s">
        <v>1113</v>
      </c>
      <c r="T25" t="s">
        <v>1113</v>
      </c>
      <c r="U25" s="19" t="s">
        <v>203</v>
      </c>
      <c r="V25" t="s">
        <v>1502</v>
      </c>
      <c r="W25" t="s">
        <v>1459</v>
      </c>
      <c r="X25" t="s">
        <v>1575</v>
      </c>
      <c r="Y25" s="18">
        <f>prod_table_raw!N110</f>
        <v>127307</v>
      </c>
      <c r="Z25"/>
      <c r="AA25">
        <f>AL25/(concentrate_grade!F9/100)+AM25/(concentrate_grade!F8/100)</f>
        <v>4719.666666666667</v>
      </c>
      <c r="AB25">
        <f t="shared" si="0"/>
        <v>122587.33333333333</v>
      </c>
      <c r="AC25" s="72">
        <f t="shared" si="2"/>
        <v>0</v>
      </c>
      <c r="AD25">
        <f t="shared" si="3"/>
        <v>3.7073111978655274E-2</v>
      </c>
      <c r="AE25" s="51">
        <f t="shared" si="5"/>
        <v>0.96149955677856869</v>
      </c>
      <c r="AF25" s="31"/>
      <c r="AG25" s="31">
        <f>prod_table_raw!N109</f>
        <v>46.735403719499999</v>
      </c>
      <c r="AH25" s="31"/>
      <c r="AI25" s="31"/>
      <c r="AJ25" s="31"/>
      <c r="AK25" s="31"/>
      <c r="AL25" s="31">
        <f>prod_table_raw!N112</f>
        <v>1339</v>
      </c>
      <c r="AM25" s="31">
        <f>prod_table_raw!N111</f>
        <v>1225</v>
      </c>
      <c r="AN25" s="31"/>
      <c r="AO25" s="31"/>
      <c r="AP25" s="31"/>
      <c r="AQ25" s="31"/>
      <c r="AR25" s="31"/>
      <c r="AS25">
        <f>AH25/(concentrate_grade!$F$4/100)</f>
        <v>0</v>
      </c>
      <c r="AT25">
        <f>AI25/(concentrate_grade!$F$6/100)</f>
        <v>0</v>
      </c>
      <c r="AU25">
        <f>AK25/(concentrate_grade!$F$5/100)</f>
        <v>0</v>
      </c>
      <c r="AV25">
        <f>AL25/(concentrate_grade!$F$9/100)</f>
        <v>2678</v>
      </c>
      <c r="AW25">
        <f>AM25/(concentrate_grade!$F$8/100)</f>
        <v>2041.6666666666667</v>
      </c>
      <c r="AX25"/>
      <c r="AY25" s="31"/>
      <c r="AZ25" s="31"/>
      <c r="BA25" s="31"/>
      <c r="BB25" t="e">
        <f>AR25/concentrate_grade!#REF!</f>
        <v>#REF!</v>
      </c>
      <c r="BC25">
        <f t="shared" si="1"/>
        <v>0</v>
      </c>
    </row>
    <row r="26" spans="1:55" x14ac:dyDescent="0.25">
      <c r="A26" s="18" t="s">
        <v>205</v>
      </c>
      <c r="C26" t="s">
        <v>206</v>
      </c>
      <c r="E26" t="s">
        <v>437</v>
      </c>
      <c r="F26" s="19" t="s">
        <v>435</v>
      </c>
      <c r="G26" s="18" t="s">
        <v>64</v>
      </c>
      <c r="H26" t="s">
        <v>1523</v>
      </c>
      <c r="I26" t="s">
        <v>1559</v>
      </c>
      <c r="K26" t="s">
        <v>1534</v>
      </c>
      <c r="M26">
        <v>4202253.5385999996</v>
      </c>
      <c r="N26" t="s">
        <v>1490</v>
      </c>
      <c r="Q26" t="s">
        <v>1113</v>
      </c>
      <c r="R26" t="s">
        <v>1113</v>
      </c>
      <c r="S26" t="s">
        <v>1113</v>
      </c>
      <c r="T26" t="s">
        <v>1113</v>
      </c>
      <c r="U26" s="19" t="s">
        <v>207</v>
      </c>
      <c r="V26" t="s">
        <v>1503</v>
      </c>
      <c r="W26" t="s">
        <v>1547</v>
      </c>
      <c r="X26" t="s">
        <v>1576</v>
      </c>
      <c r="Y26" s="18">
        <f>prod_table_raw!N116</f>
        <v>1340000</v>
      </c>
      <c r="Z26"/>
      <c r="AA26">
        <f>AH26/(concentrate_grade!$F$4/100)+AL26/(concentrate_grade!$F$9/100)</f>
        <v>152533.33333333334</v>
      </c>
      <c r="AB26">
        <f t="shared" si="0"/>
        <v>1187466.6666666667</v>
      </c>
      <c r="AC26" s="72">
        <f t="shared" si="2"/>
        <v>0</v>
      </c>
      <c r="AD26">
        <f t="shared" si="3"/>
        <v>0.11383084577114429</v>
      </c>
      <c r="AE26" s="51">
        <f t="shared" si="5"/>
        <v>0.871547271502358</v>
      </c>
      <c r="AF26" s="31"/>
      <c r="AG26" s="31">
        <f>prod_table_raw!N115</f>
        <v>42.860622999999997</v>
      </c>
      <c r="AH26" s="31">
        <f>prod_table_raw!N113</f>
        <v>22600</v>
      </c>
      <c r="AI26" s="31"/>
      <c r="AJ26" s="31"/>
      <c r="AK26" s="31"/>
      <c r="AL26" s="31">
        <f>prod_table_raw!N114</f>
        <v>38600</v>
      </c>
      <c r="AM26" s="31"/>
      <c r="AN26" s="31"/>
      <c r="AO26" s="31"/>
      <c r="AP26" s="31"/>
      <c r="AQ26" s="31"/>
      <c r="AR26" s="31"/>
      <c r="AS26">
        <f>AH26/(concentrate_grade!$F$4/100)</f>
        <v>75333.333333333343</v>
      </c>
      <c r="AT26">
        <f>AI26/(concentrate_grade!$F$6/100)</f>
        <v>0</v>
      </c>
      <c r="AU26">
        <f>AK26/(concentrate_grade!$F$5/100)</f>
        <v>0</v>
      </c>
      <c r="AV26">
        <f>AL26/(concentrate_grade!$F$9/100)</f>
        <v>77200</v>
      </c>
      <c r="AW26">
        <f>AM26/(concentrate_grade!$F$8/100)</f>
        <v>0</v>
      </c>
      <c r="AX26"/>
      <c r="AY26" s="31"/>
      <c r="AZ26" s="31"/>
      <c r="BA26" s="31"/>
      <c r="BB26" t="e">
        <f>AR26/concentrate_grade!#REF!</f>
        <v>#REF!</v>
      </c>
      <c r="BC26">
        <f t="shared" si="1"/>
        <v>0</v>
      </c>
    </row>
    <row r="27" spans="1:55" x14ac:dyDescent="0.25">
      <c r="A27" s="18" t="s">
        <v>209</v>
      </c>
      <c r="C27" t="s">
        <v>210</v>
      </c>
      <c r="E27" t="s">
        <v>436</v>
      </c>
      <c r="F27" s="19" t="s">
        <v>435</v>
      </c>
      <c r="G27" s="18" t="s">
        <v>78</v>
      </c>
      <c r="I27" t="s">
        <v>1555</v>
      </c>
      <c r="K27" t="s">
        <v>1578</v>
      </c>
      <c r="L27" t="s">
        <v>1516</v>
      </c>
      <c r="M27">
        <v>3436361.1128654238</v>
      </c>
      <c r="N27" t="s">
        <v>1477</v>
      </c>
      <c r="O27" t="s">
        <v>1113</v>
      </c>
      <c r="R27" t="s">
        <v>1113</v>
      </c>
      <c r="T27" t="s">
        <v>1113</v>
      </c>
      <c r="U27" s="19" t="s">
        <v>65</v>
      </c>
      <c r="V27" t="s">
        <v>1502</v>
      </c>
      <c r="W27" t="s">
        <v>1075</v>
      </c>
      <c r="X27" t="s">
        <v>1565</v>
      </c>
      <c r="Y27" s="18">
        <f>prod_table_raw!N120</f>
        <v>191148</v>
      </c>
      <c r="Z27">
        <f>(AF27+AG27)/0.98</f>
        <v>1.2201776096938775</v>
      </c>
      <c r="AA27"/>
      <c r="AB27">
        <f t="shared" si="0"/>
        <v>191146.77982239029</v>
      </c>
      <c r="AC27" s="72">
        <f t="shared" si="2"/>
        <v>6.3834181351302525E-6</v>
      </c>
      <c r="AD27">
        <f t="shared" si="3"/>
        <v>0</v>
      </c>
      <c r="AE27" s="51">
        <f t="shared" si="5"/>
        <v>0.99999361654111663</v>
      </c>
      <c r="AF27" s="31">
        <f>prod_table_raw!N119</f>
        <v>1.1053250795</v>
      </c>
      <c r="AG27" s="31">
        <f>prod_table_raw!N121</f>
        <v>9.0448977999999999E-2</v>
      </c>
      <c r="AH27" s="31"/>
      <c r="AI27" s="31"/>
      <c r="AJ27" s="31"/>
      <c r="AK27" s="31"/>
      <c r="AL27" s="31"/>
      <c r="AM27" s="31"/>
      <c r="AN27" s="31"/>
      <c r="AO27" s="31"/>
      <c r="AP27" s="31"/>
      <c r="AQ27" s="31"/>
      <c r="AR27" s="31"/>
      <c r="AS27">
        <f>AH27/(concentrate_grade!$F$4/100)</f>
        <v>0</v>
      </c>
      <c r="AT27">
        <f>AI27/(concentrate_grade!$F$6/100)</f>
        <v>0</v>
      </c>
      <c r="AU27">
        <f>AK27/(concentrate_grade!$F$5/100)</f>
        <v>0</v>
      </c>
      <c r="AV27">
        <f>AL27/(concentrate_grade!$F$9/100)</f>
        <v>0</v>
      </c>
      <c r="AW27">
        <f>AM27/(concentrate_grade!$F$8/100)</f>
        <v>0</v>
      </c>
      <c r="AX27"/>
      <c r="AY27" s="31"/>
      <c r="AZ27" s="31"/>
      <c r="BA27" s="31"/>
      <c r="BB27" t="e">
        <f>AR27/concentrate_grade!#REF!</f>
        <v>#REF!</v>
      </c>
      <c r="BC27">
        <f t="shared" si="1"/>
        <v>1.2201776096938775</v>
      </c>
    </row>
    <row r="28" spans="1:55" x14ac:dyDescent="0.25">
      <c r="A28" s="18" t="s">
        <v>215</v>
      </c>
      <c r="C28" t="s">
        <v>218</v>
      </c>
      <c r="E28" t="s">
        <v>437</v>
      </c>
      <c r="F28" s="19" t="s">
        <v>435</v>
      </c>
      <c r="G28" s="18" t="s">
        <v>91</v>
      </c>
      <c r="H28" t="s">
        <v>1519</v>
      </c>
      <c r="I28" t="s">
        <v>1560</v>
      </c>
      <c r="J28" t="s">
        <v>1532</v>
      </c>
      <c r="K28" t="s">
        <v>1420</v>
      </c>
      <c r="L28" t="s">
        <v>1416</v>
      </c>
      <c r="M28">
        <v>8409093.1265900005</v>
      </c>
      <c r="N28" t="s">
        <v>1491</v>
      </c>
      <c r="Q28" t="s">
        <v>1113</v>
      </c>
      <c r="R28" t="s">
        <v>1113</v>
      </c>
      <c r="S28" t="s">
        <v>1113</v>
      </c>
      <c r="T28" t="s">
        <v>1113</v>
      </c>
      <c r="U28" s="19" t="s">
        <v>219</v>
      </c>
      <c r="V28" t="s">
        <v>1502</v>
      </c>
      <c r="W28" t="s">
        <v>922</v>
      </c>
      <c r="X28" t="s">
        <v>1572</v>
      </c>
      <c r="Y28" s="18">
        <f>prod_table_raw!N124</f>
        <v>3798000</v>
      </c>
      <c r="Z28"/>
      <c r="AA28"/>
      <c r="AB28">
        <f t="shared" si="0"/>
        <v>3798000</v>
      </c>
      <c r="AC28" s="72">
        <f t="shared" si="2"/>
        <v>0</v>
      </c>
      <c r="AD28">
        <f t="shared" si="3"/>
        <v>0</v>
      </c>
      <c r="AE28" s="51">
        <f t="shared" si="5"/>
        <v>1</v>
      </c>
      <c r="AF28" s="31">
        <f>prod_table_raw!N125</f>
        <v>0.59407684999999999</v>
      </c>
      <c r="AG28" s="31"/>
      <c r="AH28" s="31"/>
      <c r="AI28" s="31"/>
      <c r="AJ28" s="31"/>
      <c r="AK28" s="31"/>
      <c r="AL28" s="31"/>
      <c r="AM28" s="31"/>
      <c r="AN28" s="31"/>
      <c r="AO28" s="31">
        <f>prod_table_raw!N127</f>
        <v>0.67805629999999995</v>
      </c>
      <c r="AP28" s="31">
        <f>prod_table_raw!N126</f>
        <v>0.77758749999999999</v>
      </c>
      <c r="AQ28" s="31"/>
      <c r="AR28" s="31"/>
      <c r="AS28">
        <f>AH28/(concentrate_grade!$F$4/100)</f>
        <v>0</v>
      </c>
      <c r="AT28">
        <f>AI28/(concentrate_grade!$F$6/100)</f>
        <v>0</v>
      </c>
      <c r="AU28">
        <f>AK28/(concentrate_grade!$F$5/100)</f>
        <v>0</v>
      </c>
      <c r="AV28">
        <f>AL28/(concentrate_grade!$F$9/100)</f>
        <v>0</v>
      </c>
      <c r="AW28">
        <f>AM28/(concentrate_grade!$F$8/100)</f>
        <v>0</v>
      </c>
      <c r="AX28"/>
      <c r="AY28" s="31"/>
      <c r="AZ28" s="31"/>
      <c r="BA28" s="31"/>
      <c r="BB28" t="e">
        <f>AR28/concentrate_grade!#REF!</f>
        <v>#REF!</v>
      </c>
      <c r="BC28">
        <f t="shared" si="1"/>
        <v>0</v>
      </c>
    </row>
    <row r="29" spans="1:55" ht="14.25" customHeight="1" x14ac:dyDescent="0.25">
      <c r="A29" s="18" t="s">
        <v>227</v>
      </c>
      <c r="C29" t="s">
        <v>230</v>
      </c>
      <c r="E29" t="s">
        <v>436</v>
      </c>
      <c r="F29" s="19" t="s">
        <v>435</v>
      </c>
      <c r="G29" s="18" t="s">
        <v>64</v>
      </c>
      <c r="H29" t="s">
        <v>1523</v>
      </c>
      <c r="I29" t="s">
        <v>1555</v>
      </c>
      <c r="K29" t="s">
        <v>1578</v>
      </c>
      <c r="L29" t="s">
        <v>1416</v>
      </c>
      <c r="M29">
        <v>11904079.93924279</v>
      </c>
      <c r="N29" t="s">
        <v>1477</v>
      </c>
      <c r="Q29" t="s">
        <v>1113</v>
      </c>
      <c r="R29" t="s">
        <v>1113</v>
      </c>
      <c r="S29" t="s">
        <v>1113</v>
      </c>
      <c r="T29" t="s">
        <v>1113</v>
      </c>
      <c r="U29" s="19" t="s">
        <v>65</v>
      </c>
      <c r="V29" t="s">
        <v>1502</v>
      </c>
      <c r="W29" t="s">
        <v>1075</v>
      </c>
      <c r="X29" t="s">
        <v>1565</v>
      </c>
      <c r="Y29" s="18">
        <f>prod_table_raw!N134</f>
        <v>838419</v>
      </c>
      <c r="Z29">
        <f>(AF29+AG29)/0.98</f>
        <v>7.932820721938775</v>
      </c>
      <c r="AA29"/>
      <c r="AB29">
        <f t="shared" si="0"/>
        <v>838411.067179278</v>
      </c>
      <c r="AC29" s="72">
        <f t="shared" si="2"/>
        <v>9.4616423553602378E-6</v>
      </c>
      <c r="AD29">
        <f t="shared" si="3"/>
        <v>0</v>
      </c>
      <c r="AE29" s="51">
        <f t="shared" si="5"/>
        <v>0.99999053826812112</v>
      </c>
      <c r="AF29" s="31">
        <f>prod_table_raw!N133</f>
        <v>5.5074656414999996</v>
      </c>
      <c r="AG29" s="31">
        <f>prod_table_raw!N135</f>
        <v>2.2666986659999999</v>
      </c>
      <c r="AH29" s="31"/>
      <c r="AI29" s="31"/>
      <c r="AJ29" s="31"/>
      <c r="AK29" s="31"/>
      <c r="AL29" s="31"/>
      <c r="AM29" s="31"/>
      <c r="AN29" s="31"/>
      <c r="AO29" s="31"/>
      <c r="AP29" s="31"/>
      <c r="AQ29" s="31"/>
      <c r="AR29" s="31"/>
      <c r="AS29">
        <f>AH29/(concentrate_grade!$F$4/100)</f>
        <v>0</v>
      </c>
      <c r="AT29">
        <f>AI29/(concentrate_grade!$F$6/100)</f>
        <v>0</v>
      </c>
      <c r="AU29">
        <f>AK29/(concentrate_grade!$F$5/100)</f>
        <v>0</v>
      </c>
      <c r="AV29">
        <f>AL29/(concentrate_grade!$F$9/100)</f>
        <v>0</v>
      </c>
      <c r="AW29">
        <f>AM29/(concentrate_grade!$F$8/100)</f>
        <v>0</v>
      </c>
      <c r="AX29"/>
      <c r="AY29" s="31"/>
      <c r="AZ29" s="31"/>
      <c r="BA29" s="31"/>
      <c r="BB29" t="e">
        <f>AR29/concentrate_grade!#REF!</f>
        <v>#REF!</v>
      </c>
      <c r="BC29">
        <f t="shared" si="1"/>
        <v>7.932820721938775</v>
      </c>
    </row>
    <row r="30" spans="1:55" x14ac:dyDescent="0.25">
      <c r="A30" s="18" t="s">
        <v>232</v>
      </c>
      <c r="C30" t="s">
        <v>233</v>
      </c>
      <c r="E30" t="s">
        <v>436</v>
      </c>
      <c r="F30" s="19" t="s">
        <v>435</v>
      </c>
      <c r="G30" s="18" t="s">
        <v>64</v>
      </c>
      <c r="H30" t="s">
        <v>1523</v>
      </c>
      <c r="I30" s="2" t="s">
        <v>1557</v>
      </c>
      <c r="J30" t="s">
        <v>1530</v>
      </c>
      <c r="K30" t="s">
        <v>1426</v>
      </c>
      <c r="L30" t="s">
        <v>1416</v>
      </c>
      <c r="M30">
        <v>5574423.9812850002</v>
      </c>
      <c r="N30" t="s">
        <v>1492</v>
      </c>
      <c r="Q30" t="s">
        <v>1113</v>
      </c>
      <c r="R30" t="s">
        <v>1113</v>
      </c>
      <c r="S30" t="s">
        <v>1113</v>
      </c>
      <c r="T30" t="s">
        <v>1526</v>
      </c>
      <c r="U30" s="19" t="s">
        <v>234</v>
      </c>
      <c r="V30" t="s">
        <v>1113</v>
      </c>
      <c r="W30" t="s">
        <v>1549</v>
      </c>
      <c r="X30" t="s">
        <v>1569</v>
      </c>
      <c r="Y30" s="18">
        <f>prod_table_raw!N139</f>
        <v>1501500</v>
      </c>
      <c r="Z30">
        <f>(AF30+AG30)/0.98</f>
        <v>9.8029027903061134</v>
      </c>
      <c r="AA30">
        <f>AH30/(concentrate_grade!$F$4/100)+AL30/(concentrate_grade!$F$9/100)</f>
        <v>23998.078283999999</v>
      </c>
      <c r="AB30">
        <f t="shared" si="0"/>
        <v>1477492.1188132097</v>
      </c>
      <c r="AC30" s="72">
        <f t="shared" si="2"/>
        <v>6.5287397870836583E-6</v>
      </c>
      <c r="AD30">
        <f t="shared" si="3"/>
        <v>1.5982736119880121E-2</v>
      </c>
      <c r="AE30" s="51">
        <f t="shared" si="5"/>
        <v>0.98375092436630085</v>
      </c>
      <c r="AF30" s="31">
        <f>prod_table_raw!N138</f>
        <v>7.3401460684999904</v>
      </c>
      <c r="AG30" s="31">
        <f>prod_table_raw!N135</f>
        <v>2.2666986659999999</v>
      </c>
      <c r="AH30" s="31">
        <f>prod_table_raw!N137</f>
        <v>2577.9603750000001</v>
      </c>
      <c r="AI30" s="31"/>
      <c r="AJ30" s="31"/>
      <c r="AK30" s="31"/>
      <c r="AL30" s="31">
        <f>prod_table_raw!N136</f>
        <v>7702.4385169999996</v>
      </c>
      <c r="AM30" s="31"/>
      <c r="AN30" s="31"/>
      <c r="AO30" s="31"/>
      <c r="AP30" s="31"/>
      <c r="AQ30" s="31"/>
      <c r="AR30" s="31"/>
      <c r="AS30">
        <f>AH30/(concentrate_grade!$F$4/100)</f>
        <v>8593.2012500000001</v>
      </c>
      <c r="AT30">
        <f>AI30/(concentrate_grade!$F$6/100)</f>
        <v>0</v>
      </c>
      <c r="AU30">
        <f>AK30/(concentrate_grade!$F$5/100)</f>
        <v>0</v>
      </c>
      <c r="AV30">
        <f>AL30/(concentrate_grade!$F$9/100)</f>
        <v>15404.877033999999</v>
      </c>
      <c r="AW30">
        <f>AM30/(concentrate_grade!$F$8/100)</f>
        <v>0</v>
      </c>
      <c r="AX30"/>
      <c r="AY30" s="31"/>
      <c r="AZ30" s="31"/>
      <c r="BA30" s="31"/>
      <c r="BB30" t="e">
        <f>AR30/concentrate_grade!#REF!</f>
        <v>#REF!</v>
      </c>
      <c r="BC30">
        <f t="shared" si="1"/>
        <v>9.8029027903061134</v>
      </c>
    </row>
    <row r="31" spans="1:55" s="66" customFormat="1" x14ac:dyDescent="0.25">
      <c r="A31" s="64" t="s">
        <v>534</v>
      </c>
      <c r="C31" s="66" t="s">
        <v>535</v>
      </c>
      <c r="E31" s="66" t="s">
        <v>442</v>
      </c>
      <c r="F31" s="67" t="s">
        <v>540</v>
      </c>
      <c r="G31" s="64" t="s">
        <v>71</v>
      </c>
      <c r="H31" s="66" t="s">
        <v>1523</v>
      </c>
      <c r="I31" s="66" t="s">
        <v>1159</v>
      </c>
      <c r="K31" s="66" t="s">
        <v>1426</v>
      </c>
      <c r="L31" s="66" t="s">
        <v>1508</v>
      </c>
      <c r="M31" s="66">
        <v>681889.99643018574</v>
      </c>
      <c r="O31" s="66" t="s">
        <v>1113</v>
      </c>
      <c r="P31" s="66" t="s">
        <v>1113</v>
      </c>
      <c r="Q31" s="66" t="s">
        <v>1113</v>
      </c>
      <c r="R31" t="s">
        <v>1113</v>
      </c>
      <c r="T31" s="66" t="s">
        <v>1113</v>
      </c>
      <c r="U31" s="67" t="s">
        <v>326</v>
      </c>
      <c r="V31" s="66" t="s">
        <v>1537</v>
      </c>
      <c r="W31" s="66" t="s">
        <v>919</v>
      </c>
      <c r="X31" s="66" t="s">
        <v>1539</v>
      </c>
      <c r="Y31" s="64"/>
      <c r="AB31" s="66">
        <f t="shared" si="0"/>
        <v>0</v>
      </c>
      <c r="AC31" s="72"/>
      <c r="AD31"/>
      <c r="AF31" s="69"/>
      <c r="AG31" s="69"/>
      <c r="AH31" s="69"/>
      <c r="AI31" s="69">
        <f>prod_table_raw!N145</f>
        <v>27700</v>
      </c>
      <c r="AJ31" s="69"/>
      <c r="AK31" s="69"/>
      <c r="AL31" s="69"/>
      <c r="AM31" s="69"/>
      <c r="AN31" s="69"/>
      <c r="AO31" s="69"/>
      <c r="AP31" s="69"/>
      <c r="AQ31" s="69"/>
      <c r="AR31" s="69"/>
      <c r="AS31" s="65">
        <f>AH31/(concentrate_grade!$F$4/100)</f>
        <v>0</v>
      </c>
      <c r="AT31" s="65"/>
      <c r="AU31" s="66">
        <f>AK31/(concentrate_grade!$F$5/100)</f>
        <v>0</v>
      </c>
      <c r="AV31" s="69"/>
      <c r="AW31" s="66">
        <f>AM31/(concentrate_grade!$F$8/100)</f>
        <v>0</v>
      </c>
      <c r="AX31" s="69"/>
      <c r="AY31" s="69"/>
      <c r="AZ31" s="69"/>
      <c r="BA31" s="69"/>
      <c r="BB31" s="69"/>
      <c r="BC31" s="66">
        <f t="shared" si="1"/>
        <v>0</v>
      </c>
    </row>
    <row r="32" spans="1:55" x14ac:dyDescent="0.25">
      <c r="A32" s="18" t="s">
        <v>239</v>
      </c>
      <c r="C32" t="s">
        <v>240</v>
      </c>
      <c r="E32" t="s">
        <v>437</v>
      </c>
      <c r="F32" s="19" t="s">
        <v>435</v>
      </c>
      <c r="G32" s="18" t="s">
        <v>64</v>
      </c>
      <c r="H32" t="s">
        <v>1523</v>
      </c>
      <c r="I32" t="s">
        <v>1555</v>
      </c>
      <c r="J32" t="s">
        <v>1528</v>
      </c>
      <c r="K32" t="s">
        <v>1426</v>
      </c>
      <c r="L32" t="s">
        <v>1515</v>
      </c>
      <c r="M32">
        <v>5804864.8944920022</v>
      </c>
      <c r="N32" t="s">
        <v>1477</v>
      </c>
      <c r="O32" t="s">
        <v>1113</v>
      </c>
      <c r="Q32" t="s">
        <v>1113</v>
      </c>
      <c r="R32" t="s">
        <v>1113</v>
      </c>
      <c r="S32" t="s">
        <v>1113</v>
      </c>
      <c r="T32" t="s">
        <v>1526</v>
      </c>
      <c r="U32" s="19" t="s">
        <v>65</v>
      </c>
      <c r="V32" t="s">
        <v>1113</v>
      </c>
      <c r="W32" t="s">
        <v>920</v>
      </c>
      <c r="X32" t="s">
        <v>1565</v>
      </c>
      <c r="Y32" s="18">
        <f>prod_table_raw!N146</f>
        <v>441588</v>
      </c>
      <c r="Z32">
        <f>(AF32+AG32)/0.98</f>
        <v>7.253304461734694</v>
      </c>
      <c r="AA32"/>
      <c r="AB32">
        <f t="shared" si="0"/>
        <v>441580.74669553828</v>
      </c>
      <c r="AC32" s="72">
        <f t="shared" si="2"/>
        <v>1.6425501738576894E-5</v>
      </c>
      <c r="AD32">
        <f t="shared" si="3"/>
        <v>0</v>
      </c>
      <c r="AE32" s="51">
        <f t="shared" ref="AE32:AE42" si="6">1-(Z32+AA32)/AB32</f>
        <v>0.99998357422845985</v>
      </c>
      <c r="AF32" s="31">
        <f>prod_table_raw!N147</f>
        <v>7.1082383724999998</v>
      </c>
      <c r="AG32" s="31"/>
      <c r="AH32" s="31"/>
      <c r="AI32" s="31"/>
      <c r="AJ32" s="31"/>
      <c r="AK32" s="31"/>
      <c r="AL32" s="31"/>
      <c r="AM32" s="31"/>
      <c r="AN32" s="31"/>
      <c r="AO32" s="31"/>
      <c r="AP32" s="31"/>
      <c r="AQ32" s="31"/>
      <c r="AR32" s="31"/>
      <c r="AS32">
        <f>AH32/(concentrate_grade!$F$4/100)</f>
        <v>0</v>
      </c>
      <c r="AT32">
        <f>AI32/(concentrate_grade!$F$6/100)</f>
        <v>0</v>
      </c>
      <c r="AU32">
        <f>AK32/(concentrate_grade!$F$5/100)</f>
        <v>0</v>
      </c>
      <c r="AV32">
        <f>AL32/(concentrate_grade!$F$9/100)</f>
        <v>0</v>
      </c>
      <c r="AW32">
        <f>AM32/(concentrate_grade!$F$8/100)</f>
        <v>0</v>
      </c>
      <c r="AX32"/>
      <c r="AY32" s="31"/>
      <c r="AZ32" s="31"/>
      <c r="BA32" s="31"/>
      <c r="BB32" t="e">
        <f>AR32/concentrate_grade!#REF!</f>
        <v>#REF!</v>
      </c>
      <c r="BC32">
        <f t="shared" si="1"/>
        <v>7.253304461734694</v>
      </c>
    </row>
    <row r="33" spans="1:55" x14ac:dyDescent="0.25">
      <c r="A33" s="18" t="s">
        <v>243</v>
      </c>
      <c r="C33" t="s">
        <v>246</v>
      </c>
      <c r="E33" t="s">
        <v>437</v>
      </c>
      <c r="F33" s="19" t="s">
        <v>435</v>
      </c>
      <c r="G33" s="18" t="s">
        <v>78</v>
      </c>
      <c r="H33" t="s">
        <v>1523</v>
      </c>
      <c r="I33" t="s">
        <v>1555</v>
      </c>
      <c r="K33" t="s">
        <v>1427</v>
      </c>
      <c r="M33">
        <v>240468.70558949231</v>
      </c>
      <c r="N33" t="s">
        <v>1488</v>
      </c>
      <c r="Q33" t="s">
        <v>1113</v>
      </c>
      <c r="R33" t="s">
        <v>1113</v>
      </c>
      <c r="S33" t="s">
        <v>1113</v>
      </c>
      <c r="T33" t="s">
        <v>1113</v>
      </c>
      <c r="U33" s="19" t="s">
        <v>65</v>
      </c>
      <c r="V33" t="s">
        <v>1503</v>
      </c>
      <c r="W33" t="s">
        <v>920</v>
      </c>
      <c r="X33" t="s">
        <v>1565</v>
      </c>
      <c r="Y33" s="18">
        <f>prod_table_raw!N150</f>
        <v>1165551</v>
      </c>
      <c r="Z33">
        <f>(AF33+AG33)/0.98</f>
        <v>1.0473627551020408</v>
      </c>
      <c r="AA33"/>
      <c r="AB33">
        <f t="shared" si="0"/>
        <v>1165549.9526372449</v>
      </c>
      <c r="AC33" s="72">
        <f t="shared" si="2"/>
        <v>8.9859882158913749E-7</v>
      </c>
      <c r="AD33">
        <f t="shared" si="3"/>
        <v>0</v>
      </c>
      <c r="AE33" s="51">
        <f t="shared" si="6"/>
        <v>0.99999910140037096</v>
      </c>
      <c r="AF33" s="31">
        <f>prod_table_raw!N148</f>
        <v>1.0264154999999999</v>
      </c>
      <c r="AG33" s="31"/>
      <c r="AH33" s="31"/>
      <c r="AI33" s="31"/>
      <c r="AJ33" s="31"/>
      <c r="AK33" s="31"/>
      <c r="AL33" s="31"/>
      <c r="AM33" s="31"/>
      <c r="AN33" s="31"/>
      <c r="AO33" s="31"/>
      <c r="AP33" s="31"/>
      <c r="AQ33" s="31"/>
      <c r="AR33" s="31"/>
      <c r="AS33">
        <f>AH33/(concentrate_grade!$F$4/100)</f>
        <v>0</v>
      </c>
      <c r="AT33">
        <f>AI33/(concentrate_grade!$F$6/100)</f>
        <v>0</v>
      </c>
      <c r="AU33">
        <f>AK33/(concentrate_grade!$F$5/100)</f>
        <v>0</v>
      </c>
      <c r="AV33">
        <f>AL33/(concentrate_grade!$F$9/100)</f>
        <v>0</v>
      </c>
      <c r="AW33">
        <f>AM33/(concentrate_grade!$F$8/100)</f>
        <v>0</v>
      </c>
      <c r="AX33"/>
      <c r="AY33" s="31"/>
      <c r="AZ33" s="31"/>
      <c r="BA33" s="31"/>
      <c r="BB33" t="e">
        <f>AR33/concentrate_grade!#REF!</f>
        <v>#REF!</v>
      </c>
      <c r="BC33">
        <f t="shared" si="1"/>
        <v>1.0473627551020408</v>
      </c>
    </row>
    <row r="34" spans="1:55" s="66" customFormat="1" x14ac:dyDescent="0.25">
      <c r="A34" s="64" t="s">
        <v>249</v>
      </c>
      <c r="C34" s="66" t="s">
        <v>251</v>
      </c>
      <c r="E34" s="66" t="s">
        <v>434</v>
      </c>
      <c r="F34" s="67" t="s">
        <v>435</v>
      </c>
      <c r="G34" s="64" t="s">
        <v>57</v>
      </c>
      <c r="H34" s="66" t="s">
        <v>1524</v>
      </c>
      <c r="I34" s="66" t="s">
        <v>1191</v>
      </c>
      <c r="J34" s="66" t="s">
        <v>1533</v>
      </c>
      <c r="K34" s="66" t="s">
        <v>1420</v>
      </c>
      <c r="L34" s="66" t="s">
        <v>1508</v>
      </c>
      <c r="O34" s="66" t="s">
        <v>1113</v>
      </c>
      <c r="P34" s="66" t="s">
        <v>1113</v>
      </c>
      <c r="Q34" s="66" t="s">
        <v>1113</v>
      </c>
      <c r="R34" t="s">
        <v>1113</v>
      </c>
      <c r="S34" s="66" t="s">
        <v>1113</v>
      </c>
      <c r="T34" s="66" t="s">
        <v>1113</v>
      </c>
      <c r="U34" s="67" t="s">
        <v>149</v>
      </c>
      <c r="V34" s="66" t="s">
        <v>1542</v>
      </c>
      <c r="W34" s="66" t="s">
        <v>1068</v>
      </c>
      <c r="X34" s="66" t="s">
        <v>513</v>
      </c>
      <c r="Y34" s="64">
        <f>prod_table_raw!N151</f>
        <v>5600000</v>
      </c>
      <c r="AB34" s="66">
        <f t="shared" ref="AB34:AB65" si="7">Y34-Z34-AA34</f>
        <v>5600000</v>
      </c>
      <c r="AC34" s="72">
        <f t="shared" si="2"/>
        <v>0</v>
      </c>
      <c r="AD34">
        <f t="shared" si="3"/>
        <v>0</v>
      </c>
      <c r="AE34" s="68">
        <f t="shared" si="6"/>
        <v>1</v>
      </c>
      <c r="AF34" s="69"/>
      <c r="AG34" s="69"/>
      <c r="AH34" s="69"/>
      <c r="AI34" s="69"/>
      <c r="AJ34" s="69"/>
      <c r="AK34" s="69"/>
      <c r="AL34" s="69"/>
      <c r="AM34" s="69"/>
      <c r="AN34" s="69"/>
      <c r="AO34" s="69"/>
      <c r="AP34" s="69"/>
      <c r="AQ34" s="69"/>
      <c r="AR34" s="69"/>
      <c r="AS34" s="66">
        <f>AH34/(concentrate_grade!$F$4/100)</f>
        <v>0</v>
      </c>
      <c r="AT34" s="66">
        <f>AI34/(concentrate_grade!$F$6/100)</f>
        <v>0</v>
      </c>
      <c r="AU34" s="66">
        <f>AK34/(concentrate_grade!$F$5/100)</f>
        <v>0</v>
      </c>
      <c r="AV34" s="66">
        <f>AL34/(concentrate_grade!$F$9/100)</f>
        <v>0</v>
      </c>
      <c r="AW34" s="66">
        <f>AM34/(concentrate_grade!$F$8/100)</f>
        <v>0</v>
      </c>
      <c r="AY34" s="69"/>
      <c r="AZ34" s="69"/>
      <c r="BA34" s="69"/>
      <c r="BB34" s="66" t="e">
        <f>AR34/concentrate_grade!#REF!</f>
        <v>#REF!</v>
      </c>
      <c r="BC34" s="66">
        <f t="shared" ref="BC34:BC66" si="8">Z34</f>
        <v>0</v>
      </c>
    </row>
    <row r="35" spans="1:55" x14ac:dyDescent="0.25">
      <c r="A35" s="18" t="s">
        <v>267</v>
      </c>
      <c r="C35" t="s">
        <v>270</v>
      </c>
      <c r="E35" t="s">
        <v>437</v>
      </c>
      <c r="F35" s="19" t="s">
        <v>435</v>
      </c>
      <c r="G35" s="18" t="s">
        <v>98</v>
      </c>
      <c r="H35" t="s">
        <v>1523</v>
      </c>
      <c r="I35" t="s">
        <v>1560</v>
      </c>
      <c r="J35" t="s">
        <v>1532</v>
      </c>
      <c r="K35" t="s">
        <v>1427</v>
      </c>
      <c r="M35">
        <v>989146.07241399994</v>
      </c>
      <c r="N35" t="s">
        <v>1493</v>
      </c>
      <c r="Q35" t="s">
        <v>1113</v>
      </c>
      <c r="R35" t="s">
        <v>1113</v>
      </c>
      <c r="S35" t="s">
        <v>1113</v>
      </c>
      <c r="T35" t="s">
        <v>1113</v>
      </c>
      <c r="U35" s="19" t="s">
        <v>271</v>
      </c>
      <c r="V35" t="s">
        <v>1551</v>
      </c>
      <c r="W35" t="s">
        <v>1422</v>
      </c>
      <c r="X35" t="s">
        <v>1573</v>
      </c>
      <c r="Y35" s="18">
        <f>prod_table_raw!N157</f>
        <v>317660</v>
      </c>
      <c r="Z35"/>
      <c r="AA35"/>
      <c r="AB35">
        <f t="shared" si="7"/>
        <v>317660</v>
      </c>
      <c r="AC35" s="72">
        <f t="shared" si="2"/>
        <v>0</v>
      </c>
      <c r="AD35">
        <f t="shared" si="3"/>
        <v>0</v>
      </c>
      <c r="AE35" s="51">
        <f t="shared" si="6"/>
        <v>1</v>
      </c>
      <c r="AF35" s="31"/>
      <c r="AG35" s="31"/>
      <c r="AH35" s="31"/>
      <c r="AI35" s="31"/>
      <c r="AJ35" s="31"/>
      <c r="AK35" s="31"/>
      <c r="AL35" s="31"/>
      <c r="AM35" s="31"/>
      <c r="AN35" s="31"/>
      <c r="AO35" s="31"/>
      <c r="AP35" s="31"/>
      <c r="AQ35" s="31"/>
      <c r="AR35" s="31"/>
      <c r="AS35">
        <f>AH35/(concentrate_grade!$F$4/100)</f>
        <v>0</v>
      </c>
      <c r="AT35">
        <f>AI35/(concentrate_grade!$F$6/100)</f>
        <v>0</v>
      </c>
      <c r="AU35">
        <f>AK35/(concentrate_grade!$F$5/100)</f>
        <v>0</v>
      </c>
      <c r="AV35">
        <f>AL35/(concentrate_grade!$F$9/100)</f>
        <v>0</v>
      </c>
      <c r="AW35">
        <f>AM35/(concentrate_grade!$F$8/100)</f>
        <v>0</v>
      </c>
      <c r="AX35"/>
      <c r="AY35" s="31"/>
      <c r="AZ35" s="31"/>
      <c r="BA35" s="31"/>
      <c r="BB35" t="e">
        <f>AR35/concentrate_grade!#REF!</f>
        <v>#REF!</v>
      </c>
      <c r="BC35">
        <f t="shared" si="8"/>
        <v>0</v>
      </c>
    </row>
    <row r="36" spans="1:55" x14ac:dyDescent="0.25">
      <c r="A36" s="18" t="s">
        <v>277</v>
      </c>
      <c r="C36" t="s">
        <v>278</v>
      </c>
      <c r="E36" t="s">
        <v>434</v>
      </c>
      <c r="F36" s="19" t="s">
        <v>435</v>
      </c>
      <c r="G36" s="18" t="s">
        <v>91</v>
      </c>
      <c r="H36" t="s">
        <v>1519</v>
      </c>
      <c r="I36" t="s">
        <v>1555</v>
      </c>
      <c r="K36" t="s">
        <v>1426</v>
      </c>
      <c r="L36" t="s">
        <v>1416</v>
      </c>
      <c r="N36" t="s">
        <v>1481</v>
      </c>
      <c r="P36" t="s">
        <v>1113</v>
      </c>
      <c r="Q36" t="s">
        <v>1113</v>
      </c>
      <c r="R36" t="s">
        <v>1113</v>
      </c>
      <c r="T36" t="s">
        <v>1526</v>
      </c>
      <c r="U36" s="19" t="s">
        <v>115</v>
      </c>
      <c r="V36" t="s">
        <v>1113</v>
      </c>
      <c r="W36" t="s">
        <v>1075</v>
      </c>
      <c r="X36" t="s">
        <v>1565</v>
      </c>
      <c r="Y36" s="18">
        <f>prod_table_raw!N163</f>
        <v>1918143</v>
      </c>
      <c r="Z36">
        <f>(AF36+AG36)/0.98</f>
        <v>12.41413683010194</v>
      </c>
      <c r="AA36"/>
      <c r="AB36">
        <f t="shared" si="7"/>
        <v>1918130.58586317</v>
      </c>
      <c r="AC36" s="72">
        <f t="shared" si="2"/>
        <v>6.4719558604869089E-6</v>
      </c>
      <c r="AD36">
        <f t="shared" si="3"/>
        <v>0</v>
      </c>
      <c r="AE36" s="51">
        <f t="shared" si="6"/>
        <v>0.99999352800225305</v>
      </c>
      <c r="AF36" s="31">
        <f>prod_table_raw!N164</f>
        <v>11.326059593499901</v>
      </c>
      <c r="AG36" s="31">
        <f>prod_table_raw!N165</f>
        <v>0.8397945</v>
      </c>
      <c r="AH36" s="31"/>
      <c r="AI36" s="31"/>
      <c r="AJ36" s="31"/>
      <c r="AK36" s="31"/>
      <c r="AL36" s="31"/>
      <c r="AM36" s="31"/>
      <c r="AN36" s="31"/>
      <c r="AO36" s="31"/>
      <c r="AP36" s="31"/>
      <c r="AQ36" s="31"/>
      <c r="AR36" s="31"/>
      <c r="AS36">
        <f>AH36/(concentrate_grade!$F$4/100)</f>
        <v>0</v>
      </c>
      <c r="AT36">
        <f>AI36/(concentrate_grade!$F$6/100)</f>
        <v>0</v>
      </c>
      <c r="AU36">
        <f>AK36/(concentrate_grade!$F$5/100)</f>
        <v>0</v>
      </c>
      <c r="AV36">
        <f>AL36/(concentrate_grade!$F$9/100)</f>
        <v>0</v>
      </c>
      <c r="AW36">
        <f>AM36/(concentrate_grade!$F$8/100)</f>
        <v>0</v>
      </c>
      <c r="AX36"/>
      <c r="AY36" s="31"/>
      <c r="AZ36" s="31"/>
      <c r="BA36" s="31"/>
      <c r="BB36" t="e">
        <f>AR36/concentrate_grade!#REF!</f>
        <v>#REF!</v>
      </c>
      <c r="BC36">
        <f t="shared" si="8"/>
        <v>12.41413683010194</v>
      </c>
    </row>
    <row r="37" spans="1:55" x14ac:dyDescent="0.25">
      <c r="A37" s="18" t="s">
        <v>283</v>
      </c>
      <c r="C37" t="s">
        <v>286</v>
      </c>
      <c r="E37" t="s">
        <v>439</v>
      </c>
      <c r="F37" s="19" t="s">
        <v>435</v>
      </c>
      <c r="G37" s="18" t="s">
        <v>78</v>
      </c>
      <c r="H37" t="s">
        <v>1519</v>
      </c>
      <c r="I37" t="s">
        <v>1558</v>
      </c>
      <c r="K37" t="s">
        <v>1425</v>
      </c>
      <c r="L37" t="s">
        <v>1416</v>
      </c>
      <c r="M37">
        <v>12606786.4826</v>
      </c>
      <c r="N37" t="s">
        <v>1494</v>
      </c>
      <c r="Q37" t="s">
        <v>1113</v>
      </c>
      <c r="R37" t="s">
        <v>1113</v>
      </c>
      <c r="S37" t="s">
        <v>1113</v>
      </c>
      <c r="T37" t="s">
        <v>1117</v>
      </c>
      <c r="U37" s="19" t="s">
        <v>113</v>
      </c>
      <c r="V37" t="s">
        <v>1113</v>
      </c>
      <c r="W37" t="s">
        <v>1546</v>
      </c>
      <c r="X37" t="s">
        <v>1577</v>
      </c>
      <c r="Y37" s="18">
        <f>prod_table_raw!N175</f>
        <v>21680000</v>
      </c>
      <c r="Z37"/>
      <c r="AA37">
        <f>AH37/(concentrate_grade!$F$4/100)</f>
        <v>93533.694346666671</v>
      </c>
      <c r="AB37">
        <f t="shared" si="7"/>
        <v>21586466.305653334</v>
      </c>
      <c r="AC37" s="72">
        <f t="shared" si="2"/>
        <v>0</v>
      </c>
      <c r="AD37">
        <f t="shared" si="3"/>
        <v>4.3142847945879465E-3</v>
      </c>
      <c r="AE37" s="51">
        <f t="shared" si="6"/>
        <v>0.99566702150216357</v>
      </c>
      <c r="AF37" s="31">
        <f>prod_table_raw!N173</f>
        <v>4.8021004684999999</v>
      </c>
      <c r="AG37" s="31"/>
      <c r="AH37" s="31">
        <f>prod_table_raw!N171</f>
        <v>28060.108304000001</v>
      </c>
      <c r="AI37" s="31"/>
      <c r="AJ37" s="31"/>
      <c r="AK37" s="31"/>
      <c r="AL37" s="31"/>
      <c r="AM37" s="31"/>
      <c r="AN37" s="31"/>
      <c r="AO37" s="31"/>
      <c r="AP37" s="31"/>
      <c r="AQ37" s="31"/>
      <c r="AR37" s="31"/>
      <c r="AS37">
        <f>AH37/(concentrate_grade!$F$4/100)</f>
        <v>93533.694346666671</v>
      </c>
      <c r="AT37">
        <f>AI37/(concentrate_grade!$F$6/100)</f>
        <v>0</v>
      </c>
      <c r="AU37">
        <f>AK37/(concentrate_grade!$F$5/100)</f>
        <v>0</v>
      </c>
      <c r="AV37">
        <f>AL37/(concentrate_grade!$F$9/100)</f>
        <v>0</v>
      </c>
      <c r="AW37">
        <f>AM37/(concentrate_grade!$F$8/100)</f>
        <v>0</v>
      </c>
      <c r="AX37"/>
      <c r="AY37" s="31"/>
      <c r="AZ37" s="31"/>
      <c r="BA37" s="31"/>
      <c r="BB37" t="e">
        <f>AR37/concentrate_grade!#REF!</f>
        <v>#REF!</v>
      </c>
      <c r="BC37">
        <f t="shared" si="8"/>
        <v>0</v>
      </c>
    </row>
    <row r="38" spans="1:55" x14ac:dyDescent="0.25">
      <c r="A38" s="18" t="s">
        <v>288</v>
      </c>
      <c r="C38" t="s">
        <v>291</v>
      </c>
      <c r="E38" t="s">
        <v>439</v>
      </c>
      <c r="F38" s="19" t="s">
        <v>435</v>
      </c>
      <c r="G38" s="18" t="s">
        <v>78</v>
      </c>
      <c r="H38" t="s">
        <v>1519</v>
      </c>
      <c r="I38" t="s">
        <v>1558</v>
      </c>
      <c r="K38" t="s">
        <v>1426</v>
      </c>
      <c r="L38" t="s">
        <v>1508</v>
      </c>
      <c r="M38">
        <v>7967834.6375599997</v>
      </c>
      <c r="N38" t="s">
        <v>1495</v>
      </c>
      <c r="O38" t="s">
        <v>1113</v>
      </c>
      <c r="Q38" t="s">
        <v>1113</v>
      </c>
      <c r="R38" t="s">
        <v>1113</v>
      </c>
      <c r="S38" t="s">
        <v>1113</v>
      </c>
      <c r="T38" t="s">
        <v>1113</v>
      </c>
      <c r="U38" s="19" t="s">
        <v>292</v>
      </c>
      <c r="V38" t="s">
        <v>1113</v>
      </c>
      <c r="W38" t="s">
        <v>1546</v>
      </c>
      <c r="X38" t="s">
        <v>1577</v>
      </c>
      <c r="Y38" s="18">
        <f>prod_table_raw!N179</f>
        <v>5948239</v>
      </c>
      <c r="Z38"/>
      <c r="AA38">
        <f>AH38/(concentrate_grade!$F$4/100)</f>
        <v>45578.436133333336</v>
      </c>
      <c r="AB38">
        <f t="shared" si="7"/>
        <v>5902660.5638666665</v>
      </c>
      <c r="AC38" s="72">
        <f t="shared" si="2"/>
        <v>0</v>
      </c>
      <c r="AD38">
        <f t="shared" si="3"/>
        <v>7.6625092121102292E-3</v>
      </c>
      <c r="AE38" s="51">
        <f t="shared" si="6"/>
        <v>0.99227832336957622</v>
      </c>
      <c r="AF38" s="31">
        <f>prod_table_raw!N178</f>
        <v>1.301183819</v>
      </c>
      <c r="AG38" s="31"/>
      <c r="AH38" s="31">
        <f>prod_table_raw!N180</f>
        <v>13673.530839999999</v>
      </c>
      <c r="AI38" s="31"/>
      <c r="AJ38" s="31"/>
      <c r="AK38" s="31"/>
      <c r="AL38" s="31"/>
      <c r="AM38" s="31"/>
      <c r="AN38" s="31"/>
      <c r="AO38" s="31"/>
      <c r="AP38" s="31"/>
      <c r="AQ38" s="31"/>
      <c r="AR38" s="31"/>
      <c r="AS38">
        <f>AH38/(concentrate_grade!$F$4/100)</f>
        <v>45578.436133333336</v>
      </c>
      <c r="AT38">
        <f>AI38/(concentrate_grade!$F$6/100)</f>
        <v>0</v>
      </c>
      <c r="AU38">
        <f>AK38/(concentrate_grade!$F$5/100)</f>
        <v>0</v>
      </c>
      <c r="AV38">
        <f>AL38/(concentrate_grade!$F$9/100)</f>
        <v>0</v>
      </c>
      <c r="AW38">
        <f>AM38/(concentrate_grade!$F$8/100)</f>
        <v>0</v>
      </c>
      <c r="AX38"/>
      <c r="AY38" s="31"/>
      <c r="AZ38" s="31"/>
      <c r="BA38" s="31"/>
      <c r="BB38" t="e">
        <f>AR38/concentrate_grade!#REF!</f>
        <v>#REF!</v>
      </c>
      <c r="BC38">
        <f t="shared" si="8"/>
        <v>0</v>
      </c>
    </row>
    <row r="39" spans="1:55" x14ac:dyDescent="0.25">
      <c r="A39" s="18" t="s">
        <v>294</v>
      </c>
      <c r="C39" t="s">
        <v>295</v>
      </c>
      <c r="E39" t="s">
        <v>437</v>
      </c>
      <c r="F39" s="19" t="s">
        <v>435</v>
      </c>
      <c r="G39" s="18" t="s">
        <v>64</v>
      </c>
      <c r="H39" t="s">
        <v>1519</v>
      </c>
      <c r="I39" t="s">
        <v>1555</v>
      </c>
      <c r="K39" t="s">
        <v>1426</v>
      </c>
      <c r="L39" t="s">
        <v>1417</v>
      </c>
      <c r="M39">
        <v>1550354.452950391</v>
      </c>
      <c r="N39" t="s">
        <v>1496</v>
      </c>
      <c r="S39" t="s">
        <v>1113</v>
      </c>
      <c r="T39" t="s">
        <v>1526</v>
      </c>
      <c r="U39" s="19" t="s">
        <v>65</v>
      </c>
      <c r="V39" t="s">
        <v>1113</v>
      </c>
      <c r="W39" t="s">
        <v>920</v>
      </c>
      <c r="X39" t="s">
        <v>1565</v>
      </c>
      <c r="Y39" s="18">
        <f>prod_table_raw!N183</f>
        <v>1028000</v>
      </c>
      <c r="Z39">
        <f>(AF39+AG39)/0.98</f>
        <v>5.7128877551020407</v>
      </c>
      <c r="AA39"/>
      <c r="AB39">
        <f t="shared" si="7"/>
        <v>1027994.2871122449</v>
      </c>
      <c r="AC39" s="72">
        <f t="shared" si="2"/>
        <v>5.5572838084650201E-6</v>
      </c>
      <c r="AD39">
        <f t="shared" si="3"/>
        <v>0</v>
      </c>
      <c r="AE39" s="51">
        <f t="shared" si="6"/>
        <v>0.9999944426853079</v>
      </c>
      <c r="AF39" s="31">
        <f>prod_table_raw!N184</f>
        <v>5.59863</v>
      </c>
      <c r="AG39" s="31"/>
      <c r="AH39" s="31"/>
      <c r="AI39" s="31"/>
      <c r="AJ39" s="31"/>
      <c r="AK39" s="31"/>
      <c r="AL39" s="31"/>
      <c r="AM39" s="31"/>
      <c r="AN39" s="31"/>
      <c r="AO39" s="31"/>
      <c r="AP39" s="31"/>
      <c r="AQ39" s="31"/>
      <c r="AR39" s="31"/>
      <c r="AS39">
        <f>AH39/(concentrate_grade!$F$4/100)</f>
        <v>0</v>
      </c>
      <c r="AT39">
        <f>AI39/(concentrate_grade!$F$6/100)</f>
        <v>0</v>
      </c>
      <c r="AU39">
        <f>AK39/(concentrate_grade!$F$5/100)</f>
        <v>0</v>
      </c>
      <c r="AV39">
        <f>AL39/(concentrate_grade!$F$9/100)</f>
        <v>0</v>
      </c>
      <c r="AW39">
        <f>AM39/(concentrate_grade!$F$8/100)</f>
        <v>0</v>
      </c>
      <c r="AX39"/>
      <c r="AY39" s="31"/>
      <c r="AZ39" s="31"/>
      <c r="BA39" s="31"/>
      <c r="BB39" t="e">
        <f>AR39/concentrate_grade!#REF!</f>
        <v>#REF!</v>
      </c>
      <c r="BC39">
        <f t="shared" si="8"/>
        <v>5.7128877551020407</v>
      </c>
    </row>
    <row r="40" spans="1:55" x14ac:dyDescent="0.25">
      <c r="A40" s="18" t="s">
        <v>297</v>
      </c>
      <c r="C40" t="s">
        <v>300</v>
      </c>
      <c r="E40" t="s">
        <v>439</v>
      </c>
      <c r="F40" s="19" t="s">
        <v>435</v>
      </c>
      <c r="G40" s="18" t="s">
        <v>64</v>
      </c>
      <c r="H40" t="s">
        <v>1522</v>
      </c>
      <c r="I40" t="s">
        <v>1558</v>
      </c>
      <c r="K40" t="s">
        <v>1425</v>
      </c>
      <c r="L40" t="s">
        <v>1417</v>
      </c>
      <c r="M40">
        <v>4950459.91493</v>
      </c>
      <c r="N40" t="s">
        <v>1495</v>
      </c>
      <c r="R40" t="s">
        <v>1113</v>
      </c>
      <c r="S40" t="s">
        <v>1113</v>
      </c>
      <c r="T40" t="s">
        <v>1117</v>
      </c>
      <c r="U40" s="19" t="s">
        <v>292</v>
      </c>
      <c r="V40" t="s">
        <v>1113</v>
      </c>
      <c r="W40" t="s">
        <v>1546</v>
      </c>
      <c r="X40" t="s">
        <v>1577</v>
      </c>
      <c r="Y40" s="18">
        <f>prod_table_raw!N189</f>
        <v>3065000</v>
      </c>
      <c r="Z40"/>
      <c r="AA40">
        <f>AH40/(concentrate_grade!$F$4/100)</f>
        <v>71667.536000000007</v>
      </c>
      <c r="AB40">
        <f t="shared" si="7"/>
        <v>2993332.4640000002</v>
      </c>
      <c r="AC40" s="72">
        <f t="shared" si="2"/>
        <v>0</v>
      </c>
      <c r="AD40">
        <f t="shared" si="3"/>
        <v>2.338255660685155E-2</v>
      </c>
      <c r="AE40" s="51">
        <f t="shared" si="6"/>
        <v>0.97605760908220984</v>
      </c>
      <c r="AF40" s="31">
        <f>prod_table_raw!N187</f>
        <v>2.0974023155000001</v>
      </c>
      <c r="AG40" s="31"/>
      <c r="AH40" s="31">
        <f>prod_table_raw!N190</f>
        <v>21500.2608</v>
      </c>
      <c r="AI40" s="31"/>
      <c r="AJ40" s="31"/>
      <c r="AK40" s="31"/>
      <c r="AL40" s="31"/>
      <c r="AM40" s="31"/>
      <c r="AN40" s="31"/>
      <c r="AO40" s="31"/>
      <c r="AP40" s="31"/>
      <c r="AQ40" s="31"/>
      <c r="AR40" s="31"/>
      <c r="AS40">
        <f>AH40/(concentrate_grade!$F$4/100)</f>
        <v>71667.536000000007</v>
      </c>
      <c r="AT40">
        <f>AI40/(concentrate_grade!$F$6/100)</f>
        <v>0</v>
      </c>
      <c r="AU40">
        <f>AK40/(concentrate_grade!$F$5/100)</f>
        <v>0</v>
      </c>
      <c r="AV40">
        <f>AL40/(concentrate_grade!$F$9/100)</f>
        <v>0</v>
      </c>
      <c r="AW40">
        <f>AM40/(concentrate_grade!$F$8/100)</f>
        <v>0</v>
      </c>
      <c r="AX40"/>
      <c r="AY40" s="31"/>
      <c r="AZ40" s="31"/>
      <c r="BA40" s="31"/>
      <c r="BB40" t="e">
        <f>AR40/concentrate_grade!#REF!</f>
        <v>#REF!</v>
      </c>
      <c r="BC40">
        <f t="shared" si="8"/>
        <v>0</v>
      </c>
    </row>
    <row r="41" spans="1:55" x14ac:dyDescent="0.25">
      <c r="A41" s="18" t="s">
        <v>305</v>
      </c>
      <c r="B41" t="s">
        <v>162</v>
      </c>
      <c r="C41" t="s">
        <v>306</v>
      </c>
      <c r="D41" t="s">
        <v>164</v>
      </c>
      <c r="E41" t="s">
        <v>437</v>
      </c>
      <c r="F41" s="19" t="s">
        <v>435</v>
      </c>
      <c r="G41" s="18" t="s">
        <v>98</v>
      </c>
      <c r="H41" t="s">
        <v>1523</v>
      </c>
      <c r="I41" t="s">
        <v>1560</v>
      </c>
      <c r="J41" t="s">
        <v>1533</v>
      </c>
      <c r="K41" t="s">
        <v>1427</v>
      </c>
      <c r="P41" t="s">
        <v>1113</v>
      </c>
      <c r="Q41" t="s">
        <v>1113</v>
      </c>
      <c r="R41" t="s">
        <v>1113</v>
      </c>
      <c r="S41" t="s">
        <v>1113</v>
      </c>
      <c r="T41" t="s">
        <v>1113</v>
      </c>
      <c r="U41" s="19" t="s">
        <v>307</v>
      </c>
      <c r="V41" t="s">
        <v>1117</v>
      </c>
      <c r="W41" t="s">
        <v>1396</v>
      </c>
      <c r="X41" t="s">
        <v>1566</v>
      </c>
      <c r="Y41" s="18">
        <f>prod_table_raw!N194</f>
        <v>320160</v>
      </c>
      <c r="Z41"/>
      <c r="AA41">
        <f>AI41/(concentrate_grade!$F$6/100)</f>
        <v>0</v>
      </c>
      <c r="AB41">
        <f t="shared" si="7"/>
        <v>320160</v>
      </c>
      <c r="AC41" s="72">
        <f t="shared" si="2"/>
        <v>0</v>
      </c>
      <c r="AD41">
        <f t="shared" si="3"/>
        <v>0</v>
      </c>
      <c r="AE41" s="51">
        <f t="shared" si="6"/>
        <v>1</v>
      </c>
      <c r="AF41" s="31"/>
      <c r="AG41" s="31"/>
      <c r="AH41" s="31"/>
      <c r="AI41" s="31"/>
      <c r="AJ41" s="31"/>
      <c r="AK41" s="31"/>
      <c r="AL41" s="31"/>
      <c r="AM41" s="31"/>
      <c r="AN41" s="31"/>
      <c r="AO41" s="31"/>
      <c r="AP41" s="31"/>
      <c r="AQ41" s="31"/>
      <c r="AR41" s="31"/>
      <c r="AS41"/>
      <c r="AT41">
        <f>AI41/(concentrate_grade!$F$6/100)</f>
        <v>0</v>
      </c>
      <c r="AU41">
        <f>AK41/(concentrate_grade!$F$5/100)</f>
        <v>0</v>
      </c>
      <c r="AV41">
        <f>AL41/(concentrate_grade!$F$9/100)</f>
        <v>0</v>
      </c>
      <c r="AW41">
        <f>AM41/(concentrate_grade!$F$8/100)</f>
        <v>0</v>
      </c>
      <c r="AX41"/>
      <c r="AY41" s="31"/>
      <c r="AZ41" s="31"/>
      <c r="BA41" s="31"/>
      <c r="BB41" t="e">
        <f>AR41/concentrate_grade!#REF!</f>
        <v>#REF!</v>
      </c>
      <c r="BC41">
        <f t="shared" si="8"/>
        <v>0</v>
      </c>
    </row>
    <row r="42" spans="1:55" s="66" customFormat="1" x14ac:dyDescent="0.25">
      <c r="A42" s="64" t="s">
        <v>311</v>
      </c>
      <c r="C42" s="66" t="s">
        <v>313</v>
      </c>
      <c r="E42" s="66" t="s">
        <v>436</v>
      </c>
      <c r="F42" s="67" t="s">
        <v>435</v>
      </c>
      <c r="G42" s="64" t="s">
        <v>64</v>
      </c>
      <c r="H42" s="66" t="s">
        <v>1523</v>
      </c>
      <c r="I42" s="66" t="s">
        <v>1510</v>
      </c>
      <c r="K42" s="66" t="s">
        <v>1426</v>
      </c>
      <c r="L42" s="66" t="s">
        <v>1508</v>
      </c>
      <c r="M42" s="66">
        <v>2323252.9267690452</v>
      </c>
      <c r="O42" s="66" t="s">
        <v>1113</v>
      </c>
      <c r="P42" s="66" t="s">
        <v>1113</v>
      </c>
      <c r="Q42" s="66" t="s">
        <v>1113</v>
      </c>
      <c r="R42" t="s">
        <v>1113</v>
      </c>
      <c r="S42" s="66" t="s">
        <v>1113</v>
      </c>
      <c r="T42" s="66" t="s">
        <v>1113</v>
      </c>
      <c r="U42" s="67" t="s">
        <v>309</v>
      </c>
      <c r="V42" s="66" t="s">
        <v>1564</v>
      </c>
      <c r="W42" s="66" t="s">
        <v>1395</v>
      </c>
      <c r="X42" s="66" t="s">
        <v>1574</v>
      </c>
      <c r="Y42" s="64">
        <f>prod_table_raw!N195</f>
        <v>2200000</v>
      </c>
      <c r="AA42" s="66" t="e">
        <f>AR42/(concentrate_grade!#REF!/100)</f>
        <v>#REF!</v>
      </c>
      <c r="AB42" s="66" t="e">
        <f t="shared" si="7"/>
        <v>#REF!</v>
      </c>
      <c r="AC42" s="72">
        <f t="shared" si="2"/>
        <v>0</v>
      </c>
      <c r="AD42"/>
      <c r="AE42" s="68" t="e">
        <f t="shared" si="6"/>
        <v>#REF!</v>
      </c>
      <c r="AF42" s="69"/>
      <c r="AG42" s="69"/>
      <c r="AH42" s="69"/>
      <c r="AI42" s="69"/>
      <c r="AJ42" s="69"/>
      <c r="AK42" s="69"/>
      <c r="AL42" s="69"/>
      <c r="AM42" s="69"/>
      <c r="AN42" s="69"/>
      <c r="AO42" s="69"/>
      <c r="AP42" s="69"/>
      <c r="AQ42" s="69"/>
      <c r="AR42" s="69">
        <f>prod_table_raw!N196</f>
        <v>6568.95</v>
      </c>
      <c r="AS42" s="66">
        <f>AH42/(concentrate_grade!$F$4/100)</f>
        <v>0</v>
      </c>
      <c r="AT42" s="66">
        <f>AI42/(concentrate_grade!$F$6/100)</f>
        <v>0</v>
      </c>
      <c r="AU42" s="66">
        <f>AK42/(concentrate_grade!$F$5/100)</f>
        <v>0</v>
      </c>
      <c r="AV42" s="66">
        <f>AL42/(concentrate_grade!$F$9/100)</f>
        <v>0</v>
      </c>
      <c r="AW42" s="66">
        <f>AM42/(concentrate_grade!$F$8/100)</f>
        <v>0</v>
      </c>
      <c r="AY42" s="69"/>
      <c r="AZ42" s="69"/>
      <c r="BA42" s="69"/>
      <c r="BB42" s="66" t="e">
        <f>AR42/concentrate_grade!#REF!</f>
        <v>#REF!</v>
      </c>
      <c r="BC42" s="66">
        <f t="shared" si="8"/>
        <v>0</v>
      </c>
    </row>
    <row r="43" spans="1:55" s="66" customFormat="1" x14ac:dyDescent="0.25">
      <c r="A43" s="64" t="s">
        <v>316</v>
      </c>
      <c r="C43" s="66" t="s">
        <v>318</v>
      </c>
      <c r="E43" s="66" t="s">
        <v>436</v>
      </c>
      <c r="F43" s="67" t="s">
        <v>540</v>
      </c>
      <c r="G43" s="64" t="s">
        <v>1399</v>
      </c>
      <c r="H43" s="66" t="s">
        <v>1523</v>
      </c>
      <c r="I43" s="66" t="s">
        <v>1511</v>
      </c>
      <c r="P43" s="66" t="s">
        <v>1113</v>
      </c>
      <c r="Q43" s="66" t="s">
        <v>1113</v>
      </c>
      <c r="R43" t="s">
        <v>1113</v>
      </c>
      <c r="T43" s="66" t="s">
        <v>1113</v>
      </c>
      <c r="U43" s="67" t="s">
        <v>315</v>
      </c>
      <c r="V43" s="66" t="s">
        <v>1089</v>
      </c>
      <c r="W43" s="66" t="s">
        <v>1395</v>
      </c>
      <c r="Y43" s="64"/>
      <c r="AB43" s="66">
        <f t="shared" si="7"/>
        <v>0</v>
      </c>
      <c r="AC43" s="72"/>
      <c r="AD43"/>
      <c r="AF43" s="69"/>
      <c r="AG43" s="69"/>
      <c r="AH43" s="69"/>
      <c r="AI43" s="69"/>
      <c r="AJ43" s="69"/>
      <c r="AK43" s="69"/>
      <c r="AL43" s="69"/>
      <c r="AM43" s="69"/>
      <c r="AN43" s="69"/>
      <c r="AO43" s="69"/>
      <c r="AP43" s="69"/>
      <c r="AQ43" s="69"/>
      <c r="AR43" s="69">
        <f>prod_table_raw!N197</f>
        <v>11700</v>
      </c>
      <c r="AS43" s="65">
        <f>AH43/(concentrate_grade!$F$4/100)</f>
        <v>0</v>
      </c>
      <c r="AT43" s="65">
        <f>AI43/(concentrate_grade!$F$6/100)</f>
        <v>0</v>
      </c>
      <c r="AU43" s="66">
        <f>AK43/(concentrate_grade!$F$5/100)</f>
        <v>0</v>
      </c>
      <c r="AV43" s="69"/>
      <c r="AW43" s="66">
        <f>AM43/(concentrate_grade!$F$8/100)</f>
        <v>0</v>
      </c>
      <c r="AX43" s="69"/>
      <c r="AY43" s="69"/>
      <c r="AZ43" s="69"/>
      <c r="BA43" s="69"/>
      <c r="BB43" s="69"/>
      <c r="BC43" s="66">
        <f t="shared" si="8"/>
        <v>0</v>
      </c>
    </row>
    <row r="44" spans="1:55" x14ac:dyDescent="0.25">
      <c r="A44" s="18" t="s">
        <v>328</v>
      </c>
      <c r="C44" t="s">
        <v>330</v>
      </c>
      <c r="E44" t="s">
        <v>436</v>
      </c>
      <c r="F44" s="19" t="s">
        <v>435</v>
      </c>
      <c r="G44" s="18" t="s">
        <v>91</v>
      </c>
      <c r="H44" t="s">
        <v>1521</v>
      </c>
      <c r="I44" t="s">
        <v>1560</v>
      </c>
      <c r="K44" t="s">
        <v>1418</v>
      </c>
      <c r="L44" t="s">
        <v>1508</v>
      </c>
      <c r="O44" t="s">
        <v>1113</v>
      </c>
      <c r="P44" t="s">
        <v>1113</v>
      </c>
      <c r="Q44" t="s">
        <v>1113</v>
      </c>
      <c r="R44" t="s">
        <v>1113</v>
      </c>
      <c r="S44" t="s">
        <v>1113</v>
      </c>
      <c r="T44" t="s">
        <v>1113</v>
      </c>
      <c r="U44" s="19" t="s">
        <v>331</v>
      </c>
      <c r="V44" t="s">
        <v>1113</v>
      </c>
      <c r="W44" t="s">
        <v>1396</v>
      </c>
      <c r="X44" t="s">
        <v>1566</v>
      </c>
      <c r="Y44" s="18">
        <f>prod_table_raw!N202</f>
        <v>6835294.1176470499</v>
      </c>
      <c r="Z44"/>
      <c r="AA44">
        <f>AI44/(concentrate_grade!$F$6/100)</f>
        <v>363125</v>
      </c>
      <c r="AB44">
        <f t="shared" si="7"/>
        <v>6472169.1176470499</v>
      </c>
      <c r="AC44" s="72">
        <f t="shared" si="2"/>
        <v>0</v>
      </c>
      <c r="AD44">
        <f t="shared" si="3"/>
        <v>5.3125000000000068E-2</v>
      </c>
      <c r="AE44" s="51">
        <f t="shared" ref="AE44:AE50" si="9">1-(Z44+AA44)/AB44</f>
        <v>0.94389438943894377</v>
      </c>
      <c r="AF44" s="31"/>
      <c r="AG44" s="31"/>
      <c r="AH44" s="31">
        <f>prod_table_raw!N200</f>
        <v>40926</v>
      </c>
      <c r="AI44" s="31">
        <f>prod_table_raw!N201</f>
        <v>58100</v>
      </c>
      <c r="AJ44" s="31"/>
      <c r="AK44" s="31"/>
      <c r="AL44" s="31"/>
      <c r="AM44" s="31"/>
      <c r="AN44" s="31"/>
      <c r="AO44" s="31"/>
      <c r="AP44" s="31"/>
      <c r="AQ44" s="31"/>
      <c r="AR44" s="31"/>
      <c r="AS44"/>
      <c r="AT44">
        <f>AI44/(concentrate_grade!$F$6/100)</f>
        <v>363125</v>
      </c>
      <c r="AU44">
        <f>AK44/(concentrate_grade!$F$5/100)</f>
        <v>0</v>
      </c>
      <c r="AV44">
        <f>AL44/(concentrate_grade!$F$9/100)</f>
        <v>0</v>
      </c>
      <c r="AW44">
        <f>AM44/(concentrate_grade!$F$8/100)</f>
        <v>0</v>
      </c>
      <c r="AX44"/>
      <c r="AY44" s="31"/>
      <c r="AZ44" s="31"/>
      <c r="BA44" s="31"/>
      <c r="BB44" t="e">
        <f>AR44/concentrate_grade!#REF!</f>
        <v>#REF!</v>
      </c>
      <c r="BC44">
        <f t="shared" si="8"/>
        <v>0</v>
      </c>
    </row>
    <row r="45" spans="1:55" x14ac:dyDescent="0.25">
      <c r="A45" s="18" t="s">
        <v>333</v>
      </c>
      <c r="C45" t="s">
        <v>334</v>
      </c>
      <c r="E45" t="s">
        <v>436</v>
      </c>
      <c r="F45" s="19" t="s">
        <v>435</v>
      </c>
      <c r="G45" s="18" t="s">
        <v>64</v>
      </c>
      <c r="H45" t="s">
        <v>1521</v>
      </c>
      <c r="I45" t="s">
        <v>1560</v>
      </c>
      <c r="K45" t="s">
        <v>1426</v>
      </c>
      <c r="L45" t="s">
        <v>1508</v>
      </c>
      <c r="M45">
        <v>2475749.7725005322</v>
      </c>
      <c r="O45" t="s">
        <v>1113</v>
      </c>
      <c r="Q45" t="s">
        <v>1113</v>
      </c>
      <c r="R45" t="s">
        <v>1113</v>
      </c>
      <c r="S45" t="s">
        <v>1113</v>
      </c>
      <c r="T45" t="s">
        <v>1113</v>
      </c>
      <c r="U45" s="19" t="s">
        <v>335</v>
      </c>
      <c r="V45" t="s">
        <v>1113</v>
      </c>
      <c r="W45" t="s">
        <v>1398</v>
      </c>
      <c r="X45" t="s">
        <v>1566</v>
      </c>
      <c r="Y45" s="18">
        <f>prod_table_raw!N207</f>
        <v>1500000</v>
      </c>
      <c r="Z45"/>
      <c r="AA45">
        <f>AI45/(concentrate_grade!$F$6/100)</f>
        <v>151450</v>
      </c>
      <c r="AB45">
        <f t="shared" si="7"/>
        <v>1348550</v>
      </c>
      <c r="AC45" s="72">
        <f t="shared" si="2"/>
        <v>0</v>
      </c>
      <c r="AD45">
        <f t="shared" si="3"/>
        <v>0.10096666666666666</v>
      </c>
      <c r="AE45" s="51">
        <f t="shared" si="9"/>
        <v>0.88769419005598604</v>
      </c>
      <c r="AF45" s="31"/>
      <c r="AG45" s="31"/>
      <c r="AH45" s="31">
        <f>prod_table_raw!N203</f>
        <v>5488</v>
      </c>
      <c r="AI45" s="31">
        <f>prod_table_raw!N204</f>
        <v>24232</v>
      </c>
      <c r="AJ45" s="31">
        <f>prod_table_raw!N205</f>
        <v>498</v>
      </c>
      <c r="AK45" s="31"/>
      <c r="AL45" s="31"/>
      <c r="AM45" s="31"/>
      <c r="AN45" s="31"/>
      <c r="AO45" s="31">
        <f>prod_table_raw!N206</f>
        <v>4.4160749299999997</v>
      </c>
      <c r="AP45" s="31"/>
      <c r="AQ45" s="31"/>
      <c r="AR45" s="31"/>
      <c r="AS45"/>
      <c r="AT45">
        <f>AI45/(concentrate_grade!$F$6/100)</f>
        <v>151450</v>
      </c>
      <c r="AU45">
        <f>AK45/(concentrate_grade!$F$5/100)</f>
        <v>0</v>
      </c>
      <c r="AV45">
        <f>AL45/(concentrate_grade!$F$9/100)</f>
        <v>0</v>
      </c>
      <c r="AW45">
        <f>AM45/(concentrate_grade!$F$8/100)</f>
        <v>0</v>
      </c>
      <c r="AX45"/>
      <c r="AY45" s="31"/>
      <c r="AZ45" s="31"/>
      <c r="BA45" s="31"/>
      <c r="BB45" t="e">
        <f>AR45/concentrate_grade!#REF!</f>
        <v>#REF!</v>
      </c>
      <c r="BC45">
        <f t="shared" si="8"/>
        <v>0</v>
      </c>
    </row>
    <row r="46" spans="1:55" x14ac:dyDescent="0.25">
      <c r="A46" s="18" t="s">
        <v>337</v>
      </c>
      <c r="C46" t="s">
        <v>338</v>
      </c>
      <c r="E46" t="s">
        <v>437</v>
      </c>
      <c r="F46" s="19" t="s">
        <v>435</v>
      </c>
      <c r="G46" s="18" t="s">
        <v>91</v>
      </c>
      <c r="H46" t="s">
        <v>1523</v>
      </c>
      <c r="I46" t="s">
        <v>1555</v>
      </c>
      <c r="K46" t="s">
        <v>1426</v>
      </c>
      <c r="L46" t="s">
        <v>1417</v>
      </c>
      <c r="M46">
        <v>22789723.436936211</v>
      </c>
      <c r="N46" t="s">
        <v>1497</v>
      </c>
      <c r="R46" t="s">
        <v>1113</v>
      </c>
      <c r="T46" t="s">
        <v>1113</v>
      </c>
      <c r="U46" s="19" t="s">
        <v>65</v>
      </c>
      <c r="V46" t="s">
        <v>1113</v>
      </c>
      <c r="W46" t="s">
        <v>920</v>
      </c>
      <c r="X46" t="s">
        <v>1565</v>
      </c>
      <c r="Y46" s="18">
        <f>prod_table_raw!N211</f>
        <v>8764000</v>
      </c>
      <c r="Z46">
        <f>(AF46+AG46)/0.98</f>
        <v>8.0534261301020305</v>
      </c>
      <c r="AA46"/>
      <c r="AB46">
        <f t="shared" si="7"/>
        <v>8763991.9465738703</v>
      </c>
      <c r="AC46" s="72">
        <f t="shared" si="2"/>
        <v>9.1892128367207101E-7</v>
      </c>
      <c r="AD46">
        <f t="shared" si="3"/>
        <v>0</v>
      </c>
      <c r="AE46" s="51">
        <f t="shared" si="9"/>
        <v>0.99999908107787194</v>
      </c>
      <c r="AF46" s="31">
        <f>prod_table_raw!N212</f>
        <v>7.8923576074999904</v>
      </c>
      <c r="AG46" s="31"/>
      <c r="AH46" s="31"/>
      <c r="AI46" s="31"/>
      <c r="AJ46" s="31"/>
      <c r="AK46" s="31"/>
      <c r="AL46" s="31"/>
      <c r="AM46" s="31"/>
      <c r="AN46" s="31"/>
      <c r="AO46" s="31"/>
      <c r="AP46" s="31"/>
      <c r="AQ46" s="31"/>
      <c r="AR46" s="31"/>
      <c r="AS46">
        <f>AH46/(concentrate_grade!$F$4/100)</f>
        <v>0</v>
      </c>
      <c r="AT46">
        <f>AI46/(concentrate_grade!$F$6/100)</f>
        <v>0</v>
      </c>
      <c r="AU46">
        <f>AK46/(concentrate_grade!$F$5/100)</f>
        <v>0</v>
      </c>
      <c r="AV46">
        <f>AL46/(concentrate_grade!$F$9/100)</f>
        <v>0</v>
      </c>
      <c r="AW46">
        <f>AM46/(concentrate_grade!$F$8/100)</f>
        <v>0</v>
      </c>
      <c r="AX46"/>
      <c r="AY46" s="31"/>
      <c r="AZ46" s="31"/>
      <c r="BA46" s="31"/>
      <c r="BB46" t="e">
        <f>AR46/concentrate_grade!#REF!</f>
        <v>#REF!</v>
      </c>
      <c r="BC46">
        <f t="shared" si="8"/>
        <v>8.0534261301020305</v>
      </c>
    </row>
    <row r="47" spans="1:55" x14ac:dyDescent="0.25">
      <c r="A47" s="18" t="s">
        <v>340</v>
      </c>
      <c r="C47" t="s">
        <v>341</v>
      </c>
      <c r="E47" t="s">
        <v>439</v>
      </c>
      <c r="F47" s="19" t="s">
        <v>435</v>
      </c>
      <c r="G47" s="18" t="s">
        <v>78</v>
      </c>
      <c r="H47" t="s">
        <v>1519</v>
      </c>
      <c r="I47" t="s">
        <v>1557</v>
      </c>
      <c r="J47" t="s">
        <v>1561</v>
      </c>
      <c r="K47" t="s">
        <v>1425</v>
      </c>
      <c r="L47" t="s">
        <v>1416</v>
      </c>
      <c r="M47">
        <v>11531646.543500001</v>
      </c>
      <c r="N47" t="s">
        <v>1477</v>
      </c>
      <c r="Q47" t="s">
        <v>1113</v>
      </c>
      <c r="R47" t="s">
        <v>1113</v>
      </c>
      <c r="S47" t="s">
        <v>1113</v>
      </c>
      <c r="T47" t="s">
        <v>1117</v>
      </c>
      <c r="U47" s="19" t="s">
        <v>292</v>
      </c>
      <c r="V47" t="s">
        <v>1113</v>
      </c>
      <c r="W47" t="s">
        <v>1554</v>
      </c>
      <c r="X47" t="s">
        <v>1577</v>
      </c>
      <c r="Y47" s="18">
        <f>prod_table_raw!N215</f>
        <v>1139000</v>
      </c>
      <c r="Z47">
        <f>(AF47+AG47)/0.98</f>
        <v>0.15869132653061224</v>
      </c>
      <c r="AA47">
        <f>AH47/(concentrate_grade!$F$4/100)</f>
        <v>13333.333333333334</v>
      </c>
      <c r="AB47">
        <f t="shared" si="7"/>
        <v>1125666.5079753401</v>
      </c>
      <c r="AC47" s="72">
        <f t="shared" si="2"/>
        <v>1.3932513303828993E-7</v>
      </c>
      <c r="AD47">
        <f t="shared" si="3"/>
        <v>1.170617500731636E-2</v>
      </c>
      <c r="AE47" s="51">
        <f t="shared" si="9"/>
        <v>0.98815502466299554</v>
      </c>
      <c r="AF47" s="31">
        <f>prod_table_raw!N214</f>
        <v>0.1555175</v>
      </c>
      <c r="AG47" s="31"/>
      <c r="AH47" s="31">
        <f>prod_table_raw!N217</f>
        <v>4000</v>
      </c>
      <c r="AI47" s="31"/>
      <c r="AJ47" s="31"/>
      <c r="AK47" s="31"/>
      <c r="AL47" s="31"/>
      <c r="AM47" s="31"/>
      <c r="AN47" s="31"/>
      <c r="AO47" s="31"/>
      <c r="AP47" s="31"/>
      <c r="AQ47" s="31"/>
      <c r="AR47" s="31"/>
      <c r="AS47">
        <f>AH47/(concentrate_grade!$F$4/100)</f>
        <v>13333.333333333334</v>
      </c>
      <c r="AT47">
        <f>AI47/(concentrate_grade!$F$6/100)</f>
        <v>0</v>
      </c>
      <c r="AU47">
        <f>AK47/(concentrate_grade!$F$5/100)</f>
        <v>0</v>
      </c>
      <c r="AV47">
        <f>AL47/(concentrate_grade!$F$9/100)</f>
        <v>0</v>
      </c>
      <c r="AW47">
        <f>AM47/(concentrate_grade!$F$8/100)</f>
        <v>0</v>
      </c>
      <c r="AX47"/>
      <c r="AY47" s="31"/>
      <c r="AZ47" s="31"/>
      <c r="BA47" s="31"/>
      <c r="BB47" t="e">
        <f>AR47/concentrate_grade!#REF!</f>
        <v>#REF!</v>
      </c>
      <c r="BC47">
        <f t="shared" si="8"/>
        <v>0.15869132653061224</v>
      </c>
    </row>
    <row r="48" spans="1:55" s="54" customFormat="1" x14ac:dyDescent="0.25">
      <c r="A48" s="53" t="s">
        <v>343</v>
      </c>
      <c r="C48" s="54" t="s">
        <v>346</v>
      </c>
      <c r="E48" s="54" t="s">
        <v>437</v>
      </c>
      <c r="F48" s="55" t="s">
        <v>435</v>
      </c>
      <c r="G48" s="53" t="s">
        <v>64</v>
      </c>
      <c r="H48" s="54" t="s">
        <v>1523</v>
      </c>
      <c r="I48" s="54" t="s">
        <v>1556</v>
      </c>
      <c r="J48" s="54" t="s">
        <v>1400</v>
      </c>
      <c r="K48" s="54" t="s">
        <v>1426</v>
      </c>
      <c r="L48" s="54" t="s">
        <v>1515</v>
      </c>
      <c r="M48" s="54">
        <v>6139378.4953300003</v>
      </c>
      <c r="N48" s="54" t="s">
        <v>1482</v>
      </c>
      <c r="O48" s="54" t="s">
        <v>1113</v>
      </c>
      <c r="Q48" s="54" t="s">
        <v>1113</v>
      </c>
      <c r="R48" t="s">
        <v>1113</v>
      </c>
      <c r="S48" s="54" t="s">
        <v>1113</v>
      </c>
      <c r="T48" s="54" t="s">
        <v>1113</v>
      </c>
      <c r="U48" s="55" t="s">
        <v>65</v>
      </c>
      <c r="V48" s="54" t="s">
        <v>1113</v>
      </c>
      <c r="W48" s="54" t="s">
        <v>920</v>
      </c>
      <c r="X48" s="54" t="s">
        <v>1565</v>
      </c>
      <c r="Y48" s="53">
        <f>prod_table_raw!N222</f>
        <v>841000</v>
      </c>
      <c r="Z48" s="54">
        <f>(AF48+AG48)/0.98</f>
        <v>3.5769025000000001</v>
      </c>
      <c r="AB48" s="54">
        <f t="shared" si="7"/>
        <v>840996.4230975</v>
      </c>
      <c r="AC48" s="72">
        <f t="shared" si="2"/>
        <v>4.2531539833531507E-6</v>
      </c>
      <c r="AD48">
        <f t="shared" si="3"/>
        <v>0</v>
      </c>
      <c r="AE48" s="56">
        <f t="shared" si="9"/>
        <v>0.99999574682792725</v>
      </c>
      <c r="AF48" s="57">
        <f>prod_table_raw!N223</f>
        <v>3.5053644500000001</v>
      </c>
      <c r="AG48" s="57"/>
      <c r="AH48" s="57"/>
      <c r="AI48" s="57"/>
      <c r="AJ48" s="57"/>
      <c r="AK48" s="57"/>
      <c r="AL48" s="57"/>
      <c r="AM48" s="57"/>
      <c r="AN48" s="57"/>
      <c r="AO48" s="57"/>
      <c r="AP48" s="57"/>
      <c r="AQ48" s="57"/>
      <c r="AR48" s="57"/>
      <c r="AS48" s="54">
        <f>AH48/(concentrate_grade!$F$4/100)</f>
        <v>0</v>
      </c>
      <c r="AT48" s="54">
        <f>AI48/(concentrate_grade!$F$6/100)</f>
        <v>0</v>
      </c>
      <c r="AU48" s="54">
        <f>AK48/(concentrate_grade!$F$5/100)</f>
        <v>0</v>
      </c>
      <c r="AV48" s="54">
        <f>AL48/(concentrate_grade!$F$9/100)</f>
        <v>0</v>
      </c>
      <c r="AW48" s="54">
        <f>AM48/(concentrate_grade!$F$8/100)</f>
        <v>0</v>
      </c>
      <c r="AY48" s="57"/>
      <c r="AZ48" s="57"/>
      <c r="BA48" s="57"/>
      <c r="BB48" s="54" t="e">
        <f>AR48/concentrate_grade!#REF!</f>
        <v>#REF!</v>
      </c>
      <c r="BC48" s="54">
        <f t="shared" si="8"/>
        <v>3.5769025000000001</v>
      </c>
    </row>
    <row r="49" spans="1:55" s="66" customFormat="1" x14ac:dyDescent="0.25">
      <c r="A49" s="64" t="s">
        <v>357</v>
      </c>
      <c r="C49" s="66" t="s">
        <v>359</v>
      </c>
      <c r="E49" s="66" t="s">
        <v>442</v>
      </c>
      <c r="F49" s="67" t="s">
        <v>435</v>
      </c>
      <c r="G49" s="64" t="s">
        <v>78</v>
      </c>
      <c r="H49" s="66" t="s">
        <v>1519</v>
      </c>
      <c r="I49" s="66" t="s">
        <v>1407</v>
      </c>
      <c r="K49" s="66" t="s">
        <v>1426</v>
      </c>
      <c r="L49" s="66" t="s">
        <v>1416</v>
      </c>
      <c r="M49" s="66">
        <v>10572188.566137601</v>
      </c>
      <c r="Q49" s="66" t="s">
        <v>1113</v>
      </c>
      <c r="R49" t="s">
        <v>1113</v>
      </c>
      <c r="S49" s="66" t="s">
        <v>1113</v>
      </c>
      <c r="T49" s="66" t="s">
        <v>1113</v>
      </c>
      <c r="U49" s="67" t="s">
        <v>49</v>
      </c>
      <c r="V49" s="66" t="s">
        <v>1542</v>
      </c>
      <c r="W49" s="66" t="s">
        <v>1068</v>
      </c>
      <c r="X49" s="66" t="s">
        <v>1570</v>
      </c>
      <c r="Y49" s="64">
        <f>prod_table_raw!N226</f>
        <v>3560000</v>
      </c>
      <c r="AB49" s="66">
        <f t="shared" si="7"/>
        <v>3560000</v>
      </c>
      <c r="AC49" s="72">
        <f t="shared" si="2"/>
        <v>0</v>
      </c>
      <c r="AD49">
        <f t="shared" si="3"/>
        <v>0</v>
      </c>
      <c r="AE49" s="68">
        <f t="shared" si="9"/>
        <v>1</v>
      </c>
      <c r="AF49" s="69"/>
      <c r="AG49" s="69"/>
      <c r="AH49" s="69"/>
      <c r="AI49" s="69"/>
      <c r="AJ49" s="69"/>
      <c r="AK49" s="69"/>
      <c r="AL49" s="69"/>
      <c r="AM49" s="69"/>
      <c r="AN49" s="69"/>
      <c r="AO49" s="69"/>
      <c r="AP49" s="69"/>
      <c r="AQ49" s="69"/>
      <c r="AR49" s="69"/>
      <c r="AS49" s="66">
        <f>AH49/(concentrate_grade!$F$4/100)</f>
        <v>0</v>
      </c>
      <c r="AT49" s="66">
        <f>AI49/(concentrate_grade!$F$6/100)</f>
        <v>0</v>
      </c>
      <c r="AU49" s="66">
        <f>AK49/(concentrate_grade!$F$5/100)</f>
        <v>0</v>
      </c>
      <c r="AV49" s="66">
        <f>AL49/(concentrate_grade!$F$9/100)</f>
        <v>0</v>
      </c>
      <c r="AW49" s="66">
        <f>AM49/(concentrate_grade!$F$8/100)</f>
        <v>0</v>
      </c>
      <c r="AY49" s="69"/>
      <c r="AZ49" s="69"/>
      <c r="BA49" s="69"/>
      <c r="BB49" s="66" t="e">
        <f>AR49/concentrate_grade!#REF!</f>
        <v>#REF!</v>
      </c>
      <c r="BC49" s="66">
        <f t="shared" si="8"/>
        <v>0</v>
      </c>
    </row>
    <row r="50" spans="1:55" x14ac:dyDescent="0.25">
      <c r="A50" s="18" t="s">
        <v>371</v>
      </c>
      <c r="B50" t="s">
        <v>162</v>
      </c>
      <c r="C50" t="s">
        <v>372</v>
      </c>
      <c r="D50" t="s">
        <v>164</v>
      </c>
      <c r="E50" t="s">
        <v>437</v>
      </c>
      <c r="F50" s="19" t="s">
        <v>435</v>
      </c>
      <c r="G50" s="18" t="s">
        <v>264</v>
      </c>
      <c r="H50" t="s">
        <v>1523</v>
      </c>
      <c r="I50" t="s">
        <v>1560</v>
      </c>
      <c r="J50" t="s">
        <v>1553</v>
      </c>
      <c r="K50" t="s">
        <v>1426</v>
      </c>
      <c r="L50" t="s">
        <v>1508</v>
      </c>
      <c r="M50">
        <v>1039802.195699128</v>
      </c>
      <c r="O50" t="s">
        <v>1113</v>
      </c>
      <c r="Q50" t="s">
        <v>1113</v>
      </c>
      <c r="R50" t="s">
        <v>1113</v>
      </c>
      <c r="T50" t="s">
        <v>1113</v>
      </c>
      <c r="U50" s="19" t="s">
        <v>373</v>
      </c>
      <c r="V50" t="s">
        <v>1113</v>
      </c>
      <c r="W50" t="s">
        <v>1396</v>
      </c>
      <c r="X50" t="s">
        <v>1566</v>
      </c>
      <c r="Y50" s="18">
        <f>prod_table_raw!N239</f>
        <v>1025997</v>
      </c>
      <c r="Z50"/>
      <c r="AA50">
        <f>AI50/(concentrate_grade!$F$6/100)</f>
        <v>47062.5</v>
      </c>
      <c r="AB50">
        <f t="shared" si="7"/>
        <v>978934.5</v>
      </c>
      <c r="AC50" s="72">
        <f t="shared" si="2"/>
        <v>0</v>
      </c>
      <c r="AD50">
        <f t="shared" si="3"/>
        <v>4.5870017163792874E-2</v>
      </c>
      <c r="AE50" s="51">
        <f t="shared" si="9"/>
        <v>0.95192477126917074</v>
      </c>
      <c r="AF50" s="31"/>
      <c r="AG50" s="31"/>
      <c r="AH50" s="31">
        <f>prod_table_raw!N237</f>
        <v>7154</v>
      </c>
      <c r="AI50" s="31">
        <f>prod_table_raw!N238</f>
        <v>7530</v>
      </c>
      <c r="AJ50" s="31"/>
      <c r="AK50" s="31"/>
      <c r="AL50" s="31"/>
      <c r="AM50" s="31"/>
      <c r="AN50" s="31"/>
      <c r="AO50" s="31"/>
      <c r="AP50" s="31"/>
      <c r="AQ50" s="31"/>
      <c r="AR50" s="31"/>
      <c r="AS50"/>
      <c r="AT50">
        <f>AI50/(concentrate_grade!$F$6/100)</f>
        <v>47062.5</v>
      </c>
      <c r="AU50">
        <f>AK50/(concentrate_grade!$F$5/100)</f>
        <v>0</v>
      </c>
      <c r="AV50">
        <f>AL50/(concentrate_grade!$F$9/100)</f>
        <v>0</v>
      </c>
      <c r="AW50">
        <f>AM50/(concentrate_grade!$F$8/100)</f>
        <v>0</v>
      </c>
      <c r="AX50"/>
      <c r="AY50" s="31"/>
      <c r="AZ50" s="31"/>
      <c r="BA50" s="31"/>
      <c r="BB50" t="e">
        <f>AR50/concentrate_grade!#REF!</f>
        <v>#REF!</v>
      </c>
      <c r="BC50">
        <f t="shared" si="8"/>
        <v>0</v>
      </c>
    </row>
    <row r="51" spans="1:55" s="66" customFormat="1" x14ac:dyDescent="0.25">
      <c r="A51" s="64" t="s">
        <v>376</v>
      </c>
      <c r="B51" s="66" t="s">
        <v>162</v>
      </c>
      <c r="C51" s="66" t="s">
        <v>377</v>
      </c>
      <c r="D51" s="66" t="s">
        <v>164</v>
      </c>
      <c r="E51" s="66" t="s">
        <v>437</v>
      </c>
      <c r="F51" s="67" t="s">
        <v>540</v>
      </c>
      <c r="G51" s="64" t="s">
        <v>378</v>
      </c>
      <c r="H51" s="66" t="s">
        <v>1523</v>
      </c>
      <c r="I51" s="66" t="s">
        <v>1160</v>
      </c>
      <c r="K51" s="66" t="s">
        <v>1418</v>
      </c>
      <c r="L51" s="66" t="s">
        <v>1508</v>
      </c>
      <c r="O51" s="66" t="s">
        <v>1113</v>
      </c>
      <c r="P51" s="66" t="s">
        <v>1113</v>
      </c>
      <c r="Q51" s="66" t="s">
        <v>1113</v>
      </c>
      <c r="R51" t="s">
        <v>1113</v>
      </c>
      <c r="T51" s="66" t="s">
        <v>1113</v>
      </c>
      <c r="U51" s="67" t="s">
        <v>379</v>
      </c>
      <c r="V51" s="66" t="s">
        <v>1537</v>
      </c>
      <c r="W51" s="66" t="s">
        <v>1396</v>
      </c>
      <c r="X51" s="66" t="s">
        <v>1538</v>
      </c>
      <c r="Y51" s="64"/>
      <c r="AB51" s="66">
        <f t="shared" si="7"/>
        <v>0</v>
      </c>
      <c r="AC51" s="72"/>
      <c r="AD51"/>
      <c r="AF51" s="69"/>
      <c r="AG51" s="69"/>
      <c r="AH51" s="69">
        <f>prod_table_raw!N241</f>
        <v>13720</v>
      </c>
      <c r="AI51" s="69">
        <f>prod_table_raw!N240</f>
        <v>62251</v>
      </c>
      <c r="AJ51" s="69"/>
      <c r="AK51" s="69"/>
      <c r="AL51" s="69"/>
      <c r="AM51" s="69"/>
      <c r="AN51" s="69"/>
      <c r="AO51" s="69"/>
      <c r="AP51" s="69"/>
      <c r="AQ51" s="69"/>
      <c r="AR51" s="69"/>
      <c r="AS51" s="65"/>
      <c r="AT51" s="65"/>
      <c r="AU51" s="66">
        <f>AK51/(concentrate_grade!$F$5/100)</f>
        <v>0</v>
      </c>
      <c r="AV51" s="69"/>
      <c r="AW51" s="66">
        <f>AM51/(concentrate_grade!$F$8/100)</f>
        <v>0</v>
      </c>
      <c r="AX51" s="69"/>
      <c r="AY51" s="69"/>
      <c r="AZ51" s="69"/>
      <c r="BA51" s="69"/>
      <c r="BB51" s="69"/>
      <c r="BC51" s="66">
        <f t="shared" si="8"/>
        <v>0</v>
      </c>
    </row>
    <row r="52" spans="1:55" x14ac:dyDescent="0.25">
      <c r="A52" s="18" t="s">
        <v>381</v>
      </c>
      <c r="C52" t="s">
        <v>384</v>
      </c>
      <c r="E52" t="s">
        <v>437</v>
      </c>
      <c r="F52" s="19" t="s">
        <v>435</v>
      </c>
      <c r="G52" s="18" t="s">
        <v>64</v>
      </c>
      <c r="H52" t="s">
        <v>1523</v>
      </c>
      <c r="I52" t="s">
        <v>1555</v>
      </c>
      <c r="N52" t="s">
        <v>1479</v>
      </c>
      <c r="P52" t="s">
        <v>1113</v>
      </c>
      <c r="Q52" t="s">
        <v>1113</v>
      </c>
      <c r="R52" t="s">
        <v>1113</v>
      </c>
      <c r="S52" t="s">
        <v>1113</v>
      </c>
      <c r="T52" t="s">
        <v>1113</v>
      </c>
      <c r="U52" s="19" t="s">
        <v>115</v>
      </c>
      <c r="V52" t="s">
        <v>1501</v>
      </c>
      <c r="W52" t="s">
        <v>920</v>
      </c>
      <c r="X52" t="s">
        <v>1565</v>
      </c>
      <c r="Y52" s="18">
        <f>prod_table_raw!N244</f>
        <v>234671</v>
      </c>
      <c r="Z52">
        <f>(AF52+AG52)/0.98</f>
        <v>1.2269695984693878</v>
      </c>
      <c r="AA52"/>
      <c r="AB52">
        <f t="shared" si="7"/>
        <v>234669.77303040153</v>
      </c>
      <c r="AC52" s="72">
        <f t="shared" si="2"/>
        <v>5.2284670814433306E-6</v>
      </c>
      <c r="AD52">
        <f t="shared" si="3"/>
        <v>0</v>
      </c>
      <c r="AE52" s="51">
        <f>1-(Z52+AA52)/AB52</f>
        <v>0.99999477150558158</v>
      </c>
      <c r="AF52" s="31">
        <f>prod_table_raw!N245</f>
        <v>1.2024302065000001</v>
      </c>
      <c r="AG52" s="31"/>
      <c r="AH52" s="31"/>
      <c r="AI52" s="31"/>
      <c r="AJ52" s="31"/>
      <c r="AK52" s="31"/>
      <c r="AL52" s="31"/>
      <c r="AM52" s="31"/>
      <c r="AN52" s="31"/>
      <c r="AO52" s="31"/>
      <c r="AP52" s="31"/>
      <c r="AQ52" s="31"/>
      <c r="AR52" s="31"/>
      <c r="AS52">
        <f>AH52/(concentrate_grade!$F$4/100)</f>
        <v>0</v>
      </c>
      <c r="AT52">
        <f>AI52/(concentrate_grade!$F$6/100)</f>
        <v>0</v>
      </c>
      <c r="AU52">
        <f>AK52/(concentrate_grade!$F$5/100)</f>
        <v>0</v>
      </c>
      <c r="AV52">
        <f>AL52/(concentrate_grade!$F$9/100)</f>
        <v>0</v>
      </c>
      <c r="AW52">
        <f>AM52/(concentrate_grade!$F$8/100)</f>
        <v>0</v>
      </c>
      <c r="AX52"/>
      <c r="AY52" s="31"/>
      <c r="AZ52" s="31"/>
      <c r="BA52" s="31"/>
      <c r="BB52" t="e">
        <f>AR52/concentrate_grade!#REF!</f>
        <v>#REF!</v>
      </c>
      <c r="BC52">
        <f t="shared" si="8"/>
        <v>1.2269695984693878</v>
      </c>
    </row>
    <row r="53" spans="1:55" s="66" customFormat="1" x14ac:dyDescent="0.25">
      <c r="A53" s="64" t="s">
        <v>387</v>
      </c>
      <c r="C53" s="66" t="s">
        <v>390</v>
      </c>
      <c r="E53" s="66" t="s">
        <v>538</v>
      </c>
      <c r="F53" s="67" t="s">
        <v>540</v>
      </c>
      <c r="G53" s="64" t="s">
        <v>71</v>
      </c>
      <c r="H53" s="66" t="s">
        <v>1519</v>
      </c>
      <c r="I53" s="66" t="s">
        <v>1161</v>
      </c>
      <c r="K53" s="66" t="s">
        <v>1418</v>
      </c>
      <c r="L53" s="66" t="s">
        <v>1508</v>
      </c>
      <c r="O53" s="66" t="s">
        <v>1113</v>
      </c>
      <c r="P53" s="66" t="s">
        <v>1113</v>
      </c>
      <c r="Q53" s="66" t="s">
        <v>1113</v>
      </c>
      <c r="R53" t="s">
        <v>1113</v>
      </c>
      <c r="T53" s="66" t="s">
        <v>1113</v>
      </c>
      <c r="U53" s="67" t="s">
        <v>391</v>
      </c>
      <c r="V53" s="66" t="s">
        <v>1537</v>
      </c>
      <c r="W53" s="66" t="s">
        <v>1397</v>
      </c>
      <c r="X53" s="66" t="s">
        <v>1540</v>
      </c>
      <c r="Y53" s="64"/>
      <c r="AB53" s="66">
        <f t="shared" si="7"/>
        <v>0</v>
      </c>
      <c r="AC53" s="72"/>
      <c r="AD53"/>
      <c r="AF53" s="69"/>
      <c r="AG53" s="69"/>
      <c r="AH53" s="69"/>
      <c r="AI53" s="69">
        <f>prod_table_raw!N247</f>
        <v>32268</v>
      </c>
      <c r="AJ53" s="69">
        <f>prod_table_raw!N246</f>
        <v>3368</v>
      </c>
      <c r="AK53" s="69"/>
      <c r="AL53" s="69"/>
      <c r="AM53" s="69"/>
      <c r="AN53" s="69"/>
      <c r="AO53" s="69"/>
      <c r="AP53" s="69"/>
      <c r="AQ53" s="69"/>
      <c r="AR53" s="69"/>
      <c r="AS53" s="65">
        <f>AH53/(concentrate_grade!$F$4/100)</f>
        <v>0</v>
      </c>
      <c r="AT53" s="65"/>
      <c r="AU53" s="69"/>
      <c r="AV53" s="69"/>
      <c r="AW53" s="69"/>
      <c r="AX53" s="69"/>
      <c r="AY53" s="69"/>
      <c r="AZ53" s="69"/>
      <c r="BA53" s="69"/>
      <c r="BB53" s="69"/>
      <c r="BC53" s="66">
        <f t="shared" si="8"/>
        <v>0</v>
      </c>
    </row>
    <row r="54" spans="1:55" x14ac:dyDescent="0.25">
      <c r="A54" s="18" t="s">
        <v>393</v>
      </c>
      <c r="C54" t="s">
        <v>395</v>
      </c>
      <c r="E54" t="s">
        <v>441</v>
      </c>
      <c r="F54" s="19" t="s">
        <v>435</v>
      </c>
      <c r="G54" s="18" t="s">
        <v>91</v>
      </c>
      <c r="H54" t="s">
        <v>1519</v>
      </c>
      <c r="I54" t="s">
        <v>1560</v>
      </c>
      <c r="K54" t="s">
        <v>1426</v>
      </c>
      <c r="L54" t="s">
        <v>1508</v>
      </c>
      <c r="O54" t="s">
        <v>1113</v>
      </c>
      <c r="P54" t="s">
        <v>1113</v>
      </c>
      <c r="Q54" t="s">
        <v>1113</v>
      </c>
      <c r="R54" t="s">
        <v>1113</v>
      </c>
      <c r="S54" t="s">
        <v>1113</v>
      </c>
      <c r="T54" t="s">
        <v>1113</v>
      </c>
      <c r="U54" s="19" t="s">
        <v>396</v>
      </c>
      <c r="V54" t="s">
        <v>1113</v>
      </c>
      <c r="W54" t="s">
        <v>1396</v>
      </c>
      <c r="X54" t="s">
        <v>1566</v>
      </c>
      <c r="Y54" s="18">
        <f>prod_table_raw!N250</f>
        <v>464705.88235294097</v>
      </c>
      <c r="Z54"/>
      <c r="AA54">
        <f>AI54/(concentrate_grade!$F$6/100)</f>
        <v>49375</v>
      </c>
      <c r="AB54">
        <f t="shared" si="7"/>
        <v>415330.88235294097</v>
      </c>
      <c r="AC54" s="72">
        <f t="shared" si="2"/>
        <v>0</v>
      </c>
      <c r="AD54">
        <f t="shared" si="3"/>
        <v>0.10625000000000005</v>
      </c>
      <c r="AE54" s="51">
        <f>1-(Z54+AA54)/AB54</f>
        <v>0.88111888111888104</v>
      </c>
      <c r="AF54" s="31"/>
      <c r="AG54" s="31"/>
      <c r="AH54" s="31">
        <f>prod_table_raw!N248</f>
        <v>4700</v>
      </c>
      <c r="AI54" s="31">
        <f>prod_table_raw!N249</f>
        <v>7900</v>
      </c>
      <c r="AJ54" s="31"/>
      <c r="AK54" s="31"/>
      <c r="AL54" s="31"/>
      <c r="AM54" s="31"/>
      <c r="AN54" s="31"/>
      <c r="AO54" s="31"/>
      <c r="AP54" s="31"/>
      <c r="AQ54" s="31"/>
      <c r="AR54" s="31"/>
      <c r="AS54"/>
      <c r="AT54">
        <f>AI54/(concentrate_grade!$F$6/100)</f>
        <v>49375</v>
      </c>
      <c r="AU54">
        <f>AK54/(concentrate_grade!$F$5/100)</f>
        <v>0</v>
      </c>
      <c r="AV54">
        <f>AL54/(concentrate_grade!$F$9/100)</f>
        <v>0</v>
      </c>
      <c r="AW54">
        <f>AM54/(concentrate_grade!$F$8/100)</f>
        <v>0</v>
      </c>
      <c r="AX54"/>
      <c r="AY54" s="31"/>
      <c r="AZ54" s="31"/>
      <c r="BA54" s="31"/>
      <c r="BB54" t="e">
        <f>AR54/concentrate_grade!#REF!</f>
        <v>#REF!</v>
      </c>
      <c r="BC54">
        <f t="shared" si="8"/>
        <v>0</v>
      </c>
    </row>
    <row r="55" spans="1:55" x14ac:dyDescent="0.25">
      <c r="A55" s="18" t="s">
        <v>533</v>
      </c>
      <c r="B55" t="s">
        <v>403</v>
      </c>
      <c r="C55" t="s">
        <v>404</v>
      </c>
      <c r="D55" t="s">
        <v>405</v>
      </c>
      <c r="E55" t="s">
        <v>437</v>
      </c>
      <c r="F55" s="19" t="s">
        <v>435</v>
      </c>
      <c r="G55" s="18" t="s">
        <v>98</v>
      </c>
      <c r="H55" t="s">
        <v>1523</v>
      </c>
      <c r="I55" t="s">
        <v>1560</v>
      </c>
      <c r="J55" t="s">
        <v>1533</v>
      </c>
      <c r="K55" t="s">
        <v>1421</v>
      </c>
      <c r="M55">
        <v>559241.26414497849</v>
      </c>
      <c r="N55" t="s">
        <v>1499</v>
      </c>
      <c r="Q55" t="s">
        <v>1113</v>
      </c>
      <c r="R55" t="s">
        <v>1113</v>
      </c>
      <c r="S55" t="s">
        <v>1113</v>
      </c>
      <c r="T55" t="s">
        <v>1113</v>
      </c>
      <c r="U55" s="19" t="s">
        <v>406</v>
      </c>
      <c r="V55" t="s">
        <v>1552</v>
      </c>
      <c r="W55" t="s">
        <v>1396</v>
      </c>
      <c r="X55" t="s">
        <v>1566</v>
      </c>
      <c r="Y55" s="18">
        <f>prod_table_raw!N259</f>
        <v>414000</v>
      </c>
      <c r="Z55"/>
      <c r="AA55">
        <f>AI55/(concentrate_grade!$F$6/100)</f>
        <v>39587.5</v>
      </c>
      <c r="AB55">
        <f t="shared" si="7"/>
        <v>374412.5</v>
      </c>
      <c r="AC55" s="72">
        <f t="shared" si="2"/>
        <v>0</v>
      </c>
      <c r="AD55">
        <f t="shared" si="3"/>
        <v>9.5621980676328502E-2</v>
      </c>
      <c r="AE55" s="51">
        <f>1-(Z55+AA55)/AB55</f>
        <v>0.894267686041465</v>
      </c>
      <c r="AF55" s="31"/>
      <c r="AG55" s="31"/>
      <c r="AH55" s="31">
        <f>prod_table_raw!N258</f>
        <v>7783</v>
      </c>
      <c r="AI55" s="31">
        <f>prod_table_raw!N257</f>
        <v>6334</v>
      </c>
      <c r="AJ55" s="31"/>
      <c r="AK55" s="31"/>
      <c r="AL55" s="31"/>
      <c r="AM55" s="31"/>
      <c r="AN55" s="31"/>
      <c r="AO55" s="31"/>
      <c r="AP55" s="31"/>
      <c r="AQ55" s="31"/>
      <c r="AR55" s="31"/>
      <c r="AS55"/>
      <c r="AT55">
        <f>AI55/(concentrate_grade!$F$6/100)</f>
        <v>39587.5</v>
      </c>
      <c r="AU55">
        <f>AK55/(concentrate_grade!$F$5/100)</f>
        <v>0</v>
      </c>
      <c r="AV55">
        <f>AL55/(concentrate_grade!$F$9/100)</f>
        <v>0</v>
      </c>
      <c r="AW55">
        <f>AM55/(concentrate_grade!$F$8/100)</f>
        <v>0</v>
      </c>
      <c r="AX55"/>
      <c r="AY55" s="31"/>
      <c r="AZ55" s="31"/>
      <c r="BA55" s="31"/>
      <c r="BB55" t="e">
        <f>AR55/concentrate_grade!#REF!</f>
        <v>#REF!</v>
      </c>
      <c r="BC55">
        <f t="shared" si="8"/>
        <v>0</v>
      </c>
    </row>
    <row r="56" spans="1:55" s="66" customFormat="1" x14ac:dyDescent="0.25">
      <c r="A56" s="64" t="s">
        <v>409</v>
      </c>
      <c r="C56" s="66" t="s">
        <v>410</v>
      </c>
      <c r="E56" s="66" t="s">
        <v>439</v>
      </c>
      <c r="F56" s="67" t="s">
        <v>540</v>
      </c>
      <c r="G56" s="64" t="s">
        <v>71</v>
      </c>
      <c r="H56" s="66" t="s">
        <v>1520</v>
      </c>
      <c r="I56" s="66" t="s">
        <v>1415</v>
      </c>
      <c r="K56" s="66" t="s">
        <v>1419</v>
      </c>
      <c r="L56" s="66" t="s">
        <v>1508</v>
      </c>
      <c r="O56" s="66" t="s">
        <v>1113</v>
      </c>
      <c r="P56" s="66" t="s">
        <v>1113</v>
      </c>
      <c r="Q56" s="66" t="s">
        <v>1113</v>
      </c>
      <c r="R56" t="s">
        <v>1113</v>
      </c>
      <c r="T56" s="66" t="s">
        <v>1117</v>
      </c>
      <c r="U56" s="67" t="s">
        <v>412</v>
      </c>
      <c r="V56" s="66" t="s">
        <v>1117</v>
      </c>
      <c r="W56" s="66" t="s">
        <v>1394</v>
      </c>
      <c r="Y56" s="64"/>
      <c r="AB56" s="66">
        <f t="shared" si="7"/>
        <v>0</v>
      </c>
      <c r="AC56" s="72"/>
      <c r="AD56"/>
      <c r="AF56" s="69"/>
      <c r="AG56" s="69"/>
      <c r="AH56" s="69"/>
      <c r="AI56" s="69"/>
      <c r="AJ56" s="69"/>
      <c r="AK56" s="69"/>
      <c r="AL56" s="69">
        <f>prod_table_raw!N262</f>
        <v>256000</v>
      </c>
      <c r="AM56" s="69"/>
      <c r="AN56" s="69"/>
      <c r="AO56" s="69"/>
      <c r="AP56" s="69"/>
      <c r="AQ56" s="69"/>
      <c r="AR56" s="69"/>
      <c r="AS56" s="65">
        <f>AH56/(concentrate_grade!$F$4/100)</f>
        <v>0</v>
      </c>
      <c r="AT56" s="65">
        <f>AI56/(concentrate_grade!$F$6/100)</f>
        <v>0</v>
      </c>
      <c r="AU56" s="69"/>
      <c r="AV56" s="69"/>
      <c r="AW56" s="69"/>
      <c r="AX56" s="69"/>
      <c r="AY56" s="69"/>
      <c r="AZ56" s="69"/>
      <c r="BA56" s="69"/>
      <c r="BB56" s="69"/>
      <c r="BC56" s="66">
        <f t="shared" si="8"/>
        <v>0</v>
      </c>
    </row>
    <row r="57" spans="1:55" x14ac:dyDescent="0.25">
      <c r="A57" s="18" t="s">
        <v>419</v>
      </c>
      <c r="C57" t="s">
        <v>420</v>
      </c>
      <c r="E57" t="s">
        <v>442</v>
      </c>
      <c r="F57" s="19" t="s">
        <v>435</v>
      </c>
      <c r="G57" s="18" t="s">
        <v>91</v>
      </c>
      <c r="H57" t="s">
        <v>1519</v>
      </c>
      <c r="I57" t="s">
        <v>1560</v>
      </c>
      <c r="K57" t="s">
        <v>1426</v>
      </c>
      <c r="L57" t="s">
        <v>1508</v>
      </c>
      <c r="O57" t="s">
        <v>1113</v>
      </c>
      <c r="P57" t="s">
        <v>1113</v>
      </c>
      <c r="Q57" t="s">
        <v>1113</v>
      </c>
      <c r="R57" t="s">
        <v>1113</v>
      </c>
      <c r="S57" t="s">
        <v>1113</v>
      </c>
      <c r="T57" t="s">
        <v>1113</v>
      </c>
      <c r="U57" s="19" t="s">
        <v>421</v>
      </c>
      <c r="V57" t="s">
        <v>1113</v>
      </c>
      <c r="W57" t="s">
        <v>1396</v>
      </c>
      <c r="X57" t="s">
        <v>1566</v>
      </c>
      <c r="Y57" s="18">
        <f>prod_table_raw!N268</f>
        <v>794117.64705882303</v>
      </c>
      <c r="Z57"/>
      <c r="AA57">
        <f>AI57/(concentrate_grade!$F$6/100)</f>
        <v>84375</v>
      </c>
      <c r="AB57">
        <f t="shared" si="7"/>
        <v>709742.64705882303</v>
      </c>
      <c r="AC57" s="72">
        <f t="shared" si="2"/>
        <v>0</v>
      </c>
      <c r="AD57">
        <f t="shared" si="3"/>
        <v>0.10625000000000007</v>
      </c>
      <c r="AE57" s="51">
        <f t="shared" ref="AE57:AE66" si="10">1-(Z57+AA57)/AB57</f>
        <v>0.88111888111888104</v>
      </c>
      <c r="AF57" s="31"/>
      <c r="AG57" s="31"/>
      <c r="AH57" s="31">
        <f>prod_table_raw!N266</f>
        <v>9600</v>
      </c>
      <c r="AI57" s="31">
        <f>prod_table_raw!N267</f>
        <v>13500</v>
      </c>
      <c r="AJ57" s="31"/>
      <c r="AK57" s="31"/>
      <c r="AL57" s="31"/>
      <c r="AM57" s="31"/>
      <c r="AN57" s="31"/>
      <c r="AO57" s="31"/>
      <c r="AP57" s="31"/>
      <c r="AQ57" s="31"/>
      <c r="AR57" s="31"/>
      <c r="AS57"/>
      <c r="AT57">
        <f>AI57/(concentrate_grade!$F$6/100)</f>
        <v>84375</v>
      </c>
      <c r="AU57">
        <f>AK57/(concentrate_grade!$F$5/100)</f>
        <v>0</v>
      </c>
      <c r="AV57">
        <f>AL57/(concentrate_grade!$F$9/100)</f>
        <v>0</v>
      </c>
      <c r="AW57">
        <f>AM57/(concentrate_grade!$F$8/100)</f>
        <v>0</v>
      </c>
      <c r="AX57"/>
      <c r="AY57" s="31"/>
      <c r="AZ57" s="31"/>
      <c r="BA57" s="31"/>
      <c r="BB57" t="e">
        <f>AR57/concentrate_grade!#REF!</f>
        <v>#REF!</v>
      </c>
      <c r="BC57">
        <f t="shared" si="8"/>
        <v>0</v>
      </c>
    </row>
    <row r="58" spans="1:55" x14ac:dyDescent="0.25">
      <c r="A58" s="18" t="s">
        <v>423</v>
      </c>
      <c r="C58" t="s">
        <v>426</v>
      </c>
      <c r="E58" t="s">
        <v>436</v>
      </c>
      <c r="F58" s="19" t="s">
        <v>435</v>
      </c>
      <c r="G58" s="18" t="s">
        <v>64</v>
      </c>
      <c r="H58" t="s">
        <v>1523</v>
      </c>
      <c r="I58" t="s">
        <v>1555</v>
      </c>
      <c r="K58" t="s">
        <v>1428</v>
      </c>
      <c r="L58" t="s">
        <v>1417</v>
      </c>
      <c r="M58">
        <v>7249147.17667</v>
      </c>
      <c r="N58" t="s">
        <v>1500</v>
      </c>
      <c r="R58" t="s">
        <v>1113</v>
      </c>
      <c r="T58" t="s">
        <v>1113</v>
      </c>
      <c r="U58" s="19" t="s">
        <v>65</v>
      </c>
      <c r="V58" t="s">
        <v>1502</v>
      </c>
      <c r="W58" t="s">
        <v>1075</v>
      </c>
      <c r="X58" t="s">
        <v>1565</v>
      </c>
      <c r="Y58" s="18">
        <f>prod_table_raw!N271</f>
        <v>1034000</v>
      </c>
      <c r="Z58">
        <f>(AF58+AG58)/0.98</f>
        <v>4.1181668765306121</v>
      </c>
      <c r="AA58"/>
      <c r="AB58">
        <f t="shared" si="7"/>
        <v>1033995.8818331235</v>
      </c>
      <c r="AC58" s="72">
        <f t="shared" si="2"/>
        <v>3.9827532655034929E-6</v>
      </c>
      <c r="AD58">
        <f t="shared" si="3"/>
        <v>0</v>
      </c>
      <c r="AE58" s="51">
        <f t="shared" si="10"/>
        <v>0.99999601723087206</v>
      </c>
      <c r="AF58" s="31">
        <f>prod_table_raw!N273</f>
        <v>2.8926254999999998</v>
      </c>
      <c r="AG58" s="31">
        <f>prod_table_raw!N274</f>
        <v>1.1431780389999999</v>
      </c>
      <c r="AH58" s="31"/>
      <c r="AI58" s="31"/>
      <c r="AJ58" s="31"/>
      <c r="AK58" s="31"/>
      <c r="AL58" s="31"/>
      <c r="AM58" s="31"/>
      <c r="AN58" s="31"/>
      <c r="AO58" s="31"/>
      <c r="AP58" s="31"/>
      <c r="AQ58" s="31"/>
      <c r="AR58" s="31"/>
      <c r="AS58">
        <f>AH58/(concentrate_grade!$F$4/100)</f>
        <v>0</v>
      </c>
      <c r="AT58">
        <f>AI58/(concentrate_grade!$F$6/100)</f>
        <v>0</v>
      </c>
      <c r="AU58">
        <f>AK58/(concentrate_grade!$F$5/100)</f>
        <v>0</v>
      </c>
      <c r="AV58">
        <f>AL58/(concentrate_grade!$F$9/100)</f>
        <v>0</v>
      </c>
      <c r="AW58">
        <f>AM58/(concentrate_grade!$F$8/100)</f>
        <v>0</v>
      </c>
      <c r="AX58"/>
      <c r="AY58" s="31"/>
      <c r="AZ58" s="31"/>
      <c r="BA58" s="31"/>
      <c r="BB58" t="e">
        <f>AR58/concentrate_grade!#REF!</f>
        <v>#REF!</v>
      </c>
      <c r="BC58">
        <f t="shared" si="8"/>
        <v>4.1181668765306121</v>
      </c>
    </row>
    <row r="59" spans="1:55" x14ac:dyDescent="0.25">
      <c r="A59" s="18" t="s">
        <v>428</v>
      </c>
      <c r="C59" t="s">
        <v>429</v>
      </c>
      <c r="E59" t="s">
        <v>437</v>
      </c>
      <c r="F59" s="19" t="s">
        <v>435</v>
      </c>
      <c r="G59" s="18" t="s">
        <v>64</v>
      </c>
      <c r="H59" t="s">
        <v>1523</v>
      </c>
      <c r="I59" t="s">
        <v>1555</v>
      </c>
      <c r="K59" t="s">
        <v>1426</v>
      </c>
      <c r="L59" t="s">
        <v>1507</v>
      </c>
      <c r="M59">
        <v>1874190.45757726</v>
      </c>
      <c r="N59" t="s">
        <v>1500</v>
      </c>
      <c r="R59" t="s">
        <v>1113</v>
      </c>
      <c r="T59" t="s">
        <v>1113</v>
      </c>
      <c r="U59" s="19" t="s">
        <v>115</v>
      </c>
      <c r="V59" t="s">
        <v>1113</v>
      </c>
      <c r="W59" t="s">
        <v>920</v>
      </c>
      <c r="X59" t="s">
        <v>1565</v>
      </c>
      <c r="Y59" s="18">
        <f>prod_table_raw!N277</f>
        <v>2878047</v>
      </c>
      <c r="Z59">
        <f>(AF59+AG59)/0.98</f>
        <v>5.8747529081632548</v>
      </c>
      <c r="AA59"/>
      <c r="AB59">
        <f t="shared" si="7"/>
        <v>2878041.125247092</v>
      </c>
      <c r="AC59" s="72">
        <f t="shared" si="2"/>
        <v>2.0412289681729502E-6</v>
      </c>
      <c r="AD59">
        <f t="shared" si="3"/>
        <v>0</v>
      </c>
      <c r="AE59" s="51">
        <f t="shared" si="10"/>
        <v>0.99999795876686526</v>
      </c>
      <c r="AF59" s="31">
        <f>prod_table_raw!N275</f>
        <v>5.7572578499999896</v>
      </c>
      <c r="AG59" s="31"/>
      <c r="AH59" s="31"/>
      <c r="AI59" s="31"/>
      <c r="AJ59" s="31"/>
      <c r="AK59" s="31"/>
      <c r="AL59" s="31"/>
      <c r="AM59" s="31"/>
      <c r="AN59" s="31"/>
      <c r="AO59" s="31"/>
      <c r="AP59" s="31"/>
      <c r="AQ59" s="31"/>
      <c r="AR59" s="31"/>
      <c r="AS59">
        <f>AH59/(concentrate_grade!$F$4/100)</f>
        <v>0</v>
      </c>
      <c r="AT59">
        <f>AI59/(concentrate_grade!$F$6/100)</f>
        <v>0</v>
      </c>
      <c r="AU59">
        <f>AK59/(concentrate_grade!$F$5/100)</f>
        <v>0</v>
      </c>
      <c r="AV59">
        <f>AL59/(concentrate_grade!$F$9/100)</f>
        <v>0</v>
      </c>
      <c r="AW59">
        <f>AM59/(concentrate_grade!$F$8/100)</f>
        <v>0</v>
      </c>
      <c r="AX59"/>
      <c r="AY59" s="31"/>
      <c r="AZ59" s="31"/>
      <c r="BA59" s="31"/>
      <c r="BB59" t="e">
        <f>AR59/concentrate_grade!#REF!</f>
        <v>#REF!</v>
      </c>
      <c r="BC59">
        <f t="shared" si="8"/>
        <v>5.8747529081632548</v>
      </c>
    </row>
    <row r="60" spans="1:55" x14ac:dyDescent="0.25">
      <c r="A60" s="18"/>
      <c r="B60" t="s">
        <v>1545</v>
      </c>
      <c r="D60" t="s">
        <v>1543</v>
      </c>
      <c r="E60" t="s">
        <v>453</v>
      </c>
      <c r="F60" s="19" t="s">
        <v>435</v>
      </c>
      <c r="G60" s="18" t="s">
        <v>64</v>
      </c>
      <c r="H60" t="s">
        <v>1519</v>
      </c>
      <c r="I60" t="s">
        <v>1544</v>
      </c>
      <c r="K60" t="s">
        <v>1426</v>
      </c>
      <c r="L60" t="s">
        <v>1508</v>
      </c>
      <c r="M60">
        <v>1600590.119251437</v>
      </c>
      <c r="O60" t="s">
        <v>1113</v>
      </c>
      <c r="Q60" t="s">
        <v>1113</v>
      </c>
      <c r="R60" t="s">
        <v>1113</v>
      </c>
      <c r="S60" t="s">
        <v>1113</v>
      </c>
      <c r="T60" t="s">
        <v>1113</v>
      </c>
      <c r="U60" s="19" t="s">
        <v>92</v>
      </c>
      <c r="V60" t="s">
        <v>1113</v>
      </c>
      <c r="W60" t="s">
        <v>1071</v>
      </c>
      <c r="X60" t="s">
        <v>1562</v>
      </c>
      <c r="Y60" s="18">
        <f>prod_table_raw!N154</f>
        <v>43726.856187782003</v>
      </c>
      <c r="Z60"/>
      <c r="AA60" s="31">
        <f>BA60</f>
        <v>9605.477647058824</v>
      </c>
      <c r="AB60">
        <f t="shared" si="7"/>
        <v>34121.378540723177</v>
      </c>
      <c r="AC60" s="72">
        <f t="shared" si="2"/>
        <v>0</v>
      </c>
      <c r="AD60">
        <f t="shared" si="3"/>
        <v>0.21966998052201042</v>
      </c>
      <c r="AE60" s="51">
        <f t="shared" si="10"/>
        <v>0.71849092686583926</v>
      </c>
      <c r="AF60" s="31"/>
      <c r="AG60" s="31"/>
      <c r="AH60" s="31"/>
      <c r="AI60" s="31"/>
      <c r="AJ60" s="31"/>
      <c r="AK60" s="31"/>
      <c r="AL60" s="31"/>
      <c r="AM60" s="31"/>
      <c r="AN60" s="31"/>
      <c r="AO60" s="31"/>
      <c r="AP60" s="31"/>
      <c r="AQ60" s="31">
        <f>prod_table_raw!N155</f>
        <v>8164.6559999999999</v>
      </c>
      <c r="AR60" s="31"/>
      <c r="AS60">
        <f>AH60/(concentrate_grade!$F$4/100)</f>
        <v>0</v>
      </c>
      <c r="AT60">
        <f>AI60/(concentrate_grade!$F$6/100)</f>
        <v>0</v>
      </c>
      <c r="AU60">
        <f>AK60/(concentrate_grade!$F$5/100)</f>
        <v>0</v>
      </c>
      <c r="AV60">
        <f>AL60/(concentrate_grade!$F$9/100)</f>
        <v>0</v>
      </c>
      <c r="AW60">
        <f>AM60/(concentrate_grade!$F$8/100)</f>
        <v>0</v>
      </c>
      <c r="AX60"/>
      <c r="AY60" s="31"/>
      <c r="AZ60" s="31"/>
      <c r="BA60" s="31">
        <f>AQ60/(concentrate_grade!$F$10/100)</f>
        <v>9605.477647058824</v>
      </c>
      <c r="BB60" t="e">
        <f>AR60/concentrate_grade!#REF!</f>
        <v>#REF!</v>
      </c>
      <c r="BC60">
        <f t="shared" si="8"/>
        <v>0</v>
      </c>
    </row>
    <row r="61" spans="1:55" x14ac:dyDescent="0.25">
      <c r="A61" s="18"/>
      <c r="B61" t="s">
        <v>254</v>
      </c>
      <c r="D61" t="s">
        <v>256</v>
      </c>
      <c r="E61" t="s">
        <v>453</v>
      </c>
      <c r="F61" s="19" t="s">
        <v>435</v>
      </c>
      <c r="G61" s="18" t="s">
        <v>64</v>
      </c>
      <c r="H61" t="s">
        <v>1519</v>
      </c>
      <c r="I61" t="s">
        <v>1544</v>
      </c>
      <c r="K61" t="s">
        <v>1418</v>
      </c>
      <c r="L61" t="s">
        <v>1508</v>
      </c>
      <c r="M61">
        <v>10235647.18904726</v>
      </c>
      <c r="O61" t="s">
        <v>1113</v>
      </c>
      <c r="Q61" t="s">
        <v>1113</v>
      </c>
      <c r="R61" t="s">
        <v>1113</v>
      </c>
      <c r="S61" t="s">
        <v>1113</v>
      </c>
      <c r="T61" t="s">
        <v>1113</v>
      </c>
      <c r="U61" s="19" t="s">
        <v>92</v>
      </c>
      <c r="V61" t="s">
        <v>1113</v>
      </c>
      <c r="W61" t="s">
        <v>1071</v>
      </c>
      <c r="X61" t="s">
        <v>1562</v>
      </c>
      <c r="Y61" s="18">
        <f>prod_table_raw!N153</f>
        <v>98408.871032543204</v>
      </c>
      <c r="Z61"/>
      <c r="AA61" s="31">
        <f>BA61</f>
        <v>7204.1082352941185</v>
      </c>
      <c r="AB61">
        <f t="shared" si="7"/>
        <v>91204.762797249088</v>
      </c>
      <c r="AC61" s="72">
        <f t="shared" si="2"/>
        <v>0</v>
      </c>
      <c r="AD61">
        <f t="shared" si="3"/>
        <v>7.3205882352941176E-2</v>
      </c>
      <c r="AE61" s="51">
        <f t="shared" si="10"/>
        <v>0.92101171019643935</v>
      </c>
      <c r="AF61" s="31"/>
      <c r="AG61" s="31"/>
      <c r="AH61" s="31"/>
      <c r="AI61" s="31"/>
      <c r="AJ61" s="31"/>
      <c r="AK61" s="31"/>
      <c r="AL61" s="31"/>
      <c r="AM61" s="31"/>
      <c r="AN61" s="31"/>
      <c r="AO61" s="31"/>
      <c r="AP61" s="31"/>
      <c r="AQ61" s="31">
        <f>prod_table_raw!N152</f>
        <v>6123.4920000000002</v>
      </c>
      <c r="AR61" s="31"/>
      <c r="AS61">
        <f>AH61/(concentrate_grade!$F$4/100)</f>
        <v>0</v>
      </c>
      <c r="AT61">
        <f>AI61/(concentrate_grade!$F$6/100)</f>
        <v>0</v>
      </c>
      <c r="AU61">
        <f>AK61/(concentrate_grade!$F$5/100)</f>
        <v>0</v>
      </c>
      <c r="AV61">
        <f>AL61/(concentrate_grade!$F$9/100)</f>
        <v>0</v>
      </c>
      <c r="AW61">
        <f>AM61/(concentrate_grade!$F$8/100)</f>
        <v>0</v>
      </c>
      <c r="AX61"/>
      <c r="AY61" s="31"/>
      <c r="AZ61" s="31"/>
      <c r="BA61" s="31">
        <f>AQ61/(concentrate_grade!$F$10/100)</f>
        <v>7204.1082352941185</v>
      </c>
      <c r="BB61" t="e">
        <f>AR61/concentrate_grade!#REF!</f>
        <v>#REF!</v>
      </c>
      <c r="BC61">
        <f t="shared" si="8"/>
        <v>0</v>
      </c>
    </row>
    <row r="62" spans="1:55" x14ac:dyDescent="0.25">
      <c r="A62" s="18"/>
      <c r="B62" t="s">
        <v>273</v>
      </c>
      <c r="D62" t="s">
        <v>275</v>
      </c>
      <c r="E62" t="s">
        <v>434</v>
      </c>
      <c r="F62" s="19" t="s">
        <v>435</v>
      </c>
      <c r="G62" s="18" t="s">
        <v>324</v>
      </c>
      <c r="I62" t="s">
        <v>1555</v>
      </c>
      <c r="K62" t="s">
        <v>1426</v>
      </c>
      <c r="L62" t="s">
        <v>1416</v>
      </c>
      <c r="M62">
        <v>7644288.8516325541</v>
      </c>
      <c r="Q62" t="s">
        <v>1113</v>
      </c>
      <c r="R62" t="s">
        <v>1113</v>
      </c>
      <c r="T62" t="s">
        <v>1526</v>
      </c>
      <c r="U62" s="19" t="s">
        <v>115</v>
      </c>
      <c r="V62" t="s">
        <v>1113</v>
      </c>
      <c r="W62" t="s">
        <v>1075</v>
      </c>
      <c r="X62" t="s">
        <v>1565</v>
      </c>
      <c r="Y62" s="18">
        <f>prod_table_raw!N160</f>
        <v>3842649.0057279998</v>
      </c>
      <c r="Z62">
        <f>(AF62+AG62)/0.98</f>
        <v>17.66760135719143</v>
      </c>
      <c r="AA62"/>
      <c r="AB62">
        <f t="shared" si="7"/>
        <v>3842631.3381266426</v>
      </c>
      <c r="AC62" s="72">
        <f t="shared" si="2"/>
        <v>4.5977661063644968E-6</v>
      </c>
      <c r="AD62">
        <f t="shared" si="3"/>
        <v>0</v>
      </c>
      <c r="AE62" s="51">
        <f t="shared" si="10"/>
        <v>0.99999540221275407</v>
      </c>
      <c r="AF62" s="31">
        <f>prod_table_raw!N161</f>
        <v>13.426311830047601</v>
      </c>
      <c r="AG62" s="31">
        <f>prod_table_raw!N162</f>
        <v>3.8879375</v>
      </c>
      <c r="AH62" s="31"/>
      <c r="AI62" s="31"/>
      <c r="AJ62" s="31"/>
      <c r="AK62" s="31"/>
      <c r="AL62" s="31"/>
      <c r="AM62" s="31"/>
      <c r="AN62" s="31"/>
      <c r="AO62" s="31"/>
      <c r="AP62" s="31"/>
      <c r="AQ62" s="31"/>
      <c r="AR62" s="31"/>
      <c r="AS62">
        <f>AH62/(concentrate_grade!$F$4/100)</f>
        <v>0</v>
      </c>
      <c r="AT62">
        <f>AI62/(concentrate_grade!$F$6/100)</f>
        <v>0</v>
      </c>
      <c r="AU62">
        <f>AK62/(concentrate_grade!$F$5/100)</f>
        <v>0</v>
      </c>
      <c r="AV62">
        <f>AL62/(concentrate_grade!$F$9/100)</f>
        <v>0</v>
      </c>
      <c r="AW62">
        <f>AM62/(concentrate_grade!$F$8/100)</f>
        <v>0</v>
      </c>
      <c r="AX62"/>
      <c r="AY62" s="31"/>
      <c r="AZ62" s="31"/>
      <c r="BA62" s="31"/>
      <c r="BB62" t="e">
        <f>AR62/concentrate_grade!#REF!</f>
        <v>#REF!</v>
      </c>
      <c r="BC62">
        <f t="shared" si="8"/>
        <v>17.66760135719143</v>
      </c>
    </row>
    <row r="63" spans="1:55" x14ac:dyDescent="0.25">
      <c r="A63" s="18"/>
      <c r="B63" t="s">
        <v>191</v>
      </c>
      <c r="D63" t="s">
        <v>193</v>
      </c>
      <c r="E63" t="s">
        <v>437</v>
      </c>
      <c r="F63" s="19" t="s">
        <v>435</v>
      </c>
      <c r="G63" s="18" t="s">
        <v>324</v>
      </c>
      <c r="I63" t="s">
        <v>1555</v>
      </c>
      <c r="K63" t="s">
        <v>1426</v>
      </c>
      <c r="L63" t="s">
        <v>1417</v>
      </c>
      <c r="M63">
        <v>16569166.515905419</v>
      </c>
      <c r="S63" t="s">
        <v>1113</v>
      </c>
      <c r="T63" t="s">
        <v>1526</v>
      </c>
      <c r="U63" s="19" t="s">
        <v>115</v>
      </c>
      <c r="V63" t="s">
        <v>1113</v>
      </c>
      <c r="W63" t="s">
        <v>920</v>
      </c>
      <c r="X63" t="s">
        <v>1565</v>
      </c>
      <c r="Y63" s="18">
        <f>prod_table_raw!N101</f>
        <v>2911000</v>
      </c>
      <c r="Z63">
        <f>(AF63+AG63)/0.98</f>
        <v>8.2519489795918357</v>
      </c>
      <c r="AA63"/>
      <c r="AB63">
        <f t="shared" si="7"/>
        <v>2910991.7480510203</v>
      </c>
      <c r="AC63" s="72">
        <f t="shared" si="2"/>
        <v>2.8347471589116577E-6</v>
      </c>
      <c r="AD63">
        <f t="shared" si="3"/>
        <v>0</v>
      </c>
      <c r="AE63" s="51">
        <f t="shared" si="10"/>
        <v>0.99999716524480531</v>
      </c>
      <c r="AF63" s="31">
        <f>prod_table_raw!N100</f>
        <v>8.0869099999999996</v>
      </c>
      <c r="AG63" s="31"/>
      <c r="AH63" s="31"/>
      <c r="AI63" s="31"/>
      <c r="AJ63" s="31"/>
      <c r="AK63" s="31"/>
      <c r="AL63" s="31"/>
      <c r="AM63" s="31"/>
      <c r="AN63" s="31"/>
      <c r="AO63" s="31"/>
      <c r="AP63" s="31"/>
      <c r="AQ63" s="31"/>
      <c r="AR63" s="31"/>
      <c r="AS63">
        <f>AH63/(concentrate_grade!$F$4/100)</f>
        <v>0</v>
      </c>
      <c r="AT63">
        <f>AI63/(concentrate_grade!$F$6/100)</f>
        <v>0</v>
      </c>
      <c r="AU63">
        <f>AK63/(concentrate_grade!$F$5/100)</f>
        <v>0</v>
      </c>
      <c r="AV63">
        <f>AL63/(concentrate_grade!$F$9/100)</f>
        <v>0</v>
      </c>
      <c r="AW63">
        <f>AM63/(concentrate_grade!$F$8/100)</f>
        <v>0</v>
      </c>
      <c r="AX63"/>
      <c r="AY63" s="31"/>
      <c r="AZ63" s="31"/>
      <c r="BA63" s="31"/>
      <c r="BB63" t="e">
        <f>AR63/concentrate_grade!#REF!</f>
        <v>#REF!</v>
      </c>
      <c r="BC63">
        <f t="shared" si="8"/>
        <v>8.2519489795918357</v>
      </c>
    </row>
    <row r="64" spans="1:55" x14ac:dyDescent="0.25">
      <c r="A64" s="18"/>
      <c r="B64" t="s">
        <v>398</v>
      </c>
      <c r="D64" t="s">
        <v>402</v>
      </c>
      <c r="E64" t="s">
        <v>437</v>
      </c>
      <c r="F64" s="19" t="s">
        <v>435</v>
      </c>
      <c r="G64" s="18" t="s">
        <v>64</v>
      </c>
      <c r="I64" t="s">
        <v>1555</v>
      </c>
      <c r="K64" t="s">
        <v>1426</v>
      </c>
      <c r="L64" t="s">
        <v>1515</v>
      </c>
      <c r="M64">
        <v>1464485.5013698239</v>
      </c>
      <c r="O64" t="s">
        <v>1113</v>
      </c>
      <c r="Q64" t="s">
        <v>1113</v>
      </c>
      <c r="R64" t="s">
        <v>1113</v>
      </c>
      <c r="T64" t="s">
        <v>1113</v>
      </c>
      <c r="U64" s="19" t="s">
        <v>115</v>
      </c>
      <c r="V64" t="s">
        <v>1113</v>
      </c>
      <c r="W64" t="s">
        <v>920</v>
      </c>
      <c r="X64" t="s">
        <v>1565</v>
      </c>
      <c r="Y64" s="18">
        <f>prod_table_raw!N254</f>
        <v>1574000</v>
      </c>
      <c r="Z64">
        <f>(AF64+AG64)/0.98</f>
        <v>4.2180154591836736</v>
      </c>
      <c r="AA64"/>
      <c r="AB64">
        <f t="shared" si="7"/>
        <v>1573995.7819845409</v>
      </c>
      <c r="AC64" s="72">
        <f t="shared" si="2"/>
        <v>2.6798065179057645E-6</v>
      </c>
      <c r="AD64">
        <f t="shared" si="3"/>
        <v>0</v>
      </c>
      <c r="AE64" s="51">
        <f t="shared" si="10"/>
        <v>0.99999732018630072</v>
      </c>
      <c r="AF64" s="31">
        <f>prod_table_raw!N255</f>
        <v>4.1336551500000001</v>
      </c>
      <c r="AG64" s="31"/>
      <c r="AH64" s="31"/>
      <c r="AI64" s="31"/>
      <c r="AJ64" s="31"/>
      <c r="AK64" s="31"/>
      <c r="AL64" s="31"/>
      <c r="AM64" s="31"/>
      <c r="AN64" s="31"/>
      <c r="AO64" s="31"/>
      <c r="AP64" s="31"/>
      <c r="AQ64" s="31"/>
      <c r="AR64" s="31"/>
      <c r="AS64">
        <f>AH64/(concentrate_grade!$F$4/100)</f>
        <v>0</v>
      </c>
      <c r="AT64">
        <f>AI64/(concentrate_grade!$F$6/100)</f>
        <v>0</v>
      </c>
      <c r="AU64">
        <f>AK64/(concentrate_grade!$F$5/100)</f>
        <v>0</v>
      </c>
      <c r="AV64">
        <f>AL64/(concentrate_grade!$F$9/100)</f>
        <v>0</v>
      </c>
      <c r="AW64">
        <f>AM64/(concentrate_grade!$F$8/100)</f>
        <v>0</v>
      </c>
      <c r="AX64"/>
      <c r="AY64" s="31"/>
      <c r="AZ64" s="31"/>
      <c r="BA64" s="31"/>
      <c r="BB64" t="e">
        <f>AR64/concentrate_grade!#REF!</f>
        <v>#REF!</v>
      </c>
      <c r="BC64">
        <f t="shared" si="8"/>
        <v>4.2180154591836736</v>
      </c>
    </row>
    <row r="65" spans="1:139" x14ac:dyDescent="0.25">
      <c r="A65" s="18"/>
      <c r="B65" t="s">
        <v>361</v>
      </c>
      <c r="D65" t="s">
        <v>365</v>
      </c>
      <c r="E65" t="s">
        <v>453</v>
      </c>
      <c r="F65" s="19" t="s">
        <v>435</v>
      </c>
      <c r="G65" s="18" t="s">
        <v>64</v>
      </c>
      <c r="I65" t="s">
        <v>1555</v>
      </c>
      <c r="K65" t="s">
        <v>1426</v>
      </c>
      <c r="L65" t="s">
        <v>1515</v>
      </c>
      <c r="M65">
        <v>517003.99124031531</v>
      </c>
      <c r="N65" t="s">
        <v>1477</v>
      </c>
      <c r="O65" t="s">
        <v>1113</v>
      </c>
      <c r="Q65" t="s">
        <v>1113</v>
      </c>
      <c r="R65" t="s">
        <v>1113</v>
      </c>
      <c r="S65" t="s">
        <v>1113</v>
      </c>
      <c r="T65" t="s">
        <v>1113</v>
      </c>
      <c r="U65" s="19" t="s">
        <v>115</v>
      </c>
      <c r="V65" t="s">
        <v>1113</v>
      </c>
      <c r="W65" t="s">
        <v>920</v>
      </c>
      <c r="X65" t="s">
        <v>1565</v>
      </c>
      <c r="Y65" s="18">
        <f>prod_table_raw!N229</f>
        <v>122000</v>
      </c>
      <c r="Z65">
        <f>(AF65+AG65)/0.98</f>
        <v>1.2300799484693878</v>
      </c>
      <c r="AA65"/>
      <c r="AB65">
        <f t="shared" si="7"/>
        <v>121998.76992005153</v>
      </c>
      <c r="AC65" s="72">
        <f t="shared" si="2"/>
        <v>1.0082622528437605E-5</v>
      </c>
      <c r="AD65">
        <f t="shared" si="3"/>
        <v>0</v>
      </c>
      <c r="AE65" s="51">
        <f t="shared" si="10"/>
        <v>0.99998991727581121</v>
      </c>
      <c r="AF65" s="31">
        <f>prod_table_raw!N231</f>
        <v>1.2054783495000001</v>
      </c>
      <c r="AG65" s="31"/>
      <c r="AH65" s="31"/>
      <c r="AI65" s="31"/>
      <c r="AJ65" s="31"/>
      <c r="AK65" s="31"/>
      <c r="AL65" s="31"/>
      <c r="AM65" s="31"/>
      <c r="AN65" s="31"/>
      <c r="AO65" s="31"/>
      <c r="AP65" s="31"/>
      <c r="AQ65" s="31"/>
      <c r="AR65" s="31"/>
      <c r="AS65">
        <f>AH65/(concentrate_grade!$F$4/100)</f>
        <v>0</v>
      </c>
      <c r="AT65">
        <f>AI65/(concentrate_grade!$F$6/100)</f>
        <v>0</v>
      </c>
      <c r="AU65">
        <f>AK65/(concentrate_grade!$F$5/100)</f>
        <v>0</v>
      </c>
      <c r="AV65">
        <f>AL65/(concentrate_grade!$F$9/100)</f>
        <v>0</v>
      </c>
      <c r="AW65">
        <f>AM65/(concentrate_grade!$F$8/100)</f>
        <v>0</v>
      </c>
      <c r="AX65"/>
      <c r="AY65" s="31"/>
      <c r="AZ65" s="31"/>
      <c r="BA65" s="31"/>
      <c r="BB65" t="e">
        <f>AR65/concentrate_grade!#REF!</f>
        <v>#REF!</v>
      </c>
      <c r="BC65">
        <f t="shared" si="8"/>
        <v>1.2300799484693878</v>
      </c>
    </row>
    <row r="66" spans="1:139" ht="15.75" thickBot="1" x14ac:dyDescent="0.3">
      <c r="A66" s="20"/>
      <c r="B66" s="21" t="s">
        <v>222</v>
      </c>
      <c r="C66" s="21"/>
      <c r="D66" s="21" t="s">
        <v>224</v>
      </c>
      <c r="E66" s="21" t="s">
        <v>441</v>
      </c>
      <c r="F66" s="22" t="s">
        <v>435</v>
      </c>
      <c r="G66" s="20" t="s">
        <v>64</v>
      </c>
      <c r="I66" s="2" t="s">
        <v>1557</v>
      </c>
      <c r="J66" t="s">
        <v>1536</v>
      </c>
      <c r="K66" s="21" t="s">
        <v>1534</v>
      </c>
      <c r="L66" t="s">
        <v>1515</v>
      </c>
      <c r="M66">
        <v>3104130.8525155862</v>
      </c>
      <c r="N66" s="21" t="s">
        <v>1498</v>
      </c>
      <c r="O66" t="s">
        <v>1113</v>
      </c>
      <c r="P66" s="21"/>
      <c r="Q66" t="s">
        <v>1113</v>
      </c>
      <c r="R66" t="s">
        <v>1113</v>
      </c>
      <c r="S66" t="s">
        <v>1113</v>
      </c>
      <c r="T66" t="s">
        <v>1113</v>
      </c>
      <c r="U66" s="22" t="s">
        <v>225</v>
      </c>
      <c r="V66" t="s">
        <v>1535</v>
      </c>
      <c r="W66" t="s">
        <v>1549</v>
      </c>
      <c r="X66" t="s">
        <v>1569</v>
      </c>
      <c r="Y66" s="20">
        <f>prod_table_raw!N193+prod_table_raw!N130</f>
        <v>2123641</v>
      </c>
      <c r="Z66">
        <f>(AF66+AG66)/0.98</f>
        <v>32.978787143877547</v>
      </c>
      <c r="AA66">
        <f>AH66/(concentrate_grade!$F$4/100)+AL66/(concentrate_grade!$F$9/100)</f>
        <v>109797.33333333334</v>
      </c>
      <c r="AB66">
        <f t="shared" ref="AB66" si="11">Y66-Z66-AA66</f>
        <v>2013810.687879523</v>
      </c>
      <c r="AC66" s="72">
        <f t="shared" si="2"/>
        <v>1.552936072710856E-5</v>
      </c>
      <c r="AD66">
        <f t="shared" si="3"/>
        <v>5.1702398537857075E-2</v>
      </c>
      <c r="AE66" s="51">
        <f t="shared" si="10"/>
        <v>0.94546145137598558</v>
      </c>
      <c r="AF66" s="52">
        <f>prod_table_raw!N232</f>
        <v>5.8276450705</v>
      </c>
      <c r="AG66" s="52">
        <f>prod_table_raw!N233</f>
        <v>26.4915663305</v>
      </c>
      <c r="AH66" s="52">
        <f>prod_table_raw!N235</f>
        <v>12154</v>
      </c>
      <c r="AI66" s="52"/>
      <c r="AJ66" s="52"/>
      <c r="AK66" s="52"/>
      <c r="AL66" s="52">
        <f>prod_table_raw!N234</f>
        <v>34642</v>
      </c>
      <c r="AM66" s="52"/>
      <c r="AN66" s="52"/>
      <c r="AO66" s="52"/>
      <c r="AP66" s="52"/>
      <c r="AQ66" s="52"/>
      <c r="AR66" s="52"/>
      <c r="AS66">
        <f>AH66/(concentrate_grade!$F$4/100)</f>
        <v>40513.333333333336</v>
      </c>
      <c r="AT66">
        <f>AI66/(concentrate_grade!$F$6/100)</f>
        <v>0</v>
      </c>
      <c r="AU66">
        <f>AK66/(concentrate_grade!$F$5/100)</f>
        <v>0</v>
      </c>
      <c r="AV66">
        <f>AL66/(concentrate_grade!$F$9/100)</f>
        <v>69284</v>
      </c>
      <c r="AW66">
        <f>AM66/(concentrate_grade!$F$8/100)</f>
        <v>0</v>
      </c>
      <c r="AX66"/>
      <c r="AY66" s="52"/>
      <c r="AZ66" s="52"/>
      <c r="BA66" s="52"/>
      <c r="BB66" t="e">
        <f>AR66/concentrate_grade!#REF!</f>
        <v>#REF!</v>
      </c>
      <c r="BC66">
        <f t="shared" si="8"/>
        <v>32.978787143877547</v>
      </c>
    </row>
    <row r="67" spans="1:139" ht="15.75" thickBot="1" x14ac:dyDescent="0.3"/>
    <row r="68" spans="1:139" ht="15.75" thickBot="1" x14ac:dyDescent="0.3">
      <c r="Y68" s="61">
        <f>SUM(Y2:Y66)</f>
        <v>227227178.21114755</v>
      </c>
      <c r="Z68" s="62">
        <f t="shared" ref="Z68:BC68" si="12">SUM(Z2:Z66)</f>
        <v>215.43763719285494</v>
      </c>
      <c r="AA68" s="62" t="e">
        <f t="shared" si="12"/>
        <v>#REF!</v>
      </c>
      <c r="AB68" s="62" t="e">
        <f t="shared" si="12"/>
        <v>#REF!</v>
      </c>
      <c r="AC68" s="73">
        <f>AVERAGE(AC2:AC66)</f>
        <v>2.6911520652505657E-6</v>
      </c>
      <c r="AD68" s="62"/>
      <c r="AE68" s="62" t="e">
        <f t="shared" si="12"/>
        <v>#REF!</v>
      </c>
      <c r="AF68" s="62">
        <f t="shared" si="12"/>
        <v>169.91780446799788</v>
      </c>
      <c r="AG68" s="62">
        <f t="shared" si="12"/>
        <v>146.66640810850001</v>
      </c>
      <c r="AH68" s="62">
        <f t="shared" si="12"/>
        <v>455883.27627700003</v>
      </c>
      <c r="AI68" s="62">
        <f t="shared" si="12"/>
        <v>306056</v>
      </c>
      <c r="AJ68" s="62">
        <f t="shared" si="12"/>
        <v>3866</v>
      </c>
      <c r="AK68" s="62">
        <f t="shared" si="12"/>
        <v>1445.217584</v>
      </c>
      <c r="AL68" s="62">
        <f t="shared" si="12"/>
        <v>1090883.4385170001</v>
      </c>
      <c r="AM68" s="62">
        <f t="shared" si="12"/>
        <v>245825</v>
      </c>
      <c r="AN68" s="62">
        <f t="shared" si="12"/>
        <v>0</v>
      </c>
      <c r="AO68" s="62">
        <f t="shared" si="12"/>
        <v>5.0941312299999995</v>
      </c>
      <c r="AP68" s="62">
        <f t="shared" si="12"/>
        <v>0.77758749999999999</v>
      </c>
      <c r="AQ68" s="62">
        <f t="shared" si="12"/>
        <v>14288.148000000001</v>
      </c>
      <c r="AR68" s="62">
        <f t="shared" si="12"/>
        <v>18268.95</v>
      </c>
      <c r="AS68" s="62">
        <f t="shared" si="12"/>
        <v>938884.25425666687</v>
      </c>
      <c r="AT68" s="62">
        <f t="shared" si="12"/>
        <v>910231.25</v>
      </c>
      <c r="AU68" s="62">
        <f t="shared" si="12"/>
        <v>2833.7599686274507</v>
      </c>
      <c r="AV68" s="62">
        <f t="shared" si="12"/>
        <v>164566.877034</v>
      </c>
      <c r="AW68" s="62">
        <f t="shared" si="12"/>
        <v>409708.33333333337</v>
      </c>
      <c r="AX68" s="62">
        <f t="shared" si="12"/>
        <v>0</v>
      </c>
      <c r="AY68" s="62">
        <f t="shared" si="12"/>
        <v>0</v>
      </c>
      <c r="AZ68" s="62">
        <f t="shared" si="12"/>
        <v>0</v>
      </c>
      <c r="BA68" s="62">
        <f t="shared" si="12"/>
        <v>16809.585882352942</v>
      </c>
      <c r="BB68" s="62" t="e">
        <f t="shared" si="12"/>
        <v>#REF!</v>
      </c>
      <c r="BC68" s="63">
        <f t="shared" si="12"/>
        <v>215.43763719285494</v>
      </c>
      <c r="BD68" s="49"/>
      <c r="BE68" s="49"/>
      <c r="BF68" s="49"/>
      <c r="BG68" s="49"/>
      <c r="BH68" s="49"/>
      <c r="BI68" s="49"/>
      <c r="BJ68" s="49"/>
      <c r="BK68" s="49"/>
      <c r="BL68" s="49"/>
      <c r="BM68" s="49"/>
      <c r="BN68" s="49"/>
      <c r="BO68" s="49"/>
      <c r="BP68" s="49"/>
      <c r="BQ68" s="49"/>
      <c r="BR68" s="49"/>
      <c r="BS68" s="49"/>
      <c r="BT68" s="49"/>
      <c r="BU68" s="49"/>
      <c r="BV68" s="49"/>
      <c r="BW68" s="49"/>
      <c r="BX68" s="49"/>
      <c r="BY68" s="49"/>
      <c r="BZ68" s="49"/>
      <c r="CA68" s="49"/>
      <c r="CB68" s="49"/>
      <c r="CC68" s="49"/>
      <c r="CD68" s="49"/>
      <c r="CE68" s="49"/>
      <c r="CF68" s="49"/>
      <c r="CG68" s="49"/>
      <c r="CH68" s="49"/>
      <c r="CI68" s="49"/>
      <c r="CJ68" s="49"/>
      <c r="CK68" s="49"/>
      <c r="CL68" s="49"/>
      <c r="CM68" s="49"/>
      <c r="CN68" s="49"/>
      <c r="CO68" s="49"/>
      <c r="CP68" s="49"/>
      <c r="CQ68" s="49"/>
      <c r="CR68" s="49"/>
      <c r="CS68" s="49"/>
      <c r="CT68" s="49"/>
      <c r="CU68" s="49"/>
      <c r="CV68" s="49"/>
      <c r="CW68" s="49"/>
      <c r="CX68" s="49"/>
      <c r="CY68" s="49"/>
      <c r="CZ68" s="49"/>
      <c r="DA68" s="49"/>
      <c r="DB68" s="49"/>
      <c r="DC68" s="49"/>
      <c r="DD68" s="49"/>
      <c r="DE68" s="49"/>
      <c r="DF68" s="49"/>
      <c r="DG68" s="49"/>
      <c r="DH68" s="49"/>
      <c r="DI68" s="49"/>
      <c r="DJ68" s="49"/>
      <c r="DK68" s="49"/>
      <c r="DL68" s="49"/>
      <c r="DM68" s="49"/>
      <c r="DN68" s="49"/>
      <c r="DO68" s="49"/>
      <c r="DP68" s="49"/>
      <c r="DQ68" s="49"/>
      <c r="DR68" s="49"/>
      <c r="DS68" s="49"/>
      <c r="DT68" s="49"/>
      <c r="DU68" s="49"/>
      <c r="DV68" s="49"/>
      <c r="DW68" s="49"/>
      <c r="DX68" s="49"/>
      <c r="DY68" s="49"/>
      <c r="DZ68" s="49"/>
      <c r="EA68" s="49"/>
      <c r="EB68" s="49"/>
      <c r="EC68" s="49"/>
      <c r="ED68" s="49"/>
      <c r="EE68" s="49"/>
      <c r="EF68" s="49"/>
      <c r="EG68" s="49"/>
      <c r="EH68" s="49"/>
      <c r="EI68" s="49"/>
    </row>
  </sheetData>
  <autoFilter ref="A1:EI66" xr:uid="{19A21E0B-06A8-4909-8999-69A6CC63874F}"/>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C4CBE-FB64-41C9-95AB-B4C2DC9E9DC5}">
  <dimension ref="A1:S66"/>
  <sheetViews>
    <sheetView workbookViewId="0">
      <selection sqref="A1:XFD1"/>
    </sheetView>
  </sheetViews>
  <sheetFormatPr baseColWidth="10" defaultRowHeight="15" x14ac:dyDescent="0.25"/>
  <cols>
    <col min="1" max="1" width="38.85546875" bestFit="1" customWidth="1"/>
    <col min="2" max="2" width="27" bestFit="1" customWidth="1"/>
    <col min="3" max="3" width="19.28515625" customWidth="1"/>
    <col min="4" max="4" width="27.7109375" bestFit="1" customWidth="1"/>
    <col min="18" max="18" width="21.28515625" bestFit="1" customWidth="1"/>
  </cols>
  <sheetData>
    <row r="1" spans="1:19" x14ac:dyDescent="0.25">
      <c r="A1" s="1" t="s">
        <v>2</v>
      </c>
      <c r="B1" s="1" t="s">
        <v>3</v>
      </c>
      <c r="C1" s="1" t="s">
        <v>17</v>
      </c>
      <c r="D1" s="1" t="s">
        <v>1580</v>
      </c>
      <c r="E1" s="1" t="s">
        <v>1579</v>
      </c>
      <c r="F1" s="1" t="s">
        <v>918</v>
      </c>
      <c r="G1" s="1" t="s">
        <v>919</v>
      </c>
      <c r="H1" s="1" t="s">
        <v>1071</v>
      </c>
      <c r="I1" s="1" t="s">
        <v>1072</v>
      </c>
      <c r="J1" s="1" t="s">
        <v>1070</v>
      </c>
      <c r="Q1" s="1"/>
      <c r="R1" s="1"/>
      <c r="S1" s="1"/>
    </row>
    <row r="2" spans="1:19" x14ac:dyDescent="0.25">
      <c r="A2" t="str">
        <f>prod_data!C2</f>
        <v>Bloom Lake</v>
      </c>
      <c r="B2">
        <f>prod_data!D2</f>
        <v>0</v>
      </c>
      <c r="C2" t="str">
        <f>prod_data!U2</f>
        <v>Iron</v>
      </c>
      <c r="D2" t="str">
        <f>prod_data!X2</f>
        <v>Fe conc.</v>
      </c>
      <c r="E2" s="71">
        <f>prod_data!Z2/prod_data!$Z$68</f>
        <v>0</v>
      </c>
      <c r="F2" s="70">
        <f>prod_data!AS2/prod_data!$AS$68</f>
        <v>0</v>
      </c>
      <c r="G2" s="71">
        <f>prod_data!AT2/prod_data!$AT$68</f>
        <v>0</v>
      </c>
      <c r="H2" s="71">
        <f>prod_data!BA2/prod_data!$BA$68</f>
        <v>0</v>
      </c>
      <c r="I2" s="71">
        <f>prod_data!AV2/prod_data!$AV$68</f>
        <v>0</v>
      </c>
      <c r="J2" s="71">
        <f>prod_data!AU2/prod_data!$AU$68</f>
        <v>0</v>
      </c>
    </row>
    <row r="3" spans="1:19" x14ac:dyDescent="0.25">
      <c r="A3" t="str">
        <f>prod_data!C3</f>
        <v>Brucejack</v>
      </c>
      <c r="B3">
        <f>prod_data!D3</f>
        <v>0</v>
      </c>
      <c r="C3" t="str">
        <f>prod_data!U3</f>
        <v>Gold, silver</v>
      </c>
      <c r="D3" t="str">
        <f>prod_data!X3</f>
        <v>Au-Ag doré</v>
      </c>
      <c r="E3" s="71">
        <f>prod_data!Z3/prod_data!$Z$68</f>
        <v>4.2722790031976673E-3</v>
      </c>
      <c r="F3" s="70">
        <f>prod_data!AS3/prod_data!$AS$68</f>
        <v>0</v>
      </c>
      <c r="G3" s="71">
        <f>prod_data!AT3/prod_data!$AT$68</f>
        <v>0</v>
      </c>
      <c r="H3" s="71">
        <f>prod_data!BA3/prod_data!$BA$68</f>
        <v>0</v>
      </c>
      <c r="I3" s="71">
        <f>prod_data!AV3/prod_data!$AV$68</f>
        <v>0</v>
      </c>
      <c r="J3" s="71">
        <f>prod_data!AU3/prod_data!$AU$68</f>
        <v>0</v>
      </c>
    </row>
    <row r="4" spans="1:19" x14ac:dyDescent="0.25">
      <c r="A4" t="str">
        <f>prod_data!C4</f>
        <v>Canadian Electrolytic Zinc Limited (CEZinc)</v>
      </c>
      <c r="B4">
        <f>prod_data!D4</f>
        <v>0</v>
      </c>
      <c r="C4" t="str">
        <f>prod_data!U4</f>
        <v>Lead, zinc</v>
      </c>
      <c r="D4">
        <f>prod_data!X4</f>
        <v>0</v>
      </c>
      <c r="E4" s="71">
        <f>prod_data!Z4/prod_data!$Z$68</f>
        <v>0</v>
      </c>
      <c r="F4" s="70">
        <f>prod_data!AS4/prod_data!$AS$68</f>
        <v>0</v>
      </c>
      <c r="G4" s="71">
        <f>prod_data!AT4/prod_data!$AT$68</f>
        <v>0</v>
      </c>
      <c r="H4" s="71">
        <f>prod_data!BA4/prod_data!$BA$68</f>
        <v>0</v>
      </c>
      <c r="I4" s="71">
        <f>prod_data!AV4/prod_data!$AV$68</f>
        <v>0</v>
      </c>
      <c r="J4" s="71">
        <f>prod_data!AU4/prod_data!$AU$68</f>
        <v>0</v>
      </c>
    </row>
    <row r="5" spans="1:19" x14ac:dyDescent="0.25">
      <c r="A5" t="str">
        <f>prod_data!C5</f>
        <v>Canadian Malartic</v>
      </c>
      <c r="B5">
        <f>prod_data!D5</f>
        <v>0</v>
      </c>
      <c r="C5" t="str">
        <f>prod_data!U5</f>
        <v>Gold, silver</v>
      </c>
      <c r="D5" t="str">
        <f>prod_data!X5</f>
        <v>Au-Ag doré</v>
      </c>
      <c r="E5" s="71">
        <f>prod_data!Z5/prod_data!$Z$68</f>
        <v>0.13479113915071453</v>
      </c>
      <c r="F5" s="70">
        <f>prod_data!AS5/prod_data!$AS$68</f>
        <v>0</v>
      </c>
      <c r="G5" s="71">
        <f>prod_data!AT5/prod_data!$AT$68</f>
        <v>0</v>
      </c>
      <c r="H5" s="71">
        <f>prod_data!BA5/prod_data!$BA$68</f>
        <v>0</v>
      </c>
      <c r="I5" s="71">
        <f>prod_data!AV5/prod_data!$AV$68</f>
        <v>0</v>
      </c>
      <c r="J5" s="71">
        <f>prod_data!AU5/prod_data!$AU$68</f>
        <v>0</v>
      </c>
    </row>
    <row r="6" spans="1:19" x14ac:dyDescent="0.25">
      <c r="A6" t="str">
        <f>prod_data!C6</f>
        <v>Carol Lake</v>
      </c>
      <c r="B6">
        <f>prod_data!D6</f>
        <v>0</v>
      </c>
      <c r="C6" t="str">
        <f>prod_data!U6</f>
        <v>Iron</v>
      </c>
      <c r="D6" t="str">
        <f>prod_data!X6</f>
        <v>Fe conc., Fe pellets</v>
      </c>
      <c r="E6" s="71">
        <f>prod_data!Z6/prod_data!$Z$68</f>
        <v>0</v>
      </c>
      <c r="F6" s="70">
        <f>prod_data!AS6/prod_data!$AS$68</f>
        <v>0</v>
      </c>
      <c r="G6" s="71">
        <f>prod_data!AT6/prod_data!$AT$68</f>
        <v>0</v>
      </c>
      <c r="H6" s="71">
        <f>prod_data!BA6/prod_data!$BA$68</f>
        <v>0</v>
      </c>
      <c r="I6" s="71">
        <f>prod_data!AV6/prod_data!$AV$68</f>
        <v>0</v>
      </c>
      <c r="J6" s="71">
        <f>prod_data!AU6/prod_data!$AU$68</f>
        <v>0</v>
      </c>
    </row>
    <row r="7" spans="1:19" x14ac:dyDescent="0.25">
      <c r="A7" t="str">
        <f>prod_data!C7</f>
        <v>Casa Berardi</v>
      </c>
      <c r="B7">
        <f>prod_data!D7</f>
        <v>0</v>
      </c>
      <c r="C7" t="str">
        <f>prod_data!U7</f>
        <v>Gold, silver</v>
      </c>
      <c r="D7" t="str">
        <f>prod_data!X7</f>
        <v>Au-Ag doré</v>
      </c>
      <c r="E7" s="71">
        <f>prod_data!Z7/prod_data!$Z$68</f>
        <v>1.6323052191527593E-2</v>
      </c>
      <c r="F7" s="70">
        <f>prod_data!AS7/prod_data!$AS$68</f>
        <v>0</v>
      </c>
      <c r="G7" s="71">
        <f>prod_data!AT7/prod_data!$AT$68</f>
        <v>0</v>
      </c>
      <c r="H7" s="71">
        <f>prod_data!BA7/prod_data!$BA$68</f>
        <v>0</v>
      </c>
      <c r="I7" s="71">
        <f>prod_data!AV7/prod_data!$AV$68</f>
        <v>0</v>
      </c>
      <c r="J7" s="71">
        <f>prod_data!AU7/prod_data!$AU$68</f>
        <v>0</v>
      </c>
    </row>
    <row r="8" spans="1:19" x14ac:dyDescent="0.25">
      <c r="A8" t="str">
        <f>prod_data!C8</f>
        <v>Copper Cliff Complex (mine)</v>
      </c>
      <c r="B8" t="str">
        <f>prod_data!D8</f>
        <v>Sudbury Operation</v>
      </c>
      <c r="C8" t="str">
        <f>prod_data!U8</f>
        <v>Nickel, copper, platinum group metals, gold, silver, cobalt, selenium, tellurium</v>
      </c>
      <c r="D8" t="str">
        <f>prod_data!X8</f>
        <v>Ni-Cu bulk conc.</v>
      </c>
      <c r="E8" s="71">
        <f>prod_data!Z8/prod_data!$Z$68</f>
        <v>0</v>
      </c>
      <c r="F8" s="70">
        <f>prod_data!AS8/prod_data!$AS$68</f>
        <v>0</v>
      </c>
      <c r="G8" s="71">
        <f>prod_data!AT8/prod_data!$AT$68</f>
        <v>6.00877524255512E-2</v>
      </c>
      <c r="H8" s="71">
        <f>prod_data!BA8/prod_data!$BA$68</f>
        <v>0</v>
      </c>
      <c r="I8" s="71">
        <f>prod_data!AV8/prod_data!$AV$68</f>
        <v>0</v>
      </c>
      <c r="J8" s="71">
        <f>prod_data!AU8/prod_data!$AU$68</f>
        <v>0</v>
      </c>
    </row>
    <row r="9" spans="1:19" x14ac:dyDescent="0.25">
      <c r="A9" t="str">
        <f>prod_data!C9</f>
        <v>Copper Cliff Complex (refinery)</v>
      </c>
      <c r="B9" t="str">
        <f>prod_data!D9</f>
        <v>Sudbury Operation</v>
      </c>
      <c r="C9" t="str">
        <f>prod_data!U9</f>
        <v>Nickel (oxide sinter, pellets, powder, sulfide), copper cathodes, gold, silver, selenium cake, tellurium dioxide cake, platinum group metals (in residues), liquid sulfur dioxide, sulfuric acid</v>
      </c>
      <c r="D9" t="str">
        <f>prod_data!X9</f>
        <v>Refined Ni+Cu</v>
      </c>
      <c r="E9" s="71">
        <f>prod_data!Z9/prod_data!$Z$68</f>
        <v>0</v>
      </c>
      <c r="F9" s="70">
        <f>prod_data!AS9/prod_data!$AS$68</f>
        <v>0</v>
      </c>
      <c r="G9" s="71">
        <f>prod_data!AT9/prod_data!$AT$68</f>
        <v>0</v>
      </c>
      <c r="H9" s="71">
        <f>prod_data!BA9/prod_data!$BA$68</f>
        <v>0</v>
      </c>
      <c r="I9" s="71">
        <f>prod_data!AV9/prod_data!$AV$68</f>
        <v>0</v>
      </c>
      <c r="J9" s="71">
        <f>prod_data!AU9/prod_data!$AU$68</f>
        <v>0</v>
      </c>
    </row>
    <row r="10" spans="1:19" x14ac:dyDescent="0.25">
      <c r="A10" t="str">
        <f>prod_data!C10</f>
        <v>Copper Mountain</v>
      </c>
      <c r="B10">
        <f>prod_data!D10</f>
        <v>0</v>
      </c>
      <c r="C10" t="str">
        <f>prod_data!U10</f>
        <v>Copper, gold, silver</v>
      </c>
      <c r="D10" t="str">
        <f>prod_data!X10</f>
        <v>Cu conc.</v>
      </c>
      <c r="E10" s="71">
        <f>prod_data!Z10/prod_data!$Z$68</f>
        <v>0</v>
      </c>
      <c r="F10" s="70">
        <f>prod_data!AS10/prod_data!$AS$68</f>
        <v>6.7633469953412101E-2</v>
      </c>
      <c r="G10" s="71">
        <f>prod_data!AT10/prod_data!$AT$68</f>
        <v>0</v>
      </c>
      <c r="H10" s="71">
        <f>prod_data!BA10/prod_data!$BA$68</f>
        <v>0</v>
      </c>
      <c r="I10" s="71">
        <f>prod_data!AV10/prod_data!$AV$68</f>
        <v>0</v>
      </c>
      <c r="J10" s="71">
        <f>prod_data!AU10/prod_data!$AU$68</f>
        <v>0</v>
      </c>
    </row>
    <row r="11" spans="1:19" x14ac:dyDescent="0.25">
      <c r="A11" t="str">
        <f>prod_data!C11</f>
        <v>Creighton</v>
      </c>
      <c r="B11" t="str">
        <f>prod_data!D11</f>
        <v>Sudbury Operation</v>
      </c>
      <c r="C11" t="str">
        <f>prod_data!U11</f>
        <v>Nickel, copper, platinum group metals, gold, silver, cobalt, selenium, tellurium</v>
      </c>
      <c r="D11" t="str">
        <f>prod_data!X11</f>
        <v>Ni-Cu bulk conc.</v>
      </c>
      <c r="E11" s="71">
        <f>prod_data!Z11/prod_data!$Z$68</f>
        <v>0</v>
      </c>
      <c r="F11" s="70">
        <f>prod_data!AS11/prod_data!$AS$68</f>
        <v>0</v>
      </c>
      <c r="G11" s="71">
        <f>prod_data!AT11/prod_data!$AT$68</f>
        <v>7.7892293853897024E-2</v>
      </c>
      <c r="H11" s="71">
        <f>prod_data!BA11/prod_data!$BA$68</f>
        <v>0</v>
      </c>
      <c r="I11" s="71">
        <f>prod_data!AV11/prod_data!$AV$68</f>
        <v>0</v>
      </c>
      <c r="J11" s="71">
        <f>prod_data!AU11/prod_data!$AU$68</f>
        <v>0</v>
      </c>
    </row>
    <row r="12" spans="1:19" x14ac:dyDescent="0.25">
      <c r="A12" t="str">
        <f>prod_data!C12</f>
        <v>Detour Lake</v>
      </c>
      <c r="B12">
        <f>prod_data!D12</f>
        <v>0</v>
      </c>
      <c r="C12" t="str">
        <f>prod_data!U12</f>
        <v>Gold</v>
      </c>
      <c r="D12" t="str">
        <f>prod_data!X12</f>
        <v>Au-Ag doré</v>
      </c>
      <c r="E12" s="71">
        <f>prod_data!Z12/prod_data!$Z$68</f>
        <v>0.11143959871906423</v>
      </c>
      <c r="F12" s="70">
        <f>prod_data!AS12/prod_data!$AS$68</f>
        <v>0</v>
      </c>
      <c r="G12" s="71">
        <f>prod_data!AT12/prod_data!$AT$68</f>
        <v>0</v>
      </c>
      <c r="H12" s="71">
        <f>prod_data!BA12/prod_data!$BA$68</f>
        <v>0</v>
      </c>
      <c r="I12" s="71">
        <f>prod_data!AV12/prod_data!$AV$68</f>
        <v>0</v>
      </c>
      <c r="J12" s="71">
        <f>prod_data!AU12/prod_data!$AU$68</f>
        <v>0</v>
      </c>
    </row>
    <row r="13" spans="1:19" x14ac:dyDescent="0.25">
      <c r="A13" t="str">
        <f>prod_data!C13</f>
        <v>Eagle River</v>
      </c>
      <c r="B13">
        <f>prod_data!D13</f>
        <v>0</v>
      </c>
      <c r="C13" t="str">
        <f>prod_data!U13</f>
        <v>Gold</v>
      </c>
      <c r="D13" t="str">
        <f>prod_data!X13</f>
        <v>Au-Ag doré</v>
      </c>
      <c r="E13" s="71">
        <f>prod_data!Z13/prod_data!$Z$68</f>
        <v>1.2885635433541048E-2</v>
      </c>
      <c r="F13" s="70">
        <f>prod_data!AS13/prod_data!$AS$68</f>
        <v>0</v>
      </c>
      <c r="G13" s="71">
        <f>prod_data!AT13/prod_data!$AT$68</f>
        <v>0</v>
      </c>
      <c r="H13" s="71">
        <f>prod_data!BA13/prod_data!$BA$68</f>
        <v>0</v>
      </c>
      <c r="I13" s="71">
        <f>prod_data!AV13/prod_data!$AV$68</f>
        <v>0</v>
      </c>
      <c r="J13" s="71">
        <f>prod_data!AU13/prod_data!$AU$68</f>
        <v>0</v>
      </c>
    </row>
    <row r="14" spans="1:19" x14ac:dyDescent="0.25">
      <c r="A14" t="str">
        <f>prod_data!C14</f>
        <v>Éléonore</v>
      </c>
      <c r="B14">
        <f>prod_data!D14</f>
        <v>0</v>
      </c>
      <c r="C14" t="str">
        <f>prod_data!U14</f>
        <v>Gold, silver</v>
      </c>
      <c r="D14" t="str">
        <f>prod_data!X14</f>
        <v>Au-Ag doré</v>
      </c>
      <c r="E14" s="71">
        <f>prod_data!Z14/prod_data!$Z$68</f>
        <v>3.5921763818782863E-2</v>
      </c>
      <c r="F14" s="70">
        <f>prod_data!AS14/prod_data!$AS$68</f>
        <v>0</v>
      </c>
      <c r="G14" s="71">
        <f>prod_data!AT14/prod_data!$AT$68</f>
        <v>0</v>
      </c>
      <c r="H14" s="71">
        <f>prod_data!BA14/prod_data!$BA$68</f>
        <v>0</v>
      </c>
      <c r="I14" s="71">
        <f>prod_data!AV14/prod_data!$AV$68</f>
        <v>0</v>
      </c>
      <c r="J14" s="71">
        <f>prod_data!AU14/prod_data!$AU$68</f>
        <v>0</v>
      </c>
    </row>
    <row r="15" spans="1:19" x14ac:dyDescent="0.25">
      <c r="A15" t="str">
        <f>prod_data!C15</f>
        <v>Elk</v>
      </c>
      <c r="B15">
        <f>prod_data!D15</f>
        <v>0</v>
      </c>
      <c r="C15" t="str">
        <f>prod_data!U15</f>
        <v>Gold</v>
      </c>
      <c r="D15" t="str">
        <f>prod_data!X15</f>
        <v>Au-Ag doré</v>
      </c>
      <c r="E15" s="71">
        <f>prod_data!Z15/prod_data!$Z$68</f>
        <v>5.7690498539731262E-4</v>
      </c>
      <c r="F15" s="70">
        <f>prod_data!AS15/prod_data!$AS$68</f>
        <v>0</v>
      </c>
      <c r="G15" s="71">
        <f>prod_data!AT15/prod_data!$AT$68</f>
        <v>0</v>
      </c>
      <c r="H15" s="71">
        <f>prod_data!BA15/prod_data!$BA$68</f>
        <v>0</v>
      </c>
      <c r="I15" s="71">
        <f>prod_data!AV15/prod_data!$AV$68</f>
        <v>0</v>
      </c>
      <c r="J15" s="71">
        <f>prod_data!AU15/prod_data!$AU$68</f>
        <v>0</v>
      </c>
    </row>
    <row r="16" spans="1:19" x14ac:dyDescent="0.25">
      <c r="A16" t="str">
        <f>prod_data!C16</f>
        <v>Fox Complex</v>
      </c>
      <c r="B16">
        <f>prod_data!D16</f>
        <v>0</v>
      </c>
      <c r="C16" t="str">
        <f>prod_data!U16</f>
        <v>Gold</v>
      </c>
      <c r="D16" t="str">
        <f>prod_data!X16</f>
        <v>Au-Ag doré</v>
      </c>
      <c r="E16" s="71">
        <f>prod_data!Z16/prod_data!$Z$68</f>
        <v>6.747254425739764E-3</v>
      </c>
      <c r="F16" s="70">
        <f>prod_data!AS16/prod_data!$AS$68</f>
        <v>0</v>
      </c>
      <c r="G16" s="71">
        <f>prod_data!AT16/prod_data!$AT$68</f>
        <v>0</v>
      </c>
      <c r="H16" s="71">
        <f>prod_data!BA16/prod_data!$BA$68</f>
        <v>0</v>
      </c>
      <c r="I16" s="71">
        <f>prod_data!AV16/prod_data!$AV$68</f>
        <v>0</v>
      </c>
      <c r="J16" s="71">
        <f>prod_data!AU16/prod_data!$AU$68</f>
        <v>0</v>
      </c>
    </row>
    <row r="17" spans="1:10" x14ac:dyDescent="0.25">
      <c r="A17" t="str">
        <f>prod_data!C17</f>
        <v>Fraser</v>
      </c>
      <c r="B17" t="str">
        <f>prod_data!D17</f>
        <v>Integrated Nickel Operations</v>
      </c>
      <c r="C17" t="str">
        <f>prod_data!U17</f>
        <v>Nickel, copper, platinum group metals, gold, cobalt, silver</v>
      </c>
      <c r="D17" t="str">
        <f>prod_data!X17</f>
        <v>Ni-Cu bulk conc.</v>
      </c>
      <c r="E17" s="71">
        <f>prod_data!Z17/prod_data!$Z$68</f>
        <v>0</v>
      </c>
      <c r="F17" s="70">
        <f>prod_data!AS17/prod_data!$AS$68</f>
        <v>0</v>
      </c>
      <c r="G17" s="71">
        <f>prod_data!AT17/prod_data!$AT$68</f>
        <v>0</v>
      </c>
      <c r="H17" s="71">
        <f>prod_data!BA17/prod_data!$BA$68</f>
        <v>0</v>
      </c>
      <c r="I17" s="71">
        <f>prod_data!AV17/prod_data!$AV$68</f>
        <v>0</v>
      </c>
      <c r="J17" s="71">
        <f>prod_data!AU17/prod_data!$AU$68</f>
        <v>0</v>
      </c>
    </row>
    <row r="18" spans="1:10" x14ac:dyDescent="0.25">
      <c r="A18" t="str">
        <f>prod_data!C18</f>
        <v>Garson</v>
      </c>
      <c r="B18" t="str">
        <f>prod_data!D18</f>
        <v>Sudbury Operation</v>
      </c>
      <c r="C18" t="str">
        <f>prod_data!U18</f>
        <v>Nickel, copper, platinum group metals, gold, silver, cobalt, selenium, tellurium</v>
      </c>
      <c r="D18" t="str">
        <f>prod_data!X18</f>
        <v>Ni-Cu bulk conc.</v>
      </c>
      <c r="E18" s="71">
        <f>prod_data!Z18/prod_data!$Z$68</f>
        <v>0</v>
      </c>
      <c r="F18" s="70">
        <f>prod_data!AS18/prod_data!$AS$68</f>
        <v>0</v>
      </c>
      <c r="G18" s="71">
        <f>prod_data!AT18/prod_data!$AT$68</f>
        <v>5.4560310910002269E-2</v>
      </c>
      <c r="H18" s="71">
        <f>prod_data!BA18/prod_data!$BA$68</f>
        <v>0</v>
      </c>
      <c r="I18" s="71">
        <f>prod_data!AV18/prod_data!$AV$68</f>
        <v>0</v>
      </c>
      <c r="J18" s="71">
        <f>prod_data!AU18/prod_data!$AU$68</f>
        <v>0</v>
      </c>
    </row>
    <row r="19" spans="1:10" x14ac:dyDescent="0.25">
      <c r="A19" t="str">
        <f>prod_data!C19</f>
        <v>Gibraltar</v>
      </c>
      <c r="B19">
        <f>prod_data!D19</f>
        <v>0</v>
      </c>
      <c r="C19" t="str">
        <f>prod_data!U19</f>
        <v>Copper, molybdenum, silver</v>
      </c>
      <c r="D19" t="str">
        <f>prod_data!X19</f>
        <v>Cu and Mo conc.</v>
      </c>
      <c r="E19" s="71">
        <f>prod_data!Z19/prod_data!$Z$68</f>
        <v>0</v>
      </c>
      <c r="F19" s="70">
        <f>prod_data!AS19/prod_data!$AS$68</f>
        <v>0.19743427352866422</v>
      </c>
      <c r="G19" s="71">
        <f>prod_data!AT19/prod_data!$AT$68</f>
        <v>0</v>
      </c>
      <c r="H19" s="71">
        <f>prod_data!BA19/prod_data!$BA$68</f>
        <v>0</v>
      </c>
      <c r="I19" s="71">
        <f>prod_data!AV19/prod_data!$AV$68</f>
        <v>0</v>
      </c>
      <c r="J19" s="71">
        <f>prod_data!AU19/prod_data!$AU$68</f>
        <v>0.37725640072201061</v>
      </c>
    </row>
    <row r="20" spans="1:10" x14ac:dyDescent="0.25">
      <c r="A20" t="str">
        <f>prod_data!C20</f>
        <v>Goldex</v>
      </c>
      <c r="B20">
        <f>prod_data!D20</f>
        <v>0</v>
      </c>
      <c r="C20" t="str">
        <f>prod_data!U20</f>
        <v>Gold, silver</v>
      </c>
      <c r="D20" t="str">
        <f>prod_data!X20</f>
        <v>Au-Ag doré, Cu conc.</v>
      </c>
      <c r="E20" s="71">
        <f>prod_data!Z20/prod_data!$Z$68</f>
        <v>2.0769546939986089E-2</v>
      </c>
      <c r="F20" s="70">
        <f>prod_data!AS20/prod_data!$AS$68</f>
        <v>1.3859272437121361E-4</v>
      </c>
      <c r="G20" s="71">
        <f>prod_data!AT20/prod_data!$AT$68</f>
        <v>0</v>
      </c>
      <c r="H20" s="71">
        <f>prod_data!BA20/prod_data!$BA$68</f>
        <v>0</v>
      </c>
      <c r="I20" s="71">
        <f>prod_data!AV20/prod_data!$AV$68</f>
        <v>0</v>
      </c>
      <c r="J20" s="71">
        <f>prod_data!AU20/prod_data!$AU$68</f>
        <v>0</v>
      </c>
    </row>
    <row r="21" spans="1:10" x14ac:dyDescent="0.25">
      <c r="A21" t="str">
        <f>prod_data!C21</f>
        <v>Hemlo (Williams)</v>
      </c>
      <c r="B21">
        <f>prod_data!D21</f>
        <v>0</v>
      </c>
      <c r="C21" t="str">
        <f>prod_data!U21</f>
        <v>Gold</v>
      </c>
      <c r="D21" t="str">
        <f>prod_data!X21</f>
        <v>Au-Ag doré</v>
      </c>
      <c r="E21" s="71">
        <f>prod_data!Z21/prod_data!$Z$68</f>
        <v>2.0778744551931554E-2</v>
      </c>
      <c r="F21" s="70">
        <f>prod_data!AS21/prod_data!$AS$68</f>
        <v>0</v>
      </c>
      <c r="G21" s="71">
        <f>prod_data!AT21/prod_data!$AT$68</f>
        <v>0</v>
      </c>
      <c r="H21" s="71">
        <f>prod_data!BA21/prod_data!$BA$68</f>
        <v>0</v>
      </c>
      <c r="I21" s="71">
        <f>prod_data!AV21/prod_data!$AV$68</f>
        <v>0</v>
      </c>
      <c r="J21" s="71">
        <f>prod_data!AU21/prod_data!$AU$68</f>
        <v>0</v>
      </c>
    </row>
    <row r="22" spans="1:10" x14ac:dyDescent="0.25">
      <c r="A22" t="str">
        <f>prod_data!C22</f>
        <v>Highland Valley</v>
      </c>
      <c r="B22">
        <f>prod_data!D22</f>
        <v>0</v>
      </c>
      <c r="C22" t="str">
        <f>prod_data!U22</f>
        <v>Copper, silver, molybdenum</v>
      </c>
      <c r="D22" t="str">
        <f>prod_data!X22</f>
        <v>Cu and Mo conc.</v>
      </c>
      <c r="E22" s="71">
        <f>prod_data!Z22/prod_data!$Z$68</f>
        <v>0</v>
      </c>
      <c r="F22" s="70">
        <f>prod_data!AS22/prod_data!$AS$68</f>
        <v>0.36355209045823617</v>
      </c>
      <c r="G22" s="71">
        <f>prod_data!AT22/prod_data!$AT$68</f>
        <v>0</v>
      </c>
      <c r="H22" s="71">
        <f>prod_data!BA22/prod_data!$BA$68</f>
        <v>0</v>
      </c>
      <c r="I22" s="71">
        <f>prod_data!AV22/prod_data!$AV$68</f>
        <v>0</v>
      </c>
      <c r="J22" s="71">
        <f>prod_data!AU22/prod_data!$AU$68</f>
        <v>0.6227435992779895</v>
      </c>
    </row>
    <row r="23" spans="1:10" x14ac:dyDescent="0.25">
      <c r="A23" t="str">
        <f>prod_data!C23</f>
        <v>Horne</v>
      </c>
      <c r="B23" t="str">
        <f>prod_data!D23</f>
        <v>CCR</v>
      </c>
      <c r="C23" t="str">
        <f>prod_data!U23</f>
        <v>Copper anodes, precious metals, sulfuric acid</v>
      </c>
      <c r="D23">
        <f>prod_data!X23</f>
        <v>0</v>
      </c>
      <c r="E23" s="71">
        <f>prod_data!Z23/prod_data!$Z$68</f>
        <v>0</v>
      </c>
      <c r="F23" s="70">
        <f>prod_data!AS23/prod_data!$AS$68</f>
        <v>0</v>
      </c>
      <c r="G23" s="71">
        <f>prod_data!AT23/prod_data!$AT$68</f>
        <v>0</v>
      </c>
      <c r="H23" s="71">
        <f>prod_data!BA23/prod_data!$BA$68</f>
        <v>0</v>
      </c>
      <c r="I23" s="71">
        <f>prod_data!AV23/prod_data!$AV$68</f>
        <v>0</v>
      </c>
      <c r="J23" s="71">
        <f>prod_data!AU23/prod_data!$AU$68</f>
        <v>0</v>
      </c>
    </row>
    <row r="24" spans="1:10" x14ac:dyDescent="0.25">
      <c r="A24" t="str">
        <f>prod_data!C24</f>
        <v>Island</v>
      </c>
      <c r="B24">
        <f>prod_data!D24</f>
        <v>0</v>
      </c>
      <c r="C24" t="str">
        <f>prod_data!U24</f>
        <v>Gold</v>
      </c>
      <c r="D24" t="str">
        <f>prod_data!X24</f>
        <v>Au-Ag doré</v>
      </c>
      <c r="E24" s="71">
        <f>prod_data!Z24/prod_data!$Z$68</f>
        <v>1.9357843483454262E-2</v>
      </c>
      <c r="F24" s="70">
        <f>prod_data!AS24/prod_data!$AS$68</f>
        <v>0</v>
      </c>
      <c r="G24" s="71">
        <f>prod_data!AT24/prod_data!$AT$68</f>
        <v>0</v>
      </c>
      <c r="H24" s="71">
        <f>prod_data!BA24/prod_data!$BA$68</f>
        <v>0</v>
      </c>
      <c r="I24" s="71">
        <f>prod_data!AV24/prod_data!$AV$68</f>
        <v>0</v>
      </c>
      <c r="J24" s="71">
        <f>prod_data!AU24/prod_data!$AU$68</f>
        <v>0</v>
      </c>
    </row>
    <row r="25" spans="1:10" x14ac:dyDescent="0.25">
      <c r="A25" t="str">
        <f>prod_data!C25</f>
        <v>Keno Hill Silver District</v>
      </c>
      <c r="B25" t="str">
        <f>prod_data!D25</f>
        <v>Key Lake + McArthur River</v>
      </c>
      <c r="C25" t="str">
        <f>prod_data!U25</f>
        <v>Silver, zinc, lead</v>
      </c>
      <c r="D25" t="str">
        <f>prod_data!X25</f>
        <v>Pb and Zn conc.</v>
      </c>
      <c r="E25" s="71">
        <f>prod_data!Z25/prod_data!$Z$68</f>
        <v>0</v>
      </c>
      <c r="F25" s="70">
        <f>prod_data!AS25/prod_data!$AS$68</f>
        <v>0</v>
      </c>
      <c r="G25" s="71">
        <f>prod_data!AT25/prod_data!$AT$68</f>
        <v>0</v>
      </c>
      <c r="H25" s="71">
        <f>prod_data!BA25/prod_data!$BA$68</f>
        <v>0</v>
      </c>
      <c r="I25" s="71">
        <f>prod_data!AV25/prod_data!$AV$68</f>
        <v>1.6273019505904079E-2</v>
      </c>
      <c r="J25" s="71">
        <f>prod_data!AU25/prod_data!$AU$68</f>
        <v>0</v>
      </c>
    </row>
    <row r="26" spans="1:10" x14ac:dyDescent="0.25">
      <c r="A26" t="str">
        <f>prod_data!C26</f>
        <v>Kidd Creek</v>
      </c>
      <c r="B26">
        <f>prod_data!D26</f>
        <v>0</v>
      </c>
      <c r="C26" t="str">
        <f>prod_data!U26</f>
        <v>Copper, zinc, silver, selenium, indium</v>
      </c>
      <c r="D26" t="str">
        <f>prod_data!X26</f>
        <v>Cu and Zn conc.</v>
      </c>
      <c r="E26" s="71">
        <f>prod_data!Z26/prod_data!$Z$68</f>
        <v>0</v>
      </c>
      <c r="F26" s="70">
        <f>prod_data!AS26/prod_data!$AS$68</f>
        <v>8.023708246441541E-2</v>
      </c>
      <c r="G26" s="71">
        <f>prod_data!AT26/prod_data!$AT$68</f>
        <v>0</v>
      </c>
      <c r="H26" s="71">
        <f>prod_data!BA26/prod_data!$BA$68</f>
        <v>0</v>
      </c>
      <c r="I26" s="71">
        <f>prod_data!AV26/prod_data!$AV$68</f>
        <v>0.46911019636138718</v>
      </c>
      <c r="J26" s="71">
        <f>prod_data!AU26/prod_data!$AU$68</f>
        <v>0</v>
      </c>
    </row>
    <row r="27" spans="1:10" x14ac:dyDescent="0.25">
      <c r="A27" t="str">
        <f>prod_data!C27</f>
        <v>Kiena</v>
      </c>
      <c r="B27">
        <f>prod_data!D27</f>
        <v>0</v>
      </c>
      <c r="C27" t="str">
        <f>prod_data!U27</f>
        <v>Gold, silver</v>
      </c>
      <c r="D27" t="str">
        <f>prod_data!X27</f>
        <v>Au-Ag doré</v>
      </c>
      <c r="E27" s="71">
        <f>prod_data!Z27/prod_data!$Z$68</f>
        <v>5.6637160785494587E-3</v>
      </c>
      <c r="F27" s="70">
        <f>prod_data!AS27/prod_data!$AS$68</f>
        <v>0</v>
      </c>
      <c r="G27" s="71">
        <f>prod_data!AT27/prod_data!$AT$68</f>
        <v>0</v>
      </c>
      <c r="H27" s="71">
        <f>prod_data!BA27/prod_data!$BA$68</f>
        <v>0</v>
      </c>
      <c r="I27" s="71">
        <f>prod_data!AV27/prod_data!$AV$68</f>
        <v>0</v>
      </c>
      <c r="J27" s="71">
        <f>prod_data!AU27/prod_data!$AU$68</f>
        <v>0</v>
      </c>
    </row>
    <row r="28" spans="1:10" x14ac:dyDescent="0.25">
      <c r="A28" t="str">
        <f>prod_data!C28</f>
        <v>Lac des Iles</v>
      </c>
      <c r="B28">
        <f>prod_data!D28</f>
        <v>0</v>
      </c>
      <c r="C28" t="str">
        <f>prod_data!U28</f>
        <v>Platinum group metals, gold, nickel, copper, cobalt</v>
      </c>
      <c r="D28" t="str">
        <f>prod_data!X28</f>
        <v>PGM bulk conc.</v>
      </c>
      <c r="E28" s="71">
        <f>prod_data!Z28/prod_data!$Z$68</f>
        <v>0</v>
      </c>
      <c r="F28" s="70">
        <f>prod_data!AS28/prod_data!$AS$68</f>
        <v>0</v>
      </c>
      <c r="G28" s="71">
        <f>prod_data!AT28/prod_data!$AT$68</f>
        <v>0</v>
      </c>
      <c r="H28" s="71">
        <f>prod_data!BA28/prod_data!$BA$68</f>
        <v>0</v>
      </c>
      <c r="I28" s="71">
        <f>prod_data!AV28/prod_data!$AV$68</f>
        <v>0</v>
      </c>
      <c r="J28" s="71">
        <f>prod_data!AU28/prod_data!$AU$68</f>
        <v>0</v>
      </c>
    </row>
    <row r="29" spans="1:10" x14ac:dyDescent="0.25">
      <c r="A29" t="str">
        <f>prod_data!C29</f>
        <v>Lamaque</v>
      </c>
      <c r="B29">
        <f>prod_data!D29</f>
        <v>0</v>
      </c>
      <c r="C29" t="str">
        <f>prod_data!U29</f>
        <v>Gold, silver</v>
      </c>
      <c r="D29" t="str">
        <f>prod_data!X29</f>
        <v>Au-Ag doré</v>
      </c>
      <c r="E29" s="71">
        <f>prod_data!Z29/prod_data!$Z$68</f>
        <v>3.6821888808766925E-2</v>
      </c>
      <c r="F29" s="70">
        <f>prod_data!AS29/prod_data!$AS$68</f>
        <v>0</v>
      </c>
      <c r="G29" s="71">
        <f>prod_data!AT29/prod_data!$AT$68</f>
        <v>0</v>
      </c>
      <c r="H29" s="71">
        <f>prod_data!BA29/prod_data!$BA$68</f>
        <v>0</v>
      </c>
      <c r="I29" s="71">
        <f>prod_data!AV29/prod_data!$AV$68</f>
        <v>0</v>
      </c>
      <c r="J29" s="71">
        <f>prod_data!AU29/prod_data!$AU$68</f>
        <v>0</v>
      </c>
    </row>
    <row r="30" spans="1:10" x14ac:dyDescent="0.25">
      <c r="A30" t="str">
        <f>prod_data!C30</f>
        <v>LaRonde</v>
      </c>
      <c r="B30">
        <f>prod_data!D30</f>
        <v>0</v>
      </c>
      <c r="C30" t="str">
        <f>prod_data!U30</f>
        <v>Gold, zinc, copper, silver, cadmium</v>
      </c>
      <c r="D30" t="str">
        <f>prod_data!X30</f>
        <v>Au-Ag doré, Cu and Zn conc.</v>
      </c>
      <c r="E30" s="71">
        <f>prod_data!Z30/prod_data!$Z$68</f>
        <v>4.5502275823470786E-2</v>
      </c>
      <c r="F30" s="70">
        <f>prod_data!AS30/prod_data!$AS$68</f>
        <v>9.1525672211889494E-3</v>
      </c>
      <c r="G30" s="71">
        <f>prod_data!AT30/prod_data!$AT$68</f>
        <v>0</v>
      </c>
      <c r="H30" s="71">
        <f>prod_data!BA30/prod_data!$BA$68</f>
        <v>0</v>
      </c>
      <c r="I30" s="71">
        <f>prod_data!AV30/prod_data!$AV$68</f>
        <v>9.3608612569206773E-2</v>
      </c>
      <c r="J30" s="71">
        <f>prod_data!AU30/prod_data!$AU$68</f>
        <v>0</v>
      </c>
    </row>
    <row r="31" spans="1:10" x14ac:dyDescent="0.25">
      <c r="A31" t="str">
        <f>prod_data!C31</f>
        <v>Long Harbour</v>
      </c>
      <c r="B31">
        <f>prod_data!D31</f>
        <v>0</v>
      </c>
      <c r="C31" t="str">
        <f>prod_data!U31</f>
        <v>Nickel</v>
      </c>
      <c r="D31" t="str">
        <f>prod_data!X31</f>
        <v>Refined Ni</v>
      </c>
      <c r="E31" s="71">
        <f>prod_data!Z31/prod_data!$Z$68</f>
        <v>0</v>
      </c>
      <c r="F31" s="70">
        <f>prod_data!AS31/prod_data!$AS$68</f>
        <v>0</v>
      </c>
      <c r="G31" s="71">
        <f>prod_data!AT31/prod_data!$AT$68</f>
        <v>0</v>
      </c>
      <c r="H31" s="71">
        <f>prod_data!BA31/prod_data!$BA$68</f>
        <v>0</v>
      </c>
      <c r="I31" s="71">
        <f>prod_data!AV31/prod_data!$AV$68</f>
        <v>0</v>
      </c>
      <c r="J31" s="71">
        <f>prod_data!AU31/prod_data!$AU$68</f>
        <v>0</v>
      </c>
    </row>
    <row r="32" spans="1:10" x14ac:dyDescent="0.25">
      <c r="A32" t="str">
        <f>prod_data!C32</f>
        <v>Macassa</v>
      </c>
      <c r="B32">
        <f>prod_data!D32</f>
        <v>0</v>
      </c>
      <c r="C32" t="str">
        <f>prod_data!U32</f>
        <v>Gold, silver</v>
      </c>
      <c r="D32" t="str">
        <f>prod_data!X32</f>
        <v>Au-Ag doré</v>
      </c>
      <c r="E32" s="71">
        <f>prod_data!Z32/prod_data!$Z$68</f>
        <v>3.3667768344682034E-2</v>
      </c>
      <c r="F32" s="70">
        <f>prod_data!AS32/prod_data!$AS$68</f>
        <v>0</v>
      </c>
      <c r="G32" s="71">
        <f>prod_data!AT32/prod_data!$AT$68</f>
        <v>0</v>
      </c>
      <c r="H32" s="71">
        <f>prod_data!BA32/prod_data!$BA$68</f>
        <v>0</v>
      </c>
      <c r="I32" s="71">
        <f>prod_data!AV32/prod_data!$AV$68</f>
        <v>0</v>
      </c>
      <c r="J32" s="71">
        <f>prod_data!AU32/prod_data!$AU$68</f>
        <v>0</v>
      </c>
    </row>
    <row r="33" spans="1:10" x14ac:dyDescent="0.25">
      <c r="A33" t="str">
        <f>prod_data!C33</f>
        <v>Magino</v>
      </c>
      <c r="B33">
        <f>prod_data!D33</f>
        <v>0</v>
      </c>
      <c r="C33" t="str">
        <f>prod_data!U33</f>
        <v>Gold, silver</v>
      </c>
      <c r="D33" t="str">
        <f>prod_data!X33</f>
        <v>Au-Ag doré</v>
      </c>
      <c r="E33" s="71">
        <f>prod_data!Z33/prod_data!$Z$68</f>
        <v>4.8615588657076906E-3</v>
      </c>
      <c r="F33" s="70">
        <f>prod_data!AS33/prod_data!$AS$68</f>
        <v>0</v>
      </c>
      <c r="G33" s="71">
        <f>prod_data!AT33/prod_data!$AT$68</f>
        <v>0</v>
      </c>
      <c r="H33" s="71">
        <f>prod_data!BA33/prod_data!$BA$68</f>
        <v>0</v>
      </c>
      <c r="I33" s="71">
        <f>prod_data!AV33/prod_data!$AV$68</f>
        <v>0</v>
      </c>
      <c r="J33" s="71">
        <f>prod_data!AU33/prod_data!$AU$68</f>
        <v>0</v>
      </c>
    </row>
    <row r="34" spans="1:10" x14ac:dyDescent="0.25">
      <c r="A34" t="str">
        <f>prod_data!C34</f>
        <v>Mary River</v>
      </c>
      <c r="B34">
        <f>prod_data!D34</f>
        <v>0</v>
      </c>
      <c r="C34" t="str">
        <f>prod_data!U34</f>
        <v>Iron ore</v>
      </c>
      <c r="D34" t="str">
        <f>prod_data!X34</f>
        <v>DSO</v>
      </c>
      <c r="E34" s="71">
        <f>prod_data!Z34/prod_data!$Z$68</f>
        <v>0</v>
      </c>
      <c r="F34" s="70">
        <f>prod_data!AS34/prod_data!$AS$68</f>
        <v>0</v>
      </c>
      <c r="G34" s="71">
        <f>prod_data!AT34/prod_data!$AT$68</f>
        <v>0</v>
      </c>
      <c r="H34" s="71">
        <f>prod_data!BA34/prod_data!$BA$68</f>
        <v>0</v>
      </c>
      <c r="I34" s="71">
        <f>prod_data!AV34/prod_data!$AV$68</f>
        <v>0</v>
      </c>
      <c r="J34" s="71">
        <f>prod_data!AU34/prod_data!$AU$68</f>
        <v>0</v>
      </c>
    </row>
    <row r="35" spans="1:10" x14ac:dyDescent="0.25">
      <c r="A35" t="str">
        <f>prod_data!C35</f>
        <v>McCreedy West</v>
      </c>
      <c r="B35">
        <f>prod_data!D35</f>
        <v>0</v>
      </c>
      <c r="C35" t="str">
        <f>prod_data!U35</f>
        <v>Copper, nickel, platinum group metals, gold, silver, cobalt</v>
      </c>
      <c r="D35" t="str">
        <f>prod_data!X35</f>
        <v>Cu-PGM conc. and Ni-Cu conc.</v>
      </c>
      <c r="E35" s="71">
        <f>prod_data!Z35/prod_data!$Z$68</f>
        <v>0</v>
      </c>
      <c r="F35" s="70">
        <f>prod_data!AS35/prod_data!$AS$68</f>
        <v>0</v>
      </c>
      <c r="G35" s="71">
        <f>prod_data!AT35/prod_data!$AT$68</f>
        <v>0</v>
      </c>
      <c r="H35" s="71">
        <f>prod_data!BA35/prod_data!$BA$68</f>
        <v>0</v>
      </c>
      <c r="I35" s="71">
        <f>prod_data!AV35/prod_data!$AV$68</f>
        <v>0</v>
      </c>
      <c r="J35" s="71">
        <f>prod_data!AU35/prod_data!$AU$68</f>
        <v>0</v>
      </c>
    </row>
    <row r="36" spans="1:10" x14ac:dyDescent="0.25">
      <c r="A36" t="str">
        <f>prod_data!C36</f>
        <v>Meliadine</v>
      </c>
      <c r="B36">
        <f>prod_data!D36</f>
        <v>0</v>
      </c>
      <c r="C36" t="str">
        <f>prod_data!U36</f>
        <v>Gold</v>
      </c>
      <c r="D36" t="str">
        <f>prod_data!X36</f>
        <v>Au-Ag doré</v>
      </c>
      <c r="E36" s="71">
        <f>prod_data!Z36/prod_data!$Z$68</f>
        <v>5.762287867550777E-2</v>
      </c>
      <c r="F36" s="70">
        <f>prod_data!AS36/prod_data!$AS$68</f>
        <v>0</v>
      </c>
      <c r="G36" s="71">
        <f>prod_data!AT36/prod_data!$AT$68</f>
        <v>0</v>
      </c>
      <c r="H36" s="71">
        <f>prod_data!BA36/prod_data!$BA$68</f>
        <v>0</v>
      </c>
      <c r="I36" s="71">
        <f>prod_data!AV36/prod_data!$AV$68</f>
        <v>0</v>
      </c>
      <c r="J36" s="71">
        <f>prod_data!AU36/prod_data!$AU$68</f>
        <v>0</v>
      </c>
    </row>
    <row r="37" spans="1:10" x14ac:dyDescent="0.25">
      <c r="A37" t="str">
        <f>prod_data!C37</f>
        <v>Mount Milligan</v>
      </c>
      <c r="B37">
        <f>prod_data!D37</f>
        <v>0</v>
      </c>
      <c r="C37" t="str">
        <f>prod_data!U37</f>
        <v>Copper, gold, silver</v>
      </c>
      <c r="D37" t="str">
        <f>prod_data!X37</f>
        <v>Cu conc.</v>
      </c>
      <c r="E37" s="71">
        <f>prod_data!Z37/prod_data!$Z$68</f>
        <v>0</v>
      </c>
      <c r="F37" s="70">
        <f>prod_data!AS37/prod_data!$AS$68</f>
        <v>9.9622178050817495E-2</v>
      </c>
      <c r="G37" s="71">
        <f>prod_data!AT37/prod_data!$AT$68</f>
        <v>0</v>
      </c>
      <c r="H37" s="71">
        <f>prod_data!BA37/prod_data!$BA$68</f>
        <v>0</v>
      </c>
      <c r="I37" s="71">
        <f>prod_data!AV37/prod_data!$AV$68</f>
        <v>0</v>
      </c>
      <c r="J37" s="71">
        <f>prod_data!AU37/prod_data!$AU$68</f>
        <v>0</v>
      </c>
    </row>
    <row r="38" spans="1:10" x14ac:dyDescent="0.25">
      <c r="A38" t="str">
        <f>prod_data!C38</f>
        <v>Mount Polley</v>
      </c>
      <c r="B38">
        <f>prod_data!D38</f>
        <v>0</v>
      </c>
      <c r="C38" t="str">
        <f>prod_data!U38</f>
        <v>Gold, copper, silver</v>
      </c>
      <c r="D38" t="str">
        <f>prod_data!X38</f>
        <v>Cu conc.</v>
      </c>
      <c r="E38" s="71">
        <f>prod_data!Z38/prod_data!$Z$68</f>
        <v>0</v>
      </c>
      <c r="F38" s="70">
        <f>prod_data!AS38/prod_data!$AS$68</f>
        <v>4.8545319539327753E-2</v>
      </c>
      <c r="G38" s="71">
        <f>prod_data!AT38/prod_data!$AT$68</f>
        <v>0</v>
      </c>
      <c r="H38" s="71">
        <f>prod_data!BA38/prod_data!$BA$68</f>
        <v>0</v>
      </c>
      <c r="I38" s="71">
        <f>prod_data!AV38/prod_data!$AV$68</f>
        <v>0</v>
      </c>
      <c r="J38" s="71">
        <f>prod_data!AU38/prod_data!$AU$68</f>
        <v>0</v>
      </c>
    </row>
    <row r="39" spans="1:10" x14ac:dyDescent="0.25">
      <c r="A39" t="str">
        <f>prod_data!C39</f>
        <v>Musselwhite</v>
      </c>
      <c r="B39">
        <f>prod_data!D39</f>
        <v>0</v>
      </c>
      <c r="C39" t="str">
        <f>prod_data!U39</f>
        <v>Gold, silver</v>
      </c>
      <c r="D39" t="str">
        <f>prod_data!X39</f>
        <v>Au-Ag doré</v>
      </c>
      <c r="E39" s="71">
        <f>prod_data!Z39/prod_data!$Z$68</f>
        <v>2.6517593812951039E-2</v>
      </c>
      <c r="F39" s="70">
        <f>prod_data!AS39/prod_data!$AS$68</f>
        <v>0</v>
      </c>
      <c r="G39" s="71">
        <f>prod_data!AT39/prod_data!$AT$68</f>
        <v>0</v>
      </c>
      <c r="H39" s="71">
        <f>prod_data!BA39/prod_data!$BA$68</f>
        <v>0</v>
      </c>
      <c r="I39" s="71">
        <f>prod_data!AV39/prod_data!$AV$68</f>
        <v>0</v>
      </c>
      <c r="J39" s="71">
        <f>prod_data!AU39/prod_data!$AU$68</f>
        <v>0</v>
      </c>
    </row>
    <row r="40" spans="1:10" x14ac:dyDescent="0.25">
      <c r="A40" t="str">
        <f>prod_data!C40</f>
        <v>New Afton</v>
      </c>
      <c r="B40">
        <f>prod_data!D40</f>
        <v>0</v>
      </c>
      <c r="C40" t="str">
        <f>prod_data!U40</f>
        <v>Gold, copper, silver</v>
      </c>
      <c r="D40" t="str">
        <f>prod_data!X40</f>
        <v>Cu conc.</v>
      </c>
      <c r="E40" s="71">
        <f>prod_data!Z40/prod_data!$Z$68</f>
        <v>0</v>
      </c>
      <c r="F40" s="70">
        <f>prod_data!AS40/prod_data!$AS$68</f>
        <v>7.6332663664426453E-2</v>
      </c>
      <c r="G40" s="71">
        <f>prod_data!AT40/prod_data!$AT$68</f>
        <v>0</v>
      </c>
      <c r="H40" s="71">
        <f>prod_data!BA40/prod_data!$BA$68</f>
        <v>0</v>
      </c>
      <c r="I40" s="71">
        <f>prod_data!AV40/prod_data!$AV$68</f>
        <v>0</v>
      </c>
      <c r="J40" s="71">
        <f>prod_data!AU40/prod_data!$AU$68</f>
        <v>0</v>
      </c>
    </row>
    <row r="41" spans="1:10" x14ac:dyDescent="0.25">
      <c r="A41" t="str">
        <f>prod_data!C41</f>
        <v>Nickel Rim South</v>
      </c>
      <c r="B41" t="str">
        <f>prod_data!D41</f>
        <v>Integrated Nickel Operations</v>
      </c>
      <c r="C41" t="str">
        <f>prod_data!U41</f>
        <v>Nickel, copper, cobalt, platinum group metals, gold</v>
      </c>
      <c r="D41" t="str">
        <f>prod_data!X41</f>
        <v>Ni-Cu bulk conc.</v>
      </c>
      <c r="E41" s="71">
        <f>prod_data!Z41/prod_data!$Z$68</f>
        <v>0</v>
      </c>
      <c r="F41" s="70">
        <f>prod_data!AS41/prod_data!$AS$68</f>
        <v>0</v>
      </c>
      <c r="G41" s="71">
        <f>prod_data!AT41/prod_data!$AT$68</f>
        <v>0</v>
      </c>
      <c r="H41" s="71">
        <f>prod_data!BA41/prod_data!$BA$68</f>
        <v>0</v>
      </c>
      <c r="I41" s="71">
        <f>prod_data!AV41/prod_data!$AV$68</f>
        <v>0</v>
      </c>
      <c r="J41" s="71">
        <f>prod_data!AU41/prod_data!$AU$68</f>
        <v>0</v>
      </c>
    </row>
    <row r="42" spans="1:10" x14ac:dyDescent="0.25">
      <c r="A42" t="str">
        <f>prod_data!C42</f>
        <v>Niobec</v>
      </c>
      <c r="B42">
        <f>prod_data!D42</f>
        <v>0</v>
      </c>
      <c r="C42" t="str">
        <f>prod_data!U42</f>
        <v>Niobium</v>
      </c>
      <c r="D42" t="str">
        <f>prod_data!X42</f>
        <v>Nb conc.</v>
      </c>
      <c r="E42" s="71">
        <f>prod_data!Z42/prod_data!$Z$68</f>
        <v>0</v>
      </c>
      <c r="F42" s="70">
        <f>prod_data!AS42/prod_data!$AS$68</f>
        <v>0</v>
      </c>
      <c r="G42" s="71">
        <f>prod_data!AT42/prod_data!$AT$68</f>
        <v>0</v>
      </c>
      <c r="H42" s="71">
        <f>prod_data!BA42/prod_data!$BA$68</f>
        <v>0</v>
      </c>
      <c r="I42" s="71">
        <f>prod_data!AV42/prod_data!$AV$68</f>
        <v>0</v>
      </c>
      <c r="J42" s="71">
        <f>prod_data!AU42/prod_data!$AU$68</f>
        <v>0</v>
      </c>
    </row>
    <row r="43" spans="1:10" x14ac:dyDescent="0.25">
      <c r="A43" t="str">
        <f>prod_data!C43</f>
        <v>Niobec Converter</v>
      </c>
      <c r="B43">
        <f>prod_data!D43</f>
        <v>0</v>
      </c>
      <c r="C43" t="str">
        <f>prod_data!U43</f>
        <v>Ferroniobium</v>
      </c>
      <c r="D43">
        <f>prod_data!X43</f>
        <v>0</v>
      </c>
      <c r="E43" s="71">
        <f>prod_data!Z43/prod_data!$Z$68</f>
        <v>0</v>
      </c>
      <c r="F43" s="70">
        <f>prod_data!AS43/prod_data!$AS$68</f>
        <v>0</v>
      </c>
      <c r="G43" s="71">
        <f>prod_data!AT43/prod_data!$AT$68</f>
        <v>0</v>
      </c>
      <c r="H43" s="71">
        <f>prod_data!BA43/prod_data!$BA$68</f>
        <v>0</v>
      </c>
      <c r="I43" s="71">
        <f>prod_data!AV43/prod_data!$AV$68</f>
        <v>0</v>
      </c>
      <c r="J43" s="71">
        <f>prod_data!AU43/prod_data!$AU$68</f>
        <v>0</v>
      </c>
    </row>
    <row r="44" spans="1:10" x14ac:dyDescent="0.25">
      <c r="A44" t="str">
        <f>prod_data!C44</f>
        <v>Nunavik Nickel</v>
      </c>
      <c r="B44">
        <f>prod_data!D44</f>
        <v>0</v>
      </c>
      <c r="C44" t="str">
        <f>prod_data!U44</f>
        <v>Nickel, copper, platinum group metals, cobalt</v>
      </c>
      <c r="D44" t="str">
        <f>prod_data!X44</f>
        <v>Ni-Cu bulk conc.</v>
      </c>
      <c r="E44" s="71">
        <f>prod_data!Z44/prod_data!$Z$68</f>
        <v>0</v>
      </c>
      <c r="F44" s="70">
        <f>prod_data!AS44/prod_data!$AS$68</f>
        <v>0</v>
      </c>
      <c r="G44" s="71">
        <f>prod_data!AT44/prod_data!$AT$68</f>
        <v>0.39893708329614042</v>
      </c>
      <c r="H44" s="71">
        <f>prod_data!BA44/prod_data!$BA$68</f>
        <v>0</v>
      </c>
      <c r="I44" s="71">
        <f>prod_data!AV44/prod_data!$AV$68</f>
        <v>0</v>
      </c>
      <c r="J44" s="71">
        <f>prod_data!AU44/prod_data!$AU$68</f>
        <v>0</v>
      </c>
    </row>
    <row r="45" spans="1:10" x14ac:dyDescent="0.25">
      <c r="A45" t="str">
        <f>prod_data!C45</f>
        <v>Raglan</v>
      </c>
      <c r="B45">
        <f>prod_data!D45</f>
        <v>0</v>
      </c>
      <c r="C45" t="str">
        <f>prod_data!U45</f>
        <v>Nickel, platinum group metals, copper, cobalt, gold, silver</v>
      </c>
      <c r="D45" t="str">
        <f>prod_data!X45</f>
        <v>Ni-Cu bulk conc.</v>
      </c>
      <c r="E45" s="71">
        <f>prod_data!Z45/prod_data!$Z$68</f>
        <v>0</v>
      </c>
      <c r="F45" s="70">
        <f>prod_data!AS45/prod_data!$AS$68</f>
        <v>0</v>
      </c>
      <c r="G45" s="71">
        <f>prod_data!AT45/prod_data!$AT$68</f>
        <v>0.16638628919848664</v>
      </c>
      <c r="H45" s="71">
        <f>prod_data!BA45/prod_data!$BA$68</f>
        <v>0</v>
      </c>
      <c r="I45" s="71">
        <f>prod_data!AV45/prod_data!$AV$68</f>
        <v>0</v>
      </c>
      <c r="J45" s="71">
        <f>prod_data!AU45/prod_data!$AU$68</f>
        <v>0</v>
      </c>
    </row>
    <row r="46" spans="1:10" x14ac:dyDescent="0.25">
      <c r="A46" t="str">
        <f>prod_data!C46</f>
        <v>Rainy River</v>
      </c>
      <c r="B46">
        <f>prod_data!D46</f>
        <v>0</v>
      </c>
      <c r="C46" t="str">
        <f>prod_data!U46</f>
        <v>Gold, silver</v>
      </c>
      <c r="D46" t="str">
        <f>prod_data!X46</f>
        <v>Au-Ag doré</v>
      </c>
      <c r="E46" s="71">
        <f>prod_data!Z46/prod_data!$Z$68</f>
        <v>3.7381704678151405E-2</v>
      </c>
      <c r="F46" s="70">
        <f>prod_data!AS46/prod_data!$AS$68</f>
        <v>0</v>
      </c>
      <c r="G46" s="71">
        <f>prod_data!AT46/prod_data!$AT$68</f>
        <v>0</v>
      </c>
      <c r="H46" s="71">
        <f>prod_data!BA46/prod_data!$BA$68</f>
        <v>0</v>
      </c>
      <c r="I46" s="71">
        <f>prod_data!AV46/prod_data!$AV$68</f>
        <v>0</v>
      </c>
      <c r="J46" s="71">
        <f>prod_data!AU46/prod_data!$AU$68</f>
        <v>0</v>
      </c>
    </row>
    <row r="47" spans="1:10" x14ac:dyDescent="0.25">
      <c r="A47" t="str">
        <f>prod_data!C47</f>
        <v>Red Chris</v>
      </c>
      <c r="B47">
        <f>prod_data!D47</f>
        <v>0</v>
      </c>
      <c r="C47" t="str">
        <f>prod_data!U47</f>
        <v>Gold, copper, silver</v>
      </c>
      <c r="D47" t="str">
        <f>prod_data!X47</f>
        <v>Cu conc.</v>
      </c>
      <c r="E47" s="71">
        <f>prod_data!Z47/prod_data!$Z$68</f>
        <v>7.3659982813752882E-4</v>
      </c>
      <c r="F47" s="70">
        <f>prod_data!AS47/prod_data!$AS$68</f>
        <v>1.420125353352485E-2</v>
      </c>
      <c r="G47" s="71">
        <f>prod_data!AT47/prod_data!$AT$68</f>
        <v>0</v>
      </c>
      <c r="H47" s="71">
        <f>prod_data!BA47/prod_data!$BA$68</f>
        <v>0</v>
      </c>
      <c r="I47" s="71">
        <f>prod_data!AV47/prod_data!$AV$68</f>
        <v>0</v>
      </c>
      <c r="J47" s="71">
        <f>prod_data!AU47/prod_data!$AU$68</f>
        <v>0</v>
      </c>
    </row>
    <row r="48" spans="1:10" x14ac:dyDescent="0.25">
      <c r="A48" t="str">
        <f>prod_data!C48</f>
        <v>Red Lake</v>
      </c>
      <c r="B48">
        <f>prod_data!D48</f>
        <v>0</v>
      </c>
      <c r="C48" t="str">
        <f>prod_data!U48</f>
        <v>Gold, silver</v>
      </c>
      <c r="D48" t="str">
        <f>prod_data!X48</f>
        <v>Au-Ag doré</v>
      </c>
      <c r="E48" s="71">
        <f>prod_data!Z48/prod_data!$Z$68</f>
        <v>1.6602960126219903E-2</v>
      </c>
      <c r="F48" s="70">
        <f>prod_data!AS48/prod_data!$AS$68</f>
        <v>0</v>
      </c>
      <c r="G48" s="71">
        <f>prod_data!AT48/prod_data!$AT$68</f>
        <v>0</v>
      </c>
      <c r="H48" s="71">
        <f>prod_data!BA48/prod_data!$BA$68</f>
        <v>0</v>
      </c>
      <c r="I48" s="71">
        <f>prod_data!AV48/prod_data!$AV$68</f>
        <v>0</v>
      </c>
      <c r="J48" s="71">
        <f>prod_data!AU48/prod_data!$AU$68</f>
        <v>0</v>
      </c>
    </row>
    <row r="49" spans="1:10" x14ac:dyDescent="0.25">
      <c r="A49" t="str">
        <f>prod_data!C49</f>
        <v>Scully</v>
      </c>
      <c r="B49">
        <f>prod_data!D49</f>
        <v>0</v>
      </c>
      <c r="C49" t="str">
        <f>prod_data!U49</f>
        <v>Iron</v>
      </c>
      <c r="D49" t="str">
        <f>prod_data!X49</f>
        <v>Fe conc.</v>
      </c>
      <c r="E49" s="71">
        <f>prod_data!Z49/prod_data!$Z$68</f>
        <v>0</v>
      </c>
      <c r="F49" s="70">
        <f>prod_data!AS49/prod_data!$AS$68</f>
        <v>0</v>
      </c>
      <c r="G49" s="71">
        <f>prod_data!AT49/prod_data!$AT$68</f>
        <v>0</v>
      </c>
      <c r="H49" s="71">
        <f>prod_data!BA49/prod_data!$BA$68</f>
        <v>0</v>
      </c>
      <c r="I49" s="71">
        <f>prod_data!AV49/prod_data!$AV$68</f>
        <v>0</v>
      </c>
      <c r="J49" s="71">
        <f>prod_data!AU49/prod_data!$AU$68</f>
        <v>0</v>
      </c>
    </row>
    <row r="50" spans="1:10" x14ac:dyDescent="0.25">
      <c r="A50" t="str">
        <f>prod_data!C50</f>
        <v>Strathcona</v>
      </c>
      <c r="B50" t="str">
        <f>prod_data!D50</f>
        <v>Integrated Nickel Operations</v>
      </c>
      <c r="C50" t="str">
        <f>prod_data!U50</f>
        <v>Nickel, copper, platinum group metals, gold, silver, cobalt, selenium, tellurium</v>
      </c>
      <c r="D50" t="str">
        <f>prod_data!X50</f>
        <v>Ni-Cu bulk conc.</v>
      </c>
      <c r="E50" s="71">
        <f>prod_data!Z50/prod_data!$Z$68</f>
        <v>0</v>
      </c>
      <c r="F50" s="70">
        <f>prod_data!AS50/prod_data!$AS$68</f>
        <v>0</v>
      </c>
      <c r="G50" s="71">
        <f>prod_data!AT50/prod_data!$AT$68</f>
        <v>5.1703893928053996E-2</v>
      </c>
      <c r="H50" s="71">
        <f>prod_data!BA50/prod_data!$BA$68</f>
        <v>0</v>
      </c>
      <c r="I50" s="71">
        <f>prod_data!AV50/prod_data!$AV$68</f>
        <v>0</v>
      </c>
      <c r="J50" s="71">
        <f>prod_data!AU50/prod_data!$AU$68</f>
        <v>0</v>
      </c>
    </row>
    <row r="51" spans="1:10" x14ac:dyDescent="0.25">
      <c r="A51" t="str">
        <f>prod_data!C51</f>
        <v>Sudbury</v>
      </c>
      <c r="B51" t="str">
        <f>prod_data!D51</f>
        <v>Integrated Nickel Operations</v>
      </c>
      <c r="C51" t="str">
        <f>prod_data!U51</f>
        <v>Nickel-copper matte containing cobalt, gold, silver, platinum group metals</v>
      </c>
      <c r="D51" t="str">
        <f>prod_data!X51</f>
        <v>Refined Ni+Cu</v>
      </c>
      <c r="E51" s="71">
        <f>prod_data!Z51/prod_data!$Z$68</f>
        <v>0</v>
      </c>
      <c r="F51" s="70">
        <f>prod_data!AS51/prod_data!$AS$68</f>
        <v>0</v>
      </c>
      <c r="G51" s="71">
        <f>prod_data!AT51/prod_data!$AT$68</f>
        <v>0</v>
      </c>
      <c r="H51" s="71">
        <f>prod_data!BA51/prod_data!$BA$68</f>
        <v>0</v>
      </c>
      <c r="I51" s="71">
        <f>prod_data!AV51/prod_data!$AV$68</f>
        <v>0</v>
      </c>
      <c r="J51" s="71">
        <f>prod_data!AU51/prod_data!$AU$68</f>
        <v>0</v>
      </c>
    </row>
    <row r="52" spans="1:10" x14ac:dyDescent="0.25">
      <c r="A52" t="str">
        <f>prod_data!C52</f>
        <v>Sugar Zone</v>
      </c>
      <c r="B52">
        <f>prod_data!D52</f>
        <v>0</v>
      </c>
      <c r="C52" t="str">
        <f>prod_data!U52</f>
        <v>Gold</v>
      </c>
      <c r="D52" t="str">
        <f>prod_data!X52</f>
        <v>Au-Ag doré</v>
      </c>
      <c r="E52" s="71">
        <f>prod_data!Z52/prod_data!$Z$68</f>
        <v>5.6952425511937457E-3</v>
      </c>
      <c r="F52" s="70">
        <f>prod_data!AS52/prod_data!$AS$68</f>
        <v>0</v>
      </c>
      <c r="G52" s="71">
        <f>prod_data!AT52/prod_data!$AT$68</f>
        <v>0</v>
      </c>
      <c r="H52" s="71">
        <f>prod_data!BA52/prod_data!$BA$68</f>
        <v>0</v>
      </c>
      <c r="I52" s="71">
        <f>prod_data!AV52/prod_data!$AV$68</f>
        <v>0</v>
      </c>
      <c r="J52" s="71">
        <f>prod_data!AU52/prod_data!$AU$68</f>
        <v>0</v>
      </c>
    </row>
    <row r="53" spans="1:10" x14ac:dyDescent="0.25">
      <c r="A53" t="str">
        <f>prod_data!C53</f>
        <v>The Cobalt Refinery Company Inc.</v>
      </c>
      <c r="B53">
        <f>prod_data!D53</f>
        <v>0</v>
      </c>
      <c r="C53" t="str">
        <f>prod_data!U53</f>
        <v>Nickel, cobalt, copper sulfide, ammonium sulfate</v>
      </c>
      <c r="D53" t="str">
        <f>prod_data!X53</f>
        <v>Refined Co+Ni</v>
      </c>
      <c r="E53" s="71">
        <f>prod_data!Z53/prod_data!$Z$68</f>
        <v>0</v>
      </c>
      <c r="F53" s="70">
        <f>prod_data!AS53/prod_data!$AS$68</f>
        <v>0</v>
      </c>
      <c r="G53" s="71">
        <f>prod_data!AT53/prod_data!$AT$68</f>
        <v>0</v>
      </c>
      <c r="H53" s="71">
        <f>prod_data!BA53/prod_data!$BA$68</f>
        <v>0</v>
      </c>
      <c r="I53" s="71">
        <f>prod_data!AV53/prod_data!$AV$68</f>
        <v>0</v>
      </c>
      <c r="J53" s="71">
        <f>prod_data!AU53/prod_data!$AU$68</f>
        <v>0</v>
      </c>
    </row>
    <row r="54" spans="1:10" x14ac:dyDescent="0.25">
      <c r="A54" t="str">
        <f>prod_data!C54</f>
        <v>Thompson (T-1 and T-3)</v>
      </c>
      <c r="B54">
        <f>prod_data!D54</f>
        <v>0</v>
      </c>
      <c r="C54" t="str">
        <f>prod_data!U54</f>
        <v>Nickel, cobalt, copper, platinum group metals, gold, silver</v>
      </c>
      <c r="D54" t="str">
        <f>prod_data!X54</f>
        <v>Ni-Cu bulk conc.</v>
      </c>
      <c r="E54" s="71">
        <f>prod_data!Z54/prod_data!$Z$68</f>
        <v>0</v>
      </c>
      <c r="F54" s="70">
        <f>prod_data!AS54/prod_data!$AS$68</f>
        <v>0</v>
      </c>
      <c r="G54" s="71">
        <f>prod_data!AT54/prod_data!$AT$68</f>
        <v>5.4244457109113756E-2</v>
      </c>
      <c r="H54" s="71">
        <f>prod_data!BA54/prod_data!$BA$68</f>
        <v>0</v>
      </c>
      <c r="I54" s="71">
        <f>prod_data!AV54/prod_data!$AV$68</f>
        <v>0</v>
      </c>
      <c r="J54" s="71">
        <f>prod_data!AU54/prod_data!$AU$68</f>
        <v>0</v>
      </c>
    </row>
    <row r="55" spans="1:10" x14ac:dyDescent="0.25">
      <c r="A55" t="str">
        <f>prod_data!C55</f>
        <v>Totten</v>
      </c>
      <c r="B55" t="str">
        <f>prod_data!D55</f>
        <v>Sudbury Operation</v>
      </c>
      <c r="C55" t="str">
        <f>prod_data!U55</f>
        <v>Nickel, copper, platinum group metals, gold, silver, cobalt</v>
      </c>
      <c r="D55" t="str">
        <f>prod_data!X55</f>
        <v>Ni-Cu bulk conc.</v>
      </c>
      <c r="E55" s="71">
        <f>prod_data!Z55/prod_data!$Z$68</f>
        <v>0</v>
      </c>
      <c r="F55" s="70">
        <f>prod_data!AS55/prod_data!$AS$68</f>
        <v>0</v>
      </c>
      <c r="G55" s="71">
        <f>prod_data!AT55/prod_data!$AT$68</f>
        <v>4.3491695104952724E-2</v>
      </c>
      <c r="H55" s="71">
        <f>prod_data!BA55/prod_data!$BA$68</f>
        <v>0</v>
      </c>
      <c r="I55" s="71">
        <f>prod_data!AV55/prod_data!$AV$68</f>
        <v>0</v>
      </c>
      <c r="J55" s="71">
        <f>prod_data!AU55/prod_data!$AU$68</f>
        <v>0</v>
      </c>
    </row>
    <row r="56" spans="1:10" x14ac:dyDescent="0.25">
      <c r="A56" t="str">
        <f>prod_data!C56</f>
        <v>Trail</v>
      </c>
      <c r="B56">
        <f>prod_data!D56</f>
        <v>0</v>
      </c>
      <c r="C56" t="str">
        <f>prod_data!U56</f>
        <v>Zinc, lead, bismuth, cadmium, indium, germanium, precious metals, liquid sulfur dioxide, sulfuric acid</v>
      </c>
      <c r="D56">
        <f>prod_data!X56</f>
        <v>0</v>
      </c>
      <c r="E56" s="71">
        <f>prod_data!Z56/prod_data!$Z$68</f>
        <v>0</v>
      </c>
      <c r="F56" s="70">
        <f>prod_data!AS56/prod_data!$AS$68</f>
        <v>0</v>
      </c>
      <c r="G56" s="71">
        <f>prod_data!AT56/prod_data!$AT$68</f>
        <v>0</v>
      </c>
      <c r="H56" s="71">
        <f>prod_data!BA56/prod_data!$BA$68</f>
        <v>0</v>
      </c>
      <c r="I56" s="71">
        <f>prod_data!AV56/prod_data!$AV$68</f>
        <v>0</v>
      </c>
      <c r="J56" s="71">
        <f>prod_data!AU56/prod_data!$AU$68</f>
        <v>0</v>
      </c>
    </row>
    <row r="57" spans="1:10" x14ac:dyDescent="0.25">
      <c r="A57" t="str">
        <f>prod_data!C57</f>
        <v>Voisey’s Bay</v>
      </c>
      <c r="B57">
        <f>prod_data!D57</f>
        <v>0</v>
      </c>
      <c r="C57" t="str">
        <f>prod_data!U57</f>
        <v>Nickel, copper, cobalt</v>
      </c>
      <c r="D57" t="str">
        <f>prod_data!X57</f>
        <v>Ni-Cu bulk conc.</v>
      </c>
      <c r="E57" s="71">
        <f>prod_data!Z57/prod_data!$Z$68</f>
        <v>0</v>
      </c>
      <c r="F57" s="70">
        <f>prod_data!AS57/prod_data!$AS$68</f>
        <v>0</v>
      </c>
      <c r="G57" s="71">
        <f>prod_data!AT57/prod_data!$AT$68</f>
        <v>9.269622417380198E-2</v>
      </c>
      <c r="H57" s="71">
        <f>prod_data!BA57/prod_data!$BA$68</f>
        <v>0</v>
      </c>
      <c r="I57" s="71">
        <f>prod_data!AV57/prod_data!$AV$68</f>
        <v>0</v>
      </c>
      <c r="J57" s="71">
        <f>prod_data!AU57/prod_data!$AU$68</f>
        <v>0</v>
      </c>
    </row>
    <row r="58" spans="1:10" x14ac:dyDescent="0.25">
      <c r="A58" t="str">
        <f>prod_data!C58</f>
        <v>Westwood-Doyon</v>
      </c>
      <c r="B58">
        <f>prod_data!D58</f>
        <v>0</v>
      </c>
      <c r="C58" t="str">
        <f>prod_data!U58</f>
        <v>Gold, silver</v>
      </c>
      <c r="D58" t="str">
        <f>prod_data!X58</f>
        <v>Au-Ag doré</v>
      </c>
      <c r="E58" s="71">
        <f>prod_data!Z58/prod_data!$Z$68</f>
        <v>1.9115354820031384E-2</v>
      </c>
      <c r="F58" s="70">
        <f>prod_data!AS58/prod_data!$AS$68</f>
        <v>0</v>
      </c>
      <c r="G58" s="71">
        <f>prod_data!AT58/prod_data!$AT$68</f>
        <v>0</v>
      </c>
      <c r="H58" s="71">
        <f>prod_data!BA58/prod_data!$BA$68</f>
        <v>0</v>
      </c>
      <c r="I58" s="71">
        <f>prod_data!AV58/prod_data!$AV$68</f>
        <v>0</v>
      </c>
      <c r="J58" s="71">
        <f>prod_data!AU58/prod_data!$AU$68</f>
        <v>0</v>
      </c>
    </row>
    <row r="59" spans="1:10" x14ac:dyDescent="0.25">
      <c r="A59" t="str">
        <f>prod_data!C59</f>
        <v>Young-Davidson</v>
      </c>
      <c r="B59">
        <f>prod_data!D59</f>
        <v>0</v>
      </c>
      <c r="C59" t="str">
        <f>prod_data!U59</f>
        <v>Gold</v>
      </c>
      <c r="D59" t="str">
        <f>prod_data!X59</f>
        <v>Au-Ag doré</v>
      </c>
      <c r="E59" s="71">
        <f>prod_data!Z59/prod_data!$Z$68</f>
        <v>2.7268925637651271E-2</v>
      </c>
      <c r="F59" s="70">
        <f>prod_data!AS59/prod_data!$AS$68</f>
        <v>0</v>
      </c>
      <c r="G59" s="71">
        <f>prod_data!AT59/prod_data!$AT$68</f>
        <v>0</v>
      </c>
      <c r="H59" s="71">
        <f>prod_data!BA59/prod_data!$BA$68</f>
        <v>0</v>
      </c>
      <c r="I59" s="71">
        <f>prod_data!AV59/prod_data!$AV$68</f>
        <v>0</v>
      </c>
      <c r="J59" s="71">
        <f>prod_data!AU59/prod_data!$AU$68</f>
        <v>0</v>
      </c>
    </row>
    <row r="60" spans="1:10" x14ac:dyDescent="0.25">
      <c r="A60">
        <f>prod_data!C60</f>
        <v>0</v>
      </c>
      <c r="B60" t="str">
        <f>prod_data!D60</f>
        <v>Cigar Lake + McClean Lake</v>
      </c>
      <c r="C60" t="str">
        <f>prod_data!U60</f>
        <v>Uranium</v>
      </c>
      <c r="D60" t="str">
        <f>prod_data!X60</f>
        <v>Yellowcake</v>
      </c>
      <c r="E60" s="71">
        <f>prod_data!Z60/prod_data!$Z$68</f>
        <v>0</v>
      </c>
      <c r="F60" s="70">
        <f>prod_data!AS60/prod_data!$AS$68</f>
        <v>0</v>
      </c>
      <c r="G60" s="71">
        <f>prod_data!AT60/prod_data!$AT$68</f>
        <v>0</v>
      </c>
      <c r="H60" s="71">
        <f>prod_data!BA60/prod_data!$BA$68</f>
        <v>0.5714285714285714</v>
      </c>
      <c r="I60" s="71">
        <f>prod_data!AV60/prod_data!$AV$68</f>
        <v>0</v>
      </c>
      <c r="J60" s="71">
        <f>prod_data!AU60/prod_data!$AU$68</f>
        <v>0</v>
      </c>
    </row>
    <row r="61" spans="1:10" x14ac:dyDescent="0.25">
      <c r="A61">
        <f>prod_data!C61</f>
        <v>0</v>
      </c>
      <c r="B61" t="str">
        <f>prod_data!D61</f>
        <v>Key Lake + McArthur River</v>
      </c>
      <c r="C61" t="str">
        <f>prod_data!U61</f>
        <v>Uranium</v>
      </c>
      <c r="D61" t="str">
        <f>prod_data!X61</f>
        <v>Yellowcake</v>
      </c>
      <c r="E61" s="71">
        <f>prod_data!Z61/prod_data!$Z$68</f>
        <v>0</v>
      </c>
      <c r="F61" s="70">
        <f>prod_data!AS61/prod_data!$AS$68</f>
        <v>0</v>
      </c>
      <c r="G61" s="71">
        <f>prod_data!AT61/prod_data!$AT$68</f>
        <v>0</v>
      </c>
      <c r="H61" s="71">
        <f>prod_data!BA61/prod_data!$BA$68</f>
        <v>0.4285714285714286</v>
      </c>
      <c r="I61" s="71">
        <f>prod_data!AV61/prod_data!$AV$68</f>
        <v>0</v>
      </c>
      <c r="J61" s="71">
        <f>prod_data!AU61/prod_data!$AU$68</f>
        <v>0</v>
      </c>
    </row>
    <row r="62" spans="1:10" x14ac:dyDescent="0.25">
      <c r="A62">
        <f>prod_data!C62</f>
        <v>0</v>
      </c>
      <c r="B62" t="str">
        <f>prod_data!D62</f>
        <v>Meadowbank complex</v>
      </c>
      <c r="C62" t="str">
        <f>prod_data!U62</f>
        <v>Gold</v>
      </c>
      <c r="D62" t="str">
        <f>prod_data!X62</f>
        <v>Au-Ag doré</v>
      </c>
      <c r="E62" s="71">
        <f>prod_data!Z62/prod_data!$Z$68</f>
        <v>8.2007961038747329E-2</v>
      </c>
      <c r="F62" s="70">
        <f>prod_data!AS62/prod_data!$AS$68</f>
        <v>0</v>
      </c>
      <c r="G62" s="71">
        <f>prod_data!AT62/prod_data!$AT$68</f>
        <v>0</v>
      </c>
      <c r="H62" s="71">
        <f>prod_data!BA62/prod_data!$BA$68</f>
        <v>0</v>
      </c>
      <c r="I62" s="71">
        <f>prod_data!AV62/prod_data!$AV$68</f>
        <v>0</v>
      </c>
      <c r="J62" s="71">
        <f>prod_data!AU62/prod_data!$AU$68</f>
        <v>0</v>
      </c>
    </row>
    <row r="63" spans="1:10" x14ac:dyDescent="0.25">
      <c r="A63">
        <f>prod_data!C63</f>
        <v>0</v>
      </c>
      <c r="B63" t="str">
        <f>prod_data!D63</f>
        <v>Porcupine complex</v>
      </c>
      <c r="C63" t="str">
        <f>prod_data!U63</f>
        <v>Gold</v>
      </c>
      <c r="D63" t="str">
        <f>prod_data!X63</f>
        <v>Au-Ag doré</v>
      </c>
      <c r="E63" s="71">
        <f>prod_data!Z63/prod_data!$Z$68</f>
        <v>3.8303191063151498E-2</v>
      </c>
      <c r="F63" s="70">
        <f>prod_data!AS63/prod_data!$AS$68</f>
        <v>0</v>
      </c>
      <c r="G63" s="71">
        <f>prod_data!AT63/prod_data!$AT$68</f>
        <v>0</v>
      </c>
      <c r="H63" s="71">
        <f>prod_data!BA63/prod_data!$BA$68</f>
        <v>0</v>
      </c>
      <c r="I63" s="71">
        <f>prod_data!AV63/prod_data!$AV$68</f>
        <v>0</v>
      </c>
      <c r="J63" s="71">
        <f>prod_data!AU63/prod_data!$AU$68</f>
        <v>0</v>
      </c>
    </row>
    <row r="64" spans="1:10" x14ac:dyDescent="0.25">
      <c r="A64">
        <f>prod_data!C64</f>
        <v>0</v>
      </c>
      <c r="B64" t="str">
        <f>prod_data!D64</f>
        <v>Timmins Operation</v>
      </c>
      <c r="C64" t="str">
        <f>prod_data!U64</f>
        <v>Gold</v>
      </c>
      <c r="D64" t="str">
        <f>prod_data!X64</f>
        <v>Au-Ag doré</v>
      </c>
      <c r="E64" s="71">
        <f>prod_data!Z64/prod_data!$Z$68</f>
        <v>1.9578823431895518E-2</v>
      </c>
      <c r="F64" s="70">
        <f>prod_data!AS64/prod_data!$AS$68</f>
        <v>0</v>
      </c>
      <c r="G64" s="71">
        <f>prod_data!AT64/prod_data!$AT$68</f>
        <v>0</v>
      </c>
      <c r="H64" s="71">
        <f>prod_data!BA64/prod_data!$BA$68</f>
        <v>0</v>
      </c>
      <c r="I64" s="71">
        <f>prod_data!AV64/prod_data!$AV$68</f>
        <v>0</v>
      </c>
      <c r="J64" s="71">
        <f>prod_data!AU64/prod_data!$AU$68</f>
        <v>0</v>
      </c>
    </row>
    <row r="65" spans="1:10" x14ac:dyDescent="0.25">
      <c r="A65">
        <f>prod_data!C65</f>
        <v>0</v>
      </c>
      <c r="B65" t="str">
        <f>prod_data!D65</f>
        <v>Seabee Gold Operation</v>
      </c>
      <c r="C65" t="str">
        <f>prod_data!U65</f>
        <v>Gold</v>
      </c>
      <c r="D65" t="str">
        <f>prod_data!X65</f>
        <v>Au-Ag doré</v>
      </c>
      <c r="E65" s="71">
        <f>prod_data!Z65/prod_data!$Z$68</f>
        <v>5.7096799078252417E-3</v>
      </c>
      <c r="F65" s="70">
        <f>prod_data!AS65/prod_data!$AS$68</f>
        <v>0</v>
      </c>
      <c r="G65" s="71">
        <f>prod_data!AT65/prod_data!$AT$68</f>
        <v>0</v>
      </c>
      <c r="H65" s="71">
        <f>prod_data!BA65/prod_data!$BA$68</f>
        <v>0</v>
      </c>
      <c r="I65" s="71">
        <f>prod_data!AV65/prod_data!$AV$68</f>
        <v>0</v>
      </c>
      <c r="J65" s="71">
        <f>prod_data!AU65/prod_data!$AU$68</f>
        <v>0</v>
      </c>
    </row>
    <row r="66" spans="1:10" x14ac:dyDescent="0.25">
      <c r="A66">
        <f>prod_data!C66</f>
        <v>0</v>
      </c>
      <c r="B66" t="str">
        <f>prod_data!D66</f>
        <v>Snow Lake</v>
      </c>
      <c r="C66" t="str">
        <f>prod_data!U66</f>
        <v>Gold, zinc, copper, silver</v>
      </c>
      <c r="D66" t="str">
        <f>prod_data!X66</f>
        <v>Au-Ag doré, Cu and Zn conc.</v>
      </c>
      <c r="E66" s="71">
        <f>prod_data!Z66/prod_data!$Z$68</f>
        <v>0.15307811380402245</v>
      </c>
      <c r="F66" s="70">
        <f>prod_data!AS66/prod_data!$AS$68</f>
        <v>4.3150508861615255E-2</v>
      </c>
      <c r="G66" s="71">
        <f>prod_data!AT66/prod_data!$AT$68</f>
        <v>0</v>
      </c>
      <c r="H66" s="71">
        <f>prod_data!BA66/prod_data!$BA$68</f>
        <v>0</v>
      </c>
      <c r="I66" s="71">
        <f>prod_data!AV66/prod_data!$AV$68</f>
        <v>0.42100817156350195</v>
      </c>
      <c r="J66" s="71">
        <f>prod_data!AU66/prod_data!$AU$68</f>
        <v>0</v>
      </c>
    </row>
  </sheetData>
  <autoFilter ref="A1:J66" xr:uid="{29AC4CBE-FB64-41C9-95AB-B4C2DC9E9DC5}"/>
  <conditionalFormatting sqref="E2:J66">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C7AD7-28ED-47B9-87DA-FD4FBC7CDCEC}">
  <dimension ref="A1:G15"/>
  <sheetViews>
    <sheetView workbookViewId="0">
      <selection activeCell="D2" sqref="D2"/>
    </sheetView>
  </sheetViews>
  <sheetFormatPr baseColWidth="10" defaultRowHeight="15" x14ac:dyDescent="0.25"/>
  <cols>
    <col min="1" max="1" width="10.7109375" bestFit="1" customWidth="1"/>
    <col min="2" max="2" width="11.85546875" bestFit="1" customWidth="1"/>
    <col min="3" max="3" width="4.85546875" bestFit="1" customWidth="1"/>
    <col min="4" max="4" width="4.5703125" bestFit="1" customWidth="1"/>
    <col min="5" max="5" width="4.85546875" bestFit="1" customWidth="1"/>
    <col min="6" max="6" width="6.140625" bestFit="1" customWidth="1"/>
    <col min="7" max="7" width="255.5703125" bestFit="1" customWidth="1"/>
  </cols>
  <sheetData>
    <row r="1" spans="1:7" x14ac:dyDescent="0.25">
      <c r="A1" s="1" t="s">
        <v>964</v>
      </c>
      <c r="B1" s="1" t="s">
        <v>1090</v>
      </c>
      <c r="C1" s="1" t="s">
        <v>1429</v>
      </c>
      <c r="D1" s="1" t="s">
        <v>1430</v>
      </c>
      <c r="E1" s="1" t="s">
        <v>1431</v>
      </c>
      <c r="F1" s="1" t="s">
        <v>1432</v>
      </c>
      <c r="G1" s="1" t="s">
        <v>1378</v>
      </c>
    </row>
    <row r="2" spans="1:7" x14ac:dyDescent="0.25">
      <c r="A2" s="29" t="s">
        <v>920</v>
      </c>
      <c r="B2" s="29" t="s">
        <v>1433</v>
      </c>
      <c r="C2" s="29" t="s">
        <v>745</v>
      </c>
      <c r="D2" s="29">
        <v>80</v>
      </c>
      <c r="E2" s="29">
        <v>95</v>
      </c>
      <c r="F2" s="30">
        <v>88</v>
      </c>
    </row>
    <row r="3" spans="1:7" x14ac:dyDescent="0.25">
      <c r="A3" s="29" t="s">
        <v>921</v>
      </c>
      <c r="B3" s="29" t="s">
        <v>1433</v>
      </c>
      <c r="C3" s="29" t="s">
        <v>745</v>
      </c>
      <c r="D3" s="29">
        <v>5</v>
      </c>
      <c r="E3" s="29">
        <v>15</v>
      </c>
      <c r="F3" s="30">
        <v>10</v>
      </c>
    </row>
    <row r="4" spans="1:7" x14ac:dyDescent="0.25">
      <c r="A4" s="29" t="s">
        <v>918</v>
      </c>
      <c r="B4" s="29" t="s">
        <v>589</v>
      </c>
      <c r="C4" s="29" t="s">
        <v>745</v>
      </c>
      <c r="D4" s="29">
        <v>20</v>
      </c>
      <c r="E4" s="29">
        <v>40</v>
      </c>
      <c r="F4" s="30">
        <v>30</v>
      </c>
      <c r="G4" s="3" t="s">
        <v>1436</v>
      </c>
    </row>
    <row r="5" spans="1:7" x14ac:dyDescent="0.25">
      <c r="A5" t="s">
        <v>1070</v>
      </c>
      <c r="B5" t="s">
        <v>589</v>
      </c>
      <c r="C5" s="29" t="s">
        <v>745</v>
      </c>
      <c r="D5" s="29">
        <v>50</v>
      </c>
      <c r="E5" s="29">
        <v>52</v>
      </c>
      <c r="F5" s="30">
        <v>51</v>
      </c>
      <c r="G5" t="s">
        <v>1435</v>
      </c>
    </row>
    <row r="6" spans="1:7" x14ac:dyDescent="0.25">
      <c r="A6" s="29" t="s">
        <v>919</v>
      </c>
      <c r="B6" s="29" t="s">
        <v>589</v>
      </c>
      <c r="C6" s="29" t="s">
        <v>745</v>
      </c>
      <c r="D6">
        <v>10</v>
      </c>
      <c r="E6">
        <v>20</v>
      </c>
      <c r="F6" s="30">
        <v>16</v>
      </c>
      <c r="G6" t="s">
        <v>1434</v>
      </c>
    </row>
    <row r="7" spans="1:7" x14ac:dyDescent="0.25">
      <c r="A7" s="29" t="s">
        <v>1068</v>
      </c>
      <c r="B7" s="29" t="s">
        <v>589</v>
      </c>
      <c r="C7" t="s">
        <v>745</v>
      </c>
      <c r="D7">
        <v>64</v>
      </c>
      <c r="E7">
        <v>67</v>
      </c>
      <c r="F7" s="30">
        <v>66</v>
      </c>
      <c r="G7" s="3" t="s">
        <v>1587</v>
      </c>
    </row>
    <row r="8" spans="1:7" x14ac:dyDescent="0.25">
      <c r="A8" s="29" t="s">
        <v>1069</v>
      </c>
      <c r="B8" s="29" t="s">
        <v>589</v>
      </c>
      <c r="C8" t="s">
        <v>745</v>
      </c>
      <c r="D8">
        <v>50</v>
      </c>
      <c r="E8">
        <v>70</v>
      </c>
      <c r="F8" s="30">
        <v>60</v>
      </c>
    </row>
    <row r="9" spans="1:7" x14ac:dyDescent="0.25">
      <c r="A9" s="29" t="s">
        <v>1072</v>
      </c>
      <c r="B9" s="29" t="s">
        <v>589</v>
      </c>
      <c r="C9" t="s">
        <v>745</v>
      </c>
      <c r="D9">
        <v>45</v>
      </c>
      <c r="E9">
        <v>55</v>
      </c>
      <c r="F9" s="30">
        <v>50</v>
      </c>
    </row>
    <row r="10" spans="1:7" x14ac:dyDescent="0.25">
      <c r="A10" t="s">
        <v>1071</v>
      </c>
      <c r="B10" t="s">
        <v>589</v>
      </c>
      <c r="C10" t="s">
        <v>745</v>
      </c>
      <c r="F10" s="31">
        <v>85</v>
      </c>
      <c r="G10" t="s">
        <v>1586</v>
      </c>
    </row>
    <row r="14" spans="1:7" x14ac:dyDescent="0.25">
      <c r="A14" t="s">
        <v>1437</v>
      </c>
    </row>
    <row r="15" spans="1:7" x14ac:dyDescent="0.25">
      <c r="A15" t="s">
        <v>1438</v>
      </c>
    </row>
  </sheetData>
  <hyperlinks>
    <hyperlink ref="G4" r:id="rId1" location=":~:text=The%20concentrates%20from%20primary%20sulfides,concentrations%20of%20up%20to%2040; " display="https://internationalcopper.org/wp-content/uploads/2021/11/copper-concentrates-2014.pdf#:~:text=The%20concentrates%20from%20primary%20sulfides,concentrations%20of%20up%20to%2040; " xr:uid="{A015C9F4-35C0-46AB-914D-14DCCF6A4827}"/>
    <hyperlink ref="G7" r:id="rId2" xr:uid="{2386922D-F895-4879-BC44-34EF1A0400AE}"/>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5163C-6C25-4317-AF36-C99FD8FDAA8B}">
  <dimension ref="A1:Q277"/>
  <sheetViews>
    <sheetView workbookViewId="0">
      <selection activeCell="J1" sqref="A1:XFD1"/>
    </sheetView>
  </sheetViews>
  <sheetFormatPr baseColWidth="10" defaultRowHeight="15" x14ac:dyDescent="0.25"/>
  <cols>
    <col min="1" max="1" width="25.140625" bestFit="1" customWidth="1"/>
    <col min="2" max="2" width="6.85546875" bestFit="1" customWidth="1"/>
    <col min="3" max="3" width="12.140625" bestFit="1" customWidth="1"/>
    <col min="4" max="4" width="18.140625" bestFit="1" customWidth="1"/>
    <col min="5" max="5" width="17.42578125" bestFit="1" customWidth="1"/>
    <col min="6" max="6" width="37.140625" bestFit="1" customWidth="1"/>
    <col min="7" max="7" width="32.28515625" bestFit="1" customWidth="1"/>
    <col min="8" max="8" width="19.140625" bestFit="1" customWidth="1"/>
    <col min="9" max="9" width="26.28515625" bestFit="1" customWidth="1"/>
    <col min="10" max="10" width="44.85546875" bestFit="1" customWidth="1"/>
    <col min="11" max="11" width="11.7109375" bestFit="1" customWidth="1"/>
    <col min="12" max="12" width="14" bestFit="1" customWidth="1"/>
    <col min="13" max="13" width="12" bestFit="1" customWidth="1"/>
    <col min="14" max="14" width="15.28515625" bestFit="1" customWidth="1"/>
    <col min="15" max="15" width="255.5703125" bestFit="1" customWidth="1"/>
    <col min="16" max="16" width="13.5703125" bestFit="1" customWidth="1"/>
    <col min="17" max="17" width="157.7109375" bestFit="1" customWidth="1"/>
  </cols>
  <sheetData>
    <row r="1" spans="1:17" s="1" customFormat="1" x14ac:dyDescent="0.25">
      <c r="A1" s="1" t="s">
        <v>5</v>
      </c>
      <c r="B1" s="1" t="s">
        <v>6</v>
      </c>
      <c r="C1" s="1" t="s">
        <v>1199</v>
      </c>
      <c r="D1" s="1" t="s">
        <v>0</v>
      </c>
      <c r="E1" s="1" t="s">
        <v>1</v>
      </c>
      <c r="F1" s="1" t="s">
        <v>2</v>
      </c>
      <c r="G1" s="1" t="s">
        <v>3</v>
      </c>
      <c r="H1" s="1" t="s">
        <v>4</v>
      </c>
      <c r="I1" s="1" t="s">
        <v>7</v>
      </c>
      <c r="J1" s="1" t="s">
        <v>8</v>
      </c>
      <c r="K1" s="1" t="s">
        <v>9</v>
      </c>
      <c r="L1" s="1" t="s">
        <v>10</v>
      </c>
      <c r="M1" s="1" t="s">
        <v>11</v>
      </c>
      <c r="N1" s="1" t="s">
        <v>12</v>
      </c>
      <c r="O1" s="1" t="s">
        <v>13</v>
      </c>
      <c r="P1" s="1" t="s">
        <v>14</v>
      </c>
      <c r="Q1" s="1" t="s">
        <v>15</v>
      </c>
    </row>
    <row r="2" spans="1:17" x14ac:dyDescent="0.25">
      <c r="A2" t="s">
        <v>707</v>
      </c>
      <c r="B2">
        <v>2023</v>
      </c>
      <c r="C2" t="s">
        <v>1200</v>
      </c>
      <c r="D2" t="s">
        <v>24</v>
      </c>
      <c r="E2" t="s">
        <v>25</v>
      </c>
      <c r="F2" t="s">
        <v>27</v>
      </c>
      <c r="G2" t="s">
        <v>28</v>
      </c>
      <c r="H2" t="s">
        <v>19</v>
      </c>
      <c r="I2" t="s">
        <v>20</v>
      </c>
      <c r="J2" t="s">
        <v>21</v>
      </c>
      <c r="K2" t="s">
        <v>604</v>
      </c>
      <c r="L2" t="s">
        <v>73</v>
      </c>
      <c r="M2">
        <v>473000</v>
      </c>
      <c r="P2" t="s">
        <v>26</v>
      </c>
      <c r="Q2" t="s">
        <v>1201</v>
      </c>
    </row>
    <row r="3" spans="1:17" x14ac:dyDescent="0.25">
      <c r="A3" t="s">
        <v>18</v>
      </c>
      <c r="B3">
        <v>2023</v>
      </c>
      <c r="C3" t="s">
        <v>1200</v>
      </c>
      <c r="D3" t="s">
        <v>24</v>
      </c>
      <c r="E3" t="s">
        <v>25</v>
      </c>
      <c r="F3" t="s">
        <v>27</v>
      </c>
      <c r="G3" t="s">
        <v>28</v>
      </c>
      <c r="H3" t="s">
        <v>19</v>
      </c>
      <c r="I3" t="s">
        <v>20</v>
      </c>
      <c r="J3" t="s">
        <v>21</v>
      </c>
      <c r="K3" t="s">
        <v>22</v>
      </c>
      <c r="L3" t="s">
        <v>23</v>
      </c>
      <c r="M3">
        <v>484</v>
      </c>
      <c r="N3">
        <v>484000</v>
      </c>
      <c r="P3" t="s">
        <v>26</v>
      </c>
      <c r="Q3" t="s">
        <v>1202</v>
      </c>
    </row>
    <row r="4" spans="1:17" x14ac:dyDescent="0.25">
      <c r="A4" t="s">
        <v>708</v>
      </c>
      <c r="B4">
        <v>2023</v>
      </c>
      <c r="C4" t="s">
        <v>1200</v>
      </c>
      <c r="D4" t="s">
        <v>32</v>
      </c>
      <c r="E4" t="s">
        <v>25</v>
      </c>
      <c r="F4" t="s">
        <v>33</v>
      </c>
      <c r="G4" t="s">
        <v>28</v>
      </c>
      <c r="H4" t="s">
        <v>19</v>
      </c>
      <c r="I4" t="s">
        <v>20</v>
      </c>
      <c r="J4" t="s">
        <v>21</v>
      </c>
      <c r="K4" t="s">
        <v>604</v>
      </c>
      <c r="L4" t="s">
        <v>73</v>
      </c>
      <c r="M4">
        <v>620000</v>
      </c>
      <c r="P4" t="s">
        <v>26</v>
      </c>
      <c r="Q4" t="s">
        <v>1201</v>
      </c>
    </row>
    <row r="5" spans="1:17" x14ac:dyDescent="0.25">
      <c r="A5" t="s">
        <v>31</v>
      </c>
      <c r="B5">
        <v>2023</v>
      </c>
      <c r="C5" t="s">
        <v>1200</v>
      </c>
      <c r="D5" t="s">
        <v>32</v>
      </c>
      <c r="E5" t="s">
        <v>25</v>
      </c>
      <c r="F5" t="s">
        <v>33</v>
      </c>
      <c r="G5" t="s">
        <v>28</v>
      </c>
      <c r="H5" t="s">
        <v>19</v>
      </c>
      <c r="I5" t="s">
        <v>20</v>
      </c>
      <c r="J5" t="s">
        <v>21</v>
      </c>
      <c r="K5" t="s">
        <v>22</v>
      </c>
      <c r="L5" t="s">
        <v>23</v>
      </c>
      <c r="M5">
        <v>634</v>
      </c>
      <c r="N5">
        <v>634000</v>
      </c>
      <c r="P5" t="s">
        <v>26</v>
      </c>
      <c r="Q5" t="s">
        <v>1202</v>
      </c>
    </row>
    <row r="6" spans="1:17" x14ac:dyDescent="0.25">
      <c r="A6" t="s">
        <v>35</v>
      </c>
      <c r="B6">
        <v>2024</v>
      </c>
      <c r="C6" t="s">
        <v>1200</v>
      </c>
      <c r="D6" t="s">
        <v>41</v>
      </c>
      <c r="F6" t="s">
        <v>43</v>
      </c>
      <c r="H6" t="s">
        <v>36</v>
      </c>
      <c r="I6" t="s">
        <v>37</v>
      </c>
      <c r="J6" t="s">
        <v>38</v>
      </c>
      <c r="K6" t="s">
        <v>22</v>
      </c>
      <c r="L6" t="s">
        <v>39</v>
      </c>
      <c r="M6">
        <v>3.1</v>
      </c>
      <c r="N6">
        <v>3100000</v>
      </c>
      <c r="O6" t="s">
        <v>40</v>
      </c>
      <c r="P6" t="s">
        <v>42</v>
      </c>
      <c r="Q6" t="s">
        <v>1203</v>
      </c>
    </row>
    <row r="7" spans="1:17" x14ac:dyDescent="0.25">
      <c r="A7" t="s">
        <v>709</v>
      </c>
      <c r="B7">
        <v>2023</v>
      </c>
      <c r="C7" t="s">
        <v>1200</v>
      </c>
      <c r="D7" t="s">
        <v>46</v>
      </c>
      <c r="E7" t="s">
        <v>25</v>
      </c>
      <c r="F7" t="s">
        <v>47</v>
      </c>
      <c r="G7" t="s">
        <v>28</v>
      </c>
      <c r="H7" t="s">
        <v>19</v>
      </c>
      <c r="I7" t="s">
        <v>20</v>
      </c>
      <c r="J7" t="s">
        <v>21</v>
      </c>
      <c r="K7" t="s">
        <v>604</v>
      </c>
      <c r="L7" t="s">
        <v>73</v>
      </c>
      <c r="M7">
        <v>234000</v>
      </c>
      <c r="P7" t="s">
        <v>26</v>
      </c>
      <c r="Q7" t="s">
        <v>1202</v>
      </c>
    </row>
    <row r="8" spans="1:17" x14ac:dyDescent="0.25">
      <c r="A8" t="s">
        <v>45</v>
      </c>
      <c r="B8">
        <v>2023</v>
      </c>
      <c r="C8" t="s">
        <v>1200</v>
      </c>
      <c r="D8" t="s">
        <v>46</v>
      </c>
      <c r="E8" t="s">
        <v>25</v>
      </c>
      <c r="F8" t="s">
        <v>47</v>
      </c>
      <c r="G8" t="s">
        <v>28</v>
      </c>
      <c r="H8" t="s">
        <v>19</v>
      </c>
      <c r="I8" t="s">
        <v>20</v>
      </c>
      <c r="J8" t="s">
        <v>21</v>
      </c>
      <c r="K8" t="s">
        <v>22</v>
      </c>
      <c r="L8" t="s">
        <v>23</v>
      </c>
      <c r="M8">
        <v>172.03945200000001</v>
      </c>
      <c r="N8">
        <v>172039.45199999999</v>
      </c>
      <c r="P8" t="s">
        <v>26</v>
      </c>
      <c r="Q8" t="s">
        <v>1202</v>
      </c>
    </row>
    <row r="9" spans="1:17" x14ac:dyDescent="0.25">
      <c r="A9" t="s">
        <v>603</v>
      </c>
      <c r="B9">
        <v>2023</v>
      </c>
      <c r="C9" t="s">
        <v>1200</v>
      </c>
      <c r="D9" t="s">
        <v>455</v>
      </c>
      <c r="F9" t="s">
        <v>456</v>
      </c>
      <c r="H9" t="s">
        <v>19</v>
      </c>
      <c r="I9" t="s">
        <v>20</v>
      </c>
      <c r="J9" t="s">
        <v>604</v>
      </c>
      <c r="K9" t="s">
        <v>604</v>
      </c>
      <c r="L9" t="s">
        <v>73</v>
      </c>
      <c r="M9">
        <v>312000</v>
      </c>
      <c r="P9" t="s">
        <v>605</v>
      </c>
      <c r="Q9" t="s">
        <v>1201</v>
      </c>
    </row>
    <row r="10" spans="1:17" x14ac:dyDescent="0.25">
      <c r="A10" t="s">
        <v>607</v>
      </c>
      <c r="B10">
        <v>2023</v>
      </c>
      <c r="C10" t="s">
        <v>1200</v>
      </c>
      <c r="D10" t="s">
        <v>459</v>
      </c>
      <c r="F10" t="s">
        <v>460</v>
      </c>
      <c r="H10" t="s">
        <v>19</v>
      </c>
      <c r="I10" t="s">
        <v>20</v>
      </c>
      <c r="J10" t="s">
        <v>604</v>
      </c>
      <c r="K10" t="s">
        <v>604</v>
      </c>
      <c r="L10" t="s">
        <v>73</v>
      </c>
      <c r="M10">
        <v>462000</v>
      </c>
      <c r="P10" t="s">
        <v>608</v>
      </c>
      <c r="Q10" t="s">
        <v>1201</v>
      </c>
    </row>
    <row r="11" spans="1:17" x14ac:dyDescent="0.25">
      <c r="A11" t="s">
        <v>629</v>
      </c>
      <c r="B11">
        <v>2022</v>
      </c>
      <c r="C11" t="s">
        <v>1200</v>
      </c>
      <c r="D11" t="s">
        <v>53</v>
      </c>
      <c r="F11" t="s">
        <v>56</v>
      </c>
      <c r="H11" t="s">
        <v>49</v>
      </c>
      <c r="I11" t="s">
        <v>80</v>
      </c>
      <c r="J11" t="s">
        <v>81</v>
      </c>
      <c r="K11" t="s">
        <v>22</v>
      </c>
      <c r="L11" t="s">
        <v>23</v>
      </c>
      <c r="M11">
        <v>11187</v>
      </c>
      <c r="N11">
        <v>11187000</v>
      </c>
      <c r="P11" t="s">
        <v>54</v>
      </c>
      <c r="Q11" t="s">
        <v>1204</v>
      </c>
    </row>
    <row r="12" spans="1:17" x14ac:dyDescent="0.25">
      <c r="A12" t="s">
        <v>689</v>
      </c>
      <c r="B12">
        <v>2023</v>
      </c>
      <c r="C12" t="s">
        <v>1200</v>
      </c>
      <c r="D12" t="s">
        <v>60</v>
      </c>
      <c r="F12" t="s">
        <v>63</v>
      </c>
      <c r="H12" t="s">
        <v>59</v>
      </c>
      <c r="I12" t="s">
        <v>80</v>
      </c>
      <c r="J12" t="s">
        <v>81</v>
      </c>
      <c r="K12" t="s">
        <v>22</v>
      </c>
      <c r="L12" t="s">
        <v>23</v>
      </c>
      <c r="M12">
        <v>167</v>
      </c>
      <c r="N12">
        <v>167000</v>
      </c>
      <c r="P12" t="s">
        <v>61</v>
      </c>
      <c r="Q12" t="s">
        <v>1205</v>
      </c>
    </row>
    <row r="13" spans="1:17" x14ac:dyDescent="0.25">
      <c r="A13" t="s">
        <v>58</v>
      </c>
      <c r="B13">
        <v>2023</v>
      </c>
      <c r="C13" t="s">
        <v>1200</v>
      </c>
      <c r="D13" t="s">
        <v>60</v>
      </c>
      <c r="F13" t="s">
        <v>63</v>
      </c>
      <c r="H13" t="s">
        <v>59</v>
      </c>
      <c r="I13" t="s">
        <v>50</v>
      </c>
      <c r="J13" t="s">
        <v>51</v>
      </c>
      <c r="K13" t="s">
        <v>22</v>
      </c>
      <c r="L13" t="s">
        <v>23</v>
      </c>
      <c r="M13">
        <v>166</v>
      </c>
      <c r="N13">
        <v>166000</v>
      </c>
      <c r="P13" t="s">
        <v>61</v>
      </c>
      <c r="Q13" t="s">
        <v>1205</v>
      </c>
    </row>
    <row r="14" spans="1:17" x14ac:dyDescent="0.25">
      <c r="A14" t="s">
        <v>690</v>
      </c>
      <c r="B14">
        <v>2023</v>
      </c>
      <c r="C14" t="s">
        <v>1200</v>
      </c>
      <c r="D14" t="s">
        <v>60</v>
      </c>
      <c r="F14" t="s">
        <v>63</v>
      </c>
      <c r="H14" t="s">
        <v>115</v>
      </c>
      <c r="I14" t="s">
        <v>258</v>
      </c>
      <c r="J14" t="s">
        <v>1206</v>
      </c>
      <c r="K14" t="s">
        <v>22</v>
      </c>
      <c r="L14" t="s">
        <v>583</v>
      </c>
      <c r="M14">
        <v>29</v>
      </c>
      <c r="N14">
        <v>0.90200150000000001</v>
      </c>
      <c r="P14" t="s">
        <v>61</v>
      </c>
      <c r="Q14" t="s">
        <v>1205</v>
      </c>
    </row>
    <row r="15" spans="1:17" x14ac:dyDescent="0.25">
      <c r="A15" t="s">
        <v>66</v>
      </c>
      <c r="B15">
        <v>2023</v>
      </c>
      <c r="C15" t="s">
        <v>1200</v>
      </c>
      <c r="D15" t="s">
        <v>68</v>
      </c>
      <c r="F15" t="s">
        <v>70</v>
      </c>
      <c r="H15" t="s">
        <v>638</v>
      </c>
      <c r="I15" t="s">
        <v>37</v>
      </c>
      <c r="J15" t="s">
        <v>67</v>
      </c>
      <c r="K15" t="s">
        <v>22</v>
      </c>
      <c r="L15" t="s">
        <v>23</v>
      </c>
      <c r="M15">
        <v>244.6</v>
      </c>
      <c r="N15">
        <v>244600</v>
      </c>
      <c r="P15" t="s">
        <v>69</v>
      </c>
      <c r="Q15" t="s">
        <v>1207</v>
      </c>
    </row>
    <row r="16" spans="1:17" x14ac:dyDescent="0.25">
      <c r="A16" t="s">
        <v>639</v>
      </c>
      <c r="B16">
        <v>2023</v>
      </c>
      <c r="C16" t="s">
        <v>1200</v>
      </c>
      <c r="D16" t="s">
        <v>68</v>
      </c>
      <c r="F16" t="s">
        <v>70</v>
      </c>
      <c r="H16" t="s">
        <v>408</v>
      </c>
      <c r="I16" t="s">
        <v>37</v>
      </c>
      <c r="J16" t="s">
        <v>67</v>
      </c>
      <c r="K16" t="s">
        <v>22</v>
      </c>
      <c r="L16" t="s">
        <v>23</v>
      </c>
      <c r="M16">
        <v>752.6</v>
      </c>
      <c r="N16">
        <v>752600</v>
      </c>
      <c r="P16" t="s">
        <v>69</v>
      </c>
      <c r="Q16" t="s">
        <v>1207</v>
      </c>
    </row>
    <row r="17" spans="1:17" x14ac:dyDescent="0.25">
      <c r="A17" t="s">
        <v>72</v>
      </c>
      <c r="B17">
        <v>2023</v>
      </c>
      <c r="C17" t="s">
        <v>1200</v>
      </c>
      <c r="D17" t="s">
        <v>74</v>
      </c>
      <c r="F17" t="s">
        <v>77</v>
      </c>
      <c r="H17" t="s">
        <v>59</v>
      </c>
      <c r="I17" t="s">
        <v>50</v>
      </c>
      <c r="J17" t="s">
        <v>51</v>
      </c>
      <c r="K17" t="s">
        <v>22</v>
      </c>
      <c r="L17" t="s">
        <v>23</v>
      </c>
      <c r="M17">
        <v>17332.900000000001</v>
      </c>
      <c r="N17">
        <v>17332900</v>
      </c>
      <c r="P17" t="s">
        <v>75</v>
      </c>
      <c r="Q17" t="s">
        <v>1208</v>
      </c>
    </row>
    <row r="18" spans="1:17" x14ac:dyDescent="0.25">
      <c r="A18" t="s">
        <v>578</v>
      </c>
      <c r="B18">
        <v>2023</v>
      </c>
      <c r="C18" t="s">
        <v>1200</v>
      </c>
      <c r="D18" t="s">
        <v>74</v>
      </c>
      <c r="F18" t="s">
        <v>77</v>
      </c>
      <c r="H18" t="s">
        <v>115</v>
      </c>
      <c r="I18" t="s">
        <v>258</v>
      </c>
      <c r="J18" t="s">
        <v>1206</v>
      </c>
      <c r="K18" t="s">
        <v>22</v>
      </c>
      <c r="L18" t="s">
        <v>579</v>
      </c>
      <c r="M18">
        <v>603955</v>
      </c>
      <c r="N18">
        <v>18.785114342499998</v>
      </c>
      <c r="O18" t="s">
        <v>580</v>
      </c>
      <c r="P18" t="s">
        <v>75</v>
      </c>
      <c r="Q18" t="s">
        <v>1208</v>
      </c>
    </row>
    <row r="19" spans="1:17" x14ac:dyDescent="0.25">
      <c r="A19" t="s">
        <v>581</v>
      </c>
      <c r="B19">
        <v>2023</v>
      </c>
      <c r="C19" t="s">
        <v>1200</v>
      </c>
      <c r="D19" t="s">
        <v>74</v>
      </c>
      <c r="F19" t="s">
        <v>77</v>
      </c>
      <c r="H19" t="s">
        <v>582</v>
      </c>
      <c r="I19" t="s">
        <v>258</v>
      </c>
      <c r="J19" t="s">
        <v>1206</v>
      </c>
      <c r="K19" t="s">
        <v>22</v>
      </c>
      <c r="L19" t="s">
        <v>583</v>
      </c>
      <c r="M19">
        <v>311</v>
      </c>
      <c r="N19">
        <v>9.6731885000000002</v>
      </c>
      <c r="O19" t="s">
        <v>580</v>
      </c>
      <c r="P19" t="s">
        <v>75</v>
      </c>
      <c r="Q19" t="s">
        <v>1208</v>
      </c>
    </row>
    <row r="20" spans="1:17" x14ac:dyDescent="0.25">
      <c r="A20" t="s">
        <v>79</v>
      </c>
      <c r="B20">
        <v>2023</v>
      </c>
      <c r="C20" t="s">
        <v>1200</v>
      </c>
      <c r="D20" t="s">
        <v>82</v>
      </c>
      <c r="F20" t="s">
        <v>84</v>
      </c>
      <c r="H20" t="s">
        <v>49</v>
      </c>
      <c r="I20" t="s">
        <v>258</v>
      </c>
      <c r="J20" t="s">
        <v>604</v>
      </c>
      <c r="K20" t="s">
        <v>604</v>
      </c>
      <c r="L20" t="s">
        <v>23</v>
      </c>
      <c r="M20">
        <v>23000</v>
      </c>
      <c r="P20" t="s">
        <v>83</v>
      </c>
      <c r="Q20" t="s">
        <v>1209</v>
      </c>
    </row>
    <row r="21" spans="1:17" x14ac:dyDescent="0.25">
      <c r="A21" t="s">
        <v>679</v>
      </c>
      <c r="B21">
        <v>2023</v>
      </c>
      <c r="C21" t="s">
        <v>1200</v>
      </c>
      <c r="D21" t="s">
        <v>82</v>
      </c>
      <c r="F21" t="s">
        <v>84</v>
      </c>
      <c r="H21" t="s">
        <v>49</v>
      </c>
      <c r="I21" t="s">
        <v>80</v>
      </c>
      <c r="J21" t="s">
        <v>81</v>
      </c>
      <c r="K21" t="s">
        <v>22</v>
      </c>
      <c r="L21" t="s">
        <v>23</v>
      </c>
      <c r="M21">
        <v>16478</v>
      </c>
      <c r="N21">
        <v>16478000</v>
      </c>
      <c r="O21" t="s">
        <v>680</v>
      </c>
      <c r="P21" t="s">
        <v>83</v>
      </c>
      <c r="Q21" t="s">
        <v>1210</v>
      </c>
    </row>
    <row r="22" spans="1:17" x14ac:dyDescent="0.25">
      <c r="A22" t="s">
        <v>655</v>
      </c>
      <c r="B22">
        <v>2023</v>
      </c>
      <c r="C22" t="s">
        <v>1200</v>
      </c>
      <c r="D22" t="s">
        <v>88</v>
      </c>
      <c r="F22" t="s">
        <v>90</v>
      </c>
      <c r="H22" t="s">
        <v>115</v>
      </c>
      <c r="I22" t="s">
        <v>258</v>
      </c>
      <c r="J22" t="s">
        <v>1206</v>
      </c>
      <c r="K22" t="s">
        <v>22</v>
      </c>
      <c r="L22" t="s">
        <v>583</v>
      </c>
      <c r="M22">
        <v>86.6</v>
      </c>
      <c r="N22">
        <v>2.6935630999999902</v>
      </c>
      <c r="P22" t="s">
        <v>89</v>
      </c>
      <c r="Q22" t="s">
        <v>1211</v>
      </c>
    </row>
    <row r="23" spans="1:17" x14ac:dyDescent="0.25">
      <c r="A23" t="s">
        <v>656</v>
      </c>
      <c r="B23">
        <v>2023</v>
      </c>
      <c r="C23" t="s">
        <v>1200</v>
      </c>
      <c r="D23" t="s">
        <v>88</v>
      </c>
      <c r="F23" t="s">
        <v>90</v>
      </c>
      <c r="H23" t="s">
        <v>582</v>
      </c>
      <c r="I23" t="s">
        <v>258</v>
      </c>
      <c r="J23" t="s">
        <v>1206</v>
      </c>
      <c r="K23" t="s">
        <v>22</v>
      </c>
      <c r="L23" t="s">
        <v>583</v>
      </c>
      <c r="M23">
        <v>24.2</v>
      </c>
      <c r="N23">
        <v>0.7527047</v>
      </c>
      <c r="P23" t="s">
        <v>89</v>
      </c>
      <c r="Q23" t="s">
        <v>1211</v>
      </c>
    </row>
    <row r="24" spans="1:17" x14ac:dyDescent="0.25">
      <c r="A24" t="s">
        <v>85</v>
      </c>
      <c r="B24">
        <v>2023</v>
      </c>
      <c r="C24" t="s">
        <v>1200</v>
      </c>
      <c r="D24" t="s">
        <v>88</v>
      </c>
      <c r="F24" t="s">
        <v>90</v>
      </c>
      <c r="H24" t="s">
        <v>59</v>
      </c>
      <c r="I24" t="s">
        <v>50</v>
      </c>
      <c r="J24" t="s">
        <v>86</v>
      </c>
      <c r="K24" t="s">
        <v>22</v>
      </c>
      <c r="L24" t="s">
        <v>73</v>
      </c>
      <c r="M24">
        <v>1361450</v>
      </c>
      <c r="N24">
        <v>1361450</v>
      </c>
      <c r="O24" t="s">
        <v>87</v>
      </c>
      <c r="P24" t="s">
        <v>89</v>
      </c>
      <c r="Q24" t="s">
        <v>1212</v>
      </c>
    </row>
    <row r="25" spans="1:17" x14ac:dyDescent="0.25">
      <c r="A25" t="s">
        <v>1299</v>
      </c>
      <c r="B25">
        <v>2023</v>
      </c>
      <c r="C25" t="s">
        <v>1200</v>
      </c>
      <c r="D25" t="s">
        <v>522</v>
      </c>
      <c r="E25" t="s">
        <v>403</v>
      </c>
      <c r="F25" s="8" t="s">
        <v>523</v>
      </c>
      <c r="G25" t="s">
        <v>405</v>
      </c>
      <c r="H25" t="s">
        <v>546</v>
      </c>
      <c r="I25" t="s">
        <v>50</v>
      </c>
      <c r="K25" t="s">
        <v>22</v>
      </c>
      <c r="L25" t="s">
        <v>1300</v>
      </c>
      <c r="M25">
        <v>863000.00369283406</v>
      </c>
      <c r="N25">
        <v>863000.00369283406</v>
      </c>
      <c r="P25" t="s">
        <v>394</v>
      </c>
      <c r="Q25" t="s">
        <v>1301</v>
      </c>
    </row>
    <row r="26" spans="1:17" x14ac:dyDescent="0.25">
      <c r="A26" t="s">
        <v>1340</v>
      </c>
      <c r="B26">
        <v>2023</v>
      </c>
      <c r="C26" t="s">
        <v>1200</v>
      </c>
      <c r="D26" t="s">
        <v>522</v>
      </c>
      <c r="E26" t="s">
        <v>403</v>
      </c>
      <c r="F26" s="8" t="s">
        <v>523</v>
      </c>
      <c r="G26" t="s">
        <v>405</v>
      </c>
      <c r="I26" t="s">
        <v>50</v>
      </c>
      <c r="K26" t="s">
        <v>604</v>
      </c>
      <c r="L26" t="s">
        <v>1341</v>
      </c>
      <c r="M26">
        <v>4624000.0197863998</v>
      </c>
      <c r="N26">
        <v>4624000.0197863998</v>
      </c>
      <c r="P26" t="s">
        <v>394</v>
      </c>
      <c r="Q26" t="s">
        <v>1301</v>
      </c>
    </row>
    <row r="27" spans="1:17" x14ac:dyDescent="0.25">
      <c r="A27" t="s">
        <v>99</v>
      </c>
      <c r="B27">
        <v>2024</v>
      </c>
      <c r="C27" t="s">
        <v>1200</v>
      </c>
      <c r="E27" t="s">
        <v>102</v>
      </c>
      <c r="F27" t="s">
        <v>103</v>
      </c>
      <c r="G27" t="s">
        <v>104</v>
      </c>
      <c r="H27" t="s">
        <v>36</v>
      </c>
      <c r="I27" t="s">
        <v>37</v>
      </c>
      <c r="J27" t="s">
        <v>100</v>
      </c>
      <c r="K27" t="s">
        <v>22</v>
      </c>
      <c r="L27" t="s">
        <v>39</v>
      </c>
      <c r="M27">
        <v>1.9</v>
      </c>
      <c r="N27">
        <v>1900000</v>
      </c>
      <c r="O27" t="s">
        <v>101</v>
      </c>
      <c r="P27" t="s">
        <v>42</v>
      </c>
      <c r="Q27" t="s">
        <v>1203</v>
      </c>
    </row>
    <row r="28" spans="1:17" x14ac:dyDescent="0.25">
      <c r="A28" t="s">
        <v>1215</v>
      </c>
      <c r="B28">
        <v>2023</v>
      </c>
      <c r="C28" t="s">
        <v>1200</v>
      </c>
      <c r="D28" t="s">
        <v>524</v>
      </c>
      <c r="E28" t="s">
        <v>403</v>
      </c>
      <c r="F28" t="s">
        <v>525</v>
      </c>
      <c r="G28" t="s">
        <v>405</v>
      </c>
      <c r="H28" t="s">
        <v>326</v>
      </c>
      <c r="I28" t="s">
        <v>258</v>
      </c>
      <c r="J28" t="s">
        <v>259</v>
      </c>
      <c r="K28" t="s">
        <v>22</v>
      </c>
      <c r="L28" t="s">
        <v>73</v>
      </c>
      <c r="M28">
        <v>8751</v>
      </c>
      <c r="N28">
        <v>8751</v>
      </c>
      <c r="O28" t="s">
        <v>1216</v>
      </c>
      <c r="P28" t="s">
        <v>394</v>
      </c>
      <c r="Q28" t="s">
        <v>1217</v>
      </c>
    </row>
    <row r="29" spans="1:17" x14ac:dyDescent="0.25">
      <c r="A29" t="s">
        <v>1218</v>
      </c>
      <c r="B29">
        <v>2023</v>
      </c>
      <c r="C29" t="s">
        <v>1200</v>
      </c>
      <c r="D29" t="s">
        <v>524</v>
      </c>
      <c r="E29" t="s">
        <v>403</v>
      </c>
      <c r="F29" t="s">
        <v>525</v>
      </c>
      <c r="G29" t="s">
        <v>405</v>
      </c>
      <c r="H29" t="s">
        <v>546</v>
      </c>
      <c r="I29" t="s">
        <v>258</v>
      </c>
      <c r="J29" t="s">
        <v>259</v>
      </c>
      <c r="K29" t="s">
        <v>22</v>
      </c>
      <c r="L29" t="s">
        <v>73</v>
      </c>
      <c r="M29">
        <v>10098</v>
      </c>
      <c r="N29">
        <v>10098</v>
      </c>
      <c r="O29" t="s">
        <v>1216</v>
      </c>
      <c r="P29" t="s">
        <v>394</v>
      </c>
      <c r="Q29" t="s">
        <v>1217</v>
      </c>
    </row>
    <row r="30" spans="1:17" x14ac:dyDescent="0.25">
      <c r="A30" t="s">
        <v>1219</v>
      </c>
      <c r="B30">
        <v>2023</v>
      </c>
      <c r="C30" t="s">
        <v>1200</v>
      </c>
      <c r="D30" t="s">
        <v>524</v>
      </c>
      <c r="E30" t="s">
        <v>403</v>
      </c>
      <c r="F30" t="s">
        <v>525</v>
      </c>
      <c r="G30" t="s">
        <v>405</v>
      </c>
      <c r="H30" t="s">
        <v>59</v>
      </c>
      <c r="I30" t="s">
        <v>50</v>
      </c>
      <c r="J30" t="s">
        <v>51</v>
      </c>
      <c r="K30" t="s">
        <v>22</v>
      </c>
      <c r="L30" t="s">
        <v>73</v>
      </c>
      <c r="M30">
        <v>748000</v>
      </c>
      <c r="N30">
        <v>748000</v>
      </c>
      <c r="O30" t="s">
        <v>1216</v>
      </c>
      <c r="P30" t="s">
        <v>394</v>
      </c>
      <c r="Q30" t="s">
        <v>1217</v>
      </c>
    </row>
    <row r="31" spans="1:17" x14ac:dyDescent="0.25">
      <c r="A31" t="s">
        <v>1220</v>
      </c>
      <c r="B31">
        <v>2023</v>
      </c>
      <c r="C31" t="s">
        <v>1200</v>
      </c>
      <c r="D31" t="s">
        <v>526</v>
      </c>
      <c r="E31" t="s">
        <v>403</v>
      </c>
      <c r="F31" t="s">
        <v>525</v>
      </c>
      <c r="G31" t="s">
        <v>405</v>
      </c>
      <c r="H31" t="s">
        <v>546</v>
      </c>
      <c r="I31" t="s">
        <v>37</v>
      </c>
      <c r="J31" t="s">
        <v>67</v>
      </c>
      <c r="K31" t="s">
        <v>22</v>
      </c>
      <c r="L31" t="s">
        <v>23</v>
      </c>
      <c r="M31">
        <v>57.9</v>
      </c>
      <c r="N31">
        <v>57900</v>
      </c>
      <c r="O31" t="s">
        <v>1221</v>
      </c>
      <c r="P31" t="s">
        <v>394</v>
      </c>
      <c r="Q31" t="s">
        <v>1222</v>
      </c>
    </row>
    <row r="32" spans="1:17" x14ac:dyDescent="0.25">
      <c r="A32" t="s">
        <v>1223</v>
      </c>
      <c r="B32">
        <v>2023</v>
      </c>
      <c r="C32" t="s">
        <v>1200</v>
      </c>
      <c r="D32" t="s">
        <v>526</v>
      </c>
      <c r="E32" t="s">
        <v>403</v>
      </c>
      <c r="F32" t="s">
        <v>525</v>
      </c>
      <c r="G32" t="s">
        <v>405</v>
      </c>
      <c r="H32" t="s">
        <v>326</v>
      </c>
      <c r="I32" t="s">
        <v>37</v>
      </c>
      <c r="J32" t="s">
        <v>67</v>
      </c>
      <c r="K32" t="s">
        <v>22</v>
      </c>
      <c r="L32" t="s">
        <v>23</v>
      </c>
      <c r="M32">
        <v>38.200000000000003</v>
      </c>
      <c r="N32">
        <v>38200</v>
      </c>
      <c r="P32" t="s">
        <v>394</v>
      </c>
      <c r="Q32" t="s">
        <v>1222</v>
      </c>
    </row>
    <row r="33" spans="1:17" x14ac:dyDescent="0.25">
      <c r="A33" t="s">
        <v>1302</v>
      </c>
      <c r="B33">
        <v>2023</v>
      </c>
      <c r="C33" t="s">
        <v>1200</v>
      </c>
      <c r="D33" t="s">
        <v>524</v>
      </c>
      <c r="E33" t="s">
        <v>403</v>
      </c>
      <c r="F33" t="s">
        <v>525</v>
      </c>
      <c r="G33" t="s">
        <v>405</v>
      </c>
      <c r="H33" t="s">
        <v>546</v>
      </c>
      <c r="I33" t="s">
        <v>50</v>
      </c>
      <c r="K33" t="s">
        <v>22</v>
      </c>
      <c r="L33" t="s">
        <v>1300</v>
      </c>
      <c r="M33">
        <v>985000.00421488006</v>
      </c>
      <c r="N33">
        <v>985000.00421488006</v>
      </c>
      <c r="P33" t="s">
        <v>394</v>
      </c>
      <c r="Q33" t="s">
        <v>1301</v>
      </c>
    </row>
    <row r="34" spans="1:17" x14ac:dyDescent="0.25">
      <c r="A34" t="s">
        <v>1342</v>
      </c>
      <c r="B34">
        <v>2023</v>
      </c>
      <c r="C34" t="s">
        <v>1200</v>
      </c>
      <c r="D34" t="s">
        <v>524</v>
      </c>
      <c r="E34" t="s">
        <v>403</v>
      </c>
      <c r="F34" t="s">
        <v>525</v>
      </c>
      <c r="G34" t="s">
        <v>405</v>
      </c>
      <c r="I34" t="s">
        <v>50</v>
      </c>
      <c r="K34" t="s">
        <v>604</v>
      </c>
      <c r="L34" t="s">
        <v>1341</v>
      </c>
      <c r="M34">
        <v>35547000.152107902</v>
      </c>
      <c r="N34">
        <v>35547000.152107902</v>
      </c>
      <c r="P34" t="s">
        <v>394</v>
      </c>
      <c r="Q34" t="s">
        <v>1301</v>
      </c>
    </row>
    <row r="35" spans="1:17" x14ac:dyDescent="0.25">
      <c r="A35" t="s">
        <v>663</v>
      </c>
      <c r="B35">
        <v>2023</v>
      </c>
      <c r="C35" t="s">
        <v>1200</v>
      </c>
      <c r="D35" t="s">
        <v>109</v>
      </c>
      <c r="F35" t="s">
        <v>112</v>
      </c>
      <c r="H35" t="s">
        <v>115</v>
      </c>
      <c r="I35" t="s">
        <v>258</v>
      </c>
      <c r="J35" t="s">
        <v>1206</v>
      </c>
      <c r="K35" t="s">
        <v>22</v>
      </c>
      <c r="L35" t="s">
        <v>579</v>
      </c>
      <c r="M35">
        <v>8848</v>
      </c>
      <c r="N35">
        <v>0.27520376799999902</v>
      </c>
      <c r="O35" t="s">
        <v>108</v>
      </c>
      <c r="P35" t="s">
        <v>110</v>
      </c>
      <c r="Q35" t="s">
        <v>1224</v>
      </c>
    </row>
    <row r="36" spans="1:17" x14ac:dyDescent="0.25">
      <c r="A36" t="s">
        <v>664</v>
      </c>
      <c r="B36">
        <v>2023</v>
      </c>
      <c r="C36" t="s">
        <v>1200</v>
      </c>
      <c r="D36" t="s">
        <v>109</v>
      </c>
      <c r="F36" t="s">
        <v>112</v>
      </c>
      <c r="H36" t="s">
        <v>59</v>
      </c>
      <c r="I36" t="s">
        <v>50</v>
      </c>
      <c r="J36" t="s">
        <v>107</v>
      </c>
      <c r="K36" t="s">
        <v>22</v>
      </c>
      <c r="L36" t="s">
        <v>73</v>
      </c>
      <c r="M36">
        <v>6862152</v>
      </c>
      <c r="N36">
        <v>6862152</v>
      </c>
      <c r="O36" t="s">
        <v>108</v>
      </c>
      <c r="P36" t="s">
        <v>110</v>
      </c>
      <c r="Q36" t="s">
        <v>1224</v>
      </c>
    </row>
    <row r="37" spans="1:17" x14ac:dyDescent="0.25">
      <c r="A37" t="s">
        <v>665</v>
      </c>
      <c r="B37">
        <v>2023</v>
      </c>
      <c r="C37" t="s">
        <v>1200</v>
      </c>
      <c r="D37" t="s">
        <v>109</v>
      </c>
      <c r="F37" t="s">
        <v>112</v>
      </c>
      <c r="H37" t="s">
        <v>59</v>
      </c>
      <c r="I37" t="s">
        <v>80</v>
      </c>
      <c r="J37" t="s">
        <v>81</v>
      </c>
      <c r="K37" t="s">
        <v>22</v>
      </c>
      <c r="L37" t="s">
        <v>73</v>
      </c>
      <c r="M37">
        <v>6975389</v>
      </c>
      <c r="N37">
        <v>6975389</v>
      </c>
      <c r="O37" t="s">
        <v>108</v>
      </c>
      <c r="P37" t="s">
        <v>110</v>
      </c>
      <c r="Q37" t="s">
        <v>1224</v>
      </c>
    </row>
    <row r="38" spans="1:17" x14ac:dyDescent="0.25">
      <c r="A38" t="s">
        <v>106</v>
      </c>
      <c r="B38">
        <v>2023</v>
      </c>
      <c r="C38" t="s">
        <v>1200</v>
      </c>
      <c r="D38" t="s">
        <v>109</v>
      </c>
      <c r="F38" t="s">
        <v>112</v>
      </c>
      <c r="H38" t="s">
        <v>582</v>
      </c>
      <c r="I38" t="s">
        <v>258</v>
      </c>
      <c r="J38" t="s">
        <v>1206</v>
      </c>
      <c r="K38" t="s">
        <v>22</v>
      </c>
      <c r="L38" t="s">
        <v>579</v>
      </c>
      <c r="M38">
        <v>218282</v>
      </c>
      <c r="N38">
        <v>6.7893341869999997</v>
      </c>
      <c r="O38" t="s">
        <v>108</v>
      </c>
      <c r="P38" t="s">
        <v>110</v>
      </c>
      <c r="Q38" t="s">
        <v>1224</v>
      </c>
    </row>
    <row r="39" spans="1:17" x14ac:dyDescent="0.25">
      <c r="A39" t="s">
        <v>666</v>
      </c>
      <c r="B39">
        <v>2023</v>
      </c>
      <c r="C39" t="s">
        <v>1200</v>
      </c>
      <c r="D39" t="s">
        <v>109</v>
      </c>
      <c r="F39" t="s">
        <v>112</v>
      </c>
      <c r="H39" t="s">
        <v>546</v>
      </c>
      <c r="I39" t="s">
        <v>258</v>
      </c>
      <c r="J39" t="s">
        <v>259</v>
      </c>
      <c r="K39" t="s">
        <v>22</v>
      </c>
      <c r="L39" t="s">
        <v>73</v>
      </c>
      <c r="M39">
        <v>19050</v>
      </c>
      <c r="N39">
        <v>19050</v>
      </c>
      <c r="O39" t="s">
        <v>108</v>
      </c>
      <c r="P39" t="s">
        <v>110</v>
      </c>
      <c r="Q39" t="s">
        <v>1224</v>
      </c>
    </row>
    <row r="40" spans="1:17" x14ac:dyDescent="0.25">
      <c r="A40" t="s">
        <v>1303</v>
      </c>
      <c r="B40">
        <v>2023</v>
      </c>
      <c r="C40" t="s">
        <v>1200</v>
      </c>
      <c r="D40" t="s">
        <v>109</v>
      </c>
      <c r="F40" t="s">
        <v>112</v>
      </c>
      <c r="H40" t="s">
        <v>546</v>
      </c>
      <c r="I40" t="s">
        <v>50</v>
      </c>
      <c r="K40" t="s">
        <v>22</v>
      </c>
      <c r="L40" t="s">
        <v>1300</v>
      </c>
      <c r="M40">
        <v>14575000.0623673</v>
      </c>
      <c r="N40">
        <v>14575000.0623673</v>
      </c>
      <c r="P40" t="s">
        <v>110</v>
      </c>
      <c r="Q40" t="s">
        <v>1301</v>
      </c>
    </row>
    <row r="41" spans="1:17" x14ac:dyDescent="0.25">
      <c r="A41" t="s">
        <v>1343</v>
      </c>
      <c r="B41">
        <v>2023</v>
      </c>
      <c r="C41" t="s">
        <v>1200</v>
      </c>
      <c r="D41" t="s">
        <v>109</v>
      </c>
      <c r="F41" t="s">
        <v>112</v>
      </c>
      <c r="I41" t="s">
        <v>50</v>
      </c>
      <c r="K41" t="s">
        <v>604</v>
      </c>
      <c r="L41" t="s">
        <v>1341</v>
      </c>
      <c r="M41">
        <v>367000001.57041699</v>
      </c>
      <c r="N41">
        <v>367000001.57041699</v>
      </c>
      <c r="P41" t="s">
        <v>110</v>
      </c>
      <c r="Q41" t="s">
        <v>1301</v>
      </c>
    </row>
    <row r="42" spans="1:17" x14ac:dyDescent="0.25">
      <c r="A42" t="s">
        <v>1225</v>
      </c>
      <c r="B42">
        <v>2023</v>
      </c>
      <c r="C42" t="s">
        <v>1200</v>
      </c>
      <c r="D42" t="s">
        <v>527</v>
      </c>
      <c r="E42" t="s">
        <v>403</v>
      </c>
      <c r="F42" t="s">
        <v>528</v>
      </c>
      <c r="G42" t="s">
        <v>405</v>
      </c>
      <c r="H42" t="s">
        <v>326</v>
      </c>
      <c r="I42" t="s">
        <v>258</v>
      </c>
      <c r="J42" t="s">
        <v>259</v>
      </c>
      <c r="K42" t="s">
        <v>22</v>
      </c>
      <c r="L42" t="s">
        <v>73</v>
      </c>
      <c r="M42">
        <v>11344</v>
      </c>
      <c r="N42">
        <v>11344</v>
      </c>
      <c r="O42" t="s">
        <v>1226</v>
      </c>
      <c r="P42" t="s">
        <v>394</v>
      </c>
      <c r="Q42" t="s">
        <v>1217</v>
      </c>
    </row>
    <row r="43" spans="1:17" x14ac:dyDescent="0.25">
      <c r="A43" t="s">
        <v>1227</v>
      </c>
      <c r="B43">
        <v>2023</v>
      </c>
      <c r="C43" t="s">
        <v>1200</v>
      </c>
      <c r="D43" t="s">
        <v>527</v>
      </c>
      <c r="E43" t="s">
        <v>403</v>
      </c>
      <c r="F43" t="s">
        <v>528</v>
      </c>
      <c r="G43" t="s">
        <v>405</v>
      </c>
      <c r="H43" t="s">
        <v>546</v>
      </c>
      <c r="I43" t="s">
        <v>258</v>
      </c>
      <c r="J43" t="s">
        <v>259</v>
      </c>
      <c r="K43" t="s">
        <v>22</v>
      </c>
      <c r="L43" t="s">
        <v>73</v>
      </c>
      <c r="M43">
        <v>9396</v>
      </c>
      <c r="N43">
        <v>9396</v>
      </c>
      <c r="O43" t="s">
        <v>1226</v>
      </c>
      <c r="P43" t="s">
        <v>394</v>
      </c>
      <c r="Q43" t="s">
        <v>1217</v>
      </c>
    </row>
    <row r="44" spans="1:17" x14ac:dyDescent="0.25">
      <c r="A44" t="s">
        <v>1228</v>
      </c>
      <c r="B44">
        <v>2023</v>
      </c>
      <c r="C44" t="s">
        <v>1200</v>
      </c>
      <c r="D44" t="s">
        <v>527</v>
      </c>
      <c r="E44" t="s">
        <v>403</v>
      </c>
      <c r="F44" t="s">
        <v>528</v>
      </c>
      <c r="G44" t="s">
        <v>405</v>
      </c>
      <c r="H44" t="s">
        <v>59</v>
      </c>
      <c r="I44" t="s">
        <v>50</v>
      </c>
      <c r="J44" t="s">
        <v>51</v>
      </c>
      <c r="K44" t="s">
        <v>22</v>
      </c>
      <c r="L44" t="s">
        <v>73</v>
      </c>
      <c r="M44">
        <v>433000</v>
      </c>
      <c r="N44">
        <v>433000</v>
      </c>
      <c r="O44" t="s">
        <v>1226</v>
      </c>
      <c r="P44" t="s">
        <v>394</v>
      </c>
      <c r="Q44" t="s">
        <v>1217</v>
      </c>
    </row>
    <row r="45" spans="1:17" x14ac:dyDescent="0.25">
      <c r="A45" t="s">
        <v>1304</v>
      </c>
      <c r="B45">
        <v>2023</v>
      </c>
      <c r="C45" t="s">
        <v>1200</v>
      </c>
      <c r="D45" t="s">
        <v>527</v>
      </c>
      <c r="E45" t="s">
        <v>403</v>
      </c>
      <c r="F45" t="s">
        <v>528</v>
      </c>
      <c r="G45" t="s">
        <v>405</v>
      </c>
      <c r="H45" t="s">
        <v>546</v>
      </c>
      <c r="I45" t="s">
        <v>50</v>
      </c>
      <c r="K45" t="s">
        <v>22</v>
      </c>
      <c r="L45" t="s">
        <v>1300</v>
      </c>
      <c r="M45">
        <v>406000.00173730002</v>
      </c>
      <c r="N45">
        <v>406000.00173730002</v>
      </c>
      <c r="P45" t="s">
        <v>394</v>
      </c>
      <c r="Q45" t="s">
        <v>1301</v>
      </c>
    </row>
    <row r="46" spans="1:17" x14ac:dyDescent="0.25">
      <c r="A46" t="s">
        <v>1344</v>
      </c>
      <c r="B46">
        <v>2023</v>
      </c>
      <c r="C46" t="s">
        <v>1200</v>
      </c>
      <c r="D46" t="s">
        <v>527</v>
      </c>
      <c r="E46" t="s">
        <v>403</v>
      </c>
      <c r="F46" t="s">
        <v>528</v>
      </c>
      <c r="G46" t="s">
        <v>405</v>
      </c>
      <c r="I46" t="s">
        <v>50</v>
      </c>
      <c r="K46" t="s">
        <v>604</v>
      </c>
      <c r="L46" t="s">
        <v>1341</v>
      </c>
      <c r="M46">
        <v>11041000.0472451</v>
      </c>
      <c r="N46">
        <v>11041000.0472451</v>
      </c>
      <c r="P46" t="s">
        <v>394</v>
      </c>
      <c r="Q46" t="s">
        <v>1301</v>
      </c>
    </row>
    <row r="47" spans="1:17" x14ac:dyDescent="0.25">
      <c r="A47" t="s">
        <v>606</v>
      </c>
      <c r="B47">
        <v>2023</v>
      </c>
      <c r="C47" t="s">
        <v>1200</v>
      </c>
      <c r="D47" t="s">
        <v>457</v>
      </c>
      <c r="F47" t="s">
        <v>458</v>
      </c>
      <c r="H47" t="s">
        <v>19</v>
      </c>
      <c r="I47" t="s">
        <v>20</v>
      </c>
      <c r="J47" t="s">
        <v>604</v>
      </c>
      <c r="K47" t="s">
        <v>604</v>
      </c>
      <c r="L47" t="s">
        <v>73</v>
      </c>
      <c r="M47">
        <v>287000</v>
      </c>
      <c r="P47" t="s">
        <v>605</v>
      </c>
      <c r="Q47" t="s">
        <v>1201</v>
      </c>
    </row>
    <row r="48" spans="1:17" x14ac:dyDescent="0.25">
      <c r="A48" t="s">
        <v>114</v>
      </c>
      <c r="B48">
        <v>2023</v>
      </c>
      <c r="C48" t="s">
        <v>1200</v>
      </c>
      <c r="D48" t="s">
        <v>116</v>
      </c>
      <c r="F48" t="s">
        <v>117</v>
      </c>
      <c r="H48" t="s">
        <v>115</v>
      </c>
      <c r="I48" t="s">
        <v>50</v>
      </c>
      <c r="J48" t="s">
        <v>51</v>
      </c>
      <c r="K48" t="s">
        <v>22</v>
      </c>
      <c r="L48" t="s">
        <v>73</v>
      </c>
      <c r="M48">
        <v>25434853.502416398</v>
      </c>
      <c r="N48">
        <v>25434853.502416398</v>
      </c>
      <c r="P48" t="s">
        <v>75</v>
      </c>
      <c r="Q48" t="s">
        <v>1229</v>
      </c>
    </row>
    <row r="49" spans="1:17" x14ac:dyDescent="0.25">
      <c r="A49" t="s">
        <v>584</v>
      </c>
      <c r="B49">
        <v>2023</v>
      </c>
      <c r="C49" t="s">
        <v>1200</v>
      </c>
      <c r="D49" t="s">
        <v>116</v>
      </c>
      <c r="F49" t="s">
        <v>117</v>
      </c>
      <c r="H49" t="s">
        <v>115</v>
      </c>
      <c r="I49" t="s">
        <v>258</v>
      </c>
      <c r="J49" t="s">
        <v>1206</v>
      </c>
      <c r="K49" t="s">
        <v>22</v>
      </c>
      <c r="L49" t="s">
        <v>579</v>
      </c>
      <c r="M49">
        <v>677446</v>
      </c>
      <c r="N49">
        <v>21.070941660999999</v>
      </c>
      <c r="P49" t="s">
        <v>75</v>
      </c>
      <c r="Q49" t="s">
        <v>1229</v>
      </c>
    </row>
    <row r="50" spans="1:17" x14ac:dyDescent="0.25">
      <c r="A50" t="s">
        <v>585</v>
      </c>
      <c r="B50">
        <v>2023</v>
      </c>
      <c r="C50" t="s">
        <v>1200</v>
      </c>
      <c r="D50" t="s">
        <v>116</v>
      </c>
      <c r="F50" t="s">
        <v>117</v>
      </c>
      <c r="H50" t="s">
        <v>582</v>
      </c>
      <c r="I50" t="s">
        <v>258</v>
      </c>
      <c r="J50" t="s">
        <v>1206</v>
      </c>
      <c r="K50" t="s">
        <v>22</v>
      </c>
      <c r="L50" t="s">
        <v>583</v>
      </c>
      <c r="M50">
        <v>79</v>
      </c>
      <c r="N50">
        <v>2.4571765000000001</v>
      </c>
      <c r="P50" t="s">
        <v>75</v>
      </c>
      <c r="Q50" t="s">
        <v>1229</v>
      </c>
    </row>
    <row r="51" spans="1:17" x14ac:dyDescent="0.25">
      <c r="A51" t="s">
        <v>710</v>
      </c>
      <c r="B51">
        <v>2023</v>
      </c>
      <c r="C51" t="s">
        <v>1200</v>
      </c>
      <c r="D51" t="s">
        <v>121</v>
      </c>
      <c r="F51" t="s">
        <v>122</v>
      </c>
      <c r="H51" t="s">
        <v>119</v>
      </c>
      <c r="I51" t="s">
        <v>258</v>
      </c>
      <c r="J51" t="s">
        <v>711</v>
      </c>
      <c r="K51" t="s">
        <v>22</v>
      </c>
      <c r="L51" t="s">
        <v>120</v>
      </c>
      <c r="M51">
        <v>3339.7620299999999</v>
      </c>
      <c r="N51">
        <v>0.66795240600000005</v>
      </c>
      <c r="P51" t="s">
        <v>26</v>
      </c>
      <c r="Q51" t="s">
        <v>1230</v>
      </c>
    </row>
    <row r="52" spans="1:17" x14ac:dyDescent="0.25">
      <c r="A52" t="s">
        <v>118</v>
      </c>
      <c r="B52">
        <v>2023</v>
      </c>
      <c r="C52" t="s">
        <v>1200</v>
      </c>
      <c r="D52" t="s">
        <v>121</v>
      </c>
      <c r="F52" t="s">
        <v>122</v>
      </c>
      <c r="H52" t="s">
        <v>119</v>
      </c>
      <c r="I52" t="s">
        <v>50</v>
      </c>
      <c r="J52" t="s">
        <v>51</v>
      </c>
      <c r="K52" t="s">
        <v>22</v>
      </c>
      <c r="L52" t="s">
        <v>120</v>
      </c>
      <c r="M52">
        <v>1687.71</v>
      </c>
      <c r="N52">
        <v>0.33754200000000001</v>
      </c>
      <c r="P52" t="s">
        <v>26</v>
      </c>
      <c r="Q52" t="s">
        <v>1230</v>
      </c>
    </row>
    <row r="53" spans="1:17" x14ac:dyDescent="0.25">
      <c r="A53" t="s">
        <v>728</v>
      </c>
      <c r="B53">
        <v>2023</v>
      </c>
      <c r="C53" t="s">
        <v>1200</v>
      </c>
      <c r="E53" t="s">
        <v>512</v>
      </c>
      <c r="F53" t="s">
        <v>515</v>
      </c>
      <c r="G53" t="s">
        <v>513</v>
      </c>
      <c r="H53" t="s">
        <v>49</v>
      </c>
      <c r="I53" t="s">
        <v>80</v>
      </c>
      <c r="J53" t="s">
        <v>81</v>
      </c>
      <c r="K53" t="s">
        <v>604</v>
      </c>
      <c r="L53" t="s">
        <v>39</v>
      </c>
      <c r="M53">
        <v>4.2</v>
      </c>
      <c r="P53" t="s">
        <v>729</v>
      </c>
      <c r="Q53" t="s">
        <v>1231</v>
      </c>
    </row>
    <row r="54" spans="1:17" x14ac:dyDescent="0.25">
      <c r="A54" t="s">
        <v>737</v>
      </c>
      <c r="B54">
        <v>2023</v>
      </c>
      <c r="C54" t="s">
        <v>1200</v>
      </c>
      <c r="D54" t="s">
        <v>125</v>
      </c>
      <c r="F54" t="s">
        <v>128</v>
      </c>
      <c r="H54" t="s">
        <v>115</v>
      </c>
      <c r="I54" t="s">
        <v>258</v>
      </c>
      <c r="J54" t="s">
        <v>1206</v>
      </c>
      <c r="K54" t="s">
        <v>22</v>
      </c>
      <c r="L54" t="s">
        <v>579</v>
      </c>
      <c r="M54">
        <v>87467</v>
      </c>
      <c r="N54">
        <v>2.7205298345000002</v>
      </c>
      <c r="O54" t="s">
        <v>738</v>
      </c>
      <c r="P54" t="s">
        <v>126</v>
      </c>
      <c r="Q54" t="s">
        <v>1232</v>
      </c>
    </row>
    <row r="55" spans="1:17" x14ac:dyDescent="0.25">
      <c r="A55" t="s">
        <v>124</v>
      </c>
      <c r="B55">
        <v>2023</v>
      </c>
      <c r="C55" t="s">
        <v>1200</v>
      </c>
      <c r="D55" t="s">
        <v>125</v>
      </c>
      <c r="F55" t="s">
        <v>128</v>
      </c>
      <c r="H55" t="s">
        <v>115</v>
      </c>
      <c r="I55" t="s">
        <v>50</v>
      </c>
      <c r="J55" t="s">
        <v>107</v>
      </c>
      <c r="K55" t="s">
        <v>22</v>
      </c>
      <c r="L55" t="s">
        <v>73</v>
      </c>
      <c r="M55">
        <v>222627</v>
      </c>
      <c r="N55">
        <v>222627</v>
      </c>
      <c r="P55" t="s">
        <v>126</v>
      </c>
      <c r="Q55" t="s">
        <v>1232</v>
      </c>
    </row>
    <row r="56" spans="1:17" x14ac:dyDescent="0.25">
      <c r="A56" t="s">
        <v>612</v>
      </c>
      <c r="B56">
        <v>2023</v>
      </c>
      <c r="C56" t="s">
        <v>1200</v>
      </c>
      <c r="D56" t="s">
        <v>131</v>
      </c>
      <c r="F56" t="s">
        <v>133</v>
      </c>
      <c r="H56" t="s">
        <v>119</v>
      </c>
      <c r="I56" t="s">
        <v>258</v>
      </c>
      <c r="J56" t="s">
        <v>613</v>
      </c>
      <c r="K56" t="s">
        <v>22</v>
      </c>
      <c r="L56" t="s">
        <v>614</v>
      </c>
      <c r="M56">
        <v>5.0999999999999996</v>
      </c>
      <c r="N56">
        <v>1.02</v>
      </c>
      <c r="P56" t="s">
        <v>132</v>
      </c>
      <c r="Q56" t="s">
        <v>1233</v>
      </c>
    </row>
    <row r="57" spans="1:17" x14ac:dyDescent="0.25">
      <c r="A57" t="s">
        <v>129</v>
      </c>
      <c r="B57">
        <v>2023</v>
      </c>
      <c r="C57" t="s">
        <v>1200</v>
      </c>
      <c r="D57" t="s">
        <v>131</v>
      </c>
      <c r="F57" t="s">
        <v>133</v>
      </c>
      <c r="H57" t="s">
        <v>119</v>
      </c>
      <c r="I57" t="s">
        <v>50</v>
      </c>
      <c r="J57" t="s">
        <v>51</v>
      </c>
      <c r="K57" t="s">
        <v>22</v>
      </c>
      <c r="L57" t="s">
        <v>130</v>
      </c>
      <c r="M57">
        <v>4.2</v>
      </c>
      <c r="N57">
        <v>4200000</v>
      </c>
      <c r="P57" t="s">
        <v>132</v>
      </c>
      <c r="Q57" t="s">
        <v>1234</v>
      </c>
    </row>
    <row r="58" spans="1:17" x14ac:dyDescent="0.25">
      <c r="A58" t="s">
        <v>615</v>
      </c>
      <c r="B58">
        <v>2023</v>
      </c>
      <c r="C58" t="s">
        <v>1200</v>
      </c>
      <c r="D58" t="s">
        <v>131</v>
      </c>
      <c r="F58" t="s">
        <v>133</v>
      </c>
      <c r="H58" t="s">
        <v>119</v>
      </c>
      <c r="I58" t="s">
        <v>80</v>
      </c>
      <c r="J58" t="s">
        <v>81</v>
      </c>
      <c r="K58" t="s">
        <v>22</v>
      </c>
      <c r="L58" t="s">
        <v>616</v>
      </c>
      <c r="M58">
        <v>4.5999999999999996</v>
      </c>
      <c r="N58">
        <v>4600000</v>
      </c>
      <c r="P58" t="s">
        <v>132</v>
      </c>
      <c r="Q58" t="s">
        <v>1235</v>
      </c>
    </row>
    <row r="59" spans="1:17" x14ac:dyDescent="0.25">
      <c r="A59" t="s">
        <v>691</v>
      </c>
      <c r="B59">
        <v>2023</v>
      </c>
      <c r="C59" t="s">
        <v>1200</v>
      </c>
      <c r="D59" t="s">
        <v>135</v>
      </c>
      <c r="F59" t="s">
        <v>136</v>
      </c>
      <c r="H59" t="s">
        <v>115</v>
      </c>
      <c r="I59" t="s">
        <v>258</v>
      </c>
      <c r="J59" t="s">
        <v>1206</v>
      </c>
      <c r="K59" t="s">
        <v>22</v>
      </c>
      <c r="L59" t="s">
        <v>583</v>
      </c>
      <c r="M59">
        <v>232</v>
      </c>
      <c r="N59">
        <v>7.2160120000000001</v>
      </c>
      <c r="P59" t="s">
        <v>61</v>
      </c>
      <c r="Q59" t="s">
        <v>1205</v>
      </c>
    </row>
    <row r="60" spans="1:17" x14ac:dyDescent="0.25">
      <c r="A60" t="s">
        <v>692</v>
      </c>
      <c r="B60">
        <v>2023</v>
      </c>
      <c r="C60" t="s">
        <v>1200</v>
      </c>
      <c r="D60" t="s">
        <v>135</v>
      </c>
      <c r="F60" t="s">
        <v>136</v>
      </c>
      <c r="H60" t="s">
        <v>582</v>
      </c>
      <c r="I60" t="s">
        <v>258</v>
      </c>
      <c r="J60" t="s">
        <v>1206</v>
      </c>
      <c r="K60" t="s">
        <v>22</v>
      </c>
      <c r="L60" t="s">
        <v>579</v>
      </c>
      <c r="M60">
        <v>11835</v>
      </c>
      <c r="N60">
        <v>0.36810992249999902</v>
      </c>
      <c r="P60" t="s">
        <v>61</v>
      </c>
      <c r="Q60" t="s">
        <v>1236</v>
      </c>
    </row>
    <row r="61" spans="1:17" x14ac:dyDescent="0.25">
      <c r="A61" t="s">
        <v>134</v>
      </c>
      <c r="B61">
        <v>2023</v>
      </c>
      <c r="C61" t="s">
        <v>1200</v>
      </c>
      <c r="D61" t="s">
        <v>135</v>
      </c>
      <c r="F61" t="s">
        <v>136</v>
      </c>
      <c r="H61" t="s">
        <v>115</v>
      </c>
      <c r="I61" t="s">
        <v>80</v>
      </c>
      <c r="J61" t="s">
        <v>81</v>
      </c>
      <c r="K61" t="s">
        <v>22</v>
      </c>
      <c r="L61" t="s">
        <v>23</v>
      </c>
      <c r="M61">
        <v>1656</v>
      </c>
      <c r="N61">
        <v>1656000</v>
      </c>
      <c r="P61" t="s">
        <v>61</v>
      </c>
      <c r="Q61" t="s">
        <v>1205</v>
      </c>
    </row>
    <row r="62" spans="1:17" x14ac:dyDescent="0.25">
      <c r="A62" t="s">
        <v>1237</v>
      </c>
      <c r="B62">
        <v>2023</v>
      </c>
      <c r="C62" t="s">
        <v>1200</v>
      </c>
      <c r="D62" t="s">
        <v>135</v>
      </c>
      <c r="F62" t="s">
        <v>136</v>
      </c>
      <c r="H62" t="s">
        <v>115</v>
      </c>
      <c r="I62" t="s">
        <v>50</v>
      </c>
      <c r="J62" t="s">
        <v>51</v>
      </c>
      <c r="K62" t="s">
        <v>22</v>
      </c>
      <c r="L62" t="s">
        <v>23</v>
      </c>
      <c r="M62">
        <v>1661</v>
      </c>
      <c r="N62">
        <v>1661000</v>
      </c>
      <c r="P62" t="s">
        <v>61</v>
      </c>
      <c r="Q62" t="s">
        <v>1205</v>
      </c>
    </row>
    <row r="63" spans="1:17" x14ac:dyDescent="0.25">
      <c r="A63" t="s">
        <v>652</v>
      </c>
      <c r="B63">
        <v>2024</v>
      </c>
      <c r="C63" t="s">
        <v>1200</v>
      </c>
      <c r="D63" t="s">
        <v>139</v>
      </c>
      <c r="F63" t="s">
        <v>142</v>
      </c>
      <c r="H63" t="s">
        <v>115</v>
      </c>
      <c r="I63" t="s">
        <v>80</v>
      </c>
      <c r="J63" t="s">
        <v>81</v>
      </c>
      <c r="K63" t="s">
        <v>22</v>
      </c>
      <c r="L63" t="s">
        <v>73</v>
      </c>
      <c r="M63">
        <v>34017</v>
      </c>
      <c r="N63">
        <v>34017</v>
      </c>
      <c r="P63" t="s">
        <v>140</v>
      </c>
      <c r="Q63" t="s">
        <v>1238</v>
      </c>
    </row>
    <row r="64" spans="1:17" x14ac:dyDescent="0.25">
      <c r="A64" t="s">
        <v>137</v>
      </c>
      <c r="B64">
        <v>2024</v>
      </c>
      <c r="C64" t="s">
        <v>1200</v>
      </c>
      <c r="D64" t="s">
        <v>139</v>
      </c>
      <c r="F64" t="s">
        <v>142</v>
      </c>
      <c r="H64" t="s">
        <v>115</v>
      </c>
      <c r="I64" t="s">
        <v>50</v>
      </c>
      <c r="J64" t="s">
        <v>138</v>
      </c>
      <c r="K64" t="s">
        <v>22</v>
      </c>
      <c r="L64" t="s">
        <v>73</v>
      </c>
      <c r="M64">
        <v>33245</v>
      </c>
      <c r="N64">
        <v>33245</v>
      </c>
      <c r="P64" t="s">
        <v>140</v>
      </c>
      <c r="Q64" t="s">
        <v>1238</v>
      </c>
    </row>
    <row r="65" spans="1:17" x14ac:dyDescent="0.25">
      <c r="A65" t="s">
        <v>653</v>
      </c>
      <c r="B65">
        <v>2024</v>
      </c>
      <c r="C65" t="s">
        <v>1200</v>
      </c>
      <c r="D65" t="s">
        <v>139</v>
      </c>
      <c r="F65" t="s">
        <v>142</v>
      </c>
      <c r="H65" t="s">
        <v>115</v>
      </c>
      <c r="I65" t="s">
        <v>258</v>
      </c>
      <c r="J65" t="s">
        <v>1206</v>
      </c>
      <c r="K65" t="s">
        <v>22</v>
      </c>
      <c r="L65" t="s">
        <v>579</v>
      </c>
      <c r="M65">
        <v>3916</v>
      </c>
      <c r="N65">
        <v>0.121801306</v>
      </c>
      <c r="O65" t="s">
        <v>654</v>
      </c>
      <c r="P65" t="s">
        <v>140</v>
      </c>
      <c r="Q65" t="s">
        <v>1238</v>
      </c>
    </row>
    <row r="66" spans="1:17" x14ac:dyDescent="0.25">
      <c r="A66" t="s">
        <v>143</v>
      </c>
      <c r="B66">
        <v>2021</v>
      </c>
      <c r="C66" t="s">
        <v>1200</v>
      </c>
      <c r="D66" t="s">
        <v>145</v>
      </c>
      <c r="F66" t="s">
        <v>147</v>
      </c>
      <c r="H66" t="s">
        <v>36</v>
      </c>
      <c r="I66" t="s">
        <v>20</v>
      </c>
      <c r="J66" t="s">
        <v>144</v>
      </c>
      <c r="K66" t="s">
        <v>22</v>
      </c>
      <c r="L66" t="s">
        <v>23</v>
      </c>
      <c r="M66">
        <v>828</v>
      </c>
      <c r="N66">
        <v>828000</v>
      </c>
      <c r="P66" t="s">
        <v>146</v>
      </c>
      <c r="Q66" t="s">
        <v>1239</v>
      </c>
    </row>
    <row r="67" spans="1:17" x14ac:dyDescent="0.25">
      <c r="A67" t="s">
        <v>635</v>
      </c>
      <c r="B67">
        <v>2021</v>
      </c>
      <c r="C67" t="s">
        <v>1200</v>
      </c>
      <c r="D67" t="s">
        <v>145</v>
      </c>
      <c r="F67" t="s">
        <v>147</v>
      </c>
      <c r="H67" t="s">
        <v>36</v>
      </c>
      <c r="I67" t="s">
        <v>20</v>
      </c>
      <c r="J67" t="s">
        <v>636</v>
      </c>
      <c r="K67" t="s">
        <v>604</v>
      </c>
      <c r="L67" t="s">
        <v>637</v>
      </c>
      <c r="M67">
        <v>1200</v>
      </c>
      <c r="P67" t="s">
        <v>146</v>
      </c>
      <c r="Q67" t="s">
        <v>1239</v>
      </c>
    </row>
    <row r="68" spans="1:17" x14ac:dyDescent="0.25">
      <c r="A68" t="s">
        <v>148</v>
      </c>
      <c r="B68">
        <v>2023</v>
      </c>
      <c r="C68" t="s">
        <v>1200</v>
      </c>
      <c r="D68" t="s">
        <v>151</v>
      </c>
      <c r="E68" t="s">
        <v>152</v>
      </c>
      <c r="F68" t="s">
        <v>153</v>
      </c>
      <c r="G68" t="s">
        <v>154</v>
      </c>
      <c r="H68" t="s">
        <v>49</v>
      </c>
      <c r="I68" t="s">
        <v>80</v>
      </c>
      <c r="J68" t="s">
        <v>81</v>
      </c>
      <c r="K68" t="s">
        <v>22</v>
      </c>
      <c r="L68" t="s">
        <v>23</v>
      </c>
      <c r="M68">
        <v>5901</v>
      </c>
      <c r="N68">
        <v>5901000</v>
      </c>
      <c r="O68" t="s">
        <v>150</v>
      </c>
      <c r="P68" t="s">
        <v>42</v>
      </c>
      <c r="Q68" t="s">
        <v>1240</v>
      </c>
    </row>
    <row r="69" spans="1:17" x14ac:dyDescent="0.25">
      <c r="A69" t="s">
        <v>681</v>
      </c>
      <c r="B69">
        <v>2023</v>
      </c>
      <c r="C69" t="s">
        <v>1200</v>
      </c>
      <c r="D69" t="s">
        <v>156</v>
      </c>
      <c r="F69" t="s">
        <v>159</v>
      </c>
      <c r="H69" t="s">
        <v>115</v>
      </c>
      <c r="I69" t="s">
        <v>80</v>
      </c>
      <c r="J69" t="s">
        <v>81</v>
      </c>
      <c r="K69" t="s">
        <v>22</v>
      </c>
      <c r="L69" t="s">
        <v>23</v>
      </c>
      <c r="M69">
        <v>391</v>
      </c>
      <c r="N69">
        <v>391000</v>
      </c>
      <c r="O69" t="s">
        <v>1241</v>
      </c>
      <c r="P69" t="s">
        <v>157</v>
      </c>
      <c r="Q69" t="s">
        <v>1242</v>
      </c>
    </row>
    <row r="70" spans="1:17" x14ac:dyDescent="0.25">
      <c r="A70" t="s">
        <v>155</v>
      </c>
      <c r="B70">
        <v>2023</v>
      </c>
      <c r="C70" t="s">
        <v>1200</v>
      </c>
      <c r="D70" t="s">
        <v>156</v>
      </c>
      <c r="F70" t="s">
        <v>159</v>
      </c>
      <c r="H70" t="s">
        <v>115</v>
      </c>
      <c r="I70" t="s">
        <v>50</v>
      </c>
      <c r="J70" t="s">
        <v>51</v>
      </c>
      <c r="K70" t="s">
        <v>22</v>
      </c>
      <c r="L70" t="s">
        <v>23</v>
      </c>
      <c r="M70">
        <v>457</v>
      </c>
      <c r="N70">
        <v>457000</v>
      </c>
      <c r="O70" t="s">
        <v>1241</v>
      </c>
      <c r="P70" t="s">
        <v>157</v>
      </c>
      <c r="Q70" t="s">
        <v>1242</v>
      </c>
    </row>
    <row r="71" spans="1:17" x14ac:dyDescent="0.25">
      <c r="A71" t="s">
        <v>682</v>
      </c>
      <c r="B71">
        <v>2023</v>
      </c>
      <c r="C71" t="s">
        <v>1200</v>
      </c>
      <c r="D71" t="s">
        <v>156</v>
      </c>
      <c r="F71" t="s">
        <v>159</v>
      </c>
      <c r="H71" t="s">
        <v>115</v>
      </c>
      <c r="I71" t="s">
        <v>258</v>
      </c>
      <c r="J71" t="s">
        <v>1206</v>
      </c>
      <c r="K71" t="s">
        <v>22</v>
      </c>
      <c r="L71" t="s">
        <v>583</v>
      </c>
      <c r="M71">
        <v>44.4</v>
      </c>
      <c r="N71">
        <v>1.3809954</v>
      </c>
      <c r="O71" t="s">
        <v>1241</v>
      </c>
      <c r="P71" t="s">
        <v>157</v>
      </c>
      <c r="Q71" t="s">
        <v>1242</v>
      </c>
    </row>
    <row r="72" spans="1:17" x14ac:dyDescent="0.25">
      <c r="A72" t="s">
        <v>683</v>
      </c>
      <c r="B72">
        <v>2023</v>
      </c>
      <c r="C72" t="s">
        <v>1200</v>
      </c>
      <c r="D72" t="s">
        <v>156</v>
      </c>
      <c r="F72" t="s">
        <v>159</v>
      </c>
      <c r="H72" t="s">
        <v>582</v>
      </c>
      <c r="I72" t="s">
        <v>258</v>
      </c>
      <c r="J72" t="s">
        <v>1206</v>
      </c>
      <c r="K72" t="s">
        <v>22</v>
      </c>
      <c r="L72" t="s">
        <v>583</v>
      </c>
      <c r="M72">
        <v>1.4</v>
      </c>
      <c r="N72">
        <v>4.3544899999999997E-2</v>
      </c>
      <c r="O72" t="s">
        <v>1241</v>
      </c>
      <c r="P72" t="s">
        <v>157</v>
      </c>
      <c r="Q72" t="s">
        <v>1242</v>
      </c>
    </row>
    <row r="73" spans="1:17" x14ac:dyDescent="0.25">
      <c r="A73" t="s">
        <v>160</v>
      </c>
      <c r="B73">
        <v>2024</v>
      </c>
      <c r="C73" t="s">
        <v>1200</v>
      </c>
      <c r="D73" t="s">
        <v>161</v>
      </c>
      <c r="E73" t="s">
        <v>162</v>
      </c>
      <c r="F73" t="s">
        <v>163</v>
      </c>
      <c r="G73" t="s">
        <v>164</v>
      </c>
      <c r="H73" t="s">
        <v>59</v>
      </c>
      <c r="I73" t="s">
        <v>80</v>
      </c>
      <c r="J73" t="s">
        <v>81</v>
      </c>
      <c r="K73" t="s">
        <v>22</v>
      </c>
      <c r="L73" t="s">
        <v>73</v>
      </c>
      <c r="M73">
        <v>553033</v>
      </c>
      <c r="N73">
        <v>553033</v>
      </c>
      <c r="P73" t="s">
        <v>69</v>
      </c>
      <c r="Q73" t="s">
        <v>1243</v>
      </c>
    </row>
    <row r="74" spans="1:17" x14ac:dyDescent="0.25">
      <c r="A74" t="s">
        <v>1244</v>
      </c>
      <c r="B74">
        <v>2023</v>
      </c>
      <c r="C74" t="s">
        <v>1200</v>
      </c>
      <c r="D74" t="s">
        <v>529</v>
      </c>
      <c r="E74" t="s">
        <v>403</v>
      </c>
      <c r="F74" t="s">
        <v>530</v>
      </c>
      <c r="G74" t="s">
        <v>405</v>
      </c>
      <c r="H74" t="s">
        <v>326</v>
      </c>
      <c r="I74" t="s">
        <v>258</v>
      </c>
      <c r="J74" t="s">
        <v>259</v>
      </c>
      <c r="K74" t="s">
        <v>22</v>
      </c>
      <c r="L74" t="s">
        <v>73</v>
      </c>
      <c r="M74">
        <v>7946</v>
      </c>
      <c r="N74">
        <v>7946</v>
      </c>
      <c r="O74" t="s">
        <v>1245</v>
      </c>
      <c r="P74" t="s">
        <v>394</v>
      </c>
      <c r="Q74" t="s">
        <v>1217</v>
      </c>
    </row>
    <row r="75" spans="1:17" x14ac:dyDescent="0.25">
      <c r="A75" t="s">
        <v>1246</v>
      </c>
      <c r="B75">
        <v>2023</v>
      </c>
      <c r="C75" t="s">
        <v>1200</v>
      </c>
      <c r="D75" t="s">
        <v>529</v>
      </c>
      <c r="E75" t="s">
        <v>403</v>
      </c>
      <c r="F75" t="s">
        <v>530</v>
      </c>
      <c r="G75" t="s">
        <v>405</v>
      </c>
      <c r="H75" t="s">
        <v>546</v>
      </c>
      <c r="I75" t="s">
        <v>258</v>
      </c>
      <c r="J75" t="s">
        <v>259</v>
      </c>
      <c r="K75" t="s">
        <v>22</v>
      </c>
      <c r="L75" t="s">
        <v>73</v>
      </c>
      <c r="M75">
        <v>7453</v>
      </c>
      <c r="N75">
        <v>7453</v>
      </c>
      <c r="O75" t="s">
        <v>1245</v>
      </c>
      <c r="P75" t="s">
        <v>394</v>
      </c>
      <c r="Q75" t="s">
        <v>1217</v>
      </c>
    </row>
    <row r="76" spans="1:17" x14ac:dyDescent="0.25">
      <c r="A76" t="s">
        <v>1247</v>
      </c>
      <c r="B76">
        <v>2023</v>
      </c>
      <c r="C76" t="s">
        <v>1200</v>
      </c>
      <c r="D76" t="s">
        <v>529</v>
      </c>
      <c r="E76" t="s">
        <v>403</v>
      </c>
      <c r="F76" t="s">
        <v>530</v>
      </c>
      <c r="G76" t="s">
        <v>405</v>
      </c>
      <c r="H76" t="s">
        <v>59</v>
      </c>
      <c r="I76" t="s">
        <v>50</v>
      </c>
      <c r="J76" t="s">
        <v>51</v>
      </c>
      <c r="K76" t="s">
        <v>22</v>
      </c>
      <c r="L76" t="s">
        <v>73</v>
      </c>
      <c r="M76">
        <v>616000</v>
      </c>
      <c r="N76">
        <v>616000</v>
      </c>
      <c r="O76" t="s">
        <v>1245</v>
      </c>
      <c r="P76" t="s">
        <v>394</v>
      </c>
      <c r="Q76" t="s">
        <v>1217</v>
      </c>
    </row>
    <row r="77" spans="1:17" x14ac:dyDescent="0.25">
      <c r="A77" t="s">
        <v>1305</v>
      </c>
      <c r="B77">
        <v>2023</v>
      </c>
      <c r="C77" t="s">
        <v>1200</v>
      </c>
      <c r="D77" t="s">
        <v>529</v>
      </c>
      <c r="E77" t="s">
        <v>403</v>
      </c>
      <c r="F77" t="s">
        <v>530</v>
      </c>
      <c r="G77" t="s">
        <v>405</v>
      </c>
      <c r="H77" t="s">
        <v>546</v>
      </c>
      <c r="I77" t="s">
        <v>50</v>
      </c>
      <c r="K77" t="s">
        <v>22</v>
      </c>
      <c r="L77" t="s">
        <v>1300</v>
      </c>
      <c r="M77">
        <v>650000.00278139301</v>
      </c>
      <c r="N77">
        <v>650000.00278139301</v>
      </c>
      <c r="P77" t="s">
        <v>394</v>
      </c>
      <c r="Q77" t="s">
        <v>1301</v>
      </c>
    </row>
    <row r="78" spans="1:17" x14ac:dyDescent="0.25">
      <c r="A78" t="s">
        <v>1345</v>
      </c>
      <c r="B78">
        <v>2023</v>
      </c>
      <c r="C78" t="s">
        <v>1200</v>
      </c>
      <c r="D78" t="s">
        <v>529</v>
      </c>
      <c r="E78" t="s">
        <v>403</v>
      </c>
      <c r="F78" t="s">
        <v>530</v>
      </c>
      <c r="G78" t="s">
        <v>405</v>
      </c>
      <c r="I78" t="s">
        <v>50</v>
      </c>
      <c r="K78" t="s">
        <v>604</v>
      </c>
      <c r="L78" t="s">
        <v>1341</v>
      </c>
      <c r="M78">
        <v>4822000.02063365</v>
      </c>
      <c r="N78">
        <v>4822000.02063365</v>
      </c>
      <c r="P78" t="s">
        <v>394</v>
      </c>
      <c r="Q78" t="s">
        <v>1301</v>
      </c>
    </row>
    <row r="79" spans="1:17" x14ac:dyDescent="0.25">
      <c r="A79" t="s">
        <v>722</v>
      </c>
      <c r="B79">
        <v>2023</v>
      </c>
      <c r="C79" t="s">
        <v>1200</v>
      </c>
      <c r="D79" t="s">
        <v>167</v>
      </c>
      <c r="F79" t="s">
        <v>170</v>
      </c>
      <c r="H79" t="s">
        <v>59</v>
      </c>
      <c r="I79" t="s">
        <v>80</v>
      </c>
      <c r="J79" t="s">
        <v>81</v>
      </c>
      <c r="K79" t="s">
        <v>22</v>
      </c>
      <c r="L79" t="s">
        <v>39</v>
      </c>
      <c r="M79">
        <v>88.1</v>
      </c>
      <c r="N79">
        <v>88100000</v>
      </c>
      <c r="P79" t="s">
        <v>168</v>
      </c>
      <c r="Q79" t="s">
        <v>1248</v>
      </c>
    </row>
    <row r="80" spans="1:17" x14ac:dyDescent="0.25">
      <c r="A80" t="s">
        <v>166</v>
      </c>
      <c r="B80">
        <v>2023</v>
      </c>
      <c r="C80" t="s">
        <v>1200</v>
      </c>
      <c r="D80" t="s">
        <v>167</v>
      </c>
      <c r="F80" t="s">
        <v>170</v>
      </c>
      <c r="H80" t="s">
        <v>59</v>
      </c>
      <c r="I80" t="s">
        <v>50</v>
      </c>
      <c r="J80" t="s">
        <v>107</v>
      </c>
      <c r="K80" t="s">
        <v>22</v>
      </c>
      <c r="L80" t="s">
        <v>39</v>
      </c>
      <c r="M80">
        <v>30</v>
      </c>
      <c r="N80">
        <v>30000000</v>
      </c>
      <c r="P80" t="s">
        <v>168</v>
      </c>
      <c r="Q80" t="s">
        <v>1248</v>
      </c>
    </row>
    <row r="81" spans="1:17" x14ac:dyDescent="0.25">
      <c r="A81" t="s">
        <v>723</v>
      </c>
      <c r="B81">
        <v>2023</v>
      </c>
      <c r="C81" t="s">
        <v>1200</v>
      </c>
      <c r="D81" t="s">
        <v>167</v>
      </c>
      <c r="F81" t="s">
        <v>170</v>
      </c>
      <c r="H81" t="s">
        <v>726</v>
      </c>
      <c r="I81" t="s">
        <v>258</v>
      </c>
      <c r="J81" t="s">
        <v>259</v>
      </c>
      <c r="K81" t="s">
        <v>22</v>
      </c>
      <c r="L81" t="s">
        <v>625</v>
      </c>
      <c r="M81">
        <v>1202</v>
      </c>
      <c r="N81">
        <v>545.21758399999999</v>
      </c>
      <c r="O81" t="s">
        <v>727</v>
      </c>
      <c r="P81" t="s">
        <v>168</v>
      </c>
      <c r="Q81" t="s">
        <v>1248</v>
      </c>
    </row>
    <row r="82" spans="1:17" x14ac:dyDescent="0.25">
      <c r="A82" t="s">
        <v>725</v>
      </c>
      <c r="B82">
        <v>2023</v>
      </c>
      <c r="C82" t="s">
        <v>1200</v>
      </c>
      <c r="D82" t="s">
        <v>167</v>
      </c>
      <c r="F82" t="s">
        <v>170</v>
      </c>
      <c r="H82" t="s">
        <v>546</v>
      </c>
      <c r="I82" t="s">
        <v>258</v>
      </c>
      <c r="J82" t="s">
        <v>259</v>
      </c>
      <c r="K82" t="s">
        <v>22</v>
      </c>
      <c r="L82" t="s">
        <v>93</v>
      </c>
      <c r="M82">
        <v>122.6</v>
      </c>
      <c r="N82">
        <v>55610.379200000003</v>
      </c>
      <c r="O82" t="s">
        <v>724</v>
      </c>
      <c r="P82" t="s">
        <v>168</v>
      </c>
      <c r="Q82" t="s">
        <v>1248</v>
      </c>
    </row>
    <row r="83" spans="1:17" x14ac:dyDescent="0.25">
      <c r="A83" t="s">
        <v>1306</v>
      </c>
      <c r="B83">
        <v>2023</v>
      </c>
      <c r="C83" t="s">
        <v>1200</v>
      </c>
      <c r="D83" t="s">
        <v>167</v>
      </c>
      <c r="F83" t="s">
        <v>170</v>
      </c>
      <c r="H83" t="s">
        <v>546</v>
      </c>
      <c r="I83" t="s">
        <v>50</v>
      </c>
      <c r="K83" t="s">
        <v>22</v>
      </c>
      <c r="L83" t="s">
        <v>1300</v>
      </c>
      <c r="M83">
        <v>88100000.376985699</v>
      </c>
      <c r="N83">
        <v>88100000.376985699</v>
      </c>
      <c r="P83" t="s">
        <v>168</v>
      </c>
      <c r="Q83" t="s">
        <v>1301</v>
      </c>
    </row>
    <row r="84" spans="1:17" x14ac:dyDescent="0.25">
      <c r="A84" t="s">
        <v>1346</v>
      </c>
      <c r="B84">
        <v>2023</v>
      </c>
      <c r="C84" t="s">
        <v>1200</v>
      </c>
      <c r="D84" t="s">
        <v>167</v>
      </c>
      <c r="F84" t="s">
        <v>170</v>
      </c>
      <c r="I84" t="s">
        <v>50</v>
      </c>
      <c r="K84" t="s">
        <v>604</v>
      </c>
      <c r="L84" t="s">
        <v>1341</v>
      </c>
      <c r="M84">
        <v>645000002.75999701</v>
      </c>
      <c r="N84">
        <v>645000002.75999701</v>
      </c>
      <c r="P84" t="s">
        <v>168</v>
      </c>
      <c r="Q84" t="s">
        <v>1301</v>
      </c>
    </row>
    <row r="85" spans="1:17" x14ac:dyDescent="0.25">
      <c r="A85" t="s">
        <v>172</v>
      </c>
      <c r="B85">
        <v>2023</v>
      </c>
      <c r="C85" t="s">
        <v>1200</v>
      </c>
      <c r="D85" t="s">
        <v>173</v>
      </c>
      <c r="F85" t="s">
        <v>174</v>
      </c>
      <c r="H85" t="s">
        <v>546</v>
      </c>
      <c r="I85" t="s">
        <v>258</v>
      </c>
      <c r="J85" t="s">
        <v>259</v>
      </c>
      <c r="K85" t="s">
        <v>22</v>
      </c>
      <c r="L85" t="s">
        <v>73</v>
      </c>
      <c r="M85">
        <v>39.036757999999999</v>
      </c>
      <c r="N85">
        <v>39.036757999999999</v>
      </c>
      <c r="O85" t="s">
        <v>1249</v>
      </c>
      <c r="P85" t="s">
        <v>75</v>
      </c>
      <c r="Q85" t="s">
        <v>1208</v>
      </c>
    </row>
    <row r="86" spans="1:17" x14ac:dyDescent="0.25">
      <c r="A86" t="s">
        <v>586</v>
      </c>
      <c r="B86">
        <v>2023</v>
      </c>
      <c r="C86" t="s">
        <v>1200</v>
      </c>
      <c r="D86" t="s">
        <v>173</v>
      </c>
      <c r="F86" t="s">
        <v>174</v>
      </c>
      <c r="H86" t="s">
        <v>59</v>
      </c>
      <c r="I86" t="s">
        <v>50</v>
      </c>
      <c r="J86" t="s">
        <v>51</v>
      </c>
      <c r="K86" t="s">
        <v>22</v>
      </c>
      <c r="L86" t="s">
        <v>73</v>
      </c>
      <c r="M86">
        <v>2886927.3287240001</v>
      </c>
      <c r="N86">
        <v>2886927.3287240001</v>
      </c>
      <c r="P86" t="s">
        <v>75</v>
      </c>
      <c r="Q86" t="s">
        <v>1229</v>
      </c>
    </row>
    <row r="87" spans="1:17" x14ac:dyDescent="0.25">
      <c r="A87" t="s">
        <v>587</v>
      </c>
      <c r="B87">
        <v>2023</v>
      </c>
      <c r="C87" t="s">
        <v>1200</v>
      </c>
      <c r="D87" t="s">
        <v>173</v>
      </c>
      <c r="F87" t="s">
        <v>174</v>
      </c>
      <c r="H87" t="s">
        <v>115</v>
      </c>
      <c r="I87" t="s">
        <v>258</v>
      </c>
      <c r="J87" t="s">
        <v>1206</v>
      </c>
      <c r="K87" t="s">
        <v>22</v>
      </c>
      <c r="L87" t="s">
        <v>579</v>
      </c>
      <c r="M87">
        <v>140982.56710499999</v>
      </c>
      <c r="N87">
        <v>4.3850512759503602</v>
      </c>
      <c r="P87" t="s">
        <v>75</v>
      </c>
      <c r="Q87" t="s">
        <v>1229</v>
      </c>
    </row>
    <row r="88" spans="1:17" x14ac:dyDescent="0.25">
      <c r="A88" t="s">
        <v>588</v>
      </c>
      <c r="B88">
        <v>2023</v>
      </c>
      <c r="C88" t="s">
        <v>1200</v>
      </c>
      <c r="D88" t="s">
        <v>173</v>
      </c>
      <c r="F88" t="s">
        <v>174</v>
      </c>
      <c r="H88" t="s">
        <v>582</v>
      </c>
      <c r="I88" t="s">
        <v>258</v>
      </c>
      <c r="J88" t="s">
        <v>1206</v>
      </c>
      <c r="K88" t="s">
        <v>22</v>
      </c>
      <c r="L88" t="s">
        <v>583</v>
      </c>
      <c r="M88">
        <v>2</v>
      </c>
      <c r="N88">
        <v>6.2206999999999998E-2</v>
      </c>
      <c r="P88" t="s">
        <v>75</v>
      </c>
      <c r="Q88" t="s">
        <v>1229</v>
      </c>
    </row>
    <row r="89" spans="1:17" x14ac:dyDescent="0.25">
      <c r="A89" t="s">
        <v>712</v>
      </c>
      <c r="B89">
        <v>2023</v>
      </c>
      <c r="C89" t="s">
        <v>1200</v>
      </c>
      <c r="D89" t="s">
        <v>176</v>
      </c>
      <c r="E89" t="s">
        <v>25</v>
      </c>
      <c r="F89" t="s">
        <v>177</v>
      </c>
      <c r="G89" t="s">
        <v>28</v>
      </c>
      <c r="H89" t="s">
        <v>19</v>
      </c>
      <c r="I89" t="s">
        <v>20</v>
      </c>
      <c r="J89" t="s">
        <v>21</v>
      </c>
      <c r="K89" t="s">
        <v>604</v>
      </c>
      <c r="L89" t="s">
        <v>73</v>
      </c>
      <c r="M89">
        <v>233000</v>
      </c>
      <c r="P89" t="s">
        <v>26</v>
      </c>
      <c r="Q89" t="s">
        <v>1201</v>
      </c>
    </row>
    <row r="90" spans="1:17" x14ac:dyDescent="0.25">
      <c r="A90" t="s">
        <v>175</v>
      </c>
      <c r="B90">
        <v>2023</v>
      </c>
      <c r="C90" t="s">
        <v>1200</v>
      </c>
      <c r="D90" t="s">
        <v>176</v>
      </c>
      <c r="E90" t="s">
        <v>25</v>
      </c>
      <c r="F90" t="s">
        <v>177</v>
      </c>
      <c r="G90" t="s">
        <v>28</v>
      </c>
      <c r="H90" t="s">
        <v>19</v>
      </c>
      <c r="I90" t="s">
        <v>20</v>
      </c>
      <c r="J90" t="s">
        <v>21</v>
      </c>
      <c r="K90" t="s">
        <v>22</v>
      </c>
      <c r="L90" t="s">
        <v>23</v>
      </c>
      <c r="M90">
        <v>229</v>
      </c>
      <c r="N90">
        <v>229000</v>
      </c>
      <c r="P90" t="s">
        <v>26</v>
      </c>
      <c r="Q90" t="s">
        <v>1202</v>
      </c>
    </row>
    <row r="91" spans="1:17" x14ac:dyDescent="0.25">
      <c r="A91" t="s">
        <v>178</v>
      </c>
      <c r="B91">
        <v>2023</v>
      </c>
      <c r="C91" t="s">
        <v>1200</v>
      </c>
      <c r="D91" t="s">
        <v>180</v>
      </c>
      <c r="F91" t="s">
        <v>183</v>
      </c>
      <c r="H91" t="s">
        <v>115</v>
      </c>
      <c r="I91" t="s">
        <v>50</v>
      </c>
      <c r="J91" t="s">
        <v>51</v>
      </c>
      <c r="K91" t="s">
        <v>22</v>
      </c>
      <c r="L91" t="s">
        <v>73</v>
      </c>
      <c r="M91">
        <v>1266009</v>
      </c>
      <c r="N91">
        <v>1266009</v>
      </c>
      <c r="O91" t="s">
        <v>179</v>
      </c>
      <c r="P91" t="s">
        <v>181</v>
      </c>
      <c r="Q91" t="s">
        <v>1250</v>
      </c>
    </row>
    <row r="92" spans="1:17" x14ac:dyDescent="0.25">
      <c r="A92" t="s">
        <v>611</v>
      </c>
      <c r="B92">
        <v>2023</v>
      </c>
      <c r="C92" t="s">
        <v>1200</v>
      </c>
      <c r="D92" t="s">
        <v>180</v>
      </c>
      <c r="F92" t="s">
        <v>183</v>
      </c>
      <c r="H92" t="s">
        <v>115</v>
      </c>
      <c r="I92" t="s">
        <v>258</v>
      </c>
      <c r="J92" t="s">
        <v>1206</v>
      </c>
      <c r="K92" t="s">
        <v>22</v>
      </c>
      <c r="L92" t="s">
        <v>579</v>
      </c>
      <c r="M92">
        <v>141045</v>
      </c>
      <c r="N92">
        <v>4.3869931575000001</v>
      </c>
      <c r="P92" t="s">
        <v>181</v>
      </c>
      <c r="Q92" t="s">
        <v>1250</v>
      </c>
    </row>
    <row r="93" spans="1:17" x14ac:dyDescent="0.25">
      <c r="A93" t="s">
        <v>730</v>
      </c>
      <c r="B93">
        <v>2024</v>
      </c>
      <c r="C93" t="s">
        <v>1200</v>
      </c>
      <c r="D93" t="s">
        <v>186</v>
      </c>
      <c r="F93" t="s">
        <v>188</v>
      </c>
      <c r="H93" t="s">
        <v>59</v>
      </c>
      <c r="I93" t="s">
        <v>50</v>
      </c>
      <c r="J93" t="s">
        <v>51</v>
      </c>
      <c r="K93" t="s">
        <v>22</v>
      </c>
      <c r="L93" t="s">
        <v>23</v>
      </c>
      <c r="M93" s="8">
        <v>17408</v>
      </c>
      <c r="N93" s="8">
        <f>M93*1000</f>
        <v>17408000</v>
      </c>
      <c r="O93" t="s">
        <v>185</v>
      </c>
      <c r="P93" t="s">
        <v>187</v>
      </c>
      <c r="Q93" t="s">
        <v>1251</v>
      </c>
    </row>
    <row r="94" spans="1:17" x14ac:dyDescent="0.25">
      <c r="A94" t="s">
        <v>731</v>
      </c>
      <c r="B94">
        <v>2024</v>
      </c>
      <c r="C94" t="s">
        <v>1200</v>
      </c>
      <c r="D94" t="s">
        <v>186</v>
      </c>
      <c r="F94" t="s">
        <v>188</v>
      </c>
      <c r="H94" t="s">
        <v>726</v>
      </c>
      <c r="I94" t="s">
        <v>258</v>
      </c>
      <c r="J94" t="s">
        <v>259</v>
      </c>
      <c r="K94" t="s">
        <v>22</v>
      </c>
      <c r="L94" t="s">
        <v>23</v>
      </c>
      <c r="M94">
        <v>0.9</v>
      </c>
      <c r="N94">
        <v>900</v>
      </c>
      <c r="P94" t="s">
        <v>187</v>
      </c>
      <c r="Q94" t="s">
        <v>1252</v>
      </c>
    </row>
    <row r="95" spans="1:17" x14ac:dyDescent="0.25">
      <c r="A95" t="s">
        <v>184</v>
      </c>
      <c r="B95">
        <v>2024</v>
      </c>
      <c r="C95" t="s">
        <v>1200</v>
      </c>
      <c r="D95" t="s">
        <v>186</v>
      </c>
      <c r="F95" t="s">
        <v>188</v>
      </c>
      <c r="H95" t="s">
        <v>546</v>
      </c>
      <c r="I95" t="s">
        <v>258</v>
      </c>
      <c r="J95" t="s">
        <v>259</v>
      </c>
      <c r="K95" t="s">
        <v>22</v>
      </c>
      <c r="L95" t="s">
        <v>23</v>
      </c>
      <c r="M95">
        <v>102.4</v>
      </c>
      <c r="N95">
        <v>102400</v>
      </c>
      <c r="P95" t="s">
        <v>187</v>
      </c>
      <c r="Q95" t="s">
        <v>1252</v>
      </c>
    </row>
    <row r="96" spans="1:17" x14ac:dyDescent="0.25">
      <c r="A96" t="s">
        <v>1307</v>
      </c>
      <c r="B96">
        <v>2023</v>
      </c>
      <c r="C96" t="s">
        <v>1200</v>
      </c>
      <c r="D96" t="s">
        <v>186</v>
      </c>
      <c r="F96" t="s">
        <v>188</v>
      </c>
      <c r="H96" t="s">
        <v>546</v>
      </c>
      <c r="I96" t="s">
        <v>50</v>
      </c>
      <c r="K96" t="s">
        <v>22</v>
      </c>
      <c r="L96" t="s">
        <v>1300</v>
      </c>
      <c r="M96">
        <v>72886000.311884001</v>
      </c>
      <c r="N96">
        <v>72886000.311884001</v>
      </c>
      <c r="P96" t="s">
        <v>187</v>
      </c>
      <c r="Q96" t="s">
        <v>1301</v>
      </c>
    </row>
    <row r="97" spans="1:17" x14ac:dyDescent="0.25">
      <c r="A97" t="s">
        <v>1347</v>
      </c>
      <c r="B97">
        <v>2023</v>
      </c>
      <c r="C97" t="s">
        <v>1200</v>
      </c>
      <c r="D97" t="s">
        <v>186</v>
      </c>
      <c r="F97" t="s">
        <v>188</v>
      </c>
      <c r="I97" t="s">
        <v>50</v>
      </c>
      <c r="K97" t="s">
        <v>604</v>
      </c>
      <c r="L97" t="s">
        <v>1341</v>
      </c>
      <c r="M97">
        <v>263100001.12582201</v>
      </c>
      <c r="N97">
        <v>263100001.12582201</v>
      </c>
      <c r="P97" t="s">
        <v>187</v>
      </c>
      <c r="Q97" t="s">
        <v>1301</v>
      </c>
    </row>
    <row r="98" spans="1:17" x14ac:dyDescent="0.25">
      <c r="A98" t="s">
        <v>1308</v>
      </c>
      <c r="B98">
        <v>2023</v>
      </c>
      <c r="C98" t="s">
        <v>1200</v>
      </c>
      <c r="D98" t="s">
        <v>494</v>
      </c>
      <c r="E98" t="s">
        <v>493</v>
      </c>
      <c r="F98" s="11" t="s">
        <v>495</v>
      </c>
      <c r="G98" t="s">
        <v>492</v>
      </c>
      <c r="H98" t="s">
        <v>546</v>
      </c>
      <c r="I98" t="s">
        <v>50</v>
      </c>
      <c r="K98" t="s">
        <v>22</v>
      </c>
      <c r="L98" t="s">
        <v>1300</v>
      </c>
      <c r="M98">
        <v>0</v>
      </c>
      <c r="N98">
        <v>0</v>
      </c>
      <c r="P98" t="s">
        <v>69</v>
      </c>
      <c r="Q98" t="s">
        <v>1301</v>
      </c>
    </row>
    <row r="99" spans="1:17" x14ac:dyDescent="0.25">
      <c r="A99" t="s">
        <v>1348</v>
      </c>
      <c r="B99">
        <v>2023</v>
      </c>
      <c r="C99" t="s">
        <v>1200</v>
      </c>
      <c r="D99" t="s">
        <v>494</v>
      </c>
      <c r="E99" t="s">
        <v>493</v>
      </c>
      <c r="F99" s="11" t="s">
        <v>495</v>
      </c>
      <c r="G99" t="s">
        <v>492</v>
      </c>
      <c r="I99" t="s">
        <v>50</v>
      </c>
      <c r="K99" t="s">
        <v>604</v>
      </c>
      <c r="L99" t="s">
        <v>1341</v>
      </c>
      <c r="M99">
        <v>87879592.968635201</v>
      </c>
      <c r="N99">
        <v>87879592.968635201</v>
      </c>
      <c r="P99" t="s">
        <v>69</v>
      </c>
      <c r="Q99" t="s">
        <v>1301</v>
      </c>
    </row>
    <row r="100" spans="1:17" x14ac:dyDescent="0.25">
      <c r="A100" t="s">
        <v>695</v>
      </c>
      <c r="B100">
        <v>2023</v>
      </c>
      <c r="C100" t="s">
        <v>1200</v>
      </c>
      <c r="E100" t="s">
        <v>191</v>
      </c>
      <c r="F100" t="s">
        <v>192</v>
      </c>
      <c r="G100" t="s">
        <v>193</v>
      </c>
      <c r="H100" t="s">
        <v>115</v>
      </c>
      <c r="I100" t="s">
        <v>258</v>
      </c>
      <c r="J100" t="s">
        <v>1206</v>
      </c>
      <c r="K100" t="s">
        <v>22</v>
      </c>
      <c r="L100" t="s">
        <v>583</v>
      </c>
      <c r="M100">
        <v>260</v>
      </c>
      <c r="N100">
        <v>8.0869099999999996</v>
      </c>
      <c r="P100" t="s">
        <v>61</v>
      </c>
      <c r="Q100" t="s">
        <v>1205</v>
      </c>
    </row>
    <row r="101" spans="1:17" x14ac:dyDescent="0.25">
      <c r="A101" t="s">
        <v>190</v>
      </c>
      <c r="B101">
        <v>2023</v>
      </c>
      <c r="C101" t="s">
        <v>1200</v>
      </c>
      <c r="E101" t="s">
        <v>191</v>
      </c>
      <c r="F101" t="s">
        <v>192</v>
      </c>
      <c r="G101" t="s">
        <v>193</v>
      </c>
      <c r="H101" t="s">
        <v>115</v>
      </c>
      <c r="I101" t="s">
        <v>50</v>
      </c>
      <c r="J101" t="s">
        <v>51</v>
      </c>
      <c r="K101" t="s">
        <v>22</v>
      </c>
      <c r="L101" t="s">
        <v>23</v>
      </c>
      <c r="M101">
        <v>2911</v>
      </c>
      <c r="N101">
        <v>2911000</v>
      </c>
      <c r="P101" t="s">
        <v>61</v>
      </c>
      <c r="Q101" t="s">
        <v>1205</v>
      </c>
    </row>
    <row r="102" spans="1:17" x14ac:dyDescent="0.25">
      <c r="A102" t="s">
        <v>696</v>
      </c>
      <c r="B102">
        <v>2023</v>
      </c>
      <c r="C102" t="s">
        <v>1200</v>
      </c>
      <c r="E102" t="s">
        <v>191</v>
      </c>
      <c r="F102" t="s">
        <v>192</v>
      </c>
      <c r="G102" t="s">
        <v>193</v>
      </c>
      <c r="H102" t="s">
        <v>115</v>
      </c>
      <c r="I102" t="s">
        <v>80</v>
      </c>
      <c r="J102" t="s">
        <v>81</v>
      </c>
      <c r="K102" t="s">
        <v>22</v>
      </c>
      <c r="L102" t="s">
        <v>23</v>
      </c>
      <c r="M102">
        <v>7831</v>
      </c>
      <c r="N102">
        <v>7831000</v>
      </c>
      <c r="O102" t="s">
        <v>697</v>
      </c>
      <c r="P102" t="s">
        <v>61</v>
      </c>
      <c r="Q102" t="s">
        <v>1205</v>
      </c>
    </row>
    <row r="103" spans="1:17" x14ac:dyDescent="0.25">
      <c r="A103" t="s">
        <v>599</v>
      </c>
      <c r="B103">
        <v>2023</v>
      </c>
      <c r="C103" t="s">
        <v>1200</v>
      </c>
      <c r="D103" t="s">
        <v>195</v>
      </c>
      <c r="F103" t="s">
        <v>198</v>
      </c>
      <c r="H103" t="s">
        <v>115</v>
      </c>
      <c r="I103" t="s">
        <v>258</v>
      </c>
      <c r="J103" t="s">
        <v>1206</v>
      </c>
      <c r="K103" t="s">
        <v>22</v>
      </c>
      <c r="L103" t="s">
        <v>579</v>
      </c>
      <c r="M103">
        <v>131400</v>
      </c>
      <c r="N103">
        <v>4.0869999000000004</v>
      </c>
      <c r="P103" t="s">
        <v>196</v>
      </c>
      <c r="Q103" t="s">
        <v>1253</v>
      </c>
    </row>
    <row r="104" spans="1:17" x14ac:dyDescent="0.25">
      <c r="A104" t="s">
        <v>600</v>
      </c>
      <c r="B104">
        <v>2023</v>
      </c>
      <c r="C104" t="s">
        <v>1200</v>
      </c>
      <c r="D104" t="s">
        <v>195</v>
      </c>
      <c r="F104" t="s">
        <v>198</v>
      </c>
      <c r="H104" t="s">
        <v>115</v>
      </c>
      <c r="I104" t="s">
        <v>80</v>
      </c>
      <c r="J104" t="s">
        <v>81</v>
      </c>
      <c r="K104" t="s">
        <v>22</v>
      </c>
      <c r="L104" t="s">
        <v>73</v>
      </c>
      <c r="M104">
        <v>437541</v>
      </c>
      <c r="N104">
        <v>437541</v>
      </c>
      <c r="P104" t="s">
        <v>196</v>
      </c>
      <c r="Q104" t="s">
        <v>1253</v>
      </c>
    </row>
    <row r="105" spans="1:17" x14ac:dyDescent="0.25">
      <c r="A105" t="s">
        <v>194</v>
      </c>
      <c r="B105">
        <v>2023</v>
      </c>
      <c r="C105" t="s">
        <v>1200</v>
      </c>
      <c r="D105" t="s">
        <v>195</v>
      </c>
      <c r="F105" t="s">
        <v>198</v>
      </c>
      <c r="H105" t="s">
        <v>115</v>
      </c>
      <c r="I105" t="s">
        <v>50</v>
      </c>
      <c r="J105" t="s">
        <v>51</v>
      </c>
      <c r="K105" t="s">
        <v>22</v>
      </c>
      <c r="L105" t="s">
        <v>73</v>
      </c>
      <c r="M105">
        <v>439008</v>
      </c>
      <c r="N105">
        <v>439008</v>
      </c>
      <c r="P105" t="s">
        <v>196</v>
      </c>
      <c r="Q105" t="s">
        <v>1253</v>
      </c>
    </row>
    <row r="106" spans="1:17" x14ac:dyDescent="0.25">
      <c r="A106" t="s">
        <v>661</v>
      </c>
      <c r="B106">
        <v>2023</v>
      </c>
      <c r="C106" t="s">
        <v>1200</v>
      </c>
      <c r="D106" t="s">
        <v>496</v>
      </c>
      <c r="F106" t="s">
        <v>497</v>
      </c>
      <c r="H106" t="s">
        <v>36</v>
      </c>
      <c r="I106" t="s">
        <v>20</v>
      </c>
      <c r="J106" t="s">
        <v>636</v>
      </c>
      <c r="K106" t="s">
        <v>604</v>
      </c>
      <c r="L106" t="s">
        <v>637</v>
      </c>
      <c r="M106">
        <v>650</v>
      </c>
      <c r="P106" t="s">
        <v>662</v>
      </c>
      <c r="Q106" t="s">
        <v>1254</v>
      </c>
    </row>
    <row r="107" spans="1:17" x14ac:dyDescent="0.25">
      <c r="A107" t="s">
        <v>1309</v>
      </c>
      <c r="B107">
        <v>2023</v>
      </c>
      <c r="C107" t="s">
        <v>1200</v>
      </c>
      <c r="D107" t="s">
        <v>1310</v>
      </c>
      <c r="F107" t="s">
        <v>1311</v>
      </c>
      <c r="H107" t="s">
        <v>546</v>
      </c>
      <c r="I107" t="s">
        <v>50</v>
      </c>
      <c r="K107" t="s">
        <v>22</v>
      </c>
      <c r="L107" t="s">
        <v>1300</v>
      </c>
      <c r="M107">
        <v>0</v>
      </c>
      <c r="N107">
        <v>0</v>
      </c>
      <c r="P107" t="s">
        <v>284</v>
      </c>
      <c r="Q107" t="s">
        <v>1301</v>
      </c>
    </row>
    <row r="108" spans="1:17" x14ac:dyDescent="0.25">
      <c r="A108" t="s">
        <v>1349</v>
      </c>
      <c r="B108">
        <v>2023</v>
      </c>
      <c r="C108" t="s">
        <v>1200</v>
      </c>
      <c r="D108" t="s">
        <v>1310</v>
      </c>
      <c r="F108" t="s">
        <v>1311</v>
      </c>
      <c r="I108" t="s">
        <v>50</v>
      </c>
      <c r="K108" t="s">
        <v>604</v>
      </c>
      <c r="L108" t="s">
        <v>1341</v>
      </c>
      <c r="M108">
        <v>107381000.45949</v>
      </c>
      <c r="N108">
        <v>107381000.45949</v>
      </c>
      <c r="P108" t="s">
        <v>284</v>
      </c>
      <c r="Q108" t="s">
        <v>1301</v>
      </c>
    </row>
    <row r="109" spans="1:17" x14ac:dyDescent="0.25">
      <c r="A109" t="s">
        <v>657</v>
      </c>
      <c r="B109">
        <v>2023</v>
      </c>
      <c r="C109" t="s">
        <v>1200</v>
      </c>
      <c r="D109" t="s">
        <v>200</v>
      </c>
      <c r="F109" t="s">
        <v>202</v>
      </c>
      <c r="H109" t="s">
        <v>582</v>
      </c>
      <c r="I109" t="s">
        <v>258</v>
      </c>
      <c r="J109" t="s">
        <v>1206</v>
      </c>
      <c r="K109" t="s">
        <v>22</v>
      </c>
      <c r="L109" t="s">
        <v>579</v>
      </c>
      <c r="M109">
        <v>1502577</v>
      </c>
      <c r="N109">
        <v>46.735403719499999</v>
      </c>
      <c r="O109" t="s">
        <v>658</v>
      </c>
      <c r="P109" t="s">
        <v>89</v>
      </c>
      <c r="Q109" t="s">
        <v>1255</v>
      </c>
    </row>
    <row r="110" spans="1:17" x14ac:dyDescent="0.25">
      <c r="A110" t="s">
        <v>199</v>
      </c>
      <c r="B110">
        <v>2024</v>
      </c>
      <c r="C110" t="s">
        <v>1200</v>
      </c>
      <c r="D110" t="s">
        <v>200</v>
      </c>
      <c r="F110" t="s">
        <v>202</v>
      </c>
      <c r="H110" t="s">
        <v>59</v>
      </c>
      <c r="I110" t="s">
        <v>50</v>
      </c>
      <c r="J110" t="s">
        <v>86</v>
      </c>
      <c r="K110" t="s">
        <v>22</v>
      </c>
      <c r="L110" t="s">
        <v>73</v>
      </c>
      <c r="M110">
        <v>127307</v>
      </c>
      <c r="N110">
        <v>127307</v>
      </c>
      <c r="P110" t="s">
        <v>89</v>
      </c>
      <c r="Q110" t="s">
        <v>1256</v>
      </c>
    </row>
    <row r="111" spans="1:17" x14ac:dyDescent="0.25">
      <c r="A111" t="s">
        <v>659</v>
      </c>
      <c r="B111">
        <v>2023</v>
      </c>
      <c r="C111" t="s">
        <v>1200</v>
      </c>
      <c r="D111" t="s">
        <v>200</v>
      </c>
      <c r="F111" t="s">
        <v>202</v>
      </c>
      <c r="H111" t="s">
        <v>638</v>
      </c>
      <c r="I111" t="s">
        <v>258</v>
      </c>
      <c r="J111" t="s">
        <v>259</v>
      </c>
      <c r="K111" t="s">
        <v>22</v>
      </c>
      <c r="L111" t="s">
        <v>73</v>
      </c>
      <c r="M111">
        <v>1225</v>
      </c>
      <c r="N111">
        <v>1225</v>
      </c>
      <c r="O111" t="s">
        <v>658</v>
      </c>
      <c r="P111" t="s">
        <v>89</v>
      </c>
      <c r="Q111" t="s">
        <v>1255</v>
      </c>
    </row>
    <row r="112" spans="1:17" x14ac:dyDescent="0.25">
      <c r="A112" t="s">
        <v>660</v>
      </c>
      <c r="B112">
        <v>2023</v>
      </c>
      <c r="C112" t="s">
        <v>1200</v>
      </c>
      <c r="D112" t="s">
        <v>200</v>
      </c>
      <c r="F112" t="s">
        <v>202</v>
      </c>
      <c r="H112" t="s">
        <v>408</v>
      </c>
      <c r="I112" t="s">
        <v>258</v>
      </c>
      <c r="J112" t="s">
        <v>259</v>
      </c>
      <c r="K112" t="s">
        <v>22</v>
      </c>
      <c r="L112" t="s">
        <v>73</v>
      </c>
      <c r="M112">
        <v>1339</v>
      </c>
      <c r="N112">
        <v>1339</v>
      </c>
      <c r="O112" t="s">
        <v>658</v>
      </c>
      <c r="P112" t="s">
        <v>89</v>
      </c>
      <c r="Q112" t="s">
        <v>1255</v>
      </c>
    </row>
    <row r="113" spans="1:17" x14ac:dyDescent="0.25">
      <c r="A113" t="s">
        <v>640</v>
      </c>
      <c r="B113">
        <v>2023</v>
      </c>
      <c r="C113" t="s">
        <v>1200</v>
      </c>
      <c r="D113" t="s">
        <v>205</v>
      </c>
      <c r="F113" t="s">
        <v>206</v>
      </c>
      <c r="H113" t="s">
        <v>546</v>
      </c>
      <c r="I113" t="s">
        <v>258</v>
      </c>
      <c r="J113" t="s">
        <v>259</v>
      </c>
      <c r="K113" t="s">
        <v>22</v>
      </c>
      <c r="L113" t="s">
        <v>23</v>
      </c>
      <c r="M113">
        <v>22.6</v>
      </c>
      <c r="N113">
        <v>22600</v>
      </c>
      <c r="P113" t="s">
        <v>69</v>
      </c>
      <c r="Q113" t="s">
        <v>1258</v>
      </c>
    </row>
    <row r="114" spans="1:17" x14ac:dyDescent="0.25">
      <c r="A114" t="s">
        <v>641</v>
      </c>
      <c r="B114">
        <v>2023</v>
      </c>
      <c r="C114" t="s">
        <v>1200</v>
      </c>
      <c r="D114" t="s">
        <v>205</v>
      </c>
      <c r="F114" t="s">
        <v>206</v>
      </c>
      <c r="H114" t="s">
        <v>408</v>
      </c>
      <c r="I114" t="s">
        <v>258</v>
      </c>
      <c r="J114" t="s">
        <v>259</v>
      </c>
      <c r="K114" t="s">
        <v>22</v>
      </c>
      <c r="L114" t="s">
        <v>23</v>
      </c>
      <c r="M114">
        <v>38.6</v>
      </c>
      <c r="N114">
        <v>38600</v>
      </c>
      <c r="P114" t="s">
        <v>69</v>
      </c>
      <c r="Q114" t="s">
        <v>1258</v>
      </c>
    </row>
    <row r="115" spans="1:17" x14ac:dyDescent="0.25">
      <c r="A115" t="s">
        <v>642</v>
      </c>
      <c r="B115">
        <v>2023</v>
      </c>
      <c r="C115" t="s">
        <v>1200</v>
      </c>
      <c r="D115" t="s">
        <v>205</v>
      </c>
      <c r="F115" t="s">
        <v>206</v>
      </c>
      <c r="H115" t="s">
        <v>582</v>
      </c>
      <c r="I115" t="s">
        <v>258</v>
      </c>
      <c r="J115" t="s">
        <v>1206</v>
      </c>
      <c r="K115" t="s">
        <v>22</v>
      </c>
      <c r="L115" t="s">
        <v>583</v>
      </c>
      <c r="M115">
        <v>1378</v>
      </c>
      <c r="N115">
        <v>42.860622999999997</v>
      </c>
      <c r="P115" t="s">
        <v>69</v>
      </c>
      <c r="Q115" t="s">
        <v>1258</v>
      </c>
    </row>
    <row r="116" spans="1:17" x14ac:dyDescent="0.25">
      <c r="A116" t="s">
        <v>204</v>
      </c>
      <c r="B116">
        <v>2023</v>
      </c>
      <c r="C116" t="s">
        <v>1200</v>
      </c>
      <c r="D116" t="s">
        <v>205</v>
      </c>
      <c r="F116" t="s">
        <v>206</v>
      </c>
      <c r="H116" t="s">
        <v>59</v>
      </c>
      <c r="I116" t="s">
        <v>50</v>
      </c>
      <c r="J116" t="s">
        <v>51</v>
      </c>
      <c r="K116" t="s">
        <v>22</v>
      </c>
      <c r="L116" t="s">
        <v>73</v>
      </c>
      <c r="M116">
        <v>1340000</v>
      </c>
      <c r="N116">
        <v>1340000</v>
      </c>
      <c r="P116" t="s">
        <v>69</v>
      </c>
      <c r="Q116" t="s">
        <v>1259</v>
      </c>
    </row>
    <row r="117" spans="1:17" x14ac:dyDescent="0.25">
      <c r="A117" t="s">
        <v>1336</v>
      </c>
      <c r="B117">
        <v>2023</v>
      </c>
      <c r="C117" t="s">
        <v>1200</v>
      </c>
      <c r="D117" t="s">
        <v>205</v>
      </c>
      <c r="F117" t="s">
        <v>206</v>
      </c>
      <c r="H117" t="s">
        <v>546</v>
      </c>
      <c r="I117" t="s">
        <v>50</v>
      </c>
      <c r="K117" t="s">
        <v>22</v>
      </c>
      <c r="L117" t="s">
        <v>1300</v>
      </c>
      <c r="M117">
        <v>1350000.0057767299</v>
      </c>
      <c r="N117">
        <v>1350000.0057767299</v>
      </c>
      <c r="P117" t="s">
        <v>69</v>
      </c>
      <c r="Q117" t="s">
        <v>1301</v>
      </c>
    </row>
    <row r="118" spans="1:17" x14ac:dyDescent="0.25">
      <c r="A118" t="s">
        <v>1366</v>
      </c>
      <c r="B118">
        <v>2023</v>
      </c>
      <c r="C118" t="s">
        <v>1200</v>
      </c>
      <c r="D118" t="s">
        <v>205</v>
      </c>
      <c r="F118" t="s">
        <v>206</v>
      </c>
      <c r="I118" t="s">
        <v>50</v>
      </c>
      <c r="K118" t="s">
        <v>604</v>
      </c>
      <c r="L118" t="s">
        <v>1341</v>
      </c>
      <c r="M118">
        <v>2500000.01069766</v>
      </c>
      <c r="N118">
        <v>2500000.01069766</v>
      </c>
      <c r="P118" t="s">
        <v>69</v>
      </c>
      <c r="Q118" t="s">
        <v>1301</v>
      </c>
    </row>
    <row r="119" spans="1:17" x14ac:dyDescent="0.25">
      <c r="A119" t="s">
        <v>739</v>
      </c>
      <c r="B119">
        <v>2023</v>
      </c>
      <c r="C119" t="s">
        <v>1200</v>
      </c>
      <c r="D119" t="s">
        <v>209</v>
      </c>
      <c r="F119" t="s">
        <v>210</v>
      </c>
      <c r="H119" t="s">
        <v>115</v>
      </c>
      <c r="I119" t="s">
        <v>258</v>
      </c>
      <c r="J119" t="s">
        <v>1206</v>
      </c>
      <c r="K119" t="s">
        <v>22</v>
      </c>
      <c r="L119" t="s">
        <v>579</v>
      </c>
      <c r="M119">
        <v>35537</v>
      </c>
      <c r="N119">
        <v>1.1053250795</v>
      </c>
      <c r="O119" t="s">
        <v>738</v>
      </c>
      <c r="P119" t="s">
        <v>126</v>
      </c>
      <c r="Q119" t="s">
        <v>1232</v>
      </c>
    </row>
    <row r="120" spans="1:17" x14ac:dyDescent="0.25">
      <c r="A120" t="s">
        <v>208</v>
      </c>
      <c r="B120">
        <v>2023</v>
      </c>
      <c r="C120" t="s">
        <v>1200</v>
      </c>
      <c r="D120" t="s">
        <v>209</v>
      </c>
      <c r="F120" t="s">
        <v>210</v>
      </c>
      <c r="H120" t="s">
        <v>115</v>
      </c>
      <c r="I120" t="s">
        <v>50</v>
      </c>
      <c r="J120" t="s">
        <v>107</v>
      </c>
      <c r="K120" t="s">
        <v>22</v>
      </c>
      <c r="L120" t="s">
        <v>73</v>
      </c>
      <c r="M120">
        <v>191148</v>
      </c>
      <c r="N120">
        <v>191148</v>
      </c>
      <c r="P120" t="s">
        <v>126</v>
      </c>
      <c r="Q120" t="s">
        <v>1232</v>
      </c>
    </row>
    <row r="121" spans="1:17" x14ac:dyDescent="0.25">
      <c r="A121" t="s">
        <v>1260</v>
      </c>
      <c r="B121">
        <v>2023</v>
      </c>
      <c r="C121" t="s">
        <v>1200</v>
      </c>
      <c r="D121" t="s">
        <v>209</v>
      </c>
      <c r="F121" t="s">
        <v>210</v>
      </c>
      <c r="H121" t="s">
        <v>582</v>
      </c>
      <c r="I121" t="s">
        <v>258</v>
      </c>
      <c r="J121" t="s">
        <v>1206</v>
      </c>
      <c r="K121" t="s">
        <v>22</v>
      </c>
      <c r="L121" t="s">
        <v>579</v>
      </c>
      <c r="M121">
        <v>2908</v>
      </c>
      <c r="N121">
        <v>9.0448977999999999E-2</v>
      </c>
      <c r="P121" t="s">
        <v>126</v>
      </c>
      <c r="Q121" t="s">
        <v>1236</v>
      </c>
    </row>
    <row r="122" spans="1:17" x14ac:dyDescent="0.25">
      <c r="A122" t="s">
        <v>713</v>
      </c>
      <c r="B122">
        <v>2023</v>
      </c>
      <c r="C122" t="s">
        <v>1200</v>
      </c>
      <c r="D122" t="s">
        <v>212</v>
      </c>
      <c r="F122" t="s">
        <v>213</v>
      </c>
      <c r="H122" t="s">
        <v>19</v>
      </c>
      <c r="I122" t="s">
        <v>20</v>
      </c>
      <c r="J122" t="s">
        <v>21</v>
      </c>
      <c r="K122" t="s">
        <v>604</v>
      </c>
      <c r="L122" t="s">
        <v>73</v>
      </c>
      <c r="M122">
        <v>432000</v>
      </c>
      <c r="P122" t="s">
        <v>26</v>
      </c>
      <c r="Q122" t="s">
        <v>1201</v>
      </c>
    </row>
    <row r="123" spans="1:17" x14ac:dyDescent="0.25">
      <c r="A123" t="s">
        <v>211</v>
      </c>
      <c r="B123">
        <v>2023</v>
      </c>
      <c r="C123" t="s">
        <v>1200</v>
      </c>
      <c r="D123" t="s">
        <v>212</v>
      </c>
      <c r="F123" t="s">
        <v>213</v>
      </c>
      <c r="H123" t="s">
        <v>19</v>
      </c>
      <c r="I123" t="s">
        <v>20</v>
      </c>
      <c r="J123" t="s">
        <v>21</v>
      </c>
      <c r="K123" t="s">
        <v>22</v>
      </c>
      <c r="L123" t="s">
        <v>23</v>
      </c>
      <c r="M123">
        <v>377.27207800000002</v>
      </c>
      <c r="N123">
        <v>377272.07799999998</v>
      </c>
      <c r="P123" t="s">
        <v>26</v>
      </c>
      <c r="Q123" t="s">
        <v>1202</v>
      </c>
    </row>
    <row r="124" spans="1:17" x14ac:dyDescent="0.25">
      <c r="A124" t="s">
        <v>214</v>
      </c>
      <c r="B124">
        <v>2023</v>
      </c>
      <c r="C124" t="s">
        <v>1200</v>
      </c>
      <c r="D124" t="s">
        <v>215</v>
      </c>
      <c r="F124" t="s">
        <v>218</v>
      </c>
      <c r="H124" t="s">
        <v>59</v>
      </c>
      <c r="I124" t="s">
        <v>50</v>
      </c>
      <c r="J124" t="s">
        <v>107</v>
      </c>
      <c r="K124" t="s">
        <v>22</v>
      </c>
      <c r="L124" t="s">
        <v>73</v>
      </c>
      <c r="M124">
        <v>3798000</v>
      </c>
      <c r="N124">
        <v>3798000</v>
      </c>
      <c r="P124" t="s">
        <v>216</v>
      </c>
      <c r="Q124" t="s">
        <v>1093</v>
      </c>
    </row>
    <row r="125" spans="1:17" x14ac:dyDescent="0.25">
      <c r="A125" t="s">
        <v>675</v>
      </c>
      <c r="B125">
        <v>2023</v>
      </c>
      <c r="C125" t="s">
        <v>1200</v>
      </c>
      <c r="D125" t="s">
        <v>215</v>
      </c>
      <c r="F125" t="s">
        <v>218</v>
      </c>
      <c r="H125" t="s">
        <v>115</v>
      </c>
      <c r="I125" t="s">
        <v>258</v>
      </c>
      <c r="J125" t="s">
        <v>1206</v>
      </c>
      <c r="K125" t="s">
        <v>22</v>
      </c>
      <c r="L125" t="s">
        <v>579</v>
      </c>
      <c r="M125">
        <v>19100</v>
      </c>
      <c r="N125">
        <v>0.59407684999999999</v>
      </c>
      <c r="O125" t="s">
        <v>1261</v>
      </c>
      <c r="P125" t="s">
        <v>216</v>
      </c>
      <c r="Q125" t="s">
        <v>1093</v>
      </c>
    </row>
    <row r="126" spans="1:17" x14ac:dyDescent="0.25">
      <c r="A126" t="s">
        <v>1262</v>
      </c>
      <c r="B126">
        <v>2023</v>
      </c>
      <c r="C126" t="s">
        <v>1200</v>
      </c>
      <c r="D126" t="s">
        <v>215</v>
      </c>
      <c r="F126" t="s">
        <v>218</v>
      </c>
      <c r="H126" t="s">
        <v>828</v>
      </c>
      <c r="I126" t="s">
        <v>258</v>
      </c>
      <c r="J126" t="s">
        <v>1206</v>
      </c>
      <c r="K126" t="s">
        <v>22</v>
      </c>
      <c r="L126" t="s">
        <v>579</v>
      </c>
      <c r="M126">
        <v>25000</v>
      </c>
      <c r="N126">
        <v>0.77758749999999999</v>
      </c>
      <c r="O126" t="s">
        <v>1261</v>
      </c>
      <c r="P126" t="s">
        <v>216</v>
      </c>
      <c r="Q126" t="s">
        <v>1093</v>
      </c>
    </row>
    <row r="127" spans="1:17" x14ac:dyDescent="0.25">
      <c r="A127" t="s">
        <v>1263</v>
      </c>
      <c r="B127">
        <v>2023</v>
      </c>
      <c r="C127" t="s">
        <v>1200</v>
      </c>
      <c r="D127" t="s">
        <v>215</v>
      </c>
      <c r="F127" t="s">
        <v>218</v>
      </c>
      <c r="H127" t="s">
        <v>830</v>
      </c>
      <c r="I127" t="s">
        <v>258</v>
      </c>
      <c r="J127" t="s">
        <v>1206</v>
      </c>
      <c r="K127" t="s">
        <v>22</v>
      </c>
      <c r="L127" t="s">
        <v>579</v>
      </c>
      <c r="M127">
        <v>21800</v>
      </c>
      <c r="N127">
        <v>0.67805629999999995</v>
      </c>
      <c r="O127" t="s">
        <v>1261</v>
      </c>
      <c r="P127" t="s">
        <v>216</v>
      </c>
      <c r="Q127" t="s">
        <v>1093</v>
      </c>
    </row>
    <row r="128" spans="1:17" x14ac:dyDescent="0.25">
      <c r="A128" t="s">
        <v>1337</v>
      </c>
      <c r="B128">
        <v>2023</v>
      </c>
      <c r="C128" t="s">
        <v>1200</v>
      </c>
      <c r="D128" t="s">
        <v>215</v>
      </c>
      <c r="F128" t="s">
        <v>218</v>
      </c>
      <c r="H128" t="s">
        <v>546</v>
      </c>
      <c r="I128" t="s">
        <v>50</v>
      </c>
      <c r="K128" t="s">
        <v>22</v>
      </c>
      <c r="L128" t="s">
        <v>1300</v>
      </c>
      <c r="M128">
        <v>3798000.01625189</v>
      </c>
      <c r="N128">
        <v>3798000.01625189</v>
      </c>
      <c r="P128" t="s">
        <v>216</v>
      </c>
      <c r="Q128" t="s">
        <v>1301</v>
      </c>
    </row>
    <row r="129" spans="1:17" x14ac:dyDescent="0.25">
      <c r="A129" t="s">
        <v>1367</v>
      </c>
      <c r="B129">
        <v>2023</v>
      </c>
      <c r="C129" t="s">
        <v>1200</v>
      </c>
      <c r="D129" t="s">
        <v>215</v>
      </c>
      <c r="F129" t="s">
        <v>218</v>
      </c>
      <c r="I129" t="s">
        <v>50</v>
      </c>
      <c r="K129" t="s">
        <v>604</v>
      </c>
      <c r="L129" t="s">
        <v>1341</v>
      </c>
      <c r="M129">
        <v>22000000.094139401</v>
      </c>
      <c r="N129">
        <v>22000000.094139401</v>
      </c>
      <c r="P129" t="s">
        <v>216</v>
      </c>
      <c r="Q129" t="s">
        <v>1301</v>
      </c>
    </row>
    <row r="130" spans="1:17" x14ac:dyDescent="0.25">
      <c r="A130" t="s">
        <v>220</v>
      </c>
      <c r="B130">
        <v>2023</v>
      </c>
      <c r="C130" t="s">
        <v>1200</v>
      </c>
      <c r="D130" t="s">
        <v>221</v>
      </c>
      <c r="E130" t="s">
        <v>222</v>
      </c>
      <c r="F130" t="s">
        <v>223</v>
      </c>
      <c r="G130" t="s">
        <v>224</v>
      </c>
      <c r="H130" t="s">
        <v>59</v>
      </c>
      <c r="I130" t="s">
        <v>80</v>
      </c>
      <c r="J130" t="s">
        <v>81</v>
      </c>
      <c r="K130" t="s">
        <v>22</v>
      </c>
      <c r="L130" t="s">
        <v>73</v>
      </c>
      <c r="M130">
        <v>1526729</v>
      </c>
      <c r="N130">
        <v>1526729</v>
      </c>
      <c r="P130" t="s">
        <v>110</v>
      </c>
      <c r="Q130" t="s">
        <v>1224</v>
      </c>
    </row>
    <row r="131" spans="1:17" x14ac:dyDescent="0.25">
      <c r="A131" t="s">
        <v>1312</v>
      </c>
      <c r="B131">
        <v>2023</v>
      </c>
      <c r="C131" t="s">
        <v>1200</v>
      </c>
      <c r="D131" t="s">
        <v>221</v>
      </c>
      <c r="E131" t="s">
        <v>222</v>
      </c>
      <c r="F131" t="s">
        <v>223</v>
      </c>
      <c r="G131" t="s">
        <v>224</v>
      </c>
      <c r="H131" t="s">
        <v>546</v>
      </c>
      <c r="I131" t="s">
        <v>50</v>
      </c>
      <c r="K131" t="s">
        <v>22</v>
      </c>
      <c r="L131" t="s">
        <v>1300</v>
      </c>
      <c r="M131">
        <v>1526729.0065329699</v>
      </c>
      <c r="N131">
        <v>1526729.0065329699</v>
      </c>
      <c r="P131" t="s">
        <v>110</v>
      </c>
      <c r="Q131" t="s">
        <v>1301</v>
      </c>
    </row>
    <row r="132" spans="1:17" x14ac:dyDescent="0.25">
      <c r="A132" t="s">
        <v>1350</v>
      </c>
      <c r="B132">
        <v>2023</v>
      </c>
      <c r="C132" t="s">
        <v>1200</v>
      </c>
      <c r="D132" t="s">
        <v>221</v>
      </c>
      <c r="E132" t="s">
        <v>222</v>
      </c>
      <c r="F132" t="s">
        <v>223</v>
      </c>
      <c r="G132" t="s">
        <v>224</v>
      </c>
      <c r="I132" t="s">
        <v>50</v>
      </c>
      <c r="K132" t="s">
        <v>604</v>
      </c>
      <c r="L132" t="s">
        <v>1341</v>
      </c>
      <c r="M132">
        <v>13570000.058066901</v>
      </c>
      <c r="N132">
        <v>13570000.058066901</v>
      </c>
      <c r="P132" t="s">
        <v>110</v>
      </c>
      <c r="Q132" t="s">
        <v>1301</v>
      </c>
    </row>
    <row r="133" spans="1:17" x14ac:dyDescent="0.25">
      <c r="A133" t="s">
        <v>630</v>
      </c>
      <c r="B133">
        <v>2023</v>
      </c>
      <c r="C133" t="s">
        <v>1200</v>
      </c>
      <c r="D133" t="s">
        <v>227</v>
      </c>
      <c r="F133" t="s">
        <v>230</v>
      </c>
      <c r="H133" t="s">
        <v>115</v>
      </c>
      <c r="I133" t="s">
        <v>258</v>
      </c>
      <c r="J133" t="s">
        <v>1206</v>
      </c>
      <c r="K133" t="s">
        <v>22</v>
      </c>
      <c r="L133" t="s">
        <v>579</v>
      </c>
      <c r="M133">
        <v>177069</v>
      </c>
      <c r="N133">
        <v>5.5074656414999996</v>
      </c>
      <c r="P133" t="s">
        <v>228</v>
      </c>
      <c r="Q133" t="s">
        <v>1264</v>
      </c>
    </row>
    <row r="134" spans="1:17" x14ac:dyDescent="0.25">
      <c r="A134" t="s">
        <v>226</v>
      </c>
      <c r="B134">
        <v>2023</v>
      </c>
      <c r="C134" t="s">
        <v>1200</v>
      </c>
      <c r="D134" t="s">
        <v>227</v>
      </c>
      <c r="F134" t="s">
        <v>230</v>
      </c>
      <c r="H134" t="s">
        <v>115</v>
      </c>
      <c r="I134" t="s">
        <v>50</v>
      </c>
      <c r="J134" t="s">
        <v>107</v>
      </c>
      <c r="K134" t="s">
        <v>22</v>
      </c>
      <c r="L134" t="s">
        <v>73</v>
      </c>
      <c r="M134">
        <v>838419</v>
      </c>
      <c r="N134">
        <v>838419</v>
      </c>
      <c r="P134" t="s">
        <v>228</v>
      </c>
      <c r="Q134" t="s">
        <v>1264</v>
      </c>
    </row>
    <row r="135" spans="1:17" x14ac:dyDescent="0.25">
      <c r="A135" t="s">
        <v>1265</v>
      </c>
      <c r="B135">
        <v>2023</v>
      </c>
      <c r="C135" t="s">
        <v>1200</v>
      </c>
      <c r="D135" t="s">
        <v>227</v>
      </c>
      <c r="F135" t="s">
        <v>230</v>
      </c>
      <c r="H135" t="s">
        <v>582</v>
      </c>
      <c r="I135" t="s">
        <v>258</v>
      </c>
      <c r="J135" t="s">
        <v>1206</v>
      </c>
      <c r="K135" t="s">
        <v>22</v>
      </c>
      <c r="L135" t="s">
        <v>579</v>
      </c>
      <c r="M135">
        <v>72876</v>
      </c>
      <c r="N135">
        <v>2.2666986659999999</v>
      </c>
      <c r="P135" t="s">
        <v>228</v>
      </c>
      <c r="Q135" t="s">
        <v>1236</v>
      </c>
    </row>
    <row r="136" spans="1:17" x14ac:dyDescent="0.25">
      <c r="A136" t="s">
        <v>590</v>
      </c>
      <c r="B136">
        <v>2023</v>
      </c>
      <c r="C136" t="s">
        <v>1200</v>
      </c>
      <c r="D136" t="s">
        <v>232</v>
      </c>
      <c r="F136" t="s">
        <v>233</v>
      </c>
      <c r="H136" t="s">
        <v>408</v>
      </c>
      <c r="I136" t="s">
        <v>258</v>
      </c>
      <c r="J136" t="s">
        <v>259</v>
      </c>
      <c r="K136" t="s">
        <v>22</v>
      </c>
      <c r="L136" t="s">
        <v>73</v>
      </c>
      <c r="M136">
        <v>7702.4385169999996</v>
      </c>
      <c r="N136">
        <v>7702.4385169999996</v>
      </c>
      <c r="O136" t="s">
        <v>1266</v>
      </c>
      <c r="P136" t="s">
        <v>75</v>
      </c>
      <c r="Q136" t="s">
        <v>1208</v>
      </c>
    </row>
    <row r="137" spans="1:17" x14ac:dyDescent="0.25">
      <c r="A137" t="s">
        <v>591</v>
      </c>
      <c r="B137">
        <v>2023</v>
      </c>
      <c r="C137" t="s">
        <v>1200</v>
      </c>
      <c r="D137" t="s">
        <v>232</v>
      </c>
      <c r="F137" t="s">
        <v>233</v>
      </c>
      <c r="H137" t="s">
        <v>546</v>
      </c>
      <c r="I137" t="s">
        <v>258</v>
      </c>
      <c r="J137" t="s">
        <v>259</v>
      </c>
      <c r="K137" t="s">
        <v>22</v>
      </c>
      <c r="L137" t="s">
        <v>73</v>
      </c>
      <c r="M137">
        <v>2577.9603750000001</v>
      </c>
      <c r="N137">
        <v>2577.9603750000001</v>
      </c>
      <c r="O137" t="s">
        <v>1266</v>
      </c>
      <c r="P137" t="s">
        <v>75</v>
      </c>
      <c r="Q137" t="s">
        <v>1208</v>
      </c>
    </row>
    <row r="138" spans="1:17" x14ac:dyDescent="0.25">
      <c r="A138" t="s">
        <v>231</v>
      </c>
      <c r="B138">
        <v>2023</v>
      </c>
      <c r="C138" t="s">
        <v>1200</v>
      </c>
      <c r="D138" t="s">
        <v>232</v>
      </c>
      <c r="F138" t="s">
        <v>233</v>
      </c>
      <c r="H138" t="s">
        <v>115</v>
      </c>
      <c r="I138" t="s">
        <v>258</v>
      </c>
      <c r="J138" t="s">
        <v>1206</v>
      </c>
      <c r="K138" t="s">
        <v>22</v>
      </c>
      <c r="L138" t="s">
        <v>579</v>
      </c>
      <c r="M138">
        <v>235991</v>
      </c>
      <c r="N138">
        <v>7.3401460684999904</v>
      </c>
      <c r="O138" t="s">
        <v>1266</v>
      </c>
      <c r="P138" t="s">
        <v>75</v>
      </c>
      <c r="Q138" t="s">
        <v>1208</v>
      </c>
    </row>
    <row r="139" spans="1:17" x14ac:dyDescent="0.25">
      <c r="A139" t="s">
        <v>592</v>
      </c>
      <c r="B139">
        <v>2023</v>
      </c>
      <c r="C139" t="s">
        <v>1200</v>
      </c>
      <c r="D139" t="s">
        <v>232</v>
      </c>
      <c r="F139" t="s">
        <v>233</v>
      </c>
      <c r="H139" t="s">
        <v>59</v>
      </c>
      <c r="I139" t="s">
        <v>50</v>
      </c>
      <c r="J139" t="s">
        <v>51</v>
      </c>
      <c r="K139" t="s">
        <v>22</v>
      </c>
      <c r="L139" t="s">
        <v>23</v>
      </c>
      <c r="M139">
        <v>1501.5</v>
      </c>
      <c r="N139">
        <v>1501500</v>
      </c>
      <c r="O139" t="s">
        <v>1266</v>
      </c>
      <c r="P139" t="s">
        <v>75</v>
      </c>
      <c r="Q139" t="s">
        <v>1208</v>
      </c>
    </row>
    <row r="140" spans="1:17" x14ac:dyDescent="0.25">
      <c r="A140" t="s">
        <v>593</v>
      </c>
      <c r="B140">
        <v>2023</v>
      </c>
      <c r="C140" t="s">
        <v>1200</v>
      </c>
      <c r="D140" t="s">
        <v>232</v>
      </c>
      <c r="F140" t="s">
        <v>233</v>
      </c>
      <c r="H140" t="s">
        <v>582</v>
      </c>
      <c r="I140" t="s">
        <v>258</v>
      </c>
      <c r="J140" t="s">
        <v>1206</v>
      </c>
      <c r="K140" t="s">
        <v>22</v>
      </c>
      <c r="L140" t="s">
        <v>583</v>
      </c>
      <c r="M140">
        <v>575</v>
      </c>
      <c r="N140">
        <v>17.8845125</v>
      </c>
      <c r="O140" t="s">
        <v>1266</v>
      </c>
      <c r="P140" t="s">
        <v>75</v>
      </c>
      <c r="Q140" t="s">
        <v>1208</v>
      </c>
    </row>
    <row r="141" spans="1:17" x14ac:dyDescent="0.25">
      <c r="A141" t="s">
        <v>1313</v>
      </c>
      <c r="B141">
        <v>2023</v>
      </c>
      <c r="C141" t="s">
        <v>1200</v>
      </c>
      <c r="D141" t="s">
        <v>232</v>
      </c>
      <c r="F141" t="s">
        <v>233</v>
      </c>
      <c r="H141" t="s">
        <v>546</v>
      </c>
      <c r="I141" t="s">
        <v>50</v>
      </c>
      <c r="K141" t="s">
        <v>22</v>
      </c>
      <c r="L141" t="s">
        <v>1300</v>
      </c>
      <c r="M141">
        <v>1501481.0064249299</v>
      </c>
      <c r="N141">
        <v>1501481.0064249299</v>
      </c>
      <c r="P141" t="s">
        <v>75</v>
      </c>
      <c r="Q141" t="s">
        <v>1301</v>
      </c>
    </row>
    <row r="142" spans="1:17" x14ac:dyDescent="0.25">
      <c r="A142" t="s">
        <v>1351</v>
      </c>
      <c r="B142">
        <v>2023</v>
      </c>
      <c r="C142" t="s">
        <v>1200</v>
      </c>
      <c r="D142" t="s">
        <v>232</v>
      </c>
      <c r="F142" t="s">
        <v>233</v>
      </c>
      <c r="I142" t="s">
        <v>50</v>
      </c>
      <c r="K142" t="s">
        <v>604</v>
      </c>
      <c r="L142" t="s">
        <v>1341</v>
      </c>
      <c r="M142">
        <v>19882000.085076299</v>
      </c>
      <c r="N142">
        <v>19882000.085076299</v>
      </c>
      <c r="P142" t="s">
        <v>75</v>
      </c>
      <c r="Q142" t="s">
        <v>1301</v>
      </c>
    </row>
    <row r="143" spans="1:17" x14ac:dyDescent="0.25">
      <c r="A143" t="s">
        <v>714</v>
      </c>
      <c r="B143">
        <v>2023</v>
      </c>
      <c r="C143" t="s">
        <v>1200</v>
      </c>
      <c r="D143" t="s">
        <v>236</v>
      </c>
      <c r="E143" t="s">
        <v>25</v>
      </c>
      <c r="F143" t="s">
        <v>237</v>
      </c>
      <c r="G143" t="s">
        <v>28</v>
      </c>
      <c r="H143" t="s">
        <v>19</v>
      </c>
      <c r="I143" t="s">
        <v>20</v>
      </c>
      <c r="J143" t="s">
        <v>21</v>
      </c>
      <c r="K143" t="s">
        <v>604</v>
      </c>
      <c r="L143" t="s">
        <v>73</v>
      </c>
      <c r="M143">
        <v>257000</v>
      </c>
      <c r="P143" t="s">
        <v>26</v>
      </c>
      <c r="Q143" t="s">
        <v>1201</v>
      </c>
    </row>
    <row r="144" spans="1:17" x14ac:dyDescent="0.25">
      <c r="A144" t="s">
        <v>235</v>
      </c>
      <c r="B144">
        <v>2023</v>
      </c>
      <c r="C144" t="s">
        <v>1200</v>
      </c>
      <c r="D144" t="s">
        <v>236</v>
      </c>
      <c r="E144" t="s">
        <v>25</v>
      </c>
      <c r="F144" t="s">
        <v>237</v>
      </c>
      <c r="G144" t="s">
        <v>28</v>
      </c>
      <c r="H144" t="s">
        <v>19</v>
      </c>
      <c r="I144" t="s">
        <v>20</v>
      </c>
      <c r="J144" t="s">
        <v>21</v>
      </c>
      <c r="K144" t="s">
        <v>22</v>
      </c>
      <c r="L144" t="s">
        <v>23</v>
      </c>
      <c r="M144">
        <v>243.851812</v>
      </c>
      <c r="N144">
        <v>243851.81200000001</v>
      </c>
      <c r="P144" t="s">
        <v>26</v>
      </c>
      <c r="Q144" t="s">
        <v>1202</v>
      </c>
    </row>
    <row r="145" spans="1:17" x14ac:dyDescent="0.25">
      <c r="A145" t="s">
        <v>1267</v>
      </c>
      <c r="B145">
        <v>2023</v>
      </c>
      <c r="C145" t="s">
        <v>1200</v>
      </c>
      <c r="D145" t="s">
        <v>534</v>
      </c>
      <c r="F145" t="s">
        <v>535</v>
      </c>
      <c r="H145" t="s">
        <v>326</v>
      </c>
      <c r="I145" t="s">
        <v>37</v>
      </c>
      <c r="J145" t="s">
        <v>67</v>
      </c>
      <c r="K145" t="s">
        <v>22</v>
      </c>
      <c r="L145" t="s">
        <v>23</v>
      </c>
      <c r="M145">
        <v>27.7</v>
      </c>
      <c r="N145">
        <v>27700</v>
      </c>
      <c r="O145" t="s">
        <v>1268</v>
      </c>
      <c r="P145" t="s">
        <v>394</v>
      </c>
      <c r="Q145" t="s">
        <v>1217</v>
      </c>
    </row>
    <row r="146" spans="1:17" x14ac:dyDescent="0.25">
      <c r="A146" t="s">
        <v>238</v>
      </c>
      <c r="B146">
        <v>2023</v>
      </c>
      <c r="C146" t="s">
        <v>1200</v>
      </c>
      <c r="D146" t="s">
        <v>239</v>
      </c>
      <c r="F146" t="s">
        <v>240</v>
      </c>
      <c r="H146" t="s">
        <v>59</v>
      </c>
      <c r="I146" t="s">
        <v>50</v>
      </c>
      <c r="J146" t="s">
        <v>51</v>
      </c>
      <c r="K146" t="s">
        <v>22</v>
      </c>
      <c r="L146" t="s">
        <v>73</v>
      </c>
      <c r="M146">
        <v>441588</v>
      </c>
      <c r="N146">
        <v>441588</v>
      </c>
      <c r="P146" t="s">
        <v>75</v>
      </c>
      <c r="Q146" t="s">
        <v>1229</v>
      </c>
    </row>
    <row r="147" spans="1:17" x14ac:dyDescent="0.25">
      <c r="A147" t="s">
        <v>594</v>
      </c>
      <c r="B147">
        <v>2023</v>
      </c>
      <c r="C147" t="s">
        <v>1200</v>
      </c>
      <c r="D147" t="s">
        <v>239</v>
      </c>
      <c r="F147" t="s">
        <v>240</v>
      </c>
      <c r="H147" t="s">
        <v>115</v>
      </c>
      <c r="I147" t="s">
        <v>258</v>
      </c>
      <c r="J147" t="s">
        <v>1206</v>
      </c>
      <c r="K147" t="s">
        <v>22</v>
      </c>
      <c r="L147" t="s">
        <v>579</v>
      </c>
      <c r="M147">
        <v>228535</v>
      </c>
      <c r="N147">
        <v>7.1082383724999998</v>
      </c>
      <c r="P147" t="s">
        <v>75</v>
      </c>
      <c r="Q147" t="s">
        <v>1229</v>
      </c>
    </row>
    <row r="148" spans="1:17" x14ac:dyDescent="0.25">
      <c r="A148" t="s">
        <v>609</v>
      </c>
      <c r="B148">
        <v>2024</v>
      </c>
      <c r="C148" t="s">
        <v>1200</v>
      </c>
      <c r="D148" t="s">
        <v>243</v>
      </c>
      <c r="F148" t="s">
        <v>246</v>
      </c>
      <c r="H148" t="s">
        <v>115</v>
      </c>
      <c r="I148" t="s">
        <v>258</v>
      </c>
      <c r="J148" t="s">
        <v>1206</v>
      </c>
      <c r="K148" t="s">
        <v>22</v>
      </c>
      <c r="L148" t="s">
        <v>579</v>
      </c>
      <c r="M148">
        <v>33000</v>
      </c>
      <c r="N148">
        <v>1.0264154999999999</v>
      </c>
      <c r="O148" t="s">
        <v>242</v>
      </c>
      <c r="P148" t="s">
        <v>244</v>
      </c>
      <c r="Q148" t="s">
        <v>1269</v>
      </c>
    </row>
    <row r="149" spans="1:17" x14ac:dyDescent="0.25">
      <c r="A149" t="s">
        <v>610</v>
      </c>
      <c r="B149">
        <v>2024</v>
      </c>
      <c r="C149" t="s">
        <v>1200</v>
      </c>
      <c r="D149" t="s">
        <v>243</v>
      </c>
      <c r="F149" t="s">
        <v>246</v>
      </c>
      <c r="H149" t="s">
        <v>115</v>
      </c>
      <c r="I149" t="s">
        <v>80</v>
      </c>
      <c r="J149" t="s">
        <v>81</v>
      </c>
      <c r="K149" t="s">
        <v>22</v>
      </c>
      <c r="L149" t="s">
        <v>73</v>
      </c>
      <c r="M149">
        <v>1838496</v>
      </c>
      <c r="N149">
        <v>1838496</v>
      </c>
      <c r="O149" t="s">
        <v>242</v>
      </c>
      <c r="P149" t="s">
        <v>244</v>
      </c>
      <c r="Q149" t="s">
        <v>1269</v>
      </c>
    </row>
    <row r="150" spans="1:17" x14ac:dyDescent="0.25">
      <c r="A150" t="s">
        <v>241</v>
      </c>
      <c r="B150">
        <v>2024</v>
      </c>
      <c r="C150" t="s">
        <v>1200</v>
      </c>
      <c r="D150" t="s">
        <v>243</v>
      </c>
      <c r="F150" t="s">
        <v>246</v>
      </c>
      <c r="H150" t="s">
        <v>115</v>
      </c>
      <c r="I150" t="s">
        <v>50</v>
      </c>
      <c r="J150" t="s">
        <v>51</v>
      </c>
      <c r="K150" t="s">
        <v>22</v>
      </c>
      <c r="L150" t="s">
        <v>73</v>
      </c>
      <c r="M150">
        <v>1165551</v>
      </c>
      <c r="N150">
        <v>1165551</v>
      </c>
      <c r="O150" t="s">
        <v>242</v>
      </c>
      <c r="P150" t="s">
        <v>244</v>
      </c>
      <c r="Q150" t="s">
        <v>1269</v>
      </c>
    </row>
    <row r="151" spans="1:17" x14ac:dyDescent="0.25">
      <c r="A151" t="s">
        <v>247</v>
      </c>
      <c r="B151">
        <v>2023</v>
      </c>
      <c r="C151" t="s">
        <v>1200</v>
      </c>
      <c r="D151" t="s">
        <v>249</v>
      </c>
      <c r="F151" t="s">
        <v>251</v>
      </c>
      <c r="H151" t="s">
        <v>49</v>
      </c>
      <c r="I151" t="s">
        <v>50</v>
      </c>
      <c r="J151" t="s">
        <v>51</v>
      </c>
      <c r="K151" t="s">
        <v>22</v>
      </c>
      <c r="L151" t="s">
        <v>23</v>
      </c>
      <c r="M151">
        <v>5600</v>
      </c>
      <c r="N151">
        <v>5600000</v>
      </c>
      <c r="O151" t="s">
        <v>248</v>
      </c>
      <c r="P151" t="s">
        <v>250</v>
      </c>
      <c r="Q151" t="s">
        <v>1270</v>
      </c>
    </row>
    <row r="152" spans="1:17" x14ac:dyDescent="0.25">
      <c r="A152" t="s">
        <v>619</v>
      </c>
      <c r="B152">
        <v>2023</v>
      </c>
      <c r="C152" t="s">
        <v>1200</v>
      </c>
      <c r="E152" t="s">
        <v>254</v>
      </c>
      <c r="F152" t="s">
        <v>255</v>
      </c>
      <c r="G152" t="s">
        <v>256</v>
      </c>
      <c r="H152" t="s">
        <v>92</v>
      </c>
      <c r="I152" t="s">
        <v>258</v>
      </c>
      <c r="J152" t="s">
        <v>259</v>
      </c>
      <c r="K152" t="s">
        <v>22</v>
      </c>
      <c r="L152" t="s">
        <v>93</v>
      </c>
      <c r="M152">
        <v>13.5</v>
      </c>
      <c r="N152">
        <v>6123.4920000000002</v>
      </c>
      <c r="O152" t="s">
        <v>618</v>
      </c>
      <c r="P152" t="s">
        <v>96</v>
      </c>
      <c r="Q152" t="s">
        <v>1214</v>
      </c>
    </row>
    <row r="153" spans="1:17" x14ac:dyDescent="0.25">
      <c r="A153" t="s">
        <v>252</v>
      </c>
      <c r="B153">
        <v>2023</v>
      </c>
      <c r="C153" t="s">
        <v>1200</v>
      </c>
      <c r="E153" t="s">
        <v>254</v>
      </c>
      <c r="F153" t="s">
        <v>255</v>
      </c>
      <c r="G153" t="s">
        <v>256</v>
      </c>
      <c r="H153" t="s">
        <v>92</v>
      </c>
      <c r="I153" t="s">
        <v>50</v>
      </c>
      <c r="J153" t="s">
        <v>51</v>
      </c>
      <c r="K153" t="s">
        <v>22</v>
      </c>
      <c r="L153" t="s">
        <v>93</v>
      </c>
      <c r="M153">
        <v>216.95460024106001</v>
      </c>
      <c r="N153">
        <v>98408.871032543204</v>
      </c>
      <c r="O153" t="s">
        <v>253</v>
      </c>
      <c r="P153" t="s">
        <v>96</v>
      </c>
      <c r="Q153" t="s">
        <v>1257</v>
      </c>
    </row>
    <row r="154" spans="1:17" x14ac:dyDescent="0.25">
      <c r="A154" t="s">
        <v>617</v>
      </c>
      <c r="B154">
        <v>2023</v>
      </c>
      <c r="C154" t="s">
        <v>1200</v>
      </c>
      <c r="D154" t="s">
        <v>95</v>
      </c>
      <c r="E154" t="s">
        <v>1545</v>
      </c>
      <c r="F154" t="s">
        <v>97</v>
      </c>
      <c r="G154" t="s">
        <v>1543</v>
      </c>
      <c r="H154" t="s">
        <v>92</v>
      </c>
      <c r="I154" t="s">
        <v>50</v>
      </c>
      <c r="J154" t="s">
        <v>51</v>
      </c>
      <c r="K154" t="s">
        <v>22</v>
      </c>
      <c r="L154" t="s">
        <v>93</v>
      </c>
      <c r="M154">
        <v>96.401294969448401</v>
      </c>
      <c r="N154">
        <v>43726.856187782003</v>
      </c>
      <c r="O154" t="s">
        <v>94</v>
      </c>
      <c r="P154" t="s">
        <v>96</v>
      </c>
      <c r="Q154" t="s">
        <v>1213</v>
      </c>
    </row>
    <row r="155" spans="1:17" x14ac:dyDescent="0.25">
      <c r="A155" t="s">
        <v>257</v>
      </c>
      <c r="B155">
        <v>2022</v>
      </c>
      <c r="C155" t="s">
        <v>1200</v>
      </c>
      <c r="D155" t="s">
        <v>261</v>
      </c>
      <c r="E155" t="s">
        <v>1545</v>
      </c>
      <c r="F155" t="s">
        <v>263</v>
      </c>
      <c r="G155" t="s">
        <v>1543</v>
      </c>
      <c r="H155" t="s">
        <v>92</v>
      </c>
      <c r="I155" t="s">
        <v>258</v>
      </c>
      <c r="J155" t="s">
        <v>259</v>
      </c>
      <c r="K155" t="s">
        <v>22</v>
      </c>
      <c r="L155" t="s">
        <v>93</v>
      </c>
      <c r="M155">
        <v>18</v>
      </c>
      <c r="N155">
        <v>8164.6559999999999</v>
      </c>
      <c r="O155" t="s">
        <v>260</v>
      </c>
      <c r="P155" t="s">
        <v>262</v>
      </c>
      <c r="Q155" t="s">
        <v>1271</v>
      </c>
    </row>
    <row r="156" spans="1:17" x14ac:dyDescent="0.25">
      <c r="A156" t="s">
        <v>703</v>
      </c>
      <c r="B156">
        <v>2022</v>
      </c>
      <c r="C156" t="s">
        <v>1200</v>
      </c>
      <c r="D156" t="s">
        <v>261</v>
      </c>
      <c r="E156" t="s">
        <v>1545</v>
      </c>
      <c r="F156" t="s">
        <v>263</v>
      </c>
      <c r="G156" t="s">
        <v>1543</v>
      </c>
      <c r="H156" t="s">
        <v>92</v>
      </c>
      <c r="I156" t="s">
        <v>258</v>
      </c>
      <c r="J156" t="s">
        <v>259</v>
      </c>
      <c r="K156" t="s">
        <v>604</v>
      </c>
      <c r="L156" t="s">
        <v>93</v>
      </c>
      <c r="M156">
        <v>24</v>
      </c>
      <c r="O156" t="s">
        <v>260</v>
      </c>
      <c r="P156" t="s">
        <v>262</v>
      </c>
      <c r="Q156" t="s">
        <v>1271</v>
      </c>
    </row>
    <row r="157" spans="1:17" x14ac:dyDescent="0.25">
      <c r="A157" t="s">
        <v>265</v>
      </c>
      <c r="B157">
        <v>2023</v>
      </c>
      <c r="C157" t="s">
        <v>1200</v>
      </c>
      <c r="D157" t="s">
        <v>267</v>
      </c>
      <c r="F157" t="s">
        <v>270</v>
      </c>
      <c r="H157" t="s">
        <v>59</v>
      </c>
      <c r="I157" t="s">
        <v>80</v>
      </c>
      <c r="J157" t="s">
        <v>81</v>
      </c>
      <c r="K157" t="s">
        <v>22</v>
      </c>
      <c r="L157" t="s">
        <v>73</v>
      </c>
      <c r="M157">
        <v>317660</v>
      </c>
      <c r="N157">
        <v>317660</v>
      </c>
      <c r="O157" t="s">
        <v>266</v>
      </c>
      <c r="P157" t="s">
        <v>268</v>
      </c>
      <c r="Q157" t="s">
        <v>1272</v>
      </c>
    </row>
    <row r="158" spans="1:17" x14ac:dyDescent="0.25">
      <c r="A158" t="s">
        <v>1314</v>
      </c>
      <c r="B158">
        <v>2023</v>
      </c>
      <c r="C158" t="s">
        <v>1200</v>
      </c>
      <c r="D158" t="s">
        <v>267</v>
      </c>
      <c r="F158" t="s">
        <v>270</v>
      </c>
      <c r="H158" t="s">
        <v>546</v>
      </c>
      <c r="I158" t="s">
        <v>50</v>
      </c>
      <c r="K158" t="s">
        <v>22</v>
      </c>
      <c r="L158" t="s">
        <v>1300</v>
      </c>
      <c r="M158">
        <v>527971.00225922198</v>
      </c>
      <c r="N158">
        <v>527971.00225922198</v>
      </c>
      <c r="P158" t="s">
        <v>268</v>
      </c>
      <c r="Q158" t="s">
        <v>1301</v>
      </c>
    </row>
    <row r="159" spans="1:17" x14ac:dyDescent="0.25">
      <c r="A159" t="s">
        <v>1352</v>
      </c>
      <c r="B159">
        <v>2023</v>
      </c>
      <c r="C159" t="s">
        <v>1200</v>
      </c>
      <c r="D159" t="s">
        <v>267</v>
      </c>
      <c r="F159" t="s">
        <v>270</v>
      </c>
      <c r="I159" t="s">
        <v>50</v>
      </c>
      <c r="K159" t="s">
        <v>604</v>
      </c>
      <c r="L159" t="s">
        <v>1341</v>
      </c>
      <c r="M159">
        <v>87879592.968635201</v>
      </c>
      <c r="N159">
        <v>87879592.968635201</v>
      </c>
      <c r="P159" t="s">
        <v>268</v>
      </c>
      <c r="Q159" t="s">
        <v>1301</v>
      </c>
    </row>
    <row r="160" spans="1:17" x14ac:dyDescent="0.25">
      <c r="A160" t="s">
        <v>272</v>
      </c>
      <c r="B160">
        <v>2023</v>
      </c>
      <c r="C160" t="s">
        <v>1200</v>
      </c>
      <c r="E160" t="s">
        <v>273</v>
      </c>
      <c r="F160" t="s">
        <v>274</v>
      </c>
      <c r="G160" t="s">
        <v>275</v>
      </c>
      <c r="H160" t="s">
        <v>115</v>
      </c>
      <c r="I160" t="s">
        <v>50</v>
      </c>
      <c r="J160" t="s">
        <v>51</v>
      </c>
      <c r="K160" t="s">
        <v>22</v>
      </c>
      <c r="L160" t="s">
        <v>73</v>
      </c>
      <c r="M160">
        <v>3842649.0057279998</v>
      </c>
      <c r="N160">
        <v>3842649.0057279998</v>
      </c>
      <c r="P160" t="s">
        <v>75</v>
      </c>
      <c r="Q160" t="s">
        <v>1229</v>
      </c>
    </row>
    <row r="161" spans="1:17" x14ac:dyDescent="0.25">
      <c r="A161" t="s">
        <v>595</v>
      </c>
      <c r="B161">
        <v>2023</v>
      </c>
      <c r="C161" t="s">
        <v>1200</v>
      </c>
      <c r="E161" t="s">
        <v>273</v>
      </c>
      <c r="F161" t="s">
        <v>274</v>
      </c>
      <c r="G161" t="s">
        <v>275</v>
      </c>
      <c r="H161" t="s">
        <v>115</v>
      </c>
      <c r="I161" t="s">
        <v>258</v>
      </c>
      <c r="J161" t="s">
        <v>1206</v>
      </c>
      <c r="K161" t="s">
        <v>22</v>
      </c>
      <c r="L161" t="s">
        <v>579</v>
      </c>
      <c r="M161">
        <v>431665.62702100002</v>
      </c>
      <c r="N161">
        <v>13.426311830047601</v>
      </c>
      <c r="P161" t="s">
        <v>75</v>
      </c>
      <c r="Q161" t="s">
        <v>1229</v>
      </c>
    </row>
    <row r="162" spans="1:17" x14ac:dyDescent="0.25">
      <c r="A162" t="s">
        <v>596</v>
      </c>
      <c r="B162">
        <v>2023</v>
      </c>
      <c r="C162" t="s">
        <v>1200</v>
      </c>
      <c r="E162" t="s">
        <v>273</v>
      </c>
      <c r="F162" t="s">
        <v>274</v>
      </c>
      <c r="G162" t="s">
        <v>275</v>
      </c>
      <c r="H162" t="s">
        <v>582</v>
      </c>
      <c r="I162" t="s">
        <v>258</v>
      </c>
      <c r="J162" t="s">
        <v>1206</v>
      </c>
      <c r="K162" t="s">
        <v>22</v>
      </c>
      <c r="L162" t="s">
        <v>583</v>
      </c>
      <c r="M162">
        <v>125</v>
      </c>
      <c r="N162">
        <v>3.8879375</v>
      </c>
      <c r="P162" t="s">
        <v>75</v>
      </c>
      <c r="Q162" t="s">
        <v>1229</v>
      </c>
    </row>
    <row r="163" spans="1:17" x14ac:dyDescent="0.25">
      <c r="A163" t="s">
        <v>276</v>
      </c>
      <c r="B163">
        <v>2023</v>
      </c>
      <c r="C163" t="s">
        <v>1200</v>
      </c>
      <c r="D163" t="s">
        <v>277</v>
      </c>
      <c r="F163" t="s">
        <v>278</v>
      </c>
      <c r="H163" t="s">
        <v>115</v>
      </c>
      <c r="I163" t="s">
        <v>50</v>
      </c>
      <c r="J163" t="s">
        <v>51</v>
      </c>
      <c r="K163" t="s">
        <v>22</v>
      </c>
      <c r="L163" t="s">
        <v>73</v>
      </c>
      <c r="M163">
        <v>1918143</v>
      </c>
      <c r="N163">
        <v>1918143</v>
      </c>
      <c r="P163" t="s">
        <v>75</v>
      </c>
      <c r="Q163" t="s">
        <v>1229</v>
      </c>
    </row>
    <row r="164" spans="1:17" x14ac:dyDescent="0.25">
      <c r="A164" t="s">
        <v>597</v>
      </c>
      <c r="B164">
        <v>2023</v>
      </c>
      <c r="C164" t="s">
        <v>1200</v>
      </c>
      <c r="D164" t="s">
        <v>277</v>
      </c>
      <c r="F164" t="s">
        <v>278</v>
      </c>
      <c r="H164" t="s">
        <v>115</v>
      </c>
      <c r="I164" t="s">
        <v>258</v>
      </c>
      <c r="J164" t="s">
        <v>1206</v>
      </c>
      <c r="K164" t="s">
        <v>22</v>
      </c>
      <c r="L164" t="s">
        <v>579</v>
      </c>
      <c r="M164">
        <v>364141</v>
      </c>
      <c r="N164">
        <v>11.326059593499901</v>
      </c>
      <c r="P164" t="s">
        <v>75</v>
      </c>
      <c r="Q164" t="s">
        <v>1229</v>
      </c>
    </row>
    <row r="165" spans="1:17" x14ac:dyDescent="0.25">
      <c r="A165" t="s">
        <v>598</v>
      </c>
      <c r="B165">
        <v>2023</v>
      </c>
      <c r="C165" t="s">
        <v>1200</v>
      </c>
      <c r="D165" t="s">
        <v>277</v>
      </c>
      <c r="F165" t="s">
        <v>278</v>
      </c>
      <c r="H165" t="s">
        <v>582</v>
      </c>
      <c r="I165" t="s">
        <v>258</v>
      </c>
      <c r="J165" t="s">
        <v>1206</v>
      </c>
      <c r="K165" t="s">
        <v>22</v>
      </c>
      <c r="L165" t="s">
        <v>583</v>
      </c>
      <c r="M165">
        <v>27</v>
      </c>
      <c r="N165">
        <v>0.8397945</v>
      </c>
      <c r="P165" t="s">
        <v>75</v>
      </c>
      <c r="Q165" t="s">
        <v>1229</v>
      </c>
    </row>
    <row r="166" spans="1:17" x14ac:dyDescent="0.25">
      <c r="A166" t="s">
        <v>1315</v>
      </c>
      <c r="B166">
        <v>2023</v>
      </c>
      <c r="C166" t="s">
        <v>1200</v>
      </c>
      <c r="D166" t="s">
        <v>481</v>
      </c>
      <c r="F166" s="11" t="s">
        <v>482</v>
      </c>
      <c r="H166" t="s">
        <v>546</v>
      </c>
      <c r="I166" t="s">
        <v>50</v>
      </c>
      <c r="K166" t="s">
        <v>22</v>
      </c>
      <c r="L166" t="s">
        <v>1300</v>
      </c>
      <c r="M166">
        <v>0</v>
      </c>
      <c r="N166">
        <v>0</v>
      </c>
      <c r="P166" t="s">
        <v>1316</v>
      </c>
      <c r="Q166" t="s">
        <v>1301</v>
      </c>
    </row>
    <row r="167" spans="1:17" x14ac:dyDescent="0.25">
      <c r="A167" t="s">
        <v>1353</v>
      </c>
      <c r="B167">
        <v>2023</v>
      </c>
      <c r="C167" t="s">
        <v>1200</v>
      </c>
      <c r="D167" t="s">
        <v>481</v>
      </c>
      <c r="F167" s="11" t="s">
        <v>482</v>
      </c>
      <c r="I167" t="s">
        <v>50</v>
      </c>
      <c r="K167" t="s">
        <v>604</v>
      </c>
      <c r="L167" t="s">
        <v>1341</v>
      </c>
      <c r="M167">
        <v>7413000.03172071</v>
      </c>
      <c r="N167">
        <v>7413000.03172071</v>
      </c>
      <c r="P167" t="s">
        <v>1316</v>
      </c>
      <c r="Q167" t="s">
        <v>1301</v>
      </c>
    </row>
    <row r="168" spans="1:17" x14ac:dyDescent="0.25">
      <c r="A168" t="s">
        <v>1317</v>
      </c>
      <c r="B168">
        <v>2023</v>
      </c>
      <c r="C168" t="s">
        <v>1200</v>
      </c>
      <c r="D168" t="s">
        <v>1318</v>
      </c>
      <c r="F168" s="11" t="s">
        <v>1320</v>
      </c>
      <c r="H168" t="s">
        <v>546</v>
      </c>
      <c r="I168" t="s">
        <v>50</v>
      </c>
      <c r="K168" t="s">
        <v>22</v>
      </c>
      <c r="L168" t="s">
        <v>1300</v>
      </c>
      <c r="M168">
        <v>0</v>
      </c>
      <c r="N168">
        <v>0</v>
      </c>
      <c r="P168" t="s">
        <v>1319</v>
      </c>
      <c r="Q168" t="s">
        <v>1301</v>
      </c>
    </row>
    <row r="169" spans="1:17" x14ac:dyDescent="0.25">
      <c r="A169" t="s">
        <v>1354</v>
      </c>
      <c r="B169">
        <v>2023</v>
      </c>
      <c r="C169" t="s">
        <v>1200</v>
      </c>
      <c r="D169" t="s">
        <v>1318</v>
      </c>
      <c r="F169" s="11" t="s">
        <v>1320</v>
      </c>
      <c r="I169" t="s">
        <v>50</v>
      </c>
      <c r="K169" t="s">
        <v>604</v>
      </c>
      <c r="L169" t="s">
        <v>1341</v>
      </c>
      <c r="M169">
        <v>2313000.0098974798</v>
      </c>
      <c r="N169">
        <v>2313000.0098974798</v>
      </c>
      <c r="P169" t="s">
        <v>1319</v>
      </c>
      <c r="Q169" t="s">
        <v>1301</v>
      </c>
    </row>
    <row r="170" spans="1:17" x14ac:dyDescent="0.25">
      <c r="A170" t="s">
        <v>279</v>
      </c>
      <c r="B170">
        <v>2023</v>
      </c>
      <c r="C170" t="s">
        <v>1200</v>
      </c>
      <c r="D170" t="s">
        <v>280</v>
      </c>
      <c r="E170" t="s">
        <v>152</v>
      </c>
      <c r="F170" t="s">
        <v>281</v>
      </c>
      <c r="G170" t="s">
        <v>154</v>
      </c>
      <c r="H170" t="s">
        <v>49</v>
      </c>
      <c r="I170" t="s">
        <v>80</v>
      </c>
      <c r="J170" t="s">
        <v>81</v>
      </c>
      <c r="K170" t="s">
        <v>22</v>
      </c>
      <c r="L170" t="s">
        <v>23</v>
      </c>
      <c r="M170">
        <v>16499</v>
      </c>
      <c r="N170">
        <v>16499000</v>
      </c>
      <c r="P170" t="s">
        <v>42</v>
      </c>
      <c r="Q170" t="s">
        <v>1273</v>
      </c>
    </row>
    <row r="171" spans="1:17" x14ac:dyDescent="0.25">
      <c r="A171" t="s">
        <v>621</v>
      </c>
      <c r="B171">
        <v>2023</v>
      </c>
      <c r="C171" t="s">
        <v>1200</v>
      </c>
      <c r="D171" t="s">
        <v>283</v>
      </c>
      <c r="F171" t="s">
        <v>286</v>
      </c>
      <c r="H171" t="s">
        <v>546</v>
      </c>
      <c r="I171" t="s">
        <v>258</v>
      </c>
      <c r="J171" t="s">
        <v>259</v>
      </c>
      <c r="K171" t="s">
        <v>22</v>
      </c>
      <c r="L171" t="s">
        <v>625</v>
      </c>
      <c r="M171">
        <v>61862</v>
      </c>
      <c r="N171">
        <v>28060.108304000001</v>
      </c>
      <c r="P171" t="s">
        <v>284</v>
      </c>
      <c r="Q171" t="s">
        <v>1274</v>
      </c>
    </row>
    <row r="172" spans="1:17" x14ac:dyDescent="0.25">
      <c r="A172" t="s">
        <v>624</v>
      </c>
      <c r="B172">
        <v>2023</v>
      </c>
      <c r="C172" t="s">
        <v>1200</v>
      </c>
      <c r="D172" t="s">
        <v>283</v>
      </c>
      <c r="F172" t="s">
        <v>286</v>
      </c>
      <c r="H172" t="s">
        <v>589</v>
      </c>
      <c r="I172" t="s">
        <v>258</v>
      </c>
      <c r="J172" t="s">
        <v>589</v>
      </c>
      <c r="K172" t="s">
        <v>22</v>
      </c>
      <c r="L172" t="s">
        <v>622</v>
      </c>
      <c r="M172">
        <v>142285</v>
      </c>
      <c r="N172">
        <v>142285</v>
      </c>
      <c r="O172" t="s">
        <v>623</v>
      </c>
      <c r="P172" t="s">
        <v>284</v>
      </c>
      <c r="Q172" t="s">
        <v>1274</v>
      </c>
    </row>
    <row r="173" spans="1:17" x14ac:dyDescent="0.25">
      <c r="A173" t="s">
        <v>627</v>
      </c>
      <c r="B173">
        <v>2023</v>
      </c>
      <c r="C173" t="s">
        <v>1200</v>
      </c>
      <c r="D173" t="s">
        <v>283</v>
      </c>
      <c r="F173" t="s">
        <v>286</v>
      </c>
      <c r="H173" t="s">
        <v>115</v>
      </c>
      <c r="I173" t="s">
        <v>258</v>
      </c>
      <c r="J173" t="s">
        <v>1206</v>
      </c>
      <c r="K173" t="s">
        <v>22</v>
      </c>
      <c r="L173" t="s">
        <v>579</v>
      </c>
      <c r="M173">
        <v>154391</v>
      </c>
      <c r="N173">
        <v>4.8021004684999999</v>
      </c>
      <c r="P173" t="s">
        <v>284</v>
      </c>
      <c r="Q173" t="s">
        <v>1274</v>
      </c>
    </row>
    <row r="174" spans="1:17" x14ac:dyDescent="0.25">
      <c r="A174" t="s">
        <v>628</v>
      </c>
      <c r="B174">
        <v>2023</v>
      </c>
      <c r="C174" t="s">
        <v>1200</v>
      </c>
      <c r="D174" t="s">
        <v>283</v>
      </c>
      <c r="F174" t="s">
        <v>286</v>
      </c>
      <c r="H174" t="s">
        <v>59</v>
      </c>
      <c r="I174" t="s">
        <v>80</v>
      </c>
      <c r="J174" t="s">
        <v>81</v>
      </c>
      <c r="K174" t="s">
        <v>22</v>
      </c>
      <c r="L174" t="s">
        <v>23</v>
      </c>
      <c r="M174">
        <v>21278</v>
      </c>
      <c r="N174">
        <v>21278000</v>
      </c>
      <c r="P174" t="s">
        <v>284</v>
      </c>
      <c r="Q174" t="s">
        <v>1274</v>
      </c>
    </row>
    <row r="175" spans="1:17" x14ac:dyDescent="0.25">
      <c r="A175" t="s">
        <v>282</v>
      </c>
      <c r="B175">
        <v>2023</v>
      </c>
      <c r="C175" t="s">
        <v>1200</v>
      </c>
      <c r="D175" t="s">
        <v>283</v>
      </c>
      <c r="F175" t="s">
        <v>286</v>
      </c>
      <c r="H175" t="s">
        <v>59</v>
      </c>
      <c r="I175" t="s">
        <v>50</v>
      </c>
      <c r="J175" t="s">
        <v>51</v>
      </c>
      <c r="K175" t="s">
        <v>22</v>
      </c>
      <c r="L175" t="s">
        <v>23</v>
      </c>
      <c r="M175">
        <v>21680</v>
      </c>
      <c r="N175">
        <v>21680000</v>
      </c>
      <c r="P175" t="s">
        <v>284</v>
      </c>
      <c r="Q175" t="s">
        <v>1274</v>
      </c>
    </row>
    <row r="176" spans="1:17" x14ac:dyDescent="0.25">
      <c r="A176" t="s">
        <v>1321</v>
      </c>
      <c r="B176">
        <v>2023</v>
      </c>
      <c r="C176" t="s">
        <v>1200</v>
      </c>
      <c r="D176" t="s">
        <v>283</v>
      </c>
      <c r="F176" t="s">
        <v>286</v>
      </c>
      <c r="H176" t="s">
        <v>546</v>
      </c>
      <c r="I176" t="s">
        <v>50</v>
      </c>
      <c r="K176" t="s">
        <v>22</v>
      </c>
      <c r="L176" t="s">
        <v>1300</v>
      </c>
      <c r="M176">
        <v>21278000.091049898</v>
      </c>
      <c r="N176">
        <v>21278000.091049898</v>
      </c>
      <c r="P176" t="s">
        <v>284</v>
      </c>
      <c r="Q176" t="s">
        <v>1301</v>
      </c>
    </row>
    <row r="177" spans="1:17" x14ac:dyDescent="0.25">
      <c r="A177" t="s">
        <v>1355</v>
      </c>
      <c r="B177">
        <v>2023</v>
      </c>
      <c r="C177" t="s">
        <v>1200</v>
      </c>
      <c r="D177" t="s">
        <v>283</v>
      </c>
      <c r="F177" t="s">
        <v>286</v>
      </c>
      <c r="I177" t="s">
        <v>50</v>
      </c>
      <c r="K177" t="s">
        <v>604</v>
      </c>
      <c r="L177" t="s">
        <v>1341</v>
      </c>
      <c r="M177">
        <v>250025001.06987301</v>
      </c>
      <c r="N177">
        <v>250025001.06987301</v>
      </c>
      <c r="P177" t="s">
        <v>284</v>
      </c>
      <c r="Q177" t="s">
        <v>1301</v>
      </c>
    </row>
    <row r="178" spans="1:17" x14ac:dyDescent="0.25">
      <c r="A178" t="s">
        <v>677</v>
      </c>
      <c r="B178">
        <v>2023</v>
      </c>
      <c r="C178" t="s">
        <v>1200</v>
      </c>
      <c r="D178" t="s">
        <v>288</v>
      </c>
      <c r="F178" t="s">
        <v>291</v>
      </c>
      <c r="H178" t="s">
        <v>115</v>
      </c>
      <c r="I178" t="s">
        <v>258</v>
      </c>
      <c r="J178" t="s">
        <v>1206</v>
      </c>
      <c r="K178" t="s">
        <v>22</v>
      </c>
      <c r="L178" t="s">
        <v>579</v>
      </c>
      <c r="M178">
        <v>41834</v>
      </c>
      <c r="N178">
        <v>1.301183819</v>
      </c>
      <c r="P178" t="s">
        <v>289</v>
      </c>
      <c r="Q178" t="s">
        <v>1275</v>
      </c>
    </row>
    <row r="179" spans="1:17" x14ac:dyDescent="0.25">
      <c r="A179" t="s">
        <v>678</v>
      </c>
      <c r="B179">
        <v>2023</v>
      </c>
      <c r="C179" t="s">
        <v>1200</v>
      </c>
      <c r="D179" t="s">
        <v>288</v>
      </c>
      <c r="F179" t="s">
        <v>291</v>
      </c>
      <c r="H179" t="s">
        <v>59</v>
      </c>
      <c r="I179" t="s">
        <v>50</v>
      </c>
      <c r="J179" t="s">
        <v>107</v>
      </c>
      <c r="K179" t="s">
        <v>22</v>
      </c>
      <c r="L179" t="s">
        <v>73</v>
      </c>
      <c r="M179">
        <v>5948239</v>
      </c>
      <c r="N179">
        <v>5948239</v>
      </c>
      <c r="P179" t="s">
        <v>289</v>
      </c>
      <c r="Q179" t="s">
        <v>1275</v>
      </c>
    </row>
    <row r="180" spans="1:17" x14ac:dyDescent="0.25">
      <c r="A180" t="s">
        <v>287</v>
      </c>
      <c r="B180">
        <v>2023</v>
      </c>
      <c r="C180" t="s">
        <v>1200</v>
      </c>
      <c r="D180" t="s">
        <v>288</v>
      </c>
      <c r="F180" t="s">
        <v>291</v>
      </c>
      <c r="H180" t="s">
        <v>546</v>
      </c>
      <c r="I180" t="s">
        <v>258</v>
      </c>
      <c r="J180" t="s">
        <v>259</v>
      </c>
      <c r="K180" t="s">
        <v>22</v>
      </c>
      <c r="L180" t="s">
        <v>625</v>
      </c>
      <c r="M180">
        <v>30145</v>
      </c>
      <c r="N180">
        <v>13673.530839999999</v>
      </c>
      <c r="P180" t="s">
        <v>289</v>
      </c>
      <c r="Q180" t="s">
        <v>1275</v>
      </c>
    </row>
    <row r="181" spans="1:17" x14ac:dyDescent="0.25">
      <c r="A181" t="s">
        <v>1322</v>
      </c>
      <c r="B181">
        <v>2023</v>
      </c>
      <c r="C181" t="s">
        <v>1200</v>
      </c>
      <c r="D181" t="s">
        <v>288</v>
      </c>
      <c r="F181" t="s">
        <v>291</v>
      </c>
      <c r="H181" t="s">
        <v>546</v>
      </c>
      <c r="I181" t="s">
        <v>50</v>
      </c>
      <c r="K181" t="s">
        <v>22</v>
      </c>
      <c r="L181" t="s">
        <v>1300</v>
      </c>
      <c r="M181">
        <v>5948239.0254528997</v>
      </c>
      <c r="N181">
        <v>5948239.0254528997</v>
      </c>
      <c r="P181" t="s">
        <v>289</v>
      </c>
      <c r="Q181" t="s">
        <v>1301</v>
      </c>
    </row>
    <row r="182" spans="1:17" x14ac:dyDescent="0.25">
      <c r="A182" t="s">
        <v>1356</v>
      </c>
      <c r="B182">
        <v>2023</v>
      </c>
      <c r="C182" t="s">
        <v>1200</v>
      </c>
      <c r="D182" t="s">
        <v>288</v>
      </c>
      <c r="F182" t="s">
        <v>291</v>
      </c>
      <c r="I182" t="s">
        <v>50</v>
      </c>
      <c r="K182" t="s">
        <v>604</v>
      </c>
      <c r="L182" t="s">
        <v>1341</v>
      </c>
      <c r="M182">
        <v>49029000.209798299</v>
      </c>
      <c r="N182">
        <v>49029000.209798299</v>
      </c>
      <c r="P182" t="s">
        <v>289</v>
      </c>
      <c r="Q182" t="s">
        <v>1301</v>
      </c>
    </row>
    <row r="183" spans="1:17" x14ac:dyDescent="0.25">
      <c r="A183" t="s">
        <v>293</v>
      </c>
      <c r="B183">
        <v>2023</v>
      </c>
      <c r="C183" t="s">
        <v>1200</v>
      </c>
      <c r="D183" t="s">
        <v>294</v>
      </c>
      <c r="F183" t="s">
        <v>295</v>
      </c>
      <c r="H183" t="s">
        <v>59</v>
      </c>
      <c r="I183" t="s">
        <v>50</v>
      </c>
      <c r="J183" t="s">
        <v>51</v>
      </c>
      <c r="K183" t="s">
        <v>22</v>
      </c>
      <c r="L183" t="s">
        <v>23</v>
      </c>
      <c r="M183">
        <v>1028</v>
      </c>
      <c r="N183">
        <v>1028000</v>
      </c>
      <c r="P183" t="s">
        <v>61</v>
      </c>
      <c r="Q183" t="s">
        <v>1205</v>
      </c>
    </row>
    <row r="184" spans="1:17" x14ac:dyDescent="0.25">
      <c r="A184" t="s">
        <v>694</v>
      </c>
      <c r="B184">
        <v>2023</v>
      </c>
      <c r="C184" t="s">
        <v>1200</v>
      </c>
      <c r="D184" t="s">
        <v>294</v>
      </c>
      <c r="F184" t="s">
        <v>295</v>
      </c>
      <c r="H184" t="s">
        <v>115</v>
      </c>
      <c r="I184" t="s">
        <v>258</v>
      </c>
      <c r="J184" t="s">
        <v>1206</v>
      </c>
      <c r="K184" t="s">
        <v>22</v>
      </c>
      <c r="L184" t="s">
        <v>583</v>
      </c>
      <c r="M184">
        <v>180</v>
      </c>
      <c r="N184">
        <v>5.59863</v>
      </c>
      <c r="P184" t="s">
        <v>61</v>
      </c>
      <c r="Q184" t="s">
        <v>1205</v>
      </c>
    </row>
    <row r="185" spans="1:17" x14ac:dyDescent="0.25">
      <c r="A185" t="s">
        <v>1323</v>
      </c>
      <c r="B185">
        <v>2023</v>
      </c>
      <c r="C185" t="s">
        <v>1200</v>
      </c>
      <c r="D185" t="s">
        <v>516</v>
      </c>
      <c r="F185" s="11" t="s">
        <v>517</v>
      </c>
      <c r="H185" t="s">
        <v>546</v>
      </c>
      <c r="I185" t="s">
        <v>50</v>
      </c>
      <c r="K185" t="s">
        <v>22</v>
      </c>
      <c r="L185" t="s">
        <v>1300</v>
      </c>
      <c r="M185">
        <v>45000.000192557898</v>
      </c>
      <c r="N185">
        <v>45000.000192557898</v>
      </c>
      <c r="P185" t="s">
        <v>1324</v>
      </c>
      <c r="Q185" t="s">
        <v>1301</v>
      </c>
    </row>
    <row r="186" spans="1:17" x14ac:dyDescent="0.25">
      <c r="A186" t="s">
        <v>1357</v>
      </c>
      <c r="B186">
        <v>2023</v>
      </c>
      <c r="C186" t="s">
        <v>1200</v>
      </c>
      <c r="D186" t="s">
        <v>516</v>
      </c>
      <c r="F186" s="11" t="s">
        <v>517</v>
      </c>
      <c r="I186" t="s">
        <v>50</v>
      </c>
      <c r="K186" t="s">
        <v>604</v>
      </c>
      <c r="L186" t="s">
        <v>1341</v>
      </c>
      <c r="M186">
        <v>4110000.01758696</v>
      </c>
      <c r="N186">
        <v>4110000.01758696</v>
      </c>
      <c r="P186" t="s">
        <v>1324</v>
      </c>
      <c r="Q186" t="s">
        <v>1301</v>
      </c>
    </row>
    <row r="187" spans="1:17" x14ac:dyDescent="0.25">
      <c r="A187" t="s">
        <v>684</v>
      </c>
      <c r="B187">
        <v>2023</v>
      </c>
      <c r="C187" t="s">
        <v>1200</v>
      </c>
      <c r="D187" t="s">
        <v>297</v>
      </c>
      <c r="F187" t="s">
        <v>300</v>
      </c>
      <c r="H187" t="s">
        <v>115</v>
      </c>
      <c r="I187" t="s">
        <v>258</v>
      </c>
      <c r="J187" t="s">
        <v>1206</v>
      </c>
      <c r="K187" t="s">
        <v>22</v>
      </c>
      <c r="L187" t="s">
        <v>579</v>
      </c>
      <c r="M187">
        <v>67433</v>
      </c>
      <c r="N187">
        <v>2.0974023155000001</v>
      </c>
      <c r="P187" t="s">
        <v>298</v>
      </c>
      <c r="Q187" t="s">
        <v>1276</v>
      </c>
    </row>
    <row r="188" spans="1:17" x14ac:dyDescent="0.25">
      <c r="A188" t="s">
        <v>685</v>
      </c>
      <c r="B188">
        <v>2023</v>
      </c>
      <c r="C188" t="s">
        <v>1200</v>
      </c>
      <c r="D188" t="s">
        <v>297</v>
      </c>
      <c r="F188" t="s">
        <v>300</v>
      </c>
      <c r="H188" t="s">
        <v>59</v>
      </c>
      <c r="I188" t="s">
        <v>80</v>
      </c>
      <c r="J188" t="s">
        <v>81</v>
      </c>
      <c r="K188" t="s">
        <v>22</v>
      </c>
      <c r="L188" t="s">
        <v>23</v>
      </c>
      <c r="M188">
        <v>2993</v>
      </c>
      <c r="N188">
        <v>2993000</v>
      </c>
      <c r="P188" t="s">
        <v>298</v>
      </c>
      <c r="Q188" t="s">
        <v>1276</v>
      </c>
    </row>
    <row r="189" spans="1:17" x14ac:dyDescent="0.25">
      <c r="A189" t="s">
        <v>686</v>
      </c>
      <c r="B189">
        <v>2023</v>
      </c>
      <c r="C189" t="s">
        <v>1200</v>
      </c>
      <c r="D189" t="s">
        <v>297</v>
      </c>
      <c r="F189" t="s">
        <v>300</v>
      </c>
      <c r="H189" t="s">
        <v>59</v>
      </c>
      <c r="I189" t="s">
        <v>50</v>
      </c>
      <c r="J189" t="s">
        <v>51</v>
      </c>
      <c r="K189" t="s">
        <v>22</v>
      </c>
      <c r="L189" t="s">
        <v>23</v>
      </c>
      <c r="M189">
        <v>3065</v>
      </c>
      <c r="N189">
        <v>3065000</v>
      </c>
      <c r="P189" t="s">
        <v>298</v>
      </c>
      <c r="Q189" t="s">
        <v>1276</v>
      </c>
    </row>
    <row r="190" spans="1:17" x14ac:dyDescent="0.25">
      <c r="A190" t="s">
        <v>296</v>
      </c>
      <c r="B190">
        <v>2023</v>
      </c>
      <c r="C190" t="s">
        <v>1200</v>
      </c>
      <c r="D190" t="s">
        <v>297</v>
      </c>
      <c r="F190" t="s">
        <v>300</v>
      </c>
      <c r="H190" t="s">
        <v>546</v>
      </c>
      <c r="I190" t="s">
        <v>258</v>
      </c>
      <c r="J190" t="s">
        <v>259</v>
      </c>
      <c r="K190" t="s">
        <v>22</v>
      </c>
      <c r="L190" t="s">
        <v>93</v>
      </c>
      <c r="M190">
        <v>47.4</v>
      </c>
      <c r="N190">
        <v>21500.2608</v>
      </c>
      <c r="O190" t="s">
        <v>626</v>
      </c>
      <c r="P190" t="s">
        <v>298</v>
      </c>
      <c r="Q190" t="s">
        <v>1276</v>
      </c>
    </row>
    <row r="191" spans="1:17" x14ac:dyDescent="0.25">
      <c r="A191" t="s">
        <v>1325</v>
      </c>
      <c r="B191">
        <v>2023</v>
      </c>
      <c r="C191" t="s">
        <v>1200</v>
      </c>
      <c r="D191" t="s">
        <v>297</v>
      </c>
      <c r="F191" t="s">
        <v>300</v>
      </c>
      <c r="H191" t="s">
        <v>546</v>
      </c>
      <c r="I191" t="s">
        <v>50</v>
      </c>
      <c r="K191" t="s">
        <v>22</v>
      </c>
      <c r="L191" t="s">
        <v>1300</v>
      </c>
      <c r="M191">
        <v>2993000.0128072398</v>
      </c>
      <c r="N191">
        <v>2993000.0128072398</v>
      </c>
      <c r="P191" t="s">
        <v>298</v>
      </c>
      <c r="Q191" t="s">
        <v>1301</v>
      </c>
    </row>
    <row r="192" spans="1:17" x14ac:dyDescent="0.25">
      <c r="A192" t="s">
        <v>1358</v>
      </c>
      <c r="B192">
        <v>2023</v>
      </c>
      <c r="C192" t="s">
        <v>1200</v>
      </c>
      <c r="D192" t="s">
        <v>297</v>
      </c>
      <c r="F192" t="s">
        <v>300</v>
      </c>
      <c r="I192" t="s">
        <v>50</v>
      </c>
      <c r="K192" t="s">
        <v>604</v>
      </c>
      <c r="L192" t="s">
        <v>1341</v>
      </c>
      <c r="M192">
        <v>34087000.145860501</v>
      </c>
      <c r="N192">
        <v>34087000.145860501</v>
      </c>
      <c r="P192" t="s">
        <v>298</v>
      </c>
      <c r="Q192" t="s">
        <v>1301</v>
      </c>
    </row>
    <row r="193" spans="1:17" x14ac:dyDescent="0.25">
      <c r="A193" t="s">
        <v>667</v>
      </c>
      <c r="B193">
        <v>2023</v>
      </c>
      <c r="C193" t="s">
        <v>1200</v>
      </c>
      <c r="D193" t="s">
        <v>301</v>
      </c>
      <c r="E193" t="s">
        <v>222</v>
      </c>
      <c r="F193" t="s">
        <v>302</v>
      </c>
      <c r="G193" t="s">
        <v>224</v>
      </c>
      <c r="H193" t="s">
        <v>59</v>
      </c>
      <c r="I193" t="s">
        <v>50</v>
      </c>
      <c r="J193" t="s">
        <v>107</v>
      </c>
      <c r="K193" t="s">
        <v>22</v>
      </c>
      <c r="L193" t="s">
        <v>73</v>
      </c>
      <c r="M193">
        <v>596912</v>
      </c>
      <c r="N193">
        <v>596912</v>
      </c>
      <c r="P193" t="s">
        <v>110</v>
      </c>
      <c r="Q193" t="s">
        <v>1224</v>
      </c>
    </row>
    <row r="194" spans="1:17" x14ac:dyDescent="0.25">
      <c r="A194" t="s">
        <v>304</v>
      </c>
      <c r="B194">
        <v>2024</v>
      </c>
      <c r="C194" t="s">
        <v>1200</v>
      </c>
      <c r="D194" t="s">
        <v>305</v>
      </c>
      <c r="E194" t="s">
        <v>162</v>
      </c>
      <c r="F194" t="s">
        <v>306</v>
      </c>
      <c r="G194" t="s">
        <v>164</v>
      </c>
      <c r="H194" t="s">
        <v>59</v>
      </c>
      <c r="I194" t="s">
        <v>80</v>
      </c>
      <c r="J194" t="s">
        <v>81</v>
      </c>
      <c r="K194" t="s">
        <v>22</v>
      </c>
      <c r="L194" t="s">
        <v>73</v>
      </c>
      <c r="M194">
        <v>320160</v>
      </c>
      <c r="N194">
        <v>320160</v>
      </c>
      <c r="P194" t="s">
        <v>69</v>
      </c>
      <c r="Q194" t="s">
        <v>1243</v>
      </c>
    </row>
    <row r="195" spans="1:17" x14ac:dyDescent="0.25">
      <c r="A195" t="s">
        <v>308</v>
      </c>
      <c r="B195">
        <v>2023</v>
      </c>
      <c r="C195" t="s">
        <v>1200</v>
      </c>
      <c r="D195" t="s">
        <v>311</v>
      </c>
      <c r="F195" t="s">
        <v>313</v>
      </c>
      <c r="H195" t="s">
        <v>309</v>
      </c>
      <c r="I195" t="s">
        <v>80</v>
      </c>
      <c r="J195" t="s">
        <v>81</v>
      </c>
      <c r="K195" t="s">
        <v>22</v>
      </c>
      <c r="L195" t="s">
        <v>39</v>
      </c>
      <c r="M195">
        <v>2.2000000000000002</v>
      </c>
      <c r="N195">
        <v>2200000</v>
      </c>
      <c r="O195" t="s">
        <v>310</v>
      </c>
      <c r="P195" t="s">
        <v>312</v>
      </c>
      <c r="Q195" t="s">
        <v>1277</v>
      </c>
    </row>
    <row r="196" spans="1:17" x14ac:dyDescent="0.25">
      <c r="A196" t="s">
        <v>1278</v>
      </c>
      <c r="B196">
        <v>2023</v>
      </c>
      <c r="C196" t="s">
        <v>1200</v>
      </c>
      <c r="D196" t="s">
        <v>311</v>
      </c>
      <c r="F196" t="s">
        <v>313</v>
      </c>
      <c r="H196" t="s">
        <v>309</v>
      </c>
      <c r="I196" t="s">
        <v>258</v>
      </c>
      <c r="J196" t="s">
        <v>259</v>
      </c>
      <c r="K196" t="s">
        <v>22</v>
      </c>
      <c r="L196" t="s">
        <v>992</v>
      </c>
      <c r="M196">
        <v>6568950</v>
      </c>
      <c r="N196">
        <v>6568.95</v>
      </c>
      <c r="P196" t="s">
        <v>312</v>
      </c>
      <c r="Q196" t="s">
        <v>1236</v>
      </c>
    </row>
    <row r="197" spans="1:17" x14ac:dyDescent="0.25">
      <c r="A197" t="s">
        <v>314</v>
      </c>
      <c r="B197">
        <v>2023</v>
      </c>
      <c r="C197" t="s">
        <v>1200</v>
      </c>
      <c r="D197" t="s">
        <v>316</v>
      </c>
      <c r="F197" t="s">
        <v>318</v>
      </c>
      <c r="H197" t="s">
        <v>315</v>
      </c>
      <c r="I197" t="s">
        <v>20</v>
      </c>
      <c r="J197" t="s">
        <v>20</v>
      </c>
      <c r="K197" t="s">
        <v>22</v>
      </c>
      <c r="L197" t="s">
        <v>73</v>
      </c>
      <c r="M197">
        <v>11700</v>
      </c>
      <c r="N197">
        <v>11700</v>
      </c>
      <c r="P197" t="s">
        <v>317</v>
      </c>
      <c r="Q197" t="s">
        <v>1279</v>
      </c>
    </row>
    <row r="198" spans="1:17" x14ac:dyDescent="0.25">
      <c r="A198" t="s">
        <v>319</v>
      </c>
      <c r="B198">
        <v>2023</v>
      </c>
      <c r="C198" t="s">
        <v>1200</v>
      </c>
      <c r="D198" t="s">
        <v>321</v>
      </c>
      <c r="F198" t="s">
        <v>323</v>
      </c>
      <c r="H198" t="s">
        <v>320</v>
      </c>
      <c r="I198" t="s">
        <v>80</v>
      </c>
      <c r="J198" t="s">
        <v>81</v>
      </c>
      <c r="K198" t="s">
        <v>22</v>
      </c>
      <c r="L198" t="s">
        <v>52</v>
      </c>
      <c r="M198">
        <v>407034</v>
      </c>
      <c r="N198">
        <v>407034</v>
      </c>
      <c r="P198" t="s">
        <v>322</v>
      </c>
      <c r="Q198" t="s">
        <v>1280</v>
      </c>
    </row>
    <row r="199" spans="1:17" x14ac:dyDescent="0.25">
      <c r="A199" t="s">
        <v>715</v>
      </c>
      <c r="B199">
        <v>2023</v>
      </c>
      <c r="C199" t="s">
        <v>1200</v>
      </c>
      <c r="D199" t="s">
        <v>321</v>
      </c>
      <c r="F199" t="s">
        <v>323</v>
      </c>
      <c r="H199" t="s">
        <v>320</v>
      </c>
      <c r="I199" t="s">
        <v>258</v>
      </c>
      <c r="J199" t="s">
        <v>589</v>
      </c>
      <c r="K199" t="s">
        <v>22</v>
      </c>
      <c r="L199" t="s">
        <v>622</v>
      </c>
      <c r="M199">
        <v>33120</v>
      </c>
      <c r="N199">
        <v>33120</v>
      </c>
      <c r="P199" t="s">
        <v>322</v>
      </c>
      <c r="Q199" t="s">
        <v>1280</v>
      </c>
    </row>
    <row r="200" spans="1:17" x14ac:dyDescent="0.25">
      <c r="A200" t="s">
        <v>620</v>
      </c>
      <c r="B200">
        <v>2023</v>
      </c>
      <c r="C200" t="s">
        <v>1200</v>
      </c>
      <c r="D200" t="s">
        <v>328</v>
      </c>
      <c r="F200" t="s">
        <v>330</v>
      </c>
      <c r="H200" t="s">
        <v>546</v>
      </c>
      <c r="I200" t="s">
        <v>258</v>
      </c>
      <c r="J200" t="s">
        <v>259</v>
      </c>
      <c r="K200" t="s">
        <v>22</v>
      </c>
      <c r="L200" t="s">
        <v>73</v>
      </c>
      <c r="M200">
        <v>40926</v>
      </c>
      <c r="N200">
        <v>40926</v>
      </c>
      <c r="P200" t="s">
        <v>329</v>
      </c>
      <c r="Q200" t="s">
        <v>1236</v>
      </c>
    </row>
    <row r="201" spans="1:17" x14ac:dyDescent="0.25">
      <c r="A201" t="s">
        <v>325</v>
      </c>
      <c r="B201">
        <v>2023</v>
      </c>
      <c r="C201" t="s">
        <v>1200</v>
      </c>
      <c r="D201" t="s">
        <v>328</v>
      </c>
      <c r="F201" t="s">
        <v>330</v>
      </c>
      <c r="H201" t="s">
        <v>326</v>
      </c>
      <c r="I201" t="s">
        <v>258</v>
      </c>
      <c r="J201" t="s">
        <v>259</v>
      </c>
      <c r="K201" t="s">
        <v>22</v>
      </c>
      <c r="L201" t="s">
        <v>73</v>
      </c>
      <c r="M201">
        <v>58100</v>
      </c>
      <c r="N201">
        <v>58100</v>
      </c>
      <c r="P201" t="s">
        <v>329</v>
      </c>
      <c r="Q201" t="s">
        <v>1236</v>
      </c>
    </row>
    <row r="202" spans="1:17" x14ac:dyDescent="0.25">
      <c r="A202" t="s">
        <v>1281</v>
      </c>
      <c r="B202">
        <v>2023</v>
      </c>
      <c r="C202" t="s">
        <v>1200</v>
      </c>
      <c r="D202" t="s">
        <v>328</v>
      </c>
      <c r="F202" t="s">
        <v>330</v>
      </c>
      <c r="H202" t="s">
        <v>326</v>
      </c>
      <c r="I202" t="s">
        <v>50</v>
      </c>
      <c r="J202" t="s">
        <v>51</v>
      </c>
      <c r="K202" t="s">
        <v>22</v>
      </c>
      <c r="L202" t="s">
        <v>73</v>
      </c>
      <c r="M202">
        <v>6835294.1176470499</v>
      </c>
      <c r="N202">
        <v>6835294.1176470499</v>
      </c>
      <c r="O202" t="s">
        <v>327</v>
      </c>
      <c r="P202" t="s">
        <v>329</v>
      </c>
      <c r="Q202" t="s">
        <v>1282</v>
      </c>
    </row>
    <row r="203" spans="1:17" x14ac:dyDescent="0.25">
      <c r="A203" t="s">
        <v>643</v>
      </c>
      <c r="B203">
        <v>2022</v>
      </c>
      <c r="C203" t="s">
        <v>1200</v>
      </c>
      <c r="D203" t="s">
        <v>333</v>
      </c>
      <c r="F203" t="s">
        <v>334</v>
      </c>
      <c r="H203" t="s">
        <v>546</v>
      </c>
      <c r="I203" t="s">
        <v>258</v>
      </c>
      <c r="J203" t="s">
        <v>259</v>
      </c>
      <c r="K203" t="s">
        <v>22</v>
      </c>
      <c r="L203" t="s">
        <v>73</v>
      </c>
      <c r="M203">
        <v>5488</v>
      </c>
      <c r="N203">
        <v>5488</v>
      </c>
      <c r="O203" t="s">
        <v>644</v>
      </c>
      <c r="P203" t="s">
        <v>69</v>
      </c>
      <c r="Q203" t="s">
        <v>1283</v>
      </c>
    </row>
    <row r="204" spans="1:17" x14ac:dyDescent="0.25">
      <c r="A204" t="s">
        <v>645</v>
      </c>
      <c r="B204">
        <v>2022</v>
      </c>
      <c r="C204" t="s">
        <v>1200</v>
      </c>
      <c r="D204" t="s">
        <v>333</v>
      </c>
      <c r="F204" t="s">
        <v>334</v>
      </c>
      <c r="H204" t="s">
        <v>326</v>
      </c>
      <c r="I204" t="s">
        <v>258</v>
      </c>
      <c r="J204" t="s">
        <v>259</v>
      </c>
      <c r="K204" t="s">
        <v>22</v>
      </c>
      <c r="L204" t="s">
        <v>73</v>
      </c>
      <c r="M204">
        <v>24232</v>
      </c>
      <c r="N204">
        <v>24232</v>
      </c>
      <c r="O204" t="s">
        <v>644</v>
      </c>
      <c r="P204" t="s">
        <v>69</v>
      </c>
      <c r="Q204" t="s">
        <v>1283</v>
      </c>
    </row>
    <row r="205" spans="1:17" x14ac:dyDescent="0.25">
      <c r="A205" t="s">
        <v>646</v>
      </c>
      <c r="B205">
        <v>2022</v>
      </c>
      <c r="C205" t="s">
        <v>1200</v>
      </c>
      <c r="D205" t="s">
        <v>333</v>
      </c>
      <c r="F205" t="s">
        <v>334</v>
      </c>
      <c r="H205" t="s">
        <v>647</v>
      </c>
      <c r="I205" t="s">
        <v>258</v>
      </c>
      <c r="J205" t="s">
        <v>259</v>
      </c>
      <c r="K205" t="s">
        <v>22</v>
      </c>
      <c r="L205" t="s">
        <v>73</v>
      </c>
      <c r="M205">
        <v>498</v>
      </c>
      <c r="N205">
        <v>498</v>
      </c>
      <c r="O205" t="s">
        <v>644</v>
      </c>
      <c r="P205" t="s">
        <v>69</v>
      </c>
      <c r="Q205" t="s">
        <v>1283</v>
      </c>
    </row>
    <row r="206" spans="1:17" x14ac:dyDescent="0.25">
      <c r="A206" t="s">
        <v>332</v>
      </c>
      <c r="B206">
        <v>2022</v>
      </c>
      <c r="C206" t="s">
        <v>1200</v>
      </c>
      <c r="D206" t="s">
        <v>333</v>
      </c>
      <c r="F206" t="s">
        <v>334</v>
      </c>
      <c r="H206" t="s">
        <v>991</v>
      </c>
      <c r="I206" t="s">
        <v>258</v>
      </c>
      <c r="J206" t="s">
        <v>259</v>
      </c>
      <c r="K206" t="s">
        <v>22</v>
      </c>
      <c r="L206" t="s">
        <v>579</v>
      </c>
      <c r="M206">
        <v>141980</v>
      </c>
      <c r="N206">
        <v>4.4160749299999997</v>
      </c>
      <c r="O206" t="s">
        <v>644</v>
      </c>
      <c r="P206" t="s">
        <v>69</v>
      </c>
      <c r="Q206" t="s">
        <v>1236</v>
      </c>
    </row>
    <row r="207" spans="1:17" x14ac:dyDescent="0.25">
      <c r="A207" t="s">
        <v>1284</v>
      </c>
      <c r="B207">
        <v>2022</v>
      </c>
      <c r="C207" t="s">
        <v>1200</v>
      </c>
      <c r="D207" t="s">
        <v>333</v>
      </c>
      <c r="F207" t="s">
        <v>334</v>
      </c>
      <c r="H207" t="s">
        <v>59</v>
      </c>
      <c r="I207" t="s">
        <v>50</v>
      </c>
      <c r="J207" t="s">
        <v>51</v>
      </c>
      <c r="K207" t="s">
        <v>22</v>
      </c>
      <c r="L207" t="s">
        <v>39</v>
      </c>
      <c r="M207">
        <v>1.5</v>
      </c>
      <c r="N207">
        <v>1500000</v>
      </c>
      <c r="P207" t="s">
        <v>69</v>
      </c>
      <c r="Q207" t="s">
        <v>1283</v>
      </c>
    </row>
    <row r="208" spans="1:17" x14ac:dyDescent="0.25">
      <c r="A208" t="s">
        <v>1326</v>
      </c>
      <c r="B208">
        <v>2023</v>
      </c>
      <c r="C208" t="s">
        <v>1200</v>
      </c>
      <c r="D208" t="s">
        <v>333</v>
      </c>
      <c r="F208" t="s">
        <v>334</v>
      </c>
      <c r="H208" t="s">
        <v>546</v>
      </c>
      <c r="I208" t="s">
        <v>50</v>
      </c>
      <c r="K208" t="s">
        <v>22</v>
      </c>
      <c r="L208" t="s">
        <v>1300</v>
      </c>
      <c r="M208">
        <v>684879.00293064199</v>
      </c>
      <c r="N208">
        <v>684879.00293064199</v>
      </c>
      <c r="P208" t="s">
        <v>69</v>
      </c>
      <c r="Q208" t="s">
        <v>1301</v>
      </c>
    </row>
    <row r="209" spans="1:17" x14ac:dyDescent="0.25">
      <c r="A209" t="s">
        <v>1359</v>
      </c>
      <c r="B209">
        <v>2023</v>
      </c>
      <c r="C209" t="s">
        <v>1200</v>
      </c>
      <c r="D209" t="s">
        <v>333</v>
      </c>
      <c r="F209" t="s">
        <v>334</v>
      </c>
      <c r="I209" t="s">
        <v>50</v>
      </c>
      <c r="K209" t="s">
        <v>604</v>
      </c>
      <c r="L209" t="s">
        <v>1341</v>
      </c>
      <c r="M209">
        <v>15000000.064185901</v>
      </c>
      <c r="N209">
        <v>15000000.064185901</v>
      </c>
      <c r="P209" t="s">
        <v>69</v>
      </c>
      <c r="Q209" t="s">
        <v>1301</v>
      </c>
    </row>
    <row r="210" spans="1:17" x14ac:dyDescent="0.25">
      <c r="A210" t="s">
        <v>687</v>
      </c>
      <c r="B210">
        <v>2023</v>
      </c>
      <c r="C210" t="s">
        <v>1200</v>
      </c>
      <c r="D210" t="s">
        <v>337</v>
      </c>
      <c r="F210" t="s">
        <v>338</v>
      </c>
      <c r="H210" t="s">
        <v>59</v>
      </c>
      <c r="I210" t="s">
        <v>80</v>
      </c>
      <c r="J210" t="s">
        <v>81</v>
      </c>
      <c r="K210" t="s">
        <v>22</v>
      </c>
      <c r="L210" t="s">
        <v>23</v>
      </c>
      <c r="M210">
        <v>12412</v>
      </c>
      <c r="N210">
        <v>12412000</v>
      </c>
      <c r="P210" t="s">
        <v>298</v>
      </c>
      <c r="Q210" t="s">
        <v>1276</v>
      </c>
    </row>
    <row r="211" spans="1:17" x14ac:dyDescent="0.25">
      <c r="A211" t="s">
        <v>336</v>
      </c>
      <c r="B211">
        <v>2023</v>
      </c>
      <c r="C211" t="s">
        <v>1200</v>
      </c>
      <c r="D211" t="s">
        <v>337</v>
      </c>
      <c r="F211" t="s">
        <v>338</v>
      </c>
      <c r="H211" t="s">
        <v>59</v>
      </c>
      <c r="I211" t="s">
        <v>50</v>
      </c>
      <c r="J211" t="s">
        <v>51</v>
      </c>
      <c r="K211" t="s">
        <v>22</v>
      </c>
      <c r="L211" t="s">
        <v>23</v>
      </c>
      <c r="M211">
        <v>8764</v>
      </c>
      <c r="N211">
        <v>8764000</v>
      </c>
      <c r="P211" t="s">
        <v>298</v>
      </c>
      <c r="Q211" t="s">
        <v>1276</v>
      </c>
    </row>
    <row r="212" spans="1:17" x14ac:dyDescent="0.25">
      <c r="A212" t="s">
        <v>688</v>
      </c>
      <c r="B212">
        <v>2023</v>
      </c>
      <c r="C212" t="s">
        <v>1200</v>
      </c>
      <c r="D212" t="s">
        <v>337</v>
      </c>
      <c r="F212" t="s">
        <v>338</v>
      </c>
      <c r="H212" t="s">
        <v>115</v>
      </c>
      <c r="I212" t="s">
        <v>258</v>
      </c>
      <c r="J212" t="s">
        <v>1206</v>
      </c>
      <c r="K212" t="s">
        <v>22</v>
      </c>
      <c r="L212" t="s">
        <v>579</v>
      </c>
      <c r="M212">
        <v>253745</v>
      </c>
      <c r="N212">
        <v>7.8923576074999904</v>
      </c>
      <c r="P212" t="s">
        <v>298</v>
      </c>
      <c r="Q212" t="s">
        <v>1276</v>
      </c>
    </row>
    <row r="213" spans="1:17" x14ac:dyDescent="0.25">
      <c r="A213" t="s">
        <v>693</v>
      </c>
      <c r="B213">
        <v>2023</v>
      </c>
      <c r="C213" t="s">
        <v>1200</v>
      </c>
      <c r="D213" t="s">
        <v>340</v>
      </c>
      <c r="F213" t="s">
        <v>341</v>
      </c>
      <c r="H213" t="s">
        <v>59</v>
      </c>
      <c r="I213" t="s">
        <v>80</v>
      </c>
      <c r="J213" t="s">
        <v>81</v>
      </c>
      <c r="K213" t="s">
        <v>22</v>
      </c>
      <c r="L213" t="s">
        <v>23</v>
      </c>
      <c r="M213">
        <v>1027</v>
      </c>
      <c r="N213">
        <v>1027000</v>
      </c>
      <c r="P213" t="s">
        <v>61</v>
      </c>
      <c r="Q213" t="s">
        <v>1205</v>
      </c>
    </row>
    <row r="214" spans="1:17" x14ac:dyDescent="0.25">
      <c r="A214" t="s">
        <v>698</v>
      </c>
      <c r="B214">
        <v>2023</v>
      </c>
      <c r="C214" t="s">
        <v>1200</v>
      </c>
      <c r="D214" t="s">
        <v>340</v>
      </c>
      <c r="F214" t="s">
        <v>341</v>
      </c>
      <c r="H214" t="s">
        <v>115</v>
      </c>
      <c r="I214" t="s">
        <v>258</v>
      </c>
      <c r="J214" t="s">
        <v>1206</v>
      </c>
      <c r="K214" t="s">
        <v>22</v>
      </c>
      <c r="L214" t="s">
        <v>583</v>
      </c>
      <c r="M214">
        <v>5</v>
      </c>
      <c r="N214">
        <v>0.1555175</v>
      </c>
      <c r="P214" t="s">
        <v>61</v>
      </c>
      <c r="Q214" t="s">
        <v>1205</v>
      </c>
    </row>
    <row r="215" spans="1:17" x14ac:dyDescent="0.25">
      <c r="A215" t="s">
        <v>700</v>
      </c>
      <c r="B215">
        <v>2023</v>
      </c>
      <c r="C215" t="s">
        <v>1200</v>
      </c>
      <c r="D215" t="s">
        <v>340</v>
      </c>
      <c r="F215" t="s">
        <v>341</v>
      </c>
      <c r="H215" t="s">
        <v>59</v>
      </c>
      <c r="I215" t="s">
        <v>50</v>
      </c>
      <c r="J215" t="s">
        <v>51</v>
      </c>
      <c r="K215" t="s">
        <v>22</v>
      </c>
      <c r="L215" t="s">
        <v>23</v>
      </c>
      <c r="M215">
        <v>1139</v>
      </c>
      <c r="N215">
        <v>1139000</v>
      </c>
      <c r="P215" t="s">
        <v>61</v>
      </c>
      <c r="Q215" t="s">
        <v>1205</v>
      </c>
    </row>
    <row r="216" spans="1:17" x14ac:dyDescent="0.25">
      <c r="A216" t="s">
        <v>339</v>
      </c>
      <c r="B216">
        <v>2023</v>
      </c>
      <c r="C216" t="s">
        <v>1200</v>
      </c>
      <c r="D216" t="s">
        <v>340</v>
      </c>
      <c r="F216" t="s">
        <v>341</v>
      </c>
      <c r="H216" t="s">
        <v>59</v>
      </c>
      <c r="I216" t="s">
        <v>80</v>
      </c>
      <c r="J216" t="s">
        <v>81</v>
      </c>
      <c r="K216" t="s">
        <v>22</v>
      </c>
      <c r="L216" t="s">
        <v>23</v>
      </c>
      <c r="M216">
        <v>3769</v>
      </c>
      <c r="N216">
        <v>3769000</v>
      </c>
      <c r="O216" t="s">
        <v>702</v>
      </c>
      <c r="P216" t="s">
        <v>61</v>
      </c>
      <c r="Q216" t="s">
        <v>1205</v>
      </c>
    </row>
    <row r="217" spans="1:17" x14ac:dyDescent="0.25">
      <c r="A217" t="s">
        <v>701</v>
      </c>
      <c r="B217">
        <v>2023</v>
      </c>
      <c r="C217" t="s">
        <v>1200</v>
      </c>
      <c r="D217" t="s">
        <v>340</v>
      </c>
      <c r="F217" t="s">
        <v>341</v>
      </c>
      <c r="H217" t="s">
        <v>546</v>
      </c>
      <c r="I217" t="s">
        <v>258</v>
      </c>
      <c r="J217" t="s">
        <v>259</v>
      </c>
      <c r="K217" t="s">
        <v>22</v>
      </c>
      <c r="L217" t="s">
        <v>23</v>
      </c>
      <c r="M217">
        <v>4</v>
      </c>
      <c r="N217">
        <v>4000</v>
      </c>
      <c r="O217" t="s">
        <v>626</v>
      </c>
      <c r="P217" t="s">
        <v>61</v>
      </c>
      <c r="Q217" t="s">
        <v>1285</v>
      </c>
    </row>
    <row r="218" spans="1:17" x14ac:dyDescent="0.25">
      <c r="A218" t="s">
        <v>1327</v>
      </c>
      <c r="B218">
        <v>2023</v>
      </c>
      <c r="C218" t="s">
        <v>1200</v>
      </c>
      <c r="D218" t="s">
        <v>340</v>
      </c>
      <c r="F218" t="s">
        <v>341</v>
      </c>
      <c r="H218" t="s">
        <v>546</v>
      </c>
      <c r="I218" t="s">
        <v>50</v>
      </c>
      <c r="K218" t="s">
        <v>22</v>
      </c>
      <c r="L218" t="s">
        <v>1300</v>
      </c>
      <c r="M218">
        <v>6887709.0294729602</v>
      </c>
      <c r="N218">
        <v>6887709.0294729602</v>
      </c>
      <c r="P218" t="s">
        <v>61</v>
      </c>
      <c r="Q218" t="s">
        <v>1301</v>
      </c>
    </row>
    <row r="219" spans="1:17" x14ac:dyDescent="0.25">
      <c r="A219" t="s">
        <v>1360</v>
      </c>
      <c r="B219">
        <v>2023</v>
      </c>
      <c r="C219" t="s">
        <v>1200</v>
      </c>
      <c r="D219" t="s">
        <v>340</v>
      </c>
      <c r="F219" t="s">
        <v>341</v>
      </c>
      <c r="I219" t="s">
        <v>50</v>
      </c>
      <c r="K219" t="s">
        <v>604</v>
      </c>
      <c r="L219" t="s">
        <v>1341</v>
      </c>
      <c r="M219">
        <v>454900001.94654697</v>
      </c>
      <c r="N219">
        <v>454900001.94654697</v>
      </c>
      <c r="P219" t="s">
        <v>61</v>
      </c>
      <c r="Q219" t="s">
        <v>1301</v>
      </c>
    </row>
    <row r="220" spans="1:17" x14ac:dyDescent="0.25">
      <c r="A220" t="s">
        <v>631</v>
      </c>
      <c r="B220">
        <v>2024</v>
      </c>
      <c r="C220" t="s">
        <v>1200</v>
      </c>
      <c r="D220" t="s">
        <v>343</v>
      </c>
      <c r="F220" t="s">
        <v>346</v>
      </c>
      <c r="H220" t="s">
        <v>59</v>
      </c>
      <c r="I220" t="s">
        <v>80</v>
      </c>
      <c r="J220" t="s">
        <v>632</v>
      </c>
      <c r="K220" t="s">
        <v>22</v>
      </c>
      <c r="L220" t="s">
        <v>73</v>
      </c>
      <c r="M220">
        <v>1855271</v>
      </c>
      <c r="N220">
        <v>1855271</v>
      </c>
      <c r="P220" t="s">
        <v>344</v>
      </c>
      <c r="Q220" t="s">
        <v>1286</v>
      </c>
    </row>
    <row r="221" spans="1:17" x14ac:dyDescent="0.25">
      <c r="A221" t="s">
        <v>633</v>
      </c>
      <c r="B221">
        <v>2024</v>
      </c>
      <c r="C221" t="s">
        <v>1200</v>
      </c>
      <c r="D221" t="s">
        <v>343</v>
      </c>
      <c r="F221" t="s">
        <v>346</v>
      </c>
      <c r="H221" t="s">
        <v>59</v>
      </c>
      <c r="I221" t="s">
        <v>80</v>
      </c>
      <c r="J221" t="s">
        <v>81</v>
      </c>
      <c r="K221" t="s">
        <v>22</v>
      </c>
      <c r="L221" t="s">
        <v>73</v>
      </c>
      <c r="M221">
        <v>862000</v>
      </c>
      <c r="N221">
        <v>862000</v>
      </c>
      <c r="P221" t="s">
        <v>344</v>
      </c>
      <c r="Q221" t="s">
        <v>1286</v>
      </c>
    </row>
    <row r="222" spans="1:17" x14ac:dyDescent="0.25">
      <c r="A222" t="s">
        <v>342</v>
      </c>
      <c r="B222">
        <v>2024</v>
      </c>
      <c r="C222" t="s">
        <v>1200</v>
      </c>
      <c r="D222" t="s">
        <v>343</v>
      </c>
      <c r="F222" t="s">
        <v>346</v>
      </c>
      <c r="H222" t="s">
        <v>59</v>
      </c>
      <c r="I222" t="s">
        <v>50</v>
      </c>
      <c r="J222" t="s">
        <v>51</v>
      </c>
      <c r="K222" t="s">
        <v>22</v>
      </c>
      <c r="L222" t="s">
        <v>73</v>
      </c>
      <c r="M222">
        <v>841000</v>
      </c>
      <c r="N222">
        <v>841000</v>
      </c>
      <c r="P222" t="s">
        <v>344</v>
      </c>
      <c r="Q222" t="s">
        <v>1286</v>
      </c>
    </row>
    <row r="223" spans="1:17" x14ac:dyDescent="0.25">
      <c r="A223" t="s">
        <v>634</v>
      </c>
      <c r="B223">
        <v>2024</v>
      </c>
      <c r="C223" t="s">
        <v>1200</v>
      </c>
      <c r="D223" t="s">
        <v>343</v>
      </c>
      <c r="F223" t="s">
        <v>346</v>
      </c>
      <c r="H223" t="s">
        <v>115</v>
      </c>
      <c r="I223" t="s">
        <v>258</v>
      </c>
      <c r="J223" t="s">
        <v>1206</v>
      </c>
      <c r="K223" t="s">
        <v>22</v>
      </c>
      <c r="L223" t="s">
        <v>579</v>
      </c>
      <c r="M223">
        <v>112700</v>
      </c>
      <c r="N223">
        <v>3.5053644500000001</v>
      </c>
      <c r="P223" t="s">
        <v>344</v>
      </c>
      <c r="Q223" t="s">
        <v>1286</v>
      </c>
    </row>
    <row r="224" spans="1:17" x14ac:dyDescent="0.25">
      <c r="A224" t="s">
        <v>347</v>
      </c>
      <c r="B224">
        <v>2023</v>
      </c>
      <c r="C224" t="s">
        <v>1200</v>
      </c>
      <c r="D224" t="s">
        <v>351</v>
      </c>
      <c r="E224" t="s">
        <v>352</v>
      </c>
      <c r="F224" t="s">
        <v>353</v>
      </c>
      <c r="G224" t="s">
        <v>354</v>
      </c>
      <c r="H224" t="s">
        <v>348</v>
      </c>
      <c r="I224" t="s">
        <v>37</v>
      </c>
      <c r="J224" t="s">
        <v>349</v>
      </c>
      <c r="K224" t="s">
        <v>22</v>
      </c>
      <c r="L224" t="s">
        <v>23</v>
      </c>
      <c r="M224">
        <v>1111</v>
      </c>
      <c r="N224">
        <v>1111000</v>
      </c>
      <c r="O224" t="s">
        <v>350</v>
      </c>
      <c r="P224" t="s">
        <v>26</v>
      </c>
      <c r="Q224" t="s">
        <v>1202</v>
      </c>
    </row>
    <row r="225" spans="1:17" x14ac:dyDescent="0.25">
      <c r="A225" t="s">
        <v>720</v>
      </c>
      <c r="B225">
        <v>2023</v>
      </c>
      <c r="C225" t="s">
        <v>1200</v>
      </c>
      <c r="D225" t="s">
        <v>357</v>
      </c>
      <c r="F225" t="s">
        <v>359</v>
      </c>
      <c r="H225" t="s">
        <v>49</v>
      </c>
      <c r="I225" t="s">
        <v>258</v>
      </c>
      <c r="J225" t="s">
        <v>604</v>
      </c>
      <c r="K225" t="s">
        <v>604</v>
      </c>
      <c r="L225" t="s">
        <v>23</v>
      </c>
      <c r="M225">
        <v>6000</v>
      </c>
      <c r="O225" t="s">
        <v>721</v>
      </c>
      <c r="P225" t="s">
        <v>358</v>
      </c>
      <c r="Q225" t="s">
        <v>1287</v>
      </c>
    </row>
    <row r="226" spans="1:17" x14ac:dyDescent="0.25">
      <c r="A226" t="s">
        <v>356</v>
      </c>
      <c r="B226">
        <v>2023</v>
      </c>
      <c r="C226" t="s">
        <v>1200</v>
      </c>
      <c r="D226" t="s">
        <v>357</v>
      </c>
      <c r="F226" t="s">
        <v>359</v>
      </c>
      <c r="H226" t="s">
        <v>49</v>
      </c>
      <c r="I226" t="s">
        <v>80</v>
      </c>
      <c r="J226" t="s">
        <v>81</v>
      </c>
      <c r="K226" t="s">
        <v>22</v>
      </c>
      <c r="L226" t="s">
        <v>23</v>
      </c>
      <c r="M226">
        <v>3560</v>
      </c>
      <c r="N226">
        <v>3560000</v>
      </c>
      <c r="P226" t="s">
        <v>358</v>
      </c>
      <c r="Q226" t="s">
        <v>1287</v>
      </c>
    </row>
    <row r="227" spans="1:17" x14ac:dyDescent="0.25">
      <c r="A227" t="s">
        <v>1338</v>
      </c>
      <c r="B227">
        <v>2023</v>
      </c>
      <c r="C227" t="s">
        <v>1200</v>
      </c>
      <c r="D227" t="s">
        <v>357</v>
      </c>
      <c r="F227" t="s">
        <v>359</v>
      </c>
      <c r="H227" t="s">
        <v>49</v>
      </c>
      <c r="I227" t="s">
        <v>50</v>
      </c>
      <c r="K227" t="s">
        <v>22</v>
      </c>
      <c r="L227" t="s">
        <v>1339</v>
      </c>
      <c r="M227">
        <v>15782798.0675356</v>
      </c>
      <c r="N227">
        <v>15782798.0675356</v>
      </c>
      <c r="P227" t="s">
        <v>358</v>
      </c>
      <c r="Q227" t="s">
        <v>1301</v>
      </c>
    </row>
    <row r="228" spans="1:17" x14ac:dyDescent="0.25">
      <c r="A228" t="s">
        <v>1368</v>
      </c>
      <c r="B228">
        <v>2023</v>
      </c>
      <c r="C228" t="s">
        <v>1200</v>
      </c>
      <c r="D228" t="s">
        <v>357</v>
      </c>
      <c r="F228" t="s">
        <v>359</v>
      </c>
      <c r="I228" t="s">
        <v>50</v>
      </c>
      <c r="K228" t="s">
        <v>604</v>
      </c>
      <c r="L228" t="s">
        <v>1341</v>
      </c>
      <c r="M228">
        <v>478943002.04942799</v>
      </c>
      <c r="N228">
        <v>478943002.04942799</v>
      </c>
      <c r="P228" t="s">
        <v>358</v>
      </c>
      <c r="Q228" t="s">
        <v>1301</v>
      </c>
    </row>
    <row r="229" spans="1:17" x14ac:dyDescent="0.25">
      <c r="A229" t="s">
        <v>360</v>
      </c>
      <c r="B229">
        <v>2023</v>
      </c>
      <c r="C229" t="s">
        <v>1200</v>
      </c>
      <c r="E229" t="s">
        <v>361</v>
      </c>
      <c r="F229" t="s">
        <v>364</v>
      </c>
      <c r="G229" t="s">
        <v>365</v>
      </c>
      <c r="H229" t="s">
        <v>115</v>
      </c>
      <c r="I229" t="s">
        <v>50</v>
      </c>
      <c r="J229" t="s">
        <v>107</v>
      </c>
      <c r="K229" t="s">
        <v>22</v>
      </c>
      <c r="L229" t="s">
        <v>23</v>
      </c>
      <c r="M229">
        <v>122</v>
      </c>
      <c r="N229">
        <v>122000</v>
      </c>
      <c r="P229" t="s">
        <v>362</v>
      </c>
      <c r="Q229" t="s">
        <v>1288</v>
      </c>
    </row>
    <row r="230" spans="1:17" x14ac:dyDescent="0.25">
      <c r="A230" t="s">
        <v>718</v>
      </c>
      <c r="B230">
        <v>2023</v>
      </c>
      <c r="C230" t="s">
        <v>1200</v>
      </c>
      <c r="E230" t="s">
        <v>361</v>
      </c>
      <c r="F230" t="s">
        <v>364</v>
      </c>
      <c r="G230" t="s">
        <v>365</v>
      </c>
      <c r="H230" t="s">
        <v>115</v>
      </c>
      <c r="I230" t="s">
        <v>80</v>
      </c>
      <c r="J230" t="s">
        <v>81</v>
      </c>
      <c r="K230" t="s">
        <v>22</v>
      </c>
      <c r="L230" t="s">
        <v>23</v>
      </c>
      <c r="M230">
        <v>117</v>
      </c>
      <c r="N230">
        <v>117000</v>
      </c>
      <c r="P230" t="s">
        <v>362</v>
      </c>
      <c r="Q230" t="s">
        <v>1288</v>
      </c>
    </row>
    <row r="231" spans="1:17" x14ac:dyDescent="0.25">
      <c r="A231" t="s">
        <v>719</v>
      </c>
      <c r="B231">
        <v>2023</v>
      </c>
      <c r="C231" t="s">
        <v>1200</v>
      </c>
      <c r="E231" t="s">
        <v>361</v>
      </c>
      <c r="F231" t="s">
        <v>364</v>
      </c>
      <c r="G231" t="s">
        <v>365</v>
      </c>
      <c r="H231" t="s">
        <v>115</v>
      </c>
      <c r="I231" t="s">
        <v>258</v>
      </c>
      <c r="J231" t="s">
        <v>1206</v>
      </c>
      <c r="K231" t="s">
        <v>22</v>
      </c>
      <c r="L231" t="s">
        <v>579</v>
      </c>
      <c r="M231">
        <v>38757</v>
      </c>
      <c r="N231">
        <v>1.2054783495000001</v>
      </c>
      <c r="P231" t="s">
        <v>362</v>
      </c>
      <c r="Q231" t="s">
        <v>1288</v>
      </c>
    </row>
    <row r="232" spans="1:17" x14ac:dyDescent="0.25">
      <c r="A232" t="s">
        <v>668</v>
      </c>
      <c r="B232">
        <v>2023</v>
      </c>
      <c r="C232" t="s">
        <v>1200</v>
      </c>
      <c r="E232" t="s">
        <v>222</v>
      </c>
      <c r="G232" t="s">
        <v>224</v>
      </c>
      <c r="H232" t="s">
        <v>115</v>
      </c>
      <c r="I232" t="s">
        <v>258</v>
      </c>
      <c r="J232" t="s">
        <v>669</v>
      </c>
      <c r="K232" t="s">
        <v>22</v>
      </c>
      <c r="L232" t="s">
        <v>579</v>
      </c>
      <c r="M232">
        <v>187363</v>
      </c>
      <c r="N232">
        <v>5.8276450705</v>
      </c>
      <c r="P232" t="s">
        <v>110</v>
      </c>
      <c r="Q232" t="s">
        <v>1224</v>
      </c>
    </row>
    <row r="233" spans="1:17" x14ac:dyDescent="0.25">
      <c r="A233" t="s">
        <v>670</v>
      </c>
      <c r="B233">
        <v>2023</v>
      </c>
      <c r="C233" t="s">
        <v>1200</v>
      </c>
      <c r="E233" t="s">
        <v>222</v>
      </c>
      <c r="G233" t="s">
        <v>224</v>
      </c>
      <c r="H233" t="s">
        <v>582</v>
      </c>
      <c r="I233" t="s">
        <v>258</v>
      </c>
      <c r="J233" t="s">
        <v>669</v>
      </c>
      <c r="K233" t="s">
        <v>22</v>
      </c>
      <c r="L233" t="s">
        <v>579</v>
      </c>
      <c r="M233">
        <v>851723</v>
      </c>
      <c r="N233">
        <v>26.4915663305</v>
      </c>
      <c r="P233" t="s">
        <v>110</v>
      </c>
      <c r="Q233" t="s">
        <v>1224</v>
      </c>
    </row>
    <row r="234" spans="1:17" x14ac:dyDescent="0.25">
      <c r="A234" t="s">
        <v>671</v>
      </c>
      <c r="B234">
        <v>2023</v>
      </c>
      <c r="C234" t="s">
        <v>1200</v>
      </c>
      <c r="E234" t="s">
        <v>222</v>
      </c>
      <c r="G234" t="s">
        <v>224</v>
      </c>
      <c r="H234" t="s">
        <v>408</v>
      </c>
      <c r="I234" t="s">
        <v>258</v>
      </c>
      <c r="J234" t="s">
        <v>669</v>
      </c>
      <c r="K234" t="s">
        <v>22</v>
      </c>
      <c r="L234" t="s">
        <v>73</v>
      </c>
      <c r="M234">
        <v>34642</v>
      </c>
      <c r="N234">
        <v>34642</v>
      </c>
      <c r="P234" t="s">
        <v>110</v>
      </c>
      <c r="Q234" t="s">
        <v>1224</v>
      </c>
    </row>
    <row r="235" spans="1:17" x14ac:dyDescent="0.25">
      <c r="A235" t="s">
        <v>672</v>
      </c>
      <c r="B235">
        <v>2023</v>
      </c>
      <c r="C235" t="s">
        <v>1200</v>
      </c>
      <c r="E235" t="s">
        <v>222</v>
      </c>
      <c r="G235" t="s">
        <v>224</v>
      </c>
      <c r="H235" t="s">
        <v>546</v>
      </c>
      <c r="I235" t="s">
        <v>258</v>
      </c>
      <c r="J235" t="s">
        <v>669</v>
      </c>
      <c r="K235" t="s">
        <v>22</v>
      </c>
      <c r="L235" t="s">
        <v>73</v>
      </c>
      <c r="M235">
        <v>12154</v>
      </c>
      <c r="N235">
        <v>12154</v>
      </c>
      <c r="P235" t="s">
        <v>110</v>
      </c>
      <c r="Q235" t="s">
        <v>1224</v>
      </c>
    </row>
    <row r="236" spans="1:17" x14ac:dyDescent="0.25">
      <c r="A236" t="s">
        <v>366</v>
      </c>
      <c r="B236">
        <v>2023</v>
      </c>
      <c r="C236" t="s">
        <v>1200</v>
      </c>
      <c r="D236" t="s">
        <v>367</v>
      </c>
      <c r="E236" t="s">
        <v>222</v>
      </c>
      <c r="F236" t="s">
        <v>368</v>
      </c>
      <c r="G236" t="s">
        <v>224</v>
      </c>
      <c r="H236" t="s">
        <v>59</v>
      </c>
      <c r="I236" t="s">
        <v>50</v>
      </c>
      <c r="J236" t="s">
        <v>107</v>
      </c>
      <c r="K236" t="s">
        <v>22</v>
      </c>
      <c r="L236" t="s">
        <v>73</v>
      </c>
      <c r="M236">
        <v>965567</v>
      </c>
      <c r="N236">
        <v>965567</v>
      </c>
      <c r="P236" t="s">
        <v>110</v>
      </c>
      <c r="Q236" t="s">
        <v>1224</v>
      </c>
    </row>
    <row r="237" spans="1:17" x14ac:dyDescent="0.25">
      <c r="A237" t="s">
        <v>648</v>
      </c>
      <c r="B237">
        <v>2024</v>
      </c>
      <c r="C237" t="s">
        <v>1200</v>
      </c>
      <c r="D237" t="s">
        <v>371</v>
      </c>
      <c r="E237" t="s">
        <v>162</v>
      </c>
      <c r="F237" t="s">
        <v>372</v>
      </c>
      <c r="G237" t="s">
        <v>164</v>
      </c>
      <c r="H237" t="s">
        <v>546</v>
      </c>
      <c r="I237" t="s">
        <v>258</v>
      </c>
      <c r="J237" t="s">
        <v>259</v>
      </c>
      <c r="K237" t="s">
        <v>22</v>
      </c>
      <c r="L237" t="s">
        <v>73</v>
      </c>
      <c r="M237">
        <v>7154</v>
      </c>
      <c r="N237">
        <v>7154</v>
      </c>
      <c r="P237" t="s">
        <v>69</v>
      </c>
      <c r="Q237" t="s">
        <v>1243</v>
      </c>
    </row>
    <row r="238" spans="1:17" x14ac:dyDescent="0.25">
      <c r="A238" t="s">
        <v>370</v>
      </c>
      <c r="B238">
        <v>2024</v>
      </c>
      <c r="C238" t="s">
        <v>1200</v>
      </c>
      <c r="D238" t="s">
        <v>371</v>
      </c>
      <c r="E238" t="s">
        <v>162</v>
      </c>
      <c r="F238" t="s">
        <v>372</v>
      </c>
      <c r="G238" t="s">
        <v>164</v>
      </c>
      <c r="H238" t="s">
        <v>326</v>
      </c>
      <c r="I238" t="s">
        <v>258</v>
      </c>
      <c r="J238" t="s">
        <v>259</v>
      </c>
      <c r="K238" t="s">
        <v>22</v>
      </c>
      <c r="L238" t="s">
        <v>73</v>
      </c>
      <c r="M238">
        <v>7530</v>
      </c>
      <c r="N238">
        <v>7530</v>
      </c>
      <c r="O238" t="s">
        <v>650</v>
      </c>
      <c r="P238" t="s">
        <v>69</v>
      </c>
      <c r="Q238" t="s">
        <v>1243</v>
      </c>
    </row>
    <row r="239" spans="1:17" x14ac:dyDescent="0.25">
      <c r="A239" t="s">
        <v>649</v>
      </c>
      <c r="B239">
        <v>2024</v>
      </c>
      <c r="C239" t="s">
        <v>1200</v>
      </c>
      <c r="D239" t="s">
        <v>371</v>
      </c>
      <c r="E239" t="s">
        <v>162</v>
      </c>
      <c r="F239" t="s">
        <v>372</v>
      </c>
      <c r="G239" t="s">
        <v>164</v>
      </c>
      <c r="H239" t="s">
        <v>59</v>
      </c>
      <c r="I239" t="s">
        <v>50</v>
      </c>
      <c r="K239" t="s">
        <v>22</v>
      </c>
      <c r="L239" t="s">
        <v>73</v>
      </c>
      <c r="M239">
        <v>1025997</v>
      </c>
      <c r="N239">
        <v>1025997</v>
      </c>
      <c r="P239" t="s">
        <v>69</v>
      </c>
      <c r="Q239" t="s">
        <v>1243</v>
      </c>
    </row>
    <row r="240" spans="1:17" x14ac:dyDescent="0.25">
      <c r="A240" t="s">
        <v>374</v>
      </c>
      <c r="B240">
        <v>2024</v>
      </c>
      <c r="C240" t="s">
        <v>1200</v>
      </c>
      <c r="D240" t="s">
        <v>376</v>
      </c>
      <c r="E240" t="s">
        <v>162</v>
      </c>
      <c r="F240" t="s">
        <v>377</v>
      </c>
      <c r="G240" t="s">
        <v>164</v>
      </c>
      <c r="H240" t="s">
        <v>326</v>
      </c>
      <c r="I240" t="s">
        <v>20</v>
      </c>
      <c r="J240" t="s">
        <v>375</v>
      </c>
      <c r="K240" t="s">
        <v>22</v>
      </c>
      <c r="L240" t="s">
        <v>73</v>
      </c>
      <c r="M240">
        <v>62251</v>
      </c>
      <c r="N240">
        <v>62251</v>
      </c>
      <c r="P240" t="s">
        <v>69</v>
      </c>
      <c r="Q240" t="s">
        <v>1243</v>
      </c>
    </row>
    <row r="241" spans="1:17" x14ac:dyDescent="0.25">
      <c r="A241" t="s">
        <v>651</v>
      </c>
      <c r="B241">
        <v>2024</v>
      </c>
      <c r="C241" t="s">
        <v>1200</v>
      </c>
      <c r="D241" t="s">
        <v>376</v>
      </c>
      <c r="E241" t="s">
        <v>162</v>
      </c>
      <c r="F241" t="s">
        <v>377</v>
      </c>
      <c r="G241" t="s">
        <v>164</v>
      </c>
      <c r="H241" t="s">
        <v>546</v>
      </c>
      <c r="I241" t="s">
        <v>20</v>
      </c>
      <c r="J241" t="s">
        <v>375</v>
      </c>
      <c r="K241" t="s">
        <v>22</v>
      </c>
      <c r="L241" t="s">
        <v>73</v>
      </c>
      <c r="M241">
        <v>13720</v>
      </c>
      <c r="N241">
        <v>13720</v>
      </c>
      <c r="P241" t="s">
        <v>69</v>
      </c>
      <c r="Q241" t="s">
        <v>1243</v>
      </c>
    </row>
    <row r="242" spans="1:17" x14ac:dyDescent="0.25">
      <c r="A242" t="s">
        <v>1328</v>
      </c>
      <c r="B242">
        <v>2023</v>
      </c>
      <c r="C242" t="s">
        <v>1200</v>
      </c>
      <c r="D242" t="s">
        <v>376</v>
      </c>
      <c r="E242" t="s">
        <v>162</v>
      </c>
      <c r="F242" t="s">
        <v>377</v>
      </c>
      <c r="G242" t="s">
        <v>164</v>
      </c>
      <c r="H242" t="s">
        <v>546</v>
      </c>
      <c r="I242" t="s">
        <v>50</v>
      </c>
      <c r="K242" t="s">
        <v>22</v>
      </c>
      <c r="L242" t="s">
        <v>1300</v>
      </c>
      <c r="M242">
        <v>1431680.0061262499</v>
      </c>
      <c r="N242">
        <v>1431680.0061262499</v>
      </c>
      <c r="P242" t="s">
        <v>69</v>
      </c>
      <c r="Q242" t="s">
        <v>1301</v>
      </c>
    </row>
    <row r="243" spans="1:17" x14ac:dyDescent="0.25">
      <c r="A243" t="s">
        <v>1361</v>
      </c>
      <c r="B243">
        <v>2023</v>
      </c>
      <c r="C243" t="s">
        <v>1200</v>
      </c>
      <c r="D243" t="s">
        <v>376</v>
      </c>
      <c r="E243" t="s">
        <v>162</v>
      </c>
      <c r="F243" t="s">
        <v>377</v>
      </c>
      <c r="G243" t="s">
        <v>164</v>
      </c>
      <c r="I243" t="s">
        <v>50</v>
      </c>
      <c r="K243" t="s">
        <v>604</v>
      </c>
      <c r="L243" t="s">
        <v>1341</v>
      </c>
      <c r="M243">
        <v>16900000.0723162</v>
      </c>
      <c r="N243">
        <v>16900000.0723162</v>
      </c>
      <c r="P243" t="s">
        <v>69</v>
      </c>
      <c r="Q243" t="s">
        <v>1301</v>
      </c>
    </row>
    <row r="244" spans="1:17" x14ac:dyDescent="0.25">
      <c r="A244" t="s">
        <v>380</v>
      </c>
      <c r="B244">
        <v>2023</v>
      </c>
      <c r="C244" t="s">
        <v>1200</v>
      </c>
      <c r="D244" t="s">
        <v>381</v>
      </c>
      <c r="F244" t="s">
        <v>384</v>
      </c>
      <c r="H244" t="s">
        <v>115</v>
      </c>
      <c r="I244" t="s">
        <v>80</v>
      </c>
      <c r="J244" t="s">
        <v>81</v>
      </c>
      <c r="K244" t="s">
        <v>22</v>
      </c>
      <c r="L244" t="s">
        <v>73</v>
      </c>
      <c r="M244">
        <v>234671</v>
      </c>
      <c r="N244">
        <v>234671</v>
      </c>
      <c r="P244" t="s">
        <v>382</v>
      </c>
      <c r="Q244" t="s">
        <v>1289</v>
      </c>
    </row>
    <row r="245" spans="1:17" x14ac:dyDescent="0.25">
      <c r="A245" t="s">
        <v>717</v>
      </c>
      <c r="B245">
        <v>2023</v>
      </c>
      <c r="C245" t="s">
        <v>1200</v>
      </c>
      <c r="D245" t="s">
        <v>381</v>
      </c>
      <c r="F245" t="s">
        <v>384</v>
      </c>
      <c r="H245" t="s">
        <v>115</v>
      </c>
      <c r="I245" t="s">
        <v>258</v>
      </c>
      <c r="J245" t="s">
        <v>1206</v>
      </c>
      <c r="K245" t="s">
        <v>22</v>
      </c>
      <c r="L245" t="s">
        <v>579</v>
      </c>
      <c r="M245">
        <v>38659</v>
      </c>
      <c r="N245">
        <v>1.2024302065000001</v>
      </c>
      <c r="P245" t="s">
        <v>382</v>
      </c>
      <c r="Q245" t="s">
        <v>1289</v>
      </c>
    </row>
    <row r="246" spans="1:17" x14ac:dyDescent="0.25">
      <c r="A246" t="s">
        <v>385</v>
      </c>
      <c r="B246">
        <v>2022</v>
      </c>
      <c r="C246" t="s">
        <v>1200</v>
      </c>
      <c r="D246" t="s">
        <v>387</v>
      </c>
      <c r="F246" t="s">
        <v>390</v>
      </c>
      <c r="H246" t="s">
        <v>647</v>
      </c>
      <c r="I246" t="s">
        <v>37</v>
      </c>
      <c r="J246" t="s">
        <v>67</v>
      </c>
      <c r="K246" t="s">
        <v>22</v>
      </c>
      <c r="L246" t="s">
        <v>73</v>
      </c>
      <c r="M246">
        <v>3368</v>
      </c>
      <c r="N246">
        <v>3368</v>
      </c>
      <c r="O246" t="s">
        <v>386</v>
      </c>
      <c r="P246" t="s">
        <v>388</v>
      </c>
      <c r="Q246" t="s">
        <v>1290</v>
      </c>
    </row>
    <row r="247" spans="1:17" x14ac:dyDescent="0.25">
      <c r="A247" t="s">
        <v>716</v>
      </c>
      <c r="B247">
        <v>2022</v>
      </c>
      <c r="C247" t="s">
        <v>1200</v>
      </c>
      <c r="D247" t="s">
        <v>387</v>
      </c>
      <c r="F247" t="s">
        <v>390</v>
      </c>
      <c r="H247" t="s">
        <v>326</v>
      </c>
      <c r="I247" t="s">
        <v>37</v>
      </c>
      <c r="J247" t="s">
        <v>67</v>
      </c>
      <c r="K247" t="s">
        <v>22</v>
      </c>
      <c r="L247" t="s">
        <v>73</v>
      </c>
      <c r="M247">
        <v>32268</v>
      </c>
      <c r="N247">
        <v>32268</v>
      </c>
      <c r="P247" t="s">
        <v>388</v>
      </c>
      <c r="Q247" t="s">
        <v>1290</v>
      </c>
    </row>
    <row r="248" spans="1:17" x14ac:dyDescent="0.25">
      <c r="A248" t="s">
        <v>732</v>
      </c>
      <c r="B248">
        <v>2023</v>
      </c>
      <c r="C248" t="s">
        <v>1200</v>
      </c>
      <c r="D248" t="s">
        <v>393</v>
      </c>
      <c r="F248" t="s">
        <v>395</v>
      </c>
      <c r="H248" t="s">
        <v>546</v>
      </c>
      <c r="I248" t="s">
        <v>258</v>
      </c>
      <c r="J248" t="s">
        <v>259</v>
      </c>
      <c r="K248" t="s">
        <v>22</v>
      </c>
      <c r="L248" t="s">
        <v>23</v>
      </c>
      <c r="M248">
        <v>4.7</v>
      </c>
      <c r="N248">
        <v>4700</v>
      </c>
      <c r="O248" t="s">
        <v>733</v>
      </c>
      <c r="P248" t="s">
        <v>394</v>
      </c>
      <c r="Q248" t="s">
        <v>1222</v>
      </c>
    </row>
    <row r="249" spans="1:17" x14ac:dyDescent="0.25">
      <c r="A249" t="s">
        <v>734</v>
      </c>
      <c r="B249">
        <v>2023</v>
      </c>
      <c r="C249" t="s">
        <v>1200</v>
      </c>
      <c r="D249" t="s">
        <v>393</v>
      </c>
      <c r="F249" t="s">
        <v>395</v>
      </c>
      <c r="H249" t="s">
        <v>326</v>
      </c>
      <c r="I249" t="s">
        <v>258</v>
      </c>
      <c r="J249" t="s">
        <v>259</v>
      </c>
      <c r="K249" t="s">
        <v>22</v>
      </c>
      <c r="L249" t="s">
        <v>23</v>
      </c>
      <c r="M249">
        <v>7.9</v>
      </c>
      <c r="N249">
        <v>7900</v>
      </c>
      <c r="O249" t="s">
        <v>733</v>
      </c>
      <c r="P249" t="s">
        <v>394</v>
      </c>
      <c r="Q249" t="s">
        <v>1222</v>
      </c>
    </row>
    <row r="250" spans="1:17" x14ac:dyDescent="0.25">
      <c r="A250" t="s">
        <v>392</v>
      </c>
      <c r="B250">
        <v>2023</v>
      </c>
      <c r="C250" t="s">
        <v>1200</v>
      </c>
      <c r="D250" t="s">
        <v>393</v>
      </c>
      <c r="F250" t="s">
        <v>395</v>
      </c>
      <c r="H250" t="s">
        <v>59</v>
      </c>
      <c r="I250" t="s">
        <v>50</v>
      </c>
      <c r="J250" t="s">
        <v>51</v>
      </c>
      <c r="K250" t="s">
        <v>22</v>
      </c>
      <c r="L250" t="s">
        <v>23</v>
      </c>
      <c r="M250">
        <v>464.70588235294099</v>
      </c>
      <c r="N250">
        <v>464705.88235294097</v>
      </c>
      <c r="O250" t="s">
        <v>1291</v>
      </c>
      <c r="P250" t="s">
        <v>394</v>
      </c>
      <c r="Q250" t="s">
        <v>1217</v>
      </c>
    </row>
    <row r="251" spans="1:17" x14ac:dyDescent="0.25">
      <c r="A251" t="s">
        <v>1329</v>
      </c>
      <c r="B251">
        <v>2023</v>
      </c>
      <c r="C251" t="s">
        <v>1200</v>
      </c>
      <c r="D251" t="s">
        <v>393</v>
      </c>
      <c r="F251" t="s">
        <v>395</v>
      </c>
      <c r="H251" t="s">
        <v>546</v>
      </c>
      <c r="I251" t="s">
        <v>50</v>
      </c>
      <c r="K251" t="s">
        <v>22</v>
      </c>
      <c r="L251" t="s">
        <v>1300</v>
      </c>
      <c r="M251">
        <v>682000.00291832304</v>
      </c>
      <c r="N251">
        <v>682000.00291832304</v>
      </c>
      <c r="P251" t="s">
        <v>394</v>
      </c>
      <c r="Q251" t="s">
        <v>1301</v>
      </c>
    </row>
    <row r="252" spans="1:17" x14ac:dyDescent="0.25">
      <c r="A252" t="s">
        <v>1362</v>
      </c>
      <c r="B252">
        <v>2023</v>
      </c>
      <c r="C252" t="s">
        <v>1200</v>
      </c>
      <c r="D252" t="s">
        <v>393</v>
      </c>
      <c r="F252" t="s">
        <v>395</v>
      </c>
      <c r="I252" t="s">
        <v>50</v>
      </c>
      <c r="K252" t="s">
        <v>604</v>
      </c>
      <c r="L252" t="s">
        <v>1341</v>
      </c>
      <c r="M252">
        <v>87879592.968635201</v>
      </c>
      <c r="N252">
        <v>87879592.968635201</v>
      </c>
      <c r="P252" t="s">
        <v>394</v>
      </c>
      <c r="Q252" t="s">
        <v>1301</v>
      </c>
    </row>
    <row r="253" spans="1:17" x14ac:dyDescent="0.25">
      <c r="A253" t="s">
        <v>704</v>
      </c>
      <c r="B253">
        <v>2023</v>
      </c>
      <c r="C253" t="s">
        <v>1200</v>
      </c>
      <c r="E253" t="s">
        <v>398</v>
      </c>
      <c r="F253" t="s">
        <v>401</v>
      </c>
      <c r="G253" t="s">
        <v>402</v>
      </c>
      <c r="H253" t="s">
        <v>115</v>
      </c>
      <c r="I253" t="s">
        <v>80</v>
      </c>
      <c r="J253" t="s">
        <v>81</v>
      </c>
      <c r="K253" t="s">
        <v>22</v>
      </c>
      <c r="L253" t="s">
        <v>23</v>
      </c>
      <c r="M253">
        <v>1541</v>
      </c>
      <c r="N253">
        <v>1541000</v>
      </c>
      <c r="P253" t="s">
        <v>399</v>
      </c>
      <c r="Q253" t="s">
        <v>1292</v>
      </c>
    </row>
    <row r="254" spans="1:17" x14ac:dyDescent="0.25">
      <c r="A254" t="s">
        <v>397</v>
      </c>
      <c r="B254">
        <v>2023</v>
      </c>
      <c r="C254" t="s">
        <v>1200</v>
      </c>
      <c r="E254" t="s">
        <v>398</v>
      </c>
      <c r="F254" t="s">
        <v>401</v>
      </c>
      <c r="G254" t="s">
        <v>402</v>
      </c>
      <c r="H254" t="s">
        <v>115</v>
      </c>
      <c r="I254" t="s">
        <v>50</v>
      </c>
      <c r="J254" t="s">
        <v>51</v>
      </c>
      <c r="K254" t="s">
        <v>22</v>
      </c>
      <c r="L254" t="s">
        <v>23</v>
      </c>
      <c r="M254">
        <v>1574</v>
      </c>
      <c r="N254">
        <v>1574000</v>
      </c>
      <c r="P254" t="s">
        <v>399</v>
      </c>
      <c r="Q254" t="s">
        <v>1292</v>
      </c>
    </row>
    <row r="255" spans="1:17" x14ac:dyDescent="0.25">
      <c r="A255" t="s">
        <v>705</v>
      </c>
      <c r="B255">
        <v>2023</v>
      </c>
      <c r="C255" t="s">
        <v>1200</v>
      </c>
      <c r="E255" t="s">
        <v>398</v>
      </c>
      <c r="F255" t="s">
        <v>401</v>
      </c>
      <c r="G255" t="s">
        <v>402</v>
      </c>
      <c r="H255" t="s">
        <v>115</v>
      </c>
      <c r="I255" t="s">
        <v>258</v>
      </c>
      <c r="J255" t="s">
        <v>1206</v>
      </c>
      <c r="K255" t="s">
        <v>22</v>
      </c>
      <c r="L255" t="s">
        <v>583</v>
      </c>
      <c r="M255">
        <v>132.9</v>
      </c>
      <c r="N255">
        <v>4.1336551500000001</v>
      </c>
      <c r="P255" t="s">
        <v>399</v>
      </c>
      <c r="Q255" t="s">
        <v>1292</v>
      </c>
    </row>
    <row r="256" spans="1:17" x14ac:dyDescent="0.25">
      <c r="A256" t="s">
        <v>706</v>
      </c>
      <c r="B256">
        <v>2023</v>
      </c>
      <c r="C256" t="s">
        <v>1200</v>
      </c>
      <c r="E256" t="s">
        <v>398</v>
      </c>
      <c r="F256" t="s">
        <v>401</v>
      </c>
      <c r="G256" t="s">
        <v>402</v>
      </c>
      <c r="H256" t="s">
        <v>582</v>
      </c>
      <c r="I256" t="s">
        <v>258</v>
      </c>
      <c r="J256" t="s">
        <v>1206</v>
      </c>
      <c r="K256" t="s">
        <v>22</v>
      </c>
      <c r="L256" t="s">
        <v>583</v>
      </c>
      <c r="M256">
        <v>16</v>
      </c>
      <c r="N256">
        <v>0.49765599999999999</v>
      </c>
      <c r="P256" t="s">
        <v>399</v>
      </c>
      <c r="Q256" t="s">
        <v>1292</v>
      </c>
    </row>
    <row r="257" spans="1:17" x14ac:dyDescent="0.25">
      <c r="A257" t="s">
        <v>1293</v>
      </c>
      <c r="B257">
        <v>2023</v>
      </c>
      <c r="C257" t="s">
        <v>1200</v>
      </c>
      <c r="D257" t="s">
        <v>533</v>
      </c>
      <c r="E257" t="s">
        <v>403</v>
      </c>
      <c r="F257" t="s">
        <v>404</v>
      </c>
      <c r="G257" t="s">
        <v>405</v>
      </c>
      <c r="H257" t="s">
        <v>326</v>
      </c>
      <c r="I257" t="s">
        <v>258</v>
      </c>
      <c r="J257" t="s">
        <v>259</v>
      </c>
      <c r="K257" t="s">
        <v>22</v>
      </c>
      <c r="L257" t="s">
        <v>73</v>
      </c>
      <c r="M257">
        <v>6334</v>
      </c>
      <c r="N257">
        <v>6334</v>
      </c>
      <c r="O257" t="s">
        <v>1294</v>
      </c>
      <c r="P257" t="s">
        <v>394</v>
      </c>
      <c r="Q257" t="s">
        <v>1217</v>
      </c>
    </row>
    <row r="258" spans="1:17" x14ac:dyDescent="0.25">
      <c r="A258" t="s">
        <v>1295</v>
      </c>
      <c r="B258">
        <v>2023</v>
      </c>
      <c r="C258" t="s">
        <v>1200</v>
      </c>
      <c r="D258" t="s">
        <v>533</v>
      </c>
      <c r="E258" t="s">
        <v>403</v>
      </c>
      <c r="F258" t="s">
        <v>404</v>
      </c>
      <c r="G258" t="s">
        <v>405</v>
      </c>
      <c r="H258" t="s">
        <v>546</v>
      </c>
      <c r="I258" t="s">
        <v>258</v>
      </c>
      <c r="J258" t="s">
        <v>259</v>
      </c>
      <c r="K258" t="s">
        <v>22</v>
      </c>
      <c r="L258" t="s">
        <v>73</v>
      </c>
      <c r="M258">
        <v>7783</v>
      </c>
      <c r="N258">
        <v>7783</v>
      </c>
      <c r="O258" t="s">
        <v>1294</v>
      </c>
      <c r="P258" t="s">
        <v>394</v>
      </c>
      <c r="Q258" t="s">
        <v>1217</v>
      </c>
    </row>
    <row r="259" spans="1:17" x14ac:dyDescent="0.25">
      <c r="A259" t="s">
        <v>1296</v>
      </c>
      <c r="B259">
        <v>2023</v>
      </c>
      <c r="C259" t="s">
        <v>1200</v>
      </c>
      <c r="D259" t="s">
        <v>533</v>
      </c>
      <c r="E259" t="s">
        <v>403</v>
      </c>
      <c r="F259" t="s">
        <v>404</v>
      </c>
      <c r="G259" t="s">
        <v>405</v>
      </c>
      <c r="H259" t="s">
        <v>59</v>
      </c>
      <c r="I259" t="s">
        <v>50</v>
      </c>
      <c r="J259" t="s">
        <v>51</v>
      </c>
      <c r="K259" t="s">
        <v>22</v>
      </c>
      <c r="L259" t="s">
        <v>73</v>
      </c>
      <c r="M259">
        <v>414000</v>
      </c>
      <c r="N259">
        <v>414000</v>
      </c>
      <c r="O259" t="s">
        <v>1294</v>
      </c>
      <c r="P259" t="s">
        <v>394</v>
      </c>
      <c r="Q259" t="s">
        <v>1217</v>
      </c>
    </row>
    <row r="260" spans="1:17" x14ac:dyDescent="0.25">
      <c r="A260" t="s">
        <v>1330</v>
      </c>
      <c r="B260">
        <v>2023</v>
      </c>
      <c r="C260" t="s">
        <v>1200</v>
      </c>
      <c r="D260" t="s">
        <v>533</v>
      </c>
      <c r="E260" t="s">
        <v>403</v>
      </c>
      <c r="F260" t="s">
        <v>404</v>
      </c>
      <c r="G260" t="s">
        <v>405</v>
      </c>
      <c r="H260" t="s">
        <v>546</v>
      </c>
      <c r="I260" t="s">
        <v>50</v>
      </c>
      <c r="K260" t="s">
        <v>22</v>
      </c>
      <c r="L260" t="s">
        <v>1300</v>
      </c>
      <c r="M260">
        <v>518000.00221655599</v>
      </c>
      <c r="N260">
        <v>518000.00221655599</v>
      </c>
      <c r="P260" t="s">
        <v>394</v>
      </c>
      <c r="Q260" t="s">
        <v>1301</v>
      </c>
    </row>
    <row r="261" spans="1:17" x14ac:dyDescent="0.25">
      <c r="A261" t="s">
        <v>1363</v>
      </c>
      <c r="B261">
        <v>2023</v>
      </c>
      <c r="C261" t="s">
        <v>1200</v>
      </c>
      <c r="D261" t="s">
        <v>533</v>
      </c>
      <c r="E261" t="s">
        <v>403</v>
      </c>
      <c r="F261" t="s">
        <v>404</v>
      </c>
      <c r="G261" t="s">
        <v>405</v>
      </c>
      <c r="I261" t="s">
        <v>50</v>
      </c>
      <c r="K261" t="s">
        <v>604</v>
      </c>
      <c r="L261" t="s">
        <v>1341</v>
      </c>
      <c r="M261">
        <v>2453000.01049654</v>
      </c>
      <c r="N261">
        <v>2453000.01049654</v>
      </c>
      <c r="P261" t="s">
        <v>394</v>
      </c>
      <c r="Q261" t="s">
        <v>1301</v>
      </c>
    </row>
    <row r="262" spans="1:17" x14ac:dyDescent="0.25">
      <c r="A262" t="s">
        <v>407</v>
      </c>
      <c r="B262">
        <v>2024</v>
      </c>
      <c r="C262" t="s">
        <v>1200</v>
      </c>
      <c r="D262" t="s">
        <v>409</v>
      </c>
      <c r="F262" t="s">
        <v>410</v>
      </c>
      <c r="H262" t="s">
        <v>408</v>
      </c>
      <c r="I262" t="s">
        <v>37</v>
      </c>
      <c r="J262" t="s">
        <v>67</v>
      </c>
      <c r="K262" t="s">
        <v>22</v>
      </c>
      <c r="L262" t="s">
        <v>23</v>
      </c>
      <c r="M262">
        <v>256</v>
      </c>
      <c r="N262">
        <v>256000</v>
      </c>
      <c r="P262" t="s">
        <v>187</v>
      </c>
      <c r="Q262" t="s">
        <v>1252</v>
      </c>
    </row>
    <row r="263" spans="1:17" x14ac:dyDescent="0.25">
      <c r="A263" t="s">
        <v>1331</v>
      </c>
      <c r="B263">
        <v>2023</v>
      </c>
      <c r="C263" t="s">
        <v>1200</v>
      </c>
      <c r="D263" t="s">
        <v>1332</v>
      </c>
      <c r="F263" t="s">
        <v>1334</v>
      </c>
      <c r="H263" t="s">
        <v>546</v>
      </c>
      <c r="I263" t="s">
        <v>50</v>
      </c>
      <c r="K263" t="s">
        <v>22</v>
      </c>
      <c r="L263" t="s">
        <v>1300</v>
      </c>
      <c r="M263">
        <v>0</v>
      </c>
      <c r="N263">
        <v>0</v>
      </c>
      <c r="P263" t="s">
        <v>1333</v>
      </c>
      <c r="Q263" t="s">
        <v>1301</v>
      </c>
    </row>
    <row r="264" spans="1:17" x14ac:dyDescent="0.25">
      <c r="A264" t="s">
        <v>1364</v>
      </c>
      <c r="B264">
        <v>2023</v>
      </c>
      <c r="C264" t="s">
        <v>1200</v>
      </c>
      <c r="D264" t="s">
        <v>1332</v>
      </c>
      <c r="F264" t="s">
        <v>1334</v>
      </c>
      <c r="I264" t="s">
        <v>50</v>
      </c>
      <c r="K264" t="s">
        <v>604</v>
      </c>
      <c r="L264" t="s">
        <v>1341</v>
      </c>
      <c r="M264">
        <v>87879592.968635201</v>
      </c>
      <c r="N264">
        <v>87879592.968635201</v>
      </c>
      <c r="P264" t="s">
        <v>1333</v>
      </c>
      <c r="Q264" t="s">
        <v>1301</v>
      </c>
    </row>
    <row r="265" spans="1:17" x14ac:dyDescent="0.25">
      <c r="A265" t="s">
        <v>413</v>
      </c>
      <c r="B265">
        <v>2023</v>
      </c>
      <c r="C265" t="s">
        <v>1200</v>
      </c>
      <c r="D265" t="s">
        <v>416</v>
      </c>
      <c r="E265" t="s">
        <v>25</v>
      </c>
      <c r="F265" t="s">
        <v>417</v>
      </c>
      <c r="G265" t="s">
        <v>28</v>
      </c>
      <c r="H265" t="s">
        <v>414</v>
      </c>
      <c r="I265" t="s">
        <v>20</v>
      </c>
      <c r="J265" t="s">
        <v>415</v>
      </c>
      <c r="K265" t="s">
        <v>22</v>
      </c>
      <c r="L265" t="s">
        <v>23</v>
      </c>
      <c r="M265">
        <v>1391.8058030326899</v>
      </c>
      <c r="N265">
        <v>1391805.80303269</v>
      </c>
      <c r="P265" t="s">
        <v>26</v>
      </c>
      <c r="Q265" t="s">
        <v>1202</v>
      </c>
    </row>
    <row r="266" spans="1:17" x14ac:dyDescent="0.25">
      <c r="A266" t="s">
        <v>735</v>
      </c>
      <c r="B266">
        <v>2023</v>
      </c>
      <c r="C266" t="s">
        <v>1200</v>
      </c>
      <c r="D266" t="s">
        <v>419</v>
      </c>
      <c r="F266" t="s">
        <v>420</v>
      </c>
      <c r="H266" t="s">
        <v>546</v>
      </c>
      <c r="I266" t="s">
        <v>258</v>
      </c>
      <c r="J266" t="s">
        <v>259</v>
      </c>
      <c r="K266" t="s">
        <v>22</v>
      </c>
      <c r="L266" t="s">
        <v>23</v>
      </c>
      <c r="M266">
        <v>9.6</v>
      </c>
      <c r="N266">
        <v>9600</v>
      </c>
      <c r="O266" t="s">
        <v>733</v>
      </c>
      <c r="P266" t="s">
        <v>394</v>
      </c>
      <c r="Q266" t="s">
        <v>1222</v>
      </c>
    </row>
    <row r="267" spans="1:17" x14ac:dyDescent="0.25">
      <c r="A267" t="s">
        <v>736</v>
      </c>
      <c r="B267">
        <v>2023</v>
      </c>
      <c r="C267" t="s">
        <v>1200</v>
      </c>
      <c r="D267" t="s">
        <v>419</v>
      </c>
      <c r="F267" t="s">
        <v>420</v>
      </c>
      <c r="H267" t="s">
        <v>326</v>
      </c>
      <c r="I267" t="s">
        <v>258</v>
      </c>
      <c r="J267" t="s">
        <v>259</v>
      </c>
      <c r="K267" t="s">
        <v>22</v>
      </c>
      <c r="L267" t="s">
        <v>23</v>
      </c>
      <c r="M267">
        <v>13.5</v>
      </c>
      <c r="N267">
        <v>13500</v>
      </c>
      <c r="O267" t="s">
        <v>733</v>
      </c>
      <c r="P267" t="s">
        <v>394</v>
      </c>
      <c r="Q267" t="s">
        <v>1222</v>
      </c>
    </row>
    <row r="268" spans="1:17" x14ac:dyDescent="0.25">
      <c r="A268" t="s">
        <v>418</v>
      </c>
      <c r="B268">
        <v>2023</v>
      </c>
      <c r="C268" t="s">
        <v>1200</v>
      </c>
      <c r="D268" t="s">
        <v>419</v>
      </c>
      <c r="F268" t="s">
        <v>420</v>
      </c>
      <c r="H268" t="s">
        <v>59</v>
      </c>
      <c r="I268" t="s">
        <v>50</v>
      </c>
      <c r="J268" t="s">
        <v>51</v>
      </c>
      <c r="K268" t="s">
        <v>22</v>
      </c>
      <c r="L268" t="s">
        <v>23</v>
      </c>
      <c r="M268">
        <v>794.11764705882297</v>
      </c>
      <c r="N268">
        <v>794117.64705882303</v>
      </c>
      <c r="O268" t="s">
        <v>1291</v>
      </c>
      <c r="P268" t="s">
        <v>394</v>
      </c>
      <c r="Q268" t="s">
        <v>1217</v>
      </c>
    </row>
    <row r="269" spans="1:17" x14ac:dyDescent="0.25">
      <c r="A269" t="s">
        <v>1335</v>
      </c>
      <c r="B269">
        <v>2023</v>
      </c>
      <c r="C269" t="s">
        <v>1200</v>
      </c>
      <c r="D269" t="s">
        <v>419</v>
      </c>
      <c r="F269" t="s">
        <v>420</v>
      </c>
      <c r="H269" t="s">
        <v>546</v>
      </c>
      <c r="I269" t="s">
        <v>50</v>
      </c>
      <c r="K269" t="s">
        <v>22</v>
      </c>
      <c r="L269" t="s">
        <v>1300</v>
      </c>
      <c r="M269">
        <v>1760000.00753115</v>
      </c>
      <c r="N269">
        <v>1760000.00753115</v>
      </c>
      <c r="P269" t="s">
        <v>394</v>
      </c>
      <c r="Q269" t="s">
        <v>1301</v>
      </c>
    </row>
    <row r="270" spans="1:17" x14ac:dyDescent="0.25">
      <c r="A270" t="s">
        <v>1365</v>
      </c>
      <c r="B270">
        <v>2023</v>
      </c>
      <c r="C270" t="s">
        <v>1200</v>
      </c>
      <c r="D270" t="s">
        <v>419</v>
      </c>
      <c r="F270" t="s">
        <v>420</v>
      </c>
      <c r="I270" t="s">
        <v>50</v>
      </c>
      <c r="K270" t="s">
        <v>604</v>
      </c>
      <c r="L270" t="s">
        <v>1341</v>
      </c>
      <c r="M270">
        <v>31100000.133078899</v>
      </c>
      <c r="N270">
        <v>31100000.133078899</v>
      </c>
      <c r="P270" t="s">
        <v>394</v>
      </c>
      <c r="Q270" t="s">
        <v>1301</v>
      </c>
    </row>
    <row r="271" spans="1:17" x14ac:dyDescent="0.25">
      <c r="A271" t="s">
        <v>422</v>
      </c>
      <c r="B271">
        <v>2023</v>
      </c>
      <c r="C271" t="s">
        <v>1200</v>
      </c>
      <c r="D271" t="s">
        <v>423</v>
      </c>
      <c r="F271" t="s">
        <v>426</v>
      </c>
      <c r="H271" t="s">
        <v>59</v>
      </c>
      <c r="I271" t="s">
        <v>50</v>
      </c>
      <c r="J271" t="s">
        <v>107</v>
      </c>
      <c r="K271" t="s">
        <v>22</v>
      </c>
      <c r="L271" t="s">
        <v>23</v>
      </c>
      <c r="M271">
        <v>1034</v>
      </c>
      <c r="N271">
        <v>1034000</v>
      </c>
      <c r="P271" t="s">
        <v>424</v>
      </c>
      <c r="Q271" t="s">
        <v>1297</v>
      </c>
    </row>
    <row r="272" spans="1:17" x14ac:dyDescent="0.25">
      <c r="A272" t="s">
        <v>673</v>
      </c>
      <c r="B272">
        <v>2023</v>
      </c>
      <c r="C272" t="s">
        <v>1200</v>
      </c>
      <c r="D272" t="s">
        <v>423</v>
      </c>
      <c r="F272" t="s">
        <v>426</v>
      </c>
      <c r="H272" t="s">
        <v>59</v>
      </c>
      <c r="I272" t="s">
        <v>80</v>
      </c>
      <c r="J272" t="s">
        <v>81</v>
      </c>
      <c r="K272" t="s">
        <v>22</v>
      </c>
      <c r="L272" t="s">
        <v>23</v>
      </c>
      <c r="M272">
        <v>1022</v>
      </c>
      <c r="N272">
        <v>1022000</v>
      </c>
      <c r="P272" t="s">
        <v>424</v>
      </c>
      <c r="Q272" t="s">
        <v>1297</v>
      </c>
    </row>
    <row r="273" spans="1:17" x14ac:dyDescent="0.25">
      <c r="A273" t="s">
        <v>674</v>
      </c>
      <c r="B273">
        <v>2023</v>
      </c>
      <c r="C273" t="s">
        <v>1200</v>
      </c>
      <c r="D273" t="s">
        <v>423</v>
      </c>
      <c r="F273" t="s">
        <v>426</v>
      </c>
      <c r="H273" t="s">
        <v>115</v>
      </c>
      <c r="I273" t="s">
        <v>258</v>
      </c>
      <c r="J273" t="s">
        <v>1206</v>
      </c>
      <c r="K273" t="s">
        <v>22</v>
      </c>
      <c r="L273" t="s">
        <v>583</v>
      </c>
      <c r="M273">
        <v>93</v>
      </c>
      <c r="N273">
        <v>2.8926254999999998</v>
      </c>
      <c r="P273" t="s">
        <v>424</v>
      </c>
      <c r="Q273" t="s">
        <v>1297</v>
      </c>
    </row>
    <row r="274" spans="1:17" x14ac:dyDescent="0.25">
      <c r="A274" t="s">
        <v>1298</v>
      </c>
      <c r="B274">
        <v>2023</v>
      </c>
      <c r="C274" t="s">
        <v>1200</v>
      </c>
      <c r="D274" t="s">
        <v>423</v>
      </c>
      <c r="F274" t="s">
        <v>426</v>
      </c>
      <c r="H274" t="s">
        <v>582</v>
      </c>
      <c r="I274" t="s">
        <v>258</v>
      </c>
      <c r="J274" t="s">
        <v>1206</v>
      </c>
      <c r="K274" t="s">
        <v>22</v>
      </c>
      <c r="L274" t="s">
        <v>579</v>
      </c>
      <c r="M274">
        <v>36754</v>
      </c>
      <c r="N274">
        <v>1.1431780389999999</v>
      </c>
      <c r="P274" t="s">
        <v>424</v>
      </c>
      <c r="Q274" t="s">
        <v>1236</v>
      </c>
    </row>
    <row r="275" spans="1:17" x14ac:dyDescent="0.25">
      <c r="A275" t="s">
        <v>601</v>
      </c>
      <c r="B275">
        <v>2023</v>
      </c>
      <c r="C275" t="s">
        <v>1200</v>
      </c>
      <c r="D275" t="s">
        <v>428</v>
      </c>
      <c r="F275" t="s">
        <v>429</v>
      </c>
      <c r="H275" t="s">
        <v>115</v>
      </c>
      <c r="I275" t="s">
        <v>258</v>
      </c>
      <c r="J275" t="s">
        <v>1206</v>
      </c>
      <c r="K275" t="s">
        <v>22</v>
      </c>
      <c r="L275" t="s">
        <v>579</v>
      </c>
      <c r="M275">
        <v>185100</v>
      </c>
      <c r="N275">
        <v>5.7572578499999896</v>
      </c>
      <c r="P275" t="s">
        <v>196</v>
      </c>
      <c r="Q275" t="s">
        <v>1253</v>
      </c>
    </row>
    <row r="276" spans="1:17" x14ac:dyDescent="0.25">
      <c r="A276" t="s">
        <v>602</v>
      </c>
      <c r="B276">
        <v>2023</v>
      </c>
      <c r="C276" t="s">
        <v>1200</v>
      </c>
      <c r="D276" t="s">
        <v>428</v>
      </c>
      <c r="F276" t="s">
        <v>429</v>
      </c>
      <c r="H276" t="s">
        <v>115</v>
      </c>
      <c r="I276" t="s">
        <v>80</v>
      </c>
      <c r="J276" t="s">
        <v>81</v>
      </c>
      <c r="K276" t="s">
        <v>22</v>
      </c>
      <c r="L276" t="s">
        <v>73</v>
      </c>
      <c r="M276">
        <v>2878155</v>
      </c>
      <c r="N276">
        <v>2878155</v>
      </c>
      <c r="P276" t="s">
        <v>196</v>
      </c>
      <c r="Q276" t="s">
        <v>1253</v>
      </c>
    </row>
    <row r="277" spans="1:17" x14ac:dyDescent="0.25">
      <c r="A277" t="s">
        <v>427</v>
      </c>
      <c r="B277">
        <v>2023</v>
      </c>
      <c r="C277" t="s">
        <v>1200</v>
      </c>
      <c r="D277" t="s">
        <v>428</v>
      </c>
      <c r="F277" t="s">
        <v>429</v>
      </c>
      <c r="H277" t="s">
        <v>115</v>
      </c>
      <c r="I277" t="s">
        <v>50</v>
      </c>
      <c r="J277" t="s">
        <v>51</v>
      </c>
      <c r="K277" t="s">
        <v>22</v>
      </c>
      <c r="L277" t="s">
        <v>73</v>
      </c>
      <c r="M277">
        <v>2878047</v>
      </c>
      <c r="N277">
        <v>2878047</v>
      </c>
      <c r="P277" t="s">
        <v>196</v>
      </c>
      <c r="Q277" t="s">
        <v>1253</v>
      </c>
    </row>
  </sheetData>
  <autoFilter ref="A1:Q277" xr:uid="{3A35163C-6C25-4317-AF36-C99FD8FDAA8B}"/>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E355F-B9F9-4C53-88DF-2A1D6BB7075A}">
  <dimension ref="A1:F59"/>
  <sheetViews>
    <sheetView topLeftCell="A19" workbookViewId="0">
      <selection activeCell="B4" sqref="B4"/>
    </sheetView>
  </sheetViews>
  <sheetFormatPr baseColWidth="10" defaultRowHeight="15" x14ac:dyDescent="0.25"/>
  <cols>
    <col min="1" max="1" width="16.42578125" customWidth="1"/>
    <col min="2" max="2" width="18" bestFit="1" customWidth="1"/>
    <col min="3" max="3" width="29.7109375" bestFit="1" customWidth="1"/>
    <col min="4" max="4" width="43.140625" bestFit="1" customWidth="1"/>
    <col min="5" max="5" width="36.140625" bestFit="1" customWidth="1"/>
  </cols>
  <sheetData>
    <row r="1" spans="1:6" x14ac:dyDescent="0.25">
      <c r="A1" s="1" t="s">
        <v>1082</v>
      </c>
      <c r="B1" s="1" t="s">
        <v>1084</v>
      </c>
      <c r="C1" s="1" t="s">
        <v>1085</v>
      </c>
      <c r="D1" s="1" t="s">
        <v>1087</v>
      </c>
      <c r="E1" s="1" t="s">
        <v>1090</v>
      </c>
      <c r="F1" s="1" t="s">
        <v>1092</v>
      </c>
    </row>
    <row r="2" spans="1:6" x14ac:dyDescent="0.25">
      <c r="A2" t="s">
        <v>1083</v>
      </c>
      <c r="B2" t="s">
        <v>53</v>
      </c>
      <c r="C2" t="s">
        <v>56</v>
      </c>
      <c r="D2" t="s">
        <v>149</v>
      </c>
      <c r="E2" t="s">
        <v>1088</v>
      </c>
    </row>
    <row r="3" spans="1:6" x14ac:dyDescent="0.25">
      <c r="A3" t="s">
        <v>1086</v>
      </c>
      <c r="B3" t="s">
        <v>82</v>
      </c>
      <c r="C3" t="s">
        <v>84</v>
      </c>
      <c r="D3" t="s">
        <v>149</v>
      </c>
      <c r="E3" t="s">
        <v>1088</v>
      </c>
    </row>
    <row r="4" spans="1:6" x14ac:dyDescent="0.25">
      <c r="A4" s="12" t="s">
        <v>1083</v>
      </c>
      <c r="B4" s="12" t="s">
        <v>520</v>
      </c>
      <c r="C4" s="12" t="s">
        <v>521</v>
      </c>
      <c r="D4" s="12" t="s">
        <v>406</v>
      </c>
      <c r="E4" s="12" t="s">
        <v>1088</v>
      </c>
    </row>
    <row r="5" spans="1:6" x14ac:dyDescent="0.25">
      <c r="A5" s="12" t="s">
        <v>1083</v>
      </c>
      <c r="B5" s="12" t="s">
        <v>527</v>
      </c>
      <c r="C5" s="12" t="s">
        <v>528</v>
      </c>
      <c r="D5" s="12" t="s">
        <v>406</v>
      </c>
      <c r="E5" s="12" t="s">
        <v>1088</v>
      </c>
    </row>
    <row r="6" spans="1:6" x14ac:dyDescent="0.25">
      <c r="A6" t="s">
        <v>1083</v>
      </c>
      <c r="B6" t="s">
        <v>139</v>
      </c>
      <c r="C6" t="s">
        <v>142</v>
      </c>
      <c r="D6" t="s">
        <v>115</v>
      </c>
      <c r="E6" t="s">
        <v>1088</v>
      </c>
      <c r="F6" t="s">
        <v>1091</v>
      </c>
    </row>
    <row r="7" spans="1:6" x14ac:dyDescent="0.25">
      <c r="A7" t="s">
        <v>1083</v>
      </c>
      <c r="B7" t="s">
        <v>156</v>
      </c>
      <c r="C7" t="s">
        <v>159</v>
      </c>
      <c r="D7" t="s">
        <v>115</v>
      </c>
      <c r="E7" t="s">
        <v>1088</v>
      </c>
    </row>
    <row r="8" spans="1:6" x14ac:dyDescent="0.25">
      <c r="A8" s="12" t="s">
        <v>1083</v>
      </c>
      <c r="B8" s="12" t="s">
        <v>529</v>
      </c>
      <c r="C8" s="12" t="s">
        <v>530</v>
      </c>
      <c r="D8" s="12" t="s">
        <v>406</v>
      </c>
      <c r="E8" s="12" t="s">
        <v>1088</v>
      </c>
    </row>
    <row r="9" spans="1:6" x14ac:dyDescent="0.25">
      <c r="A9" t="s">
        <v>1083</v>
      </c>
      <c r="B9" t="s">
        <v>186</v>
      </c>
      <c r="C9" t="s">
        <v>188</v>
      </c>
      <c r="D9" t="s">
        <v>189</v>
      </c>
      <c r="E9" t="s">
        <v>1088</v>
      </c>
    </row>
    <row r="10" spans="1:6" x14ac:dyDescent="0.25">
      <c r="A10" t="s">
        <v>1083</v>
      </c>
      <c r="B10" t="s">
        <v>205</v>
      </c>
      <c r="C10" t="s">
        <v>206</v>
      </c>
      <c r="D10" t="s">
        <v>207</v>
      </c>
      <c r="E10" t="s">
        <v>1088</v>
      </c>
    </row>
    <row r="11" spans="1:6" x14ac:dyDescent="0.25">
      <c r="A11" s="12" t="s">
        <v>1083</v>
      </c>
      <c r="B11" s="13" t="s">
        <v>221</v>
      </c>
      <c r="C11" s="12" t="s">
        <v>223</v>
      </c>
      <c r="D11" s="12"/>
      <c r="E11" s="12"/>
    </row>
    <row r="12" spans="1:6" x14ac:dyDescent="0.25">
      <c r="A12" t="s">
        <v>1083</v>
      </c>
      <c r="B12" t="s">
        <v>243</v>
      </c>
      <c r="C12" t="s">
        <v>246</v>
      </c>
      <c r="D12" t="s">
        <v>65</v>
      </c>
      <c r="E12" t="s">
        <v>1088</v>
      </c>
    </row>
    <row r="13" spans="1:6" x14ac:dyDescent="0.25">
      <c r="A13" t="s">
        <v>1083</v>
      </c>
      <c r="B13" t="s">
        <v>267</v>
      </c>
      <c r="C13" t="s">
        <v>270</v>
      </c>
      <c r="D13" t="s">
        <v>271</v>
      </c>
      <c r="E13" t="s">
        <v>1088</v>
      </c>
    </row>
    <row r="14" spans="1:6" x14ac:dyDescent="0.25">
      <c r="A14" t="s">
        <v>1083</v>
      </c>
      <c r="B14" t="s">
        <v>288</v>
      </c>
      <c r="C14" t="s">
        <v>291</v>
      </c>
      <c r="D14" t="s">
        <v>292</v>
      </c>
      <c r="E14" t="s">
        <v>1088</v>
      </c>
    </row>
    <row r="15" spans="1:6" x14ac:dyDescent="0.25">
      <c r="A15" s="12" t="s">
        <v>1083</v>
      </c>
      <c r="B15" s="12" t="s">
        <v>301</v>
      </c>
      <c r="C15" s="12" t="s">
        <v>302</v>
      </c>
      <c r="D15" s="12"/>
      <c r="E15" s="12"/>
    </row>
    <row r="16" spans="1:6" x14ac:dyDescent="0.25">
      <c r="A16" t="s">
        <v>1086</v>
      </c>
      <c r="B16" t="s">
        <v>357</v>
      </c>
      <c r="C16" t="s">
        <v>359</v>
      </c>
      <c r="D16" t="s">
        <v>149</v>
      </c>
      <c r="E16" t="s">
        <v>1088</v>
      </c>
    </row>
    <row r="17" spans="1:6" x14ac:dyDescent="0.25">
      <c r="A17" s="12" t="s">
        <v>1086</v>
      </c>
      <c r="B17" s="13" t="s">
        <v>222</v>
      </c>
      <c r="C17" s="12" t="s">
        <v>224</v>
      </c>
      <c r="D17" s="12"/>
      <c r="E17" s="12"/>
    </row>
    <row r="18" spans="1:6" x14ac:dyDescent="0.25">
      <c r="A18" s="12" t="s">
        <v>1083</v>
      </c>
      <c r="B18" s="12" t="s">
        <v>367</v>
      </c>
      <c r="C18" s="12" t="s">
        <v>368</v>
      </c>
      <c r="D18" s="12"/>
      <c r="E18" s="12"/>
    </row>
    <row r="19" spans="1:6" x14ac:dyDescent="0.25">
      <c r="A19" t="s">
        <v>1083</v>
      </c>
      <c r="B19" t="s">
        <v>381</v>
      </c>
      <c r="C19" t="s">
        <v>384</v>
      </c>
      <c r="D19" t="s">
        <v>115</v>
      </c>
      <c r="E19" t="s">
        <v>1088</v>
      </c>
      <c r="F19" t="s">
        <v>1091</v>
      </c>
    </row>
    <row r="20" spans="1:6" x14ac:dyDescent="0.25">
      <c r="A20" t="s">
        <v>1083</v>
      </c>
      <c r="B20" s="10" t="s">
        <v>387</v>
      </c>
      <c r="C20" t="s">
        <v>390</v>
      </c>
      <c r="D20" t="s">
        <v>391</v>
      </c>
      <c r="E20" t="s">
        <v>1089</v>
      </c>
    </row>
    <row r="21" spans="1:6" x14ac:dyDescent="0.25">
      <c r="A21" s="12" t="s">
        <v>1083</v>
      </c>
      <c r="B21" s="12" t="s">
        <v>533</v>
      </c>
      <c r="C21" s="12" t="s">
        <v>404</v>
      </c>
      <c r="D21" s="12" t="s">
        <v>406</v>
      </c>
      <c r="E21" s="12" t="s">
        <v>1088</v>
      </c>
    </row>
    <row r="26" spans="1:6" x14ac:dyDescent="0.25">
      <c r="A26" t="s">
        <v>1099</v>
      </c>
      <c r="B26" t="s">
        <v>1100</v>
      </c>
      <c r="C26" t="s">
        <v>1101</v>
      </c>
      <c r="D26" t="s">
        <v>1102</v>
      </c>
      <c r="E26" t="s">
        <v>1103</v>
      </c>
      <c r="F26" t="s">
        <v>1104</v>
      </c>
    </row>
    <row r="27" spans="1:6" x14ac:dyDescent="0.25">
      <c r="A27" t="s">
        <v>63</v>
      </c>
      <c r="B27" t="s">
        <v>98</v>
      </c>
      <c r="C27" t="s">
        <v>1105</v>
      </c>
      <c r="D27" t="s">
        <v>1106</v>
      </c>
      <c r="E27" t="s">
        <v>1107</v>
      </c>
      <c r="F27" t="s">
        <v>1108</v>
      </c>
    </row>
    <row r="28" spans="1:6" x14ac:dyDescent="0.25">
      <c r="A28" t="s">
        <v>77</v>
      </c>
      <c r="B28" t="s">
        <v>1109</v>
      </c>
      <c r="C28" t="s">
        <v>1110</v>
      </c>
      <c r="D28" t="s">
        <v>1111</v>
      </c>
      <c r="E28" t="s">
        <v>1112</v>
      </c>
      <c r="F28" t="s">
        <v>1113</v>
      </c>
    </row>
    <row r="29" spans="1:6" x14ac:dyDescent="0.25">
      <c r="A29" t="s">
        <v>84</v>
      </c>
      <c r="B29" t="s">
        <v>57</v>
      </c>
      <c r="C29" t="s">
        <v>1114</v>
      </c>
      <c r="D29" t="s">
        <v>1115</v>
      </c>
      <c r="E29" t="s">
        <v>1116</v>
      </c>
      <c r="F29" t="s">
        <v>1117</v>
      </c>
    </row>
    <row r="30" spans="1:6" x14ac:dyDescent="0.25">
      <c r="A30" t="s">
        <v>90</v>
      </c>
      <c r="B30" t="s">
        <v>1118</v>
      </c>
      <c r="C30" t="s">
        <v>1110</v>
      </c>
      <c r="D30" t="s">
        <v>1119</v>
      </c>
      <c r="E30" t="s">
        <v>1112</v>
      </c>
      <c r="F30" t="s">
        <v>1113</v>
      </c>
    </row>
    <row r="31" spans="1:6" x14ac:dyDescent="0.25">
      <c r="A31" t="s">
        <v>112</v>
      </c>
      <c r="B31" t="s">
        <v>57</v>
      </c>
      <c r="C31" t="s">
        <v>1120</v>
      </c>
      <c r="D31" t="s">
        <v>1121</v>
      </c>
      <c r="E31" t="s">
        <v>1122</v>
      </c>
      <c r="F31" t="s">
        <v>1117</v>
      </c>
    </row>
    <row r="32" spans="1:6" x14ac:dyDescent="0.25">
      <c r="A32" t="s">
        <v>117</v>
      </c>
      <c r="B32" t="s">
        <v>57</v>
      </c>
      <c r="C32" t="s">
        <v>1110</v>
      </c>
      <c r="D32" t="s">
        <v>1123</v>
      </c>
      <c r="E32" t="s">
        <v>1112</v>
      </c>
      <c r="F32" t="s">
        <v>1113</v>
      </c>
    </row>
    <row r="33" spans="1:6" x14ac:dyDescent="0.25">
      <c r="A33" t="s">
        <v>128</v>
      </c>
      <c r="B33" t="s">
        <v>98</v>
      </c>
      <c r="C33" t="s">
        <v>1110</v>
      </c>
      <c r="D33" t="s">
        <v>1124</v>
      </c>
      <c r="E33" t="s">
        <v>1112</v>
      </c>
      <c r="F33" t="s">
        <v>1113</v>
      </c>
    </row>
    <row r="34" spans="1:6" x14ac:dyDescent="0.25">
      <c r="A34" t="s">
        <v>136</v>
      </c>
      <c r="B34" t="s">
        <v>98</v>
      </c>
      <c r="C34" t="s">
        <v>1120</v>
      </c>
      <c r="D34" t="s">
        <v>1125</v>
      </c>
      <c r="E34" t="s">
        <v>1112</v>
      </c>
      <c r="F34" t="s">
        <v>1113</v>
      </c>
    </row>
    <row r="35" spans="1:6" x14ac:dyDescent="0.25">
      <c r="A35" t="s">
        <v>170</v>
      </c>
      <c r="B35" t="s">
        <v>57</v>
      </c>
      <c r="C35" t="s">
        <v>1126</v>
      </c>
      <c r="D35" t="s">
        <v>1127</v>
      </c>
      <c r="E35" t="s">
        <v>1128</v>
      </c>
      <c r="F35" t="s">
        <v>1117</v>
      </c>
    </row>
    <row r="36" spans="1:6" x14ac:dyDescent="0.25">
      <c r="A36" t="s">
        <v>174</v>
      </c>
      <c r="B36" t="s">
        <v>98</v>
      </c>
      <c r="C36" t="s">
        <v>1105</v>
      </c>
      <c r="D36" t="s">
        <v>1129</v>
      </c>
      <c r="E36" t="s">
        <v>1130</v>
      </c>
      <c r="F36" t="s">
        <v>1108</v>
      </c>
    </row>
    <row r="37" spans="1:6" x14ac:dyDescent="0.25">
      <c r="A37" t="s">
        <v>183</v>
      </c>
      <c r="B37" t="s">
        <v>98</v>
      </c>
      <c r="C37" t="s">
        <v>1110</v>
      </c>
      <c r="D37" t="s">
        <v>1123</v>
      </c>
      <c r="E37" t="s">
        <v>1112</v>
      </c>
      <c r="F37" t="s">
        <v>1113</v>
      </c>
    </row>
    <row r="38" spans="1:6" x14ac:dyDescent="0.25">
      <c r="A38" t="s">
        <v>198</v>
      </c>
      <c r="B38" t="s">
        <v>98</v>
      </c>
      <c r="C38" t="s">
        <v>1110</v>
      </c>
      <c r="D38" t="s">
        <v>1131</v>
      </c>
      <c r="E38" t="s">
        <v>1112</v>
      </c>
      <c r="F38" t="s">
        <v>1113</v>
      </c>
    </row>
    <row r="39" spans="1:6" x14ac:dyDescent="0.25">
      <c r="A39" t="s">
        <v>202</v>
      </c>
      <c r="B39" t="s">
        <v>98</v>
      </c>
      <c r="C39" t="s">
        <v>1132</v>
      </c>
      <c r="D39" t="s">
        <v>1121</v>
      </c>
      <c r="E39" t="s">
        <v>1133</v>
      </c>
      <c r="F39" t="s">
        <v>1117</v>
      </c>
    </row>
    <row r="40" spans="1:6" x14ac:dyDescent="0.25">
      <c r="A40" t="s">
        <v>210</v>
      </c>
      <c r="B40" t="s">
        <v>98</v>
      </c>
      <c r="C40" t="s">
        <v>1110</v>
      </c>
      <c r="D40" t="s">
        <v>1131</v>
      </c>
      <c r="E40" t="s">
        <v>1112</v>
      </c>
      <c r="F40" t="s">
        <v>1113</v>
      </c>
    </row>
    <row r="41" spans="1:6" x14ac:dyDescent="0.25">
      <c r="A41" t="s">
        <v>218</v>
      </c>
      <c r="B41" t="s">
        <v>1109</v>
      </c>
      <c r="C41" t="s">
        <v>1134</v>
      </c>
      <c r="D41" t="s">
        <v>1121</v>
      </c>
      <c r="E41" t="s">
        <v>1135</v>
      </c>
      <c r="F41" t="s">
        <v>1117</v>
      </c>
    </row>
    <row r="42" spans="1:6" x14ac:dyDescent="0.25">
      <c r="A42" t="s">
        <v>230</v>
      </c>
      <c r="B42" t="s">
        <v>98</v>
      </c>
      <c r="C42" t="s">
        <v>1110</v>
      </c>
      <c r="D42" t="s">
        <v>1136</v>
      </c>
      <c r="E42" t="s">
        <v>1112</v>
      </c>
      <c r="F42" t="s">
        <v>1113</v>
      </c>
    </row>
    <row r="43" spans="1:6" x14ac:dyDescent="0.25">
      <c r="A43" t="s">
        <v>233</v>
      </c>
      <c r="B43" t="s">
        <v>98</v>
      </c>
      <c r="C43" t="s">
        <v>1137</v>
      </c>
      <c r="D43" t="s">
        <v>1138</v>
      </c>
      <c r="E43" t="s">
        <v>1139</v>
      </c>
      <c r="F43" t="s">
        <v>1113</v>
      </c>
    </row>
    <row r="44" spans="1:6" x14ac:dyDescent="0.25">
      <c r="A44" t="s">
        <v>240</v>
      </c>
      <c r="B44" t="s">
        <v>98</v>
      </c>
      <c r="C44" t="s">
        <v>1110</v>
      </c>
      <c r="D44" t="s">
        <v>1140</v>
      </c>
      <c r="E44" t="s">
        <v>1112</v>
      </c>
      <c r="F44" t="s">
        <v>1113</v>
      </c>
    </row>
    <row r="45" spans="1:6" x14ac:dyDescent="0.25">
      <c r="A45" t="s">
        <v>278</v>
      </c>
      <c r="B45" t="s">
        <v>1109</v>
      </c>
      <c r="C45" t="s">
        <v>1141</v>
      </c>
      <c r="D45" t="s">
        <v>1142</v>
      </c>
      <c r="E45" t="s">
        <v>1112</v>
      </c>
      <c r="F45" t="s">
        <v>1113</v>
      </c>
    </row>
    <row r="46" spans="1:6" x14ac:dyDescent="0.25">
      <c r="A46" t="s">
        <v>286</v>
      </c>
      <c r="B46" t="s">
        <v>57</v>
      </c>
      <c r="C46" t="s">
        <v>1120</v>
      </c>
      <c r="D46" t="s">
        <v>1121</v>
      </c>
      <c r="E46" t="s">
        <v>1143</v>
      </c>
      <c r="F46" t="s">
        <v>1117</v>
      </c>
    </row>
    <row r="47" spans="1:6" x14ac:dyDescent="0.25">
      <c r="A47" t="s">
        <v>295</v>
      </c>
      <c r="B47" t="s">
        <v>98</v>
      </c>
      <c r="C47" t="s">
        <v>1110</v>
      </c>
      <c r="D47" t="s">
        <v>1136</v>
      </c>
      <c r="E47" t="s">
        <v>1112</v>
      </c>
      <c r="F47" t="s">
        <v>1113</v>
      </c>
    </row>
    <row r="48" spans="1:6" x14ac:dyDescent="0.25">
      <c r="A48" t="s">
        <v>300</v>
      </c>
      <c r="B48" t="s">
        <v>98</v>
      </c>
      <c r="C48" t="s">
        <v>1120</v>
      </c>
      <c r="D48" t="s">
        <v>1106</v>
      </c>
      <c r="E48" t="s">
        <v>1143</v>
      </c>
      <c r="F48" t="s">
        <v>1117</v>
      </c>
    </row>
    <row r="49" spans="1:6" x14ac:dyDescent="0.25">
      <c r="A49" t="s">
        <v>338</v>
      </c>
      <c r="B49" t="s">
        <v>1109</v>
      </c>
      <c r="C49" t="s">
        <v>1110</v>
      </c>
      <c r="D49" t="s">
        <v>1144</v>
      </c>
      <c r="E49" t="s">
        <v>1112</v>
      </c>
      <c r="F49" t="s">
        <v>1113</v>
      </c>
    </row>
    <row r="50" spans="1:6" x14ac:dyDescent="0.25">
      <c r="A50" t="s">
        <v>341</v>
      </c>
      <c r="B50" t="s">
        <v>57</v>
      </c>
      <c r="C50" t="s">
        <v>1120</v>
      </c>
      <c r="D50" t="s">
        <v>1121</v>
      </c>
      <c r="E50" t="s">
        <v>1143</v>
      </c>
      <c r="F50" t="s">
        <v>1117</v>
      </c>
    </row>
    <row r="51" spans="1:6" x14ac:dyDescent="0.25">
      <c r="A51" t="s">
        <v>346</v>
      </c>
      <c r="B51" t="s">
        <v>98</v>
      </c>
      <c r="C51" t="s">
        <v>1145</v>
      </c>
      <c r="D51" t="s">
        <v>1146</v>
      </c>
      <c r="E51" t="s">
        <v>1112</v>
      </c>
      <c r="F51" t="s">
        <v>1113</v>
      </c>
    </row>
    <row r="52" spans="1:6" x14ac:dyDescent="0.25">
      <c r="A52" t="s">
        <v>359</v>
      </c>
      <c r="B52" t="s">
        <v>57</v>
      </c>
      <c r="C52" t="s">
        <v>1147</v>
      </c>
      <c r="D52" t="s">
        <v>1115</v>
      </c>
      <c r="E52" t="s">
        <v>1116</v>
      </c>
      <c r="F52" t="s">
        <v>1117</v>
      </c>
    </row>
    <row r="53" spans="1:6" x14ac:dyDescent="0.25">
      <c r="A53" t="s">
        <v>426</v>
      </c>
      <c r="B53" t="s">
        <v>1118</v>
      </c>
      <c r="C53" t="s">
        <v>1110</v>
      </c>
      <c r="D53" t="s">
        <v>1136</v>
      </c>
      <c r="E53" t="s">
        <v>1112</v>
      </c>
      <c r="F53" t="s">
        <v>1113</v>
      </c>
    </row>
    <row r="54" spans="1:6" x14ac:dyDescent="0.25">
      <c r="A54" t="s">
        <v>429</v>
      </c>
      <c r="B54" t="s">
        <v>98</v>
      </c>
      <c r="C54" t="s">
        <v>1148</v>
      </c>
      <c r="D54" t="s">
        <v>1149</v>
      </c>
      <c r="E54" t="s">
        <v>1112</v>
      </c>
      <c r="F54" t="s">
        <v>1113</v>
      </c>
    </row>
    <row r="55" spans="1:6" x14ac:dyDescent="0.25">
      <c r="A55" t="s">
        <v>275</v>
      </c>
      <c r="B55" t="s">
        <v>1109</v>
      </c>
      <c r="C55" t="s">
        <v>1141</v>
      </c>
      <c r="D55" t="s">
        <v>1142</v>
      </c>
      <c r="E55" t="s">
        <v>1112</v>
      </c>
      <c r="F55" t="s">
        <v>1113</v>
      </c>
    </row>
    <row r="56" spans="1:6" x14ac:dyDescent="0.25">
      <c r="A56" t="s">
        <v>193</v>
      </c>
      <c r="B56" t="s">
        <v>1109</v>
      </c>
      <c r="C56" t="s">
        <v>1110</v>
      </c>
      <c r="D56" t="s">
        <v>1131</v>
      </c>
      <c r="E56" t="s">
        <v>1112</v>
      </c>
      <c r="F56" t="s">
        <v>1113</v>
      </c>
    </row>
    <row r="57" spans="1:6" x14ac:dyDescent="0.25">
      <c r="A57" t="s">
        <v>402</v>
      </c>
      <c r="B57" t="s">
        <v>98</v>
      </c>
      <c r="C57" t="s">
        <v>1110</v>
      </c>
      <c r="D57" t="s">
        <v>1150</v>
      </c>
      <c r="E57" t="s">
        <v>1112</v>
      </c>
      <c r="F57" t="s">
        <v>1113</v>
      </c>
    </row>
    <row r="58" spans="1:6" x14ac:dyDescent="0.25">
      <c r="A58" t="s">
        <v>365</v>
      </c>
      <c r="B58" t="s">
        <v>98</v>
      </c>
      <c r="C58" t="s">
        <v>1110</v>
      </c>
      <c r="D58" t="s">
        <v>1144</v>
      </c>
      <c r="E58" t="s">
        <v>1112</v>
      </c>
      <c r="F58" t="s">
        <v>1113</v>
      </c>
    </row>
    <row r="59" spans="1:6" x14ac:dyDescent="0.25">
      <c r="A59" t="s">
        <v>224</v>
      </c>
      <c r="B59" t="s">
        <v>98</v>
      </c>
      <c r="C59" t="s">
        <v>1151</v>
      </c>
      <c r="D59" t="s">
        <v>1152</v>
      </c>
      <c r="E59" t="s">
        <v>1153</v>
      </c>
      <c r="F59" t="s">
        <v>1113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2B19-1021-44E3-B1C0-08380E294F59}">
  <dimension ref="A1:F40"/>
  <sheetViews>
    <sheetView workbookViewId="0">
      <selection sqref="A1:C1"/>
    </sheetView>
  </sheetViews>
  <sheetFormatPr baseColWidth="10" defaultRowHeight="15" x14ac:dyDescent="0.25"/>
  <cols>
    <col min="2" max="2" width="20.28515625" bestFit="1" customWidth="1"/>
    <col min="3" max="3" width="78.7109375" bestFit="1" customWidth="1"/>
  </cols>
  <sheetData>
    <row r="1" spans="1:3" x14ac:dyDescent="0.25">
      <c r="A1" s="1" t="s">
        <v>4</v>
      </c>
      <c r="B1" s="1" t="s">
        <v>1581</v>
      </c>
      <c r="C1" s="1" t="s">
        <v>1582</v>
      </c>
    </row>
    <row r="2" spans="1:3" x14ac:dyDescent="0.25">
      <c r="A2" t="s">
        <v>115</v>
      </c>
      <c r="B2" t="s">
        <v>117</v>
      </c>
      <c r="C2" t="s">
        <v>1583</v>
      </c>
    </row>
    <row r="3" spans="1:3" x14ac:dyDescent="0.25">
      <c r="A3" t="s">
        <v>115</v>
      </c>
      <c r="B3" t="s">
        <v>77</v>
      </c>
      <c r="C3" t="s">
        <v>1583</v>
      </c>
    </row>
    <row r="4" spans="1:3" x14ac:dyDescent="0.25">
      <c r="A4" t="s">
        <v>115</v>
      </c>
      <c r="B4" t="s">
        <v>275</v>
      </c>
      <c r="C4" t="s">
        <v>1583</v>
      </c>
    </row>
    <row r="5" spans="1:3" x14ac:dyDescent="0.25">
      <c r="A5" t="s">
        <v>115</v>
      </c>
      <c r="B5" t="s">
        <v>278</v>
      </c>
      <c r="C5" t="s">
        <v>1583</v>
      </c>
    </row>
    <row r="6" spans="1:3" x14ac:dyDescent="0.25">
      <c r="A6" t="s">
        <v>115</v>
      </c>
      <c r="B6" t="s">
        <v>63</v>
      </c>
      <c r="C6" t="s">
        <v>1583</v>
      </c>
    </row>
    <row r="7" spans="1:3" x14ac:dyDescent="0.25">
      <c r="A7" t="s">
        <v>326</v>
      </c>
      <c r="B7" t="s">
        <v>334</v>
      </c>
      <c r="C7" t="s">
        <v>1585</v>
      </c>
    </row>
    <row r="8" spans="1:3" x14ac:dyDescent="0.25">
      <c r="A8" t="s">
        <v>326</v>
      </c>
      <c r="B8" t="s">
        <v>965</v>
      </c>
      <c r="C8" t="s">
        <v>1585</v>
      </c>
    </row>
    <row r="9" spans="1:3" x14ac:dyDescent="0.25">
      <c r="A9" t="s">
        <v>326</v>
      </c>
      <c r="B9" t="s">
        <v>966</v>
      </c>
      <c r="C9" t="s">
        <v>1585</v>
      </c>
    </row>
    <row r="10" spans="1:3" x14ac:dyDescent="0.25">
      <c r="A10" t="s">
        <v>326</v>
      </c>
      <c r="B10" t="s">
        <v>523</v>
      </c>
      <c r="C10" t="s">
        <v>1585</v>
      </c>
    </row>
    <row r="11" spans="1:3" x14ac:dyDescent="0.25">
      <c r="A11" t="s">
        <v>326</v>
      </c>
      <c r="B11" t="s">
        <v>330</v>
      </c>
      <c r="C11" t="s">
        <v>1585</v>
      </c>
    </row>
    <row r="12" spans="1:3" x14ac:dyDescent="0.25">
      <c r="A12" t="s">
        <v>546</v>
      </c>
      <c r="B12" t="s">
        <v>188</v>
      </c>
      <c r="C12" t="s">
        <v>1584</v>
      </c>
    </row>
    <row r="13" spans="1:3" x14ac:dyDescent="0.25">
      <c r="A13" t="s">
        <v>546</v>
      </c>
      <c r="B13" t="s">
        <v>170</v>
      </c>
      <c r="C13" t="s">
        <v>1584</v>
      </c>
    </row>
    <row r="14" spans="1:3" x14ac:dyDescent="0.25">
      <c r="A14" t="s">
        <v>546</v>
      </c>
      <c r="B14" t="s">
        <v>112</v>
      </c>
      <c r="C14" t="s">
        <v>1584</v>
      </c>
    </row>
    <row r="15" spans="1:3" x14ac:dyDescent="0.25">
      <c r="A15" t="s">
        <v>546</v>
      </c>
      <c r="B15" t="s">
        <v>286</v>
      </c>
      <c r="C15" t="s">
        <v>1584</v>
      </c>
    </row>
    <row r="16" spans="1:3" x14ac:dyDescent="0.25">
      <c r="A16" t="s">
        <v>546</v>
      </c>
      <c r="B16" t="s">
        <v>206</v>
      </c>
      <c r="C16" t="s">
        <v>1584</v>
      </c>
    </row>
    <row r="32" spans="1:6" x14ac:dyDescent="0.25">
      <c r="A32" s="7"/>
      <c r="B32" s="7"/>
      <c r="C32" s="7"/>
      <c r="D32" s="7"/>
      <c r="E32" s="7"/>
      <c r="F32" s="7"/>
    </row>
    <row r="33" spans="1:6" x14ac:dyDescent="0.25">
      <c r="A33" s="4"/>
      <c r="B33" s="4"/>
      <c r="C33" s="4"/>
      <c r="D33" s="4"/>
      <c r="E33" s="4"/>
      <c r="F33" s="4"/>
    </row>
    <row r="34" spans="1:6" x14ac:dyDescent="0.25">
      <c r="A34" s="4"/>
      <c r="B34" s="4"/>
      <c r="C34" s="4"/>
      <c r="D34" s="4"/>
      <c r="E34" s="4"/>
      <c r="F34" s="4"/>
    </row>
    <row r="35" spans="1:6" x14ac:dyDescent="0.25">
      <c r="A35" s="4"/>
      <c r="B35" s="4"/>
      <c r="C35" s="4"/>
      <c r="D35" s="4"/>
      <c r="E35" s="4"/>
      <c r="F35" s="4"/>
    </row>
    <row r="36" spans="1:6" x14ac:dyDescent="0.25">
      <c r="A36" s="4"/>
      <c r="B36" s="4"/>
      <c r="C36" s="4"/>
      <c r="D36" s="4"/>
      <c r="E36" s="4"/>
      <c r="F36" s="4"/>
    </row>
    <row r="40" spans="1:6" x14ac:dyDescent="0.25">
      <c r="A40" s="1"/>
    </row>
  </sheetData>
  <autoFilter ref="A1:C1" xr:uid="{A2182B19-1021-44E3-B1C0-08380E294F59}"/>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0D803-6C72-449A-B40F-FD3A813AD675}">
  <dimension ref="A1:J21"/>
  <sheetViews>
    <sheetView topLeftCell="A12" workbookViewId="0">
      <selection activeCell="A6" sqref="A6"/>
    </sheetView>
  </sheetViews>
  <sheetFormatPr baseColWidth="10" defaultRowHeight="15" x14ac:dyDescent="0.25"/>
  <cols>
    <col min="1" max="1" width="31.5703125" bestFit="1" customWidth="1"/>
    <col min="2" max="2" width="29.28515625" bestFit="1" customWidth="1"/>
    <col min="3" max="4" width="52.42578125" bestFit="1" customWidth="1"/>
    <col min="5" max="5" width="40.5703125" bestFit="1" customWidth="1"/>
    <col min="6" max="6" width="26" bestFit="1" customWidth="1"/>
    <col min="7" max="7" width="38.7109375" bestFit="1" customWidth="1"/>
    <col min="8" max="8" width="69.140625" bestFit="1" customWidth="1"/>
    <col min="9" max="9" width="63.140625" bestFit="1" customWidth="1"/>
    <col min="10" max="10" width="108.42578125" bestFit="1" customWidth="1"/>
  </cols>
  <sheetData>
    <row r="1" spans="1:10" s="1" customFormat="1" x14ac:dyDescent="0.25">
      <c r="A1" s="1" t="s">
        <v>1034</v>
      </c>
      <c r="B1" s="5" t="s">
        <v>993</v>
      </c>
      <c r="C1" s="5" t="s">
        <v>994</v>
      </c>
      <c r="D1" s="5" t="s">
        <v>1055</v>
      </c>
      <c r="E1" s="5" t="s">
        <v>995</v>
      </c>
      <c r="F1" s="5" t="s">
        <v>996</v>
      </c>
      <c r="G1" s="5" t="s">
        <v>997</v>
      </c>
      <c r="H1" s="5" t="s">
        <v>998</v>
      </c>
      <c r="I1" s="1" t="s">
        <v>1039</v>
      </c>
      <c r="J1" s="1" t="s">
        <v>1040</v>
      </c>
    </row>
    <row r="2" spans="1:10" x14ac:dyDescent="0.25">
      <c r="A2" t="s">
        <v>918</v>
      </c>
      <c r="B2" s="2" t="s">
        <v>999</v>
      </c>
      <c r="C2" s="2" t="s">
        <v>1000</v>
      </c>
      <c r="D2" s="2" t="s">
        <v>1057</v>
      </c>
      <c r="E2" s="2" t="s">
        <v>1026</v>
      </c>
      <c r="F2" s="2" t="s">
        <v>1001</v>
      </c>
      <c r="G2" s="2" t="s">
        <v>1002</v>
      </c>
      <c r="H2" s="9" t="s">
        <v>1003</v>
      </c>
      <c r="I2" s="1" t="s">
        <v>1038</v>
      </c>
      <c r="J2" t="s">
        <v>1041</v>
      </c>
    </row>
    <row r="3" spans="1:10" x14ac:dyDescent="0.25">
      <c r="A3" t="s">
        <v>918</v>
      </c>
      <c r="B3" s="2" t="s">
        <v>1004</v>
      </c>
      <c r="C3" s="2" t="s">
        <v>1000</v>
      </c>
      <c r="D3" s="2"/>
      <c r="E3" s="2" t="s">
        <v>1005</v>
      </c>
      <c r="F3" s="2" t="s">
        <v>1006</v>
      </c>
      <c r="G3" s="2" t="s">
        <v>1031</v>
      </c>
      <c r="H3" s="9" t="s">
        <v>1007</v>
      </c>
      <c r="I3" t="s">
        <v>1042</v>
      </c>
      <c r="J3" t="s">
        <v>1043</v>
      </c>
    </row>
    <row r="4" spans="1:10" x14ac:dyDescent="0.25">
      <c r="A4" t="s">
        <v>1035</v>
      </c>
      <c r="B4" s="2" t="s">
        <v>1008</v>
      </c>
      <c r="C4" s="2" t="s">
        <v>1009</v>
      </c>
      <c r="D4" s="2" t="s">
        <v>1057</v>
      </c>
      <c r="E4" s="2" t="s">
        <v>1027</v>
      </c>
      <c r="F4" s="2" t="s">
        <v>1010</v>
      </c>
      <c r="G4" s="2" t="s">
        <v>375</v>
      </c>
      <c r="H4" s="9" t="s">
        <v>1011</v>
      </c>
      <c r="I4" t="s">
        <v>1045</v>
      </c>
      <c r="J4" s="1" t="s">
        <v>1044</v>
      </c>
    </row>
    <row r="5" spans="1:10" x14ac:dyDescent="0.25">
      <c r="A5" t="s">
        <v>919</v>
      </c>
      <c r="B5" s="2" t="s">
        <v>1046</v>
      </c>
      <c r="C5" s="2" t="s">
        <v>1009</v>
      </c>
      <c r="D5" s="2" t="s">
        <v>1057</v>
      </c>
      <c r="E5" s="2" t="s">
        <v>1012</v>
      </c>
      <c r="F5" s="2" t="s">
        <v>1013</v>
      </c>
      <c r="G5" s="2" t="s">
        <v>1014</v>
      </c>
      <c r="H5" s="9" t="s">
        <v>1015</v>
      </c>
      <c r="I5" s="1" t="s">
        <v>1047</v>
      </c>
      <c r="J5" t="s">
        <v>1048</v>
      </c>
    </row>
    <row r="6" spans="1:10" x14ac:dyDescent="0.25">
      <c r="A6" t="s">
        <v>1035</v>
      </c>
      <c r="B6" s="2" t="s">
        <v>1016</v>
      </c>
      <c r="C6" s="2" t="s">
        <v>1000</v>
      </c>
      <c r="D6" s="2" t="s">
        <v>1057</v>
      </c>
      <c r="E6" s="2" t="s">
        <v>1028</v>
      </c>
      <c r="F6" s="2" t="s">
        <v>1017</v>
      </c>
      <c r="G6" s="2" t="s">
        <v>375</v>
      </c>
      <c r="H6" s="9" t="s">
        <v>1018</v>
      </c>
      <c r="I6" t="s">
        <v>1049</v>
      </c>
      <c r="J6" t="s">
        <v>1050</v>
      </c>
    </row>
    <row r="7" spans="1:10" x14ac:dyDescent="0.25">
      <c r="A7" t="s">
        <v>1036</v>
      </c>
      <c r="B7" s="2" t="s">
        <v>1019</v>
      </c>
      <c r="C7" s="2" t="s">
        <v>1009</v>
      </c>
      <c r="D7" s="2" t="s">
        <v>1056</v>
      </c>
      <c r="E7" s="2" t="s">
        <v>1029</v>
      </c>
      <c r="F7" s="2" t="s">
        <v>1020</v>
      </c>
      <c r="G7" s="2" t="s">
        <v>1032</v>
      </c>
      <c r="H7" s="9" t="s">
        <v>1021</v>
      </c>
      <c r="I7" s="1" t="s">
        <v>1051</v>
      </c>
      <c r="J7" t="s">
        <v>1052</v>
      </c>
    </row>
    <row r="8" spans="1:10" x14ac:dyDescent="0.25">
      <c r="A8" t="s">
        <v>1037</v>
      </c>
      <c r="B8" s="2" t="s">
        <v>1022</v>
      </c>
      <c r="C8" s="2" t="s">
        <v>1023</v>
      </c>
      <c r="D8" s="2"/>
      <c r="E8" s="2" t="s">
        <v>1030</v>
      </c>
      <c r="F8" s="2" t="s">
        <v>1033</v>
      </c>
      <c r="G8" s="2" t="s">
        <v>1024</v>
      </c>
      <c r="H8" s="9" t="s">
        <v>1025</v>
      </c>
      <c r="I8" s="1" t="s">
        <v>1053</v>
      </c>
      <c r="J8" t="s">
        <v>1054</v>
      </c>
    </row>
    <row r="15" spans="1:10" x14ac:dyDescent="0.25">
      <c r="A15" s="1" t="s">
        <v>1162</v>
      </c>
      <c r="B15" s="1" t="s">
        <v>994</v>
      </c>
      <c r="C15" s="1" t="s">
        <v>1183</v>
      </c>
      <c r="D15" s="1" t="s">
        <v>1163</v>
      </c>
      <c r="E15" s="1" t="s">
        <v>1180</v>
      </c>
      <c r="F15" s="1" t="s">
        <v>1164</v>
      </c>
      <c r="G15" s="1" t="s">
        <v>1055</v>
      </c>
      <c r="H15" s="1" t="s">
        <v>1195</v>
      </c>
    </row>
    <row r="16" spans="1:10" x14ac:dyDescent="0.25">
      <c r="A16" s="1" t="s">
        <v>495</v>
      </c>
      <c r="B16" s="1" t="s">
        <v>1000</v>
      </c>
      <c r="C16" s="1" t="s">
        <v>29</v>
      </c>
      <c r="D16" s="1" t="s">
        <v>1196</v>
      </c>
      <c r="E16" s="1" t="s">
        <v>1197</v>
      </c>
      <c r="F16" s="1" t="s">
        <v>1002</v>
      </c>
      <c r="G16" s="1"/>
      <c r="H16" s="9" t="s">
        <v>1003</v>
      </c>
    </row>
    <row r="17" spans="1:8" x14ac:dyDescent="0.25">
      <c r="A17" t="s">
        <v>1165</v>
      </c>
      <c r="B17" t="s">
        <v>1000</v>
      </c>
      <c r="C17" t="s">
        <v>1157</v>
      </c>
      <c r="D17" t="s">
        <v>1166</v>
      </c>
      <c r="E17" t="s">
        <v>1181</v>
      </c>
      <c r="F17" t="s">
        <v>1167</v>
      </c>
      <c r="G17" s="2" t="s">
        <v>1057</v>
      </c>
    </row>
    <row r="18" spans="1:8" x14ac:dyDescent="0.25">
      <c r="A18" t="s">
        <v>1168</v>
      </c>
      <c r="B18" t="s">
        <v>1000</v>
      </c>
      <c r="C18" t="s">
        <v>1188</v>
      </c>
      <c r="D18" t="s">
        <v>1169</v>
      </c>
      <c r="E18" t="s">
        <v>1182</v>
      </c>
      <c r="F18" t="s">
        <v>1170</v>
      </c>
      <c r="G18" s="2" t="s">
        <v>1057</v>
      </c>
      <c r="H18" s="9" t="s">
        <v>1011</v>
      </c>
    </row>
    <row r="19" spans="1:8" x14ac:dyDescent="0.25">
      <c r="A19" t="s">
        <v>1171</v>
      </c>
      <c r="B19" t="s">
        <v>1009</v>
      </c>
      <c r="C19" t="s">
        <v>1187</v>
      </c>
      <c r="D19" t="s">
        <v>1172</v>
      </c>
      <c r="E19" t="s">
        <v>1184</v>
      </c>
      <c r="F19" t="s">
        <v>1173</v>
      </c>
      <c r="G19" s="2" t="s">
        <v>1056</v>
      </c>
      <c r="H19" s="9" t="s">
        <v>1021</v>
      </c>
    </row>
    <row r="20" spans="1:8" x14ac:dyDescent="0.25">
      <c r="A20" t="s">
        <v>1174</v>
      </c>
      <c r="B20" t="s">
        <v>1000</v>
      </c>
      <c r="C20" t="s">
        <v>1189</v>
      </c>
      <c r="D20" t="s">
        <v>1175</v>
      </c>
      <c r="E20" t="s">
        <v>1185</v>
      </c>
      <c r="F20" t="s">
        <v>1176</v>
      </c>
      <c r="G20" s="2" t="s">
        <v>1057</v>
      </c>
      <c r="H20" s="9" t="s">
        <v>1018</v>
      </c>
    </row>
    <row r="21" spans="1:8" x14ac:dyDescent="0.25">
      <c r="A21" t="s">
        <v>1177</v>
      </c>
      <c r="B21" t="s">
        <v>1023</v>
      </c>
      <c r="C21" t="s">
        <v>1186</v>
      </c>
      <c r="D21" t="s">
        <v>1178</v>
      </c>
      <c r="E21" t="s">
        <v>1194</v>
      </c>
      <c r="F21" t="s">
        <v>1179</v>
      </c>
      <c r="H21" s="9" t="s">
        <v>1025</v>
      </c>
    </row>
  </sheetData>
  <autoFilter ref="A1:J1" xr:uid="{BDC0D803-6C72-449A-B40F-FD3A813AD675}"/>
  <hyperlinks>
    <hyperlink ref="H2" r:id="rId1" tooltip="Our operations" display="https://www.glencore.ca/en/horne/ce-que-nous-faisons/nos-operations?utm_source=chatgpt.com" xr:uid="{6EB45BE6-C309-4BF2-BC29-09E89FCEEBE2}"/>
    <hyperlink ref="H3" r:id="rId2" tooltip="CCR" display="https://www.glencore.ca/en/ccr?utm_source=chatgpt.com" xr:uid="{254753BE-3CA6-4065-A426-E1B34FB5974B}"/>
    <hyperlink ref="H4" r:id="rId3" tooltip="Technical Report Summary Ontario Operations Sudbury ..." display="https://minedocs.com/24/Sudbury-TR-12312022.pdf?utm_source=chatgpt.com" xr:uid="{9E4A1C5A-4FE0-4C24-9C3B-DEB4CA9EA063}"/>
    <hyperlink ref="H5" r:id="rId4" tooltip="Nickel P-Pellets (Canada)" display="https://vale.com/documents/d/guest/nickel_p_pellets_can-2?utm_source=chatgpt.com" xr:uid="{548320FE-1173-4875-BFB3-C842A1D3FC55}"/>
    <hyperlink ref="H6" r:id="rId5" tooltip="Focus On: Nickel" display="https://transitionaccelerator.ca/wp-content/uploads/2025/08/From-Rocks-to-Power-Nickel.pdf?utm_source=chatgpt.com" xr:uid="{9486E8B3-AAFF-4254-A8CB-E3886D109527}"/>
    <hyperlink ref="H7" r:id="rId6" tooltip="Long Harbour Nickel Processing Plant" display="https://en.wikipedia.org/wiki/Long_Harbour_Nickel_Processing_Plant?utm_source=chatgpt.com" xr:uid="{C94732F8-C9C6-4E34-A0DB-DE275775533B}"/>
    <hyperlink ref="H8" r:id="rId7" tooltip="How Sherritt Refines Metals" display="https://s2.q4cdn.com/343762060/files/doc_downloads/How_Sherritt_Refines_Metals_2017.pdf?utm_source=chatgpt.com" xr:uid="{FD2BCEE0-3109-4885-B5FE-94803BBE6EDF}"/>
    <hyperlink ref="H21" r:id="rId8" tooltip="How Sherritt Refines Metals" display="https://s2.q4cdn.com/343762060/files/doc_downloads/How_Sherritt_Refines_Metals_2017.pdf?utm_source=chatgpt.com" xr:uid="{B4D7CFB5-213F-4C95-ACDD-8AD2741EE400}"/>
    <hyperlink ref="H19" r:id="rId9" tooltip="Long Harbour Nickel Processing Plant" display="https://en.wikipedia.org/wiki/Long_Harbour_Nickel_Processing_Plant?utm_source=chatgpt.com" xr:uid="{16F8C124-0D33-426E-8C34-2FD8ABEEB481}"/>
    <hyperlink ref="H20" r:id="rId10" tooltip="Focus On: Nickel" display="https://transitionaccelerator.ca/wp-content/uploads/2025/08/From-Rocks-to-Power-Nickel.pdf?utm_source=chatgpt.com" xr:uid="{61DB385C-0A14-4305-90E2-992A67296478}"/>
    <hyperlink ref="H18" r:id="rId11" tooltip="Technical Report Summary Ontario Operations Sudbury ..." display="https://minedocs.com/24/Sudbury-TR-12312022.pdf?utm_source=chatgpt.com" xr:uid="{085F63A9-2CED-480C-8534-A28804D3FBE1}"/>
    <hyperlink ref="H16" r:id="rId12" tooltip="Our operations" display="https://www.glencore.ca/en/horne/ce-que-nous-faisons/nos-operations?utm_source=chatgpt.com" xr:uid="{D4453445-CC0F-4B7F-8650-ECD1388925E9}"/>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1DC9F-F791-4422-80B3-3F5872C5F985}">
  <dimension ref="A1:D8"/>
  <sheetViews>
    <sheetView workbookViewId="0"/>
  </sheetViews>
  <sheetFormatPr baseColWidth="10" defaultRowHeight="15" x14ac:dyDescent="0.25"/>
  <cols>
    <col min="1" max="1" width="12.42578125" bestFit="1" customWidth="1"/>
    <col min="2" max="2" width="22.140625" bestFit="1" customWidth="1"/>
    <col min="3" max="3" width="37.5703125" bestFit="1" customWidth="1"/>
    <col min="4" max="4" width="24" bestFit="1" customWidth="1"/>
  </cols>
  <sheetData>
    <row r="1" spans="1:4" x14ac:dyDescent="0.25">
      <c r="A1" s="5" t="s">
        <v>938</v>
      </c>
      <c r="B1" s="5" t="s">
        <v>939</v>
      </c>
      <c r="C1" s="5" t="s">
        <v>940</v>
      </c>
      <c r="D1" s="5" t="s">
        <v>941</v>
      </c>
    </row>
    <row r="2" spans="1:4" x14ac:dyDescent="0.25">
      <c r="A2" s="2" t="s">
        <v>115</v>
      </c>
      <c r="B2" s="2" t="s">
        <v>942</v>
      </c>
      <c r="C2" s="2" t="s">
        <v>943</v>
      </c>
      <c r="D2" s="2" t="s">
        <v>944</v>
      </c>
    </row>
    <row r="3" spans="1:4" x14ac:dyDescent="0.25">
      <c r="A3" s="2" t="s">
        <v>582</v>
      </c>
      <c r="B3" s="2" t="s">
        <v>945</v>
      </c>
      <c r="C3" s="2" t="s">
        <v>946</v>
      </c>
      <c r="D3" s="2" t="s">
        <v>947</v>
      </c>
    </row>
    <row r="4" spans="1:4" x14ac:dyDescent="0.25">
      <c r="A4" s="2" t="s">
        <v>546</v>
      </c>
      <c r="B4" s="2" t="s">
        <v>948</v>
      </c>
      <c r="C4" s="2" t="s">
        <v>949</v>
      </c>
      <c r="D4" s="2" t="s">
        <v>950</v>
      </c>
    </row>
    <row r="5" spans="1:4" x14ac:dyDescent="0.25">
      <c r="A5" s="2" t="s">
        <v>49</v>
      </c>
      <c r="B5" s="2" t="s">
        <v>951</v>
      </c>
      <c r="C5" s="2" t="s">
        <v>952</v>
      </c>
      <c r="D5" s="2" t="s">
        <v>953</v>
      </c>
    </row>
    <row r="6" spans="1:4" x14ac:dyDescent="0.25">
      <c r="A6" s="2" t="s">
        <v>954</v>
      </c>
      <c r="B6" s="2" t="s">
        <v>955</v>
      </c>
      <c r="C6" s="2" t="s">
        <v>956</v>
      </c>
      <c r="D6" s="2" t="s">
        <v>957</v>
      </c>
    </row>
    <row r="7" spans="1:4" x14ac:dyDescent="0.25">
      <c r="A7" s="2" t="s">
        <v>92</v>
      </c>
      <c r="B7" s="2" t="s">
        <v>958</v>
      </c>
      <c r="C7" s="2" t="s">
        <v>959</v>
      </c>
      <c r="D7" s="2" t="s">
        <v>960</v>
      </c>
    </row>
    <row r="8" spans="1:4" x14ac:dyDescent="0.25">
      <c r="A8" s="2" t="s">
        <v>309</v>
      </c>
      <c r="B8" s="2" t="s">
        <v>961</v>
      </c>
      <c r="C8" s="2" t="s">
        <v>962</v>
      </c>
      <c r="D8" s="2" t="s">
        <v>963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AE1BA-CD1D-4585-A121-AEF7223BB792}">
  <dimension ref="A1:D14"/>
  <sheetViews>
    <sheetView workbookViewId="0">
      <selection sqref="A1:XFD1048576"/>
    </sheetView>
  </sheetViews>
  <sheetFormatPr baseColWidth="10" defaultRowHeight="15" x14ac:dyDescent="0.25"/>
  <cols>
    <col min="1" max="1" width="92" bestFit="1" customWidth="1"/>
    <col min="2" max="2" width="13.5703125" bestFit="1" customWidth="1"/>
    <col min="3" max="3" width="16.140625" bestFit="1" customWidth="1"/>
    <col min="4" max="4" width="29.140625" bestFit="1" customWidth="1"/>
  </cols>
  <sheetData>
    <row r="1" spans="1:4" x14ac:dyDescent="0.25">
      <c r="A1" s="1" t="s">
        <v>1380</v>
      </c>
      <c r="B1" s="1" t="s">
        <v>964</v>
      </c>
      <c r="C1" s="1" t="s">
        <v>1392</v>
      </c>
      <c r="D1" s="1" t="s">
        <v>1378</v>
      </c>
    </row>
    <row r="2" spans="1:4" x14ac:dyDescent="0.25">
      <c r="A2" t="s">
        <v>1381</v>
      </c>
      <c r="B2" t="s">
        <v>1098</v>
      </c>
      <c r="C2">
        <v>9.3391084359322303</v>
      </c>
      <c r="D2" t="s">
        <v>1379</v>
      </c>
    </row>
    <row r="3" spans="1:4" x14ac:dyDescent="0.25">
      <c r="A3" t="s">
        <v>1382</v>
      </c>
      <c r="B3" t="s">
        <v>918</v>
      </c>
      <c r="C3">
        <v>6.9</v>
      </c>
      <c r="D3" t="s">
        <v>1379</v>
      </c>
    </row>
    <row r="4" spans="1:4" x14ac:dyDescent="0.25">
      <c r="A4" t="s">
        <v>1383</v>
      </c>
      <c r="B4" t="s">
        <v>920</v>
      </c>
      <c r="C4">
        <v>51793.135000000002</v>
      </c>
      <c r="D4" t="s">
        <v>1379</v>
      </c>
    </row>
    <row r="5" spans="1:4" x14ac:dyDescent="0.25">
      <c r="A5" t="s">
        <v>1384</v>
      </c>
      <c r="B5" t="s">
        <v>1068</v>
      </c>
      <c r="C5">
        <v>15.31</v>
      </c>
      <c r="D5" t="s">
        <v>1379</v>
      </c>
    </row>
    <row r="6" spans="1:4" x14ac:dyDescent="0.25">
      <c r="A6" t="s">
        <v>1385</v>
      </c>
      <c r="B6" t="s">
        <v>1069</v>
      </c>
      <c r="C6">
        <v>2.0625835737454548</v>
      </c>
      <c r="D6" t="s">
        <v>1379</v>
      </c>
    </row>
    <row r="7" spans="1:4" x14ac:dyDescent="0.25">
      <c r="A7" t="s">
        <v>1386</v>
      </c>
      <c r="B7" t="s">
        <v>1070</v>
      </c>
      <c r="C7">
        <v>29.24</v>
      </c>
      <c r="D7" t="s">
        <v>1379</v>
      </c>
    </row>
    <row r="8" spans="1:4" x14ac:dyDescent="0.25">
      <c r="A8" t="s">
        <v>1387</v>
      </c>
      <c r="B8" t="s">
        <v>919</v>
      </c>
      <c r="C8">
        <v>15.59</v>
      </c>
      <c r="D8" t="s">
        <v>1379</v>
      </c>
    </row>
    <row r="9" spans="1:4" x14ac:dyDescent="0.25">
      <c r="B9" t="s">
        <v>922</v>
      </c>
      <c r="C9">
        <f>72449*0.71</f>
        <v>51438.79</v>
      </c>
      <c r="D9" t="s">
        <v>1393</v>
      </c>
    </row>
    <row r="10" spans="1:4" x14ac:dyDescent="0.25">
      <c r="B10" t="s">
        <v>1388</v>
      </c>
      <c r="C10">
        <f>72449*0.71</f>
        <v>51438.79</v>
      </c>
      <c r="D10" t="s">
        <v>1393</v>
      </c>
    </row>
    <row r="11" spans="1:4" x14ac:dyDescent="0.25">
      <c r="A11" t="s">
        <v>1389</v>
      </c>
      <c r="B11" t="s">
        <v>921</v>
      </c>
      <c r="C11">
        <v>672.13</v>
      </c>
      <c r="D11" t="s">
        <v>1379</v>
      </c>
    </row>
    <row r="12" spans="1:4" x14ac:dyDescent="0.25">
      <c r="B12" t="s">
        <v>1071</v>
      </c>
      <c r="C12">
        <v>0.17169999999999999</v>
      </c>
      <c r="D12" t="s">
        <v>1393</v>
      </c>
    </row>
    <row r="13" spans="1:4" x14ac:dyDescent="0.25">
      <c r="A13" t="s">
        <v>1390</v>
      </c>
      <c r="B13" t="s">
        <v>1072</v>
      </c>
      <c r="C13">
        <v>2.5793145391818189</v>
      </c>
      <c r="D13" t="s">
        <v>1379</v>
      </c>
    </row>
    <row r="14" spans="1:4" x14ac:dyDescent="0.25">
      <c r="A14" t="s">
        <v>1391</v>
      </c>
      <c r="B14" t="s">
        <v>1377</v>
      </c>
      <c r="C14">
        <v>78.78</v>
      </c>
      <c r="D14" t="s">
        <v>1379</v>
      </c>
    </row>
  </sheetData>
  <autoFilter ref="A1:D1" xr:uid="{C42AE1BA-CD1D-4585-A121-AEF7223BB792}"/>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7A73C-30B7-4915-8C5F-F1BA4039628E}">
  <dimension ref="A1:O131"/>
  <sheetViews>
    <sheetView workbookViewId="0"/>
  </sheetViews>
  <sheetFormatPr baseColWidth="10" defaultRowHeight="15" x14ac:dyDescent="0.25"/>
  <cols>
    <col min="3" max="3" width="26.7109375" bestFit="1" customWidth="1"/>
    <col min="4" max="4" width="15.140625" bestFit="1" customWidth="1"/>
    <col min="5" max="5" width="29.7109375" bestFit="1" customWidth="1"/>
    <col min="6" max="6" width="30.42578125" bestFit="1" customWidth="1"/>
    <col min="7" max="7" width="10.42578125" bestFit="1" customWidth="1"/>
    <col min="8" max="8" width="14.7109375" bestFit="1" customWidth="1"/>
    <col min="9" max="9" width="24.28515625" bestFit="1" customWidth="1"/>
    <col min="10" max="10" width="9.85546875" bestFit="1" customWidth="1"/>
    <col min="11" max="11" width="9.5703125" bestFit="1" customWidth="1"/>
    <col min="12" max="12" width="11.85546875" bestFit="1" customWidth="1"/>
    <col min="13" max="13" width="185.85546875" bestFit="1" customWidth="1"/>
  </cols>
  <sheetData>
    <row r="1" spans="1:15" x14ac:dyDescent="0.25">
      <c r="A1" t="s">
        <v>740</v>
      </c>
      <c r="B1" t="s">
        <v>6</v>
      </c>
      <c r="C1" t="s">
        <v>0</v>
      </c>
      <c r="D1" t="s">
        <v>1</v>
      </c>
      <c r="E1" t="s">
        <v>2</v>
      </c>
      <c r="F1" t="s">
        <v>3</v>
      </c>
      <c r="G1" t="s">
        <v>4</v>
      </c>
      <c r="H1" t="s">
        <v>7</v>
      </c>
      <c r="I1" t="s">
        <v>8</v>
      </c>
      <c r="J1" t="s">
        <v>741</v>
      </c>
      <c r="K1" t="s">
        <v>10</v>
      </c>
      <c r="L1" t="s">
        <v>11</v>
      </c>
      <c r="M1" t="s">
        <v>13</v>
      </c>
      <c r="N1" t="s">
        <v>14</v>
      </c>
      <c r="O1" t="s">
        <v>15</v>
      </c>
    </row>
    <row r="2" spans="1:15" x14ac:dyDescent="0.25">
      <c r="A2" t="s">
        <v>742</v>
      </c>
      <c r="B2">
        <v>2022</v>
      </c>
      <c r="C2" t="s">
        <v>53</v>
      </c>
      <c r="E2" t="s">
        <v>56</v>
      </c>
      <c r="G2" t="s">
        <v>49</v>
      </c>
      <c r="H2" t="s">
        <v>258</v>
      </c>
      <c r="I2" t="s">
        <v>743</v>
      </c>
      <c r="J2" t="s">
        <v>744</v>
      </c>
      <c r="K2" t="s">
        <v>745</v>
      </c>
      <c r="L2">
        <v>0.66200000000000003</v>
      </c>
      <c r="N2" t="s">
        <v>54</v>
      </c>
      <c r="O2" t="s">
        <v>55</v>
      </c>
    </row>
    <row r="3" spans="1:15" x14ac:dyDescent="0.25">
      <c r="A3" t="s">
        <v>863</v>
      </c>
      <c r="B3">
        <v>2023</v>
      </c>
      <c r="C3" t="s">
        <v>60</v>
      </c>
      <c r="E3" t="s">
        <v>63</v>
      </c>
      <c r="G3" t="s">
        <v>59</v>
      </c>
      <c r="H3" t="s">
        <v>50</v>
      </c>
      <c r="I3" t="s">
        <v>864</v>
      </c>
      <c r="J3" t="s">
        <v>744</v>
      </c>
      <c r="K3" t="s">
        <v>753</v>
      </c>
      <c r="L3">
        <v>5.6849999999999996</v>
      </c>
      <c r="N3" t="s">
        <v>61</v>
      </c>
      <c r="O3" t="s">
        <v>62</v>
      </c>
    </row>
    <row r="4" spans="1:15" x14ac:dyDescent="0.25">
      <c r="A4" t="s">
        <v>868</v>
      </c>
      <c r="B4">
        <v>2023</v>
      </c>
      <c r="C4" t="s">
        <v>60</v>
      </c>
      <c r="E4" t="s">
        <v>63</v>
      </c>
      <c r="G4" t="s">
        <v>59</v>
      </c>
      <c r="H4" t="s">
        <v>50</v>
      </c>
      <c r="I4" t="s">
        <v>778</v>
      </c>
      <c r="J4" t="s">
        <v>744</v>
      </c>
      <c r="K4" t="s">
        <v>745</v>
      </c>
      <c r="L4">
        <v>96</v>
      </c>
      <c r="N4" t="s">
        <v>61</v>
      </c>
      <c r="O4" t="s">
        <v>62</v>
      </c>
    </row>
    <row r="5" spans="1:15" x14ac:dyDescent="0.25">
      <c r="A5" t="s">
        <v>764</v>
      </c>
      <c r="B5">
        <v>2023</v>
      </c>
      <c r="C5" t="s">
        <v>74</v>
      </c>
      <c r="E5" t="s">
        <v>77</v>
      </c>
      <c r="G5" t="s">
        <v>59</v>
      </c>
      <c r="H5" t="s">
        <v>50</v>
      </c>
      <c r="I5" t="s">
        <v>747</v>
      </c>
      <c r="J5" t="s">
        <v>748</v>
      </c>
      <c r="K5" t="s">
        <v>749</v>
      </c>
      <c r="L5">
        <v>1.0001405976077</v>
      </c>
      <c r="M5" t="s">
        <v>750</v>
      </c>
      <c r="N5" t="s">
        <v>75</v>
      </c>
      <c r="O5" t="s">
        <v>76</v>
      </c>
    </row>
    <row r="6" spans="1:15" x14ac:dyDescent="0.25">
      <c r="A6" t="s">
        <v>767</v>
      </c>
      <c r="B6">
        <v>2023</v>
      </c>
      <c r="C6" t="s">
        <v>74</v>
      </c>
      <c r="E6" t="s">
        <v>77</v>
      </c>
      <c r="G6" t="s">
        <v>115</v>
      </c>
      <c r="H6" t="s">
        <v>50</v>
      </c>
      <c r="I6" t="s">
        <v>752</v>
      </c>
      <c r="J6" t="s">
        <v>744</v>
      </c>
      <c r="K6" t="s">
        <v>753</v>
      </c>
      <c r="L6">
        <v>1.17</v>
      </c>
      <c r="N6" t="s">
        <v>75</v>
      </c>
      <c r="O6" t="s">
        <v>754</v>
      </c>
    </row>
    <row r="7" spans="1:15" x14ac:dyDescent="0.25">
      <c r="A7" t="s">
        <v>768</v>
      </c>
      <c r="B7">
        <v>2023</v>
      </c>
      <c r="C7" t="s">
        <v>74</v>
      </c>
      <c r="E7" t="s">
        <v>77</v>
      </c>
      <c r="G7" t="s">
        <v>115</v>
      </c>
      <c r="H7" t="s">
        <v>50</v>
      </c>
      <c r="I7" t="s">
        <v>756</v>
      </c>
      <c r="J7" t="s">
        <v>744</v>
      </c>
      <c r="K7" t="s">
        <v>745</v>
      </c>
      <c r="L7">
        <v>92.8</v>
      </c>
      <c r="N7" t="s">
        <v>75</v>
      </c>
      <c r="O7" t="s">
        <v>754</v>
      </c>
    </row>
    <row r="8" spans="1:15" x14ac:dyDescent="0.25">
      <c r="A8" t="s">
        <v>760</v>
      </c>
      <c r="B8">
        <v>2023</v>
      </c>
      <c r="C8" t="s">
        <v>109</v>
      </c>
      <c r="E8" t="s">
        <v>112</v>
      </c>
      <c r="G8" t="s">
        <v>546</v>
      </c>
      <c r="H8" t="s">
        <v>50</v>
      </c>
      <c r="I8" t="s">
        <v>752</v>
      </c>
      <c r="J8" t="s">
        <v>744</v>
      </c>
      <c r="K8" t="s">
        <v>745</v>
      </c>
      <c r="L8">
        <v>0.35</v>
      </c>
      <c r="M8" t="s">
        <v>108</v>
      </c>
      <c r="N8" t="s">
        <v>110</v>
      </c>
      <c r="O8" t="s">
        <v>111</v>
      </c>
    </row>
    <row r="9" spans="1:15" x14ac:dyDescent="0.25">
      <c r="A9" t="s">
        <v>761</v>
      </c>
      <c r="B9">
        <v>2023</v>
      </c>
      <c r="C9" t="s">
        <v>109</v>
      </c>
      <c r="E9" t="s">
        <v>112</v>
      </c>
      <c r="G9" t="s">
        <v>546</v>
      </c>
      <c r="H9" t="s">
        <v>50</v>
      </c>
      <c r="I9" t="s">
        <v>756</v>
      </c>
      <c r="J9" t="s">
        <v>744</v>
      </c>
      <c r="K9" t="s">
        <v>745</v>
      </c>
      <c r="L9">
        <v>79.7</v>
      </c>
      <c r="M9" t="s">
        <v>108</v>
      </c>
      <c r="N9" t="s">
        <v>110</v>
      </c>
      <c r="O9" t="s">
        <v>111</v>
      </c>
    </row>
    <row r="10" spans="1:15" x14ac:dyDescent="0.25">
      <c r="A10" t="s">
        <v>762</v>
      </c>
      <c r="B10">
        <v>2023</v>
      </c>
      <c r="C10" t="s">
        <v>109</v>
      </c>
      <c r="E10" t="s">
        <v>112</v>
      </c>
      <c r="G10" t="s">
        <v>546</v>
      </c>
      <c r="H10" t="s">
        <v>258</v>
      </c>
      <c r="I10" t="s">
        <v>743</v>
      </c>
      <c r="J10" t="s">
        <v>744</v>
      </c>
      <c r="K10" t="s">
        <v>745</v>
      </c>
      <c r="L10">
        <v>23.1</v>
      </c>
      <c r="M10" t="s">
        <v>108</v>
      </c>
      <c r="N10" t="s">
        <v>110</v>
      </c>
      <c r="O10" t="s">
        <v>111</v>
      </c>
    </row>
    <row r="11" spans="1:15" x14ac:dyDescent="0.25">
      <c r="A11" t="s">
        <v>765</v>
      </c>
      <c r="B11">
        <v>2023</v>
      </c>
      <c r="C11" t="s">
        <v>109</v>
      </c>
      <c r="E11" t="s">
        <v>112</v>
      </c>
      <c r="G11" t="s">
        <v>582</v>
      </c>
      <c r="H11" t="s">
        <v>50</v>
      </c>
      <c r="I11" t="s">
        <v>752</v>
      </c>
      <c r="J11" t="s">
        <v>744</v>
      </c>
      <c r="K11" t="s">
        <v>753</v>
      </c>
      <c r="L11">
        <v>1.36</v>
      </c>
      <c r="N11" t="s">
        <v>110</v>
      </c>
      <c r="O11" t="s">
        <v>111</v>
      </c>
    </row>
    <row r="12" spans="1:15" x14ac:dyDescent="0.25">
      <c r="A12" t="s">
        <v>766</v>
      </c>
      <c r="B12">
        <v>2023</v>
      </c>
      <c r="C12" t="s">
        <v>109</v>
      </c>
      <c r="E12" t="s">
        <v>112</v>
      </c>
      <c r="G12" t="s">
        <v>582</v>
      </c>
      <c r="H12" t="s">
        <v>50</v>
      </c>
      <c r="I12" t="s">
        <v>756</v>
      </c>
      <c r="J12" t="s">
        <v>744</v>
      </c>
      <c r="K12" t="s">
        <v>745</v>
      </c>
      <c r="L12">
        <v>73</v>
      </c>
      <c r="M12" t="s">
        <v>108</v>
      </c>
      <c r="N12" t="s">
        <v>110</v>
      </c>
      <c r="O12" t="s">
        <v>111</v>
      </c>
    </row>
    <row r="13" spans="1:15" x14ac:dyDescent="0.25">
      <c r="A13" t="s">
        <v>815</v>
      </c>
      <c r="B13">
        <v>2023</v>
      </c>
      <c r="C13" t="s">
        <v>109</v>
      </c>
      <c r="E13" t="s">
        <v>112</v>
      </c>
      <c r="G13" t="s">
        <v>59</v>
      </c>
      <c r="H13" t="s">
        <v>80</v>
      </c>
      <c r="I13" t="s">
        <v>747</v>
      </c>
      <c r="J13" t="s">
        <v>744</v>
      </c>
      <c r="K13" t="s">
        <v>749</v>
      </c>
      <c r="L13">
        <v>3.82</v>
      </c>
      <c r="M13" t="s">
        <v>108</v>
      </c>
      <c r="N13" t="s">
        <v>110</v>
      </c>
      <c r="O13" t="s">
        <v>111</v>
      </c>
    </row>
    <row r="14" spans="1:15" x14ac:dyDescent="0.25">
      <c r="A14" t="s">
        <v>819</v>
      </c>
      <c r="B14">
        <v>2023</v>
      </c>
      <c r="C14" t="s">
        <v>109</v>
      </c>
      <c r="E14" t="s">
        <v>112</v>
      </c>
      <c r="G14" t="s">
        <v>115</v>
      </c>
      <c r="H14" t="s">
        <v>50</v>
      </c>
      <c r="I14" t="s">
        <v>752</v>
      </c>
      <c r="J14" t="s">
        <v>744</v>
      </c>
      <c r="K14" t="s">
        <v>753</v>
      </c>
      <c r="L14">
        <v>7.0000000000000007E-2</v>
      </c>
      <c r="N14" t="s">
        <v>110</v>
      </c>
      <c r="O14" t="s">
        <v>111</v>
      </c>
    </row>
    <row r="15" spans="1:15" x14ac:dyDescent="0.25">
      <c r="A15" t="s">
        <v>820</v>
      </c>
      <c r="B15">
        <v>2023</v>
      </c>
      <c r="C15" t="s">
        <v>109</v>
      </c>
      <c r="E15" t="s">
        <v>112</v>
      </c>
      <c r="G15" t="s">
        <v>115</v>
      </c>
      <c r="H15" t="s">
        <v>50</v>
      </c>
      <c r="I15" t="s">
        <v>756</v>
      </c>
      <c r="J15" t="s">
        <v>744</v>
      </c>
      <c r="K15" t="s">
        <v>745</v>
      </c>
      <c r="L15">
        <v>55.9</v>
      </c>
      <c r="M15" t="s">
        <v>108</v>
      </c>
      <c r="N15" t="s">
        <v>110</v>
      </c>
      <c r="O15" t="s">
        <v>111</v>
      </c>
    </row>
    <row r="16" spans="1:15" x14ac:dyDescent="0.25">
      <c r="A16" t="s">
        <v>757</v>
      </c>
      <c r="B16">
        <v>2023</v>
      </c>
      <c r="C16" t="s">
        <v>116</v>
      </c>
      <c r="E16" t="s">
        <v>117</v>
      </c>
      <c r="G16" t="s">
        <v>59</v>
      </c>
      <c r="H16" t="s">
        <v>50</v>
      </c>
      <c r="I16" t="s">
        <v>747</v>
      </c>
      <c r="J16" t="s">
        <v>748</v>
      </c>
      <c r="K16" t="s">
        <v>749</v>
      </c>
      <c r="L16">
        <v>4.3275814028000097</v>
      </c>
      <c r="M16" t="s">
        <v>750</v>
      </c>
      <c r="N16" t="s">
        <v>75</v>
      </c>
      <c r="O16" t="s">
        <v>76</v>
      </c>
    </row>
    <row r="17" spans="1:15" x14ac:dyDescent="0.25">
      <c r="A17" t="s">
        <v>901</v>
      </c>
      <c r="B17">
        <v>2023</v>
      </c>
      <c r="C17" t="s">
        <v>125</v>
      </c>
      <c r="E17" t="s">
        <v>128</v>
      </c>
      <c r="G17" t="s">
        <v>59</v>
      </c>
      <c r="H17" t="s">
        <v>50</v>
      </c>
      <c r="I17" t="s">
        <v>747</v>
      </c>
      <c r="J17" t="s">
        <v>748</v>
      </c>
      <c r="K17" t="s">
        <v>749</v>
      </c>
      <c r="L17">
        <v>0.64937765859486896</v>
      </c>
      <c r="M17" t="s">
        <v>850</v>
      </c>
      <c r="N17" t="s">
        <v>126</v>
      </c>
      <c r="O17" t="s">
        <v>127</v>
      </c>
    </row>
    <row r="18" spans="1:15" x14ac:dyDescent="0.25">
      <c r="A18" t="s">
        <v>902</v>
      </c>
      <c r="B18">
        <v>2023</v>
      </c>
      <c r="C18" t="s">
        <v>125</v>
      </c>
      <c r="E18" t="s">
        <v>128</v>
      </c>
      <c r="G18" t="s">
        <v>115</v>
      </c>
      <c r="H18" t="s">
        <v>50</v>
      </c>
      <c r="I18" t="s">
        <v>752</v>
      </c>
      <c r="J18" t="s">
        <v>744</v>
      </c>
      <c r="K18" t="s">
        <v>753</v>
      </c>
      <c r="L18">
        <v>12.6</v>
      </c>
      <c r="N18" t="s">
        <v>126</v>
      </c>
      <c r="O18" t="s">
        <v>127</v>
      </c>
    </row>
    <row r="19" spans="1:15" x14ac:dyDescent="0.25">
      <c r="A19" t="s">
        <v>903</v>
      </c>
      <c r="B19">
        <v>2023</v>
      </c>
      <c r="C19" t="s">
        <v>125</v>
      </c>
      <c r="E19" t="s">
        <v>128</v>
      </c>
      <c r="G19" t="s">
        <v>115</v>
      </c>
      <c r="H19" t="s">
        <v>50</v>
      </c>
      <c r="I19" t="s">
        <v>756</v>
      </c>
      <c r="J19" t="s">
        <v>744</v>
      </c>
      <c r="K19" t="s">
        <v>745</v>
      </c>
      <c r="L19">
        <v>96.9</v>
      </c>
      <c r="N19" t="s">
        <v>126</v>
      </c>
      <c r="O19" t="s">
        <v>127</v>
      </c>
    </row>
    <row r="20" spans="1:15" x14ac:dyDescent="0.25">
      <c r="A20" t="s">
        <v>878</v>
      </c>
      <c r="B20">
        <v>2023</v>
      </c>
      <c r="C20" t="s">
        <v>135</v>
      </c>
      <c r="E20" t="s">
        <v>136</v>
      </c>
      <c r="G20" t="s">
        <v>59</v>
      </c>
      <c r="H20" t="s">
        <v>50</v>
      </c>
      <c r="I20" t="s">
        <v>747</v>
      </c>
      <c r="J20" t="s">
        <v>748</v>
      </c>
      <c r="K20" t="s">
        <v>749</v>
      </c>
      <c r="L20">
        <v>0.36170620108368401</v>
      </c>
      <c r="M20" t="s">
        <v>773</v>
      </c>
      <c r="N20" t="s">
        <v>61</v>
      </c>
      <c r="O20" t="s">
        <v>62</v>
      </c>
    </row>
    <row r="21" spans="1:15" x14ac:dyDescent="0.25">
      <c r="A21" t="s">
        <v>879</v>
      </c>
      <c r="B21">
        <v>2023</v>
      </c>
      <c r="C21" t="s">
        <v>135</v>
      </c>
      <c r="E21" t="s">
        <v>136</v>
      </c>
      <c r="G21" t="s">
        <v>115</v>
      </c>
      <c r="H21" t="s">
        <v>50</v>
      </c>
      <c r="I21" t="s">
        <v>864</v>
      </c>
      <c r="J21" t="s">
        <v>744</v>
      </c>
      <c r="K21" t="s">
        <v>753</v>
      </c>
      <c r="L21">
        <v>4.7850000000000001</v>
      </c>
      <c r="N21" t="s">
        <v>61</v>
      </c>
      <c r="O21" t="s">
        <v>62</v>
      </c>
    </row>
    <row r="22" spans="1:15" x14ac:dyDescent="0.25">
      <c r="A22" t="s">
        <v>880</v>
      </c>
      <c r="B22">
        <v>2023</v>
      </c>
      <c r="C22" t="s">
        <v>135</v>
      </c>
      <c r="E22" t="s">
        <v>136</v>
      </c>
      <c r="G22" t="s">
        <v>115</v>
      </c>
      <c r="H22" t="s">
        <v>50</v>
      </c>
      <c r="I22" t="s">
        <v>778</v>
      </c>
      <c r="J22" t="s">
        <v>744</v>
      </c>
      <c r="K22" t="s">
        <v>745</v>
      </c>
      <c r="L22">
        <v>91</v>
      </c>
      <c r="N22" t="s">
        <v>61</v>
      </c>
      <c r="O22" t="s">
        <v>62</v>
      </c>
    </row>
    <row r="23" spans="1:15" x14ac:dyDescent="0.25">
      <c r="A23" t="s">
        <v>810</v>
      </c>
      <c r="B23">
        <v>2024</v>
      </c>
      <c r="C23" t="s">
        <v>139</v>
      </c>
      <c r="E23" t="s">
        <v>142</v>
      </c>
      <c r="G23" t="s">
        <v>115</v>
      </c>
      <c r="H23" t="s">
        <v>80</v>
      </c>
      <c r="I23" t="s">
        <v>747</v>
      </c>
      <c r="J23" t="s">
        <v>744</v>
      </c>
      <c r="K23" t="s">
        <v>749</v>
      </c>
      <c r="L23">
        <v>47.7</v>
      </c>
      <c r="N23" t="s">
        <v>140</v>
      </c>
      <c r="O23" t="s">
        <v>141</v>
      </c>
    </row>
    <row r="24" spans="1:15" x14ac:dyDescent="0.25">
      <c r="A24" t="s">
        <v>811</v>
      </c>
      <c r="B24">
        <v>2024</v>
      </c>
      <c r="C24" t="s">
        <v>139</v>
      </c>
      <c r="E24" t="s">
        <v>142</v>
      </c>
      <c r="G24" t="s">
        <v>115</v>
      </c>
      <c r="H24" t="s">
        <v>50</v>
      </c>
      <c r="I24" t="s">
        <v>780</v>
      </c>
      <c r="J24" t="s">
        <v>744</v>
      </c>
      <c r="K24" t="s">
        <v>753</v>
      </c>
      <c r="L24">
        <v>4.26</v>
      </c>
      <c r="N24" t="s">
        <v>140</v>
      </c>
      <c r="O24" t="s">
        <v>141</v>
      </c>
    </row>
    <row r="25" spans="1:15" x14ac:dyDescent="0.25">
      <c r="A25" t="s">
        <v>847</v>
      </c>
      <c r="B25">
        <v>2023</v>
      </c>
      <c r="C25" t="s">
        <v>156</v>
      </c>
      <c r="E25" t="s">
        <v>159</v>
      </c>
      <c r="G25" t="s">
        <v>115</v>
      </c>
      <c r="H25" t="s">
        <v>50</v>
      </c>
      <c r="I25" t="s">
        <v>752</v>
      </c>
      <c r="J25" t="s">
        <v>744</v>
      </c>
      <c r="K25" t="s">
        <v>753</v>
      </c>
      <c r="L25">
        <v>2.84</v>
      </c>
      <c r="N25" t="s">
        <v>157</v>
      </c>
      <c r="O25" t="s">
        <v>158</v>
      </c>
    </row>
    <row r="26" spans="1:15" x14ac:dyDescent="0.25">
      <c r="A26" t="s">
        <v>848</v>
      </c>
      <c r="B26">
        <v>2023</v>
      </c>
      <c r="C26" t="s">
        <v>156</v>
      </c>
      <c r="E26" t="s">
        <v>159</v>
      </c>
      <c r="G26" t="s">
        <v>115</v>
      </c>
      <c r="H26" t="s">
        <v>50</v>
      </c>
      <c r="I26" t="s">
        <v>780</v>
      </c>
      <c r="J26" t="s">
        <v>744</v>
      </c>
      <c r="K26" t="s">
        <v>753</v>
      </c>
      <c r="L26">
        <v>3.08</v>
      </c>
      <c r="N26" t="s">
        <v>157</v>
      </c>
      <c r="O26" t="s">
        <v>158</v>
      </c>
    </row>
    <row r="27" spans="1:15" x14ac:dyDescent="0.25">
      <c r="A27" t="s">
        <v>784</v>
      </c>
      <c r="B27">
        <v>2023</v>
      </c>
      <c r="C27" t="s">
        <v>167</v>
      </c>
      <c r="E27" t="s">
        <v>170</v>
      </c>
      <c r="G27" t="s">
        <v>546</v>
      </c>
      <c r="H27" t="s">
        <v>258</v>
      </c>
      <c r="I27" t="s">
        <v>752</v>
      </c>
      <c r="J27" t="s">
        <v>744</v>
      </c>
      <c r="K27" t="s">
        <v>745</v>
      </c>
      <c r="L27">
        <v>0.25</v>
      </c>
      <c r="N27" t="s">
        <v>168</v>
      </c>
      <c r="O27" t="s">
        <v>169</v>
      </c>
    </row>
    <row r="28" spans="1:15" x14ac:dyDescent="0.25">
      <c r="A28" t="s">
        <v>785</v>
      </c>
      <c r="B28">
        <v>2023</v>
      </c>
      <c r="C28" t="s">
        <v>167</v>
      </c>
      <c r="E28" t="s">
        <v>170</v>
      </c>
      <c r="G28" t="s">
        <v>546</v>
      </c>
      <c r="H28" t="s">
        <v>258</v>
      </c>
      <c r="I28" t="s">
        <v>786</v>
      </c>
      <c r="J28" t="s">
        <v>744</v>
      </c>
      <c r="K28" t="s">
        <v>745</v>
      </c>
      <c r="L28">
        <v>82.6</v>
      </c>
      <c r="N28" t="s">
        <v>168</v>
      </c>
      <c r="O28" t="s">
        <v>169</v>
      </c>
    </row>
    <row r="29" spans="1:15" x14ac:dyDescent="0.25">
      <c r="A29" t="s">
        <v>900</v>
      </c>
      <c r="B29">
        <v>2023</v>
      </c>
      <c r="C29" t="s">
        <v>167</v>
      </c>
      <c r="E29" t="s">
        <v>170</v>
      </c>
      <c r="G29" t="s">
        <v>59</v>
      </c>
      <c r="H29" t="s">
        <v>50</v>
      </c>
      <c r="I29" t="s">
        <v>747</v>
      </c>
      <c r="J29" t="s">
        <v>744</v>
      </c>
      <c r="K29" t="s">
        <v>749</v>
      </c>
      <c r="L29">
        <v>1.3</v>
      </c>
      <c r="N29" t="s">
        <v>168</v>
      </c>
      <c r="O29" t="s">
        <v>169</v>
      </c>
    </row>
    <row r="30" spans="1:15" x14ac:dyDescent="0.25">
      <c r="A30" t="s">
        <v>796</v>
      </c>
      <c r="B30">
        <v>2023</v>
      </c>
      <c r="C30" t="s">
        <v>180</v>
      </c>
      <c r="E30" t="s">
        <v>183</v>
      </c>
      <c r="G30" t="s">
        <v>59</v>
      </c>
      <c r="H30" t="s">
        <v>50</v>
      </c>
      <c r="I30" t="s">
        <v>747</v>
      </c>
      <c r="J30" t="s">
        <v>748</v>
      </c>
      <c r="K30" t="s">
        <v>749</v>
      </c>
      <c r="L30">
        <v>1.20852695359985</v>
      </c>
      <c r="M30" t="s">
        <v>797</v>
      </c>
      <c r="N30" t="s">
        <v>181</v>
      </c>
      <c r="O30" t="s">
        <v>182</v>
      </c>
    </row>
    <row r="31" spans="1:15" x14ac:dyDescent="0.25">
      <c r="A31" t="s">
        <v>881</v>
      </c>
      <c r="B31">
        <v>2023</v>
      </c>
      <c r="D31" t="s">
        <v>191</v>
      </c>
      <c r="E31" t="s">
        <v>192</v>
      </c>
      <c r="F31" t="s">
        <v>193</v>
      </c>
      <c r="G31" t="s">
        <v>115</v>
      </c>
      <c r="H31" t="s">
        <v>50</v>
      </c>
      <c r="I31" t="s">
        <v>864</v>
      </c>
      <c r="J31" t="s">
        <v>744</v>
      </c>
      <c r="K31" t="s">
        <v>753</v>
      </c>
      <c r="L31">
        <v>3.0150000000000001</v>
      </c>
      <c r="N31" t="s">
        <v>61</v>
      </c>
      <c r="O31" t="s">
        <v>62</v>
      </c>
    </row>
    <row r="32" spans="1:15" x14ac:dyDescent="0.25">
      <c r="A32" t="s">
        <v>885</v>
      </c>
      <c r="B32">
        <v>2023</v>
      </c>
      <c r="D32" t="s">
        <v>191</v>
      </c>
      <c r="E32" t="s">
        <v>192</v>
      </c>
      <c r="F32" t="s">
        <v>193</v>
      </c>
      <c r="G32" t="s">
        <v>115</v>
      </c>
      <c r="H32" t="s">
        <v>50</v>
      </c>
      <c r="I32" t="s">
        <v>778</v>
      </c>
      <c r="J32" t="s">
        <v>744</v>
      </c>
      <c r="K32" t="s">
        <v>745</v>
      </c>
      <c r="L32">
        <v>91.4</v>
      </c>
      <c r="N32" t="s">
        <v>61</v>
      </c>
      <c r="O32" t="s">
        <v>62</v>
      </c>
    </row>
    <row r="33" spans="1:15" x14ac:dyDescent="0.25">
      <c r="A33" t="s">
        <v>772</v>
      </c>
      <c r="B33">
        <v>2023</v>
      </c>
      <c r="C33" t="s">
        <v>195</v>
      </c>
      <c r="E33" t="s">
        <v>198</v>
      </c>
      <c r="G33" t="s">
        <v>59</v>
      </c>
      <c r="H33" t="s">
        <v>50</v>
      </c>
      <c r="I33" t="s">
        <v>747</v>
      </c>
      <c r="J33" t="s">
        <v>748</v>
      </c>
      <c r="K33" t="s">
        <v>749</v>
      </c>
      <c r="L33">
        <v>0.167682459667962</v>
      </c>
      <c r="M33" t="s">
        <v>773</v>
      </c>
      <c r="N33" t="s">
        <v>196</v>
      </c>
      <c r="O33" t="s">
        <v>197</v>
      </c>
    </row>
    <row r="34" spans="1:15" x14ac:dyDescent="0.25">
      <c r="A34" t="s">
        <v>774</v>
      </c>
      <c r="B34">
        <v>2023</v>
      </c>
      <c r="C34" t="s">
        <v>195</v>
      </c>
      <c r="E34" t="s">
        <v>198</v>
      </c>
      <c r="G34" t="s">
        <v>115</v>
      </c>
      <c r="H34" t="s">
        <v>50</v>
      </c>
      <c r="I34" t="s">
        <v>775</v>
      </c>
      <c r="J34" t="s">
        <v>744</v>
      </c>
      <c r="K34" t="s">
        <v>753</v>
      </c>
      <c r="L34">
        <v>9.48</v>
      </c>
      <c r="M34" t="s">
        <v>776</v>
      </c>
      <c r="N34" t="s">
        <v>196</v>
      </c>
      <c r="O34" t="s">
        <v>197</v>
      </c>
    </row>
    <row r="35" spans="1:15" x14ac:dyDescent="0.25">
      <c r="A35" t="s">
        <v>777</v>
      </c>
      <c r="B35">
        <v>2023</v>
      </c>
      <c r="C35" t="s">
        <v>195</v>
      </c>
      <c r="E35" t="s">
        <v>198</v>
      </c>
      <c r="G35" t="s">
        <v>115</v>
      </c>
      <c r="H35" t="s">
        <v>50</v>
      </c>
      <c r="I35" t="s">
        <v>778</v>
      </c>
      <c r="J35" t="s">
        <v>744</v>
      </c>
      <c r="K35" t="s">
        <v>745</v>
      </c>
      <c r="L35">
        <v>97</v>
      </c>
      <c r="N35" t="s">
        <v>196</v>
      </c>
      <c r="O35" t="s">
        <v>197</v>
      </c>
    </row>
    <row r="36" spans="1:15" x14ac:dyDescent="0.25">
      <c r="A36" t="s">
        <v>779</v>
      </c>
      <c r="B36">
        <v>2023</v>
      </c>
      <c r="C36" t="s">
        <v>195</v>
      </c>
      <c r="E36" t="s">
        <v>198</v>
      </c>
      <c r="G36" t="s">
        <v>115</v>
      </c>
      <c r="H36" t="s">
        <v>50</v>
      </c>
      <c r="I36" t="s">
        <v>780</v>
      </c>
      <c r="J36" t="s">
        <v>744</v>
      </c>
      <c r="K36" t="s">
        <v>753</v>
      </c>
      <c r="L36">
        <v>9.43</v>
      </c>
      <c r="M36" t="s">
        <v>776</v>
      </c>
      <c r="N36" t="s">
        <v>196</v>
      </c>
      <c r="O36" t="s">
        <v>197</v>
      </c>
    </row>
    <row r="37" spans="1:15" x14ac:dyDescent="0.25">
      <c r="A37" t="s">
        <v>793</v>
      </c>
      <c r="B37">
        <v>2024</v>
      </c>
      <c r="C37" t="s">
        <v>200</v>
      </c>
      <c r="E37" t="s">
        <v>202</v>
      </c>
      <c r="G37" t="s">
        <v>582</v>
      </c>
      <c r="H37" t="s">
        <v>50</v>
      </c>
      <c r="I37" t="s">
        <v>752</v>
      </c>
      <c r="J37" t="s">
        <v>744</v>
      </c>
      <c r="K37" t="s">
        <v>753</v>
      </c>
      <c r="L37">
        <v>944</v>
      </c>
      <c r="N37" t="s">
        <v>89</v>
      </c>
      <c r="O37" t="s">
        <v>201</v>
      </c>
    </row>
    <row r="38" spans="1:15" x14ac:dyDescent="0.25">
      <c r="A38" t="s">
        <v>794</v>
      </c>
      <c r="B38">
        <v>2024</v>
      </c>
      <c r="C38" t="s">
        <v>200</v>
      </c>
      <c r="E38" t="s">
        <v>202</v>
      </c>
      <c r="G38" t="s">
        <v>638</v>
      </c>
      <c r="H38" t="s">
        <v>50</v>
      </c>
      <c r="I38" t="s">
        <v>752</v>
      </c>
      <c r="J38" t="s">
        <v>744</v>
      </c>
      <c r="K38" t="s">
        <v>745</v>
      </c>
      <c r="L38">
        <v>2.11</v>
      </c>
      <c r="N38" t="s">
        <v>89</v>
      </c>
      <c r="O38" t="s">
        <v>201</v>
      </c>
    </row>
    <row r="39" spans="1:15" x14ac:dyDescent="0.25">
      <c r="A39" t="s">
        <v>795</v>
      </c>
      <c r="B39">
        <v>2024</v>
      </c>
      <c r="C39" t="s">
        <v>200</v>
      </c>
      <c r="E39" t="s">
        <v>202</v>
      </c>
      <c r="G39" t="s">
        <v>408</v>
      </c>
      <c r="H39" t="s">
        <v>50</v>
      </c>
      <c r="I39" t="s">
        <v>752</v>
      </c>
      <c r="J39" t="s">
        <v>744</v>
      </c>
      <c r="K39" t="s">
        <v>745</v>
      </c>
      <c r="L39">
        <v>1.34</v>
      </c>
      <c r="N39" t="s">
        <v>89</v>
      </c>
      <c r="O39" t="s">
        <v>201</v>
      </c>
    </row>
    <row r="40" spans="1:15" x14ac:dyDescent="0.25">
      <c r="A40" t="s">
        <v>904</v>
      </c>
      <c r="B40">
        <v>2023</v>
      </c>
      <c r="C40" t="s">
        <v>209</v>
      </c>
      <c r="E40" t="s">
        <v>210</v>
      </c>
      <c r="G40" t="s">
        <v>59</v>
      </c>
      <c r="H40" t="s">
        <v>50</v>
      </c>
      <c r="I40" t="s">
        <v>747</v>
      </c>
      <c r="J40" t="s">
        <v>748</v>
      </c>
      <c r="K40" t="s">
        <v>749</v>
      </c>
      <c r="L40">
        <v>0.848295561554397</v>
      </c>
      <c r="M40" t="s">
        <v>850</v>
      </c>
      <c r="N40" t="s">
        <v>126</v>
      </c>
      <c r="O40" t="s">
        <v>127</v>
      </c>
    </row>
    <row r="41" spans="1:15" x14ac:dyDescent="0.25">
      <c r="A41" t="s">
        <v>905</v>
      </c>
      <c r="B41">
        <v>2023</v>
      </c>
      <c r="C41" t="s">
        <v>209</v>
      </c>
      <c r="E41" t="s">
        <v>210</v>
      </c>
      <c r="G41" t="s">
        <v>115</v>
      </c>
      <c r="H41" t="s">
        <v>50</v>
      </c>
      <c r="I41" t="s">
        <v>752</v>
      </c>
      <c r="J41" t="s">
        <v>744</v>
      </c>
      <c r="K41" t="s">
        <v>753</v>
      </c>
      <c r="L41">
        <v>5.9</v>
      </c>
      <c r="N41" t="s">
        <v>126</v>
      </c>
      <c r="O41" t="s">
        <v>127</v>
      </c>
    </row>
    <row r="42" spans="1:15" x14ac:dyDescent="0.25">
      <c r="A42" t="s">
        <v>906</v>
      </c>
      <c r="B42">
        <v>2023</v>
      </c>
      <c r="C42" t="s">
        <v>209</v>
      </c>
      <c r="E42" t="s">
        <v>210</v>
      </c>
      <c r="G42" t="s">
        <v>115</v>
      </c>
      <c r="H42" t="s">
        <v>50</v>
      </c>
      <c r="I42" t="s">
        <v>756</v>
      </c>
      <c r="J42" t="s">
        <v>744</v>
      </c>
      <c r="K42" t="s">
        <v>745</v>
      </c>
      <c r="L42">
        <v>98.3</v>
      </c>
      <c r="N42" t="s">
        <v>126</v>
      </c>
      <c r="O42" t="s">
        <v>127</v>
      </c>
    </row>
    <row r="43" spans="1:15" x14ac:dyDescent="0.25">
      <c r="A43" t="s">
        <v>802</v>
      </c>
      <c r="B43">
        <v>2023</v>
      </c>
      <c r="C43" t="s">
        <v>215</v>
      </c>
      <c r="E43" t="s">
        <v>218</v>
      </c>
      <c r="G43" t="s">
        <v>676</v>
      </c>
      <c r="H43" t="s">
        <v>50</v>
      </c>
      <c r="I43" t="s">
        <v>752</v>
      </c>
      <c r="J43" t="s">
        <v>744</v>
      </c>
      <c r="K43" t="s">
        <v>753</v>
      </c>
      <c r="L43">
        <v>3.88</v>
      </c>
      <c r="N43" t="s">
        <v>216</v>
      </c>
      <c r="O43" t="s">
        <v>217</v>
      </c>
    </row>
    <row r="44" spans="1:15" x14ac:dyDescent="0.25">
      <c r="A44" t="s">
        <v>803</v>
      </c>
      <c r="B44">
        <v>2023</v>
      </c>
      <c r="C44" t="s">
        <v>221</v>
      </c>
      <c r="D44" t="s">
        <v>222</v>
      </c>
      <c r="E44" t="s">
        <v>223</v>
      </c>
      <c r="F44" t="s">
        <v>224</v>
      </c>
      <c r="G44" t="s">
        <v>546</v>
      </c>
      <c r="H44" t="s">
        <v>50</v>
      </c>
      <c r="I44" t="s">
        <v>780</v>
      </c>
      <c r="J44" t="s">
        <v>744</v>
      </c>
      <c r="K44" t="s">
        <v>745</v>
      </c>
      <c r="L44">
        <v>0.86</v>
      </c>
      <c r="N44" t="s">
        <v>110</v>
      </c>
      <c r="O44" t="s">
        <v>111</v>
      </c>
    </row>
    <row r="45" spans="1:15" x14ac:dyDescent="0.25">
      <c r="A45" t="s">
        <v>805</v>
      </c>
      <c r="B45">
        <v>2023</v>
      </c>
      <c r="C45" t="s">
        <v>221</v>
      </c>
      <c r="D45" t="s">
        <v>222</v>
      </c>
      <c r="E45" t="s">
        <v>223</v>
      </c>
      <c r="F45" t="s">
        <v>224</v>
      </c>
      <c r="G45" t="s">
        <v>582</v>
      </c>
      <c r="H45" t="s">
        <v>50</v>
      </c>
      <c r="I45" t="s">
        <v>780</v>
      </c>
      <c r="J45" t="s">
        <v>744</v>
      </c>
      <c r="K45" t="s">
        <v>753</v>
      </c>
      <c r="L45">
        <v>24.51</v>
      </c>
      <c r="N45" t="s">
        <v>110</v>
      </c>
      <c r="O45" t="s">
        <v>111</v>
      </c>
    </row>
    <row r="46" spans="1:15" x14ac:dyDescent="0.25">
      <c r="A46" t="s">
        <v>806</v>
      </c>
      <c r="B46">
        <v>2023</v>
      </c>
      <c r="C46" t="s">
        <v>221</v>
      </c>
      <c r="D46" t="s">
        <v>222</v>
      </c>
      <c r="E46" t="s">
        <v>223</v>
      </c>
      <c r="F46" t="s">
        <v>224</v>
      </c>
      <c r="G46" t="s">
        <v>408</v>
      </c>
      <c r="H46" t="s">
        <v>50</v>
      </c>
      <c r="I46" t="s">
        <v>780</v>
      </c>
      <c r="J46" t="s">
        <v>744</v>
      </c>
      <c r="K46" t="s">
        <v>745</v>
      </c>
      <c r="L46">
        <v>3</v>
      </c>
      <c r="N46" t="s">
        <v>110</v>
      </c>
      <c r="O46" t="s">
        <v>111</v>
      </c>
    </row>
    <row r="47" spans="1:15" x14ac:dyDescent="0.25">
      <c r="A47" t="s">
        <v>825</v>
      </c>
      <c r="B47">
        <v>2023</v>
      </c>
      <c r="C47" t="s">
        <v>221</v>
      </c>
      <c r="D47" t="s">
        <v>222</v>
      </c>
      <c r="E47" t="s">
        <v>223</v>
      </c>
      <c r="F47" t="s">
        <v>224</v>
      </c>
      <c r="G47" t="s">
        <v>115</v>
      </c>
      <c r="H47" t="s">
        <v>50</v>
      </c>
      <c r="I47" t="s">
        <v>780</v>
      </c>
      <c r="J47" t="s">
        <v>744</v>
      </c>
      <c r="K47" t="s">
        <v>753</v>
      </c>
      <c r="L47">
        <v>4.74</v>
      </c>
      <c r="N47" t="s">
        <v>110</v>
      </c>
      <c r="O47" t="s">
        <v>111</v>
      </c>
    </row>
    <row r="48" spans="1:15" x14ac:dyDescent="0.25">
      <c r="A48" t="s">
        <v>804</v>
      </c>
      <c r="B48">
        <v>2023</v>
      </c>
      <c r="C48" t="s">
        <v>227</v>
      </c>
      <c r="E48" t="s">
        <v>230</v>
      </c>
      <c r="G48" t="s">
        <v>115</v>
      </c>
      <c r="H48" t="s">
        <v>50</v>
      </c>
      <c r="I48" t="s">
        <v>752</v>
      </c>
      <c r="J48" t="s">
        <v>744</v>
      </c>
      <c r="K48" t="s">
        <v>753</v>
      </c>
      <c r="L48">
        <v>6.76</v>
      </c>
      <c r="N48" t="s">
        <v>228</v>
      </c>
      <c r="O48" t="s">
        <v>229</v>
      </c>
    </row>
    <row r="49" spans="1:15" x14ac:dyDescent="0.25">
      <c r="A49" t="s">
        <v>807</v>
      </c>
      <c r="B49">
        <v>2023</v>
      </c>
      <c r="C49" t="s">
        <v>227</v>
      </c>
      <c r="E49" t="s">
        <v>230</v>
      </c>
      <c r="G49" t="s">
        <v>115</v>
      </c>
      <c r="H49" t="s">
        <v>50</v>
      </c>
      <c r="I49" t="s">
        <v>756</v>
      </c>
      <c r="J49" t="s">
        <v>744</v>
      </c>
      <c r="K49" t="s">
        <v>745</v>
      </c>
      <c r="L49">
        <v>0.97099999999999997</v>
      </c>
      <c r="N49" t="s">
        <v>228</v>
      </c>
      <c r="O49" t="s">
        <v>229</v>
      </c>
    </row>
    <row r="50" spans="1:15" x14ac:dyDescent="0.25">
      <c r="A50" t="s">
        <v>758</v>
      </c>
      <c r="B50">
        <v>2023</v>
      </c>
      <c r="C50" t="s">
        <v>232</v>
      </c>
      <c r="E50" t="s">
        <v>233</v>
      </c>
      <c r="G50" t="s">
        <v>59</v>
      </c>
      <c r="H50" t="s">
        <v>50</v>
      </c>
      <c r="I50" t="s">
        <v>747</v>
      </c>
      <c r="J50" t="s">
        <v>748</v>
      </c>
      <c r="K50" t="s">
        <v>749</v>
      </c>
      <c r="L50">
        <v>1.46708992187948</v>
      </c>
      <c r="M50" t="s">
        <v>750</v>
      </c>
      <c r="N50" t="s">
        <v>75</v>
      </c>
      <c r="O50" t="s">
        <v>76</v>
      </c>
    </row>
    <row r="51" spans="1:15" x14ac:dyDescent="0.25">
      <c r="A51" t="s">
        <v>759</v>
      </c>
      <c r="B51">
        <v>2023</v>
      </c>
      <c r="C51" t="s">
        <v>232</v>
      </c>
      <c r="E51" t="s">
        <v>233</v>
      </c>
      <c r="G51" t="s">
        <v>115</v>
      </c>
      <c r="H51" t="s">
        <v>50</v>
      </c>
      <c r="I51" t="s">
        <v>752</v>
      </c>
      <c r="J51" t="s">
        <v>744</v>
      </c>
      <c r="K51" t="s">
        <v>753</v>
      </c>
      <c r="L51">
        <v>5.23</v>
      </c>
      <c r="N51" t="s">
        <v>75</v>
      </c>
      <c r="O51" t="s">
        <v>754</v>
      </c>
    </row>
    <row r="52" spans="1:15" x14ac:dyDescent="0.25">
      <c r="A52" t="s">
        <v>763</v>
      </c>
      <c r="B52">
        <v>2023</v>
      </c>
      <c r="C52" t="s">
        <v>232</v>
      </c>
      <c r="E52" t="s">
        <v>233</v>
      </c>
      <c r="G52" t="s">
        <v>115</v>
      </c>
      <c r="H52" t="s">
        <v>50</v>
      </c>
      <c r="I52" t="s">
        <v>756</v>
      </c>
      <c r="J52" t="s">
        <v>744</v>
      </c>
      <c r="K52" t="s">
        <v>745</v>
      </c>
      <c r="L52">
        <v>93.5</v>
      </c>
      <c r="N52" t="s">
        <v>75</v>
      </c>
      <c r="O52" t="s">
        <v>754</v>
      </c>
    </row>
    <row r="53" spans="1:15" x14ac:dyDescent="0.25">
      <c r="A53" t="s">
        <v>812</v>
      </c>
      <c r="B53">
        <v>2023</v>
      </c>
      <c r="C53" t="s">
        <v>232</v>
      </c>
      <c r="E53" t="s">
        <v>233</v>
      </c>
      <c r="G53" t="s">
        <v>582</v>
      </c>
      <c r="H53" t="s">
        <v>50</v>
      </c>
      <c r="I53" t="s">
        <v>752</v>
      </c>
      <c r="J53" t="s">
        <v>744</v>
      </c>
      <c r="K53" t="s">
        <v>753</v>
      </c>
      <c r="L53">
        <v>16.149999999999999</v>
      </c>
      <c r="N53" t="s">
        <v>75</v>
      </c>
      <c r="O53" t="s">
        <v>754</v>
      </c>
    </row>
    <row r="54" spans="1:15" x14ac:dyDescent="0.25">
      <c r="A54" t="s">
        <v>813</v>
      </c>
      <c r="B54">
        <v>2023</v>
      </c>
      <c r="C54" t="s">
        <v>232</v>
      </c>
      <c r="E54" t="s">
        <v>233</v>
      </c>
      <c r="G54" t="s">
        <v>408</v>
      </c>
      <c r="H54" t="s">
        <v>50</v>
      </c>
      <c r="I54" t="s">
        <v>752</v>
      </c>
      <c r="J54" t="s">
        <v>744</v>
      </c>
      <c r="K54" t="s">
        <v>745</v>
      </c>
      <c r="L54">
        <v>0.44</v>
      </c>
      <c r="N54" t="s">
        <v>75</v>
      </c>
      <c r="O54" t="s">
        <v>754</v>
      </c>
    </row>
    <row r="55" spans="1:15" x14ac:dyDescent="0.25">
      <c r="A55" t="s">
        <v>814</v>
      </c>
      <c r="B55">
        <v>2023</v>
      </c>
      <c r="C55" t="s">
        <v>232</v>
      </c>
      <c r="E55" t="s">
        <v>233</v>
      </c>
      <c r="G55" t="s">
        <v>546</v>
      </c>
      <c r="H55" t="s">
        <v>50</v>
      </c>
      <c r="I55" t="s">
        <v>752</v>
      </c>
      <c r="J55" t="s">
        <v>744</v>
      </c>
      <c r="K55" t="s">
        <v>745</v>
      </c>
      <c r="L55">
        <v>0.13</v>
      </c>
      <c r="N55" t="s">
        <v>75</v>
      </c>
      <c r="O55" t="s">
        <v>754</v>
      </c>
    </row>
    <row r="56" spans="1:15" x14ac:dyDescent="0.25">
      <c r="A56" t="s">
        <v>816</v>
      </c>
      <c r="B56">
        <v>2023</v>
      </c>
      <c r="C56" t="s">
        <v>232</v>
      </c>
      <c r="E56" t="s">
        <v>233</v>
      </c>
      <c r="G56" t="s">
        <v>582</v>
      </c>
      <c r="H56" t="s">
        <v>50</v>
      </c>
      <c r="I56" t="s">
        <v>756</v>
      </c>
      <c r="J56" t="s">
        <v>744</v>
      </c>
      <c r="K56" t="s">
        <v>745</v>
      </c>
      <c r="L56">
        <v>85.7</v>
      </c>
      <c r="N56" t="s">
        <v>75</v>
      </c>
      <c r="O56" t="s">
        <v>754</v>
      </c>
    </row>
    <row r="57" spans="1:15" x14ac:dyDescent="0.25">
      <c r="A57" t="s">
        <v>817</v>
      </c>
      <c r="B57">
        <v>2023</v>
      </c>
      <c r="C57" t="s">
        <v>232</v>
      </c>
      <c r="E57" t="s">
        <v>233</v>
      </c>
      <c r="G57" t="s">
        <v>408</v>
      </c>
      <c r="H57" t="s">
        <v>50</v>
      </c>
      <c r="I57" t="s">
        <v>756</v>
      </c>
      <c r="J57" t="s">
        <v>744</v>
      </c>
      <c r="K57" t="s">
        <v>745</v>
      </c>
      <c r="L57">
        <v>76.8</v>
      </c>
      <c r="N57" t="s">
        <v>75</v>
      </c>
      <c r="O57" t="s">
        <v>754</v>
      </c>
    </row>
    <row r="58" spans="1:15" x14ac:dyDescent="0.25">
      <c r="A58" t="s">
        <v>818</v>
      </c>
      <c r="B58">
        <v>2023</v>
      </c>
      <c r="C58" t="s">
        <v>232</v>
      </c>
      <c r="E58" t="s">
        <v>233</v>
      </c>
      <c r="G58" t="s">
        <v>546</v>
      </c>
      <c r="H58" t="s">
        <v>50</v>
      </c>
      <c r="I58" t="s">
        <v>756</v>
      </c>
      <c r="J58" t="s">
        <v>744</v>
      </c>
      <c r="K58" t="s">
        <v>745</v>
      </c>
      <c r="L58">
        <v>80.8</v>
      </c>
      <c r="N58" t="s">
        <v>75</v>
      </c>
      <c r="O58" t="s">
        <v>754</v>
      </c>
    </row>
    <row r="59" spans="1:15" x14ac:dyDescent="0.25">
      <c r="A59" t="s">
        <v>788</v>
      </c>
      <c r="B59">
        <v>2023</v>
      </c>
      <c r="C59" t="s">
        <v>243</v>
      </c>
      <c r="E59" t="s">
        <v>246</v>
      </c>
      <c r="G59" t="s">
        <v>59</v>
      </c>
      <c r="H59" t="s">
        <v>50</v>
      </c>
      <c r="I59" t="s">
        <v>747</v>
      </c>
      <c r="J59" t="s">
        <v>748</v>
      </c>
      <c r="K59" t="s">
        <v>749</v>
      </c>
      <c r="L59">
        <v>5.7994562228508197</v>
      </c>
      <c r="M59" t="s">
        <v>789</v>
      </c>
      <c r="N59" t="s">
        <v>244</v>
      </c>
      <c r="O59" t="s">
        <v>245</v>
      </c>
    </row>
    <row r="60" spans="1:15" x14ac:dyDescent="0.25">
      <c r="A60" t="s">
        <v>790</v>
      </c>
      <c r="B60">
        <v>2024</v>
      </c>
      <c r="C60" t="s">
        <v>243</v>
      </c>
      <c r="E60" t="s">
        <v>246</v>
      </c>
      <c r="G60" t="s">
        <v>115</v>
      </c>
      <c r="H60" t="s">
        <v>50</v>
      </c>
      <c r="I60" t="s">
        <v>780</v>
      </c>
      <c r="J60" t="s">
        <v>744</v>
      </c>
      <c r="K60" t="s">
        <v>753</v>
      </c>
      <c r="L60">
        <v>0.81</v>
      </c>
      <c r="M60" t="s">
        <v>242</v>
      </c>
      <c r="N60" t="s">
        <v>244</v>
      </c>
      <c r="O60" t="s">
        <v>245</v>
      </c>
    </row>
    <row r="61" spans="1:15" x14ac:dyDescent="0.25">
      <c r="A61" t="s">
        <v>791</v>
      </c>
      <c r="B61">
        <v>2024</v>
      </c>
      <c r="C61" t="s">
        <v>243</v>
      </c>
      <c r="E61" t="s">
        <v>246</v>
      </c>
      <c r="G61" t="s">
        <v>115</v>
      </c>
      <c r="H61" t="s">
        <v>50</v>
      </c>
      <c r="I61" t="s">
        <v>752</v>
      </c>
      <c r="J61" t="s">
        <v>744</v>
      </c>
      <c r="K61" t="s">
        <v>753</v>
      </c>
      <c r="L61">
        <v>0.91</v>
      </c>
      <c r="M61" t="s">
        <v>242</v>
      </c>
      <c r="N61" t="s">
        <v>244</v>
      </c>
      <c r="O61" t="s">
        <v>245</v>
      </c>
    </row>
    <row r="62" spans="1:15" x14ac:dyDescent="0.25">
      <c r="A62" t="s">
        <v>792</v>
      </c>
      <c r="B62">
        <v>2024</v>
      </c>
      <c r="C62" t="s">
        <v>243</v>
      </c>
      <c r="E62" t="s">
        <v>246</v>
      </c>
      <c r="G62" t="s">
        <v>115</v>
      </c>
      <c r="H62" t="s">
        <v>50</v>
      </c>
      <c r="I62" t="s">
        <v>756</v>
      </c>
      <c r="J62" t="s">
        <v>744</v>
      </c>
      <c r="K62" t="s">
        <v>745</v>
      </c>
      <c r="L62">
        <v>95</v>
      </c>
      <c r="M62" t="s">
        <v>242</v>
      </c>
      <c r="N62" t="s">
        <v>244</v>
      </c>
      <c r="O62" t="s">
        <v>245</v>
      </c>
    </row>
    <row r="63" spans="1:15" x14ac:dyDescent="0.25">
      <c r="A63" t="s">
        <v>823</v>
      </c>
      <c r="B63">
        <v>2023</v>
      </c>
      <c r="C63" t="s">
        <v>267</v>
      </c>
      <c r="E63" t="s">
        <v>270</v>
      </c>
      <c r="G63" t="s">
        <v>647</v>
      </c>
      <c r="H63" t="s">
        <v>50</v>
      </c>
      <c r="I63" t="s">
        <v>752</v>
      </c>
      <c r="J63" t="s">
        <v>744</v>
      </c>
      <c r="K63" t="s">
        <v>745</v>
      </c>
      <c r="L63">
        <v>0.01</v>
      </c>
      <c r="N63" t="s">
        <v>268</v>
      </c>
      <c r="O63" t="s">
        <v>269</v>
      </c>
    </row>
    <row r="64" spans="1:15" x14ac:dyDescent="0.25">
      <c r="A64" t="s">
        <v>824</v>
      </c>
      <c r="B64">
        <v>2023</v>
      </c>
      <c r="C64" t="s">
        <v>267</v>
      </c>
      <c r="E64" t="s">
        <v>270</v>
      </c>
      <c r="G64" t="s">
        <v>546</v>
      </c>
      <c r="H64" t="s">
        <v>50</v>
      </c>
      <c r="I64" t="s">
        <v>752</v>
      </c>
      <c r="J64" t="s">
        <v>744</v>
      </c>
      <c r="K64" t="s">
        <v>745</v>
      </c>
      <c r="L64">
        <v>1.59</v>
      </c>
      <c r="N64" t="s">
        <v>268</v>
      </c>
      <c r="O64" t="s">
        <v>269</v>
      </c>
    </row>
    <row r="65" spans="1:15" x14ac:dyDescent="0.25">
      <c r="A65" t="s">
        <v>826</v>
      </c>
      <c r="B65">
        <v>2023</v>
      </c>
      <c r="C65" t="s">
        <v>267</v>
      </c>
      <c r="E65" t="s">
        <v>270</v>
      </c>
      <c r="G65" t="s">
        <v>326</v>
      </c>
      <c r="H65" t="s">
        <v>50</v>
      </c>
      <c r="I65" t="s">
        <v>752</v>
      </c>
      <c r="J65" t="s">
        <v>744</v>
      </c>
      <c r="K65" t="s">
        <v>745</v>
      </c>
      <c r="L65">
        <v>0.23</v>
      </c>
      <c r="N65" t="s">
        <v>268</v>
      </c>
      <c r="O65" t="s">
        <v>269</v>
      </c>
    </row>
    <row r="66" spans="1:15" x14ac:dyDescent="0.25">
      <c r="A66" t="s">
        <v>827</v>
      </c>
      <c r="B66">
        <v>2023</v>
      </c>
      <c r="C66" t="s">
        <v>267</v>
      </c>
      <c r="E66" t="s">
        <v>270</v>
      </c>
      <c r="G66" t="s">
        <v>828</v>
      </c>
      <c r="H66" t="s">
        <v>50</v>
      </c>
      <c r="I66" t="s">
        <v>752</v>
      </c>
      <c r="J66" t="s">
        <v>744</v>
      </c>
      <c r="K66" t="s">
        <v>753</v>
      </c>
      <c r="L66">
        <v>1.34</v>
      </c>
      <c r="N66" t="s">
        <v>268</v>
      </c>
      <c r="O66" t="s">
        <v>269</v>
      </c>
    </row>
    <row r="67" spans="1:15" x14ac:dyDescent="0.25">
      <c r="A67" t="s">
        <v>829</v>
      </c>
      <c r="B67">
        <v>2023</v>
      </c>
      <c r="C67" t="s">
        <v>267</v>
      </c>
      <c r="E67" t="s">
        <v>270</v>
      </c>
      <c r="G67" t="s">
        <v>830</v>
      </c>
      <c r="H67" t="s">
        <v>50</v>
      </c>
      <c r="I67" t="s">
        <v>752</v>
      </c>
      <c r="J67" t="s">
        <v>744</v>
      </c>
      <c r="K67" t="s">
        <v>753</v>
      </c>
      <c r="L67">
        <v>1.03</v>
      </c>
      <c r="N67" t="s">
        <v>268</v>
      </c>
      <c r="O67" t="s">
        <v>269</v>
      </c>
    </row>
    <row r="68" spans="1:15" x14ac:dyDescent="0.25">
      <c r="A68" t="s">
        <v>831</v>
      </c>
      <c r="B68">
        <v>2023</v>
      </c>
      <c r="C68" t="s">
        <v>267</v>
      </c>
      <c r="E68" t="s">
        <v>270</v>
      </c>
      <c r="G68" t="s">
        <v>582</v>
      </c>
      <c r="H68" t="s">
        <v>50</v>
      </c>
      <c r="I68" t="s">
        <v>752</v>
      </c>
      <c r="J68" t="s">
        <v>744</v>
      </c>
      <c r="K68" t="s">
        <v>753</v>
      </c>
      <c r="L68">
        <v>14.05</v>
      </c>
      <c r="N68" t="s">
        <v>268</v>
      </c>
      <c r="O68" t="s">
        <v>269</v>
      </c>
    </row>
    <row r="69" spans="1:15" x14ac:dyDescent="0.25">
      <c r="A69" t="s">
        <v>846</v>
      </c>
      <c r="B69">
        <v>2023</v>
      </c>
      <c r="C69" t="s">
        <v>267</v>
      </c>
      <c r="E69" t="s">
        <v>270</v>
      </c>
      <c r="G69" t="s">
        <v>115</v>
      </c>
      <c r="H69" t="s">
        <v>50</v>
      </c>
      <c r="I69" t="s">
        <v>752</v>
      </c>
      <c r="J69" t="s">
        <v>744</v>
      </c>
      <c r="K69" t="s">
        <v>753</v>
      </c>
      <c r="L69">
        <v>0.41</v>
      </c>
      <c r="N69" t="s">
        <v>268</v>
      </c>
      <c r="O69" t="s">
        <v>269</v>
      </c>
    </row>
    <row r="70" spans="1:15" x14ac:dyDescent="0.25">
      <c r="A70" t="s">
        <v>769</v>
      </c>
      <c r="B70">
        <v>2023</v>
      </c>
      <c r="D70" t="s">
        <v>273</v>
      </c>
      <c r="E70" t="s">
        <v>274</v>
      </c>
      <c r="F70" t="s">
        <v>275</v>
      </c>
      <c r="G70" t="s">
        <v>59</v>
      </c>
      <c r="H70" t="s">
        <v>50</v>
      </c>
      <c r="I70" t="s">
        <v>747</v>
      </c>
      <c r="J70" t="s">
        <v>748</v>
      </c>
      <c r="K70" t="s">
        <v>749</v>
      </c>
      <c r="L70">
        <v>9.5538046923556603</v>
      </c>
      <c r="M70" t="s">
        <v>750</v>
      </c>
      <c r="N70" t="s">
        <v>75</v>
      </c>
      <c r="O70" t="s">
        <v>76</v>
      </c>
    </row>
    <row r="71" spans="1:15" x14ac:dyDescent="0.25">
      <c r="A71" t="s">
        <v>770</v>
      </c>
      <c r="B71">
        <v>2023</v>
      </c>
      <c r="D71" t="s">
        <v>273</v>
      </c>
      <c r="E71" t="s">
        <v>274</v>
      </c>
      <c r="F71" t="s">
        <v>275</v>
      </c>
      <c r="G71" t="s">
        <v>115</v>
      </c>
      <c r="H71" t="s">
        <v>50</v>
      </c>
      <c r="I71" t="s">
        <v>752</v>
      </c>
      <c r="J71" t="s">
        <v>744</v>
      </c>
      <c r="K71" t="s">
        <v>753</v>
      </c>
      <c r="L71">
        <v>3.86</v>
      </c>
      <c r="N71" t="s">
        <v>75</v>
      </c>
      <c r="O71" t="s">
        <v>754</v>
      </c>
    </row>
    <row r="72" spans="1:15" x14ac:dyDescent="0.25">
      <c r="A72" t="s">
        <v>771</v>
      </c>
      <c r="B72">
        <v>2023</v>
      </c>
      <c r="D72" t="s">
        <v>273</v>
      </c>
      <c r="E72" t="s">
        <v>274</v>
      </c>
      <c r="F72" t="s">
        <v>275</v>
      </c>
      <c r="G72" t="s">
        <v>115</v>
      </c>
      <c r="H72" t="s">
        <v>50</v>
      </c>
      <c r="I72" t="s">
        <v>756</v>
      </c>
      <c r="J72" t="s">
        <v>744</v>
      </c>
      <c r="K72" t="s">
        <v>745</v>
      </c>
      <c r="L72">
        <v>90.6</v>
      </c>
      <c r="N72" t="s">
        <v>75</v>
      </c>
      <c r="O72" t="s">
        <v>754</v>
      </c>
    </row>
    <row r="73" spans="1:15" x14ac:dyDescent="0.25">
      <c r="A73" t="s">
        <v>746</v>
      </c>
      <c r="B73">
        <v>2023</v>
      </c>
      <c r="C73" t="s">
        <v>277</v>
      </c>
      <c r="E73" t="s">
        <v>278</v>
      </c>
      <c r="G73" t="s">
        <v>59</v>
      </c>
      <c r="H73" t="s">
        <v>50</v>
      </c>
      <c r="I73" t="s">
        <v>747</v>
      </c>
      <c r="J73" t="s">
        <v>748</v>
      </c>
      <c r="K73" t="s">
        <v>749</v>
      </c>
      <c r="L73">
        <v>3.1482939488870199</v>
      </c>
      <c r="M73" t="s">
        <v>750</v>
      </c>
      <c r="N73" t="s">
        <v>75</v>
      </c>
      <c r="O73" t="s">
        <v>76</v>
      </c>
    </row>
    <row r="74" spans="1:15" x14ac:dyDescent="0.25">
      <c r="A74" t="s">
        <v>751</v>
      </c>
      <c r="B74">
        <v>2023</v>
      </c>
      <c r="C74" t="s">
        <v>277</v>
      </c>
      <c r="E74" t="s">
        <v>278</v>
      </c>
      <c r="G74" t="s">
        <v>115</v>
      </c>
      <c r="H74" t="s">
        <v>50</v>
      </c>
      <c r="I74" t="s">
        <v>752</v>
      </c>
      <c r="J74" t="s">
        <v>744</v>
      </c>
      <c r="K74" t="s">
        <v>753</v>
      </c>
      <c r="L74">
        <v>6.11</v>
      </c>
      <c r="N74" t="s">
        <v>75</v>
      </c>
      <c r="O74" t="s">
        <v>754</v>
      </c>
    </row>
    <row r="75" spans="1:15" x14ac:dyDescent="0.25">
      <c r="A75" t="s">
        <v>755</v>
      </c>
      <c r="B75">
        <v>2023</v>
      </c>
      <c r="C75" t="s">
        <v>277</v>
      </c>
      <c r="E75" t="s">
        <v>278</v>
      </c>
      <c r="G75" t="s">
        <v>115</v>
      </c>
      <c r="H75" t="s">
        <v>50</v>
      </c>
      <c r="I75" t="s">
        <v>756</v>
      </c>
      <c r="J75" t="s">
        <v>744</v>
      </c>
      <c r="K75" t="s">
        <v>745</v>
      </c>
      <c r="L75">
        <v>96.6</v>
      </c>
      <c r="N75" t="s">
        <v>75</v>
      </c>
      <c r="O75" t="s">
        <v>754</v>
      </c>
    </row>
    <row r="76" spans="1:15" x14ac:dyDescent="0.25">
      <c r="A76" t="s">
        <v>798</v>
      </c>
      <c r="B76">
        <v>2023</v>
      </c>
      <c r="C76" t="s">
        <v>283</v>
      </c>
      <c r="E76" t="s">
        <v>286</v>
      </c>
      <c r="G76" t="s">
        <v>115</v>
      </c>
      <c r="H76" t="s">
        <v>50</v>
      </c>
      <c r="I76" t="s">
        <v>752</v>
      </c>
      <c r="J76" t="s">
        <v>744</v>
      </c>
      <c r="K76" t="s">
        <v>753</v>
      </c>
      <c r="L76">
        <v>0.36</v>
      </c>
      <c r="N76" t="s">
        <v>799</v>
      </c>
      <c r="O76" t="s">
        <v>285</v>
      </c>
    </row>
    <row r="77" spans="1:15" x14ac:dyDescent="0.25">
      <c r="A77" t="s">
        <v>800</v>
      </c>
      <c r="B77">
        <v>2023</v>
      </c>
      <c r="C77" t="s">
        <v>283</v>
      </c>
      <c r="E77" t="s">
        <v>286</v>
      </c>
      <c r="G77" t="s">
        <v>115</v>
      </c>
      <c r="H77" t="s">
        <v>50</v>
      </c>
      <c r="I77" t="s">
        <v>756</v>
      </c>
      <c r="J77" t="s">
        <v>744</v>
      </c>
      <c r="K77" t="s">
        <v>745</v>
      </c>
      <c r="L77">
        <v>64</v>
      </c>
      <c r="N77" t="s">
        <v>801</v>
      </c>
      <c r="O77" t="s">
        <v>285</v>
      </c>
    </row>
    <row r="78" spans="1:15" x14ac:dyDescent="0.25">
      <c r="A78" t="s">
        <v>839</v>
      </c>
      <c r="B78">
        <v>2023</v>
      </c>
      <c r="C78" t="s">
        <v>283</v>
      </c>
      <c r="E78" t="s">
        <v>286</v>
      </c>
      <c r="G78" t="s">
        <v>546</v>
      </c>
      <c r="H78" t="s">
        <v>50</v>
      </c>
      <c r="I78" t="s">
        <v>752</v>
      </c>
      <c r="J78" t="s">
        <v>744</v>
      </c>
      <c r="K78" t="s">
        <v>745</v>
      </c>
      <c r="L78">
        <v>0.18</v>
      </c>
      <c r="N78" t="s">
        <v>284</v>
      </c>
      <c r="O78" t="s">
        <v>285</v>
      </c>
    </row>
    <row r="79" spans="1:15" x14ac:dyDescent="0.25">
      <c r="A79" t="s">
        <v>840</v>
      </c>
      <c r="B79">
        <v>2023</v>
      </c>
      <c r="C79" t="s">
        <v>283</v>
      </c>
      <c r="E79" t="s">
        <v>286</v>
      </c>
      <c r="G79" t="s">
        <v>546</v>
      </c>
      <c r="H79" t="s">
        <v>50</v>
      </c>
      <c r="I79" t="s">
        <v>756</v>
      </c>
      <c r="J79" t="s">
        <v>744</v>
      </c>
      <c r="K79" t="s">
        <v>745</v>
      </c>
      <c r="L79">
        <v>77.599999999999994</v>
      </c>
      <c r="N79" t="s">
        <v>841</v>
      </c>
      <c r="O79" t="s">
        <v>285</v>
      </c>
    </row>
    <row r="80" spans="1:15" x14ac:dyDescent="0.25">
      <c r="A80" t="s">
        <v>842</v>
      </c>
      <c r="B80">
        <v>2023</v>
      </c>
      <c r="C80" t="s">
        <v>288</v>
      </c>
      <c r="E80" t="s">
        <v>291</v>
      </c>
      <c r="G80" t="s">
        <v>115</v>
      </c>
      <c r="H80" t="s">
        <v>50</v>
      </c>
      <c r="I80" t="s">
        <v>780</v>
      </c>
      <c r="J80" t="s">
        <v>744</v>
      </c>
      <c r="K80" t="s">
        <v>753</v>
      </c>
      <c r="L80">
        <v>0.311</v>
      </c>
      <c r="N80" t="s">
        <v>289</v>
      </c>
      <c r="O80" t="s">
        <v>290</v>
      </c>
    </row>
    <row r="81" spans="1:15" x14ac:dyDescent="0.25">
      <c r="A81" t="s">
        <v>843</v>
      </c>
      <c r="B81">
        <v>2023</v>
      </c>
      <c r="C81" t="s">
        <v>288</v>
      </c>
      <c r="E81" t="s">
        <v>291</v>
      </c>
      <c r="G81" t="s">
        <v>115</v>
      </c>
      <c r="H81" t="s">
        <v>50</v>
      </c>
      <c r="I81" t="s">
        <v>756</v>
      </c>
      <c r="J81" t="s">
        <v>744</v>
      </c>
      <c r="K81" t="s">
        <v>745</v>
      </c>
      <c r="L81">
        <v>70.400000000000006</v>
      </c>
      <c r="N81" t="s">
        <v>289</v>
      </c>
      <c r="O81" t="s">
        <v>290</v>
      </c>
    </row>
    <row r="82" spans="1:15" x14ac:dyDescent="0.25">
      <c r="A82" t="s">
        <v>844</v>
      </c>
      <c r="B82">
        <v>2023</v>
      </c>
      <c r="C82" t="s">
        <v>288</v>
      </c>
      <c r="E82" t="s">
        <v>291</v>
      </c>
      <c r="G82" t="s">
        <v>546</v>
      </c>
      <c r="H82" t="s">
        <v>50</v>
      </c>
      <c r="I82" t="s">
        <v>780</v>
      </c>
      <c r="J82" t="s">
        <v>744</v>
      </c>
      <c r="K82" t="s">
        <v>745</v>
      </c>
      <c r="L82">
        <v>0.28699999999999998</v>
      </c>
      <c r="N82" t="s">
        <v>289</v>
      </c>
      <c r="O82" t="s">
        <v>290</v>
      </c>
    </row>
    <row r="83" spans="1:15" x14ac:dyDescent="0.25">
      <c r="A83" t="s">
        <v>845</v>
      </c>
      <c r="B83">
        <v>2023</v>
      </c>
      <c r="C83" t="s">
        <v>288</v>
      </c>
      <c r="E83" t="s">
        <v>291</v>
      </c>
      <c r="G83" t="s">
        <v>546</v>
      </c>
      <c r="H83" t="s">
        <v>50</v>
      </c>
      <c r="I83" t="s">
        <v>756</v>
      </c>
      <c r="J83" t="s">
        <v>744</v>
      </c>
      <c r="K83" t="s">
        <v>745</v>
      </c>
      <c r="L83">
        <v>80</v>
      </c>
      <c r="N83" t="s">
        <v>289</v>
      </c>
      <c r="O83" t="s">
        <v>290</v>
      </c>
    </row>
    <row r="84" spans="1:15" x14ac:dyDescent="0.25">
      <c r="A84" t="s">
        <v>871</v>
      </c>
      <c r="B84">
        <v>2023</v>
      </c>
      <c r="C84" t="s">
        <v>294</v>
      </c>
      <c r="E84" t="s">
        <v>295</v>
      </c>
      <c r="G84" t="s">
        <v>59</v>
      </c>
      <c r="H84" t="s">
        <v>50</v>
      </c>
      <c r="I84" t="s">
        <v>747</v>
      </c>
      <c r="J84" t="s">
        <v>748</v>
      </c>
      <c r="K84" t="s">
        <v>749</v>
      </c>
      <c r="L84">
        <v>0.68211478599221698</v>
      </c>
      <c r="M84" t="s">
        <v>773</v>
      </c>
      <c r="N84" t="s">
        <v>61</v>
      </c>
      <c r="O84" t="s">
        <v>699</v>
      </c>
    </row>
    <row r="85" spans="1:15" x14ac:dyDescent="0.25">
      <c r="A85" t="s">
        <v>872</v>
      </c>
      <c r="B85">
        <v>2023</v>
      </c>
      <c r="C85" t="s">
        <v>294</v>
      </c>
      <c r="E85" t="s">
        <v>295</v>
      </c>
      <c r="G85" t="s">
        <v>59</v>
      </c>
      <c r="H85" t="s">
        <v>50</v>
      </c>
      <c r="I85" t="s">
        <v>864</v>
      </c>
      <c r="J85" t="s">
        <v>744</v>
      </c>
      <c r="K85" t="s">
        <v>753</v>
      </c>
      <c r="L85">
        <v>5.7009999999999996</v>
      </c>
      <c r="N85" t="s">
        <v>61</v>
      </c>
      <c r="O85" t="s">
        <v>873</v>
      </c>
    </row>
    <row r="86" spans="1:15" x14ac:dyDescent="0.25">
      <c r="A86" t="s">
        <v>876</v>
      </c>
      <c r="B86">
        <v>2023</v>
      </c>
      <c r="C86" t="s">
        <v>294</v>
      </c>
      <c r="E86" t="s">
        <v>295</v>
      </c>
      <c r="G86" t="s">
        <v>59</v>
      </c>
      <c r="H86" t="s">
        <v>50</v>
      </c>
      <c r="I86" t="s">
        <v>778</v>
      </c>
      <c r="J86" t="s">
        <v>744</v>
      </c>
      <c r="K86" t="s">
        <v>745</v>
      </c>
      <c r="L86">
        <v>95.7</v>
      </c>
      <c r="N86" t="s">
        <v>61</v>
      </c>
      <c r="O86" t="s">
        <v>877</v>
      </c>
    </row>
    <row r="87" spans="1:15" x14ac:dyDescent="0.25">
      <c r="A87" t="s">
        <v>849</v>
      </c>
      <c r="B87">
        <v>2023</v>
      </c>
      <c r="C87" t="s">
        <v>297</v>
      </c>
      <c r="E87" t="s">
        <v>300</v>
      </c>
      <c r="G87" t="s">
        <v>59</v>
      </c>
      <c r="H87" t="s">
        <v>50</v>
      </c>
      <c r="I87" t="s">
        <v>747</v>
      </c>
      <c r="J87" t="s">
        <v>748</v>
      </c>
      <c r="K87" t="s">
        <v>749</v>
      </c>
      <c r="L87">
        <v>0.18713344208809099</v>
      </c>
      <c r="M87" t="s">
        <v>850</v>
      </c>
      <c r="N87" t="s">
        <v>298</v>
      </c>
      <c r="O87" t="s">
        <v>299</v>
      </c>
    </row>
    <row r="88" spans="1:15" x14ac:dyDescent="0.25">
      <c r="A88" t="s">
        <v>851</v>
      </c>
      <c r="B88">
        <v>2023</v>
      </c>
      <c r="C88" t="s">
        <v>297</v>
      </c>
      <c r="E88" t="s">
        <v>300</v>
      </c>
      <c r="G88" t="s">
        <v>115</v>
      </c>
      <c r="H88" t="s">
        <v>50</v>
      </c>
      <c r="I88" t="s">
        <v>780</v>
      </c>
      <c r="J88" t="s">
        <v>744</v>
      </c>
      <c r="K88" t="s">
        <v>753</v>
      </c>
      <c r="L88">
        <v>0.72</v>
      </c>
      <c r="M88" t="s">
        <v>852</v>
      </c>
      <c r="N88" t="s">
        <v>298</v>
      </c>
      <c r="O88" t="s">
        <v>299</v>
      </c>
    </row>
    <row r="89" spans="1:15" x14ac:dyDescent="0.25">
      <c r="A89" t="s">
        <v>853</v>
      </c>
      <c r="B89">
        <v>2023</v>
      </c>
      <c r="C89" t="s">
        <v>297</v>
      </c>
      <c r="E89" t="s">
        <v>300</v>
      </c>
      <c r="G89" t="s">
        <v>115</v>
      </c>
      <c r="H89" t="s">
        <v>50</v>
      </c>
      <c r="I89" t="s">
        <v>756</v>
      </c>
      <c r="J89" t="s">
        <v>744</v>
      </c>
      <c r="K89" t="s">
        <v>745</v>
      </c>
      <c r="L89">
        <v>90</v>
      </c>
      <c r="N89" t="s">
        <v>298</v>
      </c>
      <c r="O89" t="s">
        <v>299</v>
      </c>
    </row>
    <row r="90" spans="1:15" x14ac:dyDescent="0.25">
      <c r="A90" t="s">
        <v>854</v>
      </c>
      <c r="B90">
        <v>2023</v>
      </c>
      <c r="C90" t="s">
        <v>297</v>
      </c>
      <c r="E90" t="s">
        <v>300</v>
      </c>
      <c r="G90" t="s">
        <v>546</v>
      </c>
      <c r="H90" t="s">
        <v>50</v>
      </c>
      <c r="I90" t="s">
        <v>780</v>
      </c>
      <c r="J90" t="s">
        <v>744</v>
      </c>
      <c r="K90" t="s">
        <v>745</v>
      </c>
      <c r="L90">
        <v>0.77</v>
      </c>
      <c r="M90" t="s">
        <v>852</v>
      </c>
      <c r="N90" t="s">
        <v>298</v>
      </c>
      <c r="O90" t="s">
        <v>299</v>
      </c>
    </row>
    <row r="91" spans="1:15" x14ac:dyDescent="0.25">
      <c r="A91" t="s">
        <v>855</v>
      </c>
      <c r="B91">
        <v>2023</v>
      </c>
      <c r="C91" t="s">
        <v>297</v>
      </c>
      <c r="E91" t="s">
        <v>300</v>
      </c>
      <c r="G91" t="s">
        <v>546</v>
      </c>
      <c r="H91" t="s">
        <v>50</v>
      </c>
      <c r="I91" t="s">
        <v>756</v>
      </c>
      <c r="J91" t="s">
        <v>744</v>
      </c>
      <c r="K91" t="s">
        <v>745</v>
      </c>
      <c r="L91">
        <v>91</v>
      </c>
      <c r="N91" t="s">
        <v>298</v>
      </c>
      <c r="O91" t="s">
        <v>299</v>
      </c>
    </row>
    <row r="92" spans="1:15" x14ac:dyDescent="0.25">
      <c r="A92" t="s">
        <v>832</v>
      </c>
      <c r="B92">
        <v>2023</v>
      </c>
      <c r="C92" t="s">
        <v>301</v>
      </c>
      <c r="D92" t="s">
        <v>222</v>
      </c>
      <c r="E92" t="s">
        <v>302</v>
      </c>
      <c r="F92" t="s">
        <v>224</v>
      </c>
      <c r="G92" t="s">
        <v>115</v>
      </c>
      <c r="H92" t="s">
        <v>50</v>
      </c>
      <c r="I92" t="s">
        <v>752</v>
      </c>
      <c r="J92" t="s">
        <v>744</v>
      </c>
      <c r="K92" t="s">
        <v>753</v>
      </c>
      <c r="L92">
        <v>6.76</v>
      </c>
      <c r="N92" t="s">
        <v>110</v>
      </c>
      <c r="O92" t="s">
        <v>111</v>
      </c>
    </row>
    <row r="93" spans="1:15" x14ac:dyDescent="0.25">
      <c r="A93" t="s">
        <v>833</v>
      </c>
      <c r="B93">
        <v>2023</v>
      </c>
      <c r="C93" t="s">
        <v>301</v>
      </c>
      <c r="D93" t="s">
        <v>222</v>
      </c>
      <c r="E93" t="s">
        <v>302</v>
      </c>
      <c r="F93" t="s">
        <v>224</v>
      </c>
      <c r="G93" t="s">
        <v>115</v>
      </c>
      <c r="H93" t="s">
        <v>50</v>
      </c>
      <c r="I93" t="s">
        <v>756</v>
      </c>
      <c r="J93" t="s">
        <v>744</v>
      </c>
      <c r="K93" t="s">
        <v>745</v>
      </c>
      <c r="L93">
        <v>88.6</v>
      </c>
      <c r="N93" t="s">
        <v>110</v>
      </c>
      <c r="O93" t="s">
        <v>111</v>
      </c>
    </row>
    <row r="94" spans="1:15" x14ac:dyDescent="0.25">
      <c r="A94" t="s">
        <v>858</v>
      </c>
      <c r="B94">
        <v>2023</v>
      </c>
      <c r="C94" t="s">
        <v>301</v>
      </c>
      <c r="D94" t="s">
        <v>222</v>
      </c>
      <c r="E94" t="s">
        <v>302</v>
      </c>
      <c r="F94" t="s">
        <v>224</v>
      </c>
      <c r="G94" t="s">
        <v>546</v>
      </c>
      <c r="H94" t="s">
        <v>50</v>
      </c>
      <c r="I94" t="s">
        <v>752</v>
      </c>
      <c r="J94" t="s">
        <v>744</v>
      </c>
      <c r="K94" t="s">
        <v>745</v>
      </c>
      <c r="L94">
        <v>1.03</v>
      </c>
      <c r="N94" t="s">
        <v>110</v>
      </c>
      <c r="O94" t="s">
        <v>111</v>
      </c>
    </row>
    <row r="95" spans="1:15" x14ac:dyDescent="0.25">
      <c r="A95" t="s">
        <v>859</v>
      </c>
      <c r="B95">
        <v>2023</v>
      </c>
      <c r="C95" t="s">
        <v>301</v>
      </c>
      <c r="D95" t="s">
        <v>222</v>
      </c>
      <c r="E95" t="s">
        <v>302</v>
      </c>
      <c r="F95" t="s">
        <v>224</v>
      </c>
      <c r="G95" t="s">
        <v>546</v>
      </c>
      <c r="H95" t="s">
        <v>50</v>
      </c>
      <c r="I95" t="s">
        <v>756</v>
      </c>
      <c r="J95" t="s">
        <v>744</v>
      </c>
      <c r="K95" t="s">
        <v>745</v>
      </c>
      <c r="L95">
        <v>93.3</v>
      </c>
      <c r="N95" t="s">
        <v>110</v>
      </c>
      <c r="O95" t="s">
        <v>111</v>
      </c>
    </row>
    <row r="96" spans="1:15" x14ac:dyDescent="0.25">
      <c r="A96" t="s">
        <v>860</v>
      </c>
      <c r="B96">
        <v>2023</v>
      </c>
      <c r="C96" t="s">
        <v>301</v>
      </c>
      <c r="D96" t="s">
        <v>222</v>
      </c>
      <c r="E96" t="s">
        <v>302</v>
      </c>
      <c r="F96" t="s">
        <v>224</v>
      </c>
      <c r="G96" t="s">
        <v>546</v>
      </c>
      <c r="H96" t="s">
        <v>258</v>
      </c>
      <c r="I96" t="s">
        <v>743</v>
      </c>
      <c r="J96" t="s">
        <v>744</v>
      </c>
      <c r="K96" t="s">
        <v>861</v>
      </c>
      <c r="L96">
        <v>15.44</v>
      </c>
      <c r="N96" t="s">
        <v>110</v>
      </c>
      <c r="O96" t="s">
        <v>111</v>
      </c>
    </row>
    <row r="97" spans="1:15" x14ac:dyDescent="0.25">
      <c r="A97" t="s">
        <v>865</v>
      </c>
      <c r="B97">
        <v>2023</v>
      </c>
      <c r="C97" t="s">
        <v>301</v>
      </c>
      <c r="D97" t="s">
        <v>222</v>
      </c>
      <c r="E97" t="s">
        <v>302</v>
      </c>
      <c r="F97" t="s">
        <v>224</v>
      </c>
      <c r="G97" t="s">
        <v>582</v>
      </c>
      <c r="H97" t="s">
        <v>50</v>
      </c>
      <c r="I97" t="s">
        <v>752</v>
      </c>
      <c r="J97" t="s">
        <v>744</v>
      </c>
      <c r="K97" t="s">
        <v>745</v>
      </c>
      <c r="L97">
        <v>25.11</v>
      </c>
      <c r="N97" t="s">
        <v>110</v>
      </c>
      <c r="O97" t="s">
        <v>111</v>
      </c>
    </row>
    <row r="98" spans="1:15" x14ac:dyDescent="0.25">
      <c r="A98" t="s">
        <v>866</v>
      </c>
      <c r="B98">
        <v>2023</v>
      </c>
      <c r="C98" t="s">
        <v>301</v>
      </c>
      <c r="D98" t="s">
        <v>222</v>
      </c>
      <c r="E98" t="s">
        <v>302</v>
      </c>
      <c r="F98" t="s">
        <v>224</v>
      </c>
      <c r="G98" t="s">
        <v>582</v>
      </c>
      <c r="H98" t="s">
        <v>50</v>
      </c>
      <c r="I98" t="s">
        <v>756</v>
      </c>
      <c r="J98" t="s">
        <v>744</v>
      </c>
      <c r="K98" t="s">
        <v>745</v>
      </c>
      <c r="L98">
        <v>81.5</v>
      </c>
      <c r="N98" t="s">
        <v>110</v>
      </c>
      <c r="O98" t="s">
        <v>111</v>
      </c>
    </row>
    <row r="99" spans="1:15" x14ac:dyDescent="0.25">
      <c r="A99" t="s">
        <v>867</v>
      </c>
      <c r="B99">
        <v>2023</v>
      </c>
      <c r="C99" t="s">
        <v>301</v>
      </c>
      <c r="D99" t="s">
        <v>222</v>
      </c>
      <c r="E99" t="s">
        <v>302</v>
      </c>
      <c r="F99" t="s">
        <v>224</v>
      </c>
      <c r="G99" t="s">
        <v>408</v>
      </c>
      <c r="H99" t="s">
        <v>50</v>
      </c>
      <c r="I99" t="s">
        <v>752</v>
      </c>
      <c r="J99" t="s">
        <v>744</v>
      </c>
      <c r="K99" t="s">
        <v>745</v>
      </c>
      <c r="L99">
        <v>0.84</v>
      </c>
      <c r="N99" t="s">
        <v>110</v>
      </c>
      <c r="O99" t="s">
        <v>111</v>
      </c>
    </row>
    <row r="100" spans="1:15" x14ac:dyDescent="0.25">
      <c r="A100" t="s">
        <v>856</v>
      </c>
      <c r="B100">
        <v>2023</v>
      </c>
      <c r="C100" t="s">
        <v>337</v>
      </c>
      <c r="E100" t="s">
        <v>338</v>
      </c>
      <c r="G100" t="s">
        <v>59</v>
      </c>
      <c r="H100" t="s">
        <v>50</v>
      </c>
      <c r="I100" t="s">
        <v>747</v>
      </c>
      <c r="J100" t="s">
        <v>748</v>
      </c>
      <c r="K100" t="s">
        <v>749</v>
      </c>
      <c r="L100">
        <v>3.4725899132815998</v>
      </c>
      <c r="M100" t="s">
        <v>850</v>
      </c>
      <c r="N100" t="s">
        <v>298</v>
      </c>
      <c r="O100" t="s">
        <v>299</v>
      </c>
    </row>
    <row r="101" spans="1:15" x14ac:dyDescent="0.25">
      <c r="A101" t="s">
        <v>857</v>
      </c>
      <c r="B101">
        <v>2023</v>
      </c>
      <c r="C101" t="s">
        <v>337</v>
      </c>
      <c r="E101" t="s">
        <v>338</v>
      </c>
      <c r="G101" t="s">
        <v>115</v>
      </c>
      <c r="H101" t="s">
        <v>50</v>
      </c>
      <c r="I101" t="s">
        <v>780</v>
      </c>
      <c r="J101" t="s">
        <v>744</v>
      </c>
      <c r="K101" t="s">
        <v>753</v>
      </c>
      <c r="L101">
        <v>0.99</v>
      </c>
      <c r="M101" t="s">
        <v>852</v>
      </c>
      <c r="N101" t="s">
        <v>298</v>
      </c>
      <c r="O101" t="s">
        <v>299</v>
      </c>
    </row>
    <row r="102" spans="1:15" x14ac:dyDescent="0.25">
      <c r="A102" t="s">
        <v>862</v>
      </c>
      <c r="B102">
        <v>2023</v>
      </c>
      <c r="C102" t="s">
        <v>337</v>
      </c>
      <c r="E102" t="s">
        <v>338</v>
      </c>
      <c r="G102" t="s">
        <v>59</v>
      </c>
      <c r="H102" t="s">
        <v>50</v>
      </c>
      <c r="I102" t="s">
        <v>756</v>
      </c>
      <c r="J102" t="s">
        <v>744</v>
      </c>
      <c r="K102" t="s">
        <v>745</v>
      </c>
      <c r="L102">
        <v>91</v>
      </c>
      <c r="N102" t="s">
        <v>298</v>
      </c>
      <c r="O102" t="s">
        <v>299</v>
      </c>
    </row>
    <row r="103" spans="1:15" x14ac:dyDescent="0.25">
      <c r="A103" t="s">
        <v>869</v>
      </c>
      <c r="B103">
        <v>2023</v>
      </c>
      <c r="C103" t="s">
        <v>340</v>
      </c>
      <c r="E103" t="s">
        <v>341</v>
      </c>
      <c r="G103" t="s">
        <v>115</v>
      </c>
      <c r="H103" t="s">
        <v>50</v>
      </c>
      <c r="I103" t="s">
        <v>864</v>
      </c>
      <c r="J103" t="s">
        <v>744</v>
      </c>
      <c r="K103" t="s">
        <v>753</v>
      </c>
      <c r="L103">
        <v>0.27600000000000002</v>
      </c>
      <c r="N103" t="s">
        <v>61</v>
      </c>
      <c r="O103" t="s">
        <v>62</v>
      </c>
    </row>
    <row r="104" spans="1:15" x14ac:dyDescent="0.25">
      <c r="A104" t="s">
        <v>870</v>
      </c>
      <c r="B104">
        <v>2023</v>
      </c>
      <c r="C104" t="s">
        <v>340</v>
      </c>
      <c r="E104" t="s">
        <v>341</v>
      </c>
      <c r="G104" t="s">
        <v>115</v>
      </c>
      <c r="H104" t="s">
        <v>50</v>
      </c>
      <c r="I104" t="s">
        <v>778</v>
      </c>
      <c r="J104" t="s">
        <v>744</v>
      </c>
      <c r="K104" t="s">
        <v>745</v>
      </c>
      <c r="L104">
        <v>54.2</v>
      </c>
      <c r="N104" t="s">
        <v>61</v>
      </c>
      <c r="O104" t="s">
        <v>62</v>
      </c>
    </row>
    <row r="105" spans="1:15" x14ac:dyDescent="0.25">
      <c r="A105" t="s">
        <v>874</v>
      </c>
      <c r="B105">
        <v>2023</v>
      </c>
      <c r="C105" t="s">
        <v>340</v>
      </c>
      <c r="E105" t="s">
        <v>341</v>
      </c>
      <c r="G105" t="s">
        <v>546</v>
      </c>
      <c r="H105" t="s">
        <v>50</v>
      </c>
      <c r="I105" t="s">
        <v>864</v>
      </c>
      <c r="J105" t="s">
        <v>744</v>
      </c>
      <c r="K105" t="s">
        <v>745</v>
      </c>
      <c r="L105">
        <v>0.4</v>
      </c>
      <c r="N105" t="s">
        <v>61</v>
      </c>
      <c r="O105" t="s">
        <v>62</v>
      </c>
    </row>
    <row r="106" spans="1:15" x14ac:dyDescent="0.25">
      <c r="A106" t="s">
        <v>875</v>
      </c>
      <c r="B106">
        <v>2023</v>
      </c>
      <c r="C106" t="s">
        <v>340</v>
      </c>
      <c r="E106" t="s">
        <v>341</v>
      </c>
      <c r="G106" t="s">
        <v>546</v>
      </c>
      <c r="H106" t="s">
        <v>50</v>
      </c>
      <c r="I106" t="s">
        <v>778</v>
      </c>
      <c r="J106" t="s">
        <v>744</v>
      </c>
      <c r="K106" t="s">
        <v>745</v>
      </c>
      <c r="L106">
        <v>81.2</v>
      </c>
      <c r="N106" t="s">
        <v>61</v>
      </c>
      <c r="O106" t="s">
        <v>62</v>
      </c>
    </row>
    <row r="107" spans="1:15" x14ac:dyDescent="0.25">
      <c r="A107" t="s">
        <v>808</v>
      </c>
      <c r="B107">
        <v>2023</v>
      </c>
      <c r="C107" t="s">
        <v>343</v>
      </c>
      <c r="E107" t="s">
        <v>346</v>
      </c>
      <c r="G107" t="s">
        <v>59</v>
      </c>
      <c r="H107" t="s">
        <v>50</v>
      </c>
      <c r="I107" t="s">
        <v>747</v>
      </c>
      <c r="J107" t="s">
        <v>748</v>
      </c>
      <c r="K107" t="s">
        <v>749</v>
      </c>
      <c r="L107">
        <v>1.1810594530320999</v>
      </c>
      <c r="M107" t="s">
        <v>809</v>
      </c>
      <c r="N107" t="s">
        <v>344</v>
      </c>
      <c r="O107" t="s">
        <v>345</v>
      </c>
    </row>
    <row r="108" spans="1:15" x14ac:dyDescent="0.25">
      <c r="A108" t="s">
        <v>897</v>
      </c>
      <c r="B108">
        <v>2023</v>
      </c>
      <c r="D108" t="s">
        <v>361</v>
      </c>
      <c r="E108" t="s">
        <v>364</v>
      </c>
      <c r="F108" t="s">
        <v>365</v>
      </c>
      <c r="G108" t="s">
        <v>115</v>
      </c>
      <c r="H108" t="s">
        <v>50</v>
      </c>
      <c r="I108" t="s">
        <v>898</v>
      </c>
      <c r="J108" t="s">
        <v>744</v>
      </c>
      <c r="K108" t="s">
        <v>753</v>
      </c>
      <c r="L108">
        <v>10.14</v>
      </c>
      <c r="N108" t="s">
        <v>362</v>
      </c>
      <c r="O108" t="s">
        <v>363</v>
      </c>
    </row>
    <row r="109" spans="1:15" x14ac:dyDescent="0.25">
      <c r="A109" t="s">
        <v>899</v>
      </c>
      <c r="B109">
        <v>2023</v>
      </c>
      <c r="D109" t="s">
        <v>361</v>
      </c>
      <c r="E109" t="s">
        <v>364</v>
      </c>
      <c r="F109" t="s">
        <v>365</v>
      </c>
      <c r="G109" t="s">
        <v>115</v>
      </c>
      <c r="H109" t="s">
        <v>50</v>
      </c>
      <c r="I109" t="s">
        <v>756</v>
      </c>
      <c r="J109" t="s">
        <v>744</v>
      </c>
      <c r="K109" t="s">
        <v>745</v>
      </c>
      <c r="L109">
        <v>97</v>
      </c>
      <c r="N109" t="s">
        <v>362</v>
      </c>
      <c r="O109" t="s">
        <v>363</v>
      </c>
    </row>
    <row r="110" spans="1:15" x14ac:dyDescent="0.25">
      <c r="A110" t="s">
        <v>821</v>
      </c>
      <c r="B110">
        <v>2023</v>
      </c>
      <c r="C110" t="s">
        <v>367</v>
      </c>
      <c r="D110" t="s">
        <v>222</v>
      </c>
      <c r="E110" t="s">
        <v>368</v>
      </c>
      <c r="F110" t="s">
        <v>224</v>
      </c>
      <c r="G110" t="s">
        <v>115</v>
      </c>
      <c r="H110" t="s">
        <v>50</v>
      </c>
      <c r="I110" t="s">
        <v>752</v>
      </c>
      <c r="J110" t="s">
        <v>744</v>
      </c>
      <c r="K110" t="s">
        <v>753</v>
      </c>
      <c r="L110">
        <v>3.45</v>
      </c>
      <c r="N110" t="s">
        <v>110</v>
      </c>
      <c r="O110" t="s">
        <v>111</v>
      </c>
    </row>
    <row r="111" spans="1:15" x14ac:dyDescent="0.25">
      <c r="A111" t="s">
        <v>822</v>
      </c>
      <c r="B111">
        <v>2023</v>
      </c>
      <c r="C111" t="s">
        <v>367</v>
      </c>
      <c r="D111" t="s">
        <v>222</v>
      </c>
      <c r="E111" t="s">
        <v>368</v>
      </c>
      <c r="F111" t="s">
        <v>224</v>
      </c>
      <c r="G111" t="s">
        <v>115</v>
      </c>
      <c r="H111" t="s">
        <v>50</v>
      </c>
      <c r="I111" t="s">
        <v>756</v>
      </c>
      <c r="J111" t="s">
        <v>744</v>
      </c>
      <c r="K111" t="s">
        <v>745</v>
      </c>
      <c r="L111">
        <v>64.8</v>
      </c>
      <c r="N111" t="s">
        <v>110</v>
      </c>
      <c r="O111" t="s">
        <v>111</v>
      </c>
    </row>
    <row r="112" spans="1:15" x14ac:dyDescent="0.25">
      <c r="A112" t="s">
        <v>882</v>
      </c>
      <c r="B112">
        <v>2023</v>
      </c>
      <c r="C112" t="s">
        <v>367</v>
      </c>
      <c r="D112" t="s">
        <v>222</v>
      </c>
      <c r="E112" t="s">
        <v>368</v>
      </c>
      <c r="F112" t="s">
        <v>224</v>
      </c>
      <c r="G112" t="s">
        <v>546</v>
      </c>
      <c r="H112" t="s">
        <v>258</v>
      </c>
      <c r="I112" t="s">
        <v>743</v>
      </c>
      <c r="J112" t="s">
        <v>744</v>
      </c>
      <c r="K112" t="s">
        <v>861</v>
      </c>
      <c r="L112">
        <v>20.11</v>
      </c>
      <c r="N112" t="s">
        <v>110</v>
      </c>
      <c r="O112" t="s">
        <v>111</v>
      </c>
    </row>
    <row r="113" spans="1:15" x14ac:dyDescent="0.25">
      <c r="A113" t="s">
        <v>883</v>
      </c>
      <c r="B113">
        <v>2023</v>
      </c>
      <c r="C113" t="s">
        <v>367</v>
      </c>
      <c r="D113" t="s">
        <v>222</v>
      </c>
      <c r="E113" t="s">
        <v>368</v>
      </c>
      <c r="F113" t="s">
        <v>224</v>
      </c>
      <c r="G113" t="s">
        <v>546</v>
      </c>
      <c r="H113" t="s">
        <v>50</v>
      </c>
      <c r="I113" t="s">
        <v>752</v>
      </c>
      <c r="J113" t="s">
        <v>744</v>
      </c>
      <c r="K113" t="s">
        <v>745</v>
      </c>
      <c r="L113">
        <v>0.74</v>
      </c>
      <c r="N113" t="s">
        <v>110</v>
      </c>
      <c r="O113" t="s">
        <v>111</v>
      </c>
    </row>
    <row r="114" spans="1:15" x14ac:dyDescent="0.25">
      <c r="A114" t="s">
        <v>884</v>
      </c>
      <c r="B114">
        <v>2023</v>
      </c>
      <c r="C114" t="s">
        <v>367</v>
      </c>
      <c r="D114" t="s">
        <v>222</v>
      </c>
      <c r="E114" t="s">
        <v>368</v>
      </c>
      <c r="F114" t="s">
        <v>224</v>
      </c>
      <c r="G114" t="s">
        <v>546</v>
      </c>
      <c r="H114" t="s">
        <v>50</v>
      </c>
      <c r="I114" t="s">
        <v>756</v>
      </c>
      <c r="J114" t="s">
        <v>744</v>
      </c>
      <c r="K114" t="s">
        <v>745</v>
      </c>
      <c r="L114">
        <v>90.4</v>
      </c>
      <c r="N114" t="s">
        <v>110</v>
      </c>
      <c r="O114" t="s">
        <v>111</v>
      </c>
    </row>
    <row r="115" spans="1:15" x14ac:dyDescent="0.25">
      <c r="A115" t="s">
        <v>887</v>
      </c>
      <c r="B115">
        <v>2023</v>
      </c>
      <c r="C115" t="s">
        <v>367</v>
      </c>
      <c r="D115" t="s">
        <v>222</v>
      </c>
      <c r="E115" t="s">
        <v>368</v>
      </c>
      <c r="F115" t="s">
        <v>224</v>
      </c>
      <c r="G115" t="s">
        <v>582</v>
      </c>
      <c r="H115" t="s">
        <v>50</v>
      </c>
      <c r="I115" t="s">
        <v>752</v>
      </c>
      <c r="J115" t="s">
        <v>744</v>
      </c>
      <c r="K115" t="s">
        <v>753</v>
      </c>
      <c r="L115">
        <v>24.19</v>
      </c>
      <c r="N115" t="s">
        <v>110</v>
      </c>
      <c r="O115" t="s">
        <v>111</v>
      </c>
    </row>
    <row r="116" spans="1:15" x14ac:dyDescent="0.25">
      <c r="A116" t="s">
        <v>888</v>
      </c>
      <c r="B116">
        <v>2023</v>
      </c>
      <c r="C116" t="s">
        <v>367</v>
      </c>
      <c r="D116" t="s">
        <v>222</v>
      </c>
      <c r="E116" t="s">
        <v>368</v>
      </c>
      <c r="F116" t="s">
        <v>224</v>
      </c>
      <c r="G116" t="s">
        <v>582</v>
      </c>
      <c r="H116" t="s">
        <v>50</v>
      </c>
      <c r="I116" t="s">
        <v>756</v>
      </c>
      <c r="J116" t="s">
        <v>744</v>
      </c>
      <c r="K116" t="s">
        <v>745</v>
      </c>
      <c r="L116">
        <v>61.4</v>
      </c>
      <c r="N116" t="s">
        <v>110</v>
      </c>
      <c r="O116" t="s">
        <v>111</v>
      </c>
    </row>
    <row r="117" spans="1:15" x14ac:dyDescent="0.25">
      <c r="A117" t="s">
        <v>889</v>
      </c>
      <c r="B117">
        <v>2023</v>
      </c>
      <c r="C117" t="s">
        <v>367</v>
      </c>
      <c r="D117" t="s">
        <v>222</v>
      </c>
      <c r="E117" t="s">
        <v>368</v>
      </c>
      <c r="F117" t="s">
        <v>224</v>
      </c>
      <c r="G117" t="s">
        <v>408</v>
      </c>
      <c r="H117" t="s">
        <v>258</v>
      </c>
      <c r="I117" t="s">
        <v>743</v>
      </c>
      <c r="J117" t="s">
        <v>744</v>
      </c>
      <c r="K117" t="s">
        <v>890</v>
      </c>
      <c r="L117">
        <v>51.84</v>
      </c>
      <c r="N117" t="s">
        <v>110</v>
      </c>
      <c r="O117" t="s">
        <v>111</v>
      </c>
    </row>
    <row r="118" spans="1:15" x14ac:dyDescent="0.25">
      <c r="A118" t="s">
        <v>891</v>
      </c>
      <c r="B118">
        <v>2023</v>
      </c>
      <c r="C118" t="s">
        <v>367</v>
      </c>
      <c r="D118" t="s">
        <v>222</v>
      </c>
      <c r="E118" t="s">
        <v>368</v>
      </c>
      <c r="F118" t="s">
        <v>224</v>
      </c>
      <c r="G118" t="s">
        <v>408</v>
      </c>
      <c r="H118" t="s">
        <v>50</v>
      </c>
      <c r="I118" t="s">
        <v>752</v>
      </c>
      <c r="J118" t="s">
        <v>744</v>
      </c>
      <c r="K118" t="s">
        <v>745</v>
      </c>
      <c r="L118">
        <v>4.3600000000000003</v>
      </c>
      <c r="N118" t="s">
        <v>110</v>
      </c>
      <c r="O118" t="s">
        <v>111</v>
      </c>
    </row>
    <row r="119" spans="1:15" x14ac:dyDescent="0.25">
      <c r="A119" t="s">
        <v>892</v>
      </c>
      <c r="B119">
        <v>2023</v>
      </c>
      <c r="C119" t="s">
        <v>367</v>
      </c>
      <c r="D119" t="s">
        <v>222</v>
      </c>
      <c r="E119" t="s">
        <v>368</v>
      </c>
      <c r="F119" t="s">
        <v>224</v>
      </c>
      <c r="G119" t="s">
        <v>408</v>
      </c>
      <c r="H119" t="s">
        <v>50</v>
      </c>
      <c r="I119" t="s">
        <v>756</v>
      </c>
      <c r="J119" t="s">
        <v>744</v>
      </c>
      <c r="K119" t="s">
        <v>745</v>
      </c>
      <c r="L119">
        <v>82.2</v>
      </c>
      <c r="N119" t="s">
        <v>110</v>
      </c>
      <c r="O119" t="s">
        <v>111</v>
      </c>
    </row>
    <row r="120" spans="1:15" x14ac:dyDescent="0.25">
      <c r="A120" t="s">
        <v>893</v>
      </c>
      <c r="B120">
        <v>2023</v>
      </c>
      <c r="C120" t="s">
        <v>381</v>
      </c>
      <c r="E120" t="s">
        <v>384</v>
      </c>
      <c r="G120" t="s">
        <v>115</v>
      </c>
      <c r="H120" t="s">
        <v>258</v>
      </c>
      <c r="I120" t="s">
        <v>780</v>
      </c>
      <c r="J120" t="s">
        <v>744</v>
      </c>
      <c r="K120" t="s">
        <v>753</v>
      </c>
      <c r="L120">
        <v>5.0999999999999996</v>
      </c>
      <c r="M120" t="s">
        <v>852</v>
      </c>
      <c r="N120" t="s">
        <v>382</v>
      </c>
      <c r="O120" t="s">
        <v>383</v>
      </c>
    </row>
    <row r="121" spans="1:15" x14ac:dyDescent="0.25">
      <c r="A121" t="s">
        <v>894</v>
      </c>
      <c r="B121">
        <v>2022</v>
      </c>
      <c r="C121" t="s">
        <v>387</v>
      </c>
      <c r="E121" t="s">
        <v>390</v>
      </c>
      <c r="G121" t="s">
        <v>647</v>
      </c>
      <c r="H121" t="s">
        <v>50</v>
      </c>
      <c r="I121" t="s">
        <v>756</v>
      </c>
      <c r="J121" t="s">
        <v>744</v>
      </c>
      <c r="K121" t="s">
        <v>745</v>
      </c>
      <c r="L121">
        <v>81.2</v>
      </c>
      <c r="M121" t="s">
        <v>895</v>
      </c>
      <c r="N121" t="s">
        <v>388</v>
      </c>
      <c r="O121" t="s">
        <v>389</v>
      </c>
    </row>
    <row r="122" spans="1:15" x14ac:dyDescent="0.25">
      <c r="A122" t="s">
        <v>896</v>
      </c>
      <c r="B122">
        <v>2022</v>
      </c>
      <c r="C122" t="s">
        <v>387</v>
      </c>
      <c r="E122" t="s">
        <v>390</v>
      </c>
      <c r="G122" t="s">
        <v>326</v>
      </c>
      <c r="H122" t="s">
        <v>50</v>
      </c>
      <c r="I122" t="s">
        <v>756</v>
      </c>
      <c r="J122" t="s">
        <v>744</v>
      </c>
      <c r="K122" t="s">
        <v>745</v>
      </c>
      <c r="L122">
        <v>83.5</v>
      </c>
      <c r="M122" t="s">
        <v>895</v>
      </c>
      <c r="N122" t="s">
        <v>388</v>
      </c>
      <c r="O122" t="s">
        <v>389</v>
      </c>
    </row>
    <row r="123" spans="1:15" x14ac:dyDescent="0.25">
      <c r="A123" t="s">
        <v>886</v>
      </c>
      <c r="B123">
        <v>2023</v>
      </c>
      <c r="D123" t="s">
        <v>398</v>
      </c>
      <c r="E123" t="s">
        <v>401</v>
      </c>
      <c r="F123" t="s">
        <v>402</v>
      </c>
      <c r="G123" t="s">
        <v>115</v>
      </c>
      <c r="H123" t="s">
        <v>50</v>
      </c>
      <c r="I123" t="s">
        <v>780</v>
      </c>
      <c r="J123" t="s">
        <v>744</v>
      </c>
      <c r="K123" t="s">
        <v>753</v>
      </c>
      <c r="L123">
        <v>2.7</v>
      </c>
      <c r="M123" t="s">
        <v>852</v>
      </c>
      <c r="N123" t="s">
        <v>399</v>
      </c>
      <c r="O123" t="s">
        <v>400</v>
      </c>
    </row>
    <row r="124" spans="1:15" x14ac:dyDescent="0.25">
      <c r="A124" t="s">
        <v>834</v>
      </c>
      <c r="B124">
        <v>2023</v>
      </c>
      <c r="C124" t="s">
        <v>423</v>
      </c>
      <c r="E124" t="s">
        <v>426</v>
      </c>
      <c r="G124" t="s">
        <v>59</v>
      </c>
      <c r="H124" t="s">
        <v>50</v>
      </c>
      <c r="I124" t="s">
        <v>747</v>
      </c>
      <c r="J124" t="s">
        <v>748</v>
      </c>
      <c r="K124" t="s">
        <v>749</v>
      </c>
      <c r="L124">
        <v>2.3439110251450601</v>
      </c>
      <c r="M124" t="s">
        <v>835</v>
      </c>
      <c r="N124" t="s">
        <v>424</v>
      </c>
      <c r="O124" t="s">
        <v>425</v>
      </c>
    </row>
    <row r="125" spans="1:15" x14ac:dyDescent="0.25">
      <c r="A125" t="s">
        <v>836</v>
      </c>
      <c r="B125">
        <v>2023</v>
      </c>
      <c r="C125" t="s">
        <v>423</v>
      </c>
      <c r="E125" t="s">
        <v>426</v>
      </c>
      <c r="G125" t="s">
        <v>59</v>
      </c>
      <c r="H125" t="s">
        <v>50</v>
      </c>
      <c r="I125" t="s">
        <v>752</v>
      </c>
      <c r="J125" t="s">
        <v>744</v>
      </c>
      <c r="K125" t="s">
        <v>753</v>
      </c>
      <c r="L125">
        <v>3.03</v>
      </c>
      <c r="N125" t="s">
        <v>424</v>
      </c>
      <c r="O125" t="s">
        <v>425</v>
      </c>
    </row>
    <row r="126" spans="1:15" x14ac:dyDescent="0.25">
      <c r="A126" t="s">
        <v>837</v>
      </c>
      <c r="B126">
        <v>2023</v>
      </c>
      <c r="C126" t="s">
        <v>423</v>
      </c>
      <c r="E126" t="s">
        <v>426</v>
      </c>
      <c r="G126" t="s">
        <v>59</v>
      </c>
      <c r="H126" t="s">
        <v>50</v>
      </c>
      <c r="I126" t="s">
        <v>780</v>
      </c>
      <c r="J126" t="s">
        <v>744</v>
      </c>
      <c r="K126" t="s">
        <v>753</v>
      </c>
      <c r="L126">
        <v>3.19</v>
      </c>
      <c r="N126" t="s">
        <v>424</v>
      </c>
      <c r="O126" t="s">
        <v>425</v>
      </c>
    </row>
    <row r="127" spans="1:15" x14ac:dyDescent="0.25">
      <c r="A127" t="s">
        <v>838</v>
      </c>
      <c r="B127">
        <v>2023</v>
      </c>
      <c r="C127" t="s">
        <v>423</v>
      </c>
      <c r="E127" t="s">
        <v>426</v>
      </c>
      <c r="G127" t="s">
        <v>59</v>
      </c>
      <c r="H127" t="s">
        <v>50</v>
      </c>
      <c r="I127" t="s">
        <v>756</v>
      </c>
      <c r="J127" t="s">
        <v>744</v>
      </c>
      <c r="K127" t="s">
        <v>745</v>
      </c>
      <c r="L127">
        <v>93</v>
      </c>
      <c r="N127" t="s">
        <v>424</v>
      </c>
      <c r="O127" t="s">
        <v>425</v>
      </c>
    </row>
    <row r="128" spans="1:15" x14ac:dyDescent="0.25">
      <c r="A128" t="s">
        <v>781</v>
      </c>
      <c r="B128">
        <v>2023</v>
      </c>
      <c r="C128" t="s">
        <v>428</v>
      </c>
      <c r="E128" t="s">
        <v>429</v>
      </c>
      <c r="G128" t="s">
        <v>59</v>
      </c>
      <c r="H128" t="s">
        <v>50</v>
      </c>
      <c r="I128" t="s">
        <v>747</v>
      </c>
      <c r="J128" t="s">
        <v>748</v>
      </c>
      <c r="K128" t="s">
        <v>749</v>
      </c>
      <c r="L128">
        <v>0.15680324192064901</v>
      </c>
      <c r="M128" t="s">
        <v>773</v>
      </c>
      <c r="N128" t="s">
        <v>196</v>
      </c>
      <c r="O128" t="s">
        <v>197</v>
      </c>
    </row>
    <row r="129" spans="1:15" x14ac:dyDescent="0.25">
      <c r="A129" t="s">
        <v>782</v>
      </c>
      <c r="B129">
        <v>2023</v>
      </c>
      <c r="C129" t="s">
        <v>428</v>
      </c>
      <c r="E129" t="s">
        <v>429</v>
      </c>
      <c r="G129" t="s">
        <v>115</v>
      </c>
      <c r="H129" t="s">
        <v>50</v>
      </c>
      <c r="I129" t="s">
        <v>775</v>
      </c>
      <c r="J129" t="s">
        <v>744</v>
      </c>
      <c r="K129" t="s">
        <v>753</v>
      </c>
      <c r="L129">
        <v>2.2000000000000002</v>
      </c>
      <c r="M129" t="s">
        <v>776</v>
      </c>
      <c r="N129" t="s">
        <v>196</v>
      </c>
      <c r="O129" t="s">
        <v>197</v>
      </c>
    </row>
    <row r="130" spans="1:15" x14ac:dyDescent="0.25">
      <c r="A130" t="s">
        <v>783</v>
      </c>
      <c r="B130">
        <v>2023</v>
      </c>
      <c r="C130" t="s">
        <v>428</v>
      </c>
      <c r="E130" t="s">
        <v>429</v>
      </c>
      <c r="G130" t="s">
        <v>115</v>
      </c>
      <c r="H130" t="s">
        <v>50</v>
      </c>
      <c r="I130" t="s">
        <v>778</v>
      </c>
      <c r="J130" t="s">
        <v>744</v>
      </c>
      <c r="K130" t="s">
        <v>745</v>
      </c>
      <c r="L130">
        <v>90</v>
      </c>
      <c r="N130" t="s">
        <v>196</v>
      </c>
      <c r="O130" t="s">
        <v>197</v>
      </c>
    </row>
    <row r="131" spans="1:15" x14ac:dyDescent="0.25">
      <c r="A131" t="s">
        <v>787</v>
      </c>
      <c r="B131">
        <v>2023</v>
      </c>
      <c r="C131" t="s">
        <v>428</v>
      </c>
      <c r="E131" t="s">
        <v>429</v>
      </c>
      <c r="G131" t="s">
        <v>115</v>
      </c>
      <c r="H131" t="s">
        <v>50</v>
      </c>
      <c r="I131" t="s">
        <v>780</v>
      </c>
      <c r="J131" t="s">
        <v>744</v>
      </c>
      <c r="K131" t="s">
        <v>753</v>
      </c>
      <c r="L131">
        <v>2.2000000000000002</v>
      </c>
      <c r="M131" t="s">
        <v>776</v>
      </c>
      <c r="N131" t="s">
        <v>196</v>
      </c>
      <c r="O131" t="s">
        <v>197</v>
      </c>
    </row>
  </sheetData>
  <autoFilter ref="A1:S1" xr:uid="{0EA7A73C-30B7-4915-8C5F-F1BA4039628E}">
    <sortState xmlns:xlrd2="http://schemas.microsoft.com/office/spreadsheetml/2017/richdata2" ref="A2:O131">
      <sortCondition ref="E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13</vt:i4>
      </vt:variant>
    </vt:vector>
  </HeadingPairs>
  <TitlesOfParts>
    <vt:vector size="13" baseType="lpstr">
      <vt:lpstr>prod_$_data</vt:lpstr>
      <vt:lpstr>README</vt:lpstr>
      <vt:lpstr>site_selection</vt:lpstr>
      <vt:lpstr>prod_data</vt:lpstr>
      <vt:lpstr>market_shares</vt:lpstr>
      <vt:lpstr>concentrate_grade</vt:lpstr>
      <vt:lpstr>prod_table_raw</vt:lpstr>
      <vt:lpstr>site_selection_1</vt:lpstr>
      <vt:lpstr>ms_benchmark</vt:lpstr>
      <vt:lpstr>Arch_refineries</vt:lpstr>
      <vt:lpstr>archetypes</vt:lpstr>
      <vt:lpstr>prices</vt:lpstr>
      <vt:lpstr>ta_data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 Pellan</dc:creator>
  <cp:lastModifiedBy>Marin Pellan</cp:lastModifiedBy>
  <dcterms:created xsi:type="dcterms:W3CDTF">2015-06-05T18:19:34Z</dcterms:created>
  <dcterms:modified xsi:type="dcterms:W3CDTF">2026-01-12T14:01:57Z</dcterms:modified>
</cp:coreProperties>
</file>