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Parametrization/"/>
    </mc:Choice>
  </mc:AlternateContent>
  <xr:revisionPtr revIDLastSave="214" documentId="11_11E9C3F76A1B4BB2D302F1C4296D042578684749" xr6:coauthVersionLast="47" xr6:coauthVersionMax="47" xr10:uidLastSave="{4D0F6461-7DF6-4BBF-9D20-B5465181FAD3}"/>
  <bookViews>
    <workbookView minimized="1" xWindow="200" yWindow="1040" windowWidth="14400" windowHeight="7280" xr2:uid="{00000000-000D-0000-FFFF-FFFF00000000}"/>
  </bookViews>
  <sheets>
    <sheet name="Sheet1" sheetId="1" r:id="rId1"/>
  </sheets>
  <definedNames>
    <definedName name="_xlnm._FilterDatabase" localSheetId="0" hidden="1">Sheet1!$A$1:$X$1290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21" i="1" l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20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858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376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277" i="1"/>
  <c r="L1287" i="1"/>
  <c r="L1288" i="1"/>
  <c r="L1289" i="1"/>
  <c r="L1290" i="1"/>
  <c r="L1286" i="1"/>
  <c r="L1276" i="1"/>
  <c r="L1277" i="1"/>
  <c r="L1278" i="1"/>
  <c r="L1279" i="1"/>
  <c r="L1280" i="1"/>
  <c r="L1281" i="1"/>
  <c r="L1282" i="1"/>
  <c r="L1283" i="1"/>
  <c r="L1284" i="1"/>
  <c r="L1285" i="1"/>
  <c r="L1275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60" i="1"/>
  <c r="L1246" i="1"/>
  <c r="L1247" i="1"/>
  <c r="L1248" i="1"/>
  <c r="L1249" i="1"/>
  <c r="L1250" i="1"/>
  <c r="L1251" i="1"/>
  <c r="L1252" i="1"/>
  <c r="L1253" i="1"/>
  <c r="L1245" i="1"/>
  <c r="L1244" i="1"/>
  <c r="L1243" i="1"/>
  <c r="L1215" i="1"/>
  <c r="L1216" i="1"/>
  <c r="L1217" i="1"/>
  <c r="L1218" i="1"/>
  <c r="L1219" i="1"/>
  <c r="L121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147" i="1"/>
  <c r="L1148" i="1"/>
  <c r="L1149" i="1"/>
  <c r="L1150" i="1"/>
  <c r="L1151" i="1"/>
  <c r="L1152" i="1"/>
  <c r="L1153" i="1"/>
  <c r="L1154" i="1"/>
  <c r="L1146" i="1"/>
  <c r="L1135" i="1"/>
  <c r="L1136" i="1"/>
  <c r="L1137" i="1"/>
  <c r="L1138" i="1"/>
  <c r="L1139" i="1"/>
  <c r="L1140" i="1"/>
  <c r="L1141" i="1"/>
  <c r="L1142" i="1"/>
  <c r="L1143" i="1"/>
  <c r="L1144" i="1"/>
  <c r="L1145" i="1"/>
  <c r="L1134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09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4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991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20" i="1"/>
  <c r="L793" i="1"/>
  <c r="L794" i="1"/>
  <c r="L795" i="1"/>
  <c r="L796" i="1"/>
  <c r="L797" i="1"/>
  <c r="L798" i="1"/>
  <c r="L792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47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13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58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451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15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50" i="1"/>
  <c r="L342" i="1"/>
  <c r="L343" i="1"/>
  <c r="L344" i="1"/>
  <c r="L345" i="1"/>
  <c r="L346" i="1"/>
  <c r="L347" i="1"/>
  <c r="L348" i="1"/>
  <c r="L349" i="1"/>
  <c r="L341" i="1"/>
  <c r="L272" i="1"/>
  <c r="L273" i="1"/>
  <c r="L274" i="1"/>
  <c r="L275" i="1"/>
  <c r="L276" i="1"/>
  <c r="L271" i="1"/>
  <c r="L261" i="1"/>
  <c r="L262" i="1"/>
  <c r="L263" i="1"/>
  <c r="L264" i="1"/>
  <c r="L265" i="1"/>
  <c r="L266" i="1"/>
  <c r="L267" i="1"/>
  <c r="L268" i="1"/>
  <c r="L269" i="1"/>
  <c r="L270" i="1"/>
  <c r="L260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29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19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63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44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65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32" i="1"/>
</calcChain>
</file>

<file path=xl/sharedStrings.xml><?xml version="1.0" encoding="utf-8"?>
<sst xmlns="http://schemas.openxmlformats.org/spreadsheetml/2006/main" count="13534" uniqueCount="1477">
  <si>
    <t>env_id</t>
  </si>
  <si>
    <t>year</t>
  </si>
  <si>
    <t>compartment_name</t>
  </si>
  <si>
    <t>substance_id</t>
  </si>
  <si>
    <t>flow_direction</t>
  </si>
  <si>
    <t>release_pathway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</si>
  <si>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</si>
  <si>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</si>
  <si>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</si>
  <si>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</si>
  <si>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</si>
  <si>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</si>
  <si>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</si>
  <si>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value_tonnes_main</t>
  </si>
  <si>
    <t>value_tonnes_group</t>
  </si>
  <si>
    <t>value_tonnes_match</t>
  </si>
  <si>
    <t>value_normalized</t>
  </si>
  <si>
    <t>normalization_key</t>
  </si>
  <si>
    <t>unit_normalized</t>
  </si>
  <si>
    <t>npri-25188-2023-1</t>
  </si>
  <si>
    <t>npri-25188-2023-2</t>
  </si>
  <si>
    <t>npri-25188-2023-3</t>
  </si>
  <si>
    <t>npri-25188-2023-4</t>
  </si>
  <si>
    <t>npri-25188-2023-5</t>
  </si>
  <si>
    <t>npri-25188-2023-6</t>
  </si>
  <si>
    <t>npri-24216-2023-1</t>
  </si>
  <si>
    <t>npri-24216-2023-2</t>
  </si>
  <si>
    <t>npri-24216-2023-3</t>
  </si>
  <si>
    <t>npri-24216-2023-4</t>
  </si>
  <si>
    <t>npri-24216-2023-5</t>
  </si>
  <si>
    <t>npri-24216-2023-6</t>
  </si>
  <si>
    <t>npri-24216-2023-7</t>
  </si>
  <si>
    <t>npri-24216-2023-8</t>
  </si>
  <si>
    <t>npri-24216-2023-9</t>
  </si>
  <si>
    <t>npri-24216-2023-10</t>
  </si>
  <si>
    <t>npri-24216-2023-11</t>
  </si>
  <si>
    <t>npri-24216-2023-12</t>
  </si>
  <si>
    <t>npri-24216-2023-13</t>
  </si>
  <si>
    <t>npri-24216-2023-14</t>
  </si>
  <si>
    <t>npri-24216-2023-15</t>
  </si>
  <si>
    <t>npri-24216-2023-16</t>
  </si>
  <si>
    <t>npri-11454-2023-1</t>
  </si>
  <si>
    <t>npri-26132-2023-1</t>
  </si>
  <si>
    <t>npri-11454-2023-2</t>
  </si>
  <si>
    <t>npri-26132-2023-2</t>
  </si>
  <si>
    <t>npri-11454-2023-3</t>
  </si>
  <si>
    <t>npri-26132-2023-3</t>
  </si>
  <si>
    <t>npri-26132-2023-4</t>
  </si>
  <si>
    <t>npri-11454-2023-4</t>
  </si>
  <si>
    <t>npri-26132-2023-5</t>
  </si>
  <si>
    <t>npri-11454-2023-5</t>
  </si>
  <si>
    <t>npri-26132-2023-6</t>
  </si>
  <si>
    <t>npri-11454-2023-6</t>
  </si>
  <si>
    <t>npri-26132-2023-7</t>
  </si>
  <si>
    <t>npri-11454-2023-7</t>
  </si>
  <si>
    <t>npri-26132-2023-8</t>
  </si>
  <si>
    <t>npri-11454-2023-8</t>
  </si>
  <si>
    <t>npri-26132-2023-9</t>
  </si>
  <si>
    <t>npri-11454-2023-9</t>
  </si>
  <si>
    <t>npri-26132-2023-10</t>
  </si>
  <si>
    <t>npri-11454-2023-10</t>
  </si>
  <si>
    <t>npri-11454-2023-11</t>
  </si>
  <si>
    <t>npri-26132-2023-11</t>
  </si>
  <si>
    <t>npri-26132-2023-12</t>
  </si>
  <si>
    <t>npri-11454-2023-12</t>
  </si>
  <si>
    <t>npri-26132-2023-13</t>
  </si>
  <si>
    <t>npri-26132-2023-14</t>
  </si>
  <si>
    <t>npri-11454-2023-13</t>
  </si>
  <si>
    <t>npri-26132-2023-15</t>
  </si>
  <si>
    <t>npri-11454-2023-14</t>
  </si>
  <si>
    <t>npri-26132-2023-16</t>
  </si>
  <si>
    <t>npri-11454-2023-15</t>
  </si>
  <si>
    <t>npri-26132-2023-17</t>
  </si>
  <si>
    <t>npri-26132-2023-18</t>
  </si>
  <si>
    <t>npri-26132-2023-19</t>
  </si>
  <si>
    <t>npri-11454-2023-16</t>
  </si>
  <si>
    <t>npri-26132-2023-20</t>
  </si>
  <si>
    <t>npri-26132-2023-21</t>
  </si>
  <si>
    <t>npri-26132-2023-22</t>
  </si>
  <si>
    <t>npri-26132-2023-23</t>
  </si>
  <si>
    <t>npri-11454-2023-17</t>
  </si>
  <si>
    <t>npri-26132-2023-24</t>
  </si>
  <si>
    <t>npri-30798-2023-1</t>
  </si>
  <si>
    <t>npri-30798-2023-2</t>
  </si>
  <si>
    <t>npri-30798-2023-3</t>
  </si>
  <si>
    <t>npri-30798-2023-4</t>
  </si>
  <si>
    <t>npri-30798-2023-5</t>
  </si>
  <si>
    <t>npri-2710-2023-1</t>
  </si>
  <si>
    <t>npri-2710-2023-2</t>
  </si>
  <si>
    <t>npri-2710-2023-3</t>
  </si>
  <si>
    <t>npri-2710-2023-4</t>
  </si>
  <si>
    <t>npri-2710-2023-5</t>
  </si>
  <si>
    <t>npri-2710-2023-6</t>
  </si>
  <si>
    <t>npri-2710-2023-7</t>
  </si>
  <si>
    <t>npri-2710-2023-8</t>
  </si>
  <si>
    <t>npri-2710-2023-9</t>
  </si>
  <si>
    <t>npri-2710-2023-10</t>
  </si>
  <si>
    <t>npri-2710-2023-11</t>
  </si>
  <si>
    <t>npri-11154-2023-1</t>
  </si>
  <si>
    <t>npri-11154-2023-2</t>
  </si>
  <si>
    <t>npri-11154-2023-3</t>
  </si>
  <si>
    <t>npri-11154-2023-4</t>
  </si>
  <si>
    <t>npri-11154-2023-5</t>
  </si>
  <si>
    <t>npri-11154-2023-6</t>
  </si>
  <si>
    <t>npri-11154-2023-7</t>
  </si>
  <si>
    <t>npri-11154-2023-8</t>
  </si>
  <si>
    <t>npri-11154-2023-9</t>
  </si>
  <si>
    <t>npri-11154-2023-10</t>
  </si>
  <si>
    <t>npri-11154-2023-11</t>
  </si>
  <si>
    <t>npri-11154-2023-12</t>
  </si>
  <si>
    <t>npri-11154-2023-13</t>
  </si>
  <si>
    <t>npri-11154-2023-14</t>
  </si>
  <si>
    <t>npri-11154-2023-15</t>
  </si>
  <si>
    <t>npri-11154-2023-16</t>
  </si>
  <si>
    <t>npri-11154-2023-17</t>
  </si>
  <si>
    <t>npri-1303-2023-1</t>
  </si>
  <si>
    <t>npri-1303-2023-2</t>
  </si>
  <si>
    <t>npri-1303-2023-3</t>
  </si>
  <si>
    <t>npri-1303-2023-4</t>
  </si>
  <si>
    <t>npri-1303-2023-5</t>
  </si>
  <si>
    <t>npri-1303-2023-6</t>
  </si>
  <si>
    <t>npri-1303-2023-7</t>
  </si>
  <si>
    <t>npri-1303-2023-8</t>
  </si>
  <si>
    <t>npri-1303-2023-9</t>
  </si>
  <si>
    <t>npri-1303-2023-10</t>
  </si>
  <si>
    <t>npri-1303-2023-11</t>
  </si>
  <si>
    <t>npri-1303-2023-12</t>
  </si>
  <si>
    <t>npri-1303-2023-13</t>
  </si>
  <si>
    <t>npri-5656-2023-1</t>
  </si>
  <si>
    <t>npri-5656-2023-2</t>
  </si>
  <si>
    <t>npri-5656-2023-3</t>
  </si>
  <si>
    <t>npri-5656-2023-4</t>
  </si>
  <si>
    <t>npri-5656-2023-5</t>
  </si>
  <si>
    <t>npri-5656-2023-6</t>
  </si>
  <si>
    <t>npri-5656-2023-7</t>
  </si>
  <si>
    <t>npri-5656-2023-8</t>
  </si>
  <si>
    <t>npri-5656-2023-9</t>
  </si>
  <si>
    <t>npri-5656-2023-10</t>
  </si>
  <si>
    <t>npri-5656-2023-11</t>
  </si>
  <si>
    <t>npri-5656-2023-12</t>
  </si>
  <si>
    <t>npri-29877-2023-1</t>
  </si>
  <si>
    <t>npri-29877-2023-2</t>
  </si>
  <si>
    <t>npri-29877-2023-3</t>
  </si>
  <si>
    <t>npri-29877-2023-4</t>
  </si>
  <si>
    <t>npri-29877-2023-5</t>
  </si>
  <si>
    <t>npri-29877-2023-6</t>
  </si>
  <si>
    <t>npri-29877-2023-7</t>
  </si>
  <si>
    <t>npri-29877-2023-8</t>
  </si>
  <si>
    <t>npri-29877-2023-9</t>
  </si>
  <si>
    <t>npri-29877-2023-10</t>
  </si>
  <si>
    <t>npri-29877-2023-11</t>
  </si>
  <si>
    <t>npri-29877-2023-12</t>
  </si>
  <si>
    <t>npri-29877-2023-13</t>
  </si>
  <si>
    <t>npri-29877-2023-14</t>
  </si>
  <si>
    <t>npri-29877-2023-15</t>
  </si>
  <si>
    <t>npri-5102-2023-1</t>
  </si>
  <si>
    <t>npri-5102-2023-2</t>
  </si>
  <si>
    <t>npri-5102-2023-3</t>
  </si>
  <si>
    <t>npri-5102-2023-4</t>
  </si>
  <si>
    <t>npri-11867-2023-1</t>
  </si>
  <si>
    <t>npri-11867-2023-2</t>
  </si>
  <si>
    <t>npri-11867-2023-3</t>
  </si>
  <si>
    <t>npri-11867-2023-4</t>
  </si>
  <si>
    <t>npri-11867-2023-5</t>
  </si>
  <si>
    <t>npri-11867-2023-6</t>
  </si>
  <si>
    <t>npri-11867-2023-7</t>
  </si>
  <si>
    <t>npri-11867-2023-8</t>
  </si>
  <si>
    <t>npri-11867-2023-9</t>
  </si>
  <si>
    <t>npri-11867-2023-10</t>
  </si>
  <si>
    <t>npri-11867-2023-11</t>
  </si>
  <si>
    <t>npri-11867-2023-12</t>
  </si>
  <si>
    <t>npri-11867-2023-13</t>
  </si>
  <si>
    <t>npri-11867-2023-14</t>
  </si>
  <si>
    <t>npri-11867-2023-15</t>
  </si>
  <si>
    <t>npri-11867-2023-16</t>
  </si>
  <si>
    <t>npri-11867-2023-17</t>
  </si>
  <si>
    <t>npri-11867-2023-18</t>
  </si>
  <si>
    <t>npri-11867-2023-19</t>
  </si>
  <si>
    <t>npri-11867-2023-20</t>
  </si>
  <si>
    <t>npri-11867-2023-21</t>
  </si>
  <si>
    <t>npri-11867-2023-22</t>
  </si>
  <si>
    <t>npri-11794-2023-1</t>
  </si>
  <si>
    <t>npri-11796-2023-1</t>
  </si>
  <si>
    <t>npri-11796-2023-2</t>
  </si>
  <si>
    <t>npri-11794-2023-2</t>
  </si>
  <si>
    <t>npri-11796-2023-3</t>
  </si>
  <si>
    <t>npri-11796-2023-4</t>
  </si>
  <si>
    <t>npri-11796-2023-5</t>
  </si>
  <si>
    <t>npri-11796-2023-6</t>
  </si>
  <si>
    <t>npri-11796-2023-7</t>
  </si>
  <si>
    <t>npri-11796-2023-8</t>
  </si>
  <si>
    <t>npri-11796-2023-9</t>
  </si>
  <si>
    <t>npri-11796-2023-10</t>
  </si>
  <si>
    <t>npri-11796-2023-11</t>
  </si>
  <si>
    <t>npri-11794-2023-3</t>
  </si>
  <si>
    <t>npri-11796-2023-12</t>
  </si>
  <si>
    <t>npri-11794-2023-4</t>
  </si>
  <si>
    <t>npri-11796-2023-13</t>
  </si>
  <si>
    <t>npri-11796-2023-14</t>
  </si>
  <si>
    <t>npri-11796-2023-15</t>
  </si>
  <si>
    <t>npri-11794-2023-5</t>
  </si>
  <si>
    <t>npri-11796-2023-16</t>
  </si>
  <si>
    <t>npri-11796-2023-17</t>
  </si>
  <si>
    <t>npri-11796-2023-18</t>
  </si>
  <si>
    <t>npri-3810-2023-1</t>
  </si>
  <si>
    <t>npri-3810-2023-2</t>
  </si>
  <si>
    <t>npri-3810-2023-3</t>
  </si>
  <si>
    <t>npri-3810-2023-4</t>
  </si>
  <si>
    <t>npri-3810-2023-5</t>
  </si>
  <si>
    <t>npri-3810-2023-6</t>
  </si>
  <si>
    <t>npri-3810-2023-7</t>
  </si>
  <si>
    <t>npri-3810-2023-8</t>
  </si>
  <si>
    <t>npri-3810-2023-9</t>
  </si>
  <si>
    <t>npri-3810-2023-10</t>
  </si>
  <si>
    <t>npri-3810-2023-11</t>
  </si>
  <si>
    <t>npri-3810-2023-12</t>
  </si>
  <si>
    <t>npri-3810-2023-13</t>
  </si>
  <si>
    <t>npri-8783-2023-1</t>
  </si>
  <si>
    <t>npri-8783-2023-2</t>
  </si>
  <si>
    <t>npri-8783-2023-3</t>
  </si>
  <si>
    <t>npri-8783-2023-4</t>
  </si>
  <si>
    <t>npri-8783-2023-5</t>
  </si>
  <si>
    <t>npri-8783-2023-6</t>
  </si>
  <si>
    <t>npri-29548-2023-1</t>
  </si>
  <si>
    <t>npri-25434-2023-1</t>
  </si>
  <si>
    <t>npri-25434-2023-2</t>
  </si>
  <si>
    <t>npri-29548-2023-2</t>
  </si>
  <si>
    <t>npri-25434-2023-3</t>
  </si>
  <si>
    <t>npri-25434-2023-4</t>
  </si>
  <si>
    <t>npri-25434-2023-5</t>
  </si>
  <si>
    <t>npri-29548-2023-3</t>
  </si>
  <si>
    <t>npri-25434-2023-6</t>
  </si>
  <si>
    <t>npri-25434-2023-7</t>
  </si>
  <si>
    <t>npri-25434-2023-8</t>
  </si>
  <si>
    <t>npri-25434-2023-9</t>
  </si>
  <si>
    <t>npri-29548-2023-4</t>
  </si>
  <si>
    <t>npri-25434-2023-10</t>
  </si>
  <si>
    <t>npri-25434-2023-11</t>
  </si>
  <si>
    <t>npri-29548-2023-5</t>
  </si>
  <si>
    <t>npri-25434-2023-12</t>
  </si>
  <si>
    <t>npri-29548-2023-6</t>
  </si>
  <si>
    <t>npri-25434-2023-13</t>
  </si>
  <si>
    <t>npri-29548-2023-7</t>
  </si>
  <si>
    <t>npri-25434-2023-14</t>
  </si>
  <si>
    <t>npri-29548-2023-8</t>
  </si>
  <si>
    <t>npri-25434-2023-15</t>
  </si>
  <si>
    <t>npri-25434-2023-16</t>
  </si>
  <si>
    <t>npri-32235-2023-1</t>
  </si>
  <si>
    <t>npri-32235-2023-2</t>
  </si>
  <si>
    <t>npri-32235-2023-3</t>
  </si>
  <si>
    <t>npri-32235-2023-4</t>
  </si>
  <si>
    <t>npri-32235-2023-5</t>
  </si>
  <si>
    <t>npri-32235-2023-6</t>
  </si>
  <si>
    <t>npri-32235-2023-7</t>
  </si>
  <si>
    <t>npri-32235-2023-8</t>
  </si>
  <si>
    <t>npri-32235-2023-9</t>
  </si>
  <si>
    <t>npri-32235-2023-10</t>
  </si>
  <si>
    <t>npri-32235-2023-11</t>
  </si>
  <si>
    <t>npri-29072-2023-1</t>
  </si>
  <si>
    <t>npri-29072-2023-2</t>
  </si>
  <si>
    <t>npri-29072-2023-3</t>
  </si>
  <si>
    <t>npri-29072-2023-4</t>
  </si>
  <si>
    <t>npri-29072-2023-5</t>
  </si>
  <si>
    <t>npri-29072-2023-6</t>
  </si>
  <si>
    <t>npri-29072-2023-7</t>
  </si>
  <si>
    <t>npri-33049-2023-1</t>
  </si>
  <si>
    <t>npri-33049-2023-2</t>
  </si>
  <si>
    <t>npri-33049-2023-3</t>
  </si>
  <si>
    <t>npri-33049-2023-4</t>
  </si>
  <si>
    <t>npri-33049-2023-5</t>
  </si>
  <si>
    <t>npri-33049-2023-6</t>
  </si>
  <si>
    <t>npri-33049-2023-7</t>
  </si>
  <si>
    <t>npri-33049-2023-8</t>
  </si>
  <si>
    <t>npri-33049-2023-9</t>
  </si>
  <si>
    <t>npri-33049-2023-10</t>
  </si>
  <si>
    <t>npri-33049-2023-11</t>
  </si>
  <si>
    <t>npri-33049-2023-12</t>
  </si>
  <si>
    <t>npri-33049-2023-13</t>
  </si>
  <si>
    <t>npri-33049-2023-14</t>
  </si>
  <si>
    <t>npri-33049-2023-15</t>
  </si>
  <si>
    <t>npri-33049-2023-16</t>
  </si>
  <si>
    <t>npri-33819-2023-1</t>
  </si>
  <si>
    <t>npri-33819-2023-2</t>
  </si>
  <si>
    <t>npri-33819-2023-3</t>
  </si>
  <si>
    <t>npri-33819-2023-4</t>
  </si>
  <si>
    <t>npri-23273-2023-1</t>
  </si>
  <si>
    <t>npri-11123-2023-1</t>
  </si>
  <si>
    <t>npri-10010-2023-1</t>
  </si>
  <si>
    <t>npri-10010-2023-2</t>
  </si>
  <si>
    <t>npri-10010-2023-3</t>
  </si>
  <si>
    <t>npri-10010-2023-4</t>
  </si>
  <si>
    <t>npri-10010-2023-5</t>
  </si>
  <si>
    <t>npri-11123-2023-2</t>
  </si>
  <si>
    <t>npri-10010-2023-6</t>
  </si>
  <si>
    <t>npri-11123-2023-3</t>
  </si>
  <si>
    <t>npri-10010-2023-7</t>
  </si>
  <si>
    <t>npri-11123-2023-4</t>
  </si>
  <si>
    <t>npri-11123-2023-5</t>
  </si>
  <si>
    <t>npri-3197-2023-1</t>
  </si>
  <si>
    <t>npri-3197-2023-2</t>
  </si>
  <si>
    <t>npri-3197-2023-3</t>
  </si>
  <si>
    <t>npri-3197-2023-4</t>
  </si>
  <si>
    <t>npri-3197-2023-5</t>
  </si>
  <si>
    <t>npri-3197-2023-6</t>
  </si>
  <si>
    <t>npri-3197-2023-7</t>
  </si>
  <si>
    <t>npri-3197-2023-8</t>
  </si>
  <si>
    <t>npri-3197-2023-9</t>
  </si>
  <si>
    <t>npri-3197-2023-10</t>
  </si>
  <si>
    <t>npri-3197-2023-11</t>
  </si>
  <si>
    <t>npri-3197-2023-12</t>
  </si>
  <si>
    <t>npri-3197-2023-13</t>
  </si>
  <si>
    <t>npri-3197-2023-14</t>
  </si>
  <si>
    <t>npri-3197-2023-15</t>
  </si>
  <si>
    <t>npri-3197-2023-16</t>
  </si>
  <si>
    <t>npri-3197-2023-17</t>
  </si>
  <si>
    <t>npri-3197-2023-18</t>
  </si>
  <si>
    <t>npri-3197-2023-19</t>
  </si>
  <si>
    <t>npri-3197-2023-20</t>
  </si>
  <si>
    <t>npri-3197-2023-21</t>
  </si>
  <si>
    <t>npri-25188-2023-7</t>
  </si>
  <si>
    <t>npri-25188-2023-8</t>
  </si>
  <si>
    <t>npri-25188-2023-9</t>
  </si>
  <si>
    <t>npri-5102-2023-5</t>
  </si>
  <si>
    <t>npri-29548-2023-9</t>
  </si>
  <si>
    <t>npri-29548-2023-10</t>
  </si>
  <si>
    <t>npri-29548-2023-11</t>
  </si>
  <si>
    <t>npri-25188-2023-10</t>
  </si>
  <si>
    <t>npri-25188-2023-11</t>
  </si>
  <si>
    <t>npri-25188-2023-12</t>
  </si>
  <si>
    <t>npri-25188-2023-13</t>
  </si>
  <si>
    <t>npri-25188-2023-14</t>
  </si>
  <si>
    <t>npri-25188-2023-15</t>
  </si>
  <si>
    <t>npri-25188-2023-16</t>
  </si>
  <si>
    <t>npri-25188-2023-17</t>
  </si>
  <si>
    <t>npri-25188-2023-18</t>
  </si>
  <si>
    <t>npri-25188-2023-19</t>
  </si>
  <si>
    <t>npri-25188-2023-20</t>
  </si>
  <si>
    <t>npri-25188-2023-21</t>
  </si>
  <si>
    <t>npri-25188-2023-22</t>
  </si>
  <si>
    <t>npri-25188-2023-23</t>
  </si>
  <si>
    <t>npri-25188-2023-24</t>
  </si>
  <si>
    <t>npri-25188-2023-25</t>
  </si>
  <si>
    <t>npri-25188-2023-26</t>
  </si>
  <si>
    <t>npri-25188-2023-27</t>
  </si>
  <si>
    <t>npri-25188-2023-28</t>
  </si>
  <si>
    <t>npri-25188-2023-29</t>
  </si>
  <si>
    <t>npri-24216-2023-17</t>
  </si>
  <si>
    <t>npri-24216-2023-18</t>
  </si>
  <si>
    <t>npri-24216-2023-19</t>
  </si>
  <si>
    <t>npri-24216-2023-20</t>
  </si>
  <si>
    <t>npri-24216-2023-21</t>
  </si>
  <si>
    <t>npri-24216-2023-22</t>
  </si>
  <si>
    <t>npri-24216-2023-23</t>
  </si>
  <si>
    <t>npri-24216-2023-24</t>
  </si>
  <si>
    <t>npri-24216-2023-25</t>
  </si>
  <si>
    <t>npri-24216-2023-26</t>
  </si>
  <si>
    <t>npri-24216-2023-27</t>
  </si>
  <si>
    <t>npri-24216-2023-28</t>
  </si>
  <si>
    <t>npri-24216-2023-29</t>
  </si>
  <si>
    <t>npri-24216-2023-30</t>
  </si>
  <si>
    <t>npri-24216-2023-31</t>
  </si>
  <si>
    <t>npri-24216-2023-32</t>
  </si>
  <si>
    <t>npri-24216-2023-33</t>
  </si>
  <si>
    <t>npri-24216-2023-34</t>
  </si>
  <si>
    <t>npri-24216-2023-35</t>
  </si>
  <si>
    <t>npri-24216-2023-36</t>
  </si>
  <si>
    <t>npri-24216-2023-37</t>
  </si>
  <si>
    <t>npri-24216-2023-38</t>
  </si>
  <si>
    <t>npri-26132-2023-25</t>
  </si>
  <si>
    <t>npri-11454-2023-18</t>
  </si>
  <si>
    <t>npri-26132-2023-26</t>
  </si>
  <si>
    <t>npri-11454-2023-19</t>
  </si>
  <si>
    <t>npri-26132-2023-27</t>
  </si>
  <si>
    <t>npri-11454-2023-20</t>
  </si>
  <si>
    <t>npri-11454-2023-21</t>
  </si>
  <si>
    <t>npri-26132-2023-28</t>
  </si>
  <si>
    <t>npri-11454-2023-22</t>
  </si>
  <si>
    <t>npri-26132-2023-29</t>
  </si>
  <si>
    <t>npri-11454-2023-23</t>
  </si>
  <si>
    <t>npri-26132-2023-30</t>
  </si>
  <si>
    <t>npri-11454-2023-24</t>
  </si>
  <si>
    <t>npri-26132-2023-31</t>
  </si>
  <si>
    <t>npri-11454-2023-25</t>
  </si>
  <si>
    <t>npri-26132-2023-32</t>
  </si>
  <si>
    <t>npri-11454-2023-26</t>
  </si>
  <si>
    <t>npri-26132-2023-33</t>
  </si>
  <si>
    <t>npri-11454-2023-27</t>
  </si>
  <si>
    <t>npri-26132-2023-34</t>
  </si>
  <si>
    <t>npri-26132-2023-35</t>
  </si>
  <si>
    <t>npri-11454-2023-28</t>
  </si>
  <si>
    <t>npri-26132-2023-36</t>
  </si>
  <si>
    <t>npri-11454-2023-29</t>
  </si>
  <si>
    <t>npri-26132-2023-37</t>
  </si>
  <si>
    <t>npri-11454-2023-30</t>
  </si>
  <si>
    <t>npri-26132-2023-38</t>
  </si>
  <si>
    <t>npri-26132-2023-39</t>
  </si>
  <si>
    <t>npri-26132-2023-40</t>
  </si>
  <si>
    <t>npri-11454-2023-31</t>
  </si>
  <si>
    <t>npri-26132-2023-41</t>
  </si>
  <si>
    <t>npri-26132-2023-42</t>
  </si>
  <si>
    <t>npri-26132-2023-43</t>
  </si>
  <si>
    <t>npri-11454-2023-32</t>
  </si>
  <si>
    <t>npri-26132-2023-44</t>
  </si>
  <si>
    <t>npri-29191-2023-1</t>
  </si>
  <si>
    <t>npri-29191-2023-2</t>
  </si>
  <si>
    <t>npri-29191-2023-3</t>
  </si>
  <si>
    <t>npri-29191-2023-4</t>
  </si>
  <si>
    <t>npri-29191-2023-5</t>
  </si>
  <si>
    <t>npri-29191-2023-6</t>
  </si>
  <si>
    <t>npri-29191-2023-7</t>
  </si>
  <si>
    <t>npri-29191-2023-8</t>
  </si>
  <si>
    <t>npri-29191-2023-9</t>
  </si>
  <si>
    <t>npri-29191-2023-10</t>
  </si>
  <si>
    <t>npri-29191-2023-11</t>
  </si>
  <si>
    <t>npri-29191-2023-12</t>
  </si>
  <si>
    <t>npri-29191-2023-13</t>
  </si>
  <si>
    <t>npri-29191-2023-14</t>
  </si>
  <si>
    <t>npri-29191-2023-15</t>
  </si>
  <si>
    <t>npri-29191-2023-16</t>
  </si>
  <si>
    <t>npri-29191-2023-17</t>
  </si>
  <si>
    <t>npri-29191-2023-18</t>
  </si>
  <si>
    <t>npri-29191-2023-19</t>
  </si>
  <si>
    <t>npri-29191-2023-20</t>
  </si>
  <si>
    <t>npri-30798-2023-6</t>
  </si>
  <si>
    <t>npri-30798-2023-7</t>
  </si>
  <si>
    <t>npri-30798-2023-8</t>
  </si>
  <si>
    <t>npri-30798-2023-9</t>
  </si>
  <si>
    <t>npri-30798-2023-10</t>
  </si>
  <si>
    <t>npri-30798-2023-11</t>
  </si>
  <si>
    <t>npri-30798-2023-12</t>
  </si>
  <si>
    <t>npri-30798-2023-13</t>
  </si>
  <si>
    <t>npri-30798-2023-14</t>
  </si>
  <si>
    <t>npri-30798-2023-15</t>
  </si>
  <si>
    <t>npri-30798-2023-16</t>
  </si>
  <si>
    <t>npri-30798-2023-17</t>
  </si>
  <si>
    <t>npri-30798-2023-18</t>
  </si>
  <si>
    <t>npri-30798-2023-19</t>
  </si>
  <si>
    <t>npri-30798-2023-20</t>
  </si>
  <si>
    <t>npri-2710-2023-12</t>
  </si>
  <si>
    <t>npri-2710-2023-13</t>
  </si>
  <si>
    <t>npri-2710-2023-14</t>
  </si>
  <si>
    <t>npri-2710-2023-15</t>
  </si>
  <si>
    <t>npri-2710-2023-16</t>
  </si>
  <si>
    <t>npri-2710-2023-17</t>
  </si>
  <si>
    <t>npri-2710-2023-18</t>
  </si>
  <si>
    <t>npri-2710-2023-19</t>
  </si>
  <si>
    <t>npri-2710-2023-20</t>
  </si>
  <si>
    <t>npri-2710-2023-21</t>
  </si>
  <si>
    <t>npri-2710-2023-22</t>
  </si>
  <si>
    <t>npri-11154-2023-18</t>
  </si>
  <si>
    <t>npri-11154-2023-19</t>
  </si>
  <si>
    <t>npri-11154-2023-20</t>
  </si>
  <si>
    <t>npri-11154-2023-21</t>
  </si>
  <si>
    <t>npri-11154-2023-22</t>
  </si>
  <si>
    <t>npri-11154-2023-23</t>
  </si>
  <si>
    <t>npri-11154-2023-24</t>
  </si>
  <si>
    <t>npri-11154-2023-25</t>
  </si>
  <si>
    <t>npri-11154-2023-26</t>
  </si>
  <si>
    <t>npri-11154-2023-27</t>
  </si>
  <si>
    <t>npri-11154-2023-28</t>
  </si>
  <si>
    <t>npri-11154-2023-29</t>
  </si>
  <si>
    <t>npri-11154-2023-30</t>
  </si>
  <si>
    <t>npri-11154-2023-31</t>
  </si>
  <si>
    <t>npri-11154-2023-32</t>
  </si>
  <si>
    <t>npri-1303-2023-14</t>
  </si>
  <si>
    <t>npri-1303-2023-15</t>
  </si>
  <si>
    <t>npri-1303-2023-16</t>
  </si>
  <si>
    <t>npri-1303-2023-17</t>
  </si>
  <si>
    <t>npri-1303-2023-18</t>
  </si>
  <si>
    <t>npri-1303-2023-19</t>
  </si>
  <si>
    <t>npri-1303-2023-20</t>
  </si>
  <si>
    <t>npri-1303-2023-21</t>
  </si>
  <si>
    <t>npri-1303-2023-22</t>
  </si>
  <si>
    <t>npri-1303-2023-23</t>
  </si>
  <si>
    <t>npri-1303-2023-24</t>
  </si>
  <si>
    <t>npri-1303-2023-25</t>
  </si>
  <si>
    <t>npri-1303-2023-26</t>
  </si>
  <si>
    <t>npri-5656-2023-13</t>
  </si>
  <si>
    <t>npri-5656-2023-14</t>
  </si>
  <si>
    <t>npri-8803-2023-1</t>
  </si>
  <si>
    <t>npri-8803-2023-2</t>
  </si>
  <si>
    <t>npri-5656-2023-15</t>
  </si>
  <si>
    <t>npri-8803-2023-3</t>
  </si>
  <si>
    <t>npri-5656-2023-16</t>
  </si>
  <si>
    <t>npri-8803-2023-4</t>
  </si>
  <si>
    <t>npri-8803-2023-5</t>
  </si>
  <si>
    <t>npri-5656-2023-17</t>
  </si>
  <si>
    <t>npri-8803-2023-6</t>
  </si>
  <si>
    <t>npri-8803-2023-7</t>
  </si>
  <si>
    <t>npri-8803-2023-8</t>
  </si>
  <si>
    <t>npri-5656-2023-18</t>
  </si>
  <si>
    <t>npri-8803-2023-9</t>
  </si>
  <si>
    <t>npri-5656-2023-19</t>
  </si>
  <si>
    <t>npri-8803-2023-10</t>
  </si>
  <si>
    <t>npri-5656-2023-20</t>
  </si>
  <si>
    <t>npri-5656-2023-21</t>
  </si>
  <si>
    <t>npri-5656-2023-22</t>
  </si>
  <si>
    <t>npri-8803-2023-11</t>
  </si>
  <si>
    <t>npri-8803-2023-12</t>
  </si>
  <si>
    <t>npri-29877-2023-16</t>
  </si>
  <si>
    <t>npri-29877-2023-17</t>
  </si>
  <si>
    <t>npri-29877-2023-18</t>
  </si>
  <si>
    <t>npri-29877-2023-19</t>
  </si>
  <si>
    <t>npri-29877-2023-20</t>
  </si>
  <si>
    <t>npri-29877-2023-21</t>
  </si>
  <si>
    <t>npri-29877-2023-22</t>
  </si>
  <si>
    <t>npri-29877-2023-23</t>
  </si>
  <si>
    <t>npri-29877-2023-24</t>
  </si>
  <si>
    <t>npri-29877-2023-25</t>
  </si>
  <si>
    <t>npri-29877-2023-26</t>
  </si>
  <si>
    <t>npri-29877-2023-27</t>
  </si>
  <si>
    <t>npri-29877-2023-28</t>
  </si>
  <si>
    <t>npri-29877-2023-29</t>
  </si>
  <si>
    <t>npri-3411-2023-1</t>
  </si>
  <si>
    <t>npri-5219-2023-1</t>
  </si>
  <si>
    <t>npri-3411-2023-2</t>
  </si>
  <si>
    <t>npri-5219-2023-2</t>
  </si>
  <si>
    <t>npri-3411-2023-3</t>
  </si>
  <si>
    <t>npri-5219-2023-3</t>
  </si>
  <si>
    <t>npri-5102-2023-6</t>
  </si>
  <si>
    <t>npri-5102-2023-7</t>
  </si>
  <si>
    <t>npri-5102-2023-8</t>
  </si>
  <si>
    <t>npri-5102-2023-9</t>
  </si>
  <si>
    <t>npri-5102-2023-10</t>
  </si>
  <si>
    <t>npri-5102-2023-11</t>
  </si>
  <si>
    <t>npri-11867-2023-23</t>
  </si>
  <si>
    <t>npri-11867-2023-24</t>
  </si>
  <si>
    <t>npri-11867-2023-25</t>
  </si>
  <si>
    <t>npri-11867-2023-26</t>
  </si>
  <si>
    <t>npri-11867-2023-27</t>
  </si>
  <si>
    <t>npri-11867-2023-28</t>
  </si>
  <si>
    <t>npri-11867-2023-29</t>
  </si>
  <si>
    <t>npri-11867-2023-30</t>
  </si>
  <si>
    <t>npri-11867-2023-31</t>
  </si>
  <si>
    <t>npri-11867-2023-32</t>
  </si>
  <si>
    <t>npri-11867-2023-33</t>
  </si>
  <si>
    <t>npri-11867-2023-34</t>
  </si>
  <si>
    <t>npri-11867-2023-35</t>
  </si>
  <si>
    <t>npri-11867-2023-36</t>
  </si>
  <si>
    <t>npri-11867-2023-37</t>
  </si>
  <si>
    <t>npri-11867-2023-38</t>
  </si>
  <si>
    <t>npri-11867-2023-39</t>
  </si>
  <si>
    <t>npri-11867-2023-40</t>
  </si>
  <si>
    <t>npri-11867-2023-41</t>
  </si>
  <si>
    <t>npri-11867-2023-42</t>
  </si>
  <si>
    <t>npri-11867-2023-43</t>
  </si>
  <si>
    <t>npri-11867-2023-44</t>
  </si>
  <si>
    <t>npri-11794-2023-6</t>
  </si>
  <si>
    <t>npri-11796-2023-19</t>
  </si>
  <si>
    <t>npri-11796-2023-20</t>
  </si>
  <si>
    <t>npri-11796-2023-21</t>
  </si>
  <si>
    <t>npri-11796-2023-22</t>
  </si>
  <si>
    <t>npri-11796-2023-23</t>
  </si>
  <si>
    <t>npri-11796-2023-24</t>
  </si>
  <si>
    <t>npri-11796-2023-25</t>
  </si>
  <si>
    <t>npri-11796-2023-26</t>
  </si>
  <si>
    <t>npri-11796-2023-27</t>
  </si>
  <si>
    <t>npri-11794-2023-7</t>
  </si>
  <si>
    <t>npri-11796-2023-28</t>
  </si>
  <si>
    <t>npri-11794-2023-8</t>
  </si>
  <si>
    <t>npri-11796-2023-29</t>
  </si>
  <si>
    <t>npri-11796-2023-30</t>
  </si>
  <si>
    <t>npri-11796-2023-31</t>
  </si>
  <si>
    <t>npri-11794-2023-9</t>
  </si>
  <si>
    <t>npri-11796-2023-32</t>
  </si>
  <si>
    <t>npri-11796-2023-33</t>
  </si>
  <si>
    <t>npri-11796-2023-34</t>
  </si>
  <si>
    <t>npri-3810-2023-14</t>
  </si>
  <si>
    <t>npri-3810-2023-15</t>
  </si>
  <si>
    <t>npri-3810-2023-16</t>
  </si>
  <si>
    <t>npri-3810-2023-17</t>
  </si>
  <si>
    <t>npri-3810-2023-18</t>
  </si>
  <si>
    <t>npri-3810-2023-19</t>
  </si>
  <si>
    <t>npri-3810-2023-20</t>
  </si>
  <si>
    <t>npri-3810-2023-21</t>
  </si>
  <si>
    <t>npri-3810-2023-22</t>
  </si>
  <si>
    <t>npri-3810-2023-23</t>
  </si>
  <si>
    <t>npri-3810-2023-24</t>
  </si>
  <si>
    <t>npri-3810-2023-25</t>
  </si>
  <si>
    <t>npri-3810-2023-26</t>
  </si>
  <si>
    <t>npri-8783-2023-7</t>
  </si>
  <si>
    <t>npri-8783-2023-8</t>
  </si>
  <si>
    <t>npri-8783-2023-9</t>
  </si>
  <si>
    <t>npri-8783-2023-10</t>
  </si>
  <si>
    <t>npri-8783-2023-11</t>
  </si>
  <si>
    <t>npri-8783-2023-12</t>
  </si>
  <si>
    <t>npri-8783-2023-13</t>
  </si>
  <si>
    <t>npri-8783-2023-14</t>
  </si>
  <si>
    <t>npri-8783-2023-15</t>
  </si>
  <si>
    <t>npri-8783-2023-16</t>
  </si>
  <si>
    <t>npri-8783-2023-17</t>
  </si>
  <si>
    <t>npri-8783-2023-18</t>
  </si>
  <si>
    <t>npri-8783-2023-19</t>
  </si>
  <si>
    <t>npri-8783-2023-20</t>
  </si>
  <si>
    <t>npri-8783-2023-21</t>
  </si>
  <si>
    <t>npri-8783-2023-22</t>
  </si>
  <si>
    <t>npri-8783-2023-23</t>
  </si>
  <si>
    <t>npri-8783-2023-24</t>
  </si>
  <si>
    <t>npri-25434-2023-17</t>
  </si>
  <si>
    <t>npri-25434-2023-18</t>
  </si>
  <si>
    <t>npri-25434-2023-19</t>
  </si>
  <si>
    <t>npri-25434-2023-20</t>
  </si>
  <si>
    <t>npri-25434-2023-21</t>
  </si>
  <si>
    <t>npri-25434-2023-22</t>
  </si>
  <si>
    <t>npri-25434-2023-23</t>
  </si>
  <si>
    <t>npri-25434-2023-24</t>
  </si>
  <si>
    <t>npri-25434-2023-25</t>
  </si>
  <si>
    <t>npri-25434-2023-26</t>
  </si>
  <si>
    <t>npri-29548-2023-12</t>
  </si>
  <si>
    <t>npri-25434-2023-27</t>
  </si>
  <si>
    <t>npri-29548-2023-13</t>
  </si>
  <si>
    <t>npri-25434-2023-28</t>
  </si>
  <si>
    <t>npri-29548-2023-14</t>
  </si>
  <si>
    <t>npri-25434-2023-29</t>
  </si>
  <si>
    <t>npri-25434-2023-30</t>
  </si>
  <si>
    <t>npri-32235-2023-12</t>
  </si>
  <si>
    <t>npri-32235-2023-13</t>
  </si>
  <si>
    <t>npri-32235-2023-14</t>
  </si>
  <si>
    <t>npri-32235-2023-15</t>
  </si>
  <si>
    <t>npri-32235-2023-16</t>
  </si>
  <si>
    <t>npri-32235-2023-17</t>
  </si>
  <si>
    <t>npri-32235-2023-18</t>
  </si>
  <si>
    <t>npri-32235-2023-19</t>
  </si>
  <si>
    <t>npri-32235-2023-20</t>
  </si>
  <si>
    <t>npri-32235-2023-21</t>
  </si>
  <si>
    <t>npri-32235-2023-22</t>
  </si>
  <si>
    <t>npri-32235-2023-23</t>
  </si>
  <si>
    <t>npri-29072-2023-8</t>
  </si>
  <si>
    <t>npri-29072-2023-9</t>
  </si>
  <si>
    <t>npri-29072-2023-10</t>
  </si>
  <si>
    <t>npri-29072-2023-11</t>
  </si>
  <si>
    <t>npri-29072-2023-12</t>
  </si>
  <si>
    <t>npri-33049-2023-17</t>
  </si>
  <si>
    <t>npri-33049-2023-18</t>
  </si>
  <si>
    <t>npri-33049-2023-19</t>
  </si>
  <si>
    <t>npri-33049-2023-20</t>
  </si>
  <si>
    <t>npri-33049-2023-21</t>
  </si>
  <si>
    <t>npri-33049-2023-22</t>
  </si>
  <si>
    <t>npri-33049-2023-23</t>
  </si>
  <si>
    <t>npri-33049-2023-24</t>
  </si>
  <si>
    <t>npri-33049-2023-25</t>
  </si>
  <si>
    <t>npri-33049-2023-26</t>
  </si>
  <si>
    <t>npri-33049-2023-27</t>
  </si>
  <si>
    <t>npri-33049-2023-28</t>
  </si>
  <si>
    <t>npri-33049-2023-29</t>
  </si>
  <si>
    <t>npri-33049-2023-30</t>
  </si>
  <si>
    <t>npri-33049-2023-31</t>
  </si>
  <si>
    <t>npri-33819-2023-5</t>
  </si>
  <si>
    <t>npri-33819-2023-6</t>
  </si>
  <si>
    <t>npri-33819-2023-7</t>
  </si>
  <si>
    <t>npri-33819-2023-8</t>
  </si>
  <si>
    <t>npri-10010-2023-8</t>
  </si>
  <si>
    <t>npri-11123-2023-6</t>
  </si>
  <si>
    <t>npri-10010-2023-9</t>
  </si>
  <si>
    <t>npri-11123-2023-7</t>
  </si>
  <si>
    <t>npri-10010-2023-10</t>
  </si>
  <si>
    <t>npri-11123-2023-8</t>
  </si>
  <si>
    <t>npri-10010-2023-11</t>
  </si>
  <si>
    <t>npri-11123-2023-9</t>
  </si>
  <si>
    <t>npri-10010-2023-12</t>
  </si>
  <si>
    <t>npri-11123-2023-10</t>
  </si>
  <si>
    <t>npri-10010-2023-13</t>
  </si>
  <si>
    <t>npri-11123-2023-11</t>
  </si>
  <si>
    <t>npri-10010-2023-14</t>
  </si>
  <si>
    <t>npri-11123-2023-12</t>
  </si>
  <si>
    <t>npri-10010-2023-15</t>
  </si>
  <si>
    <t>npri-11123-2023-13</t>
  </si>
  <si>
    <t>npri-10010-2023-16</t>
  </si>
  <si>
    <t>npri-11123-2023-14</t>
  </si>
  <si>
    <t>npri-10010-2023-17</t>
  </si>
  <si>
    <t>npri-11123-2023-15</t>
  </si>
  <si>
    <t>npri-10010-2023-18</t>
  </si>
  <si>
    <t>npri-11123-2023-16</t>
  </si>
  <si>
    <t>npri-11123-2023-17</t>
  </si>
  <si>
    <t>npri-11123-2023-18</t>
  </si>
  <si>
    <t>npri-10010-2023-19</t>
  </si>
  <si>
    <t>npri-11123-2023-19</t>
  </si>
  <si>
    <t>npri-10010-2023-20</t>
  </si>
  <si>
    <t>npri-11123-2023-20</t>
  </si>
  <si>
    <t>npri-3197-2023-22</t>
  </si>
  <si>
    <t>npri-3197-2023-23</t>
  </si>
  <si>
    <t>npri-3197-2023-24</t>
  </si>
  <si>
    <t>npri-3197-2023-25</t>
  </si>
  <si>
    <t>npri-3197-2023-26</t>
  </si>
  <si>
    <t>npri-3197-2023-27</t>
  </si>
  <si>
    <t>npri-3197-2023-28</t>
  </si>
  <si>
    <t>npri-3197-2023-29</t>
  </si>
  <si>
    <t>npri-3197-2023-30</t>
  </si>
  <si>
    <t>npri-3197-2023-31</t>
  </si>
  <si>
    <t>npri-3197-2023-32</t>
  </si>
  <si>
    <t>npri-3197-2023-33</t>
  </si>
  <si>
    <t>npri-3197-2023-34</t>
  </si>
  <si>
    <t>npri-3197-2023-35</t>
  </si>
  <si>
    <t>npri-3197-2023-36</t>
  </si>
  <si>
    <t>npri-3197-2023-37</t>
  </si>
  <si>
    <t>npri-3197-2023-38</t>
  </si>
  <si>
    <t>npri-3197-2023-39</t>
  </si>
  <si>
    <t>npri-25188-2023-30</t>
  </si>
  <si>
    <t>npri-25188-2023-31</t>
  </si>
  <si>
    <t>npri-25188-2023-32</t>
  </si>
  <si>
    <t>npri-25188-2023-33</t>
  </si>
  <si>
    <t>npri-25188-2023-34</t>
  </si>
  <si>
    <t>npri-25188-2023-35</t>
  </si>
  <si>
    <t>npri-24216-2023-39</t>
  </si>
  <si>
    <t>npri-24216-2023-40</t>
  </si>
  <si>
    <t>npri-24216-2023-41</t>
  </si>
  <si>
    <t>npri-24216-2023-42</t>
  </si>
  <si>
    <t>npri-24216-2023-43</t>
  </si>
  <si>
    <t>npri-24216-2023-44</t>
  </si>
  <si>
    <t>npri-24216-2023-45</t>
  </si>
  <si>
    <t>npri-24216-2023-46</t>
  </si>
  <si>
    <t>npri-24216-2023-47</t>
  </si>
  <si>
    <t>npri-24216-2023-48</t>
  </si>
  <si>
    <t>npri-29191-2023-21</t>
  </si>
  <si>
    <t>npri-29191-2023-22</t>
  </si>
  <si>
    <t>npri-29191-2023-23</t>
  </si>
  <si>
    <t>npri-1303-2023-27</t>
  </si>
  <si>
    <t>npri-1303-2023-28</t>
  </si>
  <si>
    <t>npri-1303-2023-29</t>
  </si>
  <si>
    <t>npri-1303-2023-30</t>
  </si>
  <si>
    <t>npri-1303-2023-31</t>
  </si>
  <si>
    <t>npri-1303-2023-32</t>
  </si>
  <si>
    <t>npri-5102-2023-12</t>
  </si>
  <si>
    <t>npri-5102-2023-13</t>
  </si>
  <si>
    <t>npri-5102-2023-14</t>
  </si>
  <si>
    <t>npri-5102-2023-15</t>
  </si>
  <si>
    <t>npri-5102-2023-16</t>
  </si>
  <si>
    <t>npri-5102-2023-17</t>
  </si>
  <si>
    <t>npri-5102-2023-18</t>
  </si>
  <si>
    <t>npri-5102-2023-19</t>
  </si>
  <si>
    <t>npri-29548-2023-15</t>
  </si>
  <si>
    <t>npri-29548-2023-16</t>
  </si>
  <si>
    <t>npri-29548-2023-17</t>
  </si>
  <si>
    <t>npri-29548-2023-18</t>
  </si>
  <si>
    <t>npri-29548-2023-19</t>
  </si>
  <si>
    <t>npri-23273-2023-2</t>
  </si>
  <si>
    <t>npri-23273-2023-3</t>
  </si>
  <si>
    <t>npri-23273-2023-4</t>
  </si>
  <si>
    <t>npri-23273-2023-5</t>
  </si>
  <si>
    <t>npri-23273-2023-6</t>
  </si>
  <si>
    <t>npri-23273-2023-7</t>
  </si>
  <si>
    <t>npri-23273-2023-8</t>
  </si>
  <si>
    <t>npri-25188-2023-56</t>
  </si>
  <si>
    <t>npri-25188-2023-57</t>
  </si>
  <si>
    <t>npri-25188-2023-58</t>
  </si>
  <si>
    <t>npri-25188-2023-59</t>
  </si>
  <si>
    <t>npri-25188-2023-60</t>
  </si>
  <si>
    <t>npri-25188-2023-61</t>
  </si>
  <si>
    <t>npri-25188-2023-62</t>
  </si>
  <si>
    <t>npri-25188-2023-63</t>
  </si>
  <si>
    <t>npri-25188-2023-64</t>
  </si>
  <si>
    <t>npri-25188-2023-65</t>
  </si>
  <si>
    <t>npri-25188-2023-66</t>
  </si>
  <si>
    <t>npri-25188-2023-67</t>
  </si>
  <si>
    <t>npri-25188-2023-68</t>
  </si>
  <si>
    <t>npri-25188-2023-69</t>
  </si>
  <si>
    <t>npri-24216-2023-75</t>
  </si>
  <si>
    <t>npri-24216-2023-76</t>
  </si>
  <si>
    <t>npri-24216-2023-77</t>
  </si>
  <si>
    <t>npri-24216-2023-78</t>
  </si>
  <si>
    <t>npri-24216-2023-79</t>
  </si>
  <si>
    <t>npri-24216-2023-80</t>
  </si>
  <si>
    <t>npri-24216-2023-81</t>
  </si>
  <si>
    <t>npri-24216-2023-82</t>
  </si>
  <si>
    <t>npri-24216-2023-83</t>
  </si>
  <si>
    <t>npri-24216-2023-84</t>
  </si>
  <si>
    <t>npri-24216-2023-85</t>
  </si>
  <si>
    <t>npri-24216-2023-86</t>
  </si>
  <si>
    <t>npri-24216-2023-87</t>
  </si>
  <si>
    <t>npri-24216-2023-88</t>
  </si>
  <si>
    <t>npri-11454-2023-50</t>
  </si>
  <si>
    <t>npri-26132-2023-70</t>
  </si>
  <si>
    <t>npri-26132-2023-71</t>
  </si>
  <si>
    <t>npri-11454-2023-51</t>
  </si>
  <si>
    <t>npri-26132-2023-72</t>
  </si>
  <si>
    <t>npri-11454-2023-52</t>
  </si>
  <si>
    <t>npri-26132-2023-73</t>
  </si>
  <si>
    <t>npri-11454-2023-53</t>
  </si>
  <si>
    <t>npri-26132-2023-74</t>
  </si>
  <si>
    <t>npri-11454-2023-54</t>
  </si>
  <si>
    <t>npri-26132-2023-75</t>
  </si>
  <si>
    <t>npri-11454-2023-55</t>
  </si>
  <si>
    <t>npri-26132-2023-76</t>
  </si>
  <si>
    <t>npri-11454-2023-56</t>
  </si>
  <si>
    <t>npri-11454-2023-57</t>
  </si>
  <si>
    <t>npri-26132-2023-77</t>
  </si>
  <si>
    <t>npri-11454-2023-58</t>
  </si>
  <si>
    <t>npri-11454-2023-59</t>
  </si>
  <si>
    <t>npri-26132-2023-78</t>
  </si>
  <si>
    <t>npri-11454-2023-60</t>
  </si>
  <si>
    <t>npri-26132-2023-79</t>
  </si>
  <si>
    <t>npri-11454-2023-61</t>
  </si>
  <si>
    <t>npri-26132-2023-80</t>
  </si>
  <si>
    <t>npri-26132-2023-81</t>
  </si>
  <si>
    <t>npri-11454-2023-62</t>
  </si>
  <si>
    <t>npri-26132-2023-82</t>
  </si>
  <si>
    <t>npri-26132-2023-83</t>
  </si>
  <si>
    <t>npri-26132-2023-84</t>
  </si>
  <si>
    <t>npri-26132-2023-85</t>
  </si>
  <si>
    <t>npri-11454-2023-63</t>
  </si>
  <si>
    <t>npri-26132-2023-86</t>
  </si>
  <si>
    <t>npri-30798-2023-36</t>
  </si>
  <si>
    <t>npri-30798-2023-37</t>
  </si>
  <si>
    <t>npri-30798-2023-38</t>
  </si>
  <si>
    <t>npri-30798-2023-39</t>
  </si>
  <si>
    <t>npri-30798-2023-40</t>
  </si>
  <si>
    <t>npri-30798-2023-41</t>
  </si>
  <si>
    <t>npri-30798-2023-42</t>
  </si>
  <si>
    <t>npri-30798-2023-43</t>
  </si>
  <si>
    <t>npri-30798-2023-44</t>
  </si>
  <si>
    <t>npri-30798-2023-45</t>
  </si>
  <si>
    <t>npri-2710-2023-34</t>
  </si>
  <si>
    <t>npri-2710-2023-35</t>
  </si>
  <si>
    <t>npri-2710-2023-36</t>
  </si>
  <si>
    <t>npri-2710-2023-37</t>
  </si>
  <si>
    <t>npri-2710-2023-38</t>
  </si>
  <si>
    <t>npri-2710-2023-39</t>
  </si>
  <si>
    <t>npri-1303-2023-51</t>
  </si>
  <si>
    <t>npri-1303-2023-52</t>
  </si>
  <si>
    <t>npri-1303-2023-53</t>
  </si>
  <si>
    <t>npri-1303-2023-54</t>
  </si>
  <si>
    <t>npri-1303-2023-55</t>
  </si>
  <si>
    <t>npri-1303-2023-56</t>
  </si>
  <si>
    <t>npri-1303-2023-57</t>
  </si>
  <si>
    <t>npri-1303-2023-58</t>
  </si>
  <si>
    <t>npri-1303-2023-59</t>
  </si>
  <si>
    <t>npri-1303-2023-60</t>
  </si>
  <si>
    <t>npri-1303-2023-61</t>
  </si>
  <si>
    <t>npri-5656-2023-35</t>
  </si>
  <si>
    <t>npri-8803-2023-25</t>
  </si>
  <si>
    <t>npri-5656-2023-36</t>
  </si>
  <si>
    <t>npri-8803-2023-26</t>
  </si>
  <si>
    <t>npri-5656-2023-37</t>
  </si>
  <si>
    <t>npri-8803-2023-27</t>
  </si>
  <si>
    <t>npri-8803-2023-28</t>
  </si>
  <si>
    <t>npri-5656-2023-38</t>
  </si>
  <si>
    <t>npri-8803-2023-29</t>
  </si>
  <si>
    <t>npri-8803-2023-30</t>
  </si>
  <si>
    <t>npri-8803-2023-31</t>
  </si>
  <si>
    <t>npri-5656-2023-39</t>
  </si>
  <si>
    <t>npri-8803-2023-32</t>
  </si>
  <si>
    <t>npri-8803-2023-33</t>
  </si>
  <si>
    <t>npri-5656-2023-40</t>
  </si>
  <si>
    <t>npri-8803-2023-34</t>
  </si>
  <si>
    <t>npri-8803-2023-35</t>
  </si>
  <si>
    <t>npri-5656-2023-41</t>
  </si>
  <si>
    <t>npri-8803-2023-36</t>
  </si>
  <si>
    <t>npri-5656-2023-42</t>
  </si>
  <si>
    <t>npri-8803-2023-37</t>
  </si>
  <si>
    <t>npri-5656-2023-43</t>
  </si>
  <si>
    <t>npri-8803-2023-38</t>
  </si>
  <si>
    <t>npri-8803-2023-39</t>
  </si>
  <si>
    <t>npri-8803-2023-40</t>
  </si>
  <si>
    <t>npri-29877-2023-45</t>
  </si>
  <si>
    <t>npri-29877-2023-46</t>
  </si>
  <si>
    <t>npri-29877-2023-47</t>
  </si>
  <si>
    <t>npri-29877-2023-48</t>
  </si>
  <si>
    <t>npri-29877-2023-49</t>
  </si>
  <si>
    <t>npri-29877-2023-50</t>
  </si>
  <si>
    <t>npri-29877-2023-51</t>
  </si>
  <si>
    <t>npri-29877-2023-52</t>
  </si>
  <si>
    <t>npri-29877-2023-53</t>
  </si>
  <si>
    <t>npri-29877-2023-54</t>
  </si>
  <si>
    <t>npri-3411-2023-7</t>
  </si>
  <si>
    <t>npri-3411-2023-8</t>
  </si>
  <si>
    <t>npri-5219-2023-7</t>
  </si>
  <si>
    <t>npri-3411-2023-9</t>
  </si>
  <si>
    <t>npri-3411-2023-10</t>
  </si>
  <si>
    <t>npri-3411-2023-11</t>
  </si>
  <si>
    <t>npri-5219-2023-8</t>
  </si>
  <si>
    <t>npri-3411-2023-12</t>
  </si>
  <si>
    <t>npri-3411-2023-13</t>
  </si>
  <si>
    <t>npri-5102-2023-32</t>
  </si>
  <si>
    <t>npri-5102-2023-33</t>
  </si>
  <si>
    <t>npri-5102-2023-34</t>
  </si>
  <si>
    <t>npri-5102-2023-35</t>
  </si>
  <si>
    <t>npri-5102-2023-36</t>
  </si>
  <si>
    <t>npri-5102-2023-37</t>
  </si>
  <si>
    <t>npri-5102-2023-38</t>
  </si>
  <si>
    <t>npri-5102-2023-39</t>
  </si>
  <si>
    <t>npri-5102-2023-40</t>
  </si>
  <si>
    <t>npri-5102-2023-41</t>
  </si>
  <si>
    <t>npri-5102-2023-42</t>
  </si>
  <si>
    <t>npri-5102-2023-43</t>
  </si>
  <si>
    <t>npri-5102-2023-44</t>
  </si>
  <si>
    <t>npri-11867-2023-75</t>
  </si>
  <si>
    <t>npri-11867-2023-76</t>
  </si>
  <si>
    <t>npri-11867-2023-77</t>
  </si>
  <si>
    <t>npri-11867-2023-78</t>
  </si>
  <si>
    <t>npri-11867-2023-79</t>
  </si>
  <si>
    <t>npri-11794-2023-15</t>
  </si>
  <si>
    <t>npri-11796-2023-54</t>
  </si>
  <si>
    <t>npri-11796-2023-55</t>
  </si>
  <si>
    <t>npri-11796-2023-56</t>
  </si>
  <si>
    <t>npri-11796-2023-57</t>
  </si>
  <si>
    <t>npri-11796-2023-58</t>
  </si>
  <si>
    <t>npri-11796-2023-59</t>
  </si>
  <si>
    <t>npri-11796-2023-60</t>
  </si>
  <si>
    <t>npri-11796-2023-61</t>
  </si>
  <si>
    <t>npri-11796-2023-62</t>
  </si>
  <si>
    <t>npri-11796-2023-63</t>
  </si>
  <si>
    <t>npri-11796-2023-64</t>
  </si>
  <si>
    <t>npri-11796-2023-65</t>
  </si>
  <si>
    <t>npri-11796-2023-66</t>
  </si>
  <si>
    <t>npri-11796-2023-67</t>
  </si>
  <si>
    <t>npri-3810-2023-41</t>
  </si>
  <si>
    <t>npri-3810-2023-42</t>
  </si>
  <si>
    <t>npri-3810-2023-43</t>
  </si>
  <si>
    <t>npri-3810-2023-44</t>
  </si>
  <si>
    <t>npri-3810-2023-45</t>
  </si>
  <si>
    <t>npri-3810-2023-46</t>
  </si>
  <si>
    <t>npri-3810-2023-47</t>
  </si>
  <si>
    <t>npri-3810-2023-48</t>
  </si>
  <si>
    <t>npri-3810-2023-49</t>
  </si>
  <si>
    <t>npri-3810-2023-50</t>
  </si>
  <si>
    <t>npri-8783-2023-44</t>
  </si>
  <si>
    <t>npri-8783-2023-45</t>
  </si>
  <si>
    <t>npri-8783-2023-46</t>
  </si>
  <si>
    <t>npri-8783-2023-47</t>
  </si>
  <si>
    <t>npri-8783-2023-48</t>
  </si>
  <si>
    <t>npri-8783-2023-49</t>
  </si>
  <si>
    <t>npri-8783-2023-50</t>
  </si>
  <si>
    <t>npri-8783-2023-51</t>
  </si>
  <si>
    <t>npri-8783-2023-52</t>
  </si>
  <si>
    <t>npri-8783-2023-53</t>
  </si>
  <si>
    <t>npri-8783-2023-54</t>
  </si>
  <si>
    <t>npri-8783-2023-55</t>
  </si>
  <si>
    <t>npri-33049-2023-48</t>
  </si>
  <si>
    <t>npri-33049-2023-49</t>
  </si>
  <si>
    <t>npri-33049-2023-50</t>
  </si>
  <si>
    <t>npri-33049-2023-51</t>
  </si>
  <si>
    <t>npri-33049-2023-52</t>
  </si>
  <si>
    <t>npri-33049-2023-53</t>
  </si>
  <si>
    <t>npri-33049-2023-54</t>
  </si>
  <si>
    <t>npri-33049-2023-55</t>
  </si>
  <si>
    <t>npri-33049-2023-56</t>
  </si>
  <si>
    <t>npri-33049-2023-57</t>
  </si>
  <si>
    <t>npri-33049-2023-58</t>
  </si>
  <si>
    <t>npri-33049-2023-59</t>
  </si>
  <si>
    <t>npri-33049-2023-60</t>
  </si>
  <si>
    <t>npri-33049-2023-61</t>
  </si>
  <si>
    <t>npri-33819-2023-13</t>
  </si>
  <si>
    <t>npri-33819-2023-14</t>
  </si>
  <si>
    <t>npri-33819-2023-15</t>
  </si>
  <si>
    <t>npri-23273-2023-17</t>
  </si>
  <si>
    <t>npri-23273-2023-18</t>
  </si>
  <si>
    <t>npri-23273-2023-19</t>
  </si>
  <si>
    <t>npri-23273-2023-20</t>
  </si>
  <si>
    <t>npri-23273-2023-21</t>
  </si>
  <si>
    <t>npri-23273-2023-22</t>
  </si>
  <si>
    <t>npri-23273-2023-23</t>
  </si>
  <si>
    <t>npri-23273-2023-24</t>
  </si>
  <si>
    <t>npri-23273-2023-25</t>
  </si>
  <si>
    <t>npri-23273-2023-26</t>
  </si>
  <si>
    <t>npri-23273-2023-27</t>
  </si>
  <si>
    <t>npri-23273-2023-28</t>
  </si>
  <si>
    <t>npri-23273-2023-29</t>
  </si>
  <si>
    <t>npri-23273-2023-30</t>
  </si>
  <si>
    <t>npri-23273-2023-31</t>
  </si>
  <si>
    <t>npri-10010-2023-34</t>
  </si>
  <si>
    <t>npri-10010-2023-35</t>
  </si>
  <si>
    <t>npri-10010-2023-36</t>
  </si>
  <si>
    <t>npri-10010-2023-37</t>
  </si>
  <si>
    <t>npri-10010-2023-38</t>
  </si>
  <si>
    <t>npri-10010-2023-39</t>
  </si>
  <si>
    <t>npri-3197-2023-61</t>
  </si>
  <si>
    <t>npri-3197-2023-62</t>
  </si>
  <si>
    <t>npri-3197-2023-63</t>
  </si>
  <si>
    <t>npri-3197-2023-64</t>
  </si>
  <si>
    <t>npri-3197-2023-65</t>
  </si>
  <si>
    <t>npri-3197-2023-66</t>
  </si>
  <si>
    <t>npri-3197-2023-67</t>
  </si>
  <si>
    <t>npri-3197-2023-68</t>
  </si>
  <si>
    <t>npri-3197-2023-69</t>
  </si>
  <si>
    <t>npri-3197-2023-70</t>
  </si>
  <si>
    <t>npri-3197-2023-71</t>
  </si>
  <si>
    <t>npri-3197-2023-72</t>
  </si>
  <si>
    <t>npri-3197-2023-73</t>
  </si>
  <si>
    <t>npri-3197-2023-74</t>
  </si>
  <si>
    <t>npri-3197-2023-75</t>
  </si>
  <si>
    <t>npri-3197-2023-76</t>
  </si>
  <si>
    <t>npri-24216-2023-131</t>
  </si>
  <si>
    <t>npri-5656-2023-71</t>
  </si>
  <si>
    <t>npri-8803-2023-89</t>
  </si>
  <si>
    <t>npri-3411-2023-35</t>
  </si>
  <si>
    <t>npri-5219-2023-15</t>
  </si>
  <si>
    <t>npri-11796-2023-110</t>
  </si>
  <si>
    <t>npri-11796-2023-111</t>
  </si>
  <si>
    <t>npri-11796-2023-112</t>
  </si>
  <si>
    <t>npri-11796-2023-113</t>
  </si>
  <si>
    <t>npri-11796-2023-114</t>
  </si>
  <si>
    <t>npri-11796-2023-115</t>
  </si>
  <si>
    <t>npri-11796-2023-116</t>
  </si>
  <si>
    <t>npri-11796-2023-117</t>
  </si>
  <si>
    <t>npri-11796-2023-118</t>
  </si>
  <si>
    <t>npri-11796-2023-119</t>
  </si>
  <si>
    <t>npri-11796-2023-120</t>
  </si>
  <si>
    <t>npri-11796-2023-121</t>
  </si>
  <si>
    <t>npri-11796-2023-122</t>
  </si>
  <si>
    <t>npri-2132-2023-1</t>
  </si>
  <si>
    <t>npri-2132-2023-2</t>
  </si>
  <si>
    <t>npri-2132-2023-3</t>
  </si>
  <si>
    <t>npri-2132-2023-4</t>
  </si>
  <si>
    <t>npri-2132-2023-5</t>
  </si>
  <si>
    <t>npri-2132-2023-6</t>
  </si>
  <si>
    <t>npri-2132-2023-7</t>
  </si>
  <si>
    <t>npri-2132-2023-8</t>
  </si>
  <si>
    <t>npri-4868-2023-1</t>
  </si>
  <si>
    <t>npri-4868-2023-2</t>
  </si>
  <si>
    <t>npri-4868-2023-3</t>
  </si>
  <si>
    <t>npri-4868-2023-4</t>
  </si>
  <si>
    <t>npri-2132-2023-9</t>
  </si>
  <si>
    <t>npri-2132-2023-10</t>
  </si>
  <si>
    <t>npri-2132-2023-11</t>
  </si>
  <si>
    <t>npri-2132-2023-12</t>
  </si>
  <si>
    <t>npri-2132-2023-13</t>
  </si>
  <si>
    <t>npri-2132-2023-14</t>
  </si>
  <si>
    <t>npri-2132-2023-15</t>
  </si>
  <si>
    <t>npri-4868-2023-5</t>
  </si>
  <si>
    <t>npri-4868-2023-6</t>
  </si>
  <si>
    <t>npri-4868-2023-7</t>
  </si>
  <si>
    <t>npri-4868-2023-8</t>
  </si>
  <si>
    <t>npri-4868-2023-9</t>
  </si>
  <si>
    <t>npri-4868-2023-10</t>
  </si>
  <si>
    <t>npri-4868-2023-11</t>
  </si>
  <si>
    <t>npri-4868-2023-12</t>
  </si>
  <si>
    <t>npri-4868-2023-13</t>
  </si>
  <si>
    <t>npri-4868-2023-14</t>
  </si>
  <si>
    <t>GHG-10468-2023-1</t>
  </si>
  <si>
    <t>GHG-10587-2023-1</t>
  </si>
  <si>
    <t>GHG-10613-2023-1</t>
  </si>
  <si>
    <t>GHG-10669-2023-1</t>
  </si>
  <si>
    <t>GHG-10679-2023-1</t>
  </si>
  <si>
    <t>GHG-10722-2023-1</t>
  </si>
  <si>
    <t>GHG-10765-2023-1</t>
  </si>
  <si>
    <t>GHG-10857-2023-1</t>
  </si>
  <si>
    <t>GHG-10873-2023-1</t>
  </si>
  <si>
    <t>GHG-10911-2023-1</t>
  </si>
  <si>
    <t>GHG-10912-2023-1</t>
  </si>
  <si>
    <t>GHG-10917-2023-1</t>
  </si>
  <si>
    <t>GHG-10926-2023-1</t>
  </si>
  <si>
    <t>GHG-10929-2023-1</t>
  </si>
  <si>
    <t>GHG-10931-2023-1</t>
  </si>
  <si>
    <t>GHG-11375-2023-1</t>
  </si>
  <si>
    <t>GHG-11496-2023-1</t>
  </si>
  <si>
    <t>GHG-11894-2023-1</t>
  </si>
  <si>
    <t>GHG-11951-2023-1</t>
  </si>
  <si>
    <t>GHG-12304-2023-1</t>
  </si>
  <si>
    <t>GHG-12553-2023-1</t>
  </si>
  <si>
    <t>GHG-10119-2023-1</t>
  </si>
  <si>
    <t>ENV-e7e6a960-2023-1</t>
  </si>
  <si>
    <t>ENV-e7e6a960-2023-2</t>
  </si>
  <si>
    <t>ENV-e7e6a960-2023-3</t>
  </si>
  <si>
    <t>ENV-e7e6a960-2023-4</t>
  </si>
  <si>
    <t>ENV-e7e6a960-2023-5</t>
  </si>
  <si>
    <t>ENV-e7e6a960-2023-6</t>
  </si>
  <si>
    <t>ENV-e7e6a960-2023-7</t>
  </si>
  <si>
    <t>ENV-e7e6a960-2023-8</t>
  </si>
  <si>
    <t>ENV-e7e6a960-2023-9</t>
  </si>
  <si>
    <t>ENV-aeafbb59-2023-1</t>
  </si>
  <si>
    <t>ENV-aeafbb59-2023-2</t>
  </si>
  <si>
    <t>ENV-aeafbb59-2023-3</t>
  </si>
  <si>
    <t>ENV-aeafbb59-2023-4</t>
  </si>
  <si>
    <t>ENV-aeafbb59-2023-5</t>
  </si>
  <si>
    <t>ENV-aeafbb59-2023-6</t>
  </si>
  <si>
    <t>ENV-aeafbb59-2023-7</t>
  </si>
  <si>
    <t>ENV-aeafbb59-2023-8</t>
  </si>
  <si>
    <t>ENV-aeafbb59-2023-9</t>
  </si>
  <si>
    <t>ENV-e51eda66-2023-1</t>
  </si>
  <si>
    <t>ENV-e51eda66-2023-2</t>
  </si>
  <si>
    <t>ENV-e51eda66-2023-3</t>
  </si>
  <si>
    <t>ENV-e51eda66-2023-4</t>
  </si>
  <si>
    <t>ENV-e51eda66-2023-5</t>
  </si>
  <si>
    <t>ENV-e51eda66-2023-6</t>
  </si>
  <si>
    <t>ENV-e51eda66-2023-7</t>
  </si>
  <si>
    <t>ENV-e51eda66-2023-8</t>
  </si>
  <si>
    <t>ENV-e51eda66-2023-9</t>
  </si>
  <si>
    <t>ENV-GRP-0a2c0d69-2023-1</t>
  </si>
  <si>
    <t>ENV-GRP-0a2c0d69-2023-2</t>
  </si>
  <si>
    <t>ENV-GRP-0a2c0d69-2023-3</t>
  </si>
  <si>
    <t>ENV-GRP-0a2c0d69-2023-4</t>
  </si>
  <si>
    <t>ENV-GRP-0a2c0d69-2023-5</t>
  </si>
  <si>
    <t>ENV-GRP-0a2c0d69-2023-6</t>
  </si>
  <si>
    <t>ENV-GRP-0a2c0d69-2023-7</t>
  </si>
  <si>
    <t>ENV-GRP-0a2c0d69-2023-8</t>
  </si>
  <si>
    <t>ENV-GRP-0a2c0d69-2023-9</t>
  </si>
  <si>
    <t>ENV-8b0264c9-2023-1</t>
  </si>
  <si>
    <t>ENV-8b0264c9-2023-2</t>
  </si>
  <si>
    <t>ENV-8b0264c9-2023-3</t>
  </si>
  <si>
    <t>ENV-8b0264c9-2023-4</t>
  </si>
  <si>
    <t>ENV-8b0264c9-2023-5</t>
  </si>
  <si>
    <t>ENV-8b0264c9-2023-6</t>
  </si>
  <si>
    <t>ENV-8b0264c9-2023-7</t>
  </si>
  <si>
    <t>ENV-8b0264c9-2023-8</t>
  </si>
  <si>
    <t>ENV-8b0264c9-2023-9</t>
  </si>
  <si>
    <t>ENV-687b8c8d-2023-1</t>
  </si>
  <si>
    <t>ENV-687b8c8d-2023-2</t>
  </si>
  <si>
    <t>ENV-687b8c8d-2023-3</t>
  </si>
  <si>
    <t>ENV-687b8c8d-2023-4</t>
  </si>
  <si>
    <t>ENV-687b8c8d-2023-5</t>
  </si>
  <si>
    <t>ENV-687b8c8d-2023-6</t>
  </si>
  <si>
    <t>ENV-687b8c8d-2023-7</t>
  </si>
  <si>
    <t>ENV-687b8c8d-2023-8</t>
  </si>
  <si>
    <t>ENV-687b8c8d-2023-9</t>
  </si>
  <si>
    <t>ENV-687b8c8d-2023-10</t>
  </si>
  <si>
    <t>ENV-687b8c8d-2023-11</t>
  </si>
  <si>
    <t>ENV-687b8c8d-2023-12</t>
  </si>
  <si>
    <t>ENV-687b8c8d-2023-13</t>
  </si>
  <si>
    <t>ENV-687b8c8d-2023-14</t>
  </si>
  <si>
    <t>ENV-687b8c8d-2023-15</t>
  </si>
  <si>
    <t>ENV-687b8c8d-2023-16</t>
  </si>
  <si>
    <t>ENV-687b8c8d-2023-17</t>
  </si>
  <si>
    <t>ENV-687b8c8d-2023-18</t>
  </si>
  <si>
    <t>ENV-687b8c8d-2023-19</t>
  </si>
  <si>
    <t>ENV-687b8c8d-2023-20</t>
  </si>
  <si>
    <t>ENV-687b8c8d-2023-21</t>
  </si>
  <si>
    <t>ENV-687b8c8d-2023-22</t>
  </si>
  <si>
    <t>ENV-7607a50e-2023-1</t>
  </si>
  <si>
    <t>ENV-7607a50e-2023-2</t>
  </si>
  <si>
    <t>ENV-7607a50e-2023-3</t>
  </si>
  <si>
    <t>ENV-7607a50e-2023-4</t>
  </si>
  <si>
    <t>ENV-7607a50e-2023-5</t>
  </si>
  <si>
    <t>ENV-7607a50e-2023-6</t>
  </si>
  <si>
    <t>ENV-7607a50e-2023-7</t>
  </si>
  <si>
    <t>ENV-7607a50e-2023-8</t>
  </si>
  <si>
    <t>ENV-7607a50e-2023-9</t>
  </si>
  <si>
    <t>ENV-7607a50e-2023-10</t>
  </si>
  <si>
    <t>ENV-7607a50e-2023-11</t>
  </si>
  <si>
    <t>ENV-7607a50e-2023-12</t>
  </si>
  <si>
    <t>ENV-7607a50e-2023-13</t>
  </si>
  <si>
    <t>ENV-7607a50e-2023-14</t>
  </si>
  <si>
    <t>ENV-7607a50e-2023-15</t>
  </si>
  <si>
    <t>ENV-7607a50e-2023-16</t>
  </si>
  <si>
    <t>ENV-7607a50e-2023-17</t>
  </si>
  <si>
    <t>ENV-7607a50e-2023-18</t>
  </si>
  <si>
    <t>ENV-7607a50e-2023-19</t>
  </si>
  <si>
    <t>ENV-6e9be24e-2023-1</t>
  </si>
  <si>
    <t>ENV-6e9be24e-2023-2</t>
  </si>
  <si>
    <t>ENV-6e9be24e-2023-3</t>
  </si>
  <si>
    <t>ENV-6e9be24e-2023-4</t>
  </si>
  <si>
    <t>ENV-6e9be24e-2023-5</t>
  </si>
  <si>
    <t>ENV-ed23117f-2023-1</t>
  </si>
  <si>
    <t>ENV-ed23117f-2023-2</t>
  </si>
  <si>
    <t>ENV-ed23117f-2023-3</t>
  </si>
  <si>
    <t>ENV-ed23117f-2023-4</t>
  </si>
  <si>
    <t>ENV-ed23117f-2023-5</t>
  </si>
  <si>
    <t>ENV-ed23117f-2023-6</t>
  </si>
  <si>
    <t>ENV-ed23117f-2023-7</t>
  </si>
  <si>
    <t>ENV-ed23117f-2023-8</t>
  </si>
  <si>
    <t>ENV-f9e41c2a-2023-1</t>
  </si>
  <si>
    <t>ENV-f9e41c2a-2023-2</t>
  </si>
  <si>
    <t>ENV-f9e41c2a-2023-3</t>
  </si>
  <si>
    <t>ENV-f9e41c2a-2023-4</t>
  </si>
  <si>
    <t>ENV-f9e41c2a-2023-5</t>
  </si>
  <si>
    <t>ENV-f9e41c2a-2023-6</t>
  </si>
  <si>
    <t>ENV-7f050560-2024-1</t>
  </si>
  <si>
    <t>ENV-7f050560-2024-2</t>
  </si>
  <si>
    <t>ENV-7f050560-2024-3</t>
  </si>
  <si>
    <t>ENV-7f050560-2024-4</t>
  </si>
  <si>
    <t>ENV-7f050560-2024-5</t>
  </si>
  <si>
    <t>ENV-7f050560-2024-6</t>
  </si>
  <si>
    <t>ENV-7f050560-2024-7</t>
  </si>
  <si>
    <t>ENV-7f050560-2024-8</t>
  </si>
  <si>
    <t>ENV-7f050560-2024-9</t>
  </si>
  <si>
    <t>ENV-7f050560-2024-10</t>
  </si>
  <si>
    <t>ENV-7f050560-2024-11</t>
  </si>
  <si>
    <t>ENV-7f050560-2024-12</t>
  </si>
  <si>
    <t>ENV-7f050560-2024-13</t>
  </si>
  <si>
    <t>ENV-44857446-2023-1</t>
  </si>
  <si>
    <t>ENV-44857446-2023-2</t>
  </si>
  <si>
    <t>ENV-599152a0-2023-1</t>
  </si>
  <si>
    <t>ENV-599152a0-2023-2</t>
  </si>
  <si>
    <t>ENV-GRP-a13779f8-2023-1</t>
  </si>
  <si>
    <t>ENV-GRP-a13779f8-2023-2</t>
  </si>
  <si>
    <t>ENV-GRP-a13779f8-2023-3</t>
  </si>
  <si>
    <t>ENV-GRP-a13779f8-2023-4</t>
  </si>
  <si>
    <t>ENV-GRP-a13779f8-2023-5</t>
  </si>
  <si>
    <t>ENV-GRP-a13779f8-2023-6</t>
  </si>
  <si>
    <t>ENV-02884fb5-2023-1</t>
  </si>
  <si>
    <t>ENV-02884fb5-2023-2</t>
  </si>
  <si>
    <t>ENV-02884fb5-2023-3</t>
  </si>
  <si>
    <t>ENV-02884fb5-2023-4</t>
  </si>
  <si>
    <t>ENV-02884fb5-2023-5</t>
  </si>
  <si>
    <t>ENV-02884fb5-2023-6</t>
  </si>
  <si>
    <t>ENV-02884fb5-2023-7</t>
  </si>
  <si>
    <t>ENV-02884fb5-2023-8</t>
  </si>
  <si>
    <t>ENV-02884fb5-2023-9</t>
  </si>
  <si>
    <t>ENV-02884fb5-2023-10</t>
  </si>
  <si>
    <t>ENV-02884fb5-2023-11</t>
  </si>
  <si>
    <t>ENV-02884fb5-2023-12</t>
  </si>
  <si>
    <t>ENV-a3c56a83-2023-1</t>
  </si>
  <si>
    <t>ENV-a3c56a83-2023-2</t>
  </si>
  <si>
    <t>ENV-a3c56a83-2023-3</t>
  </si>
  <si>
    <t>ENV-a3c56a83-2023-4</t>
  </si>
  <si>
    <t>ENV-a3c56a83-2023-5</t>
  </si>
  <si>
    <t>ENV-a3c56a83-2023-6</t>
  </si>
  <si>
    <t>ENV-aa76f6f2-2023-1</t>
  </si>
  <si>
    <t>ENV-aa76f6f2-2023-2</t>
  </si>
  <si>
    <t>ENV-aa76f6f2-2023-3</t>
  </si>
  <si>
    <t>ENV-aa76f6f2-2023-4</t>
  </si>
  <si>
    <t>ENV-aa76f6f2-2023-5</t>
  </si>
  <si>
    <t>ENV-aa76f6f2-2023-6</t>
  </si>
  <si>
    <t>ENV-0aadf28f-2023-1</t>
  </si>
  <si>
    <t>ENV-0aadf28f-2023-2</t>
  </si>
  <si>
    <t>ENV-0aadf28f-2023-3</t>
  </si>
  <si>
    <t>ENV-0aadf28f-2023-4</t>
  </si>
  <si>
    <t>ENV-0aadf28f-2023-5</t>
  </si>
  <si>
    <t>ENV-0aadf28f-2023-6</t>
  </si>
  <si>
    <t>ENV-857b7b89-2023-1</t>
  </si>
  <si>
    <t>ENV-857b7b89-2023-2</t>
  </si>
  <si>
    <t>ENV-857b7b89-2023-3</t>
  </si>
  <si>
    <t>ENV-857b7b89-2023-4</t>
  </si>
  <si>
    <t>ENV-857b7b89-2023-5</t>
  </si>
  <si>
    <t>ENV-857b7b89-2023-6</t>
  </si>
  <si>
    <t>ENV-6dc537e6-2023-1</t>
  </si>
  <si>
    <t>ENV-6dc537e6-2023-2</t>
  </si>
  <si>
    <t>ENV-6dc537e6-2023-3</t>
  </si>
  <si>
    <t>ENV-6dc537e6-2023-4</t>
  </si>
  <si>
    <t>ENV-6dc537e6-2023-5</t>
  </si>
  <si>
    <t>ENV-6dc537e6-2023-6</t>
  </si>
  <si>
    <t>ENV-6dc537e6-2023-7</t>
  </si>
  <si>
    <t>ENV-6dc537e6-2023-8</t>
  </si>
  <si>
    <t>ENV-6dc537e6-2023-9</t>
  </si>
  <si>
    <t>ENV-6dc537e6-2023-10</t>
  </si>
  <si>
    <t>ENV-6dc537e6-2023-11</t>
  </si>
  <si>
    <t>ENV-6dc537e6-2023-12</t>
  </si>
  <si>
    <t>ENV-6dc537e6-2023-13</t>
  </si>
  <si>
    <t>ENV-6dc537e6-2023-14</t>
  </si>
  <si>
    <t>ENV-fefeaee4-2023-1</t>
  </si>
  <si>
    <t>ENV-fefeaee4-2023-2</t>
  </si>
  <si>
    <t>ENV-fefeaee4-2023-3</t>
  </si>
  <si>
    <t>ENV-fefeaee4-2023-4</t>
  </si>
  <si>
    <t>ENV-fefeaee4-2023-5</t>
  </si>
  <si>
    <t>ENV-fefeaee4-2023-6</t>
  </si>
  <si>
    <t>ENV-fefeaee4-2023-7</t>
  </si>
  <si>
    <t>ENV-fefeaee4-2023-8</t>
  </si>
  <si>
    <t>ENV-fefeaee4-2023-9</t>
  </si>
  <si>
    <t>ENV-fefeaee4-2023-10</t>
  </si>
  <si>
    <t>ENV-fefeaee4-2023-11</t>
  </si>
  <si>
    <t>ENV-fefeaee4-2023-12</t>
  </si>
  <si>
    <t>ENV-fefeaee4-2023-13</t>
  </si>
  <si>
    <t>ENV-fefeaee4-2023-14</t>
  </si>
  <si>
    <t>ENV-fefeaee4-2023-15</t>
  </si>
  <si>
    <t>ENV-fefeaee4-2023-16</t>
  </si>
  <si>
    <t>ENV-fefeaee4-2023-17</t>
  </si>
  <si>
    <t>ENV-GRP-0d911886-2023-1</t>
  </si>
  <si>
    <t>ENV-GRP-0d911886-2023-2</t>
  </si>
  <si>
    <t>ENV-GRP-0d911886-2023-3</t>
  </si>
  <si>
    <t>ENV-GRP-0d911886-2023-4</t>
  </si>
  <si>
    <t>ENV-GRP-0d911886-2023-5</t>
  </si>
  <si>
    <t>ENV-GRP-0d911886-2023-6</t>
  </si>
  <si>
    <t>ENV-GRP-0d911886-2023-7</t>
  </si>
  <si>
    <t>ENV-GRP-0d911886-2023-8</t>
  </si>
  <si>
    <t>ENV-GRP-0d911886-2023-9</t>
  </si>
  <si>
    <t>ENV-GRP-0d911886-2023-10</t>
  </si>
  <si>
    <t>ENV-GRP-0d911886-2023-11</t>
  </si>
  <si>
    <t>ENV-GRP-0d911886-2023-12</t>
  </si>
  <si>
    <t>ENV-GRP-0d911886-2023-13</t>
  </si>
  <si>
    <t>ENV-GRP-0d911886-2023-14</t>
  </si>
  <si>
    <t>ENV-GRP-0d911886-2023-15</t>
  </si>
  <si>
    <t>ENV-8eb8be0d-2023-1</t>
  </si>
  <si>
    <t>ENV-8eb8be0d-2023-2</t>
  </si>
  <si>
    <t>ENV-8eb8be0d-2023-3</t>
  </si>
  <si>
    <t>ENV-8eb8be0d-2023-4</t>
  </si>
  <si>
    <t>ENV-8eb8be0d-2023-5</t>
  </si>
  <si>
    <t>ENV-8eb8be0d-2023-6</t>
  </si>
  <si>
    <t>ENV-GRP-147b3123-2023-1</t>
  </si>
  <si>
    <t>ENV-GRP-147b3123-2023-2</t>
  </si>
  <si>
    <t>ENV-GRP-147b3123-2023-3</t>
  </si>
  <si>
    <t>ENV-GRP-147b3123-2023-4</t>
  </si>
  <si>
    <t>ENV-GRP-147b3123-2023-5</t>
  </si>
  <si>
    <t>ENV-GRP-147b3123-2023-6</t>
  </si>
  <si>
    <t>ENV-GRP-147b3123-2023-7</t>
  </si>
  <si>
    <t>ENV-GRP-147b3123-2023-8</t>
  </si>
  <si>
    <t>ENV-GRP-147b3123-2023-9</t>
  </si>
  <si>
    <t>ENV-GRP-147b3123-2023-10</t>
  </si>
  <si>
    <t>ENV-GRP-147b3123-2023-11</t>
  </si>
  <si>
    <t>ENV-GRP-14bfbb82-2023-1</t>
  </si>
  <si>
    <t>ENV-GRP-14bfbb82-2023-2</t>
  </si>
  <si>
    <t>ENV-GRP-14bfbb82-2023-3</t>
  </si>
  <si>
    <t>ENV-GRP-14bfbb82-2023-4</t>
  </si>
  <si>
    <t>ENV-GRP-14bfbb82-2023-5</t>
  </si>
  <si>
    <t>ENV-6b4800fe-2023-1</t>
  </si>
  <si>
    <t>ENV-6b4800fe-2023-2</t>
  </si>
  <si>
    <t>ENV-cb85213a-2023-1</t>
  </si>
  <si>
    <t>ENV-cb85213a-2023-2</t>
  </si>
  <si>
    <t>ENV-cb85213a-2023-3</t>
  </si>
  <si>
    <t>ENV-cb85213a-2023-4</t>
  </si>
  <si>
    <t>ENV-cb85213a-2023-5</t>
  </si>
  <si>
    <t>ENV-cb85213a-2023-6</t>
  </si>
  <si>
    <t>ENV-cb85213a-2023-7</t>
  </si>
  <si>
    <t>ENV-cb85213a-2023-8</t>
  </si>
  <si>
    <t>ENV-cb85213a-2023-9</t>
  </si>
  <si>
    <t>ENV-cb85213a-2023-10</t>
  </si>
  <si>
    <t>ENV-cb85213a-2023-11</t>
  </si>
  <si>
    <t>ENV-cb85213a-2023-12</t>
  </si>
  <si>
    <t>ENV-9de9bb0d-2023-1</t>
  </si>
  <si>
    <t>ENV-9de9bb0d-2023-2</t>
  </si>
  <si>
    <t>ENV-9de9bb0d-2023-3</t>
  </si>
  <si>
    <t>ENV-9de9bb0d-2023-4</t>
  </si>
  <si>
    <t>ENV-9de9bb0d-2023-5</t>
  </si>
  <si>
    <t>ENV-9de9bb0d-2023-6</t>
  </si>
  <si>
    <t>ENV-9de9bb0d-2023-7</t>
  </si>
  <si>
    <t>ENV-9de9bb0d-2023-8</t>
  </si>
  <si>
    <t>ENV-9de9bb0d-2023-9</t>
  </si>
  <si>
    <t>ENV-9de9bb0d-2023-10</t>
  </si>
  <si>
    <t>ENV-9de9bb0d-2023-11</t>
  </si>
  <si>
    <t>ENV-9de9bb0d-2023-12</t>
  </si>
  <si>
    <t>Air</t>
  </si>
  <si>
    <t>Water</t>
  </si>
  <si>
    <t>Land</t>
  </si>
  <si>
    <t>630-08-0</t>
  </si>
  <si>
    <t>11104-93-1</t>
  </si>
  <si>
    <t>NA - M09</t>
  </si>
  <si>
    <t>NA - M10</t>
  </si>
  <si>
    <t>NA - M08</t>
  </si>
  <si>
    <t>NA - M16</t>
  </si>
  <si>
    <t>NA - 02</t>
  </si>
  <si>
    <t>NA - 03</t>
  </si>
  <si>
    <t>NA - 04</t>
  </si>
  <si>
    <t>NA - 05</t>
  </si>
  <si>
    <t>NA - 06</t>
  </si>
  <si>
    <t>NA - 08</t>
  </si>
  <si>
    <t>NA - 09</t>
  </si>
  <si>
    <t>NA - 11</t>
  </si>
  <si>
    <t>NA - 12</t>
  </si>
  <si>
    <t>NA - 14</t>
  </si>
  <si>
    <t>NA - 16</t>
  </si>
  <si>
    <t>NA - 01</t>
  </si>
  <si>
    <t>75-15-0</t>
  </si>
  <si>
    <t>NA - 10</t>
  </si>
  <si>
    <t>NA - 17</t>
  </si>
  <si>
    <t>NA - 22</t>
  </si>
  <si>
    <t>NA - 13</t>
  </si>
  <si>
    <t>NA - 37</t>
  </si>
  <si>
    <t>NA - M14</t>
  </si>
  <si>
    <t>NA - 40</t>
  </si>
  <si>
    <t>7446-09-5</t>
  </si>
  <si>
    <t>7647-01-0</t>
  </si>
  <si>
    <t>NA - 07</t>
  </si>
  <si>
    <t>7697-37-2</t>
  </si>
  <si>
    <t>NA - D/F</t>
  </si>
  <si>
    <t>118-74-1</t>
  </si>
  <si>
    <t>74-90-8</t>
  </si>
  <si>
    <t>107-21-1</t>
  </si>
  <si>
    <t>7783-06-4</t>
  </si>
  <si>
    <t>7664-93-9</t>
  </si>
  <si>
    <t>NA - GHG</t>
  </si>
  <si>
    <t>NA - NOx</t>
  </si>
  <si>
    <t>NA - SOx</t>
  </si>
  <si>
    <t>7732-18-5</t>
  </si>
  <si>
    <t>124-38-9</t>
  </si>
  <si>
    <t>74-82-8</t>
  </si>
  <si>
    <t>10024-97-2</t>
  </si>
  <si>
    <t>NA - PFCs</t>
  </si>
  <si>
    <t>NA - PAH</t>
  </si>
  <si>
    <t>NA - Particulate</t>
  </si>
  <si>
    <t>10102-44-0</t>
  </si>
  <si>
    <t>2025884</t>
  </si>
  <si>
    <t>Emission</t>
  </si>
  <si>
    <t>Withdrawal</t>
  </si>
  <si>
    <t>Consumption</t>
  </si>
  <si>
    <t>Discharged</t>
  </si>
  <si>
    <t>Occupation and transformation</t>
  </si>
  <si>
    <t>Stack Emissions</t>
  </si>
  <si>
    <t>Storage / Handling</t>
  </si>
  <si>
    <t>Fugitive Emissions</t>
  </si>
  <si>
    <t>Other</t>
  </si>
  <si>
    <t>Direct Discharge</t>
  </si>
  <si>
    <t>Spills</t>
  </si>
  <si>
    <t>Unspecified</t>
  </si>
  <si>
    <t>tonnes</t>
  </si>
  <si>
    <t>kg</t>
  </si>
  <si>
    <t>g TEQ</t>
  </si>
  <si>
    <t>grams</t>
  </si>
  <si>
    <t>tCO2eq</t>
  </si>
  <si>
    <t>m3</t>
  </si>
  <si>
    <t>ha</t>
  </si>
  <si>
    <t>t</t>
  </si>
  <si>
    <t>"In absence of site-level monitoring emission are estimated based on fuel consumption"</t>
  </si>
  <si>
    <t>Biogenic CO2</t>
  </si>
  <si>
    <t>QC-MAIN-e7e6a960</t>
  </si>
  <si>
    <t>NU-MAIN-730aefe3</t>
  </si>
  <si>
    <t>ON-MAIN-687b8c8d</t>
  </si>
  <si>
    <t>ON-MAIN-7607a50e</t>
  </si>
  <si>
    <t>BC-MAIN-599152a0</t>
  </si>
  <si>
    <t>ON-MAIN-7f050560</t>
  </si>
  <si>
    <t>ON-MAIN-7001a391</t>
  </si>
  <si>
    <t>BC-MAIN-6b4800fe</t>
  </si>
  <si>
    <t>ON-MAIN-fefeaee4</t>
  </si>
  <si>
    <t>ON-MAIN-1c674cd0</t>
  </si>
  <si>
    <t>BC-MAIN-3f490561</t>
  </si>
  <si>
    <t>ON-MAIN-aeafbb59</t>
  </si>
  <si>
    <t>ON-MAIN-f3e6ff08</t>
  </si>
  <si>
    <t>ON-MAIN-bfbcd72e</t>
  </si>
  <si>
    <t>ON-MAIN-4e0734b5</t>
  </si>
  <si>
    <t>QC-MAIN-089f3c60</t>
  </si>
  <si>
    <t>ON-MAIN-0aadf28f</t>
  </si>
  <si>
    <t>BC-MAIN-aa76f6f2</t>
  </si>
  <si>
    <t>BC-MAIN-8eb8be0d</t>
  </si>
  <si>
    <t>BC-MAIN-857b7b89</t>
  </si>
  <si>
    <t>ON-MAIN-8825d90d</t>
  </si>
  <si>
    <t>SK-MAIN-29afbdb5</t>
  </si>
  <si>
    <t>ON-MAIN-cb85213a</t>
  </si>
  <si>
    <t>ON-MAIN-6e9be24e</t>
  </si>
  <si>
    <t>BC-MAIN-ed23117f</t>
  </si>
  <si>
    <t>QC-MAIN-6dc537e6</t>
  </si>
  <si>
    <t>MB-MAIN-0898e255</t>
  </si>
  <si>
    <t>MB-MAIN-da0b5c3d</t>
  </si>
  <si>
    <t>AB-MAIN-d3a4aba9</t>
  </si>
  <si>
    <t>QC-MAIN-02884fb5</t>
  </si>
  <si>
    <t>ON-MAIN-a3c56a83</t>
  </si>
  <si>
    <t>QC-MAIN-e51eda66</t>
  </si>
  <si>
    <t>NU-MAIN-8b0264c9</t>
  </si>
  <si>
    <t>QC-MAIN-f9e41c2a</t>
  </si>
  <si>
    <t>YT-MAIN-44857446</t>
  </si>
  <si>
    <t>QC-MAIN-9de9bb0d</t>
  </si>
  <si>
    <t>GRP-0a2c0d69</t>
  </si>
  <si>
    <t>GRP-0d911886</t>
  </si>
  <si>
    <t>GRP-147b3123</t>
  </si>
  <si>
    <t>GRP-14bfbb82</t>
  </si>
  <si>
    <t>GRP-a13779f8</t>
  </si>
  <si>
    <t>CMP-6265c407</t>
  </si>
  <si>
    <t>CMP-3a4ccc7f</t>
  </si>
  <si>
    <t>CMP-79bcdb91</t>
  </si>
  <si>
    <t>CMP-fa032e20</t>
  </si>
  <si>
    <t>CMP-64d60fd7</t>
  </si>
  <si>
    <t>CMP-ca642bce</t>
  </si>
  <si>
    <t>CMP-7e360a1f</t>
  </si>
  <si>
    <t>CMP-12afc634</t>
  </si>
  <si>
    <t>CMP-3d0a95b7</t>
  </si>
  <si>
    <t>CMP-967076a1</t>
  </si>
  <si>
    <t>CMP-d94be190</t>
  </si>
  <si>
    <t>CMP-4a434d72</t>
  </si>
  <si>
    <t>CMP-48a36546</t>
  </si>
  <si>
    <t>CMP-4a73c5f8</t>
  </si>
  <si>
    <t>CMP-e35f138c</t>
  </si>
  <si>
    <t>CMP-3d2c4955</t>
  </si>
  <si>
    <t>https://www.canada.ca/en/environment-climate-change/services/national-pollutant-release-inventory/tools-resources-data/exploredata.html</t>
  </si>
  <si>
    <t>https://www.canada.ca/en/environment-climate-change/services/environmental-indicators/greenhouse-gas-emissions/large-facilities.html</t>
  </si>
  <si>
    <t>SRC_AgnicoEagleMinesLimited_2023-Sustainability-Performance_data</t>
  </si>
  <si>
    <t>SRC_AlamosGoldInc_Data_2023</t>
  </si>
  <si>
    <t>SRC_BarrickGoldCorporation_Barrick_2023_Performance-Data</t>
  </si>
  <si>
    <t>SRC_CenterraGoldInc_Data</t>
  </si>
  <si>
    <t>SRC_EldoradoGold_ESG_2023</t>
  </si>
  <si>
    <t>SRC_EvolutionMiningLtd_EVN_FY24-ESG-Performance-Data_web</t>
  </si>
  <si>
    <t>SRC_HeclaMiningCompany_SR_2023</t>
  </si>
  <si>
    <t>SRC_HudbayMineralsInc_Hudbay-2023-Integrated-Annual-Report-Performance-Data</t>
  </si>
  <si>
    <t>SRC_IAMGOLDCorporation_2023_iamgold-esg-performance-data-final_protected</t>
  </si>
  <si>
    <t>SRC_ImpalaCanadaLtd_ESG_2024</t>
  </si>
  <si>
    <t>SRC_NewGoldInc_2023-New-Gold-ESG-Data-Factbook</t>
  </si>
  <si>
    <t>SRC_NewmontCorporation_Newmont-2023-Performance-Data-Tables-V4-locked</t>
  </si>
  <si>
    <t>SRC_PanAmericanSilverCorp_PAS-2023-Sustainability-Performance-Data-Book</t>
  </si>
  <si>
    <t>SRC_SSRMiningInc_ESG_2023</t>
  </si>
  <si>
    <t>SRC_TasekoMinesLimited_ESG_2023</t>
  </si>
  <si>
    <t>SRC_WesdomeGoldMinesLtd_2023-ESG-Data-Tables</t>
  </si>
  <si>
    <t>tonnes/t</t>
  </si>
  <si>
    <t>kg/t</t>
  </si>
  <si>
    <t>g TEQ/t</t>
  </si>
  <si>
    <t>grams/t</t>
  </si>
  <si>
    <t>tCO2eq/t</t>
  </si>
  <si>
    <t>m3/t</t>
  </si>
  <si>
    <t>ha/t</t>
  </si>
  <si>
    <t>t/t</t>
  </si>
  <si>
    <t>Grade</t>
  </si>
  <si>
    <t>Strip ratio</t>
  </si>
  <si>
    <t>Concentrate grade</t>
  </si>
  <si>
    <t>Recovery rate</t>
  </si>
  <si>
    <t>Comment</t>
  </si>
  <si>
    <t>Assumed Ni is the main product (Co also included)</t>
  </si>
  <si>
    <t>Assumed Au is the main product (Cu also available)</t>
  </si>
  <si>
    <t>Assumed Au is the main product (Si, Cu also available)</t>
  </si>
  <si>
    <t>Assumed Au is the main product (Cu, Si, Zn also available)</t>
  </si>
  <si>
    <t>Assumed Au is the main product (Cu, Si, Co, Ni, Pt, Pd also available)</t>
  </si>
  <si>
    <t>Assumed Si is the main product (Pb, Zn also available)</t>
  </si>
  <si>
    <t>Assumed from this facility, fg figures</t>
  </si>
  <si>
    <t>Different figures for the facilities of the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</si>
</sst>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canada.ca/en/environment-climate-change/services/national-pollutant-release-inventory/tools-resources-data/exploredata.html" TargetMode="External"/><Relationship Id="rId170" Type="http://schemas.openxmlformats.org/officeDocument/2006/relationships/hyperlink" Target="https://www.canada.ca/en/environment-climate-change/services/national-pollutant-release-inventory/tools-resources-data/exploredata.html" TargetMode="External"/><Relationship Id="rId836" Type="http://schemas.openxmlformats.org/officeDocument/2006/relationships/hyperlink" Target="https://www.canada.ca/en/environment-climate-change/services/national-pollutant-release-inventory/tools-resources-data/exploredata.html" TargetMode="External"/><Relationship Id="rId1021" Type="http://schemas.openxmlformats.org/officeDocument/2006/relationships/hyperlink" Target="https://www.canada.ca/en/environment-climate-change/services/environmental-indicators/greenhouse-gas-emissions/large-facilities.html" TargetMode="External"/><Relationship Id="rId268" Type="http://schemas.openxmlformats.org/officeDocument/2006/relationships/hyperlink" Target="https://www.canada.ca/en/environment-climate-change/services/national-pollutant-release-inventory/tools-resources-data/exploredata.html" TargetMode="External"/><Relationship Id="rId475" Type="http://schemas.openxmlformats.org/officeDocument/2006/relationships/hyperlink" Target="https://www.canada.ca/en/environment-climate-change/services/national-pollutant-release-inventory/tools-resources-data/exploredata.html" TargetMode="External"/><Relationship Id="rId682" Type="http://schemas.openxmlformats.org/officeDocument/2006/relationships/hyperlink" Target="https://www.canada.ca/en/environment-climate-change/services/national-pollutant-release-inventory/tools-resources-data/exploredata.html" TargetMode="External"/><Relationship Id="rId903" Type="http://schemas.openxmlformats.org/officeDocument/2006/relationships/hyperlink" Target="https://www.canada.ca/en/environment-climate-change/services/national-pollutant-release-inventory/tools-resources-data/exploredata.html" TargetMode="External"/><Relationship Id="rId32" Type="http://schemas.openxmlformats.org/officeDocument/2006/relationships/hyperlink" Target="https://www.canada.ca/en/environment-climate-change/services/national-pollutant-release-inventory/tools-resources-data/exploredata.html" TargetMode="External"/><Relationship Id="rId128" Type="http://schemas.openxmlformats.org/officeDocument/2006/relationships/hyperlink" Target="https://www.canada.ca/en/environment-climate-change/services/national-pollutant-release-inventory/tools-resources-data/exploredata.html" TargetMode="External"/><Relationship Id="rId335" Type="http://schemas.openxmlformats.org/officeDocument/2006/relationships/hyperlink" Target="https://www.canada.ca/en/environment-climate-change/services/national-pollutant-release-inventory/tools-resources-data/exploredata.html" TargetMode="External"/><Relationship Id="rId542" Type="http://schemas.openxmlformats.org/officeDocument/2006/relationships/hyperlink" Target="https://www.canada.ca/en/environment-climate-change/services/national-pollutant-release-inventory/tools-resources-data/exploredata.html" TargetMode="External"/><Relationship Id="rId987" Type="http://schemas.openxmlformats.org/officeDocument/2006/relationships/hyperlink" Target="https://www.canada.ca/en/environment-climate-change/services/national-pollutant-release-inventory/tools-resources-data/exploredata.html" TargetMode="External"/><Relationship Id="rId181" Type="http://schemas.openxmlformats.org/officeDocument/2006/relationships/hyperlink" Target="https://www.canada.ca/en/environment-climate-change/services/national-pollutant-release-inventory/tools-resources-data/exploredata.html" TargetMode="External"/><Relationship Id="rId402" Type="http://schemas.openxmlformats.org/officeDocument/2006/relationships/hyperlink" Target="https://www.canada.ca/en/environment-climate-change/services/national-pollutant-release-inventory/tools-resources-data/exploredata.html" TargetMode="External"/><Relationship Id="rId847" Type="http://schemas.openxmlformats.org/officeDocument/2006/relationships/hyperlink" Target="https://www.canada.ca/en/environment-climate-change/services/national-pollutant-release-inventory/tools-resources-data/exploredata.html" TargetMode="External"/><Relationship Id="rId279" Type="http://schemas.openxmlformats.org/officeDocument/2006/relationships/hyperlink" Target="https://www.canada.ca/en/environment-climate-change/services/national-pollutant-release-inventory/tools-resources-data/exploredata.html" TargetMode="External"/><Relationship Id="rId486" Type="http://schemas.openxmlformats.org/officeDocument/2006/relationships/hyperlink" Target="https://www.canada.ca/en/environment-climate-change/services/national-pollutant-release-inventory/tools-resources-data/exploredata.html" TargetMode="External"/><Relationship Id="rId693" Type="http://schemas.openxmlformats.org/officeDocument/2006/relationships/hyperlink" Target="https://www.canada.ca/en/environment-climate-change/services/national-pollutant-release-inventory/tools-resources-data/exploredata.html" TargetMode="External"/><Relationship Id="rId707" Type="http://schemas.openxmlformats.org/officeDocument/2006/relationships/hyperlink" Target="https://www.canada.ca/en/environment-climate-change/services/national-pollutant-release-inventory/tools-resources-data/exploredata.html" TargetMode="External"/><Relationship Id="rId914" Type="http://schemas.openxmlformats.org/officeDocument/2006/relationships/hyperlink" Target="https://www.canada.ca/en/environment-climate-change/services/national-pollutant-release-inventory/tools-resources-data/exploredata.html" TargetMode="External"/><Relationship Id="rId43" Type="http://schemas.openxmlformats.org/officeDocument/2006/relationships/hyperlink" Target="https://www.canada.ca/en/environment-climate-change/services/national-pollutant-release-inventory/tools-resources-data/exploredata.html" TargetMode="External"/><Relationship Id="rId139" Type="http://schemas.openxmlformats.org/officeDocument/2006/relationships/hyperlink" Target="https://www.canada.ca/en/environment-climate-change/services/national-pollutant-release-inventory/tools-resources-data/exploredata.html" TargetMode="External"/><Relationship Id="rId346" Type="http://schemas.openxmlformats.org/officeDocument/2006/relationships/hyperlink" Target="https://www.canada.ca/en/environment-climate-change/services/national-pollutant-release-inventory/tools-resources-data/exploredata.html" TargetMode="External"/><Relationship Id="rId553" Type="http://schemas.openxmlformats.org/officeDocument/2006/relationships/hyperlink" Target="https://www.canada.ca/en/environment-climate-change/services/national-pollutant-release-inventory/tools-resources-data/exploredata.html" TargetMode="External"/><Relationship Id="rId760" Type="http://schemas.openxmlformats.org/officeDocument/2006/relationships/hyperlink" Target="https://www.canada.ca/en/environment-climate-change/services/national-pollutant-release-inventory/tools-resources-data/exploredata.html" TargetMode="External"/><Relationship Id="rId998" Type="http://schemas.openxmlformats.org/officeDocument/2006/relationships/hyperlink" Target="https://www.canada.ca/en/environment-climate-change/services/national-pollutant-release-inventory/tools-resources-data/exploredata.html" TargetMode="External"/><Relationship Id="rId1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6" Type="http://schemas.openxmlformats.org/officeDocument/2006/relationships/hyperlink" Target="https://www.canada.ca/en/environment-climate-change/services/national-pollutant-release-inventory/tools-resources-data/exploredata.html" TargetMode="External"/><Relationship Id="rId413" Type="http://schemas.openxmlformats.org/officeDocument/2006/relationships/hyperlink" Target="https://www.canada.ca/en/environment-climate-change/services/national-pollutant-release-inventory/tools-resources-data/exploredata.html" TargetMode="External"/><Relationship Id="rId858" Type="http://schemas.openxmlformats.org/officeDocument/2006/relationships/hyperlink" Target="https://www.canada.ca/en/environment-climate-change/services/national-pollutant-release-inventory/tools-resources-data/exploredata.html" TargetMode="External"/><Relationship Id="rId497" Type="http://schemas.openxmlformats.org/officeDocument/2006/relationships/hyperlink" Target="https://www.canada.ca/en/environment-climate-change/services/national-pollutant-release-inventory/tools-resources-data/exploredata.html" TargetMode="External"/><Relationship Id="rId620" Type="http://schemas.openxmlformats.org/officeDocument/2006/relationships/hyperlink" Target="https://www.canada.ca/en/environment-climate-change/services/national-pollutant-release-inventory/tools-resources-data/exploredata.html" TargetMode="External"/><Relationship Id="rId718" Type="http://schemas.openxmlformats.org/officeDocument/2006/relationships/hyperlink" Target="https://www.canada.ca/en/environment-climate-change/services/national-pollutant-release-inventory/tools-resources-data/exploredata.html" TargetMode="External"/><Relationship Id="rId925" Type="http://schemas.openxmlformats.org/officeDocument/2006/relationships/hyperlink" Target="https://www.canada.ca/en/environment-climate-change/services/national-pollutant-release-inventory/tools-resources-data/exploredata.html" TargetMode="External"/><Relationship Id="rId357" Type="http://schemas.openxmlformats.org/officeDocument/2006/relationships/hyperlink" Target="https://www.canada.ca/en/environment-climate-change/services/national-pollutant-release-inventory/tools-resources-data/exploredata.html" TargetMode="External"/><Relationship Id="rId54" Type="http://schemas.openxmlformats.org/officeDocument/2006/relationships/hyperlink" Target="https://www.canada.ca/en/environment-climate-change/services/national-pollutant-release-inventory/tools-resources-data/exploredata.html" TargetMode="External"/><Relationship Id="rId217" Type="http://schemas.openxmlformats.org/officeDocument/2006/relationships/hyperlink" Target="https://www.canada.ca/en/environment-climate-change/services/national-pollutant-release-inventory/tools-resources-data/exploredata.html" TargetMode="External"/><Relationship Id="rId564" Type="http://schemas.openxmlformats.org/officeDocument/2006/relationships/hyperlink" Target="https://www.canada.ca/en/environment-climate-change/services/national-pollutant-release-inventory/tools-resources-data/exploredata.html" TargetMode="External"/><Relationship Id="rId771" Type="http://schemas.openxmlformats.org/officeDocument/2006/relationships/hyperlink" Target="https://www.canada.ca/en/environment-climate-change/services/national-pollutant-release-inventory/tools-resources-data/exploredata.html" TargetMode="External"/><Relationship Id="rId869" Type="http://schemas.openxmlformats.org/officeDocument/2006/relationships/hyperlink" Target="https://www.canada.ca/en/environment-climate-change/services/national-pollutant-release-inventory/tools-resources-data/exploredata.html" TargetMode="External"/><Relationship Id="rId424" Type="http://schemas.openxmlformats.org/officeDocument/2006/relationships/hyperlink" Target="https://www.canada.ca/en/environment-climate-change/services/national-pollutant-release-inventory/tools-resources-data/exploredata.html" TargetMode="External"/><Relationship Id="rId631" Type="http://schemas.openxmlformats.org/officeDocument/2006/relationships/hyperlink" Target="https://www.canada.ca/en/environment-climate-change/services/national-pollutant-release-inventory/tools-resources-data/exploredata.html" TargetMode="External"/><Relationship Id="rId729" Type="http://schemas.openxmlformats.org/officeDocument/2006/relationships/hyperlink" Target="https://www.canada.ca/en/environment-climate-change/services/national-pollutant-release-inventory/tools-resources-data/exploredata.html" TargetMode="External"/><Relationship Id="rId270" Type="http://schemas.openxmlformats.org/officeDocument/2006/relationships/hyperlink" Target="https://www.canada.ca/en/environment-climate-change/services/national-pollutant-release-inventory/tools-resources-data/exploredata.html" TargetMode="External"/><Relationship Id="rId936" Type="http://schemas.openxmlformats.org/officeDocument/2006/relationships/hyperlink" Target="https://www.canada.ca/en/environment-climate-change/services/national-pollutant-release-inventory/tools-resources-data/exploredata.html" TargetMode="External"/><Relationship Id="rId65" Type="http://schemas.openxmlformats.org/officeDocument/2006/relationships/hyperlink" Target="https://www.canada.ca/en/environment-climate-change/services/national-pollutant-release-inventory/tools-resources-data/exploredata.html" TargetMode="External"/><Relationship Id="rId130" Type="http://schemas.openxmlformats.org/officeDocument/2006/relationships/hyperlink" Target="https://www.canada.ca/en/environment-climate-change/services/national-pollutant-release-inventory/tools-resources-data/exploredata.html" TargetMode="External"/><Relationship Id="rId368" Type="http://schemas.openxmlformats.org/officeDocument/2006/relationships/hyperlink" Target="https://www.canada.ca/en/environment-climate-change/services/national-pollutant-release-inventory/tools-resources-data/exploredata.html" TargetMode="External"/><Relationship Id="rId575" Type="http://schemas.openxmlformats.org/officeDocument/2006/relationships/hyperlink" Target="https://www.canada.ca/en/environment-climate-change/services/national-pollutant-release-inventory/tools-resources-data/exploredata.html" TargetMode="External"/><Relationship Id="rId782" Type="http://schemas.openxmlformats.org/officeDocument/2006/relationships/hyperlink" Target="https://www.canada.ca/en/environment-climate-change/services/national-pollutant-release-inventory/tools-resources-data/exploredata.html" TargetMode="External"/><Relationship Id="rId228" Type="http://schemas.openxmlformats.org/officeDocument/2006/relationships/hyperlink" Target="https://www.canada.ca/en/environment-climate-change/services/national-pollutant-release-inventory/tools-resources-data/exploredata.html" TargetMode="External"/><Relationship Id="rId435" Type="http://schemas.openxmlformats.org/officeDocument/2006/relationships/hyperlink" Target="https://www.canada.ca/en/environment-climate-change/services/national-pollutant-release-inventory/tools-resources-data/exploredata.html" TargetMode="External"/><Relationship Id="rId642" Type="http://schemas.openxmlformats.org/officeDocument/2006/relationships/hyperlink" Target="https://www.canada.ca/en/environment-climate-change/services/national-pollutant-release-inventory/tools-resources-data/exploredata.html" TargetMode="External"/><Relationship Id="rId281" Type="http://schemas.openxmlformats.org/officeDocument/2006/relationships/hyperlink" Target="https://www.canada.ca/en/environment-climate-change/services/national-pollutant-release-inventory/tools-resources-data/exploredata.html" TargetMode="External"/><Relationship Id="rId502" Type="http://schemas.openxmlformats.org/officeDocument/2006/relationships/hyperlink" Target="https://www.canada.ca/en/environment-climate-change/services/national-pollutant-release-inventory/tools-resources-data/exploredata.html" TargetMode="External"/><Relationship Id="rId947" Type="http://schemas.openxmlformats.org/officeDocument/2006/relationships/hyperlink" Target="https://www.canada.ca/en/environment-climate-change/services/national-pollutant-release-inventory/tools-resources-data/exploredata.html" TargetMode="External"/><Relationship Id="rId76" Type="http://schemas.openxmlformats.org/officeDocument/2006/relationships/hyperlink" Target="https://www.canada.ca/en/environment-climate-change/services/national-pollutant-release-inventory/tools-resources-data/exploredata.html" TargetMode="External"/><Relationship Id="rId141" Type="http://schemas.openxmlformats.org/officeDocument/2006/relationships/hyperlink" Target="https://www.canada.ca/en/environment-climate-change/services/national-pollutant-release-inventory/tools-resources-data/exploredata.html" TargetMode="External"/><Relationship Id="rId379" Type="http://schemas.openxmlformats.org/officeDocument/2006/relationships/hyperlink" Target="https://www.canada.ca/en/environment-climate-change/services/national-pollutant-release-inventory/tools-resources-data/exploredata.html" TargetMode="External"/><Relationship Id="rId586" Type="http://schemas.openxmlformats.org/officeDocument/2006/relationships/hyperlink" Target="https://www.canada.ca/en/environment-climate-change/services/national-pollutant-release-inventory/tools-resources-data/exploredata.html" TargetMode="External"/><Relationship Id="rId793" Type="http://schemas.openxmlformats.org/officeDocument/2006/relationships/hyperlink" Target="https://www.canada.ca/en/environment-climate-change/services/national-pollutant-release-inventory/tools-resources-data/exploredata.html" TargetMode="External"/><Relationship Id="rId807" Type="http://schemas.openxmlformats.org/officeDocument/2006/relationships/hyperlink" Target="https://www.canada.ca/en/environment-climate-change/services/national-pollutant-release-inventory/tools-resources-data/exploredata.html" TargetMode="External"/><Relationship Id="rId7" Type="http://schemas.openxmlformats.org/officeDocument/2006/relationships/hyperlink" Target="https://www.canada.ca/en/environment-climate-change/services/national-pollutant-release-inventory/tools-resources-data/exploredata.html" TargetMode="External"/><Relationship Id="rId239" Type="http://schemas.openxmlformats.org/officeDocument/2006/relationships/hyperlink" Target="https://www.canada.ca/en/environment-climate-change/services/national-pollutant-release-inventory/tools-resources-data/exploredata.html" TargetMode="External"/><Relationship Id="rId446" Type="http://schemas.openxmlformats.org/officeDocument/2006/relationships/hyperlink" Target="https://www.canada.ca/en/environment-climate-change/services/national-pollutant-release-inventory/tools-resources-data/exploredata.html" TargetMode="External"/><Relationship Id="rId653" Type="http://schemas.openxmlformats.org/officeDocument/2006/relationships/hyperlink" Target="https://www.canada.ca/en/environment-climate-change/services/national-pollutant-release-inventory/tools-resources-data/exploredata.html" TargetMode="External"/><Relationship Id="rId292" Type="http://schemas.openxmlformats.org/officeDocument/2006/relationships/hyperlink" Target="https://www.canada.ca/en/environment-climate-change/services/national-pollutant-release-inventory/tools-resources-data/exploredata.html" TargetMode="External"/><Relationship Id="rId306" Type="http://schemas.openxmlformats.org/officeDocument/2006/relationships/hyperlink" Target="https://www.canada.ca/en/environment-climate-change/services/national-pollutant-release-inventory/tools-resources-data/exploredata.html" TargetMode="External"/><Relationship Id="rId860" Type="http://schemas.openxmlformats.org/officeDocument/2006/relationships/hyperlink" Target="https://www.canada.ca/en/environment-climate-change/services/national-pollutant-release-inventory/tools-resources-data/exploredata.html" TargetMode="External"/><Relationship Id="rId958" Type="http://schemas.openxmlformats.org/officeDocument/2006/relationships/hyperlink" Target="https://www.canada.ca/en/environment-climate-change/services/national-pollutant-release-inventory/tools-resources-data/exploredata.html" TargetMode="External"/><Relationship Id="rId87" Type="http://schemas.openxmlformats.org/officeDocument/2006/relationships/hyperlink" Target="https://www.canada.ca/en/environment-climate-change/services/national-pollutant-release-inventory/tools-resources-data/exploredata.html" TargetMode="External"/><Relationship Id="rId513" Type="http://schemas.openxmlformats.org/officeDocument/2006/relationships/hyperlink" Target="https://www.canada.ca/en/environment-climate-change/services/national-pollutant-release-inventory/tools-resources-data/exploredata.html" TargetMode="External"/><Relationship Id="rId597" Type="http://schemas.openxmlformats.org/officeDocument/2006/relationships/hyperlink" Target="https://www.canada.ca/en/environment-climate-change/services/national-pollutant-release-inventory/tools-resources-data/exploredata.html" TargetMode="External"/><Relationship Id="rId720" Type="http://schemas.openxmlformats.org/officeDocument/2006/relationships/hyperlink" Target="https://www.canada.ca/en/environment-climate-change/services/national-pollutant-release-inventory/tools-resources-data/exploredata.html" TargetMode="External"/><Relationship Id="rId818" Type="http://schemas.openxmlformats.org/officeDocument/2006/relationships/hyperlink" Target="https://www.canada.ca/en/environment-climate-change/services/national-pollutant-release-inventory/tools-resources-data/exploredata.html" TargetMode="External"/><Relationship Id="rId152" Type="http://schemas.openxmlformats.org/officeDocument/2006/relationships/hyperlink" Target="https://www.canada.ca/en/environment-climate-change/services/national-pollutant-release-inventory/tools-resources-data/exploredata.html" TargetMode="External"/><Relationship Id="rId45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3" Type="http://schemas.openxmlformats.org/officeDocument/2006/relationships/hyperlink" Target="https://www.canada.ca/en/environment-climate-change/services/national-pollutant-release-inventory/tools-resources-data/exploredata.html" TargetMode="External"/><Relationship Id="rId664" Type="http://schemas.openxmlformats.org/officeDocument/2006/relationships/hyperlink" Target="https://www.canada.ca/en/environment-climate-change/services/national-pollutant-release-inventory/tools-resources-data/exploredata.html" TargetMode="External"/><Relationship Id="rId871" Type="http://schemas.openxmlformats.org/officeDocument/2006/relationships/hyperlink" Target="https://www.canada.ca/en/environment-climate-change/services/national-pollutant-release-inventory/tools-resources-data/exploredata.html" TargetMode="External"/><Relationship Id="rId969" Type="http://schemas.openxmlformats.org/officeDocument/2006/relationships/hyperlink" Target="https://www.canada.ca/en/environment-climate-change/services/national-pollutant-release-inventory/tools-resources-data/exploredata.html" TargetMode="External"/><Relationship Id="rId14" Type="http://schemas.openxmlformats.org/officeDocument/2006/relationships/hyperlink" Target="https://www.canada.ca/en/environment-climate-change/services/national-pollutant-release-inventory/tools-resources-data/exploredata.html" TargetMode="External"/><Relationship Id="rId317" Type="http://schemas.openxmlformats.org/officeDocument/2006/relationships/hyperlink" Target="https://www.canada.ca/en/environment-climate-change/services/national-pollutant-release-inventory/tools-resources-data/exploredata.html" TargetMode="External"/><Relationship Id="rId524" Type="http://schemas.openxmlformats.org/officeDocument/2006/relationships/hyperlink" Target="https://www.canada.ca/en/environment-climate-change/services/national-pollutant-release-inventory/tools-resources-data/exploredata.html" TargetMode="External"/><Relationship Id="rId731" Type="http://schemas.openxmlformats.org/officeDocument/2006/relationships/hyperlink" Target="https://www.canada.ca/en/environment-climate-change/services/national-pollutant-release-inventory/tools-resources-data/exploredata.html" TargetMode="External"/><Relationship Id="rId98" Type="http://schemas.openxmlformats.org/officeDocument/2006/relationships/hyperlink" Target="https://www.canada.ca/en/environment-climate-change/services/national-pollutant-release-inventory/tools-resources-data/exploredata.html" TargetMode="External"/><Relationship Id="rId163" Type="http://schemas.openxmlformats.org/officeDocument/2006/relationships/hyperlink" Target="https://www.canada.ca/en/environment-climate-change/services/national-pollutant-release-inventory/tools-resources-data/exploredata.html" TargetMode="External"/><Relationship Id="rId370" Type="http://schemas.openxmlformats.org/officeDocument/2006/relationships/hyperlink" Target="https://www.canada.ca/en/environment-climate-change/services/national-pollutant-release-inventory/tools-resources-data/exploredata.html" TargetMode="External"/><Relationship Id="rId829" Type="http://schemas.openxmlformats.org/officeDocument/2006/relationships/hyperlink" Target="https://www.canada.ca/en/environment-climate-change/services/national-pollutant-release-inventory/tools-resources-data/exploredata.html" TargetMode="External"/><Relationship Id="rId1014" Type="http://schemas.openxmlformats.org/officeDocument/2006/relationships/hyperlink" Target="https://www.canada.ca/en/environment-climate-change/services/environmental-indicators/greenhouse-gas-emissions/large-facilities.html" TargetMode="External"/><Relationship Id="rId230" Type="http://schemas.openxmlformats.org/officeDocument/2006/relationships/hyperlink" Target="https://www.canada.ca/en/environment-climate-change/services/national-pollutant-release-inventory/tools-resources-data/exploredata.html" TargetMode="External"/><Relationship Id="rId468" Type="http://schemas.openxmlformats.org/officeDocument/2006/relationships/hyperlink" Target="https://www.canada.ca/en/environment-climate-change/services/national-pollutant-release-inventory/tools-resources-data/exploredata.html" TargetMode="External"/><Relationship Id="rId675" Type="http://schemas.openxmlformats.org/officeDocument/2006/relationships/hyperlink" Target="https://www.canada.ca/en/environment-climate-change/services/national-pollutant-release-inventory/tools-resources-data/exploredata.html" TargetMode="External"/><Relationship Id="rId882" Type="http://schemas.openxmlformats.org/officeDocument/2006/relationships/hyperlink" Target="https://www.canada.ca/en/environment-climate-change/services/national-pollutant-release-inventory/tools-resources-data/exploredata.html" TargetMode="External"/><Relationship Id="rId25" Type="http://schemas.openxmlformats.org/officeDocument/2006/relationships/hyperlink" Target="https://www.canada.ca/en/environment-climate-change/services/national-pollutant-release-inventory/tools-resources-data/exploredata.html" TargetMode="External"/><Relationship Id="rId328" Type="http://schemas.openxmlformats.org/officeDocument/2006/relationships/hyperlink" Target="https://www.canada.ca/en/environment-climate-change/services/national-pollutant-release-inventory/tools-resources-data/exploredata.html" TargetMode="External"/><Relationship Id="rId535" Type="http://schemas.openxmlformats.org/officeDocument/2006/relationships/hyperlink" Target="https://www.canada.ca/en/environment-climate-change/services/national-pollutant-release-inventory/tools-resources-data/exploredata.html" TargetMode="External"/><Relationship Id="rId742" Type="http://schemas.openxmlformats.org/officeDocument/2006/relationships/hyperlink" Target="https://www.canada.ca/en/environment-climate-change/services/national-pollutant-release-inventory/tools-resources-data/exploredata.html" TargetMode="External"/><Relationship Id="rId174" Type="http://schemas.openxmlformats.org/officeDocument/2006/relationships/hyperlink" Target="https://www.canada.ca/en/environment-climate-change/services/national-pollutant-release-inventory/tools-resources-data/exploredata.html" TargetMode="External"/><Relationship Id="rId381" Type="http://schemas.openxmlformats.org/officeDocument/2006/relationships/hyperlink" Target="https://www.canada.ca/en/environment-climate-change/services/national-pollutant-release-inventory/tools-resources-data/exploredata.html" TargetMode="External"/><Relationship Id="rId602" Type="http://schemas.openxmlformats.org/officeDocument/2006/relationships/hyperlink" Target="https://www.canada.ca/en/environment-climate-change/services/national-pollutant-release-inventory/tools-resources-data/exploredata.html" TargetMode="External"/><Relationship Id="rId1025" Type="http://schemas.openxmlformats.org/officeDocument/2006/relationships/hyperlink" Target="https://www.canada.ca/en/environment-climate-change/services/environmental-indicators/greenhouse-gas-emissions/large-facilities.html" TargetMode="External"/><Relationship Id="rId241" Type="http://schemas.openxmlformats.org/officeDocument/2006/relationships/hyperlink" Target="https://www.canada.ca/en/environment-climate-change/services/national-pollutant-release-inventory/tools-resources-data/exploredata.html" TargetMode="External"/><Relationship Id="rId479" Type="http://schemas.openxmlformats.org/officeDocument/2006/relationships/hyperlink" Target="https://www.canada.ca/en/environment-climate-change/services/national-pollutant-release-inventory/tools-resources-data/exploredata.html" TargetMode="External"/><Relationship Id="rId686" Type="http://schemas.openxmlformats.org/officeDocument/2006/relationships/hyperlink" Target="https://www.canada.ca/en/environment-climate-change/services/national-pollutant-release-inventory/tools-resources-data/exploredata.html" TargetMode="External"/><Relationship Id="rId893" Type="http://schemas.openxmlformats.org/officeDocument/2006/relationships/hyperlink" Target="https://www.canada.ca/en/environment-climate-change/services/national-pollutant-release-inventory/tools-resources-data/exploredata.html" TargetMode="External"/><Relationship Id="rId907" Type="http://schemas.openxmlformats.org/officeDocument/2006/relationships/hyperlink" Target="https://www.canada.ca/en/environment-climate-change/services/national-pollutant-release-inventory/tools-resources-data/exploredata.html" TargetMode="External"/><Relationship Id="rId36" Type="http://schemas.openxmlformats.org/officeDocument/2006/relationships/hyperlink" Target="https://www.canada.ca/en/environment-climate-change/services/national-pollutant-release-inventory/tools-resources-data/exploredata.html" TargetMode="External"/><Relationship Id="rId339" Type="http://schemas.openxmlformats.org/officeDocument/2006/relationships/hyperlink" Target="https://www.canada.ca/en/environment-climate-change/services/national-pollutant-release-inventory/tools-resources-data/exploredata.html" TargetMode="External"/><Relationship Id="rId546" Type="http://schemas.openxmlformats.org/officeDocument/2006/relationships/hyperlink" Target="https://www.canada.ca/en/environment-climate-change/services/national-pollutant-release-inventory/tools-resources-data/exploredata.html" TargetMode="External"/><Relationship Id="rId753" Type="http://schemas.openxmlformats.org/officeDocument/2006/relationships/hyperlink" Target="https://www.canada.ca/en/environment-climate-change/services/national-pollutant-release-inventory/tools-resources-data/exploredata.html" TargetMode="External"/><Relationship Id="rId101" Type="http://schemas.openxmlformats.org/officeDocument/2006/relationships/hyperlink" Target="https://www.canada.ca/en/environment-climate-change/services/national-pollutant-release-inventory/tools-resources-data/exploredata.html" TargetMode="External"/><Relationship Id="rId185" Type="http://schemas.openxmlformats.org/officeDocument/2006/relationships/hyperlink" Target="https://www.canada.ca/en/environment-climate-change/services/national-pollutant-release-inventory/tools-resources-data/exploredata.html" TargetMode="External"/><Relationship Id="rId406" Type="http://schemas.openxmlformats.org/officeDocument/2006/relationships/hyperlink" Target="https://www.canada.ca/en/environment-climate-change/services/national-pollutant-release-inventory/tools-resources-data/exploredata.html" TargetMode="External"/><Relationship Id="rId960" Type="http://schemas.openxmlformats.org/officeDocument/2006/relationships/hyperlink" Target="https://www.canada.ca/en/environment-climate-change/services/national-pollutant-release-inventory/tools-resources-data/exploredata.html" TargetMode="External"/><Relationship Id="rId392" Type="http://schemas.openxmlformats.org/officeDocument/2006/relationships/hyperlink" Target="https://www.canada.ca/en/environment-climate-change/services/national-pollutant-release-inventory/tools-resources-data/exploredata.html" TargetMode="External"/><Relationship Id="rId613" Type="http://schemas.openxmlformats.org/officeDocument/2006/relationships/hyperlink" Target="https://www.canada.ca/en/environment-climate-change/services/national-pollutant-release-inventory/tools-resources-data/exploredata.html" TargetMode="External"/><Relationship Id="rId697" Type="http://schemas.openxmlformats.org/officeDocument/2006/relationships/hyperlink" Target="https://www.canada.ca/en/environment-climate-change/services/national-pollutant-release-inventory/tools-resources-data/exploredata.html" TargetMode="External"/><Relationship Id="rId820" Type="http://schemas.openxmlformats.org/officeDocument/2006/relationships/hyperlink" Target="https://www.canada.ca/en/environment-climate-change/services/national-pollutant-release-inventory/tools-resources-data/exploredata.html" TargetMode="External"/><Relationship Id="rId918" Type="http://schemas.openxmlformats.org/officeDocument/2006/relationships/hyperlink" Target="https://www.canada.ca/en/environment-climate-change/services/national-pollutant-release-inventory/tools-resources-data/exploredata.html" TargetMode="External"/><Relationship Id="rId252" Type="http://schemas.openxmlformats.org/officeDocument/2006/relationships/hyperlink" Target="https://www.canada.ca/en/environment-climate-change/services/national-pollutant-release-inventory/tools-resources-data/exploredata.html" TargetMode="External"/><Relationship Id="rId47" Type="http://schemas.openxmlformats.org/officeDocument/2006/relationships/hyperlink" Target="https://www.canada.ca/en/environment-climate-change/services/national-pollutant-release-inventory/tools-resources-data/exploredata.html" TargetMode="External"/><Relationship Id="rId112" Type="http://schemas.openxmlformats.org/officeDocument/2006/relationships/hyperlink" Target="https://www.canada.ca/en/environment-climate-change/services/national-pollutant-release-inventory/tools-resources-data/exploredata.html" TargetMode="External"/><Relationship Id="rId557" Type="http://schemas.openxmlformats.org/officeDocument/2006/relationships/hyperlink" Target="https://www.canada.ca/en/environment-climate-change/services/national-pollutant-release-inventory/tools-resources-data/exploredata.html" TargetMode="External"/><Relationship Id="rId764" Type="http://schemas.openxmlformats.org/officeDocument/2006/relationships/hyperlink" Target="https://www.canada.ca/en/environment-climate-change/services/national-pollutant-release-inventory/tools-resources-data/exploredata.html" TargetMode="External"/><Relationship Id="rId971" Type="http://schemas.openxmlformats.org/officeDocument/2006/relationships/hyperlink" Target="https://www.canada.ca/en/environment-climate-change/services/national-pollutant-release-inventory/tools-resources-data/exploredata.html" TargetMode="External"/><Relationship Id="rId1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7" Type="http://schemas.openxmlformats.org/officeDocument/2006/relationships/hyperlink" Target="https://www.canada.ca/en/environment-climate-change/services/national-pollutant-release-inventory/tools-resources-data/exploredata.html" TargetMode="External"/><Relationship Id="rId624" Type="http://schemas.openxmlformats.org/officeDocument/2006/relationships/hyperlink" Target="https://www.canada.ca/en/environment-climate-change/services/national-pollutant-release-inventory/tools-resources-data/exploredata.html" TargetMode="External"/><Relationship Id="rId831" Type="http://schemas.openxmlformats.org/officeDocument/2006/relationships/hyperlink" Target="https://www.canada.ca/en/environment-climate-change/services/national-pollutant-release-inventory/tools-resources-data/exploredata.html" TargetMode="External"/><Relationship Id="rId263" Type="http://schemas.openxmlformats.org/officeDocument/2006/relationships/hyperlink" Target="https://www.canada.ca/en/environment-climate-change/services/national-pollutant-release-inventory/tools-resources-data/exploredata.html" TargetMode="External"/><Relationship Id="rId470" Type="http://schemas.openxmlformats.org/officeDocument/2006/relationships/hyperlink" Target="https://www.canada.ca/en/environment-climate-change/services/national-pollutant-release-inventory/tools-resources-data/exploredata.html" TargetMode="External"/><Relationship Id="rId929" Type="http://schemas.openxmlformats.org/officeDocument/2006/relationships/hyperlink" Target="https://www.canada.ca/en/environment-climate-change/services/national-pollutant-release-inventory/tools-resources-data/exploredata.html" TargetMode="External"/><Relationship Id="rId58" Type="http://schemas.openxmlformats.org/officeDocument/2006/relationships/hyperlink" Target="https://www.canada.ca/en/environment-climate-change/services/national-pollutant-release-inventory/tools-resources-data/exploredata.html" TargetMode="External"/><Relationship Id="rId123" Type="http://schemas.openxmlformats.org/officeDocument/2006/relationships/hyperlink" Target="https://www.canada.ca/en/environment-climate-change/services/national-pollutant-release-inventory/tools-resources-data/exploredata.html" TargetMode="External"/><Relationship Id="rId330" Type="http://schemas.openxmlformats.org/officeDocument/2006/relationships/hyperlink" Target="https://www.canada.ca/en/environment-climate-change/services/national-pollutant-release-inventory/tools-resources-data/exploredata.html" TargetMode="External"/><Relationship Id="rId568" Type="http://schemas.openxmlformats.org/officeDocument/2006/relationships/hyperlink" Target="https://www.canada.ca/en/environment-climate-change/services/national-pollutant-release-inventory/tools-resources-data/exploredata.html" TargetMode="External"/><Relationship Id="rId775" Type="http://schemas.openxmlformats.org/officeDocument/2006/relationships/hyperlink" Target="https://www.canada.ca/en/environment-climate-change/services/national-pollutant-release-inventory/tools-resources-data/exploredata.html" TargetMode="External"/><Relationship Id="rId982" Type="http://schemas.openxmlformats.org/officeDocument/2006/relationships/hyperlink" Target="https://www.canada.ca/en/environment-climate-change/services/national-pollutant-release-inventory/tools-resources-data/exploredata.html" TargetMode="External"/><Relationship Id="rId428" Type="http://schemas.openxmlformats.org/officeDocument/2006/relationships/hyperlink" Target="https://www.canada.ca/en/environment-climate-change/services/national-pollutant-release-inventory/tools-resources-data/exploredata.html" TargetMode="External"/><Relationship Id="rId635" Type="http://schemas.openxmlformats.org/officeDocument/2006/relationships/hyperlink" Target="https://www.canada.ca/en/environment-climate-change/services/national-pollutant-release-inventory/tools-resources-data/exploredata.html" TargetMode="External"/><Relationship Id="rId842" Type="http://schemas.openxmlformats.org/officeDocument/2006/relationships/hyperlink" Target="https://www.canada.ca/en/environment-climate-change/services/national-pollutant-release-inventory/tools-resources-data/exploredata.html" TargetMode="External"/><Relationship Id="rId274" Type="http://schemas.openxmlformats.org/officeDocument/2006/relationships/hyperlink" Target="https://www.canada.ca/en/environment-climate-change/services/national-pollutant-release-inventory/tools-resources-data/exploredata.html" TargetMode="External"/><Relationship Id="rId481" Type="http://schemas.openxmlformats.org/officeDocument/2006/relationships/hyperlink" Target="https://www.canada.ca/en/environment-climate-change/services/national-pollutant-release-inventory/tools-resources-data/exploredata.html" TargetMode="External"/><Relationship Id="rId702" Type="http://schemas.openxmlformats.org/officeDocument/2006/relationships/hyperlink" Target="https://www.canada.ca/en/environment-climate-change/services/national-pollutant-release-inventory/tools-resources-data/exploredata.html" TargetMode="External"/><Relationship Id="rId69" Type="http://schemas.openxmlformats.org/officeDocument/2006/relationships/hyperlink" Target="https://www.canada.ca/en/environment-climate-change/services/national-pollutant-release-inventory/tools-resources-data/exploredata.html" TargetMode="External"/><Relationship Id="rId134" Type="http://schemas.openxmlformats.org/officeDocument/2006/relationships/hyperlink" Target="https://www.canada.ca/en/environment-climate-change/services/national-pollutant-release-inventory/tools-resources-data/exploredata.html" TargetMode="External"/><Relationship Id="rId579" Type="http://schemas.openxmlformats.org/officeDocument/2006/relationships/hyperlink" Target="https://www.canada.ca/en/environment-climate-change/services/national-pollutant-release-inventory/tools-resources-data/exploredata.html" TargetMode="External"/><Relationship Id="rId786" Type="http://schemas.openxmlformats.org/officeDocument/2006/relationships/hyperlink" Target="https://www.canada.ca/en/environment-climate-change/services/national-pollutant-release-inventory/tools-resources-data/exploredata.html" TargetMode="External"/><Relationship Id="rId993" Type="http://schemas.openxmlformats.org/officeDocument/2006/relationships/hyperlink" Target="https://www.canada.ca/en/environment-climate-change/services/national-pollutant-release-inventory/tools-resources-data/exploredata.html" TargetMode="External"/><Relationship Id="rId341" Type="http://schemas.openxmlformats.org/officeDocument/2006/relationships/hyperlink" Target="https://www.canada.ca/en/environment-climate-change/services/national-pollutant-release-inventory/tools-resources-data/exploredata.html" TargetMode="External"/><Relationship Id="rId439" Type="http://schemas.openxmlformats.org/officeDocument/2006/relationships/hyperlink" Target="https://www.canada.ca/en/environment-climate-change/services/national-pollutant-release-inventory/tools-resources-data/exploredata.html" TargetMode="External"/><Relationship Id="rId646" Type="http://schemas.openxmlformats.org/officeDocument/2006/relationships/hyperlink" Target="https://www.canada.ca/en/environment-climate-change/services/national-pollutant-release-inventory/tools-resources-data/exploredata.html" TargetMode="External"/><Relationship Id="rId201" Type="http://schemas.openxmlformats.org/officeDocument/2006/relationships/hyperlink" Target="https://www.canada.ca/en/environment-climate-change/services/national-pollutant-release-inventory/tools-resources-data/exploredata.html" TargetMode="External"/><Relationship Id="rId285" Type="http://schemas.openxmlformats.org/officeDocument/2006/relationships/hyperlink" Target="https://www.canada.ca/en/environment-climate-change/services/national-pollutant-release-inventory/tools-resources-data/exploredata.html" TargetMode="External"/><Relationship Id="rId506" Type="http://schemas.openxmlformats.org/officeDocument/2006/relationships/hyperlink" Target="https://www.canada.ca/en/environment-climate-change/services/national-pollutant-release-inventory/tools-resources-data/exploredata.html" TargetMode="External"/><Relationship Id="rId853" Type="http://schemas.openxmlformats.org/officeDocument/2006/relationships/hyperlink" Target="https://www.canada.ca/en/environment-climate-change/services/national-pollutant-release-inventory/tools-resources-data/exploredata.html" TargetMode="External"/><Relationship Id="rId492" Type="http://schemas.openxmlformats.org/officeDocument/2006/relationships/hyperlink" Target="https://www.canada.ca/en/environment-climate-change/services/national-pollutant-release-inventory/tools-resources-data/exploredata.html" TargetMode="External"/><Relationship Id="rId713" Type="http://schemas.openxmlformats.org/officeDocument/2006/relationships/hyperlink" Target="https://www.canada.ca/en/environment-climate-change/services/national-pollutant-release-inventory/tools-resources-data/exploredata.html" TargetMode="External"/><Relationship Id="rId797" Type="http://schemas.openxmlformats.org/officeDocument/2006/relationships/hyperlink" Target="https://www.canada.ca/en/environment-climate-change/services/national-pollutant-release-inventory/tools-resources-data/exploredata.html" TargetMode="External"/><Relationship Id="rId920" Type="http://schemas.openxmlformats.org/officeDocument/2006/relationships/hyperlink" Target="https://www.canada.ca/en/environment-climate-change/services/national-pollutant-release-inventory/tools-resources-data/exploredata.html" TargetMode="External"/><Relationship Id="rId145" Type="http://schemas.openxmlformats.org/officeDocument/2006/relationships/hyperlink" Target="https://www.canada.ca/en/environment-climate-change/services/national-pollutant-release-inventory/tools-resources-data/exploredata.html" TargetMode="External"/><Relationship Id="rId352" Type="http://schemas.openxmlformats.org/officeDocument/2006/relationships/hyperlink" Target="https://www.canada.ca/en/environment-climate-change/services/national-pollutant-release-inventory/tools-resources-data/exploredata.html" TargetMode="External"/><Relationship Id="rId212" Type="http://schemas.openxmlformats.org/officeDocument/2006/relationships/hyperlink" Target="https://www.canada.ca/en/environment-climate-change/services/national-pollutant-release-inventory/tools-resources-data/exploredata.html" TargetMode="External"/><Relationship Id="rId657" Type="http://schemas.openxmlformats.org/officeDocument/2006/relationships/hyperlink" Target="https://www.canada.ca/en/environment-climate-change/services/national-pollutant-release-inventory/tools-resources-data/exploredata.html" TargetMode="External"/><Relationship Id="rId864" Type="http://schemas.openxmlformats.org/officeDocument/2006/relationships/hyperlink" Target="https://www.canada.ca/en/environment-climate-change/services/national-pollutant-release-inventory/tools-resources-data/exploredata.html" TargetMode="External"/><Relationship Id="rId296" Type="http://schemas.openxmlformats.org/officeDocument/2006/relationships/hyperlink" Target="https://www.canada.ca/en/environment-climate-change/services/national-pollutant-release-inventory/tools-resources-data/exploredata.html" TargetMode="External"/><Relationship Id="rId517" Type="http://schemas.openxmlformats.org/officeDocument/2006/relationships/hyperlink" Target="https://www.canada.ca/en/environment-climate-change/services/national-pollutant-release-inventory/tools-resources-data/exploredata.html" TargetMode="External"/><Relationship Id="rId724" Type="http://schemas.openxmlformats.org/officeDocument/2006/relationships/hyperlink" Target="https://www.canada.ca/en/environment-climate-change/services/national-pollutant-release-inventory/tools-resources-data/exploredata.html" TargetMode="External"/><Relationship Id="rId931" Type="http://schemas.openxmlformats.org/officeDocument/2006/relationships/hyperlink" Target="https://www.canada.ca/en/environment-climate-change/services/national-pollutant-release-inventory/tools-resources-data/exploredata.html" TargetMode="External"/><Relationship Id="rId60" Type="http://schemas.openxmlformats.org/officeDocument/2006/relationships/hyperlink" Target="https://www.canada.ca/en/environment-climate-change/services/national-pollutant-release-inventory/tools-resources-data/exploredata.html" TargetMode="External"/><Relationship Id="rId156" Type="http://schemas.openxmlformats.org/officeDocument/2006/relationships/hyperlink" Target="https://www.canada.ca/en/environment-climate-change/services/national-pollutant-release-inventory/tools-resources-data/exploredata.html" TargetMode="External"/><Relationship Id="rId363" Type="http://schemas.openxmlformats.org/officeDocument/2006/relationships/hyperlink" Target="https://www.canada.ca/en/environment-climate-change/services/national-pollutant-release-inventory/tools-resources-data/exploredata.html" TargetMode="External"/><Relationship Id="rId570" Type="http://schemas.openxmlformats.org/officeDocument/2006/relationships/hyperlink" Target="https://www.canada.ca/en/environment-climate-change/services/national-pollutant-release-inventory/tools-resources-data/exploredata.html" TargetMode="External"/><Relationship Id="rId1007" Type="http://schemas.openxmlformats.org/officeDocument/2006/relationships/hyperlink" Target="https://www.canada.ca/en/environment-climate-change/services/national-pollutant-release-inventory/tools-resources-data/exploredata.html" TargetMode="External"/><Relationship Id="rId223" Type="http://schemas.openxmlformats.org/officeDocument/2006/relationships/hyperlink" Target="https://www.canada.ca/en/environment-climate-change/services/national-pollutant-release-inventory/tools-resources-data/exploredata.html" TargetMode="External"/><Relationship Id="rId430" Type="http://schemas.openxmlformats.org/officeDocument/2006/relationships/hyperlink" Target="https://www.canada.ca/en/environment-climate-change/services/national-pollutant-release-inventory/tools-resources-data/exploredata.html" TargetMode="External"/><Relationship Id="rId668" Type="http://schemas.openxmlformats.org/officeDocument/2006/relationships/hyperlink" Target="https://www.canada.ca/en/environment-climate-change/services/national-pollutant-release-inventory/tools-resources-data/exploredata.html" TargetMode="External"/><Relationship Id="rId875" Type="http://schemas.openxmlformats.org/officeDocument/2006/relationships/hyperlink" Target="https://www.canada.ca/en/environment-climate-change/services/national-pollutant-release-inventory/tools-resources-data/exploredata.html" TargetMode="External"/><Relationship Id="rId18" Type="http://schemas.openxmlformats.org/officeDocument/2006/relationships/hyperlink" Target="https://www.canada.ca/en/environment-climate-change/services/national-pollutant-release-inventory/tools-resources-data/exploredata.html" TargetMode="External"/><Relationship Id="rId528" Type="http://schemas.openxmlformats.org/officeDocument/2006/relationships/hyperlink" Target="https://www.canada.ca/en/environment-climate-change/services/national-pollutant-release-inventory/tools-resources-data/exploredata.html" TargetMode="External"/><Relationship Id="rId735" Type="http://schemas.openxmlformats.org/officeDocument/2006/relationships/hyperlink" Target="https://www.canada.ca/en/environment-climate-change/services/national-pollutant-release-inventory/tools-resources-data/exploredata.html" TargetMode="External"/><Relationship Id="rId942" Type="http://schemas.openxmlformats.org/officeDocument/2006/relationships/hyperlink" Target="https://www.canada.ca/en/environment-climate-change/services/national-pollutant-release-inventory/tools-resources-data/exploredata.html" TargetMode="External"/><Relationship Id="rId167" Type="http://schemas.openxmlformats.org/officeDocument/2006/relationships/hyperlink" Target="https://www.canada.ca/en/environment-climate-change/services/national-pollutant-release-inventory/tools-resources-data/exploredata.html" TargetMode="External"/><Relationship Id="rId374" Type="http://schemas.openxmlformats.org/officeDocument/2006/relationships/hyperlink" Target="https://www.canada.ca/en/environment-climate-change/services/national-pollutant-release-inventory/tools-resources-data/exploredata.html" TargetMode="External"/><Relationship Id="rId581" Type="http://schemas.openxmlformats.org/officeDocument/2006/relationships/hyperlink" Target="https://www.canada.ca/en/environment-climate-change/services/national-pollutant-release-inventory/tools-resources-data/exploredata.html" TargetMode="External"/><Relationship Id="rId1018" Type="http://schemas.openxmlformats.org/officeDocument/2006/relationships/hyperlink" Target="https://www.canada.ca/en/environment-climate-change/services/environmental-indicators/greenhouse-gas-emissions/large-facilities.html" TargetMode="External"/><Relationship Id="rId71" Type="http://schemas.openxmlformats.org/officeDocument/2006/relationships/hyperlink" Target="https://www.canada.ca/en/environment-climate-change/services/national-pollutant-release-inventory/tools-resources-data/exploredata.html" TargetMode="External"/><Relationship Id="rId234" Type="http://schemas.openxmlformats.org/officeDocument/2006/relationships/hyperlink" Target="https://www.canada.ca/en/environment-climate-change/services/national-pollutant-release-inventory/tools-resources-data/exploredata.html" TargetMode="External"/><Relationship Id="rId679" Type="http://schemas.openxmlformats.org/officeDocument/2006/relationships/hyperlink" Target="https://www.canada.ca/en/environment-climate-change/services/national-pollutant-release-inventory/tools-resources-data/exploredata.html" TargetMode="External"/><Relationship Id="rId802" Type="http://schemas.openxmlformats.org/officeDocument/2006/relationships/hyperlink" Target="https://www.canada.ca/en/environment-climate-change/services/national-pollutant-release-inventory/tools-resources-data/exploredata.html" TargetMode="External"/><Relationship Id="rId886" Type="http://schemas.openxmlformats.org/officeDocument/2006/relationships/hyperlink" Target="https://www.canada.ca/en/environment-climate-change/services/national-pollutant-release-inventory/tools-resources-data/exploredata.html" TargetMode="External"/><Relationship Id="rId2" Type="http://schemas.openxmlformats.org/officeDocument/2006/relationships/hyperlink" Target="https://www.canada.ca/en/environment-climate-change/services/national-pollutant-release-inventory/tools-resources-data/exploredata.html" TargetMode="External"/><Relationship Id="rId29" Type="http://schemas.openxmlformats.org/officeDocument/2006/relationships/hyperlink" Target="https://www.canada.ca/en/environment-climate-change/services/national-pollutant-release-inventory/tools-resources-data/exploredata.html" TargetMode="External"/><Relationship Id="rId441" Type="http://schemas.openxmlformats.org/officeDocument/2006/relationships/hyperlink" Target="https://www.canada.ca/en/environment-climate-change/services/national-pollutant-release-inventory/tools-resources-data/exploredata.html" TargetMode="External"/><Relationship Id="rId539" Type="http://schemas.openxmlformats.org/officeDocument/2006/relationships/hyperlink" Target="https://www.canada.ca/en/environment-climate-change/services/national-pollutant-release-inventory/tools-resources-data/exploredata.html" TargetMode="External"/><Relationship Id="rId746" Type="http://schemas.openxmlformats.org/officeDocument/2006/relationships/hyperlink" Target="https://www.canada.ca/en/environment-climate-change/services/national-pollutant-release-inventory/tools-resources-data/exploredata.html" TargetMode="External"/><Relationship Id="rId178" Type="http://schemas.openxmlformats.org/officeDocument/2006/relationships/hyperlink" Target="https://www.canada.ca/en/environment-climate-change/services/national-pollutant-release-inventory/tools-resources-data/exploredata.html" TargetMode="External"/><Relationship Id="rId301" Type="http://schemas.openxmlformats.org/officeDocument/2006/relationships/hyperlink" Target="https://www.canada.ca/en/environment-climate-change/services/national-pollutant-release-inventory/tools-resources-data/exploredata.html" TargetMode="External"/><Relationship Id="rId953" Type="http://schemas.openxmlformats.org/officeDocument/2006/relationships/hyperlink" Target="https://www.canada.ca/en/environment-climate-change/services/national-pollutant-release-inventory/tools-resources-data/exploredata.html" TargetMode="External"/><Relationship Id="rId1029" Type="http://schemas.openxmlformats.org/officeDocument/2006/relationships/hyperlink" Target="https://www.canada.ca/en/environment-climate-change/services/environmental-indicators/greenhouse-gas-emissions/large-facilities.html" TargetMode="External"/><Relationship Id="rId82" Type="http://schemas.openxmlformats.org/officeDocument/2006/relationships/hyperlink" Target="https://www.canada.ca/en/environment-climate-change/services/national-pollutant-release-inventory/tools-resources-data/exploredata.html" TargetMode="External"/><Relationship Id="rId385" Type="http://schemas.openxmlformats.org/officeDocument/2006/relationships/hyperlink" Target="https://www.canada.ca/en/environment-climate-change/services/national-pollutant-release-inventory/tools-resources-data/exploredata.html" TargetMode="External"/><Relationship Id="rId592" Type="http://schemas.openxmlformats.org/officeDocument/2006/relationships/hyperlink" Target="https://www.canada.ca/en/environment-climate-change/services/national-pollutant-release-inventory/tools-resources-data/exploredata.html" TargetMode="External"/><Relationship Id="rId606" Type="http://schemas.openxmlformats.org/officeDocument/2006/relationships/hyperlink" Target="https://www.canada.ca/en/environment-climate-change/services/national-pollutant-release-inventory/tools-resources-data/exploredata.html" TargetMode="External"/><Relationship Id="rId813" Type="http://schemas.openxmlformats.org/officeDocument/2006/relationships/hyperlink" Target="https://www.canada.ca/en/environment-climate-change/services/national-pollutant-release-inventory/tools-resources-data/exploredata.html" TargetMode="External"/><Relationship Id="rId245" Type="http://schemas.openxmlformats.org/officeDocument/2006/relationships/hyperlink" Target="https://www.canada.ca/en/environment-climate-change/services/national-pollutant-release-inventory/tools-resources-data/exploredata.html" TargetMode="External"/><Relationship Id="rId452" Type="http://schemas.openxmlformats.org/officeDocument/2006/relationships/hyperlink" Target="https://www.canada.ca/en/environment-climate-change/services/national-pollutant-release-inventory/tools-resources-data/exploredata.html" TargetMode="External"/><Relationship Id="rId897" Type="http://schemas.openxmlformats.org/officeDocument/2006/relationships/hyperlink" Target="https://www.canada.ca/en/environment-climate-change/services/national-pollutant-release-inventory/tools-resources-data/exploredata.html" TargetMode="External"/><Relationship Id="rId105" Type="http://schemas.openxmlformats.org/officeDocument/2006/relationships/hyperlink" Target="https://www.canada.ca/en/environment-climate-change/services/national-pollutant-release-inventory/tools-resources-data/exploredata.html" TargetMode="External"/><Relationship Id="rId312" Type="http://schemas.openxmlformats.org/officeDocument/2006/relationships/hyperlink" Target="https://www.canada.ca/en/environment-climate-change/services/national-pollutant-release-inventory/tools-resources-data/exploredata.html" TargetMode="External"/><Relationship Id="rId757" Type="http://schemas.openxmlformats.org/officeDocument/2006/relationships/hyperlink" Target="https://www.canada.ca/en/environment-climate-change/services/national-pollutant-release-inventory/tools-resources-data/exploredata.html" TargetMode="External"/><Relationship Id="rId964" Type="http://schemas.openxmlformats.org/officeDocument/2006/relationships/hyperlink" Target="https://www.canada.ca/en/environment-climate-change/services/national-pollutant-release-inventory/tools-resources-data/exploredata.html" TargetMode="External"/><Relationship Id="rId93" Type="http://schemas.openxmlformats.org/officeDocument/2006/relationships/hyperlink" Target="https://www.canada.ca/en/environment-climate-change/services/national-pollutant-release-inventory/tools-resources-data/exploredata.html" TargetMode="External"/><Relationship Id="rId189" Type="http://schemas.openxmlformats.org/officeDocument/2006/relationships/hyperlink" Target="https://www.canada.ca/en/environment-climate-change/services/national-pollutant-release-inventory/tools-resources-data/exploredata.html" TargetMode="External"/><Relationship Id="rId396" Type="http://schemas.openxmlformats.org/officeDocument/2006/relationships/hyperlink" Target="https://www.canada.ca/en/environment-climate-change/services/national-pollutant-release-inventory/tools-resources-data/exploredata.html" TargetMode="External"/><Relationship Id="rId617" Type="http://schemas.openxmlformats.org/officeDocument/2006/relationships/hyperlink" Target="https://www.canada.ca/en/environment-climate-change/services/national-pollutant-release-inventory/tools-resources-data/exploredata.html" TargetMode="External"/><Relationship Id="rId824" Type="http://schemas.openxmlformats.org/officeDocument/2006/relationships/hyperlink" Target="https://www.canada.ca/en/environment-climate-change/services/national-pollutant-release-inventory/tools-resources-data/exploredata.html" TargetMode="External"/><Relationship Id="rId256" Type="http://schemas.openxmlformats.org/officeDocument/2006/relationships/hyperlink" Target="https://www.canada.ca/en/environment-climate-change/services/national-pollutant-release-inventory/tools-resources-data/exploredata.html" TargetMode="External"/><Relationship Id="rId463" Type="http://schemas.openxmlformats.org/officeDocument/2006/relationships/hyperlink" Target="https://www.canada.ca/en/environment-climate-change/services/national-pollutant-release-inventory/tools-resources-data/exploredata.html" TargetMode="External"/><Relationship Id="rId670" Type="http://schemas.openxmlformats.org/officeDocument/2006/relationships/hyperlink" Target="https://www.canada.ca/en/environment-climate-change/services/national-pollutant-release-inventory/tools-resources-data/exploredata.html" TargetMode="External"/><Relationship Id="rId116" Type="http://schemas.openxmlformats.org/officeDocument/2006/relationships/hyperlink" Target="https://www.canada.ca/en/environment-climate-change/services/national-pollutant-release-inventory/tools-resources-data/exploredata.html" TargetMode="External"/><Relationship Id="rId323" Type="http://schemas.openxmlformats.org/officeDocument/2006/relationships/hyperlink" Target="https://www.canada.ca/en/environment-climate-change/services/national-pollutant-release-inventory/tools-resources-data/exploredata.html" TargetMode="External"/><Relationship Id="rId530" Type="http://schemas.openxmlformats.org/officeDocument/2006/relationships/hyperlink" Target="https://www.canada.ca/en/environment-climate-change/services/national-pollutant-release-inventory/tools-resources-data/exploredata.html" TargetMode="External"/><Relationship Id="rId768" Type="http://schemas.openxmlformats.org/officeDocument/2006/relationships/hyperlink" Target="https://www.canada.ca/en/environment-climate-change/services/national-pollutant-release-inventory/tools-resources-data/exploredata.html" TargetMode="External"/><Relationship Id="rId975" Type="http://schemas.openxmlformats.org/officeDocument/2006/relationships/hyperlink" Target="https://www.canada.ca/en/environment-climate-change/services/national-pollutant-release-inventory/tools-resources-data/exploredata.html" TargetMode="External"/><Relationship Id="rId20" Type="http://schemas.openxmlformats.org/officeDocument/2006/relationships/hyperlink" Target="https://www.canada.ca/en/environment-climate-change/services/national-pollutant-release-inventory/tools-resources-data/exploredata.html" TargetMode="External"/><Relationship Id="rId628" Type="http://schemas.openxmlformats.org/officeDocument/2006/relationships/hyperlink" Target="https://www.canada.ca/en/environment-climate-change/services/national-pollutant-release-inventory/tools-resources-data/exploredata.html" TargetMode="External"/><Relationship Id="rId835" Type="http://schemas.openxmlformats.org/officeDocument/2006/relationships/hyperlink" Target="https://www.canada.ca/en/environment-climate-change/services/national-pollutant-release-inventory/tools-resources-data/exploredata.html" TargetMode="External"/><Relationship Id="rId267" Type="http://schemas.openxmlformats.org/officeDocument/2006/relationships/hyperlink" Target="https://www.canada.ca/en/environment-climate-change/services/national-pollutant-release-inventory/tools-resources-data/exploredata.html" TargetMode="External"/><Relationship Id="rId474" Type="http://schemas.openxmlformats.org/officeDocument/2006/relationships/hyperlink" Target="https://www.canada.ca/en/environment-climate-change/services/national-pollutant-release-inventory/tools-resources-data/exploredata.html" TargetMode="External"/><Relationship Id="rId1020" Type="http://schemas.openxmlformats.org/officeDocument/2006/relationships/hyperlink" Target="https://www.canada.ca/en/environment-climate-change/services/environmental-indicators/greenhouse-gas-emissions/large-facilities.html" TargetMode="External"/><Relationship Id="rId127" Type="http://schemas.openxmlformats.org/officeDocument/2006/relationships/hyperlink" Target="https://www.canada.ca/en/environment-climate-change/services/national-pollutant-release-inventory/tools-resources-data/exploredata.html" TargetMode="External"/><Relationship Id="rId681" Type="http://schemas.openxmlformats.org/officeDocument/2006/relationships/hyperlink" Target="https://www.canada.ca/en/environment-climate-change/services/national-pollutant-release-inventory/tools-resources-data/exploredata.html" TargetMode="External"/><Relationship Id="rId779" Type="http://schemas.openxmlformats.org/officeDocument/2006/relationships/hyperlink" Target="https://www.canada.ca/en/environment-climate-change/services/national-pollutant-release-inventory/tools-resources-data/exploredata.html" TargetMode="External"/><Relationship Id="rId902" Type="http://schemas.openxmlformats.org/officeDocument/2006/relationships/hyperlink" Target="https://www.canada.ca/en/environment-climate-change/services/national-pollutant-release-inventory/tools-resources-data/exploredata.html" TargetMode="External"/><Relationship Id="rId986" Type="http://schemas.openxmlformats.org/officeDocument/2006/relationships/hyperlink" Target="https://www.canada.ca/en/environment-climate-change/services/national-pollutant-release-inventory/tools-resources-data/exploredata.html" TargetMode="External"/><Relationship Id="rId31" Type="http://schemas.openxmlformats.org/officeDocument/2006/relationships/hyperlink" Target="https://www.canada.ca/en/environment-climate-change/services/national-pollutant-release-inventory/tools-resources-data/exploredata.html" TargetMode="External"/><Relationship Id="rId334" Type="http://schemas.openxmlformats.org/officeDocument/2006/relationships/hyperlink" Target="https://www.canada.ca/en/environment-climate-change/services/national-pollutant-release-inventory/tools-resources-data/exploredata.html" TargetMode="External"/><Relationship Id="rId541" Type="http://schemas.openxmlformats.org/officeDocument/2006/relationships/hyperlink" Target="https://www.canada.ca/en/environment-climate-change/services/national-pollutant-release-inventory/tools-resources-data/exploredata.html" TargetMode="External"/><Relationship Id="rId639" Type="http://schemas.openxmlformats.org/officeDocument/2006/relationships/hyperlink" Target="https://www.canada.ca/en/environment-climate-change/services/national-pollutant-release-inventory/tools-resources-data/exploredata.html" TargetMode="External"/><Relationship Id="rId180" Type="http://schemas.openxmlformats.org/officeDocument/2006/relationships/hyperlink" Target="https://www.canada.ca/en/environment-climate-change/services/national-pollutant-release-inventory/tools-resources-data/exploredata.html" TargetMode="External"/><Relationship Id="rId278" Type="http://schemas.openxmlformats.org/officeDocument/2006/relationships/hyperlink" Target="https://www.canada.ca/en/environment-climate-change/services/national-pollutant-release-inventory/tools-resources-data/exploredata.html" TargetMode="External"/><Relationship Id="rId401" Type="http://schemas.openxmlformats.org/officeDocument/2006/relationships/hyperlink" Target="https://www.canada.ca/en/environment-climate-change/services/national-pollutant-release-inventory/tools-resources-data/exploredata.html" TargetMode="External"/><Relationship Id="rId846" Type="http://schemas.openxmlformats.org/officeDocument/2006/relationships/hyperlink" Target="https://www.canada.ca/en/environment-climate-change/services/national-pollutant-release-inventory/tools-resources-data/exploredata.html" TargetMode="External"/><Relationship Id="rId1031" Type="http://schemas.openxmlformats.org/officeDocument/2006/relationships/hyperlink" Target="https://www.canada.ca/en/environment-climate-change/services/environmental-indicators/greenhouse-gas-emissions/large-facilities.html" TargetMode="External"/><Relationship Id="rId485" Type="http://schemas.openxmlformats.org/officeDocument/2006/relationships/hyperlink" Target="https://www.canada.ca/en/environment-climate-change/services/national-pollutant-release-inventory/tools-resources-data/exploredata.html" TargetMode="External"/><Relationship Id="rId692" Type="http://schemas.openxmlformats.org/officeDocument/2006/relationships/hyperlink" Target="https://www.canada.ca/en/environment-climate-change/services/national-pollutant-release-inventory/tools-resources-data/exploredata.html" TargetMode="External"/><Relationship Id="rId706" Type="http://schemas.openxmlformats.org/officeDocument/2006/relationships/hyperlink" Target="https://www.canada.ca/en/environment-climate-change/services/national-pollutant-release-inventory/tools-resources-data/exploredata.html" TargetMode="External"/><Relationship Id="rId913" Type="http://schemas.openxmlformats.org/officeDocument/2006/relationships/hyperlink" Target="https://www.canada.ca/en/environment-climate-change/services/national-pollutant-release-inventory/tools-resources-data/exploredata.html" TargetMode="External"/><Relationship Id="rId42" Type="http://schemas.openxmlformats.org/officeDocument/2006/relationships/hyperlink" Target="https://www.canada.ca/en/environment-climate-change/services/national-pollutant-release-inventory/tools-resources-data/exploredata.html" TargetMode="External"/><Relationship Id="rId138" Type="http://schemas.openxmlformats.org/officeDocument/2006/relationships/hyperlink" Target="https://www.canada.ca/en/environment-climate-change/services/national-pollutant-release-inventory/tools-resources-data/exploredata.html" TargetMode="External"/><Relationship Id="rId345" Type="http://schemas.openxmlformats.org/officeDocument/2006/relationships/hyperlink" Target="https://www.canada.ca/en/environment-climate-change/services/national-pollutant-release-inventory/tools-resources-data/exploredata.html" TargetMode="External"/><Relationship Id="rId552" Type="http://schemas.openxmlformats.org/officeDocument/2006/relationships/hyperlink" Target="https://www.canada.ca/en/environment-climate-change/services/national-pollutant-release-inventory/tools-resources-data/exploredata.html" TargetMode="External"/><Relationship Id="rId997" Type="http://schemas.openxmlformats.org/officeDocument/2006/relationships/hyperlink" Target="https://www.canada.ca/en/environment-climate-change/services/national-pollutant-release-inventory/tools-resources-data/exploredata.html" TargetMode="External"/><Relationship Id="rId191" Type="http://schemas.openxmlformats.org/officeDocument/2006/relationships/hyperlink" Target="https://www.canada.ca/en/environment-climate-change/services/national-pollutant-release-inventory/tools-resources-data/exploredata.html" TargetMode="External"/><Relationship Id="rId205" Type="http://schemas.openxmlformats.org/officeDocument/2006/relationships/hyperlink" Target="https://www.canada.ca/en/environment-climate-change/services/national-pollutant-release-inventory/tools-resources-data/exploredata.html" TargetMode="External"/><Relationship Id="rId412" Type="http://schemas.openxmlformats.org/officeDocument/2006/relationships/hyperlink" Target="https://www.canada.ca/en/environment-climate-change/services/national-pollutant-release-inventory/tools-resources-data/exploredata.html" TargetMode="External"/><Relationship Id="rId857" Type="http://schemas.openxmlformats.org/officeDocument/2006/relationships/hyperlink" Target="https://www.canada.ca/en/environment-climate-change/services/national-pollutant-release-inventory/tools-resources-data/exploredata.html" TargetMode="External"/><Relationship Id="rId289" Type="http://schemas.openxmlformats.org/officeDocument/2006/relationships/hyperlink" Target="https://www.canada.ca/en/environment-climate-change/services/national-pollutant-release-inventory/tools-resources-data/exploredata.html" TargetMode="External"/><Relationship Id="rId496" Type="http://schemas.openxmlformats.org/officeDocument/2006/relationships/hyperlink" Target="https://www.canada.ca/en/environment-climate-change/services/national-pollutant-release-inventory/tools-resources-data/exploredata.html" TargetMode="External"/><Relationship Id="rId717" Type="http://schemas.openxmlformats.org/officeDocument/2006/relationships/hyperlink" Target="https://www.canada.ca/en/environment-climate-change/services/national-pollutant-release-inventory/tools-resources-data/exploredata.html" TargetMode="External"/><Relationship Id="rId924" Type="http://schemas.openxmlformats.org/officeDocument/2006/relationships/hyperlink" Target="https://www.canada.ca/en/environment-climate-change/services/national-pollutant-release-inventory/tools-resources-data/exploredata.html" TargetMode="External"/><Relationship Id="rId53" Type="http://schemas.openxmlformats.org/officeDocument/2006/relationships/hyperlink" Target="https://www.canada.ca/en/environment-climate-change/services/national-pollutant-release-inventory/tools-resources-data/exploredata.html" TargetMode="External"/><Relationship Id="rId149" Type="http://schemas.openxmlformats.org/officeDocument/2006/relationships/hyperlink" Target="https://www.canada.ca/en/environment-climate-change/services/national-pollutant-release-inventory/tools-resources-data/exploredata.html" TargetMode="External"/><Relationship Id="rId356" Type="http://schemas.openxmlformats.org/officeDocument/2006/relationships/hyperlink" Target="https://www.canada.ca/en/environment-climate-change/services/national-pollutant-release-inventory/tools-resources-data/exploredata.html" TargetMode="External"/><Relationship Id="rId563" Type="http://schemas.openxmlformats.org/officeDocument/2006/relationships/hyperlink" Target="https://www.canada.ca/en/environment-climate-change/services/national-pollutant-release-inventory/tools-resources-data/exploredata.html" TargetMode="External"/><Relationship Id="rId770" Type="http://schemas.openxmlformats.org/officeDocument/2006/relationships/hyperlink" Target="https://www.canada.ca/en/environment-climate-change/services/national-pollutant-release-inventory/tools-resources-data/exploredata.html" TargetMode="External"/><Relationship Id="rId216" Type="http://schemas.openxmlformats.org/officeDocument/2006/relationships/hyperlink" Target="https://www.canada.ca/en/environment-climate-change/services/national-pollutant-release-inventory/tools-resources-data/exploredata.html" TargetMode="External"/><Relationship Id="rId423" Type="http://schemas.openxmlformats.org/officeDocument/2006/relationships/hyperlink" Target="https://www.canada.ca/en/environment-climate-change/services/national-pollutant-release-inventory/tools-resources-data/exploredata.html" TargetMode="External"/><Relationship Id="rId868" Type="http://schemas.openxmlformats.org/officeDocument/2006/relationships/hyperlink" Target="https://www.canada.ca/en/environment-climate-change/services/national-pollutant-release-inventory/tools-resources-data/exploredata.html" TargetMode="External"/><Relationship Id="rId630" Type="http://schemas.openxmlformats.org/officeDocument/2006/relationships/hyperlink" Target="https://www.canada.ca/en/environment-climate-change/services/national-pollutant-release-inventory/tools-resources-data/exploredata.html" TargetMode="External"/><Relationship Id="rId728" Type="http://schemas.openxmlformats.org/officeDocument/2006/relationships/hyperlink" Target="https://www.canada.ca/en/environment-climate-change/services/national-pollutant-release-inventory/tools-resources-data/exploredata.html" TargetMode="External"/><Relationship Id="rId935" Type="http://schemas.openxmlformats.org/officeDocument/2006/relationships/hyperlink" Target="https://www.canada.ca/en/environment-climate-change/services/national-pollutant-release-inventory/tools-resources-data/exploredata.html" TargetMode="External"/><Relationship Id="rId64" Type="http://schemas.openxmlformats.org/officeDocument/2006/relationships/hyperlink" Target="https://www.canada.ca/en/environment-climate-change/services/national-pollutant-release-inventory/tools-resources-data/exploredata.html" TargetMode="External"/><Relationship Id="rId367" Type="http://schemas.openxmlformats.org/officeDocument/2006/relationships/hyperlink" Target="https://www.canada.ca/en/environment-climate-change/services/national-pollutant-release-inventory/tools-resources-data/exploredata.html" TargetMode="External"/><Relationship Id="rId574" Type="http://schemas.openxmlformats.org/officeDocument/2006/relationships/hyperlink" Target="https://www.canada.ca/en/environment-climate-change/services/national-pollutant-release-inventory/tools-resources-data/exploredata.html" TargetMode="External"/><Relationship Id="rId227" Type="http://schemas.openxmlformats.org/officeDocument/2006/relationships/hyperlink" Target="https://www.canada.ca/en/environment-climate-change/services/national-pollutant-release-inventory/tools-resources-data/exploredata.html" TargetMode="External"/><Relationship Id="rId781" Type="http://schemas.openxmlformats.org/officeDocument/2006/relationships/hyperlink" Target="https://www.canada.ca/en/environment-climate-change/services/national-pollutant-release-inventory/tools-resources-data/exploredata.html" TargetMode="External"/><Relationship Id="rId879" Type="http://schemas.openxmlformats.org/officeDocument/2006/relationships/hyperlink" Target="https://www.canada.ca/en/environment-climate-change/services/national-pollutant-release-inventory/tools-resources-data/exploredata.html" TargetMode="External"/><Relationship Id="rId434" Type="http://schemas.openxmlformats.org/officeDocument/2006/relationships/hyperlink" Target="https://www.canada.ca/en/environment-climate-change/services/national-pollutant-release-inventory/tools-resources-data/exploredata.html" TargetMode="External"/><Relationship Id="rId641" Type="http://schemas.openxmlformats.org/officeDocument/2006/relationships/hyperlink" Target="https://www.canada.ca/en/environment-climate-change/services/national-pollutant-release-inventory/tools-resources-data/exploredata.html" TargetMode="External"/><Relationship Id="rId739" Type="http://schemas.openxmlformats.org/officeDocument/2006/relationships/hyperlink" Target="https://www.canada.ca/en/environment-climate-change/services/national-pollutant-release-inventory/tools-resources-data/exploredata.html" TargetMode="External"/><Relationship Id="rId280" Type="http://schemas.openxmlformats.org/officeDocument/2006/relationships/hyperlink" Target="https://www.canada.ca/en/environment-climate-change/services/national-pollutant-release-inventory/tools-resources-data/exploredata.html" TargetMode="External"/><Relationship Id="rId501" Type="http://schemas.openxmlformats.org/officeDocument/2006/relationships/hyperlink" Target="https://www.canada.ca/en/environment-climate-change/services/national-pollutant-release-inventory/tools-resources-data/exploredata.html" TargetMode="External"/><Relationship Id="rId946" Type="http://schemas.openxmlformats.org/officeDocument/2006/relationships/hyperlink" Target="https://www.canada.ca/en/environment-climate-change/services/national-pollutant-release-inventory/tools-resources-data/exploredata.html" TargetMode="External"/><Relationship Id="rId75" Type="http://schemas.openxmlformats.org/officeDocument/2006/relationships/hyperlink" Target="https://www.canada.ca/en/environment-climate-change/services/national-pollutant-release-inventory/tools-resources-data/exploredata.html" TargetMode="External"/><Relationship Id="rId140" Type="http://schemas.openxmlformats.org/officeDocument/2006/relationships/hyperlink" Target="https://www.canada.ca/en/environment-climate-change/services/national-pollutant-release-inventory/tools-resources-data/exploredata.html" TargetMode="External"/><Relationship Id="rId378" Type="http://schemas.openxmlformats.org/officeDocument/2006/relationships/hyperlink" Target="https://www.canada.ca/en/environment-climate-change/services/national-pollutant-release-inventory/tools-resources-data/exploredata.html" TargetMode="External"/><Relationship Id="rId585" Type="http://schemas.openxmlformats.org/officeDocument/2006/relationships/hyperlink" Target="https://www.canada.ca/en/environment-climate-change/services/national-pollutant-release-inventory/tools-resources-data/exploredata.html" TargetMode="External"/><Relationship Id="rId792" Type="http://schemas.openxmlformats.org/officeDocument/2006/relationships/hyperlink" Target="https://www.canada.ca/en/environment-climate-change/services/national-pollutant-release-inventory/tools-resources-data/exploredata.html" TargetMode="External"/><Relationship Id="rId806" Type="http://schemas.openxmlformats.org/officeDocument/2006/relationships/hyperlink" Target="https://www.canada.ca/en/environment-climate-change/services/national-pollutant-release-inventory/tools-resources-data/exploredata.html" TargetMode="External"/><Relationship Id="rId6" Type="http://schemas.openxmlformats.org/officeDocument/2006/relationships/hyperlink" Target="https://www.canada.ca/en/environment-climate-change/services/national-pollutant-release-inventory/tools-resources-data/exploredata.html" TargetMode="External"/><Relationship Id="rId238" Type="http://schemas.openxmlformats.org/officeDocument/2006/relationships/hyperlink" Target="https://www.canada.ca/en/environment-climate-change/services/national-pollutant-release-inventory/tools-resources-data/exploredata.html" TargetMode="External"/><Relationship Id="rId445" Type="http://schemas.openxmlformats.org/officeDocument/2006/relationships/hyperlink" Target="https://www.canada.ca/en/environment-climate-change/services/national-pollutant-release-inventory/tools-resources-data/exploredata.html" TargetMode="External"/><Relationship Id="rId652" Type="http://schemas.openxmlformats.org/officeDocument/2006/relationships/hyperlink" Target="https://www.canada.ca/en/environment-climate-change/services/national-pollutant-release-inventory/tools-resources-data/exploredata.html" TargetMode="External"/><Relationship Id="rId291" Type="http://schemas.openxmlformats.org/officeDocument/2006/relationships/hyperlink" Target="https://www.canada.ca/en/environment-climate-change/services/national-pollutant-release-inventory/tools-resources-data/exploredata.html" TargetMode="External"/><Relationship Id="rId305" Type="http://schemas.openxmlformats.org/officeDocument/2006/relationships/hyperlink" Target="https://www.canada.ca/en/environment-climate-change/services/national-pollutant-release-inventory/tools-resources-data/exploredata.html" TargetMode="External"/><Relationship Id="rId512" Type="http://schemas.openxmlformats.org/officeDocument/2006/relationships/hyperlink" Target="https://www.canada.ca/en/environment-climate-change/services/national-pollutant-release-inventory/tools-resources-data/exploredata.html" TargetMode="External"/><Relationship Id="rId957" Type="http://schemas.openxmlformats.org/officeDocument/2006/relationships/hyperlink" Target="https://www.canada.ca/en/environment-climate-change/services/national-pollutant-release-inventory/tools-resources-data/exploredata.html" TargetMode="External"/><Relationship Id="rId86" Type="http://schemas.openxmlformats.org/officeDocument/2006/relationships/hyperlink" Target="https://www.canada.ca/en/environment-climate-change/services/national-pollutant-release-inventory/tools-resources-data/exploredata.html" TargetMode="External"/><Relationship Id="rId151" Type="http://schemas.openxmlformats.org/officeDocument/2006/relationships/hyperlink" Target="https://www.canada.ca/en/environment-climate-change/services/national-pollutant-release-inventory/tools-resources-data/exploredata.html" TargetMode="External"/><Relationship Id="rId389" Type="http://schemas.openxmlformats.org/officeDocument/2006/relationships/hyperlink" Target="https://www.canada.ca/en/environment-climate-change/services/national-pollutant-release-inventory/tools-resources-data/exploredata.html" TargetMode="External"/><Relationship Id="rId596" Type="http://schemas.openxmlformats.org/officeDocument/2006/relationships/hyperlink" Target="https://www.canada.ca/en/environment-climate-change/services/national-pollutant-release-inventory/tools-resources-data/exploredata.html" TargetMode="External"/><Relationship Id="rId817" Type="http://schemas.openxmlformats.org/officeDocument/2006/relationships/hyperlink" Target="https://www.canada.ca/en/environment-climate-change/services/national-pollutant-release-inventory/tools-resources-data/exploredata.html" TargetMode="External"/><Relationship Id="rId1002" Type="http://schemas.openxmlformats.org/officeDocument/2006/relationships/hyperlink" Target="https://www.canada.ca/en/environment-climate-change/services/national-pollutant-release-inventory/tools-resources-data/exploredata.html" TargetMode="External"/><Relationship Id="rId249" Type="http://schemas.openxmlformats.org/officeDocument/2006/relationships/hyperlink" Target="https://www.canada.ca/en/environment-climate-change/services/national-pollutant-release-inventory/tools-resources-data/exploredata.html" TargetMode="External"/><Relationship Id="rId456" Type="http://schemas.openxmlformats.org/officeDocument/2006/relationships/hyperlink" Target="https://www.canada.ca/en/environment-climate-change/services/national-pollutant-release-inventory/tools-resources-data/exploredata.html" TargetMode="External"/><Relationship Id="rId663" Type="http://schemas.openxmlformats.org/officeDocument/2006/relationships/hyperlink" Target="https://www.canada.ca/en/environment-climate-change/services/national-pollutant-release-inventory/tools-resources-data/exploredata.html" TargetMode="External"/><Relationship Id="rId870" Type="http://schemas.openxmlformats.org/officeDocument/2006/relationships/hyperlink" Target="https://www.canada.ca/en/environment-climate-change/services/national-pollutant-release-inventory/tools-resources-data/exploredata.html" TargetMode="External"/><Relationship Id="rId13" Type="http://schemas.openxmlformats.org/officeDocument/2006/relationships/hyperlink" Target="https://www.canada.ca/en/environment-climate-change/services/national-pollutant-release-inventory/tools-resources-data/exploredata.html" TargetMode="External"/><Relationship Id="rId109" Type="http://schemas.openxmlformats.org/officeDocument/2006/relationships/hyperlink" Target="https://www.canada.ca/en/environment-climate-change/services/national-pollutant-release-inventory/tools-resources-data/exploredata.html" TargetMode="External"/><Relationship Id="rId316" Type="http://schemas.openxmlformats.org/officeDocument/2006/relationships/hyperlink" Target="https://www.canada.ca/en/environment-climate-change/services/national-pollutant-release-inventory/tools-resources-data/exploredata.html" TargetMode="External"/><Relationship Id="rId523" Type="http://schemas.openxmlformats.org/officeDocument/2006/relationships/hyperlink" Target="https://www.canada.ca/en/environment-climate-change/services/national-pollutant-release-inventory/tools-resources-data/exploredata.html" TargetMode="External"/><Relationship Id="rId968" Type="http://schemas.openxmlformats.org/officeDocument/2006/relationships/hyperlink" Target="https://www.canada.ca/en/environment-climate-change/services/national-pollutant-release-inventory/tools-resources-data/exploredata.html" TargetMode="External"/><Relationship Id="rId97" Type="http://schemas.openxmlformats.org/officeDocument/2006/relationships/hyperlink" Target="https://www.canada.ca/en/environment-climate-change/services/national-pollutant-release-inventory/tools-resources-data/exploredata.html" TargetMode="External"/><Relationship Id="rId730" Type="http://schemas.openxmlformats.org/officeDocument/2006/relationships/hyperlink" Target="https://www.canada.ca/en/environment-climate-change/services/national-pollutant-release-inventory/tools-resources-data/exploredata.html" TargetMode="External"/><Relationship Id="rId828" Type="http://schemas.openxmlformats.org/officeDocument/2006/relationships/hyperlink" Target="https://www.canada.ca/en/environment-climate-change/services/national-pollutant-release-inventory/tools-resources-data/exploredata.html" TargetMode="External"/><Relationship Id="rId1013" Type="http://schemas.openxmlformats.org/officeDocument/2006/relationships/hyperlink" Target="https://www.canada.ca/en/environment-climate-change/services/environmental-indicators/greenhouse-gas-emissions/large-facilities.html" TargetMode="External"/><Relationship Id="rId162" Type="http://schemas.openxmlformats.org/officeDocument/2006/relationships/hyperlink" Target="https://www.canada.ca/en/environment-climate-change/services/national-pollutant-release-inventory/tools-resources-data/exploredata.html" TargetMode="External"/><Relationship Id="rId467" Type="http://schemas.openxmlformats.org/officeDocument/2006/relationships/hyperlink" Target="https://www.canada.ca/en/environment-climate-change/services/national-pollutant-release-inventory/tools-resources-data/exploredata.html" TargetMode="External"/><Relationship Id="rId674" Type="http://schemas.openxmlformats.org/officeDocument/2006/relationships/hyperlink" Target="https://www.canada.ca/en/environment-climate-change/services/national-pollutant-release-inventory/tools-resources-data/exploredata.html" TargetMode="External"/><Relationship Id="rId881" Type="http://schemas.openxmlformats.org/officeDocument/2006/relationships/hyperlink" Target="https://www.canada.ca/en/environment-climate-change/services/national-pollutant-release-inventory/tools-resources-data/exploredata.html" TargetMode="External"/><Relationship Id="rId979" Type="http://schemas.openxmlformats.org/officeDocument/2006/relationships/hyperlink" Target="https://www.canada.ca/en/environment-climate-change/services/national-pollutant-release-inventory/tools-resources-data/exploredata.html" TargetMode="External"/><Relationship Id="rId24" Type="http://schemas.openxmlformats.org/officeDocument/2006/relationships/hyperlink" Target="https://www.canada.ca/en/environment-climate-change/services/national-pollutant-release-inventory/tools-resources-data/exploredata.html" TargetMode="External"/><Relationship Id="rId327" Type="http://schemas.openxmlformats.org/officeDocument/2006/relationships/hyperlink" Target="https://www.canada.ca/en/environment-climate-change/services/national-pollutant-release-inventory/tools-resources-data/exploredata.html" TargetMode="External"/><Relationship Id="rId534" Type="http://schemas.openxmlformats.org/officeDocument/2006/relationships/hyperlink" Target="https://www.canada.ca/en/environment-climate-change/services/national-pollutant-release-inventory/tools-resources-data/exploredata.html" TargetMode="External"/><Relationship Id="rId741" Type="http://schemas.openxmlformats.org/officeDocument/2006/relationships/hyperlink" Target="https://www.canada.ca/en/environment-climate-change/services/national-pollutant-release-inventory/tools-resources-data/exploredata.html" TargetMode="External"/><Relationship Id="rId839" Type="http://schemas.openxmlformats.org/officeDocument/2006/relationships/hyperlink" Target="https://www.canada.ca/en/environment-climate-change/services/national-pollutant-release-inventory/tools-resources-data/exploredata.html" TargetMode="External"/><Relationship Id="rId173" Type="http://schemas.openxmlformats.org/officeDocument/2006/relationships/hyperlink" Target="https://www.canada.ca/en/environment-climate-change/services/national-pollutant-release-inventory/tools-resources-data/exploredata.html" TargetMode="External"/><Relationship Id="rId380" Type="http://schemas.openxmlformats.org/officeDocument/2006/relationships/hyperlink" Target="https://www.canada.ca/en/environment-climate-change/services/national-pollutant-release-inventory/tools-resources-data/exploredata.html" TargetMode="External"/><Relationship Id="rId6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4" Type="http://schemas.openxmlformats.org/officeDocument/2006/relationships/hyperlink" Target="https://www.canada.ca/en/environment-climate-change/services/environmental-indicators/greenhouse-gas-emissions/large-facilities.html" TargetMode="External"/><Relationship Id="rId240" Type="http://schemas.openxmlformats.org/officeDocument/2006/relationships/hyperlink" Target="https://www.canada.ca/en/environment-climate-change/services/national-pollutant-release-inventory/tools-resources-data/exploredata.html" TargetMode="External"/><Relationship Id="rId478" Type="http://schemas.openxmlformats.org/officeDocument/2006/relationships/hyperlink" Target="https://www.canada.ca/en/environment-climate-change/services/national-pollutant-release-inventory/tools-resources-data/exploredata.html" TargetMode="External"/><Relationship Id="rId685" Type="http://schemas.openxmlformats.org/officeDocument/2006/relationships/hyperlink" Target="https://www.canada.ca/en/environment-climate-change/services/national-pollutant-release-inventory/tools-resources-data/exploredata.html" TargetMode="External"/><Relationship Id="rId892" Type="http://schemas.openxmlformats.org/officeDocument/2006/relationships/hyperlink" Target="https://www.canada.ca/en/environment-climate-change/services/national-pollutant-release-inventory/tools-resources-data/exploredata.html" TargetMode="External"/><Relationship Id="rId906" Type="http://schemas.openxmlformats.org/officeDocument/2006/relationships/hyperlink" Target="https://www.canada.ca/en/environment-climate-change/services/national-pollutant-release-inventory/tools-resources-data/exploredata.html" TargetMode="External"/><Relationship Id="rId35" Type="http://schemas.openxmlformats.org/officeDocument/2006/relationships/hyperlink" Target="https://www.canada.ca/en/environment-climate-change/services/national-pollutant-release-inventory/tools-resources-data/exploredata.html" TargetMode="External"/><Relationship Id="rId100" Type="http://schemas.openxmlformats.org/officeDocument/2006/relationships/hyperlink" Target="https://www.canada.ca/en/environment-climate-change/services/national-pollutant-release-inventory/tools-resources-data/exploredata.html" TargetMode="External"/><Relationship Id="rId338" Type="http://schemas.openxmlformats.org/officeDocument/2006/relationships/hyperlink" Target="https://www.canada.ca/en/environment-climate-change/services/national-pollutant-release-inventory/tools-resources-data/exploredata.html" TargetMode="External"/><Relationship Id="rId545" Type="http://schemas.openxmlformats.org/officeDocument/2006/relationships/hyperlink" Target="https://www.canada.ca/en/environment-climate-change/services/national-pollutant-release-inventory/tools-resources-data/exploredata.html" TargetMode="External"/><Relationship Id="rId752" Type="http://schemas.openxmlformats.org/officeDocument/2006/relationships/hyperlink" Target="https://www.canada.ca/en/environment-climate-change/services/national-pollutant-release-inventory/tools-resources-data/exploredata.html" TargetMode="External"/><Relationship Id="rId184" Type="http://schemas.openxmlformats.org/officeDocument/2006/relationships/hyperlink" Target="https://www.canada.ca/en/environment-climate-change/services/national-pollutant-release-inventory/tools-resources-data/exploredata.html" TargetMode="External"/><Relationship Id="rId391" Type="http://schemas.openxmlformats.org/officeDocument/2006/relationships/hyperlink" Target="https://www.canada.ca/en/environment-climate-change/services/national-pollutant-release-inventory/tools-resources-data/exploredata.html" TargetMode="External"/><Relationship Id="rId405" Type="http://schemas.openxmlformats.org/officeDocument/2006/relationships/hyperlink" Target="https://www.canada.ca/en/environment-climate-change/services/national-pollutant-release-inventory/tools-resources-data/exploredata.html" TargetMode="External"/><Relationship Id="rId612" Type="http://schemas.openxmlformats.org/officeDocument/2006/relationships/hyperlink" Target="https://www.canada.ca/en/environment-climate-change/services/national-pollutant-release-inventory/tools-resources-data/exploredata.html" TargetMode="External"/><Relationship Id="rId251" Type="http://schemas.openxmlformats.org/officeDocument/2006/relationships/hyperlink" Target="https://www.canada.ca/en/environment-climate-change/services/national-pollutant-release-inventory/tools-resources-data/exploredata.html" TargetMode="External"/><Relationship Id="rId489" Type="http://schemas.openxmlformats.org/officeDocument/2006/relationships/hyperlink" Target="https://www.canada.ca/en/environment-climate-change/services/national-pollutant-release-inventory/tools-resources-data/exploredata.html" TargetMode="External"/><Relationship Id="rId696" Type="http://schemas.openxmlformats.org/officeDocument/2006/relationships/hyperlink" Target="https://www.canada.ca/en/environment-climate-change/services/national-pollutant-release-inventory/tools-resources-data/exploredata.html" TargetMode="External"/><Relationship Id="rId917" Type="http://schemas.openxmlformats.org/officeDocument/2006/relationships/hyperlink" Target="https://www.canada.ca/en/environment-climate-change/services/national-pollutant-release-inventory/tools-resources-data/exploredata.html" TargetMode="External"/><Relationship Id="rId46" Type="http://schemas.openxmlformats.org/officeDocument/2006/relationships/hyperlink" Target="https://www.canada.ca/en/environment-climate-change/services/national-pollutant-release-inventory/tools-resources-data/exploredata.html" TargetMode="External"/><Relationship Id="rId349" Type="http://schemas.openxmlformats.org/officeDocument/2006/relationships/hyperlink" Target="https://www.canada.ca/en/environment-climate-change/services/national-pollutant-release-inventory/tools-resources-data/exploredata.html" TargetMode="External"/><Relationship Id="rId556" Type="http://schemas.openxmlformats.org/officeDocument/2006/relationships/hyperlink" Target="https://www.canada.ca/en/environment-climate-change/services/national-pollutant-release-inventory/tools-resources-data/exploredata.html" TargetMode="External"/><Relationship Id="rId763" Type="http://schemas.openxmlformats.org/officeDocument/2006/relationships/hyperlink" Target="https://www.canada.ca/en/environment-climate-change/services/national-pollutant-release-inventory/tools-resources-data/exploredata.html" TargetMode="External"/><Relationship Id="rId111" Type="http://schemas.openxmlformats.org/officeDocument/2006/relationships/hyperlink" Target="https://www.canada.ca/en/environment-climate-change/services/national-pollutant-release-inventory/tools-resources-data/exploredata.html" TargetMode="External"/><Relationship Id="rId1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9" Type="http://schemas.openxmlformats.org/officeDocument/2006/relationships/hyperlink" Target="https://www.canada.ca/en/environment-climate-change/services/national-pollutant-release-inventory/tools-resources-data/exploredata.html" TargetMode="External"/><Relationship Id="rId416" Type="http://schemas.openxmlformats.org/officeDocument/2006/relationships/hyperlink" Target="https://www.canada.ca/en/environment-climate-change/services/national-pollutant-release-inventory/tools-resources-data/exploredata.html" TargetMode="External"/><Relationship Id="rId970" Type="http://schemas.openxmlformats.org/officeDocument/2006/relationships/hyperlink" Target="https://www.canada.ca/en/environment-climate-change/services/national-pollutant-release-inventory/tools-resources-data/exploredata.html" TargetMode="External"/><Relationship Id="rId623" Type="http://schemas.openxmlformats.org/officeDocument/2006/relationships/hyperlink" Target="https://www.canada.ca/en/environment-climate-change/services/national-pollutant-release-inventory/tools-resources-data/exploredata.html" TargetMode="External"/><Relationship Id="rId830" Type="http://schemas.openxmlformats.org/officeDocument/2006/relationships/hyperlink" Target="https://www.canada.ca/en/environment-climate-change/services/national-pollutant-release-inventory/tools-resources-data/exploredata.html" TargetMode="External"/><Relationship Id="rId928" Type="http://schemas.openxmlformats.org/officeDocument/2006/relationships/hyperlink" Target="https://www.canada.ca/en/environment-climate-change/services/national-pollutant-release-inventory/tools-resources-data/exploredata.html" TargetMode="External"/><Relationship Id="rId57" Type="http://schemas.openxmlformats.org/officeDocument/2006/relationships/hyperlink" Target="https://www.canada.ca/en/environment-climate-change/services/national-pollutant-release-inventory/tools-resources-data/exploredata.html" TargetMode="External"/><Relationship Id="rId262" Type="http://schemas.openxmlformats.org/officeDocument/2006/relationships/hyperlink" Target="https://www.canada.ca/en/environment-climate-change/services/national-pollutant-release-inventory/tools-resources-data/exploredata.html" TargetMode="External"/><Relationship Id="rId567" Type="http://schemas.openxmlformats.org/officeDocument/2006/relationships/hyperlink" Target="https://www.canada.ca/en/environment-climate-change/services/national-pollutant-release-inventory/tools-resources-data/exploredata.html" TargetMode="External"/><Relationship Id="rId122" Type="http://schemas.openxmlformats.org/officeDocument/2006/relationships/hyperlink" Target="https://www.canada.ca/en/environment-climate-change/services/national-pollutant-release-inventory/tools-resources-data/exploredata.html" TargetMode="External"/><Relationship Id="rId774" Type="http://schemas.openxmlformats.org/officeDocument/2006/relationships/hyperlink" Target="https://www.canada.ca/en/environment-climate-change/services/national-pollutant-release-inventory/tools-resources-data/exploredata.html" TargetMode="External"/><Relationship Id="rId981" Type="http://schemas.openxmlformats.org/officeDocument/2006/relationships/hyperlink" Target="https://www.canada.ca/en/environment-climate-change/services/national-pollutant-release-inventory/tools-resources-data/exploredata.html" TargetMode="External"/><Relationship Id="rId427" Type="http://schemas.openxmlformats.org/officeDocument/2006/relationships/hyperlink" Target="https://www.canada.ca/en/environment-climate-change/services/national-pollutant-release-inventory/tools-resources-data/exploredata.html" TargetMode="External"/><Relationship Id="rId634" Type="http://schemas.openxmlformats.org/officeDocument/2006/relationships/hyperlink" Target="https://www.canada.ca/en/environment-climate-change/services/national-pollutant-release-inventory/tools-resources-data/exploredata.html" TargetMode="External"/><Relationship Id="rId841" Type="http://schemas.openxmlformats.org/officeDocument/2006/relationships/hyperlink" Target="https://www.canada.ca/en/environment-climate-change/services/national-pollutant-release-inventory/tools-resources-data/exploredata.html" TargetMode="External"/><Relationship Id="rId273" Type="http://schemas.openxmlformats.org/officeDocument/2006/relationships/hyperlink" Target="https://www.canada.ca/en/environment-climate-change/services/national-pollutant-release-inventory/tools-resources-data/exploredata.html" TargetMode="External"/><Relationship Id="rId480" Type="http://schemas.openxmlformats.org/officeDocument/2006/relationships/hyperlink" Target="https://www.canada.ca/en/environment-climate-change/services/national-pollutant-release-inventory/tools-resources-data/exploredata.html" TargetMode="External"/><Relationship Id="rId701" Type="http://schemas.openxmlformats.org/officeDocument/2006/relationships/hyperlink" Target="https://www.canada.ca/en/environment-climate-change/services/national-pollutant-release-inventory/tools-resources-data/exploredata.html" TargetMode="External"/><Relationship Id="rId939" Type="http://schemas.openxmlformats.org/officeDocument/2006/relationships/hyperlink" Target="https://www.canada.ca/en/environment-climate-change/services/national-pollutant-release-inventory/tools-resources-data/exploredata.html" TargetMode="External"/><Relationship Id="rId68" Type="http://schemas.openxmlformats.org/officeDocument/2006/relationships/hyperlink" Target="https://www.canada.ca/en/environment-climate-change/services/national-pollutant-release-inventory/tools-resources-data/exploredata.html" TargetMode="External"/><Relationship Id="rId133" Type="http://schemas.openxmlformats.org/officeDocument/2006/relationships/hyperlink" Target="https://www.canada.ca/en/environment-climate-change/services/national-pollutant-release-inventory/tools-resources-data/exploredata.html" TargetMode="External"/><Relationship Id="rId340" Type="http://schemas.openxmlformats.org/officeDocument/2006/relationships/hyperlink" Target="https://www.canada.ca/en/environment-climate-change/services/national-pollutant-release-inventory/tools-resources-data/exploredata.html" TargetMode="External"/><Relationship Id="rId578" Type="http://schemas.openxmlformats.org/officeDocument/2006/relationships/hyperlink" Target="https://www.canada.ca/en/environment-climate-change/services/national-pollutant-release-inventory/tools-resources-data/exploredata.html" TargetMode="External"/><Relationship Id="rId785" Type="http://schemas.openxmlformats.org/officeDocument/2006/relationships/hyperlink" Target="https://www.canada.ca/en/environment-climate-change/services/national-pollutant-release-inventory/tools-resources-data/exploredata.html" TargetMode="External"/><Relationship Id="rId992" Type="http://schemas.openxmlformats.org/officeDocument/2006/relationships/hyperlink" Target="https://www.canada.ca/en/environment-climate-change/services/national-pollutant-release-inventory/tools-resources-data/exploredata.html" TargetMode="External"/><Relationship Id="rId200" Type="http://schemas.openxmlformats.org/officeDocument/2006/relationships/hyperlink" Target="https://www.canada.ca/en/environment-climate-change/services/national-pollutant-release-inventory/tools-resources-data/exploredata.html" TargetMode="External"/><Relationship Id="rId438" Type="http://schemas.openxmlformats.org/officeDocument/2006/relationships/hyperlink" Target="https://www.canada.ca/en/environment-climate-change/services/national-pollutant-release-inventory/tools-resources-data/exploredata.html" TargetMode="External"/><Relationship Id="rId645" Type="http://schemas.openxmlformats.org/officeDocument/2006/relationships/hyperlink" Target="https://www.canada.ca/en/environment-climate-change/services/national-pollutant-release-inventory/tools-resources-data/exploredata.html" TargetMode="External"/><Relationship Id="rId852" Type="http://schemas.openxmlformats.org/officeDocument/2006/relationships/hyperlink" Target="https://www.canada.ca/en/environment-climate-change/services/national-pollutant-release-inventory/tools-resources-data/exploredata.html" TargetMode="External"/><Relationship Id="rId284" Type="http://schemas.openxmlformats.org/officeDocument/2006/relationships/hyperlink" Target="https://www.canada.ca/en/environment-climate-change/services/national-pollutant-release-inventory/tools-resources-data/exploredata.html" TargetMode="External"/><Relationship Id="rId491" Type="http://schemas.openxmlformats.org/officeDocument/2006/relationships/hyperlink" Target="https://www.canada.ca/en/environment-climate-change/services/national-pollutant-release-inventory/tools-resources-data/exploredata.html" TargetMode="External"/><Relationship Id="rId505" Type="http://schemas.openxmlformats.org/officeDocument/2006/relationships/hyperlink" Target="https://www.canada.ca/en/environment-climate-change/services/national-pollutant-release-inventory/tools-resources-data/exploredata.html" TargetMode="External"/><Relationship Id="rId712" Type="http://schemas.openxmlformats.org/officeDocument/2006/relationships/hyperlink" Target="https://www.canada.ca/en/environment-climate-change/services/national-pollutant-release-inventory/tools-resources-data/exploredata.html" TargetMode="External"/><Relationship Id="rId79" Type="http://schemas.openxmlformats.org/officeDocument/2006/relationships/hyperlink" Target="https://www.canada.ca/en/environment-climate-change/services/national-pollutant-release-inventory/tools-resources-data/exploredata.html" TargetMode="External"/><Relationship Id="rId144" Type="http://schemas.openxmlformats.org/officeDocument/2006/relationships/hyperlink" Target="https://www.canada.ca/en/environment-climate-change/services/national-pollutant-release-inventory/tools-resources-data/exploredata.html" TargetMode="External"/><Relationship Id="rId589" Type="http://schemas.openxmlformats.org/officeDocument/2006/relationships/hyperlink" Target="https://www.canada.ca/en/environment-climate-change/services/national-pollutant-release-inventory/tools-resources-data/exploredata.html" TargetMode="External"/><Relationship Id="rId796" Type="http://schemas.openxmlformats.org/officeDocument/2006/relationships/hyperlink" Target="https://www.canada.ca/en/environment-climate-change/services/national-pollutant-release-inventory/tools-resources-data/exploredata.html" TargetMode="External"/><Relationship Id="rId351" Type="http://schemas.openxmlformats.org/officeDocument/2006/relationships/hyperlink" Target="https://www.canada.ca/en/environment-climate-change/services/national-pollutant-release-inventory/tools-resources-data/exploredata.html" TargetMode="External"/><Relationship Id="rId449" Type="http://schemas.openxmlformats.org/officeDocument/2006/relationships/hyperlink" Target="https://www.canada.ca/en/environment-climate-change/services/national-pollutant-release-inventory/tools-resources-data/exploredata.html" TargetMode="External"/><Relationship Id="rId656" Type="http://schemas.openxmlformats.org/officeDocument/2006/relationships/hyperlink" Target="https://www.canada.ca/en/environment-climate-change/services/national-pollutant-release-inventory/tools-resources-data/exploredata.html" TargetMode="External"/><Relationship Id="rId863" Type="http://schemas.openxmlformats.org/officeDocument/2006/relationships/hyperlink" Target="https://www.canada.ca/en/environment-climate-change/services/national-pollutant-release-inventory/tools-resources-data/exploredata.html" TargetMode="External"/><Relationship Id="rId211" Type="http://schemas.openxmlformats.org/officeDocument/2006/relationships/hyperlink" Target="https://www.canada.ca/en/environment-climate-change/services/national-pollutant-release-inventory/tools-resources-data/exploredata.html" TargetMode="External"/><Relationship Id="rId295" Type="http://schemas.openxmlformats.org/officeDocument/2006/relationships/hyperlink" Target="https://www.canada.ca/en/environment-climate-change/services/national-pollutant-release-inventory/tools-resources-data/exploredata.html" TargetMode="External"/><Relationship Id="rId309" Type="http://schemas.openxmlformats.org/officeDocument/2006/relationships/hyperlink" Target="https://www.canada.ca/en/environment-climate-change/services/national-pollutant-release-inventory/tools-resources-data/exploredata.html" TargetMode="External"/><Relationship Id="rId516" Type="http://schemas.openxmlformats.org/officeDocument/2006/relationships/hyperlink" Target="https://www.canada.ca/en/environment-climate-change/services/national-pollutant-release-inventory/tools-resources-data/exploredata.html" TargetMode="External"/><Relationship Id="rId723" Type="http://schemas.openxmlformats.org/officeDocument/2006/relationships/hyperlink" Target="https://www.canada.ca/en/environment-climate-change/services/national-pollutant-release-inventory/tools-resources-data/exploredata.html" TargetMode="External"/><Relationship Id="rId930" Type="http://schemas.openxmlformats.org/officeDocument/2006/relationships/hyperlink" Target="https://www.canada.ca/en/environment-climate-change/services/national-pollutant-release-inventory/tools-resources-data/exploredata.html" TargetMode="External"/><Relationship Id="rId1006" Type="http://schemas.openxmlformats.org/officeDocument/2006/relationships/hyperlink" Target="https://www.canada.ca/en/environment-climate-change/services/national-pollutant-release-inventory/tools-resources-data/exploredata.html" TargetMode="External"/><Relationship Id="rId155" Type="http://schemas.openxmlformats.org/officeDocument/2006/relationships/hyperlink" Target="https://www.canada.ca/en/environment-climate-change/services/national-pollutant-release-inventory/tools-resources-data/exploredata.html" TargetMode="External"/><Relationship Id="rId362" Type="http://schemas.openxmlformats.org/officeDocument/2006/relationships/hyperlink" Target="https://www.canada.ca/en/environment-climate-change/services/national-pollutant-release-inventory/tools-resources-data/exploredata.html" TargetMode="External"/><Relationship Id="rId222" Type="http://schemas.openxmlformats.org/officeDocument/2006/relationships/hyperlink" Target="https://www.canada.ca/en/environment-climate-change/services/national-pollutant-release-inventory/tools-resources-data/exploredata.html" TargetMode="External"/><Relationship Id="rId667" Type="http://schemas.openxmlformats.org/officeDocument/2006/relationships/hyperlink" Target="https://www.canada.ca/en/environment-climate-change/services/national-pollutant-release-inventory/tools-resources-data/exploredata.html" TargetMode="External"/><Relationship Id="rId874" Type="http://schemas.openxmlformats.org/officeDocument/2006/relationships/hyperlink" Target="https://www.canada.ca/en/environment-climate-change/services/national-pollutant-release-inventory/tools-resources-data/exploredata.html" TargetMode="External"/><Relationship Id="rId17" Type="http://schemas.openxmlformats.org/officeDocument/2006/relationships/hyperlink" Target="https://www.canada.ca/en/environment-climate-change/services/national-pollutant-release-inventory/tools-resources-data/exploredata.html" TargetMode="External"/><Relationship Id="rId527" Type="http://schemas.openxmlformats.org/officeDocument/2006/relationships/hyperlink" Target="https://www.canada.ca/en/environment-climate-change/services/national-pollutant-release-inventory/tools-resources-data/exploredata.html" TargetMode="External"/><Relationship Id="rId734" Type="http://schemas.openxmlformats.org/officeDocument/2006/relationships/hyperlink" Target="https://www.canada.ca/en/environment-climate-change/services/national-pollutant-release-inventory/tools-resources-data/exploredata.html" TargetMode="External"/><Relationship Id="rId941" Type="http://schemas.openxmlformats.org/officeDocument/2006/relationships/hyperlink" Target="https://www.canada.ca/en/environment-climate-change/services/national-pollutant-release-inventory/tools-resources-data/exploredata.html" TargetMode="External"/><Relationship Id="rId70" Type="http://schemas.openxmlformats.org/officeDocument/2006/relationships/hyperlink" Target="https://www.canada.ca/en/environment-climate-change/services/national-pollutant-release-inventory/tools-resources-data/exploredata.html" TargetMode="External"/><Relationship Id="rId166" Type="http://schemas.openxmlformats.org/officeDocument/2006/relationships/hyperlink" Target="https://www.canada.ca/en/environment-climate-change/services/national-pollutant-release-inventory/tools-resources-data/exploredata.html" TargetMode="External"/><Relationship Id="rId373" Type="http://schemas.openxmlformats.org/officeDocument/2006/relationships/hyperlink" Target="https://www.canada.ca/en/environment-climate-change/services/national-pollutant-release-inventory/tools-resources-data/exploredata.html" TargetMode="External"/><Relationship Id="rId580" Type="http://schemas.openxmlformats.org/officeDocument/2006/relationships/hyperlink" Target="https://www.canada.ca/en/environment-climate-change/services/national-pollutant-release-inventory/tools-resources-data/exploredata.html" TargetMode="External"/><Relationship Id="rId801" Type="http://schemas.openxmlformats.org/officeDocument/2006/relationships/hyperlink" Target="https://www.canada.ca/en/environment-climate-change/services/national-pollutant-release-inventory/tools-resources-data/exploredata.html" TargetMode="External"/><Relationship Id="rId1017" Type="http://schemas.openxmlformats.org/officeDocument/2006/relationships/hyperlink" Target="https://www.canada.ca/en/environment-climate-change/services/environmental-indicators/greenhouse-gas-emissions/large-facilities.html" TargetMode="External"/><Relationship Id="rId1" Type="http://schemas.openxmlformats.org/officeDocument/2006/relationships/hyperlink" Target="https://www.canada.ca/en/environment-climate-change/services/national-pollutant-release-inventory/tools-resources-data/exploredata.html" TargetMode="External"/><Relationship Id="rId233" Type="http://schemas.openxmlformats.org/officeDocument/2006/relationships/hyperlink" Target="https://www.canada.ca/en/environment-climate-change/services/national-pollutant-release-inventory/tools-resources-data/exploredata.html" TargetMode="External"/><Relationship Id="rId440" Type="http://schemas.openxmlformats.org/officeDocument/2006/relationships/hyperlink" Target="https://www.canada.ca/en/environment-climate-change/services/national-pollutant-release-inventory/tools-resources-data/exploredata.html" TargetMode="External"/><Relationship Id="rId678" Type="http://schemas.openxmlformats.org/officeDocument/2006/relationships/hyperlink" Target="https://www.canada.ca/en/environment-climate-change/services/national-pollutant-release-inventory/tools-resources-data/exploredata.html" TargetMode="External"/><Relationship Id="rId885" Type="http://schemas.openxmlformats.org/officeDocument/2006/relationships/hyperlink" Target="https://www.canada.ca/en/environment-climate-change/services/national-pollutant-release-inventory/tools-resources-data/exploredata.html" TargetMode="External"/><Relationship Id="rId28" Type="http://schemas.openxmlformats.org/officeDocument/2006/relationships/hyperlink" Target="https://www.canada.ca/en/environment-climate-change/services/national-pollutant-release-inventory/tools-resources-data/exploredata.html" TargetMode="External"/><Relationship Id="rId300" Type="http://schemas.openxmlformats.org/officeDocument/2006/relationships/hyperlink" Target="https://www.canada.ca/en/environment-climate-change/services/national-pollutant-release-inventory/tools-resources-data/exploredata.html" TargetMode="External"/><Relationship Id="rId538" Type="http://schemas.openxmlformats.org/officeDocument/2006/relationships/hyperlink" Target="https://www.canada.ca/en/environment-climate-change/services/national-pollutant-release-inventory/tools-resources-data/exploredata.html" TargetMode="External"/><Relationship Id="rId745" Type="http://schemas.openxmlformats.org/officeDocument/2006/relationships/hyperlink" Target="https://www.canada.ca/en/environment-climate-change/services/national-pollutant-release-inventory/tools-resources-data/exploredata.html" TargetMode="External"/><Relationship Id="rId952" Type="http://schemas.openxmlformats.org/officeDocument/2006/relationships/hyperlink" Target="https://www.canada.ca/en/environment-climate-change/services/national-pollutant-release-inventory/tools-resources-data/exploredata.html" TargetMode="External"/><Relationship Id="rId81" Type="http://schemas.openxmlformats.org/officeDocument/2006/relationships/hyperlink" Target="https://www.canada.ca/en/environment-climate-change/services/national-pollutant-release-inventory/tools-resources-data/exploredata.html" TargetMode="External"/><Relationship Id="rId177" Type="http://schemas.openxmlformats.org/officeDocument/2006/relationships/hyperlink" Target="https://www.canada.ca/en/environment-climate-change/services/national-pollutant-release-inventory/tools-resources-data/exploredata.html" TargetMode="External"/><Relationship Id="rId384" Type="http://schemas.openxmlformats.org/officeDocument/2006/relationships/hyperlink" Target="https://www.canada.ca/en/environment-climate-change/services/national-pollutant-release-inventory/tools-resources-data/exploredata.html" TargetMode="External"/><Relationship Id="rId591" Type="http://schemas.openxmlformats.org/officeDocument/2006/relationships/hyperlink" Target="https://www.canada.ca/en/environment-climate-change/services/national-pollutant-release-inventory/tools-resources-data/exploredata.html" TargetMode="External"/><Relationship Id="rId605" Type="http://schemas.openxmlformats.org/officeDocument/2006/relationships/hyperlink" Target="https://www.canada.ca/en/environment-climate-change/services/national-pollutant-release-inventory/tools-resources-data/exploredata.html" TargetMode="External"/><Relationship Id="rId8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28" Type="http://schemas.openxmlformats.org/officeDocument/2006/relationships/hyperlink" Target="https://www.canada.ca/en/environment-climate-change/services/environmental-indicators/greenhouse-gas-emissions/large-facilities.html" TargetMode="External"/><Relationship Id="rId244" Type="http://schemas.openxmlformats.org/officeDocument/2006/relationships/hyperlink" Target="https://www.canada.ca/en/environment-climate-change/services/national-pollutant-release-inventory/tools-resources-data/exploredata.html" TargetMode="External"/><Relationship Id="rId689" Type="http://schemas.openxmlformats.org/officeDocument/2006/relationships/hyperlink" Target="https://www.canada.ca/en/environment-climate-change/services/national-pollutant-release-inventory/tools-resources-data/exploredata.html" TargetMode="External"/><Relationship Id="rId896" Type="http://schemas.openxmlformats.org/officeDocument/2006/relationships/hyperlink" Target="https://www.canada.ca/en/environment-climate-change/services/national-pollutant-release-inventory/tools-resources-data/exploredata.html" TargetMode="External"/><Relationship Id="rId39" Type="http://schemas.openxmlformats.org/officeDocument/2006/relationships/hyperlink" Target="https://www.canada.ca/en/environment-climate-change/services/national-pollutant-release-inventory/tools-resources-data/exploredata.html" TargetMode="External"/><Relationship Id="rId451" Type="http://schemas.openxmlformats.org/officeDocument/2006/relationships/hyperlink" Target="https://www.canada.ca/en/environment-climate-change/services/national-pollutant-release-inventory/tools-resources-data/exploredata.html" TargetMode="External"/><Relationship Id="rId549" Type="http://schemas.openxmlformats.org/officeDocument/2006/relationships/hyperlink" Target="https://www.canada.ca/en/environment-climate-change/services/national-pollutant-release-inventory/tools-resources-data/exploredata.html" TargetMode="External"/><Relationship Id="rId756" Type="http://schemas.openxmlformats.org/officeDocument/2006/relationships/hyperlink" Target="https://www.canada.ca/en/environment-climate-change/services/national-pollutant-release-inventory/tools-resources-data/exploredata.html" TargetMode="External"/><Relationship Id="rId104" Type="http://schemas.openxmlformats.org/officeDocument/2006/relationships/hyperlink" Target="https://www.canada.ca/en/environment-climate-change/services/national-pollutant-release-inventory/tools-resources-data/exploredata.html" TargetMode="External"/><Relationship Id="rId188" Type="http://schemas.openxmlformats.org/officeDocument/2006/relationships/hyperlink" Target="https://www.canada.ca/en/environment-climate-change/services/national-pollutant-release-inventory/tools-resources-data/exploredata.html" TargetMode="External"/><Relationship Id="rId311" Type="http://schemas.openxmlformats.org/officeDocument/2006/relationships/hyperlink" Target="https://www.canada.ca/en/environment-climate-change/services/national-pollutant-release-inventory/tools-resources-data/exploredata.html" TargetMode="External"/><Relationship Id="rId395" Type="http://schemas.openxmlformats.org/officeDocument/2006/relationships/hyperlink" Target="https://www.canada.ca/en/environment-climate-change/services/national-pollutant-release-inventory/tools-resources-data/exploredata.html" TargetMode="External"/><Relationship Id="rId409" Type="http://schemas.openxmlformats.org/officeDocument/2006/relationships/hyperlink" Target="https://www.canada.ca/en/environment-climate-change/services/national-pollutant-release-inventory/tools-resources-data/exploredata.html" TargetMode="External"/><Relationship Id="rId963" Type="http://schemas.openxmlformats.org/officeDocument/2006/relationships/hyperlink" Target="https://www.canada.ca/en/environment-climate-change/services/national-pollutant-release-inventory/tools-resources-data/exploredata.html" TargetMode="External"/><Relationship Id="rId92" Type="http://schemas.openxmlformats.org/officeDocument/2006/relationships/hyperlink" Target="https://www.canada.ca/en/environment-climate-change/services/national-pollutant-release-inventory/tools-resources-data/exploredata.html" TargetMode="External"/><Relationship Id="rId616" Type="http://schemas.openxmlformats.org/officeDocument/2006/relationships/hyperlink" Target="https://www.canada.ca/en/environment-climate-change/services/national-pollutant-release-inventory/tools-resources-data/exploredata.html" TargetMode="External"/><Relationship Id="rId823" Type="http://schemas.openxmlformats.org/officeDocument/2006/relationships/hyperlink" Target="https://www.canada.ca/en/environment-climate-change/services/national-pollutant-release-inventory/tools-resources-data/exploredata.html" TargetMode="External"/><Relationship Id="rId255" Type="http://schemas.openxmlformats.org/officeDocument/2006/relationships/hyperlink" Target="https://www.canada.ca/en/environment-climate-change/services/national-pollutant-release-inventory/tools-resources-data/exploredata.html" TargetMode="External"/><Relationship Id="rId462" Type="http://schemas.openxmlformats.org/officeDocument/2006/relationships/hyperlink" Target="https://www.canada.ca/en/environment-climate-change/services/national-pollutant-release-inventory/tools-resources-data/exploredata.html" TargetMode="External"/><Relationship Id="rId115" Type="http://schemas.openxmlformats.org/officeDocument/2006/relationships/hyperlink" Target="https://www.canada.ca/en/environment-climate-change/services/national-pollutant-release-inventory/tools-resources-data/exploredata.html" TargetMode="External"/><Relationship Id="rId322" Type="http://schemas.openxmlformats.org/officeDocument/2006/relationships/hyperlink" Target="https://www.canada.ca/en/environment-climate-change/services/national-pollutant-release-inventory/tools-resources-data/exploredata.html" TargetMode="External"/><Relationship Id="rId767" Type="http://schemas.openxmlformats.org/officeDocument/2006/relationships/hyperlink" Target="https://www.canada.ca/en/environment-climate-change/services/national-pollutant-release-inventory/tools-resources-data/exploredata.html" TargetMode="External"/><Relationship Id="rId974" Type="http://schemas.openxmlformats.org/officeDocument/2006/relationships/hyperlink" Target="https://www.canada.ca/en/environment-climate-change/services/national-pollutant-release-inventory/tools-resources-data/exploredata.html" TargetMode="External"/><Relationship Id="rId199" Type="http://schemas.openxmlformats.org/officeDocument/2006/relationships/hyperlink" Target="https://www.canada.ca/en/environment-climate-change/services/national-pollutant-release-inventory/tools-resources-data/exploredata.html" TargetMode="External"/><Relationship Id="rId627" Type="http://schemas.openxmlformats.org/officeDocument/2006/relationships/hyperlink" Target="https://www.canada.ca/en/environment-climate-change/services/national-pollutant-release-inventory/tools-resources-data/exploredata.html" TargetMode="External"/><Relationship Id="rId834" Type="http://schemas.openxmlformats.org/officeDocument/2006/relationships/hyperlink" Target="https://www.canada.ca/en/environment-climate-change/services/national-pollutant-release-inventory/tools-resources-data/exploredata.html" TargetMode="External"/><Relationship Id="rId266" Type="http://schemas.openxmlformats.org/officeDocument/2006/relationships/hyperlink" Target="https://www.canada.ca/en/environment-climate-change/services/national-pollutant-release-inventory/tools-resources-data/exploredata.html" TargetMode="External"/><Relationship Id="rId473" Type="http://schemas.openxmlformats.org/officeDocument/2006/relationships/hyperlink" Target="https://www.canada.ca/en/environment-climate-change/services/national-pollutant-release-inventory/tools-resources-data/exploredata.html" TargetMode="External"/><Relationship Id="rId680" Type="http://schemas.openxmlformats.org/officeDocument/2006/relationships/hyperlink" Target="https://www.canada.ca/en/environment-climate-change/services/national-pollutant-release-inventory/tools-resources-data/exploredata.html" TargetMode="External"/><Relationship Id="rId901" Type="http://schemas.openxmlformats.org/officeDocument/2006/relationships/hyperlink" Target="https://www.canada.ca/en/environment-climate-change/services/national-pollutant-release-inventory/tools-resources-data/exploredata.html" TargetMode="External"/><Relationship Id="rId30" Type="http://schemas.openxmlformats.org/officeDocument/2006/relationships/hyperlink" Target="https://www.canada.ca/en/environment-climate-change/services/national-pollutant-release-inventory/tools-resources-data/exploredata.html" TargetMode="External"/><Relationship Id="rId126" Type="http://schemas.openxmlformats.org/officeDocument/2006/relationships/hyperlink" Target="https://www.canada.ca/en/environment-climate-change/services/national-pollutant-release-inventory/tools-resources-data/exploredata.html" TargetMode="External"/><Relationship Id="rId333" Type="http://schemas.openxmlformats.org/officeDocument/2006/relationships/hyperlink" Target="https://www.canada.ca/en/environment-climate-change/services/national-pollutant-release-inventory/tools-resources-data/exploredata.html" TargetMode="External"/><Relationship Id="rId540" Type="http://schemas.openxmlformats.org/officeDocument/2006/relationships/hyperlink" Target="https://www.canada.ca/en/environment-climate-change/services/national-pollutant-release-inventory/tools-resources-data/exploredata.html" TargetMode="External"/><Relationship Id="rId778" Type="http://schemas.openxmlformats.org/officeDocument/2006/relationships/hyperlink" Target="https://www.canada.ca/en/environment-climate-change/services/national-pollutant-release-inventory/tools-resources-data/exploredata.html" TargetMode="External"/><Relationship Id="rId985" Type="http://schemas.openxmlformats.org/officeDocument/2006/relationships/hyperlink" Target="https://www.canada.ca/en/environment-climate-change/services/national-pollutant-release-inventory/tools-resources-data/exploredata.html" TargetMode="External"/><Relationship Id="rId638" Type="http://schemas.openxmlformats.org/officeDocument/2006/relationships/hyperlink" Target="https://www.canada.ca/en/environment-climate-change/services/national-pollutant-release-inventory/tools-resources-data/exploredata.html" TargetMode="External"/><Relationship Id="rId845" Type="http://schemas.openxmlformats.org/officeDocument/2006/relationships/hyperlink" Target="https://www.canada.ca/en/environment-climate-change/services/national-pollutant-release-inventory/tools-resources-data/exploredata.html" TargetMode="External"/><Relationship Id="rId1030" Type="http://schemas.openxmlformats.org/officeDocument/2006/relationships/hyperlink" Target="https://www.canada.ca/en/environment-climate-change/services/environmental-indicators/greenhouse-gas-emissions/large-facilities.html" TargetMode="External"/><Relationship Id="rId277" Type="http://schemas.openxmlformats.org/officeDocument/2006/relationships/hyperlink" Target="https://www.canada.ca/en/environment-climate-change/services/national-pollutant-release-inventory/tools-resources-data/exploredata.html" TargetMode="External"/><Relationship Id="rId400" Type="http://schemas.openxmlformats.org/officeDocument/2006/relationships/hyperlink" Target="https://www.canada.ca/en/environment-climate-change/services/national-pollutant-release-inventory/tools-resources-data/exploredata.html" TargetMode="External"/><Relationship Id="rId484" Type="http://schemas.openxmlformats.org/officeDocument/2006/relationships/hyperlink" Target="https://www.canada.ca/en/environment-climate-change/services/national-pollutant-release-inventory/tools-resources-data/exploredata.html" TargetMode="External"/><Relationship Id="rId705" Type="http://schemas.openxmlformats.org/officeDocument/2006/relationships/hyperlink" Target="https://www.canada.ca/en/environment-climate-change/services/national-pollutant-release-inventory/tools-resources-data/exploredata.html" TargetMode="External"/><Relationship Id="rId137" Type="http://schemas.openxmlformats.org/officeDocument/2006/relationships/hyperlink" Target="https://www.canada.ca/en/environment-climate-change/services/national-pollutant-release-inventory/tools-resources-data/exploredata.html" TargetMode="External"/><Relationship Id="rId344" Type="http://schemas.openxmlformats.org/officeDocument/2006/relationships/hyperlink" Target="https://www.canada.ca/en/environment-climate-change/services/national-pollutant-release-inventory/tools-resources-data/exploredata.html" TargetMode="External"/><Relationship Id="rId691" Type="http://schemas.openxmlformats.org/officeDocument/2006/relationships/hyperlink" Target="https://www.canada.ca/en/environment-climate-change/services/national-pollutant-release-inventory/tools-resources-data/exploredata.html" TargetMode="External"/><Relationship Id="rId789" Type="http://schemas.openxmlformats.org/officeDocument/2006/relationships/hyperlink" Target="https://www.canada.ca/en/environment-climate-change/services/national-pollutant-release-inventory/tools-resources-data/exploredata.html" TargetMode="External"/><Relationship Id="rId912" Type="http://schemas.openxmlformats.org/officeDocument/2006/relationships/hyperlink" Target="https://www.canada.ca/en/environment-climate-change/services/national-pollutant-release-inventory/tools-resources-data/exploredata.html" TargetMode="External"/><Relationship Id="rId996" Type="http://schemas.openxmlformats.org/officeDocument/2006/relationships/hyperlink" Target="https://www.canada.ca/en/environment-climate-change/services/national-pollutant-release-inventory/tools-resources-data/exploredata.html" TargetMode="External"/><Relationship Id="rId41" Type="http://schemas.openxmlformats.org/officeDocument/2006/relationships/hyperlink" Target="https://www.canada.ca/en/environment-climate-change/services/national-pollutant-release-inventory/tools-resources-data/exploredata.html" TargetMode="External"/><Relationship Id="rId551" Type="http://schemas.openxmlformats.org/officeDocument/2006/relationships/hyperlink" Target="https://www.canada.ca/en/environment-climate-change/services/national-pollutant-release-inventory/tools-resources-data/exploredata.html" TargetMode="External"/><Relationship Id="rId649" Type="http://schemas.openxmlformats.org/officeDocument/2006/relationships/hyperlink" Target="https://www.canada.ca/en/environment-climate-change/services/national-pollutant-release-inventory/tools-resources-data/exploredata.html" TargetMode="External"/><Relationship Id="rId856" Type="http://schemas.openxmlformats.org/officeDocument/2006/relationships/hyperlink" Target="https://www.canada.ca/en/environment-climate-change/services/national-pollutant-release-inventory/tools-resources-data/exploredata.html" TargetMode="External"/><Relationship Id="rId190" Type="http://schemas.openxmlformats.org/officeDocument/2006/relationships/hyperlink" Target="https://www.canada.ca/en/environment-climate-change/services/national-pollutant-release-inventory/tools-resources-data/exploredata.html" TargetMode="External"/><Relationship Id="rId204" Type="http://schemas.openxmlformats.org/officeDocument/2006/relationships/hyperlink" Target="https://www.canada.ca/en/environment-climate-change/services/national-pollutant-release-inventory/tools-resources-data/exploredata.html" TargetMode="External"/><Relationship Id="rId288" Type="http://schemas.openxmlformats.org/officeDocument/2006/relationships/hyperlink" Target="https://www.canada.ca/en/environment-climate-change/services/national-pollutant-release-inventory/tools-resources-data/exploredata.html" TargetMode="External"/><Relationship Id="rId411" Type="http://schemas.openxmlformats.org/officeDocument/2006/relationships/hyperlink" Target="https://www.canada.ca/en/environment-climate-change/services/national-pollutant-release-inventory/tools-resources-data/exploredata.html" TargetMode="External"/><Relationship Id="rId509" Type="http://schemas.openxmlformats.org/officeDocument/2006/relationships/hyperlink" Target="https://www.canada.ca/en/environment-climate-change/services/national-pollutant-release-inventory/tools-resources-data/exploredata.html" TargetMode="External"/><Relationship Id="rId495" Type="http://schemas.openxmlformats.org/officeDocument/2006/relationships/hyperlink" Target="https://www.canada.ca/en/environment-climate-change/services/national-pollutant-release-inventory/tools-resources-data/exploredata.html" TargetMode="External"/><Relationship Id="rId716" Type="http://schemas.openxmlformats.org/officeDocument/2006/relationships/hyperlink" Target="https://www.canada.ca/en/environment-climate-change/services/national-pollutant-release-inventory/tools-resources-data/exploredata.html" TargetMode="External"/><Relationship Id="rId923" Type="http://schemas.openxmlformats.org/officeDocument/2006/relationships/hyperlink" Target="https://www.canada.ca/en/environment-climate-change/services/national-pollutant-release-inventory/tools-resources-data/exploredata.html" TargetMode="External"/><Relationship Id="rId52" Type="http://schemas.openxmlformats.org/officeDocument/2006/relationships/hyperlink" Target="https://www.canada.ca/en/environment-climate-change/services/national-pollutant-release-inventory/tools-resources-data/exploredata.html" TargetMode="External"/><Relationship Id="rId148" Type="http://schemas.openxmlformats.org/officeDocument/2006/relationships/hyperlink" Target="https://www.canada.ca/en/environment-climate-change/services/national-pollutant-release-inventory/tools-resources-data/exploredata.html" TargetMode="External"/><Relationship Id="rId355" Type="http://schemas.openxmlformats.org/officeDocument/2006/relationships/hyperlink" Target="https://www.canada.ca/en/environment-climate-change/services/national-pollutant-release-inventory/tools-resources-data/exploredata.html" TargetMode="External"/><Relationship Id="rId562" Type="http://schemas.openxmlformats.org/officeDocument/2006/relationships/hyperlink" Target="https://www.canada.ca/en/environment-climate-change/services/national-pollutant-release-inventory/tools-resources-data/exploredata.html" TargetMode="External"/><Relationship Id="rId215" Type="http://schemas.openxmlformats.org/officeDocument/2006/relationships/hyperlink" Target="https://www.canada.ca/en/environment-climate-change/services/national-pollutant-release-inventory/tools-resources-data/exploredata.html" TargetMode="External"/><Relationship Id="rId422" Type="http://schemas.openxmlformats.org/officeDocument/2006/relationships/hyperlink" Target="https://www.canada.ca/en/environment-climate-change/services/national-pollutant-release-inventory/tools-resources-data/exploredata.html" TargetMode="External"/><Relationship Id="rId867" Type="http://schemas.openxmlformats.org/officeDocument/2006/relationships/hyperlink" Target="https://www.canada.ca/en/environment-climate-change/services/national-pollutant-release-inventory/tools-resources-data/exploredata.html" TargetMode="External"/><Relationship Id="rId299" Type="http://schemas.openxmlformats.org/officeDocument/2006/relationships/hyperlink" Target="https://www.canada.ca/en/environment-climate-change/services/national-pollutant-release-inventory/tools-resources-data/exploredata.html" TargetMode="External"/><Relationship Id="rId727" Type="http://schemas.openxmlformats.org/officeDocument/2006/relationships/hyperlink" Target="https://www.canada.ca/en/environment-climate-change/services/national-pollutant-release-inventory/tools-resources-data/exploredata.html" TargetMode="External"/><Relationship Id="rId934" Type="http://schemas.openxmlformats.org/officeDocument/2006/relationships/hyperlink" Target="https://www.canada.ca/en/environment-climate-change/services/national-pollutant-release-inventory/tools-resources-data/exploredata.html" TargetMode="External"/><Relationship Id="rId63" Type="http://schemas.openxmlformats.org/officeDocument/2006/relationships/hyperlink" Target="https://www.canada.ca/en/environment-climate-change/services/national-pollutant-release-inventory/tools-resources-data/exploredata.html" TargetMode="External"/><Relationship Id="rId159" Type="http://schemas.openxmlformats.org/officeDocument/2006/relationships/hyperlink" Target="https://www.canada.ca/en/environment-climate-change/services/national-pollutant-release-inventory/tools-resources-data/exploredata.html" TargetMode="External"/><Relationship Id="rId366" Type="http://schemas.openxmlformats.org/officeDocument/2006/relationships/hyperlink" Target="https://www.canada.ca/en/environment-climate-change/services/national-pollutant-release-inventory/tools-resources-data/exploredata.html" TargetMode="External"/><Relationship Id="rId573" Type="http://schemas.openxmlformats.org/officeDocument/2006/relationships/hyperlink" Target="https://www.canada.ca/en/environment-climate-change/services/national-pollutant-release-inventory/tools-resources-data/exploredata.html" TargetMode="External"/><Relationship Id="rId780" Type="http://schemas.openxmlformats.org/officeDocument/2006/relationships/hyperlink" Target="https://www.canada.ca/en/environment-climate-change/services/national-pollutant-release-inventory/tools-resources-data/exploredata.html" TargetMode="External"/><Relationship Id="rId226" Type="http://schemas.openxmlformats.org/officeDocument/2006/relationships/hyperlink" Target="https://www.canada.ca/en/environment-climate-change/services/national-pollutant-release-inventory/tools-resources-data/exploredata.html" TargetMode="External"/><Relationship Id="rId433" Type="http://schemas.openxmlformats.org/officeDocument/2006/relationships/hyperlink" Target="https://www.canada.ca/en/environment-climate-change/services/national-pollutant-release-inventory/tools-resources-data/exploredata.html" TargetMode="External"/><Relationship Id="rId878" Type="http://schemas.openxmlformats.org/officeDocument/2006/relationships/hyperlink" Target="https://www.canada.ca/en/environment-climate-change/services/national-pollutant-release-inventory/tools-resources-data/exploredata.html" TargetMode="External"/><Relationship Id="rId640" Type="http://schemas.openxmlformats.org/officeDocument/2006/relationships/hyperlink" Target="https://www.canada.ca/en/environment-climate-change/services/national-pollutant-release-inventory/tools-resources-data/exploredata.html" TargetMode="External"/><Relationship Id="rId738" Type="http://schemas.openxmlformats.org/officeDocument/2006/relationships/hyperlink" Target="https://www.canada.ca/en/environment-climate-change/services/national-pollutant-release-inventory/tools-resources-data/exploredata.html" TargetMode="External"/><Relationship Id="rId945" Type="http://schemas.openxmlformats.org/officeDocument/2006/relationships/hyperlink" Target="https://www.canada.ca/en/environment-climate-change/services/national-pollutant-release-inventory/tools-resources-data/exploredata.html" TargetMode="External"/><Relationship Id="rId74" Type="http://schemas.openxmlformats.org/officeDocument/2006/relationships/hyperlink" Target="https://www.canada.ca/en/environment-climate-change/services/national-pollutant-release-inventory/tools-resources-data/exploredata.html" TargetMode="External"/><Relationship Id="rId377" Type="http://schemas.openxmlformats.org/officeDocument/2006/relationships/hyperlink" Target="https://www.canada.ca/en/environment-climate-change/services/national-pollutant-release-inventory/tools-resources-data/exploredata.html" TargetMode="External"/><Relationship Id="rId500" Type="http://schemas.openxmlformats.org/officeDocument/2006/relationships/hyperlink" Target="https://www.canada.ca/en/environment-climate-change/services/national-pollutant-release-inventory/tools-resources-data/exploredata.html" TargetMode="External"/><Relationship Id="rId584" Type="http://schemas.openxmlformats.org/officeDocument/2006/relationships/hyperlink" Target="https://www.canada.ca/en/environment-climate-change/services/national-pollutant-release-inventory/tools-resources-data/exploredata.html" TargetMode="External"/><Relationship Id="rId805" Type="http://schemas.openxmlformats.org/officeDocument/2006/relationships/hyperlink" Target="https://www.canada.ca/en/environment-climate-change/services/national-pollutant-release-inventory/tools-resources-data/exploredata.html" TargetMode="External"/><Relationship Id="rId5" Type="http://schemas.openxmlformats.org/officeDocument/2006/relationships/hyperlink" Target="https://www.canada.ca/en/environment-climate-change/services/national-pollutant-release-inventory/tools-resources-data/exploredata.html" TargetMode="External"/><Relationship Id="rId237" Type="http://schemas.openxmlformats.org/officeDocument/2006/relationships/hyperlink" Target="https://www.canada.ca/en/environment-climate-change/services/national-pollutant-release-inventory/tools-resources-data/exploredata.html" TargetMode="External"/><Relationship Id="rId791" Type="http://schemas.openxmlformats.org/officeDocument/2006/relationships/hyperlink" Target="https://www.canada.ca/en/environment-climate-change/services/national-pollutant-release-inventory/tools-resources-data/exploredata.html" TargetMode="External"/><Relationship Id="rId889" Type="http://schemas.openxmlformats.org/officeDocument/2006/relationships/hyperlink" Target="https://www.canada.ca/en/environment-climate-change/services/national-pollutant-release-inventory/tools-resources-data/exploredata.html" TargetMode="External"/><Relationship Id="rId444" Type="http://schemas.openxmlformats.org/officeDocument/2006/relationships/hyperlink" Target="https://www.canada.ca/en/environment-climate-change/services/national-pollutant-release-inventory/tools-resources-data/exploredata.html" TargetMode="External"/><Relationship Id="rId651" Type="http://schemas.openxmlformats.org/officeDocument/2006/relationships/hyperlink" Target="https://www.canada.ca/en/environment-climate-change/services/national-pollutant-release-inventory/tools-resources-data/exploredata.html" TargetMode="External"/><Relationship Id="rId749" Type="http://schemas.openxmlformats.org/officeDocument/2006/relationships/hyperlink" Target="https://www.canada.ca/en/environment-climate-change/services/national-pollutant-release-inventory/tools-resources-data/exploredata.html" TargetMode="External"/><Relationship Id="rId290" Type="http://schemas.openxmlformats.org/officeDocument/2006/relationships/hyperlink" Target="https://www.canada.ca/en/environment-climate-change/services/national-pollutant-release-inventory/tools-resources-data/exploredata.html" TargetMode="External"/><Relationship Id="rId304" Type="http://schemas.openxmlformats.org/officeDocument/2006/relationships/hyperlink" Target="https://www.canada.ca/en/environment-climate-change/services/national-pollutant-release-inventory/tools-resources-data/exploredata.html" TargetMode="External"/><Relationship Id="rId388" Type="http://schemas.openxmlformats.org/officeDocument/2006/relationships/hyperlink" Target="https://www.canada.ca/en/environment-climate-change/services/national-pollutant-release-inventory/tools-resources-data/exploredata.html" TargetMode="External"/><Relationship Id="rId511" Type="http://schemas.openxmlformats.org/officeDocument/2006/relationships/hyperlink" Target="https://www.canada.ca/en/environment-climate-change/services/national-pollutant-release-inventory/tools-resources-data/exploredata.html" TargetMode="External"/><Relationship Id="rId609" Type="http://schemas.openxmlformats.org/officeDocument/2006/relationships/hyperlink" Target="https://www.canada.ca/en/environment-climate-change/services/national-pollutant-release-inventory/tools-resources-data/exploredata.html" TargetMode="External"/><Relationship Id="rId956" Type="http://schemas.openxmlformats.org/officeDocument/2006/relationships/hyperlink" Target="https://www.canada.ca/en/environment-climate-change/services/national-pollutant-release-inventory/tools-resources-data/exploredata.html" TargetMode="External"/><Relationship Id="rId85" Type="http://schemas.openxmlformats.org/officeDocument/2006/relationships/hyperlink" Target="https://www.canada.ca/en/environment-climate-change/services/national-pollutant-release-inventory/tools-resources-data/exploredata.html" TargetMode="External"/><Relationship Id="rId150" Type="http://schemas.openxmlformats.org/officeDocument/2006/relationships/hyperlink" Target="https://www.canada.ca/en/environment-climate-change/services/national-pollutant-release-inventory/tools-resources-data/exploredata.html" TargetMode="External"/><Relationship Id="rId595" Type="http://schemas.openxmlformats.org/officeDocument/2006/relationships/hyperlink" Target="https://www.canada.ca/en/environment-climate-change/services/national-pollutant-release-inventory/tools-resources-data/exploredata.html" TargetMode="External"/><Relationship Id="rId816" Type="http://schemas.openxmlformats.org/officeDocument/2006/relationships/hyperlink" Target="https://www.canada.ca/en/environment-climate-change/services/national-pollutant-release-inventory/tools-resources-data/exploredata.html" TargetMode="External"/><Relationship Id="rId1001" Type="http://schemas.openxmlformats.org/officeDocument/2006/relationships/hyperlink" Target="https://www.canada.ca/en/environment-climate-change/services/national-pollutant-release-inventory/tools-resources-data/exploredata.html" TargetMode="External"/><Relationship Id="rId248" Type="http://schemas.openxmlformats.org/officeDocument/2006/relationships/hyperlink" Target="https://www.canada.ca/en/environment-climate-change/services/national-pollutant-release-inventory/tools-resources-data/exploredata.html" TargetMode="External"/><Relationship Id="rId455" Type="http://schemas.openxmlformats.org/officeDocument/2006/relationships/hyperlink" Target="https://www.canada.ca/en/environment-climate-change/services/national-pollutant-release-inventory/tools-resources-data/exploredata.html" TargetMode="External"/><Relationship Id="rId662" Type="http://schemas.openxmlformats.org/officeDocument/2006/relationships/hyperlink" Target="https://www.canada.ca/en/environment-climate-change/services/national-pollutant-release-inventory/tools-resources-data/exploredata.html" TargetMode="External"/><Relationship Id="rId12" Type="http://schemas.openxmlformats.org/officeDocument/2006/relationships/hyperlink" Target="https://www.canada.ca/en/environment-climate-change/services/national-pollutant-release-inventory/tools-resources-data/exploredata.html" TargetMode="External"/><Relationship Id="rId108" Type="http://schemas.openxmlformats.org/officeDocument/2006/relationships/hyperlink" Target="https://www.canada.ca/en/environment-climate-change/services/national-pollutant-release-inventory/tools-resources-data/exploredata.html" TargetMode="External"/><Relationship Id="rId315" Type="http://schemas.openxmlformats.org/officeDocument/2006/relationships/hyperlink" Target="https://www.canada.ca/en/environment-climate-change/services/national-pollutant-release-inventory/tools-resources-data/exploredata.html" TargetMode="External"/><Relationship Id="rId522" Type="http://schemas.openxmlformats.org/officeDocument/2006/relationships/hyperlink" Target="https://www.canada.ca/en/environment-climate-change/services/national-pollutant-release-inventory/tools-resources-data/exploredata.html" TargetMode="External"/><Relationship Id="rId967" Type="http://schemas.openxmlformats.org/officeDocument/2006/relationships/hyperlink" Target="https://www.canada.ca/en/environment-climate-change/services/national-pollutant-release-inventory/tools-resources-data/exploredata.html" TargetMode="External"/><Relationship Id="rId96" Type="http://schemas.openxmlformats.org/officeDocument/2006/relationships/hyperlink" Target="https://www.canada.ca/en/environment-climate-change/services/national-pollutant-release-inventory/tools-resources-data/exploredata.html" TargetMode="External"/><Relationship Id="rId161" Type="http://schemas.openxmlformats.org/officeDocument/2006/relationships/hyperlink" Target="https://www.canada.ca/en/environment-climate-change/services/national-pollutant-release-inventory/tools-resources-data/exploredata.html" TargetMode="External"/><Relationship Id="rId399" Type="http://schemas.openxmlformats.org/officeDocument/2006/relationships/hyperlink" Target="https://www.canada.ca/en/environment-climate-change/services/national-pollutant-release-inventory/tools-resources-data/exploredata.html" TargetMode="External"/><Relationship Id="rId827" Type="http://schemas.openxmlformats.org/officeDocument/2006/relationships/hyperlink" Target="https://www.canada.ca/en/environment-climate-change/services/national-pollutant-release-inventory/tools-resources-data/exploredata.html" TargetMode="External"/><Relationship Id="rId1012" Type="http://schemas.openxmlformats.org/officeDocument/2006/relationships/hyperlink" Target="https://www.canada.ca/en/environment-climate-change/services/environmental-indicators/greenhouse-gas-emissions/large-facilities.html" TargetMode="External"/><Relationship Id="rId259" Type="http://schemas.openxmlformats.org/officeDocument/2006/relationships/hyperlink" Target="https://www.canada.ca/en/environment-climate-change/services/national-pollutant-release-inventory/tools-resources-data/exploredata.html" TargetMode="External"/><Relationship Id="rId466" Type="http://schemas.openxmlformats.org/officeDocument/2006/relationships/hyperlink" Target="https://www.canada.ca/en/environment-climate-change/services/national-pollutant-release-inventory/tools-resources-data/exploredata.html" TargetMode="External"/><Relationship Id="rId673" Type="http://schemas.openxmlformats.org/officeDocument/2006/relationships/hyperlink" Target="https://www.canada.ca/en/environment-climate-change/services/national-pollutant-release-inventory/tools-resources-data/exploredata.html" TargetMode="External"/><Relationship Id="rId880" Type="http://schemas.openxmlformats.org/officeDocument/2006/relationships/hyperlink" Target="https://www.canada.ca/en/environment-climate-change/services/national-pollutant-release-inventory/tools-resources-data/exploredata.html" TargetMode="External"/><Relationship Id="rId23" Type="http://schemas.openxmlformats.org/officeDocument/2006/relationships/hyperlink" Target="https://www.canada.ca/en/environment-climate-change/services/national-pollutant-release-inventory/tools-resources-data/exploredata.html" TargetMode="External"/><Relationship Id="rId119" Type="http://schemas.openxmlformats.org/officeDocument/2006/relationships/hyperlink" Target="https://www.canada.ca/en/environment-climate-change/services/national-pollutant-release-inventory/tools-resources-data/exploredata.html" TargetMode="External"/><Relationship Id="rId326" Type="http://schemas.openxmlformats.org/officeDocument/2006/relationships/hyperlink" Target="https://www.canada.ca/en/environment-climate-change/services/national-pollutant-release-inventory/tools-resources-data/exploredata.html" TargetMode="External"/><Relationship Id="rId533" Type="http://schemas.openxmlformats.org/officeDocument/2006/relationships/hyperlink" Target="https://www.canada.ca/en/environment-climate-change/services/national-pollutant-release-inventory/tools-resources-data/exploredata.html" TargetMode="External"/><Relationship Id="rId978" Type="http://schemas.openxmlformats.org/officeDocument/2006/relationships/hyperlink" Target="https://www.canada.ca/en/environment-climate-change/services/national-pollutant-release-inventory/tools-resources-data/exploredata.html" TargetMode="External"/><Relationship Id="rId740" Type="http://schemas.openxmlformats.org/officeDocument/2006/relationships/hyperlink" Target="https://www.canada.ca/en/environment-climate-change/services/national-pollutant-release-inventory/tools-resources-data/exploredata.html" TargetMode="External"/><Relationship Id="rId838" Type="http://schemas.openxmlformats.org/officeDocument/2006/relationships/hyperlink" Target="https://www.canada.ca/en/environment-climate-change/services/national-pollutant-release-inventory/tools-resources-data/exploredata.html" TargetMode="External"/><Relationship Id="rId1023" Type="http://schemas.openxmlformats.org/officeDocument/2006/relationships/hyperlink" Target="https://www.canada.ca/en/environment-climate-change/services/environmental-indicators/greenhouse-gas-emissions/large-facilities.html" TargetMode="External"/><Relationship Id="rId172" Type="http://schemas.openxmlformats.org/officeDocument/2006/relationships/hyperlink" Target="https://www.canada.ca/en/environment-climate-change/services/national-pollutant-release-inventory/tools-resources-data/exploredata.html" TargetMode="External"/><Relationship Id="rId477" Type="http://schemas.openxmlformats.org/officeDocument/2006/relationships/hyperlink" Target="https://www.canada.ca/en/environment-climate-change/services/national-pollutant-release-inventory/tools-resources-data/exploredata.html" TargetMode="External"/><Relationship Id="rId600" Type="http://schemas.openxmlformats.org/officeDocument/2006/relationships/hyperlink" Target="https://www.canada.ca/en/environment-climate-change/services/national-pollutant-release-inventory/tools-resources-data/exploredata.html" TargetMode="External"/><Relationship Id="rId684" Type="http://schemas.openxmlformats.org/officeDocument/2006/relationships/hyperlink" Target="https://www.canada.ca/en/environment-climate-change/services/national-pollutant-release-inventory/tools-resources-data/exploredata.html" TargetMode="External"/><Relationship Id="rId337" Type="http://schemas.openxmlformats.org/officeDocument/2006/relationships/hyperlink" Target="https://www.canada.ca/en/environment-climate-change/services/national-pollutant-release-inventory/tools-resources-data/exploredata.html" TargetMode="External"/><Relationship Id="rId891" Type="http://schemas.openxmlformats.org/officeDocument/2006/relationships/hyperlink" Target="https://www.canada.ca/en/environment-climate-change/services/national-pollutant-release-inventory/tools-resources-data/exploredata.html" TargetMode="External"/><Relationship Id="rId905" Type="http://schemas.openxmlformats.org/officeDocument/2006/relationships/hyperlink" Target="https://www.canada.ca/en/environment-climate-change/services/national-pollutant-release-inventory/tools-resources-data/exploredata.html" TargetMode="External"/><Relationship Id="rId989" Type="http://schemas.openxmlformats.org/officeDocument/2006/relationships/hyperlink" Target="https://www.canada.ca/en/environment-climate-change/services/national-pollutant-release-inventory/tools-resources-data/exploredata.html" TargetMode="External"/><Relationship Id="rId34" Type="http://schemas.openxmlformats.org/officeDocument/2006/relationships/hyperlink" Target="https://www.canada.ca/en/environment-climate-change/services/national-pollutant-release-inventory/tools-resources-data/exploredata.html" TargetMode="External"/><Relationship Id="rId544" Type="http://schemas.openxmlformats.org/officeDocument/2006/relationships/hyperlink" Target="https://www.canada.ca/en/environment-climate-change/services/national-pollutant-release-inventory/tools-resources-data/exploredata.html" TargetMode="External"/><Relationship Id="rId751" Type="http://schemas.openxmlformats.org/officeDocument/2006/relationships/hyperlink" Target="https://www.canada.ca/en/environment-climate-change/services/national-pollutant-release-inventory/tools-resources-data/exploredata.html" TargetMode="External"/><Relationship Id="rId849" Type="http://schemas.openxmlformats.org/officeDocument/2006/relationships/hyperlink" Target="https://www.canada.ca/en/environment-climate-change/services/national-pollutant-release-inventory/tools-resources-data/exploredata.html" TargetMode="External"/><Relationship Id="rId183" Type="http://schemas.openxmlformats.org/officeDocument/2006/relationships/hyperlink" Target="https://www.canada.ca/en/environment-climate-change/services/national-pollutant-release-inventory/tools-resources-data/exploredata.html" TargetMode="External"/><Relationship Id="rId390" Type="http://schemas.openxmlformats.org/officeDocument/2006/relationships/hyperlink" Target="https://www.canada.ca/en/environment-climate-change/services/national-pollutant-release-inventory/tools-resources-data/exploredata.html" TargetMode="External"/><Relationship Id="rId404" Type="http://schemas.openxmlformats.org/officeDocument/2006/relationships/hyperlink" Target="https://www.canada.ca/en/environment-climate-change/services/national-pollutant-release-inventory/tools-resources-data/exploredata.html" TargetMode="External"/><Relationship Id="rId611" Type="http://schemas.openxmlformats.org/officeDocument/2006/relationships/hyperlink" Target="https://www.canada.ca/en/environment-climate-change/services/national-pollutant-release-inventory/tools-resources-data/exploredata.html" TargetMode="External"/><Relationship Id="rId250" Type="http://schemas.openxmlformats.org/officeDocument/2006/relationships/hyperlink" Target="https://www.canada.ca/en/environment-climate-change/services/national-pollutant-release-inventory/tools-resources-data/exploredata.html" TargetMode="External"/><Relationship Id="rId488" Type="http://schemas.openxmlformats.org/officeDocument/2006/relationships/hyperlink" Target="https://www.canada.ca/en/environment-climate-change/services/national-pollutant-release-inventory/tools-resources-data/exploredata.html" TargetMode="External"/><Relationship Id="rId695" Type="http://schemas.openxmlformats.org/officeDocument/2006/relationships/hyperlink" Target="https://www.canada.ca/en/environment-climate-change/services/national-pollutant-release-inventory/tools-resources-data/exploredata.html" TargetMode="External"/><Relationship Id="rId709" Type="http://schemas.openxmlformats.org/officeDocument/2006/relationships/hyperlink" Target="https://www.canada.ca/en/environment-climate-change/services/national-pollutant-release-inventory/tools-resources-data/exploredata.html" TargetMode="External"/><Relationship Id="rId916" Type="http://schemas.openxmlformats.org/officeDocument/2006/relationships/hyperlink" Target="https://www.canada.ca/en/environment-climate-change/services/national-pollutant-release-inventory/tools-resources-data/exploredata.html" TargetMode="External"/><Relationship Id="rId45" Type="http://schemas.openxmlformats.org/officeDocument/2006/relationships/hyperlink" Target="https://www.canada.ca/en/environment-climate-change/services/national-pollutant-release-inventory/tools-resources-data/exploredata.html" TargetMode="External"/><Relationship Id="rId110" Type="http://schemas.openxmlformats.org/officeDocument/2006/relationships/hyperlink" Target="https://www.canada.ca/en/environment-climate-change/services/national-pollutant-release-inventory/tools-resources-data/exploredata.html" TargetMode="External"/><Relationship Id="rId348" Type="http://schemas.openxmlformats.org/officeDocument/2006/relationships/hyperlink" Target="https://www.canada.ca/en/environment-climate-change/services/national-pollutant-release-inventory/tools-resources-data/exploredata.html" TargetMode="External"/><Relationship Id="rId555" Type="http://schemas.openxmlformats.org/officeDocument/2006/relationships/hyperlink" Target="https://www.canada.ca/en/environment-climate-change/services/national-pollutant-release-inventory/tools-resources-data/exploredata.html" TargetMode="External"/><Relationship Id="rId762" Type="http://schemas.openxmlformats.org/officeDocument/2006/relationships/hyperlink" Target="https://www.canada.ca/en/environment-climate-change/services/national-pollutant-release-inventory/tools-resources-data/exploredata.html" TargetMode="External"/><Relationship Id="rId1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8" Type="http://schemas.openxmlformats.org/officeDocument/2006/relationships/hyperlink" Target="https://www.canada.ca/en/environment-climate-change/services/national-pollutant-release-inventory/tools-resources-data/exploredata.html" TargetMode="External"/><Relationship Id="rId415" Type="http://schemas.openxmlformats.org/officeDocument/2006/relationships/hyperlink" Target="https://www.canada.ca/en/environment-climate-change/services/national-pollutant-release-inventory/tools-resources-data/exploredata.html" TargetMode="External"/><Relationship Id="rId622" Type="http://schemas.openxmlformats.org/officeDocument/2006/relationships/hyperlink" Target="https://www.canada.ca/en/environment-climate-change/services/national-pollutant-release-inventory/tools-resources-data/exploredata.html" TargetMode="External"/><Relationship Id="rId261" Type="http://schemas.openxmlformats.org/officeDocument/2006/relationships/hyperlink" Target="https://www.canada.ca/en/environment-climate-change/services/national-pollutant-release-inventory/tools-resources-data/exploredata.html" TargetMode="External"/><Relationship Id="rId499" Type="http://schemas.openxmlformats.org/officeDocument/2006/relationships/hyperlink" Target="https://www.canada.ca/en/environment-climate-change/services/national-pollutant-release-inventory/tools-resources-data/exploredata.html" TargetMode="External"/><Relationship Id="rId927" Type="http://schemas.openxmlformats.org/officeDocument/2006/relationships/hyperlink" Target="https://www.canada.ca/en/environment-climate-change/services/national-pollutant-release-inventory/tools-resources-data/exploredata.html" TargetMode="External"/><Relationship Id="rId56" Type="http://schemas.openxmlformats.org/officeDocument/2006/relationships/hyperlink" Target="https://www.canada.ca/en/environment-climate-change/services/national-pollutant-release-inventory/tools-resources-data/exploredata.html" TargetMode="External"/><Relationship Id="rId359" Type="http://schemas.openxmlformats.org/officeDocument/2006/relationships/hyperlink" Target="https://www.canada.ca/en/environment-climate-change/services/national-pollutant-release-inventory/tools-resources-data/exploredata.html" TargetMode="External"/><Relationship Id="rId566" Type="http://schemas.openxmlformats.org/officeDocument/2006/relationships/hyperlink" Target="https://www.canada.ca/en/environment-climate-change/services/national-pollutant-release-inventory/tools-resources-data/exploredata.html" TargetMode="External"/><Relationship Id="rId773" Type="http://schemas.openxmlformats.org/officeDocument/2006/relationships/hyperlink" Target="https://www.canada.ca/en/environment-climate-change/services/national-pollutant-release-inventory/tools-resources-data/exploredata.html" TargetMode="External"/><Relationship Id="rId121" Type="http://schemas.openxmlformats.org/officeDocument/2006/relationships/hyperlink" Target="https://www.canada.ca/en/environment-climate-change/services/national-pollutant-release-inventory/tools-resources-data/exploredata.html" TargetMode="External"/><Relationship Id="rId219" Type="http://schemas.openxmlformats.org/officeDocument/2006/relationships/hyperlink" Target="https://www.canada.ca/en/environment-climate-change/services/national-pollutant-release-inventory/tools-resources-data/exploredata.html" TargetMode="External"/><Relationship Id="rId426" Type="http://schemas.openxmlformats.org/officeDocument/2006/relationships/hyperlink" Target="https://www.canada.ca/en/environment-climate-change/services/national-pollutant-release-inventory/tools-resources-data/exploredata.html" TargetMode="External"/><Relationship Id="rId633" Type="http://schemas.openxmlformats.org/officeDocument/2006/relationships/hyperlink" Target="https://www.canada.ca/en/environment-climate-change/services/national-pollutant-release-inventory/tools-resources-data/exploredata.html" TargetMode="External"/><Relationship Id="rId980" Type="http://schemas.openxmlformats.org/officeDocument/2006/relationships/hyperlink" Target="https://www.canada.ca/en/environment-climate-change/services/national-pollutant-release-inventory/tools-resources-data/exploredata.html" TargetMode="External"/><Relationship Id="rId840" Type="http://schemas.openxmlformats.org/officeDocument/2006/relationships/hyperlink" Target="https://www.canada.ca/en/environment-climate-change/services/national-pollutant-release-inventory/tools-resources-data/exploredata.html" TargetMode="External"/><Relationship Id="rId938" Type="http://schemas.openxmlformats.org/officeDocument/2006/relationships/hyperlink" Target="https://www.canada.ca/en/environment-climate-change/services/national-pollutant-release-inventory/tools-resources-data/exploredata.html" TargetMode="External"/><Relationship Id="rId67" Type="http://schemas.openxmlformats.org/officeDocument/2006/relationships/hyperlink" Target="https://www.canada.ca/en/environment-climate-change/services/national-pollutant-release-inventory/tools-resources-data/exploredata.html" TargetMode="External"/><Relationship Id="rId272" Type="http://schemas.openxmlformats.org/officeDocument/2006/relationships/hyperlink" Target="https://www.canada.ca/en/environment-climate-change/services/national-pollutant-release-inventory/tools-resources-data/exploredata.html" TargetMode="External"/><Relationship Id="rId577" Type="http://schemas.openxmlformats.org/officeDocument/2006/relationships/hyperlink" Target="https://www.canada.ca/en/environment-climate-change/services/national-pollutant-release-inventory/tools-resources-data/exploredata.html" TargetMode="External"/><Relationship Id="rId700" Type="http://schemas.openxmlformats.org/officeDocument/2006/relationships/hyperlink" Target="https://www.canada.ca/en/environment-climate-change/services/national-pollutant-release-inventory/tools-resources-data/exploredata.html" TargetMode="External"/><Relationship Id="rId132" Type="http://schemas.openxmlformats.org/officeDocument/2006/relationships/hyperlink" Target="https://www.canada.ca/en/environment-climate-change/services/national-pollutant-release-inventory/tools-resources-data/exploredata.html" TargetMode="External"/><Relationship Id="rId784" Type="http://schemas.openxmlformats.org/officeDocument/2006/relationships/hyperlink" Target="https://www.canada.ca/en/environment-climate-change/services/national-pollutant-release-inventory/tools-resources-data/exploredata.html" TargetMode="External"/><Relationship Id="rId991" Type="http://schemas.openxmlformats.org/officeDocument/2006/relationships/hyperlink" Target="https://www.canada.ca/en/environment-climate-change/services/national-pollutant-release-inventory/tools-resources-data/exploredata.html" TargetMode="External"/><Relationship Id="rId437" Type="http://schemas.openxmlformats.org/officeDocument/2006/relationships/hyperlink" Target="https://www.canada.ca/en/environment-climate-change/services/national-pollutant-release-inventory/tools-resources-data/exploredata.html" TargetMode="External"/><Relationship Id="rId644" Type="http://schemas.openxmlformats.org/officeDocument/2006/relationships/hyperlink" Target="https://www.canada.ca/en/environment-climate-change/services/national-pollutant-release-inventory/tools-resources-data/exploredata.html" TargetMode="External"/><Relationship Id="rId851" Type="http://schemas.openxmlformats.org/officeDocument/2006/relationships/hyperlink" Target="https://www.canada.ca/en/environment-climate-change/services/national-pollutant-release-inventory/tools-resources-data/exploredata.html" TargetMode="External"/><Relationship Id="rId283" Type="http://schemas.openxmlformats.org/officeDocument/2006/relationships/hyperlink" Target="https://www.canada.ca/en/environment-climate-change/services/national-pollutant-release-inventory/tools-resources-data/exploredata.html" TargetMode="External"/><Relationship Id="rId490" Type="http://schemas.openxmlformats.org/officeDocument/2006/relationships/hyperlink" Target="https://www.canada.ca/en/environment-climate-change/services/national-pollutant-release-inventory/tools-resources-data/exploredata.html" TargetMode="External"/><Relationship Id="rId504" Type="http://schemas.openxmlformats.org/officeDocument/2006/relationships/hyperlink" Target="https://www.canada.ca/en/environment-climate-change/services/national-pollutant-release-inventory/tools-resources-data/exploredata.html" TargetMode="External"/><Relationship Id="rId711" Type="http://schemas.openxmlformats.org/officeDocument/2006/relationships/hyperlink" Target="https://www.canada.ca/en/environment-climate-change/services/national-pollutant-release-inventory/tools-resources-data/exploredata.html" TargetMode="External"/><Relationship Id="rId949" Type="http://schemas.openxmlformats.org/officeDocument/2006/relationships/hyperlink" Target="https://www.canada.ca/en/environment-climate-change/services/national-pollutant-release-inventory/tools-resources-data/exploredata.html" TargetMode="External"/><Relationship Id="rId78" Type="http://schemas.openxmlformats.org/officeDocument/2006/relationships/hyperlink" Target="https://www.canada.ca/en/environment-climate-change/services/national-pollutant-release-inventory/tools-resources-data/exploredata.html" TargetMode="External"/><Relationship Id="rId143" Type="http://schemas.openxmlformats.org/officeDocument/2006/relationships/hyperlink" Target="https://www.canada.ca/en/environment-climate-change/services/national-pollutant-release-inventory/tools-resources-data/exploredata.html" TargetMode="External"/><Relationship Id="rId350" Type="http://schemas.openxmlformats.org/officeDocument/2006/relationships/hyperlink" Target="https://www.canada.ca/en/environment-climate-change/services/national-pollutant-release-inventory/tools-resources-data/exploredata.html" TargetMode="External"/><Relationship Id="rId588" Type="http://schemas.openxmlformats.org/officeDocument/2006/relationships/hyperlink" Target="https://www.canada.ca/en/environment-climate-change/services/national-pollutant-release-inventory/tools-resources-data/exploredata.html" TargetMode="External"/><Relationship Id="rId795" Type="http://schemas.openxmlformats.org/officeDocument/2006/relationships/hyperlink" Target="https://www.canada.ca/en/environment-climate-change/services/national-pollutant-release-inventory/tools-resources-data/exploredata.html" TargetMode="External"/><Relationship Id="rId809" Type="http://schemas.openxmlformats.org/officeDocument/2006/relationships/hyperlink" Target="https://www.canada.ca/en/environment-climate-change/services/national-pollutant-release-inventory/tools-resources-data/exploredata.html" TargetMode="External"/><Relationship Id="rId9" Type="http://schemas.openxmlformats.org/officeDocument/2006/relationships/hyperlink" Target="https://www.canada.ca/en/environment-climate-change/services/national-pollutant-release-inventory/tools-resources-data/exploredata.html" TargetMode="External"/><Relationship Id="rId210" Type="http://schemas.openxmlformats.org/officeDocument/2006/relationships/hyperlink" Target="https://www.canada.ca/en/environment-climate-change/services/national-pollutant-release-inventory/tools-resources-data/exploredata.html" TargetMode="External"/><Relationship Id="rId448" Type="http://schemas.openxmlformats.org/officeDocument/2006/relationships/hyperlink" Target="https://www.canada.ca/en/environment-climate-change/services/national-pollutant-release-inventory/tools-resources-data/exploredata.html" TargetMode="External"/><Relationship Id="rId655" Type="http://schemas.openxmlformats.org/officeDocument/2006/relationships/hyperlink" Target="https://www.canada.ca/en/environment-climate-change/services/national-pollutant-release-inventory/tools-resources-data/exploredata.html" TargetMode="External"/><Relationship Id="rId862" Type="http://schemas.openxmlformats.org/officeDocument/2006/relationships/hyperlink" Target="https://www.canada.ca/en/environment-climate-change/services/national-pollutant-release-inventory/tools-resources-data/exploredata.html" TargetMode="External"/><Relationship Id="rId294" Type="http://schemas.openxmlformats.org/officeDocument/2006/relationships/hyperlink" Target="https://www.canada.ca/en/environment-climate-change/services/national-pollutant-release-inventory/tools-resources-data/exploredata.html" TargetMode="External"/><Relationship Id="rId308" Type="http://schemas.openxmlformats.org/officeDocument/2006/relationships/hyperlink" Target="https://www.canada.ca/en/environment-climate-change/services/national-pollutant-release-inventory/tools-resources-data/exploredata.html" TargetMode="External"/><Relationship Id="rId515" Type="http://schemas.openxmlformats.org/officeDocument/2006/relationships/hyperlink" Target="https://www.canada.ca/en/environment-climate-change/services/national-pollutant-release-inventory/tools-resources-data/exploredata.html" TargetMode="External"/><Relationship Id="rId722" Type="http://schemas.openxmlformats.org/officeDocument/2006/relationships/hyperlink" Target="https://www.canada.ca/en/environment-climate-change/services/national-pollutant-release-inventory/tools-resources-data/exploredata.html" TargetMode="External"/><Relationship Id="rId89" Type="http://schemas.openxmlformats.org/officeDocument/2006/relationships/hyperlink" Target="https://www.canada.ca/en/environment-climate-change/services/national-pollutant-release-inventory/tools-resources-data/exploredata.html" TargetMode="External"/><Relationship Id="rId154" Type="http://schemas.openxmlformats.org/officeDocument/2006/relationships/hyperlink" Target="https://www.canada.ca/en/environment-climate-change/services/national-pollutant-release-inventory/tools-resources-data/exploredata.html" TargetMode="External"/><Relationship Id="rId361" Type="http://schemas.openxmlformats.org/officeDocument/2006/relationships/hyperlink" Target="https://www.canada.ca/en/environment-climate-change/services/national-pollutant-release-inventory/tools-resources-data/exploredata.html" TargetMode="External"/><Relationship Id="rId5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5" Type="http://schemas.openxmlformats.org/officeDocument/2006/relationships/hyperlink" Target="https://www.canada.ca/en/environment-climate-change/services/national-pollutant-release-inventory/tools-resources-data/exploredata.html" TargetMode="External"/><Relationship Id="rId459" Type="http://schemas.openxmlformats.org/officeDocument/2006/relationships/hyperlink" Target="https://www.canada.ca/en/environment-climate-change/services/national-pollutant-release-inventory/tools-resources-data/exploredata.html" TargetMode="External"/><Relationship Id="rId666" Type="http://schemas.openxmlformats.org/officeDocument/2006/relationships/hyperlink" Target="https://www.canada.ca/en/environment-climate-change/services/national-pollutant-release-inventory/tools-resources-data/exploredata.html" TargetMode="External"/><Relationship Id="rId873" Type="http://schemas.openxmlformats.org/officeDocument/2006/relationships/hyperlink" Target="https://www.canada.ca/en/environment-climate-change/services/national-pollutant-release-inventory/tools-resources-data/exploredata.html" TargetMode="External"/><Relationship Id="rId16" Type="http://schemas.openxmlformats.org/officeDocument/2006/relationships/hyperlink" Target="https://www.canada.ca/en/environment-climate-change/services/national-pollutant-release-inventory/tools-resources-data/exploredata.html" TargetMode="External"/><Relationship Id="rId221" Type="http://schemas.openxmlformats.org/officeDocument/2006/relationships/hyperlink" Target="https://www.canada.ca/en/environment-climate-change/services/national-pollutant-release-inventory/tools-resources-data/exploredata.html" TargetMode="External"/><Relationship Id="rId319" Type="http://schemas.openxmlformats.org/officeDocument/2006/relationships/hyperlink" Target="https://www.canada.ca/en/environment-climate-change/services/national-pollutant-release-inventory/tools-resources-data/exploredata.html" TargetMode="External"/><Relationship Id="rId526" Type="http://schemas.openxmlformats.org/officeDocument/2006/relationships/hyperlink" Target="https://www.canada.ca/en/environment-climate-change/services/national-pollutant-release-inventory/tools-resources-data/exploredata.html" TargetMode="External"/><Relationship Id="rId733" Type="http://schemas.openxmlformats.org/officeDocument/2006/relationships/hyperlink" Target="https://www.canada.ca/en/environment-climate-change/services/national-pollutant-release-inventory/tools-resources-data/exploredata.html" TargetMode="External"/><Relationship Id="rId940" Type="http://schemas.openxmlformats.org/officeDocument/2006/relationships/hyperlink" Target="https://www.canada.ca/en/environment-climate-change/services/national-pollutant-release-inventory/tools-resources-data/exploredata.html" TargetMode="External"/><Relationship Id="rId1016" Type="http://schemas.openxmlformats.org/officeDocument/2006/relationships/hyperlink" Target="https://www.canada.ca/en/environment-climate-change/services/environmental-indicators/greenhouse-gas-emissions/large-facilities.html" TargetMode="External"/><Relationship Id="rId165" Type="http://schemas.openxmlformats.org/officeDocument/2006/relationships/hyperlink" Target="https://www.canada.ca/en/environment-climate-change/services/national-pollutant-release-inventory/tools-resources-data/exploredata.html" TargetMode="External"/><Relationship Id="rId372" Type="http://schemas.openxmlformats.org/officeDocument/2006/relationships/hyperlink" Target="https://www.canada.ca/en/environment-climate-change/services/national-pollutant-release-inventory/tools-resources-data/exploredata.html" TargetMode="External"/><Relationship Id="rId677" Type="http://schemas.openxmlformats.org/officeDocument/2006/relationships/hyperlink" Target="https://www.canada.ca/en/environment-climate-change/services/national-pollutant-release-inventory/tools-resources-data/exploredata.html" TargetMode="External"/><Relationship Id="rId800" Type="http://schemas.openxmlformats.org/officeDocument/2006/relationships/hyperlink" Target="https://www.canada.ca/en/environment-climate-change/services/national-pollutant-release-inventory/tools-resources-data/exploredata.html" TargetMode="External"/><Relationship Id="rId232" Type="http://schemas.openxmlformats.org/officeDocument/2006/relationships/hyperlink" Target="https://www.canada.ca/en/environment-climate-change/services/national-pollutant-release-inventory/tools-resources-data/exploredata.html" TargetMode="External"/><Relationship Id="rId884" Type="http://schemas.openxmlformats.org/officeDocument/2006/relationships/hyperlink" Target="https://www.canada.ca/en/environment-climate-change/services/national-pollutant-release-inventory/tools-resources-data/exploredata.html" TargetMode="External"/><Relationship Id="rId27" Type="http://schemas.openxmlformats.org/officeDocument/2006/relationships/hyperlink" Target="https://www.canada.ca/en/environment-climate-change/services/national-pollutant-release-inventory/tools-resources-data/exploredata.html" TargetMode="External"/><Relationship Id="rId537" Type="http://schemas.openxmlformats.org/officeDocument/2006/relationships/hyperlink" Target="https://www.canada.ca/en/environment-climate-change/services/national-pollutant-release-inventory/tools-resources-data/exploredata.html" TargetMode="External"/><Relationship Id="rId744" Type="http://schemas.openxmlformats.org/officeDocument/2006/relationships/hyperlink" Target="https://www.canada.ca/en/environment-climate-change/services/national-pollutant-release-inventory/tools-resources-data/exploredata.html" TargetMode="External"/><Relationship Id="rId951" Type="http://schemas.openxmlformats.org/officeDocument/2006/relationships/hyperlink" Target="https://www.canada.ca/en/environment-climate-change/services/national-pollutant-release-inventory/tools-resources-data/exploredata.html" TargetMode="External"/><Relationship Id="rId80" Type="http://schemas.openxmlformats.org/officeDocument/2006/relationships/hyperlink" Target="https://www.canada.ca/en/environment-climate-change/services/national-pollutant-release-inventory/tools-resources-data/exploredata.html" TargetMode="External"/><Relationship Id="rId176" Type="http://schemas.openxmlformats.org/officeDocument/2006/relationships/hyperlink" Target="https://www.canada.ca/en/environment-climate-change/services/national-pollutant-release-inventory/tools-resources-data/exploredata.html" TargetMode="External"/><Relationship Id="rId383" Type="http://schemas.openxmlformats.org/officeDocument/2006/relationships/hyperlink" Target="https://www.canada.ca/en/environment-climate-change/services/national-pollutant-release-inventory/tools-resources-data/exploredata.html" TargetMode="External"/><Relationship Id="rId590" Type="http://schemas.openxmlformats.org/officeDocument/2006/relationships/hyperlink" Target="https://www.canada.ca/en/environment-climate-change/services/national-pollutant-release-inventory/tools-resources-data/exploredata.html" TargetMode="External"/><Relationship Id="rId604" Type="http://schemas.openxmlformats.org/officeDocument/2006/relationships/hyperlink" Target="https://www.canada.ca/en/environment-climate-change/services/national-pollutant-release-inventory/tools-resources-data/exploredata.html" TargetMode="External"/><Relationship Id="rId811" Type="http://schemas.openxmlformats.org/officeDocument/2006/relationships/hyperlink" Target="https://www.canada.ca/en/environment-climate-change/services/national-pollutant-release-inventory/tools-resources-data/exploredata.html" TargetMode="External"/><Relationship Id="rId1027" Type="http://schemas.openxmlformats.org/officeDocument/2006/relationships/hyperlink" Target="https://www.canada.ca/en/environment-climate-change/services/environmental-indicators/greenhouse-gas-emissions/large-facilities.html" TargetMode="External"/><Relationship Id="rId243" Type="http://schemas.openxmlformats.org/officeDocument/2006/relationships/hyperlink" Target="https://www.canada.ca/en/environment-climate-change/services/national-pollutant-release-inventory/tools-resources-data/exploredata.html" TargetMode="External"/><Relationship Id="rId450" Type="http://schemas.openxmlformats.org/officeDocument/2006/relationships/hyperlink" Target="https://www.canada.ca/en/environment-climate-change/services/national-pollutant-release-inventory/tools-resources-data/exploredata.html" TargetMode="External"/><Relationship Id="rId688" Type="http://schemas.openxmlformats.org/officeDocument/2006/relationships/hyperlink" Target="https://www.canada.ca/en/environment-climate-change/services/national-pollutant-release-inventory/tools-resources-data/exploredata.html" TargetMode="External"/><Relationship Id="rId895" Type="http://schemas.openxmlformats.org/officeDocument/2006/relationships/hyperlink" Target="https://www.canada.ca/en/environment-climate-change/services/national-pollutant-release-inventory/tools-resources-data/exploredata.html" TargetMode="External"/><Relationship Id="rId909" Type="http://schemas.openxmlformats.org/officeDocument/2006/relationships/hyperlink" Target="https://www.canada.ca/en/environment-climate-change/services/national-pollutant-release-inventory/tools-resources-data/exploredata.html" TargetMode="External"/><Relationship Id="rId38" Type="http://schemas.openxmlformats.org/officeDocument/2006/relationships/hyperlink" Target="https://www.canada.ca/en/environment-climate-change/services/national-pollutant-release-inventory/tools-resources-data/exploredata.html" TargetMode="External"/><Relationship Id="rId103" Type="http://schemas.openxmlformats.org/officeDocument/2006/relationships/hyperlink" Target="https://www.canada.ca/en/environment-climate-change/services/national-pollutant-release-inventory/tools-resources-data/exploredata.html" TargetMode="External"/><Relationship Id="rId310" Type="http://schemas.openxmlformats.org/officeDocument/2006/relationships/hyperlink" Target="https://www.canada.ca/en/environment-climate-change/services/national-pollutant-release-inventory/tools-resources-data/exploredata.html" TargetMode="External"/><Relationship Id="rId548" Type="http://schemas.openxmlformats.org/officeDocument/2006/relationships/hyperlink" Target="https://www.canada.ca/en/environment-climate-change/services/national-pollutant-release-inventory/tools-resources-data/exploredata.html" TargetMode="External"/><Relationship Id="rId755" Type="http://schemas.openxmlformats.org/officeDocument/2006/relationships/hyperlink" Target="https://www.canada.ca/en/environment-climate-change/services/national-pollutant-release-inventory/tools-resources-data/exploredata.html" TargetMode="External"/><Relationship Id="rId962" Type="http://schemas.openxmlformats.org/officeDocument/2006/relationships/hyperlink" Target="https://www.canada.ca/en/environment-climate-change/services/national-pollutant-release-inventory/tools-resources-data/exploredata.html" TargetMode="External"/><Relationship Id="rId91" Type="http://schemas.openxmlformats.org/officeDocument/2006/relationships/hyperlink" Target="https://www.canada.ca/en/environment-climate-change/services/national-pollutant-release-inventory/tools-resources-data/exploredata.html" TargetMode="External"/><Relationship Id="rId187" Type="http://schemas.openxmlformats.org/officeDocument/2006/relationships/hyperlink" Target="https://www.canada.ca/en/environment-climate-change/services/national-pollutant-release-inventory/tools-resources-data/exploredata.html" TargetMode="External"/><Relationship Id="rId394" Type="http://schemas.openxmlformats.org/officeDocument/2006/relationships/hyperlink" Target="https://www.canada.ca/en/environment-climate-change/services/national-pollutant-release-inventory/tools-resources-data/exploredata.html" TargetMode="External"/><Relationship Id="rId408" Type="http://schemas.openxmlformats.org/officeDocument/2006/relationships/hyperlink" Target="https://www.canada.ca/en/environment-climate-change/services/national-pollutant-release-inventory/tools-resources-data/exploredata.html" TargetMode="External"/><Relationship Id="rId615" Type="http://schemas.openxmlformats.org/officeDocument/2006/relationships/hyperlink" Target="https://www.canada.ca/en/environment-climate-change/services/national-pollutant-release-inventory/tools-resources-data/exploredata.html" TargetMode="External"/><Relationship Id="rId822" Type="http://schemas.openxmlformats.org/officeDocument/2006/relationships/hyperlink" Target="https://www.canada.ca/en/environment-climate-change/services/national-pollutant-release-inventory/tools-resources-data/exploredata.html" TargetMode="External"/><Relationship Id="rId254" Type="http://schemas.openxmlformats.org/officeDocument/2006/relationships/hyperlink" Target="https://www.canada.ca/en/environment-climate-change/services/national-pollutant-release-inventory/tools-resources-data/exploredata.html" TargetMode="External"/><Relationship Id="rId699" Type="http://schemas.openxmlformats.org/officeDocument/2006/relationships/hyperlink" Target="https://www.canada.ca/en/environment-climate-change/services/national-pollutant-release-inventory/tools-resources-data/exploredata.html" TargetMode="External"/><Relationship Id="rId49" Type="http://schemas.openxmlformats.org/officeDocument/2006/relationships/hyperlink" Target="https://www.canada.ca/en/environment-climate-change/services/national-pollutant-release-inventory/tools-resources-data/exploredata.html" TargetMode="External"/><Relationship Id="rId114" Type="http://schemas.openxmlformats.org/officeDocument/2006/relationships/hyperlink" Target="https://www.canada.ca/en/environment-climate-change/services/national-pollutant-release-inventory/tools-resources-data/exploredata.html" TargetMode="External"/><Relationship Id="rId461" Type="http://schemas.openxmlformats.org/officeDocument/2006/relationships/hyperlink" Target="https://www.canada.ca/en/environment-climate-change/services/national-pollutant-release-inventory/tools-resources-data/exploredata.html" TargetMode="External"/><Relationship Id="rId559" Type="http://schemas.openxmlformats.org/officeDocument/2006/relationships/hyperlink" Target="https://www.canada.ca/en/environment-climate-change/services/national-pollutant-release-inventory/tools-resources-data/exploredata.html" TargetMode="External"/><Relationship Id="rId766" Type="http://schemas.openxmlformats.org/officeDocument/2006/relationships/hyperlink" Target="https://www.canada.ca/en/environment-climate-change/services/national-pollutant-release-inventory/tools-resources-data/exploredata.html" TargetMode="External"/><Relationship Id="rId198" Type="http://schemas.openxmlformats.org/officeDocument/2006/relationships/hyperlink" Target="https://www.canada.ca/en/environment-climate-change/services/national-pollutant-release-inventory/tools-resources-data/exploredata.html" TargetMode="External"/><Relationship Id="rId321" Type="http://schemas.openxmlformats.org/officeDocument/2006/relationships/hyperlink" Target="https://www.canada.ca/en/environment-climate-change/services/national-pollutant-release-inventory/tools-resources-data/exploredata.html" TargetMode="External"/><Relationship Id="rId419" Type="http://schemas.openxmlformats.org/officeDocument/2006/relationships/hyperlink" Target="https://www.canada.ca/en/environment-climate-change/services/national-pollutant-release-inventory/tools-resources-data/exploredata.html" TargetMode="External"/><Relationship Id="rId626" Type="http://schemas.openxmlformats.org/officeDocument/2006/relationships/hyperlink" Target="https://www.canada.ca/en/environment-climate-change/services/national-pollutant-release-inventory/tools-resources-data/exploredata.html" TargetMode="External"/><Relationship Id="rId973" Type="http://schemas.openxmlformats.org/officeDocument/2006/relationships/hyperlink" Target="https://www.canada.ca/en/environment-climate-change/services/national-pollutant-release-inventory/tools-resources-data/exploredata.html" TargetMode="External"/><Relationship Id="rId833" Type="http://schemas.openxmlformats.org/officeDocument/2006/relationships/hyperlink" Target="https://www.canada.ca/en/environment-climate-change/services/national-pollutant-release-inventory/tools-resources-data/exploredata.html" TargetMode="External"/><Relationship Id="rId265" Type="http://schemas.openxmlformats.org/officeDocument/2006/relationships/hyperlink" Target="https://www.canada.ca/en/environment-climate-change/services/national-pollutant-release-inventory/tools-resources-data/exploredata.html" TargetMode="External"/><Relationship Id="rId472" Type="http://schemas.openxmlformats.org/officeDocument/2006/relationships/hyperlink" Target="https://www.canada.ca/en/environment-climate-change/services/national-pollutant-release-inventory/tools-resources-data/exploredata.html" TargetMode="External"/><Relationship Id="rId900" Type="http://schemas.openxmlformats.org/officeDocument/2006/relationships/hyperlink" Target="https://www.canada.ca/en/environment-climate-change/services/national-pollutant-release-inventory/tools-resources-data/exploredata.html" TargetMode="External"/><Relationship Id="rId125" Type="http://schemas.openxmlformats.org/officeDocument/2006/relationships/hyperlink" Target="https://www.canada.ca/en/environment-climate-change/services/national-pollutant-release-inventory/tools-resources-data/exploredata.html" TargetMode="External"/><Relationship Id="rId332" Type="http://schemas.openxmlformats.org/officeDocument/2006/relationships/hyperlink" Target="https://www.canada.ca/en/environment-climate-change/services/national-pollutant-release-inventory/tools-resources-data/exploredata.html" TargetMode="External"/><Relationship Id="rId777" Type="http://schemas.openxmlformats.org/officeDocument/2006/relationships/hyperlink" Target="https://www.canada.ca/en/environment-climate-change/services/national-pollutant-release-inventory/tools-resources-data/exploredata.html" TargetMode="External"/><Relationship Id="rId984" Type="http://schemas.openxmlformats.org/officeDocument/2006/relationships/hyperlink" Target="https://www.canada.ca/en/environment-climate-change/services/national-pollutant-release-inventory/tools-resources-data/exploredata.html" TargetMode="External"/><Relationship Id="rId637" Type="http://schemas.openxmlformats.org/officeDocument/2006/relationships/hyperlink" Target="https://www.canada.ca/en/environment-climate-change/services/national-pollutant-release-inventory/tools-resources-data/exploredata.html" TargetMode="External"/><Relationship Id="rId844" Type="http://schemas.openxmlformats.org/officeDocument/2006/relationships/hyperlink" Target="https://www.canada.ca/en/environment-climate-change/services/national-pollutant-release-inventory/tools-resources-data/exploredata.html" TargetMode="External"/><Relationship Id="rId276" Type="http://schemas.openxmlformats.org/officeDocument/2006/relationships/hyperlink" Target="https://www.canada.ca/en/environment-climate-change/services/national-pollutant-release-inventory/tools-resources-data/exploredata.html" TargetMode="External"/><Relationship Id="rId483" Type="http://schemas.openxmlformats.org/officeDocument/2006/relationships/hyperlink" Target="https://www.canada.ca/en/environment-climate-change/services/national-pollutant-release-inventory/tools-resources-data/exploredata.html" TargetMode="External"/><Relationship Id="rId690" Type="http://schemas.openxmlformats.org/officeDocument/2006/relationships/hyperlink" Target="https://www.canada.ca/en/environment-climate-change/services/national-pollutant-release-inventory/tools-resources-data/exploredata.html" TargetMode="External"/><Relationship Id="rId704" Type="http://schemas.openxmlformats.org/officeDocument/2006/relationships/hyperlink" Target="https://www.canada.ca/en/environment-climate-change/services/national-pollutant-release-inventory/tools-resources-data/exploredata.html" TargetMode="External"/><Relationship Id="rId911" Type="http://schemas.openxmlformats.org/officeDocument/2006/relationships/hyperlink" Target="https://www.canada.ca/en/environment-climate-change/services/national-pollutant-release-inventory/tools-resources-data/exploredata.html" TargetMode="External"/><Relationship Id="rId40" Type="http://schemas.openxmlformats.org/officeDocument/2006/relationships/hyperlink" Target="https://www.canada.ca/en/environment-climate-change/services/national-pollutant-release-inventory/tools-resources-data/exploredata.html" TargetMode="External"/><Relationship Id="rId136" Type="http://schemas.openxmlformats.org/officeDocument/2006/relationships/hyperlink" Target="https://www.canada.ca/en/environment-climate-change/services/national-pollutant-release-inventory/tools-resources-data/exploredata.html" TargetMode="External"/><Relationship Id="rId343" Type="http://schemas.openxmlformats.org/officeDocument/2006/relationships/hyperlink" Target="https://www.canada.ca/en/environment-climate-change/services/national-pollutant-release-inventory/tools-resources-data/exploredata.html" TargetMode="External"/><Relationship Id="rId550" Type="http://schemas.openxmlformats.org/officeDocument/2006/relationships/hyperlink" Target="https://www.canada.ca/en/environment-climate-change/services/national-pollutant-release-inventory/tools-resources-data/exploredata.html" TargetMode="External"/><Relationship Id="rId788" Type="http://schemas.openxmlformats.org/officeDocument/2006/relationships/hyperlink" Target="https://www.canada.ca/en/environment-climate-change/services/national-pollutant-release-inventory/tools-resources-data/exploredata.html" TargetMode="External"/><Relationship Id="rId995" Type="http://schemas.openxmlformats.org/officeDocument/2006/relationships/hyperlink" Target="https://www.canada.ca/en/environment-climate-change/services/national-pollutant-release-inventory/tools-resources-data/exploredata.html" TargetMode="External"/><Relationship Id="rId203" Type="http://schemas.openxmlformats.org/officeDocument/2006/relationships/hyperlink" Target="https://www.canada.ca/en/environment-climate-change/services/national-pollutant-release-inventory/tools-resources-data/exploredata.html" TargetMode="External"/><Relationship Id="rId648" Type="http://schemas.openxmlformats.org/officeDocument/2006/relationships/hyperlink" Target="https://www.canada.ca/en/environment-climate-change/services/national-pollutant-release-inventory/tools-resources-data/exploredata.html" TargetMode="External"/><Relationship Id="rId855" Type="http://schemas.openxmlformats.org/officeDocument/2006/relationships/hyperlink" Target="https://www.canada.ca/en/environment-climate-change/services/national-pollutant-release-inventory/tools-resources-data/exploredata.html" TargetMode="External"/><Relationship Id="rId287" Type="http://schemas.openxmlformats.org/officeDocument/2006/relationships/hyperlink" Target="https://www.canada.ca/en/environment-climate-change/services/national-pollutant-release-inventory/tools-resources-data/exploredata.html" TargetMode="External"/><Relationship Id="rId410" Type="http://schemas.openxmlformats.org/officeDocument/2006/relationships/hyperlink" Target="https://www.canada.ca/en/environment-climate-change/services/national-pollutant-release-inventory/tools-resources-data/exploredata.html" TargetMode="External"/><Relationship Id="rId494" Type="http://schemas.openxmlformats.org/officeDocument/2006/relationships/hyperlink" Target="https://www.canada.ca/en/environment-climate-change/services/national-pollutant-release-inventory/tools-resources-data/exploredata.html" TargetMode="External"/><Relationship Id="rId508" Type="http://schemas.openxmlformats.org/officeDocument/2006/relationships/hyperlink" Target="https://www.canada.ca/en/environment-climate-change/services/national-pollutant-release-inventory/tools-resources-data/exploredata.html" TargetMode="External"/><Relationship Id="rId715" Type="http://schemas.openxmlformats.org/officeDocument/2006/relationships/hyperlink" Target="https://www.canada.ca/en/environment-climate-change/services/national-pollutant-release-inventory/tools-resources-data/exploredata.html" TargetMode="External"/><Relationship Id="rId922" Type="http://schemas.openxmlformats.org/officeDocument/2006/relationships/hyperlink" Target="https://www.canada.ca/en/environment-climate-change/services/national-pollutant-release-inventory/tools-resources-data/exploredata.html" TargetMode="External"/><Relationship Id="rId147" Type="http://schemas.openxmlformats.org/officeDocument/2006/relationships/hyperlink" Target="https://www.canada.ca/en/environment-climate-change/services/national-pollutant-release-inventory/tools-resources-data/exploredata.html" TargetMode="External"/><Relationship Id="rId354" Type="http://schemas.openxmlformats.org/officeDocument/2006/relationships/hyperlink" Target="https://www.canada.ca/en/environment-climate-change/services/national-pollutant-release-inventory/tools-resources-data/exploredata.html" TargetMode="External"/><Relationship Id="rId799" Type="http://schemas.openxmlformats.org/officeDocument/2006/relationships/hyperlink" Target="https://www.canada.ca/en/environment-climate-change/services/national-pollutant-release-inventory/tools-resources-data/exploredata.html" TargetMode="External"/><Relationship Id="rId51" Type="http://schemas.openxmlformats.org/officeDocument/2006/relationships/hyperlink" Target="https://www.canada.ca/en/environment-climate-change/services/national-pollutant-release-inventory/tools-resources-data/exploredata.html" TargetMode="External"/><Relationship Id="rId561" Type="http://schemas.openxmlformats.org/officeDocument/2006/relationships/hyperlink" Target="https://www.canada.ca/en/environment-climate-change/services/national-pollutant-release-inventory/tools-resources-data/exploredata.html" TargetMode="External"/><Relationship Id="rId659" Type="http://schemas.openxmlformats.org/officeDocument/2006/relationships/hyperlink" Target="https://www.canada.ca/en/environment-climate-change/services/national-pollutant-release-inventory/tools-resources-data/exploredata.html" TargetMode="External"/><Relationship Id="rId866" Type="http://schemas.openxmlformats.org/officeDocument/2006/relationships/hyperlink" Target="https://www.canada.ca/en/environment-climate-change/services/national-pollutant-release-inventory/tools-resources-data/exploredata.html" TargetMode="External"/><Relationship Id="rId214" Type="http://schemas.openxmlformats.org/officeDocument/2006/relationships/hyperlink" Target="https://www.canada.ca/en/environment-climate-change/services/national-pollutant-release-inventory/tools-resources-data/exploredata.html" TargetMode="External"/><Relationship Id="rId298" Type="http://schemas.openxmlformats.org/officeDocument/2006/relationships/hyperlink" Target="https://www.canada.ca/en/environment-climate-change/services/national-pollutant-release-inventory/tools-resources-data/exploredata.html" TargetMode="External"/><Relationship Id="rId421" Type="http://schemas.openxmlformats.org/officeDocument/2006/relationships/hyperlink" Target="https://www.canada.ca/en/environment-climate-change/services/national-pollutant-release-inventory/tools-resources-data/exploredata.html" TargetMode="External"/><Relationship Id="rId519" Type="http://schemas.openxmlformats.org/officeDocument/2006/relationships/hyperlink" Target="https://www.canada.ca/en/environment-climate-change/services/national-pollutant-release-inventory/tools-resources-data/exploredata.html" TargetMode="External"/><Relationship Id="rId158" Type="http://schemas.openxmlformats.org/officeDocument/2006/relationships/hyperlink" Target="https://www.canada.ca/en/environment-climate-change/services/national-pollutant-release-inventory/tools-resources-data/exploredata.html" TargetMode="External"/><Relationship Id="rId726" Type="http://schemas.openxmlformats.org/officeDocument/2006/relationships/hyperlink" Target="https://www.canada.ca/en/environment-climate-change/services/national-pollutant-release-inventory/tools-resources-data/exploredata.html" TargetMode="External"/><Relationship Id="rId933" Type="http://schemas.openxmlformats.org/officeDocument/2006/relationships/hyperlink" Target="https://www.canada.ca/en/environment-climate-change/services/national-pollutant-release-inventory/tools-resources-data/exploredata.html" TargetMode="External"/><Relationship Id="rId1009" Type="http://schemas.openxmlformats.org/officeDocument/2006/relationships/hyperlink" Target="https://www.canada.ca/en/environment-climate-change/services/national-pollutant-release-inventory/tools-resources-data/exploredata.html" TargetMode="External"/><Relationship Id="rId62" Type="http://schemas.openxmlformats.org/officeDocument/2006/relationships/hyperlink" Target="https://www.canada.ca/en/environment-climate-change/services/national-pollutant-release-inventory/tools-resources-data/exploredata.html" TargetMode="External"/><Relationship Id="rId365" Type="http://schemas.openxmlformats.org/officeDocument/2006/relationships/hyperlink" Target="https://www.canada.ca/en/environment-climate-change/services/national-pollutant-release-inventory/tools-resources-data/exploredata.html" TargetMode="External"/><Relationship Id="rId5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5" Type="http://schemas.openxmlformats.org/officeDocument/2006/relationships/hyperlink" Target="https://www.canada.ca/en/environment-climate-change/services/national-pollutant-release-inventory/tools-resources-data/exploredata.html" TargetMode="External"/><Relationship Id="rId432" Type="http://schemas.openxmlformats.org/officeDocument/2006/relationships/hyperlink" Target="https://www.canada.ca/en/environment-climate-change/services/national-pollutant-release-inventory/tools-resources-data/exploredata.html" TargetMode="External"/><Relationship Id="rId877" Type="http://schemas.openxmlformats.org/officeDocument/2006/relationships/hyperlink" Target="https://www.canada.ca/en/environment-climate-change/services/national-pollutant-release-inventory/tools-resources-data/exploredata.html" TargetMode="External"/><Relationship Id="rId737" Type="http://schemas.openxmlformats.org/officeDocument/2006/relationships/hyperlink" Target="https://www.canada.ca/en/environment-climate-change/services/national-pollutant-release-inventory/tools-resources-data/exploredata.html" TargetMode="External"/><Relationship Id="rId944" Type="http://schemas.openxmlformats.org/officeDocument/2006/relationships/hyperlink" Target="https://www.canada.ca/en/environment-climate-change/services/national-pollutant-release-inventory/tools-resources-data/exploredata.html" TargetMode="External"/><Relationship Id="rId73" Type="http://schemas.openxmlformats.org/officeDocument/2006/relationships/hyperlink" Target="https://www.canada.ca/en/environment-climate-change/services/national-pollutant-release-inventory/tools-resources-data/exploredata.html" TargetMode="External"/><Relationship Id="rId169" Type="http://schemas.openxmlformats.org/officeDocument/2006/relationships/hyperlink" Target="https://www.canada.ca/en/environment-climate-change/services/national-pollutant-release-inventory/tools-resources-data/exploredata.html" TargetMode="External"/><Relationship Id="rId376" Type="http://schemas.openxmlformats.org/officeDocument/2006/relationships/hyperlink" Target="https://www.canada.ca/en/environment-climate-change/services/national-pollutant-release-inventory/tools-resources-data/exploredata.html" TargetMode="External"/><Relationship Id="rId583" Type="http://schemas.openxmlformats.org/officeDocument/2006/relationships/hyperlink" Target="https://www.canada.ca/en/environment-climate-change/services/national-pollutant-release-inventory/tools-resources-data/exploredata.html" TargetMode="External"/><Relationship Id="rId790" Type="http://schemas.openxmlformats.org/officeDocument/2006/relationships/hyperlink" Target="https://www.canada.ca/en/environment-climate-change/services/national-pollutant-release-inventory/tools-resources-data/exploredata.html" TargetMode="External"/><Relationship Id="rId804" Type="http://schemas.openxmlformats.org/officeDocument/2006/relationships/hyperlink" Target="https://www.canada.ca/en/environment-climate-change/services/national-pollutant-release-inventory/tools-resources-data/exploredata.html" TargetMode="External"/><Relationship Id="rId4" Type="http://schemas.openxmlformats.org/officeDocument/2006/relationships/hyperlink" Target="https://www.canada.ca/en/environment-climate-change/services/national-pollutant-release-inventory/tools-resources-data/exploredata.html" TargetMode="External"/><Relationship Id="rId236" Type="http://schemas.openxmlformats.org/officeDocument/2006/relationships/hyperlink" Target="https://www.canada.ca/en/environment-climate-change/services/national-pollutant-release-inventory/tools-resources-data/exploredata.html" TargetMode="External"/><Relationship Id="rId443" Type="http://schemas.openxmlformats.org/officeDocument/2006/relationships/hyperlink" Target="https://www.canada.ca/en/environment-climate-change/services/national-pollutant-release-inventory/tools-resources-data/exploredata.html" TargetMode="External"/><Relationship Id="rId650" Type="http://schemas.openxmlformats.org/officeDocument/2006/relationships/hyperlink" Target="https://www.canada.ca/en/environment-climate-change/services/national-pollutant-release-inventory/tools-resources-data/exploredata.html" TargetMode="External"/><Relationship Id="rId888" Type="http://schemas.openxmlformats.org/officeDocument/2006/relationships/hyperlink" Target="https://www.canada.ca/en/environment-climate-change/services/national-pollutant-release-inventory/tools-resources-data/exploredata.html" TargetMode="External"/><Relationship Id="rId303" Type="http://schemas.openxmlformats.org/officeDocument/2006/relationships/hyperlink" Target="https://www.canada.ca/en/environment-climate-change/services/national-pollutant-release-inventory/tools-resources-data/exploredata.html" TargetMode="External"/><Relationship Id="rId748" Type="http://schemas.openxmlformats.org/officeDocument/2006/relationships/hyperlink" Target="https://www.canada.ca/en/environment-climate-change/services/national-pollutant-release-inventory/tools-resources-data/exploredata.html" TargetMode="External"/><Relationship Id="rId955" Type="http://schemas.openxmlformats.org/officeDocument/2006/relationships/hyperlink" Target="https://www.canada.ca/en/environment-climate-change/services/national-pollutant-release-inventory/tools-resources-data/exploredata.html" TargetMode="External"/><Relationship Id="rId84" Type="http://schemas.openxmlformats.org/officeDocument/2006/relationships/hyperlink" Target="https://www.canada.ca/en/environment-climate-change/services/national-pollutant-release-inventory/tools-resources-data/exploredata.html" TargetMode="External"/><Relationship Id="rId387" Type="http://schemas.openxmlformats.org/officeDocument/2006/relationships/hyperlink" Target="https://www.canada.ca/en/environment-climate-change/services/national-pollutant-release-inventory/tools-resources-data/exploredata.html" TargetMode="External"/><Relationship Id="rId510" Type="http://schemas.openxmlformats.org/officeDocument/2006/relationships/hyperlink" Target="https://www.canada.ca/en/environment-climate-change/services/national-pollutant-release-inventory/tools-resources-data/exploredata.html" TargetMode="External"/><Relationship Id="rId594" Type="http://schemas.openxmlformats.org/officeDocument/2006/relationships/hyperlink" Target="https://www.canada.ca/en/environment-climate-change/services/national-pollutant-release-inventory/tools-resources-data/exploredata.html" TargetMode="External"/><Relationship Id="rId608" Type="http://schemas.openxmlformats.org/officeDocument/2006/relationships/hyperlink" Target="https://www.canada.ca/en/environment-climate-change/services/national-pollutant-release-inventory/tools-resources-data/exploredata.html" TargetMode="External"/><Relationship Id="rId815" Type="http://schemas.openxmlformats.org/officeDocument/2006/relationships/hyperlink" Target="https://www.canada.ca/en/environment-climate-change/services/national-pollutant-release-inventory/tools-resources-data/exploredata.html" TargetMode="External"/><Relationship Id="rId247" Type="http://schemas.openxmlformats.org/officeDocument/2006/relationships/hyperlink" Target="https://www.canada.ca/en/environment-climate-change/services/national-pollutant-release-inventory/tools-resources-data/exploredata.html" TargetMode="External"/><Relationship Id="rId89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0" Type="http://schemas.openxmlformats.org/officeDocument/2006/relationships/hyperlink" Target="https://www.canada.ca/en/environment-climate-change/services/national-pollutant-release-inventory/tools-resources-data/exploredata.html" TargetMode="External"/><Relationship Id="rId107" Type="http://schemas.openxmlformats.org/officeDocument/2006/relationships/hyperlink" Target="https://www.canada.ca/en/environment-climate-change/services/national-pollutant-release-inventory/tools-resources-data/exploredata.html" TargetMode="External"/><Relationship Id="rId454" Type="http://schemas.openxmlformats.org/officeDocument/2006/relationships/hyperlink" Target="https://www.canada.ca/en/environment-climate-change/services/national-pollutant-release-inventory/tools-resources-data/exploredata.html" TargetMode="External"/><Relationship Id="rId661" Type="http://schemas.openxmlformats.org/officeDocument/2006/relationships/hyperlink" Target="https://www.canada.ca/en/environment-climate-change/services/national-pollutant-release-inventory/tools-resources-data/exploredata.html" TargetMode="External"/><Relationship Id="rId759" Type="http://schemas.openxmlformats.org/officeDocument/2006/relationships/hyperlink" Target="https://www.canada.ca/en/environment-climate-change/services/national-pollutant-release-inventory/tools-resources-data/exploredata.html" TargetMode="External"/><Relationship Id="rId966" Type="http://schemas.openxmlformats.org/officeDocument/2006/relationships/hyperlink" Target="https://www.canada.ca/en/environment-climate-change/services/national-pollutant-release-inventory/tools-resources-data/exploredata.html" TargetMode="External"/><Relationship Id="rId11" Type="http://schemas.openxmlformats.org/officeDocument/2006/relationships/hyperlink" Target="https://www.canada.ca/en/environment-climate-change/services/national-pollutant-release-inventory/tools-resources-data/exploredata.html" TargetMode="External"/><Relationship Id="rId314" Type="http://schemas.openxmlformats.org/officeDocument/2006/relationships/hyperlink" Target="https://www.canada.ca/en/environment-climate-change/services/national-pollutant-release-inventory/tools-resources-data/exploredata.html" TargetMode="External"/><Relationship Id="rId398" Type="http://schemas.openxmlformats.org/officeDocument/2006/relationships/hyperlink" Target="https://www.canada.ca/en/environment-climate-change/services/national-pollutant-release-inventory/tools-resources-data/exploredata.html" TargetMode="External"/><Relationship Id="rId521" Type="http://schemas.openxmlformats.org/officeDocument/2006/relationships/hyperlink" Target="https://www.canada.ca/en/environment-climate-change/services/national-pollutant-release-inventory/tools-resources-data/exploredata.html" TargetMode="External"/><Relationship Id="rId619" Type="http://schemas.openxmlformats.org/officeDocument/2006/relationships/hyperlink" Target="https://www.canada.ca/en/environment-climate-change/services/national-pollutant-release-inventory/tools-resources-data/exploredata.html" TargetMode="External"/><Relationship Id="rId95" Type="http://schemas.openxmlformats.org/officeDocument/2006/relationships/hyperlink" Target="https://www.canada.ca/en/environment-climate-change/services/national-pollutant-release-inventory/tools-resources-data/exploredata.html" TargetMode="External"/><Relationship Id="rId160" Type="http://schemas.openxmlformats.org/officeDocument/2006/relationships/hyperlink" Target="https://www.canada.ca/en/environment-climate-change/services/national-pollutant-release-inventory/tools-resources-data/exploredata.html" TargetMode="External"/><Relationship Id="rId826" Type="http://schemas.openxmlformats.org/officeDocument/2006/relationships/hyperlink" Target="https://www.canada.ca/en/environment-climate-change/services/national-pollutant-release-inventory/tools-resources-data/exploredata.html" TargetMode="External"/><Relationship Id="rId1011" Type="http://schemas.openxmlformats.org/officeDocument/2006/relationships/hyperlink" Target="https://www.canada.ca/en/environment-climate-change/services/environmental-indicators/greenhouse-gas-emissions/large-facilities.html" TargetMode="External"/><Relationship Id="rId258" Type="http://schemas.openxmlformats.org/officeDocument/2006/relationships/hyperlink" Target="https://www.canada.ca/en/environment-climate-change/services/national-pollutant-release-inventory/tools-resources-data/exploredata.html" TargetMode="External"/><Relationship Id="rId465" Type="http://schemas.openxmlformats.org/officeDocument/2006/relationships/hyperlink" Target="https://www.canada.ca/en/environment-climate-change/services/national-pollutant-release-inventory/tools-resources-data/exploredata.html" TargetMode="External"/><Relationship Id="rId672" Type="http://schemas.openxmlformats.org/officeDocument/2006/relationships/hyperlink" Target="https://www.canada.ca/en/environment-climate-change/services/national-pollutant-release-inventory/tools-resources-data/exploredata.html" TargetMode="External"/><Relationship Id="rId22" Type="http://schemas.openxmlformats.org/officeDocument/2006/relationships/hyperlink" Target="https://www.canada.ca/en/environment-climate-change/services/national-pollutant-release-inventory/tools-resources-data/exploredata.html" TargetMode="External"/><Relationship Id="rId118" Type="http://schemas.openxmlformats.org/officeDocument/2006/relationships/hyperlink" Target="https://www.canada.ca/en/environment-climate-change/services/national-pollutant-release-inventory/tools-resources-data/exploredata.html" TargetMode="External"/><Relationship Id="rId325" Type="http://schemas.openxmlformats.org/officeDocument/2006/relationships/hyperlink" Target="https://www.canada.ca/en/environment-climate-change/services/national-pollutant-release-inventory/tools-resources-data/exploredata.html" TargetMode="External"/><Relationship Id="rId532" Type="http://schemas.openxmlformats.org/officeDocument/2006/relationships/hyperlink" Target="https://www.canada.ca/en/environment-climate-change/services/national-pollutant-release-inventory/tools-resources-data/exploredata.html" TargetMode="External"/><Relationship Id="rId977" Type="http://schemas.openxmlformats.org/officeDocument/2006/relationships/hyperlink" Target="https://www.canada.ca/en/environment-climate-change/services/national-pollutant-release-inventory/tools-resources-data/exploredata.html" TargetMode="External"/><Relationship Id="rId171" Type="http://schemas.openxmlformats.org/officeDocument/2006/relationships/hyperlink" Target="https://www.canada.ca/en/environment-climate-change/services/national-pollutant-release-inventory/tools-resources-data/exploredata.html" TargetMode="External"/><Relationship Id="rId837" Type="http://schemas.openxmlformats.org/officeDocument/2006/relationships/hyperlink" Target="https://www.canada.ca/en/environment-climate-change/services/national-pollutant-release-inventory/tools-resources-data/exploredata.html" TargetMode="External"/><Relationship Id="rId1022" Type="http://schemas.openxmlformats.org/officeDocument/2006/relationships/hyperlink" Target="https://www.canada.ca/en/environment-climate-change/services/environmental-indicators/greenhouse-gas-emissions/large-facilities.html" TargetMode="External"/><Relationship Id="rId269" Type="http://schemas.openxmlformats.org/officeDocument/2006/relationships/hyperlink" Target="https://www.canada.ca/en/environment-climate-change/services/national-pollutant-release-inventory/tools-resources-data/exploredata.html" TargetMode="External"/><Relationship Id="rId476" Type="http://schemas.openxmlformats.org/officeDocument/2006/relationships/hyperlink" Target="https://www.canada.ca/en/environment-climate-change/services/national-pollutant-release-inventory/tools-resources-data/exploredata.html" TargetMode="External"/><Relationship Id="rId683" Type="http://schemas.openxmlformats.org/officeDocument/2006/relationships/hyperlink" Target="https://www.canada.ca/en/environment-climate-change/services/national-pollutant-release-inventory/tools-resources-data/exploredata.html" TargetMode="External"/><Relationship Id="rId890" Type="http://schemas.openxmlformats.org/officeDocument/2006/relationships/hyperlink" Target="https://www.canada.ca/en/environment-climate-change/services/national-pollutant-release-inventory/tools-resources-data/exploredata.html" TargetMode="External"/><Relationship Id="rId904" Type="http://schemas.openxmlformats.org/officeDocument/2006/relationships/hyperlink" Target="https://www.canada.ca/en/environment-climate-change/services/national-pollutant-release-inventory/tools-resources-data/exploredata.html" TargetMode="External"/><Relationship Id="rId33" Type="http://schemas.openxmlformats.org/officeDocument/2006/relationships/hyperlink" Target="https://www.canada.ca/en/environment-climate-change/services/national-pollutant-release-inventory/tools-resources-data/exploredata.html" TargetMode="External"/><Relationship Id="rId129" Type="http://schemas.openxmlformats.org/officeDocument/2006/relationships/hyperlink" Target="https://www.canada.ca/en/environment-climate-change/services/national-pollutant-release-inventory/tools-resources-data/exploredata.html" TargetMode="External"/><Relationship Id="rId336" Type="http://schemas.openxmlformats.org/officeDocument/2006/relationships/hyperlink" Target="https://www.canada.ca/en/environment-climate-change/services/national-pollutant-release-inventory/tools-resources-data/exploredata.html" TargetMode="External"/><Relationship Id="rId543" Type="http://schemas.openxmlformats.org/officeDocument/2006/relationships/hyperlink" Target="https://www.canada.ca/en/environment-climate-change/services/national-pollutant-release-inventory/tools-resources-data/exploredata.html" TargetMode="External"/><Relationship Id="rId988" Type="http://schemas.openxmlformats.org/officeDocument/2006/relationships/hyperlink" Target="https://www.canada.ca/en/environment-climate-change/services/national-pollutant-release-inventory/tools-resources-data/exploredata.html" TargetMode="External"/><Relationship Id="rId182" Type="http://schemas.openxmlformats.org/officeDocument/2006/relationships/hyperlink" Target="https://www.canada.ca/en/environment-climate-change/services/national-pollutant-release-inventory/tools-resources-data/exploredata.html" TargetMode="External"/><Relationship Id="rId403" Type="http://schemas.openxmlformats.org/officeDocument/2006/relationships/hyperlink" Target="https://www.canada.ca/en/environment-climate-change/services/national-pollutant-release-inventory/tools-resources-data/exploredata.html" TargetMode="External"/><Relationship Id="rId750" Type="http://schemas.openxmlformats.org/officeDocument/2006/relationships/hyperlink" Target="https://www.canada.ca/en/environment-climate-change/services/national-pollutant-release-inventory/tools-resources-data/exploredata.html" TargetMode="External"/><Relationship Id="rId848" Type="http://schemas.openxmlformats.org/officeDocument/2006/relationships/hyperlink" Target="https://www.canada.ca/en/environment-climate-change/services/national-pollutant-release-inventory/tools-resources-data/exploredata.html" TargetMode="External"/><Relationship Id="rId487" Type="http://schemas.openxmlformats.org/officeDocument/2006/relationships/hyperlink" Target="https://www.canada.ca/en/environment-climate-change/services/national-pollutant-release-inventory/tools-resources-data/exploredata.html" TargetMode="External"/><Relationship Id="rId610" Type="http://schemas.openxmlformats.org/officeDocument/2006/relationships/hyperlink" Target="https://www.canada.ca/en/environment-climate-change/services/national-pollutant-release-inventory/tools-resources-data/exploredata.html" TargetMode="External"/><Relationship Id="rId694" Type="http://schemas.openxmlformats.org/officeDocument/2006/relationships/hyperlink" Target="https://www.canada.ca/en/environment-climate-change/services/national-pollutant-release-inventory/tools-resources-data/exploredata.html" TargetMode="External"/><Relationship Id="rId708" Type="http://schemas.openxmlformats.org/officeDocument/2006/relationships/hyperlink" Target="https://www.canada.ca/en/environment-climate-change/services/national-pollutant-release-inventory/tools-resources-data/exploredata.html" TargetMode="External"/><Relationship Id="rId915" Type="http://schemas.openxmlformats.org/officeDocument/2006/relationships/hyperlink" Target="https://www.canada.ca/en/environment-climate-change/services/national-pollutant-release-inventory/tools-resources-data/exploredata.html" TargetMode="External"/><Relationship Id="rId347" Type="http://schemas.openxmlformats.org/officeDocument/2006/relationships/hyperlink" Target="https://www.canada.ca/en/environment-climate-change/services/national-pollutant-release-inventory/tools-resources-data/exploredata.html" TargetMode="External"/><Relationship Id="rId999" Type="http://schemas.openxmlformats.org/officeDocument/2006/relationships/hyperlink" Target="https://www.canada.ca/en/environment-climate-change/services/national-pollutant-release-inventory/tools-resources-data/exploredata.html" TargetMode="External"/><Relationship Id="rId44" Type="http://schemas.openxmlformats.org/officeDocument/2006/relationships/hyperlink" Target="https://www.canada.ca/en/environment-climate-change/services/national-pollutant-release-inventory/tools-resources-data/exploredata.html" TargetMode="External"/><Relationship Id="rId554" Type="http://schemas.openxmlformats.org/officeDocument/2006/relationships/hyperlink" Target="https://www.canada.ca/en/environment-climate-change/services/national-pollutant-release-inventory/tools-resources-data/exploredata.html" TargetMode="External"/><Relationship Id="rId761" Type="http://schemas.openxmlformats.org/officeDocument/2006/relationships/hyperlink" Target="https://www.canada.ca/en/environment-climate-change/services/national-pollutant-release-inventory/tools-resources-data/exploredata.html" TargetMode="External"/><Relationship Id="rId859" Type="http://schemas.openxmlformats.org/officeDocument/2006/relationships/hyperlink" Target="https://www.canada.ca/en/environment-climate-change/services/national-pollutant-release-inventory/tools-resources-data/exploredata.html" TargetMode="External"/><Relationship Id="rId193" Type="http://schemas.openxmlformats.org/officeDocument/2006/relationships/hyperlink" Target="https://www.canada.ca/en/environment-climate-change/services/national-pollutant-release-inventory/tools-resources-data/exploredata.html" TargetMode="External"/><Relationship Id="rId207" Type="http://schemas.openxmlformats.org/officeDocument/2006/relationships/hyperlink" Target="https://www.canada.ca/en/environment-climate-change/services/national-pollutant-release-inventory/tools-resources-data/exploredata.html" TargetMode="External"/><Relationship Id="rId414" Type="http://schemas.openxmlformats.org/officeDocument/2006/relationships/hyperlink" Target="https://www.canada.ca/en/environment-climate-change/services/national-pollutant-release-inventory/tools-resources-data/exploredata.html" TargetMode="External"/><Relationship Id="rId498" Type="http://schemas.openxmlformats.org/officeDocument/2006/relationships/hyperlink" Target="https://www.canada.ca/en/environment-climate-change/services/national-pollutant-release-inventory/tools-resources-data/exploredata.html" TargetMode="External"/><Relationship Id="rId621" Type="http://schemas.openxmlformats.org/officeDocument/2006/relationships/hyperlink" Target="https://www.canada.ca/en/environment-climate-change/services/national-pollutant-release-inventory/tools-resources-data/exploredata.html" TargetMode="External"/><Relationship Id="rId260" Type="http://schemas.openxmlformats.org/officeDocument/2006/relationships/hyperlink" Target="https://www.canada.ca/en/environment-climate-change/services/national-pollutant-release-inventory/tools-resources-data/exploredata.html" TargetMode="External"/><Relationship Id="rId719" Type="http://schemas.openxmlformats.org/officeDocument/2006/relationships/hyperlink" Target="https://www.canada.ca/en/environment-climate-change/services/national-pollutant-release-inventory/tools-resources-data/exploredata.html" TargetMode="External"/><Relationship Id="rId926" Type="http://schemas.openxmlformats.org/officeDocument/2006/relationships/hyperlink" Target="https://www.canada.ca/en/environment-climate-change/services/national-pollutant-release-inventory/tools-resources-data/exploredata.html" TargetMode="External"/><Relationship Id="rId55" Type="http://schemas.openxmlformats.org/officeDocument/2006/relationships/hyperlink" Target="https://www.canada.ca/en/environment-climate-change/services/national-pollutant-release-inventory/tools-resources-data/exploredata.html" TargetMode="External"/><Relationship Id="rId120" Type="http://schemas.openxmlformats.org/officeDocument/2006/relationships/hyperlink" Target="https://www.canada.ca/en/environment-climate-change/services/national-pollutant-release-inventory/tools-resources-data/exploredata.html" TargetMode="External"/><Relationship Id="rId358" Type="http://schemas.openxmlformats.org/officeDocument/2006/relationships/hyperlink" Target="https://www.canada.ca/en/environment-climate-change/services/national-pollutant-release-inventory/tools-resources-data/exploredata.html" TargetMode="External"/><Relationship Id="rId565" Type="http://schemas.openxmlformats.org/officeDocument/2006/relationships/hyperlink" Target="https://www.canada.ca/en/environment-climate-change/services/national-pollutant-release-inventory/tools-resources-data/exploredata.html" TargetMode="External"/><Relationship Id="rId772" Type="http://schemas.openxmlformats.org/officeDocument/2006/relationships/hyperlink" Target="https://www.canada.ca/en/environment-climate-change/services/national-pollutant-release-inventory/tools-resources-data/exploredata.html" TargetMode="External"/><Relationship Id="rId218" Type="http://schemas.openxmlformats.org/officeDocument/2006/relationships/hyperlink" Target="https://www.canada.ca/en/environment-climate-change/services/national-pollutant-release-inventory/tools-resources-data/exploredata.html" TargetMode="External"/><Relationship Id="rId425" Type="http://schemas.openxmlformats.org/officeDocument/2006/relationships/hyperlink" Target="https://www.canada.ca/en/environment-climate-change/services/national-pollutant-release-inventory/tools-resources-data/exploredata.html" TargetMode="External"/><Relationship Id="rId632" Type="http://schemas.openxmlformats.org/officeDocument/2006/relationships/hyperlink" Target="https://www.canada.ca/en/environment-climate-change/services/national-pollutant-release-inventory/tools-resources-data/exploredata.html" TargetMode="External"/><Relationship Id="rId271" Type="http://schemas.openxmlformats.org/officeDocument/2006/relationships/hyperlink" Target="https://www.canada.ca/en/environment-climate-change/services/national-pollutant-release-inventory/tools-resources-data/exploredata.html" TargetMode="External"/><Relationship Id="rId937" Type="http://schemas.openxmlformats.org/officeDocument/2006/relationships/hyperlink" Target="https://www.canada.ca/en/environment-climate-change/services/national-pollutant-release-inventory/tools-resources-data/exploredata.html" TargetMode="External"/><Relationship Id="rId66" Type="http://schemas.openxmlformats.org/officeDocument/2006/relationships/hyperlink" Target="https://www.canada.ca/en/environment-climate-change/services/national-pollutant-release-inventory/tools-resources-data/exploredata.html" TargetMode="External"/><Relationship Id="rId131" Type="http://schemas.openxmlformats.org/officeDocument/2006/relationships/hyperlink" Target="https://www.canada.ca/en/environment-climate-change/services/national-pollutant-release-inventory/tools-resources-data/exploredata.html" TargetMode="External"/><Relationship Id="rId369" Type="http://schemas.openxmlformats.org/officeDocument/2006/relationships/hyperlink" Target="https://www.canada.ca/en/environment-climate-change/services/national-pollutant-release-inventory/tools-resources-data/exploredata.html" TargetMode="External"/><Relationship Id="rId576" Type="http://schemas.openxmlformats.org/officeDocument/2006/relationships/hyperlink" Target="https://www.canada.ca/en/environment-climate-change/services/national-pollutant-release-inventory/tools-resources-data/exploredata.html" TargetMode="External"/><Relationship Id="rId783" Type="http://schemas.openxmlformats.org/officeDocument/2006/relationships/hyperlink" Target="https://www.canada.ca/en/environment-climate-change/services/national-pollutant-release-inventory/tools-resources-data/exploredata.html" TargetMode="External"/><Relationship Id="rId990" Type="http://schemas.openxmlformats.org/officeDocument/2006/relationships/hyperlink" Target="https://www.canada.ca/en/environment-climate-change/services/national-pollutant-release-inventory/tools-resources-data/exploredata.html" TargetMode="External"/><Relationship Id="rId229" Type="http://schemas.openxmlformats.org/officeDocument/2006/relationships/hyperlink" Target="https://www.canada.ca/en/environment-climate-change/services/national-pollutant-release-inventory/tools-resources-data/exploredata.html" TargetMode="External"/><Relationship Id="rId436" Type="http://schemas.openxmlformats.org/officeDocument/2006/relationships/hyperlink" Target="https://www.canada.ca/en/environment-climate-change/services/national-pollutant-release-inventory/tools-resources-data/exploredata.html" TargetMode="External"/><Relationship Id="rId643" Type="http://schemas.openxmlformats.org/officeDocument/2006/relationships/hyperlink" Target="https://www.canada.ca/en/environment-climate-change/services/national-pollutant-release-inventory/tools-resources-data/exploredata.html" TargetMode="External"/><Relationship Id="rId850" Type="http://schemas.openxmlformats.org/officeDocument/2006/relationships/hyperlink" Target="https://www.canada.ca/en/environment-climate-change/services/national-pollutant-release-inventory/tools-resources-data/exploredata.html" TargetMode="External"/><Relationship Id="rId948" Type="http://schemas.openxmlformats.org/officeDocument/2006/relationships/hyperlink" Target="https://www.canada.ca/en/environment-climate-change/services/national-pollutant-release-inventory/tools-resources-data/exploredata.html" TargetMode="External"/><Relationship Id="rId77" Type="http://schemas.openxmlformats.org/officeDocument/2006/relationships/hyperlink" Target="https://www.canada.ca/en/environment-climate-change/services/national-pollutant-release-inventory/tools-resources-data/exploredata.html" TargetMode="External"/><Relationship Id="rId282" Type="http://schemas.openxmlformats.org/officeDocument/2006/relationships/hyperlink" Target="https://www.canada.ca/en/environment-climate-change/services/national-pollutant-release-inventory/tools-resources-data/exploredata.html" TargetMode="External"/><Relationship Id="rId503" Type="http://schemas.openxmlformats.org/officeDocument/2006/relationships/hyperlink" Target="https://www.canada.ca/en/environment-climate-change/services/national-pollutant-release-inventory/tools-resources-data/exploredata.html" TargetMode="External"/><Relationship Id="rId587" Type="http://schemas.openxmlformats.org/officeDocument/2006/relationships/hyperlink" Target="https://www.canada.ca/en/environment-climate-change/services/national-pollutant-release-inventory/tools-resources-data/exploredata.html" TargetMode="External"/><Relationship Id="rId710" Type="http://schemas.openxmlformats.org/officeDocument/2006/relationships/hyperlink" Target="https://www.canada.ca/en/environment-climate-change/services/national-pollutant-release-inventory/tools-resources-data/exploredata.html" TargetMode="External"/><Relationship Id="rId808" Type="http://schemas.openxmlformats.org/officeDocument/2006/relationships/hyperlink" Target="https://www.canada.ca/en/environment-climate-change/services/national-pollutant-release-inventory/tools-resources-data/exploredata.html" TargetMode="External"/><Relationship Id="rId8" Type="http://schemas.openxmlformats.org/officeDocument/2006/relationships/hyperlink" Target="https://www.canada.ca/en/environment-climate-change/services/national-pollutant-release-inventory/tools-resources-data/exploredata.html" TargetMode="External"/><Relationship Id="rId142" Type="http://schemas.openxmlformats.org/officeDocument/2006/relationships/hyperlink" Target="https://www.canada.ca/en/environment-climate-change/services/national-pollutant-release-inventory/tools-resources-data/exploredata.html" TargetMode="External"/><Relationship Id="rId447" Type="http://schemas.openxmlformats.org/officeDocument/2006/relationships/hyperlink" Target="https://www.canada.ca/en/environment-climate-change/services/national-pollutant-release-inventory/tools-resources-data/exploredata.html" TargetMode="External"/><Relationship Id="rId794" Type="http://schemas.openxmlformats.org/officeDocument/2006/relationships/hyperlink" Target="https://www.canada.ca/en/environment-climate-change/services/national-pollutant-release-inventory/tools-resources-data/exploredata.html" TargetMode="External"/><Relationship Id="rId654" Type="http://schemas.openxmlformats.org/officeDocument/2006/relationships/hyperlink" Target="https://www.canada.ca/en/environment-climate-change/services/national-pollutant-release-inventory/tools-resources-data/exploredata.html" TargetMode="External"/><Relationship Id="rId861" Type="http://schemas.openxmlformats.org/officeDocument/2006/relationships/hyperlink" Target="https://www.canada.ca/en/environment-climate-change/services/national-pollutant-release-inventory/tools-resources-data/exploredata.html" TargetMode="External"/><Relationship Id="rId959" Type="http://schemas.openxmlformats.org/officeDocument/2006/relationships/hyperlink" Target="https://www.canada.ca/en/environment-climate-change/services/national-pollutant-release-inventory/tools-resources-data/exploredata.html" TargetMode="External"/><Relationship Id="rId293" Type="http://schemas.openxmlformats.org/officeDocument/2006/relationships/hyperlink" Target="https://www.canada.ca/en/environment-climate-change/services/national-pollutant-release-inventory/tools-resources-data/exploredata.html" TargetMode="External"/><Relationship Id="rId307" Type="http://schemas.openxmlformats.org/officeDocument/2006/relationships/hyperlink" Target="https://www.canada.ca/en/environment-climate-change/services/national-pollutant-release-inventory/tools-resources-data/exploredata.html" TargetMode="External"/><Relationship Id="rId514" Type="http://schemas.openxmlformats.org/officeDocument/2006/relationships/hyperlink" Target="https://www.canada.ca/en/environment-climate-change/services/national-pollutant-release-inventory/tools-resources-data/exploredata.html" TargetMode="External"/><Relationship Id="rId721" Type="http://schemas.openxmlformats.org/officeDocument/2006/relationships/hyperlink" Target="https://www.canada.ca/en/environment-climate-change/services/national-pollutant-release-inventory/tools-resources-data/exploredata.html" TargetMode="External"/><Relationship Id="rId88" Type="http://schemas.openxmlformats.org/officeDocument/2006/relationships/hyperlink" Target="https://www.canada.ca/en/environment-climate-change/services/national-pollutant-release-inventory/tools-resources-data/exploredata.html" TargetMode="External"/><Relationship Id="rId153" Type="http://schemas.openxmlformats.org/officeDocument/2006/relationships/hyperlink" Target="https://www.canada.ca/en/environment-climate-change/services/national-pollutant-release-inventory/tools-resources-data/exploredata.html" TargetMode="External"/><Relationship Id="rId360" Type="http://schemas.openxmlformats.org/officeDocument/2006/relationships/hyperlink" Target="https://www.canada.ca/en/environment-climate-change/services/national-pollutant-release-inventory/tools-resources-data/exploredata.html" TargetMode="External"/><Relationship Id="rId598" Type="http://schemas.openxmlformats.org/officeDocument/2006/relationships/hyperlink" Target="https://www.canada.ca/en/environment-climate-change/services/national-pollutant-release-inventory/tools-resources-data/exploredata.html" TargetMode="External"/><Relationship Id="rId819" Type="http://schemas.openxmlformats.org/officeDocument/2006/relationships/hyperlink" Target="https://www.canada.ca/en/environment-climate-change/services/national-pollutant-release-inventory/tools-resources-data/exploredata.html" TargetMode="External"/><Relationship Id="rId1004" Type="http://schemas.openxmlformats.org/officeDocument/2006/relationships/hyperlink" Target="https://www.canada.ca/en/environment-climate-change/services/national-pollutant-release-inventory/tools-resources-data/exploredata.html" TargetMode="External"/><Relationship Id="rId220" Type="http://schemas.openxmlformats.org/officeDocument/2006/relationships/hyperlink" Target="https://www.canada.ca/en/environment-climate-change/services/national-pollutant-release-inventory/tools-resources-data/exploredata.html" TargetMode="External"/><Relationship Id="rId458" Type="http://schemas.openxmlformats.org/officeDocument/2006/relationships/hyperlink" Target="https://www.canada.ca/en/environment-climate-change/services/national-pollutant-release-inventory/tools-resources-data/exploredata.html" TargetMode="External"/><Relationship Id="rId665" Type="http://schemas.openxmlformats.org/officeDocument/2006/relationships/hyperlink" Target="https://www.canada.ca/en/environment-climate-change/services/national-pollutant-release-inventory/tools-resources-data/exploredata.html" TargetMode="External"/><Relationship Id="rId872" Type="http://schemas.openxmlformats.org/officeDocument/2006/relationships/hyperlink" Target="https://www.canada.ca/en/environment-climate-change/services/national-pollutant-release-inventory/tools-resources-data/exploredata.html" TargetMode="External"/><Relationship Id="rId15" Type="http://schemas.openxmlformats.org/officeDocument/2006/relationships/hyperlink" Target="https://www.canada.ca/en/environment-climate-change/services/national-pollutant-release-inventory/tools-resources-data/exploredata.html" TargetMode="External"/><Relationship Id="rId318" Type="http://schemas.openxmlformats.org/officeDocument/2006/relationships/hyperlink" Target="https://www.canada.ca/en/environment-climate-change/services/national-pollutant-release-inventory/tools-resources-data/exploredata.html" TargetMode="External"/><Relationship Id="rId525" Type="http://schemas.openxmlformats.org/officeDocument/2006/relationships/hyperlink" Target="https://www.canada.ca/en/environment-climate-change/services/national-pollutant-release-inventory/tools-resources-data/exploredata.html" TargetMode="External"/><Relationship Id="rId732" Type="http://schemas.openxmlformats.org/officeDocument/2006/relationships/hyperlink" Target="https://www.canada.ca/en/environment-climate-change/services/national-pollutant-release-inventory/tools-resources-data/exploredata.html" TargetMode="External"/><Relationship Id="rId99" Type="http://schemas.openxmlformats.org/officeDocument/2006/relationships/hyperlink" Target="https://www.canada.ca/en/environment-climate-change/services/national-pollutant-release-inventory/tools-resources-data/exploredata.html" TargetMode="External"/><Relationship Id="rId164" Type="http://schemas.openxmlformats.org/officeDocument/2006/relationships/hyperlink" Target="https://www.canada.ca/en/environment-climate-change/services/national-pollutant-release-inventory/tools-resources-data/exploredata.html" TargetMode="External"/><Relationship Id="rId371" Type="http://schemas.openxmlformats.org/officeDocument/2006/relationships/hyperlink" Target="https://www.canada.ca/en/environment-climate-change/services/national-pollutant-release-inventory/tools-resources-data/exploredata.html" TargetMode="External"/><Relationship Id="rId1015" Type="http://schemas.openxmlformats.org/officeDocument/2006/relationships/hyperlink" Target="https://www.canada.ca/en/environment-climate-change/services/environmental-indicators/greenhouse-gas-emissions/large-facilities.html" TargetMode="External"/><Relationship Id="rId469" Type="http://schemas.openxmlformats.org/officeDocument/2006/relationships/hyperlink" Target="https://www.canada.ca/en/environment-climate-change/services/national-pollutant-release-inventory/tools-resources-data/exploredata.html" TargetMode="External"/><Relationship Id="rId676" Type="http://schemas.openxmlformats.org/officeDocument/2006/relationships/hyperlink" Target="https://www.canada.ca/en/environment-climate-change/services/national-pollutant-release-inventory/tools-resources-data/exploredata.html" TargetMode="External"/><Relationship Id="rId883" Type="http://schemas.openxmlformats.org/officeDocument/2006/relationships/hyperlink" Target="https://www.canada.ca/en/environment-climate-change/services/national-pollutant-release-inventory/tools-resources-data/exploredata.html" TargetMode="External"/><Relationship Id="rId26" Type="http://schemas.openxmlformats.org/officeDocument/2006/relationships/hyperlink" Target="https://www.canada.ca/en/environment-climate-change/services/national-pollutant-release-inventory/tools-resources-data/exploredata.html" TargetMode="External"/><Relationship Id="rId231" Type="http://schemas.openxmlformats.org/officeDocument/2006/relationships/hyperlink" Target="https://www.canada.ca/en/environment-climate-change/services/national-pollutant-release-inventory/tools-resources-data/exploredata.html" TargetMode="External"/><Relationship Id="rId329" Type="http://schemas.openxmlformats.org/officeDocument/2006/relationships/hyperlink" Target="https://www.canada.ca/en/environment-climate-change/services/national-pollutant-release-inventory/tools-resources-data/exploredata.html" TargetMode="External"/><Relationship Id="rId536" Type="http://schemas.openxmlformats.org/officeDocument/2006/relationships/hyperlink" Target="https://www.canada.ca/en/environment-climate-change/services/national-pollutant-release-inventory/tools-resources-data/exploredata.html" TargetMode="External"/><Relationship Id="rId175" Type="http://schemas.openxmlformats.org/officeDocument/2006/relationships/hyperlink" Target="https://www.canada.ca/en/environment-climate-change/services/national-pollutant-release-inventory/tools-resources-data/exploredata.html" TargetMode="External"/><Relationship Id="rId743" Type="http://schemas.openxmlformats.org/officeDocument/2006/relationships/hyperlink" Target="https://www.canada.ca/en/environment-climate-change/services/national-pollutant-release-inventory/tools-resources-data/exploredata.html" TargetMode="External"/><Relationship Id="rId950" Type="http://schemas.openxmlformats.org/officeDocument/2006/relationships/hyperlink" Target="https://www.canada.ca/en/environment-climate-change/services/national-pollutant-release-inventory/tools-resources-data/exploredata.html" TargetMode="External"/><Relationship Id="rId1026" Type="http://schemas.openxmlformats.org/officeDocument/2006/relationships/hyperlink" Target="https://www.canada.ca/en/environment-climate-change/services/environmental-indicators/greenhouse-gas-emissions/large-facilities.html" TargetMode="External"/><Relationship Id="rId382" Type="http://schemas.openxmlformats.org/officeDocument/2006/relationships/hyperlink" Target="https://www.canada.ca/en/environment-climate-change/services/national-pollutant-release-inventory/tools-resources-data/exploredata.html" TargetMode="External"/><Relationship Id="rId603" Type="http://schemas.openxmlformats.org/officeDocument/2006/relationships/hyperlink" Target="https://www.canada.ca/en/environment-climate-change/services/national-pollutant-release-inventory/tools-resources-data/exploredata.html" TargetMode="External"/><Relationship Id="rId687" Type="http://schemas.openxmlformats.org/officeDocument/2006/relationships/hyperlink" Target="https://www.canada.ca/en/environment-climate-change/services/national-pollutant-release-inventory/tools-resources-data/exploredata.html" TargetMode="External"/><Relationship Id="rId810" Type="http://schemas.openxmlformats.org/officeDocument/2006/relationships/hyperlink" Target="https://www.canada.ca/en/environment-climate-change/services/national-pollutant-release-inventory/tools-resources-data/exploredata.html" TargetMode="External"/><Relationship Id="rId908" Type="http://schemas.openxmlformats.org/officeDocument/2006/relationships/hyperlink" Target="https://www.canada.ca/en/environment-climate-change/services/national-pollutant-release-inventory/tools-resources-data/exploredata.html" TargetMode="External"/><Relationship Id="rId242" Type="http://schemas.openxmlformats.org/officeDocument/2006/relationships/hyperlink" Target="https://www.canada.ca/en/environment-climate-change/services/national-pollutant-release-inventory/tools-resources-data/exploredata.html" TargetMode="External"/><Relationship Id="rId894" Type="http://schemas.openxmlformats.org/officeDocument/2006/relationships/hyperlink" Target="https://www.canada.ca/en/environment-climate-change/services/national-pollutant-release-inventory/tools-resources-data/exploredata.html" TargetMode="External"/><Relationship Id="rId37" Type="http://schemas.openxmlformats.org/officeDocument/2006/relationships/hyperlink" Target="https://www.canada.ca/en/environment-climate-change/services/national-pollutant-release-inventory/tools-resources-data/exploredata.html" TargetMode="External"/><Relationship Id="rId102" Type="http://schemas.openxmlformats.org/officeDocument/2006/relationships/hyperlink" Target="https://www.canada.ca/en/environment-climate-change/services/national-pollutant-release-inventory/tools-resources-data/exploredata.html" TargetMode="External"/><Relationship Id="rId547" Type="http://schemas.openxmlformats.org/officeDocument/2006/relationships/hyperlink" Target="https://www.canada.ca/en/environment-climate-change/services/national-pollutant-release-inventory/tools-resources-data/exploredata.html" TargetMode="External"/><Relationship Id="rId754" Type="http://schemas.openxmlformats.org/officeDocument/2006/relationships/hyperlink" Target="https://www.canada.ca/en/environment-climate-change/services/national-pollutant-release-inventory/tools-resources-data/exploredata.html" TargetMode="External"/><Relationship Id="rId961" Type="http://schemas.openxmlformats.org/officeDocument/2006/relationships/hyperlink" Target="https://www.canada.ca/en/environment-climate-change/services/national-pollutant-release-inventory/tools-resources-data/exploredata.html" TargetMode="External"/><Relationship Id="rId90" Type="http://schemas.openxmlformats.org/officeDocument/2006/relationships/hyperlink" Target="https://www.canada.ca/en/environment-climate-change/services/national-pollutant-release-inventory/tools-resources-data/exploredata.html" TargetMode="External"/><Relationship Id="rId186" Type="http://schemas.openxmlformats.org/officeDocument/2006/relationships/hyperlink" Target="https://www.canada.ca/en/environment-climate-change/services/national-pollutant-release-inventory/tools-resources-data/exploredata.html" TargetMode="External"/><Relationship Id="rId393" Type="http://schemas.openxmlformats.org/officeDocument/2006/relationships/hyperlink" Target="https://www.canada.ca/en/environment-climate-change/services/national-pollutant-release-inventory/tools-resources-data/exploredata.html" TargetMode="External"/><Relationship Id="rId407" Type="http://schemas.openxmlformats.org/officeDocument/2006/relationships/hyperlink" Target="https://www.canada.ca/en/environment-climate-change/services/national-pollutant-release-inventory/tools-resources-data/exploredata.html" TargetMode="External"/><Relationship Id="rId614" Type="http://schemas.openxmlformats.org/officeDocument/2006/relationships/hyperlink" Target="https://www.canada.ca/en/environment-climate-change/services/national-pollutant-release-inventory/tools-resources-data/exploredata.html" TargetMode="External"/><Relationship Id="rId821" Type="http://schemas.openxmlformats.org/officeDocument/2006/relationships/hyperlink" Target="https://www.canada.ca/en/environment-climate-change/services/national-pollutant-release-inventory/tools-resources-data/exploredata.html" TargetMode="External"/><Relationship Id="rId253" Type="http://schemas.openxmlformats.org/officeDocument/2006/relationships/hyperlink" Target="https://www.canada.ca/en/environment-climate-change/services/national-pollutant-release-inventory/tools-resources-data/exploredata.html" TargetMode="External"/><Relationship Id="rId460" Type="http://schemas.openxmlformats.org/officeDocument/2006/relationships/hyperlink" Target="https://www.canada.ca/en/environment-climate-change/services/national-pollutant-release-inventory/tools-resources-data/exploredata.html" TargetMode="External"/><Relationship Id="rId698" Type="http://schemas.openxmlformats.org/officeDocument/2006/relationships/hyperlink" Target="https://www.canada.ca/en/environment-climate-change/services/national-pollutant-release-inventory/tools-resources-data/exploredata.html" TargetMode="External"/><Relationship Id="rId919" Type="http://schemas.openxmlformats.org/officeDocument/2006/relationships/hyperlink" Target="https://www.canada.ca/en/environment-climate-change/services/national-pollutant-release-inventory/tools-resources-data/exploredata.html" TargetMode="External"/><Relationship Id="rId48" Type="http://schemas.openxmlformats.org/officeDocument/2006/relationships/hyperlink" Target="https://www.canada.ca/en/environment-climate-change/services/national-pollutant-release-inventory/tools-resources-data/exploredata.html" TargetMode="External"/><Relationship Id="rId113" Type="http://schemas.openxmlformats.org/officeDocument/2006/relationships/hyperlink" Target="https://www.canada.ca/en/environment-climate-change/services/national-pollutant-release-inventory/tools-resources-data/exploredata.html" TargetMode="External"/><Relationship Id="rId320" Type="http://schemas.openxmlformats.org/officeDocument/2006/relationships/hyperlink" Target="https://www.canada.ca/en/environment-climate-change/services/national-pollutant-release-inventory/tools-resources-data/exploredata.html" TargetMode="External"/><Relationship Id="rId558" Type="http://schemas.openxmlformats.org/officeDocument/2006/relationships/hyperlink" Target="https://www.canada.ca/en/environment-climate-change/services/national-pollutant-release-inventory/tools-resources-data/exploredata.html" TargetMode="External"/><Relationship Id="rId765" Type="http://schemas.openxmlformats.org/officeDocument/2006/relationships/hyperlink" Target="https://www.canada.ca/en/environment-climate-change/services/national-pollutant-release-inventory/tools-resources-data/exploredata.html" TargetMode="External"/><Relationship Id="rId972" Type="http://schemas.openxmlformats.org/officeDocument/2006/relationships/hyperlink" Target="https://www.canada.ca/en/environment-climate-change/services/national-pollutant-release-inventory/tools-resources-data/exploredata.html" TargetMode="External"/><Relationship Id="rId197" Type="http://schemas.openxmlformats.org/officeDocument/2006/relationships/hyperlink" Target="https://www.canada.ca/en/environment-climate-change/services/national-pollutant-release-inventory/tools-resources-data/exploredata.html" TargetMode="External"/><Relationship Id="rId418" Type="http://schemas.openxmlformats.org/officeDocument/2006/relationships/hyperlink" Target="https://www.canada.ca/en/environment-climate-change/services/national-pollutant-release-inventory/tools-resources-data/exploredata.html" TargetMode="External"/><Relationship Id="rId625" Type="http://schemas.openxmlformats.org/officeDocument/2006/relationships/hyperlink" Target="https://www.canada.ca/en/environment-climate-change/services/national-pollutant-release-inventory/tools-resources-data/exploredata.html" TargetMode="External"/><Relationship Id="rId832" Type="http://schemas.openxmlformats.org/officeDocument/2006/relationships/hyperlink" Target="https://www.canada.ca/en/environment-climate-change/services/national-pollutant-release-inventory/tools-resources-data/exploredata.html" TargetMode="External"/><Relationship Id="rId264" Type="http://schemas.openxmlformats.org/officeDocument/2006/relationships/hyperlink" Target="https://www.canada.ca/en/environment-climate-change/services/national-pollutant-release-inventory/tools-resources-data/exploredata.html" TargetMode="External"/><Relationship Id="rId471" Type="http://schemas.openxmlformats.org/officeDocument/2006/relationships/hyperlink" Target="https://www.canada.ca/en/environment-climate-change/services/national-pollutant-release-inventory/tools-resources-data/exploredata.html" TargetMode="External"/><Relationship Id="rId59" Type="http://schemas.openxmlformats.org/officeDocument/2006/relationships/hyperlink" Target="https://www.canada.ca/en/environment-climate-change/services/national-pollutant-release-inventory/tools-resources-data/exploredata.html" TargetMode="External"/><Relationship Id="rId124" Type="http://schemas.openxmlformats.org/officeDocument/2006/relationships/hyperlink" Target="https://www.canada.ca/en/environment-climate-change/services/national-pollutant-release-inventory/tools-resources-data/exploredata.html" TargetMode="External"/><Relationship Id="rId569" Type="http://schemas.openxmlformats.org/officeDocument/2006/relationships/hyperlink" Target="https://www.canada.ca/en/environment-climate-change/services/national-pollutant-release-inventory/tools-resources-data/exploredata.html" TargetMode="External"/><Relationship Id="rId776" Type="http://schemas.openxmlformats.org/officeDocument/2006/relationships/hyperlink" Target="https://www.canada.ca/en/environment-climate-change/services/national-pollutant-release-inventory/tools-resources-data/exploredata.html" TargetMode="External"/><Relationship Id="rId983" Type="http://schemas.openxmlformats.org/officeDocument/2006/relationships/hyperlink" Target="https://www.canada.ca/en/environment-climate-change/services/national-pollutant-release-inventory/tools-resources-data/exploredata.html" TargetMode="External"/><Relationship Id="rId331" Type="http://schemas.openxmlformats.org/officeDocument/2006/relationships/hyperlink" Target="https://www.canada.ca/en/environment-climate-change/services/national-pollutant-release-inventory/tools-resources-data/exploredata.html" TargetMode="External"/><Relationship Id="rId429" Type="http://schemas.openxmlformats.org/officeDocument/2006/relationships/hyperlink" Target="https://www.canada.ca/en/environment-climate-change/services/national-pollutant-release-inventory/tools-resources-data/exploredata.html" TargetMode="External"/><Relationship Id="rId636" Type="http://schemas.openxmlformats.org/officeDocument/2006/relationships/hyperlink" Target="https://www.canada.ca/en/environment-climate-change/services/national-pollutant-release-inventory/tools-resources-data/exploredata.html" TargetMode="External"/><Relationship Id="rId843" Type="http://schemas.openxmlformats.org/officeDocument/2006/relationships/hyperlink" Target="https://www.canada.ca/en/environment-climate-change/services/national-pollutant-release-inventory/tools-resources-data/exploredata.html" TargetMode="External"/><Relationship Id="rId275" Type="http://schemas.openxmlformats.org/officeDocument/2006/relationships/hyperlink" Target="https://www.canada.ca/en/environment-climate-change/services/national-pollutant-release-inventory/tools-resources-data/exploredata.html" TargetMode="External"/><Relationship Id="rId482" Type="http://schemas.openxmlformats.org/officeDocument/2006/relationships/hyperlink" Target="https://www.canada.ca/en/environment-climate-change/services/national-pollutant-release-inventory/tools-resources-data/exploredata.html" TargetMode="External"/><Relationship Id="rId703" Type="http://schemas.openxmlformats.org/officeDocument/2006/relationships/hyperlink" Target="https://www.canada.ca/en/environment-climate-change/services/national-pollutant-release-inventory/tools-resources-data/exploredata.html" TargetMode="External"/><Relationship Id="rId910" Type="http://schemas.openxmlformats.org/officeDocument/2006/relationships/hyperlink" Target="https://www.canada.ca/en/environment-climate-change/services/national-pollutant-release-inventory/tools-resources-data/exploredata.html" TargetMode="External"/><Relationship Id="rId135" Type="http://schemas.openxmlformats.org/officeDocument/2006/relationships/hyperlink" Target="https://www.canada.ca/en/environment-climate-change/services/national-pollutant-release-inventory/tools-resources-data/exploredata.html" TargetMode="External"/><Relationship Id="rId342" Type="http://schemas.openxmlformats.org/officeDocument/2006/relationships/hyperlink" Target="https://www.canada.ca/en/environment-climate-change/services/national-pollutant-release-inventory/tools-resources-data/exploredata.html" TargetMode="External"/><Relationship Id="rId787" Type="http://schemas.openxmlformats.org/officeDocument/2006/relationships/hyperlink" Target="https://www.canada.ca/en/environment-climate-change/services/national-pollutant-release-inventory/tools-resources-data/exploredata.html" TargetMode="External"/><Relationship Id="rId994" Type="http://schemas.openxmlformats.org/officeDocument/2006/relationships/hyperlink" Target="https://www.canada.ca/en/environment-climate-change/services/national-pollutant-release-inventory/tools-resources-data/exploredata.html" TargetMode="External"/><Relationship Id="rId202" Type="http://schemas.openxmlformats.org/officeDocument/2006/relationships/hyperlink" Target="https://www.canada.ca/en/environment-climate-change/services/national-pollutant-release-inventory/tools-resources-data/exploredata.html" TargetMode="External"/><Relationship Id="rId647" Type="http://schemas.openxmlformats.org/officeDocument/2006/relationships/hyperlink" Target="https://www.canada.ca/en/environment-climate-change/services/national-pollutant-release-inventory/tools-resources-data/exploredata.html" TargetMode="External"/><Relationship Id="rId854" Type="http://schemas.openxmlformats.org/officeDocument/2006/relationships/hyperlink" Target="https://www.canada.ca/en/environment-climate-change/services/national-pollutant-release-inventory/tools-resources-data/exploredata.html" TargetMode="External"/><Relationship Id="rId286" Type="http://schemas.openxmlformats.org/officeDocument/2006/relationships/hyperlink" Target="https://www.canada.ca/en/environment-climate-change/services/national-pollutant-release-inventory/tools-resources-data/exploredata.html" TargetMode="External"/><Relationship Id="rId493" Type="http://schemas.openxmlformats.org/officeDocument/2006/relationships/hyperlink" Target="https://www.canada.ca/en/environment-climate-change/services/national-pollutant-release-inventory/tools-resources-data/exploredata.html" TargetMode="External"/><Relationship Id="rId507" Type="http://schemas.openxmlformats.org/officeDocument/2006/relationships/hyperlink" Target="https://www.canada.ca/en/environment-climate-change/services/national-pollutant-release-inventory/tools-resources-data/exploredata.html" TargetMode="External"/><Relationship Id="rId714" Type="http://schemas.openxmlformats.org/officeDocument/2006/relationships/hyperlink" Target="https://www.canada.ca/en/environment-climate-change/services/national-pollutant-release-inventory/tools-resources-data/exploredata.html" TargetMode="External"/><Relationship Id="rId921" Type="http://schemas.openxmlformats.org/officeDocument/2006/relationships/hyperlink" Target="https://www.canada.ca/en/environment-climate-change/services/national-pollutant-release-inventory/tools-resources-data/exploredata.html" TargetMode="External"/><Relationship Id="rId50" Type="http://schemas.openxmlformats.org/officeDocument/2006/relationships/hyperlink" Target="https://www.canada.ca/en/environment-climate-change/services/national-pollutant-release-inventory/tools-resources-data/exploredata.html" TargetMode="External"/><Relationship Id="rId146" Type="http://schemas.openxmlformats.org/officeDocument/2006/relationships/hyperlink" Target="https://www.canada.ca/en/environment-climate-change/services/national-pollutant-release-inventory/tools-resources-data/exploredata.html" TargetMode="External"/><Relationship Id="rId353" Type="http://schemas.openxmlformats.org/officeDocument/2006/relationships/hyperlink" Target="https://www.canada.ca/en/environment-climate-change/services/national-pollutant-release-inventory/tools-resources-data/exploredata.html" TargetMode="External"/><Relationship Id="rId560" Type="http://schemas.openxmlformats.org/officeDocument/2006/relationships/hyperlink" Target="https://www.canada.ca/en/environment-climate-change/services/national-pollutant-release-inventory/tools-resources-data/exploredata.html" TargetMode="External"/><Relationship Id="rId798" Type="http://schemas.openxmlformats.org/officeDocument/2006/relationships/hyperlink" Target="https://www.canada.ca/en/environment-climate-change/services/national-pollutant-release-inventory/tools-resources-data/exploredata.html" TargetMode="External"/><Relationship Id="rId213" Type="http://schemas.openxmlformats.org/officeDocument/2006/relationships/hyperlink" Target="https://www.canada.ca/en/environment-climate-change/services/national-pollutant-release-inventory/tools-resources-data/exploredata.html" TargetMode="External"/><Relationship Id="rId420" Type="http://schemas.openxmlformats.org/officeDocument/2006/relationships/hyperlink" Target="https://www.canada.ca/en/environment-climate-change/services/national-pollutant-release-inventory/tools-resources-data/exploredata.html" TargetMode="External"/><Relationship Id="rId658" Type="http://schemas.openxmlformats.org/officeDocument/2006/relationships/hyperlink" Target="https://www.canada.ca/en/environment-climate-change/services/national-pollutant-release-inventory/tools-resources-data/exploredata.html" TargetMode="External"/><Relationship Id="rId865" Type="http://schemas.openxmlformats.org/officeDocument/2006/relationships/hyperlink" Target="https://www.canada.ca/en/environment-climate-change/services/national-pollutant-release-inventory/tools-resources-data/exploredata.html" TargetMode="External"/><Relationship Id="rId297" Type="http://schemas.openxmlformats.org/officeDocument/2006/relationships/hyperlink" Target="https://www.canada.ca/en/environment-climate-change/services/national-pollutant-release-inventory/tools-resources-data/exploredata.html" TargetMode="External"/><Relationship Id="rId518" Type="http://schemas.openxmlformats.org/officeDocument/2006/relationships/hyperlink" Target="https://www.canada.ca/en/environment-climate-change/services/national-pollutant-release-inventory/tools-resources-data/exploredata.html" TargetMode="External"/><Relationship Id="rId725" Type="http://schemas.openxmlformats.org/officeDocument/2006/relationships/hyperlink" Target="https://www.canada.ca/en/environment-climate-change/services/national-pollutant-release-inventory/tools-resources-data/exploredata.html" TargetMode="External"/><Relationship Id="rId932" Type="http://schemas.openxmlformats.org/officeDocument/2006/relationships/hyperlink" Target="https://www.canada.ca/en/environment-climate-change/services/national-pollutant-release-inventory/tools-resources-data/exploredata.html" TargetMode="External"/><Relationship Id="rId157" Type="http://schemas.openxmlformats.org/officeDocument/2006/relationships/hyperlink" Target="https://www.canada.ca/en/environment-climate-change/services/national-pollutant-release-inventory/tools-resources-data/exploredata.html" TargetMode="External"/><Relationship Id="rId364" Type="http://schemas.openxmlformats.org/officeDocument/2006/relationships/hyperlink" Target="https://www.canada.ca/en/environment-climate-change/services/national-pollutant-release-inventory/tools-resources-data/exploredata.html" TargetMode="External"/><Relationship Id="rId1008" Type="http://schemas.openxmlformats.org/officeDocument/2006/relationships/hyperlink" Target="https://www.canada.ca/en/environment-climate-change/services/national-pollutant-release-inventory/tools-resources-data/exploredata.html" TargetMode="External"/><Relationship Id="rId61" Type="http://schemas.openxmlformats.org/officeDocument/2006/relationships/hyperlink" Target="https://www.canada.ca/en/environment-climate-change/services/national-pollutant-release-inventory/tools-resources-data/exploredata.html" TargetMode="External"/><Relationship Id="rId571" Type="http://schemas.openxmlformats.org/officeDocument/2006/relationships/hyperlink" Target="https://www.canada.ca/en/environment-climate-change/services/national-pollutant-release-inventory/tools-resources-data/exploredata.html" TargetMode="External"/><Relationship Id="rId669" Type="http://schemas.openxmlformats.org/officeDocument/2006/relationships/hyperlink" Target="https://www.canada.ca/en/environment-climate-change/services/national-pollutant-release-inventory/tools-resources-data/exploredata.html" TargetMode="External"/><Relationship Id="rId876" Type="http://schemas.openxmlformats.org/officeDocument/2006/relationships/hyperlink" Target="https://www.canada.ca/en/environment-climate-change/services/national-pollutant-release-inventory/tools-resources-data/exploredata.html" TargetMode="External"/><Relationship Id="rId19" Type="http://schemas.openxmlformats.org/officeDocument/2006/relationships/hyperlink" Target="https://www.canada.ca/en/environment-climate-change/services/national-pollutant-release-inventory/tools-resources-data/exploredata.html" TargetMode="External"/><Relationship Id="rId224" Type="http://schemas.openxmlformats.org/officeDocument/2006/relationships/hyperlink" Target="https://www.canada.ca/en/environment-climate-change/services/national-pollutant-release-inventory/tools-resources-data/exploredata.html" TargetMode="External"/><Relationship Id="rId431" Type="http://schemas.openxmlformats.org/officeDocument/2006/relationships/hyperlink" Target="https://www.canada.ca/en/environment-climate-change/services/national-pollutant-release-inventory/tools-resources-data/exploredata.html" TargetMode="External"/><Relationship Id="rId529" Type="http://schemas.openxmlformats.org/officeDocument/2006/relationships/hyperlink" Target="https://www.canada.ca/en/environment-climate-change/services/national-pollutant-release-inventory/tools-resources-data/exploredata.html" TargetMode="External"/><Relationship Id="rId736" Type="http://schemas.openxmlformats.org/officeDocument/2006/relationships/hyperlink" Target="https://www.canada.ca/en/environment-climate-change/services/national-pollutant-release-inventory/tools-resources-data/exploredata.html" TargetMode="External"/><Relationship Id="rId168" Type="http://schemas.openxmlformats.org/officeDocument/2006/relationships/hyperlink" Target="https://www.canada.ca/en/environment-climate-change/services/national-pollutant-release-inventory/tools-resources-data/exploredata.html" TargetMode="External"/><Relationship Id="rId943" Type="http://schemas.openxmlformats.org/officeDocument/2006/relationships/hyperlink" Target="https://www.canada.ca/en/environment-climate-change/services/national-pollutant-release-inventory/tools-resources-data/exploredata.html" TargetMode="External"/><Relationship Id="rId1019" Type="http://schemas.openxmlformats.org/officeDocument/2006/relationships/hyperlink" Target="https://www.canada.ca/en/environment-climate-change/services/environmental-indicators/greenhouse-gas-emissions/large-facilities.html" TargetMode="External"/><Relationship Id="rId72" Type="http://schemas.openxmlformats.org/officeDocument/2006/relationships/hyperlink" Target="https://www.canada.ca/en/environment-climate-change/services/national-pollutant-release-inventory/tools-resources-data/exploredata.html" TargetMode="External"/><Relationship Id="rId375" Type="http://schemas.openxmlformats.org/officeDocument/2006/relationships/hyperlink" Target="https://www.canada.ca/en/environment-climate-change/services/national-pollutant-release-inventory/tools-resources-data/exploredata.html" TargetMode="External"/><Relationship Id="rId582" Type="http://schemas.openxmlformats.org/officeDocument/2006/relationships/hyperlink" Target="https://www.canada.ca/en/environment-climate-change/services/national-pollutant-release-inventory/tools-resources-data/exploredata.html" TargetMode="External"/><Relationship Id="rId803" Type="http://schemas.openxmlformats.org/officeDocument/2006/relationships/hyperlink" Target="https://www.canada.ca/en/environment-climate-change/services/national-pollutant-release-inventory/tools-resources-data/exploredata.html" TargetMode="External"/><Relationship Id="rId3" Type="http://schemas.openxmlformats.org/officeDocument/2006/relationships/hyperlink" Target="https://www.canada.ca/en/environment-climate-change/services/national-pollutant-release-inventory/tools-resources-data/exploredata.html" TargetMode="External"/><Relationship Id="rId235" Type="http://schemas.openxmlformats.org/officeDocument/2006/relationships/hyperlink" Target="https://www.canada.ca/en/environment-climate-change/services/national-pollutant-release-inventory/tools-resources-data/exploredata.html" TargetMode="External"/><Relationship Id="rId442" Type="http://schemas.openxmlformats.org/officeDocument/2006/relationships/hyperlink" Target="https://www.canada.ca/en/environment-climate-change/services/national-pollutant-release-inventory/tools-resources-data/exploredata.html" TargetMode="External"/><Relationship Id="rId887" Type="http://schemas.openxmlformats.org/officeDocument/2006/relationships/hyperlink" Target="https://www.canada.ca/en/environment-climate-change/services/national-pollutant-release-inventory/tools-resources-data/exploredata.html" TargetMode="External"/><Relationship Id="rId302" Type="http://schemas.openxmlformats.org/officeDocument/2006/relationships/hyperlink" Target="https://www.canada.ca/en/environment-climate-change/services/national-pollutant-release-inventory/tools-resources-data/exploredata.html" TargetMode="External"/><Relationship Id="rId747" Type="http://schemas.openxmlformats.org/officeDocument/2006/relationships/hyperlink" Target="https://www.canada.ca/en/environment-climate-change/services/national-pollutant-release-inventory/tools-resources-data/exploredata.html" TargetMode="External"/><Relationship Id="rId954" Type="http://schemas.openxmlformats.org/officeDocument/2006/relationships/hyperlink" Target="https://www.canada.ca/en/environment-climate-change/services/national-pollutant-release-inventory/tools-resources-data/exploredata.html" TargetMode="External"/><Relationship Id="rId83" Type="http://schemas.openxmlformats.org/officeDocument/2006/relationships/hyperlink" Target="https://www.canada.ca/en/environment-climate-change/services/national-pollutant-release-inventory/tools-resources-data/exploredata.html" TargetMode="External"/><Relationship Id="rId179" Type="http://schemas.openxmlformats.org/officeDocument/2006/relationships/hyperlink" Target="https://www.canada.ca/en/environment-climate-change/services/national-pollutant-release-inventory/tools-resources-data/exploredata.html" TargetMode="External"/><Relationship Id="rId386" Type="http://schemas.openxmlformats.org/officeDocument/2006/relationships/hyperlink" Target="https://www.canada.ca/en/environment-climate-change/services/national-pollutant-release-inventory/tools-resources-data/exploredata.html" TargetMode="External"/><Relationship Id="rId593" Type="http://schemas.openxmlformats.org/officeDocument/2006/relationships/hyperlink" Target="https://www.canada.ca/en/environment-climate-change/services/national-pollutant-release-inventory/tools-resources-data/exploredata.html" TargetMode="External"/><Relationship Id="rId607" Type="http://schemas.openxmlformats.org/officeDocument/2006/relationships/hyperlink" Target="https://www.canada.ca/en/environment-climate-change/services/national-pollutant-release-inventory/tools-resources-data/exploredata.html" TargetMode="External"/><Relationship Id="rId814" Type="http://schemas.openxmlformats.org/officeDocument/2006/relationships/hyperlink" Target="https://www.canada.ca/en/environment-climate-change/services/national-pollutant-release-inventory/tools-resources-data/exploredata.html" TargetMode="External"/><Relationship Id="rId246" Type="http://schemas.openxmlformats.org/officeDocument/2006/relationships/hyperlink" Target="https://www.canada.ca/en/environment-climate-change/services/national-pollutant-release-inventory/tools-resources-data/exploredata.html" TargetMode="External"/><Relationship Id="rId453" Type="http://schemas.openxmlformats.org/officeDocument/2006/relationships/hyperlink" Target="https://www.canada.ca/en/environment-climate-change/services/national-pollutant-release-inventory/tools-resources-data/exploredata.html" TargetMode="External"/><Relationship Id="rId660" Type="http://schemas.openxmlformats.org/officeDocument/2006/relationships/hyperlink" Target="https://www.canada.ca/en/environment-climate-change/services/national-pollutant-release-inventory/tools-resources-data/exploredata.html" TargetMode="External"/><Relationship Id="rId898" Type="http://schemas.openxmlformats.org/officeDocument/2006/relationships/hyperlink" Target="https://www.canada.ca/en/environment-climate-change/services/national-pollutant-release-inventory/tools-resources-data/exploredata.html" TargetMode="External"/><Relationship Id="rId106" Type="http://schemas.openxmlformats.org/officeDocument/2006/relationships/hyperlink" Target="https://www.canada.ca/en/environment-climate-change/services/national-pollutant-release-inventory/tools-resources-data/exploredata.html" TargetMode="External"/><Relationship Id="rId313" Type="http://schemas.openxmlformats.org/officeDocument/2006/relationships/hyperlink" Target="https://www.canada.ca/en/environment-climate-change/services/national-pollutant-release-inventory/tools-resources-data/exploredata.html" TargetMode="External"/><Relationship Id="rId758" Type="http://schemas.openxmlformats.org/officeDocument/2006/relationships/hyperlink" Target="https://www.canada.ca/en/environment-climate-change/services/national-pollutant-release-inventory/tools-resources-data/exploredata.html" TargetMode="External"/><Relationship Id="rId965" Type="http://schemas.openxmlformats.org/officeDocument/2006/relationships/hyperlink" Target="https://www.canada.ca/en/environment-climate-change/services/national-pollutant-release-inventory/tools-resources-data/exploredata.html" TargetMode="External"/><Relationship Id="rId10" Type="http://schemas.openxmlformats.org/officeDocument/2006/relationships/hyperlink" Target="https://www.canada.ca/en/environment-climate-change/services/national-pollutant-release-inventory/tools-resources-data/exploredata.html" TargetMode="External"/><Relationship Id="rId94" Type="http://schemas.openxmlformats.org/officeDocument/2006/relationships/hyperlink" Target="https://www.canada.ca/en/environment-climate-change/services/national-pollutant-release-inventory/tools-resources-data/exploredata.html" TargetMode="External"/><Relationship Id="rId397" Type="http://schemas.openxmlformats.org/officeDocument/2006/relationships/hyperlink" Target="https://www.canada.ca/en/environment-climate-change/services/national-pollutant-release-inventory/tools-resources-data/exploredata.html" TargetMode="External"/><Relationship Id="rId520" Type="http://schemas.openxmlformats.org/officeDocument/2006/relationships/hyperlink" Target="https://www.canada.ca/en/environment-climate-change/services/national-pollutant-release-inventory/tools-resources-data/exploredata.html" TargetMode="External"/><Relationship Id="rId618" Type="http://schemas.openxmlformats.org/officeDocument/2006/relationships/hyperlink" Target="https://www.canada.ca/en/environment-climate-change/services/national-pollutant-release-inventory/tools-resources-data/exploredata.html" TargetMode="External"/><Relationship Id="rId825" Type="http://schemas.openxmlformats.org/officeDocument/2006/relationships/hyperlink" Target="https://www.canada.ca/en/environment-climate-change/services/national-pollutant-release-inventory/tools-resources-data/exploredata.html" TargetMode="External"/><Relationship Id="rId257" Type="http://schemas.openxmlformats.org/officeDocument/2006/relationships/hyperlink" Target="https://www.canada.ca/en/environment-climate-change/services/national-pollutant-release-inventory/tools-resources-data/exploredata.html" TargetMode="External"/><Relationship Id="rId464" Type="http://schemas.openxmlformats.org/officeDocument/2006/relationships/hyperlink" Target="https://www.canada.ca/en/environment-climate-change/services/national-pollutant-release-inventory/tools-resources-data/exploredata.html" TargetMode="External"/><Relationship Id="rId1010" Type="http://schemas.openxmlformats.org/officeDocument/2006/relationships/hyperlink" Target="https://www.canada.ca/en/environment-climate-change/services/environmental-indicators/greenhouse-gas-emissions/large-facilities.html" TargetMode="External"/><Relationship Id="rId117" Type="http://schemas.openxmlformats.org/officeDocument/2006/relationships/hyperlink" Target="https://www.canada.ca/en/environment-climate-change/services/national-pollutant-release-inventory/tools-resources-data/exploredata.html" TargetMode="External"/><Relationship Id="rId671" Type="http://schemas.openxmlformats.org/officeDocument/2006/relationships/hyperlink" Target="https://www.canada.ca/en/environment-climate-change/services/national-pollutant-release-inventory/tools-resources-data/exploredata.html" TargetMode="External"/><Relationship Id="rId769" Type="http://schemas.openxmlformats.org/officeDocument/2006/relationships/hyperlink" Target="https://www.canada.ca/en/environment-climate-change/services/national-pollutant-release-inventory/tools-resources-data/exploredata.html" TargetMode="External"/><Relationship Id="rId976" Type="http://schemas.openxmlformats.org/officeDocument/2006/relationships/hyperlink" Target="https://www.canada.ca/en/environment-climate-change/services/national-pollutant-release-inventory/tools-resources-data/exploredata.html" TargetMode="External"/><Relationship Id="rId324" Type="http://schemas.openxmlformats.org/officeDocument/2006/relationships/hyperlink" Target="https://www.canada.ca/en/environment-climate-change/services/national-pollutant-release-inventory/tools-resources-data/exploredata.html" TargetMode="External"/><Relationship Id="rId531" Type="http://schemas.openxmlformats.org/officeDocument/2006/relationships/hyperlink" Target="https://www.canada.ca/en/environment-climate-change/services/national-pollutant-release-inventory/tools-resources-data/exploredata.html" TargetMode="External"/><Relationship Id="rId629" Type="http://schemas.openxmlformats.org/officeDocument/2006/relationships/hyperlink" Target="https://www.canada.ca/en/environment-climate-change/services/national-pollutant-release-inventory/tools-resources-data/explore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90"/>
  <sheetViews>
    <sheetView tabSelected="1" workbookViewId="0">
      <selection activeCell="W6" sqref="W6"/>
    </sheetView>
  </sheetViews>
  <sheetFormatPr baseColWidth="10" defaultColWidth="8.7265625" defaultRowHeight="14.5" x14ac:dyDescent="0.35"/>
  <cols>
    <col min="1" max="1" width="24.36328125" customWidth="1"/>
    <col min="2" max="2" width="9.08984375" bestFit="1" customWidth="1"/>
    <col min="3" max="3" width="22.7265625" bestFit="1" customWidth="1"/>
    <col min="4" max="4" width="16.453125" bestFit="1" customWidth="1"/>
    <col min="5" max="5" width="27.54296875" bestFit="1" customWidth="1"/>
    <col min="6" max="6" width="20" bestFit="1" customWidth="1"/>
    <col min="7" max="7" width="8.81640625" bestFit="1" customWidth="1"/>
    <col min="8" max="8" width="11.81640625" customWidth="1"/>
    <col min="9" max="9" width="77.26953125" bestFit="1" customWidth="1"/>
    <col min="10" max="10" width="18.08984375" bestFit="1" customWidth="1"/>
    <col min="11" max="11" width="19.6328125" bestFit="1" customWidth="1"/>
    <col min="12" max="12" width="10.6328125" bestFit="1" customWidth="1"/>
    <col min="13" max="13" width="21.08984375" bestFit="1" customWidth="1"/>
    <col min="14" max="14" width="13.7265625" bestFit="1" customWidth="1"/>
    <col min="15" max="15" width="17" bestFit="1" customWidth="1"/>
    <col min="16" max="16" width="47.26953125" bestFit="1" customWidth="1"/>
    <col min="17" max="17" width="13.453125" bestFit="1" customWidth="1"/>
    <col min="18" max="18" width="34.26953125" customWidth="1"/>
    <col min="19" max="19" width="17.7265625" bestFit="1" customWidth="1"/>
    <col min="20" max="20" width="18.36328125" bestFit="1" customWidth="1"/>
    <col min="21" max="21" width="18.6328125" bestFit="1" customWidth="1"/>
    <col min="22" max="22" width="20.1796875" bestFit="1" customWidth="1"/>
    <col min="23" max="23" width="16.7265625" bestFit="1" customWidth="1"/>
    <col min="24" max="24" width="14.8164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1464</v>
      </c>
      <c r="M1" s="1" t="s">
        <v>1466</v>
      </c>
      <c r="N1" s="1" t="s">
        <v>1465</v>
      </c>
      <c r="O1" s="1" t="s">
        <v>1467</v>
      </c>
      <c r="P1" s="1" t="s">
        <v>1468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x14ac:dyDescent="0.35">
      <c r="A2" t="s">
        <v>999</v>
      </c>
      <c r="B2">
        <v>2023</v>
      </c>
      <c r="C2" t="s">
        <v>1308</v>
      </c>
      <c r="D2" t="s">
        <v>1327</v>
      </c>
      <c r="E2" t="s">
        <v>1359</v>
      </c>
      <c r="F2" t="s">
        <v>1364</v>
      </c>
      <c r="G2" t="s">
        <v>1371</v>
      </c>
      <c r="H2">
        <v>127.312</v>
      </c>
      <c r="J2" t="s">
        <v>1409</v>
      </c>
      <c r="O2">
        <v>83.5</v>
      </c>
      <c r="P2" t="s">
        <v>1469</v>
      </c>
      <c r="R2" s="2" t="s">
        <v>1438</v>
      </c>
      <c r="S2">
        <v>35636</v>
      </c>
      <c r="U2">
        <v>35636</v>
      </c>
      <c r="V2">
        <v>3.5725670670108882E-3</v>
      </c>
      <c r="W2" t="s">
        <v>9</v>
      </c>
      <c r="X2" t="s">
        <v>1456</v>
      </c>
    </row>
    <row r="3" spans="1:24" x14ac:dyDescent="0.35">
      <c r="A3" t="s">
        <v>1000</v>
      </c>
      <c r="B3">
        <v>2023</v>
      </c>
      <c r="C3" t="s">
        <v>1308</v>
      </c>
      <c r="D3" t="s">
        <v>1311</v>
      </c>
      <c r="E3" t="s">
        <v>1359</v>
      </c>
      <c r="F3" t="s">
        <v>1364</v>
      </c>
      <c r="G3" t="s">
        <v>1371</v>
      </c>
      <c r="H3">
        <v>189.137</v>
      </c>
      <c r="J3" t="s">
        <v>1409</v>
      </c>
      <c r="O3">
        <v>83.5</v>
      </c>
      <c r="R3" s="2" t="s">
        <v>1438</v>
      </c>
      <c r="S3">
        <v>35636</v>
      </c>
      <c r="U3">
        <v>35636</v>
      </c>
      <c r="V3">
        <v>5.3074699741834097E-3</v>
      </c>
      <c r="W3" t="s">
        <v>9</v>
      </c>
      <c r="X3" t="s">
        <v>1456</v>
      </c>
    </row>
    <row r="4" spans="1:24" x14ac:dyDescent="0.35">
      <c r="A4" t="s">
        <v>1001</v>
      </c>
      <c r="B4">
        <v>2023</v>
      </c>
      <c r="C4" t="s">
        <v>1308</v>
      </c>
      <c r="D4" t="s">
        <v>1312</v>
      </c>
      <c r="E4" t="s">
        <v>1359</v>
      </c>
      <c r="F4" t="s">
        <v>1364</v>
      </c>
      <c r="G4" t="s">
        <v>1371</v>
      </c>
      <c r="H4">
        <v>1099.925</v>
      </c>
      <c r="J4" t="s">
        <v>1409</v>
      </c>
      <c r="O4">
        <v>83.5</v>
      </c>
      <c r="R4" s="2" t="s">
        <v>1438</v>
      </c>
      <c r="S4">
        <v>35636</v>
      </c>
      <c r="U4">
        <v>35636</v>
      </c>
      <c r="V4">
        <v>3.0865557301605121E-2</v>
      </c>
      <c r="W4" t="s">
        <v>9</v>
      </c>
      <c r="X4" t="s">
        <v>1456</v>
      </c>
    </row>
    <row r="5" spans="1:24" x14ac:dyDescent="0.35">
      <c r="A5" t="s">
        <v>1002</v>
      </c>
      <c r="B5">
        <v>2023</v>
      </c>
      <c r="C5" t="s">
        <v>1308</v>
      </c>
      <c r="D5" t="s">
        <v>1313</v>
      </c>
      <c r="E5" t="s">
        <v>1359</v>
      </c>
      <c r="F5" t="s">
        <v>1364</v>
      </c>
      <c r="G5" t="s">
        <v>1371</v>
      </c>
      <c r="H5">
        <v>43.701000000000001</v>
      </c>
      <c r="J5" t="s">
        <v>1409</v>
      </c>
      <c r="O5">
        <v>83.5</v>
      </c>
      <c r="R5" s="2" t="s">
        <v>1438</v>
      </c>
      <c r="S5">
        <v>35636</v>
      </c>
      <c r="U5">
        <v>35636</v>
      </c>
      <c r="V5">
        <v>1.2263160848580089E-3</v>
      </c>
      <c r="W5" t="s">
        <v>9</v>
      </c>
      <c r="X5" t="s">
        <v>1456</v>
      </c>
    </row>
    <row r="6" spans="1:24" x14ac:dyDescent="0.35">
      <c r="A6" t="s">
        <v>1003</v>
      </c>
      <c r="B6">
        <v>2023</v>
      </c>
      <c r="C6" t="s">
        <v>1308</v>
      </c>
      <c r="D6" t="s">
        <v>1314</v>
      </c>
      <c r="E6" t="s">
        <v>1359</v>
      </c>
      <c r="F6" t="s">
        <v>1364</v>
      </c>
      <c r="G6" t="s">
        <v>1371</v>
      </c>
      <c r="H6">
        <v>8.343</v>
      </c>
      <c r="J6" t="s">
        <v>1409</v>
      </c>
      <c r="O6">
        <v>83.5</v>
      </c>
      <c r="R6" s="2" t="s">
        <v>1438</v>
      </c>
      <c r="S6">
        <v>35636</v>
      </c>
      <c r="U6">
        <v>35636</v>
      </c>
      <c r="V6">
        <v>2.3411718486923339E-4</v>
      </c>
      <c r="W6" t="s">
        <v>9</v>
      </c>
      <c r="X6" t="s">
        <v>1456</v>
      </c>
    </row>
    <row r="7" spans="1:24" x14ac:dyDescent="0.35">
      <c r="A7" t="s">
        <v>1004</v>
      </c>
      <c r="B7">
        <v>2023</v>
      </c>
      <c r="C7" t="s">
        <v>1308</v>
      </c>
      <c r="D7" t="s">
        <v>1337</v>
      </c>
      <c r="E7" t="s">
        <v>1359</v>
      </c>
      <c r="F7" t="s">
        <v>1364</v>
      </c>
      <c r="G7" t="s">
        <v>1371</v>
      </c>
      <c r="H7">
        <v>85.915999999999997</v>
      </c>
      <c r="J7" t="s">
        <v>1409</v>
      </c>
      <c r="O7">
        <v>83.5</v>
      </c>
      <c r="R7" s="2" t="s">
        <v>1438</v>
      </c>
      <c r="S7">
        <v>35636</v>
      </c>
      <c r="U7">
        <v>35636</v>
      </c>
      <c r="V7">
        <v>2.4109327646200471E-3</v>
      </c>
      <c r="W7" t="s">
        <v>9</v>
      </c>
      <c r="X7" t="s">
        <v>1456</v>
      </c>
    </row>
    <row r="8" spans="1:24" x14ac:dyDescent="0.35">
      <c r="A8" t="s">
        <v>1005</v>
      </c>
      <c r="B8">
        <v>2023</v>
      </c>
      <c r="C8" t="s">
        <v>1308</v>
      </c>
      <c r="D8" t="s">
        <v>1346</v>
      </c>
      <c r="E8" t="s">
        <v>1359</v>
      </c>
      <c r="F8" t="s">
        <v>1364</v>
      </c>
      <c r="G8" t="s">
        <v>1371</v>
      </c>
      <c r="H8">
        <v>3.8460000000000001</v>
      </c>
      <c r="J8" t="s">
        <v>1409</v>
      </c>
      <c r="O8">
        <v>83.5</v>
      </c>
      <c r="R8" s="2" t="s">
        <v>1438</v>
      </c>
      <c r="S8">
        <v>35636</v>
      </c>
      <c r="U8">
        <v>35636</v>
      </c>
      <c r="V8">
        <v>1.079245706588843E-4</v>
      </c>
      <c r="W8" t="s">
        <v>9</v>
      </c>
      <c r="X8" t="s">
        <v>1456</v>
      </c>
    </row>
    <row r="9" spans="1:24" x14ac:dyDescent="0.35">
      <c r="A9" t="s">
        <v>1006</v>
      </c>
      <c r="B9">
        <v>2023</v>
      </c>
      <c r="C9" t="s">
        <v>1308</v>
      </c>
      <c r="D9" t="s">
        <v>1315</v>
      </c>
      <c r="E9" t="s">
        <v>1359</v>
      </c>
      <c r="F9" t="s">
        <v>1364</v>
      </c>
      <c r="G9" t="s">
        <v>1371</v>
      </c>
      <c r="H9">
        <v>44.265000000000001</v>
      </c>
      <c r="J9" t="s">
        <v>1409</v>
      </c>
      <c r="O9">
        <v>83.5</v>
      </c>
      <c r="R9" s="2" t="s">
        <v>1438</v>
      </c>
      <c r="S9">
        <v>35636</v>
      </c>
      <c r="U9">
        <v>35636</v>
      </c>
      <c r="V9">
        <v>1.2421427769671121E-3</v>
      </c>
      <c r="W9" t="s">
        <v>9</v>
      </c>
      <c r="X9" t="s">
        <v>1456</v>
      </c>
    </row>
    <row r="10" spans="1:24" x14ac:dyDescent="0.35">
      <c r="A10" t="s">
        <v>1007</v>
      </c>
      <c r="B10">
        <v>2023</v>
      </c>
      <c r="C10" t="s">
        <v>1308</v>
      </c>
      <c r="D10" t="s">
        <v>1327</v>
      </c>
      <c r="E10" t="s">
        <v>1359</v>
      </c>
      <c r="F10" t="s">
        <v>1364</v>
      </c>
      <c r="G10" t="s">
        <v>1371</v>
      </c>
      <c r="H10">
        <v>149.518</v>
      </c>
      <c r="J10" t="s">
        <v>1409</v>
      </c>
      <c r="O10">
        <v>83.5</v>
      </c>
      <c r="R10" s="2" t="s">
        <v>1438</v>
      </c>
      <c r="S10">
        <v>35636</v>
      </c>
      <c r="U10">
        <v>35636</v>
      </c>
      <c r="V10">
        <v>4.1957009765405768E-3</v>
      </c>
      <c r="W10" t="s">
        <v>9</v>
      </c>
      <c r="X10" t="s">
        <v>1456</v>
      </c>
    </row>
    <row r="11" spans="1:24" x14ac:dyDescent="0.35">
      <c r="A11" t="s">
        <v>1008</v>
      </c>
      <c r="B11">
        <v>2023</v>
      </c>
      <c r="C11" t="s">
        <v>1308</v>
      </c>
      <c r="D11" t="s">
        <v>1313</v>
      </c>
      <c r="E11" t="s">
        <v>1359</v>
      </c>
      <c r="F11" t="s">
        <v>1364</v>
      </c>
      <c r="G11" t="s">
        <v>1371</v>
      </c>
      <c r="H11">
        <v>4.1079999999999997</v>
      </c>
      <c r="J11" t="s">
        <v>1409</v>
      </c>
      <c r="O11">
        <v>83.5</v>
      </c>
      <c r="R11" s="2" t="s">
        <v>1438</v>
      </c>
      <c r="S11">
        <v>35636</v>
      </c>
      <c r="U11">
        <v>35636</v>
      </c>
      <c r="V11">
        <v>1.15276686496801E-4</v>
      </c>
      <c r="W11" t="s">
        <v>9</v>
      </c>
      <c r="X11" t="s">
        <v>1456</v>
      </c>
    </row>
    <row r="12" spans="1:24" x14ac:dyDescent="0.35">
      <c r="A12" t="s">
        <v>1009</v>
      </c>
      <c r="B12">
        <v>2023</v>
      </c>
      <c r="C12" t="s">
        <v>1308</v>
      </c>
      <c r="D12" t="s">
        <v>1314</v>
      </c>
      <c r="E12" t="s">
        <v>1359</v>
      </c>
      <c r="F12" t="s">
        <v>1364</v>
      </c>
      <c r="G12" t="s">
        <v>1371</v>
      </c>
      <c r="H12">
        <v>0.45</v>
      </c>
      <c r="J12" t="s">
        <v>1409</v>
      </c>
      <c r="O12">
        <v>83.5</v>
      </c>
      <c r="R12" s="2" t="s">
        <v>1438</v>
      </c>
      <c r="S12">
        <v>35636</v>
      </c>
      <c r="U12">
        <v>35636</v>
      </c>
      <c r="V12">
        <v>1.262767987428443E-5</v>
      </c>
      <c r="W12" t="s">
        <v>9</v>
      </c>
      <c r="X12" t="s">
        <v>1456</v>
      </c>
    </row>
    <row r="13" spans="1:24" x14ac:dyDescent="0.35">
      <c r="A13" t="s">
        <v>1010</v>
      </c>
      <c r="B13">
        <v>2023</v>
      </c>
      <c r="C13" t="s">
        <v>1308</v>
      </c>
      <c r="D13" t="s">
        <v>1315</v>
      </c>
      <c r="E13" t="s">
        <v>1359</v>
      </c>
      <c r="F13" t="s">
        <v>1364</v>
      </c>
      <c r="G13" t="s">
        <v>1371</v>
      </c>
      <c r="H13">
        <v>4.1669999999999998</v>
      </c>
      <c r="J13" t="s">
        <v>1409</v>
      </c>
      <c r="O13">
        <v>83.5</v>
      </c>
      <c r="R13" s="2" t="s">
        <v>1438</v>
      </c>
      <c r="S13">
        <v>35636</v>
      </c>
      <c r="U13">
        <v>35636</v>
      </c>
      <c r="V13">
        <v>1.169323156358738E-4</v>
      </c>
      <c r="W13" t="s">
        <v>9</v>
      </c>
      <c r="X13" t="s">
        <v>1456</v>
      </c>
    </row>
    <row r="14" spans="1:24" x14ac:dyDescent="0.35">
      <c r="A14" t="s">
        <v>1011</v>
      </c>
      <c r="B14">
        <v>2023</v>
      </c>
      <c r="C14" t="s">
        <v>1308</v>
      </c>
      <c r="D14" t="s">
        <v>1327</v>
      </c>
      <c r="E14" t="s">
        <v>1359</v>
      </c>
      <c r="F14" t="s">
        <v>1366</v>
      </c>
      <c r="G14" t="s">
        <v>1371</v>
      </c>
      <c r="H14">
        <v>9.6029999999999998</v>
      </c>
      <c r="J14" t="s">
        <v>1409</v>
      </c>
      <c r="O14">
        <v>83.5</v>
      </c>
      <c r="R14" s="2" t="s">
        <v>1438</v>
      </c>
      <c r="S14">
        <v>35636</v>
      </c>
      <c r="U14">
        <v>35636</v>
      </c>
      <c r="V14">
        <v>2.6947468851722968E-4</v>
      </c>
      <c r="W14" t="s">
        <v>9</v>
      </c>
      <c r="X14" t="s">
        <v>1456</v>
      </c>
    </row>
    <row r="15" spans="1:24" x14ac:dyDescent="0.35">
      <c r="A15" t="s">
        <v>1012</v>
      </c>
      <c r="B15">
        <v>2023</v>
      </c>
      <c r="C15" t="s">
        <v>1308</v>
      </c>
      <c r="D15" t="s">
        <v>1311</v>
      </c>
      <c r="E15" t="s">
        <v>1359</v>
      </c>
      <c r="F15" t="s">
        <v>1366</v>
      </c>
      <c r="G15" t="s">
        <v>1371</v>
      </c>
      <c r="H15">
        <v>0.32200000000000001</v>
      </c>
      <c r="J15" t="s">
        <v>1409</v>
      </c>
      <c r="O15">
        <v>83.5</v>
      </c>
      <c r="R15" s="2" t="s">
        <v>1438</v>
      </c>
      <c r="S15">
        <v>35636</v>
      </c>
      <c r="U15">
        <v>35636</v>
      </c>
      <c r="V15">
        <v>9.0358064878213046E-6</v>
      </c>
      <c r="W15" t="s">
        <v>9</v>
      </c>
      <c r="X15" t="s">
        <v>1456</v>
      </c>
    </row>
    <row r="16" spans="1:24" x14ac:dyDescent="0.35">
      <c r="A16" t="s">
        <v>1013</v>
      </c>
      <c r="B16">
        <v>2023</v>
      </c>
      <c r="C16" t="s">
        <v>1308</v>
      </c>
      <c r="D16" t="s">
        <v>1312</v>
      </c>
      <c r="E16" t="s">
        <v>1359</v>
      </c>
      <c r="F16" t="s">
        <v>1366</v>
      </c>
      <c r="G16" t="s">
        <v>1371</v>
      </c>
      <c r="H16">
        <v>1.611</v>
      </c>
      <c r="J16" t="s">
        <v>1409</v>
      </c>
      <c r="O16">
        <v>83.5</v>
      </c>
      <c r="R16" s="2" t="s">
        <v>1438</v>
      </c>
      <c r="S16">
        <v>35636</v>
      </c>
      <c r="U16">
        <v>35636</v>
      </c>
      <c r="V16">
        <v>4.5207093949938272E-5</v>
      </c>
      <c r="W16" t="s">
        <v>9</v>
      </c>
      <c r="X16" t="s">
        <v>1456</v>
      </c>
    </row>
    <row r="17" spans="1:24" x14ac:dyDescent="0.35">
      <c r="A17" t="s">
        <v>1014</v>
      </c>
      <c r="B17">
        <v>2023</v>
      </c>
      <c r="C17" t="s">
        <v>1308</v>
      </c>
      <c r="D17" t="s">
        <v>1313</v>
      </c>
      <c r="E17" t="s">
        <v>1359</v>
      </c>
      <c r="F17" t="s">
        <v>1366</v>
      </c>
      <c r="G17" t="s">
        <v>1371</v>
      </c>
      <c r="H17">
        <v>0.28599999999999998</v>
      </c>
      <c r="J17" t="s">
        <v>1409</v>
      </c>
      <c r="O17">
        <v>83.5</v>
      </c>
      <c r="R17" s="2" t="s">
        <v>1438</v>
      </c>
      <c r="S17">
        <v>35636</v>
      </c>
      <c r="U17">
        <v>35636</v>
      </c>
      <c r="V17">
        <v>8.0255920978785497E-6</v>
      </c>
      <c r="W17" t="s">
        <v>9</v>
      </c>
      <c r="X17" t="s">
        <v>1456</v>
      </c>
    </row>
    <row r="18" spans="1:24" x14ac:dyDescent="0.35">
      <c r="A18" t="s">
        <v>1015</v>
      </c>
      <c r="B18">
        <v>2023</v>
      </c>
      <c r="C18" t="s">
        <v>1308</v>
      </c>
      <c r="D18" t="s">
        <v>1314</v>
      </c>
      <c r="E18" t="s">
        <v>1359</v>
      </c>
      <c r="F18" t="s">
        <v>1366</v>
      </c>
      <c r="G18" t="s">
        <v>1371</v>
      </c>
      <c r="H18">
        <v>0.251</v>
      </c>
      <c r="J18" t="s">
        <v>1409</v>
      </c>
      <c r="O18">
        <v>83.5</v>
      </c>
      <c r="R18" s="2" t="s">
        <v>1438</v>
      </c>
      <c r="S18">
        <v>35636</v>
      </c>
      <c r="U18">
        <v>35636</v>
      </c>
      <c r="V18">
        <v>7.0434392187675388E-6</v>
      </c>
      <c r="W18" t="s">
        <v>9</v>
      </c>
      <c r="X18" t="s">
        <v>1456</v>
      </c>
    </row>
    <row r="19" spans="1:24" x14ac:dyDescent="0.35">
      <c r="A19" t="s">
        <v>1016</v>
      </c>
      <c r="B19">
        <v>2023</v>
      </c>
      <c r="C19" t="s">
        <v>1308</v>
      </c>
      <c r="D19" t="s">
        <v>1337</v>
      </c>
      <c r="E19" t="s">
        <v>1359</v>
      </c>
      <c r="F19" t="s">
        <v>1366</v>
      </c>
      <c r="G19" t="s">
        <v>1371</v>
      </c>
      <c r="H19">
        <v>0.371</v>
      </c>
      <c r="J19" t="s">
        <v>1409</v>
      </c>
      <c r="O19">
        <v>83.5</v>
      </c>
      <c r="R19" s="2" t="s">
        <v>1438</v>
      </c>
      <c r="S19">
        <v>35636</v>
      </c>
      <c r="U19">
        <v>35636</v>
      </c>
      <c r="V19">
        <v>1.041082051857672E-5</v>
      </c>
      <c r="W19" t="s">
        <v>9</v>
      </c>
      <c r="X19" t="s">
        <v>1456</v>
      </c>
    </row>
    <row r="20" spans="1:24" x14ac:dyDescent="0.35">
      <c r="A20" t="s">
        <v>1017</v>
      </c>
      <c r="B20">
        <v>2023</v>
      </c>
      <c r="C20" t="s">
        <v>1308</v>
      </c>
      <c r="D20" t="s">
        <v>1315</v>
      </c>
      <c r="E20" t="s">
        <v>1359</v>
      </c>
      <c r="F20" t="s">
        <v>1366</v>
      </c>
      <c r="G20" t="s">
        <v>1371</v>
      </c>
      <c r="H20">
        <v>0.48899999999999999</v>
      </c>
      <c r="J20" t="s">
        <v>1409</v>
      </c>
      <c r="O20">
        <v>83.5</v>
      </c>
      <c r="R20" s="2" t="s">
        <v>1438</v>
      </c>
      <c r="S20">
        <v>35636</v>
      </c>
      <c r="U20">
        <v>35636</v>
      </c>
      <c r="V20">
        <v>1.3722078796722419E-5</v>
      </c>
      <c r="W20" t="s">
        <v>9</v>
      </c>
      <c r="X20" t="s">
        <v>1456</v>
      </c>
    </row>
    <row r="21" spans="1:24" x14ac:dyDescent="0.35">
      <c r="A21" t="s">
        <v>1018</v>
      </c>
      <c r="B21">
        <v>2023</v>
      </c>
      <c r="C21" t="s">
        <v>1308</v>
      </c>
      <c r="D21" t="s">
        <v>1327</v>
      </c>
      <c r="E21" t="s">
        <v>1359</v>
      </c>
      <c r="F21" t="s">
        <v>1366</v>
      </c>
      <c r="G21" t="s">
        <v>1371</v>
      </c>
      <c r="H21">
        <v>9.1869999999999994</v>
      </c>
      <c r="J21" t="s">
        <v>1409</v>
      </c>
      <c r="O21">
        <v>83.5</v>
      </c>
      <c r="R21" s="2" t="s">
        <v>1438</v>
      </c>
      <c r="S21">
        <v>35636</v>
      </c>
      <c r="U21">
        <v>35636</v>
      </c>
      <c r="V21">
        <v>2.5780110001122461E-4</v>
      </c>
      <c r="W21" t="s">
        <v>9</v>
      </c>
      <c r="X21" t="s">
        <v>1456</v>
      </c>
    </row>
    <row r="22" spans="1:24" x14ac:dyDescent="0.35">
      <c r="A22" t="s">
        <v>1019</v>
      </c>
      <c r="B22">
        <v>2023</v>
      </c>
      <c r="C22" t="s">
        <v>1308</v>
      </c>
      <c r="D22" t="s">
        <v>1320</v>
      </c>
      <c r="E22" t="s">
        <v>1359</v>
      </c>
      <c r="F22" t="s">
        <v>1366</v>
      </c>
      <c r="G22" t="s">
        <v>1372</v>
      </c>
      <c r="H22">
        <v>119.042</v>
      </c>
      <c r="J22" t="s">
        <v>1409</v>
      </c>
      <c r="O22">
        <v>83.5</v>
      </c>
      <c r="R22" s="2" t="s">
        <v>1438</v>
      </c>
      <c r="S22">
        <v>35636</v>
      </c>
      <c r="U22">
        <v>35636</v>
      </c>
      <c r="V22">
        <v>3.3404983724323722E-3</v>
      </c>
      <c r="W22" t="s">
        <v>9</v>
      </c>
      <c r="X22" t="s">
        <v>1457</v>
      </c>
    </row>
    <row r="23" spans="1:24" x14ac:dyDescent="0.35">
      <c r="A23" t="s">
        <v>1020</v>
      </c>
      <c r="B23">
        <v>2023</v>
      </c>
      <c r="C23" t="s">
        <v>1308</v>
      </c>
      <c r="D23" t="s">
        <v>1324</v>
      </c>
      <c r="E23" t="s">
        <v>1359</v>
      </c>
      <c r="F23" t="s">
        <v>1366</v>
      </c>
      <c r="G23" t="s">
        <v>1371</v>
      </c>
      <c r="H23">
        <v>1.216</v>
      </c>
      <c r="J23" t="s">
        <v>1409</v>
      </c>
      <c r="O23">
        <v>83.5</v>
      </c>
      <c r="R23" s="2" t="s">
        <v>1438</v>
      </c>
      <c r="S23">
        <v>35636</v>
      </c>
      <c r="U23">
        <v>35636</v>
      </c>
      <c r="V23">
        <v>3.4122797171399709E-5</v>
      </c>
      <c r="W23" t="s">
        <v>9</v>
      </c>
      <c r="X23" t="s">
        <v>1456</v>
      </c>
    </row>
    <row r="24" spans="1:24" x14ac:dyDescent="0.35">
      <c r="A24" t="s">
        <v>1021</v>
      </c>
      <c r="B24">
        <v>2023</v>
      </c>
      <c r="C24" t="s">
        <v>1308</v>
      </c>
      <c r="D24" t="s">
        <v>1313</v>
      </c>
      <c r="E24" t="s">
        <v>1359</v>
      </c>
      <c r="F24" t="s">
        <v>1366</v>
      </c>
      <c r="G24" t="s">
        <v>1371</v>
      </c>
      <c r="H24">
        <v>3.8610000000000002</v>
      </c>
      <c r="J24" t="s">
        <v>1409</v>
      </c>
      <c r="O24">
        <v>83.5</v>
      </c>
      <c r="R24" s="2" t="s">
        <v>1438</v>
      </c>
      <c r="S24">
        <v>35636</v>
      </c>
      <c r="U24">
        <v>35636</v>
      </c>
      <c r="V24">
        <v>1.083454933213604E-4</v>
      </c>
      <c r="W24" t="s">
        <v>9</v>
      </c>
      <c r="X24" t="s">
        <v>1456</v>
      </c>
    </row>
    <row r="25" spans="1:24" x14ac:dyDescent="0.35">
      <c r="A25" t="s">
        <v>1022</v>
      </c>
      <c r="B25">
        <v>2023</v>
      </c>
      <c r="C25" t="s">
        <v>1308</v>
      </c>
      <c r="D25" t="s">
        <v>1314</v>
      </c>
      <c r="E25" t="s">
        <v>1359</v>
      </c>
      <c r="F25" t="s">
        <v>1366</v>
      </c>
      <c r="G25" t="s">
        <v>1371</v>
      </c>
      <c r="H25">
        <v>0.96699999999999997</v>
      </c>
      <c r="J25" t="s">
        <v>1409</v>
      </c>
      <c r="O25">
        <v>83.5</v>
      </c>
      <c r="R25" s="2" t="s">
        <v>1438</v>
      </c>
      <c r="S25">
        <v>35636</v>
      </c>
      <c r="U25">
        <v>35636</v>
      </c>
      <c r="V25">
        <v>2.713548097429566E-5</v>
      </c>
      <c r="W25" t="s">
        <v>9</v>
      </c>
      <c r="X25" t="s">
        <v>1456</v>
      </c>
    </row>
    <row r="26" spans="1:24" x14ac:dyDescent="0.35">
      <c r="A26" t="s">
        <v>1023</v>
      </c>
      <c r="B26">
        <v>2023</v>
      </c>
      <c r="C26" t="s">
        <v>1308</v>
      </c>
      <c r="D26" t="s">
        <v>1315</v>
      </c>
      <c r="E26" t="s">
        <v>1359</v>
      </c>
      <c r="F26" t="s">
        <v>1366</v>
      </c>
      <c r="G26" t="s">
        <v>1371</v>
      </c>
      <c r="H26">
        <v>4.58</v>
      </c>
      <c r="J26" t="s">
        <v>1409</v>
      </c>
      <c r="O26">
        <v>83.5</v>
      </c>
      <c r="R26" s="2" t="s">
        <v>1438</v>
      </c>
      <c r="S26">
        <v>35636</v>
      </c>
      <c r="U26">
        <v>35636</v>
      </c>
      <c r="V26">
        <v>1.2852171960938381E-4</v>
      </c>
      <c r="W26" t="s">
        <v>9</v>
      </c>
      <c r="X26" t="s">
        <v>1456</v>
      </c>
    </row>
    <row r="27" spans="1:24" x14ac:dyDescent="0.35">
      <c r="A27" t="s">
        <v>1024</v>
      </c>
      <c r="B27">
        <v>2023</v>
      </c>
      <c r="C27" t="s">
        <v>1308</v>
      </c>
      <c r="D27" t="s">
        <v>1335</v>
      </c>
      <c r="E27" t="s">
        <v>1359</v>
      </c>
      <c r="F27" t="s">
        <v>1366</v>
      </c>
      <c r="G27" t="s">
        <v>1371</v>
      </c>
      <c r="H27">
        <v>3.0000000000000001E-3</v>
      </c>
      <c r="J27" t="s">
        <v>1409</v>
      </c>
      <c r="O27">
        <v>83.5</v>
      </c>
      <c r="R27" s="2" t="s">
        <v>1438</v>
      </c>
      <c r="S27">
        <v>35636</v>
      </c>
      <c r="U27">
        <v>35636</v>
      </c>
      <c r="V27">
        <v>8.4184532495229544E-8</v>
      </c>
      <c r="W27" t="s">
        <v>9</v>
      </c>
      <c r="X27" t="s">
        <v>1456</v>
      </c>
    </row>
    <row r="28" spans="1:24" x14ac:dyDescent="0.35">
      <c r="A28" t="s">
        <v>1025</v>
      </c>
      <c r="B28">
        <v>2023</v>
      </c>
      <c r="C28" t="s">
        <v>1308</v>
      </c>
      <c r="D28" t="s">
        <v>1326</v>
      </c>
      <c r="E28" t="s">
        <v>1359</v>
      </c>
      <c r="F28" t="s">
        <v>1366</v>
      </c>
      <c r="G28" t="s">
        <v>1371</v>
      </c>
      <c r="H28">
        <v>0.02</v>
      </c>
      <c r="J28" t="s">
        <v>1409</v>
      </c>
      <c r="O28">
        <v>83.5</v>
      </c>
      <c r="R28" s="2" t="s">
        <v>1438</v>
      </c>
      <c r="S28">
        <v>35636</v>
      </c>
      <c r="U28">
        <v>35636</v>
      </c>
      <c r="V28">
        <v>5.6123021663486363E-7</v>
      </c>
      <c r="W28" t="s">
        <v>9</v>
      </c>
      <c r="X28" t="s">
        <v>1456</v>
      </c>
    </row>
    <row r="29" spans="1:24" x14ac:dyDescent="0.35">
      <c r="A29" t="s">
        <v>1026</v>
      </c>
      <c r="B29">
        <v>2023</v>
      </c>
      <c r="C29" t="s">
        <v>1308</v>
      </c>
      <c r="D29" t="s">
        <v>1327</v>
      </c>
      <c r="E29" t="s">
        <v>1359</v>
      </c>
      <c r="F29" t="s">
        <v>1369</v>
      </c>
      <c r="G29" t="s">
        <v>1371</v>
      </c>
      <c r="H29">
        <v>4.8000000000000001E-2</v>
      </c>
      <c r="J29" t="s">
        <v>1409</v>
      </c>
      <c r="O29">
        <v>83.5</v>
      </c>
      <c r="R29" s="2" t="s">
        <v>1438</v>
      </c>
      <c r="S29">
        <v>35636</v>
      </c>
      <c r="U29">
        <v>35636</v>
      </c>
      <c r="V29">
        <v>1.3469525199236729E-6</v>
      </c>
      <c r="W29" t="s">
        <v>9</v>
      </c>
      <c r="X29" t="s">
        <v>1456</v>
      </c>
    </row>
    <row r="30" spans="1:24" x14ac:dyDescent="0.35">
      <c r="A30" t="s">
        <v>1027</v>
      </c>
      <c r="B30">
        <v>2023</v>
      </c>
      <c r="C30" t="s">
        <v>1308</v>
      </c>
      <c r="D30" t="s">
        <v>1327</v>
      </c>
      <c r="E30" t="s">
        <v>1359</v>
      </c>
      <c r="F30" t="s">
        <v>1367</v>
      </c>
      <c r="G30" t="s">
        <v>1371</v>
      </c>
      <c r="H30">
        <v>215.45400000000001</v>
      </c>
      <c r="J30" t="s">
        <v>1409</v>
      </c>
      <c r="O30">
        <v>83.5</v>
      </c>
      <c r="R30" s="2" t="s">
        <v>1438</v>
      </c>
      <c r="S30">
        <v>35636</v>
      </c>
      <c r="U30">
        <v>35636</v>
      </c>
      <c r="V30">
        <v>6.0459647547423953E-3</v>
      </c>
      <c r="W30" t="s">
        <v>9</v>
      </c>
      <c r="X30" t="s">
        <v>1456</v>
      </c>
    </row>
    <row r="31" spans="1:24" x14ac:dyDescent="0.35">
      <c r="A31" t="s">
        <v>1049</v>
      </c>
      <c r="B31">
        <v>2023</v>
      </c>
      <c r="C31" t="s">
        <v>1308</v>
      </c>
      <c r="D31" t="s">
        <v>1347</v>
      </c>
      <c r="E31" t="s">
        <v>1359</v>
      </c>
      <c r="F31" t="s">
        <v>1370</v>
      </c>
      <c r="G31" t="s">
        <v>1375</v>
      </c>
      <c r="H31">
        <v>305170</v>
      </c>
      <c r="J31" t="s">
        <v>1409</v>
      </c>
      <c r="O31">
        <v>83.5</v>
      </c>
      <c r="R31" s="2" t="s">
        <v>1439</v>
      </c>
      <c r="S31">
        <v>35636</v>
      </c>
      <c r="U31">
        <v>35636</v>
      </c>
      <c r="V31">
        <v>8.5635312605230673</v>
      </c>
      <c r="W31" t="s">
        <v>9</v>
      </c>
      <c r="X31" t="s">
        <v>1460</v>
      </c>
    </row>
    <row r="32" spans="1:24" hidden="1" x14ac:dyDescent="0.35">
      <c r="A32" t="s">
        <v>155</v>
      </c>
      <c r="B32">
        <v>2023</v>
      </c>
      <c r="C32" t="s">
        <v>1308</v>
      </c>
      <c r="D32" t="s">
        <v>1319</v>
      </c>
      <c r="E32" t="s">
        <v>1359</v>
      </c>
      <c r="F32" t="s">
        <v>1364</v>
      </c>
      <c r="G32" t="s">
        <v>1371</v>
      </c>
      <c r="H32">
        <v>1.1859999999999999</v>
      </c>
      <c r="J32" t="s">
        <v>1391</v>
      </c>
      <c r="L32">
        <f>0.311/1000</f>
        <v>3.1100000000000002E-4</v>
      </c>
      <c r="O32">
        <v>70.400000000000006</v>
      </c>
      <c r="P32" t="s">
        <v>1470</v>
      </c>
      <c r="R32" s="2" t="s">
        <v>1438</v>
      </c>
      <c r="S32">
        <v>5948239</v>
      </c>
      <c r="U32">
        <v>5948239</v>
      </c>
      <c r="V32">
        <v>1.9938674286625001E-7</v>
      </c>
      <c r="W32" t="s">
        <v>9</v>
      </c>
      <c r="X32" t="s">
        <v>1456</v>
      </c>
    </row>
    <row r="33" spans="1:24" hidden="1" x14ac:dyDescent="0.35">
      <c r="A33" t="s">
        <v>156</v>
      </c>
      <c r="B33">
        <v>2023</v>
      </c>
      <c r="C33" t="s">
        <v>1308</v>
      </c>
      <c r="D33" t="s">
        <v>1322</v>
      </c>
      <c r="E33" t="s">
        <v>1359</v>
      </c>
      <c r="F33" t="s">
        <v>1364</v>
      </c>
      <c r="G33" t="s">
        <v>1372</v>
      </c>
      <c r="H33">
        <v>0.16009999999999999</v>
      </c>
      <c r="J33" t="s">
        <v>1391</v>
      </c>
      <c r="L33">
        <f t="shared" ref="L33:L64" si="0">0.311/1000</f>
        <v>3.1100000000000002E-4</v>
      </c>
      <c r="O33">
        <v>70.400000000000006</v>
      </c>
      <c r="P33" t="s">
        <v>1470</v>
      </c>
      <c r="R33" s="2" t="s">
        <v>1438</v>
      </c>
      <c r="S33">
        <v>5948239</v>
      </c>
      <c r="U33">
        <v>5948239</v>
      </c>
      <c r="V33">
        <v>2.6915529117105081E-8</v>
      </c>
      <c r="W33" t="s">
        <v>9</v>
      </c>
      <c r="X33" t="s">
        <v>1457</v>
      </c>
    </row>
    <row r="34" spans="1:24" hidden="1" x14ac:dyDescent="0.35">
      <c r="A34" t="s">
        <v>157</v>
      </c>
      <c r="B34">
        <v>2023</v>
      </c>
      <c r="C34" t="s">
        <v>1308</v>
      </c>
      <c r="D34" t="s">
        <v>1323</v>
      </c>
      <c r="E34" t="s">
        <v>1359</v>
      </c>
      <c r="F34" t="s">
        <v>1364</v>
      </c>
      <c r="G34" t="s">
        <v>1371</v>
      </c>
      <c r="H34">
        <v>2.718</v>
      </c>
      <c r="J34" t="s">
        <v>1391</v>
      </c>
      <c r="L34">
        <f t="shared" si="0"/>
        <v>3.1100000000000002E-4</v>
      </c>
      <c r="O34">
        <v>70.400000000000006</v>
      </c>
      <c r="P34" t="s">
        <v>1470</v>
      </c>
      <c r="R34" s="2" t="s">
        <v>1438</v>
      </c>
      <c r="S34">
        <v>5948239</v>
      </c>
      <c r="U34">
        <v>5948239</v>
      </c>
      <c r="V34">
        <v>4.5694196215047851E-7</v>
      </c>
      <c r="W34" t="s">
        <v>9</v>
      </c>
      <c r="X34" t="s">
        <v>1456</v>
      </c>
    </row>
    <row r="35" spans="1:24" hidden="1" x14ac:dyDescent="0.35">
      <c r="A35" t="s">
        <v>158</v>
      </c>
      <c r="B35">
        <v>2023</v>
      </c>
      <c r="C35" t="s">
        <v>1308</v>
      </c>
      <c r="D35" t="s">
        <v>1324</v>
      </c>
      <c r="E35" t="s">
        <v>1359</v>
      </c>
      <c r="F35" t="s">
        <v>1364</v>
      </c>
      <c r="G35" t="s">
        <v>1371</v>
      </c>
      <c r="H35">
        <v>1.9000000000000001E-5</v>
      </c>
      <c r="J35" t="s">
        <v>1391</v>
      </c>
      <c r="L35">
        <f t="shared" si="0"/>
        <v>3.1100000000000002E-4</v>
      </c>
      <c r="O35">
        <v>70.400000000000006</v>
      </c>
      <c r="P35" t="s">
        <v>1470</v>
      </c>
      <c r="R35" s="2" t="s">
        <v>1438</v>
      </c>
      <c r="S35">
        <v>5948239</v>
      </c>
      <c r="U35">
        <v>5948239</v>
      </c>
      <c r="V35">
        <v>3.1942226934728079E-12</v>
      </c>
      <c r="W35" t="s">
        <v>9</v>
      </c>
      <c r="X35" t="s">
        <v>1456</v>
      </c>
    </row>
    <row r="36" spans="1:24" hidden="1" x14ac:dyDescent="0.35">
      <c r="A36" t="s">
        <v>322</v>
      </c>
      <c r="B36">
        <v>2023</v>
      </c>
      <c r="C36" t="s">
        <v>1308</v>
      </c>
      <c r="D36" t="s">
        <v>1316</v>
      </c>
      <c r="E36" t="s">
        <v>1359</v>
      </c>
      <c r="F36" t="s">
        <v>1365</v>
      </c>
      <c r="G36" t="s">
        <v>1371</v>
      </c>
      <c r="H36">
        <v>16.78</v>
      </c>
      <c r="J36" t="s">
        <v>1391</v>
      </c>
      <c r="L36">
        <f t="shared" si="0"/>
        <v>3.1100000000000002E-4</v>
      </c>
      <c r="O36">
        <v>70.400000000000006</v>
      </c>
      <c r="P36" t="s">
        <v>1470</v>
      </c>
      <c r="R36" s="2" t="s">
        <v>1438</v>
      </c>
      <c r="S36">
        <v>5948239</v>
      </c>
      <c r="U36">
        <v>5948239</v>
      </c>
      <c r="V36">
        <v>2.8210029892880902E-6</v>
      </c>
      <c r="W36" t="s">
        <v>9</v>
      </c>
      <c r="X36" t="s">
        <v>1456</v>
      </c>
    </row>
    <row r="37" spans="1:24" hidden="1" x14ac:dyDescent="0.35">
      <c r="A37" t="s">
        <v>519</v>
      </c>
      <c r="B37">
        <v>2023</v>
      </c>
      <c r="C37" t="s">
        <v>1308</v>
      </c>
      <c r="D37" t="s">
        <v>1311</v>
      </c>
      <c r="E37" t="s">
        <v>1359</v>
      </c>
      <c r="F37" t="s">
        <v>1366</v>
      </c>
      <c r="G37" t="s">
        <v>1371</v>
      </c>
      <c r="H37">
        <v>154.85</v>
      </c>
      <c r="J37" t="s">
        <v>1391</v>
      </c>
      <c r="L37">
        <f t="shared" si="0"/>
        <v>3.1100000000000002E-4</v>
      </c>
      <c r="O37">
        <v>70.400000000000006</v>
      </c>
      <c r="P37" t="s">
        <v>1470</v>
      </c>
      <c r="R37" s="2" t="s">
        <v>1438</v>
      </c>
      <c r="S37">
        <v>5948239</v>
      </c>
      <c r="U37">
        <v>5948239</v>
      </c>
      <c r="V37">
        <v>2.6032914951803379E-5</v>
      </c>
      <c r="W37" t="s">
        <v>9</v>
      </c>
      <c r="X37" t="s">
        <v>1456</v>
      </c>
    </row>
    <row r="38" spans="1:24" hidden="1" x14ac:dyDescent="0.35">
      <c r="A38" t="s">
        <v>520</v>
      </c>
      <c r="B38">
        <v>2023</v>
      </c>
      <c r="C38" t="s">
        <v>1308</v>
      </c>
      <c r="D38" t="s">
        <v>1312</v>
      </c>
      <c r="E38" t="s">
        <v>1359</v>
      </c>
      <c r="F38" t="s">
        <v>1366</v>
      </c>
      <c r="G38" t="s">
        <v>1371</v>
      </c>
      <c r="H38">
        <v>36.44</v>
      </c>
      <c r="J38" t="s">
        <v>1391</v>
      </c>
      <c r="L38">
        <f t="shared" si="0"/>
        <v>3.1100000000000002E-4</v>
      </c>
      <c r="O38">
        <v>70.400000000000006</v>
      </c>
      <c r="P38" t="s">
        <v>1470</v>
      </c>
      <c r="R38" s="2" t="s">
        <v>1438</v>
      </c>
      <c r="S38">
        <v>5948239</v>
      </c>
      <c r="U38">
        <v>5948239</v>
      </c>
      <c r="V38">
        <v>6.1261828921131103E-6</v>
      </c>
      <c r="W38" t="s">
        <v>9</v>
      </c>
      <c r="X38" t="s">
        <v>1456</v>
      </c>
    </row>
    <row r="39" spans="1:24" hidden="1" x14ac:dyDescent="0.35">
      <c r="A39" t="s">
        <v>521</v>
      </c>
      <c r="B39">
        <v>2023</v>
      </c>
      <c r="C39" t="s">
        <v>1308</v>
      </c>
      <c r="D39" t="s">
        <v>1313</v>
      </c>
      <c r="E39" t="s">
        <v>1359</v>
      </c>
      <c r="F39" t="s">
        <v>1366</v>
      </c>
      <c r="G39" t="s">
        <v>1371</v>
      </c>
      <c r="H39">
        <v>27.27</v>
      </c>
      <c r="J39" t="s">
        <v>1391</v>
      </c>
      <c r="L39">
        <f t="shared" si="0"/>
        <v>3.1100000000000002E-4</v>
      </c>
      <c r="O39">
        <v>70.400000000000006</v>
      </c>
      <c r="P39" t="s">
        <v>1470</v>
      </c>
      <c r="R39" s="2" t="s">
        <v>1438</v>
      </c>
      <c r="S39">
        <v>5948239</v>
      </c>
      <c r="U39">
        <v>5948239</v>
      </c>
      <c r="V39">
        <v>4.5845501500528141E-6</v>
      </c>
      <c r="W39" t="s">
        <v>9</v>
      </c>
      <c r="X39" t="s">
        <v>1456</v>
      </c>
    </row>
    <row r="40" spans="1:24" hidden="1" x14ac:dyDescent="0.35">
      <c r="A40" t="s">
        <v>522</v>
      </c>
      <c r="B40">
        <v>2023</v>
      </c>
      <c r="C40" t="s">
        <v>1308</v>
      </c>
      <c r="D40" t="s">
        <v>1314</v>
      </c>
      <c r="E40" t="s">
        <v>1359</v>
      </c>
      <c r="F40" t="s">
        <v>1366</v>
      </c>
      <c r="G40" t="s">
        <v>1371</v>
      </c>
      <c r="H40">
        <v>1.645</v>
      </c>
      <c r="J40" t="s">
        <v>1391</v>
      </c>
      <c r="L40">
        <f t="shared" si="0"/>
        <v>3.1100000000000002E-4</v>
      </c>
      <c r="O40">
        <v>70.400000000000006</v>
      </c>
      <c r="P40" t="s">
        <v>1470</v>
      </c>
      <c r="R40" s="2" t="s">
        <v>1438</v>
      </c>
      <c r="S40">
        <v>5948239</v>
      </c>
      <c r="U40">
        <v>5948239</v>
      </c>
      <c r="V40">
        <v>2.765524384611983E-7</v>
      </c>
      <c r="W40" t="s">
        <v>9</v>
      </c>
      <c r="X40" t="s">
        <v>1456</v>
      </c>
    </row>
    <row r="41" spans="1:24" hidden="1" x14ac:dyDescent="0.35">
      <c r="A41" t="s">
        <v>523</v>
      </c>
      <c r="B41">
        <v>2023</v>
      </c>
      <c r="C41" t="s">
        <v>1308</v>
      </c>
      <c r="D41" t="s">
        <v>1337</v>
      </c>
      <c r="E41" t="s">
        <v>1359</v>
      </c>
      <c r="F41" t="s">
        <v>1366</v>
      </c>
      <c r="G41" t="s">
        <v>1371</v>
      </c>
      <c r="H41">
        <v>4.55</v>
      </c>
      <c r="J41" t="s">
        <v>1391</v>
      </c>
      <c r="L41">
        <f t="shared" si="0"/>
        <v>3.1100000000000002E-4</v>
      </c>
      <c r="O41">
        <v>70.400000000000006</v>
      </c>
      <c r="P41" t="s">
        <v>1470</v>
      </c>
      <c r="R41" s="2" t="s">
        <v>1438</v>
      </c>
      <c r="S41">
        <v>5948239</v>
      </c>
      <c r="U41">
        <v>5948239</v>
      </c>
      <c r="V41">
        <v>7.6493227659480396E-7</v>
      </c>
      <c r="W41" t="s">
        <v>9</v>
      </c>
      <c r="X41" t="s">
        <v>1456</v>
      </c>
    </row>
    <row r="42" spans="1:24" hidden="1" x14ac:dyDescent="0.35">
      <c r="A42" t="s">
        <v>524</v>
      </c>
      <c r="B42">
        <v>2023</v>
      </c>
      <c r="C42" t="s">
        <v>1308</v>
      </c>
      <c r="D42" t="s">
        <v>1315</v>
      </c>
      <c r="E42" t="s">
        <v>1359</v>
      </c>
      <c r="F42" t="s">
        <v>1366</v>
      </c>
      <c r="G42" t="s">
        <v>1371</v>
      </c>
      <c r="H42">
        <v>68.150000000000006</v>
      </c>
      <c r="J42" t="s">
        <v>1391</v>
      </c>
      <c r="L42">
        <f t="shared" si="0"/>
        <v>3.1100000000000002E-4</v>
      </c>
      <c r="O42">
        <v>70.400000000000006</v>
      </c>
      <c r="P42" t="s">
        <v>1470</v>
      </c>
      <c r="R42" s="2" t="s">
        <v>1438</v>
      </c>
      <c r="S42">
        <v>5948239</v>
      </c>
      <c r="U42">
        <v>5948239</v>
      </c>
      <c r="V42">
        <v>1.145717245053536E-5</v>
      </c>
      <c r="W42" t="s">
        <v>9</v>
      </c>
      <c r="X42" t="s">
        <v>1456</v>
      </c>
    </row>
    <row r="43" spans="1:24" hidden="1" x14ac:dyDescent="0.35">
      <c r="A43" t="s">
        <v>722</v>
      </c>
      <c r="B43">
        <v>2023</v>
      </c>
      <c r="C43" t="s">
        <v>1308</v>
      </c>
      <c r="D43" t="s">
        <v>1311</v>
      </c>
      <c r="E43" t="s">
        <v>1359</v>
      </c>
      <c r="F43" t="s">
        <v>1367</v>
      </c>
      <c r="G43" t="s">
        <v>1371</v>
      </c>
      <c r="H43">
        <v>274.25</v>
      </c>
      <c r="J43" t="s">
        <v>1391</v>
      </c>
      <c r="L43">
        <f t="shared" si="0"/>
        <v>3.1100000000000002E-4</v>
      </c>
      <c r="O43">
        <v>70.400000000000006</v>
      </c>
      <c r="P43" t="s">
        <v>1470</v>
      </c>
      <c r="R43" s="2" t="s">
        <v>1438</v>
      </c>
      <c r="S43">
        <v>5948239</v>
      </c>
      <c r="U43">
        <v>5948239</v>
      </c>
      <c r="V43">
        <v>4.6106082825521983E-5</v>
      </c>
      <c r="W43" t="s">
        <v>9</v>
      </c>
      <c r="X43" t="s">
        <v>1456</v>
      </c>
    </row>
    <row r="44" spans="1:24" hidden="1" x14ac:dyDescent="0.35">
      <c r="A44" t="s">
        <v>723</v>
      </c>
      <c r="B44">
        <v>2023</v>
      </c>
      <c r="C44" t="s">
        <v>1308</v>
      </c>
      <c r="D44" t="s">
        <v>1330</v>
      </c>
      <c r="E44" t="s">
        <v>1359</v>
      </c>
      <c r="F44" t="s">
        <v>1367</v>
      </c>
      <c r="G44" t="s">
        <v>1371</v>
      </c>
      <c r="H44">
        <v>7.8999999999999996E-5</v>
      </c>
      <c r="J44" t="s">
        <v>1391</v>
      </c>
      <c r="L44">
        <f t="shared" si="0"/>
        <v>3.1100000000000002E-4</v>
      </c>
      <c r="O44">
        <v>70.400000000000006</v>
      </c>
      <c r="P44" t="s">
        <v>1470</v>
      </c>
      <c r="R44" s="2" t="s">
        <v>1438</v>
      </c>
      <c r="S44">
        <v>5948239</v>
      </c>
      <c r="U44">
        <v>5948239</v>
      </c>
      <c r="V44">
        <v>1.32812417254922E-11</v>
      </c>
      <c r="W44" t="s">
        <v>9</v>
      </c>
      <c r="X44" t="s">
        <v>1456</v>
      </c>
    </row>
    <row r="45" spans="1:24" hidden="1" x14ac:dyDescent="0.35">
      <c r="A45" t="s">
        <v>724</v>
      </c>
      <c r="B45">
        <v>2023</v>
      </c>
      <c r="C45" t="s">
        <v>1308</v>
      </c>
      <c r="D45" t="s">
        <v>1312</v>
      </c>
      <c r="E45" t="s">
        <v>1359</v>
      </c>
      <c r="F45" t="s">
        <v>1367</v>
      </c>
      <c r="G45" t="s">
        <v>1371</v>
      </c>
      <c r="H45">
        <v>1251.0899999999999</v>
      </c>
      <c r="J45" t="s">
        <v>1391</v>
      </c>
      <c r="L45">
        <f t="shared" si="0"/>
        <v>3.1100000000000002E-4</v>
      </c>
      <c r="O45">
        <v>70.400000000000006</v>
      </c>
      <c r="P45" t="s">
        <v>1470</v>
      </c>
      <c r="R45" s="2" t="s">
        <v>1438</v>
      </c>
      <c r="S45">
        <v>5948239</v>
      </c>
      <c r="U45">
        <v>5948239</v>
      </c>
      <c r="V45">
        <v>2.1032947734615239E-4</v>
      </c>
      <c r="W45" t="s">
        <v>9</v>
      </c>
      <c r="X45" t="s">
        <v>1456</v>
      </c>
    </row>
    <row r="46" spans="1:24" hidden="1" x14ac:dyDescent="0.35">
      <c r="A46" t="s">
        <v>725</v>
      </c>
      <c r="B46">
        <v>2023</v>
      </c>
      <c r="C46" t="s">
        <v>1308</v>
      </c>
      <c r="D46" t="s">
        <v>1313</v>
      </c>
      <c r="E46" t="s">
        <v>1359</v>
      </c>
      <c r="F46" t="s">
        <v>1367</v>
      </c>
      <c r="G46" t="s">
        <v>1371</v>
      </c>
      <c r="H46">
        <v>87.79</v>
      </c>
      <c r="J46" t="s">
        <v>1391</v>
      </c>
      <c r="L46">
        <f t="shared" si="0"/>
        <v>3.1100000000000002E-4</v>
      </c>
      <c r="O46">
        <v>70.400000000000006</v>
      </c>
      <c r="P46" t="s">
        <v>1470</v>
      </c>
      <c r="R46" s="2" t="s">
        <v>1438</v>
      </c>
      <c r="S46">
        <v>5948239</v>
      </c>
      <c r="U46">
        <v>5948239</v>
      </c>
      <c r="V46">
        <v>1.4758990013683039E-5</v>
      </c>
      <c r="W46" t="s">
        <v>9</v>
      </c>
      <c r="X46" t="s">
        <v>1456</v>
      </c>
    </row>
    <row r="47" spans="1:24" hidden="1" x14ac:dyDescent="0.35">
      <c r="A47" t="s">
        <v>726</v>
      </c>
      <c r="B47">
        <v>2023</v>
      </c>
      <c r="C47" t="s">
        <v>1308</v>
      </c>
      <c r="D47" t="s">
        <v>1314</v>
      </c>
      <c r="E47" t="s">
        <v>1359</v>
      </c>
      <c r="F47" t="s">
        <v>1367</v>
      </c>
      <c r="G47" t="s">
        <v>1371</v>
      </c>
      <c r="H47">
        <v>87.8</v>
      </c>
      <c r="J47" t="s">
        <v>1391</v>
      </c>
      <c r="L47">
        <f t="shared" si="0"/>
        <v>3.1100000000000002E-4</v>
      </c>
      <c r="O47">
        <v>70.400000000000006</v>
      </c>
      <c r="P47" t="s">
        <v>1470</v>
      </c>
      <c r="R47" s="2" t="s">
        <v>1438</v>
      </c>
      <c r="S47">
        <v>5948239</v>
      </c>
      <c r="U47">
        <v>5948239</v>
      </c>
      <c r="V47">
        <v>1.4760671183521711E-5</v>
      </c>
      <c r="W47" t="s">
        <v>9</v>
      </c>
      <c r="X47" t="s">
        <v>1456</v>
      </c>
    </row>
    <row r="48" spans="1:24" hidden="1" x14ac:dyDescent="0.35">
      <c r="A48" t="s">
        <v>727</v>
      </c>
      <c r="B48">
        <v>2023</v>
      </c>
      <c r="C48" t="s">
        <v>1308</v>
      </c>
      <c r="D48" t="s">
        <v>1337</v>
      </c>
      <c r="E48" t="s">
        <v>1359</v>
      </c>
      <c r="F48" t="s">
        <v>1367</v>
      </c>
      <c r="G48" t="s">
        <v>1371</v>
      </c>
      <c r="H48">
        <v>82.05</v>
      </c>
      <c r="J48" t="s">
        <v>1391</v>
      </c>
      <c r="L48">
        <f t="shared" si="0"/>
        <v>3.1100000000000002E-4</v>
      </c>
      <c r="O48">
        <v>70.400000000000006</v>
      </c>
      <c r="P48" t="s">
        <v>1470</v>
      </c>
      <c r="R48" s="2" t="s">
        <v>1438</v>
      </c>
      <c r="S48">
        <v>5948239</v>
      </c>
      <c r="U48">
        <v>5948239</v>
      </c>
      <c r="V48">
        <v>1.379399852628652E-5</v>
      </c>
      <c r="W48" t="s">
        <v>9</v>
      </c>
      <c r="X48" t="s">
        <v>1456</v>
      </c>
    </row>
    <row r="49" spans="1:24" hidden="1" x14ac:dyDescent="0.35">
      <c r="A49" t="s">
        <v>728</v>
      </c>
      <c r="B49">
        <v>2023</v>
      </c>
      <c r="C49" t="s">
        <v>1308</v>
      </c>
      <c r="D49" t="s">
        <v>1315</v>
      </c>
      <c r="E49" t="s">
        <v>1359</v>
      </c>
      <c r="F49" t="s">
        <v>1367</v>
      </c>
      <c r="G49" t="s">
        <v>1371</v>
      </c>
      <c r="H49">
        <v>87.81</v>
      </c>
      <c r="J49" t="s">
        <v>1391</v>
      </c>
      <c r="L49">
        <f t="shared" si="0"/>
        <v>3.1100000000000002E-4</v>
      </c>
      <c r="O49">
        <v>70.400000000000006</v>
      </c>
      <c r="P49" t="s">
        <v>1470</v>
      </c>
      <c r="R49" s="2" t="s">
        <v>1438</v>
      </c>
      <c r="S49">
        <v>5948239</v>
      </c>
      <c r="U49">
        <v>5948239</v>
      </c>
      <c r="V49">
        <v>1.476235235336038E-5</v>
      </c>
      <c r="W49" t="s">
        <v>9</v>
      </c>
      <c r="X49" t="s">
        <v>1456</v>
      </c>
    </row>
    <row r="50" spans="1:24" hidden="1" x14ac:dyDescent="0.35">
      <c r="A50" t="s">
        <v>729</v>
      </c>
      <c r="B50">
        <v>2023</v>
      </c>
      <c r="C50" t="s">
        <v>1308</v>
      </c>
      <c r="D50" t="s">
        <v>1316</v>
      </c>
      <c r="E50" t="s">
        <v>1359</v>
      </c>
      <c r="F50" t="s">
        <v>1367</v>
      </c>
      <c r="G50" t="s">
        <v>1371</v>
      </c>
      <c r="H50">
        <v>101.14</v>
      </c>
      <c r="J50" t="s">
        <v>1391</v>
      </c>
      <c r="L50">
        <f t="shared" si="0"/>
        <v>3.1100000000000002E-4</v>
      </c>
      <c r="O50">
        <v>70.400000000000006</v>
      </c>
      <c r="P50" t="s">
        <v>1470</v>
      </c>
      <c r="R50" s="2" t="s">
        <v>1438</v>
      </c>
      <c r="S50">
        <v>5948239</v>
      </c>
      <c r="U50">
        <v>5948239</v>
      </c>
      <c r="V50">
        <v>1.7003351748307361E-5</v>
      </c>
      <c r="W50" t="s">
        <v>9</v>
      </c>
      <c r="X50" t="s">
        <v>1456</v>
      </c>
    </row>
    <row r="51" spans="1:24" hidden="1" x14ac:dyDescent="0.35">
      <c r="A51" t="s">
        <v>872</v>
      </c>
      <c r="B51">
        <v>2023</v>
      </c>
      <c r="C51" t="s">
        <v>1309</v>
      </c>
      <c r="D51" t="s">
        <v>1328</v>
      </c>
      <c r="E51" t="s">
        <v>1359</v>
      </c>
      <c r="F51" t="s">
        <v>1368</v>
      </c>
      <c r="G51" t="s">
        <v>1371</v>
      </c>
      <c r="H51">
        <v>5.5999999999999999E-3</v>
      </c>
      <c r="J51" t="s">
        <v>1391</v>
      </c>
      <c r="L51">
        <f t="shared" si="0"/>
        <v>3.1100000000000002E-4</v>
      </c>
      <c r="O51">
        <v>70.400000000000006</v>
      </c>
      <c r="P51" t="s">
        <v>1470</v>
      </c>
      <c r="R51" s="2" t="s">
        <v>1438</v>
      </c>
      <c r="S51">
        <v>5948239</v>
      </c>
      <c r="U51">
        <v>5948239</v>
      </c>
      <c r="V51">
        <v>9.4145510965514334E-10</v>
      </c>
      <c r="W51" t="s">
        <v>9</v>
      </c>
      <c r="X51" t="s">
        <v>1456</v>
      </c>
    </row>
    <row r="52" spans="1:24" hidden="1" x14ac:dyDescent="0.35">
      <c r="A52" t="s">
        <v>873</v>
      </c>
      <c r="B52">
        <v>2023</v>
      </c>
      <c r="C52" t="s">
        <v>1309</v>
      </c>
      <c r="D52" t="s">
        <v>1317</v>
      </c>
      <c r="E52" t="s">
        <v>1359</v>
      </c>
      <c r="F52" t="s">
        <v>1368</v>
      </c>
      <c r="G52" t="s">
        <v>1372</v>
      </c>
      <c r="H52">
        <v>7.9454000000000002</v>
      </c>
      <c r="J52" t="s">
        <v>1391</v>
      </c>
      <c r="L52">
        <f t="shared" si="0"/>
        <v>3.1100000000000002E-4</v>
      </c>
      <c r="O52">
        <v>70.400000000000006</v>
      </c>
      <c r="P52" t="s">
        <v>1470</v>
      </c>
      <c r="R52" s="2" t="s">
        <v>1438</v>
      </c>
      <c r="S52">
        <v>5948239</v>
      </c>
      <c r="U52">
        <v>5948239</v>
      </c>
      <c r="V52">
        <v>1.3357566836167811E-6</v>
      </c>
      <c r="W52" t="s">
        <v>9</v>
      </c>
      <c r="X52" t="s">
        <v>1457</v>
      </c>
    </row>
    <row r="53" spans="1:24" hidden="1" x14ac:dyDescent="0.35">
      <c r="A53" t="s">
        <v>874</v>
      </c>
      <c r="B53">
        <v>2023</v>
      </c>
      <c r="C53" t="s">
        <v>1309</v>
      </c>
      <c r="D53" t="s">
        <v>1318</v>
      </c>
      <c r="E53" t="s">
        <v>1359</v>
      </c>
      <c r="F53" t="s">
        <v>1368</v>
      </c>
      <c r="G53" t="s">
        <v>1372</v>
      </c>
      <c r="H53">
        <v>0.27948000000000001</v>
      </c>
      <c r="J53" t="s">
        <v>1391</v>
      </c>
      <c r="L53">
        <f t="shared" si="0"/>
        <v>3.1100000000000002E-4</v>
      </c>
      <c r="O53">
        <v>70.400000000000006</v>
      </c>
      <c r="P53" t="s">
        <v>1470</v>
      </c>
      <c r="R53" s="2" t="s">
        <v>1438</v>
      </c>
      <c r="S53">
        <v>5948239</v>
      </c>
      <c r="U53">
        <v>5948239</v>
      </c>
      <c r="V53">
        <v>4.6985334651146342E-8</v>
      </c>
      <c r="W53" t="s">
        <v>9</v>
      </c>
      <c r="X53" t="s">
        <v>1457</v>
      </c>
    </row>
    <row r="54" spans="1:24" hidden="1" x14ac:dyDescent="0.35">
      <c r="A54" t="s">
        <v>875</v>
      </c>
      <c r="B54">
        <v>2023</v>
      </c>
      <c r="C54" t="s">
        <v>1309</v>
      </c>
      <c r="D54" t="s">
        <v>1320</v>
      </c>
      <c r="E54" t="s">
        <v>1359</v>
      </c>
      <c r="F54" t="s">
        <v>1368</v>
      </c>
      <c r="G54" t="s">
        <v>1372</v>
      </c>
      <c r="H54">
        <v>1.4555</v>
      </c>
      <c r="J54" t="s">
        <v>1391</v>
      </c>
      <c r="L54">
        <f t="shared" si="0"/>
        <v>3.1100000000000002E-4</v>
      </c>
      <c r="O54">
        <v>70.400000000000006</v>
      </c>
      <c r="P54" t="s">
        <v>1470</v>
      </c>
      <c r="R54" s="2" t="s">
        <v>1438</v>
      </c>
      <c r="S54">
        <v>5948239</v>
      </c>
      <c r="U54">
        <v>5948239</v>
      </c>
      <c r="V54">
        <v>2.4469427001840378E-7</v>
      </c>
      <c r="W54" t="s">
        <v>9</v>
      </c>
      <c r="X54" t="s">
        <v>1457</v>
      </c>
    </row>
    <row r="55" spans="1:24" hidden="1" x14ac:dyDescent="0.35">
      <c r="A55" t="s">
        <v>876</v>
      </c>
      <c r="B55">
        <v>2023</v>
      </c>
      <c r="C55" t="s">
        <v>1309</v>
      </c>
      <c r="D55" t="s">
        <v>1321</v>
      </c>
      <c r="E55" t="s">
        <v>1359</v>
      </c>
      <c r="F55" t="s">
        <v>1368</v>
      </c>
      <c r="G55" t="s">
        <v>1371</v>
      </c>
      <c r="H55">
        <v>6.4000000000000001E-2</v>
      </c>
      <c r="J55" t="s">
        <v>1391</v>
      </c>
      <c r="L55">
        <f t="shared" si="0"/>
        <v>3.1100000000000002E-4</v>
      </c>
      <c r="O55">
        <v>70.400000000000006</v>
      </c>
      <c r="P55" t="s">
        <v>1470</v>
      </c>
      <c r="R55" s="2" t="s">
        <v>1438</v>
      </c>
      <c r="S55">
        <v>5948239</v>
      </c>
      <c r="U55">
        <v>5948239</v>
      </c>
      <c r="V55">
        <v>1.075948696748735E-8</v>
      </c>
      <c r="W55" t="s">
        <v>9</v>
      </c>
      <c r="X55" t="s">
        <v>1456</v>
      </c>
    </row>
    <row r="56" spans="1:24" hidden="1" x14ac:dyDescent="0.35">
      <c r="A56" t="s">
        <v>877</v>
      </c>
      <c r="B56">
        <v>2023</v>
      </c>
      <c r="C56" t="s">
        <v>1309</v>
      </c>
      <c r="D56" t="s">
        <v>1322</v>
      </c>
      <c r="E56" t="s">
        <v>1359</v>
      </c>
      <c r="F56" t="s">
        <v>1368</v>
      </c>
      <c r="G56" t="s">
        <v>1372</v>
      </c>
      <c r="H56">
        <v>0.44700000000000001</v>
      </c>
      <c r="J56" t="s">
        <v>1391</v>
      </c>
      <c r="L56">
        <f t="shared" si="0"/>
        <v>3.1100000000000002E-4</v>
      </c>
      <c r="O56">
        <v>70.400000000000006</v>
      </c>
      <c r="P56" t="s">
        <v>1470</v>
      </c>
      <c r="R56" s="2" t="s">
        <v>1438</v>
      </c>
      <c r="S56">
        <v>5948239</v>
      </c>
      <c r="U56">
        <v>5948239</v>
      </c>
      <c r="V56">
        <v>7.5148291788544478E-8</v>
      </c>
      <c r="W56" t="s">
        <v>9</v>
      </c>
      <c r="X56" t="s">
        <v>1457</v>
      </c>
    </row>
    <row r="57" spans="1:24" hidden="1" x14ac:dyDescent="0.35">
      <c r="A57" t="s">
        <v>878</v>
      </c>
      <c r="B57">
        <v>2023</v>
      </c>
      <c r="C57" t="s">
        <v>1309</v>
      </c>
      <c r="D57" t="s">
        <v>1323</v>
      </c>
      <c r="E57" t="s">
        <v>1359</v>
      </c>
      <c r="F57" t="s">
        <v>1368</v>
      </c>
      <c r="G57" t="s">
        <v>1371</v>
      </c>
      <c r="H57">
        <v>0.60099999999999998</v>
      </c>
      <c r="J57" t="s">
        <v>1391</v>
      </c>
      <c r="L57">
        <f t="shared" si="0"/>
        <v>3.1100000000000002E-4</v>
      </c>
      <c r="O57">
        <v>70.400000000000006</v>
      </c>
      <c r="P57" t="s">
        <v>1470</v>
      </c>
      <c r="R57" s="2" t="s">
        <v>1438</v>
      </c>
      <c r="S57">
        <v>5948239</v>
      </c>
      <c r="U57">
        <v>5948239</v>
      </c>
      <c r="V57">
        <v>1.010383073040609E-7</v>
      </c>
      <c r="W57" t="s">
        <v>9</v>
      </c>
      <c r="X57" t="s">
        <v>1456</v>
      </c>
    </row>
    <row r="58" spans="1:24" hidden="1" x14ac:dyDescent="0.35">
      <c r="A58" t="s">
        <v>879</v>
      </c>
      <c r="B58">
        <v>2023</v>
      </c>
      <c r="C58" t="s">
        <v>1309</v>
      </c>
      <c r="D58" t="s">
        <v>1324</v>
      </c>
      <c r="E58" t="s">
        <v>1359</v>
      </c>
      <c r="F58" t="s">
        <v>1368</v>
      </c>
      <c r="G58" t="s">
        <v>1371</v>
      </c>
      <c r="H58">
        <v>4.8999999999999998E-3</v>
      </c>
      <c r="J58" t="s">
        <v>1391</v>
      </c>
      <c r="L58">
        <f t="shared" si="0"/>
        <v>3.1100000000000002E-4</v>
      </c>
      <c r="O58">
        <v>70.400000000000006</v>
      </c>
      <c r="P58" t="s">
        <v>1470</v>
      </c>
      <c r="R58" s="2" t="s">
        <v>1438</v>
      </c>
      <c r="S58">
        <v>5948239</v>
      </c>
      <c r="U58">
        <v>5948239</v>
      </c>
      <c r="V58">
        <v>8.237732209482504E-10</v>
      </c>
      <c r="W58" t="s">
        <v>9</v>
      </c>
      <c r="X58" t="s">
        <v>1456</v>
      </c>
    </row>
    <row r="59" spans="1:24" hidden="1" x14ac:dyDescent="0.35">
      <c r="A59" t="s">
        <v>880</v>
      </c>
      <c r="B59">
        <v>2023</v>
      </c>
      <c r="C59" t="s">
        <v>1309</v>
      </c>
      <c r="D59" t="s">
        <v>1331</v>
      </c>
      <c r="E59" t="s">
        <v>1359</v>
      </c>
      <c r="F59" t="s">
        <v>1368</v>
      </c>
      <c r="G59" t="s">
        <v>1371</v>
      </c>
      <c r="H59">
        <v>25.407</v>
      </c>
      <c r="J59" t="s">
        <v>1391</v>
      </c>
      <c r="L59">
        <f t="shared" si="0"/>
        <v>3.1100000000000002E-4</v>
      </c>
      <c r="O59">
        <v>70.400000000000006</v>
      </c>
      <c r="P59" t="s">
        <v>1470</v>
      </c>
      <c r="R59" s="2" t="s">
        <v>1438</v>
      </c>
      <c r="S59">
        <v>5948239</v>
      </c>
      <c r="U59">
        <v>5948239</v>
      </c>
      <c r="V59">
        <v>4.2713482091086116E-6</v>
      </c>
      <c r="W59" t="s">
        <v>9</v>
      </c>
      <c r="X59" t="s">
        <v>1456</v>
      </c>
    </row>
    <row r="60" spans="1:24" hidden="1" x14ac:dyDescent="0.35">
      <c r="A60" t="s">
        <v>881</v>
      </c>
      <c r="B60">
        <v>2023</v>
      </c>
      <c r="C60" t="s">
        <v>1309</v>
      </c>
      <c r="D60" t="s">
        <v>1332</v>
      </c>
      <c r="E60" t="s">
        <v>1359</v>
      </c>
      <c r="F60" t="s">
        <v>1368</v>
      </c>
      <c r="G60" t="s">
        <v>1371</v>
      </c>
      <c r="H60">
        <v>6.7000000000000004E-2</v>
      </c>
      <c r="J60" t="s">
        <v>1391</v>
      </c>
      <c r="L60">
        <f t="shared" si="0"/>
        <v>3.1100000000000002E-4</v>
      </c>
      <c r="O60">
        <v>70.400000000000006</v>
      </c>
      <c r="P60" t="s">
        <v>1470</v>
      </c>
      <c r="R60" s="2" t="s">
        <v>1438</v>
      </c>
      <c r="S60">
        <v>5948239</v>
      </c>
      <c r="U60">
        <v>5948239</v>
      </c>
      <c r="V60">
        <v>1.126383791908832E-8</v>
      </c>
      <c r="W60" t="s">
        <v>9</v>
      </c>
      <c r="X60" t="s">
        <v>1456</v>
      </c>
    </row>
    <row r="61" spans="1:24" hidden="1" x14ac:dyDescent="0.35">
      <c r="A61" t="s">
        <v>882</v>
      </c>
      <c r="B61">
        <v>2023</v>
      </c>
      <c r="C61" t="s">
        <v>1309</v>
      </c>
      <c r="D61" t="s">
        <v>1325</v>
      </c>
      <c r="E61" t="s">
        <v>1359</v>
      </c>
      <c r="F61" t="s">
        <v>1368</v>
      </c>
      <c r="G61" t="s">
        <v>1372</v>
      </c>
      <c r="H61">
        <v>268.96899999999999</v>
      </c>
      <c r="J61" t="s">
        <v>1391</v>
      </c>
      <c r="L61">
        <f t="shared" si="0"/>
        <v>3.1100000000000002E-4</v>
      </c>
      <c r="O61">
        <v>70.400000000000006</v>
      </c>
      <c r="P61" t="s">
        <v>1470</v>
      </c>
      <c r="R61" s="2" t="s">
        <v>1438</v>
      </c>
      <c r="S61">
        <v>5948239</v>
      </c>
      <c r="U61">
        <v>5948239</v>
      </c>
      <c r="V61">
        <v>4.5218257033720398E-5</v>
      </c>
      <c r="W61" t="s">
        <v>9</v>
      </c>
      <c r="X61" t="s">
        <v>1457</v>
      </c>
    </row>
    <row r="62" spans="1:24" hidden="1" x14ac:dyDescent="0.35">
      <c r="A62" t="s">
        <v>883</v>
      </c>
      <c r="B62">
        <v>2023</v>
      </c>
      <c r="C62" t="s">
        <v>1309</v>
      </c>
      <c r="D62" t="s">
        <v>1336</v>
      </c>
      <c r="E62" t="s">
        <v>1359</v>
      </c>
      <c r="F62" t="s">
        <v>1368</v>
      </c>
      <c r="G62" t="s">
        <v>1371</v>
      </c>
      <c r="H62">
        <v>9.2999999999999992E-3</v>
      </c>
      <c r="J62" t="s">
        <v>1391</v>
      </c>
      <c r="L62">
        <f t="shared" si="0"/>
        <v>3.1100000000000002E-4</v>
      </c>
      <c r="O62">
        <v>70.400000000000006</v>
      </c>
      <c r="P62" t="s">
        <v>1470</v>
      </c>
      <c r="R62" s="2" t="s">
        <v>1438</v>
      </c>
      <c r="S62">
        <v>5948239</v>
      </c>
      <c r="U62">
        <v>5948239</v>
      </c>
      <c r="V62">
        <v>1.5634879499630059E-9</v>
      </c>
      <c r="W62" t="s">
        <v>9</v>
      </c>
      <c r="X62" t="s">
        <v>1456</v>
      </c>
    </row>
    <row r="63" spans="1:24" hidden="1" x14ac:dyDescent="0.35">
      <c r="A63" t="s">
        <v>884</v>
      </c>
      <c r="B63">
        <v>2023</v>
      </c>
      <c r="C63" t="s">
        <v>1309</v>
      </c>
      <c r="D63" t="s">
        <v>1326</v>
      </c>
      <c r="E63" t="s">
        <v>1359</v>
      </c>
      <c r="F63" t="s">
        <v>1368</v>
      </c>
      <c r="G63" t="s">
        <v>1371</v>
      </c>
      <c r="H63">
        <v>4.3400000000000001E-2</v>
      </c>
      <c r="J63" t="s">
        <v>1391</v>
      </c>
      <c r="L63">
        <f t="shared" si="0"/>
        <v>3.1100000000000002E-4</v>
      </c>
      <c r="O63">
        <v>70.400000000000006</v>
      </c>
      <c r="P63" t="s">
        <v>1470</v>
      </c>
      <c r="R63" s="2" t="s">
        <v>1438</v>
      </c>
      <c r="S63">
        <v>5948239</v>
      </c>
      <c r="U63">
        <v>5948239</v>
      </c>
      <c r="V63">
        <v>7.2962770998273611E-9</v>
      </c>
      <c r="W63" t="s">
        <v>9</v>
      </c>
      <c r="X63" t="s">
        <v>1456</v>
      </c>
    </row>
    <row r="64" spans="1:24" hidden="1" x14ac:dyDescent="0.35">
      <c r="A64" t="s">
        <v>1030</v>
      </c>
      <c r="B64">
        <v>2023</v>
      </c>
      <c r="C64" t="s">
        <v>1308</v>
      </c>
      <c r="D64" t="s">
        <v>1347</v>
      </c>
      <c r="E64" t="s">
        <v>1359</v>
      </c>
      <c r="F64" t="s">
        <v>1370</v>
      </c>
      <c r="G64" t="s">
        <v>1375</v>
      </c>
      <c r="H64">
        <v>49470</v>
      </c>
      <c r="J64" t="s">
        <v>1391</v>
      </c>
      <c r="L64">
        <f t="shared" si="0"/>
        <v>3.1100000000000002E-4</v>
      </c>
      <c r="O64">
        <v>70.400000000000006</v>
      </c>
      <c r="P64" t="s">
        <v>1470</v>
      </c>
      <c r="R64" s="2" t="s">
        <v>1439</v>
      </c>
      <c r="S64">
        <v>5948239</v>
      </c>
      <c r="U64">
        <v>5948239</v>
      </c>
      <c r="V64">
        <v>8.31674719189999E-3</v>
      </c>
      <c r="W64" t="s">
        <v>9</v>
      </c>
      <c r="X64" t="s">
        <v>1460</v>
      </c>
    </row>
    <row r="65" spans="1:24" hidden="1" x14ac:dyDescent="0.35">
      <c r="A65" t="s">
        <v>82</v>
      </c>
      <c r="B65">
        <v>2023</v>
      </c>
      <c r="C65" t="s">
        <v>1308</v>
      </c>
      <c r="D65" t="s">
        <v>1311</v>
      </c>
      <c r="E65" t="s">
        <v>1359</v>
      </c>
      <c r="F65" t="s">
        <v>1364</v>
      </c>
      <c r="G65" t="s">
        <v>1371</v>
      </c>
      <c r="H65">
        <v>10.5047</v>
      </c>
      <c r="J65" t="s">
        <v>1385</v>
      </c>
      <c r="L65">
        <f>0.07/1000</f>
        <v>7.0000000000000007E-5</v>
      </c>
      <c r="O65">
        <v>55.9</v>
      </c>
      <c r="P65" t="s">
        <v>1471</v>
      </c>
      <c r="R65" s="2" t="s">
        <v>1438</v>
      </c>
      <c r="S65">
        <v>6862152</v>
      </c>
      <c r="U65">
        <v>6862152</v>
      </c>
      <c r="V65">
        <v>1.5308171547351329E-6</v>
      </c>
      <c r="W65" t="s">
        <v>9</v>
      </c>
      <c r="X65" t="s">
        <v>1456</v>
      </c>
    </row>
    <row r="66" spans="1:24" hidden="1" x14ac:dyDescent="0.35">
      <c r="A66" t="s">
        <v>83</v>
      </c>
      <c r="B66">
        <v>2023</v>
      </c>
      <c r="C66" t="s">
        <v>1308</v>
      </c>
      <c r="D66" t="s">
        <v>1312</v>
      </c>
      <c r="E66" t="s">
        <v>1359</v>
      </c>
      <c r="F66" t="s">
        <v>1364</v>
      </c>
      <c r="G66" t="s">
        <v>1371</v>
      </c>
      <c r="H66">
        <v>46.026699999999998</v>
      </c>
      <c r="J66" t="s">
        <v>1385</v>
      </c>
      <c r="L66">
        <f t="shared" ref="L66:L97" si="1">0.07/1000</f>
        <v>7.0000000000000007E-5</v>
      </c>
      <c r="O66">
        <v>56.9</v>
      </c>
      <c r="P66" t="s">
        <v>1471</v>
      </c>
      <c r="R66" s="2" t="s">
        <v>1438</v>
      </c>
      <c r="S66">
        <v>6862152</v>
      </c>
      <c r="U66">
        <v>6862152</v>
      </c>
      <c r="V66">
        <v>6.7073273806817454E-6</v>
      </c>
      <c r="W66" t="s">
        <v>9</v>
      </c>
      <c r="X66" t="s">
        <v>1456</v>
      </c>
    </row>
    <row r="67" spans="1:24" hidden="1" x14ac:dyDescent="0.35">
      <c r="A67" t="s">
        <v>84</v>
      </c>
      <c r="B67">
        <v>2023</v>
      </c>
      <c r="C67" t="s">
        <v>1308</v>
      </c>
      <c r="D67" t="s">
        <v>1313</v>
      </c>
      <c r="E67" t="s">
        <v>1359</v>
      </c>
      <c r="F67" t="s">
        <v>1364</v>
      </c>
      <c r="G67" t="s">
        <v>1371</v>
      </c>
      <c r="H67">
        <v>13.138199999999999</v>
      </c>
      <c r="J67" t="s">
        <v>1385</v>
      </c>
      <c r="L67">
        <f t="shared" si="1"/>
        <v>7.0000000000000007E-5</v>
      </c>
      <c r="O67">
        <v>57.9</v>
      </c>
      <c r="P67" t="s">
        <v>1471</v>
      </c>
      <c r="R67" s="2" t="s">
        <v>1438</v>
      </c>
      <c r="S67">
        <v>6862152</v>
      </c>
      <c r="U67">
        <v>6862152</v>
      </c>
      <c r="V67">
        <v>1.914588892813799E-6</v>
      </c>
      <c r="W67" t="s">
        <v>9</v>
      </c>
      <c r="X67" t="s">
        <v>1456</v>
      </c>
    </row>
    <row r="68" spans="1:24" hidden="1" x14ac:dyDescent="0.35">
      <c r="A68" t="s">
        <v>85</v>
      </c>
      <c r="B68">
        <v>2023</v>
      </c>
      <c r="C68" t="s">
        <v>1308</v>
      </c>
      <c r="D68" t="s">
        <v>1314</v>
      </c>
      <c r="E68" t="s">
        <v>1359</v>
      </c>
      <c r="F68" t="s">
        <v>1364</v>
      </c>
      <c r="G68" t="s">
        <v>1371</v>
      </c>
      <c r="H68">
        <v>13.138199999999999</v>
      </c>
      <c r="J68" t="s">
        <v>1385</v>
      </c>
      <c r="L68">
        <f t="shared" si="1"/>
        <v>7.0000000000000007E-5</v>
      </c>
      <c r="O68">
        <v>58.9</v>
      </c>
      <c r="P68" t="s">
        <v>1471</v>
      </c>
      <c r="R68" s="2" t="s">
        <v>1438</v>
      </c>
      <c r="S68">
        <v>6862152</v>
      </c>
      <c r="U68">
        <v>6862152</v>
      </c>
      <c r="V68">
        <v>1.914588892813799E-6</v>
      </c>
      <c r="W68" t="s">
        <v>9</v>
      </c>
      <c r="X68" t="s">
        <v>1456</v>
      </c>
    </row>
    <row r="69" spans="1:24" hidden="1" x14ac:dyDescent="0.35">
      <c r="A69" t="s">
        <v>86</v>
      </c>
      <c r="B69">
        <v>2023</v>
      </c>
      <c r="C69" t="s">
        <v>1308</v>
      </c>
      <c r="D69" t="s">
        <v>1315</v>
      </c>
      <c r="E69" t="s">
        <v>1359</v>
      </c>
      <c r="F69" t="s">
        <v>1364</v>
      </c>
      <c r="G69" t="s">
        <v>1371</v>
      </c>
      <c r="H69">
        <v>13.138199999999999</v>
      </c>
      <c r="J69" t="s">
        <v>1385</v>
      </c>
      <c r="L69">
        <f t="shared" si="1"/>
        <v>7.0000000000000007E-5</v>
      </c>
      <c r="O69">
        <v>59.9</v>
      </c>
      <c r="P69" t="s">
        <v>1471</v>
      </c>
      <c r="R69" s="2" t="s">
        <v>1438</v>
      </c>
      <c r="S69">
        <v>6862152</v>
      </c>
      <c r="U69">
        <v>6862152</v>
      </c>
      <c r="V69">
        <v>1.914588892813799E-6</v>
      </c>
      <c r="W69" t="s">
        <v>9</v>
      </c>
      <c r="X69" t="s">
        <v>1456</v>
      </c>
    </row>
    <row r="70" spans="1:24" hidden="1" x14ac:dyDescent="0.35">
      <c r="A70" t="s">
        <v>423</v>
      </c>
      <c r="B70">
        <v>2023</v>
      </c>
      <c r="C70" t="s">
        <v>1308</v>
      </c>
      <c r="D70" t="s">
        <v>1317</v>
      </c>
      <c r="E70" t="s">
        <v>1359</v>
      </c>
      <c r="F70" t="s">
        <v>1366</v>
      </c>
      <c r="G70" t="s">
        <v>1372</v>
      </c>
      <c r="H70">
        <v>24.093599999999999</v>
      </c>
      <c r="J70" t="s">
        <v>1385</v>
      </c>
      <c r="L70">
        <f t="shared" si="1"/>
        <v>7.0000000000000007E-5</v>
      </c>
      <c r="O70">
        <v>60.9</v>
      </c>
      <c r="P70" t="s">
        <v>1471</v>
      </c>
      <c r="R70" s="2" t="s">
        <v>1438</v>
      </c>
      <c r="S70">
        <v>6862152</v>
      </c>
      <c r="U70">
        <v>6862152</v>
      </c>
      <c r="V70">
        <v>3.5110851522962469E-6</v>
      </c>
      <c r="W70" t="s">
        <v>9</v>
      </c>
      <c r="X70" t="s">
        <v>1457</v>
      </c>
    </row>
    <row r="71" spans="1:24" hidden="1" x14ac:dyDescent="0.35">
      <c r="A71" t="s">
        <v>424</v>
      </c>
      <c r="B71">
        <v>2023</v>
      </c>
      <c r="C71" t="s">
        <v>1308</v>
      </c>
      <c r="D71" t="s">
        <v>1318</v>
      </c>
      <c r="E71" t="s">
        <v>1359</v>
      </c>
      <c r="F71" t="s">
        <v>1366</v>
      </c>
      <c r="G71" t="s">
        <v>1372</v>
      </c>
      <c r="H71">
        <v>0.4708</v>
      </c>
      <c r="J71" t="s">
        <v>1385</v>
      </c>
      <c r="L71">
        <f t="shared" si="1"/>
        <v>7.0000000000000007E-5</v>
      </c>
      <c r="O71">
        <v>61.9</v>
      </c>
      <c r="P71" t="s">
        <v>1471</v>
      </c>
      <c r="R71" s="2" t="s">
        <v>1438</v>
      </c>
      <c r="S71">
        <v>6862152</v>
      </c>
      <c r="U71">
        <v>6862152</v>
      </c>
      <c r="V71">
        <v>6.8608215032252275E-8</v>
      </c>
      <c r="W71" t="s">
        <v>9</v>
      </c>
      <c r="X71" t="s">
        <v>1457</v>
      </c>
    </row>
    <row r="72" spans="1:24" hidden="1" x14ac:dyDescent="0.35">
      <c r="A72" t="s">
        <v>425</v>
      </c>
      <c r="B72">
        <v>2023</v>
      </c>
      <c r="C72" t="s">
        <v>1308</v>
      </c>
      <c r="D72" t="s">
        <v>1311</v>
      </c>
      <c r="E72" t="s">
        <v>1359</v>
      </c>
      <c r="F72" t="s">
        <v>1366</v>
      </c>
      <c r="G72" t="s">
        <v>1371</v>
      </c>
      <c r="H72">
        <v>225.22970000000001</v>
      </c>
      <c r="J72" t="s">
        <v>1385</v>
      </c>
      <c r="L72">
        <f t="shared" si="1"/>
        <v>7.0000000000000007E-5</v>
      </c>
      <c r="O72">
        <v>62.9</v>
      </c>
      <c r="P72" t="s">
        <v>1471</v>
      </c>
      <c r="R72" s="2" t="s">
        <v>1438</v>
      </c>
      <c r="S72">
        <v>6862152</v>
      </c>
      <c r="U72">
        <v>6862152</v>
      </c>
      <c r="V72">
        <v>3.2822021430012047E-5</v>
      </c>
      <c r="W72" t="s">
        <v>9</v>
      </c>
      <c r="X72" t="s">
        <v>1456</v>
      </c>
    </row>
    <row r="73" spans="1:24" hidden="1" x14ac:dyDescent="0.35">
      <c r="A73" t="s">
        <v>426</v>
      </c>
      <c r="B73">
        <v>2023</v>
      </c>
      <c r="C73" t="s">
        <v>1308</v>
      </c>
      <c r="D73" t="s">
        <v>1320</v>
      </c>
      <c r="E73" t="s">
        <v>1359</v>
      </c>
      <c r="F73" t="s">
        <v>1366</v>
      </c>
      <c r="G73" t="s">
        <v>1372</v>
      </c>
      <c r="H73">
        <v>67.809899999999999</v>
      </c>
      <c r="J73" t="s">
        <v>1385</v>
      </c>
      <c r="L73">
        <f t="shared" si="1"/>
        <v>7.0000000000000007E-5</v>
      </c>
      <c r="O73">
        <v>63.9</v>
      </c>
      <c r="P73" t="s">
        <v>1471</v>
      </c>
      <c r="R73" s="2" t="s">
        <v>1438</v>
      </c>
      <c r="S73">
        <v>6862152</v>
      </c>
      <c r="U73">
        <v>6862152</v>
      </c>
      <c r="V73">
        <v>9.8817251497780873E-6</v>
      </c>
      <c r="W73" t="s">
        <v>9</v>
      </c>
      <c r="X73" t="s">
        <v>1457</v>
      </c>
    </row>
    <row r="74" spans="1:24" hidden="1" x14ac:dyDescent="0.35">
      <c r="A74" t="s">
        <v>427</v>
      </c>
      <c r="B74">
        <v>2023</v>
      </c>
      <c r="C74" t="s">
        <v>1308</v>
      </c>
      <c r="D74" t="s">
        <v>1321</v>
      </c>
      <c r="E74" t="s">
        <v>1359</v>
      </c>
      <c r="F74" t="s">
        <v>1366</v>
      </c>
      <c r="G74" t="s">
        <v>1371</v>
      </c>
      <c r="H74">
        <v>3.5792999999999999</v>
      </c>
      <c r="J74" t="s">
        <v>1385</v>
      </c>
      <c r="L74">
        <f t="shared" si="1"/>
        <v>7.0000000000000007E-5</v>
      </c>
      <c r="O74">
        <v>64.900000000000006</v>
      </c>
      <c r="P74" t="s">
        <v>1471</v>
      </c>
      <c r="R74" s="2" t="s">
        <v>1438</v>
      </c>
      <c r="S74">
        <v>6862152</v>
      </c>
      <c r="U74">
        <v>6862152</v>
      </c>
      <c r="V74">
        <v>5.2160022103853139E-7</v>
      </c>
      <c r="W74" t="s">
        <v>9</v>
      </c>
      <c r="X74" t="s">
        <v>1456</v>
      </c>
    </row>
    <row r="75" spans="1:24" hidden="1" x14ac:dyDescent="0.35">
      <c r="A75" t="s">
        <v>428</v>
      </c>
      <c r="B75">
        <v>2023</v>
      </c>
      <c r="C75" t="s">
        <v>1308</v>
      </c>
      <c r="D75" t="s">
        <v>1322</v>
      </c>
      <c r="E75" t="s">
        <v>1359</v>
      </c>
      <c r="F75" t="s">
        <v>1366</v>
      </c>
      <c r="G75" t="s">
        <v>1372</v>
      </c>
      <c r="H75">
        <v>18.4635</v>
      </c>
      <c r="J75" t="s">
        <v>1385</v>
      </c>
      <c r="L75">
        <f t="shared" si="1"/>
        <v>7.0000000000000007E-5</v>
      </c>
      <c r="O75">
        <v>65.900000000000006</v>
      </c>
      <c r="P75" t="s">
        <v>1471</v>
      </c>
      <c r="R75" s="2" t="s">
        <v>1438</v>
      </c>
      <c r="S75">
        <v>6862152</v>
      </c>
      <c r="U75">
        <v>6862152</v>
      </c>
      <c r="V75">
        <v>2.690628246066248E-6</v>
      </c>
      <c r="W75" t="s">
        <v>9</v>
      </c>
      <c r="X75" t="s">
        <v>1457</v>
      </c>
    </row>
    <row r="76" spans="1:24" hidden="1" x14ac:dyDescent="0.35">
      <c r="A76" t="s">
        <v>429</v>
      </c>
      <c r="B76">
        <v>2023</v>
      </c>
      <c r="C76" t="s">
        <v>1308</v>
      </c>
      <c r="D76" t="s">
        <v>1323</v>
      </c>
      <c r="E76" t="s">
        <v>1359</v>
      </c>
      <c r="F76" t="s">
        <v>1366</v>
      </c>
      <c r="G76" t="s">
        <v>1371</v>
      </c>
      <c r="H76">
        <v>2.0802999999999998</v>
      </c>
      <c r="J76" t="s">
        <v>1385</v>
      </c>
      <c r="L76">
        <f t="shared" si="1"/>
        <v>7.0000000000000007E-5</v>
      </c>
      <c r="O76">
        <v>66.900000000000006</v>
      </c>
      <c r="P76" t="s">
        <v>1471</v>
      </c>
      <c r="R76" s="2" t="s">
        <v>1438</v>
      </c>
      <c r="S76">
        <v>6862152</v>
      </c>
      <c r="U76">
        <v>6862152</v>
      </c>
      <c r="V76">
        <v>3.0315562814697201E-7</v>
      </c>
      <c r="W76" t="s">
        <v>9</v>
      </c>
      <c r="X76" t="s">
        <v>1456</v>
      </c>
    </row>
    <row r="77" spans="1:24" hidden="1" x14ac:dyDescent="0.35">
      <c r="A77" t="s">
        <v>430</v>
      </c>
      <c r="B77">
        <v>2023</v>
      </c>
      <c r="C77" t="s">
        <v>1308</v>
      </c>
      <c r="D77" t="s">
        <v>1330</v>
      </c>
      <c r="E77" t="s">
        <v>1359</v>
      </c>
      <c r="F77" t="s">
        <v>1366</v>
      </c>
      <c r="G77" t="s">
        <v>1371</v>
      </c>
      <c r="H77">
        <v>1.652E-4</v>
      </c>
      <c r="J77" t="s">
        <v>1385</v>
      </c>
      <c r="L77">
        <f t="shared" si="1"/>
        <v>7.0000000000000007E-5</v>
      </c>
      <c r="O77">
        <v>67.900000000000006</v>
      </c>
      <c r="P77" t="s">
        <v>1471</v>
      </c>
      <c r="R77" s="2" t="s">
        <v>1438</v>
      </c>
      <c r="S77">
        <v>6862152</v>
      </c>
      <c r="U77">
        <v>6862152</v>
      </c>
      <c r="V77">
        <v>2.4074080550824291E-11</v>
      </c>
      <c r="W77" t="s">
        <v>9</v>
      </c>
      <c r="X77" t="s">
        <v>1456</v>
      </c>
    </row>
    <row r="78" spans="1:24" hidden="1" x14ac:dyDescent="0.35">
      <c r="A78" t="s">
        <v>431</v>
      </c>
      <c r="B78">
        <v>2023</v>
      </c>
      <c r="C78" t="s">
        <v>1308</v>
      </c>
      <c r="D78" t="s">
        <v>1312</v>
      </c>
      <c r="E78" t="s">
        <v>1359</v>
      </c>
      <c r="F78" t="s">
        <v>1366</v>
      </c>
      <c r="G78" t="s">
        <v>1371</v>
      </c>
      <c r="H78">
        <v>47.6999</v>
      </c>
      <c r="J78" t="s">
        <v>1385</v>
      </c>
      <c r="L78">
        <f t="shared" si="1"/>
        <v>7.0000000000000007E-5</v>
      </c>
      <c r="O78">
        <v>68.900000000000006</v>
      </c>
      <c r="P78" t="s">
        <v>1471</v>
      </c>
      <c r="R78" s="2" t="s">
        <v>1438</v>
      </c>
      <c r="S78">
        <v>6862152</v>
      </c>
      <c r="U78">
        <v>6862152</v>
      </c>
      <c r="V78">
        <v>6.9511575960427578E-6</v>
      </c>
      <c r="W78" t="s">
        <v>9</v>
      </c>
      <c r="X78" t="s">
        <v>1456</v>
      </c>
    </row>
    <row r="79" spans="1:24" hidden="1" x14ac:dyDescent="0.35">
      <c r="A79" t="s">
        <v>432</v>
      </c>
      <c r="B79">
        <v>2023</v>
      </c>
      <c r="C79" t="s">
        <v>1308</v>
      </c>
      <c r="D79" t="s">
        <v>1332</v>
      </c>
      <c r="E79" t="s">
        <v>1359</v>
      </c>
      <c r="F79" t="s">
        <v>1366</v>
      </c>
      <c r="G79" t="s">
        <v>1371</v>
      </c>
      <c r="H79">
        <v>5.2515000000000001</v>
      </c>
      <c r="J79" t="s">
        <v>1385</v>
      </c>
      <c r="L79">
        <f t="shared" si="1"/>
        <v>7.0000000000000007E-5</v>
      </c>
      <c r="O79">
        <v>69.900000000000006</v>
      </c>
      <c r="P79" t="s">
        <v>1471</v>
      </c>
      <c r="R79" s="2" t="s">
        <v>1438</v>
      </c>
      <c r="S79">
        <v>6862152</v>
      </c>
      <c r="U79">
        <v>6862152</v>
      </c>
      <c r="V79">
        <v>7.6528470951969592E-7</v>
      </c>
      <c r="W79" t="s">
        <v>9</v>
      </c>
      <c r="X79" t="s">
        <v>1456</v>
      </c>
    </row>
    <row r="80" spans="1:24" hidden="1" x14ac:dyDescent="0.35">
      <c r="A80" t="s">
        <v>433</v>
      </c>
      <c r="B80">
        <v>2023</v>
      </c>
      <c r="C80" t="s">
        <v>1308</v>
      </c>
      <c r="D80" t="s">
        <v>1313</v>
      </c>
      <c r="E80" t="s">
        <v>1359</v>
      </c>
      <c r="F80" t="s">
        <v>1366</v>
      </c>
      <c r="G80" t="s">
        <v>1371</v>
      </c>
      <c r="H80">
        <v>1118.9567999999999</v>
      </c>
      <c r="J80" t="s">
        <v>1385</v>
      </c>
      <c r="L80">
        <f t="shared" si="1"/>
        <v>7.0000000000000007E-5</v>
      </c>
      <c r="O80">
        <v>70.900000000000006</v>
      </c>
      <c r="P80" t="s">
        <v>1471</v>
      </c>
      <c r="R80" s="2" t="s">
        <v>1438</v>
      </c>
      <c r="S80">
        <v>6862152</v>
      </c>
      <c r="U80">
        <v>6862152</v>
      </c>
      <c r="V80">
        <v>1.630620831482602E-4</v>
      </c>
      <c r="W80" t="s">
        <v>9</v>
      </c>
      <c r="X80" t="s">
        <v>1456</v>
      </c>
    </row>
    <row r="81" spans="1:24" hidden="1" x14ac:dyDescent="0.35">
      <c r="A81" t="s">
        <v>434</v>
      </c>
      <c r="B81">
        <v>2023</v>
      </c>
      <c r="C81" t="s">
        <v>1308</v>
      </c>
      <c r="D81" t="s">
        <v>1314</v>
      </c>
      <c r="E81" t="s">
        <v>1359</v>
      </c>
      <c r="F81" t="s">
        <v>1366</v>
      </c>
      <c r="G81" t="s">
        <v>1371</v>
      </c>
      <c r="H81">
        <v>390.44569999999999</v>
      </c>
      <c r="J81" t="s">
        <v>1385</v>
      </c>
      <c r="L81">
        <f t="shared" si="1"/>
        <v>7.0000000000000007E-5</v>
      </c>
      <c r="O81">
        <v>71.900000000000006</v>
      </c>
      <c r="P81" t="s">
        <v>1471</v>
      </c>
      <c r="R81" s="2" t="s">
        <v>1438</v>
      </c>
      <c r="S81">
        <v>6862152</v>
      </c>
      <c r="U81">
        <v>6862152</v>
      </c>
      <c r="V81">
        <v>5.6898433610913888E-5</v>
      </c>
      <c r="W81" t="s">
        <v>9</v>
      </c>
      <c r="X81" t="s">
        <v>1456</v>
      </c>
    </row>
    <row r="82" spans="1:24" hidden="1" x14ac:dyDescent="0.35">
      <c r="A82" t="s">
        <v>435</v>
      </c>
      <c r="B82">
        <v>2023</v>
      </c>
      <c r="C82" t="s">
        <v>1308</v>
      </c>
      <c r="D82" t="s">
        <v>1325</v>
      </c>
      <c r="E82" t="s">
        <v>1359</v>
      </c>
      <c r="F82" t="s">
        <v>1366</v>
      </c>
      <c r="G82" t="s">
        <v>1372</v>
      </c>
      <c r="H82">
        <v>4.1532</v>
      </c>
      <c r="J82" t="s">
        <v>1385</v>
      </c>
      <c r="L82">
        <f t="shared" si="1"/>
        <v>7.0000000000000007E-5</v>
      </c>
      <c r="O82">
        <v>72.900000000000006</v>
      </c>
      <c r="P82" t="s">
        <v>1471</v>
      </c>
      <c r="R82" s="2" t="s">
        <v>1438</v>
      </c>
      <c r="S82">
        <v>6862152</v>
      </c>
      <c r="U82">
        <v>6862152</v>
      </c>
      <c r="V82">
        <v>6.0523287738307169E-7</v>
      </c>
      <c r="W82" t="s">
        <v>9</v>
      </c>
      <c r="X82" t="s">
        <v>1457</v>
      </c>
    </row>
    <row r="83" spans="1:24" hidden="1" x14ac:dyDescent="0.35">
      <c r="A83" t="s">
        <v>436</v>
      </c>
      <c r="B83">
        <v>2023</v>
      </c>
      <c r="C83" t="s">
        <v>1308</v>
      </c>
      <c r="D83" t="s">
        <v>1334</v>
      </c>
      <c r="E83" t="s">
        <v>1359</v>
      </c>
      <c r="F83" t="s">
        <v>1366</v>
      </c>
      <c r="G83" t="s">
        <v>1372</v>
      </c>
      <c r="H83">
        <v>0.217</v>
      </c>
      <c r="J83" t="s">
        <v>1385</v>
      </c>
      <c r="L83">
        <f t="shared" si="1"/>
        <v>7.0000000000000007E-5</v>
      </c>
      <c r="O83">
        <v>73.900000000000006</v>
      </c>
      <c r="P83" t="s">
        <v>1471</v>
      </c>
      <c r="R83" s="2" t="s">
        <v>1438</v>
      </c>
      <c r="S83">
        <v>6862152</v>
      </c>
      <c r="U83">
        <v>6862152</v>
      </c>
      <c r="V83">
        <v>3.1622732926930209E-8</v>
      </c>
      <c r="W83" t="s">
        <v>9</v>
      </c>
      <c r="X83" t="s">
        <v>1457</v>
      </c>
    </row>
    <row r="84" spans="1:24" hidden="1" x14ac:dyDescent="0.35">
      <c r="A84" t="s">
        <v>437</v>
      </c>
      <c r="B84">
        <v>2023</v>
      </c>
      <c r="C84" t="s">
        <v>1308</v>
      </c>
      <c r="D84" t="s">
        <v>1315</v>
      </c>
      <c r="E84" t="s">
        <v>1359</v>
      </c>
      <c r="F84" t="s">
        <v>1366</v>
      </c>
      <c r="G84" t="s">
        <v>1371</v>
      </c>
      <c r="H84">
        <v>3955.7019</v>
      </c>
      <c r="J84" t="s">
        <v>1385</v>
      </c>
      <c r="L84">
        <f t="shared" si="1"/>
        <v>7.0000000000000007E-5</v>
      </c>
      <c r="O84">
        <v>74.900000000000006</v>
      </c>
      <c r="P84" t="s">
        <v>1471</v>
      </c>
      <c r="R84" s="2" t="s">
        <v>1438</v>
      </c>
      <c r="S84">
        <v>6862152</v>
      </c>
      <c r="U84">
        <v>6862152</v>
      </c>
      <c r="V84">
        <v>5.764520954942415E-4</v>
      </c>
      <c r="W84" t="s">
        <v>9</v>
      </c>
      <c r="X84" t="s">
        <v>1456</v>
      </c>
    </row>
    <row r="85" spans="1:24" hidden="1" x14ac:dyDescent="0.35">
      <c r="A85" t="s">
        <v>801</v>
      </c>
      <c r="B85">
        <v>2023</v>
      </c>
      <c r="C85" t="s">
        <v>1309</v>
      </c>
      <c r="D85" t="s">
        <v>1317</v>
      </c>
      <c r="E85" t="s">
        <v>1359</v>
      </c>
      <c r="F85" t="s">
        <v>1368</v>
      </c>
      <c r="G85" t="s">
        <v>1372</v>
      </c>
      <c r="H85">
        <v>2.53E-2</v>
      </c>
      <c r="J85" t="s">
        <v>1385</v>
      </c>
      <c r="L85">
        <f t="shared" si="1"/>
        <v>7.0000000000000007E-5</v>
      </c>
      <c r="O85">
        <v>75.900000000000006</v>
      </c>
      <c r="P85" t="s">
        <v>1471</v>
      </c>
      <c r="R85" s="2" t="s">
        <v>1438</v>
      </c>
      <c r="S85">
        <v>6862152</v>
      </c>
      <c r="U85">
        <v>6862152</v>
      </c>
      <c r="V85">
        <v>3.6868900601443982E-9</v>
      </c>
      <c r="W85" t="s">
        <v>9</v>
      </c>
      <c r="X85" t="s">
        <v>1457</v>
      </c>
    </row>
    <row r="86" spans="1:24" hidden="1" x14ac:dyDescent="0.35">
      <c r="A86" t="s">
        <v>802</v>
      </c>
      <c r="B86">
        <v>2023</v>
      </c>
      <c r="C86" t="s">
        <v>1309</v>
      </c>
      <c r="D86" t="s">
        <v>1318</v>
      </c>
      <c r="E86" t="s">
        <v>1359</v>
      </c>
      <c r="F86" t="s">
        <v>1368</v>
      </c>
      <c r="G86" t="s">
        <v>1372</v>
      </c>
      <c r="H86">
        <v>2.9999999999999997E-4</v>
      </c>
      <c r="J86" t="s">
        <v>1385</v>
      </c>
      <c r="L86">
        <f t="shared" si="1"/>
        <v>7.0000000000000007E-5</v>
      </c>
      <c r="O86">
        <v>76.900000000000006</v>
      </c>
      <c r="P86" t="s">
        <v>1471</v>
      </c>
      <c r="R86" s="2" t="s">
        <v>1438</v>
      </c>
      <c r="S86">
        <v>6862152</v>
      </c>
      <c r="U86">
        <v>6862152</v>
      </c>
      <c r="V86">
        <v>4.3718063954281391E-11</v>
      </c>
      <c r="W86" t="s">
        <v>9</v>
      </c>
      <c r="X86" t="s">
        <v>1457</v>
      </c>
    </row>
    <row r="87" spans="1:24" hidden="1" x14ac:dyDescent="0.35">
      <c r="A87" t="s">
        <v>803</v>
      </c>
      <c r="B87">
        <v>2023</v>
      </c>
      <c r="C87" t="s">
        <v>1309</v>
      </c>
      <c r="D87" t="s">
        <v>1320</v>
      </c>
      <c r="E87" t="s">
        <v>1359</v>
      </c>
      <c r="F87" t="s">
        <v>1368</v>
      </c>
      <c r="G87" t="s">
        <v>1372</v>
      </c>
      <c r="H87">
        <v>2.3999999999999998E-3</v>
      </c>
      <c r="J87" t="s">
        <v>1385</v>
      </c>
      <c r="L87">
        <f t="shared" si="1"/>
        <v>7.0000000000000007E-5</v>
      </c>
      <c r="O87">
        <v>77.900000000000006</v>
      </c>
      <c r="P87" t="s">
        <v>1471</v>
      </c>
      <c r="R87" s="2" t="s">
        <v>1438</v>
      </c>
      <c r="S87">
        <v>6862152</v>
      </c>
      <c r="U87">
        <v>6862152</v>
      </c>
      <c r="V87">
        <v>3.4974451163425112E-10</v>
      </c>
      <c r="W87" t="s">
        <v>9</v>
      </c>
      <c r="X87" t="s">
        <v>1457</v>
      </c>
    </row>
    <row r="88" spans="1:24" hidden="1" x14ac:dyDescent="0.35">
      <c r="A88" t="s">
        <v>804</v>
      </c>
      <c r="B88">
        <v>2023</v>
      </c>
      <c r="C88" t="s">
        <v>1309</v>
      </c>
      <c r="D88" t="s">
        <v>1321</v>
      </c>
      <c r="E88" t="s">
        <v>1359</v>
      </c>
      <c r="F88" t="s">
        <v>1368</v>
      </c>
      <c r="G88" t="s">
        <v>1371</v>
      </c>
      <c r="H88">
        <v>1E-4</v>
      </c>
      <c r="J88" t="s">
        <v>1385</v>
      </c>
      <c r="L88">
        <f t="shared" si="1"/>
        <v>7.0000000000000007E-5</v>
      </c>
      <c r="O88">
        <v>78.900000000000006</v>
      </c>
      <c r="P88" t="s">
        <v>1471</v>
      </c>
      <c r="R88" s="2" t="s">
        <v>1438</v>
      </c>
      <c r="S88">
        <v>6862152</v>
      </c>
      <c r="U88">
        <v>6862152</v>
      </c>
      <c r="V88">
        <v>1.4572687984760469E-11</v>
      </c>
      <c r="W88" t="s">
        <v>9</v>
      </c>
      <c r="X88" t="s">
        <v>1456</v>
      </c>
    </row>
    <row r="89" spans="1:24" hidden="1" x14ac:dyDescent="0.35">
      <c r="A89" t="s">
        <v>805</v>
      </c>
      <c r="B89">
        <v>2023</v>
      </c>
      <c r="C89" t="s">
        <v>1309</v>
      </c>
      <c r="D89" t="s">
        <v>1322</v>
      </c>
      <c r="E89" t="s">
        <v>1359</v>
      </c>
      <c r="F89" t="s">
        <v>1368</v>
      </c>
      <c r="G89" t="s">
        <v>1372</v>
      </c>
      <c r="H89">
        <v>1.9E-3</v>
      </c>
      <c r="J89" t="s">
        <v>1385</v>
      </c>
      <c r="L89">
        <f t="shared" si="1"/>
        <v>7.0000000000000007E-5</v>
      </c>
      <c r="O89">
        <v>79.900000000000006</v>
      </c>
      <c r="P89" t="s">
        <v>1471</v>
      </c>
      <c r="R89" s="2" t="s">
        <v>1438</v>
      </c>
      <c r="S89">
        <v>6862152</v>
      </c>
      <c r="U89">
        <v>6862152</v>
      </c>
      <c r="V89">
        <v>2.7688107171044892E-10</v>
      </c>
      <c r="W89" t="s">
        <v>9</v>
      </c>
      <c r="X89" t="s">
        <v>1457</v>
      </c>
    </row>
    <row r="90" spans="1:24" hidden="1" x14ac:dyDescent="0.35">
      <c r="A90" t="s">
        <v>806</v>
      </c>
      <c r="B90">
        <v>2023</v>
      </c>
      <c r="C90" t="s">
        <v>1309</v>
      </c>
      <c r="D90" t="s">
        <v>1323</v>
      </c>
      <c r="E90" t="s">
        <v>1359</v>
      </c>
      <c r="F90" t="s">
        <v>1368</v>
      </c>
      <c r="G90" t="s">
        <v>1371</v>
      </c>
      <c r="H90">
        <v>1E-4</v>
      </c>
      <c r="J90" t="s">
        <v>1385</v>
      </c>
      <c r="L90">
        <f t="shared" si="1"/>
        <v>7.0000000000000007E-5</v>
      </c>
      <c r="O90">
        <v>80.900000000000006</v>
      </c>
      <c r="P90" t="s">
        <v>1471</v>
      </c>
      <c r="R90" s="2" t="s">
        <v>1438</v>
      </c>
      <c r="S90">
        <v>6862152</v>
      </c>
      <c r="U90">
        <v>6862152</v>
      </c>
      <c r="V90">
        <v>1.4572687984760469E-11</v>
      </c>
      <c r="W90" t="s">
        <v>9</v>
      </c>
      <c r="X90" t="s">
        <v>1456</v>
      </c>
    </row>
    <row r="91" spans="1:24" hidden="1" x14ac:dyDescent="0.35">
      <c r="A91" t="s">
        <v>807</v>
      </c>
      <c r="B91">
        <v>2023</v>
      </c>
      <c r="C91" t="s">
        <v>1309</v>
      </c>
      <c r="D91" t="s">
        <v>1330</v>
      </c>
      <c r="E91" t="s">
        <v>1359</v>
      </c>
      <c r="F91" t="s">
        <v>1368</v>
      </c>
      <c r="G91" t="s">
        <v>1371</v>
      </c>
      <c r="H91">
        <v>9.9999999999999995E-8</v>
      </c>
      <c r="J91" t="s">
        <v>1385</v>
      </c>
      <c r="L91">
        <f t="shared" si="1"/>
        <v>7.0000000000000007E-5</v>
      </c>
      <c r="O91">
        <v>81.900000000000006</v>
      </c>
      <c r="P91" t="s">
        <v>1471</v>
      </c>
      <c r="R91" s="2" t="s">
        <v>1438</v>
      </c>
      <c r="S91">
        <v>6862152</v>
      </c>
      <c r="U91">
        <v>6862152</v>
      </c>
      <c r="V91">
        <v>1.457268798476047E-14</v>
      </c>
      <c r="W91" t="s">
        <v>9</v>
      </c>
      <c r="X91" t="s">
        <v>1456</v>
      </c>
    </row>
    <row r="92" spans="1:24" hidden="1" x14ac:dyDescent="0.35">
      <c r="A92" t="s">
        <v>808</v>
      </c>
      <c r="B92">
        <v>2023</v>
      </c>
      <c r="C92" t="s">
        <v>1309</v>
      </c>
      <c r="D92" t="s">
        <v>1332</v>
      </c>
      <c r="E92" t="s">
        <v>1359</v>
      </c>
      <c r="F92" t="s">
        <v>1368</v>
      </c>
      <c r="G92" t="s">
        <v>1371</v>
      </c>
      <c r="H92">
        <v>2.0999999999999999E-3</v>
      </c>
      <c r="J92" t="s">
        <v>1385</v>
      </c>
      <c r="L92">
        <f t="shared" si="1"/>
        <v>7.0000000000000007E-5</v>
      </c>
      <c r="O92">
        <v>82.9</v>
      </c>
      <c r="P92" t="s">
        <v>1471</v>
      </c>
      <c r="R92" s="2" t="s">
        <v>1438</v>
      </c>
      <c r="S92">
        <v>6862152</v>
      </c>
      <c r="U92">
        <v>6862152</v>
      </c>
      <c r="V92">
        <v>3.0602644767996981E-10</v>
      </c>
      <c r="W92" t="s">
        <v>9</v>
      </c>
      <c r="X92" t="s">
        <v>1456</v>
      </c>
    </row>
    <row r="93" spans="1:24" hidden="1" x14ac:dyDescent="0.35">
      <c r="A93" t="s">
        <v>809</v>
      </c>
      <c r="B93">
        <v>2023</v>
      </c>
      <c r="C93" t="s">
        <v>1309</v>
      </c>
      <c r="D93" t="s">
        <v>1325</v>
      </c>
      <c r="E93" t="s">
        <v>1359</v>
      </c>
      <c r="F93" t="s">
        <v>1368</v>
      </c>
      <c r="G93" t="s">
        <v>1372</v>
      </c>
      <c r="H93">
        <v>0.52549999999999997</v>
      </c>
      <c r="J93" t="s">
        <v>1385</v>
      </c>
      <c r="L93">
        <f t="shared" si="1"/>
        <v>7.0000000000000007E-5</v>
      </c>
      <c r="O93">
        <v>83.9</v>
      </c>
      <c r="P93" t="s">
        <v>1471</v>
      </c>
      <c r="R93" s="2" t="s">
        <v>1438</v>
      </c>
      <c r="S93">
        <v>6862152</v>
      </c>
      <c r="U93">
        <v>6862152</v>
      </c>
      <c r="V93">
        <v>7.657947535991624E-8</v>
      </c>
      <c r="W93" t="s">
        <v>9</v>
      </c>
      <c r="X93" t="s">
        <v>1457</v>
      </c>
    </row>
    <row r="94" spans="1:24" hidden="1" x14ac:dyDescent="0.35">
      <c r="A94" t="s">
        <v>810</v>
      </c>
      <c r="B94">
        <v>2023</v>
      </c>
      <c r="C94" t="s">
        <v>1309</v>
      </c>
      <c r="D94" t="s">
        <v>1334</v>
      </c>
      <c r="E94" t="s">
        <v>1359</v>
      </c>
      <c r="F94" t="s">
        <v>1368</v>
      </c>
      <c r="G94" t="s">
        <v>1372</v>
      </c>
      <c r="H94">
        <v>2.0000000000000001E-4</v>
      </c>
      <c r="J94" t="s">
        <v>1385</v>
      </c>
      <c r="L94">
        <f t="shared" si="1"/>
        <v>7.0000000000000007E-5</v>
      </c>
      <c r="O94">
        <v>84.9</v>
      </c>
      <c r="P94" t="s">
        <v>1471</v>
      </c>
      <c r="R94" s="2" t="s">
        <v>1438</v>
      </c>
      <c r="S94">
        <v>6862152</v>
      </c>
      <c r="U94">
        <v>6862152</v>
      </c>
      <c r="V94">
        <v>2.9145375969520931E-11</v>
      </c>
      <c r="W94" t="s">
        <v>9</v>
      </c>
      <c r="X94" t="s">
        <v>1457</v>
      </c>
    </row>
    <row r="95" spans="1:24" hidden="1" x14ac:dyDescent="0.35">
      <c r="A95" t="s">
        <v>1045</v>
      </c>
      <c r="B95">
        <v>2023</v>
      </c>
      <c r="C95" t="s">
        <v>1308</v>
      </c>
      <c r="D95" t="s">
        <v>1347</v>
      </c>
      <c r="E95" t="s">
        <v>1359</v>
      </c>
      <c r="F95" t="s">
        <v>1370</v>
      </c>
      <c r="G95" t="s">
        <v>1375</v>
      </c>
      <c r="H95">
        <v>70400</v>
      </c>
      <c r="J95" t="s">
        <v>1385</v>
      </c>
      <c r="L95">
        <f t="shared" si="1"/>
        <v>7.0000000000000007E-5</v>
      </c>
      <c r="O95">
        <v>85.9</v>
      </c>
      <c r="P95" t="s">
        <v>1471</v>
      </c>
      <c r="R95" s="2" t="s">
        <v>1439</v>
      </c>
      <c r="S95">
        <v>6862152</v>
      </c>
      <c r="U95">
        <v>6862152</v>
      </c>
      <c r="V95">
        <v>1.0259172341271369E-2</v>
      </c>
      <c r="W95" t="s">
        <v>9</v>
      </c>
      <c r="X95" t="s">
        <v>1460</v>
      </c>
    </row>
    <row r="96" spans="1:24" hidden="1" x14ac:dyDescent="0.35">
      <c r="A96" t="s">
        <v>1170</v>
      </c>
      <c r="B96">
        <v>2023</v>
      </c>
      <c r="C96" t="s">
        <v>1308</v>
      </c>
      <c r="D96" t="s">
        <v>1347</v>
      </c>
      <c r="E96" t="s">
        <v>1359</v>
      </c>
      <c r="G96" t="s">
        <v>1375</v>
      </c>
      <c r="H96">
        <v>67000</v>
      </c>
      <c r="J96" t="s">
        <v>1385</v>
      </c>
      <c r="L96">
        <f t="shared" si="1"/>
        <v>7.0000000000000007E-5</v>
      </c>
      <c r="O96">
        <v>86.9</v>
      </c>
      <c r="P96" t="s">
        <v>1471</v>
      </c>
      <c r="Q96" t="s">
        <v>1429</v>
      </c>
      <c r="R96" t="s">
        <v>1447</v>
      </c>
      <c r="S96">
        <v>6862152</v>
      </c>
      <c r="U96">
        <v>6862152</v>
      </c>
      <c r="V96">
        <v>9.7637009497895128E-3</v>
      </c>
      <c r="W96" t="s">
        <v>9</v>
      </c>
      <c r="X96" t="s">
        <v>1460</v>
      </c>
    </row>
    <row r="97" spans="1:24" hidden="1" x14ac:dyDescent="0.35">
      <c r="A97" t="s">
        <v>1171</v>
      </c>
      <c r="B97">
        <v>2023</v>
      </c>
      <c r="C97" t="s">
        <v>1308</v>
      </c>
      <c r="D97" t="s">
        <v>1347</v>
      </c>
      <c r="E97" t="s">
        <v>1359</v>
      </c>
      <c r="G97" t="s">
        <v>1375</v>
      </c>
      <c r="H97">
        <v>8000</v>
      </c>
      <c r="J97" t="s">
        <v>1385</v>
      </c>
      <c r="L97">
        <f t="shared" si="1"/>
        <v>7.0000000000000007E-5</v>
      </c>
      <c r="O97">
        <v>87.9</v>
      </c>
      <c r="P97" t="s">
        <v>1471</v>
      </c>
      <c r="Q97" t="s">
        <v>1429</v>
      </c>
      <c r="R97" t="s">
        <v>1447</v>
      </c>
      <c r="S97">
        <v>6862152</v>
      </c>
      <c r="U97">
        <v>6862152</v>
      </c>
      <c r="V97">
        <v>1.165815038780837E-3</v>
      </c>
      <c r="W97" t="s">
        <v>9</v>
      </c>
      <c r="X97" t="s">
        <v>1460</v>
      </c>
    </row>
    <row r="98" spans="1:24" hidden="1" x14ac:dyDescent="0.35">
      <c r="A98" t="s">
        <v>115</v>
      </c>
      <c r="B98">
        <v>2023</v>
      </c>
      <c r="C98" t="s">
        <v>1308</v>
      </c>
      <c r="D98" t="s">
        <v>1311</v>
      </c>
      <c r="E98" t="s">
        <v>1359</v>
      </c>
      <c r="F98" t="s">
        <v>1364</v>
      </c>
      <c r="G98" t="s">
        <v>1371</v>
      </c>
      <c r="H98">
        <v>7.3698480000000002</v>
      </c>
      <c r="J98" t="s">
        <v>1388</v>
      </c>
      <c r="L98">
        <v>0.25</v>
      </c>
      <c r="N98">
        <v>1.3</v>
      </c>
      <c r="O98">
        <v>82.6</v>
      </c>
      <c r="R98" s="2" t="s">
        <v>1438</v>
      </c>
      <c r="S98">
        <v>30000000</v>
      </c>
      <c r="U98">
        <v>30000000</v>
      </c>
      <c r="V98">
        <v>2.4566160000000002E-7</v>
      </c>
      <c r="W98" t="s">
        <v>9</v>
      </c>
      <c r="X98" t="s">
        <v>1456</v>
      </c>
    </row>
    <row r="99" spans="1:24" hidden="1" x14ac:dyDescent="0.35">
      <c r="A99" t="s">
        <v>116</v>
      </c>
      <c r="B99">
        <v>2023</v>
      </c>
      <c r="C99" t="s">
        <v>1308</v>
      </c>
      <c r="D99" t="s">
        <v>1319</v>
      </c>
      <c r="E99" t="s">
        <v>1359</v>
      </c>
      <c r="F99" t="s">
        <v>1364</v>
      </c>
      <c r="G99" t="s">
        <v>1371</v>
      </c>
      <c r="H99">
        <v>4.725E-3</v>
      </c>
      <c r="J99" t="s">
        <v>1388</v>
      </c>
      <c r="L99">
        <v>0.25</v>
      </c>
      <c r="N99">
        <v>1.3</v>
      </c>
      <c r="O99">
        <v>82.6</v>
      </c>
      <c r="R99" s="2" t="s">
        <v>1438</v>
      </c>
      <c r="S99">
        <v>30000000</v>
      </c>
      <c r="U99">
        <v>30000000</v>
      </c>
      <c r="V99">
        <v>1.575E-10</v>
      </c>
      <c r="W99" t="s">
        <v>9</v>
      </c>
      <c r="X99" t="s">
        <v>1456</v>
      </c>
    </row>
    <row r="100" spans="1:24" hidden="1" x14ac:dyDescent="0.35">
      <c r="A100" t="s">
        <v>117</v>
      </c>
      <c r="B100">
        <v>2023</v>
      </c>
      <c r="C100" t="s">
        <v>1308</v>
      </c>
      <c r="D100" t="s">
        <v>1320</v>
      </c>
      <c r="E100" t="s">
        <v>1359</v>
      </c>
      <c r="F100" t="s">
        <v>1364</v>
      </c>
      <c r="G100" t="s">
        <v>1372</v>
      </c>
      <c r="H100">
        <v>8.567E-3</v>
      </c>
      <c r="J100" t="s">
        <v>1388</v>
      </c>
      <c r="L100">
        <v>0.25</v>
      </c>
      <c r="N100">
        <v>1.3</v>
      </c>
      <c r="O100">
        <v>82.6</v>
      </c>
      <c r="R100" s="2" t="s">
        <v>1438</v>
      </c>
      <c r="S100">
        <v>30000000</v>
      </c>
      <c r="U100">
        <v>30000000</v>
      </c>
      <c r="V100">
        <v>2.8556666666666668E-10</v>
      </c>
      <c r="W100" t="s">
        <v>9</v>
      </c>
      <c r="X100" t="s">
        <v>1457</v>
      </c>
    </row>
    <row r="101" spans="1:24" hidden="1" x14ac:dyDescent="0.35">
      <c r="A101" t="s">
        <v>118</v>
      </c>
      <c r="B101">
        <v>2023</v>
      </c>
      <c r="C101" t="s">
        <v>1308</v>
      </c>
      <c r="D101" t="s">
        <v>1322</v>
      </c>
      <c r="E101" t="s">
        <v>1359</v>
      </c>
      <c r="F101" t="s">
        <v>1364</v>
      </c>
      <c r="G101" t="s">
        <v>1372</v>
      </c>
      <c r="H101">
        <v>2.895E-3</v>
      </c>
      <c r="J101" t="s">
        <v>1388</v>
      </c>
      <c r="L101">
        <v>0.25</v>
      </c>
      <c r="N101">
        <v>1.3</v>
      </c>
      <c r="O101">
        <v>82.6</v>
      </c>
      <c r="R101" s="2" t="s">
        <v>1438</v>
      </c>
      <c r="S101">
        <v>30000000</v>
      </c>
      <c r="U101">
        <v>30000000</v>
      </c>
      <c r="V101">
        <v>9.6500000000000003E-11</v>
      </c>
      <c r="W101" t="s">
        <v>9</v>
      </c>
      <c r="X101" t="s">
        <v>1457</v>
      </c>
    </row>
    <row r="102" spans="1:24" hidden="1" x14ac:dyDescent="0.35">
      <c r="A102" t="s">
        <v>119</v>
      </c>
      <c r="B102">
        <v>2023</v>
      </c>
      <c r="C102" t="s">
        <v>1308</v>
      </c>
      <c r="D102" t="s">
        <v>1323</v>
      </c>
      <c r="E102" t="s">
        <v>1359</v>
      </c>
      <c r="F102" t="s">
        <v>1364</v>
      </c>
      <c r="G102" t="s">
        <v>1371</v>
      </c>
      <c r="H102">
        <v>8.3879999999999996E-3</v>
      </c>
      <c r="J102" t="s">
        <v>1388</v>
      </c>
      <c r="L102">
        <v>0.25</v>
      </c>
      <c r="N102">
        <v>1.3</v>
      </c>
      <c r="O102">
        <v>82.6</v>
      </c>
      <c r="R102" s="2" t="s">
        <v>1438</v>
      </c>
      <c r="S102">
        <v>30000000</v>
      </c>
      <c r="U102">
        <v>30000000</v>
      </c>
      <c r="V102">
        <v>2.796E-10</v>
      </c>
      <c r="W102" t="s">
        <v>9</v>
      </c>
      <c r="X102" t="s">
        <v>1456</v>
      </c>
    </row>
    <row r="103" spans="1:24" hidden="1" x14ac:dyDescent="0.35">
      <c r="A103" t="s">
        <v>120</v>
      </c>
      <c r="B103">
        <v>2023</v>
      </c>
      <c r="C103" t="s">
        <v>1308</v>
      </c>
      <c r="D103" t="s">
        <v>1330</v>
      </c>
      <c r="E103" t="s">
        <v>1359</v>
      </c>
      <c r="F103" t="s">
        <v>1364</v>
      </c>
      <c r="G103" t="s">
        <v>1371</v>
      </c>
      <c r="H103">
        <v>2.29E-7</v>
      </c>
      <c r="J103" t="s">
        <v>1388</v>
      </c>
      <c r="L103">
        <v>0.25</v>
      </c>
      <c r="N103">
        <v>1.3</v>
      </c>
      <c r="O103">
        <v>82.6</v>
      </c>
      <c r="R103" s="2" t="s">
        <v>1438</v>
      </c>
      <c r="S103">
        <v>30000000</v>
      </c>
      <c r="U103">
        <v>30000000</v>
      </c>
      <c r="V103">
        <v>7.633333333333334E-15</v>
      </c>
      <c r="W103" t="s">
        <v>9</v>
      </c>
      <c r="X103" t="s">
        <v>1456</v>
      </c>
    </row>
    <row r="104" spans="1:24" hidden="1" x14ac:dyDescent="0.35">
      <c r="A104" t="s">
        <v>121</v>
      </c>
      <c r="B104">
        <v>2023</v>
      </c>
      <c r="C104" t="s">
        <v>1308</v>
      </c>
      <c r="D104" t="s">
        <v>1324</v>
      </c>
      <c r="E104" t="s">
        <v>1359</v>
      </c>
      <c r="F104" t="s">
        <v>1364</v>
      </c>
      <c r="G104" t="s">
        <v>1371</v>
      </c>
      <c r="H104">
        <v>6.0899999999999995E-4</v>
      </c>
      <c r="J104" t="s">
        <v>1388</v>
      </c>
      <c r="L104">
        <v>0.25</v>
      </c>
      <c r="N104">
        <v>1.3</v>
      </c>
      <c r="O104">
        <v>82.6</v>
      </c>
      <c r="R104" s="2" t="s">
        <v>1438</v>
      </c>
      <c r="S104">
        <v>30000000</v>
      </c>
      <c r="U104">
        <v>30000000</v>
      </c>
      <c r="V104">
        <v>2.03E-11</v>
      </c>
      <c r="W104" t="s">
        <v>9</v>
      </c>
      <c r="X104" t="s">
        <v>1456</v>
      </c>
    </row>
    <row r="105" spans="1:24" hidden="1" x14ac:dyDescent="0.35">
      <c r="A105" t="s">
        <v>122</v>
      </c>
      <c r="B105">
        <v>2023</v>
      </c>
      <c r="C105" t="s">
        <v>1308</v>
      </c>
      <c r="D105" t="s">
        <v>1312</v>
      </c>
      <c r="E105" t="s">
        <v>1359</v>
      </c>
      <c r="F105" t="s">
        <v>1364</v>
      </c>
      <c r="G105" t="s">
        <v>1371</v>
      </c>
      <c r="H105">
        <v>11.275428</v>
      </c>
      <c r="J105" t="s">
        <v>1388</v>
      </c>
      <c r="L105">
        <v>0.25</v>
      </c>
      <c r="N105">
        <v>1.3</v>
      </c>
      <c r="O105">
        <v>82.6</v>
      </c>
      <c r="R105" s="2" t="s">
        <v>1438</v>
      </c>
      <c r="S105">
        <v>30000000</v>
      </c>
      <c r="U105">
        <v>30000000</v>
      </c>
      <c r="V105">
        <v>3.758476E-7</v>
      </c>
      <c r="W105" t="s">
        <v>9</v>
      </c>
      <c r="X105" t="s">
        <v>1456</v>
      </c>
    </row>
    <row r="106" spans="1:24" hidden="1" x14ac:dyDescent="0.35">
      <c r="A106" t="s">
        <v>123</v>
      </c>
      <c r="B106">
        <v>2023</v>
      </c>
      <c r="C106" t="s">
        <v>1308</v>
      </c>
      <c r="D106" t="s">
        <v>1313</v>
      </c>
      <c r="E106" t="s">
        <v>1359</v>
      </c>
      <c r="F106" t="s">
        <v>1364</v>
      </c>
      <c r="G106" t="s">
        <v>1371</v>
      </c>
      <c r="H106">
        <v>0.44084299999999998</v>
      </c>
      <c r="J106" t="s">
        <v>1388</v>
      </c>
      <c r="L106">
        <v>0.25</v>
      </c>
      <c r="N106">
        <v>1.3</v>
      </c>
      <c r="O106">
        <v>82.6</v>
      </c>
      <c r="R106" s="2" t="s">
        <v>1438</v>
      </c>
      <c r="S106">
        <v>30000000</v>
      </c>
      <c r="U106">
        <v>30000000</v>
      </c>
      <c r="V106">
        <v>1.469476666666667E-8</v>
      </c>
      <c r="W106" t="s">
        <v>9</v>
      </c>
      <c r="X106" t="s">
        <v>1456</v>
      </c>
    </row>
    <row r="107" spans="1:24" hidden="1" x14ac:dyDescent="0.35">
      <c r="A107" t="s">
        <v>124</v>
      </c>
      <c r="B107">
        <v>2023</v>
      </c>
      <c r="C107" t="s">
        <v>1308</v>
      </c>
      <c r="D107" t="s">
        <v>1314</v>
      </c>
      <c r="E107" t="s">
        <v>1359</v>
      </c>
      <c r="F107" t="s">
        <v>1364</v>
      </c>
      <c r="G107" t="s">
        <v>1371</v>
      </c>
      <c r="H107">
        <v>0.39435799999999999</v>
      </c>
      <c r="J107" t="s">
        <v>1388</v>
      </c>
      <c r="L107">
        <v>0.25</v>
      </c>
      <c r="N107">
        <v>1.3</v>
      </c>
      <c r="O107">
        <v>82.6</v>
      </c>
      <c r="R107" s="2" t="s">
        <v>1438</v>
      </c>
      <c r="S107">
        <v>30000000</v>
      </c>
      <c r="U107">
        <v>30000000</v>
      </c>
      <c r="V107">
        <v>1.314526666666667E-8</v>
      </c>
      <c r="W107" t="s">
        <v>9</v>
      </c>
      <c r="X107" t="s">
        <v>1456</v>
      </c>
    </row>
    <row r="108" spans="1:24" hidden="1" x14ac:dyDescent="0.35">
      <c r="A108" t="s">
        <v>125</v>
      </c>
      <c r="B108">
        <v>2023</v>
      </c>
      <c r="C108" t="s">
        <v>1308</v>
      </c>
      <c r="D108" t="s">
        <v>1337</v>
      </c>
      <c r="E108" t="s">
        <v>1359</v>
      </c>
      <c r="F108" t="s">
        <v>1364</v>
      </c>
      <c r="G108" t="s">
        <v>1371</v>
      </c>
      <c r="H108">
        <v>0.26803300000000002</v>
      </c>
      <c r="J108" t="s">
        <v>1388</v>
      </c>
      <c r="L108">
        <v>0.25</v>
      </c>
      <c r="N108">
        <v>1.3</v>
      </c>
      <c r="O108">
        <v>82.6</v>
      </c>
      <c r="R108" s="2" t="s">
        <v>1438</v>
      </c>
      <c r="S108">
        <v>30000000</v>
      </c>
      <c r="U108">
        <v>30000000</v>
      </c>
      <c r="V108">
        <v>8.9344333333333338E-9</v>
      </c>
      <c r="W108" t="s">
        <v>9</v>
      </c>
      <c r="X108" t="s">
        <v>1456</v>
      </c>
    </row>
    <row r="109" spans="1:24" hidden="1" x14ac:dyDescent="0.35">
      <c r="A109" t="s">
        <v>126</v>
      </c>
      <c r="B109">
        <v>2023</v>
      </c>
      <c r="C109" t="s">
        <v>1308</v>
      </c>
      <c r="D109" t="s">
        <v>1315</v>
      </c>
      <c r="E109" t="s">
        <v>1359</v>
      </c>
      <c r="F109" t="s">
        <v>1364</v>
      </c>
      <c r="G109" t="s">
        <v>1371</v>
      </c>
      <c r="H109">
        <v>72.973642999999996</v>
      </c>
      <c r="J109" t="s">
        <v>1388</v>
      </c>
      <c r="L109">
        <v>0.25</v>
      </c>
      <c r="N109">
        <v>1.3</v>
      </c>
      <c r="O109">
        <v>82.6</v>
      </c>
      <c r="R109" s="2" t="s">
        <v>1438</v>
      </c>
      <c r="S109">
        <v>30000000</v>
      </c>
      <c r="U109">
        <v>30000000</v>
      </c>
      <c r="V109">
        <v>2.4324547666666671E-6</v>
      </c>
      <c r="W109" t="s">
        <v>9</v>
      </c>
      <c r="X109" t="s">
        <v>1456</v>
      </c>
    </row>
    <row r="110" spans="1:24" hidden="1" x14ac:dyDescent="0.35">
      <c r="A110" t="s">
        <v>127</v>
      </c>
      <c r="B110">
        <v>2023</v>
      </c>
      <c r="C110" t="s">
        <v>1308</v>
      </c>
      <c r="D110" t="s">
        <v>1326</v>
      </c>
      <c r="E110" t="s">
        <v>1359</v>
      </c>
      <c r="F110" t="s">
        <v>1364</v>
      </c>
      <c r="G110" t="s">
        <v>1371</v>
      </c>
      <c r="H110">
        <v>2.712E-3</v>
      </c>
      <c r="J110" t="s">
        <v>1388</v>
      </c>
      <c r="L110">
        <v>0.25</v>
      </c>
      <c r="N110">
        <v>1.3</v>
      </c>
      <c r="O110">
        <v>82.6</v>
      </c>
      <c r="R110" s="2" t="s">
        <v>1438</v>
      </c>
      <c r="S110">
        <v>30000000</v>
      </c>
      <c r="U110">
        <v>30000000</v>
      </c>
      <c r="V110">
        <v>9.0400000000000006E-11</v>
      </c>
      <c r="W110" t="s">
        <v>9</v>
      </c>
      <c r="X110" t="s">
        <v>1456</v>
      </c>
    </row>
    <row r="111" spans="1:24" hidden="1" x14ac:dyDescent="0.35">
      <c r="A111" t="s">
        <v>464</v>
      </c>
      <c r="B111">
        <v>2023</v>
      </c>
      <c r="C111" t="s">
        <v>1308</v>
      </c>
      <c r="D111" t="s">
        <v>1317</v>
      </c>
      <c r="E111" t="s">
        <v>1359</v>
      </c>
      <c r="F111" t="s">
        <v>1366</v>
      </c>
      <c r="G111" t="s">
        <v>1372</v>
      </c>
      <c r="H111">
        <v>1.2317E-2</v>
      </c>
      <c r="J111" t="s">
        <v>1388</v>
      </c>
      <c r="L111">
        <v>0.25</v>
      </c>
      <c r="N111">
        <v>1.3</v>
      </c>
      <c r="O111">
        <v>82.6</v>
      </c>
      <c r="R111" s="2" t="s">
        <v>1438</v>
      </c>
      <c r="S111">
        <v>30000000</v>
      </c>
      <c r="U111">
        <v>30000000</v>
      </c>
      <c r="V111">
        <v>4.1056666666666672E-10</v>
      </c>
      <c r="W111" t="s">
        <v>9</v>
      </c>
      <c r="X111" t="s">
        <v>1457</v>
      </c>
    </row>
    <row r="112" spans="1:24" hidden="1" x14ac:dyDescent="0.35">
      <c r="A112" t="s">
        <v>465</v>
      </c>
      <c r="B112">
        <v>2023</v>
      </c>
      <c r="C112" t="s">
        <v>1308</v>
      </c>
      <c r="D112" t="s">
        <v>1318</v>
      </c>
      <c r="E112" t="s">
        <v>1359</v>
      </c>
      <c r="F112" t="s">
        <v>1366</v>
      </c>
      <c r="G112" t="s">
        <v>1372</v>
      </c>
      <c r="H112">
        <v>3.3319999999999999E-3</v>
      </c>
      <c r="J112" t="s">
        <v>1388</v>
      </c>
      <c r="L112">
        <v>0.25</v>
      </c>
      <c r="N112">
        <v>1.3</v>
      </c>
      <c r="O112">
        <v>82.6</v>
      </c>
      <c r="R112" s="2" t="s">
        <v>1438</v>
      </c>
      <c r="S112">
        <v>30000000</v>
      </c>
      <c r="U112">
        <v>30000000</v>
      </c>
      <c r="V112">
        <v>1.110666666666667E-10</v>
      </c>
      <c r="W112" t="s">
        <v>9</v>
      </c>
      <c r="X112" t="s">
        <v>1457</v>
      </c>
    </row>
    <row r="113" spans="1:24" hidden="1" x14ac:dyDescent="0.35">
      <c r="A113" t="s">
        <v>466</v>
      </c>
      <c r="B113">
        <v>2023</v>
      </c>
      <c r="C113" t="s">
        <v>1308</v>
      </c>
      <c r="D113" t="s">
        <v>1319</v>
      </c>
      <c r="E113" t="s">
        <v>1359</v>
      </c>
      <c r="F113" t="s">
        <v>1366</v>
      </c>
      <c r="G113" t="s">
        <v>1371</v>
      </c>
      <c r="H113">
        <v>6.2000000000000003E-5</v>
      </c>
      <c r="J113" t="s">
        <v>1388</v>
      </c>
      <c r="L113">
        <v>0.25</v>
      </c>
      <c r="N113">
        <v>1.3</v>
      </c>
      <c r="O113">
        <v>82.6</v>
      </c>
      <c r="R113" s="2" t="s">
        <v>1438</v>
      </c>
      <c r="S113">
        <v>30000000</v>
      </c>
      <c r="U113">
        <v>30000000</v>
      </c>
      <c r="V113">
        <v>2.0666666666666669E-12</v>
      </c>
      <c r="W113" t="s">
        <v>9</v>
      </c>
      <c r="X113" t="s">
        <v>1456</v>
      </c>
    </row>
    <row r="114" spans="1:24" hidden="1" x14ac:dyDescent="0.35">
      <c r="A114" t="s">
        <v>467</v>
      </c>
      <c r="B114">
        <v>2023</v>
      </c>
      <c r="C114" t="s">
        <v>1308</v>
      </c>
      <c r="D114" t="s">
        <v>1320</v>
      </c>
      <c r="E114" t="s">
        <v>1359</v>
      </c>
      <c r="F114" t="s">
        <v>1366</v>
      </c>
      <c r="G114" t="s">
        <v>1372</v>
      </c>
      <c r="H114">
        <v>4.8698999999999999E-2</v>
      </c>
      <c r="J114" t="s">
        <v>1388</v>
      </c>
      <c r="L114">
        <v>0.25</v>
      </c>
      <c r="N114">
        <v>1.3</v>
      </c>
      <c r="O114">
        <v>82.6</v>
      </c>
      <c r="R114" s="2" t="s">
        <v>1438</v>
      </c>
      <c r="S114">
        <v>30000000</v>
      </c>
      <c r="U114">
        <v>30000000</v>
      </c>
      <c r="V114">
        <v>1.6233E-9</v>
      </c>
      <c r="W114" t="s">
        <v>9</v>
      </c>
      <c r="X114" t="s">
        <v>1457</v>
      </c>
    </row>
    <row r="115" spans="1:24" hidden="1" x14ac:dyDescent="0.35">
      <c r="A115" t="s">
        <v>468</v>
      </c>
      <c r="B115">
        <v>2023</v>
      </c>
      <c r="C115" t="s">
        <v>1308</v>
      </c>
      <c r="D115" t="s">
        <v>1321</v>
      </c>
      <c r="E115" t="s">
        <v>1359</v>
      </c>
      <c r="F115" t="s">
        <v>1366</v>
      </c>
      <c r="G115" t="s">
        <v>1371</v>
      </c>
      <c r="H115">
        <v>2.529E-3</v>
      </c>
      <c r="J115" t="s">
        <v>1388</v>
      </c>
      <c r="L115">
        <v>0.25</v>
      </c>
      <c r="N115">
        <v>1.3</v>
      </c>
      <c r="O115">
        <v>82.6</v>
      </c>
      <c r="R115" s="2" t="s">
        <v>1438</v>
      </c>
      <c r="S115">
        <v>30000000</v>
      </c>
      <c r="U115">
        <v>30000000</v>
      </c>
      <c r="V115">
        <v>8.4299999999999996E-11</v>
      </c>
      <c r="W115" t="s">
        <v>9</v>
      </c>
      <c r="X115" t="s">
        <v>1456</v>
      </c>
    </row>
    <row r="116" spans="1:24" hidden="1" x14ac:dyDescent="0.35">
      <c r="A116" t="s">
        <v>469</v>
      </c>
      <c r="B116">
        <v>2023</v>
      </c>
      <c r="C116" t="s">
        <v>1308</v>
      </c>
      <c r="D116" t="s">
        <v>1322</v>
      </c>
      <c r="E116" t="s">
        <v>1359</v>
      </c>
      <c r="F116" t="s">
        <v>1366</v>
      </c>
      <c r="G116" t="s">
        <v>1372</v>
      </c>
      <c r="H116">
        <v>8.7690000000000008E-3</v>
      </c>
      <c r="J116" t="s">
        <v>1388</v>
      </c>
      <c r="L116">
        <v>0.25</v>
      </c>
      <c r="N116">
        <v>1.3</v>
      </c>
      <c r="O116">
        <v>82.6</v>
      </c>
      <c r="R116" s="2" t="s">
        <v>1438</v>
      </c>
      <c r="S116">
        <v>30000000</v>
      </c>
      <c r="U116">
        <v>30000000</v>
      </c>
      <c r="V116">
        <v>2.9230000000000001E-10</v>
      </c>
      <c r="W116" t="s">
        <v>9</v>
      </c>
      <c r="X116" t="s">
        <v>1457</v>
      </c>
    </row>
    <row r="117" spans="1:24" hidden="1" x14ac:dyDescent="0.35">
      <c r="A117" t="s">
        <v>470</v>
      </c>
      <c r="B117">
        <v>2023</v>
      </c>
      <c r="C117" t="s">
        <v>1308</v>
      </c>
      <c r="D117" t="s">
        <v>1323</v>
      </c>
      <c r="E117" t="s">
        <v>1359</v>
      </c>
      <c r="F117" t="s">
        <v>1366</v>
      </c>
      <c r="G117" t="s">
        <v>1371</v>
      </c>
      <c r="H117">
        <v>4.8799999999999998E-3</v>
      </c>
      <c r="J117" t="s">
        <v>1388</v>
      </c>
      <c r="L117">
        <v>0.25</v>
      </c>
      <c r="N117">
        <v>1.3</v>
      </c>
      <c r="O117">
        <v>82.6</v>
      </c>
      <c r="R117" s="2" t="s">
        <v>1438</v>
      </c>
      <c r="S117">
        <v>30000000</v>
      </c>
      <c r="U117">
        <v>30000000</v>
      </c>
      <c r="V117">
        <v>1.626666666666666E-10</v>
      </c>
      <c r="W117" t="s">
        <v>9</v>
      </c>
      <c r="X117" t="s">
        <v>1456</v>
      </c>
    </row>
    <row r="118" spans="1:24" hidden="1" x14ac:dyDescent="0.35">
      <c r="A118" t="s">
        <v>471</v>
      </c>
      <c r="B118">
        <v>2023</v>
      </c>
      <c r="C118" t="s">
        <v>1308</v>
      </c>
      <c r="D118" t="s">
        <v>1324</v>
      </c>
      <c r="E118" t="s">
        <v>1359</v>
      </c>
      <c r="F118" t="s">
        <v>1366</v>
      </c>
      <c r="G118" t="s">
        <v>1371</v>
      </c>
      <c r="H118">
        <v>4.1999999999999998E-5</v>
      </c>
      <c r="J118" t="s">
        <v>1388</v>
      </c>
      <c r="L118">
        <v>0.25</v>
      </c>
      <c r="N118">
        <v>1.3</v>
      </c>
      <c r="O118">
        <v>82.6</v>
      </c>
      <c r="R118" s="2" t="s">
        <v>1438</v>
      </c>
      <c r="S118">
        <v>30000000</v>
      </c>
      <c r="U118">
        <v>30000000</v>
      </c>
      <c r="V118">
        <v>1.4000000000000001E-12</v>
      </c>
      <c r="W118" t="s">
        <v>9</v>
      </c>
      <c r="X118" t="s">
        <v>1456</v>
      </c>
    </row>
    <row r="119" spans="1:24" hidden="1" x14ac:dyDescent="0.35">
      <c r="A119" t="s">
        <v>472</v>
      </c>
      <c r="B119">
        <v>2023</v>
      </c>
      <c r="C119" t="s">
        <v>1308</v>
      </c>
      <c r="D119" t="s">
        <v>1313</v>
      </c>
      <c r="E119" t="s">
        <v>1359</v>
      </c>
      <c r="F119" t="s">
        <v>1366</v>
      </c>
      <c r="G119" t="s">
        <v>1371</v>
      </c>
      <c r="H119">
        <v>218.77748299999999</v>
      </c>
      <c r="J119" t="s">
        <v>1388</v>
      </c>
      <c r="L119">
        <v>0.25</v>
      </c>
      <c r="N119">
        <v>1.3</v>
      </c>
      <c r="O119">
        <v>82.6</v>
      </c>
      <c r="R119" s="2" t="s">
        <v>1438</v>
      </c>
      <c r="S119">
        <v>30000000</v>
      </c>
      <c r="U119">
        <v>30000000</v>
      </c>
      <c r="V119">
        <v>7.2925827666666664E-6</v>
      </c>
      <c r="W119" t="s">
        <v>9</v>
      </c>
      <c r="X119" t="s">
        <v>1456</v>
      </c>
    </row>
    <row r="120" spans="1:24" hidden="1" x14ac:dyDescent="0.35">
      <c r="A120" t="s">
        <v>473</v>
      </c>
      <c r="B120">
        <v>2023</v>
      </c>
      <c r="C120" t="s">
        <v>1308</v>
      </c>
      <c r="D120" t="s">
        <v>1314</v>
      </c>
      <c r="E120" t="s">
        <v>1359</v>
      </c>
      <c r="F120" t="s">
        <v>1366</v>
      </c>
      <c r="G120" t="s">
        <v>1371</v>
      </c>
      <c r="H120">
        <v>78.879408999999995</v>
      </c>
      <c r="J120" t="s">
        <v>1388</v>
      </c>
      <c r="L120">
        <v>0.25</v>
      </c>
      <c r="N120">
        <v>1.3</v>
      </c>
      <c r="O120">
        <v>82.6</v>
      </c>
      <c r="R120" s="2" t="s">
        <v>1438</v>
      </c>
      <c r="S120">
        <v>30000000</v>
      </c>
      <c r="U120">
        <v>30000000</v>
      </c>
      <c r="V120">
        <v>2.6293136333333331E-6</v>
      </c>
      <c r="W120" t="s">
        <v>9</v>
      </c>
      <c r="X120" t="s">
        <v>1456</v>
      </c>
    </row>
    <row r="121" spans="1:24" hidden="1" x14ac:dyDescent="0.35">
      <c r="A121" t="s">
        <v>474</v>
      </c>
      <c r="B121">
        <v>2023</v>
      </c>
      <c r="C121" t="s">
        <v>1308</v>
      </c>
      <c r="D121" t="s">
        <v>1325</v>
      </c>
      <c r="E121" t="s">
        <v>1359</v>
      </c>
      <c r="F121" t="s">
        <v>1366</v>
      </c>
      <c r="G121" t="s">
        <v>1372</v>
      </c>
      <c r="H121">
        <v>5.5155000000000003E-2</v>
      </c>
      <c r="J121" t="s">
        <v>1388</v>
      </c>
      <c r="L121">
        <v>0.25</v>
      </c>
      <c r="N121">
        <v>1.3</v>
      </c>
      <c r="O121">
        <v>82.6</v>
      </c>
      <c r="R121" s="2" t="s">
        <v>1438</v>
      </c>
      <c r="S121">
        <v>30000000</v>
      </c>
      <c r="U121">
        <v>30000000</v>
      </c>
      <c r="V121">
        <v>1.8385E-9</v>
      </c>
      <c r="W121" t="s">
        <v>9</v>
      </c>
      <c r="X121" t="s">
        <v>1457</v>
      </c>
    </row>
    <row r="122" spans="1:24" hidden="1" x14ac:dyDescent="0.35">
      <c r="A122" t="s">
        <v>475</v>
      </c>
      <c r="B122">
        <v>2023</v>
      </c>
      <c r="C122" t="s">
        <v>1308</v>
      </c>
      <c r="D122" t="s">
        <v>1315</v>
      </c>
      <c r="E122" t="s">
        <v>1359</v>
      </c>
      <c r="F122" t="s">
        <v>1366</v>
      </c>
      <c r="G122" t="s">
        <v>1371</v>
      </c>
      <c r="H122">
        <v>457.62047799999999</v>
      </c>
      <c r="J122" t="s">
        <v>1388</v>
      </c>
      <c r="L122">
        <v>0.25</v>
      </c>
      <c r="N122">
        <v>1.3</v>
      </c>
      <c r="O122">
        <v>82.6</v>
      </c>
      <c r="R122" s="2" t="s">
        <v>1438</v>
      </c>
      <c r="S122">
        <v>30000000</v>
      </c>
      <c r="U122">
        <v>30000000</v>
      </c>
      <c r="V122">
        <v>1.525401593333333E-5</v>
      </c>
      <c r="W122" t="s">
        <v>9</v>
      </c>
      <c r="X122" t="s">
        <v>1456</v>
      </c>
    </row>
    <row r="123" spans="1:24" hidden="1" x14ac:dyDescent="0.35">
      <c r="A123" t="s">
        <v>476</v>
      </c>
      <c r="B123">
        <v>2023</v>
      </c>
      <c r="C123" t="s">
        <v>1308</v>
      </c>
      <c r="D123" t="s">
        <v>1326</v>
      </c>
      <c r="E123" t="s">
        <v>1359</v>
      </c>
      <c r="F123" t="s">
        <v>1366</v>
      </c>
      <c r="G123" t="s">
        <v>1371</v>
      </c>
      <c r="H123">
        <v>7.7399999999999995E-4</v>
      </c>
      <c r="J123" t="s">
        <v>1388</v>
      </c>
      <c r="L123">
        <v>0.25</v>
      </c>
      <c r="N123">
        <v>1.3</v>
      </c>
      <c r="O123">
        <v>82.6</v>
      </c>
      <c r="R123" s="2" t="s">
        <v>1438</v>
      </c>
      <c r="S123">
        <v>30000000</v>
      </c>
      <c r="U123">
        <v>30000000</v>
      </c>
      <c r="V123">
        <v>2.5800000000000001E-11</v>
      </c>
      <c r="W123" t="s">
        <v>9</v>
      </c>
      <c r="X123" t="s">
        <v>1456</v>
      </c>
    </row>
    <row r="124" spans="1:24" hidden="1" x14ac:dyDescent="0.35">
      <c r="A124" t="s">
        <v>716</v>
      </c>
      <c r="B124">
        <v>2023</v>
      </c>
      <c r="C124" t="s">
        <v>1308</v>
      </c>
      <c r="D124" t="s">
        <v>1311</v>
      </c>
      <c r="E124" t="s">
        <v>1359</v>
      </c>
      <c r="F124" t="s">
        <v>1367</v>
      </c>
      <c r="G124" t="s">
        <v>1371</v>
      </c>
      <c r="H124">
        <v>1074.3570239999999</v>
      </c>
      <c r="J124" t="s">
        <v>1388</v>
      </c>
      <c r="L124">
        <v>0.25</v>
      </c>
      <c r="N124">
        <v>1.3</v>
      </c>
      <c r="O124">
        <v>82.6</v>
      </c>
      <c r="R124" s="2" t="s">
        <v>1438</v>
      </c>
      <c r="S124">
        <v>30000000</v>
      </c>
      <c r="U124">
        <v>30000000</v>
      </c>
      <c r="V124">
        <v>3.5811900799999988E-5</v>
      </c>
      <c r="W124" t="s">
        <v>9</v>
      </c>
      <c r="X124" t="s">
        <v>1456</v>
      </c>
    </row>
    <row r="125" spans="1:24" hidden="1" x14ac:dyDescent="0.35">
      <c r="A125" t="s">
        <v>717</v>
      </c>
      <c r="B125">
        <v>2023</v>
      </c>
      <c r="C125" t="s">
        <v>1308</v>
      </c>
      <c r="D125" t="s">
        <v>1312</v>
      </c>
      <c r="E125" t="s">
        <v>1359</v>
      </c>
      <c r="F125" t="s">
        <v>1367</v>
      </c>
      <c r="G125" t="s">
        <v>1371</v>
      </c>
      <c r="H125">
        <v>252.78988799999999</v>
      </c>
      <c r="J125" t="s">
        <v>1388</v>
      </c>
      <c r="L125">
        <v>0.25</v>
      </c>
      <c r="N125">
        <v>1.3</v>
      </c>
      <c r="O125">
        <v>82.6</v>
      </c>
      <c r="R125" s="2" t="s">
        <v>1438</v>
      </c>
      <c r="S125">
        <v>30000000</v>
      </c>
      <c r="U125">
        <v>30000000</v>
      </c>
      <c r="V125">
        <v>8.4263295999999999E-6</v>
      </c>
      <c r="W125" t="s">
        <v>9</v>
      </c>
      <c r="X125" t="s">
        <v>1456</v>
      </c>
    </row>
    <row r="126" spans="1:24" hidden="1" x14ac:dyDescent="0.35">
      <c r="A126" t="s">
        <v>718</v>
      </c>
      <c r="B126">
        <v>2023</v>
      </c>
      <c r="C126" t="s">
        <v>1308</v>
      </c>
      <c r="D126" t="s">
        <v>1313</v>
      </c>
      <c r="E126" t="s">
        <v>1359</v>
      </c>
      <c r="F126" t="s">
        <v>1367</v>
      </c>
      <c r="G126" t="s">
        <v>1371</v>
      </c>
      <c r="H126">
        <v>117.764132</v>
      </c>
      <c r="J126" t="s">
        <v>1388</v>
      </c>
      <c r="L126">
        <v>0.25</v>
      </c>
      <c r="N126">
        <v>1.3</v>
      </c>
      <c r="O126">
        <v>82.6</v>
      </c>
      <c r="R126" s="2" t="s">
        <v>1438</v>
      </c>
      <c r="S126">
        <v>30000000</v>
      </c>
      <c r="U126">
        <v>30000000</v>
      </c>
      <c r="V126">
        <v>3.9254710666666664E-6</v>
      </c>
      <c r="W126" t="s">
        <v>9</v>
      </c>
      <c r="X126" t="s">
        <v>1456</v>
      </c>
    </row>
    <row r="127" spans="1:24" hidden="1" x14ac:dyDescent="0.35">
      <c r="A127" t="s">
        <v>719</v>
      </c>
      <c r="B127">
        <v>2023</v>
      </c>
      <c r="C127" t="s">
        <v>1308</v>
      </c>
      <c r="D127" t="s">
        <v>1314</v>
      </c>
      <c r="E127" t="s">
        <v>1359</v>
      </c>
      <c r="F127" t="s">
        <v>1367</v>
      </c>
      <c r="G127" t="s">
        <v>1371</v>
      </c>
      <c r="H127">
        <v>16.308575000000001</v>
      </c>
      <c r="J127" t="s">
        <v>1388</v>
      </c>
      <c r="L127">
        <v>0.25</v>
      </c>
      <c r="N127">
        <v>1.3</v>
      </c>
      <c r="O127">
        <v>82.6</v>
      </c>
      <c r="R127" s="2" t="s">
        <v>1438</v>
      </c>
      <c r="S127">
        <v>30000000</v>
      </c>
      <c r="U127">
        <v>30000000</v>
      </c>
      <c r="V127">
        <v>5.4361916666666674E-7</v>
      </c>
      <c r="W127" t="s">
        <v>9</v>
      </c>
      <c r="X127" t="s">
        <v>1456</v>
      </c>
    </row>
    <row r="128" spans="1:24" hidden="1" x14ac:dyDescent="0.35">
      <c r="A128" t="s">
        <v>720</v>
      </c>
      <c r="B128">
        <v>2023</v>
      </c>
      <c r="C128" t="s">
        <v>1308</v>
      </c>
      <c r="D128" t="s">
        <v>1337</v>
      </c>
      <c r="E128" t="s">
        <v>1359</v>
      </c>
      <c r="F128" t="s">
        <v>1367</v>
      </c>
      <c r="G128" t="s">
        <v>1371</v>
      </c>
      <c r="H128">
        <v>31.598735999999999</v>
      </c>
      <c r="J128" t="s">
        <v>1388</v>
      </c>
      <c r="L128">
        <v>0.25</v>
      </c>
      <c r="N128">
        <v>1.3</v>
      </c>
      <c r="O128">
        <v>82.6</v>
      </c>
      <c r="R128" s="2" t="s">
        <v>1438</v>
      </c>
      <c r="S128">
        <v>30000000</v>
      </c>
      <c r="U128">
        <v>30000000</v>
      </c>
      <c r="V128">
        <v>1.0532912E-6</v>
      </c>
      <c r="W128" t="s">
        <v>9</v>
      </c>
      <c r="X128" t="s">
        <v>1456</v>
      </c>
    </row>
    <row r="129" spans="1:24" hidden="1" x14ac:dyDescent="0.35">
      <c r="A129" t="s">
        <v>721</v>
      </c>
      <c r="B129">
        <v>2023</v>
      </c>
      <c r="C129" t="s">
        <v>1308</v>
      </c>
      <c r="D129" t="s">
        <v>1315</v>
      </c>
      <c r="E129" t="s">
        <v>1359</v>
      </c>
      <c r="F129" t="s">
        <v>1367</v>
      </c>
      <c r="G129" t="s">
        <v>1371</v>
      </c>
      <c r="H129">
        <v>226.269047</v>
      </c>
      <c r="J129" t="s">
        <v>1388</v>
      </c>
      <c r="L129">
        <v>0.25</v>
      </c>
      <c r="N129">
        <v>1.3</v>
      </c>
      <c r="O129">
        <v>82.6</v>
      </c>
      <c r="R129" s="2" t="s">
        <v>1438</v>
      </c>
      <c r="S129">
        <v>30000000</v>
      </c>
      <c r="U129">
        <v>30000000</v>
      </c>
      <c r="V129">
        <v>7.5423015666666663E-6</v>
      </c>
      <c r="W129" t="s">
        <v>9</v>
      </c>
      <c r="X129" t="s">
        <v>1456</v>
      </c>
    </row>
    <row r="130" spans="1:24" hidden="1" x14ac:dyDescent="0.35">
      <c r="A130" t="s">
        <v>817</v>
      </c>
      <c r="B130">
        <v>2023</v>
      </c>
      <c r="C130" t="s">
        <v>1309</v>
      </c>
      <c r="D130" t="s">
        <v>1317</v>
      </c>
      <c r="E130" t="s">
        <v>1359</v>
      </c>
      <c r="F130" t="s">
        <v>1368</v>
      </c>
      <c r="G130" t="s">
        <v>1372</v>
      </c>
      <c r="H130">
        <v>0.59356100000000001</v>
      </c>
      <c r="J130" t="s">
        <v>1388</v>
      </c>
      <c r="L130">
        <v>0.25</v>
      </c>
      <c r="N130">
        <v>1.3</v>
      </c>
      <c r="O130">
        <v>82.6</v>
      </c>
      <c r="R130" s="2" t="s">
        <v>1438</v>
      </c>
      <c r="S130">
        <v>30000000</v>
      </c>
      <c r="U130">
        <v>30000000</v>
      </c>
      <c r="V130">
        <v>1.978536666666667E-8</v>
      </c>
      <c r="W130" t="s">
        <v>9</v>
      </c>
      <c r="X130" t="s">
        <v>1457</v>
      </c>
    </row>
    <row r="131" spans="1:24" hidden="1" x14ac:dyDescent="0.35">
      <c r="A131" t="s">
        <v>818</v>
      </c>
      <c r="B131">
        <v>2023</v>
      </c>
      <c r="C131" t="s">
        <v>1309</v>
      </c>
      <c r="D131" t="s">
        <v>1318</v>
      </c>
      <c r="E131" t="s">
        <v>1359</v>
      </c>
      <c r="F131" t="s">
        <v>1368</v>
      </c>
      <c r="G131" t="s">
        <v>1372</v>
      </c>
      <c r="H131">
        <v>7.3990000000000002E-3</v>
      </c>
      <c r="J131" t="s">
        <v>1388</v>
      </c>
      <c r="L131">
        <v>0.25</v>
      </c>
      <c r="N131">
        <v>1.3</v>
      </c>
      <c r="O131">
        <v>82.6</v>
      </c>
      <c r="R131" s="2" t="s">
        <v>1438</v>
      </c>
      <c r="S131">
        <v>30000000</v>
      </c>
      <c r="U131">
        <v>30000000</v>
      </c>
      <c r="V131">
        <v>2.466333333333334E-10</v>
      </c>
      <c r="W131" t="s">
        <v>9</v>
      </c>
      <c r="X131" t="s">
        <v>1457</v>
      </c>
    </row>
    <row r="132" spans="1:24" hidden="1" x14ac:dyDescent="0.35">
      <c r="A132" t="s">
        <v>819</v>
      </c>
      <c r="B132">
        <v>2023</v>
      </c>
      <c r="C132" t="s">
        <v>1309</v>
      </c>
      <c r="D132" t="s">
        <v>1319</v>
      </c>
      <c r="E132" t="s">
        <v>1359</v>
      </c>
      <c r="F132" t="s">
        <v>1368</v>
      </c>
      <c r="G132" t="s">
        <v>1371</v>
      </c>
      <c r="H132">
        <v>3.6000000000000002E-4</v>
      </c>
      <c r="J132" t="s">
        <v>1388</v>
      </c>
      <c r="L132">
        <v>0.25</v>
      </c>
      <c r="N132">
        <v>1.3</v>
      </c>
      <c r="O132">
        <v>82.6</v>
      </c>
      <c r="R132" s="2" t="s">
        <v>1438</v>
      </c>
      <c r="S132">
        <v>30000000</v>
      </c>
      <c r="U132">
        <v>30000000</v>
      </c>
      <c r="V132">
        <v>1.2000000000000001E-11</v>
      </c>
      <c r="W132" t="s">
        <v>9</v>
      </c>
      <c r="X132" t="s">
        <v>1456</v>
      </c>
    </row>
    <row r="133" spans="1:24" hidden="1" x14ac:dyDescent="0.35">
      <c r="A133" t="s">
        <v>820</v>
      </c>
      <c r="B133">
        <v>2023</v>
      </c>
      <c r="C133" t="s">
        <v>1309</v>
      </c>
      <c r="D133" t="s">
        <v>1320</v>
      </c>
      <c r="E133" t="s">
        <v>1359</v>
      </c>
      <c r="F133" t="s">
        <v>1368</v>
      </c>
      <c r="G133" t="s">
        <v>1372</v>
      </c>
      <c r="H133">
        <v>0.46854499999999999</v>
      </c>
      <c r="J133" t="s">
        <v>1388</v>
      </c>
      <c r="L133">
        <v>0.25</v>
      </c>
      <c r="N133">
        <v>1.3</v>
      </c>
      <c r="O133">
        <v>82.6</v>
      </c>
      <c r="R133" s="2" t="s">
        <v>1438</v>
      </c>
      <c r="S133">
        <v>30000000</v>
      </c>
      <c r="U133">
        <v>30000000</v>
      </c>
      <c r="V133">
        <v>1.5618166666666669E-8</v>
      </c>
      <c r="W133" t="s">
        <v>9</v>
      </c>
      <c r="X133" t="s">
        <v>1457</v>
      </c>
    </row>
    <row r="134" spans="1:24" hidden="1" x14ac:dyDescent="0.35">
      <c r="A134" t="s">
        <v>821</v>
      </c>
      <c r="B134">
        <v>2023</v>
      </c>
      <c r="C134" t="s">
        <v>1309</v>
      </c>
      <c r="D134" t="s">
        <v>1321</v>
      </c>
      <c r="E134" t="s">
        <v>1359</v>
      </c>
      <c r="F134" t="s">
        <v>1368</v>
      </c>
      <c r="G134" t="s">
        <v>1371</v>
      </c>
      <c r="H134">
        <v>5.1599999999999997E-3</v>
      </c>
      <c r="J134" t="s">
        <v>1388</v>
      </c>
      <c r="L134">
        <v>0.25</v>
      </c>
      <c r="N134">
        <v>1.3</v>
      </c>
      <c r="O134">
        <v>82.6</v>
      </c>
      <c r="R134" s="2" t="s">
        <v>1438</v>
      </c>
      <c r="S134">
        <v>30000000</v>
      </c>
      <c r="U134">
        <v>30000000</v>
      </c>
      <c r="V134">
        <v>1.72E-10</v>
      </c>
      <c r="W134" t="s">
        <v>9</v>
      </c>
      <c r="X134" t="s">
        <v>1456</v>
      </c>
    </row>
    <row r="135" spans="1:24" hidden="1" x14ac:dyDescent="0.35">
      <c r="A135" t="s">
        <v>822</v>
      </c>
      <c r="B135">
        <v>2023</v>
      </c>
      <c r="C135" t="s">
        <v>1309</v>
      </c>
      <c r="D135" t="s">
        <v>1322</v>
      </c>
      <c r="E135" t="s">
        <v>1359</v>
      </c>
      <c r="F135" t="s">
        <v>1368</v>
      </c>
      <c r="G135" t="s">
        <v>1372</v>
      </c>
      <c r="H135">
        <v>6.0865000000000002E-2</v>
      </c>
      <c r="J135" t="s">
        <v>1388</v>
      </c>
      <c r="L135">
        <v>0.25</v>
      </c>
      <c r="N135">
        <v>1.3</v>
      </c>
      <c r="O135">
        <v>82.6</v>
      </c>
      <c r="R135" s="2" t="s">
        <v>1438</v>
      </c>
      <c r="S135">
        <v>30000000</v>
      </c>
      <c r="U135">
        <v>30000000</v>
      </c>
      <c r="V135">
        <v>2.028833333333334E-9</v>
      </c>
      <c r="W135" t="s">
        <v>9</v>
      </c>
      <c r="X135" t="s">
        <v>1457</v>
      </c>
    </row>
    <row r="136" spans="1:24" hidden="1" x14ac:dyDescent="0.35">
      <c r="A136" t="s">
        <v>823</v>
      </c>
      <c r="B136">
        <v>2023</v>
      </c>
      <c r="C136" t="s">
        <v>1309</v>
      </c>
      <c r="D136" t="s">
        <v>1323</v>
      </c>
      <c r="E136" t="s">
        <v>1359</v>
      </c>
      <c r="F136" t="s">
        <v>1368</v>
      </c>
      <c r="G136" t="s">
        <v>1371</v>
      </c>
      <c r="H136">
        <v>0.28410099999999999</v>
      </c>
      <c r="J136" t="s">
        <v>1388</v>
      </c>
      <c r="L136">
        <v>0.25</v>
      </c>
      <c r="N136">
        <v>1.3</v>
      </c>
      <c r="O136">
        <v>82.6</v>
      </c>
      <c r="R136" s="2" t="s">
        <v>1438</v>
      </c>
      <c r="S136">
        <v>30000000</v>
      </c>
      <c r="U136">
        <v>30000000</v>
      </c>
      <c r="V136">
        <v>9.4700333333333327E-9</v>
      </c>
      <c r="W136" t="s">
        <v>9</v>
      </c>
      <c r="X136" t="s">
        <v>1456</v>
      </c>
    </row>
    <row r="137" spans="1:24" hidden="1" x14ac:dyDescent="0.35">
      <c r="A137" t="s">
        <v>824</v>
      </c>
      <c r="B137">
        <v>2023</v>
      </c>
      <c r="C137" t="s">
        <v>1309</v>
      </c>
      <c r="D137" t="s">
        <v>1330</v>
      </c>
      <c r="E137" t="s">
        <v>1359</v>
      </c>
      <c r="F137" t="s">
        <v>1368</v>
      </c>
      <c r="G137" t="s">
        <v>1371</v>
      </c>
      <c r="H137">
        <v>2.0470000000000001E-6</v>
      </c>
      <c r="J137" t="s">
        <v>1388</v>
      </c>
      <c r="L137">
        <v>0.25</v>
      </c>
      <c r="N137">
        <v>1.3</v>
      </c>
      <c r="O137">
        <v>82.6</v>
      </c>
      <c r="R137" s="2" t="s">
        <v>1438</v>
      </c>
      <c r="S137">
        <v>30000000</v>
      </c>
      <c r="U137">
        <v>30000000</v>
      </c>
      <c r="V137">
        <v>6.823333333333333E-14</v>
      </c>
      <c r="W137" t="s">
        <v>9</v>
      </c>
      <c r="X137" t="s">
        <v>1456</v>
      </c>
    </row>
    <row r="138" spans="1:24" hidden="1" x14ac:dyDescent="0.35">
      <c r="A138" t="s">
        <v>825</v>
      </c>
      <c r="B138">
        <v>2023</v>
      </c>
      <c r="C138" t="s">
        <v>1309</v>
      </c>
      <c r="D138" t="s">
        <v>1324</v>
      </c>
      <c r="E138" t="s">
        <v>1359</v>
      </c>
      <c r="F138" t="s">
        <v>1368</v>
      </c>
      <c r="G138" t="s">
        <v>1371</v>
      </c>
      <c r="H138">
        <v>6.7100000000000005E-4</v>
      </c>
      <c r="J138" t="s">
        <v>1388</v>
      </c>
      <c r="L138">
        <v>0.25</v>
      </c>
      <c r="N138">
        <v>1.3</v>
      </c>
      <c r="O138">
        <v>82.6</v>
      </c>
      <c r="R138" s="2" t="s">
        <v>1438</v>
      </c>
      <c r="S138">
        <v>30000000</v>
      </c>
      <c r="U138">
        <v>30000000</v>
      </c>
      <c r="V138">
        <v>2.2366666666666671E-11</v>
      </c>
      <c r="W138" t="s">
        <v>9</v>
      </c>
      <c r="X138" t="s">
        <v>1456</v>
      </c>
    </row>
    <row r="139" spans="1:24" hidden="1" x14ac:dyDescent="0.35">
      <c r="A139" t="s">
        <v>826</v>
      </c>
      <c r="B139">
        <v>2023</v>
      </c>
      <c r="C139" t="s">
        <v>1309</v>
      </c>
      <c r="D139" t="s">
        <v>1325</v>
      </c>
      <c r="E139" t="s">
        <v>1359</v>
      </c>
      <c r="F139" t="s">
        <v>1368</v>
      </c>
      <c r="G139" t="s">
        <v>1372</v>
      </c>
      <c r="H139">
        <v>0.22480900000000001</v>
      </c>
      <c r="J139" t="s">
        <v>1388</v>
      </c>
      <c r="L139">
        <v>0.25</v>
      </c>
      <c r="N139">
        <v>1.3</v>
      </c>
      <c r="O139">
        <v>82.6</v>
      </c>
      <c r="R139" s="2" t="s">
        <v>1438</v>
      </c>
      <c r="S139">
        <v>30000000</v>
      </c>
      <c r="U139">
        <v>30000000</v>
      </c>
      <c r="V139">
        <v>7.4936333333333336E-9</v>
      </c>
      <c r="W139" t="s">
        <v>9</v>
      </c>
      <c r="X139" t="s">
        <v>1457</v>
      </c>
    </row>
    <row r="140" spans="1:24" hidden="1" x14ac:dyDescent="0.35">
      <c r="A140" t="s">
        <v>827</v>
      </c>
      <c r="B140">
        <v>2023</v>
      </c>
      <c r="C140" t="s">
        <v>1309</v>
      </c>
      <c r="D140" t="s">
        <v>1326</v>
      </c>
      <c r="E140" t="s">
        <v>1359</v>
      </c>
      <c r="F140" t="s">
        <v>1368</v>
      </c>
      <c r="G140" t="s">
        <v>1371</v>
      </c>
      <c r="H140">
        <v>3.1470000000000001E-3</v>
      </c>
      <c r="J140" t="s">
        <v>1388</v>
      </c>
      <c r="L140">
        <v>0.25</v>
      </c>
      <c r="N140">
        <v>1.3</v>
      </c>
      <c r="O140">
        <v>82.6</v>
      </c>
      <c r="R140" s="2" t="s">
        <v>1438</v>
      </c>
      <c r="S140">
        <v>30000000</v>
      </c>
      <c r="U140">
        <v>30000000</v>
      </c>
      <c r="V140">
        <v>1.0489999999999999E-10</v>
      </c>
      <c r="W140" t="s">
        <v>9</v>
      </c>
      <c r="X140" t="s">
        <v>1456</v>
      </c>
    </row>
    <row r="141" spans="1:24" hidden="1" x14ac:dyDescent="0.35">
      <c r="A141" t="s">
        <v>1032</v>
      </c>
      <c r="B141">
        <v>2023</v>
      </c>
      <c r="C141" t="s">
        <v>1308</v>
      </c>
      <c r="D141" t="s">
        <v>1347</v>
      </c>
      <c r="E141" t="s">
        <v>1359</v>
      </c>
      <c r="F141" t="s">
        <v>1370</v>
      </c>
      <c r="G141" t="s">
        <v>1375</v>
      </c>
      <c r="H141">
        <v>129510</v>
      </c>
      <c r="J141" t="s">
        <v>1388</v>
      </c>
      <c r="L141">
        <v>0.25</v>
      </c>
      <c r="N141">
        <v>1.3</v>
      </c>
      <c r="O141">
        <v>82.6</v>
      </c>
      <c r="R141" s="2" t="s">
        <v>1439</v>
      </c>
      <c r="S141">
        <v>30000000</v>
      </c>
      <c r="U141">
        <v>30000000</v>
      </c>
      <c r="V141">
        <v>4.3169999999999997E-3</v>
      </c>
      <c r="W141" t="s">
        <v>9</v>
      </c>
      <c r="X141" t="s">
        <v>1460</v>
      </c>
    </row>
    <row r="142" spans="1:24" hidden="1" x14ac:dyDescent="0.35">
      <c r="A142" t="s">
        <v>1282</v>
      </c>
      <c r="B142">
        <v>2023</v>
      </c>
      <c r="C142" t="s">
        <v>1309</v>
      </c>
      <c r="D142" t="s">
        <v>1350</v>
      </c>
      <c r="E142" t="s">
        <v>1360</v>
      </c>
      <c r="G142" t="s">
        <v>1376</v>
      </c>
      <c r="H142">
        <v>141000</v>
      </c>
      <c r="J142" t="s">
        <v>1388</v>
      </c>
      <c r="L142">
        <v>0.25</v>
      </c>
      <c r="N142">
        <v>1.3</v>
      </c>
      <c r="O142">
        <v>82.6</v>
      </c>
      <c r="Q142" t="s">
        <v>1436</v>
      </c>
      <c r="R142" t="s">
        <v>1454</v>
      </c>
      <c r="S142">
        <v>30000000</v>
      </c>
      <c r="U142">
        <v>30000000</v>
      </c>
      <c r="V142">
        <v>4.7000000000000002E-3</v>
      </c>
      <c r="W142" t="s">
        <v>9</v>
      </c>
      <c r="X142" t="s">
        <v>1461</v>
      </c>
    </row>
    <row r="143" spans="1:24" hidden="1" x14ac:dyDescent="0.35">
      <c r="A143" t="s">
        <v>1283</v>
      </c>
      <c r="B143">
        <v>2023</v>
      </c>
      <c r="C143" t="s">
        <v>1309</v>
      </c>
      <c r="D143" t="s">
        <v>1350</v>
      </c>
      <c r="E143" t="s">
        <v>1361</v>
      </c>
      <c r="G143" t="s">
        <v>1376</v>
      </c>
      <c r="H143">
        <v>6140000</v>
      </c>
      <c r="J143" t="s">
        <v>1388</v>
      </c>
      <c r="L143">
        <v>0.25</v>
      </c>
      <c r="N143">
        <v>1.3</v>
      </c>
      <c r="O143">
        <v>82.6</v>
      </c>
      <c r="Q143" t="s">
        <v>1436</v>
      </c>
      <c r="R143" t="s">
        <v>1454</v>
      </c>
      <c r="S143">
        <v>30000000</v>
      </c>
      <c r="U143">
        <v>30000000</v>
      </c>
      <c r="V143">
        <v>0.20466666666666669</v>
      </c>
      <c r="W143" t="s">
        <v>9</v>
      </c>
      <c r="X143" t="s">
        <v>1461</v>
      </c>
    </row>
    <row r="144" spans="1:24" hidden="1" x14ac:dyDescent="0.35">
      <c r="A144" t="s">
        <v>258</v>
      </c>
      <c r="B144">
        <v>2023</v>
      </c>
      <c r="C144" t="s">
        <v>1308</v>
      </c>
      <c r="D144" t="s">
        <v>1311</v>
      </c>
      <c r="E144" t="s">
        <v>1359</v>
      </c>
      <c r="F144" t="s">
        <v>1364</v>
      </c>
      <c r="G144" t="s">
        <v>1371</v>
      </c>
      <c r="H144">
        <v>24.693000000000001</v>
      </c>
      <c r="J144" t="s">
        <v>1400</v>
      </c>
      <c r="L144">
        <f>5.685/1000</f>
        <v>5.6849999999999999E-3</v>
      </c>
      <c r="O144">
        <v>96</v>
      </c>
      <c r="R144" s="2" t="s">
        <v>1438</v>
      </c>
      <c r="S144">
        <v>166000</v>
      </c>
      <c r="U144">
        <v>166000</v>
      </c>
      <c r="V144">
        <v>1.487530120481928E-4</v>
      </c>
      <c r="W144" t="s">
        <v>9</v>
      </c>
      <c r="X144" t="s">
        <v>1456</v>
      </c>
    </row>
    <row r="145" spans="1:24" hidden="1" x14ac:dyDescent="0.35">
      <c r="A145" t="s">
        <v>259</v>
      </c>
      <c r="B145">
        <v>2023</v>
      </c>
      <c r="C145" t="s">
        <v>1308</v>
      </c>
      <c r="D145" t="s">
        <v>1341</v>
      </c>
      <c r="E145" t="s">
        <v>1359</v>
      </c>
      <c r="F145" t="s">
        <v>1364</v>
      </c>
      <c r="G145" t="s">
        <v>1373</v>
      </c>
      <c r="H145">
        <v>2.1999999999999999E-5</v>
      </c>
      <c r="J145" t="s">
        <v>1400</v>
      </c>
      <c r="L145">
        <f t="shared" ref="L145:L162" si="2">5.685/1000</f>
        <v>5.6849999999999999E-3</v>
      </c>
      <c r="O145">
        <v>96</v>
      </c>
      <c r="R145" s="2" t="s">
        <v>1438</v>
      </c>
      <c r="S145">
        <v>166000</v>
      </c>
      <c r="U145">
        <v>166000</v>
      </c>
      <c r="V145">
        <v>1.325301204819277E-10</v>
      </c>
      <c r="W145" t="s">
        <v>9</v>
      </c>
      <c r="X145" t="s">
        <v>1458</v>
      </c>
    </row>
    <row r="146" spans="1:24" hidden="1" x14ac:dyDescent="0.35">
      <c r="A146" t="s">
        <v>260</v>
      </c>
      <c r="B146">
        <v>2023</v>
      </c>
      <c r="C146" t="s">
        <v>1308</v>
      </c>
      <c r="D146" t="s">
        <v>1342</v>
      </c>
      <c r="E146" t="s">
        <v>1359</v>
      </c>
      <c r="F146" t="s">
        <v>1364</v>
      </c>
      <c r="G146" t="s">
        <v>1374</v>
      </c>
      <c r="H146">
        <v>2.3E-3</v>
      </c>
      <c r="J146" t="s">
        <v>1400</v>
      </c>
      <c r="L146">
        <f t="shared" si="2"/>
        <v>5.6849999999999999E-3</v>
      </c>
      <c r="O146">
        <v>96</v>
      </c>
      <c r="R146" s="2" t="s">
        <v>1438</v>
      </c>
      <c r="S146">
        <v>166000</v>
      </c>
      <c r="U146">
        <v>166000</v>
      </c>
      <c r="V146">
        <v>1.3855421686746989E-8</v>
      </c>
      <c r="W146" t="s">
        <v>9</v>
      </c>
      <c r="X146" t="s">
        <v>1459</v>
      </c>
    </row>
    <row r="147" spans="1:24" hidden="1" x14ac:dyDescent="0.35">
      <c r="A147" t="s">
        <v>261</v>
      </c>
      <c r="B147">
        <v>2023</v>
      </c>
      <c r="C147" t="s">
        <v>1308</v>
      </c>
      <c r="D147" t="s">
        <v>1312</v>
      </c>
      <c r="E147" t="s">
        <v>1359</v>
      </c>
      <c r="F147" t="s">
        <v>1364</v>
      </c>
      <c r="G147" t="s">
        <v>1371</v>
      </c>
      <c r="H147">
        <v>90.103999999999999</v>
      </c>
      <c r="J147" t="s">
        <v>1400</v>
      </c>
      <c r="L147">
        <f t="shared" si="2"/>
        <v>5.6849999999999999E-3</v>
      </c>
      <c r="O147">
        <v>96</v>
      </c>
      <c r="R147" s="2" t="s">
        <v>1438</v>
      </c>
      <c r="S147">
        <v>166000</v>
      </c>
      <c r="U147">
        <v>166000</v>
      </c>
      <c r="V147">
        <v>5.4279518072289151E-4</v>
      </c>
      <c r="W147" t="s">
        <v>9</v>
      </c>
      <c r="X147" t="s">
        <v>1456</v>
      </c>
    </row>
    <row r="148" spans="1:24" hidden="1" x14ac:dyDescent="0.35">
      <c r="A148" t="s">
        <v>262</v>
      </c>
      <c r="B148">
        <v>2023</v>
      </c>
      <c r="C148" t="s">
        <v>1308</v>
      </c>
      <c r="D148" t="s">
        <v>1313</v>
      </c>
      <c r="E148" t="s">
        <v>1359</v>
      </c>
      <c r="F148" t="s">
        <v>1364</v>
      </c>
      <c r="G148" t="s">
        <v>1371</v>
      </c>
      <c r="H148">
        <v>1.427</v>
      </c>
      <c r="J148" t="s">
        <v>1400</v>
      </c>
      <c r="L148">
        <f t="shared" si="2"/>
        <v>5.6849999999999999E-3</v>
      </c>
      <c r="O148">
        <v>96</v>
      </c>
      <c r="R148" s="2" t="s">
        <v>1438</v>
      </c>
      <c r="S148">
        <v>166000</v>
      </c>
      <c r="U148">
        <v>166000</v>
      </c>
      <c r="V148">
        <v>8.5963855421686746E-6</v>
      </c>
      <c r="W148" t="s">
        <v>9</v>
      </c>
      <c r="X148" t="s">
        <v>1456</v>
      </c>
    </row>
    <row r="149" spans="1:24" hidden="1" x14ac:dyDescent="0.35">
      <c r="A149" t="s">
        <v>263</v>
      </c>
      <c r="B149">
        <v>2023</v>
      </c>
      <c r="C149" t="s">
        <v>1308</v>
      </c>
      <c r="D149" t="s">
        <v>1314</v>
      </c>
      <c r="E149" t="s">
        <v>1359</v>
      </c>
      <c r="F149" t="s">
        <v>1364</v>
      </c>
      <c r="G149" t="s">
        <v>1371</v>
      </c>
      <c r="H149">
        <v>1.381</v>
      </c>
      <c r="J149" t="s">
        <v>1400</v>
      </c>
      <c r="L149">
        <f t="shared" si="2"/>
        <v>5.6849999999999999E-3</v>
      </c>
      <c r="O149">
        <v>96</v>
      </c>
      <c r="R149" s="2" t="s">
        <v>1438</v>
      </c>
      <c r="S149">
        <v>166000</v>
      </c>
      <c r="U149">
        <v>166000</v>
      </c>
      <c r="V149">
        <v>8.3192771084337347E-6</v>
      </c>
      <c r="W149" t="s">
        <v>9</v>
      </c>
      <c r="X149" t="s">
        <v>1456</v>
      </c>
    </row>
    <row r="150" spans="1:24" hidden="1" x14ac:dyDescent="0.35">
      <c r="A150" t="s">
        <v>264</v>
      </c>
      <c r="B150">
        <v>2023</v>
      </c>
      <c r="C150" t="s">
        <v>1308</v>
      </c>
      <c r="D150" t="s">
        <v>1315</v>
      </c>
      <c r="E150" t="s">
        <v>1359</v>
      </c>
      <c r="F150" t="s">
        <v>1364</v>
      </c>
      <c r="G150" t="s">
        <v>1371</v>
      </c>
      <c r="H150">
        <v>1.77</v>
      </c>
      <c r="J150" t="s">
        <v>1400</v>
      </c>
      <c r="L150">
        <f t="shared" si="2"/>
        <v>5.6849999999999999E-3</v>
      </c>
      <c r="O150">
        <v>96</v>
      </c>
      <c r="R150" s="2" t="s">
        <v>1438</v>
      </c>
      <c r="S150">
        <v>166000</v>
      </c>
      <c r="U150">
        <v>166000</v>
      </c>
      <c r="V150">
        <v>1.0662650602409639E-5</v>
      </c>
      <c r="W150" t="s">
        <v>9</v>
      </c>
      <c r="X150" t="s">
        <v>1456</v>
      </c>
    </row>
    <row r="151" spans="1:24" hidden="1" x14ac:dyDescent="0.35">
      <c r="A151" t="s">
        <v>627</v>
      </c>
      <c r="B151">
        <v>2023</v>
      </c>
      <c r="C151" t="s">
        <v>1308</v>
      </c>
      <c r="D151" t="s">
        <v>1311</v>
      </c>
      <c r="E151" t="s">
        <v>1359</v>
      </c>
      <c r="F151" t="s">
        <v>1366</v>
      </c>
      <c r="G151" t="s">
        <v>1371</v>
      </c>
      <c r="H151">
        <v>46.65</v>
      </c>
      <c r="J151" t="s">
        <v>1400</v>
      </c>
      <c r="L151">
        <f t="shared" si="2"/>
        <v>5.6849999999999999E-3</v>
      </c>
      <c r="O151">
        <v>96</v>
      </c>
      <c r="R151" s="2" t="s">
        <v>1438</v>
      </c>
      <c r="S151">
        <v>166000</v>
      </c>
      <c r="U151">
        <v>166000</v>
      </c>
      <c r="V151">
        <v>2.8102409638554218E-4</v>
      </c>
      <c r="W151" t="s">
        <v>9</v>
      </c>
      <c r="X151" t="s">
        <v>1456</v>
      </c>
    </row>
    <row r="152" spans="1:24" hidden="1" x14ac:dyDescent="0.35">
      <c r="A152" t="s">
        <v>628</v>
      </c>
      <c r="B152">
        <v>2023</v>
      </c>
      <c r="C152" t="s">
        <v>1308</v>
      </c>
      <c r="D152" t="s">
        <v>1312</v>
      </c>
      <c r="E152" t="s">
        <v>1359</v>
      </c>
      <c r="F152" t="s">
        <v>1366</v>
      </c>
      <c r="G152" t="s">
        <v>1371</v>
      </c>
      <c r="H152">
        <v>10.962</v>
      </c>
      <c r="J152" t="s">
        <v>1400</v>
      </c>
      <c r="L152">
        <f t="shared" si="2"/>
        <v>5.6849999999999999E-3</v>
      </c>
      <c r="O152">
        <v>96</v>
      </c>
      <c r="R152" s="2" t="s">
        <v>1438</v>
      </c>
      <c r="S152">
        <v>166000</v>
      </c>
      <c r="U152">
        <v>166000</v>
      </c>
      <c r="V152">
        <v>6.6036144578313246E-5</v>
      </c>
      <c r="W152" t="s">
        <v>9</v>
      </c>
      <c r="X152" t="s">
        <v>1456</v>
      </c>
    </row>
    <row r="153" spans="1:24" hidden="1" x14ac:dyDescent="0.35">
      <c r="A153" t="s">
        <v>629</v>
      </c>
      <c r="B153">
        <v>2023</v>
      </c>
      <c r="C153" t="s">
        <v>1308</v>
      </c>
      <c r="D153" t="s">
        <v>1313</v>
      </c>
      <c r="E153" t="s">
        <v>1359</v>
      </c>
      <c r="F153" t="s">
        <v>1366</v>
      </c>
      <c r="G153" t="s">
        <v>1371</v>
      </c>
      <c r="H153">
        <v>1.1850000000000001</v>
      </c>
      <c r="J153" t="s">
        <v>1400</v>
      </c>
      <c r="L153">
        <f t="shared" si="2"/>
        <v>5.6849999999999999E-3</v>
      </c>
      <c r="O153">
        <v>96</v>
      </c>
      <c r="R153" s="2" t="s">
        <v>1438</v>
      </c>
      <c r="S153">
        <v>166000</v>
      </c>
      <c r="U153">
        <v>166000</v>
      </c>
      <c r="V153">
        <v>7.1385542168674698E-6</v>
      </c>
      <c r="W153" t="s">
        <v>9</v>
      </c>
      <c r="X153" t="s">
        <v>1456</v>
      </c>
    </row>
    <row r="154" spans="1:24" hidden="1" x14ac:dyDescent="0.35">
      <c r="A154" t="s">
        <v>630</v>
      </c>
      <c r="B154">
        <v>2023</v>
      </c>
      <c r="C154" t="s">
        <v>1308</v>
      </c>
      <c r="D154" t="s">
        <v>1314</v>
      </c>
      <c r="E154" t="s">
        <v>1359</v>
      </c>
      <c r="F154" t="s">
        <v>1366</v>
      </c>
      <c r="G154" t="s">
        <v>1371</v>
      </c>
      <c r="H154">
        <v>0.26500000000000001</v>
      </c>
      <c r="J154" t="s">
        <v>1400</v>
      </c>
      <c r="L154">
        <f t="shared" si="2"/>
        <v>5.6849999999999999E-3</v>
      </c>
      <c r="O154">
        <v>96</v>
      </c>
      <c r="R154" s="2" t="s">
        <v>1438</v>
      </c>
      <c r="S154">
        <v>166000</v>
      </c>
      <c r="U154">
        <v>166000</v>
      </c>
      <c r="V154">
        <v>1.5963855421686749E-6</v>
      </c>
      <c r="W154" t="s">
        <v>9</v>
      </c>
      <c r="X154" t="s">
        <v>1456</v>
      </c>
    </row>
    <row r="155" spans="1:24" hidden="1" x14ac:dyDescent="0.35">
      <c r="A155" t="s">
        <v>631</v>
      </c>
      <c r="B155">
        <v>2023</v>
      </c>
      <c r="C155" t="s">
        <v>1308</v>
      </c>
      <c r="D155" t="s">
        <v>1315</v>
      </c>
      <c r="E155" t="s">
        <v>1359</v>
      </c>
      <c r="F155" t="s">
        <v>1366</v>
      </c>
      <c r="G155" t="s">
        <v>1371</v>
      </c>
      <c r="H155">
        <v>2.573</v>
      </c>
      <c r="J155" t="s">
        <v>1400</v>
      </c>
      <c r="L155">
        <f t="shared" si="2"/>
        <v>5.6849999999999999E-3</v>
      </c>
      <c r="O155">
        <v>96</v>
      </c>
      <c r="R155" s="2" t="s">
        <v>1438</v>
      </c>
      <c r="S155">
        <v>166000</v>
      </c>
      <c r="U155">
        <v>166000</v>
      </c>
      <c r="V155">
        <v>1.5500000000000001E-5</v>
      </c>
      <c r="W155" t="s">
        <v>9</v>
      </c>
      <c r="X155" t="s">
        <v>1456</v>
      </c>
    </row>
    <row r="156" spans="1:24" hidden="1" x14ac:dyDescent="0.35">
      <c r="A156" t="s">
        <v>1036</v>
      </c>
      <c r="B156">
        <v>2023</v>
      </c>
      <c r="C156" t="s">
        <v>1308</v>
      </c>
      <c r="D156" t="s">
        <v>1347</v>
      </c>
      <c r="E156" t="s">
        <v>1359</v>
      </c>
      <c r="F156" t="s">
        <v>1370</v>
      </c>
      <c r="G156" t="s">
        <v>1375</v>
      </c>
      <c r="H156">
        <v>27340</v>
      </c>
      <c r="J156" t="s">
        <v>1400</v>
      </c>
      <c r="L156">
        <f t="shared" si="2"/>
        <v>5.6849999999999999E-3</v>
      </c>
      <c r="O156">
        <v>96</v>
      </c>
      <c r="R156" s="2" t="s">
        <v>1439</v>
      </c>
      <c r="S156">
        <v>166000</v>
      </c>
      <c r="U156">
        <v>166000</v>
      </c>
      <c r="V156">
        <v>0.16469879518072289</v>
      </c>
      <c r="W156" t="s">
        <v>9</v>
      </c>
      <c r="X156" t="s">
        <v>1460</v>
      </c>
    </row>
    <row r="157" spans="1:24" hidden="1" x14ac:dyDescent="0.35">
      <c r="A157" t="s">
        <v>1208</v>
      </c>
      <c r="B157">
        <v>2023</v>
      </c>
      <c r="C157" t="s">
        <v>1308</v>
      </c>
      <c r="D157" t="s">
        <v>1347</v>
      </c>
      <c r="E157" t="s">
        <v>1359</v>
      </c>
      <c r="G157" t="s">
        <v>1375</v>
      </c>
      <c r="H157">
        <v>30881.462464386499</v>
      </c>
      <c r="J157" t="s">
        <v>1400</v>
      </c>
      <c r="L157">
        <f t="shared" si="2"/>
        <v>5.6849999999999999E-3</v>
      </c>
      <c r="O157">
        <v>96</v>
      </c>
      <c r="Q157" t="s">
        <v>1433</v>
      </c>
      <c r="R157" t="s">
        <v>1451</v>
      </c>
      <c r="S157">
        <v>166000</v>
      </c>
      <c r="U157">
        <v>166000</v>
      </c>
      <c r="V157">
        <v>0.1860329064119669</v>
      </c>
      <c r="W157" t="s">
        <v>9</v>
      </c>
      <c r="X157" t="s">
        <v>1460</v>
      </c>
    </row>
    <row r="158" spans="1:24" hidden="1" x14ac:dyDescent="0.35">
      <c r="A158" t="s">
        <v>1209</v>
      </c>
      <c r="B158">
        <v>2023</v>
      </c>
      <c r="C158" t="s">
        <v>1308</v>
      </c>
      <c r="D158" t="s">
        <v>1347</v>
      </c>
      <c r="E158" t="s">
        <v>1359</v>
      </c>
      <c r="G158" t="s">
        <v>1375</v>
      </c>
      <c r="H158">
        <v>1153.8249914</v>
      </c>
      <c r="J158" t="s">
        <v>1400</v>
      </c>
      <c r="L158">
        <f t="shared" si="2"/>
        <v>5.6849999999999999E-3</v>
      </c>
      <c r="O158">
        <v>96</v>
      </c>
      <c r="Q158" t="s">
        <v>1433</v>
      </c>
      <c r="R158" t="s">
        <v>1451</v>
      </c>
      <c r="S158">
        <v>166000</v>
      </c>
      <c r="U158">
        <v>166000</v>
      </c>
      <c r="V158">
        <v>6.9507529602409641E-3</v>
      </c>
      <c r="W158" t="s">
        <v>9</v>
      </c>
      <c r="X158" t="s">
        <v>1460</v>
      </c>
    </row>
    <row r="159" spans="1:24" hidden="1" x14ac:dyDescent="0.35">
      <c r="A159" t="s">
        <v>1210</v>
      </c>
      <c r="B159">
        <v>2023</v>
      </c>
      <c r="C159" t="s">
        <v>1308</v>
      </c>
      <c r="D159" t="s">
        <v>1347</v>
      </c>
      <c r="E159" t="s">
        <v>1359</v>
      </c>
      <c r="G159" t="s">
        <v>1375</v>
      </c>
      <c r="H159">
        <v>77581.033383311107</v>
      </c>
      <c r="J159" t="s">
        <v>1400</v>
      </c>
      <c r="L159">
        <f t="shared" si="2"/>
        <v>5.6849999999999999E-3</v>
      </c>
      <c r="O159">
        <v>96</v>
      </c>
      <c r="Q159" t="s">
        <v>1433</v>
      </c>
      <c r="R159" t="s">
        <v>1451</v>
      </c>
      <c r="S159">
        <v>166000</v>
      </c>
      <c r="U159">
        <v>166000</v>
      </c>
      <c r="V159">
        <v>0.46735562279103082</v>
      </c>
      <c r="W159" t="s">
        <v>9</v>
      </c>
      <c r="X159" t="s">
        <v>1460</v>
      </c>
    </row>
    <row r="160" spans="1:24" hidden="1" x14ac:dyDescent="0.35">
      <c r="A160" t="s">
        <v>1211</v>
      </c>
      <c r="B160">
        <v>2023</v>
      </c>
      <c r="C160" t="s">
        <v>1308</v>
      </c>
      <c r="D160" t="s">
        <v>1347</v>
      </c>
      <c r="E160" t="s">
        <v>1359</v>
      </c>
      <c r="G160" t="s">
        <v>1375</v>
      </c>
      <c r="H160">
        <v>3942</v>
      </c>
      <c r="J160" t="s">
        <v>1400</v>
      </c>
      <c r="L160">
        <f t="shared" si="2"/>
        <v>5.6849999999999999E-3</v>
      </c>
      <c r="O160">
        <v>96</v>
      </c>
      <c r="Q160" t="s">
        <v>1433</v>
      </c>
      <c r="R160" t="s">
        <v>1451</v>
      </c>
      <c r="S160">
        <v>166000</v>
      </c>
      <c r="U160">
        <v>166000</v>
      </c>
      <c r="V160">
        <v>2.3746987951807231E-2</v>
      </c>
      <c r="W160" t="s">
        <v>9</v>
      </c>
      <c r="X160" t="s">
        <v>1460</v>
      </c>
    </row>
    <row r="161" spans="1:24" hidden="1" x14ac:dyDescent="0.35">
      <c r="A161" t="s">
        <v>1212</v>
      </c>
      <c r="B161">
        <v>2023</v>
      </c>
      <c r="C161" t="s">
        <v>1308</v>
      </c>
      <c r="D161" t="s">
        <v>1347</v>
      </c>
      <c r="E161" t="s">
        <v>1359</v>
      </c>
      <c r="G161" t="s">
        <v>1375</v>
      </c>
      <c r="H161">
        <v>304.2</v>
      </c>
      <c r="J161" t="s">
        <v>1400</v>
      </c>
      <c r="L161">
        <f t="shared" si="2"/>
        <v>5.6849999999999999E-3</v>
      </c>
      <c r="O161">
        <v>96</v>
      </c>
      <c r="Q161" t="s">
        <v>1433</v>
      </c>
      <c r="R161" t="s">
        <v>1451</v>
      </c>
      <c r="S161">
        <v>166000</v>
      </c>
      <c r="U161">
        <v>166000</v>
      </c>
      <c r="V161">
        <v>1.832530120481928E-3</v>
      </c>
      <c r="W161" t="s">
        <v>9</v>
      </c>
      <c r="X161" t="s">
        <v>1460</v>
      </c>
    </row>
    <row r="162" spans="1:24" hidden="1" x14ac:dyDescent="0.35">
      <c r="A162" t="s">
        <v>1213</v>
      </c>
      <c r="B162">
        <v>2023</v>
      </c>
      <c r="C162" t="s">
        <v>1309</v>
      </c>
      <c r="D162" t="s">
        <v>1350</v>
      </c>
      <c r="E162" t="s">
        <v>1360</v>
      </c>
      <c r="G162" t="s">
        <v>1376</v>
      </c>
      <c r="H162">
        <v>7000</v>
      </c>
      <c r="J162" t="s">
        <v>1400</v>
      </c>
      <c r="L162">
        <f t="shared" si="2"/>
        <v>5.6849999999999999E-3</v>
      </c>
      <c r="O162">
        <v>96</v>
      </c>
      <c r="Q162" t="s">
        <v>1433</v>
      </c>
      <c r="R162" t="s">
        <v>1451</v>
      </c>
      <c r="S162">
        <v>166000</v>
      </c>
      <c r="U162">
        <v>166000</v>
      </c>
      <c r="V162">
        <v>4.2168674698795178E-2</v>
      </c>
      <c r="W162" t="s">
        <v>9</v>
      </c>
      <c r="X162" t="s">
        <v>1461</v>
      </c>
    </row>
    <row r="163" spans="1:24" hidden="1" x14ac:dyDescent="0.35">
      <c r="A163" t="s">
        <v>247</v>
      </c>
      <c r="B163">
        <v>2023</v>
      </c>
      <c r="C163" t="s">
        <v>1308</v>
      </c>
      <c r="D163" t="s">
        <v>1317</v>
      </c>
      <c r="E163" t="s">
        <v>1359</v>
      </c>
      <c r="F163" t="s">
        <v>1364</v>
      </c>
      <c r="G163" t="s">
        <v>1372</v>
      </c>
      <c r="H163">
        <v>0.6542</v>
      </c>
      <c r="J163" t="s">
        <v>1399</v>
      </c>
      <c r="L163">
        <f>0.276/1000</f>
        <v>2.7600000000000004E-4</v>
      </c>
      <c r="O163">
        <v>54.2</v>
      </c>
      <c r="P163" t="s">
        <v>1470</v>
      </c>
      <c r="R163" s="2" t="s">
        <v>1438</v>
      </c>
      <c r="S163">
        <v>1139000</v>
      </c>
      <c r="U163">
        <v>1139000</v>
      </c>
      <c r="V163">
        <v>5.7436347673397716E-7</v>
      </c>
      <c r="W163" t="s">
        <v>9</v>
      </c>
      <c r="X163" t="s">
        <v>1457</v>
      </c>
    </row>
    <row r="164" spans="1:24" hidden="1" x14ac:dyDescent="0.35">
      <c r="A164" t="s">
        <v>248</v>
      </c>
      <c r="B164">
        <v>2023</v>
      </c>
      <c r="C164" t="s">
        <v>1308</v>
      </c>
      <c r="D164" t="s">
        <v>1318</v>
      </c>
      <c r="E164" t="s">
        <v>1359</v>
      </c>
      <c r="F164" t="s">
        <v>1364</v>
      </c>
      <c r="G164" t="s">
        <v>1372</v>
      </c>
      <c r="H164">
        <v>1.6660999999999999</v>
      </c>
      <c r="J164" t="s">
        <v>1399</v>
      </c>
      <c r="L164">
        <f t="shared" ref="L164:L192" si="3">0.276/1000</f>
        <v>2.7600000000000004E-4</v>
      </c>
      <c r="O164">
        <v>54.2</v>
      </c>
      <c r="P164" t="s">
        <v>1470</v>
      </c>
      <c r="R164" s="2" t="s">
        <v>1438</v>
      </c>
      <c r="S164">
        <v>1139000</v>
      </c>
      <c r="U164">
        <v>1139000</v>
      </c>
      <c r="V164">
        <v>1.4627743634767339E-6</v>
      </c>
      <c r="W164" t="s">
        <v>9</v>
      </c>
      <c r="X164" t="s">
        <v>1457</v>
      </c>
    </row>
    <row r="165" spans="1:24" hidden="1" x14ac:dyDescent="0.35">
      <c r="A165" t="s">
        <v>249</v>
      </c>
      <c r="B165">
        <v>2023</v>
      </c>
      <c r="C165" t="s">
        <v>1308</v>
      </c>
      <c r="D165" t="s">
        <v>1311</v>
      </c>
      <c r="E165" t="s">
        <v>1359</v>
      </c>
      <c r="F165" t="s">
        <v>1364</v>
      </c>
      <c r="G165" t="s">
        <v>1371</v>
      </c>
      <c r="H165">
        <v>51.503300000000003</v>
      </c>
      <c r="J165" t="s">
        <v>1399</v>
      </c>
      <c r="L165">
        <f t="shared" si="3"/>
        <v>2.7600000000000004E-4</v>
      </c>
      <c r="O165">
        <v>54.2</v>
      </c>
      <c r="P165" t="s">
        <v>1470</v>
      </c>
      <c r="R165" s="2" t="s">
        <v>1438</v>
      </c>
      <c r="S165">
        <v>1139000</v>
      </c>
      <c r="U165">
        <v>1139000</v>
      </c>
      <c r="V165">
        <v>4.5217998244073751E-5</v>
      </c>
      <c r="W165" t="s">
        <v>9</v>
      </c>
      <c r="X165" t="s">
        <v>1456</v>
      </c>
    </row>
    <row r="166" spans="1:24" hidden="1" x14ac:dyDescent="0.35">
      <c r="A166" t="s">
        <v>250</v>
      </c>
      <c r="B166">
        <v>2023</v>
      </c>
      <c r="C166" t="s">
        <v>1308</v>
      </c>
      <c r="D166" t="s">
        <v>1341</v>
      </c>
      <c r="E166" t="s">
        <v>1359</v>
      </c>
      <c r="F166" t="s">
        <v>1364</v>
      </c>
      <c r="G166" t="s">
        <v>1373</v>
      </c>
      <c r="H166">
        <v>1.07</v>
      </c>
      <c r="J166" t="s">
        <v>1399</v>
      </c>
      <c r="L166">
        <f t="shared" si="3"/>
        <v>2.7600000000000004E-4</v>
      </c>
      <c r="O166">
        <v>54.2</v>
      </c>
      <c r="P166" t="s">
        <v>1470</v>
      </c>
      <c r="R166" s="2" t="s">
        <v>1438</v>
      </c>
      <c r="S166">
        <v>1139000</v>
      </c>
      <c r="U166">
        <v>1139000</v>
      </c>
      <c r="V166">
        <v>9.394205443371379E-7</v>
      </c>
      <c r="W166" t="s">
        <v>9</v>
      </c>
      <c r="X166" t="s">
        <v>1458</v>
      </c>
    </row>
    <row r="167" spans="1:24" hidden="1" x14ac:dyDescent="0.35">
      <c r="A167" t="s">
        <v>251</v>
      </c>
      <c r="B167">
        <v>2023</v>
      </c>
      <c r="C167" t="s">
        <v>1308</v>
      </c>
      <c r="D167" t="s">
        <v>1342</v>
      </c>
      <c r="E167" t="s">
        <v>1359</v>
      </c>
      <c r="F167" t="s">
        <v>1364</v>
      </c>
      <c r="G167" t="s">
        <v>1374</v>
      </c>
      <c r="H167">
        <v>0.30570000000000003</v>
      </c>
      <c r="J167" t="s">
        <v>1399</v>
      </c>
      <c r="L167">
        <f t="shared" si="3"/>
        <v>2.7600000000000004E-4</v>
      </c>
      <c r="O167">
        <v>54.2</v>
      </c>
      <c r="P167" t="s">
        <v>1470</v>
      </c>
      <c r="R167" s="2" t="s">
        <v>1438</v>
      </c>
      <c r="S167">
        <v>1139000</v>
      </c>
      <c r="U167">
        <v>1139000</v>
      </c>
      <c r="V167">
        <v>2.683933274802459E-7</v>
      </c>
      <c r="W167" t="s">
        <v>9</v>
      </c>
      <c r="X167" t="s">
        <v>1459</v>
      </c>
    </row>
    <row r="168" spans="1:24" hidden="1" x14ac:dyDescent="0.35">
      <c r="A168" t="s">
        <v>252</v>
      </c>
      <c r="B168">
        <v>2023</v>
      </c>
      <c r="C168" t="s">
        <v>1308</v>
      </c>
      <c r="D168" t="s">
        <v>1322</v>
      </c>
      <c r="E168" t="s">
        <v>1359</v>
      </c>
      <c r="F168" t="s">
        <v>1364</v>
      </c>
      <c r="G168" t="s">
        <v>1372</v>
      </c>
      <c r="H168">
        <v>32.709899999999998</v>
      </c>
      <c r="J168" t="s">
        <v>1399</v>
      </c>
      <c r="L168">
        <f t="shared" si="3"/>
        <v>2.7600000000000004E-4</v>
      </c>
      <c r="O168">
        <v>54.2</v>
      </c>
      <c r="P168" t="s">
        <v>1470</v>
      </c>
      <c r="R168" s="2" t="s">
        <v>1438</v>
      </c>
      <c r="S168">
        <v>1139000</v>
      </c>
      <c r="U168">
        <v>1139000</v>
      </c>
      <c r="V168">
        <v>2.8718086040386301E-5</v>
      </c>
      <c r="W168" t="s">
        <v>9</v>
      </c>
      <c r="X168" t="s">
        <v>1457</v>
      </c>
    </row>
    <row r="169" spans="1:24" hidden="1" x14ac:dyDescent="0.35">
      <c r="A169" t="s">
        <v>253</v>
      </c>
      <c r="B169">
        <v>2023</v>
      </c>
      <c r="C169" t="s">
        <v>1308</v>
      </c>
      <c r="D169" t="s">
        <v>1330</v>
      </c>
      <c r="E169" t="s">
        <v>1359</v>
      </c>
      <c r="F169" t="s">
        <v>1364</v>
      </c>
      <c r="G169" t="s">
        <v>1371</v>
      </c>
      <c r="H169">
        <v>8.5599999999999999E-4</v>
      </c>
      <c r="J169" t="s">
        <v>1399</v>
      </c>
      <c r="L169">
        <f t="shared" si="3"/>
        <v>2.7600000000000004E-4</v>
      </c>
      <c r="O169">
        <v>54.2</v>
      </c>
      <c r="P169" t="s">
        <v>1470</v>
      </c>
      <c r="R169" s="2" t="s">
        <v>1438</v>
      </c>
      <c r="S169">
        <v>1139000</v>
      </c>
      <c r="U169">
        <v>1139000</v>
      </c>
      <c r="V169">
        <v>7.5153643546971028E-10</v>
      </c>
      <c r="W169" t="s">
        <v>9</v>
      </c>
      <c r="X169" t="s">
        <v>1456</v>
      </c>
    </row>
    <row r="170" spans="1:24" hidden="1" x14ac:dyDescent="0.35">
      <c r="A170" t="s">
        <v>254</v>
      </c>
      <c r="B170">
        <v>2023</v>
      </c>
      <c r="C170" t="s">
        <v>1308</v>
      </c>
      <c r="D170" t="s">
        <v>1312</v>
      </c>
      <c r="E170" t="s">
        <v>1359</v>
      </c>
      <c r="F170" t="s">
        <v>1364</v>
      </c>
      <c r="G170" t="s">
        <v>1371</v>
      </c>
      <c r="H170">
        <v>236.81049999999999</v>
      </c>
      <c r="J170" t="s">
        <v>1399</v>
      </c>
      <c r="L170">
        <f t="shared" si="3"/>
        <v>2.7600000000000004E-4</v>
      </c>
      <c r="O170">
        <v>54.2</v>
      </c>
      <c r="P170" t="s">
        <v>1470</v>
      </c>
      <c r="R170" s="2" t="s">
        <v>1438</v>
      </c>
      <c r="S170">
        <v>1139000</v>
      </c>
      <c r="U170">
        <v>1139000</v>
      </c>
      <c r="V170">
        <v>2.0791088674275681E-4</v>
      </c>
      <c r="W170" t="s">
        <v>9</v>
      </c>
      <c r="X170" t="s">
        <v>1456</v>
      </c>
    </row>
    <row r="171" spans="1:24" hidden="1" x14ac:dyDescent="0.35">
      <c r="A171" t="s">
        <v>255</v>
      </c>
      <c r="B171">
        <v>2023</v>
      </c>
      <c r="C171" t="s">
        <v>1308</v>
      </c>
      <c r="D171" t="s">
        <v>1313</v>
      </c>
      <c r="E171" t="s">
        <v>1359</v>
      </c>
      <c r="F171" t="s">
        <v>1364</v>
      </c>
      <c r="G171" t="s">
        <v>1371</v>
      </c>
      <c r="H171">
        <v>20.4465</v>
      </c>
      <c r="J171" t="s">
        <v>1399</v>
      </c>
      <c r="L171">
        <f t="shared" si="3"/>
        <v>2.7600000000000004E-4</v>
      </c>
      <c r="O171">
        <v>54.2</v>
      </c>
      <c r="P171" t="s">
        <v>1470</v>
      </c>
      <c r="R171" s="2" t="s">
        <v>1438</v>
      </c>
      <c r="S171">
        <v>1139000</v>
      </c>
      <c r="U171">
        <v>1139000</v>
      </c>
      <c r="V171">
        <v>1.7951273046532041E-5</v>
      </c>
      <c r="W171" t="s">
        <v>9</v>
      </c>
      <c r="X171" t="s">
        <v>1456</v>
      </c>
    </row>
    <row r="172" spans="1:24" hidden="1" x14ac:dyDescent="0.35">
      <c r="A172" t="s">
        <v>256</v>
      </c>
      <c r="B172">
        <v>2023</v>
      </c>
      <c r="C172" t="s">
        <v>1308</v>
      </c>
      <c r="D172" t="s">
        <v>1314</v>
      </c>
      <c r="E172" t="s">
        <v>1359</v>
      </c>
      <c r="F172" t="s">
        <v>1364</v>
      </c>
      <c r="G172" t="s">
        <v>1371</v>
      </c>
      <c r="H172">
        <v>20.4465</v>
      </c>
      <c r="J172" t="s">
        <v>1399</v>
      </c>
      <c r="L172">
        <f t="shared" si="3"/>
        <v>2.7600000000000004E-4</v>
      </c>
      <c r="O172">
        <v>54.2</v>
      </c>
      <c r="P172" t="s">
        <v>1470</v>
      </c>
      <c r="R172" s="2" t="s">
        <v>1438</v>
      </c>
      <c r="S172">
        <v>1139000</v>
      </c>
      <c r="U172">
        <v>1139000</v>
      </c>
      <c r="V172">
        <v>1.7951273046532041E-5</v>
      </c>
      <c r="W172" t="s">
        <v>9</v>
      </c>
      <c r="X172" t="s">
        <v>1456</v>
      </c>
    </row>
    <row r="173" spans="1:24" hidden="1" x14ac:dyDescent="0.35">
      <c r="A173" t="s">
        <v>257</v>
      </c>
      <c r="B173">
        <v>2023</v>
      </c>
      <c r="C173" t="s">
        <v>1308</v>
      </c>
      <c r="D173" t="s">
        <v>1315</v>
      </c>
      <c r="E173" t="s">
        <v>1359</v>
      </c>
      <c r="F173" t="s">
        <v>1364</v>
      </c>
      <c r="G173" t="s">
        <v>1371</v>
      </c>
      <c r="H173">
        <v>20.465599999999998</v>
      </c>
      <c r="J173" t="s">
        <v>1399</v>
      </c>
      <c r="L173">
        <f t="shared" si="3"/>
        <v>2.7600000000000004E-4</v>
      </c>
      <c r="O173">
        <v>54.2</v>
      </c>
      <c r="P173" t="s">
        <v>1470</v>
      </c>
      <c r="R173" s="2" t="s">
        <v>1438</v>
      </c>
      <c r="S173">
        <v>1139000</v>
      </c>
      <c r="U173">
        <v>1139000</v>
      </c>
      <c r="V173">
        <v>1.7968042142230021E-5</v>
      </c>
      <c r="W173" t="s">
        <v>9</v>
      </c>
      <c r="X173" t="s">
        <v>1456</v>
      </c>
    </row>
    <row r="174" spans="1:24" hidden="1" x14ac:dyDescent="0.35">
      <c r="A174" t="s">
        <v>615</v>
      </c>
      <c r="B174">
        <v>2023</v>
      </c>
      <c r="C174" t="s">
        <v>1308</v>
      </c>
      <c r="D174" t="s">
        <v>1317</v>
      </c>
      <c r="E174" t="s">
        <v>1359</v>
      </c>
      <c r="F174" t="s">
        <v>1366</v>
      </c>
      <c r="G174" t="s">
        <v>1372</v>
      </c>
      <c r="H174">
        <v>10.767899999999999</v>
      </c>
      <c r="J174" t="s">
        <v>1399</v>
      </c>
      <c r="L174">
        <f t="shared" si="3"/>
        <v>2.7600000000000004E-4</v>
      </c>
      <c r="O174">
        <v>54.2</v>
      </c>
      <c r="P174" t="s">
        <v>1470</v>
      </c>
      <c r="R174" s="2" t="s">
        <v>1438</v>
      </c>
      <c r="S174">
        <v>1139000</v>
      </c>
      <c r="U174">
        <v>1139000</v>
      </c>
      <c r="V174">
        <v>9.4538191395961368E-6</v>
      </c>
      <c r="W174" t="s">
        <v>9</v>
      </c>
      <c r="X174" t="s">
        <v>1457</v>
      </c>
    </row>
    <row r="175" spans="1:24" hidden="1" x14ac:dyDescent="0.35">
      <c r="A175" t="s">
        <v>616</v>
      </c>
      <c r="B175">
        <v>2023</v>
      </c>
      <c r="C175" t="s">
        <v>1308</v>
      </c>
      <c r="D175" t="s">
        <v>1318</v>
      </c>
      <c r="E175" t="s">
        <v>1359</v>
      </c>
      <c r="F175" t="s">
        <v>1366</v>
      </c>
      <c r="G175" t="s">
        <v>1372</v>
      </c>
      <c r="H175">
        <v>0.47860000000000003</v>
      </c>
      <c r="J175" t="s">
        <v>1399</v>
      </c>
      <c r="L175">
        <f t="shared" si="3"/>
        <v>2.7600000000000004E-4</v>
      </c>
      <c r="O175">
        <v>54.2</v>
      </c>
      <c r="P175" t="s">
        <v>1470</v>
      </c>
      <c r="R175" s="2" t="s">
        <v>1438</v>
      </c>
      <c r="S175">
        <v>1139000</v>
      </c>
      <c r="U175">
        <v>1139000</v>
      </c>
      <c r="V175">
        <v>4.2019315188762081E-7</v>
      </c>
      <c r="W175" t="s">
        <v>9</v>
      </c>
      <c r="X175" t="s">
        <v>1457</v>
      </c>
    </row>
    <row r="176" spans="1:24" hidden="1" x14ac:dyDescent="0.35">
      <c r="A176" t="s">
        <v>617</v>
      </c>
      <c r="B176">
        <v>2023</v>
      </c>
      <c r="C176" t="s">
        <v>1308</v>
      </c>
      <c r="D176" t="s">
        <v>1311</v>
      </c>
      <c r="E176" t="s">
        <v>1359</v>
      </c>
      <c r="F176" t="s">
        <v>1366</v>
      </c>
      <c r="G176" t="s">
        <v>1371</v>
      </c>
      <c r="H176">
        <v>123.65779999999999</v>
      </c>
      <c r="J176" t="s">
        <v>1399</v>
      </c>
      <c r="L176">
        <f t="shared" si="3"/>
        <v>2.7600000000000004E-4</v>
      </c>
      <c r="O176">
        <v>54.2</v>
      </c>
      <c r="P176" t="s">
        <v>1470</v>
      </c>
      <c r="R176" s="2" t="s">
        <v>1438</v>
      </c>
      <c r="S176">
        <v>1139000</v>
      </c>
      <c r="U176">
        <v>1139000</v>
      </c>
      <c r="V176">
        <v>1.0856698858647941E-4</v>
      </c>
      <c r="W176" t="s">
        <v>9</v>
      </c>
      <c r="X176" t="s">
        <v>1456</v>
      </c>
    </row>
    <row r="177" spans="1:24" hidden="1" x14ac:dyDescent="0.35">
      <c r="A177" t="s">
        <v>618</v>
      </c>
      <c r="B177">
        <v>2023</v>
      </c>
      <c r="C177" t="s">
        <v>1308</v>
      </c>
      <c r="D177" t="s">
        <v>1320</v>
      </c>
      <c r="E177" t="s">
        <v>1359</v>
      </c>
      <c r="F177" t="s">
        <v>1366</v>
      </c>
      <c r="G177" t="s">
        <v>1372</v>
      </c>
      <c r="H177">
        <v>8.2875999999999994</v>
      </c>
      <c r="J177" t="s">
        <v>1399</v>
      </c>
      <c r="L177">
        <f t="shared" si="3"/>
        <v>2.7600000000000004E-4</v>
      </c>
      <c r="O177">
        <v>54.2</v>
      </c>
      <c r="P177" t="s">
        <v>1470</v>
      </c>
      <c r="R177" s="2" t="s">
        <v>1438</v>
      </c>
      <c r="S177">
        <v>1139000</v>
      </c>
      <c r="U177">
        <v>1139000</v>
      </c>
      <c r="V177">
        <v>7.276207199297629E-6</v>
      </c>
      <c r="W177" t="s">
        <v>9</v>
      </c>
      <c r="X177" t="s">
        <v>1457</v>
      </c>
    </row>
    <row r="178" spans="1:24" hidden="1" x14ac:dyDescent="0.35">
      <c r="A178" t="s">
        <v>619</v>
      </c>
      <c r="B178">
        <v>2023</v>
      </c>
      <c r="C178" t="s">
        <v>1308</v>
      </c>
      <c r="D178" t="s">
        <v>1322</v>
      </c>
      <c r="E178" t="s">
        <v>1359</v>
      </c>
      <c r="F178" t="s">
        <v>1366</v>
      </c>
      <c r="G178" t="s">
        <v>1372</v>
      </c>
      <c r="H178">
        <v>16.253599999999999</v>
      </c>
      <c r="J178" t="s">
        <v>1399</v>
      </c>
      <c r="L178">
        <f t="shared" si="3"/>
        <v>2.7600000000000004E-4</v>
      </c>
      <c r="O178">
        <v>54.2</v>
      </c>
      <c r="P178" t="s">
        <v>1470</v>
      </c>
      <c r="R178" s="2" t="s">
        <v>1438</v>
      </c>
      <c r="S178">
        <v>1139000</v>
      </c>
      <c r="U178">
        <v>1139000</v>
      </c>
      <c r="V178">
        <v>1.427006145741879E-5</v>
      </c>
      <c r="W178" t="s">
        <v>9</v>
      </c>
      <c r="X178" t="s">
        <v>1457</v>
      </c>
    </row>
    <row r="179" spans="1:24" hidden="1" x14ac:dyDescent="0.35">
      <c r="A179" t="s">
        <v>620</v>
      </c>
      <c r="B179">
        <v>2023</v>
      </c>
      <c r="C179" t="s">
        <v>1308</v>
      </c>
      <c r="D179" t="s">
        <v>1330</v>
      </c>
      <c r="E179" t="s">
        <v>1359</v>
      </c>
      <c r="F179" t="s">
        <v>1366</v>
      </c>
      <c r="G179" t="s">
        <v>1371</v>
      </c>
      <c r="H179">
        <v>5.0219999999999996E-4</v>
      </c>
      <c r="J179" t="s">
        <v>1399</v>
      </c>
      <c r="L179">
        <f t="shared" si="3"/>
        <v>2.7600000000000004E-4</v>
      </c>
      <c r="O179">
        <v>54.2</v>
      </c>
      <c r="P179" t="s">
        <v>1470</v>
      </c>
      <c r="R179" s="2" t="s">
        <v>1438</v>
      </c>
      <c r="S179">
        <v>1139000</v>
      </c>
      <c r="U179">
        <v>1139000</v>
      </c>
      <c r="V179">
        <v>4.4091308165057062E-10</v>
      </c>
      <c r="W179" t="s">
        <v>9</v>
      </c>
      <c r="X179" t="s">
        <v>1456</v>
      </c>
    </row>
    <row r="180" spans="1:24" hidden="1" x14ac:dyDescent="0.35">
      <c r="A180" t="s">
        <v>621</v>
      </c>
      <c r="B180">
        <v>2023</v>
      </c>
      <c r="C180" t="s">
        <v>1308</v>
      </c>
      <c r="D180" t="s">
        <v>1312</v>
      </c>
      <c r="E180" t="s">
        <v>1359</v>
      </c>
      <c r="F180" t="s">
        <v>1366</v>
      </c>
      <c r="G180" t="s">
        <v>1371</v>
      </c>
      <c r="H180">
        <v>24.592400000000001</v>
      </c>
      <c r="J180" t="s">
        <v>1399</v>
      </c>
      <c r="L180">
        <f t="shared" si="3"/>
        <v>2.7600000000000004E-4</v>
      </c>
      <c r="O180">
        <v>54.2</v>
      </c>
      <c r="P180" t="s">
        <v>1470</v>
      </c>
      <c r="R180" s="2" t="s">
        <v>1438</v>
      </c>
      <c r="S180">
        <v>1139000</v>
      </c>
      <c r="U180">
        <v>1139000</v>
      </c>
      <c r="V180">
        <v>2.159122036874451E-5</v>
      </c>
      <c r="W180" t="s">
        <v>9</v>
      </c>
      <c r="X180" t="s">
        <v>1456</v>
      </c>
    </row>
    <row r="181" spans="1:24" hidden="1" x14ac:dyDescent="0.35">
      <c r="A181" t="s">
        <v>622</v>
      </c>
      <c r="B181">
        <v>2023</v>
      </c>
      <c r="C181" t="s">
        <v>1308</v>
      </c>
      <c r="D181" t="s">
        <v>1313</v>
      </c>
      <c r="E181" t="s">
        <v>1359</v>
      </c>
      <c r="F181" t="s">
        <v>1366</v>
      </c>
      <c r="G181" t="s">
        <v>1371</v>
      </c>
      <c r="H181">
        <v>138.20869999999999</v>
      </c>
      <c r="J181" t="s">
        <v>1399</v>
      </c>
      <c r="L181">
        <f t="shared" si="3"/>
        <v>2.7600000000000004E-4</v>
      </c>
      <c r="O181">
        <v>54.2</v>
      </c>
      <c r="P181" t="s">
        <v>1470</v>
      </c>
      <c r="R181" s="2" t="s">
        <v>1438</v>
      </c>
      <c r="S181">
        <v>1139000</v>
      </c>
      <c r="U181">
        <v>1139000</v>
      </c>
      <c r="V181">
        <v>1.213421422300263E-4</v>
      </c>
      <c r="W181" t="s">
        <v>9</v>
      </c>
      <c r="X181" t="s">
        <v>1456</v>
      </c>
    </row>
    <row r="182" spans="1:24" hidden="1" x14ac:dyDescent="0.35">
      <c r="A182" t="s">
        <v>623</v>
      </c>
      <c r="B182">
        <v>2023</v>
      </c>
      <c r="C182" t="s">
        <v>1308</v>
      </c>
      <c r="D182" t="s">
        <v>1314</v>
      </c>
      <c r="E182" t="s">
        <v>1359</v>
      </c>
      <c r="F182" t="s">
        <v>1366</v>
      </c>
      <c r="G182" t="s">
        <v>1371</v>
      </c>
      <c r="H182">
        <v>34.067300000000003</v>
      </c>
      <c r="J182" t="s">
        <v>1399</v>
      </c>
      <c r="L182">
        <f t="shared" si="3"/>
        <v>2.7600000000000004E-4</v>
      </c>
      <c r="O182">
        <v>54.2</v>
      </c>
      <c r="P182" t="s">
        <v>1470</v>
      </c>
      <c r="R182" s="2" t="s">
        <v>1438</v>
      </c>
      <c r="S182">
        <v>1139000</v>
      </c>
      <c r="U182">
        <v>1139000</v>
      </c>
      <c r="V182">
        <v>2.9909833187006148E-5</v>
      </c>
      <c r="W182" t="s">
        <v>9</v>
      </c>
      <c r="X182" t="s">
        <v>1456</v>
      </c>
    </row>
    <row r="183" spans="1:24" hidden="1" x14ac:dyDescent="0.35">
      <c r="A183" t="s">
        <v>624</v>
      </c>
      <c r="B183">
        <v>2023</v>
      </c>
      <c r="C183" t="s">
        <v>1308</v>
      </c>
      <c r="D183" t="s">
        <v>1325</v>
      </c>
      <c r="E183" t="s">
        <v>1359</v>
      </c>
      <c r="F183" t="s">
        <v>1366</v>
      </c>
      <c r="G183" t="s">
        <v>1372</v>
      </c>
      <c r="H183">
        <v>6.3966000000000003</v>
      </c>
      <c r="J183" t="s">
        <v>1399</v>
      </c>
      <c r="L183">
        <f t="shared" si="3"/>
        <v>2.7600000000000004E-4</v>
      </c>
      <c r="O183">
        <v>54.2</v>
      </c>
      <c r="P183" t="s">
        <v>1470</v>
      </c>
      <c r="R183" s="2" t="s">
        <v>1438</v>
      </c>
      <c r="S183">
        <v>1139000</v>
      </c>
      <c r="U183">
        <v>1139000</v>
      </c>
      <c r="V183">
        <v>5.6159789288849867E-6</v>
      </c>
      <c r="W183" t="s">
        <v>9</v>
      </c>
      <c r="X183" t="s">
        <v>1457</v>
      </c>
    </row>
    <row r="184" spans="1:24" hidden="1" x14ac:dyDescent="0.35">
      <c r="A184" t="s">
        <v>625</v>
      </c>
      <c r="B184">
        <v>2023</v>
      </c>
      <c r="C184" t="s">
        <v>1308</v>
      </c>
      <c r="D184" t="s">
        <v>1334</v>
      </c>
      <c r="E184" t="s">
        <v>1359</v>
      </c>
      <c r="F184" t="s">
        <v>1366</v>
      </c>
      <c r="G184" t="s">
        <v>1372</v>
      </c>
      <c r="H184">
        <v>0.1081</v>
      </c>
      <c r="J184" t="s">
        <v>1399</v>
      </c>
      <c r="L184">
        <f t="shared" si="3"/>
        <v>2.7600000000000004E-4</v>
      </c>
      <c r="O184">
        <v>54.2</v>
      </c>
      <c r="P184" t="s">
        <v>1470</v>
      </c>
      <c r="R184" s="2" t="s">
        <v>1438</v>
      </c>
      <c r="S184">
        <v>1139000</v>
      </c>
      <c r="U184">
        <v>1139000</v>
      </c>
      <c r="V184">
        <v>9.4907813871817385E-8</v>
      </c>
      <c r="W184" t="s">
        <v>9</v>
      </c>
      <c r="X184" t="s">
        <v>1457</v>
      </c>
    </row>
    <row r="185" spans="1:24" hidden="1" x14ac:dyDescent="0.35">
      <c r="A185" t="s">
        <v>626</v>
      </c>
      <c r="B185">
        <v>2023</v>
      </c>
      <c r="C185" t="s">
        <v>1308</v>
      </c>
      <c r="D185" t="s">
        <v>1315</v>
      </c>
      <c r="E185" t="s">
        <v>1359</v>
      </c>
      <c r="F185" t="s">
        <v>1366</v>
      </c>
      <c r="G185" t="s">
        <v>1371</v>
      </c>
      <c r="H185">
        <v>585.80489999999998</v>
      </c>
      <c r="J185" t="s">
        <v>1399</v>
      </c>
      <c r="L185">
        <f t="shared" si="3"/>
        <v>2.7600000000000004E-4</v>
      </c>
      <c r="O185">
        <v>54.2</v>
      </c>
      <c r="P185" t="s">
        <v>1470</v>
      </c>
      <c r="R185" s="2" t="s">
        <v>1438</v>
      </c>
      <c r="S185">
        <v>1139000</v>
      </c>
      <c r="U185">
        <v>1139000</v>
      </c>
      <c r="V185">
        <v>5.1431510096575941E-4</v>
      </c>
      <c r="W185" t="s">
        <v>9</v>
      </c>
      <c r="X185" t="s">
        <v>1456</v>
      </c>
    </row>
    <row r="186" spans="1:24" hidden="1" x14ac:dyDescent="0.35">
      <c r="A186" t="s">
        <v>1048</v>
      </c>
      <c r="B186">
        <v>2023</v>
      </c>
      <c r="C186" t="s">
        <v>1308</v>
      </c>
      <c r="D186" t="s">
        <v>1347</v>
      </c>
      <c r="E186" t="s">
        <v>1359</v>
      </c>
      <c r="F186" t="s">
        <v>1370</v>
      </c>
      <c r="G186" t="s">
        <v>1375</v>
      </c>
      <c r="H186">
        <v>95700</v>
      </c>
      <c r="J186" t="s">
        <v>1399</v>
      </c>
      <c r="L186">
        <f t="shared" si="3"/>
        <v>2.7600000000000004E-4</v>
      </c>
      <c r="O186">
        <v>54.2</v>
      </c>
      <c r="P186" t="s">
        <v>1470</v>
      </c>
      <c r="R186" s="2" t="s">
        <v>1439</v>
      </c>
      <c r="S186">
        <v>1139000</v>
      </c>
      <c r="U186">
        <v>1139000</v>
      </c>
      <c r="V186">
        <v>8.4021071115013168E-2</v>
      </c>
      <c r="W186" t="s">
        <v>9</v>
      </c>
      <c r="X186" t="s">
        <v>1460</v>
      </c>
    </row>
    <row r="187" spans="1:24" hidden="1" x14ac:dyDescent="0.35">
      <c r="A187" t="s">
        <v>1260</v>
      </c>
      <c r="B187">
        <v>2023</v>
      </c>
      <c r="C187" t="s">
        <v>1308</v>
      </c>
      <c r="D187" t="s">
        <v>1347</v>
      </c>
      <c r="E187" t="s">
        <v>1359</v>
      </c>
      <c r="G187" t="s">
        <v>1375</v>
      </c>
      <c r="H187">
        <v>112383.583535172</v>
      </c>
      <c r="J187" t="s">
        <v>1399</v>
      </c>
      <c r="L187">
        <f t="shared" si="3"/>
        <v>2.7600000000000004E-4</v>
      </c>
      <c r="O187">
        <v>54.2</v>
      </c>
      <c r="P187" t="s">
        <v>1470</v>
      </c>
      <c r="Q187" t="s">
        <v>1433</v>
      </c>
      <c r="R187" t="s">
        <v>1451</v>
      </c>
      <c r="S187">
        <v>1139000</v>
      </c>
      <c r="U187">
        <v>1139000</v>
      </c>
      <c r="V187">
        <v>9.8668642260906061E-2</v>
      </c>
      <c r="W187" t="s">
        <v>9</v>
      </c>
      <c r="X187" t="s">
        <v>1460</v>
      </c>
    </row>
    <row r="188" spans="1:24" hidden="1" x14ac:dyDescent="0.35">
      <c r="A188" t="s">
        <v>1261</v>
      </c>
      <c r="B188">
        <v>2023</v>
      </c>
      <c r="C188" t="s">
        <v>1308</v>
      </c>
      <c r="D188" t="s">
        <v>1347</v>
      </c>
      <c r="E188" t="s">
        <v>1359</v>
      </c>
      <c r="G188" t="s">
        <v>1375</v>
      </c>
      <c r="H188">
        <v>2584.5738038</v>
      </c>
      <c r="J188" t="s">
        <v>1399</v>
      </c>
      <c r="L188">
        <f t="shared" si="3"/>
        <v>2.7600000000000004E-4</v>
      </c>
      <c r="O188">
        <v>54.2</v>
      </c>
      <c r="P188" t="s">
        <v>1470</v>
      </c>
      <c r="Q188" t="s">
        <v>1433</v>
      </c>
      <c r="R188" t="s">
        <v>1451</v>
      </c>
      <c r="S188">
        <v>1139000</v>
      </c>
      <c r="U188">
        <v>1139000</v>
      </c>
      <c r="V188">
        <v>2.2691604949956101E-3</v>
      </c>
      <c r="W188" t="s">
        <v>9</v>
      </c>
      <c r="X188" t="s">
        <v>1460</v>
      </c>
    </row>
    <row r="189" spans="1:24" hidden="1" x14ac:dyDescent="0.35">
      <c r="A189" t="s">
        <v>1262</v>
      </c>
      <c r="B189">
        <v>2023</v>
      </c>
      <c r="C189" t="s">
        <v>1308</v>
      </c>
      <c r="D189" t="s">
        <v>1347</v>
      </c>
      <c r="E189" t="s">
        <v>1359</v>
      </c>
      <c r="G189" t="s">
        <v>1375</v>
      </c>
      <c r="H189">
        <v>226738.87675832701</v>
      </c>
      <c r="J189" t="s">
        <v>1399</v>
      </c>
      <c r="L189">
        <f t="shared" si="3"/>
        <v>2.7600000000000004E-4</v>
      </c>
      <c r="O189">
        <v>54.2</v>
      </c>
      <c r="P189" t="s">
        <v>1470</v>
      </c>
      <c r="Q189" t="s">
        <v>1433</v>
      </c>
      <c r="R189" t="s">
        <v>1451</v>
      </c>
      <c r="S189">
        <v>1139000</v>
      </c>
      <c r="U189">
        <v>1139000</v>
      </c>
      <c r="V189">
        <v>0.19906837292214841</v>
      </c>
      <c r="W189" t="s">
        <v>9</v>
      </c>
      <c r="X189" t="s">
        <v>1460</v>
      </c>
    </row>
    <row r="190" spans="1:24" hidden="1" x14ac:dyDescent="0.35">
      <c r="A190" t="s">
        <v>1263</v>
      </c>
      <c r="B190">
        <v>2023</v>
      </c>
      <c r="C190" t="s">
        <v>1308</v>
      </c>
      <c r="D190" t="s">
        <v>1347</v>
      </c>
      <c r="E190" t="s">
        <v>1359</v>
      </c>
      <c r="G190" t="s">
        <v>1375</v>
      </c>
      <c r="H190">
        <v>14182.7</v>
      </c>
      <c r="J190" t="s">
        <v>1399</v>
      </c>
      <c r="L190">
        <f t="shared" si="3"/>
        <v>2.7600000000000004E-4</v>
      </c>
      <c r="O190">
        <v>54.2</v>
      </c>
      <c r="P190" t="s">
        <v>1470</v>
      </c>
      <c r="Q190" t="s">
        <v>1433</v>
      </c>
      <c r="R190" t="s">
        <v>1451</v>
      </c>
      <c r="S190">
        <v>1139000</v>
      </c>
      <c r="U190">
        <v>1139000</v>
      </c>
      <c r="V190">
        <v>1.245188762071993E-2</v>
      </c>
      <c r="W190" t="s">
        <v>9</v>
      </c>
      <c r="X190" t="s">
        <v>1460</v>
      </c>
    </row>
    <row r="191" spans="1:24" hidden="1" x14ac:dyDescent="0.35">
      <c r="A191" t="s">
        <v>1264</v>
      </c>
      <c r="B191">
        <v>2023</v>
      </c>
      <c r="C191" t="s">
        <v>1308</v>
      </c>
      <c r="D191" t="s">
        <v>1347</v>
      </c>
      <c r="E191" t="s">
        <v>1359</v>
      </c>
      <c r="G191" t="s">
        <v>1375</v>
      </c>
      <c r="H191">
        <v>672.1</v>
      </c>
      <c r="J191" t="s">
        <v>1399</v>
      </c>
      <c r="L191">
        <f t="shared" si="3"/>
        <v>2.7600000000000004E-4</v>
      </c>
      <c r="O191">
        <v>54.2</v>
      </c>
      <c r="P191" t="s">
        <v>1470</v>
      </c>
      <c r="Q191" t="s">
        <v>1433</v>
      </c>
      <c r="R191" t="s">
        <v>1451</v>
      </c>
      <c r="S191">
        <v>1139000</v>
      </c>
      <c r="U191">
        <v>1139000</v>
      </c>
      <c r="V191">
        <v>5.9007901668129943E-4</v>
      </c>
      <c r="W191" t="s">
        <v>9</v>
      </c>
      <c r="X191" t="s">
        <v>1460</v>
      </c>
    </row>
    <row r="192" spans="1:24" hidden="1" x14ac:dyDescent="0.35">
      <c r="A192" t="s">
        <v>1265</v>
      </c>
      <c r="B192">
        <v>2023</v>
      </c>
      <c r="C192" t="s">
        <v>1309</v>
      </c>
      <c r="D192" t="s">
        <v>1350</v>
      </c>
      <c r="E192" t="s">
        <v>1360</v>
      </c>
      <c r="G192" t="s">
        <v>1376</v>
      </c>
      <c r="H192">
        <v>1042000</v>
      </c>
      <c r="J192" t="s">
        <v>1399</v>
      </c>
      <c r="L192">
        <f t="shared" si="3"/>
        <v>2.7600000000000004E-4</v>
      </c>
      <c r="O192">
        <v>54.2</v>
      </c>
      <c r="P192" t="s">
        <v>1470</v>
      </c>
      <c r="Q192" t="s">
        <v>1433</v>
      </c>
      <c r="R192" t="s">
        <v>1451</v>
      </c>
      <c r="S192">
        <v>1139000</v>
      </c>
      <c r="U192">
        <v>1139000</v>
      </c>
      <c r="V192">
        <v>0.91483757682177347</v>
      </c>
      <c r="W192" t="s">
        <v>9</v>
      </c>
      <c r="X192" t="s">
        <v>1461</v>
      </c>
    </row>
    <row r="193" spans="1:24" hidden="1" x14ac:dyDescent="0.35">
      <c r="A193" t="s">
        <v>224</v>
      </c>
      <c r="B193">
        <v>2023</v>
      </c>
      <c r="C193" t="s">
        <v>1308</v>
      </c>
      <c r="D193" t="s">
        <v>1317</v>
      </c>
      <c r="E193" t="s">
        <v>1359</v>
      </c>
      <c r="F193" t="s">
        <v>1364</v>
      </c>
      <c r="G193" t="s">
        <v>1372</v>
      </c>
      <c r="H193">
        <v>2.3683540000000001</v>
      </c>
      <c r="J193" t="s">
        <v>1398</v>
      </c>
      <c r="L193">
        <f>0.72/1000</f>
        <v>7.1999999999999994E-4</v>
      </c>
      <c r="N193">
        <v>0.187</v>
      </c>
      <c r="O193">
        <v>90</v>
      </c>
      <c r="P193" t="s">
        <v>1470</v>
      </c>
      <c r="R193" s="2" t="s">
        <v>1438</v>
      </c>
      <c r="S193">
        <v>3065000</v>
      </c>
      <c r="U193">
        <v>3065000</v>
      </c>
      <c r="V193">
        <v>7.7270929853181078E-7</v>
      </c>
      <c r="W193" t="s">
        <v>9</v>
      </c>
      <c r="X193" t="s">
        <v>1457</v>
      </c>
    </row>
    <row r="194" spans="1:24" hidden="1" x14ac:dyDescent="0.35">
      <c r="A194" t="s">
        <v>225</v>
      </c>
      <c r="B194">
        <v>2023</v>
      </c>
      <c r="C194" t="s">
        <v>1308</v>
      </c>
      <c r="D194" t="s">
        <v>1318</v>
      </c>
      <c r="E194" t="s">
        <v>1359</v>
      </c>
      <c r="F194" t="s">
        <v>1364</v>
      </c>
      <c r="G194" t="s">
        <v>1372</v>
      </c>
      <c r="H194">
        <v>1.1277269999999999</v>
      </c>
      <c r="J194" t="s">
        <v>1398</v>
      </c>
      <c r="L194">
        <f t="shared" ref="L194:L228" si="4">0.72/1000</f>
        <v>7.1999999999999994E-4</v>
      </c>
      <c r="N194">
        <v>0.187</v>
      </c>
      <c r="O194">
        <v>90</v>
      </c>
      <c r="P194" t="s">
        <v>1470</v>
      </c>
      <c r="R194" s="2" t="s">
        <v>1438</v>
      </c>
      <c r="S194">
        <v>3065000</v>
      </c>
      <c r="U194">
        <v>3065000</v>
      </c>
      <c r="V194">
        <v>3.6793703099510598E-7</v>
      </c>
      <c r="W194" t="s">
        <v>9</v>
      </c>
      <c r="X194" t="s">
        <v>1457</v>
      </c>
    </row>
    <row r="195" spans="1:24" hidden="1" x14ac:dyDescent="0.35">
      <c r="A195" t="s">
        <v>227</v>
      </c>
      <c r="B195">
        <v>2023</v>
      </c>
      <c r="C195" t="s">
        <v>1308</v>
      </c>
      <c r="D195" t="s">
        <v>1319</v>
      </c>
      <c r="E195" t="s">
        <v>1359</v>
      </c>
      <c r="F195" t="s">
        <v>1364</v>
      </c>
      <c r="G195" t="s">
        <v>1371</v>
      </c>
      <c r="H195">
        <v>1.9680000000000001E-3</v>
      </c>
      <c r="J195" t="s">
        <v>1398</v>
      </c>
      <c r="L195">
        <f t="shared" si="4"/>
        <v>7.1999999999999994E-4</v>
      </c>
      <c r="N195">
        <v>0.187</v>
      </c>
      <c r="O195">
        <v>90</v>
      </c>
      <c r="P195" t="s">
        <v>1470</v>
      </c>
      <c r="R195" s="2" t="s">
        <v>1438</v>
      </c>
      <c r="S195">
        <v>3065000</v>
      </c>
      <c r="U195">
        <v>3065000</v>
      </c>
      <c r="V195">
        <v>6.4208809135399682E-10</v>
      </c>
      <c r="W195" t="s">
        <v>9</v>
      </c>
      <c r="X195" t="s">
        <v>1456</v>
      </c>
    </row>
    <row r="196" spans="1:24" hidden="1" x14ac:dyDescent="0.35">
      <c r="A196" t="s">
        <v>228</v>
      </c>
      <c r="B196">
        <v>2023</v>
      </c>
      <c r="C196" t="s">
        <v>1308</v>
      </c>
      <c r="D196" t="s">
        <v>1320</v>
      </c>
      <c r="E196" t="s">
        <v>1359</v>
      </c>
      <c r="F196" t="s">
        <v>1364</v>
      </c>
      <c r="G196" t="s">
        <v>1372</v>
      </c>
      <c r="H196">
        <v>0.85147200000000001</v>
      </c>
      <c r="J196" t="s">
        <v>1398</v>
      </c>
      <c r="L196">
        <f t="shared" si="4"/>
        <v>7.1999999999999994E-4</v>
      </c>
      <c r="N196">
        <v>0.187</v>
      </c>
      <c r="O196">
        <v>90</v>
      </c>
      <c r="P196" t="s">
        <v>1470</v>
      </c>
      <c r="R196" s="2" t="s">
        <v>1438</v>
      </c>
      <c r="S196">
        <v>3065000</v>
      </c>
      <c r="U196">
        <v>3065000</v>
      </c>
      <c r="V196">
        <v>2.7780489396411087E-7</v>
      </c>
      <c r="W196" t="s">
        <v>9</v>
      </c>
      <c r="X196" t="s">
        <v>1457</v>
      </c>
    </row>
    <row r="197" spans="1:24" hidden="1" x14ac:dyDescent="0.35">
      <c r="A197" t="s">
        <v>229</v>
      </c>
      <c r="B197">
        <v>2023</v>
      </c>
      <c r="C197" t="s">
        <v>1308</v>
      </c>
      <c r="D197" t="s">
        <v>1321</v>
      </c>
      <c r="E197" t="s">
        <v>1359</v>
      </c>
      <c r="F197" t="s">
        <v>1364</v>
      </c>
      <c r="G197" t="s">
        <v>1371</v>
      </c>
      <c r="H197">
        <v>9.0069999999999994E-3</v>
      </c>
      <c r="J197" t="s">
        <v>1398</v>
      </c>
      <c r="L197">
        <f t="shared" si="4"/>
        <v>7.1999999999999994E-4</v>
      </c>
      <c r="N197">
        <v>0.187</v>
      </c>
      <c r="O197">
        <v>90</v>
      </c>
      <c r="P197" t="s">
        <v>1470</v>
      </c>
      <c r="R197" s="2" t="s">
        <v>1438</v>
      </c>
      <c r="S197">
        <v>3065000</v>
      </c>
      <c r="U197">
        <v>3065000</v>
      </c>
      <c r="V197">
        <v>2.9386623164763461E-9</v>
      </c>
      <c r="W197" t="s">
        <v>9</v>
      </c>
      <c r="X197" t="s">
        <v>1456</v>
      </c>
    </row>
    <row r="198" spans="1:24" hidden="1" x14ac:dyDescent="0.35">
      <c r="A198" t="s">
        <v>231</v>
      </c>
      <c r="B198">
        <v>2023</v>
      </c>
      <c r="C198" t="s">
        <v>1308</v>
      </c>
      <c r="D198" t="s">
        <v>1322</v>
      </c>
      <c r="E198" t="s">
        <v>1359</v>
      </c>
      <c r="F198" t="s">
        <v>1364</v>
      </c>
      <c r="G198" t="s">
        <v>1372</v>
      </c>
      <c r="H198">
        <v>1.179446</v>
      </c>
      <c r="J198" t="s">
        <v>1398</v>
      </c>
      <c r="L198">
        <f t="shared" si="4"/>
        <v>7.1999999999999994E-4</v>
      </c>
      <c r="N198">
        <v>0.187</v>
      </c>
      <c r="O198">
        <v>90</v>
      </c>
      <c r="P198" t="s">
        <v>1470</v>
      </c>
      <c r="R198" s="2" t="s">
        <v>1438</v>
      </c>
      <c r="S198">
        <v>3065000</v>
      </c>
      <c r="U198">
        <v>3065000</v>
      </c>
      <c r="V198">
        <v>3.8481109298531812E-7</v>
      </c>
      <c r="W198" t="s">
        <v>9</v>
      </c>
      <c r="X198" t="s">
        <v>1457</v>
      </c>
    </row>
    <row r="199" spans="1:24" hidden="1" x14ac:dyDescent="0.35">
      <c r="A199" t="s">
        <v>232</v>
      </c>
      <c r="B199">
        <v>2023</v>
      </c>
      <c r="C199" t="s">
        <v>1308</v>
      </c>
      <c r="D199" t="s">
        <v>1323</v>
      </c>
      <c r="E199" t="s">
        <v>1359</v>
      </c>
      <c r="F199" t="s">
        <v>1364</v>
      </c>
      <c r="G199" t="s">
        <v>1371</v>
      </c>
      <c r="H199">
        <v>8.3890000000000006E-3</v>
      </c>
      <c r="J199" t="s">
        <v>1398</v>
      </c>
      <c r="L199">
        <f t="shared" si="4"/>
        <v>7.1999999999999994E-4</v>
      </c>
      <c r="N199">
        <v>0.187</v>
      </c>
      <c r="O199">
        <v>90</v>
      </c>
      <c r="P199" t="s">
        <v>1470</v>
      </c>
      <c r="R199" s="2" t="s">
        <v>1438</v>
      </c>
      <c r="S199">
        <v>3065000</v>
      </c>
      <c r="U199">
        <v>3065000</v>
      </c>
      <c r="V199">
        <v>2.7370309951060359E-9</v>
      </c>
      <c r="W199" t="s">
        <v>9</v>
      </c>
      <c r="X199" t="s">
        <v>1456</v>
      </c>
    </row>
    <row r="200" spans="1:24" hidden="1" x14ac:dyDescent="0.35">
      <c r="A200" t="s">
        <v>233</v>
      </c>
      <c r="B200">
        <v>2023</v>
      </c>
      <c r="C200" t="s">
        <v>1308</v>
      </c>
      <c r="D200" t="s">
        <v>1330</v>
      </c>
      <c r="E200" t="s">
        <v>1359</v>
      </c>
      <c r="F200" t="s">
        <v>1364</v>
      </c>
      <c r="G200" t="s">
        <v>1371</v>
      </c>
      <c r="H200">
        <v>7.8210000000000002E-6</v>
      </c>
      <c r="J200" t="s">
        <v>1398</v>
      </c>
      <c r="L200">
        <f t="shared" si="4"/>
        <v>7.1999999999999994E-4</v>
      </c>
      <c r="N200">
        <v>0.187</v>
      </c>
      <c r="O200">
        <v>90</v>
      </c>
      <c r="P200" t="s">
        <v>1470</v>
      </c>
      <c r="R200" s="2" t="s">
        <v>1438</v>
      </c>
      <c r="S200">
        <v>3065000</v>
      </c>
      <c r="U200">
        <v>3065000</v>
      </c>
      <c r="V200">
        <v>2.5517128874388261E-12</v>
      </c>
      <c r="W200" t="s">
        <v>9</v>
      </c>
      <c r="X200" t="s">
        <v>1456</v>
      </c>
    </row>
    <row r="201" spans="1:24" hidden="1" x14ac:dyDescent="0.35">
      <c r="A201" t="s">
        <v>234</v>
      </c>
      <c r="B201">
        <v>2023</v>
      </c>
      <c r="C201" t="s">
        <v>1308</v>
      </c>
      <c r="D201" t="s">
        <v>1324</v>
      </c>
      <c r="E201" t="s">
        <v>1359</v>
      </c>
      <c r="F201" t="s">
        <v>1364</v>
      </c>
      <c r="G201" t="s">
        <v>1371</v>
      </c>
      <c r="H201">
        <v>5.5380000000000004E-3</v>
      </c>
      <c r="J201" t="s">
        <v>1398</v>
      </c>
      <c r="L201">
        <f t="shared" si="4"/>
        <v>7.1999999999999994E-4</v>
      </c>
      <c r="N201">
        <v>0.187</v>
      </c>
      <c r="O201">
        <v>90</v>
      </c>
      <c r="P201" t="s">
        <v>1470</v>
      </c>
      <c r="R201" s="2" t="s">
        <v>1438</v>
      </c>
      <c r="S201">
        <v>3065000</v>
      </c>
      <c r="U201">
        <v>3065000</v>
      </c>
      <c r="V201">
        <v>1.8068515497553021E-9</v>
      </c>
      <c r="W201" t="s">
        <v>9</v>
      </c>
      <c r="X201" t="s">
        <v>1456</v>
      </c>
    </row>
    <row r="202" spans="1:24" hidden="1" x14ac:dyDescent="0.35">
      <c r="A202" t="s">
        <v>236</v>
      </c>
      <c r="B202">
        <v>2023</v>
      </c>
      <c r="C202" t="s">
        <v>1308</v>
      </c>
      <c r="D202" t="s">
        <v>1332</v>
      </c>
      <c r="E202" t="s">
        <v>1359</v>
      </c>
      <c r="F202" t="s">
        <v>1364</v>
      </c>
      <c r="G202" t="s">
        <v>1371</v>
      </c>
      <c r="H202">
        <v>9.8270000000000007E-3</v>
      </c>
      <c r="J202" t="s">
        <v>1398</v>
      </c>
      <c r="L202">
        <f t="shared" si="4"/>
        <v>7.1999999999999994E-4</v>
      </c>
      <c r="N202">
        <v>0.187</v>
      </c>
      <c r="O202">
        <v>90</v>
      </c>
      <c r="P202" t="s">
        <v>1470</v>
      </c>
      <c r="R202" s="2" t="s">
        <v>1438</v>
      </c>
      <c r="S202">
        <v>3065000</v>
      </c>
      <c r="U202">
        <v>3065000</v>
      </c>
      <c r="V202">
        <v>3.206199021207178E-9</v>
      </c>
      <c r="W202" t="s">
        <v>9</v>
      </c>
      <c r="X202" t="s">
        <v>1456</v>
      </c>
    </row>
    <row r="203" spans="1:24" hidden="1" x14ac:dyDescent="0.35">
      <c r="A203" t="s">
        <v>237</v>
      </c>
      <c r="B203">
        <v>2023</v>
      </c>
      <c r="C203" t="s">
        <v>1308</v>
      </c>
      <c r="D203" t="s">
        <v>1313</v>
      </c>
      <c r="E203" t="s">
        <v>1359</v>
      </c>
      <c r="F203" t="s">
        <v>1364</v>
      </c>
      <c r="G203" t="s">
        <v>1371</v>
      </c>
      <c r="H203">
        <v>6.8440000000000003</v>
      </c>
      <c r="J203" t="s">
        <v>1398</v>
      </c>
      <c r="L203">
        <f t="shared" si="4"/>
        <v>7.1999999999999994E-4</v>
      </c>
      <c r="N203">
        <v>0.187</v>
      </c>
      <c r="O203">
        <v>90</v>
      </c>
      <c r="P203" t="s">
        <v>1470</v>
      </c>
      <c r="R203" s="2" t="s">
        <v>1438</v>
      </c>
      <c r="S203">
        <v>3065000</v>
      </c>
      <c r="U203">
        <v>3065000</v>
      </c>
      <c r="V203">
        <v>2.2329526916802611E-6</v>
      </c>
      <c r="W203" t="s">
        <v>9</v>
      </c>
      <c r="X203" t="s">
        <v>1456</v>
      </c>
    </row>
    <row r="204" spans="1:24" hidden="1" x14ac:dyDescent="0.35">
      <c r="A204" t="s">
        <v>239</v>
      </c>
      <c r="B204">
        <v>2023</v>
      </c>
      <c r="C204" t="s">
        <v>1308</v>
      </c>
      <c r="D204" t="s">
        <v>1314</v>
      </c>
      <c r="E204" t="s">
        <v>1359</v>
      </c>
      <c r="F204" t="s">
        <v>1364</v>
      </c>
      <c r="G204" t="s">
        <v>1371</v>
      </c>
      <c r="H204">
        <v>3.794</v>
      </c>
      <c r="J204" t="s">
        <v>1398</v>
      </c>
      <c r="L204">
        <f t="shared" si="4"/>
        <v>7.1999999999999994E-4</v>
      </c>
      <c r="N204">
        <v>0.187</v>
      </c>
      <c r="O204">
        <v>90</v>
      </c>
      <c r="P204" t="s">
        <v>1470</v>
      </c>
      <c r="R204" s="2" t="s">
        <v>1438</v>
      </c>
      <c r="S204">
        <v>3065000</v>
      </c>
      <c r="U204">
        <v>3065000</v>
      </c>
      <c r="V204">
        <v>1.237846655791191E-6</v>
      </c>
      <c r="W204" t="s">
        <v>9</v>
      </c>
      <c r="X204" t="s">
        <v>1456</v>
      </c>
    </row>
    <row r="205" spans="1:24" hidden="1" x14ac:dyDescent="0.35">
      <c r="A205" t="s">
        <v>241</v>
      </c>
      <c r="B205">
        <v>2023</v>
      </c>
      <c r="C205" t="s">
        <v>1308</v>
      </c>
      <c r="D205" t="s">
        <v>1325</v>
      </c>
      <c r="E205" t="s">
        <v>1359</v>
      </c>
      <c r="F205" t="s">
        <v>1364</v>
      </c>
      <c r="G205" t="s">
        <v>1372</v>
      </c>
      <c r="H205">
        <v>9.9339999999999993</v>
      </c>
      <c r="J205" t="s">
        <v>1398</v>
      </c>
      <c r="L205">
        <f t="shared" si="4"/>
        <v>7.1999999999999994E-4</v>
      </c>
      <c r="N205">
        <v>0.187</v>
      </c>
      <c r="O205">
        <v>90</v>
      </c>
      <c r="P205" t="s">
        <v>1470</v>
      </c>
      <c r="R205" s="2" t="s">
        <v>1438</v>
      </c>
      <c r="S205">
        <v>3065000</v>
      </c>
      <c r="U205">
        <v>3065000</v>
      </c>
      <c r="V205">
        <v>3.2411092985318112E-6</v>
      </c>
      <c r="W205" t="s">
        <v>9</v>
      </c>
      <c r="X205" t="s">
        <v>1457</v>
      </c>
    </row>
    <row r="206" spans="1:24" hidden="1" x14ac:dyDescent="0.35">
      <c r="A206" t="s">
        <v>243</v>
      </c>
      <c r="B206">
        <v>2023</v>
      </c>
      <c r="C206" t="s">
        <v>1308</v>
      </c>
      <c r="D206" t="s">
        <v>1315</v>
      </c>
      <c r="E206" t="s">
        <v>1359</v>
      </c>
      <c r="F206" t="s">
        <v>1364</v>
      </c>
      <c r="G206" t="s">
        <v>1371</v>
      </c>
      <c r="H206">
        <v>7.7489999999999997</v>
      </c>
      <c r="J206" t="s">
        <v>1398</v>
      </c>
      <c r="L206">
        <f t="shared" si="4"/>
        <v>7.1999999999999994E-4</v>
      </c>
      <c r="N206">
        <v>0.187</v>
      </c>
      <c r="O206">
        <v>90</v>
      </c>
      <c r="P206" t="s">
        <v>1470</v>
      </c>
      <c r="R206" s="2" t="s">
        <v>1438</v>
      </c>
      <c r="S206">
        <v>3065000</v>
      </c>
      <c r="U206">
        <v>3065000</v>
      </c>
      <c r="V206">
        <v>2.5282218597063619E-6</v>
      </c>
      <c r="W206" t="s">
        <v>9</v>
      </c>
      <c r="X206" t="s">
        <v>1456</v>
      </c>
    </row>
    <row r="207" spans="1:24" hidden="1" x14ac:dyDescent="0.35">
      <c r="A207" t="s">
        <v>245</v>
      </c>
      <c r="B207">
        <v>2023</v>
      </c>
      <c r="C207" t="s">
        <v>1308</v>
      </c>
      <c r="D207" t="s">
        <v>1336</v>
      </c>
      <c r="E207" t="s">
        <v>1359</v>
      </c>
      <c r="F207" t="s">
        <v>1364</v>
      </c>
      <c r="G207" t="s">
        <v>1371</v>
      </c>
      <c r="H207">
        <v>3.9919999999999999E-3</v>
      </c>
      <c r="J207" t="s">
        <v>1398</v>
      </c>
      <c r="L207">
        <f t="shared" si="4"/>
        <v>7.1999999999999994E-4</v>
      </c>
      <c r="N207">
        <v>0.187</v>
      </c>
      <c r="O207">
        <v>90</v>
      </c>
      <c r="P207" t="s">
        <v>1470</v>
      </c>
      <c r="R207" s="2" t="s">
        <v>1438</v>
      </c>
      <c r="S207">
        <v>3065000</v>
      </c>
      <c r="U207">
        <v>3065000</v>
      </c>
      <c r="V207">
        <v>1.302446982055465E-9</v>
      </c>
      <c r="W207" t="s">
        <v>9</v>
      </c>
      <c r="X207" t="s">
        <v>1456</v>
      </c>
    </row>
    <row r="208" spans="1:24" hidden="1" x14ac:dyDescent="0.35">
      <c r="A208" t="s">
        <v>246</v>
      </c>
      <c r="B208">
        <v>2023</v>
      </c>
      <c r="C208" t="s">
        <v>1308</v>
      </c>
      <c r="D208" t="s">
        <v>1326</v>
      </c>
      <c r="E208" t="s">
        <v>1359</v>
      </c>
      <c r="F208" t="s">
        <v>1364</v>
      </c>
      <c r="G208" t="s">
        <v>1371</v>
      </c>
      <c r="H208">
        <v>1.0066E-2</v>
      </c>
      <c r="J208" t="s">
        <v>1398</v>
      </c>
      <c r="L208">
        <f t="shared" si="4"/>
        <v>7.1999999999999994E-4</v>
      </c>
      <c r="N208">
        <v>0.187</v>
      </c>
      <c r="O208">
        <v>90</v>
      </c>
      <c r="P208" t="s">
        <v>1470</v>
      </c>
      <c r="R208" s="2" t="s">
        <v>1438</v>
      </c>
      <c r="S208">
        <v>3065000</v>
      </c>
      <c r="U208">
        <v>3065000</v>
      </c>
      <c r="V208">
        <v>3.2841761827079942E-9</v>
      </c>
      <c r="W208" t="s">
        <v>9</v>
      </c>
      <c r="X208" t="s">
        <v>1456</v>
      </c>
    </row>
    <row r="209" spans="1:24" hidden="1" x14ac:dyDescent="0.35">
      <c r="A209" t="s">
        <v>598</v>
      </c>
      <c r="B209">
        <v>2023</v>
      </c>
      <c r="C209" t="s">
        <v>1308</v>
      </c>
      <c r="D209" t="s">
        <v>1317</v>
      </c>
      <c r="E209" t="s">
        <v>1359</v>
      </c>
      <c r="F209" t="s">
        <v>1366</v>
      </c>
      <c r="G209" t="s">
        <v>1372</v>
      </c>
      <c r="H209">
        <v>0.12792600000000001</v>
      </c>
      <c r="J209" t="s">
        <v>1398</v>
      </c>
      <c r="L209">
        <f t="shared" si="4"/>
        <v>7.1999999999999994E-4</v>
      </c>
      <c r="N209">
        <v>0.187</v>
      </c>
      <c r="O209">
        <v>90</v>
      </c>
      <c r="P209" t="s">
        <v>1470</v>
      </c>
      <c r="R209" s="2" t="s">
        <v>1438</v>
      </c>
      <c r="S209">
        <v>3065000</v>
      </c>
      <c r="U209">
        <v>3065000</v>
      </c>
      <c r="V209">
        <v>4.1737683523654172E-8</v>
      </c>
      <c r="W209" t="s">
        <v>9</v>
      </c>
      <c r="X209" t="s">
        <v>1457</v>
      </c>
    </row>
    <row r="210" spans="1:24" hidden="1" x14ac:dyDescent="0.35">
      <c r="A210" t="s">
        <v>599</v>
      </c>
      <c r="B210">
        <v>2023</v>
      </c>
      <c r="C210" t="s">
        <v>1308</v>
      </c>
      <c r="D210" t="s">
        <v>1318</v>
      </c>
      <c r="E210" t="s">
        <v>1359</v>
      </c>
      <c r="F210" t="s">
        <v>1366</v>
      </c>
      <c r="G210" t="s">
        <v>1372</v>
      </c>
      <c r="H210">
        <v>2.7140999999999998E-2</v>
      </c>
      <c r="J210" t="s">
        <v>1398</v>
      </c>
      <c r="L210">
        <f t="shared" si="4"/>
        <v>7.1999999999999994E-4</v>
      </c>
      <c r="N210">
        <v>0.187</v>
      </c>
      <c r="O210">
        <v>90</v>
      </c>
      <c r="P210" t="s">
        <v>1470</v>
      </c>
      <c r="R210" s="2" t="s">
        <v>1438</v>
      </c>
      <c r="S210">
        <v>3065000</v>
      </c>
      <c r="U210">
        <v>3065000</v>
      </c>
      <c r="V210">
        <v>8.8551386623164754E-9</v>
      </c>
      <c r="W210" t="s">
        <v>9</v>
      </c>
      <c r="X210" t="s">
        <v>1457</v>
      </c>
    </row>
    <row r="211" spans="1:24" hidden="1" x14ac:dyDescent="0.35">
      <c r="A211" t="s">
        <v>600</v>
      </c>
      <c r="B211">
        <v>2023</v>
      </c>
      <c r="C211" t="s">
        <v>1308</v>
      </c>
      <c r="D211" t="s">
        <v>1319</v>
      </c>
      <c r="E211" t="s">
        <v>1359</v>
      </c>
      <c r="F211" t="s">
        <v>1366</v>
      </c>
      <c r="G211" t="s">
        <v>1371</v>
      </c>
      <c r="H211">
        <v>4.64E-4</v>
      </c>
      <c r="J211" t="s">
        <v>1398</v>
      </c>
      <c r="L211">
        <f t="shared" si="4"/>
        <v>7.1999999999999994E-4</v>
      </c>
      <c r="N211">
        <v>0.187</v>
      </c>
      <c r="O211">
        <v>90</v>
      </c>
      <c r="P211" t="s">
        <v>1470</v>
      </c>
      <c r="R211" s="2" t="s">
        <v>1438</v>
      </c>
      <c r="S211">
        <v>3065000</v>
      </c>
      <c r="U211">
        <v>3065000</v>
      </c>
      <c r="V211">
        <v>1.513866231647635E-10</v>
      </c>
      <c r="W211" t="s">
        <v>9</v>
      </c>
      <c r="X211" t="s">
        <v>1456</v>
      </c>
    </row>
    <row r="212" spans="1:24" hidden="1" x14ac:dyDescent="0.35">
      <c r="A212" t="s">
        <v>601</v>
      </c>
      <c r="B212">
        <v>2023</v>
      </c>
      <c r="C212" t="s">
        <v>1308</v>
      </c>
      <c r="D212" t="s">
        <v>1320</v>
      </c>
      <c r="E212" t="s">
        <v>1359</v>
      </c>
      <c r="F212" t="s">
        <v>1366</v>
      </c>
      <c r="G212" t="s">
        <v>1372</v>
      </c>
      <c r="H212">
        <v>8.5675000000000001E-2</v>
      </c>
      <c r="J212" t="s">
        <v>1398</v>
      </c>
      <c r="L212">
        <f t="shared" si="4"/>
        <v>7.1999999999999994E-4</v>
      </c>
      <c r="N212">
        <v>0.187</v>
      </c>
      <c r="O212">
        <v>90</v>
      </c>
      <c r="P212" t="s">
        <v>1470</v>
      </c>
      <c r="R212" s="2" t="s">
        <v>1438</v>
      </c>
      <c r="S212">
        <v>3065000</v>
      </c>
      <c r="U212">
        <v>3065000</v>
      </c>
      <c r="V212">
        <v>2.795269168026101E-8</v>
      </c>
      <c r="W212" t="s">
        <v>9</v>
      </c>
      <c r="X212" t="s">
        <v>1457</v>
      </c>
    </row>
    <row r="213" spans="1:24" hidden="1" x14ac:dyDescent="0.35">
      <c r="A213" t="s">
        <v>602</v>
      </c>
      <c r="B213">
        <v>2023</v>
      </c>
      <c r="C213" t="s">
        <v>1308</v>
      </c>
      <c r="D213" t="s">
        <v>1321</v>
      </c>
      <c r="E213" t="s">
        <v>1359</v>
      </c>
      <c r="F213" t="s">
        <v>1366</v>
      </c>
      <c r="G213" t="s">
        <v>1371</v>
      </c>
      <c r="H213">
        <v>6.8430000000000001E-3</v>
      </c>
      <c r="J213" t="s">
        <v>1398</v>
      </c>
      <c r="L213">
        <f t="shared" si="4"/>
        <v>7.1999999999999994E-4</v>
      </c>
      <c r="N213">
        <v>0.187</v>
      </c>
      <c r="O213">
        <v>90</v>
      </c>
      <c r="P213" t="s">
        <v>1470</v>
      </c>
      <c r="R213" s="2" t="s">
        <v>1438</v>
      </c>
      <c r="S213">
        <v>3065000</v>
      </c>
      <c r="U213">
        <v>3065000</v>
      </c>
      <c r="V213">
        <v>2.232626427406199E-9</v>
      </c>
      <c r="W213" t="s">
        <v>9</v>
      </c>
      <c r="X213" t="s">
        <v>1456</v>
      </c>
    </row>
    <row r="214" spans="1:24" hidden="1" x14ac:dyDescent="0.35">
      <c r="A214" t="s">
        <v>603</v>
      </c>
      <c r="B214">
        <v>2023</v>
      </c>
      <c r="C214" t="s">
        <v>1308</v>
      </c>
      <c r="D214" t="s">
        <v>1322</v>
      </c>
      <c r="E214" t="s">
        <v>1359</v>
      </c>
      <c r="F214" t="s">
        <v>1366</v>
      </c>
      <c r="G214" t="s">
        <v>1372</v>
      </c>
      <c r="H214">
        <v>0.204369</v>
      </c>
      <c r="J214" t="s">
        <v>1398</v>
      </c>
      <c r="L214">
        <f t="shared" si="4"/>
        <v>7.1999999999999994E-4</v>
      </c>
      <c r="N214">
        <v>0.187</v>
      </c>
      <c r="O214">
        <v>90</v>
      </c>
      <c r="P214" t="s">
        <v>1470</v>
      </c>
      <c r="R214" s="2" t="s">
        <v>1438</v>
      </c>
      <c r="S214">
        <v>3065000</v>
      </c>
      <c r="U214">
        <v>3065000</v>
      </c>
      <c r="V214">
        <v>6.6678303425774872E-8</v>
      </c>
      <c r="W214" t="s">
        <v>9</v>
      </c>
      <c r="X214" t="s">
        <v>1457</v>
      </c>
    </row>
    <row r="215" spans="1:24" hidden="1" x14ac:dyDescent="0.35">
      <c r="A215" t="s">
        <v>604</v>
      </c>
      <c r="B215">
        <v>2023</v>
      </c>
      <c r="C215" t="s">
        <v>1308</v>
      </c>
      <c r="D215" t="s">
        <v>1323</v>
      </c>
      <c r="E215" t="s">
        <v>1359</v>
      </c>
      <c r="F215" t="s">
        <v>1366</v>
      </c>
      <c r="G215" t="s">
        <v>1371</v>
      </c>
      <c r="H215">
        <v>1.2120000000000001E-2</v>
      </c>
      <c r="J215" t="s">
        <v>1398</v>
      </c>
      <c r="L215">
        <f t="shared" si="4"/>
        <v>7.1999999999999994E-4</v>
      </c>
      <c r="N215">
        <v>0.187</v>
      </c>
      <c r="O215">
        <v>90</v>
      </c>
      <c r="P215" t="s">
        <v>1470</v>
      </c>
      <c r="R215" s="2" t="s">
        <v>1438</v>
      </c>
      <c r="S215">
        <v>3065000</v>
      </c>
      <c r="U215">
        <v>3065000</v>
      </c>
      <c r="V215">
        <v>3.9543230016313224E-9</v>
      </c>
      <c r="W215" t="s">
        <v>9</v>
      </c>
      <c r="X215" t="s">
        <v>1456</v>
      </c>
    </row>
    <row r="216" spans="1:24" hidden="1" x14ac:dyDescent="0.35">
      <c r="A216" t="s">
        <v>605</v>
      </c>
      <c r="B216">
        <v>2023</v>
      </c>
      <c r="C216" t="s">
        <v>1308</v>
      </c>
      <c r="D216" t="s">
        <v>1324</v>
      </c>
      <c r="E216" t="s">
        <v>1359</v>
      </c>
      <c r="F216" t="s">
        <v>1366</v>
      </c>
      <c r="G216" t="s">
        <v>1371</v>
      </c>
      <c r="H216">
        <v>3.9199999999999999E-4</v>
      </c>
      <c r="J216" t="s">
        <v>1398</v>
      </c>
      <c r="L216">
        <f t="shared" si="4"/>
        <v>7.1999999999999994E-4</v>
      </c>
      <c r="N216">
        <v>0.187</v>
      </c>
      <c r="O216">
        <v>90</v>
      </c>
      <c r="P216" t="s">
        <v>1470</v>
      </c>
      <c r="R216" s="2" t="s">
        <v>1438</v>
      </c>
      <c r="S216">
        <v>3065000</v>
      </c>
      <c r="U216">
        <v>3065000</v>
      </c>
      <c r="V216">
        <v>1.2789559543230019E-10</v>
      </c>
      <c r="W216" t="s">
        <v>9</v>
      </c>
      <c r="X216" t="s">
        <v>1456</v>
      </c>
    </row>
    <row r="217" spans="1:24" hidden="1" x14ac:dyDescent="0.35">
      <c r="A217" t="s">
        <v>606</v>
      </c>
      <c r="B217">
        <v>2023</v>
      </c>
      <c r="C217" t="s">
        <v>1308</v>
      </c>
      <c r="D217" t="s">
        <v>1332</v>
      </c>
      <c r="E217" t="s">
        <v>1359</v>
      </c>
      <c r="F217" t="s">
        <v>1366</v>
      </c>
      <c r="G217" t="s">
        <v>1371</v>
      </c>
      <c r="H217">
        <v>0.12203</v>
      </c>
      <c r="J217" t="s">
        <v>1398</v>
      </c>
      <c r="L217">
        <f t="shared" si="4"/>
        <v>7.1999999999999994E-4</v>
      </c>
      <c r="N217">
        <v>0.187</v>
      </c>
      <c r="O217">
        <v>90</v>
      </c>
      <c r="P217" t="s">
        <v>1470</v>
      </c>
      <c r="R217" s="2" t="s">
        <v>1438</v>
      </c>
      <c r="S217">
        <v>3065000</v>
      </c>
      <c r="U217">
        <v>3065000</v>
      </c>
      <c r="V217">
        <v>3.9814029363784657E-8</v>
      </c>
      <c r="W217" t="s">
        <v>9</v>
      </c>
      <c r="X217" t="s">
        <v>1456</v>
      </c>
    </row>
    <row r="218" spans="1:24" hidden="1" x14ac:dyDescent="0.35">
      <c r="A218" t="s">
        <v>607</v>
      </c>
      <c r="B218">
        <v>2023</v>
      </c>
      <c r="C218" t="s">
        <v>1308</v>
      </c>
      <c r="D218" t="s">
        <v>1313</v>
      </c>
      <c r="E218" t="s">
        <v>1359</v>
      </c>
      <c r="F218" t="s">
        <v>1366</v>
      </c>
      <c r="G218" t="s">
        <v>1371</v>
      </c>
      <c r="H218">
        <v>10.651999999999999</v>
      </c>
      <c r="J218" t="s">
        <v>1398</v>
      </c>
      <c r="L218">
        <f t="shared" si="4"/>
        <v>7.1999999999999994E-4</v>
      </c>
      <c r="N218">
        <v>0.187</v>
      </c>
      <c r="O218">
        <v>90</v>
      </c>
      <c r="P218" t="s">
        <v>1470</v>
      </c>
      <c r="R218" s="2" t="s">
        <v>1438</v>
      </c>
      <c r="S218">
        <v>3065000</v>
      </c>
      <c r="U218">
        <v>3065000</v>
      </c>
      <c r="V218">
        <v>3.4753670473083189E-6</v>
      </c>
      <c r="W218" t="s">
        <v>9</v>
      </c>
      <c r="X218" t="s">
        <v>1456</v>
      </c>
    </row>
    <row r="219" spans="1:24" hidden="1" x14ac:dyDescent="0.35">
      <c r="A219" t="s">
        <v>609</v>
      </c>
      <c r="B219">
        <v>2023</v>
      </c>
      <c r="C219" t="s">
        <v>1308</v>
      </c>
      <c r="D219" t="s">
        <v>1314</v>
      </c>
      <c r="E219" t="s">
        <v>1359</v>
      </c>
      <c r="F219" t="s">
        <v>1366</v>
      </c>
      <c r="G219" t="s">
        <v>1371</v>
      </c>
      <c r="H219">
        <v>1.6020000000000001</v>
      </c>
      <c r="J219" t="s">
        <v>1398</v>
      </c>
      <c r="L219">
        <f t="shared" si="4"/>
        <v>7.1999999999999994E-4</v>
      </c>
      <c r="N219">
        <v>0.187</v>
      </c>
      <c r="O219">
        <v>90</v>
      </c>
      <c r="P219" t="s">
        <v>1470</v>
      </c>
      <c r="R219" s="2" t="s">
        <v>1438</v>
      </c>
      <c r="S219">
        <v>3065000</v>
      </c>
      <c r="U219">
        <v>3065000</v>
      </c>
      <c r="V219">
        <v>5.2267536704730837E-7</v>
      </c>
      <c r="W219" t="s">
        <v>9</v>
      </c>
      <c r="X219" t="s">
        <v>1456</v>
      </c>
    </row>
    <row r="220" spans="1:24" hidden="1" x14ac:dyDescent="0.35">
      <c r="A220" t="s">
        <v>611</v>
      </c>
      <c r="B220">
        <v>2023</v>
      </c>
      <c r="C220" t="s">
        <v>1308</v>
      </c>
      <c r="D220" t="s">
        <v>1315</v>
      </c>
      <c r="E220" t="s">
        <v>1359</v>
      </c>
      <c r="F220" t="s">
        <v>1366</v>
      </c>
      <c r="G220" t="s">
        <v>1371</v>
      </c>
      <c r="H220">
        <v>21.518000000000001</v>
      </c>
      <c r="J220" t="s">
        <v>1398</v>
      </c>
      <c r="L220">
        <f t="shared" si="4"/>
        <v>7.1999999999999994E-4</v>
      </c>
      <c r="N220">
        <v>0.187</v>
      </c>
      <c r="O220">
        <v>90</v>
      </c>
      <c r="P220" t="s">
        <v>1470</v>
      </c>
      <c r="R220" s="2" t="s">
        <v>1438</v>
      </c>
      <c r="S220">
        <v>3065000</v>
      </c>
      <c r="U220">
        <v>3065000</v>
      </c>
      <c r="V220">
        <v>7.020554649265906E-6</v>
      </c>
      <c r="W220" t="s">
        <v>9</v>
      </c>
      <c r="X220" t="s">
        <v>1456</v>
      </c>
    </row>
    <row r="221" spans="1:24" hidden="1" x14ac:dyDescent="0.35">
      <c r="A221" t="s">
        <v>613</v>
      </c>
      <c r="B221">
        <v>2023</v>
      </c>
      <c r="C221" t="s">
        <v>1308</v>
      </c>
      <c r="D221" t="s">
        <v>1336</v>
      </c>
      <c r="E221" t="s">
        <v>1359</v>
      </c>
      <c r="F221" t="s">
        <v>1366</v>
      </c>
      <c r="G221" t="s">
        <v>1371</v>
      </c>
      <c r="H221">
        <v>6.8099999999999996E-4</v>
      </c>
      <c r="J221" t="s">
        <v>1398</v>
      </c>
      <c r="L221">
        <f t="shared" si="4"/>
        <v>7.1999999999999994E-4</v>
      </c>
      <c r="N221">
        <v>0.187</v>
      </c>
      <c r="O221">
        <v>90</v>
      </c>
      <c r="P221" t="s">
        <v>1470</v>
      </c>
      <c r="R221" s="2" t="s">
        <v>1438</v>
      </c>
      <c r="S221">
        <v>3065000</v>
      </c>
      <c r="U221">
        <v>3065000</v>
      </c>
      <c r="V221">
        <v>2.2218597063621529E-10</v>
      </c>
      <c r="W221" t="s">
        <v>9</v>
      </c>
      <c r="X221" t="s">
        <v>1456</v>
      </c>
    </row>
    <row r="222" spans="1:24" hidden="1" x14ac:dyDescent="0.35">
      <c r="A222" t="s">
        <v>614</v>
      </c>
      <c r="B222">
        <v>2023</v>
      </c>
      <c r="C222" t="s">
        <v>1308</v>
      </c>
      <c r="D222" t="s">
        <v>1326</v>
      </c>
      <c r="E222" t="s">
        <v>1359</v>
      </c>
      <c r="F222" t="s">
        <v>1366</v>
      </c>
      <c r="G222" t="s">
        <v>1371</v>
      </c>
      <c r="H222">
        <v>4.8269999999999997E-3</v>
      </c>
      <c r="J222" t="s">
        <v>1398</v>
      </c>
      <c r="L222">
        <f t="shared" si="4"/>
        <v>7.1999999999999994E-4</v>
      </c>
      <c r="N222">
        <v>0.187</v>
      </c>
      <c r="O222">
        <v>90</v>
      </c>
      <c r="P222" t="s">
        <v>1470</v>
      </c>
      <c r="R222" s="2" t="s">
        <v>1438</v>
      </c>
      <c r="S222">
        <v>3065000</v>
      </c>
      <c r="U222">
        <v>3065000</v>
      </c>
      <c r="V222">
        <v>1.574877650897227E-9</v>
      </c>
      <c r="W222" t="s">
        <v>9</v>
      </c>
      <c r="X222" t="s">
        <v>1456</v>
      </c>
    </row>
    <row r="223" spans="1:24" hidden="1" x14ac:dyDescent="0.35">
      <c r="A223" t="s">
        <v>1196</v>
      </c>
      <c r="B223">
        <v>2023</v>
      </c>
      <c r="C223" t="s">
        <v>1308</v>
      </c>
      <c r="D223" t="s">
        <v>1347</v>
      </c>
      <c r="E223" t="s">
        <v>1359</v>
      </c>
      <c r="G223" t="s">
        <v>1375</v>
      </c>
      <c r="H223">
        <v>15908.3</v>
      </c>
      <c r="J223" t="s">
        <v>1398</v>
      </c>
      <c r="L223">
        <f t="shared" si="4"/>
        <v>7.1999999999999994E-4</v>
      </c>
      <c r="N223">
        <v>0.187</v>
      </c>
      <c r="O223">
        <v>90</v>
      </c>
      <c r="P223" t="s">
        <v>1470</v>
      </c>
      <c r="Q223" t="s">
        <v>1432</v>
      </c>
      <c r="R223" t="s">
        <v>1450</v>
      </c>
      <c r="S223">
        <v>3065000</v>
      </c>
      <c r="U223">
        <v>3065000</v>
      </c>
      <c r="V223">
        <v>5.1903099510603587E-3</v>
      </c>
      <c r="W223" t="s">
        <v>9</v>
      </c>
      <c r="X223" t="s">
        <v>1460</v>
      </c>
    </row>
    <row r="224" spans="1:24" hidden="1" x14ac:dyDescent="0.35">
      <c r="A224" t="s">
        <v>1197</v>
      </c>
      <c r="B224">
        <v>2023</v>
      </c>
      <c r="C224" t="s">
        <v>1308</v>
      </c>
      <c r="D224" t="s">
        <v>1347</v>
      </c>
      <c r="E224" t="s">
        <v>1359</v>
      </c>
      <c r="G224" t="s">
        <v>1375</v>
      </c>
      <c r="H224">
        <v>2326.6999999999998</v>
      </c>
      <c r="J224" t="s">
        <v>1398</v>
      </c>
      <c r="L224">
        <f t="shared" si="4"/>
        <v>7.1999999999999994E-4</v>
      </c>
      <c r="N224">
        <v>0.187</v>
      </c>
      <c r="O224">
        <v>90</v>
      </c>
      <c r="P224" t="s">
        <v>1470</v>
      </c>
      <c r="Q224" t="s">
        <v>1432</v>
      </c>
      <c r="R224" t="s">
        <v>1450</v>
      </c>
      <c r="S224">
        <v>3065000</v>
      </c>
      <c r="U224">
        <v>3065000</v>
      </c>
      <c r="V224">
        <v>7.5911908646003254E-4</v>
      </c>
      <c r="W224" t="s">
        <v>9</v>
      </c>
      <c r="X224" t="s">
        <v>1460</v>
      </c>
    </row>
    <row r="225" spans="1:24" hidden="1" x14ac:dyDescent="0.35">
      <c r="A225" t="s">
        <v>1198</v>
      </c>
      <c r="B225">
        <v>2023</v>
      </c>
      <c r="C225" t="s">
        <v>1309</v>
      </c>
      <c r="D225" t="s">
        <v>1350</v>
      </c>
      <c r="E225" t="s">
        <v>1360</v>
      </c>
      <c r="G225" t="s">
        <v>1376</v>
      </c>
      <c r="H225">
        <v>1534552</v>
      </c>
      <c r="J225" t="s">
        <v>1398</v>
      </c>
      <c r="L225">
        <f t="shared" si="4"/>
        <v>7.1999999999999994E-4</v>
      </c>
      <c r="N225">
        <v>0.187</v>
      </c>
      <c r="O225">
        <v>90</v>
      </c>
      <c r="P225" t="s">
        <v>1470</v>
      </c>
      <c r="Q225" t="s">
        <v>1432</v>
      </c>
      <c r="R225" t="s">
        <v>1450</v>
      </c>
      <c r="S225">
        <v>3065000</v>
      </c>
      <c r="U225">
        <v>3065000</v>
      </c>
      <c r="V225">
        <v>0.50066949429037522</v>
      </c>
      <c r="W225" t="s">
        <v>9</v>
      </c>
      <c r="X225" t="s">
        <v>1461</v>
      </c>
    </row>
    <row r="226" spans="1:24" hidden="1" x14ac:dyDescent="0.35">
      <c r="A226" t="s">
        <v>1199</v>
      </c>
      <c r="B226">
        <v>2023</v>
      </c>
      <c r="C226" t="s">
        <v>1309</v>
      </c>
      <c r="D226" t="s">
        <v>1350</v>
      </c>
      <c r="E226" t="s">
        <v>1362</v>
      </c>
      <c r="G226" t="s">
        <v>1376</v>
      </c>
      <c r="H226">
        <v>0</v>
      </c>
      <c r="J226" t="s">
        <v>1398</v>
      </c>
      <c r="L226">
        <f t="shared" si="4"/>
        <v>7.1999999999999994E-4</v>
      </c>
      <c r="N226">
        <v>0.187</v>
      </c>
      <c r="O226">
        <v>90</v>
      </c>
      <c r="P226" t="s">
        <v>1470</v>
      </c>
      <c r="Q226" t="s">
        <v>1432</v>
      </c>
      <c r="R226" t="s">
        <v>1450</v>
      </c>
      <c r="S226">
        <v>3065000</v>
      </c>
      <c r="U226">
        <v>3065000</v>
      </c>
      <c r="V226">
        <v>0</v>
      </c>
      <c r="W226" t="s">
        <v>9</v>
      </c>
      <c r="X226" t="s">
        <v>1461</v>
      </c>
    </row>
    <row r="227" spans="1:24" hidden="1" x14ac:dyDescent="0.35">
      <c r="A227" t="s">
        <v>1200</v>
      </c>
      <c r="B227">
        <v>2023</v>
      </c>
      <c r="C227" t="s">
        <v>1309</v>
      </c>
      <c r="D227" t="s">
        <v>1350</v>
      </c>
      <c r="E227" t="s">
        <v>1361</v>
      </c>
      <c r="G227" t="s">
        <v>1376</v>
      </c>
      <c r="H227">
        <v>3111320</v>
      </c>
      <c r="J227" t="s">
        <v>1398</v>
      </c>
      <c r="L227">
        <f t="shared" si="4"/>
        <v>7.1999999999999994E-4</v>
      </c>
      <c r="N227">
        <v>0.187</v>
      </c>
      <c r="O227">
        <v>90</v>
      </c>
      <c r="P227" t="s">
        <v>1470</v>
      </c>
      <c r="Q227" t="s">
        <v>1432</v>
      </c>
      <c r="R227" t="s">
        <v>1450</v>
      </c>
      <c r="S227">
        <v>3065000</v>
      </c>
      <c r="U227">
        <v>3065000</v>
      </c>
      <c r="V227">
        <v>1.0151125611745511</v>
      </c>
      <c r="W227" t="s">
        <v>9</v>
      </c>
      <c r="X227" t="s">
        <v>1461</v>
      </c>
    </row>
    <row r="228" spans="1:24" hidden="1" x14ac:dyDescent="0.35">
      <c r="A228" t="s">
        <v>1201</v>
      </c>
      <c r="B228">
        <v>2023</v>
      </c>
      <c r="C228" t="s">
        <v>1310</v>
      </c>
      <c r="E228" t="s">
        <v>1363</v>
      </c>
      <c r="G228" t="s">
        <v>1377</v>
      </c>
      <c r="H228">
        <v>377.5</v>
      </c>
      <c r="J228" t="s">
        <v>1398</v>
      </c>
      <c r="L228">
        <f t="shared" si="4"/>
        <v>7.1999999999999994E-4</v>
      </c>
      <c r="N228">
        <v>0.187</v>
      </c>
      <c r="O228">
        <v>90</v>
      </c>
      <c r="P228" t="s">
        <v>1470</v>
      </c>
      <c r="Q228" t="s">
        <v>1432</v>
      </c>
      <c r="R228" t="s">
        <v>1450</v>
      </c>
      <c r="S228">
        <v>3065000</v>
      </c>
      <c r="U228">
        <v>3065000</v>
      </c>
      <c r="V228">
        <v>1.231647634584013E-4</v>
      </c>
      <c r="W228" t="s">
        <v>9</v>
      </c>
      <c r="X228" t="s">
        <v>1462</v>
      </c>
    </row>
    <row r="229" spans="1:24" hidden="1" x14ac:dyDescent="0.35">
      <c r="A229" t="s">
        <v>403</v>
      </c>
      <c r="B229">
        <v>2023</v>
      </c>
      <c r="C229" t="s">
        <v>1308</v>
      </c>
      <c r="D229" t="s">
        <v>1328</v>
      </c>
      <c r="E229" t="s">
        <v>1359</v>
      </c>
      <c r="F229" t="s">
        <v>1366</v>
      </c>
      <c r="G229" t="s">
        <v>1371</v>
      </c>
      <c r="H229">
        <v>1.9E-2</v>
      </c>
      <c r="J229" t="s">
        <v>1405</v>
      </c>
      <c r="L229">
        <f>0.36/1000</f>
        <v>3.5999999999999997E-4</v>
      </c>
      <c r="O229">
        <v>64</v>
      </c>
      <c r="P229" t="s">
        <v>1470</v>
      </c>
      <c r="R229" s="2" t="s">
        <v>1438</v>
      </c>
      <c r="S229">
        <v>21680000</v>
      </c>
      <c r="U229">
        <v>21680000</v>
      </c>
      <c r="V229">
        <v>8.763837638376383E-10</v>
      </c>
      <c r="W229" t="s">
        <v>9</v>
      </c>
      <c r="X229" t="s">
        <v>1456</v>
      </c>
    </row>
    <row r="230" spans="1:24" hidden="1" x14ac:dyDescent="0.35">
      <c r="A230" t="s">
        <v>404</v>
      </c>
      <c r="B230">
        <v>2023</v>
      </c>
      <c r="C230" t="s">
        <v>1308</v>
      </c>
      <c r="D230" t="s">
        <v>1317</v>
      </c>
      <c r="E230" t="s">
        <v>1359</v>
      </c>
      <c r="F230" t="s">
        <v>1366</v>
      </c>
      <c r="G230" t="s">
        <v>1372</v>
      </c>
      <c r="H230">
        <v>70.251000000000005</v>
      </c>
      <c r="J230" t="s">
        <v>1405</v>
      </c>
      <c r="L230">
        <f t="shared" ref="L230:L259" si="5">0.36/1000</f>
        <v>3.5999999999999997E-4</v>
      </c>
      <c r="O230">
        <v>64</v>
      </c>
      <c r="P230" t="s">
        <v>1470</v>
      </c>
      <c r="R230" s="2" t="s">
        <v>1438</v>
      </c>
      <c r="S230">
        <v>21680000</v>
      </c>
      <c r="U230">
        <v>21680000</v>
      </c>
      <c r="V230">
        <v>3.2403597785977858E-6</v>
      </c>
      <c r="W230" t="s">
        <v>9</v>
      </c>
      <c r="X230" t="s">
        <v>1457</v>
      </c>
    </row>
    <row r="231" spans="1:24" hidden="1" x14ac:dyDescent="0.35">
      <c r="A231" t="s">
        <v>405</v>
      </c>
      <c r="B231">
        <v>2023</v>
      </c>
      <c r="C231" t="s">
        <v>1308</v>
      </c>
      <c r="D231" t="s">
        <v>1318</v>
      </c>
      <c r="E231" t="s">
        <v>1359</v>
      </c>
      <c r="F231" t="s">
        <v>1366</v>
      </c>
      <c r="G231" t="s">
        <v>1372</v>
      </c>
      <c r="H231">
        <v>1.972</v>
      </c>
      <c r="J231" t="s">
        <v>1405</v>
      </c>
      <c r="L231">
        <f t="shared" si="5"/>
        <v>3.5999999999999997E-4</v>
      </c>
      <c r="O231">
        <v>64</v>
      </c>
      <c r="P231" t="s">
        <v>1470</v>
      </c>
      <c r="R231" s="2" t="s">
        <v>1438</v>
      </c>
      <c r="S231">
        <v>21680000</v>
      </c>
      <c r="U231">
        <v>21680000</v>
      </c>
      <c r="V231">
        <v>9.0959409594095941E-8</v>
      </c>
      <c r="W231" t="s">
        <v>9</v>
      </c>
      <c r="X231" t="s">
        <v>1457</v>
      </c>
    </row>
    <row r="232" spans="1:24" hidden="1" x14ac:dyDescent="0.35">
      <c r="A232" t="s">
        <v>406</v>
      </c>
      <c r="B232">
        <v>2023</v>
      </c>
      <c r="C232" t="s">
        <v>1308</v>
      </c>
      <c r="D232" t="s">
        <v>1311</v>
      </c>
      <c r="E232" t="s">
        <v>1359</v>
      </c>
      <c r="F232" t="s">
        <v>1366</v>
      </c>
      <c r="G232" t="s">
        <v>1371</v>
      </c>
      <c r="H232">
        <v>150.42699999999999</v>
      </c>
      <c r="J232" t="s">
        <v>1405</v>
      </c>
      <c r="L232">
        <f t="shared" si="5"/>
        <v>3.5999999999999997E-4</v>
      </c>
      <c r="O232">
        <v>64</v>
      </c>
      <c r="P232" t="s">
        <v>1470</v>
      </c>
      <c r="R232" s="2" t="s">
        <v>1438</v>
      </c>
      <c r="S232">
        <v>21680000</v>
      </c>
      <c r="U232">
        <v>21680000</v>
      </c>
      <c r="V232">
        <v>6.9385147601476013E-6</v>
      </c>
      <c r="W232" t="s">
        <v>9</v>
      </c>
      <c r="X232" t="s">
        <v>1456</v>
      </c>
    </row>
    <row r="233" spans="1:24" hidden="1" x14ac:dyDescent="0.35">
      <c r="A233" t="s">
        <v>407</v>
      </c>
      <c r="B233">
        <v>2023</v>
      </c>
      <c r="C233" t="s">
        <v>1308</v>
      </c>
      <c r="D233" t="s">
        <v>1319</v>
      </c>
      <c r="E233" t="s">
        <v>1359</v>
      </c>
      <c r="F233" t="s">
        <v>1366</v>
      </c>
      <c r="G233" t="s">
        <v>1371</v>
      </c>
      <c r="H233">
        <v>1.272</v>
      </c>
      <c r="J233" t="s">
        <v>1405</v>
      </c>
      <c r="L233">
        <f t="shared" si="5"/>
        <v>3.5999999999999997E-4</v>
      </c>
      <c r="O233">
        <v>64</v>
      </c>
      <c r="P233" t="s">
        <v>1470</v>
      </c>
      <c r="R233" s="2" t="s">
        <v>1438</v>
      </c>
      <c r="S233">
        <v>21680000</v>
      </c>
      <c r="U233">
        <v>21680000</v>
      </c>
      <c r="V233">
        <v>5.867158671586716E-8</v>
      </c>
      <c r="W233" t="s">
        <v>9</v>
      </c>
      <c r="X233" t="s">
        <v>1456</v>
      </c>
    </row>
    <row r="234" spans="1:24" hidden="1" x14ac:dyDescent="0.35">
      <c r="A234" t="s">
        <v>408</v>
      </c>
      <c r="B234">
        <v>2023</v>
      </c>
      <c r="C234" t="s">
        <v>1308</v>
      </c>
      <c r="D234" t="s">
        <v>1320</v>
      </c>
      <c r="E234" t="s">
        <v>1359</v>
      </c>
      <c r="F234" t="s">
        <v>1366</v>
      </c>
      <c r="G234" t="s">
        <v>1372</v>
      </c>
      <c r="H234">
        <v>153.85499999999999</v>
      </c>
      <c r="J234" t="s">
        <v>1405</v>
      </c>
      <c r="L234">
        <f t="shared" si="5"/>
        <v>3.5999999999999997E-4</v>
      </c>
      <c r="O234">
        <v>64</v>
      </c>
      <c r="P234" t="s">
        <v>1470</v>
      </c>
      <c r="R234" s="2" t="s">
        <v>1438</v>
      </c>
      <c r="S234">
        <v>21680000</v>
      </c>
      <c r="U234">
        <v>21680000</v>
      </c>
      <c r="V234">
        <v>7.0966328413284116E-6</v>
      </c>
      <c r="W234" t="s">
        <v>9</v>
      </c>
      <c r="X234" t="s">
        <v>1457</v>
      </c>
    </row>
    <row r="235" spans="1:24" hidden="1" x14ac:dyDescent="0.35">
      <c r="A235" t="s">
        <v>409</v>
      </c>
      <c r="B235">
        <v>2023</v>
      </c>
      <c r="C235" t="s">
        <v>1308</v>
      </c>
      <c r="D235" t="s">
        <v>1321</v>
      </c>
      <c r="E235" t="s">
        <v>1359</v>
      </c>
      <c r="F235" t="s">
        <v>1366</v>
      </c>
      <c r="G235" t="s">
        <v>1371</v>
      </c>
      <c r="H235">
        <v>13.701000000000001</v>
      </c>
      <c r="J235" t="s">
        <v>1405</v>
      </c>
      <c r="L235">
        <f t="shared" si="5"/>
        <v>3.5999999999999997E-4</v>
      </c>
      <c r="O235">
        <v>64</v>
      </c>
      <c r="P235" t="s">
        <v>1470</v>
      </c>
      <c r="R235" s="2" t="s">
        <v>1438</v>
      </c>
      <c r="S235">
        <v>21680000</v>
      </c>
      <c r="U235">
        <v>21680000</v>
      </c>
      <c r="V235">
        <v>6.3196494464944657E-7</v>
      </c>
      <c r="W235" t="s">
        <v>9</v>
      </c>
      <c r="X235" t="s">
        <v>1456</v>
      </c>
    </row>
    <row r="236" spans="1:24" hidden="1" x14ac:dyDescent="0.35">
      <c r="A236" t="s">
        <v>410</v>
      </c>
      <c r="B236">
        <v>2023</v>
      </c>
      <c r="C236" t="s">
        <v>1308</v>
      </c>
      <c r="D236" t="s">
        <v>1322</v>
      </c>
      <c r="E236" t="s">
        <v>1359</v>
      </c>
      <c r="F236" t="s">
        <v>1366</v>
      </c>
      <c r="G236" t="s">
        <v>1372</v>
      </c>
      <c r="H236">
        <v>49.872</v>
      </c>
      <c r="J236" t="s">
        <v>1405</v>
      </c>
      <c r="L236">
        <f t="shared" si="5"/>
        <v>3.5999999999999997E-4</v>
      </c>
      <c r="O236">
        <v>64</v>
      </c>
      <c r="P236" t="s">
        <v>1470</v>
      </c>
      <c r="R236" s="2" t="s">
        <v>1438</v>
      </c>
      <c r="S236">
        <v>21680000</v>
      </c>
      <c r="U236">
        <v>21680000</v>
      </c>
      <c r="V236">
        <v>2.300369003690037E-6</v>
      </c>
      <c r="W236" t="s">
        <v>9</v>
      </c>
      <c r="X236" t="s">
        <v>1457</v>
      </c>
    </row>
    <row r="237" spans="1:24" hidden="1" x14ac:dyDescent="0.35">
      <c r="A237" t="s">
        <v>411</v>
      </c>
      <c r="B237">
        <v>2023</v>
      </c>
      <c r="C237" t="s">
        <v>1308</v>
      </c>
      <c r="D237" t="s">
        <v>1323</v>
      </c>
      <c r="E237" t="s">
        <v>1359</v>
      </c>
      <c r="F237" t="s">
        <v>1366</v>
      </c>
      <c r="G237" t="s">
        <v>1371</v>
      </c>
      <c r="H237">
        <v>4.883</v>
      </c>
      <c r="J237" t="s">
        <v>1405</v>
      </c>
      <c r="L237">
        <f t="shared" si="5"/>
        <v>3.5999999999999997E-4</v>
      </c>
      <c r="O237">
        <v>64</v>
      </c>
      <c r="P237" t="s">
        <v>1470</v>
      </c>
      <c r="R237" s="2" t="s">
        <v>1438</v>
      </c>
      <c r="S237">
        <v>21680000</v>
      </c>
      <c r="U237">
        <v>21680000</v>
      </c>
      <c r="V237">
        <v>2.252306273062731E-7</v>
      </c>
      <c r="W237" t="s">
        <v>9</v>
      </c>
      <c r="X237" t="s">
        <v>1456</v>
      </c>
    </row>
    <row r="238" spans="1:24" hidden="1" x14ac:dyDescent="0.35">
      <c r="A238" t="s">
        <v>412</v>
      </c>
      <c r="B238">
        <v>2023</v>
      </c>
      <c r="C238" t="s">
        <v>1308</v>
      </c>
      <c r="D238" t="s">
        <v>1330</v>
      </c>
      <c r="E238" t="s">
        <v>1359</v>
      </c>
      <c r="F238" t="s">
        <v>1366</v>
      </c>
      <c r="G238" t="s">
        <v>1371</v>
      </c>
      <c r="H238">
        <v>2.637E-3</v>
      </c>
      <c r="J238" t="s">
        <v>1405</v>
      </c>
      <c r="L238">
        <f t="shared" si="5"/>
        <v>3.5999999999999997E-4</v>
      </c>
      <c r="O238">
        <v>64</v>
      </c>
      <c r="P238" t="s">
        <v>1470</v>
      </c>
      <c r="R238" s="2" t="s">
        <v>1438</v>
      </c>
      <c r="S238">
        <v>21680000</v>
      </c>
      <c r="U238">
        <v>21680000</v>
      </c>
      <c r="V238">
        <v>1.216328413284133E-10</v>
      </c>
      <c r="W238" t="s">
        <v>9</v>
      </c>
      <c r="X238" t="s">
        <v>1456</v>
      </c>
    </row>
    <row r="239" spans="1:24" hidden="1" x14ac:dyDescent="0.35">
      <c r="A239" t="s">
        <v>413</v>
      </c>
      <c r="B239">
        <v>2023</v>
      </c>
      <c r="C239" t="s">
        <v>1308</v>
      </c>
      <c r="D239" t="s">
        <v>1324</v>
      </c>
      <c r="E239" t="s">
        <v>1359</v>
      </c>
      <c r="F239" t="s">
        <v>1366</v>
      </c>
      <c r="G239" t="s">
        <v>1371</v>
      </c>
      <c r="H239">
        <v>0.23100000000000001</v>
      </c>
      <c r="J239" t="s">
        <v>1405</v>
      </c>
      <c r="L239">
        <f t="shared" si="5"/>
        <v>3.5999999999999997E-4</v>
      </c>
      <c r="O239">
        <v>64</v>
      </c>
      <c r="P239" t="s">
        <v>1470</v>
      </c>
      <c r="R239" s="2" t="s">
        <v>1438</v>
      </c>
      <c r="S239">
        <v>21680000</v>
      </c>
      <c r="U239">
        <v>21680000</v>
      </c>
      <c r="V239">
        <v>1.0654981549815501E-8</v>
      </c>
      <c r="W239" t="s">
        <v>9</v>
      </c>
      <c r="X239" t="s">
        <v>1456</v>
      </c>
    </row>
    <row r="240" spans="1:24" hidden="1" x14ac:dyDescent="0.35">
      <c r="A240" t="s">
        <v>414</v>
      </c>
      <c r="B240">
        <v>2023</v>
      </c>
      <c r="C240" t="s">
        <v>1308</v>
      </c>
      <c r="D240" t="s">
        <v>1312</v>
      </c>
      <c r="E240" t="s">
        <v>1359</v>
      </c>
      <c r="F240" t="s">
        <v>1366</v>
      </c>
      <c r="G240" t="s">
        <v>1371</v>
      </c>
      <c r="H240">
        <v>60.999000000000002</v>
      </c>
      <c r="J240" t="s">
        <v>1405</v>
      </c>
      <c r="L240">
        <f t="shared" si="5"/>
        <v>3.5999999999999997E-4</v>
      </c>
      <c r="O240">
        <v>64</v>
      </c>
      <c r="P240" t="s">
        <v>1470</v>
      </c>
      <c r="R240" s="2" t="s">
        <v>1438</v>
      </c>
      <c r="S240">
        <v>21680000</v>
      </c>
      <c r="U240">
        <v>21680000</v>
      </c>
      <c r="V240">
        <v>2.8136070110701112E-6</v>
      </c>
      <c r="W240" t="s">
        <v>9</v>
      </c>
      <c r="X240" t="s">
        <v>1456</v>
      </c>
    </row>
    <row r="241" spans="1:24" hidden="1" x14ac:dyDescent="0.35">
      <c r="A241" t="s">
        <v>415</v>
      </c>
      <c r="B241">
        <v>2023</v>
      </c>
      <c r="C241" t="s">
        <v>1308</v>
      </c>
      <c r="D241" t="s">
        <v>1332</v>
      </c>
      <c r="E241" t="s">
        <v>1359</v>
      </c>
      <c r="F241" t="s">
        <v>1366</v>
      </c>
      <c r="G241" t="s">
        <v>1371</v>
      </c>
      <c r="H241">
        <v>11.186</v>
      </c>
      <c r="J241" t="s">
        <v>1405</v>
      </c>
      <c r="L241">
        <f t="shared" si="5"/>
        <v>3.5999999999999997E-4</v>
      </c>
      <c r="O241">
        <v>64</v>
      </c>
      <c r="P241" t="s">
        <v>1470</v>
      </c>
      <c r="R241" s="2" t="s">
        <v>1438</v>
      </c>
      <c r="S241">
        <v>21680000</v>
      </c>
      <c r="U241">
        <v>21680000</v>
      </c>
      <c r="V241">
        <v>5.1595940959409594E-7</v>
      </c>
      <c r="W241" t="s">
        <v>9</v>
      </c>
      <c r="X241" t="s">
        <v>1456</v>
      </c>
    </row>
    <row r="242" spans="1:24" hidden="1" x14ac:dyDescent="0.35">
      <c r="A242" t="s">
        <v>416</v>
      </c>
      <c r="B242">
        <v>2023</v>
      </c>
      <c r="C242" t="s">
        <v>1308</v>
      </c>
      <c r="D242" t="s">
        <v>1313</v>
      </c>
      <c r="E242" t="s">
        <v>1359</v>
      </c>
      <c r="F242" t="s">
        <v>1366</v>
      </c>
      <c r="G242" t="s">
        <v>1371</v>
      </c>
      <c r="H242">
        <v>1964.4059999999999</v>
      </c>
      <c r="J242" t="s">
        <v>1405</v>
      </c>
      <c r="L242">
        <f t="shared" si="5"/>
        <v>3.5999999999999997E-4</v>
      </c>
      <c r="O242">
        <v>64</v>
      </c>
      <c r="P242" t="s">
        <v>1470</v>
      </c>
      <c r="R242" s="2" t="s">
        <v>1438</v>
      </c>
      <c r="S242">
        <v>21680000</v>
      </c>
      <c r="U242">
        <v>21680000</v>
      </c>
      <c r="V242">
        <v>9.0609132841328404E-5</v>
      </c>
      <c r="W242" t="s">
        <v>9</v>
      </c>
      <c r="X242" t="s">
        <v>1456</v>
      </c>
    </row>
    <row r="243" spans="1:24" hidden="1" x14ac:dyDescent="0.35">
      <c r="A243" t="s">
        <v>417</v>
      </c>
      <c r="B243">
        <v>2023</v>
      </c>
      <c r="C243" t="s">
        <v>1308</v>
      </c>
      <c r="D243" t="s">
        <v>1314</v>
      </c>
      <c r="E243" t="s">
        <v>1359</v>
      </c>
      <c r="F243" t="s">
        <v>1366</v>
      </c>
      <c r="G243" t="s">
        <v>1371</v>
      </c>
      <c r="H243">
        <v>0.74299999999999999</v>
      </c>
      <c r="J243" t="s">
        <v>1405</v>
      </c>
      <c r="L243">
        <f t="shared" si="5"/>
        <v>3.5999999999999997E-4</v>
      </c>
      <c r="O243">
        <v>64</v>
      </c>
      <c r="P243" t="s">
        <v>1470</v>
      </c>
      <c r="R243" s="2" t="s">
        <v>1438</v>
      </c>
      <c r="S243">
        <v>21680000</v>
      </c>
      <c r="U243">
        <v>21680000</v>
      </c>
      <c r="V243">
        <v>3.4271217712177119E-8</v>
      </c>
      <c r="W243" t="s">
        <v>9</v>
      </c>
      <c r="X243" t="s">
        <v>1456</v>
      </c>
    </row>
    <row r="244" spans="1:24" hidden="1" x14ac:dyDescent="0.35">
      <c r="A244" t="s">
        <v>418</v>
      </c>
      <c r="B244">
        <v>2023</v>
      </c>
      <c r="C244" t="s">
        <v>1308</v>
      </c>
      <c r="D244" t="s">
        <v>1325</v>
      </c>
      <c r="E244" t="s">
        <v>1359</v>
      </c>
      <c r="F244" t="s">
        <v>1366</v>
      </c>
      <c r="G244" t="s">
        <v>1372</v>
      </c>
      <c r="H244">
        <v>31.646000000000001</v>
      </c>
      <c r="J244" t="s">
        <v>1405</v>
      </c>
      <c r="L244">
        <f t="shared" si="5"/>
        <v>3.5999999999999997E-4</v>
      </c>
      <c r="O244">
        <v>64</v>
      </c>
      <c r="P244" t="s">
        <v>1470</v>
      </c>
      <c r="R244" s="2" t="s">
        <v>1438</v>
      </c>
      <c r="S244">
        <v>21680000</v>
      </c>
      <c r="U244">
        <v>21680000</v>
      </c>
      <c r="V244">
        <v>1.459686346863469E-6</v>
      </c>
      <c r="W244" t="s">
        <v>9</v>
      </c>
      <c r="X244" t="s">
        <v>1457</v>
      </c>
    </row>
    <row r="245" spans="1:24" hidden="1" x14ac:dyDescent="0.35">
      <c r="A245" t="s">
        <v>419</v>
      </c>
      <c r="B245">
        <v>2023</v>
      </c>
      <c r="C245" t="s">
        <v>1308</v>
      </c>
      <c r="D245" t="s">
        <v>1334</v>
      </c>
      <c r="E245" t="s">
        <v>1359</v>
      </c>
      <c r="F245" t="s">
        <v>1366</v>
      </c>
      <c r="G245" t="s">
        <v>1372</v>
      </c>
      <c r="H245">
        <v>7.2430000000000003</v>
      </c>
      <c r="J245" t="s">
        <v>1405</v>
      </c>
      <c r="L245">
        <f t="shared" si="5"/>
        <v>3.5999999999999997E-4</v>
      </c>
      <c r="O245">
        <v>64</v>
      </c>
      <c r="P245" t="s">
        <v>1470</v>
      </c>
      <c r="R245" s="2" t="s">
        <v>1438</v>
      </c>
      <c r="S245">
        <v>21680000</v>
      </c>
      <c r="U245">
        <v>21680000</v>
      </c>
      <c r="V245">
        <v>3.3408671586715871E-7</v>
      </c>
      <c r="W245" t="s">
        <v>9</v>
      </c>
      <c r="X245" t="s">
        <v>1457</v>
      </c>
    </row>
    <row r="246" spans="1:24" hidden="1" x14ac:dyDescent="0.35">
      <c r="A246" t="s">
        <v>420</v>
      </c>
      <c r="B246">
        <v>2023</v>
      </c>
      <c r="C246" t="s">
        <v>1308</v>
      </c>
      <c r="D246" t="s">
        <v>1315</v>
      </c>
      <c r="E246" t="s">
        <v>1359</v>
      </c>
      <c r="F246" t="s">
        <v>1366</v>
      </c>
      <c r="G246" t="s">
        <v>1371</v>
      </c>
      <c r="H246">
        <v>9451.0329999999994</v>
      </c>
      <c r="J246" t="s">
        <v>1405</v>
      </c>
      <c r="L246">
        <f t="shared" si="5"/>
        <v>3.5999999999999997E-4</v>
      </c>
      <c r="O246">
        <v>64</v>
      </c>
      <c r="P246" t="s">
        <v>1470</v>
      </c>
      <c r="R246" s="2" t="s">
        <v>1438</v>
      </c>
      <c r="S246">
        <v>21680000</v>
      </c>
      <c r="U246">
        <v>21680000</v>
      </c>
      <c r="V246">
        <v>4.3593325645756461E-4</v>
      </c>
      <c r="W246" t="s">
        <v>9</v>
      </c>
      <c r="X246" t="s">
        <v>1456</v>
      </c>
    </row>
    <row r="247" spans="1:24" hidden="1" x14ac:dyDescent="0.35">
      <c r="A247" t="s">
        <v>421</v>
      </c>
      <c r="B247">
        <v>2023</v>
      </c>
      <c r="C247" t="s">
        <v>1308</v>
      </c>
      <c r="D247" t="s">
        <v>1336</v>
      </c>
      <c r="E247" t="s">
        <v>1359</v>
      </c>
      <c r="F247" t="s">
        <v>1366</v>
      </c>
      <c r="G247" t="s">
        <v>1371</v>
      </c>
      <c r="H247">
        <v>0.93799999999999994</v>
      </c>
      <c r="J247" t="s">
        <v>1405</v>
      </c>
      <c r="L247">
        <f t="shared" si="5"/>
        <v>3.5999999999999997E-4</v>
      </c>
      <c r="O247">
        <v>64</v>
      </c>
      <c r="P247" t="s">
        <v>1470</v>
      </c>
      <c r="R247" s="2" t="s">
        <v>1438</v>
      </c>
      <c r="S247">
        <v>21680000</v>
      </c>
      <c r="U247">
        <v>21680000</v>
      </c>
      <c r="V247">
        <v>4.3265682656826567E-8</v>
      </c>
      <c r="W247" t="s">
        <v>9</v>
      </c>
      <c r="X247" t="s">
        <v>1456</v>
      </c>
    </row>
    <row r="248" spans="1:24" hidden="1" x14ac:dyDescent="0.35">
      <c r="A248" t="s">
        <v>422</v>
      </c>
      <c r="B248">
        <v>2023</v>
      </c>
      <c r="C248" t="s">
        <v>1308</v>
      </c>
      <c r="D248" t="s">
        <v>1326</v>
      </c>
      <c r="E248" t="s">
        <v>1359</v>
      </c>
      <c r="F248" t="s">
        <v>1366</v>
      </c>
      <c r="G248" t="s">
        <v>1371</v>
      </c>
      <c r="H248">
        <v>0.372</v>
      </c>
      <c r="J248" t="s">
        <v>1405</v>
      </c>
      <c r="L248">
        <f t="shared" si="5"/>
        <v>3.5999999999999997E-4</v>
      </c>
      <c r="O248">
        <v>64</v>
      </c>
      <c r="P248" t="s">
        <v>1470</v>
      </c>
      <c r="R248" s="2" t="s">
        <v>1438</v>
      </c>
      <c r="S248">
        <v>21680000</v>
      </c>
      <c r="U248">
        <v>21680000</v>
      </c>
      <c r="V248">
        <v>1.7158671586715869E-8</v>
      </c>
      <c r="W248" t="s">
        <v>9</v>
      </c>
      <c r="X248" t="s">
        <v>1456</v>
      </c>
    </row>
    <row r="249" spans="1:24" hidden="1" x14ac:dyDescent="0.35">
      <c r="A249" t="s">
        <v>713</v>
      </c>
      <c r="B249">
        <v>2023</v>
      </c>
      <c r="C249" t="s">
        <v>1308</v>
      </c>
      <c r="D249" t="s">
        <v>1313</v>
      </c>
      <c r="E249" t="s">
        <v>1359</v>
      </c>
      <c r="F249" t="s">
        <v>1367</v>
      </c>
      <c r="G249" t="s">
        <v>1371</v>
      </c>
      <c r="H249">
        <v>2.0219999999999998</v>
      </c>
      <c r="J249" t="s">
        <v>1405</v>
      </c>
      <c r="L249">
        <f t="shared" si="5"/>
        <v>3.5999999999999997E-4</v>
      </c>
      <c r="O249">
        <v>64</v>
      </c>
      <c r="P249" t="s">
        <v>1470</v>
      </c>
      <c r="R249" s="2" t="s">
        <v>1438</v>
      </c>
      <c r="S249">
        <v>21680000</v>
      </c>
      <c r="U249">
        <v>21680000</v>
      </c>
      <c r="V249">
        <v>9.3265682656826558E-8</v>
      </c>
      <c r="W249" t="s">
        <v>9</v>
      </c>
      <c r="X249" t="s">
        <v>1456</v>
      </c>
    </row>
    <row r="250" spans="1:24" hidden="1" x14ac:dyDescent="0.35">
      <c r="A250" t="s">
        <v>714</v>
      </c>
      <c r="B250">
        <v>2023</v>
      </c>
      <c r="C250" t="s">
        <v>1308</v>
      </c>
      <c r="D250" t="s">
        <v>1314</v>
      </c>
      <c r="E250" t="s">
        <v>1359</v>
      </c>
      <c r="F250" t="s">
        <v>1367</v>
      </c>
      <c r="G250" t="s">
        <v>1371</v>
      </c>
      <c r="H250">
        <v>2.0219999999999998</v>
      </c>
      <c r="J250" t="s">
        <v>1405</v>
      </c>
      <c r="L250">
        <f t="shared" si="5"/>
        <v>3.5999999999999997E-4</v>
      </c>
      <c r="O250">
        <v>64</v>
      </c>
      <c r="P250" t="s">
        <v>1470</v>
      </c>
      <c r="R250" s="2" t="s">
        <v>1438</v>
      </c>
      <c r="S250">
        <v>21680000</v>
      </c>
      <c r="U250">
        <v>21680000</v>
      </c>
      <c r="V250">
        <v>9.3265682656826558E-8</v>
      </c>
      <c r="W250" t="s">
        <v>9</v>
      </c>
      <c r="X250" t="s">
        <v>1456</v>
      </c>
    </row>
    <row r="251" spans="1:24" hidden="1" x14ac:dyDescent="0.35">
      <c r="A251" t="s">
        <v>715</v>
      </c>
      <c r="B251">
        <v>2023</v>
      </c>
      <c r="C251" t="s">
        <v>1308</v>
      </c>
      <c r="D251" t="s">
        <v>1315</v>
      </c>
      <c r="E251" t="s">
        <v>1359</v>
      </c>
      <c r="F251" t="s">
        <v>1367</v>
      </c>
      <c r="G251" t="s">
        <v>1371</v>
      </c>
      <c r="H251">
        <v>2.0219999999999998</v>
      </c>
      <c r="J251" t="s">
        <v>1405</v>
      </c>
      <c r="L251">
        <f t="shared" si="5"/>
        <v>3.5999999999999997E-4</v>
      </c>
      <c r="O251">
        <v>64</v>
      </c>
      <c r="P251" t="s">
        <v>1470</v>
      </c>
      <c r="R251" s="2" t="s">
        <v>1438</v>
      </c>
      <c r="S251">
        <v>21680000</v>
      </c>
      <c r="U251">
        <v>21680000</v>
      </c>
      <c r="V251">
        <v>9.3265682656826558E-8</v>
      </c>
      <c r="W251" t="s">
        <v>9</v>
      </c>
      <c r="X251" t="s">
        <v>1456</v>
      </c>
    </row>
    <row r="252" spans="1:24" hidden="1" x14ac:dyDescent="0.35">
      <c r="A252" t="s">
        <v>1141</v>
      </c>
      <c r="B252">
        <v>2023</v>
      </c>
      <c r="C252" t="s">
        <v>1308</v>
      </c>
      <c r="D252" t="s">
        <v>1311</v>
      </c>
      <c r="E252" t="s">
        <v>1359</v>
      </c>
      <c r="G252" t="s">
        <v>1371</v>
      </c>
      <c r="H252">
        <v>150.43</v>
      </c>
      <c r="J252" t="s">
        <v>1405</v>
      </c>
      <c r="L252">
        <f t="shared" si="5"/>
        <v>3.5999999999999997E-4</v>
      </c>
      <c r="O252">
        <v>64</v>
      </c>
      <c r="P252" t="s">
        <v>1470</v>
      </c>
      <c r="Q252" t="s">
        <v>1425</v>
      </c>
      <c r="R252" t="s">
        <v>1443</v>
      </c>
      <c r="S252">
        <v>21680000</v>
      </c>
      <c r="U252">
        <v>21680000</v>
      </c>
      <c r="V252">
        <v>6.9386531365313654E-6</v>
      </c>
      <c r="W252" t="s">
        <v>9</v>
      </c>
      <c r="X252" t="s">
        <v>1456</v>
      </c>
    </row>
    <row r="253" spans="1:24" hidden="1" x14ac:dyDescent="0.35">
      <c r="A253" t="s">
        <v>1142</v>
      </c>
      <c r="B253">
        <v>2023</v>
      </c>
      <c r="C253" t="s">
        <v>1308</v>
      </c>
      <c r="D253" t="s">
        <v>1347</v>
      </c>
      <c r="E253" t="s">
        <v>1359</v>
      </c>
      <c r="G253" t="s">
        <v>1375</v>
      </c>
      <c r="H253">
        <v>72492</v>
      </c>
      <c r="J253" t="s">
        <v>1405</v>
      </c>
      <c r="L253">
        <f t="shared" si="5"/>
        <v>3.5999999999999997E-4</v>
      </c>
      <c r="O253">
        <v>64</v>
      </c>
      <c r="P253" t="s">
        <v>1470</v>
      </c>
      <c r="Q253" t="s">
        <v>1425</v>
      </c>
      <c r="R253" t="s">
        <v>1443</v>
      </c>
      <c r="S253">
        <v>21680000</v>
      </c>
      <c r="U253">
        <v>21680000</v>
      </c>
      <c r="V253">
        <v>3.3437269372693732E-3</v>
      </c>
      <c r="W253" t="s">
        <v>9</v>
      </c>
      <c r="X253" t="s">
        <v>1460</v>
      </c>
    </row>
    <row r="254" spans="1:24" hidden="1" x14ac:dyDescent="0.35">
      <c r="A254" t="s">
        <v>1143</v>
      </c>
      <c r="B254">
        <v>2023</v>
      </c>
      <c r="C254" t="s">
        <v>1308</v>
      </c>
      <c r="D254" t="s">
        <v>1347</v>
      </c>
      <c r="E254" t="s">
        <v>1359</v>
      </c>
      <c r="G254" t="s">
        <v>1375</v>
      </c>
      <c r="H254">
        <v>7075</v>
      </c>
      <c r="J254" t="s">
        <v>1405</v>
      </c>
      <c r="L254">
        <f t="shared" si="5"/>
        <v>3.5999999999999997E-4</v>
      </c>
      <c r="O254">
        <v>64</v>
      </c>
      <c r="P254" t="s">
        <v>1470</v>
      </c>
      <c r="Q254" t="s">
        <v>1425</v>
      </c>
      <c r="R254" t="s">
        <v>1443</v>
      </c>
      <c r="S254">
        <v>21680000</v>
      </c>
      <c r="U254">
        <v>21680000</v>
      </c>
      <c r="V254">
        <v>3.2633763837638382E-4</v>
      </c>
      <c r="W254" t="s">
        <v>9</v>
      </c>
      <c r="X254" t="s">
        <v>1460</v>
      </c>
    </row>
    <row r="255" spans="1:24" hidden="1" x14ac:dyDescent="0.35">
      <c r="A255" t="s">
        <v>1144</v>
      </c>
      <c r="B255">
        <v>2023</v>
      </c>
      <c r="C255" t="s">
        <v>1308</v>
      </c>
      <c r="D255" t="s">
        <v>1348</v>
      </c>
      <c r="E255" t="s">
        <v>1359</v>
      </c>
      <c r="G255" t="s">
        <v>1371</v>
      </c>
      <c r="H255">
        <v>61</v>
      </c>
      <c r="J255" t="s">
        <v>1405</v>
      </c>
      <c r="L255">
        <f t="shared" si="5"/>
        <v>3.5999999999999997E-4</v>
      </c>
      <c r="O255">
        <v>64</v>
      </c>
      <c r="P255" t="s">
        <v>1470</v>
      </c>
      <c r="Q255" t="s">
        <v>1425</v>
      </c>
      <c r="R255" t="s">
        <v>1443</v>
      </c>
      <c r="S255">
        <v>21680000</v>
      </c>
      <c r="U255">
        <v>21680000</v>
      </c>
      <c r="V255">
        <v>2.813653136531365E-6</v>
      </c>
      <c r="W255" t="s">
        <v>9</v>
      </c>
      <c r="X255" t="s">
        <v>1456</v>
      </c>
    </row>
    <row r="256" spans="1:24" hidden="1" x14ac:dyDescent="0.35">
      <c r="A256" t="s">
        <v>1145</v>
      </c>
      <c r="B256">
        <v>2023</v>
      </c>
      <c r="C256" t="s">
        <v>1308</v>
      </c>
      <c r="D256" t="s">
        <v>1313</v>
      </c>
      <c r="E256" t="s">
        <v>1359</v>
      </c>
      <c r="G256" t="s">
        <v>1371</v>
      </c>
      <c r="H256">
        <v>2368.41</v>
      </c>
      <c r="J256" t="s">
        <v>1405</v>
      </c>
      <c r="L256">
        <f t="shared" si="5"/>
        <v>3.5999999999999997E-4</v>
      </c>
      <c r="O256">
        <v>64</v>
      </c>
      <c r="P256" t="s">
        <v>1470</v>
      </c>
      <c r="Q256" t="s">
        <v>1425</v>
      </c>
      <c r="R256" t="s">
        <v>1443</v>
      </c>
      <c r="S256">
        <v>21680000</v>
      </c>
      <c r="U256">
        <v>21680000</v>
      </c>
      <c r="V256">
        <v>1.092440036900369E-4</v>
      </c>
      <c r="W256" t="s">
        <v>9</v>
      </c>
      <c r="X256" t="s">
        <v>1456</v>
      </c>
    </row>
    <row r="257" spans="1:24" hidden="1" x14ac:dyDescent="0.35">
      <c r="A257" t="s">
        <v>1146</v>
      </c>
      <c r="B257">
        <v>2023</v>
      </c>
      <c r="C257" t="s">
        <v>1308</v>
      </c>
      <c r="D257" t="s">
        <v>1314</v>
      </c>
      <c r="E257" t="s">
        <v>1359</v>
      </c>
      <c r="G257" t="s">
        <v>1371</v>
      </c>
      <c r="H257">
        <v>42.96</v>
      </c>
      <c r="J257" t="s">
        <v>1405</v>
      </c>
      <c r="L257">
        <f t="shared" si="5"/>
        <v>3.5999999999999997E-4</v>
      </c>
      <c r="O257">
        <v>64</v>
      </c>
      <c r="P257" t="s">
        <v>1470</v>
      </c>
      <c r="Q257" t="s">
        <v>1425</v>
      </c>
      <c r="R257" t="s">
        <v>1443</v>
      </c>
      <c r="S257">
        <v>21680000</v>
      </c>
      <c r="U257">
        <v>21680000</v>
      </c>
      <c r="V257">
        <v>1.9815498154981549E-6</v>
      </c>
      <c r="W257" t="s">
        <v>9</v>
      </c>
      <c r="X257" t="s">
        <v>1456</v>
      </c>
    </row>
    <row r="258" spans="1:24" hidden="1" x14ac:dyDescent="0.35">
      <c r="A258" t="s">
        <v>1147</v>
      </c>
      <c r="B258">
        <v>2023</v>
      </c>
      <c r="C258" t="s">
        <v>1309</v>
      </c>
      <c r="D258" t="s">
        <v>1350</v>
      </c>
      <c r="E258" t="s">
        <v>1360</v>
      </c>
      <c r="G258" t="s">
        <v>1376</v>
      </c>
      <c r="H258">
        <v>8109999.9999999991</v>
      </c>
      <c r="J258" t="s">
        <v>1405</v>
      </c>
      <c r="L258">
        <f t="shared" si="5"/>
        <v>3.5999999999999997E-4</v>
      </c>
      <c r="O258">
        <v>64</v>
      </c>
      <c r="P258" t="s">
        <v>1470</v>
      </c>
      <c r="Q258" t="s">
        <v>1425</v>
      </c>
      <c r="R258" t="s">
        <v>1443</v>
      </c>
      <c r="S258">
        <v>21680000</v>
      </c>
      <c r="U258">
        <v>21680000</v>
      </c>
      <c r="V258">
        <v>0.37407749077490771</v>
      </c>
      <c r="W258" t="s">
        <v>9</v>
      </c>
      <c r="X258" t="s">
        <v>1461</v>
      </c>
    </row>
    <row r="259" spans="1:24" hidden="1" x14ac:dyDescent="0.35">
      <c r="A259" t="s">
        <v>1148</v>
      </c>
      <c r="B259">
        <v>2023</v>
      </c>
      <c r="C259" t="s">
        <v>1309</v>
      </c>
      <c r="D259" t="s">
        <v>1350</v>
      </c>
      <c r="E259" t="s">
        <v>1361</v>
      </c>
      <c r="G259" t="s">
        <v>1376</v>
      </c>
      <c r="H259">
        <v>9110000</v>
      </c>
      <c r="J259" t="s">
        <v>1405</v>
      </c>
      <c r="L259">
        <f t="shared" si="5"/>
        <v>3.5999999999999997E-4</v>
      </c>
      <c r="O259">
        <v>64</v>
      </c>
      <c r="P259" t="s">
        <v>1470</v>
      </c>
      <c r="Q259" t="s">
        <v>1425</v>
      </c>
      <c r="R259" t="s">
        <v>1443</v>
      </c>
      <c r="S259">
        <v>21680000</v>
      </c>
      <c r="U259">
        <v>21680000</v>
      </c>
      <c r="V259">
        <v>0.42020295202952029</v>
      </c>
      <c r="W259" t="s">
        <v>9</v>
      </c>
      <c r="X259" t="s">
        <v>1461</v>
      </c>
    </row>
    <row r="260" spans="1:24" hidden="1" x14ac:dyDescent="0.35">
      <c r="A260" t="s">
        <v>513</v>
      </c>
      <c r="B260">
        <v>2023</v>
      </c>
      <c r="C260" t="s">
        <v>1308</v>
      </c>
      <c r="D260" t="s">
        <v>1313</v>
      </c>
      <c r="E260" t="s">
        <v>1359</v>
      </c>
      <c r="F260" t="s">
        <v>1366</v>
      </c>
      <c r="G260" t="s">
        <v>1371</v>
      </c>
      <c r="H260">
        <v>31.111999999999998</v>
      </c>
      <c r="J260" t="s">
        <v>1407</v>
      </c>
      <c r="K260" t="s">
        <v>1421</v>
      </c>
      <c r="L260">
        <f>3.45/1000</f>
        <v>3.4500000000000004E-3</v>
      </c>
      <c r="O260">
        <v>64.8</v>
      </c>
      <c r="P260" t="s">
        <v>1472</v>
      </c>
      <c r="R260" s="2" t="s">
        <v>1438</v>
      </c>
      <c r="S260">
        <v>965567</v>
      </c>
      <c r="T260">
        <v>3089208</v>
      </c>
      <c r="U260">
        <v>965567</v>
      </c>
      <c r="V260">
        <v>3.2221482300037183E-5</v>
      </c>
      <c r="W260" t="s">
        <v>9</v>
      </c>
      <c r="X260" t="s">
        <v>1456</v>
      </c>
    </row>
    <row r="261" spans="1:24" hidden="1" x14ac:dyDescent="0.35">
      <c r="A261" t="s">
        <v>515</v>
      </c>
      <c r="B261">
        <v>2023</v>
      </c>
      <c r="C261" t="s">
        <v>1308</v>
      </c>
      <c r="D261" t="s">
        <v>1314</v>
      </c>
      <c r="E261" t="s">
        <v>1359</v>
      </c>
      <c r="F261" t="s">
        <v>1366</v>
      </c>
      <c r="G261" t="s">
        <v>1371</v>
      </c>
      <c r="H261">
        <v>8.17</v>
      </c>
      <c r="J261" t="s">
        <v>1407</v>
      </c>
      <c r="K261" t="s">
        <v>1421</v>
      </c>
      <c r="L261">
        <f t="shared" ref="L261:L270" si="6">3.45/1000</f>
        <v>3.4500000000000004E-3</v>
      </c>
      <c r="O261">
        <v>64.8</v>
      </c>
      <c r="P261" t="s">
        <v>1472</v>
      </c>
      <c r="R261" s="2" t="s">
        <v>1438</v>
      </c>
      <c r="S261">
        <v>965567</v>
      </c>
      <c r="T261">
        <v>3089208</v>
      </c>
      <c r="U261">
        <v>965567</v>
      </c>
      <c r="V261">
        <v>8.4613496525875477E-6</v>
      </c>
      <c r="W261" t="s">
        <v>9</v>
      </c>
      <c r="X261" t="s">
        <v>1456</v>
      </c>
    </row>
    <row r="262" spans="1:24" hidden="1" x14ac:dyDescent="0.35">
      <c r="A262" t="s">
        <v>517</v>
      </c>
      <c r="B262">
        <v>2023</v>
      </c>
      <c r="C262" t="s">
        <v>1308</v>
      </c>
      <c r="D262" t="s">
        <v>1315</v>
      </c>
      <c r="E262" t="s">
        <v>1359</v>
      </c>
      <c r="F262" t="s">
        <v>1366</v>
      </c>
      <c r="G262" t="s">
        <v>1371</v>
      </c>
      <c r="H262">
        <v>51.244</v>
      </c>
      <c r="J262" t="s">
        <v>1407</v>
      </c>
      <c r="K262" t="s">
        <v>1421</v>
      </c>
      <c r="L262">
        <f t="shared" si="6"/>
        <v>3.4500000000000004E-3</v>
      </c>
      <c r="O262">
        <v>64.8</v>
      </c>
      <c r="P262" t="s">
        <v>1472</v>
      </c>
      <c r="R262" s="2" t="s">
        <v>1438</v>
      </c>
      <c r="S262">
        <v>965567</v>
      </c>
      <c r="T262">
        <v>3089208</v>
      </c>
      <c r="U262">
        <v>965567</v>
      </c>
      <c r="V262">
        <v>5.3071407784234549E-5</v>
      </c>
      <c r="W262" t="s">
        <v>9</v>
      </c>
      <c r="X262" t="s">
        <v>1456</v>
      </c>
    </row>
    <row r="263" spans="1:24" hidden="1" x14ac:dyDescent="0.35">
      <c r="A263" t="s">
        <v>863</v>
      </c>
      <c r="B263">
        <v>2023</v>
      </c>
      <c r="C263" t="s">
        <v>1309</v>
      </c>
      <c r="D263" t="s">
        <v>1327</v>
      </c>
      <c r="E263" t="s">
        <v>1359</v>
      </c>
      <c r="F263" t="s">
        <v>1368</v>
      </c>
      <c r="G263" t="s">
        <v>1371</v>
      </c>
      <c r="H263">
        <v>154.16</v>
      </c>
      <c r="J263" t="s">
        <v>1407</v>
      </c>
      <c r="K263" t="s">
        <v>1421</v>
      </c>
      <c r="L263">
        <f t="shared" si="6"/>
        <v>3.4500000000000004E-3</v>
      </c>
      <c r="O263">
        <v>64.8</v>
      </c>
      <c r="P263" t="s">
        <v>1472</v>
      </c>
      <c r="R263" s="2" t="s">
        <v>1438</v>
      </c>
      <c r="S263">
        <v>965567</v>
      </c>
      <c r="T263">
        <v>3089208</v>
      </c>
      <c r="U263">
        <v>965567</v>
      </c>
      <c r="V263">
        <v>1.5965748622312069E-4</v>
      </c>
      <c r="W263" t="s">
        <v>9</v>
      </c>
      <c r="X263" t="s">
        <v>1456</v>
      </c>
    </row>
    <row r="264" spans="1:24" hidden="1" x14ac:dyDescent="0.35">
      <c r="A264" t="s">
        <v>864</v>
      </c>
      <c r="B264">
        <v>2023</v>
      </c>
      <c r="C264" t="s">
        <v>1309</v>
      </c>
      <c r="D264" t="s">
        <v>1317</v>
      </c>
      <c r="E264" t="s">
        <v>1359</v>
      </c>
      <c r="F264" t="s">
        <v>1368</v>
      </c>
      <c r="G264" t="s">
        <v>1372</v>
      </c>
      <c r="H264">
        <v>58.08</v>
      </c>
      <c r="J264" t="s">
        <v>1407</v>
      </c>
      <c r="K264" t="s">
        <v>1421</v>
      </c>
      <c r="L264">
        <f t="shared" si="6"/>
        <v>3.4500000000000004E-3</v>
      </c>
      <c r="O264">
        <v>64.8</v>
      </c>
      <c r="P264" t="s">
        <v>1472</v>
      </c>
      <c r="R264" s="2" t="s">
        <v>1438</v>
      </c>
      <c r="S264">
        <v>965567</v>
      </c>
      <c r="T264">
        <v>3089208</v>
      </c>
      <c r="U264">
        <v>965567</v>
      </c>
      <c r="V264">
        <v>6.0151185779961409E-5</v>
      </c>
      <c r="W264" t="s">
        <v>9</v>
      </c>
      <c r="X264" t="s">
        <v>1457</v>
      </c>
    </row>
    <row r="265" spans="1:24" hidden="1" x14ac:dyDescent="0.35">
      <c r="A265" t="s">
        <v>866</v>
      </c>
      <c r="B265">
        <v>2023</v>
      </c>
      <c r="C265" t="s">
        <v>1309</v>
      </c>
      <c r="D265" t="s">
        <v>1318</v>
      </c>
      <c r="E265" t="s">
        <v>1359</v>
      </c>
      <c r="F265" t="s">
        <v>1368</v>
      </c>
      <c r="G265" t="s">
        <v>1372</v>
      </c>
      <c r="H265">
        <v>1.26</v>
      </c>
      <c r="J265" t="s">
        <v>1407</v>
      </c>
      <c r="K265" t="s">
        <v>1421</v>
      </c>
      <c r="L265">
        <f t="shared" si="6"/>
        <v>3.4500000000000004E-3</v>
      </c>
      <c r="O265">
        <v>64.8</v>
      </c>
      <c r="P265" t="s">
        <v>1472</v>
      </c>
      <c r="R265" s="2" t="s">
        <v>1438</v>
      </c>
      <c r="S265">
        <v>965567</v>
      </c>
      <c r="T265">
        <v>3089208</v>
      </c>
      <c r="U265">
        <v>965567</v>
      </c>
      <c r="V265">
        <v>1.3049327493586671E-6</v>
      </c>
      <c r="W265" t="s">
        <v>9</v>
      </c>
      <c r="X265" t="s">
        <v>1457</v>
      </c>
    </row>
    <row r="266" spans="1:24" hidden="1" x14ac:dyDescent="0.35">
      <c r="A266" t="s">
        <v>867</v>
      </c>
      <c r="B266">
        <v>2023</v>
      </c>
      <c r="C266" t="s">
        <v>1309</v>
      </c>
      <c r="D266" t="s">
        <v>1321</v>
      </c>
      <c r="E266" t="s">
        <v>1359</v>
      </c>
      <c r="F266" t="s">
        <v>1368</v>
      </c>
      <c r="G266" t="s">
        <v>1371</v>
      </c>
      <c r="H266">
        <v>0.16300000000000001</v>
      </c>
      <c r="J266" t="s">
        <v>1407</v>
      </c>
      <c r="K266" t="s">
        <v>1421</v>
      </c>
      <c r="L266">
        <f t="shared" si="6"/>
        <v>3.4500000000000004E-3</v>
      </c>
      <c r="O266">
        <v>64.8</v>
      </c>
      <c r="P266" t="s">
        <v>1472</v>
      </c>
      <c r="R266" s="2" t="s">
        <v>1438</v>
      </c>
      <c r="S266">
        <v>965567</v>
      </c>
      <c r="T266">
        <v>3089208</v>
      </c>
      <c r="U266">
        <v>965567</v>
      </c>
      <c r="V266">
        <v>1.688127286868752E-7</v>
      </c>
      <c r="W266" t="s">
        <v>9</v>
      </c>
      <c r="X266" t="s">
        <v>1456</v>
      </c>
    </row>
    <row r="267" spans="1:24" hidden="1" x14ac:dyDescent="0.35">
      <c r="A267" t="s">
        <v>868</v>
      </c>
      <c r="B267">
        <v>2023</v>
      </c>
      <c r="C267" t="s">
        <v>1309</v>
      </c>
      <c r="D267" t="s">
        <v>1322</v>
      </c>
      <c r="E267" t="s">
        <v>1359</v>
      </c>
      <c r="F267" t="s">
        <v>1368</v>
      </c>
      <c r="G267" t="s">
        <v>1372</v>
      </c>
      <c r="H267">
        <v>14.42</v>
      </c>
      <c r="J267" t="s">
        <v>1407</v>
      </c>
      <c r="K267" t="s">
        <v>1421</v>
      </c>
      <c r="L267">
        <f t="shared" si="6"/>
        <v>3.4500000000000004E-3</v>
      </c>
      <c r="O267">
        <v>64.8</v>
      </c>
      <c r="P267" t="s">
        <v>1472</v>
      </c>
      <c r="R267" s="2" t="s">
        <v>1438</v>
      </c>
      <c r="S267">
        <v>965567</v>
      </c>
      <c r="T267">
        <v>3089208</v>
      </c>
      <c r="U267">
        <v>965567</v>
      </c>
      <c r="V267">
        <v>1.493423035377141E-5</v>
      </c>
      <c r="W267" t="s">
        <v>9</v>
      </c>
      <c r="X267" t="s">
        <v>1457</v>
      </c>
    </row>
    <row r="268" spans="1:24" hidden="1" x14ac:dyDescent="0.35">
      <c r="A268" t="s">
        <v>870</v>
      </c>
      <c r="B268">
        <v>2023</v>
      </c>
      <c r="C268" t="s">
        <v>1309</v>
      </c>
      <c r="D268" t="s">
        <v>1323</v>
      </c>
      <c r="E268" t="s">
        <v>1359</v>
      </c>
      <c r="F268" t="s">
        <v>1368</v>
      </c>
      <c r="G268" t="s">
        <v>1371</v>
      </c>
      <c r="H268">
        <v>0.79400000000000004</v>
      </c>
      <c r="J268" t="s">
        <v>1407</v>
      </c>
      <c r="K268" t="s">
        <v>1421</v>
      </c>
      <c r="L268">
        <f t="shared" si="6"/>
        <v>3.4500000000000004E-3</v>
      </c>
      <c r="O268">
        <v>64.8</v>
      </c>
      <c r="P268" t="s">
        <v>1472</v>
      </c>
      <c r="R268" s="2" t="s">
        <v>1438</v>
      </c>
      <c r="S268">
        <v>965567</v>
      </c>
      <c r="T268">
        <v>3089208</v>
      </c>
      <c r="U268">
        <v>965567</v>
      </c>
      <c r="V268">
        <v>8.2231476427839816E-7</v>
      </c>
      <c r="W268" t="s">
        <v>9</v>
      </c>
      <c r="X268" t="s">
        <v>1456</v>
      </c>
    </row>
    <row r="269" spans="1:24" hidden="1" x14ac:dyDescent="0.35">
      <c r="A269" t="s">
        <v>871</v>
      </c>
      <c r="B269">
        <v>2023</v>
      </c>
      <c r="C269" t="s">
        <v>1309</v>
      </c>
      <c r="D269" t="s">
        <v>1326</v>
      </c>
      <c r="E269" t="s">
        <v>1359</v>
      </c>
      <c r="F269" t="s">
        <v>1368</v>
      </c>
      <c r="G269" t="s">
        <v>1371</v>
      </c>
      <c r="H269">
        <v>0.14299999999999999</v>
      </c>
      <c r="J269" t="s">
        <v>1407</v>
      </c>
      <c r="K269" t="s">
        <v>1421</v>
      </c>
      <c r="L269">
        <f t="shared" si="6"/>
        <v>3.4500000000000004E-3</v>
      </c>
      <c r="O269">
        <v>64.8</v>
      </c>
      <c r="P269" t="s">
        <v>1472</v>
      </c>
      <c r="R269" s="2" t="s">
        <v>1438</v>
      </c>
      <c r="S269">
        <v>965567</v>
      </c>
      <c r="T269">
        <v>3089208</v>
      </c>
      <c r="U269">
        <v>965567</v>
      </c>
      <c r="V269">
        <v>1.480995104430868E-7</v>
      </c>
      <c r="W269" t="s">
        <v>9</v>
      </c>
      <c r="X269" t="s">
        <v>1456</v>
      </c>
    </row>
    <row r="270" spans="1:24" hidden="1" x14ac:dyDescent="0.35">
      <c r="A270" t="s">
        <v>984</v>
      </c>
      <c r="B270">
        <v>2023</v>
      </c>
      <c r="C270" t="s">
        <v>1310</v>
      </c>
      <c r="D270" t="s">
        <v>1323</v>
      </c>
      <c r="E270" t="s">
        <v>1359</v>
      </c>
      <c r="F270" t="s">
        <v>1367</v>
      </c>
      <c r="G270" t="s">
        <v>1371</v>
      </c>
      <c r="H270">
        <v>1.6000000000000001E-3</v>
      </c>
      <c r="J270" t="s">
        <v>1407</v>
      </c>
      <c r="K270" t="s">
        <v>1421</v>
      </c>
      <c r="L270">
        <f t="shared" si="6"/>
        <v>3.4500000000000004E-3</v>
      </c>
      <c r="O270">
        <v>64.8</v>
      </c>
      <c r="P270" t="s">
        <v>1472</v>
      </c>
      <c r="R270" s="2" t="s">
        <v>1438</v>
      </c>
      <c r="S270">
        <v>965567</v>
      </c>
      <c r="T270">
        <v>3089208</v>
      </c>
      <c r="U270">
        <v>965567</v>
      </c>
      <c r="V270">
        <v>1.6570574595030691E-9</v>
      </c>
      <c r="W270" t="s">
        <v>9</v>
      </c>
      <c r="X270" t="s">
        <v>1456</v>
      </c>
    </row>
    <row r="271" spans="1:24" hidden="1" x14ac:dyDescent="0.35">
      <c r="A271" t="s">
        <v>514</v>
      </c>
      <c r="B271">
        <v>2023</v>
      </c>
      <c r="C271" t="s">
        <v>1308</v>
      </c>
      <c r="D271" t="s">
        <v>1313</v>
      </c>
      <c r="E271" t="s">
        <v>1359</v>
      </c>
      <c r="F271" t="s">
        <v>1366</v>
      </c>
      <c r="G271" t="s">
        <v>1371</v>
      </c>
      <c r="H271">
        <v>4.45</v>
      </c>
      <c r="J271" t="s">
        <v>1408</v>
      </c>
      <c r="K271" t="s">
        <v>1421</v>
      </c>
      <c r="L271">
        <f>6.76/1000</f>
        <v>6.7599999999999995E-3</v>
      </c>
      <c r="O271">
        <v>88.6</v>
      </c>
      <c r="P271" t="s">
        <v>1472</v>
      </c>
      <c r="R271" s="2" t="s">
        <v>1438</v>
      </c>
      <c r="S271">
        <v>596912</v>
      </c>
      <c r="T271">
        <v>3089208</v>
      </c>
      <c r="U271">
        <v>596912</v>
      </c>
      <c r="V271">
        <v>7.4550352480767689E-6</v>
      </c>
      <c r="W271" t="s">
        <v>9</v>
      </c>
      <c r="X271" t="s">
        <v>1456</v>
      </c>
    </row>
    <row r="272" spans="1:24" hidden="1" x14ac:dyDescent="0.35">
      <c r="A272" t="s">
        <v>516</v>
      </c>
      <c r="B272">
        <v>2023</v>
      </c>
      <c r="C272" t="s">
        <v>1308</v>
      </c>
      <c r="D272" t="s">
        <v>1314</v>
      </c>
      <c r="E272" t="s">
        <v>1359</v>
      </c>
      <c r="F272" t="s">
        <v>1366</v>
      </c>
      <c r="G272" t="s">
        <v>1371</v>
      </c>
      <c r="H272">
        <v>4.29</v>
      </c>
      <c r="J272" t="s">
        <v>1408</v>
      </c>
      <c r="K272" t="s">
        <v>1421</v>
      </c>
      <c r="L272">
        <f t="shared" ref="L272:L276" si="7">6.76/1000</f>
        <v>6.7599999999999995E-3</v>
      </c>
      <c r="O272">
        <v>88.6</v>
      </c>
      <c r="P272" t="s">
        <v>1472</v>
      </c>
      <c r="R272" s="2" t="s">
        <v>1438</v>
      </c>
      <c r="S272">
        <v>596912</v>
      </c>
      <c r="T272">
        <v>3089208</v>
      </c>
      <c r="U272">
        <v>596912</v>
      </c>
      <c r="V272">
        <v>7.1869890369099637E-6</v>
      </c>
      <c r="W272" t="s">
        <v>9</v>
      </c>
      <c r="X272" t="s">
        <v>1456</v>
      </c>
    </row>
    <row r="273" spans="1:24" hidden="1" x14ac:dyDescent="0.35">
      <c r="A273" t="s">
        <v>518</v>
      </c>
      <c r="B273">
        <v>2023</v>
      </c>
      <c r="C273" t="s">
        <v>1308</v>
      </c>
      <c r="D273" t="s">
        <v>1315</v>
      </c>
      <c r="E273" t="s">
        <v>1359</v>
      </c>
      <c r="F273" t="s">
        <v>1366</v>
      </c>
      <c r="G273" t="s">
        <v>1371</v>
      </c>
      <c r="H273">
        <v>10.86</v>
      </c>
      <c r="J273" t="s">
        <v>1408</v>
      </c>
      <c r="K273" t="s">
        <v>1421</v>
      </c>
      <c r="L273">
        <f t="shared" si="7"/>
        <v>6.7599999999999995E-3</v>
      </c>
      <c r="O273">
        <v>88.6</v>
      </c>
      <c r="P273" t="s">
        <v>1472</v>
      </c>
      <c r="R273" s="2" t="s">
        <v>1438</v>
      </c>
      <c r="S273">
        <v>596912</v>
      </c>
      <c r="T273">
        <v>3089208</v>
      </c>
      <c r="U273">
        <v>596912</v>
      </c>
      <c r="V273">
        <v>1.8193636582946899E-5</v>
      </c>
      <c r="W273" t="s">
        <v>9</v>
      </c>
      <c r="X273" t="s">
        <v>1456</v>
      </c>
    </row>
    <row r="274" spans="1:24" hidden="1" x14ac:dyDescent="0.35">
      <c r="A274" t="s">
        <v>865</v>
      </c>
      <c r="B274">
        <v>2023</v>
      </c>
      <c r="C274" t="s">
        <v>1309</v>
      </c>
      <c r="D274" t="s">
        <v>1317</v>
      </c>
      <c r="E274" t="s">
        <v>1359</v>
      </c>
      <c r="F274" t="s">
        <v>1368</v>
      </c>
      <c r="G274" t="s">
        <v>1372</v>
      </c>
      <c r="H274">
        <v>35.317999999999998</v>
      </c>
      <c r="J274" t="s">
        <v>1408</v>
      </c>
      <c r="K274" t="s">
        <v>1421</v>
      </c>
      <c r="L274">
        <f t="shared" si="7"/>
        <v>6.7599999999999995E-3</v>
      </c>
      <c r="O274">
        <v>88.6</v>
      </c>
      <c r="P274" t="s">
        <v>1472</v>
      </c>
      <c r="R274" s="2" t="s">
        <v>1438</v>
      </c>
      <c r="S274">
        <v>596912</v>
      </c>
      <c r="T274">
        <v>3089208</v>
      </c>
      <c r="U274">
        <v>596912</v>
      </c>
      <c r="V274">
        <v>5.916785053743265E-5</v>
      </c>
      <c r="W274" t="s">
        <v>9</v>
      </c>
      <c r="X274" t="s">
        <v>1457</v>
      </c>
    </row>
    <row r="275" spans="1:24" hidden="1" x14ac:dyDescent="0.35">
      <c r="A275" t="s">
        <v>869</v>
      </c>
      <c r="B275">
        <v>2023</v>
      </c>
      <c r="C275" t="s">
        <v>1309</v>
      </c>
      <c r="D275" t="s">
        <v>1322</v>
      </c>
      <c r="E275" t="s">
        <v>1359</v>
      </c>
      <c r="F275" t="s">
        <v>1368</v>
      </c>
      <c r="G275" t="s">
        <v>1372</v>
      </c>
      <c r="H275">
        <v>0.1013</v>
      </c>
      <c r="J275" t="s">
        <v>1408</v>
      </c>
      <c r="K275" t="s">
        <v>1421</v>
      </c>
      <c r="L275">
        <f t="shared" si="7"/>
        <v>6.7599999999999995E-3</v>
      </c>
      <c r="O275">
        <v>88.6</v>
      </c>
      <c r="P275" t="s">
        <v>1472</v>
      </c>
      <c r="R275" s="2" t="s">
        <v>1438</v>
      </c>
      <c r="S275">
        <v>596912</v>
      </c>
      <c r="T275">
        <v>3089208</v>
      </c>
      <c r="U275">
        <v>596912</v>
      </c>
      <c r="V275">
        <v>1.6970675744498351E-7</v>
      </c>
      <c r="W275" t="s">
        <v>9</v>
      </c>
      <c r="X275" t="s">
        <v>1457</v>
      </c>
    </row>
    <row r="276" spans="1:24" hidden="1" x14ac:dyDescent="0.35">
      <c r="A276" t="s">
        <v>985</v>
      </c>
      <c r="B276">
        <v>2023</v>
      </c>
      <c r="C276" t="s">
        <v>1310</v>
      </c>
      <c r="D276" t="s">
        <v>1323</v>
      </c>
      <c r="E276" t="s">
        <v>1359</v>
      </c>
      <c r="F276" t="s">
        <v>1367</v>
      </c>
      <c r="G276" t="s">
        <v>1371</v>
      </c>
      <c r="H276">
        <v>1.6000000000000001E-3</v>
      </c>
      <c r="J276" t="s">
        <v>1408</v>
      </c>
      <c r="K276" t="s">
        <v>1421</v>
      </c>
      <c r="L276">
        <f t="shared" si="7"/>
        <v>6.7599999999999995E-3</v>
      </c>
      <c r="O276">
        <v>88.6</v>
      </c>
      <c r="P276" t="s">
        <v>1472</v>
      </c>
      <c r="R276" s="2" t="s">
        <v>1438</v>
      </c>
      <c r="S276">
        <v>596912</v>
      </c>
      <c r="T276">
        <v>3089208</v>
      </c>
      <c r="U276">
        <v>596912</v>
      </c>
      <c r="V276">
        <v>2.6804621116680521E-9</v>
      </c>
      <c r="W276" t="s">
        <v>9</v>
      </c>
      <c r="X276" t="s">
        <v>1456</v>
      </c>
    </row>
    <row r="277" spans="1:24" hidden="1" x14ac:dyDescent="0.35">
      <c r="A277" t="s">
        <v>25</v>
      </c>
      <c r="B277">
        <v>2023</v>
      </c>
      <c r="C277" t="s">
        <v>1308</v>
      </c>
      <c r="D277" t="s">
        <v>1317</v>
      </c>
      <c r="E277" t="s">
        <v>1359</v>
      </c>
      <c r="F277" t="s">
        <v>1364</v>
      </c>
      <c r="G277" t="s">
        <v>1372</v>
      </c>
      <c r="H277">
        <v>4.1044850000000004</v>
      </c>
      <c r="J277" t="s">
        <v>1382</v>
      </c>
      <c r="K277" t="s">
        <v>1417</v>
      </c>
      <c r="L277">
        <f>3.86/1000</f>
        <v>3.8599999999999997E-3</v>
      </c>
      <c r="N277">
        <v>9.5500000000000007</v>
      </c>
      <c r="O277">
        <v>90.6</v>
      </c>
      <c r="P277" t="s">
        <v>1475</v>
      </c>
      <c r="R277" s="2" t="s">
        <v>1438</v>
      </c>
      <c r="T277">
        <v>3842649.0057279998</v>
      </c>
      <c r="U277">
        <v>3842649.0057279998</v>
      </c>
      <c r="V277">
        <v>1.0681394511655109E-6</v>
      </c>
      <c r="W277" t="s">
        <v>10</v>
      </c>
      <c r="X277" t="s">
        <v>1457</v>
      </c>
    </row>
    <row r="278" spans="1:24" hidden="1" x14ac:dyDescent="0.35">
      <c r="A278" t="s">
        <v>26</v>
      </c>
      <c r="B278">
        <v>2023</v>
      </c>
      <c r="C278" t="s">
        <v>1308</v>
      </c>
      <c r="D278" t="s">
        <v>1318</v>
      </c>
      <c r="E278" t="s">
        <v>1359</v>
      </c>
      <c r="F278" t="s">
        <v>1364</v>
      </c>
      <c r="G278" t="s">
        <v>1372</v>
      </c>
      <c r="H278">
        <v>0.42066100000000001</v>
      </c>
      <c r="J278" t="s">
        <v>1382</v>
      </c>
      <c r="K278" t="s">
        <v>1417</v>
      </c>
      <c r="L278">
        <f t="shared" ref="L278:L340" si="8">3.86/1000</f>
        <v>3.8599999999999997E-3</v>
      </c>
      <c r="N278">
        <v>9.5500000000000007</v>
      </c>
      <c r="O278">
        <v>90.6</v>
      </c>
      <c r="P278" t="s">
        <v>1475</v>
      </c>
      <c r="R278" s="2" t="s">
        <v>1438</v>
      </c>
      <c r="T278">
        <v>3842649.0057279998</v>
      </c>
      <c r="U278">
        <v>3842649.0057279998</v>
      </c>
      <c r="V278">
        <v>1.094716169426212E-7</v>
      </c>
      <c r="W278" t="s">
        <v>10</v>
      </c>
      <c r="X278" t="s">
        <v>1457</v>
      </c>
    </row>
    <row r="279" spans="1:24" hidden="1" x14ac:dyDescent="0.35">
      <c r="A279" t="s">
        <v>27</v>
      </c>
      <c r="B279">
        <v>2023</v>
      </c>
      <c r="C279" t="s">
        <v>1308</v>
      </c>
      <c r="D279" t="s">
        <v>1311</v>
      </c>
      <c r="E279" t="s">
        <v>1359</v>
      </c>
      <c r="F279" t="s">
        <v>1364</v>
      </c>
      <c r="G279" t="s">
        <v>1371</v>
      </c>
      <c r="H279">
        <v>565.29705999999999</v>
      </c>
      <c r="J279" t="s">
        <v>1382</v>
      </c>
      <c r="K279" t="s">
        <v>1417</v>
      </c>
      <c r="L279">
        <f t="shared" si="8"/>
        <v>3.8599999999999997E-3</v>
      </c>
      <c r="N279">
        <v>9.5500000000000007</v>
      </c>
      <c r="O279">
        <v>90.6</v>
      </c>
      <c r="P279" t="s">
        <v>1475</v>
      </c>
      <c r="R279" s="2" t="s">
        <v>1438</v>
      </c>
      <c r="T279">
        <v>3842649.0057279998</v>
      </c>
      <c r="U279">
        <v>3842649.0057279998</v>
      </c>
      <c r="V279">
        <v>1.4711129201687339E-4</v>
      </c>
      <c r="W279" t="s">
        <v>10</v>
      </c>
      <c r="X279" t="s">
        <v>1456</v>
      </c>
    </row>
    <row r="280" spans="1:24" hidden="1" x14ac:dyDescent="0.35">
      <c r="A280" t="s">
        <v>28</v>
      </c>
      <c r="B280">
        <v>2023</v>
      </c>
      <c r="C280" t="s">
        <v>1308</v>
      </c>
      <c r="D280" t="s">
        <v>1319</v>
      </c>
      <c r="E280" t="s">
        <v>1359</v>
      </c>
      <c r="F280" t="s">
        <v>1364</v>
      </c>
      <c r="G280" t="s">
        <v>1371</v>
      </c>
      <c r="H280">
        <v>8.0900000000000004E-4</v>
      </c>
      <c r="J280" t="s">
        <v>1382</v>
      </c>
      <c r="K280" t="s">
        <v>1417</v>
      </c>
      <c r="L280">
        <f t="shared" si="8"/>
        <v>3.8599999999999997E-3</v>
      </c>
      <c r="N280">
        <v>9.5500000000000007</v>
      </c>
      <c r="O280">
        <v>90.6</v>
      </c>
      <c r="P280" t="s">
        <v>1475</v>
      </c>
      <c r="R280" s="2" t="s">
        <v>1438</v>
      </c>
      <c r="T280">
        <v>3842649.0057279998</v>
      </c>
      <c r="U280">
        <v>3842649.0057279998</v>
      </c>
      <c r="V280">
        <v>2.1053184893912341E-10</v>
      </c>
      <c r="W280" t="s">
        <v>10</v>
      </c>
      <c r="X280" t="s">
        <v>1456</v>
      </c>
    </row>
    <row r="281" spans="1:24" hidden="1" x14ac:dyDescent="0.35">
      <c r="A281" t="s">
        <v>29</v>
      </c>
      <c r="B281">
        <v>2023</v>
      </c>
      <c r="C281" t="s">
        <v>1308</v>
      </c>
      <c r="D281" t="s">
        <v>1320</v>
      </c>
      <c r="E281" t="s">
        <v>1359</v>
      </c>
      <c r="F281" t="s">
        <v>1364</v>
      </c>
      <c r="G281" t="s">
        <v>1372</v>
      </c>
      <c r="H281">
        <v>7.6249999999999998E-3</v>
      </c>
      <c r="J281" t="s">
        <v>1382</v>
      </c>
      <c r="K281" t="s">
        <v>1417</v>
      </c>
      <c r="L281">
        <f t="shared" si="8"/>
        <v>3.8599999999999997E-3</v>
      </c>
      <c r="N281">
        <v>9.5500000000000007</v>
      </c>
      <c r="O281">
        <v>90.6</v>
      </c>
      <c r="P281" t="s">
        <v>1475</v>
      </c>
      <c r="R281" s="2" t="s">
        <v>1438</v>
      </c>
      <c r="T281">
        <v>3842649.0057279998</v>
      </c>
      <c r="U281">
        <v>3842649.0057279998</v>
      </c>
      <c r="V281">
        <v>1.984308217751317E-9</v>
      </c>
      <c r="W281" t="s">
        <v>10</v>
      </c>
      <c r="X281" t="s">
        <v>1457</v>
      </c>
    </row>
    <row r="282" spans="1:24" hidden="1" x14ac:dyDescent="0.35">
      <c r="A282" t="s">
        <v>30</v>
      </c>
      <c r="B282">
        <v>2023</v>
      </c>
      <c r="C282" t="s">
        <v>1308</v>
      </c>
      <c r="D282" t="s">
        <v>1321</v>
      </c>
      <c r="E282" t="s">
        <v>1359</v>
      </c>
      <c r="F282" t="s">
        <v>1364</v>
      </c>
      <c r="G282" t="s">
        <v>1371</v>
      </c>
      <c r="H282">
        <v>1.66E-4</v>
      </c>
      <c r="J282" t="s">
        <v>1382</v>
      </c>
      <c r="K282" t="s">
        <v>1417</v>
      </c>
      <c r="L282">
        <f t="shared" si="8"/>
        <v>3.8599999999999997E-3</v>
      </c>
      <c r="N282">
        <v>9.5500000000000007</v>
      </c>
      <c r="O282">
        <v>90.6</v>
      </c>
      <c r="P282" t="s">
        <v>1475</v>
      </c>
      <c r="R282" s="2" t="s">
        <v>1438</v>
      </c>
      <c r="T282">
        <v>3842649.0057279998</v>
      </c>
      <c r="U282">
        <v>3842649.0057279998</v>
      </c>
      <c r="V282">
        <v>4.3199365789733602E-11</v>
      </c>
      <c r="W282" t="s">
        <v>10</v>
      </c>
      <c r="X282" t="s">
        <v>1456</v>
      </c>
    </row>
    <row r="283" spans="1:24" hidden="1" x14ac:dyDescent="0.35">
      <c r="A283" t="s">
        <v>31</v>
      </c>
      <c r="B283">
        <v>2023</v>
      </c>
      <c r="C283" t="s">
        <v>1308</v>
      </c>
      <c r="D283" t="s">
        <v>1322</v>
      </c>
      <c r="E283" t="s">
        <v>1359</v>
      </c>
      <c r="F283" t="s">
        <v>1364</v>
      </c>
      <c r="G283" t="s">
        <v>1372</v>
      </c>
      <c r="H283">
        <v>0.80654400000000004</v>
      </c>
      <c r="J283" t="s">
        <v>1382</v>
      </c>
      <c r="K283" t="s">
        <v>1417</v>
      </c>
      <c r="L283">
        <f t="shared" si="8"/>
        <v>3.8599999999999997E-3</v>
      </c>
      <c r="N283">
        <v>9.5500000000000007</v>
      </c>
      <c r="O283">
        <v>90.6</v>
      </c>
      <c r="P283" t="s">
        <v>1475</v>
      </c>
      <c r="R283" s="2" t="s">
        <v>1438</v>
      </c>
      <c r="T283">
        <v>3842649.0057279998</v>
      </c>
      <c r="U283">
        <v>3842649.0057279998</v>
      </c>
      <c r="V283">
        <v>2.0989270651515001E-7</v>
      </c>
      <c r="W283" t="s">
        <v>10</v>
      </c>
      <c r="X283" t="s">
        <v>1457</v>
      </c>
    </row>
    <row r="284" spans="1:24" hidden="1" x14ac:dyDescent="0.35">
      <c r="A284" t="s">
        <v>32</v>
      </c>
      <c r="B284">
        <v>2023</v>
      </c>
      <c r="C284" t="s">
        <v>1308</v>
      </c>
      <c r="D284" t="s">
        <v>1323</v>
      </c>
      <c r="E284" t="s">
        <v>1359</v>
      </c>
      <c r="F284" t="s">
        <v>1364</v>
      </c>
      <c r="G284" t="s">
        <v>1371</v>
      </c>
      <c r="H284">
        <v>2.6350000000000002E-3</v>
      </c>
      <c r="J284" t="s">
        <v>1382</v>
      </c>
      <c r="K284" t="s">
        <v>1417</v>
      </c>
      <c r="L284">
        <f t="shared" si="8"/>
        <v>3.8599999999999997E-3</v>
      </c>
      <c r="N284">
        <v>9.5500000000000007</v>
      </c>
      <c r="O284">
        <v>90.6</v>
      </c>
      <c r="P284" t="s">
        <v>1475</v>
      </c>
      <c r="R284" s="2" t="s">
        <v>1438</v>
      </c>
      <c r="T284">
        <v>3842649.0057279998</v>
      </c>
      <c r="U284">
        <v>3842649.0057279998</v>
      </c>
      <c r="V284">
        <v>6.8572487262619305E-10</v>
      </c>
      <c r="W284" t="s">
        <v>10</v>
      </c>
      <c r="X284" t="s">
        <v>1456</v>
      </c>
    </row>
    <row r="285" spans="1:24" hidden="1" x14ac:dyDescent="0.35">
      <c r="A285" t="s">
        <v>33</v>
      </c>
      <c r="B285">
        <v>2023</v>
      </c>
      <c r="C285" t="s">
        <v>1308</v>
      </c>
      <c r="D285" t="s">
        <v>1324</v>
      </c>
      <c r="E285" t="s">
        <v>1359</v>
      </c>
      <c r="F285" t="s">
        <v>1364</v>
      </c>
      <c r="G285" t="s">
        <v>1371</v>
      </c>
      <c r="H285">
        <v>4.8200000000000001E-4</v>
      </c>
      <c r="J285" t="s">
        <v>1382</v>
      </c>
      <c r="K285" t="s">
        <v>1417</v>
      </c>
      <c r="L285">
        <f t="shared" si="8"/>
        <v>3.8599999999999997E-3</v>
      </c>
      <c r="N285">
        <v>9.5500000000000007</v>
      </c>
      <c r="O285">
        <v>90.6</v>
      </c>
      <c r="P285" t="s">
        <v>1475</v>
      </c>
      <c r="R285" s="2" t="s">
        <v>1438</v>
      </c>
      <c r="T285">
        <v>3842649.0057279998</v>
      </c>
      <c r="U285">
        <v>3842649.0057279998</v>
      </c>
      <c r="V285">
        <v>1.2543430307621439E-10</v>
      </c>
      <c r="W285" t="s">
        <v>10</v>
      </c>
      <c r="X285" t="s">
        <v>1456</v>
      </c>
    </row>
    <row r="286" spans="1:24" hidden="1" x14ac:dyDescent="0.35">
      <c r="A286" t="s">
        <v>34</v>
      </c>
      <c r="B286">
        <v>2023</v>
      </c>
      <c r="C286" t="s">
        <v>1308</v>
      </c>
      <c r="D286" t="s">
        <v>1312</v>
      </c>
      <c r="E286" t="s">
        <v>1359</v>
      </c>
      <c r="F286" t="s">
        <v>1364</v>
      </c>
      <c r="G286" t="s">
        <v>1371</v>
      </c>
      <c r="H286">
        <v>2137.1534360000001</v>
      </c>
      <c r="J286" t="s">
        <v>1382</v>
      </c>
      <c r="K286" t="s">
        <v>1417</v>
      </c>
      <c r="L286">
        <f t="shared" si="8"/>
        <v>3.8599999999999997E-3</v>
      </c>
      <c r="N286">
        <v>9.5500000000000007</v>
      </c>
      <c r="O286">
        <v>90.6</v>
      </c>
      <c r="P286" t="s">
        <v>1475</v>
      </c>
      <c r="R286" s="2" t="s">
        <v>1438</v>
      </c>
      <c r="T286">
        <v>3842649.0057279998</v>
      </c>
      <c r="U286">
        <v>3842649.0057279998</v>
      </c>
      <c r="V286">
        <v>5.5616670500331341E-4</v>
      </c>
      <c r="W286" t="s">
        <v>10</v>
      </c>
      <c r="X286" t="s">
        <v>1456</v>
      </c>
    </row>
    <row r="287" spans="1:24" hidden="1" x14ac:dyDescent="0.35">
      <c r="A287" t="s">
        <v>35</v>
      </c>
      <c r="B287">
        <v>2023</v>
      </c>
      <c r="C287" t="s">
        <v>1308</v>
      </c>
      <c r="D287" t="s">
        <v>1313</v>
      </c>
      <c r="E287" t="s">
        <v>1359</v>
      </c>
      <c r="F287" t="s">
        <v>1364</v>
      </c>
      <c r="G287" t="s">
        <v>1371</v>
      </c>
      <c r="H287">
        <v>37.240893999999997</v>
      </c>
      <c r="J287" t="s">
        <v>1382</v>
      </c>
      <c r="K287" t="s">
        <v>1417</v>
      </c>
      <c r="L287">
        <f t="shared" si="8"/>
        <v>3.8599999999999997E-3</v>
      </c>
      <c r="N287">
        <v>9.5500000000000007</v>
      </c>
      <c r="O287">
        <v>90.6</v>
      </c>
      <c r="P287" t="s">
        <v>1475</v>
      </c>
      <c r="R287" s="2" t="s">
        <v>1438</v>
      </c>
      <c r="T287">
        <v>3842649.0057279998</v>
      </c>
      <c r="U287">
        <v>3842649.0057279998</v>
      </c>
      <c r="V287">
        <v>9.691463868931899E-6</v>
      </c>
      <c r="W287" t="s">
        <v>10</v>
      </c>
      <c r="X287" t="s">
        <v>1456</v>
      </c>
    </row>
    <row r="288" spans="1:24" hidden="1" x14ac:dyDescent="0.35">
      <c r="A288" t="s">
        <v>36</v>
      </c>
      <c r="B288">
        <v>2023</v>
      </c>
      <c r="C288" t="s">
        <v>1308</v>
      </c>
      <c r="D288" t="s">
        <v>1314</v>
      </c>
      <c r="E288" t="s">
        <v>1359</v>
      </c>
      <c r="F288" t="s">
        <v>1364</v>
      </c>
      <c r="G288" t="s">
        <v>1371</v>
      </c>
      <c r="H288">
        <v>35.679527</v>
      </c>
      <c r="J288" t="s">
        <v>1382</v>
      </c>
      <c r="K288" t="s">
        <v>1417</v>
      </c>
      <c r="L288">
        <f t="shared" si="8"/>
        <v>3.8599999999999997E-3</v>
      </c>
      <c r="N288">
        <v>9.5500000000000007</v>
      </c>
      <c r="O288">
        <v>90.6</v>
      </c>
      <c r="P288" t="s">
        <v>1475</v>
      </c>
      <c r="R288" s="2" t="s">
        <v>1438</v>
      </c>
      <c r="T288">
        <v>3842649.0057279998</v>
      </c>
      <c r="U288">
        <v>3842649.0057279998</v>
      </c>
      <c r="V288">
        <v>9.285138181190821E-6</v>
      </c>
      <c r="W288" t="s">
        <v>10</v>
      </c>
      <c r="X288" t="s">
        <v>1456</v>
      </c>
    </row>
    <row r="289" spans="1:24" hidden="1" x14ac:dyDescent="0.35">
      <c r="A289" t="s">
        <v>37</v>
      </c>
      <c r="B289">
        <v>2023</v>
      </c>
      <c r="C289" t="s">
        <v>1308</v>
      </c>
      <c r="D289" t="s">
        <v>1325</v>
      </c>
      <c r="E289" t="s">
        <v>1359</v>
      </c>
      <c r="F289" t="s">
        <v>1364</v>
      </c>
      <c r="G289" t="s">
        <v>1372</v>
      </c>
      <c r="H289">
        <v>0.41501199999999999</v>
      </c>
      <c r="J289" t="s">
        <v>1382</v>
      </c>
      <c r="K289" t="s">
        <v>1417</v>
      </c>
      <c r="L289">
        <f t="shared" si="8"/>
        <v>3.8599999999999997E-3</v>
      </c>
      <c r="N289">
        <v>9.5500000000000007</v>
      </c>
      <c r="O289">
        <v>90.6</v>
      </c>
      <c r="P289" t="s">
        <v>1475</v>
      </c>
      <c r="R289" s="2" t="s">
        <v>1438</v>
      </c>
      <c r="T289">
        <v>3842649.0057279998</v>
      </c>
      <c r="U289">
        <v>3842649.0057279998</v>
      </c>
      <c r="V289">
        <v>1.0800153732005371E-7</v>
      </c>
      <c r="W289" t="s">
        <v>10</v>
      </c>
      <c r="X289" t="s">
        <v>1457</v>
      </c>
    </row>
    <row r="290" spans="1:24" hidden="1" x14ac:dyDescent="0.35">
      <c r="A290" t="s">
        <v>38</v>
      </c>
      <c r="B290">
        <v>2023</v>
      </c>
      <c r="C290" t="s">
        <v>1308</v>
      </c>
      <c r="D290" t="s">
        <v>1315</v>
      </c>
      <c r="E290" t="s">
        <v>1359</v>
      </c>
      <c r="F290" t="s">
        <v>1364</v>
      </c>
      <c r="G290" t="s">
        <v>1371</v>
      </c>
      <c r="H290">
        <v>45.905493999999997</v>
      </c>
      <c r="J290" t="s">
        <v>1382</v>
      </c>
      <c r="K290" t="s">
        <v>1417</v>
      </c>
      <c r="L290">
        <f t="shared" si="8"/>
        <v>3.8599999999999997E-3</v>
      </c>
      <c r="N290">
        <v>9.5500000000000007</v>
      </c>
      <c r="O290">
        <v>90.6</v>
      </c>
      <c r="P290" t="s">
        <v>1475</v>
      </c>
      <c r="R290" s="2" t="s">
        <v>1438</v>
      </c>
      <c r="T290">
        <v>3842649.0057279998</v>
      </c>
      <c r="U290">
        <v>3842649.0057279998</v>
      </c>
      <c r="V290">
        <v>1.194631462087001E-5</v>
      </c>
      <c r="W290" t="s">
        <v>10</v>
      </c>
      <c r="X290" t="s">
        <v>1456</v>
      </c>
    </row>
    <row r="291" spans="1:24" hidden="1" x14ac:dyDescent="0.35">
      <c r="A291" t="s">
        <v>39</v>
      </c>
      <c r="B291">
        <v>2023</v>
      </c>
      <c r="C291" t="s">
        <v>1308</v>
      </c>
      <c r="D291" t="s">
        <v>1316</v>
      </c>
      <c r="E291" t="s">
        <v>1359</v>
      </c>
      <c r="F291" t="s">
        <v>1364</v>
      </c>
      <c r="G291" t="s">
        <v>1371</v>
      </c>
      <c r="H291">
        <v>57.203572000000001</v>
      </c>
      <c r="J291" t="s">
        <v>1382</v>
      </c>
      <c r="K291" t="s">
        <v>1417</v>
      </c>
      <c r="L291">
        <f t="shared" si="8"/>
        <v>3.8599999999999997E-3</v>
      </c>
      <c r="N291">
        <v>9.5500000000000007</v>
      </c>
      <c r="O291">
        <v>90.6</v>
      </c>
      <c r="P291" t="s">
        <v>1475</v>
      </c>
      <c r="R291" s="2" t="s">
        <v>1438</v>
      </c>
      <c r="T291">
        <v>3842649.0057279998</v>
      </c>
      <c r="U291">
        <v>3842649.0057279998</v>
      </c>
      <c r="V291">
        <v>1.488649416450219E-5</v>
      </c>
      <c r="W291" t="s">
        <v>10</v>
      </c>
      <c r="X291" t="s">
        <v>1456</v>
      </c>
    </row>
    <row r="292" spans="1:24" hidden="1" x14ac:dyDescent="0.35">
      <c r="A292" t="s">
        <v>40</v>
      </c>
      <c r="B292">
        <v>2023</v>
      </c>
      <c r="C292" t="s">
        <v>1308</v>
      </c>
      <c r="D292" t="s">
        <v>1326</v>
      </c>
      <c r="E292" t="s">
        <v>1359</v>
      </c>
      <c r="F292" t="s">
        <v>1364</v>
      </c>
      <c r="G292" t="s">
        <v>1371</v>
      </c>
      <c r="H292">
        <v>1.11E-4</v>
      </c>
      <c r="J292" t="s">
        <v>1382</v>
      </c>
      <c r="K292" t="s">
        <v>1417</v>
      </c>
      <c r="L292">
        <f t="shared" si="8"/>
        <v>3.8599999999999997E-3</v>
      </c>
      <c r="N292">
        <v>9.5500000000000007</v>
      </c>
      <c r="O292">
        <v>90.6</v>
      </c>
      <c r="P292" t="s">
        <v>1475</v>
      </c>
      <c r="R292" s="2" t="s">
        <v>1438</v>
      </c>
      <c r="T292">
        <v>3842649.0057279998</v>
      </c>
      <c r="U292">
        <v>3842649.0057279998</v>
      </c>
      <c r="V292">
        <v>2.8886322907592949E-11</v>
      </c>
      <c r="W292" t="s">
        <v>10</v>
      </c>
      <c r="X292" t="s">
        <v>1456</v>
      </c>
    </row>
    <row r="293" spans="1:24" hidden="1" x14ac:dyDescent="0.35">
      <c r="A293" t="s">
        <v>346</v>
      </c>
      <c r="B293">
        <v>2023</v>
      </c>
      <c r="C293" t="s">
        <v>1308</v>
      </c>
      <c r="D293" t="s">
        <v>1328</v>
      </c>
      <c r="E293" t="s">
        <v>1359</v>
      </c>
      <c r="F293" t="s">
        <v>1366</v>
      </c>
      <c r="G293" t="s">
        <v>1371</v>
      </c>
      <c r="H293">
        <v>1.3999999999999999E-4</v>
      </c>
      <c r="J293" t="s">
        <v>1382</v>
      </c>
      <c r="K293" t="s">
        <v>1417</v>
      </c>
      <c r="L293">
        <f t="shared" si="8"/>
        <v>3.8599999999999997E-3</v>
      </c>
      <c r="N293">
        <v>9.5500000000000007</v>
      </c>
      <c r="O293">
        <v>90.6</v>
      </c>
      <c r="P293" t="s">
        <v>1475</v>
      </c>
      <c r="R293" s="2" t="s">
        <v>1438</v>
      </c>
      <c r="T293">
        <v>3842649.0057279998</v>
      </c>
      <c r="U293">
        <v>3842649.0057279998</v>
      </c>
      <c r="V293">
        <v>3.6433200063630749E-11</v>
      </c>
      <c r="W293" t="s">
        <v>10</v>
      </c>
      <c r="X293" t="s">
        <v>1456</v>
      </c>
    </row>
    <row r="294" spans="1:24" hidden="1" x14ac:dyDescent="0.35">
      <c r="A294" t="s">
        <v>347</v>
      </c>
      <c r="B294">
        <v>2023</v>
      </c>
      <c r="C294" t="s">
        <v>1308</v>
      </c>
      <c r="D294" t="s">
        <v>1317</v>
      </c>
      <c r="E294" t="s">
        <v>1359</v>
      </c>
      <c r="F294" t="s">
        <v>1366</v>
      </c>
      <c r="G294" t="s">
        <v>1372</v>
      </c>
      <c r="H294">
        <v>37.416018999999999</v>
      </c>
      <c r="J294" t="s">
        <v>1382</v>
      </c>
      <c r="K294" t="s">
        <v>1417</v>
      </c>
      <c r="L294">
        <f t="shared" si="8"/>
        <v>3.8599999999999997E-3</v>
      </c>
      <c r="N294">
        <v>9.5500000000000007</v>
      </c>
      <c r="O294">
        <v>90.6</v>
      </c>
      <c r="P294" t="s">
        <v>1475</v>
      </c>
      <c r="R294" s="2" t="s">
        <v>1438</v>
      </c>
      <c r="T294">
        <v>3842649.0057279998</v>
      </c>
      <c r="U294">
        <v>3842649.0057279998</v>
      </c>
      <c r="V294">
        <v>9.7370378986543517E-6</v>
      </c>
      <c r="W294" t="s">
        <v>10</v>
      </c>
      <c r="X294" t="s">
        <v>1457</v>
      </c>
    </row>
    <row r="295" spans="1:24" hidden="1" x14ac:dyDescent="0.35">
      <c r="A295" t="s">
        <v>348</v>
      </c>
      <c r="B295">
        <v>2023</v>
      </c>
      <c r="C295" t="s">
        <v>1308</v>
      </c>
      <c r="D295" t="s">
        <v>1318</v>
      </c>
      <c r="E295" t="s">
        <v>1359</v>
      </c>
      <c r="F295" t="s">
        <v>1366</v>
      </c>
      <c r="G295" t="s">
        <v>1372</v>
      </c>
      <c r="H295">
        <v>9.691E-3</v>
      </c>
      <c r="J295" t="s">
        <v>1382</v>
      </c>
      <c r="K295" t="s">
        <v>1417</v>
      </c>
      <c r="L295">
        <f t="shared" si="8"/>
        <v>3.8599999999999997E-3</v>
      </c>
      <c r="N295">
        <v>9.5500000000000007</v>
      </c>
      <c r="O295">
        <v>90.6</v>
      </c>
      <c r="P295" t="s">
        <v>1475</v>
      </c>
      <c r="R295" s="2" t="s">
        <v>1438</v>
      </c>
      <c r="T295">
        <v>3842649.0057279998</v>
      </c>
      <c r="U295">
        <v>3842649.0057279998</v>
      </c>
      <c r="V295">
        <v>2.521958155833183E-9</v>
      </c>
      <c r="W295" t="s">
        <v>10</v>
      </c>
      <c r="X295" t="s">
        <v>1457</v>
      </c>
    </row>
    <row r="296" spans="1:24" hidden="1" x14ac:dyDescent="0.35">
      <c r="A296" t="s">
        <v>349</v>
      </c>
      <c r="B296">
        <v>2023</v>
      </c>
      <c r="C296" t="s">
        <v>1308</v>
      </c>
      <c r="D296" t="s">
        <v>1311</v>
      </c>
      <c r="E296" t="s">
        <v>1359</v>
      </c>
      <c r="F296" t="s">
        <v>1366</v>
      </c>
      <c r="G296" t="s">
        <v>1371</v>
      </c>
      <c r="H296">
        <v>388.343952</v>
      </c>
      <c r="J296" t="s">
        <v>1382</v>
      </c>
      <c r="K296" t="s">
        <v>1417</v>
      </c>
      <c r="L296">
        <f t="shared" si="8"/>
        <v>3.8599999999999997E-3</v>
      </c>
      <c r="N296">
        <v>9.5500000000000007</v>
      </c>
      <c r="O296">
        <v>90.6</v>
      </c>
      <c r="P296" t="s">
        <v>1475</v>
      </c>
      <c r="R296" s="2" t="s">
        <v>1438</v>
      </c>
      <c r="T296">
        <v>3842649.0057279998</v>
      </c>
      <c r="U296">
        <v>3842649.0057279998</v>
      </c>
      <c r="V296">
        <v>1.010615206908358E-4</v>
      </c>
      <c r="W296" t="s">
        <v>10</v>
      </c>
      <c r="X296" t="s">
        <v>1456</v>
      </c>
    </row>
    <row r="297" spans="1:24" hidden="1" x14ac:dyDescent="0.35">
      <c r="A297" t="s">
        <v>350</v>
      </c>
      <c r="B297">
        <v>2023</v>
      </c>
      <c r="C297" t="s">
        <v>1308</v>
      </c>
      <c r="D297" t="s">
        <v>1319</v>
      </c>
      <c r="E297" t="s">
        <v>1359</v>
      </c>
      <c r="F297" t="s">
        <v>1366</v>
      </c>
      <c r="G297" t="s">
        <v>1371</v>
      </c>
      <c r="H297">
        <v>2.0421999999999999E-2</v>
      </c>
      <c r="J297" t="s">
        <v>1382</v>
      </c>
      <c r="K297" t="s">
        <v>1417</v>
      </c>
      <c r="L297">
        <f t="shared" si="8"/>
        <v>3.8599999999999997E-3</v>
      </c>
      <c r="N297">
        <v>9.5500000000000007</v>
      </c>
      <c r="O297">
        <v>90.6</v>
      </c>
      <c r="P297" t="s">
        <v>1475</v>
      </c>
      <c r="R297" s="2" t="s">
        <v>1438</v>
      </c>
      <c r="T297">
        <v>3842649.0057279998</v>
      </c>
      <c r="U297">
        <v>3842649.0057279998</v>
      </c>
      <c r="V297">
        <v>5.3145629407104792E-9</v>
      </c>
      <c r="W297" t="s">
        <v>10</v>
      </c>
      <c r="X297" t="s">
        <v>1456</v>
      </c>
    </row>
    <row r="298" spans="1:24" hidden="1" x14ac:dyDescent="0.35">
      <c r="A298" t="s">
        <v>351</v>
      </c>
      <c r="B298">
        <v>2023</v>
      </c>
      <c r="C298" t="s">
        <v>1308</v>
      </c>
      <c r="D298" t="s">
        <v>1320</v>
      </c>
      <c r="E298" t="s">
        <v>1359</v>
      </c>
      <c r="F298" t="s">
        <v>1366</v>
      </c>
      <c r="G298" t="s">
        <v>1372</v>
      </c>
      <c r="H298">
        <v>2.2799239999999998</v>
      </c>
      <c r="J298" t="s">
        <v>1382</v>
      </c>
      <c r="K298" t="s">
        <v>1417</v>
      </c>
      <c r="L298">
        <f t="shared" si="8"/>
        <v>3.8599999999999997E-3</v>
      </c>
      <c r="N298">
        <v>9.5500000000000007</v>
      </c>
      <c r="O298">
        <v>90.6</v>
      </c>
      <c r="P298" t="s">
        <v>1475</v>
      </c>
      <c r="R298" s="2" t="s">
        <v>1438</v>
      </c>
      <c r="T298">
        <v>3842649.0057279998</v>
      </c>
      <c r="U298">
        <v>3842649.0057279998</v>
      </c>
      <c r="V298">
        <v>5.9332090872766624E-7</v>
      </c>
      <c r="W298" t="s">
        <v>10</v>
      </c>
      <c r="X298" t="s">
        <v>1457</v>
      </c>
    </row>
    <row r="299" spans="1:24" hidden="1" x14ac:dyDescent="0.35">
      <c r="A299" t="s">
        <v>352</v>
      </c>
      <c r="B299">
        <v>2023</v>
      </c>
      <c r="C299" t="s">
        <v>1308</v>
      </c>
      <c r="D299" t="s">
        <v>1321</v>
      </c>
      <c r="E299" t="s">
        <v>1359</v>
      </c>
      <c r="F299" t="s">
        <v>1366</v>
      </c>
      <c r="G299" t="s">
        <v>1371</v>
      </c>
      <c r="H299">
        <v>2.3709999999999998E-3</v>
      </c>
      <c r="J299" t="s">
        <v>1382</v>
      </c>
      <c r="K299" t="s">
        <v>1417</v>
      </c>
      <c r="L299">
        <f t="shared" si="8"/>
        <v>3.8599999999999997E-3</v>
      </c>
      <c r="N299">
        <v>9.5500000000000007</v>
      </c>
      <c r="O299">
        <v>90.6</v>
      </c>
      <c r="P299" t="s">
        <v>1475</v>
      </c>
      <c r="R299" s="2" t="s">
        <v>1438</v>
      </c>
      <c r="T299">
        <v>3842649.0057279998</v>
      </c>
      <c r="U299">
        <v>3842649.0057279998</v>
      </c>
      <c r="V299">
        <v>6.1702226679191791E-10</v>
      </c>
      <c r="W299" t="s">
        <v>10</v>
      </c>
      <c r="X299" t="s">
        <v>1456</v>
      </c>
    </row>
    <row r="300" spans="1:24" hidden="1" x14ac:dyDescent="0.35">
      <c r="A300" t="s">
        <v>353</v>
      </c>
      <c r="B300">
        <v>2023</v>
      </c>
      <c r="C300" t="s">
        <v>1308</v>
      </c>
      <c r="D300" t="s">
        <v>1339</v>
      </c>
      <c r="E300" t="s">
        <v>1359</v>
      </c>
      <c r="F300" t="s">
        <v>1366</v>
      </c>
      <c r="G300" t="s">
        <v>1371</v>
      </c>
      <c r="H300">
        <v>11.136658000000001</v>
      </c>
      <c r="J300" t="s">
        <v>1382</v>
      </c>
      <c r="K300" t="s">
        <v>1417</v>
      </c>
      <c r="L300">
        <f t="shared" si="8"/>
        <v>3.8599999999999997E-3</v>
      </c>
      <c r="N300">
        <v>9.5500000000000007</v>
      </c>
      <c r="O300">
        <v>90.6</v>
      </c>
      <c r="P300" t="s">
        <v>1475</v>
      </c>
      <c r="R300" s="2" t="s">
        <v>1438</v>
      </c>
      <c r="T300">
        <v>3842649.0057279998</v>
      </c>
      <c r="U300">
        <v>3842649.0057279998</v>
      </c>
      <c r="V300">
        <v>2.8981720639588138E-6</v>
      </c>
      <c r="W300" t="s">
        <v>10</v>
      </c>
      <c r="X300" t="s">
        <v>1456</v>
      </c>
    </row>
    <row r="301" spans="1:24" hidden="1" x14ac:dyDescent="0.35">
      <c r="A301" t="s">
        <v>354</v>
      </c>
      <c r="B301">
        <v>2023</v>
      </c>
      <c r="C301" t="s">
        <v>1308</v>
      </c>
      <c r="D301" t="s">
        <v>1345</v>
      </c>
      <c r="E301" t="s">
        <v>1359</v>
      </c>
      <c r="F301" t="s">
        <v>1366</v>
      </c>
      <c r="G301" t="s">
        <v>1371</v>
      </c>
      <c r="H301">
        <v>193.91697600000001</v>
      </c>
      <c r="J301" t="s">
        <v>1382</v>
      </c>
      <c r="K301" t="s">
        <v>1417</v>
      </c>
      <c r="L301">
        <f t="shared" si="8"/>
        <v>3.8599999999999997E-3</v>
      </c>
      <c r="N301">
        <v>9.5500000000000007</v>
      </c>
      <c r="O301">
        <v>90.6</v>
      </c>
      <c r="P301" t="s">
        <v>1475</v>
      </c>
      <c r="R301" s="2" t="s">
        <v>1438</v>
      </c>
      <c r="T301">
        <v>3842649.0057279998</v>
      </c>
      <c r="U301">
        <v>3842649.0057279998</v>
      </c>
      <c r="V301">
        <v>5.0464399873873451E-5</v>
      </c>
      <c r="W301" t="s">
        <v>10</v>
      </c>
      <c r="X301" t="s">
        <v>1456</v>
      </c>
    </row>
    <row r="302" spans="1:24" hidden="1" x14ac:dyDescent="0.35">
      <c r="A302" t="s">
        <v>355</v>
      </c>
      <c r="B302">
        <v>2023</v>
      </c>
      <c r="C302" t="s">
        <v>1308</v>
      </c>
      <c r="D302" t="s">
        <v>1322</v>
      </c>
      <c r="E302" t="s">
        <v>1359</v>
      </c>
      <c r="F302" t="s">
        <v>1366</v>
      </c>
      <c r="G302" t="s">
        <v>1372</v>
      </c>
      <c r="H302">
        <v>0.61466900000000002</v>
      </c>
      <c r="J302" t="s">
        <v>1382</v>
      </c>
      <c r="K302" t="s">
        <v>1417</v>
      </c>
      <c r="L302">
        <f t="shared" si="8"/>
        <v>3.8599999999999997E-3</v>
      </c>
      <c r="N302">
        <v>9.5500000000000007</v>
      </c>
      <c r="O302">
        <v>90.6</v>
      </c>
      <c r="P302" t="s">
        <v>1475</v>
      </c>
      <c r="R302" s="2" t="s">
        <v>1438</v>
      </c>
      <c r="T302">
        <v>3842649.0057279998</v>
      </c>
      <c r="U302">
        <v>3842649.0057279998</v>
      </c>
      <c r="V302">
        <v>1.599597046422275E-7</v>
      </c>
      <c r="W302" t="s">
        <v>10</v>
      </c>
      <c r="X302" t="s">
        <v>1457</v>
      </c>
    </row>
    <row r="303" spans="1:24" hidden="1" x14ac:dyDescent="0.35">
      <c r="A303" t="s">
        <v>356</v>
      </c>
      <c r="B303">
        <v>2023</v>
      </c>
      <c r="C303" t="s">
        <v>1308</v>
      </c>
      <c r="D303" t="s">
        <v>1323</v>
      </c>
      <c r="E303" t="s">
        <v>1359</v>
      </c>
      <c r="F303" t="s">
        <v>1366</v>
      </c>
      <c r="G303" t="s">
        <v>1371</v>
      </c>
      <c r="H303">
        <v>0.103022</v>
      </c>
      <c r="J303" t="s">
        <v>1382</v>
      </c>
      <c r="K303" t="s">
        <v>1417</v>
      </c>
      <c r="L303">
        <f t="shared" si="8"/>
        <v>3.8599999999999997E-3</v>
      </c>
      <c r="N303">
        <v>9.5500000000000007</v>
      </c>
      <c r="O303">
        <v>90.6</v>
      </c>
      <c r="P303" t="s">
        <v>1475</v>
      </c>
      <c r="R303" s="2" t="s">
        <v>1438</v>
      </c>
      <c r="T303">
        <v>3842649.0057279998</v>
      </c>
      <c r="U303">
        <v>3842649.0057279998</v>
      </c>
      <c r="V303">
        <v>2.6810150978252619E-8</v>
      </c>
      <c r="W303" t="s">
        <v>10</v>
      </c>
      <c r="X303" t="s">
        <v>1456</v>
      </c>
    </row>
    <row r="304" spans="1:24" hidden="1" x14ac:dyDescent="0.35">
      <c r="A304" t="s">
        <v>357</v>
      </c>
      <c r="B304">
        <v>2023</v>
      </c>
      <c r="C304" t="s">
        <v>1308</v>
      </c>
      <c r="D304" t="s">
        <v>1324</v>
      </c>
      <c r="E304" t="s">
        <v>1359</v>
      </c>
      <c r="F304" t="s">
        <v>1366</v>
      </c>
      <c r="G304" t="s">
        <v>1371</v>
      </c>
      <c r="H304">
        <v>2.2244E-2</v>
      </c>
      <c r="J304" t="s">
        <v>1382</v>
      </c>
      <c r="K304" t="s">
        <v>1417</v>
      </c>
      <c r="L304">
        <f t="shared" si="8"/>
        <v>3.8599999999999997E-3</v>
      </c>
      <c r="N304">
        <v>9.5500000000000007</v>
      </c>
      <c r="O304">
        <v>90.6</v>
      </c>
      <c r="P304" t="s">
        <v>1475</v>
      </c>
      <c r="R304" s="2" t="s">
        <v>1438</v>
      </c>
      <c r="T304">
        <v>3842649.0057279998</v>
      </c>
      <c r="U304">
        <v>3842649.0057279998</v>
      </c>
      <c r="V304">
        <v>5.7887150158243033E-9</v>
      </c>
      <c r="W304" t="s">
        <v>10</v>
      </c>
      <c r="X304" t="s">
        <v>1456</v>
      </c>
    </row>
    <row r="305" spans="1:24" hidden="1" x14ac:dyDescent="0.35">
      <c r="A305" t="s">
        <v>358</v>
      </c>
      <c r="B305">
        <v>2023</v>
      </c>
      <c r="C305" t="s">
        <v>1308</v>
      </c>
      <c r="D305" t="s">
        <v>1312</v>
      </c>
      <c r="E305" t="s">
        <v>1359</v>
      </c>
      <c r="F305" t="s">
        <v>1366</v>
      </c>
      <c r="G305" t="s">
        <v>1371</v>
      </c>
      <c r="H305">
        <v>0.12</v>
      </c>
      <c r="J305" t="s">
        <v>1382</v>
      </c>
      <c r="K305" t="s">
        <v>1417</v>
      </c>
      <c r="L305">
        <f t="shared" si="8"/>
        <v>3.8599999999999997E-3</v>
      </c>
      <c r="N305">
        <v>9.5500000000000007</v>
      </c>
      <c r="O305">
        <v>90.6</v>
      </c>
      <c r="P305" t="s">
        <v>1475</v>
      </c>
      <c r="R305" s="2" t="s">
        <v>1438</v>
      </c>
      <c r="T305">
        <v>3842649.0057279998</v>
      </c>
      <c r="U305">
        <v>3842649.0057279998</v>
      </c>
      <c r="V305">
        <v>3.1228457197397783E-8</v>
      </c>
      <c r="W305" t="s">
        <v>10</v>
      </c>
      <c r="X305" t="s">
        <v>1456</v>
      </c>
    </row>
    <row r="306" spans="1:24" hidden="1" x14ac:dyDescent="0.35">
      <c r="A306" t="s">
        <v>359</v>
      </c>
      <c r="B306">
        <v>2023</v>
      </c>
      <c r="C306" t="s">
        <v>1308</v>
      </c>
      <c r="D306" t="s">
        <v>1332</v>
      </c>
      <c r="E306" t="s">
        <v>1359</v>
      </c>
      <c r="F306" t="s">
        <v>1366</v>
      </c>
      <c r="G306" t="s">
        <v>1371</v>
      </c>
      <c r="H306">
        <v>3.0685E-2</v>
      </c>
      <c r="J306" t="s">
        <v>1382</v>
      </c>
      <c r="K306" t="s">
        <v>1417</v>
      </c>
      <c r="L306">
        <f t="shared" si="8"/>
        <v>3.8599999999999997E-3</v>
      </c>
      <c r="N306">
        <v>9.5500000000000007</v>
      </c>
      <c r="O306">
        <v>90.6</v>
      </c>
      <c r="P306" t="s">
        <v>1475</v>
      </c>
      <c r="R306" s="2" t="s">
        <v>1438</v>
      </c>
      <c r="T306">
        <v>3842649.0057279998</v>
      </c>
      <c r="U306">
        <v>3842649.0057279998</v>
      </c>
      <c r="V306">
        <v>7.9853767425179249E-9</v>
      </c>
      <c r="W306" t="s">
        <v>10</v>
      </c>
      <c r="X306" t="s">
        <v>1456</v>
      </c>
    </row>
    <row r="307" spans="1:24" hidden="1" x14ac:dyDescent="0.35">
      <c r="A307" t="s">
        <v>360</v>
      </c>
      <c r="B307">
        <v>2023</v>
      </c>
      <c r="C307" t="s">
        <v>1308</v>
      </c>
      <c r="D307" t="s">
        <v>1313</v>
      </c>
      <c r="E307" t="s">
        <v>1359</v>
      </c>
      <c r="F307" t="s">
        <v>1366</v>
      </c>
      <c r="G307" t="s">
        <v>1371</v>
      </c>
      <c r="H307">
        <v>99.937264999999996</v>
      </c>
      <c r="J307" t="s">
        <v>1382</v>
      </c>
      <c r="K307" t="s">
        <v>1417</v>
      </c>
      <c r="L307">
        <f t="shared" si="8"/>
        <v>3.8599999999999997E-3</v>
      </c>
      <c r="N307">
        <v>9.5500000000000007</v>
      </c>
      <c r="O307">
        <v>90.6</v>
      </c>
      <c r="P307" t="s">
        <v>1475</v>
      </c>
      <c r="R307" s="2" t="s">
        <v>1438</v>
      </c>
      <c r="T307">
        <v>3842649.0057279998</v>
      </c>
      <c r="U307">
        <v>3842649.0057279998</v>
      </c>
      <c r="V307">
        <v>2.600738835397916E-5</v>
      </c>
      <c r="W307" t="s">
        <v>10</v>
      </c>
      <c r="X307" t="s">
        <v>1456</v>
      </c>
    </row>
    <row r="308" spans="1:24" hidden="1" x14ac:dyDescent="0.35">
      <c r="A308" t="s">
        <v>361</v>
      </c>
      <c r="B308">
        <v>2023</v>
      </c>
      <c r="C308" t="s">
        <v>1308</v>
      </c>
      <c r="D308" t="s">
        <v>1314</v>
      </c>
      <c r="E308" t="s">
        <v>1359</v>
      </c>
      <c r="F308" t="s">
        <v>1366</v>
      </c>
      <c r="G308" t="s">
        <v>1371</v>
      </c>
      <c r="H308">
        <v>41.623072000000001</v>
      </c>
      <c r="J308" t="s">
        <v>1382</v>
      </c>
      <c r="K308" t="s">
        <v>1417</v>
      </c>
      <c r="L308">
        <f t="shared" si="8"/>
        <v>3.8599999999999997E-3</v>
      </c>
      <c r="N308">
        <v>9.5500000000000007</v>
      </c>
      <c r="O308">
        <v>90.6</v>
      </c>
      <c r="P308" t="s">
        <v>1475</v>
      </c>
      <c r="R308" s="2" t="s">
        <v>1438</v>
      </c>
      <c r="T308">
        <v>3842649.0057279998</v>
      </c>
      <c r="U308">
        <v>3842649.0057279998</v>
      </c>
      <c r="V308">
        <v>1.083186935313505E-5</v>
      </c>
      <c r="W308" t="s">
        <v>10</v>
      </c>
      <c r="X308" t="s">
        <v>1456</v>
      </c>
    </row>
    <row r="309" spans="1:24" hidden="1" x14ac:dyDescent="0.35">
      <c r="A309" t="s">
        <v>362</v>
      </c>
      <c r="B309">
        <v>2023</v>
      </c>
      <c r="C309" t="s">
        <v>1308</v>
      </c>
      <c r="D309" t="s">
        <v>1325</v>
      </c>
      <c r="E309" t="s">
        <v>1359</v>
      </c>
      <c r="F309" t="s">
        <v>1366</v>
      </c>
      <c r="G309" t="s">
        <v>1372</v>
      </c>
      <c r="H309">
        <v>2.7071999999999999E-2</v>
      </c>
      <c r="J309" t="s">
        <v>1382</v>
      </c>
      <c r="K309" t="s">
        <v>1417</v>
      </c>
      <c r="L309">
        <f t="shared" si="8"/>
        <v>3.8599999999999997E-3</v>
      </c>
      <c r="N309">
        <v>9.5500000000000007</v>
      </c>
      <c r="O309">
        <v>90.6</v>
      </c>
      <c r="P309" t="s">
        <v>1475</v>
      </c>
      <c r="R309" s="2" t="s">
        <v>1438</v>
      </c>
      <c r="T309">
        <v>3842649.0057279998</v>
      </c>
      <c r="U309">
        <v>3842649.0057279998</v>
      </c>
      <c r="V309">
        <v>7.04513994373294E-9</v>
      </c>
      <c r="W309" t="s">
        <v>10</v>
      </c>
      <c r="X309" t="s">
        <v>1457</v>
      </c>
    </row>
    <row r="310" spans="1:24" hidden="1" x14ac:dyDescent="0.35">
      <c r="A310" t="s">
        <v>363</v>
      </c>
      <c r="B310">
        <v>2023</v>
      </c>
      <c r="C310" t="s">
        <v>1308</v>
      </c>
      <c r="D310" t="s">
        <v>1334</v>
      </c>
      <c r="E310" t="s">
        <v>1359</v>
      </c>
      <c r="F310" t="s">
        <v>1366</v>
      </c>
      <c r="G310" t="s">
        <v>1372</v>
      </c>
      <c r="H310">
        <v>1.9203000000000001E-2</v>
      </c>
      <c r="J310" t="s">
        <v>1382</v>
      </c>
      <c r="K310" t="s">
        <v>1417</v>
      </c>
      <c r="L310">
        <f t="shared" si="8"/>
        <v>3.8599999999999997E-3</v>
      </c>
      <c r="N310">
        <v>9.5500000000000007</v>
      </c>
      <c r="O310">
        <v>90.6</v>
      </c>
      <c r="P310" t="s">
        <v>1475</v>
      </c>
      <c r="R310" s="2" t="s">
        <v>1438</v>
      </c>
      <c r="T310">
        <v>3842649.0057279998</v>
      </c>
      <c r="U310">
        <v>3842649.0057279998</v>
      </c>
      <c r="V310">
        <v>4.9973338630135807E-9</v>
      </c>
      <c r="W310" t="s">
        <v>10</v>
      </c>
      <c r="X310" t="s">
        <v>1457</v>
      </c>
    </row>
    <row r="311" spans="1:24" hidden="1" x14ac:dyDescent="0.35">
      <c r="A311" t="s">
        <v>364</v>
      </c>
      <c r="B311">
        <v>2023</v>
      </c>
      <c r="C311" t="s">
        <v>1308</v>
      </c>
      <c r="D311" t="s">
        <v>1315</v>
      </c>
      <c r="E311" t="s">
        <v>1359</v>
      </c>
      <c r="F311" t="s">
        <v>1366</v>
      </c>
      <c r="G311" t="s">
        <v>1371</v>
      </c>
      <c r="H311">
        <v>200.42791</v>
      </c>
      <c r="J311" t="s">
        <v>1382</v>
      </c>
      <c r="K311" t="s">
        <v>1417</v>
      </c>
      <c r="L311">
        <f t="shared" si="8"/>
        <v>3.8599999999999997E-3</v>
      </c>
      <c r="N311">
        <v>9.5500000000000007</v>
      </c>
      <c r="O311">
        <v>90.6</v>
      </c>
      <c r="P311" t="s">
        <v>1475</v>
      </c>
      <c r="R311" s="2" t="s">
        <v>1438</v>
      </c>
      <c r="T311">
        <v>3842649.0057279998</v>
      </c>
      <c r="U311">
        <v>3842649.0057279998</v>
      </c>
      <c r="V311">
        <v>5.215878673832413E-5</v>
      </c>
      <c r="W311" t="s">
        <v>10</v>
      </c>
      <c r="X311" t="s">
        <v>1456</v>
      </c>
    </row>
    <row r="312" spans="1:24" hidden="1" x14ac:dyDescent="0.35">
      <c r="A312" t="s">
        <v>365</v>
      </c>
      <c r="B312">
        <v>2023</v>
      </c>
      <c r="C312" t="s">
        <v>1308</v>
      </c>
      <c r="D312" t="s">
        <v>1335</v>
      </c>
      <c r="E312" t="s">
        <v>1359</v>
      </c>
      <c r="F312" t="s">
        <v>1366</v>
      </c>
      <c r="G312" t="s">
        <v>1371</v>
      </c>
      <c r="H312">
        <v>193.91697600000001</v>
      </c>
      <c r="J312" t="s">
        <v>1382</v>
      </c>
      <c r="K312" t="s">
        <v>1417</v>
      </c>
      <c r="L312">
        <f t="shared" si="8"/>
        <v>3.8599999999999997E-3</v>
      </c>
      <c r="N312">
        <v>9.5500000000000007</v>
      </c>
      <c r="O312">
        <v>90.6</v>
      </c>
      <c r="P312" t="s">
        <v>1475</v>
      </c>
      <c r="R312" s="2" t="s">
        <v>1438</v>
      </c>
      <c r="T312">
        <v>3842649.0057279998</v>
      </c>
      <c r="U312">
        <v>3842649.0057279998</v>
      </c>
      <c r="V312">
        <v>5.0464399873873451E-5</v>
      </c>
      <c r="W312" t="s">
        <v>10</v>
      </c>
      <c r="X312" t="s">
        <v>1456</v>
      </c>
    </row>
    <row r="313" spans="1:24" hidden="1" x14ac:dyDescent="0.35">
      <c r="A313" t="s">
        <v>366</v>
      </c>
      <c r="B313">
        <v>2023</v>
      </c>
      <c r="C313" t="s">
        <v>1308</v>
      </c>
      <c r="D313" t="s">
        <v>1336</v>
      </c>
      <c r="E313" t="s">
        <v>1359</v>
      </c>
      <c r="F313" t="s">
        <v>1366</v>
      </c>
      <c r="G313" t="s">
        <v>1371</v>
      </c>
      <c r="H313">
        <v>5.9769999999999997E-3</v>
      </c>
      <c r="J313" t="s">
        <v>1382</v>
      </c>
      <c r="K313" t="s">
        <v>1417</v>
      </c>
      <c r="L313">
        <f t="shared" si="8"/>
        <v>3.8599999999999997E-3</v>
      </c>
      <c r="N313">
        <v>9.5500000000000007</v>
      </c>
      <c r="O313">
        <v>90.6</v>
      </c>
      <c r="P313" t="s">
        <v>1475</v>
      </c>
      <c r="R313" s="2" t="s">
        <v>1438</v>
      </c>
      <c r="T313">
        <v>3842649.0057279998</v>
      </c>
      <c r="U313">
        <v>3842649.0057279998</v>
      </c>
      <c r="V313">
        <v>1.555437405573721E-9</v>
      </c>
      <c r="W313" t="s">
        <v>10</v>
      </c>
      <c r="X313" t="s">
        <v>1456</v>
      </c>
    </row>
    <row r="314" spans="1:24" hidden="1" x14ac:dyDescent="0.35">
      <c r="A314" t="s">
        <v>367</v>
      </c>
      <c r="B314">
        <v>2023</v>
      </c>
      <c r="C314" t="s">
        <v>1308</v>
      </c>
      <c r="D314" t="s">
        <v>1326</v>
      </c>
      <c r="E314" t="s">
        <v>1359</v>
      </c>
      <c r="F314" t="s">
        <v>1366</v>
      </c>
      <c r="G314" t="s">
        <v>1371</v>
      </c>
      <c r="H314">
        <v>4.424E-3</v>
      </c>
      <c r="J314" t="s">
        <v>1382</v>
      </c>
      <c r="K314" t="s">
        <v>1417</v>
      </c>
      <c r="L314">
        <f t="shared" si="8"/>
        <v>3.8599999999999997E-3</v>
      </c>
      <c r="N314">
        <v>9.5500000000000007</v>
      </c>
      <c r="O314">
        <v>90.6</v>
      </c>
      <c r="P314" t="s">
        <v>1475</v>
      </c>
      <c r="R314" s="2" t="s">
        <v>1438</v>
      </c>
      <c r="T314">
        <v>3842649.0057279998</v>
      </c>
      <c r="U314">
        <v>3842649.0057279998</v>
      </c>
      <c r="V314">
        <v>1.151289122010732E-9</v>
      </c>
      <c r="W314" t="s">
        <v>10</v>
      </c>
      <c r="X314" t="s">
        <v>1456</v>
      </c>
    </row>
    <row r="315" spans="1:24" hidden="1" x14ac:dyDescent="0.35">
      <c r="A315" t="s">
        <v>703</v>
      </c>
      <c r="B315">
        <v>2023</v>
      </c>
      <c r="C315" t="s">
        <v>1308</v>
      </c>
      <c r="D315" t="s">
        <v>1319</v>
      </c>
      <c r="E315" t="s">
        <v>1359</v>
      </c>
      <c r="F315" t="s">
        <v>1367</v>
      </c>
      <c r="G315" t="s">
        <v>1371</v>
      </c>
      <c r="H315">
        <v>2.6899999999999998E-4</v>
      </c>
      <c r="J315" t="s">
        <v>1382</v>
      </c>
      <c r="K315" t="s">
        <v>1417</v>
      </c>
      <c r="L315">
        <f t="shared" si="8"/>
        <v>3.8599999999999997E-3</v>
      </c>
      <c r="N315">
        <v>9.5500000000000007</v>
      </c>
      <c r="O315">
        <v>90.6</v>
      </c>
      <c r="P315" t="s">
        <v>1475</v>
      </c>
      <c r="R315" s="2" t="s">
        <v>1438</v>
      </c>
      <c r="T315">
        <v>3842649.0057279998</v>
      </c>
      <c r="U315">
        <v>3842649.0057279998</v>
      </c>
      <c r="V315">
        <v>7.0003791550833362E-11</v>
      </c>
      <c r="W315" t="s">
        <v>10</v>
      </c>
      <c r="X315" t="s">
        <v>1456</v>
      </c>
    </row>
    <row r="316" spans="1:24" hidden="1" x14ac:dyDescent="0.35">
      <c r="A316" t="s">
        <v>704</v>
      </c>
      <c r="B316">
        <v>2023</v>
      </c>
      <c r="C316" t="s">
        <v>1308</v>
      </c>
      <c r="D316" t="s">
        <v>1320</v>
      </c>
      <c r="E316" t="s">
        <v>1359</v>
      </c>
      <c r="F316" t="s">
        <v>1367</v>
      </c>
      <c r="G316" t="s">
        <v>1372</v>
      </c>
      <c r="H316">
        <v>1.9999999999999999E-6</v>
      </c>
      <c r="J316" t="s">
        <v>1382</v>
      </c>
      <c r="K316" t="s">
        <v>1417</v>
      </c>
      <c r="L316">
        <f t="shared" si="8"/>
        <v>3.8599999999999997E-3</v>
      </c>
      <c r="N316">
        <v>9.5500000000000007</v>
      </c>
      <c r="O316">
        <v>90.6</v>
      </c>
      <c r="P316" t="s">
        <v>1475</v>
      </c>
      <c r="R316" s="2" t="s">
        <v>1438</v>
      </c>
      <c r="T316">
        <v>3842649.0057279998</v>
      </c>
      <c r="U316">
        <v>3842649.0057279998</v>
      </c>
      <c r="V316">
        <v>5.2047428662329645E-13</v>
      </c>
      <c r="W316" t="s">
        <v>10</v>
      </c>
      <c r="X316" t="s">
        <v>1457</v>
      </c>
    </row>
    <row r="317" spans="1:24" hidden="1" x14ac:dyDescent="0.35">
      <c r="A317" t="s">
        <v>705</v>
      </c>
      <c r="B317">
        <v>2023</v>
      </c>
      <c r="C317" t="s">
        <v>1308</v>
      </c>
      <c r="D317" t="s">
        <v>1321</v>
      </c>
      <c r="E317" t="s">
        <v>1359</v>
      </c>
      <c r="F317" t="s">
        <v>1367</v>
      </c>
      <c r="G317" t="s">
        <v>1371</v>
      </c>
      <c r="H317">
        <v>1.56E-4</v>
      </c>
      <c r="J317" t="s">
        <v>1382</v>
      </c>
      <c r="K317" t="s">
        <v>1417</v>
      </c>
      <c r="L317">
        <f t="shared" si="8"/>
        <v>3.8599999999999997E-3</v>
      </c>
      <c r="N317">
        <v>9.5500000000000007</v>
      </c>
      <c r="O317">
        <v>90.6</v>
      </c>
      <c r="P317" t="s">
        <v>1475</v>
      </c>
      <c r="R317" s="2" t="s">
        <v>1438</v>
      </c>
      <c r="T317">
        <v>3842649.0057279998</v>
      </c>
      <c r="U317">
        <v>3842649.0057279998</v>
      </c>
      <c r="V317">
        <v>4.0596994356617121E-11</v>
      </c>
      <c r="W317" t="s">
        <v>10</v>
      </c>
      <c r="X317" t="s">
        <v>1456</v>
      </c>
    </row>
    <row r="318" spans="1:24" hidden="1" x14ac:dyDescent="0.35">
      <c r="A318" t="s">
        <v>706</v>
      </c>
      <c r="B318">
        <v>2023</v>
      </c>
      <c r="C318" t="s">
        <v>1308</v>
      </c>
      <c r="D318" t="s">
        <v>1322</v>
      </c>
      <c r="E318" t="s">
        <v>1359</v>
      </c>
      <c r="F318" t="s">
        <v>1367</v>
      </c>
      <c r="G318" t="s">
        <v>1372</v>
      </c>
      <c r="H318">
        <v>7.9999999999999996E-6</v>
      </c>
      <c r="J318" t="s">
        <v>1382</v>
      </c>
      <c r="K318" t="s">
        <v>1417</v>
      </c>
      <c r="L318">
        <f t="shared" si="8"/>
        <v>3.8599999999999997E-3</v>
      </c>
      <c r="N318">
        <v>9.5500000000000007</v>
      </c>
      <c r="O318">
        <v>90.6</v>
      </c>
      <c r="P318" t="s">
        <v>1475</v>
      </c>
      <c r="R318" s="2" t="s">
        <v>1438</v>
      </c>
      <c r="T318">
        <v>3842649.0057279998</v>
      </c>
      <c r="U318">
        <v>3842649.0057279998</v>
      </c>
      <c r="V318">
        <v>2.0818971464931862E-12</v>
      </c>
      <c r="W318" t="s">
        <v>10</v>
      </c>
      <c r="X318" t="s">
        <v>1457</v>
      </c>
    </row>
    <row r="319" spans="1:24" hidden="1" x14ac:dyDescent="0.35">
      <c r="A319" t="s">
        <v>707</v>
      </c>
      <c r="B319">
        <v>2023</v>
      </c>
      <c r="C319" t="s">
        <v>1308</v>
      </c>
      <c r="D319" t="s">
        <v>1323</v>
      </c>
      <c r="E319" t="s">
        <v>1359</v>
      </c>
      <c r="F319" t="s">
        <v>1367</v>
      </c>
      <c r="G319" t="s">
        <v>1371</v>
      </c>
      <c r="H319">
        <v>4.7699999999999999E-3</v>
      </c>
      <c r="J319" t="s">
        <v>1382</v>
      </c>
      <c r="K319" t="s">
        <v>1417</v>
      </c>
      <c r="L319">
        <f t="shared" si="8"/>
        <v>3.8599999999999997E-3</v>
      </c>
      <c r="N319">
        <v>9.5500000000000007</v>
      </c>
      <c r="O319">
        <v>90.6</v>
      </c>
      <c r="P319" t="s">
        <v>1475</v>
      </c>
      <c r="R319" s="2" t="s">
        <v>1438</v>
      </c>
      <c r="T319">
        <v>3842649.0057279998</v>
      </c>
      <c r="U319">
        <v>3842649.0057279998</v>
      </c>
      <c r="V319">
        <v>1.241331173596562E-9</v>
      </c>
      <c r="W319" t="s">
        <v>10</v>
      </c>
      <c r="X319" t="s">
        <v>1456</v>
      </c>
    </row>
    <row r="320" spans="1:24" hidden="1" x14ac:dyDescent="0.35">
      <c r="A320" t="s">
        <v>708</v>
      </c>
      <c r="B320">
        <v>2023</v>
      </c>
      <c r="C320" t="s">
        <v>1308</v>
      </c>
      <c r="D320" t="s">
        <v>1324</v>
      </c>
      <c r="E320" t="s">
        <v>1359</v>
      </c>
      <c r="F320" t="s">
        <v>1367</v>
      </c>
      <c r="G320" t="s">
        <v>1371</v>
      </c>
      <c r="H320">
        <v>3.1700000000000001E-4</v>
      </c>
      <c r="J320" t="s">
        <v>1382</v>
      </c>
      <c r="K320" t="s">
        <v>1417</v>
      </c>
      <c r="L320">
        <f t="shared" si="8"/>
        <v>3.8599999999999997E-3</v>
      </c>
      <c r="N320">
        <v>9.5500000000000007</v>
      </c>
      <c r="O320">
        <v>90.6</v>
      </c>
      <c r="P320" t="s">
        <v>1475</v>
      </c>
      <c r="R320" s="2" t="s">
        <v>1438</v>
      </c>
      <c r="T320">
        <v>3842649.0057279998</v>
      </c>
      <c r="U320">
        <v>3842649.0057279998</v>
      </c>
      <c r="V320">
        <v>8.2495174429792479E-11</v>
      </c>
      <c r="W320" t="s">
        <v>10</v>
      </c>
      <c r="X320" t="s">
        <v>1456</v>
      </c>
    </row>
    <row r="321" spans="1:24" hidden="1" x14ac:dyDescent="0.35">
      <c r="A321" t="s">
        <v>709</v>
      </c>
      <c r="B321">
        <v>2023</v>
      </c>
      <c r="C321" t="s">
        <v>1308</v>
      </c>
      <c r="D321" t="s">
        <v>1313</v>
      </c>
      <c r="E321" t="s">
        <v>1359</v>
      </c>
      <c r="F321" t="s">
        <v>1367</v>
      </c>
      <c r="G321" t="s">
        <v>1371</v>
      </c>
      <c r="H321">
        <v>8.2588999999999996E-2</v>
      </c>
      <c r="J321" t="s">
        <v>1382</v>
      </c>
      <c r="K321" t="s">
        <v>1417</v>
      </c>
      <c r="L321">
        <f t="shared" si="8"/>
        <v>3.8599999999999997E-3</v>
      </c>
      <c r="N321">
        <v>9.5500000000000007</v>
      </c>
      <c r="O321">
        <v>90.6</v>
      </c>
      <c r="P321" t="s">
        <v>1475</v>
      </c>
      <c r="R321" s="2" t="s">
        <v>1438</v>
      </c>
      <c r="T321">
        <v>3842649.0057279998</v>
      </c>
      <c r="U321">
        <v>3842649.0057279998</v>
      </c>
      <c r="V321">
        <v>2.1492725428965709E-8</v>
      </c>
      <c r="W321" t="s">
        <v>10</v>
      </c>
      <c r="X321" t="s">
        <v>1456</v>
      </c>
    </row>
    <row r="322" spans="1:24" hidden="1" x14ac:dyDescent="0.35">
      <c r="A322" t="s">
        <v>710</v>
      </c>
      <c r="B322">
        <v>2023</v>
      </c>
      <c r="C322" t="s">
        <v>1308</v>
      </c>
      <c r="D322" t="s">
        <v>1314</v>
      </c>
      <c r="E322" t="s">
        <v>1359</v>
      </c>
      <c r="F322" t="s">
        <v>1367</v>
      </c>
      <c r="G322" t="s">
        <v>1371</v>
      </c>
      <c r="H322">
        <v>6.1941999999999997E-2</v>
      </c>
      <c r="J322" t="s">
        <v>1382</v>
      </c>
      <c r="K322" t="s">
        <v>1417</v>
      </c>
      <c r="L322">
        <f t="shared" si="8"/>
        <v>3.8599999999999997E-3</v>
      </c>
      <c r="N322">
        <v>9.5500000000000007</v>
      </c>
      <c r="O322">
        <v>90.6</v>
      </c>
      <c r="P322" t="s">
        <v>1475</v>
      </c>
      <c r="R322" s="2" t="s">
        <v>1438</v>
      </c>
      <c r="T322">
        <v>3842649.0057279998</v>
      </c>
      <c r="U322">
        <v>3842649.0057279998</v>
      </c>
      <c r="V322">
        <v>1.6119609131010109E-8</v>
      </c>
      <c r="W322" t="s">
        <v>10</v>
      </c>
      <c r="X322" t="s">
        <v>1456</v>
      </c>
    </row>
    <row r="323" spans="1:24" hidden="1" x14ac:dyDescent="0.35">
      <c r="A323" t="s">
        <v>711</v>
      </c>
      <c r="B323">
        <v>2023</v>
      </c>
      <c r="C323" t="s">
        <v>1308</v>
      </c>
      <c r="D323" t="s">
        <v>1315</v>
      </c>
      <c r="E323" t="s">
        <v>1359</v>
      </c>
      <c r="F323" t="s">
        <v>1367</v>
      </c>
      <c r="G323" t="s">
        <v>1371</v>
      </c>
      <c r="H323">
        <v>8.2588999999999996E-2</v>
      </c>
      <c r="J323" t="s">
        <v>1382</v>
      </c>
      <c r="K323" t="s">
        <v>1417</v>
      </c>
      <c r="L323">
        <f t="shared" si="8"/>
        <v>3.8599999999999997E-3</v>
      </c>
      <c r="N323">
        <v>9.5500000000000007</v>
      </c>
      <c r="O323">
        <v>90.6</v>
      </c>
      <c r="P323" t="s">
        <v>1475</v>
      </c>
      <c r="R323" s="2" t="s">
        <v>1438</v>
      </c>
      <c r="T323">
        <v>3842649.0057279998</v>
      </c>
      <c r="U323">
        <v>3842649.0057279998</v>
      </c>
      <c r="V323">
        <v>2.1492725428965709E-8</v>
      </c>
      <c r="W323" t="s">
        <v>10</v>
      </c>
      <c r="X323" t="s">
        <v>1456</v>
      </c>
    </row>
    <row r="324" spans="1:24" hidden="1" x14ac:dyDescent="0.35">
      <c r="A324" t="s">
        <v>712</v>
      </c>
      <c r="B324">
        <v>2023</v>
      </c>
      <c r="C324" t="s">
        <v>1308</v>
      </c>
      <c r="D324" t="s">
        <v>1326</v>
      </c>
      <c r="E324" t="s">
        <v>1359</v>
      </c>
      <c r="F324" t="s">
        <v>1367</v>
      </c>
      <c r="G324" t="s">
        <v>1371</v>
      </c>
      <c r="H324">
        <v>6.0860000000000003E-3</v>
      </c>
      <c r="J324" t="s">
        <v>1382</v>
      </c>
      <c r="K324" t="s">
        <v>1417</v>
      </c>
      <c r="L324">
        <f t="shared" si="8"/>
        <v>3.8599999999999997E-3</v>
      </c>
      <c r="N324">
        <v>9.5500000000000007</v>
      </c>
      <c r="O324">
        <v>90.6</v>
      </c>
      <c r="P324" t="s">
        <v>1475</v>
      </c>
      <c r="R324" s="2" t="s">
        <v>1438</v>
      </c>
      <c r="T324">
        <v>3842649.0057279998</v>
      </c>
      <c r="U324">
        <v>3842649.0057279998</v>
      </c>
      <c r="V324">
        <v>1.583803254194691E-9</v>
      </c>
      <c r="W324" t="s">
        <v>10</v>
      </c>
      <c r="X324" t="s">
        <v>1456</v>
      </c>
    </row>
    <row r="325" spans="1:24" hidden="1" x14ac:dyDescent="0.35">
      <c r="A325" t="s">
        <v>756</v>
      </c>
      <c r="B325">
        <v>2023</v>
      </c>
      <c r="C325" t="s">
        <v>1309</v>
      </c>
      <c r="D325" t="s">
        <v>1328</v>
      </c>
      <c r="E325" t="s">
        <v>1359</v>
      </c>
      <c r="F325" t="s">
        <v>1368</v>
      </c>
      <c r="G325" t="s">
        <v>1371</v>
      </c>
      <c r="H325">
        <v>5.7330000000000002E-3</v>
      </c>
      <c r="J325" t="s">
        <v>1382</v>
      </c>
      <c r="K325" t="s">
        <v>1417</v>
      </c>
      <c r="L325">
        <f t="shared" si="8"/>
        <v>3.8599999999999997E-3</v>
      </c>
      <c r="N325">
        <v>9.5500000000000007</v>
      </c>
      <c r="O325">
        <v>90.6</v>
      </c>
      <c r="P325" t="s">
        <v>1475</v>
      </c>
      <c r="R325" s="2" t="s">
        <v>1438</v>
      </c>
      <c r="T325">
        <v>3842649.0057279998</v>
      </c>
      <c r="U325">
        <v>3842649.0057279998</v>
      </c>
      <c r="V325">
        <v>1.491939542605679E-9</v>
      </c>
      <c r="W325" t="s">
        <v>10</v>
      </c>
      <c r="X325" t="s">
        <v>1456</v>
      </c>
    </row>
    <row r="326" spans="1:24" hidden="1" x14ac:dyDescent="0.35">
      <c r="A326" t="s">
        <v>757</v>
      </c>
      <c r="B326">
        <v>2023</v>
      </c>
      <c r="C326" t="s">
        <v>1309</v>
      </c>
      <c r="D326" t="s">
        <v>1317</v>
      </c>
      <c r="E326" t="s">
        <v>1359</v>
      </c>
      <c r="F326" t="s">
        <v>1368</v>
      </c>
      <c r="G326" t="s">
        <v>1372</v>
      </c>
      <c r="H326">
        <v>9.4699329999999993</v>
      </c>
      <c r="J326" t="s">
        <v>1382</v>
      </c>
      <c r="K326" t="s">
        <v>1417</v>
      </c>
      <c r="L326">
        <f t="shared" si="8"/>
        <v>3.8599999999999997E-3</v>
      </c>
      <c r="N326">
        <v>9.5500000000000007</v>
      </c>
      <c r="O326">
        <v>90.6</v>
      </c>
      <c r="P326" t="s">
        <v>1475</v>
      </c>
      <c r="R326" s="2" t="s">
        <v>1438</v>
      </c>
      <c r="T326">
        <v>3842649.0057279998</v>
      </c>
      <c r="U326">
        <v>3842649.0057279998</v>
      </c>
      <c r="V326">
        <v>2.464428311272706E-6</v>
      </c>
      <c r="W326" t="s">
        <v>10</v>
      </c>
      <c r="X326" t="s">
        <v>1457</v>
      </c>
    </row>
    <row r="327" spans="1:24" hidden="1" x14ac:dyDescent="0.35">
      <c r="A327" t="s">
        <v>758</v>
      </c>
      <c r="B327">
        <v>2023</v>
      </c>
      <c r="C327" t="s">
        <v>1309</v>
      </c>
      <c r="D327" t="s">
        <v>1318</v>
      </c>
      <c r="E327" t="s">
        <v>1359</v>
      </c>
      <c r="F327" t="s">
        <v>1368</v>
      </c>
      <c r="G327" t="s">
        <v>1372</v>
      </c>
      <c r="H327">
        <v>2.0111E-2</v>
      </c>
      <c r="J327" t="s">
        <v>1382</v>
      </c>
      <c r="K327" t="s">
        <v>1417</v>
      </c>
      <c r="L327">
        <f t="shared" si="8"/>
        <v>3.8599999999999997E-3</v>
      </c>
      <c r="N327">
        <v>9.5500000000000007</v>
      </c>
      <c r="O327">
        <v>90.6</v>
      </c>
      <c r="P327" t="s">
        <v>1475</v>
      </c>
      <c r="R327" s="2" t="s">
        <v>1438</v>
      </c>
      <c r="T327">
        <v>3842649.0057279998</v>
      </c>
      <c r="U327">
        <v>3842649.0057279998</v>
      </c>
      <c r="V327">
        <v>5.233629189140557E-9</v>
      </c>
      <c r="W327" t="s">
        <v>10</v>
      </c>
      <c r="X327" t="s">
        <v>1457</v>
      </c>
    </row>
    <row r="328" spans="1:24" hidden="1" x14ac:dyDescent="0.35">
      <c r="A328" t="s">
        <v>759</v>
      </c>
      <c r="B328">
        <v>2023</v>
      </c>
      <c r="C328" t="s">
        <v>1309</v>
      </c>
      <c r="D328" t="s">
        <v>1319</v>
      </c>
      <c r="E328" t="s">
        <v>1359</v>
      </c>
      <c r="F328" t="s">
        <v>1368</v>
      </c>
      <c r="G328" t="s">
        <v>1371</v>
      </c>
      <c r="H328">
        <v>1.8159999999999999E-3</v>
      </c>
      <c r="J328" t="s">
        <v>1382</v>
      </c>
      <c r="K328" t="s">
        <v>1417</v>
      </c>
      <c r="L328">
        <f t="shared" si="8"/>
        <v>3.8599999999999997E-3</v>
      </c>
      <c r="N328">
        <v>9.5500000000000007</v>
      </c>
      <c r="O328">
        <v>90.6</v>
      </c>
      <c r="P328" t="s">
        <v>1475</v>
      </c>
      <c r="R328" s="2" t="s">
        <v>1438</v>
      </c>
      <c r="T328">
        <v>3842649.0057279998</v>
      </c>
      <c r="U328">
        <v>3842649.0057279998</v>
      </c>
      <c r="V328">
        <v>4.7259065225395314E-10</v>
      </c>
      <c r="W328" t="s">
        <v>10</v>
      </c>
      <c r="X328" t="s">
        <v>1456</v>
      </c>
    </row>
    <row r="329" spans="1:24" hidden="1" x14ac:dyDescent="0.35">
      <c r="A329" t="s">
        <v>760</v>
      </c>
      <c r="B329">
        <v>2023</v>
      </c>
      <c r="C329" t="s">
        <v>1309</v>
      </c>
      <c r="D329" t="s">
        <v>1320</v>
      </c>
      <c r="E329" t="s">
        <v>1359</v>
      </c>
      <c r="F329" t="s">
        <v>1368</v>
      </c>
      <c r="G329" t="s">
        <v>1372</v>
      </c>
      <c r="H329">
        <v>1.950833</v>
      </c>
      <c r="J329" t="s">
        <v>1382</v>
      </c>
      <c r="K329" t="s">
        <v>1417</v>
      </c>
      <c r="L329">
        <f t="shared" si="8"/>
        <v>3.8599999999999997E-3</v>
      </c>
      <c r="N329">
        <v>9.5500000000000007</v>
      </c>
      <c r="O329">
        <v>90.6</v>
      </c>
      <c r="P329" t="s">
        <v>1475</v>
      </c>
      <c r="R329" s="2" t="s">
        <v>1438</v>
      </c>
      <c r="T329">
        <v>3842649.0057279998</v>
      </c>
      <c r="U329">
        <v>3842649.0057279998</v>
      </c>
      <c r="V329">
        <v>5.0767920699809257E-7</v>
      </c>
      <c r="W329" t="s">
        <v>10</v>
      </c>
      <c r="X329" t="s">
        <v>1457</v>
      </c>
    </row>
    <row r="330" spans="1:24" hidden="1" x14ac:dyDescent="0.35">
      <c r="A330" t="s">
        <v>761</v>
      </c>
      <c r="B330">
        <v>2023</v>
      </c>
      <c r="C330" t="s">
        <v>1309</v>
      </c>
      <c r="D330" t="s">
        <v>1321</v>
      </c>
      <c r="E330" t="s">
        <v>1359</v>
      </c>
      <c r="F330" t="s">
        <v>1368</v>
      </c>
      <c r="G330" t="s">
        <v>1371</v>
      </c>
      <c r="H330">
        <v>2.2130000000000001E-3</v>
      </c>
      <c r="J330" t="s">
        <v>1382</v>
      </c>
      <c r="K330" t="s">
        <v>1417</v>
      </c>
      <c r="L330">
        <f t="shared" si="8"/>
        <v>3.8599999999999997E-3</v>
      </c>
      <c r="N330">
        <v>9.5500000000000007</v>
      </c>
      <c r="O330">
        <v>90.6</v>
      </c>
      <c r="P330" t="s">
        <v>1475</v>
      </c>
      <c r="R330" s="2" t="s">
        <v>1438</v>
      </c>
      <c r="T330">
        <v>3842649.0057279998</v>
      </c>
      <c r="U330">
        <v>3842649.0057279998</v>
      </c>
      <c r="V330">
        <v>5.7590479814867748E-10</v>
      </c>
      <c r="W330" t="s">
        <v>10</v>
      </c>
      <c r="X330" t="s">
        <v>1456</v>
      </c>
    </row>
    <row r="331" spans="1:24" hidden="1" x14ac:dyDescent="0.35">
      <c r="A331" t="s">
        <v>762</v>
      </c>
      <c r="B331">
        <v>2023</v>
      </c>
      <c r="C331" t="s">
        <v>1309</v>
      </c>
      <c r="D331" t="s">
        <v>1339</v>
      </c>
      <c r="E331" t="s">
        <v>1359</v>
      </c>
      <c r="F331" t="s">
        <v>1368</v>
      </c>
      <c r="G331" t="s">
        <v>1371</v>
      </c>
      <c r="H331">
        <v>2.7004E-2</v>
      </c>
      <c r="J331" t="s">
        <v>1382</v>
      </c>
      <c r="K331" t="s">
        <v>1417</v>
      </c>
      <c r="L331">
        <f t="shared" si="8"/>
        <v>3.8599999999999997E-3</v>
      </c>
      <c r="N331">
        <v>9.5500000000000007</v>
      </c>
      <c r="O331">
        <v>90.6</v>
      </c>
      <c r="P331" t="s">
        <v>1475</v>
      </c>
      <c r="R331" s="2" t="s">
        <v>1438</v>
      </c>
      <c r="T331">
        <v>3842649.0057279998</v>
      </c>
      <c r="U331">
        <v>3842649.0057279998</v>
      </c>
      <c r="V331">
        <v>7.0274438179877487E-9</v>
      </c>
      <c r="W331" t="s">
        <v>10</v>
      </c>
      <c r="X331" t="s">
        <v>1456</v>
      </c>
    </row>
    <row r="332" spans="1:24" hidden="1" x14ac:dyDescent="0.35">
      <c r="A332" t="s">
        <v>763</v>
      </c>
      <c r="B332">
        <v>2023</v>
      </c>
      <c r="C332" t="s">
        <v>1309</v>
      </c>
      <c r="D332" t="s">
        <v>1322</v>
      </c>
      <c r="E332" t="s">
        <v>1359</v>
      </c>
      <c r="F332" t="s">
        <v>1368</v>
      </c>
      <c r="G332" t="s">
        <v>1372</v>
      </c>
      <c r="H332">
        <v>0.19403000000000001</v>
      </c>
      <c r="J332" t="s">
        <v>1382</v>
      </c>
      <c r="K332" t="s">
        <v>1417</v>
      </c>
      <c r="L332">
        <f t="shared" si="8"/>
        <v>3.8599999999999997E-3</v>
      </c>
      <c r="N332">
        <v>9.5500000000000007</v>
      </c>
      <c r="O332">
        <v>90.6</v>
      </c>
      <c r="P332" t="s">
        <v>1475</v>
      </c>
      <c r="R332" s="2" t="s">
        <v>1438</v>
      </c>
      <c r="T332">
        <v>3842649.0057279998</v>
      </c>
      <c r="U332">
        <v>3842649.0057279998</v>
      </c>
      <c r="V332">
        <v>5.0493812916759113E-8</v>
      </c>
      <c r="W332" t="s">
        <v>10</v>
      </c>
      <c r="X332" t="s">
        <v>1457</v>
      </c>
    </row>
    <row r="333" spans="1:24" hidden="1" x14ac:dyDescent="0.35">
      <c r="A333" t="s">
        <v>764</v>
      </c>
      <c r="B333">
        <v>2023</v>
      </c>
      <c r="C333" t="s">
        <v>1309</v>
      </c>
      <c r="D333" t="s">
        <v>1323</v>
      </c>
      <c r="E333" t="s">
        <v>1359</v>
      </c>
      <c r="F333" t="s">
        <v>1368</v>
      </c>
      <c r="G333" t="s">
        <v>1371</v>
      </c>
      <c r="H333">
        <v>0.42217399999999999</v>
      </c>
      <c r="J333" t="s">
        <v>1382</v>
      </c>
      <c r="K333" t="s">
        <v>1417</v>
      </c>
      <c r="L333">
        <f t="shared" si="8"/>
        <v>3.8599999999999997E-3</v>
      </c>
      <c r="N333">
        <v>9.5500000000000007</v>
      </c>
      <c r="O333">
        <v>90.6</v>
      </c>
      <c r="P333" t="s">
        <v>1475</v>
      </c>
      <c r="R333" s="2" t="s">
        <v>1438</v>
      </c>
      <c r="T333">
        <v>3842649.0057279998</v>
      </c>
      <c r="U333">
        <v>3842649.0057279998</v>
      </c>
      <c r="V333">
        <v>1.098653557404518E-7</v>
      </c>
      <c r="W333" t="s">
        <v>10</v>
      </c>
      <c r="X333" t="s">
        <v>1456</v>
      </c>
    </row>
    <row r="334" spans="1:24" hidden="1" x14ac:dyDescent="0.35">
      <c r="A334" t="s">
        <v>765</v>
      </c>
      <c r="B334">
        <v>2023</v>
      </c>
      <c r="C334" t="s">
        <v>1309</v>
      </c>
      <c r="D334" t="s">
        <v>1324</v>
      </c>
      <c r="E334" t="s">
        <v>1359</v>
      </c>
      <c r="F334" t="s">
        <v>1368</v>
      </c>
      <c r="G334" t="s">
        <v>1371</v>
      </c>
      <c r="H334">
        <v>2.2557000000000001E-2</v>
      </c>
      <c r="J334" t="s">
        <v>1382</v>
      </c>
      <c r="K334" t="s">
        <v>1417</v>
      </c>
      <c r="L334">
        <f t="shared" si="8"/>
        <v>3.8599999999999997E-3</v>
      </c>
      <c r="N334">
        <v>9.5500000000000007</v>
      </c>
      <c r="O334">
        <v>90.6</v>
      </c>
      <c r="P334" t="s">
        <v>1475</v>
      </c>
      <c r="R334" s="2" t="s">
        <v>1438</v>
      </c>
      <c r="T334">
        <v>3842649.0057279998</v>
      </c>
      <c r="U334">
        <v>3842649.0057279998</v>
      </c>
      <c r="V334">
        <v>5.8701692416808493E-9</v>
      </c>
      <c r="W334" t="s">
        <v>10</v>
      </c>
      <c r="X334" t="s">
        <v>1456</v>
      </c>
    </row>
    <row r="335" spans="1:24" hidden="1" x14ac:dyDescent="0.35">
      <c r="A335" t="s">
        <v>766</v>
      </c>
      <c r="B335">
        <v>2023</v>
      </c>
      <c r="C335" t="s">
        <v>1309</v>
      </c>
      <c r="D335" t="s">
        <v>1332</v>
      </c>
      <c r="E335" t="s">
        <v>1359</v>
      </c>
      <c r="F335" t="s">
        <v>1368</v>
      </c>
      <c r="G335" t="s">
        <v>1371</v>
      </c>
      <c r="H335">
        <v>2.2409999999999999E-3</v>
      </c>
      <c r="J335" t="s">
        <v>1382</v>
      </c>
      <c r="K335" t="s">
        <v>1417</v>
      </c>
      <c r="L335">
        <f t="shared" si="8"/>
        <v>3.8599999999999997E-3</v>
      </c>
      <c r="N335">
        <v>9.5500000000000007</v>
      </c>
      <c r="O335">
        <v>90.6</v>
      </c>
      <c r="P335" t="s">
        <v>1475</v>
      </c>
      <c r="R335" s="2" t="s">
        <v>1438</v>
      </c>
      <c r="T335">
        <v>3842649.0057279998</v>
      </c>
      <c r="U335">
        <v>3842649.0057279998</v>
      </c>
      <c r="V335">
        <v>5.8319143816140366E-10</v>
      </c>
      <c r="W335" t="s">
        <v>10</v>
      </c>
      <c r="X335" t="s">
        <v>1456</v>
      </c>
    </row>
    <row r="336" spans="1:24" hidden="1" x14ac:dyDescent="0.35">
      <c r="A336" t="s">
        <v>767</v>
      </c>
      <c r="B336">
        <v>2023</v>
      </c>
      <c r="C336" t="s">
        <v>1309</v>
      </c>
      <c r="D336" t="s">
        <v>1325</v>
      </c>
      <c r="E336" t="s">
        <v>1359</v>
      </c>
      <c r="F336" t="s">
        <v>1368</v>
      </c>
      <c r="G336" t="s">
        <v>1372</v>
      </c>
      <c r="H336">
        <v>0.29982799999999998</v>
      </c>
      <c r="J336" t="s">
        <v>1382</v>
      </c>
      <c r="K336" t="s">
        <v>1417</v>
      </c>
      <c r="L336">
        <f t="shared" si="8"/>
        <v>3.8599999999999997E-3</v>
      </c>
      <c r="N336">
        <v>9.5500000000000007</v>
      </c>
      <c r="O336">
        <v>90.6</v>
      </c>
      <c r="P336" t="s">
        <v>1475</v>
      </c>
      <c r="R336" s="2" t="s">
        <v>1438</v>
      </c>
      <c r="T336">
        <v>3842649.0057279998</v>
      </c>
      <c r="U336">
        <v>3842649.0057279998</v>
      </c>
      <c r="V336">
        <v>7.8026382204844856E-8</v>
      </c>
      <c r="W336" t="s">
        <v>10</v>
      </c>
      <c r="X336" t="s">
        <v>1457</v>
      </c>
    </row>
    <row r="337" spans="1:24" hidden="1" x14ac:dyDescent="0.35">
      <c r="A337" t="s">
        <v>768</v>
      </c>
      <c r="B337">
        <v>2023</v>
      </c>
      <c r="C337" t="s">
        <v>1309</v>
      </c>
      <c r="D337" t="s">
        <v>1334</v>
      </c>
      <c r="E337" t="s">
        <v>1359</v>
      </c>
      <c r="F337" t="s">
        <v>1368</v>
      </c>
      <c r="G337" t="s">
        <v>1372</v>
      </c>
      <c r="H337">
        <v>2.9394E-2</v>
      </c>
      <c r="J337" t="s">
        <v>1382</v>
      </c>
      <c r="K337" t="s">
        <v>1417</v>
      </c>
      <c r="L337">
        <f t="shared" si="8"/>
        <v>3.8599999999999997E-3</v>
      </c>
      <c r="N337">
        <v>9.5500000000000007</v>
      </c>
      <c r="O337">
        <v>90.6</v>
      </c>
      <c r="P337" t="s">
        <v>1475</v>
      </c>
      <c r="R337" s="2" t="s">
        <v>1438</v>
      </c>
      <c r="T337">
        <v>3842649.0057279998</v>
      </c>
      <c r="U337">
        <v>3842649.0057279998</v>
      </c>
      <c r="V337">
        <v>7.6494105905025882E-9</v>
      </c>
      <c r="W337" t="s">
        <v>10</v>
      </c>
      <c r="X337" t="s">
        <v>1457</v>
      </c>
    </row>
    <row r="338" spans="1:24" hidden="1" x14ac:dyDescent="0.35">
      <c r="A338" t="s">
        <v>769</v>
      </c>
      <c r="B338">
        <v>2023</v>
      </c>
      <c r="C338" t="s">
        <v>1309</v>
      </c>
      <c r="D338" t="s">
        <v>1326</v>
      </c>
      <c r="E338" t="s">
        <v>1359</v>
      </c>
      <c r="F338" t="s">
        <v>1368</v>
      </c>
      <c r="G338" t="s">
        <v>1371</v>
      </c>
      <c r="H338">
        <v>1.3240999999999999E-2</v>
      </c>
      <c r="J338" t="s">
        <v>1382</v>
      </c>
      <c r="K338" t="s">
        <v>1417</v>
      </c>
      <c r="L338">
        <f t="shared" si="8"/>
        <v>3.8599999999999997E-3</v>
      </c>
      <c r="N338">
        <v>9.5500000000000007</v>
      </c>
      <c r="O338">
        <v>90.6</v>
      </c>
      <c r="P338" t="s">
        <v>1475</v>
      </c>
      <c r="R338" s="2" t="s">
        <v>1438</v>
      </c>
      <c r="T338">
        <v>3842649.0057279998</v>
      </c>
      <c r="U338">
        <v>3842649.0057279998</v>
      </c>
      <c r="V338">
        <v>3.445800014589534E-9</v>
      </c>
      <c r="W338" t="s">
        <v>10</v>
      </c>
      <c r="X338" t="s">
        <v>1456</v>
      </c>
    </row>
    <row r="339" spans="1:24" hidden="1" x14ac:dyDescent="0.35">
      <c r="A339" t="s">
        <v>981</v>
      </c>
      <c r="B339">
        <v>2023</v>
      </c>
      <c r="C339" t="s">
        <v>1310</v>
      </c>
      <c r="D339" t="s">
        <v>1344</v>
      </c>
      <c r="E339" t="s">
        <v>1359</v>
      </c>
      <c r="F339" t="s">
        <v>1369</v>
      </c>
      <c r="G339" t="s">
        <v>1371</v>
      </c>
      <c r="H339">
        <v>0.62039999999999995</v>
      </c>
      <c r="J339" t="s">
        <v>1382</v>
      </c>
      <c r="K339" t="s">
        <v>1417</v>
      </c>
      <c r="L339">
        <f t="shared" si="8"/>
        <v>3.8599999999999997E-3</v>
      </c>
      <c r="N339">
        <v>9.5500000000000007</v>
      </c>
      <c r="O339">
        <v>90.6</v>
      </c>
      <c r="P339" t="s">
        <v>1475</v>
      </c>
      <c r="R339" s="2" t="s">
        <v>1438</v>
      </c>
      <c r="T339">
        <v>3842649.0057279998</v>
      </c>
      <c r="U339">
        <v>3842649.0057279998</v>
      </c>
      <c r="V339">
        <v>1.6145112371054651E-7</v>
      </c>
      <c r="W339" t="s">
        <v>10</v>
      </c>
      <c r="X339" t="s">
        <v>1456</v>
      </c>
    </row>
    <row r="340" spans="1:24" hidden="1" x14ac:dyDescent="0.35">
      <c r="A340" t="s">
        <v>1029</v>
      </c>
      <c r="B340">
        <v>2023</v>
      </c>
      <c r="C340" t="s">
        <v>1308</v>
      </c>
      <c r="D340" t="s">
        <v>1347</v>
      </c>
      <c r="E340" t="s">
        <v>1359</v>
      </c>
      <c r="F340" t="s">
        <v>1370</v>
      </c>
      <c r="G340" t="s">
        <v>1375</v>
      </c>
      <c r="H340">
        <v>253810</v>
      </c>
      <c r="J340" t="s">
        <v>1382</v>
      </c>
      <c r="K340" t="s">
        <v>1417</v>
      </c>
      <c r="L340">
        <f t="shared" si="8"/>
        <v>3.8599999999999997E-3</v>
      </c>
      <c r="N340">
        <v>9.5500000000000007</v>
      </c>
      <c r="O340">
        <v>90.6</v>
      </c>
      <c r="P340" t="s">
        <v>1475</v>
      </c>
      <c r="R340" s="2" t="s">
        <v>1439</v>
      </c>
      <c r="T340">
        <v>3842649.0057279998</v>
      </c>
      <c r="U340">
        <v>3842649.0057279998</v>
      </c>
      <c r="V340">
        <v>6.6050789343929439E-2</v>
      </c>
      <c r="W340" t="s">
        <v>10</v>
      </c>
      <c r="X340" t="s">
        <v>1460</v>
      </c>
    </row>
    <row r="341" spans="1:24" hidden="1" x14ac:dyDescent="0.35">
      <c r="A341" t="s">
        <v>1086</v>
      </c>
      <c r="B341">
        <v>2023</v>
      </c>
      <c r="C341" t="s">
        <v>1308</v>
      </c>
      <c r="D341" t="s">
        <v>1348</v>
      </c>
      <c r="E341" t="s">
        <v>1359</v>
      </c>
      <c r="G341" t="s">
        <v>1371</v>
      </c>
      <c r="H341">
        <v>3625</v>
      </c>
      <c r="I341" t="s">
        <v>1379</v>
      </c>
      <c r="J341" t="s">
        <v>1413</v>
      </c>
      <c r="L341">
        <f>6.11/1000</f>
        <v>6.11E-3</v>
      </c>
      <c r="O341">
        <v>96.6</v>
      </c>
      <c r="Q341" t="s">
        <v>1422</v>
      </c>
      <c r="R341" t="s">
        <v>1440</v>
      </c>
      <c r="S341">
        <v>1918143</v>
      </c>
      <c r="U341">
        <v>1918143</v>
      </c>
      <c r="V341">
        <v>1.88984867134515E-3</v>
      </c>
      <c r="W341" t="s">
        <v>9</v>
      </c>
      <c r="X341" t="s">
        <v>1456</v>
      </c>
    </row>
    <row r="342" spans="1:24" hidden="1" x14ac:dyDescent="0.35">
      <c r="A342" t="s">
        <v>1087</v>
      </c>
      <c r="B342">
        <v>2023</v>
      </c>
      <c r="C342" t="s">
        <v>1308</v>
      </c>
      <c r="D342" t="s">
        <v>1349</v>
      </c>
      <c r="E342" t="s">
        <v>1359</v>
      </c>
      <c r="G342" t="s">
        <v>1371</v>
      </c>
      <c r="H342">
        <v>238</v>
      </c>
      <c r="I342" t="s">
        <v>1379</v>
      </c>
      <c r="J342" t="s">
        <v>1413</v>
      </c>
      <c r="L342">
        <f t="shared" ref="L342:L349" si="9">6.11/1000</f>
        <v>6.11E-3</v>
      </c>
      <c r="O342">
        <v>96.6</v>
      </c>
      <c r="Q342" t="s">
        <v>1422</v>
      </c>
      <c r="R342" t="s">
        <v>1440</v>
      </c>
      <c r="S342">
        <v>1918143</v>
      </c>
      <c r="U342">
        <v>1918143</v>
      </c>
      <c r="V342">
        <v>1.240783403531436E-4</v>
      </c>
      <c r="W342" t="s">
        <v>9</v>
      </c>
      <c r="X342" t="s">
        <v>1456</v>
      </c>
    </row>
    <row r="343" spans="1:24" hidden="1" x14ac:dyDescent="0.35">
      <c r="A343" t="s">
        <v>1088</v>
      </c>
      <c r="B343">
        <v>2023</v>
      </c>
      <c r="C343" t="s">
        <v>1309</v>
      </c>
      <c r="D343" t="s">
        <v>1350</v>
      </c>
      <c r="E343" t="s">
        <v>1360</v>
      </c>
      <c r="G343" t="s">
        <v>1376</v>
      </c>
      <c r="H343">
        <v>525400</v>
      </c>
      <c r="J343" t="s">
        <v>1413</v>
      </c>
      <c r="L343">
        <f t="shared" si="9"/>
        <v>6.11E-3</v>
      </c>
      <c r="O343">
        <v>96.6</v>
      </c>
      <c r="Q343" t="s">
        <v>1422</v>
      </c>
      <c r="R343" t="s">
        <v>1440</v>
      </c>
      <c r="S343">
        <v>1918143</v>
      </c>
      <c r="U343">
        <v>1918143</v>
      </c>
      <c r="V343">
        <v>0.2739107563930322</v>
      </c>
      <c r="W343" t="s">
        <v>9</v>
      </c>
      <c r="X343" t="s">
        <v>1461</v>
      </c>
    </row>
    <row r="344" spans="1:24" hidden="1" x14ac:dyDescent="0.35">
      <c r="A344" t="s">
        <v>1089</v>
      </c>
      <c r="B344">
        <v>2023</v>
      </c>
      <c r="C344" t="s">
        <v>1309</v>
      </c>
      <c r="D344" t="s">
        <v>1350</v>
      </c>
      <c r="E344" t="s">
        <v>1360</v>
      </c>
      <c r="G344" t="s">
        <v>1376</v>
      </c>
      <c r="H344">
        <v>525400</v>
      </c>
      <c r="J344" t="s">
        <v>1413</v>
      </c>
      <c r="L344">
        <f t="shared" si="9"/>
        <v>6.11E-3</v>
      </c>
      <c r="O344">
        <v>96.6</v>
      </c>
      <c r="Q344" t="s">
        <v>1422</v>
      </c>
      <c r="R344" t="s">
        <v>1440</v>
      </c>
      <c r="S344">
        <v>1918143</v>
      </c>
      <c r="U344">
        <v>1918143</v>
      </c>
      <c r="V344">
        <v>0.2739107563930322</v>
      </c>
      <c r="W344" t="s">
        <v>9</v>
      </c>
      <c r="X344" t="s">
        <v>1461</v>
      </c>
    </row>
    <row r="345" spans="1:24" hidden="1" x14ac:dyDescent="0.35">
      <c r="A345" t="s">
        <v>1090</v>
      </c>
      <c r="B345">
        <v>2023</v>
      </c>
      <c r="C345" t="s">
        <v>1309</v>
      </c>
      <c r="D345" t="s">
        <v>1350</v>
      </c>
      <c r="E345" t="s">
        <v>1361</v>
      </c>
      <c r="G345" t="s">
        <v>1376</v>
      </c>
      <c r="H345">
        <v>454993</v>
      </c>
      <c r="J345" t="s">
        <v>1413</v>
      </c>
      <c r="L345">
        <f t="shared" si="9"/>
        <v>6.11E-3</v>
      </c>
      <c r="O345">
        <v>96.6</v>
      </c>
      <c r="Q345" t="s">
        <v>1422</v>
      </c>
      <c r="R345" t="s">
        <v>1440</v>
      </c>
      <c r="S345">
        <v>1918143</v>
      </c>
      <c r="U345">
        <v>1918143</v>
      </c>
      <c r="V345">
        <v>0.2372049424886466</v>
      </c>
      <c r="W345" t="s">
        <v>9</v>
      </c>
      <c r="X345" t="s">
        <v>1461</v>
      </c>
    </row>
    <row r="346" spans="1:24" hidden="1" x14ac:dyDescent="0.35">
      <c r="A346" t="s">
        <v>1091</v>
      </c>
      <c r="B346">
        <v>2023</v>
      </c>
      <c r="C346" t="s">
        <v>1309</v>
      </c>
      <c r="D346" t="s">
        <v>1350</v>
      </c>
      <c r="E346" t="s">
        <v>1362</v>
      </c>
      <c r="G346" t="s">
        <v>1376</v>
      </c>
      <c r="H346">
        <v>419380</v>
      </c>
      <c r="J346" t="s">
        <v>1413</v>
      </c>
      <c r="L346">
        <f t="shared" si="9"/>
        <v>6.11E-3</v>
      </c>
      <c r="O346">
        <v>96.6</v>
      </c>
      <c r="Q346" t="s">
        <v>1422</v>
      </c>
      <c r="R346" t="s">
        <v>1440</v>
      </c>
      <c r="S346">
        <v>1918143</v>
      </c>
      <c r="U346">
        <v>1918143</v>
      </c>
      <c r="V346">
        <v>0.2186385478037873</v>
      </c>
      <c r="W346" t="s">
        <v>9</v>
      </c>
      <c r="X346" t="s">
        <v>1461</v>
      </c>
    </row>
    <row r="347" spans="1:24" hidden="1" x14ac:dyDescent="0.35">
      <c r="A347" t="s">
        <v>1092</v>
      </c>
      <c r="B347">
        <v>2023</v>
      </c>
      <c r="C347" t="s">
        <v>1310</v>
      </c>
      <c r="E347" t="s">
        <v>1363</v>
      </c>
      <c r="G347" t="s">
        <v>1377</v>
      </c>
      <c r="H347">
        <v>906.75</v>
      </c>
      <c r="J347" t="s">
        <v>1413</v>
      </c>
      <c r="L347">
        <f t="shared" si="9"/>
        <v>6.11E-3</v>
      </c>
      <c r="O347">
        <v>96.6</v>
      </c>
      <c r="Q347" t="s">
        <v>1422</v>
      </c>
      <c r="R347" t="s">
        <v>1440</v>
      </c>
      <c r="S347">
        <v>1918143</v>
      </c>
      <c r="U347">
        <v>1918143</v>
      </c>
      <c r="V347">
        <v>4.7272283661854199E-4</v>
      </c>
      <c r="W347" t="s">
        <v>9</v>
      </c>
      <c r="X347" t="s">
        <v>1462</v>
      </c>
    </row>
    <row r="348" spans="1:24" hidden="1" x14ac:dyDescent="0.35">
      <c r="A348" t="s">
        <v>1093</v>
      </c>
      <c r="B348">
        <v>2023</v>
      </c>
      <c r="C348" t="s">
        <v>1310</v>
      </c>
      <c r="E348" t="s">
        <v>1363</v>
      </c>
      <c r="G348" t="s">
        <v>1377</v>
      </c>
      <c r="H348">
        <v>633</v>
      </c>
      <c r="J348" t="s">
        <v>1413</v>
      </c>
      <c r="L348">
        <f t="shared" si="9"/>
        <v>6.11E-3</v>
      </c>
      <c r="O348">
        <v>96.6</v>
      </c>
      <c r="Q348" t="s">
        <v>1422</v>
      </c>
      <c r="R348" t="s">
        <v>1440</v>
      </c>
      <c r="S348">
        <v>1918143</v>
      </c>
      <c r="U348">
        <v>1918143</v>
      </c>
      <c r="V348">
        <v>3.3000667833420129E-4</v>
      </c>
      <c r="W348" t="s">
        <v>9</v>
      </c>
      <c r="X348" t="s">
        <v>1462</v>
      </c>
    </row>
    <row r="349" spans="1:24" hidden="1" x14ac:dyDescent="0.35">
      <c r="A349" t="s">
        <v>1094</v>
      </c>
      <c r="B349">
        <v>2023</v>
      </c>
      <c r="C349" t="s">
        <v>1310</v>
      </c>
      <c r="E349" t="s">
        <v>1363</v>
      </c>
      <c r="G349" t="s">
        <v>1377</v>
      </c>
      <c r="H349">
        <v>273.75</v>
      </c>
      <c r="J349" t="s">
        <v>1413</v>
      </c>
      <c r="L349">
        <f t="shared" si="9"/>
        <v>6.11E-3</v>
      </c>
      <c r="O349">
        <v>96.6</v>
      </c>
      <c r="Q349" t="s">
        <v>1422</v>
      </c>
      <c r="R349" t="s">
        <v>1440</v>
      </c>
      <c r="S349">
        <v>1918143</v>
      </c>
      <c r="U349">
        <v>1918143</v>
      </c>
      <c r="V349">
        <v>1.4271615828434061E-4</v>
      </c>
      <c r="W349" t="s">
        <v>9</v>
      </c>
      <c r="X349" t="s">
        <v>1462</v>
      </c>
    </row>
    <row r="350" spans="1:24" hidden="1" x14ac:dyDescent="0.35">
      <c r="A350" t="s">
        <v>223</v>
      </c>
      <c r="B350">
        <v>2023</v>
      </c>
      <c r="C350" t="s">
        <v>1308</v>
      </c>
      <c r="D350" t="s">
        <v>1327</v>
      </c>
      <c r="E350" t="s">
        <v>1359</v>
      </c>
      <c r="F350" t="s">
        <v>1364</v>
      </c>
      <c r="G350" t="s">
        <v>1371</v>
      </c>
      <c r="H350">
        <v>0.77</v>
      </c>
      <c r="J350" t="s">
        <v>1397</v>
      </c>
      <c r="L350">
        <f>0.99/1000</f>
        <v>9.8999999999999999E-4</v>
      </c>
      <c r="N350">
        <v>3.47</v>
      </c>
      <c r="O350">
        <v>91</v>
      </c>
      <c r="R350" s="2" t="s">
        <v>1438</v>
      </c>
      <c r="S350">
        <v>8764000</v>
      </c>
      <c r="U350">
        <v>8764000</v>
      </c>
      <c r="V350">
        <v>8.7859424920127797E-8</v>
      </c>
      <c r="W350" t="s">
        <v>9</v>
      </c>
      <c r="X350" t="s">
        <v>1456</v>
      </c>
    </row>
    <row r="351" spans="1:24" hidden="1" x14ac:dyDescent="0.35">
      <c r="A351" t="s">
        <v>226</v>
      </c>
      <c r="B351">
        <v>2023</v>
      </c>
      <c r="C351" t="s">
        <v>1308</v>
      </c>
      <c r="D351" t="s">
        <v>1311</v>
      </c>
      <c r="E351" t="s">
        <v>1359</v>
      </c>
      <c r="F351" t="s">
        <v>1364</v>
      </c>
      <c r="G351" t="s">
        <v>1371</v>
      </c>
      <c r="H351">
        <v>7.3310000000000004</v>
      </c>
      <c r="J351" t="s">
        <v>1397</v>
      </c>
      <c r="L351">
        <f t="shared" ref="L351:L375" si="10">0.99/1000</f>
        <v>9.8999999999999999E-4</v>
      </c>
      <c r="N351">
        <v>3.47</v>
      </c>
      <c r="O351">
        <v>91</v>
      </c>
      <c r="R351" s="2" t="s">
        <v>1438</v>
      </c>
      <c r="S351">
        <v>8764000</v>
      </c>
      <c r="U351">
        <v>8764000</v>
      </c>
      <c r="V351">
        <v>8.3649018712916483E-7</v>
      </c>
      <c r="W351" t="s">
        <v>9</v>
      </c>
      <c r="X351" t="s">
        <v>1456</v>
      </c>
    </row>
    <row r="352" spans="1:24" hidden="1" x14ac:dyDescent="0.35">
      <c r="A352" t="s">
        <v>230</v>
      </c>
      <c r="B352">
        <v>2023</v>
      </c>
      <c r="C352" t="s">
        <v>1308</v>
      </c>
      <c r="D352" t="s">
        <v>1321</v>
      </c>
      <c r="E352" t="s">
        <v>1359</v>
      </c>
      <c r="F352" t="s">
        <v>1364</v>
      </c>
      <c r="G352" t="s">
        <v>1371</v>
      </c>
      <c r="H352">
        <v>0.44500000000000001</v>
      </c>
      <c r="J352" t="s">
        <v>1397</v>
      </c>
      <c r="L352">
        <f t="shared" si="10"/>
        <v>9.8999999999999999E-4</v>
      </c>
      <c r="N352">
        <v>3.47</v>
      </c>
      <c r="O352">
        <v>91</v>
      </c>
      <c r="R352" s="2" t="s">
        <v>1438</v>
      </c>
      <c r="S352">
        <v>8764000</v>
      </c>
      <c r="U352">
        <v>8764000</v>
      </c>
      <c r="V352">
        <v>5.0775901414879049E-8</v>
      </c>
      <c r="W352" t="s">
        <v>9</v>
      </c>
      <c r="X352" t="s">
        <v>1456</v>
      </c>
    </row>
    <row r="353" spans="1:24" hidden="1" x14ac:dyDescent="0.35">
      <c r="A353" t="s">
        <v>235</v>
      </c>
      <c r="B353">
        <v>2023</v>
      </c>
      <c r="C353" t="s">
        <v>1308</v>
      </c>
      <c r="D353" t="s">
        <v>1312</v>
      </c>
      <c r="E353" t="s">
        <v>1359</v>
      </c>
      <c r="F353" t="s">
        <v>1364</v>
      </c>
      <c r="G353" t="s">
        <v>1371</v>
      </c>
      <c r="H353">
        <v>62.411999999999999</v>
      </c>
      <c r="J353" t="s">
        <v>1397</v>
      </c>
      <c r="L353">
        <f t="shared" si="10"/>
        <v>9.8999999999999999E-4</v>
      </c>
      <c r="N353">
        <v>3.47</v>
      </c>
      <c r="O353">
        <v>91</v>
      </c>
      <c r="R353" s="2" t="s">
        <v>1438</v>
      </c>
      <c r="S353">
        <v>8764000</v>
      </c>
      <c r="U353">
        <v>8764000</v>
      </c>
      <c r="V353">
        <v>7.1214057507987216E-6</v>
      </c>
      <c r="W353" t="s">
        <v>9</v>
      </c>
      <c r="X353" t="s">
        <v>1456</v>
      </c>
    </row>
    <row r="354" spans="1:24" hidden="1" x14ac:dyDescent="0.35">
      <c r="A354" t="s">
        <v>238</v>
      </c>
      <c r="B354">
        <v>2023</v>
      </c>
      <c r="C354" t="s">
        <v>1308</v>
      </c>
      <c r="D354" t="s">
        <v>1313</v>
      </c>
      <c r="E354" t="s">
        <v>1359</v>
      </c>
      <c r="F354" t="s">
        <v>1364</v>
      </c>
      <c r="G354" t="s">
        <v>1371</v>
      </c>
      <c r="H354">
        <v>1.5329999999999999</v>
      </c>
      <c r="J354" t="s">
        <v>1397</v>
      </c>
      <c r="L354">
        <f t="shared" si="10"/>
        <v>9.8999999999999999E-4</v>
      </c>
      <c r="N354">
        <v>3.47</v>
      </c>
      <c r="O354">
        <v>91</v>
      </c>
      <c r="R354" s="2" t="s">
        <v>1438</v>
      </c>
      <c r="S354">
        <v>8764000</v>
      </c>
      <c r="U354">
        <v>8764000</v>
      </c>
      <c r="V354">
        <v>1.7492012779552709E-7</v>
      </c>
      <c r="W354" t="s">
        <v>9</v>
      </c>
      <c r="X354" t="s">
        <v>1456</v>
      </c>
    </row>
    <row r="355" spans="1:24" hidden="1" x14ac:dyDescent="0.35">
      <c r="A355" t="s">
        <v>240</v>
      </c>
      <c r="B355">
        <v>2023</v>
      </c>
      <c r="C355" t="s">
        <v>1308</v>
      </c>
      <c r="D355" t="s">
        <v>1314</v>
      </c>
      <c r="E355" t="s">
        <v>1359</v>
      </c>
      <c r="F355" t="s">
        <v>1364</v>
      </c>
      <c r="G355" t="s">
        <v>1371</v>
      </c>
      <c r="H355">
        <v>1.5329999999999999</v>
      </c>
      <c r="J355" t="s">
        <v>1397</v>
      </c>
      <c r="L355">
        <f t="shared" si="10"/>
        <v>9.8999999999999999E-4</v>
      </c>
      <c r="N355">
        <v>3.47</v>
      </c>
      <c r="O355">
        <v>91</v>
      </c>
      <c r="R355" s="2" t="s">
        <v>1438</v>
      </c>
      <c r="S355">
        <v>8764000</v>
      </c>
      <c r="U355">
        <v>8764000</v>
      </c>
      <c r="V355">
        <v>1.7492012779552709E-7</v>
      </c>
      <c r="W355" t="s">
        <v>9</v>
      </c>
      <c r="X355" t="s">
        <v>1456</v>
      </c>
    </row>
    <row r="356" spans="1:24" hidden="1" x14ac:dyDescent="0.35">
      <c r="A356" t="s">
        <v>242</v>
      </c>
      <c r="B356">
        <v>2023</v>
      </c>
      <c r="C356" t="s">
        <v>1308</v>
      </c>
      <c r="D356" t="s">
        <v>1337</v>
      </c>
      <c r="E356" t="s">
        <v>1359</v>
      </c>
      <c r="F356" t="s">
        <v>1364</v>
      </c>
      <c r="G356" t="s">
        <v>1371</v>
      </c>
      <c r="H356">
        <v>1.484</v>
      </c>
      <c r="J356" t="s">
        <v>1397</v>
      </c>
      <c r="L356">
        <f t="shared" si="10"/>
        <v>9.8999999999999999E-4</v>
      </c>
      <c r="N356">
        <v>3.47</v>
      </c>
      <c r="O356">
        <v>91</v>
      </c>
      <c r="R356" s="2" t="s">
        <v>1438</v>
      </c>
      <c r="S356">
        <v>8764000</v>
      </c>
      <c r="U356">
        <v>8764000</v>
      </c>
      <c r="V356">
        <v>1.6932907348242811E-7</v>
      </c>
      <c r="W356" t="s">
        <v>9</v>
      </c>
      <c r="X356" t="s">
        <v>1456</v>
      </c>
    </row>
    <row r="357" spans="1:24" hidden="1" x14ac:dyDescent="0.35">
      <c r="A357" t="s">
        <v>244</v>
      </c>
      <c r="B357">
        <v>2023</v>
      </c>
      <c r="C357" t="s">
        <v>1308</v>
      </c>
      <c r="D357" t="s">
        <v>1315</v>
      </c>
      <c r="E357" t="s">
        <v>1359</v>
      </c>
      <c r="F357" t="s">
        <v>1364</v>
      </c>
      <c r="G357" t="s">
        <v>1371</v>
      </c>
      <c r="H357">
        <v>1.5329999999999999</v>
      </c>
      <c r="J357" t="s">
        <v>1397</v>
      </c>
      <c r="L357">
        <f t="shared" si="10"/>
        <v>9.8999999999999999E-4</v>
      </c>
      <c r="N357">
        <v>3.47</v>
      </c>
      <c r="O357">
        <v>91</v>
      </c>
      <c r="R357" s="2" t="s">
        <v>1438</v>
      </c>
      <c r="S357">
        <v>8764000</v>
      </c>
      <c r="U357">
        <v>8764000</v>
      </c>
      <c r="V357">
        <v>1.7492012779552709E-7</v>
      </c>
      <c r="W357" t="s">
        <v>9</v>
      </c>
      <c r="X357" t="s">
        <v>1456</v>
      </c>
    </row>
    <row r="358" spans="1:24" hidden="1" x14ac:dyDescent="0.35">
      <c r="A358" t="s">
        <v>323</v>
      </c>
      <c r="B358">
        <v>2023</v>
      </c>
      <c r="C358" t="s">
        <v>1308</v>
      </c>
      <c r="D358" t="s">
        <v>1313</v>
      </c>
      <c r="E358" t="s">
        <v>1359</v>
      </c>
      <c r="F358" t="s">
        <v>1365</v>
      </c>
      <c r="G358" t="s">
        <v>1371</v>
      </c>
      <c r="H358">
        <v>16.22</v>
      </c>
      <c r="J358" t="s">
        <v>1397</v>
      </c>
      <c r="L358">
        <f t="shared" si="10"/>
        <v>9.8999999999999999E-4</v>
      </c>
      <c r="N358">
        <v>3.47</v>
      </c>
      <c r="O358">
        <v>91</v>
      </c>
      <c r="R358" s="2" t="s">
        <v>1438</v>
      </c>
      <c r="S358">
        <v>8764000</v>
      </c>
      <c r="U358">
        <v>8764000</v>
      </c>
      <c r="V358">
        <v>1.8507530807850291E-6</v>
      </c>
      <c r="W358" t="s">
        <v>9</v>
      </c>
      <c r="X358" t="s">
        <v>1456</v>
      </c>
    </row>
    <row r="359" spans="1:24" hidden="1" x14ac:dyDescent="0.35">
      <c r="A359" t="s">
        <v>324</v>
      </c>
      <c r="B359">
        <v>2023</v>
      </c>
      <c r="C359" t="s">
        <v>1308</v>
      </c>
      <c r="D359" t="s">
        <v>1314</v>
      </c>
      <c r="E359" t="s">
        <v>1359</v>
      </c>
      <c r="F359" t="s">
        <v>1365</v>
      </c>
      <c r="G359" t="s">
        <v>1371</v>
      </c>
      <c r="H359">
        <v>4.5839999999999996</v>
      </c>
      <c r="J359" t="s">
        <v>1397</v>
      </c>
      <c r="L359">
        <f t="shared" si="10"/>
        <v>9.8999999999999999E-4</v>
      </c>
      <c r="N359">
        <v>3.47</v>
      </c>
      <c r="O359">
        <v>91</v>
      </c>
      <c r="R359" s="2" t="s">
        <v>1438</v>
      </c>
      <c r="S359">
        <v>8764000</v>
      </c>
      <c r="U359">
        <v>8764000</v>
      </c>
      <c r="V359">
        <v>5.2304883614787769E-7</v>
      </c>
      <c r="W359" t="s">
        <v>9</v>
      </c>
      <c r="X359" t="s">
        <v>1456</v>
      </c>
    </row>
    <row r="360" spans="1:24" hidden="1" x14ac:dyDescent="0.35">
      <c r="A360" t="s">
        <v>325</v>
      </c>
      <c r="B360">
        <v>2023</v>
      </c>
      <c r="C360" t="s">
        <v>1308</v>
      </c>
      <c r="D360" t="s">
        <v>1315</v>
      </c>
      <c r="E360" t="s">
        <v>1359</v>
      </c>
      <c r="F360" t="s">
        <v>1365</v>
      </c>
      <c r="G360" t="s">
        <v>1371</v>
      </c>
      <c r="H360">
        <v>40.549999999999997</v>
      </c>
      <c r="J360" t="s">
        <v>1397</v>
      </c>
      <c r="L360">
        <f t="shared" si="10"/>
        <v>9.8999999999999999E-4</v>
      </c>
      <c r="N360">
        <v>3.47</v>
      </c>
      <c r="O360">
        <v>91</v>
      </c>
      <c r="R360" s="2" t="s">
        <v>1438</v>
      </c>
      <c r="S360">
        <v>8764000</v>
      </c>
      <c r="U360">
        <v>8764000</v>
      </c>
      <c r="V360">
        <v>4.6268827019625737E-6</v>
      </c>
      <c r="W360" t="s">
        <v>9</v>
      </c>
      <c r="X360" t="s">
        <v>1456</v>
      </c>
    </row>
    <row r="361" spans="1:24" hidden="1" x14ac:dyDescent="0.35">
      <c r="A361" t="s">
        <v>608</v>
      </c>
      <c r="B361">
        <v>2023</v>
      </c>
      <c r="C361" t="s">
        <v>1308</v>
      </c>
      <c r="D361" t="s">
        <v>1313</v>
      </c>
      <c r="E361" t="s">
        <v>1359</v>
      </c>
      <c r="F361" t="s">
        <v>1366</v>
      </c>
      <c r="G361" t="s">
        <v>1371</v>
      </c>
      <c r="H361">
        <v>137.14400000000001</v>
      </c>
      <c r="J361" t="s">
        <v>1397</v>
      </c>
      <c r="L361">
        <f t="shared" si="10"/>
        <v>9.8999999999999999E-4</v>
      </c>
      <c r="N361">
        <v>3.47</v>
      </c>
      <c r="O361">
        <v>91</v>
      </c>
      <c r="R361" s="2" t="s">
        <v>1438</v>
      </c>
      <c r="S361">
        <v>8764000</v>
      </c>
      <c r="U361">
        <v>8764000</v>
      </c>
      <c r="V361">
        <v>1.5648562300319489E-5</v>
      </c>
      <c r="W361" t="s">
        <v>9</v>
      </c>
      <c r="X361" t="s">
        <v>1456</v>
      </c>
    </row>
    <row r="362" spans="1:24" hidden="1" x14ac:dyDescent="0.35">
      <c r="A362" t="s">
        <v>610</v>
      </c>
      <c r="B362">
        <v>2023</v>
      </c>
      <c r="C362" t="s">
        <v>1308</v>
      </c>
      <c r="D362" t="s">
        <v>1314</v>
      </c>
      <c r="E362" t="s">
        <v>1359</v>
      </c>
      <c r="F362" t="s">
        <v>1366</v>
      </c>
      <c r="G362" t="s">
        <v>1371</v>
      </c>
      <c r="H362">
        <v>28.949000000000002</v>
      </c>
      <c r="J362" t="s">
        <v>1397</v>
      </c>
      <c r="L362">
        <f t="shared" si="10"/>
        <v>9.8999999999999999E-4</v>
      </c>
      <c r="N362">
        <v>3.47</v>
      </c>
      <c r="O362">
        <v>91</v>
      </c>
      <c r="R362" s="2" t="s">
        <v>1438</v>
      </c>
      <c r="S362">
        <v>8764000</v>
      </c>
      <c r="U362">
        <v>8764000</v>
      </c>
      <c r="V362">
        <v>3.303172067549065E-6</v>
      </c>
      <c r="W362" t="s">
        <v>9</v>
      </c>
      <c r="X362" t="s">
        <v>1456</v>
      </c>
    </row>
    <row r="363" spans="1:24" hidden="1" x14ac:dyDescent="0.35">
      <c r="A363" t="s">
        <v>612</v>
      </c>
      <c r="B363">
        <v>2023</v>
      </c>
      <c r="C363" t="s">
        <v>1308</v>
      </c>
      <c r="D363" t="s">
        <v>1315</v>
      </c>
      <c r="E363" t="s">
        <v>1359</v>
      </c>
      <c r="F363" t="s">
        <v>1366</v>
      </c>
      <c r="G363" t="s">
        <v>1371</v>
      </c>
      <c r="H363">
        <v>378.46499999999997</v>
      </c>
      <c r="J363" t="s">
        <v>1397</v>
      </c>
      <c r="L363">
        <f t="shared" si="10"/>
        <v>9.8999999999999999E-4</v>
      </c>
      <c r="N363">
        <v>3.47</v>
      </c>
      <c r="O363">
        <v>91</v>
      </c>
      <c r="R363" s="2" t="s">
        <v>1438</v>
      </c>
      <c r="S363">
        <v>8764000</v>
      </c>
      <c r="U363">
        <v>8764000</v>
      </c>
      <c r="V363">
        <v>4.3184048379735282E-5</v>
      </c>
      <c r="W363" t="s">
        <v>9</v>
      </c>
      <c r="X363" t="s">
        <v>1456</v>
      </c>
    </row>
    <row r="364" spans="1:24" hidden="1" x14ac:dyDescent="0.35">
      <c r="A364" t="s">
        <v>730</v>
      </c>
      <c r="B364">
        <v>2023</v>
      </c>
      <c r="C364" t="s">
        <v>1308</v>
      </c>
      <c r="D364" t="s">
        <v>1311</v>
      </c>
      <c r="E364" t="s">
        <v>1359</v>
      </c>
      <c r="F364" t="s">
        <v>1367</v>
      </c>
      <c r="G364" t="s">
        <v>1371</v>
      </c>
      <c r="H364">
        <v>243.28399999999999</v>
      </c>
      <c r="J364" t="s">
        <v>1397</v>
      </c>
      <c r="L364">
        <f t="shared" si="10"/>
        <v>9.8999999999999999E-4</v>
      </c>
      <c r="N364">
        <v>3.47</v>
      </c>
      <c r="O364">
        <v>91</v>
      </c>
      <c r="R364" s="2" t="s">
        <v>1438</v>
      </c>
      <c r="S364">
        <v>8764000</v>
      </c>
      <c r="U364">
        <v>8764000</v>
      </c>
      <c r="V364">
        <v>2.775947056138749E-5</v>
      </c>
      <c r="W364" t="s">
        <v>9</v>
      </c>
      <c r="X364" t="s">
        <v>1456</v>
      </c>
    </row>
    <row r="365" spans="1:24" hidden="1" x14ac:dyDescent="0.35">
      <c r="A365" t="s">
        <v>731</v>
      </c>
      <c r="B365">
        <v>2023</v>
      </c>
      <c r="C365" t="s">
        <v>1308</v>
      </c>
      <c r="D365" t="s">
        <v>1313</v>
      </c>
      <c r="E365" t="s">
        <v>1359</v>
      </c>
      <c r="F365" t="s">
        <v>1367</v>
      </c>
      <c r="G365" t="s">
        <v>1371</v>
      </c>
      <c r="H365">
        <v>12.102</v>
      </c>
      <c r="J365" t="s">
        <v>1397</v>
      </c>
      <c r="L365">
        <f t="shared" si="10"/>
        <v>9.8999999999999999E-4</v>
      </c>
      <c r="N365">
        <v>3.47</v>
      </c>
      <c r="O365">
        <v>91</v>
      </c>
      <c r="R365" s="2" t="s">
        <v>1438</v>
      </c>
      <c r="S365">
        <v>8764000</v>
      </c>
      <c r="U365">
        <v>8764000</v>
      </c>
      <c r="V365">
        <v>1.380876312186216E-6</v>
      </c>
      <c r="W365" t="s">
        <v>9</v>
      </c>
      <c r="X365" t="s">
        <v>1456</v>
      </c>
    </row>
    <row r="366" spans="1:24" hidden="1" x14ac:dyDescent="0.35">
      <c r="A366" t="s">
        <v>732</v>
      </c>
      <c r="B366">
        <v>2023</v>
      </c>
      <c r="C366" t="s">
        <v>1308</v>
      </c>
      <c r="D366" t="s">
        <v>1314</v>
      </c>
      <c r="E366" t="s">
        <v>1359</v>
      </c>
      <c r="F366" t="s">
        <v>1367</v>
      </c>
      <c r="G366" t="s">
        <v>1371</v>
      </c>
      <c r="H366">
        <v>12.102</v>
      </c>
      <c r="J366" t="s">
        <v>1397</v>
      </c>
      <c r="L366">
        <f t="shared" si="10"/>
        <v>9.8999999999999999E-4</v>
      </c>
      <c r="N366">
        <v>3.47</v>
      </c>
      <c r="O366">
        <v>91</v>
      </c>
      <c r="R366" s="2" t="s">
        <v>1438</v>
      </c>
      <c r="S366">
        <v>8764000</v>
      </c>
      <c r="U366">
        <v>8764000</v>
      </c>
      <c r="V366">
        <v>1.380876312186216E-6</v>
      </c>
      <c r="W366" t="s">
        <v>9</v>
      </c>
      <c r="X366" t="s">
        <v>1456</v>
      </c>
    </row>
    <row r="367" spans="1:24" hidden="1" x14ac:dyDescent="0.35">
      <c r="A367" t="s">
        <v>733</v>
      </c>
      <c r="B367">
        <v>2023</v>
      </c>
      <c r="C367" t="s">
        <v>1308</v>
      </c>
      <c r="D367" t="s">
        <v>1337</v>
      </c>
      <c r="E367" t="s">
        <v>1359</v>
      </c>
      <c r="F367" t="s">
        <v>1367</v>
      </c>
      <c r="G367" t="s">
        <v>1371</v>
      </c>
      <c r="H367">
        <v>14.965999999999999</v>
      </c>
      <c r="J367" t="s">
        <v>1397</v>
      </c>
      <c r="L367">
        <f t="shared" si="10"/>
        <v>9.8999999999999999E-4</v>
      </c>
      <c r="N367">
        <v>3.47</v>
      </c>
      <c r="O367">
        <v>91</v>
      </c>
      <c r="R367" s="2" t="s">
        <v>1438</v>
      </c>
      <c r="S367">
        <v>8764000</v>
      </c>
      <c r="U367">
        <v>8764000</v>
      </c>
      <c r="V367">
        <v>1.707667731629393E-6</v>
      </c>
      <c r="W367" t="s">
        <v>9</v>
      </c>
      <c r="X367" t="s">
        <v>1456</v>
      </c>
    </row>
    <row r="368" spans="1:24" hidden="1" x14ac:dyDescent="0.35">
      <c r="A368" t="s">
        <v>734</v>
      </c>
      <c r="B368">
        <v>2023</v>
      </c>
      <c r="C368" t="s">
        <v>1308</v>
      </c>
      <c r="D368" t="s">
        <v>1315</v>
      </c>
      <c r="E368" t="s">
        <v>1359</v>
      </c>
      <c r="F368" t="s">
        <v>1367</v>
      </c>
      <c r="G368" t="s">
        <v>1371</v>
      </c>
      <c r="H368">
        <v>23.032</v>
      </c>
      <c r="J368" t="s">
        <v>1397</v>
      </c>
      <c r="L368">
        <f t="shared" si="10"/>
        <v>9.8999999999999999E-4</v>
      </c>
      <c r="N368">
        <v>3.47</v>
      </c>
      <c r="O368">
        <v>91</v>
      </c>
      <c r="R368" s="2" t="s">
        <v>1438</v>
      </c>
      <c r="S368">
        <v>8764000</v>
      </c>
      <c r="U368">
        <v>8764000</v>
      </c>
      <c r="V368">
        <v>2.628023733455044E-6</v>
      </c>
      <c r="W368" t="s">
        <v>9</v>
      </c>
      <c r="X368" t="s">
        <v>1456</v>
      </c>
    </row>
    <row r="369" spans="1:24" hidden="1" x14ac:dyDescent="0.35">
      <c r="A369" t="s">
        <v>1044</v>
      </c>
      <c r="B369">
        <v>2023</v>
      </c>
      <c r="C369" t="s">
        <v>1308</v>
      </c>
      <c r="D369" t="s">
        <v>1347</v>
      </c>
      <c r="E369" t="s">
        <v>1359</v>
      </c>
      <c r="F369" t="s">
        <v>1370</v>
      </c>
      <c r="G369" t="s">
        <v>1375</v>
      </c>
      <c r="H369">
        <v>124990</v>
      </c>
      <c r="J369" t="s">
        <v>1397</v>
      </c>
      <c r="L369">
        <f t="shared" si="10"/>
        <v>9.8999999999999999E-4</v>
      </c>
      <c r="N369">
        <v>3.47</v>
      </c>
      <c r="O369">
        <v>91</v>
      </c>
      <c r="R369" s="2" t="s">
        <v>1439</v>
      </c>
      <c r="S369">
        <v>8764000</v>
      </c>
      <c r="U369">
        <v>8764000</v>
      </c>
      <c r="V369">
        <v>1.426175262437243E-2</v>
      </c>
      <c r="W369" t="s">
        <v>9</v>
      </c>
      <c r="X369" t="s">
        <v>1460</v>
      </c>
    </row>
    <row r="370" spans="1:24" hidden="1" x14ac:dyDescent="0.35">
      <c r="A370" t="s">
        <v>1202</v>
      </c>
      <c r="B370">
        <v>2023</v>
      </c>
      <c r="C370" t="s">
        <v>1308</v>
      </c>
      <c r="D370" t="s">
        <v>1347</v>
      </c>
      <c r="E370" t="s">
        <v>1359</v>
      </c>
      <c r="G370" t="s">
        <v>1375</v>
      </c>
      <c r="H370">
        <v>127029</v>
      </c>
      <c r="J370" t="s">
        <v>1397</v>
      </c>
      <c r="L370">
        <f t="shared" si="10"/>
        <v>9.8999999999999999E-4</v>
      </c>
      <c r="N370">
        <v>3.47</v>
      </c>
      <c r="O370">
        <v>91</v>
      </c>
      <c r="Q370" t="s">
        <v>1432</v>
      </c>
      <c r="R370" t="s">
        <v>1450</v>
      </c>
      <c r="S370">
        <v>8764000</v>
      </c>
      <c r="U370">
        <v>8764000</v>
      </c>
      <c r="V370">
        <v>1.4494408945686901E-2</v>
      </c>
      <c r="W370" t="s">
        <v>9</v>
      </c>
      <c r="X370" t="s">
        <v>1460</v>
      </c>
    </row>
    <row r="371" spans="1:24" hidden="1" x14ac:dyDescent="0.35">
      <c r="A371" t="s">
        <v>1203</v>
      </c>
      <c r="B371">
        <v>2023</v>
      </c>
      <c r="C371" t="s">
        <v>1308</v>
      </c>
      <c r="D371" t="s">
        <v>1347</v>
      </c>
      <c r="E371" t="s">
        <v>1359</v>
      </c>
      <c r="G371" t="s">
        <v>1375</v>
      </c>
      <c r="H371">
        <v>12459</v>
      </c>
      <c r="J371" t="s">
        <v>1397</v>
      </c>
      <c r="L371">
        <f t="shared" si="10"/>
        <v>9.8999999999999999E-4</v>
      </c>
      <c r="N371">
        <v>3.47</v>
      </c>
      <c r="O371">
        <v>91</v>
      </c>
      <c r="Q371" t="s">
        <v>1432</v>
      </c>
      <c r="R371" t="s">
        <v>1450</v>
      </c>
      <c r="S371">
        <v>8764000</v>
      </c>
      <c r="U371">
        <v>8764000</v>
      </c>
      <c r="V371">
        <v>1.421611136467366E-3</v>
      </c>
      <c r="W371" t="s">
        <v>9</v>
      </c>
      <c r="X371" t="s">
        <v>1460</v>
      </c>
    </row>
    <row r="372" spans="1:24" hidden="1" x14ac:dyDescent="0.35">
      <c r="A372" t="s">
        <v>1204</v>
      </c>
      <c r="B372">
        <v>2023</v>
      </c>
      <c r="C372" t="s">
        <v>1309</v>
      </c>
      <c r="D372" t="s">
        <v>1350</v>
      </c>
      <c r="E372" t="s">
        <v>1360</v>
      </c>
      <c r="G372" t="s">
        <v>1376</v>
      </c>
      <c r="H372">
        <v>9600732</v>
      </c>
      <c r="J372" t="s">
        <v>1397</v>
      </c>
      <c r="L372">
        <f t="shared" si="10"/>
        <v>9.8999999999999999E-4</v>
      </c>
      <c r="N372">
        <v>3.47</v>
      </c>
      <c r="O372">
        <v>91</v>
      </c>
      <c r="Q372" t="s">
        <v>1432</v>
      </c>
      <c r="R372" t="s">
        <v>1450</v>
      </c>
      <c r="S372">
        <v>8764000</v>
      </c>
      <c r="U372">
        <v>8764000</v>
      </c>
      <c r="V372">
        <v>1.0954737562756729</v>
      </c>
      <c r="W372" t="s">
        <v>9</v>
      </c>
      <c r="X372" t="s">
        <v>1461</v>
      </c>
    </row>
    <row r="373" spans="1:24" hidden="1" x14ac:dyDescent="0.35">
      <c r="A373" t="s">
        <v>1205</v>
      </c>
      <c r="B373">
        <v>2023</v>
      </c>
      <c r="C373" t="s">
        <v>1309</v>
      </c>
      <c r="D373" t="s">
        <v>1350</v>
      </c>
      <c r="E373" t="s">
        <v>1362</v>
      </c>
      <c r="G373" t="s">
        <v>1376</v>
      </c>
      <c r="H373">
        <v>4552517</v>
      </c>
      <c r="J373" t="s">
        <v>1397</v>
      </c>
      <c r="L373">
        <f t="shared" si="10"/>
        <v>9.8999999999999999E-4</v>
      </c>
      <c r="N373">
        <v>3.47</v>
      </c>
      <c r="O373">
        <v>91</v>
      </c>
      <c r="Q373" t="s">
        <v>1432</v>
      </c>
      <c r="R373" t="s">
        <v>1450</v>
      </c>
      <c r="S373">
        <v>8764000</v>
      </c>
      <c r="U373">
        <v>8764000</v>
      </c>
      <c r="V373">
        <v>0.51945652670013698</v>
      </c>
      <c r="W373" t="s">
        <v>9</v>
      </c>
      <c r="X373" t="s">
        <v>1461</v>
      </c>
    </row>
    <row r="374" spans="1:24" hidden="1" x14ac:dyDescent="0.35">
      <c r="A374" t="s">
        <v>1206</v>
      </c>
      <c r="B374">
        <v>2023</v>
      </c>
      <c r="C374" t="s">
        <v>1309</v>
      </c>
      <c r="D374" t="s">
        <v>1350</v>
      </c>
      <c r="E374" t="s">
        <v>1361</v>
      </c>
      <c r="G374" t="s">
        <v>1376</v>
      </c>
      <c r="H374">
        <v>6336704</v>
      </c>
      <c r="J374" t="s">
        <v>1397</v>
      </c>
      <c r="L374">
        <f t="shared" si="10"/>
        <v>9.8999999999999999E-4</v>
      </c>
      <c r="N374">
        <v>3.47</v>
      </c>
      <c r="O374">
        <v>91</v>
      </c>
      <c r="Q374" t="s">
        <v>1432</v>
      </c>
      <c r="R374" t="s">
        <v>1450</v>
      </c>
      <c r="S374">
        <v>8764000</v>
      </c>
      <c r="U374">
        <v>8764000</v>
      </c>
      <c r="V374">
        <v>0.72303788224554999</v>
      </c>
      <c r="W374" t="s">
        <v>9</v>
      </c>
      <c r="X374" t="s">
        <v>1461</v>
      </c>
    </row>
    <row r="375" spans="1:24" hidden="1" x14ac:dyDescent="0.35">
      <c r="A375" t="s">
        <v>1207</v>
      </c>
      <c r="B375">
        <v>2023</v>
      </c>
      <c r="C375" t="s">
        <v>1310</v>
      </c>
      <c r="E375" t="s">
        <v>1363</v>
      </c>
      <c r="G375" t="s">
        <v>1377</v>
      </c>
      <c r="H375">
        <v>3019.4</v>
      </c>
      <c r="J375" t="s">
        <v>1397</v>
      </c>
      <c r="L375">
        <f t="shared" si="10"/>
        <v>9.8999999999999999E-4</v>
      </c>
      <c r="N375">
        <v>3.47</v>
      </c>
      <c r="O375">
        <v>91</v>
      </c>
      <c r="Q375" t="s">
        <v>1432</v>
      </c>
      <c r="R375" t="s">
        <v>1450</v>
      </c>
      <c r="S375">
        <v>8764000</v>
      </c>
      <c r="U375">
        <v>8764000</v>
      </c>
      <c r="V375">
        <v>3.4452304883614792E-4</v>
      </c>
      <c r="W375" t="s">
        <v>9</v>
      </c>
      <c r="X375" t="s">
        <v>1462</v>
      </c>
    </row>
    <row r="376" spans="1:24" hidden="1" x14ac:dyDescent="0.35">
      <c r="A376" t="s">
        <v>140</v>
      </c>
      <c r="B376">
        <v>2023</v>
      </c>
      <c r="C376" t="s">
        <v>1308</v>
      </c>
      <c r="D376" t="s">
        <v>1317</v>
      </c>
      <c r="E376" t="s">
        <v>1359</v>
      </c>
      <c r="F376" t="s">
        <v>1364</v>
      </c>
      <c r="G376" t="s">
        <v>1372</v>
      </c>
      <c r="H376">
        <v>9.3747999999999998E-2</v>
      </c>
      <c r="J376" t="s">
        <v>1390</v>
      </c>
      <c r="K376" t="s">
        <v>1418</v>
      </c>
      <c r="L376">
        <f>3.015/1000</f>
        <v>3.0150000000000003E-3</v>
      </c>
      <c r="O376">
        <v>91.4</v>
      </c>
      <c r="P376" t="s">
        <v>1475</v>
      </c>
      <c r="R376" s="2" t="s">
        <v>1438</v>
      </c>
      <c r="T376">
        <v>2911000</v>
      </c>
      <c r="U376">
        <v>2911000</v>
      </c>
      <c r="V376">
        <v>3.2204740638955677E-8</v>
      </c>
      <c r="W376" t="s">
        <v>10</v>
      </c>
      <c r="X376" t="s">
        <v>1457</v>
      </c>
    </row>
    <row r="377" spans="1:24" hidden="1" x14ac:dyDescent="0.35">
      <c r="A377" t="s">
        <v>141</v>
      </c>
      <c r="B377">
        <v>2023</v>
      </c>
      <c r="C377" t="s">
        <v>1308</v>
      </c>
      <c r="D377" t="s">
        <v>1318</v>
      </c>
      <c r="E377" t="s">
        <v>1359</v>
      </c>
      <c r="F377" t="s">
        <v>1364</v>
      </c>
      <c r="G377" t="s">
        <v>1372</v>
      </c>
      <c r="H377">
        <v>1.8763999999999999E-2</v>
      </c>
      <c r="J377" t="s">
        <v>1390</v>
      </c>
      <c r="K377" t="s">
        <v>1418</v>
      </c>
      <c r="L377">
        <f t="shared" ref="L377:L414" si="11">3.015/1000</f>
        <v>3.0150000000000003E-3</v>
      </c>
      <c r="O377">
        <v>91.4</v>
      </c>
      <c r="P377" t="s">
        <v>1475</v>
      </c>
      <c r="R377" s="2" t="s">
        <v>1438</v>
      </c>
      <c r="T377">
        <v>2911000</v>
      </c>
      <c r="U377">
        <v>2911000</v>
      </c>
      <c r="V377">
        <v>6.4458948814840259E-9</v>
      </c>
      <c r="W377" t="s">
        <v>10</v>
      </c>
      <c r="X377" t="s">
        <v>1457</v>
      </c>
    </row>
    <row r="378" spans="1:24" hidden="1" x14ac:dyDescent="0.35">
      <c r="A378" t="s">
        <v>142</v>
      </c>
      <c r="B378">
        <v>2023</v>
      </c>
      <c r="C378" t="s">
        <v>1308</v>
      </c>
      <c r="D378" t="s">
        <v>1319</v>
      </c>
      <c r="E378" t="s">
        <v>1359</v>
      </c>
      <c r="F378" t="s">
        <v>1364</v>
      </c>
      <c r="G378" t="s">
        <v>1371</v>
      </c>
      <c r="H378">
        <v>6.1799999999999995E-4</v>
      </c>
      <c r="J378" t="s">
        <v>1390</v>
      </c>
      <c r="K378" t="s">
        <v>1418</v>
      </c>
      <c r="L378">
        <f t="shared" si="11"/>
        <v>3.0150000000000003E-3</v>
      </c>
      <c r="O378">
        <v>91.4</v>
      </c>
      <c r="P378" t="s">
        <v>1475</v>
      </c>
      <c r="R378" s="2" t="s">
        <v>1438</v>
      </c>
      <c r="T378">
        <v>2911000</v>
      </c>
      <c r="U378">
        <v>2911000</v>
      </c>
      <c r="V378">
        <v>2.1229817931982129E-10</v>
      </c>
      <c r="W378" t="s">
        <v>10</v>
      </c>
      <c r="X378" t="s">
        <v>1456</v>
      </c>
    </row>
    <row r="379" spans="1:24" hidden="1" x14ac:dyDescent="0.35">
      <c r="A379" t="s">
        <v>143</v>
      </c>
      <c r="B379">
        <v>2023</v>
      </c>
      <c r="C379" t="s">
        <v>1308</v>
      </c>
      <c r="D379" t="s">
        <v>1320</v>
      </c>
      <c r="E379" t="s">
        <v>1359</v>
      </c>
      <c r="F379" t="s">
        <v>1364</v>
      </c>
      <c r="G379" t="s">
        <v>1372</v>
      </c>
      <c r="H379">
        <v>0.32021100000000002</v>
      </c>
      <c r="J379" t="s">
        <v>1390</v>
      </c>
      <c r="K379" t="s">
        <v>1418</v>
      </c>
      <c r="L379">
        <f t="shared" si="11"/>
        <v>3.0150000000000003E-3</v>
      </c>
      <c r="O379">
        <v>91.4</v>
      </c>
      <c r="P379" t="s">
        <v>1475</v>
      </c>
      <c r="R379" s="2" t="s">
        <v>1438</v>
      </c>
      <c r="T379">
        <v>2911000</v>
      </c>
      <c r="U379">
        <v>2911000</v>
      </c>
      <c r="V379">
        <v>1.10000343524562E-7</v>
      </c>
      <c r="W379" t="s">
        <v>10</v>
      </c>
      <c r="X379" t="s">
        <v>1457</v>
      </c>
    </row>
    <row r="380" spans="1:24" hidden="1" x14ac:dyDescent="0.35">
      <c r="A380" t="s">
        <v>144</v>
      </c>
      <c r="B380">
        <v>2023</v>
      </c>
      <c r="C380" t="s">
        <v>1308</v>
      </c>
      <c r="D380" t="s">
        <v>1321</v>
      </c>
      <c r="E380" t="s">
        <v>1359</v>
      </c>
      <c r="F380" t="s">
        <v>1364</v>
      </c>
      <c r="G380" t="s">
        <v>1371</v>
      </c>
      <c r="H380">
        <v>6.5799999999999995E-4</v>
      </c>
      <c r="J380" t="s">
        <v>1390</v>
      </c>
      <c r="K380" t="s">
        <v>1418</v>
      </c>
      <c r="L380">
        <f t="shared" si="11"/>
        <v>3.0150000000000003E-3</v>
      </c>
      <c r="O380">
        <v>91.4</v>
      </c>
      <c r="P380" t="s">
        <v>1475</v>
      </c>
      <c r="R380" s="2" t="s">
        <v>1438</v>
      </c>
      <c r="T380">
        <v>2911000</v>
      </c>
      <c r="U380">
        <v>2911000</v>
      </c>
      <c r="V380">
        <v>2.2603916180006871E-10</v>
      </c>
      <c r="W380" t="s">
        <v>10</v>
      </c>
      <c r="X380" t="s">
        <v>1456</v>
      </c>
    </row>
    <row r="381" spans="1:24" hidden="1" x14ac:dyDescent="0.35">
      <c r="A381" t="s">
        <v>145</v>
      </c>
      <c r="B381">
        <v>2023</v>
      </c>
      <c r="C381" t="s">
        <v>1308</v>
      </c>
      <c r="D381" t="s">
        <v>1338</v>
      </c>
      <c r="E381" t="s">
        <v>1359</v>
      </c>
      <c r="F381" t="s">
        <v>1364</v>
      </c>
      <c r="G381" t="s">
        <v>1371</v>
      </c>
      <c r="H381">
        <v>4.1089999999999998E-3</v>
      </c>
      <c r="J381" t="s">
        <v>1390</v>
      </c>
      <c r="K381" t="s">
        <v>1418</v>
      </c>
      <c r="L381">
        <f t="shared" si="11"/>
        <v>3.0150000000000003E-3</v>
      </c>
      <c r="O381">
        <v>91.4</v>
      </c>
      <c r="P381" t="s">
        <v>1475</v>
      </c>
      <c r="R381" s="2" t="s">
        <v>1438</v>
      </c>
      <c r="T381">
        <v>2911000</v>
      </c>
      <c r="U381">
        <v>2911000</v>
      </c>
      <c r="V381">
        <v>1.411542425283408E-9</v>
      </c>
      <c r="W381" t="s">
        <v>10</v>
      </c>
      <c r="X381" t="s">
        <v>1456</v>
      </c>
    </row>
    <row r="382" spans="1:24" hidden="1" x14ac:dyDescent="0.35">
      <c r="A382" t="s">
        <v>146</v>
      </c>
      <c r="B382">
        <v>2023</v>
      </c>
      <c r="C382" t="s">
        <v>1308</v>
      </c>
      <c r="D382" t="s">
        <v>1322</v>
      </c>
      <c r="E382" t="s">
        <v>1359</v>
      </c>
      <c r="F382" t="s">
        <v>1364</v>
      </c>
      <c r="G382" t="s">
        <v>1372</v>
      </c>
      <c r="H382">
        <v>0.103103</v>
      </c>
      <c r="J382" t="s">
        <v>1390</v>
      </c>
      <c r="K382" t="s">
        <v>1418</v>
      </c>
      <c r="L382">
        <f t="shared" si="11"/>
        <v>3.0150000000000003E-3</v>
      </c>
      <c r="O382">
        <v>91.4</v>
      </c>
      <c r="P382" t="s">
        <v>1475</v>
      </c>
      <c r="R382" s="2" t="s">
        <v>1438</v>
      </c>
      <c r="T382">
        <v>2911000</v>
      </c>
      <c r="U382">
        <v>2911000</v>
      </c>
      <c r="V382">
        <v>3.5418412916523529E-8</v>
      </c>
      <c r="W382" t="s">
        <v>10</v>
      </c>
      <c r="X382" t="s">
        <v>1457</v>
      </c>
    </row>
    <row r="383" spans="1:24" hidden="1" x14ac:dyDescent="0.35">
      <c r="A383" t="s">
        <v>147</v>
      </c>
      <c r="B383">
        <v>2023</v>
      </c>
      <c r="C383" t="s">
        <v>1308</v>
      </c>
      <c r="D383" t="s">
        <v>1323</v>
      </c>
      <c r="E383" t="s">
        <v>1359</v>
      </c>
      <c r="F383" t="s">
        <v>1364</v>
      </c>
      <c r="G383" t="s">
        <v>1371</v>
      </c>
      <c r="H383">
        <v>7.5300000000000002E-3</v>
      </c>
      <c r="J383" t="s">
        <v>1390</v>
      </c>
      <c r="K383" t="s">
        <v>1418</v>
      </c>
      <c r="L383">
        <f t="shared" si="11"/>
        <v>3.0150000000000003E-3</v>
      </c>
      <c r="O383">
        <v>91.4</v>
      </c>
      <c r="P383" t="s">
        <v>1475</v>
      </c>
      <c r="R383" s="2" t="s">
        <v>1438</v>
      </c>
      <c r="T383">
        <v>2911000</v>
      </c>
      <c r="U383">
        <v>2911000</v>
      </c>
      <c r="V383">
        <v>2.5867399519065608E-9</v>
      </c>
      <c r="W383" t="s">
        <v>10</v>
      </c>
      <c r="X383" t="s">
        <v>1456</v>
      </c>
    </row>
    <row r="384" spans="1:24" hidden="1" x14ac:dyDescent="0.35">
      <c r="A384" t="s">
        <v>148</v>
      </c>
      <c r="B384">
        <v>2023</v>
      </c>
      <c r="C384" t="s">
        <v>1308</v>
      </c>
      <c r="D384" t="s">
        <v>1324</v>
      </c>
      <c r="E384" t="s">
        <v>1359</v>
      </c>
      <c r="F384" t="s">
        <v>1364</v>
      </c>
      <c r="G384" t="s">
        <v>1371</v>
      </c>
      <c r="H384">
        <v>3.8200000000000002E-4</v>
      </c>
      <c r="J384" t="s">
        <v>1390</v>
      </c>
      <c r="K384" t="s">
        <v>1418</v>
      </c>
      <c r="L384">
        <f t="shared" si="11"/>
        <v>3.0150000000000003E-3</v>
      </c>
      <c r="O384">
        <v>91.4</v>
      </c>
      <c r="P384" t="s">
        <v>1475</v>
      </c>
      <c r="R384" s="2" t="s">
        <v>1438</v>
      </c>
      <c r="T384">
        <v>2911000</v>
      </c>
      <c r="U384">
        <v>2911000</v>
      </c>
      <c r="V384">
        <v>1.312263826863621E-10</v>
      </c>
      <c r="W384" t="s">
        <v>10</v>
      </c>
      <c r="X384" t="s">
        <v>1456</v>
      </c>
    </row>
    <row r="385" spans="1:24" hidden="1" x14ac:dyDescent="0.35">
      <c r="A385" t="s">
        <v>149</v>
      </c>
      <c r="B385">
        <v>2023</v>
      </c>
      <c r="C385" t="s">
        <v>1308</v>
      </c>
      <c r="D385" t="s">
        <v>1313</v>
      </c>
      <c r="E385" t="s">
        <v>1359</v>
      </c>
      <c r="F385" t="s">
        <v>1364</v>
      </c>
      <c r="G385" t="s">
        <v>1371</v>
      </c>
      <c r="H385">
        <v>6.4076050000000002</v>
      </c>
      <c r="J385" t="s">
        <v>1390</v>
      </c>
      <c r="K385" t="s">
        <v>1418</v>
      </c>
      <c r="L385">
        <f t="shared" si="11"/>
        <v>3.0150000000000003E-3</v>
      </c>
      <c r="O385">
        <v>91.4</v>
      </c>
      <c r="P385" t="s">
        <v>1475</v>
      </c>
      <c r="R385" s="2" t="s">
        <v>1438</v>
      </c>
      <c r="T385">
        <v>2911000</v>
      </c>
      <c r="U385">
        <v>2911000</v>
      </c>
      <c r="V385">
        <v>2.2011697011336312E-6</v>
      </c>
      <c r="W385" t="s">
        <v>10</v>
      </c>
      <c r="X385" t="s">
        <v>1456</v>
      </c>
    </row>
    <row r="386" spans="1:24" hidden="1" x14ac:dyDescent="0.35">
      <c r="A386" t="s">
        <v>150</v>
      </c>
      <c r="B386">
        <v>2023</v>
      </c>
      <c r="C386" t="s">
        <v>1308</v>
      </c>
      <c r="D386" t="s">
        <v>1314</v>
      </c>
      <c r="E386" t="s">
        <v>1359</v>
      </c>
      <c r="F386" t="s">
        <v>1364</v>
      </c>
      <c r="G386" t="s">
        <v>1371</v>
      </c>
      <c r="H386">
        <v>6.3890310000000001</v>
      </c>
      <c r="J386" t="s">
        <v>1390</v>
      </c>
      <c r="K386" t="s">
        <v>1418</v>
      </c>
      <c r="L386">
        <f t="shared" si="11"/>
        <v>3.0150000000000003E-3</v>
      </c>
      <c r="O386">
        <v>91.4</v>
      </c>
      <c r="P386" t="s">
        <v>1475</v>
      </c>
      <c r="R386" s="2" t="s">
        <v>1438</v>
      </c>
      <c r="T386">
        <v>2911000</v>
      </c>
      <c r="U386">
        <v>2911000</v>
      </c>
      <c r="V386">
        <v>2.1947890759189278E-6</v>
      </c>
      <c r="W386" t="s">
        <v>10</v>
      </c>
      <c r="X386" t="s">
        <v>1456</v>
      </c>
    </row>
    <row r="387" spans="1:24" hidden="1" x14ac:dyDescent="0.35">
      <c r="A387" t="s">
        <v>151</v>
      </c>
      <c r="B387">
        <v>2023</v>
      </c>
      <c r="C387" t="s">
        <v>1308</v>
      </c>
      <c r="D387" t="s">
        <v>1334</v>
      </c>
      <c r="E387" t="s">
        <v>1359</v>
      </c>
      <c r="F387" t="s">
        <v>1364</v>
      </c>
      <c r="G387" t="s">
        <v>1372</v>
      </c>
      <c r="H387">
        <v>1.2513E-2</v>
      </c>
      <c r="J387" t="s">
        <v>1390</v>
      </c>
      <c r="K387" t="s">
        <v>1418</v>
      </c>
      <c r="L387">
        <f t="shared" si="11"/>
        <v>3.0150000000000003E-3</v>
      </c>
      <c r="O387">
        <v>91.4</v>
      </c>
      <c r="P387" t="s">
        <v>1475</v>
      </c>
      <c r="R387" s="2" t="s">
        <v>1438</v>
      </c>
      <c r="T387">
        <v>2911000</v>
      </c>
      <c r="U387">
        <v>2911000</v>
      </c>
      <c r="V387">
        <v>4.2985228443833744E-9</v>
      </c>
      <c r="W387" t="s">
        <v>10</v>
      </c>
      <c r="X387" t="s">
        <v>1457</v>
      </c>
    </row>
    <row r="388" spans="1:24" hidden="1" x14ac:dyDescent="0.35">
      <c r="A388" t="s">
        <v>152</v>
      </c>
      <c r="B388">
        <v>2023</v>
      </c>
      <c r="C388" t="s">
        <v>1308</v>
      </c>
      <c r="D388" t="s">
        <v>1315</v>
      </c>
      <c r="E388" t="s">
        <v>1359</v>
      </c>
      <c r="F388" t="s">
        <v>1364</v>
      </c>
      <c r="G388" t="s">
        <v>1371</v>
      </c>
      <c r="H388">
        <v>12.296195000000001</v>
      </c>
      <c r="J388" t="s">
        <v>1390</v>
      </c>
      <c r="K388" t="s">
        <v>1418</v>
      </c>
      <c r="L388">
        <f t="shared" si="11"/>
        <v>3.0150000000000003E-3</v>
      </c>
      <c r="O388">
        <v>91.4</v>
      </c>
      <c r="P388" t="s">
        <v>1475</v>
      </c>
      <c r="R388" s="2" t="s">
        <v>1438</v>
      </c>
      <c r="T388">
        <v>2911000</v>
      </c>
      <c r="U388">
        <v>2911000</v>
      </c>
      <c r="V388">
        <v>4.224045001717623E-6</v>
      </c>
      <c r="W388" t="s">
        <v>10</v>
      </c>
      <c r="X388" t="s">
        <v>1456</v>
      </c>
    </row>
    <row r="389" spans="1:24" hidden="1" x14ac:dyDescent="0.35">
      <c r="A389" t="s">
        <v>153</v>
      </c>
      <c r="B389">
        <v>2023</v>
      </c>
      <c r="C389" t="s">
        <v>1308</v>
      </c>
      <c r="D389" t="s">
        <v>1336</v>
      </c>
      <c r="E389" t="s">
        <v>1359</v>
      </c>
      <c r="F389" t="s">
        <v>1364</v>
      </c>
      <c r="G389" t="s">
        <v>1371</v>
      </c>
      <c r="H389">
        <v>7.2000000000000005E-4</v>
      </c>
      <c r="J389" t="s">
        <v>1390</v>
      </c>
      <c r="K389" t="s">
        <v>1418</v>
      </c>
      <c r="L389">
        <f t="shared" si="11"/>
        <v>3.0150000000000003E-3</v>
      </c>
      <c r="O389">
        <v>91.4</v>
      </c>
      <c r="P389" t="s">
        <v>1475</v>
      </c>
      <c r="R389" s="2" t="s">
        <v>1438</v>
      </c>
      <c r="T389">
        <v>2911000</v>
      </c>
      <c r="U389">
        <v>2911000</v>
      </c>
      <c r="V389">
        <v>2.473376846444521E-10</v>
      </c>
      <c r="W389" t="s">
        <v>10</v>
      </c>
      <c r="X389" t="s">
        <v>1456</v>
      </c>
    </row>
    <row r="390" spans="1:24" hidden="1" x14ac:dyDescent="0.35">
      <c r="A390" t="s">
        <v>154</v>
      </c>
      <c r="B390">
        <v>2023</v>
      </c>
      <c r="C390" t="s">
        <v>1308</v>
      </c>
      <c r="D390" t="s">
        <v>1326</v>
      </c>
      <c r="E390" t="s">
        <v>1359</v>
      </c>
      <c r="F390" t="s">
        <v>1364</v>
      </c>
      <c r="G390" t="s">
        <v>1371</v>
      </c>
      <c r="H390">
        <v>1.611E-3</v>
      </c>
      <c r="J390" t="s">
        <v>1390</v>
      </c>
      <c r="K390" t="s">
        <v>1418</v>
      </c>
      <c r="L390">
        <f t="shared" si="11"/>
        <v>3.0150000000000003E-3</v>
      </c>
      <c r="O390">
        <v>91.4</v>
      </c>
      <c r="P390" t="s">
        <v>1475</v>
      </c>
      <c r="R390" s="2" t="s">
        <v>1438</v>
      </c>
      <c r="T390">
        <v>2911000</v>
      </c>
      <c r="U390">
        <v>2911000</v>
      </c>
      <c r="V390">
        <v>5.5341806939196158E-10</v>
      </c>
      <c r="W390" t="s">
        <v>10</v>
      </c>
      <c r="X390" t="s">
        <v>1456</v>
      </c>
    </row>
    <row r="391" spans="1:24" hidden="1" x14ac:dyDescent="0.35">
      <c r="A391" t="s">
        <v>499</v>
      </c>
      <c r="B391">
        <v>2023</v>
      </c>
      <c r="C391" t="s">
        <v>1308</v>
      </c>
      <c r="D391" t="s">
        <v>1317</v>
      </c>
      <c r="E391" t="s">
        <v>1359</v>
      </c>
      <c r="F391" t="s">
        <v>1366</v>
      </c>
      <c r="G391" t="s">
        <v>1372</v>
      </c>
      <c r="H391">
        <v>5.9145000000000003E-2</v>
      </c>
      <c r="J391" t="s">
        <v>1390</v>
      </c>
      <c r="K391" t="s">
        <v>1418</v>
      </c>
      <c r="L391">
        <f t="shared" si="11"/>
        <v>3.0150000000000003E-3</v>
      </c>
      <c r="O391">
        <v>91.4</v>
      </c>
      <c r="P391" t="s">
        <v>1475</v>
      </c>
      <c r="R391" s="2" t="s">
        <v>1438</v>
      </c>
      <c r="T391">
        <v>2911000</v>
      </c>
      <c r="U391">
        <v>2911000</v>
      </c>
      <c r="V391">
        <v>2.031776021985572E-8</v>
      </c>
      <c r="W391" t="s">
        <v>10</v>
      </c>
      <c r="X391" t="s">
        <v>1457</v>
      </c>
    </row>
    <row r="392" spans="1:24" hidden="1" x14ac:dyDescent="0.35">
      <c r="A392" t="s">
        <v>500</v>
      </c>
      <c r="B392">
        <v>2023</v>
      </c>
      <c r="C392" t="s">
        <v>1308</v>
      </c>
      <c r="D392" t="s">
        <v>1318</v>
      </c>
      <c r="E392" t="s">
        <v>1359</v>
      </c>
      <c r="F392" t="s">
        <v>1366</v>
      </c>
      <c r="G392" t="s">
        <v>1372</v>
      </c>
      <c r="H392">
        <v>1.65E-3</v>
      </c>
      <c r="J392" t="s">
        <v>1390</v>
      </c>
      <c r="K392" t="s">
        <v>1418</v>
      </c>
      <c r="L392">
        <f t="shared" si="11"/>
        <v>3.0150000000000003E-3</v>
      </c>
      <c r="O392">
        <v>91.4</v>
      </c>
      <c r="P392" t="s">
        <v>1475</v>
      </c>
      <c r="R392" s="2" t="s">
        <v>1438</v>
      </c>
      <c r="T392">
        <v>2911000</v>
      </c>
      <c r="U392">
        <v>2911000</v>
      </c>
      <c r="V392">
        <v>5.6681552731020268E-10</v>
      </c>
      <c r="W392" t="s">
        <v>10</v>
      </c>
      <c r="X392" t="s">
        <v>1457</v>
      </c>
    </row>
    <row r="393" spans="1:24" hidden="1" x14ac:dyDescent="0.35">
      <c r="A393" t="s">
        <v>501</v>
      </c>
      <c r="B393">
        <v>2023</v>
      </c>
      <c r="C393" t="s">
        <v>1308</v>
      </c>
      <c r="D393" t="s">
        <v>1319</v>
      </c>
      <c r="E393" t="s">
        <v>1359</v>
      </c>
      <c r="F393" t="s">
        <v>1366</v>
      </c>
      <c r="G393" t="s">
        <v>1371</v>
      </c>
      <c r="H393">
        <v>3.9899999999999999E-4</v>
      </c>
      <c r="J393" t="s">
        <v>1390</v>
      </c>
      <c r="K393" t="s">
        <v>1418</v>
      </c>
      <c r="L393">
        <f t="shared" si="11"/>
        <v>3.0150000000000003E-3</v>
      </c>
      <c r="O393">
        <v>91.4</v>
      </c>
      <c r="P393" t="s">
        <v>1475</v>
      </c>
      <c r="R393" s="2" t="s">
        <v>1438</v>
      </c>
      <c r="T393">
        <v>2911000</v>
      </c>
      <c r="U393">
        <v>2911000</v>
      </c>
      <c r="V393">
        <v>1.370663002404672E-10</v>
      </c>
      <c r="W393" t="s">
        <v>10</v>
      </c>
      <c r="X393" t="s">
        <v>1456</v>
      </c>
    </row>
    <row r="394" spans="1:24" hidden="1" x14ac:dyDescent="0.35">
      <c r="A394" t="s">
        <v>502</v>
      </c>
      <c r="B394">
        <v>2023</v>
      </c>
      <c r="C394" t="s">
        <v>1308</v>
      </c>
      <c r="D394" t="s">
        <v>1320</v>
      </c>
      <c r="E394" t="s">
        <v>1359</v>
      </c>
      <c r="F394" t="s">
        <v>1366</v>
      </c>
      <c r="G394" t="s">
        <v>1372</v>
      </c>
      <c r="H394">
        <v>0.21068999999999999</v>
      </c>
      <c r="J394" t="s">
        <v>1390</v>
      </c>
      <c r="K394" t="s">
        <v>1418</v>
      </c>
      <c r="L394">
        <f t="shared" si="11"/>
        <v>3.0150000000000003E-3</v>
      </c>
      <c r="O394">
        <v>91.4</v>
      </c>
      <c r="P394" t="s">
        <v>1475</v>
      </c>
      <c r="R394" s="2" t="s">
        <v>1438</v>
      </c>
      <c r="T394">
        <v>2911000</v>
      </c>
      <c r="U394">
        <v>2911000</v>
      </c>
      <c r="V394">
        <v>7.2377189969082782E-8</v>
      </c>
      <c r="W394" t="s">
        <v>10</v>
      </c>
      <c r="X394" t="s">
        <v>1457</v>
      </c>
    </row>
    <row r="395" spans="1:24" hidden="1" x14ac:dyDescent="0.35">
      <c r="A395" t="s">
        <v>503</v>
      </c>
      <c r="B395">
        <v>2023</v>
      </c>
      <c r="C395" t="s">
        <v>1308</v>
      </c>
      <c r="D395" t="s">
        <v>1321</v>
      </c>
      <c r="E395" t="s">
        <v>1359</v>
      </c>
      <c r="F395" t="s">
        <v>1366</v>
      </c>
      <c r="G395" t="s">
        <v>1371</v>
      </c>
      <c r="H395">
        <v>4.3100000000000001E-4</v>
      </c>
      <c r="J395" t="s">
        <v>1390</v>
      </c>
      <c r="K395" t="s">
        <v>1418</v>
      </c>
      <c r="L395">
        <f t="shared" si="11"/>
        <v>3.0150000000000003E-3</v>
      </c>
      <c r="O395">
        <v>91.4</v>
      </c>
      <c r="P395" t="s">
        <v>1475</v>
      </c>
      <c r="R395" s="2" t="s">
        <v>1438</v>
      </c>
      <c r="T395">
        <v>2911000</v>
      </c>
      <c r="U395">
        <v>2911000</v>
      </c>
      <c r="V395">
        <v>1.480590862246651E-10</v>
      </c>
      <c r="W395" t="s">
        <v>10</v>
      </c>
      <c r="X395" t="s">
        <v>1456</v>
      </c>
    </row>
    <row r="396" spans="1:24" hidden="1" x14ac:dyDescent="0.35">
      <c r="A396" t="s">
        <v>504</v>
      </c>
      <c r="B396">
        <v>2023</v>
      </c>
      <c r="C396" t="s">
        <v>1308</v>
      </c>
      <c r="D396" t="s">
        <v>1322</v>
      </c>
      <c r="E396" t="s">
        <v>1359</v>
      </c>
      <c r="F396" t="s">
        <v>1366</v>
      </c>
      <c r="G396" t="s">
        <v>1372</v>
      </c>
      <c r="H396">
        <v>6.4905000000000004E-2</v>
      </c>
      <c r="J396" t="s">
        <v>1390</v>
      </c>
      <c r="K396" t="s">
        <v>1418</v>
      </c>
      <c r="L396">
        <f t="shared" si="11"/>
        <v>3.0150000000000003E-3</v>
      </c>
      <c r="O396">
        <v>91.4</v>
      </c>
      <c r="P396" t="s">
        <v>1475</v>
      </c>
      <c r="R396" s="2" t="s">
        <v>1438</v>
      </c>
      <c r="T396">
        <v>2911000</v>
      </c>
      <c r="U396">
        <v>2911000</v>
      </c>
      <c r="V396">
        <v>2.229646169701134E-8</v>
      </c>
      <c r="W396" t="s">
        <v>10</v>
      </c>
      <c r="X396" t="s">
        <v>1457</v>
      </c>
    </row>
    <row r="397" spans="1:24" hidden="1" x14ac:dyDescent="0.35">
      <c r="A397" t="s">
        <v>505</v>
      </c>
      <c r="B397">
        <v>2023</v>
      </c>
      <c r="C397" t="s">
        <v>1308</v>
      </c>
      <c r="D397" t="s">
        <v>1323</v>
      </c>
      <c r="E397" t="s">
        <v>1359</v>
      </c>
      <c r="F397" t="s">
        <v>1366</v>
      </c>
      <c r="G397" t="s">
        <v>1371</v>
      </c>
      <c r="H397">
        <v>5.0239999999999998E-3</v>
      </c>
      <c r="J397" t="s">
        <v>1390</v>
      </c>
      <c r="K397" t="s">
        <v>1418</v>
      </c>
      <c r="L397">
        <f t="shared" si="11"/>
        <v>3.0150000000000003E-3</v>
      </c>
      <c r="O397">
        <v>91.4</v>
      </c>
      <c r="P397" t="s">
        <v>1475</v>
      </c>
      <c r="R397" s="2" t="s">
        <v>1438</v>
      </c>
      <c r="T397">
        <v>2911000</v>
      </c>
      <c r="U397">
        <v>2911000</v>
      </c>
      <c r="V397">
        <v>1.725867399519066E-9</v>
      </c>
      <c r="W397" t="s">
        <v>10</v>
      </c>
      <c r="X397" t="s">
        <v>1456</v>
      </c>
    </row>
    <row r="398" spans="1:24" hidden="1" x14ac:dyDescent="0.35">
      <c r="A398" t="s">
        <v>506</v>
      </c>
      <c r="B398">
        <v>2023</v>
      </c>
      <c r="C398" t="s">
        <v>1308</v>
      </c>
      <c r="D398" t="s">
        <v>1324</v>
      </c>
      <c r="E398" t="s">
        <v>1359</v>
      </c>
      <c r="F398" t="s">
        <v>1366</v>
      </c>
      <c r="G398" t="s">
        <v>1371</v>
      </c>
      <c r="H398">
        <v>2.34E-4</v>
      </c>
      <c r="J398" t="s">
        <v>1390</v>
      </c>
      <c r="K398" t="s">
        <v>1418</v>
      </c>
      <c r="L398">
        <f t="shared" si="11"/>
        <v>3.0150000000000003E-3</v>
      </c>
      <c r="O398">
        <v>91.4</v>
      </c>
      <c r="P398" t="s">
        <v>1475</v>
      </c>
      <c r="R398" s="2" t="s">
        <v>1438</v>
      </c>
      <c r="T398">
        <v>2911000</v>
      </c>
      <c r="U398">
        <v>2911000</v>
      </c>
      <c r="V398">
        <v>8.0384747509446921E-11</v>
      </c>
      <c r="W398" t="s">
        <v>10</v>
      </c>
      <c r="X398" t="s">
        <v>1456</v>
      </c>
    </row>
    <row r="399" spans="1:24" hidden="1" x14ac:dyDescent="0.35">
      <c r="A399" t="s">
        <v>507</v>
      </c>
      <c r="B399">
        <v>2023</v>
      </c>
      <c r="C399" t="s">
        <v>1308</v>
      </c>
      <c r="D399" t="s">
        <v>1313</v>
      </c>
      <c r="E399" t="s">
        <v>1359</v>
      </c>
      <c r="F399" t="s">
        <v>1366</v>
      </c>
      <c r="G399" t="s">
        <v>1371</v>
      </c>
      <c r="H399">
        <v>1.7724169999999999</v>
      </c>
      <c r="J399" t="s">
        <v>1390</v>
      </c>
      <c r="K399" t="s">
        <v>1418</v>
      </c>
      <c r="L399">
        <f t="shared" si="11"/>
        <v>3.0150000000000003E-3</v>
      </c>
      <c r="O399">
        <v>91.4</v>
      </c>
      <c r="P399" t="s">
        <v>1475</v>
      </c>
      <c r="R399" s="2" t="s">
        <v>1438</v>
      </c>
      <c r="T399">
        <v>2911000</v>
      </c>
      <c r="U399">
        <v>2911000</v>
      </c>
      <c r="V399">
        <v>6.0886877361731361E-7</v>
      </c>
      <c r="W399" t="s">
        <v>10</v>
      </c>
      <c r="X399" t="s">
        <v>1456</v>
      </c>
    </row>
    <row r="400" spans="1:24" hidden="1" x14ac:dyDescent="0.35">
      <c r="A400" t="s">
        <v>508</v>
      </c>
      <c r="B400">
        <v>2023</v>
      </c>
      <c r="C400" t="s">
        <v>1308</v>
      </c>
      <c r="D400" t="s">
        <v>1314</v>
      </c>
      <c r="E400" t="s">
        <v>1359</v>
      </c>
      <c r="F400" t="s">
        <v>1366</v>
      </c>
      <c r="G400" t="s">
        <v>1371</v>
      </c>
      <c r="H400">
        <v>0.855209</v>
      </c>
      <c r="J400" t="s">
        <v>1390</v>
      </c>
      <c r="K400" t="s">
        <v>1418</v>
      </c>
      <c r="L400">
        <f t="shared" si="11"/>
        <v>3.0150000000000003E-3</v>
      </c>
      <c r="O400">
        <v>91.4</v>
      </c>
      <c r="P400" t="s">
        <v>1475</v>
      </c>
      <c r="R400" s="2" t="s">
        <v>1438</v>
      </c>
      <c r="T400">
        <v>2911000</v>
      </c>
      <c r="U400">
        <v>2911000</v>
      </c>
      <c r="V400">
        <v>2.9378529714874621E-7</v>
      </c>
      <c r="W400" t="s">
        <v>10</v>
      </c>
      <c r="X400" t="s">
        <v>1456</v>
      </c>
    </row>
    <row r="401" spans="1:24" hidden="1" x14ac:dyDescent="0.35">
      <c r="A401" t="s">
        <v>509</v>
      </c>
      <c r="B401">
        <v>2023</v>
      </c>
      <c r="C401" t="s">
        <v>1308</v>
      </c>
      <c r="D401" t="s">
        <v>1334</v>
      </c>
      <c r="E401" t="s">
        <v>1359</v>
      </c>
      <c r="F401" t="s">
        <v>1366</v>
      </c>
      <c r="G401" t="s">
        <v>1372</v>
      </c>
      <c r="H401">
        <v>8.5059999999999997E-3</v>
      </c>
      <c r="J401" t="s">
        <v>1390</v>
      </c>
      <c r="K401" t="s">
        <v>1418</v>
      </c>
      <c r="L401">
        <f t="shared" si="11"/>
        <v>3.0150000000000003E-3</v>
      </c>
      <c r="O401">
        <v>91.4</v>
      </c>
      <c r="P401" t="s">
        <v>1475</v>
      </c>
      <c r="R401" s="2" t="s">
        <v>1438</v>
      </c>
      <c r="T401">
        <v>2911000</v>
      </c>
      <c r="U401">
        <v>2911000</v>
      </c>
      <c r="V401">
        <v>2.922019924424596E-9</v>
      </c>
      <c r="W401" t="s">
        <v>10</v>
      </c>
      <c r="X401" t="s">
        <v>1457</v>
      </c>
    </row>
    <row r="402" spans="1:24" hidden="1" x14ac:dyDescent="0.35">
      <c r="A402" t="s">
        <v>510</v>
      </c>
      <c r="B402">
        <v>2023</v>
      </c>
      <c r="C402" t="s">
        <v>1308</v>
      </c>
      <c r="D402" t="s">
        <v>1315</v>
      </c>
      <c r="E402" t="s">
        <v>1359</v>
      </c>
      <c r="F402" t="s">
        <v>1366</v>
      </c>
      <c r="G402" t="s">
        <v>1371</v>
      </c>
      <c r="H402">
        <v>8.3424770000000006</v>
      </c>
      <c r="J402" t="s">
        <v>1390</v>
      </c>
      <c r="K402" t="s">
        <v>1418</v>
      </c>
      <c r="L402">
        <f t="shared" si="11"/>
        <v>3.0150000000000003E-3</v>
      </c>
      <c r="O402">
        <v>91.4</v>
      </c>
      <c r="P402" t="s">
        <v>1475</v>
      </c>
      <c r="R402" s="2" t="s">
        <v>1438</v>
      </c>
      <c r="T402">
        <v>2911000</v>
      </c>
      <c r="U402">
        <v>2911000</v>
      </c>
      <c r="V402">
        <v>2.8658457574716589E-6</v>
      </c>
      <c r="W402" t="s">
        <v>10</v>
      </c>
      <c r="X402" t="s">
        <v>1456</v>
      </c>
    </row>
    <row r="403" spans="1:24" hidden="1" x14ac:dyDescent="0.35">
      <c r="A403" t="s">
        <v>511</v>
      </c>
      <c r="B403">
        <v>2023</v>
      </c>
      <c r="C403" t="s">
        <v>1308</v>
      </c>
      <c r="D403" t="s">
        <v>1336</v>
      </c>
      <c r="E403" t="s">
        <v>1359</v>
      </c>
      <c r="F403" t="s">
        <v>1366</v>
      </c>
      <c r="G403" t="s">
        <v>1371</v>
      </c>
      <c r="H403">
        <v>4.5800000000000002E-4</v>
      </c>
      <c r="J403" t="s">
        <v>1390</v>
      </c>
      <c r="K403" t="s">
        <v>1418</v>
      </c>
      <c r="L403">
        <f t="shared" si="11"/>
        <v>3.0150000000000003E-3</v>
      </c>
      <c r="O403">
        <v>91.4</v>
      </c>
      <c r="P403" t="s">
        <v>1475</v>
      </c>
      <c r="R403" s="2" t="s">
        <v>1438</v>
      </c>
      <c r="T403">
        <v>2911000</v>
      </c>
      <c r="U403">
        <v>2911000</v>
      </c>
      <c r="V403">
        <v>1.5733424939883199E-10</v>
      </c>
      <c r="W403" t="s">
        <v>10</v>
      </c>
      <c r="X403" t="s">
        <v>1456</v>
      </c>
    </row>
    <row r="404" spans="1:24" hidden="1" x14ac:dyDescent="0.35">
      <c r="A404" t="s">
        <v>512</v>
      </c>
      <c r="B404">
        <v>2023</v>
      </c>
      <c r="C404" t="s">
        <v>1308</v>
      </c>
      <c r="D404" t="s">
        <v>1326</v>
      </c>
      <c r="E404" t="s">
        <v>1359</v>
      </c>
      <c r="F404" t="s">
        <v>1366</v>
      </c>
      <c r="G404" t="s">
        <v>1371</v>
      </c>
      <c r="H404">
        <v>7.8899999999999999E-4</v>
      </c>
      <c r="J404" t="s">
        <v>1390</v>
      </c>
      <c r="K404" t="s">
        <v>1418</v>
      </c>
      <c r="L404">
        <f t="shared" si="11"/>
        <v>3.0150000000000003E-3</v>
      </c>
      <c r="O404">
        <v>91.4</v>
      </c>
      <c r="P404" t="s">
        <v>1475</v>
      </c>
      <c r="R404" s="2" t="s">
        <v>1438</v>
      </c>
      <c r="T404">
        <v>2911000</v>
      </c>
      <c r="U404">
        <v>2911000</v>
      </c>
      <c r="V404">
        <v>2.7104087942287869E-10</v>
      </c>
      <c r="W404" t="s">
        <v>10</v>
      </c>
      <c r="X404" t="s">
        <v>1456</v>
      </c>
    </row>
    <row r="405" spans="1:24" hidden="1" x14ac:dyDescent="0.35">
      <c r="A405" t="s">
        <v>853</v>
      </c>
      <c r="B405">
        <v>2023</v>
      </c>
      <c r="C405" t="s">
        <v>1309</v>
      </c>
      <c r="D405" t="s">
        <v>1317</v>
      </c>
      <c r="E405" t="s">
        <v>1359</v>
      </c>
      <c r="F405" t="s">
        <v>1368</v>
      </c>
      <c r="G405" t="s">
        <v>1372</v>
      </c>
      <c r="H405">
        <v>0.30375799999999997</v>
      </c>
      <c r="J405" t="s">
        <v>1390</v>
      </c>
      <c r="K405" t="s">
        <v>1418</v>
      </c>
      <c r="L405">
        <f t="shared" si="11"/>
        <v>3.0150000000000003E-3</v>
      </c>
      <c r="O405">
        <v>91.4</v>
      </c>
      <c r="P405" t="s">
        <v>1475</v>
      </c>
      <c r="R405" s="2" t="s">
        <v>1438</v>
      </c>
      <c r="T405">
        <v>2911000</v>
      </c>
      <c r="U405">
        <v>2911000</v>
      </c>
      <c r="V405">
        <v>1.0434833390587429E-7</v>
      </c>
      <c r="W405" t="s">
        <v>10</v>
      </c>
      <c r="X405" t="s">
        <v>1457</v>
      </c>
    </row>
    <row r="406" spans="1:24" hidden="1" x14ac:dyDescent="0.35">
      <c r="A406" t="s">
        <v>854</v>
      </c>
      <c r="B406">
        <v>2023</v>
      </c>
      <c r="C406" t="s">
        <v>1309</v>
      </c>
      <c r="D406" t="s">
        <v>1318</v>
      </c>
      <c r="E406" t="s">
        <v>1359</v>
      </c>
      <c r="F406" t="s">
        <v>1368</v>
      </c>
      <c r="G406" t="s">
        <v>1372</v>
      </c>
      <c r="H406">
        <v>7.26E-3</v>
      </c>
      <c r="J406" t="s">
        <v>1390</v>
      </c>
      <c r="K406" t="s">
        <v>1418</v>
      </c>
      <c r="L406">
        <f t="shared" si="11"/>
        <v>3.0150000000000003E-3</v>
      </c>
      <c r="O406">
        <v>91.4</v>
      </c>
      <c r="P406" t="s">
        <v>1475</v>
      </c>
      <c r="R406" s="2" t="s">
        <v>1438</v>
      </c>
      <c r="T406">
        <v>2911000</v>
      </c>
      <c r="U406">
        <v>2911000</v>
      </c>
      <c r="V406">
        <v>2.4939883201648922E-9</v>
      </c>
      <c r="W406" t="s">
        <v>10</v>
      </c>
      <c r="X406" t="s">
        <v>1457</v>
      </c>
    </row>
    <row r="407" spans="1:24" hidden="1" x14ac:dyDescent="0.35">
      <c r="A407" t="s">
        <v>855</v>
      </c>
      <c r="B407">
        <v>2023</v>
      </c>
      <c r="C407" t="s">
        <v>1309</v>
      </c>
      <c r="D407" t="s">
        <v>1319</v>
      </c>
      <c r="E407" t="s">
        <v>1359</v>
      </c>
      <c r="F407" t="s">
        <v>1368</v>
      </c>
      <c r="G407" t="s">
        <v>1371</v>
      </c>
      <c r="H407">
        <v>2.5500000000000002E-4</v>
      </c>
      <c r="J407" t="s">
        <v>1390</v>
      </c>
      <c r="K407" t="s">
        <v>1418</v>
      </c>
      <c r="L407">
        <f t="shared" si="11"/>
        <v>3.0150000000000003E-3</v>
      </c>
      <c r="O407">
        <v>91.4</v>
      </c>
      <c r="P407" t="s">
        <v>1475</v>
      </c>
      <c r="R407" s="2" t="s">
        <v>1438</v>
      </c>
      <c r="T407">
        <v>2911000</v>
      </c>
      <c r="U407">
        <v>2911000</v>
      </c>
      <c r="V407">
        <v>8.7598763311576787E-11</v>
      </c>
      <c r="W407" t="s">
        <v>10</v>
      </c>
      <c r="X407" t="s">
        <v>1456</v>
      </c>
    </row>
    <row r="408" spans="1:24" hidden="1" x14ac:dyDescent="0.35">
      <c r="A408" t="s">
        <v>856</v>
      </c>
      <c r="B408">
        <v>2023</v>
      </c>
      <c r="C408" t="s">
        <v>1309</v>
      </c>
      <c r="D408" t="s">
        <v>1320</v>
      </c>
      <c r="E408" t="s">
        <v>1359</v>
      </c>
      <c r="F408" t="s">
        <v>1368</v>
      </c>
      <c r="G408" t="s">
        <v>1372</v>
      </c>
      <c r="H408">
        <v>0.46358199999999999</v>
      </c>
      <c r="J408" t="s">
        <v>1390</v>
      </c>
      <c r="K408" t="s">
        <v>1418</v>
      </c>
      <c r="L408">
        <f t="shared" si="11"/>
        <v>3.0150000000000003E-3</v>
      </c>
      <c r="O408">
        <v>91.4</v>
      </c>
      <c r="P408" t="s">
        <v>1475</v>
      </c>
      <c r="R408" s="2" t="s">
        <v>1438</v>
      </c>
      <c r="T408">
        <v>2911000</v>
      </c>
      <c r="U408">
        <v>2911000</v>
      </c>
      <c r="V408">
        <v>1.5925180350395051E-7</v>
      </c>
      <c r="W408" t="s">
        <v>10</v>
      </c>
      <c r="X408" t="s">
        <v>1457</v>
      </c>
    </row>
    <row r="409" spans="1:24" hidden="1" x14ac:dyDescent="0.35">
      <c r="A409" t="s">
        <v>857</v>
      </c>
      <c r="B409">
        <v>2023</v>
      </c>
      <c r="C409" t="s">
        <v>1309</v>
      </c>
      <c r="D409" t="s">
        <v>1321</v>
      </c>
      <c r="E409" t="s">
        <v>1359</v>
      </c>
      <c r="F409" t="s">
        <v>1368</v>
      </c>
      <c r="G409" t="s">
        <v>1371</v>
      </c>
      <c r="H409">
        <v>7.8200000000000003E-4</v>
      </c>
      <c r="J409" t="s">
        <v>1390</v>
      </c>
      <c r="K409" t="s">
        <v>1418</v>
      </c>
      <c r="L409">
        <f t="shared" si="11"/>
        <v>3.0150000000000003E-3</v>
      </c>
      <c r="O409">
        <v>91.4</v>
      </c>
      <c r="P409" t="s">
        <v>1475</v>
      </c>
      <c r="R409" s="2" t="s">
        <v>1438</v>
      </c>
      <c r="T409">
        <v>2911000</v>
      </c>
      <c r="U409">
        <v>2911000</v>
      </c>
      <c r="V409">
        <v>2.6863620748883552E-10</v>
      </c>
      <c r="W409" t="s">
        <v>10</v>
      </c>
      <c r="X409" t="s">
        <v>1456</v>
      </c>
    </row>
    <row r="410" spans="1:24" hidden="1" x14ac:dyDescent="0.35">
      <c r="A410" t="s">
        <v>858</v>
      </c>
      <c r="B410">
        <v>2023</v>
      </c>
      <c r="C410" t="s">
        <v>1309</v>
      </c>
      <c r="D410" t="s">
        <v>1322</v>
      </c>
      <c r="E410" t="s">
        <v>1359</v>
      </c>
      <c r="F410" t="s">
        <v>1368</v>
      </c>
      <c r="G410" t="s">
        <v>1372</v>
      </c>
      <c r="H410">
        <v>7.1967000000000003E-2</v>
      </c>
      <c r="J410" t="s">
        <v>1390</v>
      </c>
      <c r="K410" t="s">
        <v>1418</v>
      </c>
      <c r="L410">
        <f t="shared" si="11"/>
        <v>3.0150000000000003E-3</v>
      </c>
      <c r="O410">
        <v>91.4</v>
      </c>
      <c r="P410" t="s">
        <v>1475</v>
      </c>
      <c r="R410" s="2" t="s">
        <v>1438</v>
      </c>
      <c r="T410">
        <v>2911000</v>
      </c>
      <c r="U410">
        <v>2911000</v>
      </c>
      <c r="V410">
        <v>2.4722432153899001E-8</v>
      </c>
      <c r="W410" t="s">
        <v>10</v>
      </c>
      <c r="X410" t="s">
        <v>1457</v>
      </c>
    </row>
    <row r="411" spans="1:24" hidden="1" x14ac:dyDescent="0.35">
      <c r="A411" t="s">
        <v>859</v>
      </c>
      <c r="B411">
        <v>2023</v>
      </c>
      <c r="C411" t="s">
        <v>1309</v>
      </c>
      <c r="D411" t="s">
        <v>1324</v>
      </c>
      <c r="E411" t="s">
        <v>1359</v>
      </c>
      <c r="F411" t="s">
        <v>1368</v>
      </c>
      <c r="G411" t="s">
        <v>1371</v>
      </c>
      <c r="H411">
        <v>3.0959999999999998E-3</v>
      </c>
      <c r="J411" t="s">
        <v>1390</v>
      </c>
      <c r="K411" t="s">
        <v>1418</v>
      </c>
      <c r="L411">
        <f t="shared" si="11"/>
        <v>3.0150000000000003E-3</v>
      </c>
      <c r="O411">
        <v>91.4</v>
      </c>
      <c r="P411" t="s">
        <v>1475</v>
      </c>
      <c r="R411" s="2" t="s">
        <v>1438</v>
      </c>
      <c r="T411">
        <v>2911000</v>
      </c>
      <c r="U411">
        <v>2911000</v>
      </c>
      <c r="V411">
        <v>1.0635520439711441E-9</v>
      </c>
      <c r="W411" t="s">
        <v>10</v>
      </c>
      <c r="X411" t="s">
        <v>1456</v>
      </c>
    </row>
    <row r="412" spans="1:24" hidden="1" x14ac:dyDescent="0.35">
      <c r="A412" t="s">
        <v>860</v>
      </c>
      <c r="B412">
        <v>2023</v>
      </c>
      <c r="C412" t="s">
        <v>1309</v>
      </c>
      <c r="D412" t="s">
        <v>1334</v>
      </c>
      <c r="E412" t="s">
        <v>1359</v>
      </c>
      <c r="F412" t="s">
        <v>1368</v>
      </c>
      <c r="G412" t="s">
        <v>1372</v>
      </c>
      <c r="H412">
        <v>1.8069999999999999E-2</v>
      </c>
      <c r="J412" t="s">
        <v>1390</v>
      </c>
      <c r="K412" t="s">
        <v>1418</v>
      </c>
      <c r="L412">
        <f t="shared" si="11"/>
        <v>3.0150000000000003E-3</v>
      </c>
      <c r="O412">
        <v>91.4</v>
      </c>
      <c r="P412" t="s">
        <v>1475</v>
      </c>
      <c r="R412" s="2" t="s">
        <v>1438</v>
      </c>
      <c r="T412">
        <v>2911000</v>
      </c>
      <c r="U412">
        <v>2911000</v>
      </c>
      <c r="V412">
        <v>6.2074888354517344E-9</v>
      </c>
      <c r="W412" t="s">
        <v>10</v>
      </c>
      <c r="X412" t="s">
        <v>1457</v>
      </c>
    </row>
    <row r="413" spans="1:24" hidden="1" x14ac:dyDescent="0.35">
      <c r="A413" t="s">
        <v>861</v>
      </c>
      <c r="B413">
        <v>2023</v>
      </c>
      <c r="C413" t="s">
        <v>1309</v>
      </c>
      <c r="D413" t="s">
        <v>1336</v>
      </c>
      <c r="E413" t="s">
        <v>1359</v>
      </c>
      <c r="F413" t="s">
        <v>1368</v>
      </c>
      <c r="G413" t="s">
        <v>1371</v>
      </c>
      <c r="H413">
        <v>2.6200000000000003E-4</v>
      </c>
      <c r="J413" t="s">
        <v>1390</v>
      </c>
      <c r="K413" t="s">
        <v>1418</v>
      </c>
      <c r="L413">
        <f t="shared" si="11"/>
        <v>3.0150000000000003E-3</v>
      </c>
      <c r="O413">
        <v>91.4</v>
      </c>
      <c r="P413" t="s">
        <v>1475</v>
      </c>
      <c r="R413" s="2" t="s">
        <v>1438</v>
      </c>
      <c r="T413">
        <v>2911000</v>
      </c>
      <c r="U413">
        <v>2911000</v>
      </c>
      <c r="V413">
        <v>9.0003435245620076E-11</v>
      </c>
      <c r="W413" t="s">
        <v>10</v>
      </c>
      <c r="X413" t="s">
        <v>1456</v>
      </c>
    </row>
    <row r="414" spans="1:24" hidden="1" x14ac:dyDescent="0.35">
      <c r="A414" t="s">
        <v>862</v>
      </c>
      <c r="B414">
        <v>2023</v>
      </c>
      <c r="C414" t="s">
        <v>1309</v>
      </c>
      <c r="D414" t="s">
        <v>1326</v>
      </c>
      <c r="E414" t="s">
        <v>1359</v>
      </c>
      <c r="F414" t="s">
        <v>1368</v>
      </c>
      <c r="G414" t="s">
        <v>1371</v>
      </c>
      <c r="H414">
        <v>3.9839999999999997E-3</v>
      </c>
      <c r="J414" t="s">
        <v>1390</v>
      </c>
      <c r="K414" t="s">
        <v>1418</v>
      </c>
      <c r="L414">
        <f t="shared" si="11"/>
        <v>3.0150000000000003E-3</v>
      </c>
      <c r="O414">
        <v>91.4</v>
      </c>
      <c r="P414" t="s">
        <v>1475</v>
      </c>
      <c r="R414" s="2" t="s">
        <v>1438</v>
      </c>
      <c r="T414">
        <v>2911000</v>
      </c>
      <c r="U414">
        <v>2911000</v>
      </c>
      <c r="V414">
        <v>1.3686018550326351E-9</v>
      </c>
      <c r="W414" t="s">
        <v>10</v>
      </c>
      <c r="X414" t="s">
        <v>1456</v>
      </c>
    </row>
    <row r="415" spans="1:24" hidden="1" x14ac:dyDescent="0.35">
      <c r="A415" t="s">
        <v>204</v>
      </c>
      <c r="B415">
        <v>2023</v>
      </c>
      <c r="C415" t="s">
        <v>1308</v>
      </c>
      <c r="D415" t="s">
        <v>1317</v>
      </c>
      <c r="E415" t="s">
        <v>1359</v>
      </c>
      <c r="F415" t="s">
        <v>1364</v>
      </c>
      <c r="G415" t="s">
        <v>1372</v>
      </c>
      <c r="H415">
        <v>8.7200000000000005E-4</v>
      </c>
      <c r="J415" t="s">
        <v>1395</v>
      </c>
      <c r="L415">
        <f>2.84/1000</f>
        <v>2.8399999999999996E-3</v>
      </c>
      <c r="R415" s="2" t="s">
        <v>1438</v>
      </c>
      <c r="S415">
        <v>120</v>
      </c>
      <c r="U415">
        <v>120</v>
      </c>
      <c r="V415">
        <v>7.2666666666666668E-6</v>
      </c>
      <c r="W415" t="s">
        <v>9</v>
      </c>
      <c r="X415" t="s">
        <v>1457</v>
      </c>
    </row>
    <row r="416" spans="1:24" hidden="1" x14ac:dyDescent="0.35">
      <c r="A416" t="s">
        <v>205</v>
      </c>
      <c r="B416">
        <v>2023</v>
      </c>
      <c r="C416" t="s">
        <v>1308</v>
      </c>
      <c r="D416" t="s">
        <v>1318</v>
      </c>
      <c r="E416" t="s">
        <v>1359</v>
      </c>
      <c r="F416" t="s">
        <v>1364</v>
      </c>
      <c r="G416" t="s">
        <v>1372</v>
      </c>
      <c r="H416">
        <v>9.9999999999999995E-7</v>
      </c>
      <c r="J416" t="s">
        <v>1395</v>
      </c>
      <c r="L416">
        <f t="shared" ref="L416:L450" si="12">2.84/1000</f>
        <v>2.8399999999999996E-3</v>
      </c>
      <c r="R416" s="2" t="s">
        <v>1438</v>
      </c>
      <c r="S416">
        <v>120</v>
      </c>
      <c r="U416">
        <v>120</v>
      </c>
      <c r="V416">
        <v>8.3333333333333335E-9</v>
      </c>
      <c r="W416" t="s">
        <v>9</v>
      </c>
      <c r="X416" t="s">
        <v>1457</v>
      </c>
    </row>
    <row r="417" spans="1:24" hidden="1" x14ac:dyDescent="0.35">
      <c r="A417" t="s">
        <v>206</v>
      </c>
      <c r="B417">
        <v>2023</v>
      </c>
      <c r="C417" t="s">
        <v>1308</v>
      </c>
      <c r="D417" t="s">
        <v>1319</v>
      </c>
      <c r="E417" t="s">
        <v>1359</v>
      </c>
      <c r="F417" t="s">
        <v>1364</v>
      </c>
      <c r="G417" t="s">
        <v>1371</v>
      </c>
      <c r="H417">
        <v>2.5700000000000001E-4</v>
      </c>
      <c r="J417" t="s">
        <v>1395</v>
      </c>
      <c r="L417">
        <f t="shared" si="12"/>
        <v>2.8399999999999996E-3</v>
      </c>
      <c r="R417" s="2" t="s">
        <v>1438</v>
      </c>
      <c r="S417">
        <v>120</v>
      </c>
      <c r="U417">
        <v>120</v>
      </c>
      <c r="V417">
        <v>2.1416666666666672E-6</v>
      </c>
      <c r="W417" t="s">
        <v>9</v>
      </c>
      <c r="X417" t="s">
        <v>1456</v>
      </c>
    </row>
    <row r="418" spans="1:24" hidden="1" x14ac:dyDescent="0.35">
      <c r="A418" t="s">
        <v>207</v>
      </c>
      <c r="B418">
        <v>2023</v>
      </c>
      <c r="C418" t="s">
        <v>1308</v>
      </c>
      <c r="D418" t="s">
        <v>1320</v>
      </c>
      <c r="E418" t="s">
        <v>1359</v>
      </c>
      <c r="F418" t="s">
        <v>1364</v>
      </c>
      <c r="G418" t="s">
        <v>1372</v>
      </c>
      <c r="H418">
        <v>3.8200000000000002E-4</v>
      </c>
      <c r="J418" t="s">
        <v>1395</v>
      </c>
      <c r="L418">
        <f t="shared" si="12"/>
        <v>2.8399999999999996E-3</v>
      </c>
      <c r="R418" s="2" t="s">
        <v>1438</v>
      </c>
      <c r="S418">
        <v>120</v>
      </c>
      <c r="U418">
        <v>120</v>
      </c>
      <c r="V418">
        <v>3.1833333333333331E-6</v>
      </c>
      <c r="W418" t="s">
        <v>9</v>
      </c>
      <c r="X418" t="s">
        <v>1457</v>
      </c>
    </row>
    <row r="419" spans="1:24" hidden="1" x14ac:dyDescent="0.35">
      <c r="A419" t="s">
        <v>208</v>
      </c>
      <c r="B419">
        <v>2023</v>
      </c>
      <c r="C419" t="s">
        <v>1308</v>
      </c>
      <c r="D419" t="s">
        <v>1321</v>
      </c>
      <c r="E419" t="s">
        <v>1359</v>
      </c>
      <c r="F419" t="s">
        <v>1364</v>
      </c>
      <c r="G419" t="s">
        <v>1371</v>
      </c>
      <c r="H419">
        <v>9.9999999999999995E-7</v>
      </c>
      <c r="J419" t="s">
        <v>1395</v>
      </c>
      <c r="L419">
        <f t="shared" si="12"/>
        <v>2.8399999999999996E-3</v>
      </c>
      <c r="R419" s="2" t="s">
        <v>1438</v>
      </c>
      <c r="S419">
        <v>120</v>
      </c>
      <c r="U419">
        <v>120</v>
      </c>
      <c r="V419">
        <v>8.3333333333333335E-9</v>
      </c>
      <c r="W419" t="s">
        <v>9</v>
      </c>
      <c r="X419" t="s">
        <v>1456</v>
      </c>
    </row>
    <row r="420" spans="1:24" hidden="1" x14ac:dyDescent="0.35">
      <c r="A420" t="s">
        <v>209</v>
      </c>
      <c r="B420">
        <v>2023</v>
      </c>
      <c r="C420" t="s">
        <v>1308</v>
      </c>
      <c r="D420" t="s">
        <v>1322</v>
      </c>
      <c r="E420" t="s">
        <v>1359</v>
      </c>
      <c r="F420" t="s">
        <v>1364</v>
      </c>
      <c r="G420" t="s">
        <v>1372</v>
      </c>
      <c r="H420">
        <v>1.6274E-2</v>
      </c>
      <c r="J420" t="s">
        <v>1395</v>
      </c>
      <c r="L420">
        <f t="shared" si="12"/>
        <v>2.8399999999999996E-3</v>
      </c>
      <c r="R420" s="2" t="s">
        <v>1438</v>
      </c>
      <c r="S420">
        <v>120</v>
      </c>
      <c r="U420">
        <v>120</v>
      </c>
      <c r="V420">
        <v>1.3561666666666669E-4</v>
      </c>
      <c r="W420" t="s">
        <v>9</v>
      </c>
      <c r="X420" t="s">
        <v>1457</v>
      </c>
    </row>
    <row r="421" spans="1:24" hidden="1" x14ac:dyDescent="0.35">
      <c r="A421" t="s">
        <v>210</v>
      </c>
      <c r="B421">
        <v>2023</v>
      </c>
      <c r="C421" t="s">
        <v>1308</v>
      </c>
      <c r="D421" t="s">
        <v>1323</v>
      </c>
      <c r="E421" t="s">
        <v>1359</v>
      </c>
      <c r="F421" t="s">
        <v>1364</v>
      </c>
      <c r="G421" t="s">
        <v>1371</v>
      </c>
      <c r="H421">
        <v>2.3259999999999999E-3</v>
      </c>
      <c r="J421" t="s">
        <v>1395</v>
      </c>
      <c r="L421">
        <f t="shared" si="12"/>
        <v>2.8399999999999996E-3</v>
      </c>
      <c r="R421" s="2" t="s">
        <v>1438</v>
      </c>
      <c r="S421">
        <v>120</v>
      </c>
      <c r="U421">
        <v>120</v>
      </c>
      <c r="V421">
        <v>1.9383333333333331E-5</v>
      </c>
      <c r="W421" t="s">
        <v>9</v>
      </c>
      <c r="X421" t="s">
        <v>1456</v>
      </c>
    </row>
    <row r="422" spans="1:24" hidden="1" x14ac:dyDescent="0.35">
      <c r="A422" t="s">
        <v>211</v>
      </c>
      <c r="B422">
        <v>2023</v>
      </c>
      <c r="C422" t="s">
        <v>1308</v>
      </c>
      <c r="D422" t="s">
        <v>1324</v>
      </c>
      <c r="E422" t="s">
        <v>1359</v>
      </c>
      <c r="F422" t="s">
        <v>1364</v>
      </c>
      <c r="G422" t="s">
        <v>1371</v>
      </c>
      <c r="H422">
        <v>1.75E-4</v>
      </c>
      <c r="J422" t="s">
        <v>1395</v>
      </c>
      <c r="L422">
        <f t="shared" si="12"/>
        <v>2.8399999999999996E-3</v>
      </c>
      <c r="R422" s="2" t="s">
        <v>1438</v>
      </c>
      <c r="S422">
        <v>120</v>
      </c>
      <c r="U422">
        <v>120</v>
      </c>
      <c r="V422">
        <v>1.4583333333333331E-6</v>
      </c>
      <c r="W422" t="s">
        <v>9</v>
      </c>
      <c r="X422" t="s">
        <v>1456</v>
      </c>
    </row>
    <row r="423" spans="1:24" hidden="1" x14ac:dyDescent="0.35">
      <c r="A423" t="s">
        <v>212</v>
      </c>
      <c r="B423">
        <v>2023</v>
      </c>
      <c r="C423" t="s">
        <v>1308</v>
      </c>
      <c r="D423" t="s">
        <v>1312</v>
      </c>
      <c r="E423" t="s">
        <v>1359</v>
      </c>
      <c r="F423" t="s">
        <v>1364</v>
      </c>
      <c r="G423" t="s">
        <v>1371</v>
      </c>
      <c r="H423">
        <v>26.721285999999999</v>
      </c>
      <c r="J423" t="s">
        <v>1395</v>
      </c>
      <c r="L423">
        <f t="shared" si="12"/>
        <v>2.8399999999999996E-3</v>
      </c>
      <c r="R423" s="2" t="s">
        <v>1438</v>
      </c>
      <c r="S423">
        <v>120</v>
      </c>
      <c r="U423">
        <v>120</v>
      </c>
      <c r="V423">
        <v>0.22267738333333331</v>
      </c>
      <c r="W423" t="s">
        <v>9</v>
      </c>
      <c r="X423" t="s">
        <v>1456</v>
      </c>
    </row>
    <row r="424" spans="1:24" hidden="1" x14ac:dyDescent="0.35">
      <c r="A424" t="s">
        <v>213</v>
      </c>
      <c r="B424">
        <v>2023</v>
      </c>
      <c r="C424" t="s">
        <v>1308</v>
      </c>
      <c r="D424" t="s">
        <v>1313</v>
      </c>
      <c r="E424" t="s">
        <v>1359</v>
      </c>
      <c r="F424" t="s">
        <v>1364</v>
      </c>
      <c r="G424" t="s">
        <v>1371</v>
      </c>
      <c r="H424">
        <v>1.8151379999999999</v>
      </c>
      <c r="J424" t="s">
        <v>1395</v>
      </c>
      <c r="L424">
        <f t="shared" si="12"/>
        <v>2.8399999999999996E-3</v>
      </c>
      <c r="R424" s="2" t="s">
        <v>1438</v>
      </c>
      <c r="S424">
        <v>120</v>
      </c>
      <c r="U424">
        <v>120</v>
      </c>
      <c r="V424">
        <v>1.512615E-2</v>
      </c>
      <c r="W424" t="s">
        <v>9</v>
      </c>
      <c r="X424" t="s">
        <v>1456</v>
      </c>
    </row>
    <row r="425" spans="1:24" hidden="1" x14ac:dyDescent="0.35">
      <c r="A425" t="s">
        <v>214</v>
      </c>
      <c r="B425">
        <v>2023</v>
      </c>
      <c r="C425" t="s">
        <v>1308</v>
      </c>
      <c r="D425" t="s">
        <v>1314</v>
      </c>
      <c r="E425" t="s">
        <v>1359</v>
      </c>
      <c r="F425" t="s">
        <v>1364</v>
      </c>
      <c r="G425" t="s">
        <v>1371</v>
      </c>
      <c r="H425">
        <v>1.80369</v>
      </c>
      <c r="J425" t="s">
        <v>1395</v>
      </c>
      <c r="L425">
        <f t="shared" si="12"/>
        <v>2.8399999999999996E-3</v>
      </c>
      <c r="R425" s="2" t="s">
        <v>1438</v>
      </c>
      <c r="S425">
        <v>120</v>
      </c>
      <c r="U425">
        <v>120</v>
      </c>
      <c r="V425">
        <v>1.5030750000000001E-2</v>
      </c>
      <c r="W425" t="s">
        <v>9</v>
      </c>
      <c r="X425" t="s">
        <v>1456</v>
      </c>
    </row>
    <row r="426" spans="1:24" hidden="1" x14ac:dyDescent="0.35">
      <c r="A426" t="s">
        <v>215</v>
      </c>
      <c r="B426">
        <v>2023</v>
      </c>
      <c r="C426" t="s">
        <v>1308</v>
      </c>
      <c r="D426" t="s">
        <v>1315</v>
      </c>
      <c r="E426" t="s">
        <v>1359</v>
      </c>
      <c r="F426" t="s">
        <v>1364</v>
      </c>
      <c r="G426" t="s">
        <v>1371</v>
      </c>
      <c r="H426">
        <v>1.8183590000000001</v>
      </c>
      <c r="J426" t="s">
        <v>1395</v>
      </c>
      <c r="L426">
        <f t="shared" si="12"/>
        <v>2.8399999999999996E-3</v>
      </c>
      <c r="R426" s="2" t="s">
        <v>1438</v>
      </c>
      <c r="S426">
        <v>120</v>
      </c>
      <c r="U426">
        <v>120</v>
      </c>
      <c r="V426">
        <v>1.5152991666666671E-2</v>
      </c>
      <c r="W426" t="s">
        <v>9</v>
      </c>
      <c r="X426" t="s">
        <v>1456</v>
      </c>
    </row>
    <row r="427" spans="1:24" hidden="1" x14ac:dyDescent="0.35">
      <c r="A427" t="s">
        <v>216</v>
      </c>
      <c r="B427">
        <v>2023</v>
      </c>
      <c r="C427" t="s">
        <v>1308</v>
      </c>
      <c r="D427" t="s">
        <v>1336</v>
      </c>
      <c r="E427" t="s">
        <v>1359</v>
      </c>
      <c r="F427" t="s">
        <v>1364</v>
      </c>
      <c r="G427" t="s">
        <v>1371</v>
      </c>
      <c r="H427">
        <v>9.9999999999999995E-7</v>
      </c>
      <c r="J427" t="s">
        <v>1395</v>
      </c>
      <c r="L427">
        <f t="shared" si="12"/>
        <v>2.8399999999999996E-3</v>
      </c>
      <c r="R427" s="2" t="s">
        <v>1438</v>
      </c>
      <c r="S427">
        <v>120</v>
      </c>
      <c r="U427">
        <v>120</v>
      </c>
      <c r="V427">
        <v>8.3333333333333335E-9</v>
      </c>
      <c r="W427" t="s">
        <v>9</v>
      </c>
      <c r="X427" t="s">
        <v>1456</v>
      </c>
    </row>
    <row r="428" spans="1:24" hidden="1" x14ac:dyDescent="0.35">
      <c r="A428" t="s">
        <v>567</v>
      </c>
      <c r="B428">
        <v>2023</v>
      </c>
      <c r="C428" t="s">
        <v>1308</v>
      </c>
      <c r="D428" t="s">
        <v>1317</v>
      </c>
      <c r="E428" t="s">
        <v>1359</v>
      </c>
      <c r="F428" t="s">
        <v>1366</v>
      </c>
      <c r="G428" t="s">
        <v>1372</v>
      </c>
      <c r="H428">
        <v>1.5107349999999999</v>
      </c>
      <c r="J428" t="s">
        <v>1395</v>
      </c>
      <c r="L428">
        <f t="shared" si="12"/>
        <v>2.8399999999999996E-3</v>
      </c>
      <c r="R428" s="2" t="s">
        <v>1438</v>
      </c>
      <c r="S428">
        <v>120</v>
      </c>
      <c r="U428">
        <v>120</v>
      </c>
      <c r="V428">
        <v>1.2589458333333329E-2</v>
      </c>
      <c r="W428" t="s">
        <v>9</v>
      </c>
      <c r="X428" t="s">
        <v>1457</v>
      </c>
    </row>
    <row r="429" spans="1:24" hidden="1" x14ac:dyDescent="0.35">
      <c r="A429" t="s">
        <v>568</v>
      </c>
      <c r="B429">
        <v>2023</v>
      </c>
      <c r="C429" t="s">
        <v>1308</v>
      </c>
      <c r="D429" t="s">
        <v>1318</v>
      </c>
      <c r="E429" t="s">
        <v>1359</v>
      </c>
      <c r="F429" t="s">
        <v>1366</v>
      </c>
      <c r="G429" t="s">
        <v>1372</v>
      </c>
      <c r="H429">
        <v>2.833E-3</v>
      </c>
      <c r="J429" t="s">
        <v>1395</v>
      </c>
      <c r="L429">
        <f t="shared" si="12"/>
        <v>2.8399999999999996E-3</v>
      </c>
      <c r="R429" s="2" t="s">
        <v>1438</v>
      </c>
      <c r="S429">
        <v>120</v>
      </c>
      <c r="U429">
        <v>120</v>
      </c>
      <c r="V429">
        <v>2.3608333333333329E-5</v>
      </c>
      <c r="W429" t="s">
        <v>9</v>
      </c>
      <c r="X429" t="s">
        <v>1457</v>
      </c>
    </row>
    <row r="430" spans="1:24" hidden="1" x14ac:dyDescent="0.35">
      <c r="A430" t="s">
        <v>569</v>
      </c>
      <c r="B430">
        <v>2023</v>
      </c>
      <c r="C430" t="s">
        <v>1308</v>
      </c>
      <c r="D430" t="s">
        <v>1319</v>
      </c>
      <c r="E430" t="s">
        <v>1359</v>
      </c>
      <c r="F430" t="s">
        <v>1366</v>
      </c>
      <c r="G430" t="s">
        <v>1371</v>
      </c>
      <c r="H430">
        <v>1.6629000000000001E-2</v>
      </c>
      <c r="J430" t="s">
        <v>1395</v>
      </c>
      <c r="L430">
        <f t="shared" si="12"/>
        <v>2.8399999999999996E-3</v>
      </c>
      <c r="R430" s="2" t="s">
        <v>1438</v>
      </c>
      <c r="S430">
        <v>120</v>
      </c>
      <c r="U430">
        <v>120</v>
      </c>
      <c r="V430">
        <v>1.3857499999999999E-4</v>
      </c>
      <c r="W430" t="s">
        <v>9</v>
      </c>
      <c r="X430" t="s">
        <v>1456</v>
      </c>
    </row>
    <row r="431" spans="1:24" hidden="1" x14ac:dyDescent="0.35">
      <c r="A431" t="s">
        <v>570</v>
      </c>
      <c r="B431">
        <v>2023</v>
      </c>
      <c r="C431" t="s">
        <v>1308</v>
      </c>
      <c r="D431" t="s">
        <v>1320</v>
      </c>
      <c r="E431" t="s">
        <v>1359</v>
      </c>
      <c r="F431" t="s">
        <v>1366</v>
      </c>
      <c r="G431" t="s">
        <v>1372</v>
      </c>
      <c r="H431">
        <v>1.52752</v>
      </c>
      <c r="J431" t="s">
        <v>1395</v>
      </c>
      <c r="L431">
        <f t="shared" si="12"/>
        <v>2.8399999999999996E-3</v>
      </c>
      <c r="R431" s="2" t="s">
        <v>1438</v>
      </c>
      <c r="S431">
        <v>120</v>
      </c>
      <c r="U431">
        <v>120</v>
      </c>
      <c r="V431">
        <v>1.272933333333333E-2</v>
      </c>
      <c r="W431" t="s">
        <v>9</v>
      </c>
      <c r="X431" t="s">
        <v>1457</v>
      </c>
    </row>
    <row r="432" spans="1:24" hidden="1" x14ac:dyDescent="0.35">
      <c r="A432" t="s">
        <v>571</v>
      </c>
      <c r="B432">
        <v>2023</v>
      </c>
      <c r="C432" t="s">
        <v>1308</v>
      </c>
      <c r="D432" t="s">
        <v>1321</v>
      </c>
      <c r="E432" t="s">
        <v>1359</v>
      </c>
      <c r="F432" t="s">
        <v>1366</v>
      </c>
      <c r="G432" t="s">
        <v>1371</v>
      </c>
      <c r="H432">
        <v>2.0430000000000001E-3</v>
      </c>
      <c r="J432" t="s">
        <v>1395</v>
      </c>
      <c r="L432">
        <f t="shared" si="12"/>
        <v>2.8399999999999996E-3</v>
      </c>
      <c r="R432" s="2" t="s">
        <v>1438</v>
      </c>
      <c r="S432">
        <v>120</v>
      </c>
      <c r="U432">
        <v>120</v>
      </c>
      <c r="V432">
        <v>1.7025E-5</v>
      </c>
      <c r="W432" t="s">
        <v>9</v>
      </c>
      <c r="X432" t="s">
        <v>1456</v>
      </c>
    </row>
    <row r="433" spans="1:24" hidden="1" x14ac:dyDescent="0.35">
      <c r="A433" t="s">
        <v>572</v>
      </c>
      <c r="B433">
        <v>2023</v>
      </c>
      <c r="C433" t="s">
        <v>1308</v>
      </c>
      <c r="D433" t="s">
        <v>1322</v>
      </c>
      <c r="E433" t="s">
        <v>1359</v>
      </c>
      <c r="F433" t="s">
        <v>1366</v>
      </c>
      <c r="G433" t="s">
        <v>1372</v>
      </c>
      <c r="H433">
        <v>0.163021</v>
      </c>
      <c r="J433" t="s">
        <v>1395</v>
      </c>
      <c r="L433">
        <f t="shared" si="12"/>
        <v>2.8399999999999996E-3</v>
      </c>
      <c r="R433" s="2" t="s">
        <v>1438</v>
      </c>
      <c r="S433">
        <v>120</v>
      </c>
      <c r="U433">
        <v>120</v>
      </c>
      <c r="V433">
        <v>1.358508333333333E-3</v>
      </c>
      <c r="W433" t="s">
        <v>9</v>
      </c>
      <c r="X433" t="s">
        <v>1457</v>
      </c>
    </row>
    <row r="434" spans="1:24" hidden="1" x14ac:dyDescent="0.35">
      <c r="A434" t="s">
        <v>573</v>
      </c>
      <c r="B434">
        <v>2023</v>
      </c>
      <c r="C434" t="s">
        <v>1308</v>
      </c>
      <c r="D434" t="s">
        <v>1323</v>
      </c>
      <c r="E434" t="s">
        <v>1359</v>
      </c>
      <c r="F434" t="s">
        <v>1366</v>
      </c>
      <c r="G434" t="s">
        <v>1371</v>
      </c>
      <c r="H434">
        <v>3.3985000000000001E-2</v>
      </c>
      <c r="J434" t="s">
        <v>1395</v>
      </c>
      <c r="L434">
        <f t="shared" si="12"/>
        <v>2.8399999999999996E-3</v>
      </c>
      <c r="R434" s="2" t="s">
        <v>1438</v>
      </c>
      <c r="S434">
        <v>120</v>
      </c>
      <c r="U434">
        <v>120</v>
      </c>
      <c r="V434">
        <v>2.8320833333333328E-4</v>
      </c>
      <c r="W434" t="s">
        <v>9</v>
      </c>
      <c r="X434" t="s">
        <v>1456</v>
      </c>
    </row>
    <row r="435" spans="1:24" hidden="1" x14ac:dyDescent="0.35">
      <c r="A435" t="s">
        <v>574</v>
      </c>
      <c r="B435">
        <v>2023</v>
      </c>
      <c r="C435" t="s">
        <v>1308</v>
      </c>
      <c r="D435" t="s">
        <v>1324</v>
      </c>
      <c r="E435" t="s">
        <v>1359</v>
      </c>
      <c r="F435" t="s">
        <v>1366</v>
      </c>
      <c r="G435" t="s">
        <v>1371</v>
      </c>
      <c r="H435">
        <v>3.2109999999999999E-3</v>
      </c>
      <c r="J435" t="s">
        <v>1395</v>
      </c>
      <c r="L435">
        <f t="shared" si="12"/>
        <v>2.8399999999999996E-3</v>
      </c>
      <c r="R435" s="2" t="s">
        <v>1438</v>
      </c>
      <c r="S435">
        <v>120</v>
      </c>
      <c r="U435">
        <v>120</v>
      </c>
      <c r="V435">
        <v>2.6758333333333331E-5</v>
      </c>
      <c r="W435" t="s">
        <v>9</v>
      </c>
      <c r="X435" t="s">
        <v>1456</v>
      </c>
    </row>
    <row r="436" spans="1:24" hidden="1" x14ac:dyDescent="0.35">
      <c r="A436" t="s">
        <v>575</v>
      </c>
      <c r="B436">
        <v>2023</v>
      </c>
      <c r="C436" t="s">
        <v>1308</v>
      </c>
      <c r="D436" t="s">
        <v>1313</v>
      </c>
      <c r="E436" t="s">
        <v>1359</v>
      </c>
      <c r="F436" t="s">
        <v>1366</v>
      </c>
      <c r="G436" t="s">
        <v>1371</v>
      </c>
      <c r="H436">
        <v>17.490507999999998</v>
      </c>
      <c r="J436" t="s">
        <v>1395</v>
      </c>
      <c r="L436">
        <f t="shared" si="12"/>
        <v>2.8399999999999996E-3</v>
      </c>
      <c r="R436" s="2" t="s">
        <v>1438</v>
      </c>
      <c r="S436">
        <v>120</v>
      </c>
      <c r="U436">
        <v>120</v>
      </c>
      <c r="V436">
        <v>0.14575423333333329</v>
      </c>
      <c r="W436" t="s">
        <v>9</v>
      </c>
      <c r="X436" t="s">
        <v>1456</v>
      </c>
    </row>
    <row r="437" spans="1:24" hidden="1" x14ac:dyDescent="0.35">
      <c r="A437" t="s">
        <v>576</v>
      </c>
      <c r="B437">
        <v>2023</v>
      </c>
      <c r="C437" t="s">
        <v>1308</v>
      </c>
      <c r="D437" t="s">
        <v>1314</v>
      </c>
      <c r="E437" t="s">
        <v>1359</v>
      </c>
      <c r="F437" t="s">
        <v>1366</v>
      </c>
      <c r="G437" t="s">
        <v>1371</v>
      </c>
      <c r="H437">
        <v>7.5514419999999998</v>
      </c>
      <c r="J437" t="s">
        <v>1395</v>
      </c>
      <c r="L437">
        <f t="shared" si="12"/>
        <v>2.8399999999999996E-3</v>
      </c>
      <c r="R437" s="2" t="s">
        <v>1438</v>
      </c>
      <c r="S437">
        <v>120</v>
      </c>
      <c r="U437">
        <v>120</v>
      </c>
      <c r="V437">
        <v>6.2928683333333332E-2</v>
      </c>
      <c r="W437" t="s">
        <v>9</v>
      </c>
      <c r="X437" t="s">
        <v>1456</v>
      </c>
    </row>
    <row r="438" spans="1:24" hidden="1" x14ac:dyDescent="0.35">
      <c r="A438" t="s">
        <v>577</v>
      </c>
      <c r="B438">
        <v>2023</v>
      </c>
      <c r="C438" t="s">
        <v>1308</v>
      </c>
      <c r="D438" t="s">
        <v>1315</v>
      </c>
      <c r="E438" t="s">
        <v>1359</v>
      </c>
      <c r="F438" t="s">
        <v>1366</v>
      </c>
      <c r="G438" t="s">
        <v>1371</v>
      </c>
      <c r="H438">
        <v>36.174827999999998</v>
      </c>
      <c r="J438" t="s">
        <v>1395</v>
      </c>
      <c r="L438">
        <f t="shared" si="12"/>
        <v>2.8399999999999996E-3</v>
      </c>
      <c r="R438" s="2" t="s">
        <v>1438</v>
      </c>
      <c r="S438">
        <v>120</v>
      </c>
      <c r="U438">
        <v>120</v>
      </c>
      <c r="V438">
        <v>0.30145690000000003</v>
      </c>
      <c r="W438" t="s">
        <v>9</v>
      </c>
      <c r="X438" t="s">
        <v>1456</v>
      </c>
    </row>
    <row r="439" spans="1:24" hidden="1" x14ac:dyDescent="0.35">
      <c r="A439" t="s">
        <v>578</v>
      </c>
      <c r="B439">
        <v>2023</v>
      </c>
      <c r="C439" t="s">
        <v>1308</v>
      </c>
      <c r="D439" t="s">
        <v>1336</v>
      </c>
      <c r="E439" t="s">
        <v>1359</v>
      </c>
      <c r="F439" t="s">
        <v>1366</v>
      </c>
      <c r="G439" t="s">
        <v>1371</v>
      </c>
      <c r="H439">
        <v>3.7130000000000002E-3</v>
      </c>
      <c r="J439" t="s">
        <v>1395</v>
      </c>
      <c r="L439">
        <f t="shared" si="12"/>
        <v>2.8399999999999996E-3</v>
      </c>
      <c r="R439" s="2" t="s">
        <v>1438</v>
      </c>
      <c r="S439">
        <v>120</v>
      </c>
      <c r="U439">
        <v>120</v>
      </c>
      <c r="V439">
        <v>3.0941666666666669E-5</v>
      </c>
      <c r="W439" t="s">
        <v>9</v>
      </c>
      <c r="X439" t="s">
        <v>1456</v>
      </c>
    </row>
    <row r="440" spans="1:24" hidden="1" x14ac:dyDescent="0.35">
      <c r="A440" t="s">
        <v>579</v>
      </c>
      <c r="B440">
        <v>2023</v>
      </c>
      <c r="C440" t="s">
        <v>1308</v>
      </c>
      <c r="D440" t="s">
        <v>1326</v>
      </c>
      <c r="E440" t="s">
        <v>1359</v>
      </c>
      <c r="F440" t="s">
        <v>1366</v>
      </c>
      <c r="G440" t="s">
        <v>1371</v>
      </c>
      <c r="H440">
        <v>1.408E-3</v>
      </c>
      <c r="J440" t="s">
        <v>1395</v>
      </c>
      <c r="L440">
        <f t="shared" si="12"/>
        <v>2.8399999999999996E-3</v>
      </c>
      <c r="R440" s="2" t="s">
        <v>1438</v>
      </c>
      <c r="S440">
        <v>120</v>
      </c>
      <c r="U440">
        <v>120</v>
      </c>
      <c r="V440">
        <v>1.173333333333333E-5</v>
      </c>
      <c r="W440" t="s">
        <v>9</v>
      </c>
      <c r="X440" t="s">
        <v>1456</v>
      </c>
    </row>
    <row r="441" spans="1:24" hidden="1" x14ac:dyDescent="0.35">
      <c r="A441" t="s">
        <v>905</v>
      </c>
      <c r="B441">
        <v>2023</v>
      </c>
      <c r="C441" t="s">
        <v>1309</v>
      </c>
      <c r="D441" t="s">
        <v>1317</v>
      </c>
      <c r="E441" t="s">
        <v>1359</v>
      </c>
      <c r="F441" t="s">
        <v>1368</v>
      </c>
      <c r="G441" t="s">
        <v>1372</v>
      </c>
      <c r="H441">
        <v>56.865302</v>
      </c>
      <c r="J441" t="s">
        <v>1395</v>
      </c>
      <c r="L441">
        <f t="shared" si="12"/>
        <v>2.8399999999999996E-3</v>
      </c>
      <c r="R441" s="2" t="s">
        <v>1438</v>
      </c>
      <c r="S441">
        <v>120</v>
      </c>
      <c r="U441">
        <v>120</v>
      </c>
      <c r="V441">
        <v>0.47387751666666672</v>
      </c>
      <c r="W441" t="s">
        <v>9</v>
      </c>
      <c r="X441" t="s">
        <v>1457</v>
      </c>
    </row>
    <row r="442" spans="1:24" hidden="1" x14ac:dyDescent="0.35">
      <c r="A442" t="s">
        <v>906</v>
      </c>
      <c r="B442">
        <v>2023</v>
      </c>
      <c r="C442" t="s">
        <v>1309</v>
      </c>
      <c r="D442" t="s">
        <v>1318</v>
      </c>
      <c r="E442" t="s">
        <v>1359</v>
      </c>
      <c r="F442" t="s">
        <v>1368</v>
      </c>
      <c r="G442" t="s">
        <v>1372</v>
      </c>
      <c r="H442">
        <v>2.6648999999999999E-2</v>
      </c>
      <c r="J442" t="s">
        <v>1395</v>
      </c>
      <c r="L442">
        <f t="shared" si="12"/>
        <v>2.8399999999999996E-3</v>
      </c>
      <c r="R442" s="2" t="s">
        <v>1438</v>
      </c>
      <c r="S442">
        <v>120</v>
      </c>
      <c r="U442">
        <v>120</v>
      </c>
      <c r="V442">
        <v>2.2207499999999999E-4</v>
      </c>
      <c r="W442" t="s">
        <v>9</v>
      </c>
      <c r="X442" t="s">
        <v>1457</v>
      </c>
    </row>
    <row r="443" spans="1:24" hidden="1" x14ac:dyDescent="0.35">
      <c r="A443" t="s">
        <v>907</v>
      </c>
      <c r="B443">
        <v>2023</v>
      </c>
      <c r="C443" t="s">
        <v>1309</v>
      </c>
      <c r="D443" t="s">
        <v>1319</v>
      </c>
      <c r="E443" t="s">
        <v>1359</v>
      </c>
      <c r="F443" t="s">
        <v>1368</v>
      </c>
      <c r="G443" t="s">
        <v>1371</v>
      </c>
      <c r="H443">
        <v>1.7390000000000001E-3</v>
      </c>
      <c r="J443" t="s">
        <v>1395</v>
      </c>
      <c r="L443">
        <f t="shared" si="12"/>
        <v>2.8399999999999996E-3</v>
      </c>
      <c r="R443" s="2" t="s">
        <v>1438</v>
      </c>
      <c r="S443">
        <v>120</v>
      </c>
      <c r="U443">
        <v>120</v>
      </c>
      <c r="V443">
        <v>1.4491666666666671E-5</v>
      </c>
      <c r="W443" t="s">
        <v>9</v>
      </c>
      <c r="X443" t="s">
        <v>1456</v>
      </c>
    </row>
    <row r="444" spans="1:24" hidden="1" x14ac:dyDescent="0.35">
      <c r="A444" t="s">
        <v>908</v>
      </c>
      <c r="B444">
        <v>2023</v>
      </c>
      <c r="C444" t="s">
        <v>1309</v>
      </c>
      <c r="D444" t="s">
        <v>1320</v>
      </c>
      <c r="E444" t="s">
        <v>1359</v>
      </c>
      <c r="F444" t="s">
        <v>1368</v>
      </c>
      <c r="G444" t="s">
        <v>1372</v>
      </c>
      <c r="H444">
        <v>1.8812070000000001</v>
      </c>
      <c r="J444" t="s">
        <v>1395</v>
      </c>
      <c r="L444">
        <f t="shared" si="12"/>
        <v>2.8399999999999996E-3</v>
      </c>
      <c r="R444" s="2" t="s">
        <v>1438</v>
      </c>
      <c r="S444">
        <v>120</v>
      </c>
      <c r="U444">
        <v>120</v>
      </c>
      <c r="V444">
        <v>1.5676724999999999E-2</v>
      </c>
      <c r="W444" t="s">
        <v>9</v>
      </c>
      <c r="X444" t="s">
        <v>1457</v>
      </c>
    </row>
    <row r="445" spans="1:24" hidden="1" x14ac:dyDescent="0.35">
      <c r="A445" t="s">
        <v>909</v>
      </c>
      <c r="B445">
        <v>2023</v>
      </c>
      <c r="C445" t="s">
        <v>1309</v>
      </c>
      <c r="D445" t="s">
        <v>1321</v>
      </c>
      <c r="E445" t="s">
        <v>1359</v>
      </c>
      <c r="F445" t="s">
        <v>1368</v>
      </c>
      <c r="G445" t="s">
        <v>1371</v>
      </c>
      <c r="H445">
        <v>2.1909999999999998E-3</v>
      </c>
      <c r="J445" t="s">
        <v>1395</v>
      </c>
      <c r="L445">
        <f t="shared" si="12"/>
        <v>2.8399999999999996E-3</v>
      </c>
      <c r="R445" s="2" t="s">
        <v>1438</v>
      </c>
      <c r="S445">
        <v>120</v>
      </c>
      <c r="U445">
        <v>120</v>
      </c>
      <c r="V445">
        <v>1.8258333333333331E-5</v>
      </c>
      <c r="W445" t="s">
        <v>9</v>
      </c>
      <c r="X445" t="s">
        <v>1456</v>
      </c>
    </row>
    <row r="446" spans="1:24" hidden="1" x14ac:dyDescent="0.35">
      <c r="A446" t="s">
        <v>910</v>
      </c>
      <c r="B446">
        <v>2023</v>
      </c>
      <c r="C446" t="s">
        <v>1309</v>
      </c>
      <c r="D446" t="s">
        <v>1322</v>
      </c>
      <c r="E446" t="s">
        <v>1359</v>
      </c>
      <c r="F446" t="s">
        <v>1368</v>
      </c>
      <c r="G446" t="s">
        <v>1372</v>
      </c>
      <c r="H446">
        <v>0.117434</v>
      </c>
      <c r="J446" t="s">
        <v>1395</v>
      </c>
      <c r="L446">
        <f t="shared" si="12"/>
        <v>2.8399999999999996E-3</v>
      </c>
      <c r="R446" s="2" t="s">
        <v>1438</v>
      </c>
      <c r="S446">
        <v>120</v>
      </c>
      <c r="U446">
        <v>120</v>
      </c>
      <c r="V446">
        <v>9.7861666666666661E-4</v>
      </c>
      <c r="W446" t="s">
        <v>9</v>
      </c>
      <c r="X446" t="s">
        <v>1457</v>
      </c>
    </row>
    <row r="447" spans="1:24" hidden="1" x14ac:dyDescent="0.35">
      <c r="A447" t="s">
        <v>911</v>
      </c>
      <c r="B447">
        <v>2023</v>
      </c>
      <c r="C447" t="s">
        <v>1309</v>
      </c>
      <c r="D447" t="s">
        <v>1324</v>
      </c>
      <c r="E447" t="s">
        <v>1359</v>
      </c>
      <c r="F447" t="s">
        <v>1368</v>
      </c>
      <c r="G447" t="s">
        <v>1371</v>
      </c>
      <c r="H447">
        <v>1.7954000000000001E-2</v>
      </c>
      <c r="J447" t="s">
        <v>1395</v>
      </c>
      <c r="L447">
        <f t="shared" si="12"/>
        <v>2.8399999999999996E-3</v>
      </c>
      <c r="R447" s="2" t="s">
        <v>1438</v>
      </c>
      <c r="S447">
        <v>120</v>
      </c>
      <c r="U447">
        <v>120</v>
      </c>
      <c r="V447">
        <v>1.4961666666666671E-4</v>
      </c>
      <c r="W447" t="s">
        <v>9</v>
      </c>
      <c r="X447" t="s">
        <v>1456</v>
      </c>
    </row>
    <row r="448" spans="1:24" hidden="1" x14ac:dyDescent="0.35">
      <c r="A448" t="s">
        <v>912</v>
      </c>
      <c r="B448">
        <v>2023</v>
      </c>
      <c r="C448" t="s">
        <v>1309</v>
      </c>
      <c r="D448" t="s">
        <v>1331</v>
      </c>
      <c r="E448" t="s">
        <v>1359</v>
      </c>
      <c r="F448" t="s">
        <v>1368</v>
      </c>
      <c r="G448" t="s">
        <v>1371</v>
      </c>
      <c r="H448">
        <v>11.398956</v>
      </c>
      <c r="J448" t="s">
        <v>1395</v>
      </c>
      <c r="L448">
        <f t="shared" si="12"/>
        <v>2.8399999999999996E-3</v>
      </c>
      <c r="R448" s="2" t="s">
        <v>1438</v>
      </c>
      <c r="S448">
        <v>120</v>
      </c>
      <c r="U448">
        <v>120</v>
      </c>
      <c r="V448">
        <v>9.4991300000000001E-2</v>
      </c>
      <c r="W448" t="s">
        <v>9</v>
      </c>
      <c r="X448" t="s">
        <v>1456</v>
      </c>
    </row>
    <row r="449" spans="1:24" hidden="1" x14ac:dyDescent="0.35">
      <c r="A449" t="s">
        <v>913</v>
      </c>
      <c r="B449">
        <v>2023</v>
      </c>
      <c r="C449" t="s">
        <v>1309</v>
      </c>
      <c r="D449" t="s">
        <v>1336</v>
      </c>
      <c r="E449" t="s">
        <v>1359</v>
      </c>
      <c r="F449" t="s">
        <v>1368</v>
      </c>
      <c r="G449" t="s">
        <v>1371</v>
      </c>
      <c r="H449">
        <v>1.874E-3</v>
      </c>
      <c r="J449" t="s">
        <v>1395</v>
      </c>
      <c r="L449">
        <f t="shared" si="12"/>
        <v>2.8399999999999996E-3</v>
      </c>
      <c r="R449" s="2" t="s">
        <v>1438</v>
      </c>
      <c r="S449">
        <v>120</v>
      </c>
      <c r="U449">
        <v>120</v>
      </c>
      <c r="V449">
        <v>1.5616666666666669E-5</v>
      </c>
      <c r="W449" t="s">
        <v>9</v>
      </c>
      <c r="X449" t="s">
        <v>1456</v>
      </c>
    </row>
    <row r="450" spans="1:24" hidden="1" x14ac:dyDescent="0.35">
      <c r="A450" t="s">
        <v>914</v>
      </c>
      <c r="B450">
        <v>2023</v>
      </c>
      <c r="C450" t="s">
        <v>1309</v>
      </c>
      <c r="D450" t="s">
        <v>1326</v>
      </c>
      <c r="E450" t="s">
        <v>1359</v>
      </c>
      <c r="F450" t="s">
        <v>1368</v>
      </c>
      <c r="G450" t="s">
        <v>1371</v>
      </c>
      <c r="H450">
        <v>1.8676999999999999E-2</v>
      </c>
      <c r="J450" t="s">
        <v>1395</v>
      </c>
      <c r="L450">
        <f t="shared" si="12"/>
        <v>2.8399999999999996E-3</v>
      </c>
      <c r="R450" s="2" t="s">
        <v>1438</v>
      </c>
      <c r="S450">
        <v>120</v>
      </c>
      <c r="U450">
        <v>120</v>
      </c>
      <c r="V450">
        <v>1.556416666666667E-4</v>
      </c>
      <c r="W450" t="s">
        <v>9</v>
      </c>
      <c r="X450" t="s">
        <v>1456</v>
      </c>
    </row>
    <row r="451" spans="1:24" hidden="1" x14ac:dyDescent="0.35">
      <c r="A451" t="s">
        <v>41</v>
      </c>
      <c r="B451">
        <v>2023</v>
      </c>
      <c r="C451" t="s">
        <v>1308</v>
      </c>
      <c r="D451" t="s">
        <v>1327</v>
      </c>
      <c r="E451" t="s">
        <v>1359</v>
      </c>
      <c r="F451" t="s">
        <v>1364</v>
      </c>
      <c r="G451" t="s">
        <v>1371</v>
      </c>
      <c r="H451">
        <v>0.48299999999999998</v>
      </c>
      <c r="J451" t="s">
        <v>1383</v>
      </c>
      <c r="L451">
        <f>9.48/1000</f>
        <v>9.4800000000000006E-3</v>
      </c>
      <c r="N451">
        <v>0.16700000000000001</v>
      </c>
      <c r="O451">
        <v>97</v>
      </c>
      <c r="R451" s="2" t="s">
        <v>1438</v>
      </c>
      <c r="S451">
        <v>439008</v>
      </c>
      <c r="U451">
        <v>439008</v>
      </c>
      <c r="V451">
        <v>1.100207741089001E-6</v>
      </c>
      <c r="W451" t="s">
        <v>9</v>
      </c>
      <c r="X451" t="s">
        <v>1456</v>
      </c>
    </row>
    <row r="452" spans="1:24" hidden="1" x14ac:dyDescent="0.35">
      <c r="A452" t="s">
        <v>43</v>
      </c>
      <c r="B452">
        <v>2023</v>
      </c>
      <c r="C452" t="s">
        <v>1308</v>
      </c>
      <c r="D452" t="s">
        <v>1317</v>
      </c>
      <c r="E452" t="s">
        <v>1359</v>
      </c>
      <c r="F452" t="s">
        <v>1364</v>
      </c>
      <c r="G452" t="s">
        <v>1372</v>
      </c>
      <c r="H452">
        <v>1.8225</v>
      </c>
      <c r="J452" t="s">
        <v>1383</v>
      </c>
      <c r="L452">
        <f t="shared" ref="L452:L515" si="13">9.48/1000</f>
        <v>9.4800000000000006E-3</v>
      </c>
      <c r="N452">
        <v>0.16700000000000001</v>
      </c>
      <c r="O452">
        <v>97</v>
      </c>
      <c r="R452" s="2" t="s">
        <v>1438</v>
      </c>
      <c r="S452">
        <v>439008</v>
      </c>
      <c r="U452">
        <v>439008</v>
      </c>
      <c r="V452">
        <v>4.1514049857861359E-6</v>
      </c>
      <c r="W452" t="s">
        <v>9</v>
      </c>
      <c r="X452" t="s">
        <v>1457</v>
      </c>
    </row>
    <row r="453" spans="1:24" hidden="1" x14ac:dyDescent="0.35">
      <c r="A453" t="s">
        <v>45</v>
      </c>
      <c r="B453">
        <v>2023</v>
      </c>
      <c r="C453" t="s">
        <v>1308</v>
      </c>
      <c r="D453" t="s">
        <v>1318</v>
      </c>
      <c r="E453" t="s">
        <v>1359</v>
      </c>
      <c r="F453" t="s">
        <v>1364</v>
      </c>
      <c r="G453" t="s">
        <v>1372</v>
      </c>
      <c r="H453">
        <v>1.38E-2</v>
      </c>
      <c r="J453" t="s">
        <v>1383</v>
      </c>
      <c r="L453">
        <f t="shared" si="13"/>
        <v>9.4800000000000006E-3</v>
      </c>
      <c r="N453">
        <v>0.16700000000000001</v>
      </c>
      <c r="O453">
        <v>97</v>
      </c>
      <c r="R453" s="2" t="s">
        <v>1438</v>
      </c>
      <c r="S453">
        <v>439008</v>
      </c>
      <c r="U453">
        <v>439008</v>
      </c>
      <c r="V453">
        <v>3.1434506888257159E-8</v>
      </c>
      <c r="W453" t="s">
        <v>9</v>
      </c>
      <c r="X453" t="s">
        <v>1457</v>
      </c>
    </row>
    <row r="454" spans="1:24" hidden="1" x14ac:dyDescent="0.35">
      <c r="A454" t="s">
        <v>48</v>
      </c>
      <c r="B454">
        <v>2023</v>
      </c>
      <c r="C454" t="s">
        <v>1308</v>
      </c>
      <c r="D454" t="s">
        <v>1311</v>
      </c>
      <c r="E454" t="s">
        <v>1359</v>
      </c>
      <c r="F454" t="s">
        <v>1364</v>
      </c>
      <c r="G454" t="s">
        <v>1371</v>
      </c>
      <c r="H454">
        <v>96.410200000000003</v>
      </c>
      <c r="J454" t="s">
        <v>1383</v>
      </c>
      <c r="L454">
        <f t="shared" si="13"/>
        <v>9.4800000000000006E-3</v>
      </c>
      <c r="N454">
        <v>0.16700000000000001</v>
      </c>
      <c r="O454">
        <v>97</v>
      </c>
      <c r="R454" s="2" t="s">
        <v>1438</v>
      </c>
      <c r="S454">
        <v>439008</v>
      </c>
      <c r="U454">
        <v>439008</v>
      </c>
      <c r="V454">
        <v>2.1960920985494571E-4</v>
      </c>
      <c r="W454" t="s">
        <v>9</v>
      </c>
      <c r="X454" t="s">
        <v>1456</v>
      </c>
    </row>
    <row r="455" spans="1:24" hidden="1" x14ac:dyDescent="0.35">
      <c r="A455" t="s">
        <v>50</v>
      </c>
      <c r="B455">
        <v>2023</v>
      </c>
      <c r="C455" t="s">
        <v>1308</v>
      </c>
      <c r="D455" t="s">
        <v>1319</v>
      </c>
      <c r="E455" t="s">
        <v>1359</v>
      </c>
      <c r="F455" t="s">
        <v>1364</v>
      </c>
      <c r="G455" t="s">
        <v>1371</v>
      </c>
      <c r="H455">
        <v>2E-3</v>
      </c>
      <c r="J455" t="s">
        <v>1383</v>
      </c>
      <c r="L455">
        <f t="shared" si="13"/>
        <v>9.4800000000000006E-3</v>
      </c>
      <c r="N455">
        <v>0.16700000000000001</v>
      </c>
      <c r="O455">
        <v>97</v>
      </c>
      <c r="R455" s="2" t="s">
        <v>1438</v>
      </c>
      <c r="S455">
        <v>439008</v>
      </c>
      <c r="U455">
        <v>439008</v>
      </c>
      <c r="V455">
        <v>4.5557256359792992E-9</v>
      </c>
      <c r="W455" t="s">
        <v>9</v>
      </c>
      <c r="X455" t="s">
        <v>1456</v>
      </c>
    </row>
    <row r="456" spans="1:24" hidden="1" x14ac:dyDescent="0.35">
      <c r="A456" t="s">
        <v>52</v>
      </c>
      <c r="B456">
        <v>2023</v>
      </c>
      <c r="C456" t="s">
        <v>1308</v>
      </c>
      <c r="D456" t="s">
        <v>1320</v>
      </c>
      <c r="E456" t="s">
        <v>1359</v>
      </c>
      <c r="F456" t="s">
        <v>1364</v>
      </c>
      <c r="G456" t="s">
        <v>1372</v>
      </c>
      <c r="H456">
        <v>0.37009999999999998</v>
      </c>
      <c r="J456" t="s">
        <v>1383</v>
      </c>
      <c r="L456">
        <f t="shared" si="13"/>
        <v>9.4800000000000006E-3</v>
      </c>
      <c r="N456">
        <v>0.16700000000000001</v>
      </c>
      <c r="O456">
        <v>97</v>
      </c>
      <c r="R456" s="2" t="s">
        <v>1438</v>
      </c>
      <c r="S456">
        <v>439008</v>
      </c>
      <c r="U456">
        <v>439008</v>
      </c>
      <c r="V456">
        <v>8.4303702893796922E-7</v>
      </c>
      <c r="W456" t="s">
        <v>9</v>
      </c>
      <c r="X456" t="s">
        <v>1457</v>
      </c>
    </row>
    <row r="457" spans="1:24" hidden="1" x14ac:dyDescent="0.35">
      <c r="A457" t="s">
        <v>54</v>
      </c>
      <c r="B457">
        <v>2023</v>
      </c>
      <c r="C457" t="s">
        <v>1308</v>
      </c>
      <c r="D457" t="s">
        <v>1321</v>
      </c>
      <c r="E457" t="s">
        <v>1359</v>
      </c>
      <c r="F457" t="s">
        <v>1364</v>
      </c>
      <c r="G457" t="s">
        <v>1371</v>
      </c>
      <c r="H457">
        <v>1.2999999999999999E-3</v>
      </c>
      <c r="J457" t="s">
        <v>1383</v>
      </c>
      <c r="L457">
        <f t="shared" si="13"/>
        <v>9.4800000000000006E-3</v>
      </c>
      <c r="N457">
        <v>0.16700000000000001</v>
      </c>
      <c r="O457">
        <v>97</v>
      </c>
      <c r="R457" s="2" t="s">
        <v>1438</v>
      </c>
      <c r="S457">
        <v>439008</v>
      </c>
      <c r="U457">
        <v>439008</v>
      </c>
      <c r="V457">
        <v>2.9612216633865438E-9</v>
      </c>
      <c r="W457" t="s">
        <v>9</v>
      </c>
      <c r="X457" t="s">
        <v>1456</v>
      </c>
    </row>
    <row r="458" spans="1:24" hidden="1" x14ac:dyDescent="0.35">
      <c r="A458" t="s">
        <v>56</v>
      </c>
      <c r="B458">
        <v>2023</v>
      </c>
      <c r="C458" t="s">
        <v>1308</v>
      </c>
      <c r="D458" t="s">
        <v>1322</v>
      </c>
      <c r="E458" t="s">
        <v>1359</v>
      </c>
      <c r="F458" t="s">
        <v>1364</v>
      </c>
      <c r="G458" t="s">
        <v>1372</v>
      </c>
      <c r="H458">
        <v>0.3765</v>
      </c>
      <c r="J458" t="s">
        <v>1383</v>
      </c>
      <c r="L458">
        <f t="shared" si="13"/>
        <v>9.4800000000000006E-3</v>
      </c>
      <c r="N458">
        <v>0.16700000000000001</v>
      </c>
      <c r="O458">
        <v>97</v>
      </c>
      <c r="R458" s="2" t="s">
        <v>1438</v>
      </c>
      <c r="S458">
        <v>439008</v>
      </c>
      <c r="U458">
        <v>439008</v>
      </c>
      <c r="V458">
        <v>8.5761535097310305E-7</v>
      </c>
      <c r="W458" t="s">
        <v>9</v>
      </c>
      <c r="X458" t="s">
        <v>1457</v>
      </c>
    </row>
    <row r="459" spans="1:24" hidden="1" x14ac:dyDescent="0.35">
      <c r="A459" t="s">
        <v>58</v>
      </c>
      <c r="B459">
        <v>2023</v>
      </c>
      <c r="C459" t="s">
        <v>1308</v>
      </c>
      <c r="D459" t="s">
        <v>1323</v>
      </c>
      <c r="E459" t="s">
        <v>1359</v>
      </c>
      <c r="F459" t="s">
        <v>1364</v>
      </c>
      <c r="G459" t="s">
        <v>1371</v>
      </c>
      <c r="H459">
        <v>1.6899999999999998E-2</v>
      </c>
      <c r="J459" t="s">
        <v>1383</v>
      </c>
      <c r="L459">
        <f t="shared" si="13"/>
        <v>9.4800000000000006E-3</v>
      </c>
      <c r="N459">
        <v>0.16700000000000001</v>
      </c>
      <c r="O459">
        <v>97</v>
      </c>
      <c r="R459" s="2" t="s">
        <v>1438</v>
      </c>
      <c r="S459">
        <v>439008</v>
      </c>
      <c r="U459">
        <v>439008</v>
      </c>
      <c r="V459">
        <v>3.8495881624025069E-8</v>
      </c>
      <c r="W459" t="s">
        <v>9</v>
      </c>
      <c r="X459" t="s">
        <v>1456</v>
      </c>
    </row>
    <row r="460" spans="1:24" hidden="1" x14ac:dyDescent="0.35">
      <c r="A460" t="s">
        <v>60</v>
      </c>
      <c r="B460">
        <v>2023</v>
      </c>
      <c r="C460" t="s">
        <v>1308</v>
      </c>
      <c r="D460" t="s">
        <v>1330</v>
      </c>
      <c r="E460" t="s">
        <v>1359</v>
      </c>
      <c r="F460" t="s">
        <v>1364</v>
      </c>
      <c r="G460" t="s">
        <v>1371</v>
      </c>
      <c r="H460">
        <v>1.5500000000000001E-5</v>
      </c>
      <c r="J460" t="s">
        <v>1383</v>
      </c>
      <c r="L460">
        <f t="shared" si="13"/>
        <v>9.4800000000000006E-3</v>
      </c>
      <c r="N460">
        <v>0.16700000000000001</v>
      </c>
      <c r="O460">
        <v>97</v>
      </c>
      <c r="R460" s="2" t="s">
        <v>1438</v>
      </c>
      <c r="S460">
        <v>439008</v>
      </c>
      <c r="U460">
        <v>439008</v>
      </c>
      <c r="V460">
        <v>3.530687367883957E-11</v>
      </c>
      <c r="W460" t="s">
        <v>9</v>
      </c>
      <c r="X460" t="s">
        <v>1456</v>
      </c>
    </row>
    <row r="461" spans="1:24" hidden="1" x14ac:dyDescent="0.35">
      <c r="A461" t="s">
        <v>61</v>
      </c>
      <c r="B461">
        <v>2023</v>
      </c>
      <c r="C461" t="s">
        <v>1308</v>
      </c>
      <c r="D461" t="s">
        <v>1324</v>
      </c>
      <c r="E461" t="s">
        <v>1359</v>
      </c>
      <c r="F461" t="s">
        <v>1364</v>
      </c>
      <c r="G461" t="s">
        <v>1371</v>
      </c>
      <c r="H461">
        <v>1.6999999999999999E-3</v>
      </c>
      <c r="J461" t="s">
        <v>1383</v>
      </c>
      <c r="L461">
        <f t="shared" si="13"/>
        <v>9.4800000000000006E-3</v>
      </c>
      <c r="N461">
        <v>0.16700000000000001</v>
      </c>
      <c r="O461">
        <v>97</v>
      </c>
      <c r="R461" s="2" t="s">
        <v>1438</v>
      </c>
      <c r="S461">
        <v>439008</v>
      </c>
      <c r="U461">
        <v>439008</v>
      </c>
      <c r="V461">
        <v>3.8723667905824041E-9</v>
      </c>
      <c r="W461" t="s">
        <v>9</v>
      </c>
      <c r="X461" t="s">
        <v>1456</v>
      </c>
    </row>
    <row r="462" spans="1:24" hidden="1" x14ac:dyDescent="0.35">
      <c r="A462" t="s">
        <v>64</v>
      </c>
      <c r="B462">
        <v>2023</v>
      </c>
      <c r="C462" t="s">
        <v>1308</v>
      </c>
      <c r="D462" t="s">
        <v>1312</v>
      </c>
      <c r="E462" t="s">
        <v>1359</v>
      </c>
      <c r="F462" t="s">
        <v>1364</v>
      </c>
      <c r="G462" t="s">
        <v>1371</v>
      </c>
      <c r="H462">
        <v>440.17219999999998</v>
      </c>
      <c r="J462" t="s">
        <v>1383</v>
      </c>
      <c r="L462">
        <f t="shared" si="13"/>
        <v>9.4800000000000006E-3</v>
      </c>
      <c r="N462">
        <v>0.16700000000000001</v>
      </c>
      <c r="O462">
        <v>97</v>
      </c>
      <c r="R462" s="2" t="s">
        <v>1438</v>
      </c>
      <c r="S462">
        <v>439008</v>
      </c>
      <c r="U462">
        <v>439008</v>
      </c>
      <c r="V462">
        <v>1.002651887892703E-3</v>
      </c>
      <c r="W462" t="s">
        <v>9</v>
      </c>
      <c r="X462" t="s">
        <v>1456</v>
      </c>
    </row>
    <row r="463" spans="1:24" hidden="1" x14ac:dyDescent="0.35">
      <c r="A463" t="s">
        <v>67</v>
      </c>
      <c r="B463">
        <v>2023</v>
      </c>
      <c r="C463" t="s">
        <v>1308</v>
      </c>
      <c r="D463" t="s">
        <v>1313</v>
      </c>
      <c r="E463" t="s">
        <v>1359</v>
      </c>
      <c r="F463" t="s">
        <v>1364</v>
      </c>
      <c r="G463" t="s">
        <v>1371</v>
      </c>
      <c r="H463">
        <v>43.107199999999999</v>
      </c>
      <c r="J463" t="s">
        <v>1383</v>
      </c>
      <c r="L463">
        <f t="shared" si="13"/>
        <v>9.4800000000000006E-3</v>
      </c>
      <c r="N463">
        <v>0.16700000000000001</v>
      </c>
      <c r="O463">
        <v>97</v>
      </c>
      <c r="R463" s="2" t="s">
        <v>1438</v>
      </c>
      <c r="S463">
        <v>439008</v>
      </c>
      <c r="U463">
        <v>439008</v>
      </c>
      <c r="V463">
        <v>9.8192288067643413E-5</v>
      </c>
      <c r="W463" t="s">
        <v>9</v>
      </c>
      <c r="X463" t="s">
        <v>1456</v>
      </c>
    </row>
    <row r="464" spans="1:24" hidden="1" x14ac:dyDescent="0.35">
      <c r="A464" t="s">
        <v>69</v>
      </c>
      <c r="B464">
        <v>2023</v>
      </c>
      <c r="C464" t="s">
        <v>1308</v>
      </c>
      <c r="D464" t="s">
        <v>1314</v>
      </c>
      <c r="E464" t="s">
        <v>1359</v>
      </c>
      <c r="F464" t="s">
        <v>1364</v>
      </c>
      <c r="G464" t="s">
        <v>1371</v>
      </c>
      <c r="H464">
        <v>36.896500000000003</v>
      </c>
      <c r="J464" t="s">
        <v>1383</v>
      </c>
      <c r="L464">
        <f t="shared" si="13"/>
        <v>9.4800000000000006E-3</v>
      </c>
      <c r="N464">
        <v>0.16700000000000001</v>
      </c>
      <c r="O464">
        <v>97</v>
      </c>
      <c r="R464" s="2" t="s">
        <v>1438</v>
      </c>
      <c r="S464">
        <v>439008</v>
      </c>
      <c r="U464">
        <v>439008</v>
      </c>
      <c r="V464">
        <v>8.4045165463955104E-5</v>
      </c>
      <c r="W464" t="s">
        <v>9</v>
      </c>
      <c r="X464" t="s">
        <v>1456</v>
      </c>
    </row>
    <row r="465" spans="1:24" hidden="1" x14ac:dyDescent="0.35">
      <c r="A465" t="s">
        <v>71</v>
      </c>
      <c r="B465">
        <v>2023</v>
      </c>
      <c r="C465" t="s">
        <v>1308</v>
      </c>
      <c r="D465" t="s">
        <v>1325</v>
      </c>
      <c r="E465" t="s">
        <v>1359</v>
      </c>
      <c r="F465" t="s">
        <v>1364</v>
      </c>
      <c r="G465" t="s">
        <v>1372</v>
      </c>
      <c r="H465">
        <v>1.8957999999999999</v>
      </c>
      <c r="J465" t="s">
        <v>1383</v>
      </c>
      <c r="L465">
        <f t="shared" si="13"/>
        <v>9.4800000000000006E-3</v>
      </c>
      <c r="N465">
        <v>0.16700000000000001</v>
      </c>
      <c r="O465">
        <v>97</v>
      </c>
      <c r="R465" s="2" t="s">
        <v>1438</v>
      </c>
      <c r="S465">
        <v>439008</v>
      </c>
      <c r="U465">
        <v>439008</v>
      </c>
      <c r="V465">
        <v>4.3183723303447774E-6</v>
      </c>
      <c r="W465" t="s">
        <v>9</v>
      </c>
      <c r="X465" t="s">
        <v>1457</v>
      </c>
    </row>
    <row r="466" spans="1:24" hidden="1" x14ac:dyDescent="0.35">
      <c r="A466" t="s">
        <v>75</v>
      </c>
      <c r="B466">
        <v>2023</v>
      </c>
      <c r="C466" t="s">
        <v>1308</v>
      </c>
      <c r="D466" t="s">
        <v>1315</v>
      </c>
      <c r="E466" t="s">
        <v>1359</v>
      </c>
      <c r="F466" t="s">
        <v>1364</v>
      </c>
      <c r="G466" t="s">
        <v>1371</v>
      </c>
      <c r="H466">
        <v>56.122799999999998</v>
      </c>
      <c r="J466" t="s">
        <v>1383</v>
      </c>
      <c r="L466">
        <f t="shared" si="13"/>
        <v>9.4800000000000006E-3</v>
      </c>
      <c r="N466">
        <v>0.16700000000000001</v>
      </c>
      <c r="O466">
        <v>97</v>
      </c>
      <c r="R466" s="2" t="s">
        <v>1438</v>
      </c>
      <c r="S466">
        <v>439008</v>
      </c>
      <c r="U466">
        <v>439008</v>
      </c>
      <c r="V466">
        <v>1.2784003936146951E-4</v>
      </c>
      <c r="W466" t="s">
        <v>9</v>
      </c>
      <c r="X466" t="s">
        <v>1456</v>
      </c>
    </row>
    <row r="467" spans="1:24" hidden="1" x14ac:dyDescent="0.35">
      <c r="A467" t="s">
        <v>80</v>
      </c>
      <c r="B467">
        <v>2023</v>
      </c>
      <c r="C467" t="s">
        <v>1308</v>
      </c>
      <c r="D467" t="s">
        <v>1326</v>
      </c>
      <c r="E467" t="s">
        <v>1359</v>
      </c>
      <c r="F467" t="s">
        <v>1364</v>
      </c>
      <c r="G467" t="s">
        <v>1371</v>
      </c>
      <c r="H467">
        <v>1.5E-3</v>
      </c>
      <c r="J467" t="s">
        <v>1383</v>
      </c>
      <c r="L467">
        <f t="shared" si="13"/>
        <v>9.4800000000000006E-3</v>
      </c>
      <c r="N467">
        <v>0.16700000000000001</v>
      </c>
      <c r="O467">
        <v>97</v>
      </c>
      <c r="R467" s="2" t="s">
        <v>1438</v>
      </c>
      <c r="S467">
        <v>439008</v>
      </c>
      <c r="U467">
        <v>439008</v>
      </c>
      <c r="V467">
        <v>3.416794226984474E-9</v>
      </c>
      <c r="W467" t="s">
        <v>9</v>
      </c>
      <c r="X467" t="s">
        <v>1456</v>
      </c>
    </row>
    <row r="468" spans="1:24" hidden="1" x14ac:dyDescent="0.35">
      <c r="A468" t="s">
        <v>369</v>
      </c>
      <c r="B468">
        <v>2023</v>
      </c>
      <c r="C468" t="s">
        <v>1308</v>
      </c>
      <c r="D468" t="s">
        <v>1317</v>
      </c>
      <c r="E468" t="s">
        <v>1359</v>
      </c>
      <c r="F468" t="s">
        <v>1366</v>
      </c>
      <c r="G468" t="s">
        <v>1372</v>
      </c>
      <c r="H468">
        <v>0.19789999999999999</v>
      </c>
      <c r="J468" t="s">
        <v>1383</v>
      </c>
      <c r="L468">
        <f t="shared" si="13"/>
        <v>9.4800000000000006E-3</v>
      </c>
      <c r="N468">
        <v>0.16700000000000001</v>
      </c>
      <c r="O468">
        <v>97</v>
      </c>
      <c r="R468" s="2" t="s">
        <v>1438</v>
      </c>
      <c r="S468">
        <v>439008</v>
      </c>
      <c r="U468">
        <v>439008</v>
      </c>
      <c r="V468">
        <v>4.507890516801516E-7</v>
      </c>
      <c r="W468" t="s">
        <v>9</v>
      </c>
      <c r="X468" t="s">
        <v>1457</v>
      </c>
    </row>
    <row r="469" spans="1:24" hidden="1" x14ac:dyDescent="0.35">
      <c r="A469" t="s">
        <v>371</v>
      </c>
      <c r="B469">
        <v>2023</v>
      </c>
      <c r="C469" t="s">
        <v>1308</v>
      </c>
      <c r="D469" t="s">
        <v>1318</v>
      </c>
      <c r="E469" t="s">
        <v>1359</v>
      </c>
      <c r="F469" t="s">
        <v>1366</v>
      </c>
      <c r="G469" t="s">
        <v>1372</v>
      </c>
      <c r="H469">
        <v>2.9999999999999997E-4</v>
      </c>
      <c r="J469" t="s">
        <v>1383</v>
      </c>
      <c r="L469">
        <f t="shared" si="13"/>
        <v>9.4800000000000006E-3</v>
      </c>
      <c r="N469">
        <v>0.16700000000000001</v>
      </c>
      <c r="O469">
        <v>97</v>
      </c>
      <c r="R469" s="2" t="s">
        <v>1438</v>
      </c>
      <c r="S469">
        <v>439008</v>
      </c>
      <c r="U469">
        <v>439008</v>
      </c>
      <c r="V469">
        <v>6.8335884539689473E-10</v>
      </c>
      <c r="W469" t="s">
        <v>9</v>
      </c>
      <c r="X469" t="s">
        <v>1457</v>
      </c>
    </row>
    <row r="470" spans="1:24" hidden="1" x14ac:dyDescent="0.35">
      <c r="A470" t="s">
        <v>373</v>
      </c>
      <c r="B470">
        <v>2023</v>
      </c>
      <c r="C470" t="s">
        <v>1308</v>
      </c>
      <c r="D470" t="s">
        <v>1311</v>
      </c>
      <c r="E470" t="s">
        <v>1359</v>
      </c>
      <c r="F470" t="s">
        <v>1366</v>
      </c>
      <c r="G470" t="s">
        <v>1371</v>
      </c>
      <c r="H470">
        <v>225.7542</v>
      </c>
      <c r="J470" t="s">
        <v>1383</v>
      </c>
      <c r="L470">
        <f t="shared" si="13"/>
        <v>9.4800000000000006E-3</v>
      </c>
      <c r="N470">
        <v>0.16700000000000001</v>
      </c>
      <c r="O470">
        <v>97</v>
      </c>
      <c r="R470" s="2" t="s">
        <v>1438</v>
      </c>
      <c r="S470">
        <v>439008</v>
      </c>
      <c r="U470">
        <v>439008</v>
      </c>
      <c r="V470">
        <v>5.1423709818499894E-4</v>
      </c>
      <c r="W470" t="s">
        <v>9</v>
      </c>
      <c r="X470" t="s">
        <v>1456</v>
      </c>
    </row>
    <row r="471" spans="1:24" hidden="1" x14ac:dyDescent="0.35">
      <c r="A471" t="s">
        <v>374</v>
      </c>
      <c r="B471">
        <v>2023</v>
      </c>
      <c r="C471" t="s">
        <v>1308</v>
      </c>
      <c r="D471" t="s">
        <v>1319</v>
      </c>
      <c r="E471" t="s">
        <v>1359</v>
      </c>
      <c r="F471" t="s">
        <v>1366</v>
      </c>
      <c r="G471" t="s">
        <v>1371</v>
      </c>
      <c r="H471">
        <v>4.0000000000000002E-4</v>
      </c>
      <c r="J471" t="s">
        <v>1383</v>
      </c>
      <c r="L471">
        <f t="shared" si="13"/>
        <v>9.4800000000000006E-3</v>
      </c>
      <c r="N471">
        <v>0.16700000000000001</v>
      </c>
      <c r="O471">
        <v>97</v>
      </c>
      <c r="R471" s="2" t="s">
        <v>1438</v>
      </c>
      <c r="S471">
        <v>439008</v>
      </c>
      <c r="U471">
        <v>439008</v>
      </c>
      <c r="V471">
        <v>9.1114512719585981E-10</v>
      </c>
      <c r="W471" t="s">
        <v>9</v>
      </c>
      <c r="X471" t="s">
        <v>1456</v>
      </c>
    </row>
    <row r="472" spans="1:24" hidden="1" x14ac:dyDescent="0.35">
      <c r="A472" t="s">
        <v>376</v>
      </c>
      <c r="B472">
        <v>2023</v>
      </c>
      <c r="C472" t="s">
        <v>1308</v>
      </c>
      <c r="D472" t="s">
        <v>1320</v>
      </c>
      <c r="E472" t="s">
        <v>1359</v>
      </c>
      <c r="F472" t="s">
        <v>1366</v>
      </c>
      <c r="G472" t="s">
        <v>1372</v>
      </c>
      <c r="H472">
        <v>8.6599999999999996E-2</v>
      </c>
      <c r="J472" t="s">
        <v>1383</v>
      </c>
      <c r="L472">
        <f t="shared" si="13"/>
        <v>9.4800000000000006E-3</v>
      </c>
      <c r="N472">
        <v>0.16700000000000001</v>
      </c>
      <c r="O472">
        <v>97</v>
      </c>
      <c r="R472" s="2" t="s">
        <v>1438</v>
      </c>
      <c r="S472">
        <v>439008</v>
      </c>
      <c r="U472">
        <v>439008</v>
      </c>
      <c r="V472">
        <v>1.972629200379036E-7</v>
      </c>
      <c r="W472" t="s">
        <v>9</v>
      </c>
      <c r="X472" t="s">
        <v>1457</v>
      </c>
    </row>
    <row r="473" spans="1:24" hidden="1" x14ac:dyDescent="0.35">
      <c r="A473" t="s">
        <v>378</v>
      </c>
      <c r="B473">
        <v>2023</v>
      </c>
      <c r="C473" t="s">
        <v>1308</v>
      </c>
      <c r="D473" t="s">
        <v>1321</v>
      </c>
      <c r="E473" t="s">
        <v>1359</v>
      </c>
      <c r="F473" t="s">
        <v>1366</v>
      </c>
      <c r="G473" t="s">
        <v>1371</v>
      </c>
      <c r="H473">
        <v>2.9999999999999997E-4</v>
      </c>
      <c r="J473" t="s">
        <v>1383</v>
      </c>
      <c r="L473">
        <f t="shared" si="13"/>
        <v>9.4800000000000006E-3</v>
      </c>
      <c r="N473">
        <v>0.16700000000000001</v>
      </c>
      <c r="O473">
        <v>97</v>
      </c>
      <c r="R473" s="2" t="s">
        <v>1438</v>
      </c>
      <c r="S473">
        <v>439008</v>
      </c>
      <c r="U473">
        <v>439008</v>
      </c>
      <c r="V473">
        <v>6.8335884539689473E-10</v>
      </c>
      <c r="W473" t="s">
        <v>9</v>
      </c>
      <c r="X473" t="s">
        <v>1456</v>
      </c>
    </row>
    <row r="474" spans="1:24" hidden="1" x14ac:dyDescent="0.35">
      <c r="A474" t="s">
        <v>380</v>
      </c>
      <c r="B474">
        <v>2023</v>
      </c>
      <c r="C474" t="s">
        <v>1308</v>
      </c>
      <c r="D474" t="s">
        <v>1322</v>
      </c>
      <c r="E474" t="s">
        <v>1359</v>
      </c>
      <c r="F474" t="s">
        <v>1366</v>
      </c>
      <c r="G474" t="s">
        <v>1372</v>
      </c>
      <c r="H474">
        <v>2.1600000000000001E-2</v>
      </c>
      <c r="J474" t="s">
        <v>1383</v>
      </c>
      <c r="L474">
        <f t="shared" si="13"/>
        <v>9.4800000000000006E-3</v>
      </c>
      <c r="N474">
        <v>0.16700000000000001</v>
      </c>
      <c r="O474">
        <v>97</v>
      </c>
      <c r="R474" s="2" t="s">
        <v>1438</v>
      </c>
      <c r="S474">
        <v>439008</v>
      </c>
      <c r="U474">
        <v>439008</v>
      </c>
      <c r="V474">
        <v>4.920183686857643E-8</v>
      </c>
      <c r="W474" t="s">
        <v>9</v>
      </c>
      <c r="X474" t="s">
        <v>1457</v>
      </c>
    </row>
    <row r="475" spans="1:24" hidden="1" x14ac:dyDescent="0.35">
      <c r="A475" t="s">
        <v>382</v>
      </c>
      <c r="B475">
        <v>2023</v>
      </c>
      <c r="C475" t="s">
        <v>1308</v>
      </c>
      <c r="D475" t="s">
        <v>1323</v>
      </c>
      <c r="E475" t="s">
        <v>1359</v>
      </c>
      <c r="F475" t="s">
        <v>1366</v>
      </c>
      <c r="G475" t="s">
        <v>1371</v>
      </c>
      <c r="H475">
        <v>3.3E-3</v>
      </c>
      <c r="J475" t="s">
        <v>1383</v>
      </c>
      <c r="L475">
        <f t="shared" si="13"/>
        <v>9.4800000000000006E-3</v>
      </c>
      <c r="N475">
        <v>0.16700000000000001</v>
      </c>
      <c r="O475">
        <v>97</v>
      </c>
      <c r="R475" s="2" t="s">
        <v>1438</v>
      </c>
      <c r="S475">
        <v>439008</v>
      </c>
      <c r="U475">
        <v>439008</v>
      </c>
      <c r="V475">
        <v>7.5169472993658421E-9</v>
      </c>
      <c r="W475" t="s">
        <v>9</v>
      </c>
      <c r="X475" t="s">
        <v>1456</v>
      </c>
    </row>
    <row r="476" spans="1:24" hidden="1" x14ac:dyDescent="0.35">
      <c r="A476" t="s">
        <v>384</v>
      </c>
      <c r="B476">
        <v>2023</v>
      </c>
      <c r="C476" t="s">
        <v>1308</v>
      </c>
      <c r="D476" t="s">
        <v>1330</v>
      </c>
      <c r="E476" t="s">
        <v>1359</v>
      </c>
      <c r="F476" t="s">
        <v>1366</v>
      </c>
      <c r="G476" t="s">
        <v>1371</v>
      </c>
      <c r="H476">
        <v>4.8999999999999997E-6</v>
      </c>
      <c r="J476" t="s">
        <v>1383</v>
      </c>
      <c r="L476">
        <f t="shared" si="13"/>
        <v>9.4800000000000006E-3</v>
      </c>
      <c r="N476">
        <v>0.16700000000000001</v>
      </c>
      <c r="O476">
        <v>97</v>
      </c>
      <c r="R476" s="2" t="s">
        <v>1438</v>
      </c>
      <c r="S476">
        <v>439008</v>
      </c>
      <c r="U476">
        <v>439008</v>
      </c>
      <c r="V476">
        <v>1.116152780814928E-11</v>
      </c>
      <c r="W476" t="s">
        <v>9</v>
      </c>
      <c r="X476" t="s">
        <v>1456</v>
      </c>
    </row>
    <row r="477" spans="1:24" hidden="1" x14ac:dyDescent="0.35">
      <c r="A477" t="s">
        <v>386</v>
      </c>
      <c r="B477">
        <v>2023</v>
      </c>
      <c r="C477" t="s">
        <v>1308</v>
      </c>
      <c r="D477" t="s">
        <v>1324</v>
      </c>
      <c r="E477" t="s">
        <v>1359</v>
      </c>
      <c r="F477" t="s">
        <v>1366</v>
      </c>
      <c r="G477" t="s">
        <v>1371</v>
      </c>
      <c r="H477">
        <v>2.0000000000000001E-4</v>
      </c>
      <c r="J477" t="s">
        <v>1383</v>
      </c>
      <c r="L477">
        <f t="shared" si="13"/>
        <v>9.4800000000000006E-3</v>
      </c>
      <c r="N477">
        <v>0.16700000000000001</v>
      </c>
      <c r="O477">
        <v>97</v>
      </c>
      <c r="R477" s="2" t="s">
        <v>1438</v>
      </c>
      <c r="S477">
        <v>439008</v>
      </c>
      <c r="U477">
        <v>439008</v>
      </c>
      <c r="V477">
        <v>4.5557256359792991E-10</v>
      </c>
      <c r="W477" t="s">
        <v>9</v>
      </c>
      <c r="X477" t="s">
        <v>1456</v>
      </c>
    </row>
    <row r="478" spans="1:24" hidden="1" x14ac:dyDescent="0.35">
      <c r="A478" t="s">
        <v>389</v>
      </c>
      <c r="B478">
        <v>2023</v>
      </c>
      <c r="C478" t="s">
        <v>1308</v>
      </c>
      <c r="D478" t="s">
        <v>1313</v>
      </c>
      <c r="E478" t="s">
        <v>1359</v>
      </c>
      <c r="F478" t="s">
        <v>1366</v>
      </c>
      <c r="G478" t="s">
        <v>1371</v>
      </c>
      <c r="H478">
        <v>25.829799999999999</v>
      </c>
      <c r="J478" t="s">
        <v>1383</v>
      </c>
      <c r="L478">
        <f t="shared" si="13"/>
        <v>9.4800000000000006E-3</v>
      </c>
      <c r="N478">
        <v>0.16700000000000001</v>
      </c>
      <c r="O478">
        <v>97</v>
      </c>
      <c r="R478" s="2" t="s">
        <v>1438</v>
      </c>
      <c r="S478">
        <v>439008</v>
      </c>
      <c r="U478">
        <v>439008</v>
      </c>
      <c r="V478">
        <v>5.8836741016109053E-5</v>
      </c>
      <c r="W478" t="s">
        <v>9</v>
      </c>
      <c r="X478" t="s">
        <v>1456</v>
      </c>
    </row>
    <row r="479" spans="1:24" hidden="1" x14ac:dyDescent="0.35">
      <c r="A479" t="s">
        <v>391</v>
      </c>
      <c r="B479">
        <v>2023</v>
      </c>
      <c r="C479" t="s">
        <v>1308</v>
      </c>
      <c r="D479" t="s">
        <v>1314</v>
      </c>
      <c r="E479" t="s">
        <v>1359</v>
      </c>
      <c r="F479" t="s">
        <v>1366</v>
      </c>
      <c r="G479" t="s">
        <v>1371</v>
      </c>
      <c r="H479">
        <v>23.292100000000001</v>
      </c>
      <c r="J479" t="s">
        <v>1383</v>
      </c>
      <c r="L479">
        <f t="shared" si="13"/>
        <v>9.4800000000000006E-3</v>
      </c>
      <c r="N479">
        <v>0.16700000000000001</v>
      </c>
      <c r="O479">
        <v>97</v>
      </c>
      <c r="R479" s="2" t="s">
        <v>1438</v>
      </c>
      <c r="S479">
        <v>439008</v>
      </c>
      <c r="U479">
        <v>439008</v>
      </c>
      <c r="V479">
        <v>5.3056208542896718E-5</v>
      </c>
      <c r="W479" t="s">
        <v>9</v>
      </c>
      <c r="X479" t="s">
        <v>1456</v>
      </c>
    </row>
    <row r="480" spans="1:24" hidden="1" x14ac:dyDescent="0.35">
      <c r="A480" t="s">
        <v>393</v>
      </c>
      <c r="B480">
        <v>2023</v>
      </c>
      <c r="C480" t="s">
        <v>1308</v>
      </c>
      <c r="D480" t="s">
        <v>1325</v>
      </c>
      <c r="E480" t="s">
        <v>1359</v>
      </c>
      <c r="F480" t="s">
        <v>1366</v>
      </c>
      <c r="G480" t="s">
        <v>1372</v>
      </c>
      <c r="H480">
        <v>2.5999999999999999E-3</v>
      </c>
      <c r="J480" t="s">
        <v>1383</v>
      </c>
      <c r="L480">
        <f t="shared" si="13"/>
        <v>9.4800000000000006E-3</v>
      </c>
      <c r="N480">
        <v>0.16700000000000001</v>
      </c>
      <c r="O480">
        <v>97</v>
      </c>
      <c r="R480" s="2" t="s">
        <v>1438</v>
      </c>
      <c r="S480">
        <v>439008</v>
      </c>
      <c r="U480">
        <v>439008</v>
      </c>
      <c r="V480">
        <v>5.9224433267730876E-9</v>
      </c>
      <c r="W480" t="s">
        <v>9</v>
      </c>
      <c r="X480" t="s">
        <v>1457</v>
      </c>
    </row>
    <row r="481" spans="1:24" hidden="1" x14ac:dyDescent="0.35">
      <c r="A481" t="s">
        <v>397</v>
      </c>
      <c r="B481">
        <v>2023</v>
      </c>
      <c r="C481" t="s">
        <v>1308</v>
      </c>
      <c r="D481" t="s">
        <v>1315</v>
      </c>
      <c r="E481" t="s">
        <v>1359</v>
      </c>
      <c r="F481" t="s">
        <v>1366</v>
      </c>
      <c r="G481" t="s">
        <v>1371</v>
      </c>
      <c r="H481">
        <v>42.178199999999997</v>
      </c>
      <c r="J481" t="s">
        <v>1383</v>
      </c>
      <c r="L481">
        <f t="shared" si="13"/>
        <v>9.4800000000000006E-3</v>
      </c>
      <c r="N481">
        <v>0.16700000000000001</v>
      </c>
      <c r="O481">
        <v>97</v>
      </c>
      <c r="R481" s="2" t="s">
        <v>1438</v>
      </c>
      <c r="S481">
        <v>439008</v>
      </c>
      <c r="U481">
        <v>439008</v>
      </c>
      <c r="V481">
        <v>9.6076153509731029E-5</v>
      </c>
      <c r="W481" t="s">
        <v>9</v>
      </c>
      <c r="X481" t="s">
        <v>1456</v>
      </c>
    </row>
    <row r="482" spans="1:24" hidden="1" x14ac:dyDescent="0.35">
      <c r="A482" t="s">
        <v>401</v>
      </c>
      <c r="B482">
        <v>2023</v>
      </c>
      <c r="C482" t="s">
        <v>1308</v>
      </c>
      <c r="D482" t="s">
        <v>1326</v>
      </c>
      <c r="E482" t="s">
        <v>1359</v>
      </c>
      <c r="F482" t="s">
        <v>1366</v>
      </c>
      <c r="G482" t="s">
        <v>1371</v>
      </c>
      <c r="H482">
        <v>2.9999999999999997E-4</v>
      </c>
      <c r="J482" t="s">
        <v>1383</v>
      </c>
      <c r="L482">
        <f t="shared" si="13"/>
        <v>9.4800000000000006E-3</v>
      </c>
      <c r="N482">
        <v>0.16700000000000001</v>
      </c>
      <c r="O482">
        <v>97</v>
      </c>
      <c r="R482" s="2" t="s">
        <v>1438</v>
      </c>
      <c r="S482">
        <v>439008</v>
      </c>
      <c r="U482">
        <v>439008</v>
      </c>
      <c r="V482">
        <v>6.8335884539689473E-10</v>
      </c>
      <c r="W482" t="s">
        <v>9</v>
      </c>
      <c r="X482" t="s">
        <v>1456</v>
      </c>
    </row>
    <row r="483" spans="1:24" hidden="1" x14ac:dyDescent="0.35">
      <c r="A483" t="s">
        <v>770</v>
      </c>
      <c r="B483">
        <v>2023</v>
      </c>
      <c r="C483" t="s">
        <v>1309</v>
      </c>
      <c r="D483" t="s">
        <v>1327</v>
      </c>
      <c r="E483" t="s">
        <v>1359</v>
      </c>
      <c r="F483" t="s">
        <v>1368</v>
      </c>
      <c r="G483" t="s">
        <v>1371</v>
      </c>
      <c r="H483">
        <v>10.24</v>
      </c>
      <c r="J483" t="s">
        <v>1383</v>
      </c>
      <c r="L483">
        <f t="shared" si="13"/>
        <v>9.4800000000000006E-3</v>
      </c>
      <c r="N483">
        <v>0.16700000000000001</v>
      </c>
      <c r="O483">
        <v>97</v>
      </c>
      <c r="R483" s="2" t="s">
        <v>1438</v>
      </c>
      <c r="S483">
        <v>439008</v>
      </c>
      <c r="U483">
        <v>439008</v>
      </c>
      <c r="V483">
        <v>2.3325315256214008E-5</v>
      </c>
      <c r="W483" t="s">
        <v>9</v>
      </c>
      <c r="X483" t="s">
        <v>1456</v>
      </c>
    </row>
    <row r="484" spans="1:24" hidden="1" x14ac:dyDescent="0.35">
      <c r="A484" t="s">
        <v>773</v>
      </c>
      <c r="B484">
        <v>2023</v>
      </c>
      <c r="C484" t="s">
        <v>1309</v>
      </c>
      <c r="D484" t="s">
        <v>1317</v>
      </c>
      <c r="E484" t="s">
        <v>1359</v>
      </c>
      <c r="F484" t="s">
        <v>1368</v>
      </c>
      <c r="G484" t="s">
        <v>1372</v>
      </c>
      <c r="H484">
        <v>4.9772999999999996</v>
      </c>
      <c r="J484" t="s">
        <v>1383</v>
      </c>
      <c r="L484">
        <f t="shared" si="13"/>
        <v>9.4800000000000006E-3</v>
      </c>
      <c r="N484">
        <v>0.16700000000000001</v>
      </c>
      <c r="O484">
        <v>97</v>
      </c>
      <c r="R484" s="2" t="s">
        <v>1438</v>
      </c>
      <c r="S484">
        <v>439008</v>
      </c>
      <c r="U484">
        <v>439008</v>
      </c>
      <c r="V484">
        <v>1.133760660397988E-5</v>
      </c>
      <c r="W484" t="s">
        <v>9</v>
      </c>
      <c r="X484" t="s">
        <v>1457</v>
      </c>
    </row>
    <row r="485" spans="1:24" hidden="1" x14ac:dyDescent="0.35">
      <c r="A485" t="s">
        <v>775</v>
      </c>
      <c r="B485">
        <v>2023</v>
      </c>
      <c r="C485" t="s">
        <v>1309</v>
      </c>
      <c r="D485" t="s">
        <v>1318</v>
      </c>
      <c r="E485" t="s">
        <v>1359</v>
      </c>
      <c r="F485" t="s">
        <v>1368</v>
      </c>
      <c r="G485" t="s">
        <v>1372</v>
      </c>
      <c r="H485">
        <v>2.8199999999999999E-2</v>
      </c>
      <c r="J485" t="s">
        <v>1383</v>
      </c>
      <c r="L485">
        <f t="shared" si="13"/>
        <v>9.4800000000000006E-3</v>
      </c>
      <c r="N485">
        <v>0.16700000000000001</v>
      </c>
      <c r="O485">
        <v>97</v>
      </c>
      <c r="R485" s="2" t="s">
        <v>1438</v>
      </c>
      <c r="S485">
        <v>439008</v>
      </c>
      <c r="U485">
        <v>439008</v>
      </c>
      <c r="V485">
        <v>6.4235731467308114E-8</v>
      </c>
      <c r="W485" t="s">
        <v>9</v>
      </c>
      <c r="X485" t="s">
        <v>1457</v>
      </c>
    </row>
    <row r="486" spans="1:24" hidden="1" x14ac:dyDescent="0.35">
      <c r="A486" t="s">
        <v>777</v>
      </c>
      <c r="B486">
        <v>2023</v>
      </c>
      <c r="C486" t="s">
        <v>1309</v>
      </c>
      <c r="D486" t="s">
        <v>1319</v>
      </c>
      <c r="E486" t="s">
        <v>1359</v>
      </c>
      <c r="F486" t="s">
        <v>1368</v>
      </c>
      <c r="G486" t="s">
        <v>1371</v>
      </c>
      <c r="H486">
        <v>1.6000000000000001E-3</v>
      </c>
      <c r="J486" t="s">
        <v>1383</v>
      </c>
      <c r="L486">
        <f t="shared" si="13"/>
        <v>9.4800000000000006E-3</v>
      </c>
      <c r="N486">
        <v>0.16700000000000001</v>
      </c>
      <c r="O486">
        <v>97</v>
      </c>
      <c r="R486" s="2" t="s">
        <v>1438</v>
      </c>
      <c r="S486">
        <v>439008</v>
      </c>
      <c r="U486">
        <v>439008</v>
      </c>
      <c r="V486">
        <v>3.6445805087834388E-9</v>
      </c>
      <c r="W486" t="s">
        <v>9</v>
      </c>
      <c r="X486" t="s">
        <v>1456</v>
      </c>
    </row>
    <row r="487" spans="1:24" hidden="1" x14ac:dyDescent="0.35">
      <c r="A487" t="s">
        <v>779</v>
      </c>
      <c r="B487">
        <v>2023</v>
      </c>
      <c r="C487" t="s">
        <v>1309</v>
      </c>
      <c r="D487" t="s">
        <v>1320</v>
      </c>
      <c r="E487" t="s">
        <v>1359</v>
      </c>
      <c r="F487" t="s">
        <v>1368</v>
      </c>
      <c r="G487" t="s">
        <v>1372</v>
      </c>
      <c r="H487">
        <v>14.5471</v>
      </c>
      <c r="J487" t="s">
        <v>1383</v>
      </c>
      <c r="L487">
        <f t="shared" si="13"/>
        <v>9.4800000000000006E-3</v>
      </c>
      <c r="N487">
        <v>0.16700000000000001</v>
      </c>
      <c r="O487">
        <v>97</v>
      </c>
      <c r="R487" s="2" t="s">
        <v>1438</v>
      </c>
      <c r="S487">
        <v>439008</v>
      </c>
      <c r="U487">
        <v>439008</v>
      </c>
      <c r="V487">
        <v>3.313629819957723E-5</v>
      </c>
      <c r="W487" t="s">
        <v>9</v>
      </c>
      <c r="X487" t="s">
        <v>1457</v>
      </c>
    </row>
    <row r="488" spans="1:24" hidden="1" x14ac:dyDescent="0.35">
      <c r="A488" t="s">
        <v>781</v>
      </c>
      <c r="B488">
        <v>2023</v>
      </c>
      <c r="C488" t="s">
        <v>1309</v>
      </c>
      <c r="D488" t="s">
        <v>1321</v>
      </c>
      <c r="E488" t="s">
        <v>1359</v>
      </c>
      <c r="F488" t="s">
        <v>1368</v>
      </c>
      <c r="G488" t="s">
        <v>1371</v>
      </c>
      <c r="H488">
        <v>2.12E-2</v>
      </c>
      <c r="J488" t="s">
        <v>1383</v>
      </c>
      <c r="L488">
        <f t="shared" si="13"/>
        <v>9.4800000000000006E-3</v>
      </c>
      <c r="N488">
        <v>0.16700000000000001</v>
      </c>
      <c r="O488">
        <v>97</v>
      </c>
      <c r="R488" s="2" t="s">
        <v>1438</v>
      </c>
      <c r="S488">
        <v>439008</v>
      </c>
      <c r="U488">
        <v>439008</v>
      </c>
      <c r="V488">
        <v>4.8290691741380572E-8</v>
      </c>
      <c r="W488" t="s">
        <v>9</v>
      </c>
      <c r="X488" t="s">
        <v>1456</v>
      </c>
    </row>
    <row r="489" spans="1:24" hidden="1" x14ac:dyDescent="0.35">
      <c r="A489" t="s">
        <v>783</v>
      </c>
      <c r="B489">
        <v>2023</v>
      </c>
      <c r="C489" t="s">
        <v>1309</v>
      </c>
      <c r="D489" t="s">
        <v>1339</v>
      </c>
      <c r="E489" t="s">
        <v>1359</v>
      </c>
      <c r="F489" t="s">
        <v>1368</v>
      </c>
      <c r="G489" t="s">
        <v>1371</v>
      </c>
      <c r="H489">
        <v>1.18E-2</v>
      </c>
      <c r="J489" t="s">
        <v>1383</v>
      </c>
      <c r="L489">
        <f t="shared" si="13"/>
        <v>9.4800000000000006E-3</v>
      </c>
      <c r="N489">
        <v>0.16700000000000001</v>
      </c>
      <c r="O489">
        <v>97</v>
      </c>
      <c r="R489" s="2" t="s">
        <v>1438</v>
      </c>
      <c r="S489">
        <v>439008</v>
      </c>
      <c r="U489">
        <v>439008</v>
      </c>
      <c r="V489">
        <v>2.6878781252277859E-8</v>
      </c>
      <c r="W489" t="s">
        <v>9</v>
      </c>
      <c r="X489" t="s">
        <v>1456</v>
      </c>
    </row>
    <row r="490" spans="1:24" hidden="1" x14ac:dyDescent="0.35">
      <c r="A490" t="s">
        <v>784</v>
      </c>
      <c r="B490">
        <v>2023</v>
      </c>
      <c r="C490" t="s">
        <v>1309</v>
      </c>
      <c r="D490" t="s">
        <v>1322</v>
      </c>
      <c r="E490" t="s">
        <v>1359</v>
      </c>
      <c r="F490" t="s">
        <v>1368</v>
      </c>
      <c r="G490" t="s">
        <v>1372</v>
      </c>
      <c r="H490">
        <v>0.17299999999999999</v>
      </c>
      <c r="J490" t="s">
        <v>1383</v>
      </c>
      <c r="L490">
        <f t="shared" si="13"/>
        <v>9.4800000000000006E-3</v>
      </c>
      <c r="N490">
        <v>0.16700000000000001</v>
      </c>
      <c r="O490">
        <v>97</v>
      </c>
      <c r="R490" s="2" t="s">
        <v>1438</v>
      </c>
      <c r="S490">
        <v>439008</v>
      </c>
      <c r="U490">
        <v>439008</v>
      </c>
      <c r="V490">
        <v>3.9407026751220929E-7</v>
      </c>
      <c r="W490" t="s">
        <v>9</v>
      </c>
      <c r="X490" t="s">
        <v>1457</v>
      </c>
    </row>
    <row r="491" spans="1:24" hidden="1" x14ac:dyDescent="0.35">
      <c r="A491" t="s">
        <v>786</v>
      </c>
      <c r="B491">
        <v>2023</v>
      </c>
      <c r="C491" t="s">
        <v>1309</v>
      </c>
      <c r="D491" t="s">
        <v>1323</v>
      </c>
      <c r="E491" t="s">
        <v>1359</v>
      </c>
      <c r="F491" t="s">
        <v>1368</v>
      </c>
      <c r="G491" t="s">
        <v>1371</v>
      </c>
      <c r="H491">
        <v>0.12230000000000001</v>
      </c>
      <c r="J491" t="s">
        <v>1383</v>
      </c>
      <c r="L491">
        <f t="shared" si="13"/>
        <v>9.4800000000000006E-3</v>
      </c>
      <c r="N491">
        <v>0.16700000000000001</v>
      </c>
      <c r="O491">
        <v>97</v>
      </c>
      <c r="R491" s="2" t="s">
        <v>1438</v>
      </c>
      <c r="S491">
        <v>439008</v>
      </c>
      <c r="U491">
        <v>439008</v>
      </c>
      <c r="V491">
        <v>2.7858262264013412E-7</v>
      </c>
      <c r="W491" t="s">
        <v>9</v>
      </c>
      <c r="X491" t="s">
        <v>1456</v>
      </c>
    </row>
    <row r="492" spans="1:24" hidden="1" x14ac:dyDescent="0.35">
      <c r="A492" t="s">
        <v>787</v>
      </c>
      <c r="B492">
        <v>2023</v>
      </c>
      <c r="C492" t="s">
        <v>1309</v>
      </c>
      <c r="D492" t="s">
        <v>1330</v>
      </c>
      <c r="E492" t="s">
        <v>1359</v>
      </c>
      <c r="F492" t="s">
        <v>1368</v>
      </c>
      <c r="G492" t="s">
        <v>1371</v>
      </c>
      <c r="H492">
        <v>1.73E-4</v>
      </c>
      <c r="J492" t="s">
        <v>1383</v>
      </c>
      <c r="L492">
        <f t="shared" si="13"/>
        <v>9.4800000000000006E-3</v>
      </c>
      <c r="N492">
        <v>0.16700000000000001</v>
      </c>
      <c r="O492">
        <v>97</v>
      </c>
      <c r="R492" s="2" t="s">
        <v>1438</v>
      </c>
      <c r="S492">
        <v>439008</v>
      </c>
      <c r="U492">
        <v>439008</v>
      </c>
      <c r="V492">
        <v>3.9407026751220941E-10</v>
      </c>
      <c r="W492" t="s">
        <v>9</v>
      </c>
      <c r="X492" t="s">
        <v>1456</v>
      </c>
    </row>
    <row r="493" spans="1:24" hidden="1" x14ac:dyDescent="0.35">
      <c r="A493" t="s">
        <v>789</v>
      </c>
      <c r="B493">
        <v>2023</v>
      </c>
      <c r="C493" t="s">
        <v>1309</v>
      </c>
      <c r="D493" t="s">
        <v>1324</v>
      </c>
      <c r="E493" t="s">
        <v>1359</v>
      </c>
      <c r="F493" t="s">
        <v>1368</v>
      </c>
      <c r="G493" t="s">
        <v>1371</v>
      </c>
      <c r="H493">
        <v>1.55E-2</v>
      </c>
      <c r="J493" t="s">
        <v>1383</v>
      </c>
      <c r="L493">
        <f t="shared" si="13"/>
        <v>9.4800000000000006E-3</v>
      </c>
      <c r="N493">
        <v>0.16700000000000001</v>
      </c>
      <c r="O493">
        <v>97</v>
      </c>
      <c r="R493" s="2" t="s">
        <v>1438</v>
      </c>
      <c r="S493">
        <v>439008</v>
      </c>
      <c r="U493">
        <v>439008</v>
      </c>
      <c r="V493">
        <v>3.5306873678839563E-8</v>
      </c>
      <c r="W493" t="s">
        <v>9</v>
      </c>
      <c r="X493" t="s">
        <v>1456</v>
      </c>
    </row>
    <row r="494" spans="1:24" hidden="1" x14ac:dyDescent="0.35">
      <c r="A494" t="s">
        <v>791</v>
      </c>
      <c r="B494">
        <v>2023</v>
      </c>
      <c r="C494" t="s">
        <v>1309</v>
      </c>
      <c r="D494" t="s">
        <v>1331</v>
      </c>
      <c r="E494" t="s">
        <v>1359</v>
      </c>
      <c r="F494" t="s">
        <v>1368</v>
      </c>
      <c r="G494" t="s">
        <v>1371</v>
      </c>
      <c r="H494">
        <v>19.617599999999999</v>
      </c>
      <c r="J494" t="s">
        <v>1383</v>
      </c>
      <c r="L494">
        <f t="shared" si="13"/>
        <v>9.4800000000000006E-3</v>
      </c>
      <c r="N494">
        <v>0.16700000000000001</v>
      </c>
      <c r="O494">
        <v>97</v>
      </c>
      <c r="R494" s="2" t="s">
        <v>1438</v>
      </c>
      <c r="S494">
        <v>439008</v>
      </c>
      <c r="U494">
        <v>439008</v>
      </c>
      <c r="V494">
        <v>4.4686201618193737E-5</v>
      </c>
      <c r="W494" t="s">
        <v>9</v>
      </c>
      <c r="X494" t="s">
        <v>1456</v>
      </c>
    </row>
    <row r="495" spans="1:24" hidden="1" x14ac:dyDescent="0.35">
      <c r="A495" t="s">
        <v>794</v>
      </c>
      <c r="B495">
        <v>2023</v>
      </c>
      <c r="C495" t="s">
        <v>1309</v>
      </c>
      <c r="D495" t="s">
        <v>1325</v>
      </c>
      <c r="E495" t="s">
        <v>1359</v>
      </c>
      <c r="F495" t="s">
        <v>1368</v>
      </c>
      <c r="G495" t="s">
        <v>1372</v>
      </c>
      <c r="H495">
        <v>1.4547000000000001</v>
      </c>
      <c r="J495" t="s">
        <v>1383</v>
      </c>
      <c r="L495">
        <f t="shared" si="13"/>
        <v>9.4800000000000006E-3</v>
      </c>
      <c r="N495">
        <v>0.16700000000000001</v>
      </c>
      <c r="O495">
        <v>97</v>
      </c>
      <c r="R495" s="2" t="s">
        <v>1438</v>
      </c>
      <c r="S495">
        <v>439008</v>
      </c>
      <c r="U495">
        <v>439008</v>
      </c>
      <c r="V495">
        <v>3.3136070413295432E-6</v>
      </c>
      <c r="W495" t="s">
        <v>9</v>
      </c>
      <c r="X495" t="s">
        <v>1457</v>
      </c>
    </row>
    <row r="496" spans="1:24" hidden="1" x14ac:dyDescent="0.35">
      <c r="A496" t="s">
        <v>799</v>
      </c>
      <c r="B496">
        <v>2023</v>
      </c>
      <c r="C496" t="s">
        <v>1309</v>
      </c>
      <c r="D496" t="s">
        <v>1326</v>
      </c>
      <c r="E496" t="s">
        <v>1359</v>
      </c>
      <c r="F496" t="s">
        <v>1368</v>
      </c>
      <c r="G496" t="s">
        <v>1371</v>
      </c>
      <c r="H496">
        <v>3.5999999999999999E-3</v>
      </c>
      <c r="J496" t="s">
        <v>1383</v>
      </c>
      <c r="L496">
        <f t="shared" si="13"/>
        <v>9.4800000000000006E-3</v>
      </c>
      <c r="N496">
        <v>0.16700000000000001</v>
      </c>
      <c r="O496">
        <v>97</v>
      </c>
      <c r="R496" s="2" t="s">
        <v>1438</v>
      </c>
      <c r="S496">
        <v>439008</v>
      </c>
      <c r="U496">
        <v>439008</v>
      </c>
      <c r="V496">
        <v>8.2003061447627372E-9</v>
      </c>
      <c r="W496" t="s">
        <v>9</v>
      </c>
      <c r="X496" t="s">
        <v>1456</v>
      </c>
    </row>
    <row r="497" spans="1:24" hidden="1" x14ac:dyDescent="0.35">
      <c r="A497" t="s">
        <v>1039</v>
      </c>
      <c r="B497">
        <v>2023</v>
      </c>
      <c r="C497" t="s">
        <v>1308</v>
      </c>
      <c r="D497" t="s">
        <v>1347</v>
      </c>
      <c r="E497" t="s">
        <v>1359</v>
      </c>
      <c r="F497" t="s">
        <v>1370</v>
      </c>
      <c r="G497" t="s">
        <v>1375</v>
      </c>
      <c r="H497">
        <v>20110</v>
      </c>
      <c r="J497" t="s">
        <v>1383</v>
      </c>
      <c r="L497">
        <f t="shared" si="13"/>
        <v>9.4800000000000006E-3</v>
      </c>
      <c r="N497">
        <v>0.16700000000000001</v>
      </c>
      <c r="O497">
        <v>97</v>
      </c>
      <c r="R497" s="2" t="s">
        <v>1439</v>
      </c>
      <c r="S497">
        <v>439008</v>
      </c>
      <c r="U497">
        <v>439008</v>
      </c>
      <c r="V497">
        <v>4.5807821269771849E-2</v>
      </c>
      <c r="W497" t="s">
        <v>9</v>
      </c>
      <c r="X497" t="s">
        <v>1460</v>
      </c>
    </row>
    <row r="498" spans="1:24" hidden="1" x14ac:dyDescent="0.35">
      <c r="A498" t="s">
        <v>1095</v>
      </c>
      <c r="B498">
        <v>2023</v>
      </c>
      <c r="C498" t="s">
        <v>1308</v>
      </c>
      <c r="D498" t="s">
        <v>1351</v>
      </c>
      <c r="E498" t="s">
        <v>1359</v>
      </c>
      <c r="G498" t="s">
        <v>1375</v>
      </c>
      <c r="H498">
        <v>1504</v>
      </c>
      <c r="I498" t="s">
        <v>1380</v>
      </c>
      <c r="J498" t="s">
        <v>1383</v>
      </c>
      <c r="L498">
        <f t="shared" si="13"/>
        <v>9.4800000000000006E-3</v>
      </c>
      <c r="N498">
        <v>0.16700000000000001</v>
      </c>
      <c r="O498">
        <v>97</v>
      </c>
      <c r="Q498" t="s">
        <v>1423</v>
      </c>
      <c r="R498" t="s">
        <v>1441</v>
      </c>
      <c r="S498">
        <v>439008</v>
      </c>
      <c r="U498">
        <v>439008</v>
      </c>
      <c r="V498">
        <v>3.4259056782564331E-3</v>
      </c>
      <c r="W498" t="s">
        <v>9</v>
      </c>
      <c r="X498" t="s">
        <v>1460</v>
      </c>
    </row>
    <row r="499" spans="1:24" hidden="1" x14ac:dyDescent="0.35">
      <c r="A499" t="s">
        <v>1096</v>
      </c>
      <c r="B499">
        <v>2023</v>
      </c>
      <c r="C499" t="s">
        <v>1308</v>
      </c>
      <c r="D499" t="s">
        <v>1352</v>
      </c>
      <c r="E499" t="s">
        <v>1359</v>
      </c>
      <c r="G499" t="s">
        <v>1375</v>
      </c>
      <c r="H499">
        <v>74</v>
      </c>
      <c r="J499" t="s">
        <v>1383</v>
      </c>
      <c r="L499">
        <f t="shared" si="13"/>
        <v>9.4800000000000006E-3</v>
      </c>
      <c r="N499">
        <v>0.16700000000000001</v>
      </c>
      <c r="O499">
        <v>97</v>
      </c>
      <c r="Q499" t="s">
        <v>1423</v>
      </c>
      <c r="R499" t="s">
        <v>1441</v>
      </c>
      <c r="S499">
        <v>439008</v>
      </c>
      <c r="U499">
        <v>439008</v>
      </c>
      <c r="V499">
        <v>1.6856184853123409E-4</v>
      </c>
      <c r="W499" t="s">
        <v>9</v>
      </c>
      <c r="X499" t="s">
        <v>1460</v>
      </c>
    </row>
    <row r="500" spans="1:24" hidden="1" x14ac:dyDescent="0.35">
      <c r="A500" t="s">
        <v>1097</v>
      </c>
      <c r="B500">
        <v>2023</v>
      </c>
      <c r="C500" t="s">
        <v>1308</v>
      </c>
      <c r="D500" t="s">
        <v>1311</v>
      </c>
      <c r="E500" t="s">
        <v>1359</v>
      </c>
      <c r="G500" t="s">
        <v>1371</v>
      </c>
      <c r="H500">
        <v>322.2</v>
      </c>
      <c r="J500" t="s">
        <v>1383</v>
      </c>
      <c r="L500">
        <f t="shared" si="13"/>
        <v>9.4800000000000006E-3</v>
      </c>
      <c r="N500">
        <v>0.16700000000000001</v>
      </c>
      <c r="O500">
        <v>97</v>
      </c>
      <c r="Q500" t="s">
        <v>1423</v>
      </c>
      <c r="R500" t="s">
        <v>1441</v>
      </c>
      <c r="S500">
        <v>439008</v>
      </c>
      <c r="U500">
        <v>439008</v>
      </c>
      <c r="V500">
        <v>7.3392739995626504E-4</v>
      </c>
      <c r="W500" t="s">
        <v>9</v>
      </c>
      <c r="X500" t="s">
        <v>1456</v>
      </c>
    </row>
    <row r="501" spans="1:24" hidden="1" x14ac:dyDescent="0.35">
      <c r="A501" t="s">
        <v>1098</v>
      </c>
      <c r="B501">
        <v>2023</v>
      </c>
      <c r="C501" t="s">
        <v>1308</v>
      </c>
      <c r="D501" t="s">
        <v>1351</v>
      </c>
      <c r="E501" t="s">
        <v>1359</v>
      </c>
      <c r="G501" t="s">
        <v>1375</v>
      </c>
      <c r="H501">
        <v>19879</v>
      </c>
      <c r="J501" t="s">
        <v>1383</v>
      </c>
      <c r="L501">
        <f t="shared" si="13"/>
        <v>9.4800000000000006E-3</v>
      </c>
      <c r="N501">
        <v>0.16700000000000001</v>
      </c>
      <c r="O501">
        <v>97</v>
      </c>
      <c r="Q501" t="s">
        <v>1423</v>
      </c>
      <c r="R501" t="s">
        <v>1441</v>
      </c>
      <c r="S501">
        <v>439008</v>
      </c>
      <c r="U501">
        <v>439008</v>
      </c>
      <c r="V501">
        <v>4.5281634958816243E-2</v>
      </c>
      <c r="W501" t="s">
        <v>9</v>
      </c>
      <c r="X501" t="s">
        <v>1460</v>
      </c>
    </row>
    <row r="502" spans="1:24" hidden="1" x14ac:dyDescent="0.35">
      <c r="A502" t="s">
        <v>1099</v>
      </c>
      <c r="B502">
        <v>2023</v>
      </c>
      <c r="C502" t="s">
        <v>1308</v>
      </c>
      <c r="D502" t="s">
        <v>1347</v>
      </c>
      <c r="E502" t="s">
        <v>1359</v>
      </c>
      <c r="G502" t="s">
        <v>1375</v>
      </c>
      <c r="H502">
        <v>20111</v>
      </c>
      <c r="J502" t="s">
        <v>1383</v>
      </c>
      <c r="L502">
        <f t="shared" si="13"/>
        <v>9.4800000000000006E-3</v>
      </c>
      <c r="N502">
        <v>0.16700000000000001</v>
      </c>
      <c r="O502">
        <v>97</v>
      </c>
      <c r="Q502" t="s">
        <v>1423</v>
      </c>
      <c r="R502" t="s">
        <v>1441</v>
      </c>
      <c r="S502">
        <v>439008</v>
      </c>
      <c r="U502">
        <v>439008</v>
      </c>
      <c r="V502">
        <v>4.5810099132589842E-2</v>
      </c>
      <c r="W502" t="s">
        <v>9</v>
      </c>
      <c r="X502" t="s">
        <v>1460</v>
      </c>
    </row>
    <row r="503" spans="1:24" hidden="1" x14ac:dyDescent="0.35">
      <c r="A503" t="s">
        <v>1100</v>
      </c>
      <c r="B503">
        <v>2023</v>
      </c>
      <c r="C503" t="s">
        <v>1308</v>
      </c>
      <c r="D503" t="s">
        <v>1347</v>
      </c>
      <c r="E503" t="s">
        <v>1359</v>
      </c>
      <c r="G503" t="s">
        <v>1375</v>
      </c>
      <c r="H503">
        <v>2785</v>
      </c>
      <c r="J503" t="s">
        <v>1383</v>
      </c>
      <c r="L503">
        <f t="shared" si="13"/>
        <v>9.4800000000000006E-3</v>
      </c>
      <c r="N503">
        <v>0.16700000000000001</v>
      </c>
      <c r="O503">
        <v>97</v>
      </c>
      <c r="Q503" t="s">
        <v>1423</v>
      </c>
      <c r="R503" t="s">
        <v>1441</v>
      </c>
      <c r="S503">
        <v>439008</v>
      </c>
      <c r="U503">
        <v>439008</v>
      </c>
      <c r="V503">
        <v>6.3438479481011736E-3</v>
      </c>
      <c r="W503" t="s">
        <v>9</v>
      </c>
      <c r="X503" t="s">
        <v>1460</v>
      </c>
    </row>
    <row r="504" spans="1:24" hidden="1" x14ac:dyDescent="0.35">
      <c r="A504" t="s">
        <v>1101</v>
      </c>
      <c r="B504">
        <v>2023</v>
      </c>
      <c r="C504" t="s">
        <v>1308</v>
      </c>
      <c r="D504" t="s">
        <v>1347</v>
      </c>
      <c r="E504" t="s">
        <v>1359</v>
      </c>
      <c r="G504" t="s">
        <v>1375</v>
      </c>
      <c r="H504">
        <v>72766</v>
      </c>
      <c r="J504" t="s">
        <v>1383</v>
      </c>
      <c r="L504">
        <f t="shared" si="13"/>
        <v>9.4800000000000006E-3</v>
      </c>
      <c r="N504">
        <v>0.16700000000000001</v>
      </c>
      <c r="O504">
        <v>97</v>
      </c>
      <c r="Q504" t="s">
        <v>1423</v>
      </c>
      <c r="R504" t="s">
        <v>1441</v>
      </c>
      <c r="S504">
        <v>439008</v>
      </c>
      <c r="U504">
        <v>439008</v>
      </c>
      <c r="V504">
        <v>0.16575096581383481</v>
      </c>
      <c r="W504" t="s">
        <v>9</v>
      </c>
      <c r="X504" t="s">
        <v>1460</v>
      </c>
    </row>
    <row r="505" spans="1:24" hidden="1" x14ac:dyDescent="0.35">
      <c r="A505" t="s">
        <v>1102</v>
      </c>
      <c r="B505">
        <v>2023</v>
      </c>
      <c r="C505" t="s">
        <v>1308</v>
      </c>
      <c r="D505" t="s">
        <v>1322</v>
      </c>
      <c r="E505" t="s">
        <v>1359</v>
      </c>
      <c r="G505" t="s">
        <v>1372</v>
      </c>
      <c r="H505">
        <v>0.332575576998</v>
      </c>
      <c r="J505" t="s">
        <v>1383</v>
      </c>
      <c r="L505">
        <f t="shared" si="13"/>
        <v>9.4800000000000006E-3</v>
      </c>
      <c r="N505">
        <v>0.16700000000000001</v>
      </c>
      <c r="O505">
        <v>97</v>
      </c>
      <c r="Q505" t="s">
        <v>1423</v>
      </c>
      <c r="R505" t="s">
        <v>1441</v>
      </c>
      <c r="S505">
        <v>439008</v>
      </c>
      <c r="U505">
        <v>439008</v>
      </c>
      <c r="V505">
        <v>7.5756154101519788E-7</v>
      </c>
      <c r="W505" t="s">
        <v>9</v>
      </c>
      <c r="X505" t="s">
        <v>1457</v>
      </c>
    </row>
    <row r="506" spans="1:24" hidden="1" x14ac:dyDescent="0.35">
      <c r="A506" t="s">
        <v>1103</v>
      </c>
      <c r="B506">
        <v>2023</v>
      </c>
      <c r="C506" t="s">
        <v>1308</v>
      </c>
      <c r="D506" t="s">
        <v>1330</v>
      </c>
      <c r="E506" t="s">
        <v>1359</v>
      </c>
      <c r="G506" t="s">
        <v>1371</v>
      </c>
      <c r="H506">
        <v>1.90290400308735E-5</v>
      </c>
      <c r="J506" t="s">
        <v>1383</v>
      </c>
      <c r="L506">
        <f t="shared" si="13"/>
        <v>9.4800000000000006E-3</v>
      </c>
      <c r="N506">
        <v>0.16700000000000001</v>
      </c>
      <c r="O506">
        <v>97</v>
      </c>
      <c r="Q506" t="s">
        <v>1423</v>
      </c>
      <c r="R506" t="s">
        <v>1441</v>
      </c>
      <c r="S506">
        <v>439008</v>
      </c>
      <c r="U506">
        <v>439008</v>
      </c>
      <c r="V506">
        <v>4.3345542748363357E-11</v>
      </c>
      <c r="W506" t="s">
        <v>9</v>
      </c>
      <c r="X506" t="s">
        <v>1456</v>
      </c>
    </row>
    <row r="507" spans="1:24" hidden="1" x14ac:dyDescent="0.35">
      <c r="A507" t="s">
        <v>1104</v>
      </c>
      <c r="B507">
        <v>2023</v>
      </c>
      <c r="C507" t="s">
        <v>1308</v>
      </c>
      <c r="D507" t="s">
        <v>1353</v>
      </c>
      <c r="E507" t="s">
        <v>1359</v>
      </c>
      <c r="G507" t="s">
        <v>1375</v>
      </c>
      <c r="H507">
        <v>127</v>
      </c>
      <c r="J507" t="s">
        <v>1383</v>
      </c>
      <c r="L507">
        <f t="shared" si="13"/>
        <v>9.4800000000000006E-3</v>
      </c>
      <c r="N507">
        <v>0.16700000000000001</v>
      </c>
      <c r="O507">
        <v>97</v>
      </c>
      <c r="Q507" t="s">
        <v>1423</v>
      </c>
      <c r="R507" t="s">
        <v>1441</v>
      </c>
      <c r="S507">
        <v>439008</v>
      </c>
      <c r="U507">
        <v>439008</v>
      </c>
      <c r="V507">
        <v>2.8928857788468548E-4</v>
      </c>
      <c r="W507" t="s">
        <v>9</v>
      </c>
      <c r="X507" t="s">
        <v>1460</v>
      </c>
    </row>
    <row r="508" spans="1:24" hidden="1" x14ac:dyDescent="0.35">
      <c r="A508" t="s">
        <v>1105</v>
      </c>
      <c r="B508">
        <v>2023</v>
      </c>
      <c r="C508" t="s">
        <v>1308</v>
      </c>
      <c r="D508" t="s">
        <v>1348</v>
      </c>
      <c r="E508" t="s">
        <v>1359</v>
      </c>
      <c r="G508" t="s">
        <v>1371</v>
      </c>
      <c r="H508">
        <v>440.2</v>
      </c>
      <c r="J508" t="s">
        <v>1383</v>
      </c>
      <c r="L508">
        <f t="shared" si="13"/>
        <v>9.4800000000000006E-3</v>
      </c>
      <c r="N508">
        <v>0.16700000000000001</v>
      </c>
      <c r="O508">
        <v>97</v>
      </c>
      <c r="Q508" t="s">
        <v>1423</v>
      </c>
      <c r="R508" t="s">
        <v>1441</v>
      </c>
      <c r="S508">
        <v>439008</v>
      </c>
      <c r="U508">
        <v>439008</v>
      </c>
      <c r="V508">
        <v>1.0027152124790441E-3</v>
      </c>
      <c r="W508" t="s">
        <v>9</v>
      </c>
      <c r="X508" t="s">
        <v>1456</v>
      </c>
    </row>
    <row r="509" spans="1:24" hidden="1" x14ac:dyDescent="0.35">
      <c r="A509" t="s">
        <v>1106</v>
      </c>
      <c r="B509">
        <v>2023</v>
      </c>
      <c r="C509" t="s">
        <v>1308</v>
      </c>
      <c r="D509" t="s">
        <v>1313</v>
      </c>
      <c r="E509" t="s">
        <v>1359</v>
      </c>
      <c r="G509" t="s">
        <v>1371</v>
      </c>
      <c r="H509">
        <v>83.19</v>
      </c>
      <c r="J509" t="s">
        <v>1383</v>
      </c>
      <c r="L509">
        <f t="shared" si="13"/>
        <v>9.4800000000000006E-3</v>
      </c>
      <c r="N509">
        <v>0.16700000000000001</v>
      </c>
      <c r="O509">
        <v>97</v>
      </c>
      <c r="Q509" t="s">
        <v>1423</v>
      </c>
      <c r="R509" t="s">
        <v>1441</v>
      </c>
      <c r="S509">
        <v>439008</v>
      </c>
      <c r="U509">
        <v>439008</v>
      </c>
      <c r="V509">
        <v>1.894954078285589E-4</v>
      </c>
      <c r="W509" t="s">
        <v>9</v>
      </c>
      <c r="X509" t="s">
        <v>1456</v>
      </c>
    </row>
    <row r="510" spans="1:24" hidden="1" x14ac:dyDescent="0.35">
      <c r="A510" t="s">
        <v>1107</v>
      </c>
      <c r="B510">
        <v>2023</v>
      </c>
      <c r="C510" t="s">
        <v>1308</v>
      </c>
      <c r="D510" t="s">
        <v>1354</v>
      </c>
      <c r="E510" t="s">
        <v>1359</v>
      </c>
      <c r="G510" t="s">
        <v>1375</v>
      </c>
      <c r="H510">
        <v>31</v>
      </c>
      <c r="J510" t="s">
        <v>1383</v>
      </c>
      <c r="L510">
        <f t="shared" si="13"/>
        <v>9.4800000000000006E-3</v>
      </c>
      <c r="N510">
        <v>0.16700000000000001</v>
      </c>
      <c r="O510">
        <v>97</v>
      </c>
      <c r="Q510" t="s">
        <v>1423</v>
      </c>
      <c r="R510" t="s">
        <v>1441</v>
      </c>
      <c r="S510">
        <v>439008</v>
      </c>
      <c r="U510">
        <v>439008</v>
      </c>
      <c r="V510">
        <v>7.061374735767913E-5</v>
      </c>
      <c r="W510" t="s">
        <v>9</v>
      </c>
      <c r="X510" t="s">
        <v>1460</v>
      </c>
    </row>
    <row r="511" spans="1:24" hidden="1" x14ac:dyDescent="0.35">
      <c r="A511" t="s">
        <v>1108</v>
      </c>
      <c r="B511">
        <v>2023</v>
      </c>
      <c r="C511" t="s">
        <v>1308</v>
      </c>
      <c r="D511" t="s">
        <v>1314</v>
      </c>
      <c r="E511" t="s">
        <v>1359</v>
      </c>
      <c r="G511" t="s">
        <v>1371</v>
      </c>
      <c r="H511">
        <v>61.61</v>
      </c>
      <c r="J511" t="s">
        <v>1383</v>
      </c>
      <c r="L511">
        <f t="shared" si="13"/>
        <v>9.4800000000000006E-3</v>
      </c>
      <c r="N511">
        <v>0.16700000000000001</v>
      </c>
      <c r="O511">
        <v>97</v>
      </c>
      <c r="Q511" t="s">
        <v>1423</v>
      </c>
      <c r="R511" t="s">
        <v>1441</v>
      </c>
      <c r="S511">
        <v>439008</v>
      </c>
      <c r="U511">
        <v>439008</v>
      </c>
      <c r="V511">
        <v>1.4033912821634229E-4</v>
      </c>
      <c r="W511" t="s">
        <v>9</v>
      </c>
      <c r="X511" t="s">
        <v>1456</v>
      </c>
    </row>
    <row r="512" spans="1:24" hidden="1" x14ac:dyDescent="0.35">
      <c r="A512" t="s">
        <v>1109</v>
      </c>
      <c r="B512">
        <v>2023</v>
      </c>
      <c r="C512" t="s">
        <v>1308</v>
      </c>
      <c r="D512" t="s">
        <v>1355</v>
      </c>
      <c r="E512" t="s">
        <v>1359</v>
      </c>
      <c r="G512" t="s">
        <v>1378</v>
      </c>
      <c r="H512">
        <v>0.41799999999999998</v>
      </c>
      <c r="J512" t="s">
        <v>1383</v>
      </c>
      <c r="L512">
        <f t="shared" si="13"/>
        <v>9.4800000000000006E-3</v>
      </c>
      <c r="N512">
        <v>0.16700000000000001</v>
      </c>
      <c r="O512">
        <v>97</v>
      </c>
      <c r="Q512" t="s">
        <v>1423</v>
      </c>
      <c r="R512" t="s">
        <v>1441</v>
      </c>
      <c r="S512">
        <v>439008</v>
      </c>
      <c r="U512">
        <v>439008</v>
      </c>
      <c r="V512">
        <v>9.5214665791967344E-7</v>
      </c>
      <c r="W512" t="s">
        <v>9</v>
      </c>
      <c r="X512" t="s">
        <v>1463</v>
      </c>
    </row>
    <row r="513" spans="1:24" hidden="1" x14ac:dyDescent="0.35">
      <c r="A513" t="s">
        <v>1110</v>
      </c>
      <c r="B513">
        <v>2023</v>
      </c>
      <c r="C513" t="s">
        <v>1308</v>
      </c>
      <c r="D513" t="s">
        <v>1349</v>
      </c>
      <c r="E513" t="s">
        <v>1359</v>
      </c>
      <c r="G513" t="s">
        <v>1371</v>
      </c>
      <c r="H513">
        <v>0.66</v>
      </c>
      <c r="J513" t="s">
        <v>1383</v>
      </c>
      <c r="L513">
        <f t="shared" si="13"/>
        <v>9.4800000000000006E-3</v>
      </c>
      <c r="N513">
        <v>0.16700000000000001</v>
      </c>
      <c r="O513">
        <v>97</v>
      </c>
      <c r="Q513" t="s">
        <v>1423</v>
      </c>
      <c r="R513" t="s">
        <v>1441</v>
      </c>
      <c r="S513">
        <v>439008</v>
      </c>
      <c r="U513">
        <v>439008</v>
      </c>
      <c r="V513">
        <v>1.5033894598731691E-6</v>
      </c>
      <c r="W513" t="s">
        <v>9</v>
      </c>
      <c r="X513" t="s">
        <v>1456</v>
      </c>
    </row>
    <row r="514" spans="1:24" hidden="1" x14ac:dyDescent="0.35">
      <c r="A514" t="s">
        <v>1111</v>
      </c>
      <c r="B514">
        <v>2023</v>
      </c>
      <c r="C514" t="s">
        <v>1308</v>
      </c>
      <c r="D514" t="s">
        <v>1316</v>
      </c>
      <c r="E514" t="s">
        <v>1359</v>
      </c>
      <c r="G514" t="s">
        <v>1371</v>
      </c>
      <c r="H514">
        <v>8.5</v>
      </c>
      <c r="J514" t="s">
        <v>1383</v>
      </c>
      <c r="L514">
        <f t="shared" si="13"/>
        <v>9.4800000000000006E-3</v>
      </c>
      <c r="N514">
        <v>0.16700000000000001</v>
      </c>
      <c r="O514">
        <v>97</v>
      </c>
      <c r="Q514" t="s">
        <v>1423</v>
      </c>
      <c r="R514" t="s">
        <v>1441</v>
      </c>
      <c r="S514">
        <v>439008</v>
      </c>
      <c r="U514">
        <v>439008</v>
      </c>
      <c r="V514">
        <v>1.936183395291202E-5</v>
      </c>
      <c r="W514" t="s">
        <v>9</v>
      </c>
      <c r="X514" t="s">
        <v>1456</v>
      </c>
    </row>
    <row r="515" spans="1:24" hidden="1" x14ac:dyDescent="0.35">
      <c r="A515" t="s">
        <v>1112</v>
      </c>
      <c r="B515">
        <v>2023</v>
      </c>
      <c r="C515" t="s">
        <v>1309</v>
      </c>
      <c r="D515" t="s">
        <v>1350</v>
      </c>
      <c r="E515" t="s">
        <v>1360</v>
      </c>
      <c r="G515" t="s">
        <v>1376</v>
      </c>
      <c r="H515">
        <v>944300</v>
      </c>
      <c r="J515" t="s">
        <v>1383</v>
      </c>
      <c r="L515">
        <f t="shared" si="13"/>
        <v>9.4800000000000006E-3</v>
      </c>
      <c r="N515">
        <v>0.16700000000000001</v>
      </c>
      <c r="O515">
        <v>97</v>
      </c>
      <c r="Q515" t="s">
        <v>1423</v>
      </c>
      <c r="R515" t="s">
        <v>1441</v>
      </c>
      <c r="S515">
        <v>439008</v>
      </c>
      <c r="U515">
        <v>439008</v>
      </c>
      <c r="V515">
        <v>2.1509858590276258</v>
      </c>
      <c r="W515" t="s">
        <v>9</v>
      </c>
      <c r="X515" t="s">
        <v>1461</v>
      </c>
    </row>
    <row r="516" spans="1:24" hidden="1" x14ac:dyDescent="0.35">
      <c r="A516" t="s">
        <v>1113</v>
      </c>
      <c r="B516">
        <v>2023</v>
      </c>
      <c r="C516" t="s">
        <v>1309</v>
      </c>
      <c r="D516" t="s">
        <v>1350</v>
      </c>
      <c r="E516" t="s">
        <v>1362</v>
      </c>
      <c r="G516" t="s">
        <v>1376</v>
      </c>
      <c r="H516">
        <v>1428900</v>
      </c>
      <c r="J516" t="s">
        <v>1383</v>
      </c>
      <c r="L516">
        <f t="shared" ref="L516:L519" si="14">9.48/1000</f>
        <v>9.4800000000000006E-3</v>
      </c>
      <c r="N516">
        <v>0.16700000000000001</v>
      </c>
      <c r="O516">
        <v>97</v>
      </c>
      <c r="Q516" t="s">
        <v>1423</v>
      </c>
      <c r="R516" t="s">
        <v>1441</v>
      </c>
      <c r="S516">
        <v>439008</v>
      </c>
      <c r="U516">
        <v>439008</v>
      </c>
      <c r="V516">
        <v>3.2548381806254101</v>
      </c>
      <c r="W516" t="s">
        <v>9</v>
      </c>
      <c r="X516" t="s">
        <v>1461</v>
      </c>
    </row>
    <row r="517" spans="1:24" hidden="1" x14ac:dyDescent="0.35">
      <c r="A517" t="s">
        <v>1114</v>
      </c>
      <c r="B517">
        <v>2023</v>
      </c>
      <c r="C517" t="s">
        <v>1309</v>
      </c>
      <c r="D517" t="s">
        <v>1350</v>
      </c>
      <c r="E517" t="s">
        <v>1361</v>
      </c>
      <c r="G517" t="s">
        <v>1376</v>
      </c>
      <c r="H517">
        <v>-484600</v>
      </c>
      <c r="J517" t="s">
        <v>1383</v>
      </c>
      <c r="L517">
        <f t="shared" si="14"/>
        <v>9.4800000000000006E-3</v>
      </c>
      <c r="N517">
        <v>0.16700000000000001</v>
      </c>
      <c r="O517">
        <v>97</v>
      </c>
      <c r="Q517" t="s">
        <v>1423</v>
      </c>
      <c r="R517" t="s">
        <v>1441</v>
      </c>
      <c r="S517">
        <v>439008</v>
      </c>
      <c r="U517">
        <v>439008</v>
      </c>
      <c r="V517">
        <v>-1.103852321597784</v>
      </c>
      <c r="W517" t="s">
        <v>9</v>
      </c>
      <c r="X517" t="s">
        <v>1461</v>
      </c>
    </row>
    <row r="518" spans="1:24" hidden="1" x14ac:dyDescent="0.35">
      <c r="A518" t="s">
        <v>1115</v>
      </c>
      <c r="B518">
        <v>2023</v>
      </c>
      <c r="C518" t="s">
        <v>1310</v>
      </c>
      <c r="E518" t="s">
        <v>1363</v>
      </c>
      <c r="G518" t="s">
        <v>1377</v>
      </c>
      <c r="H518">
        <v>1375</v>
      </c>
      <c r="J518" t="s">
        <v>1383</v>
      </c>
      <c r="L518">
        <f t="shared" si="14"/>
        <v>9.4800000000000006E-3</v>
      </c>
      <c r="N518">
        <v>0.16700000000000001</v>
      </c>
      <c r="O518">
        <v>97</v>
      </c>
      <c r="Q518" t="s">
        <v>1423</v>
      </c>
      <c r="R518" t="s">
        <v>1441</v>
      </c>
      <c r="S518">
        <v>439008</v>
      </c>
      <c r="U518">
        <v>439008</v>
      </c>
      <c r="V518">
        <v>3.1320613747357678E-3</v>
      </c>
      <c r="W518" t="s">
        <v>9</v>
      </c>
      <c r="X518" t="s">
        <v>1462</v>
      </c>
    </row>
    <row r="519" spans="1:24" hidden="1" x14ac:dyDescent="0.35">
      <c r="A519" t="s">
        <v>1116</v>
      </c>
      <c r="B519">
        <v>2023</v>
      </c>
      <c r="C519" t="s">
        <v>1310</v>
      </c>
      <c r="E519" t="s">
        <v>1363</v>
      </c>
      <c r="G519" t="s">
        <v>1377</v>
      </c>
      <c r="H519">
        <v>235</v>
      </c>
      <c r="J519" t="s">
        <v>1383</v>
      </c>
      <c r="L519">
        <f t="shared" si="14"/>
        <v>9.4800000000000006E-3</v>
      </c>
      <c r="N519">
        <v>0.16700000000000001</v>
      </c>
      <c r="O519">
        <v>97</v>
      </c>
      <c r="Q519" t="s">
        <v>1423</v>
      </c>
      <c r="R519" t="s">
        <v>1441</v>
      </c>
      <c r="S519">
        <v>439008</v>
      </c>
      <c r="U519">
        <v>439008</v>
      </c>
      <c r="V519">
        <v>5.3529776222756764E-4</v>
      </c>
      <c r="W519" t="s">
        <v>9</v>
      </c>
      <c r="X519" t="s">
        <v>1462</v>
      </c>
    </row>
    <row r="520" spans="1:24" x14ac:dyDescent="0.35">
      <c r="A520" t="s">
        <v>298</v>
      </c>
      <c r="B520">
        <v>2023</v>
      </c>
      <c r="C520" t="s">
        <v>1308</v>
      </c>
      <c r="D520" t="s">
        <v>1327</v>
      </c>
      <c r="E520" t="s">
        <v>1359</v>
      </c>
      <c r="F520" t="s">
        <v>1364</v>
      </c>
      <c r="G520" t="s">
        <v>1371</v>
      </c>
      <c r="H520">
        <v>3.5677180000000002</v>
      </c>
      <c r="J520" t="s">
        <v>1404</v>
      </c>
      <c r="N520">
        <v>1.2</v>
      </c>
      <c r="R520" s="2" t="s">
        <v>1438</v>
      </c>
      <c r="S520">
        <v>1266009</v>
      </c>
      <c r="U520">
        <v>1266009</v>
      </c>
      <c r="V520">
        <v>2.8180826518610848E-6</v>
      </c>
      <c r="W520" t="s">
        <v>9</v>
      </c>
      <c r="X520" t="s">
        <v>1456</v>
      </c>
    </row>
    <row r="521" spans="1:24" x14ac:dyDescent="0.35">
      <c r="A521" t="s">
        <v>299</v>
      </c>
      <c r="B521">
        <v>2023</v>
      </c>
      <c r="C521" t="s">
        <v>1308</v>
      </c>
      <c r="D521" t="s">
        <v>1328</v>
      </c>
      <c r="E521" t="s">
        <v>1359</v>
      </c>
      <c r="F521" t="s">
        <v>1364</v>
      </c>
      <c r="G521" t="s">
        <v>1371</v>
      </c>
      <c r="H521">
        <v>1.0280000000000001E-3</v>
      </c>
      <c r="J521" t="s">
        <v>1404</v>
      </c>
      <c r="N521">
        <v>1.2</v>
      </c>
      <c r="R521" s="2" t="s">
        <v>1438</v>
      </c>
      <c r="S521">
        <v>1266009</v>
      </c>
      <c r="U521">
        <v>1266009</v>
      </c>
      <c r="V521">
        <v>8.1200054659958981E-10</v>
      </c>
      <c r="W521" t="s">
        <v>9</v>
      </c>
      <c r="X521" t="s">
        <v>1456</v>
      </c>
    </row>
    <row r="522" spans="1:24" x14ac:dyDescent="0.35">
      <c r="A522" t="s">
        <v>300</v>
      </c>
      <c r="B522">
        <v>2023</v>
      </c>
      <c r="C522" t="s">
        <v>1308</v>
      </c>
      <c r="D522" t="s">
        <v>1317</v>
      </c>
      <c r="E522" t="s">
        <v>1359</v>
      </c>
      <c r="F522" t="s">
        <v>1364</v>
      </c>
      <c r="G522" t="s">
        <v>1372</v>
      </c>
      <c r="H522">
        <v>1.812416</v>
      </c>
      <c r="J522" t="s">
        <v>1404</v>
      </c>
      <c r="N522">
        <v>1.2</v>
      </c>
      <c r="R522" s="2" t="s">
        <v>1438</v>
      </c>
      <c r="S522">
        <v>1266009</v>
      </c>
      <c r="U522">
        <v>1266009</v>
      </c>
      <c r="V522">
        <v>1.431598037612687E-6</v>
      </c>
      <c r="W522" t="s">
        <v>9</v>
      </c>
      <c r="X522" t="s">
        <v>1457</v>
      </c>
    </row>
    <row r="523" spans="1:24" x14ac:dyDescent="0.35">
      <c r="A523" t="s">
        <v>301</v>
      </c>
      <c r="B523">
        <v>2023</v>
      </c>
      <c r="C523" t="s">
        <v>1308</v>
      </c>
      <c r="D523" t="s">
        <v>1318</v>
      </c>
      <c r="E523" t="s">
        <v>1359</v>
      </c>
      <c r="F523" t="s">
        <v>1364</v>
      </c>
      <c r="G523" t="s">
        <v>1372</v>
      </c>
      <c r="H523">
        <v>0.53032299999999999</v>
      </c>
      <c r="J523" t="s">
        <v>1404</v>
      </c>
      <c r="N523">
        <v>1.2</v>
      </c>
      <c r="R523" s="2" t="s">
        <v>1438</v>
      </c>
      <c r="S523">
        <v>1266009</v>
      </c>
      <c r="U523">
        <v>1266009</v>
      </c>
      <c r="V523">
        <v>4.1889354657036399E-7</v>
      </c>
      <c r="W523" t="s">
        <v>9</v>
      </c>
      <c r="X523" t="s">
        <v>1457</v>
      </c>
    </row>
    <row r="524" spans="1:24" x14ac:dyDescent="0.35">
      <c r="A524" t="s">
        <v>302</v>
      </c>
      <c r="B524">
        <v>2023</v>
      </c>
      <c r="C524" t="s">
        <v>1308</v>
      </c>
      <c r="D524" t="s">
        <v>1311</v>
      </c>
      <c r="E524" t="s">
        <v>1359</v>
      </c>
      <c r="F524" t="s">
        <v>1364</v>
      </c>
      <c r="G524" t="s">
        <v>1371</v>
      </c>
      <c r="H524">
        <v>732.67200200000002</v>
      </c>
      <c r="J524" t="s">
        <v>1404</v>
      </c>
      <c r="N524">
        <v>1.2</v>
      </c>
      <c r="R524" s="2" t="s">
        <v>1438</v>
      </c>
      <c r="S524">
        <v>1266009</v>
      </c>
      <c r="U524">
        <v>1266009</v>
      </c>
      <c r="V524">
        <v>5.7872574523561843E-4</v>
      </c>
      <c r="W524" t="s">
        <v>9</v>
      </c>
      <c r="X524" t="s">
        <v>1456</v>
      </c>
    </row>
    <row r="525" spans="1:24" x14ac:dyDescent="0.35">
      <c r="A525" t="s">
        <v>303</v>
      </c>
      <c r="B525">
        <v>2023</v>
      </c>
      <c r="C525" t="s">
        <v>1308</v>
      </c>
      <c r="D525" t="s">
        <v>1319</v>
      </c>
      <c r="E525" t="s">
        <v>1359</v>
      </c>
      <c r="F525" t="s">
        <v>1364</v>
      </c>
      <c r="G525" t="s">
        <v>1371</v>
      </c>
      <c r="H525">
        <v>2.5070000000000001E-3</v>
      </c>
      <c r="J525" t="s">
        <v>1404</v>
      </c>
      <c r="N525">
        <v>1.2</v>
      </c>
      <c r="R525" s="2" t="s">
        <v>1438</v>
      </c>
      <c r="S525">
        <v>1266009</v>
      </c>
      <c r="U525">
        <v>1266009</v>
      </c>
      <c r="V525">
        <v>1.980238687086743E-9</v>
      </c>
      <c r="W525" t="s">
        <v>9</v>
      </c>
      <c r="X525" t="s">
        <v>1456</v>
      </c>
    </row>
    <row r="526" spans="1:24" x14ac:dyDescent="0.35">
      <c r="A526" t="s">
        <v>304</v>
      </c>
      <c r="B526">
        <v>2023</v>
      </c>
      <c r="C526" t="s">
        <v>1308</v>
      </c>
      <c r="D526" t="s">
        <v>1320</v>
      </c>
      <c r="E526" t="s">
        <v>1359</v>
      </c>
      <c r="F526" t="s">
        <v>1364</v>
      </c>
      <c r="G526" t="s">
        <v>1372</v>
      </c>
      <c r="H526">
        <v>0.44941599999999998</v>
      </c>
      <c r="J526" t="s">
        <v>1404</v>
      </c>
      <c r="N526">
        <v>1.2</v>
      </c>
      <c r="R526" s="2" t="s">
        <v>1438</v>
      </c>
      <c r="S526">
        <v>1266009</v>
      </c>
      <c r="U526">
        <v>1266009</v>
      </c>
      <c r="V526">
        <v>3.5498641794805571E-7</v>
      </c>
      <c r="W526" t="s">
        <v>9</v>
      </c>
      <c r="X526" t="s">
        <v>1457</v>
      </c>
    </row>
    <row r="527" spans="1:24" x14ac:dyDescent="0.35">
      <c r="A527" t="s">
        <v>305</v>
      </c>
      <c r="B527">
        <v>2023</v>
      </c>
      <c r="C527" t="s">
        <v>1308</v>
      </c>
      <c r="D527" t="s">
        <v>1321</v>
      </c>
      <c r="E527" t="s">
        <v>1359</v>
      </c>
      <c r="F527" t="s">
        <v>1364</v>
      </c>
      <c r="G527" t="s">
        <v>1371</v>
      </c>
      <c r="H527">
        <v>5.8320000000000004E-3</v>
      </c>
      <c r="J527" t="s">
        <v>1404</v>
      </c>
      <c r="N527">
        <v>1.2</v>
      </c>
      <c r="R527" s="2" t="s">
        <v>1438</v>
      </c>
      <c r="S527">
        <v>1266009</v>
      </c>
      <c r="U527">
        <v>1266009</v>
      </c>
      <c r="V527">
        <v>4.6066023227323031E-9</v>
      </c>
      <c r="W527" t="s">
        <v>9</v>
      </c>
      <c r="X527" t="s">
        <v>1456</v>
      </c>
    </row>
    <row r="528" spans="1:24" x14ac:dyDescent="0.35">
      <c r="A528" t="s">
        <v>306</v>
      </c>
      <c r="B528">
        <v>2023</v>
      </c>
      <c r="C528" t="s">
        <v>1308</v>
      </c>
      <c r="D528" t="s">
        <v>1322</v>
      </c>
      <c r="E528" t="s">
        <v>1359</v>
      </c>
      <c r="F528" t="s">
        <v>1364</v>
      </c>
      <c r="G528" t="s">
        <v>1372</v>
      </c>
      <c r="H528">
        <v>51.500230000000002</v>
      </c>
      <c r="J528" t="s">
        <v>1404</v>
      </c>
      <c r="N528">
        <v>1.2</v>
      </c>
      <c r="R528" s="2" t="s">
        <v>1438</v>
      </c>
      <c r="S528">
        <v>1266009</v>
      </c>
      <c r="U528">
        <v>1266009</v>
      </c>
      <c r="V528">
        <v>4.0679197383272949E-5</v>
      </c>
      <c r="W528" t="s">
        <v>9</v>
      </c>
      <c r="X528" t="s">
        <v>1457</v>
      </c>
    </row>
    <row r="529" spans="1:24" x14ac:dyDescent="0.35">
      <c r="A529" t="s">
        <v>307</v>
      </c>
      <c r="B529">
        <v>2023</v>
      </c>
      <c r="C529" t="s">
        <v>1308</v>
      </c>
      <c r="D529" t="s">
        <v>1323</v>
      </c>
      <c r="E529" t="s">
        <v>1359</v>
      </c>
      <c r="F529" t="s">
        <v>1364</v>
      </c>
      <c r="G529" t="s">
        <v>1371</v>
      </c>
      <c r="H529">
        <v>5.372E-3</v>
      </c>
      <c r="J529" t="s">
        <v>1404</v>
      </c>
      <c r="N529">
        <v>1.2</v>
      </c>
      <c r="R529" s="2" t="s">
        <v>1438</v>
      </c>
      <c r="S529">
        <v>1266009</v>
      </c>
      <c r="U529">
        <v>1266009</v>
      </c>
      <c r="V529">
        <v>4.2432557746429934E-9</v>
      </c>
      <c r="W529" t="s">
        <v>9</v>
      </c>
      <c r="X529" t="s">
        <v>1456</v>
      </c>
    </row>
    <row r="530" spans="1:24" x14ac:dyDescent="0.35">
      <c r="A530" t="s">
        <v>308</v>
      </c>
      <c r="B530">
        <v>2023</v>
      </c>
      <c r="C530" t="s">
        <v>1308</v>
      </c>
      <c r="D530" t="s">
        <v>1330</v>
      </c>
      <c r="E530" t="s">
        <v>1359</v>
      </c>
      <c r="F530" t="s">
        <v>1364</v>
      </c>
      <c r="G530" t="s">
        <v>1371</v>
      </c>
      <c r="H530">
        <v>2.07519E-4</v>
      </c>
      <c r="J530" t="s">
        <v>1404</v>
      </c>
      <c r="N530">
        <v>1.2</v>
      </c>
      <c r="R530" s="2" t="s">
        <v>1438</v>
      </c>
      <c r="S530">
        <v>1266009</v>
      </c>
      <c r="U530">
        <v>1266009</v>
      </c>
      <c r="V530">
        <v>1.6391589633249049E-10</v>
      </c>
      <c r="W530" t="s">
        <v>9</v>
      </c>
      <c r="X530" t="s">
        <v>1456</v>
      </c>
    </row>
    <row r="531" spans="1:24" x14ac:dyDescent="0.35">
      <c r="A531" t="s">
        <v>309</v>
      </c>
      <c r="B531">
        <v>2023</v>
      </c>
      <c r="C531" t="s">
        <v>1308</v>
      </c>
      <c r="D531" t="s">
        <v>1324</v>
      </c>
      <c r="E531" t="s">
        <v>1359</v>
      </c>
      <c r="F531" t="s">
        <v>1364</v>
      </c>
      <c r="G531" t="s">
        <v>1371</v>
      </c>
      <c r="H531">
        <v>6.5100000000000002E-3</v>
      </c>
      <c r="J531" t="s">
        <v>1404</v>
      </c>
      <c r="N531">
        <v>1.2</v>
      </c>
      <c r="R531" s="2" t="s">
        <v>1438</v>
      </c>
      <c r="S531">
        <v>1266009</v>
      </c>
      <c r="U531">
        <v>1266009</v>
      </c>
      <c r="V531">
        <v>5.1421435392639394E-9</v>
      </c>
      <c r="W531" t="s">
        <v>9</v>
      </c>
      <c r="X531" t="s">
        <v>1456</v>
      </c>
    </row>
    <row r="532" spans="1:24" x14ac:dyDescent="0.35">
      <c r="A532" t="s">
        <v>310</v>
      </c>
      <c r="B532">
        <v>2023</v>
      </c>
      <c r="C532" t="s">
        <v>1308</v>
      </c>
      <c r="D532" t="s">
        <v>1312</v>
      </c>
      <c r="E532" t="s">
        <v>1359</v>
      </c>
      <c r="F532" t="s">
        <v>1364</v>
      </c>
      <c r="G532" t="s">
        <v>1371</v>
      </c>
      <c r="H532">
        <v>104.591182</v>
      </c>
      <c r="J532" t="s">
        <v>1404</v>
      </c>
      <c r="N532">
        <v>1.2</v>
      </c>
      <c r="R532" s="2" t="s">
        <v>1438</v>
      </c>
      <c r="S532">
        <v>1266009</v>
      </c>
      <c r="U532">
        <v>1266009</v>
      </c>
      <c r="V532">
        <v>8.2614880304958342E-5</v>
      </c>
      <c r="W532" t="s">
        <v>9</v>
      </c>
      <c r="X532" t="s">
        <v>1456</v>
      </c>
    </row>
    <row r="533" spans="1:24" x14ac:dyDescent="0.35">
      <c r="A533" t="s">
        <v>311</v>
      </c>
      <c r="B533">
        <v>2023</v>
      </c>
      <c r="C533" t="s">
        <v>1308</v>
      </c>
      <c r="D533" t="s">
        <v>1332</v>
      </c>
      <c r="E533" t="s">
        <v>1359</v>
      </c>
      <c r="F533" t="s">
        <v>1364</v>
      </c>
      <c r="G533" t="s">
        <v>1371</v>
      </c>
      <c r="H533">
        <v>3.4131000000000002E-2</v>
      </c>
      <c r="J533" t="s">
        <v>1404</v>
      </c>
      <c r="N533">
        <v>1.2</v>
      </c>
      <c r="R533" s="2" t="s">
        <v>1438</v>
      </c>
      <c r="S533">
        <v>1266009</v>
      </c>
      <c r="U533">
        <v>1266009</v>
      </c>
      <c r="V533">
        <v>2.6959523984426649E-8</v>
      </c>
      <c r="W533" t="s">
        <v>9</v>
      </c>
      <c r="X533" t="s">
        <v>1456</v>
      </c>
    </row>
    <row r="534" spans="1:24" x14ac:dyDescent="0.35">
      <c r="A534" t="s">
        <v>312</v>
      </c>
      <c r="B534">
        <v>2023</v>
      </c>
      <c r="C534" t="s">
        <v>1308</v>
      </c>
      <c r="D534" t="s">
        <v>1313</v>
      </c>
      <c r="E534" t="s">
        <v>1359</v>
      </c>
      <c r="F534" t="s">
        <v>1364</v>
      </c>
      <c r="G534" t="s">
        <v>1371</v>
      </c>
      <c r="H534">
        <v>0.14866499999999999</v>
      </c>
      <c r="J534" t="s">
        <v>1404</v>
      </c>
      <c r="N534">
        <v>1.2</v>
      </c>
      <c r="R534" s="2" t="s">
        <v>1438</v>
      </c>
      <c r="S534">
        <v>1266009</v>
      </c>
      <c r="U534">
        <v>1266009</v>
      </c>
      <c r="V534">
        <v>1.174280751558638E-7</v>
      </c>
      <c r="W534" t="s">
        <v>9</v>
      </c>
      <c r="X534" t="s">
        <v>1456</v>
      </c>
    </row>
    <row r="535" spans="1:24" x14ac:dyDescent="0.35">
      <c r="A535" t="s">
        <v>313</v>
      </c>
      <c r="B535">
        <v>2023</v>
      </c>
      <c r="C535" t="s">
        <v>1308</v>
      </c>
      <c r="D535" t="s">
        <v>1314</v>
      </c>
      <c r="E535" t="s">
        <v>1359</v>
      </c>
      <c r="F535" t="s">
        <v>1364</v>
      </c>
      <c r="G535" t="s">
        <v>1371</v>
      </c>
      <c r="H535">
        <v>0.13992499999999999</v>
      </c>
      <c r="J535" t="s">
        <v>1404</v>
      </c>
      <c r="N535">
        <v>1.2</v>
      </c>
      <c r="R535" s="2" t="s">
        <v>1438</v>
      </c>
      <c r="S535">
        <v>1266009</v>
      </c>
      <c r="U535">
        <v>1266009</v>
      </c>
      <c r="V535">
        <v>1.105244907421669E-7</v>
      </c>
      <c r="W535" t="s">
        <v>9</v>
      </c>
      <c r="X535" t="s">
        <v>1456</v>
      </c>
    </row>
    <row r="536" spans="1:24" x14ac:dyDescent="0.35">
      <c r="A536" t="s">
        <v>314</v>
      </c>
      <c r="B536">
        <v>2023</v>
      </c>
      <c r="C536" t="s">
        <v>1308</v>
      </c>
      <c r="D536" t="s">
        <v>1325</v>
      </c>
      <c r="E536" t="s">
        <v>1359</v>
      </c>
      <c r="F536" t="s">
        <v>1364</v>
      </c>
      <c r="G536" t="s">
        <v>1372</v>
      </c>
      <c r="H536">
        <v>1.908177</v>
      </c>
      <c r="J536" t="s">
        <v>1404</v>
      </c>
      <c r="N536">
        <v>1.2</v>
      </c>
      <c r="R536" s="2" t="s">
        <v>1438</v>
      </c>
      <c r="S536">
        <v>1266009</v>
      </c>
      <c r="U536">
        <v>1266009</v>
      </c>
      <c r="V536">
        <v>1.507238100203079E-6</v>
      </c>
      <c r="W536" t="s">
        <v>9</v>
      </c>
      <c r="X536" t="s">
        <v>1457</v>
      </c>
    </row>
    <row r="537" spans="1:24" x14ac:dyDescent="0.35">
      <c r="A537" t="s">
        <v>315</v>
      </c>
      <c r="B537">
        <v>2023</v>
      </c>
      <c r="C537" t="s">
        <v>1308</v>
      </c>
      <c r="D537" t="s">
        <v>1334</v>
      </c>
      <c r="E537" t="s">
        <v>1359</v>
      </c>
      <c r="F537" t="s">
        <v>1364</v>
      </c>
      <c r="G537" t="s">
        <v>1372</v>
      </c>
      <c r="H537">
        <v>0.75675700000000001</v>
      </c>
      <c r="J537" t="s">
        <v>1404</v>
      </c>
      <c r="N537">
        <v>1.2</v>
      </c>
      <c r="R537" s="2" t="s">
        <v>1438</v>
      </c>
      <c r="S537">
        <v>1266009</v>
      </c>
      <c r="U537">
        <v>1266009</v>
      </c>
      <c r="V537">
        <v>5.9775009498352695E-7</v>
      </c>
      <c r="W537" t="s">
        <v>9</v>
      </c>
      <c r="X537" t="s">
        <v>1457</v>
      </c>
    </row>
    <row r="538" spans="1:24" x14ac:dyDescent="0.35">
      <c r="A538" t="s">
        <v>316</v>
      </c>
      <c r="B538">
        <v>2023</v>
      </c>
      <c r="C538" t="s">
        <v>1308</v>
      </c>
      <c r="D538" t="s">
        <v>1315</v>
      </c>
      <c r="E538" t="s">
        <v>1359</v>
      </c>
      <c r="F538" t="s">
        <v>1364</v>
      </c>
      <c r="G538" t="s">
        <v>1371</v>
      </c>
      <c r="H538">
        <v>29.653987999999998</v>
      </c>
      <c r="J538" t="s">
        <v>1404</v>
      </c>
      <c r="N538">
        <v>1.2</v>
      </c>
      <c r="R538" s="2" t="s">
        <v>1438</v>
      </c>
      <c r="S538">
        <v>1266009</v>
      </c>
      <c r="U538">
        <v>1266009</v>
      </c>
      <c r="V538">
        <v>2.3423204732351819E-5</v>
      </c>
      <c r="W538" t="s">
        <v>9</v>
      </c>
      <c r="X538" t="s">
        <v>1456</v>
      </c>
    </row>
    <row r="539" spans="1:24" x14ac:dyDescent="0.35">
      <c r="A539" t="s">
        <v>317</v>
      </c>
      <c r="B539">
        <v>2023</v>
      </c>
      <c r="C539" t="s">
        <v>1308</v>
      </c>
      <c r="D539" t="s">
        <v>1336</v>
      </c>
      <c r="E539" t="s">
        <v>1359</v>
      </c>
      <c r="F539" t="s">
        <v>1364</v>
      </c>
      <c r="G539" t="s">
        <v>1371</v>
      </c>
      <c r="H539">
        <v>5.8500000000000002E-4</v>
      </c>
      <c r="J539" t="s">
        <v>1404</v>
      </c>
      <c r="N539">
        <v>1.2</v>
      </c>
      <c r="R539" s="2" t="s">
        <v>1438</v>
      </c>
      <c r="S539">
        <v>1266009</v>
      </c>
      <c r="U539">
        <v>1266009</v>
      </c>
      <c r="V539">
        <v>4.6208202311357981E-10</v>
      </c>
      <c r="W539" t="s">
        <v>9</v>
      </c>
      <c r="X539" t="s">
        <v>1456</v>
      </c>
    </row>
    <row r="540" spans="1:24" x14ac:dyDescent="0.35">
      <c r="A540" t="s">
        <v>318</v>
      </c>
      <c r="B540">
        <v>2023</v>
      </c>
      <c r="C540" t="s">
        <v>1308</v>
      </c>
      <c r="D540" t="s">
        <v>1326</v>
      </c>
      <c r="E540" t="s">
        <v>1359</v>
      </c>
      <c r="F540" t="s">
        <v>1364</v>
      </c>
      <c r="G540" t="s">
        <v>1371</v>
      </c>
      <c r="H540">
        <v>8.1700000000000002E-3</v>
      </c>
      <c r="J540" t="s">
        <v>1404</v>
      </c>
      <c r="N540">
        <v>1.2</v>
      </c>
      <c r="R540" s="2" t="s">
        <v>1438</v>
      </c>
      <c r="S540">
        <v>1266009</v>
      </c>
      <c r="U540">
        <v>1266009</v>
      </c>
      <c r="V540">
        <v>6.4533506475862341E-9</v>
      </c>
      <c r="W540" t="s">
        <v>9</v>
      </c>
      <c r="X540" t="s">
        <v>1456</v>
      </c>
    </row>
    <row r="541" spans="1:24" x14ac:dyDescent="0.35">
      <c r="A541" t="s">
        <v>679</v>
      </c>
      <c r="B541">
        <v>2023</v>
      </c>
      <c r="C541" t="s">
        <v>1308</v>
      </c>
      <c r="D541" t="s">
        <v>1328</v>
      </c>
      <c r="E541" t="s">
        <v>1359</v>
      </c>
      <c r="F541" t="s">
        <v>1366</v>
      </c>
      <c r="G541" t="s">
        <v>1371</v>
      </c>
      <c r="H541">
        <v>2.1999999999999999E-5</v>
      </c>
      <c r="J541" t="s">
        <v>1404</v>
      </c>
      <c r="N541">
        <v>1.2</v>
      </c>
      <c r="R541" s="2" t="s">
        <v>1438</v>
      </c>
      <c r="S541">
        <v>1266009</v>
      </c>
      <c r="U541">
        <v>1266009</v>
      </c>
      <c r="V541">
        <v>1.737744360427138E-11</v>
      </c>
      <c r="W541" t="s">
        <v>9</v>
      </c>
      <c r="X541" t="s">
        <v>1456</v>
      </c>
    </row>
    <row r="542" spans="1:24" x14ac:dyDescent="0.35">
      <c r="A542" t="s">
        <v>680</v>
      </c>
      <c r="B542">
        <v>2023</v>
      </c>
      <c r="C542" t="s">
        <v>1308</v>
      </c>
      <c r="D542" t="s">
        <v>1317</v>
      </c>
      <c r="E542" t="s">
        <v>1359</v>
      </c>
      <c r="F542" t="s">
        <v>1366</v>
      </c>
      <c r="G542" t="s">
        <v>1372</v>
      </c>
      <c r="H542">
        <v>5.9503E-2</v>
      </c>
      <c r="J542" t="s">
        <v>1404</v>
      </c>
      <c r="N542">
        <v>1.2</v>
      </c>
      <c r="R542" s="2" t="s">
        <v>1438</v>
      </c>
      <c r="S542">
        <v>1266009</v>
      </c>
      <c r="U542">
        <v>1266009</v>
      </c>
      <c r="V542">
        <v>4.7000455762952712E-8</v>
      </c>
      <c r="W542" t="s">
        <v>9</v>
      </c>
      <c r="X542" t="s">
        <v>1457</v>
      </c>
    </row>
    <row r="543" spans="1:24" x14ac:dyDescent="0.35">
      <c r="A543" t="s">
        <v>681</v>
      </c>
      <c r="B543">
        <v>2023</v>
      </c>
      <c r="C543" t="s">
        <v>1308</v>
      </c>
      <c r="D543" t="s">
        <v>1318</v>
      </c>
      <c r="E543" t="s">
        <v>1359</v>
      </c>
      <c r="F543" t="s">
        <v>1366</v>
      </c>
      <c r="G543" t="s">
        <v>1372</v>
      </c>
      <c r="H543">
        <v>1.637E-3</v>
      </c>
      <c r="J543" t="s">
        <v>1404</v>
      </c>
      <c r="N543">
        <v>1.2</v>
      </c>
      <c r="R543" s="2" t="s">
        <v>1438</v>
      </c>
      <c r="S543">
        <v>1266009</v>
      </c>
      <c r="U543">
        <v>1266009</v>
      </c>
      <c r="V543">
        <v>1.293039780917829E-9</v>
      </c>
      <c r="W543" t="s">
        <v>9</v>
      </c>
      <c r="X543" t="s">
        <v>1457</v>
      </c>
    </row>
    <row r="544" spans="1:24" x14ac:dyDescent="0.35">
      <c r="A544" t="s">
        <v>682</v>
      </c>
      <c r="B544">
        <v>2023</v>
      </c>
      <c r="C544" t="s">
        <v>1308</v>
      </c>
      <c r="D544" t="s">
        <v>1319</v>
      </c>
      <c r="E544" t="s">
        <v>1359</v>
      </c>
      <c r="F544" t="s">
        <v>1366</v>
      </c>
      <c r="G544" t="s">
        <v>1371</v>
      </c>
      <c r="H544">
        <v>1.611E-3</v>
      </c>
      <c r="J544" t="s">
        <v>1404</v>
      </c>
      <c r="N544">
        <v>1.2</v>
      </c>
      <c r="R544" s="2" t="s">
        <v>1438</v>
      </c>
      <c r="S544">
        <v>1266009</v>
      </c>
      <c r="U544">
        <v>1266009</v>
      </c>
      <c r="V544">
        <v>1.272502802112781E-9</v>
      </c>
      <c r="W544" t="s">
        <v>9</v>
      </c>
      <c r="X544" t="s">
        <v>1456</v>
      </c>
    </row>
    <row r="545" spans="1:24" x14ac:dyDescent="0.35">
      <c r="A545" t="s">
        <v>683</v>
      </c>
      <c r="B545">
        <v>2023</v>
      </c>
      <c r="C545" t="s">
        <v>1308</v>
      </c>
      <c r="D545" t="s">
        <v>1320</v>
      </c>
      <c r="E545" t="s">
        <v>1359</v>
      </c>
      <c r="F545" t="s">
        <v>1366</v>
      </c>
      <c r="G545" t="s">
        <v>1372</v>
      </c>
      <c r="H545">
        <v>6.4535999999999996E-2</v>
      </c>
      <c r="J545" t="s">
        <v>1404</v>
      </c>
      <c r="N545">
        <v>1.2</v>
      </c>
      <c r="R545" s="2" t="s">
        <v>1438</v>
      </c>
      <c r="S545">
        <v>1266009</v>
      </c>
      <c r="U545">
        <v>1266009</v>
      </c>
      <c r="V545">
        <v>5.0975940929329881E-8</v>
      </c>
      <c r="W545" t="s">
        <v>9</v>
      </c>
      <c r="X545" t="s">
        <v>1457</v>
      </c>
    </row>
    <row r="546" spans="1:24" x14ac:dyDescent="0.35">
      <c r="A546" t="s">
        <v>684</v>
      </c>
      <c r="B546">
        <v>2023</v>
      </c>
      <c r="C546" t="s">
        <v>1308</v>
      </c>
      <c r="D546" t="s">
        <v>1321</v>
      </c>
      <c r="E546" t="s">
        <v>1359</v>
      </c>
      <c r="F546" t="s">
        <v>1366</v>
      </c>
      <c r="G546" t="s">
        <v>1371</v>
      </c>
      <c r="H546">
        <v>2.3599999999999999E-4</v>
      </c>
      <c r="J546" t="s">
        <v>1404</v>
      </c>
      <c r="N546">
        <v>1.2</v>
      </c>
      <c r="R546" s="2" t="s">
        <v>1438</v>
      </c>
      <c r="S546">
        <v>1266009</v>
      </c>
      <c r="U546">
        <v>1266009</v>
      </c>
      <c r="V546">
        <v>1.8641257684582019E-10</v>
      </c>
      <c r="W546" t="s">
        <v>9</v>
      </c>
      <c r="X546" t="s">
        <v>1456</v>
      </c>
    </row>
    <row r="547" spans="1:24" x14ac:dyDescent="0.35">
      <c r="A547" t="s">
        <v>685</v>
      </c>
      <c r="B547">
        <v>2023</v>
      </c>
      <c r="C547" t="s">
        <v>1308</v>
      </c>
      <c r="D547" t="s">
        <v>1322</v>
      </c>
      <c r="E547" t="s">
        <v>1359</v>
      </c>
      <c r="F547" t="s">
        <v>1366</v>
      </c>
      <c r="G547" t="s">
        <v>1372</v>
      </c>
      <c r="H547">
        <v>0.102256</v>
      </c>
      <c r="J547" t="s">
        <v>1404</v>
      </c>
      <c r="N547">
        <v>1.2</v>
      </c>
      <c r="R547" s="2" t="s">
        <v>1438</v>
      </c>
      <c r="S547">
        <v>1266009</v>
      </c>
      <c r="U547">
        <v>1266009</v>
      </c>
      <c r="V547">
        <v>8.0770357872653351E-8</v>
      </c>
      <c r="W547" t="s">
        <v>9</v>
      </c>
      <c r="X547" t="s">
        <v>1457</v>
      </c>
    </row>
    <row r="548" spans="1:24" x14ac:dyDescent="0.35">
      <c r="A548" t="s">
        <v>686</v>
      </c>
      <c r="B548">
        <v>2023</v>
      </c>
      <c r="C548" t="s">
        <v>1308</v>
      </c>
      <c r="D548" t="s">
        <v>1323</v>
      </c>
      <c r="E548" t="s">
        <v>1359</v>
      </c>
      <c r="F548" t="s">
        <v>1366</v>
      </c>
      <c r="G548" t="s">
        <v>1371</v>
      </c>
      <c r="H548">
        <v>3.9789999999999999E-3</v>
      </c>
      <c r="J548" t="s">
        <v>1404</v>
      </c>
      <c r="N548">
        <v>1.2</v>
      </c>
      <c r="R548" s="2" t="s">
        <v>1438</v>
      </c>
      <c r="S548">
        <v>1266009</v>
      </c>
      <c r="U548">
        <v>1266009</v>
      </c>
      <c r="V548">
        <v>3.1429476409725369E-9</v>
      </c>
      <c r="W548" t="s">
        <v>9</v>
      </c>
      <c r="X548" t="s">
        <v>1456</v>
      </c>
    </row>
    <row r="549" spans="1:24" x14ac:dyDescent="0.35">
      <c r="A549" t="s">
        <v>687</v>
      </c>
      <c r="B549">
        <v>2023</v>
      </c>
      <c r="C549" t="s">
        <v>1308</v>
      </c>
      <c r="D549" t="s">
        <v>1330</v>
      </c>
      <c r="E549" t="s">
        <v>1359</v>
      </c>
      <c r="F549" t="s">
        <v>1366</v>
      </c>
      <c r="G549" t="s">
        <v>1371</v>
      </c>
      <c r="H549">
        <v>1.5319999999999999E-6</v>
      </c>
      <c r="J549" t="s">
        <v>1404</v>
      </c>
      <c r="N549">
        <v>1.2</v>
      </c>
      <c r="R549" s="2" t="s">
        <v>1438</v>
      </c>
      <c r="S549">
        <v>1266009</v>
      </c>
      <c r="U549">
        <v>1266009</v>
      </c>
      <c r="V549">
        <v>1.2101019818974429E-12</v>
      </c>
      <c r="W549" t="s">
        <v>9</v>
      </c>
      <c r="X549" t="s">
        <v>1456</v>
      </c>
    </row>
    <row r="550" spans="1:24" x14ac:dyDescent="0.35">
      <c r="A550" t="s">
        <v>688</v>
      </c>
      <c r="B550">
        <v>2023</v>
      </c>
      <c r="C550" t="s">
        <v>1308</v>
      </c>
      <c r="D550" t="s">
        <v>1324</v>
      </c>
      <c r="E550" t="s">
        <v>1359</v>
      </c>
      <c r="F550" t="s">
        <v>1366</v>
      </c>
      <c r="G550" t="s">
        <v>1371</v>
      </c>
      <c r="H550">
        <v>2.4000000000000001E-4</v>
      </c>
      <c r="J550" t="s">
        <v>1404</v>
      </c>
      <c r="N550">
        <v>1.2</v>
      </c>
      <c r="R550" s="2" t="s">
        <v>1438</v>
      </c>
      <c r="S550">
        <v>1266009</v>
      </c>
      <c r="U550">
        <v>1266009</v>
      </c>
      <c r="V550">
        <v>1.8957211204659679E-10</v>
      </c>
      <c r="W550" t="s">
        <v>9</v>
      </c>
      <c r="X550" t="s">
        <v>1456</v>
      </c>
    </row>
    <row r="551" spans="1:24" x14ac:dyDescent="0.35">
      <c r="A551" t="s">
        <v>689</v>
      </c>
      <c r="B551">
        <v>2023</v>
      </c>
      <c r="C551" t="s">
        <v>1308</v>
      </c>
      <c r="D551" t="s">
        <v>1332</v>
      </c>
      <c r="E551" t="s">
        <v>1359</v>
      </c>
      <c r="F551" t="s">
        <v>1366</v>
      </c>
      <c r="G551" t="s">
        <v>1371</v>
      </c>
      <c r="H551">
        <v>3.0990000000000002E-3</v>
      </c>
      <c r="J551" t="s">
        <v>1404</v>
      </c>
      <c r="N551">
        <v>1.2</v>
      </c>
      <c r="R551" s="2" t="s">
        <v>1438</v>
      </c>
      <c r="S551">
        <v>1266009</v>
      </c>
      <c r="U551">
        <v>1266009</v>
      </c>
      <c r="V551">
        <v>2.4478498968016821E-9</v>
      </c>
      <c r="W551" t="s">
        <v>9</v>
      </c>
      <c r="X551" t="s">
        <v>1456</v>
      </c>
    </row>
    <row r="552" spans="1:24" x14ac:dyDescent="0.35">
      <c r="A552" t="s">
        <v>690</v>
      </c>
      <c r="B552">
        <v>2023</v>
      </c>
      <c r="C552" t="s">
        <v>1308</v>
      </c>
      <c r="D552" t="s">
        <v>1313</v>
      </c>
      <c r="E552" t="s">
        <v>1359</v>
      </c>
      <c r="F552" t="s">
        <v>1366</v>
      </c>
      <c r="G552" t="s">
        <v>1371</v>
      </c>
      <c r="H552">
        <v>5.8026720000000003</v>
      </c>
      <c r="J552" t="s">
        <v>1404</v>
      </c>
      <c r="N552">
        <v>1.2</v>
      </c>
      <c r="R552" s="2" t="s">
        <v>1438</v>
      </c>
      <c r="S552">
        <v>1266009</v>
      </c>
      <c r="U552">
        <v>1266009</v>
      </c>
      <c r="V552">
        <v>4.5834366106402092E-6</v>
      </c>
      <c r="W552" t="s">
        <v>9</v>
      </c>
      <c r="X552" t="s">
        <v>1456</v>
      </c>
    </row>
    <row r="553" spans="1:24" x14ac:dyDescent="0.35">
      <c r="A553" t="s">
        <v>691</v>
      </c>
      <c r="B553">
        <v>2023</v>
      </c>
      <c r="C553" t="s">
        <v>1308</v>
      </c>
      <c r="D553" t="s">
        <v>1314</v>
      </c>
      <c r="E553" t="s">
        <v>1359</v>
      </c>
      <c r="F553" t="s">
        <v>1366</v>
      </c>
      <c r="G553" t="s">
        <v>1371</v>
      </c>
      <c r="H553">
        <v>2.246988</v>
      </c>
      <c r="J553" t="s">
        <v>1404</v>
      </c>
      <c r="N553">
        <v>1.2</v>
      </c>
      <c r="R553" s="2" t="s">
        <v>1438</v>
      </c>
      <c r="S553">
        <v>1266009</v>
      </c>
      <c r="U553">
        <v>1266009</v>
      </c>
      <c r="V553">
        <v>1.77485942043066E-6</v>
      </c>
      <c r="W553" t="s">
        <v>9</v>
      </c>
      <c r="X553" t="s">
        <v>1456</v>
      </c>
    </row>
    <row r="554" spans="1:24" x14ac:dyDescent="0.35">
      <c r="A554" t="s">
        <v>692</v>
      </c>
      <c r="B554">
        <v>2023</v>
      </c>
      <c r="C554" t="s">
        <v>1308</v>
      </c>
      <c r="D554" t="s">
        <v>1325</v>
      </c>
      <c r="E554" t="s">
        <v>1359</v>
      </c>
      <c r="F554" t="s">
        <v>1366</v>
      </c>
      <c r="G554" t="s">
        <v>1372</v>
      </c>
      <c r="H554">
        <v>5.3169999999999997E-3</v>
      </c>
      <c r="J554" t="s">
        <v>1404</v>
      </c>
      <c r="N554">
        <v>1.2</v>
      </c>
      <c r="R554" s="2" t="s">
        <v>1438</v>
      </c>
      <c r="S554">
        <v>1266009</v>
      </c>
      <c r="U554">
        <v>1266009</v>
      </c>
      <c r="V554">
        <v>4.1998121656323132E-9</v>
      </c>
      <c r="W554" t="s">
        <v>9</v>
      </c>
      <c r="X554" t="s">
        <v>1457</v>
      </c>
    </row>
    <row r="555" spans="1:24" x14ac:dyDescent="0.35">
      <c r="A555" t="s">
        <v>693</v>
      </c>
      <c r="B555">
        <v>2023</v>
      </c>
      <c r="C555" t="s">
        <v>1308</v>
      </c>
      <c r="D555" t="s">
        <v>1334</v>
      </c>
      <c r="E555" t="s">
        <v>1359</v>
      </c>
      <c r="F555" t="s">
        <v>1366</v>
      </c>
      <c r="G555" t="s">
        <v>1372</v>
      </c>
      <c r="H555">
        <v>6.3E-3</v>
      </c>
      <c r="J555" t="s">
        <v>1404</v>
      </c>
      <c r="N555">
        <v>1.2</v>
      </c>
      <c r="R555" s="2" t="s">
        <v>1438</v>
      </c>
      <c r="S555">
        <v>1266009</v>
      </c>
      <c r="U555">
        <v>1266009</v>
      </c>
      <c r="V555">
        <v>4.9762679412231666E-9</v>
      </c>
      <c r="W555" t="s">
        <v>9</v>
      </c>
      <c r="X555" t="s">
        <v>1457</v>
      </c>
    </row>
    <row r="556" spans="1:24" x14ac:dyDescent="0.35">
      <c r="A556" t="s">
        <v>694</v>
      </c>
      <c r="B556">
        <v>2023</v>
      </c>
      <c r="C556" t="s">
        <v>1308</v>
      </c>
      <c r="D556" t="s">
        <v>1315</v>
      </c>
      <c r="E556" t="s">
        <v>1359</v>
      </c>
      <c r="F556" t="s">
        <v>1366</v>
      </c>
      <c r="G556" t="s">
        <v>1371</v>
      </c>
      <c r="H556">
        <v>11.347773999999999</v>
      </c>
      <c r="J556" t="s">
        <v>1404</v>
      </c>
      <c r="N556">
        <v>1.2</v>
      </c>
      <c r="R556" s="2" t="s">
        <v>1438</v>
      </c>
      <c r="S556">
        <v>1266009</v>
      </c>
      <c r="U556">
        <v>1266009</v>
      </c>
      <c r="V556">
        <v>8.9634228508644091E-6</v>
      </c>
      <c r="W556" t="s">
        <v>9</v>
      </c>
      <c r="X556" t="s">
        <v>1456</v>
      </c>
    </row>
    <row r="557" spans="1:24" x14ac:dyDescent="0.35">
      <c r="A557" t="s">
        <v>695</v>
      </c>
      <c r="B557">
        <v>2023</v>
      </c>
      <c r="C557" t="s">
        <v>1308</v>
      </c>
      <c r="D557" t="s">
        <v>1336</v>
      </c>
      <c r="E557" t="s">
        <v>1359</v>
      </c>
      <c r="F557" t="s">
        <v>1366</v>
      </c>
      <c r="G557" t="s">
        <v>1371</v>
      </c>
      <c r="H557">
        <v>6.3400000000000001E-4</v>
      </c>
      <c r="J557" t="s">
        <v>1404</v>
      </c>
      <c r="N557">
        <v>1.2</v>
      </c>
      <c r="R557" s="2" t="s">
        <v>1438</v>
      </c>
      <c r="S557">
        <v>1266009</v>
      </c>
      <c r="U557">
        <v>1266009</v>
      </c>
      <c r="V557">
        <v>5.0078632932309326E-10</v>
      </c>
      <c r="W557" t="s">
        <v>9</v>
      </c>
      <c r="X557" t="s">
        <v>1456</v>
      </c>
    </row>
    <row r="558" spans="1:24" x14ac:dyDescent="0.35">
      <c r="A558" t="s">
        <v>696</v>
      </c>
      <c r="B558">
        <v>2023</v>
      </c>
      <c r="C558" t="s">
        <v>1308</v>
      </c>
      <c r="D558" t="s">
        <v>1326</v>
      </c>
      <c r="E558" t="s">
        <v>1359</v>
      </c>
      <c r="F558" t="s">
        <v>1366</v>
      </c>
      <c r="G558" t="s">
        <v>1371</v>
      </c>
      <c r="H558">
        <v>4.2900000000000002E-4</v>
      </c>
      <c r="J558" t="s">
        <v>1404</v>
      </c>
      <c r="N558">
        <v>1.2</v>
      </c>
      <c r="R558" s="2" t="s">
        <v>1438</v>
      </c>
      <c r="S558">
        <v>1266009</v>
      </c>
      <c r="U558">
        <v>1266009</v>
      </c>
      <c r="V558">
        <v>3.3886015028329178E-10</v>
      </c>
      <c r="W558" t="s">
        <v>9</v>
      </c>
      <c r="X558" t="s">
        <v>1456</v>
      </c>
    </row>
    <row r="559" spans="1:24" x14ac:dyDescent="0.35">
      <c r="A559" t="s">
        <v>965</v>
      </c>
      <c r="B559">
        <v>2023</v>
      </c>
      <c r="C559" t="s">
        <v>1309</v>
      </c>
      <c r="D559" t="s">
        <v>1327</v>
      </c>
      <c r="E559" t="s">
        <v>1359</v>
      </c>
      <c r="F559" t="s">
        <v>1368</v>
      </c>
      <c r="G559" t="s">
        <v>1371</v>
      </c>
      <c r="H559">
        <v>24.352934999999999</v>
      </c>
      <c r="J559" t="s">
        <v>1404</v>
      </c>
      <c r="N559">
        <v>1.2</v>
      </c>
      <c r="R559" s="2" t="s">
        <v>1438</v>
      </c>
      <c r="S559">
        <v>1266009</v>
      </c>
      <c r="U559">
        <v>1266009</v>
      </c>
      <c r="V559">
        <v>1.9235988843681201E-5</v>
      </c>
      <c r="W559" t="s">
        <v>9</v>
      </c>
      <c r="X559" t="s">
        <v>1456</v>
      </c>
    </row>
    <row r="560" spans="1:24" x14ac:dyDescent="0.35">
      <c r="A560" t="s">
        <v>966</v>
      </c>
      <c r="B560">
        <v>2023</v>
      </c>
      <c r="C560" t="s">
        <v>1309</v>
      </c>
      <c r="D560" t="s">
        <v>1328</v>
      </c>
      <c r="E560" t="s">
        <v>1359</v>
      </c>
      <c r="F560" t="s">
        <v>1368</v>
      </c>
      <c r="G560" t="s">
        <v>1371</v>
      </c>
      <c r="H560">
        <v>0.17987900000000001</v>
      </c>
      <c r="J560" t="s">
        <v>1404</v>
      </c>
      <c r="N560">
        <v>1.2</v>
      </c>
      <c r="R560" s="2" t="s">
        <v>1438</v>
      </c>
      <c r="S560">
        <v>1266009</v>
      </c>
      <c r="U560">
        <v>1266009</v>
      </c>
      <c r="V560">
        <v>1.4208350809512411E-7</v>
      </c>
      <c r="W560" t="s">
        <v>9</v>
      </c>
      <c r="X560" t="s">
        <v>1456</v>
      </c>
    </row>
    <row r="561" spans="1:24" x14ac:dyDescent="0.35">
      <c r="A561" t="s">
        <v>967</v>
      </c>
      <c r="B561">
        <v>2023</v>
      </c>
      <c r="C561" t="s">
        <v>1309</v>
      </c>
      <c r="D561" t="s">
        <v>1317</v>
      </c>
      <c r="E561" t="s">
        <v>1359</v>
      </c>
      <c r="F561" t="s">
        <v>1368</v>
      </c>
      <c r="G561" t="s">
        <v>1372</v>
      </c>
      <c r="H561">
        <v>5.426793</v>
      </c>
      <c r="J561" t="s">
        <v>1404</v>
      </c>
      <c r="N561">
        <v>1.2</v>
      </c>
      <c r="R561" s="2" t="s">
        <v>1438</v>
      </c>
      <c r="S561">
        <v>1266009</v>
      </c>
      <c r="U561">
        <v>1266009</v>
      </c>
      <c r="V561">
        <v>4.2865358777070302E-6</v>
      </c>
      <c r="W561" t="s">
        <v>9</v>
      </c>
      <c r="X561" t="s">
        <v>1457</v>
      </c>
    </row>
    <row r="562" spans="1:24" x14ac:dyDescent="0.35">
      <c r="A562" t="s">
        <v>968</v>
      </c>
      <c r="B562">
        <v>2023</v>
      </c>
      <c r="C562" t="s">
        <v>1309</v>
      </c>
      <c r="D562" t="s">
        <v>1318</v>
      </c>
      <c r="E562" t="s">
        <v>1359</v>
      </c>
      <c r="F562" t="s">
        <v>1368</v>
      </c>
      <c r="G562" t="s">
        <v>1372</v>
      </c>
      <c r="H562">
        <v>0.489454</v>
      </c>
      <c r="J562" t="s">
        <v>1404</v>
      </c>
      <c r="N562">
        <v>1.2</v>
      </c>
      <c r="R562" s="2" t="s">
        <v>1438</v>
      </c>
      <c r="S562">
        <v>1266009</v>
      </c>
      <c r="U562">
        <v>1266009</v>
      </c>
      <c r="V562">
        <v>3.8661178554022921E-7</v>
      </c>
      <c r="W562" t="s">
        <v>9</v>
      </c>
      <c r="X562" t="s">
        <v>1457</v>
      </c>
    </row>
    <row r="563" spans="1:24" x14ac:dyDescent="0.35">
      <c r="A563" t="s">
        <v>969</v>
      </c>
      <c r="B563">
        <v>2023</v>
      </c>
      <c r="C563" t="s">
        <v>1309</v>
      </c>
      <c r="D563" t="s">
        <v>1319</v>
      </c>
      <c r="E563" t="s">
        <v>1359</v>
      </c>
      <c r="F563" t="s">
        <v>1368</v>
      </c>
      <c r="G563" t="s">
        <v>1371</v>
      </c>
      <c r="H563">
        <v>5.0930000000000003E-3</v>
      </c>
      <c r="J563" t="s">
        <v>1404</v>
      </c>
      <c r="N563">
        <v>1.2</v>
      </c>
      <c r="R563" s="2" t="s">
        <v>1438</v>
      </c>
      <c r="S563">
        <v>1266009</v>
      </c>
      <c r="U563">
        <v>1266009</v>
      </c>
      <c r="V563">
        <v>4.0228781943888244E-9</v>
      </c>
      <c r="W563" t="s">
        <v>9</v>
      </c>
      <c r="X563" t="s">
        <v>1456</v>
      </c>
    </row>
    <row r="564" spans="1:24" x14ac:dyDescent="0.35">
      <c r="A564" t="s">
        <v>970</v>
      </c>
      <c r="B564">
        <v>2023</v>
      </c>
      <c r="C564" t="s">
        <v>1309</v>
      </c>
      <c r="D564" t="s">
        <v>1320</v>
      </c>
      <c r="E564" t="s">
        <v>1359</v>
      </c>
      <c r="F564" t="s">
        <v>1368</v>
      </c>
      <c r="G564" t="s">
        <v>1372</v>
      </c>
      <c r="H564">
        <v>25.902142000000001</v>
      </c>
      <c r="J564" t="s">
        <v>1404</v>
      </c>
      <c r="N564">
        <v>1.2</v>
      </c>
      <c r="R564" s="2" t="s">
        <v>1438</v>
      </c>
      <c r="S564">
        <v>1266009</v>
      </c>
      <c r="U564">
        <v>1266009</v>
      </c>
      <c r="V564">
        <v>2.045968235612859E-5</v>
      </c>
      <c r="W564" t="s">
        <v>9</v>
      </c>
      <c r="X564" t="s">
        <v>1457</v>
      </c>
    </row>
    <row r="565" spans="1:24" x14ac:dyDescent="0.35">
      <c r="A565" t="s">
        <v>971</v>
      </c>
      <c r="B565">
        <v>2023</v>
      </c>
      <c r="C565" t="s">
        <v>1309</v>
      </c>
      <c r="D565" t="s">
        <v>1321</v>
      </c>
      <c r="E565" t="s">
        <v>1359</v>
      </c>
      <c r="F565" t="s">
        <v>1368</v>
      </c>
      <c r="G565" t="s">
        <v>1371</v>
      </c>
      <c r="H565">
        <v>2.7463000000000001E-2</v>
      </c>
      <c r="J565" t="s">
        <v>1404</v>
      </c>
      <c r="N565">
        <v>1.2</v>
      </c>
      <c r="R565" s="2" t="s">
        <v>1438</v>
      </c>
      <c r="S565">
        <v>1266009</v>
      </c>
      <c r="U565">
        <v>1266009</v>
      </c>
      <c r="V565">
        <v>2.1692578804732041E-8</v>
      </c>
      <c r="W565" t="s">
        <v>9</v>
      </c>
      <c r="X565" t="s">
        <v>1456</v>
      </c>
    </row>
    <row r="566" spans="1:24" x14ac:dyDescent="0.35">
      <c r="A566" t="s">
        <v>972</v>
      </c>
      <c r="B566">
        <v>2023</v>
      </c>
      <c r="C566" t="s">
        <v>1309</v>
      </c>
      <c r="D566" t="s">
        <v>1339</v>
      </c>
      <c r="E566" t="s">
        <v>1359</v>
      </c>
      <c r="F566" t="s">
        <v>1368</v>
      </c>
      <c r="G566" t="s">
        <v>1371</v>
      </c>
      <c r="H566">
        <v>2.3890000000000002E-2</v>
      </c>
      <c r="J566" t="s">
        <v>1404</v>
      </c>
      <c r="N566">
        <v>1.2</v>
      </c>
      <c r="R566" s="2" t="s">
        <v>1438</v>
      </c>
      <c r="S566">
        <v>1266009</v>
      </c>
      <c r="U566">
        <v>1266009</v>
      </c>
      <c r="V566">
        <v>1.887032398663833E-8</v>
      </c>
      <c r="W566" t="s">
        <v>9</v>
      </c>
      <c r="X566" t="s">
        <v>1456</v>
      </c>
    </row>
    <row r="567" spans="1:24" x14ac:dyDescent="0.35">
      <c r="A567" t="s">
        <v>973</v>
      </c>
      <c r="B567">
        <v>2023</v>
      </c>
      <c r="C567" t="s">
        <v>1309</v>
      </c>
      <c r="D567" t="s">
        <v>1322</v>
      </c>
      <c r="E567" t="s">
        <v>1359</v>
      </c>
      <c r="F567" t="s">
        <v>1368</v>
      </c>
      <c r="G567" t="s">
        <v>1372</v>
      </c>
      <c r="H567">
        <v>0.70896499999999996</v>
      </c>
      <c r="J567" t="s">
        <v>1404</v>
      </c>
      <c r="N567">
        <v>1.2</v>
      </c>
      <c r="R567" s="2" t="s">
        <v>1438</v>
      </c>
      <c r="S567">
        <v>1266009</v>
      </c>
      <c r="U567">
        <v>1266009</v>
      </c>
      <c r="V567">
        <v>5.59999968404648E-7</v>
      </c>
      <c r="W567" t="s">
        <v>9</v>
      </c>
      <c r="X567" t="s">
        <v>1457</v>
      </c>
    </row>
    <row r="568" spans="1:24" x14ac:dyDescent="0.35">
      <c r="A568" t="s">
        <v>974</v>
      </c>
      <c r="B568">
        <v>2023</v>
      </c>
      <c r="C568" t="s">
        <v>1309</v>
      </c>
      <c r="D568" t="s">
        <v>1323</v>
      </c>
      <c r="E568" t="s">
        <v>1359</v>
      </c>
      <c r="F568" t="s">
        <v>1368</v>
      </c>
      <c r="G568" t="s">
        <v>1371</v>
      </c>
      <c r="H568">
        <v>0.31664399999999998</v>
      </c>
      <c r="J568" t="s">
        <v>1404</v>
      </c>
      <c r="N568">
        <v>1.2</v>
      </c>
      <c r="R568" s="2" t="s">
        <v>1438</v>
      </c>
      <c r="S568">
        <v>1266009</v>
      </c>
      <c r="U568">
        <v>1266009</v>
      </c>
      <c r="V568">
        <v>2.5011196602867751E-7</v>
      </c>
      <c r="W568" t="s">
        <v>9</v>
      </c>
      <c r="X568" t="s">
        <v>1456</v>
      </c>
    </row>
    <row r="569" spans="1:24" x14ac:dyDescent="0.35">
      <c r="A569" t="s">
        <v>975</v>
      </c>
      <c r="B569">
        <v>2023</v>
      </c>
      <c r="C569" t="s">
        <v>1309</v>
      </c>
      <c r="D569" t="s">
        <v>1330</v>
      </c>
      <c r="E569" t="s">
        <v>1359</v>
      </c>
      <c r="F569" t="s">
        <v>1368</v>
      </c>
      <c r="G569" t="s">
        <v>1371</v>
      </c>
      <c r="H569">
        <v>1.4473E-5</v>
      </c>
      <c r="J569" t="s">
        <v>1404</v>
      </c>
      <c r="N569">
        <v>1.2</v>
      </c>
      <c r="R569" s="2" t="s">
        <v>1438</v>
      </c>
      <c r="S569">
        <v>1266009</v>
      </c>
      <c r="U569">
        <v>1266009</v>
      </c>
      <c r="V569">
        <v>1.143198824020998E-11</v>
      </c>
      <c r="W569" t="s">
        <v>9</v>
      </c>
      <c r="X569" t="s">
        <v>1456</v>
      </c>
    </row>
    <row r="570" spans="1:24" x14ac:dyDescent="0.35">
      <c r="A570" t="s">
        <v>976</v>
      </c>
      <c r="B570">
        <v>2023</v>
      </c>
      <c r="C570" t="s">
        <v>1309</v>
      </c>
      <c r="D570" t="s">
        <v>1324</v>
      </c>
      <c r="E570" t="s">
        <v>1359</v>
      </c>
      <c r="F570" t="s">
        <v>1368</v>
      </c>
      <c r="G570" t="s">
        <v>1371</v>
      </c>
      <c r="H570">
        <v>2.8024E-2</v>
      </c>
      <c r="J570" t="s">
        <v>1404</v>
      </c>
      <c r="N570">
        <v>1.2</v>
      </c>
      <c r="R570" s="2" t="s">
        <v>1438</v>
      </c>
      <c r="S570">
        <v>1266009</v>
      </c>
      <c r="U570">
        <v>1266009</v>
      </c>
      <c r="V570">
        <v>2.213570361664096E-8</v>
      </c>
      <c r="W570" t="s">
        <v>9</v>
      </c>
      <c r="X570" t="s">
        <v>1456</v>
      </c>
    </row>
    <row r="571" spans="1:24" x14ac:dyDescent="0.35">
      <c r="A571" t="s">
        <v>977</v>
      </c>
      <c r="B571">
        <v>2023</v>
      </c>
      <c r="C571" t="s">
        <v>1309</v>
      </c>
      <c r="D571" t="s">
        <v>1331</v>
      </c>
      <c r="E571" t="s">
        <v>1359</v>
      </c>
      <c r="F571" t="s">
        <v>1368</v>
      </c>
      <c r="G571" t="s">
        <v>1371</v>
      </c>
      <c r="H571">
        <v>224.78138799999999</v>
      </c>
      <c r="J571" t="s">
        <v>1404</v>
      </c>
      <c r="N571">
        <v>1.2</v>
      </c>
      <c r="R571" s="2" t="s">
        <v>1438</v>
      </c>
      <c r="S571">
        <v>1266009</v>
      </c>
      <c r="U571">
        <v>1266009</v>
      </c>
      <c r="V571">
        <v>1.7755117696635649E-4</v>
      </c>
      <c r="W571" t="s">
        <v>9</v>
      </c>
      <c r="X571" t="s">
        <v>1456</v>
      </c>
    </row>
    <row r="572" spans="1:24" x14ac:dyDescent="0.35">
      <c r="A572" t="s">
        <v>978</v>
      </c>
      <c r="B572">
        <v>2023</v>
      </c>
      <c r="C572" t="s">
        <v>1309</v>
      </c>
      <c r="D572" t="s">
        <v>1325</v>
      </c>
      <c r="E572" t="s">
        <v>1359</v>
      </c>
      <c r="F572" t="s">
        <v>1368</v>
      </c>
      <c r="G572" t="s">
        <v>1372</v>
      </c>
      <c r="H572">
        <v>2.0733359999999998</v>
      </c>
      <c r="J572" t="s">
        <v>1404</v>
      </c>
      <c r="N572">
        <v>1.2</v>
      </c>
      <c r="R572" s="2" t="s">
        <v>1438</v>
      </c>
      <c r="S572">
        <v>1266009</v>
      </c>
      <c r="U572">
        <v>1266009</v>
      </c>
      <c r="V572">
        <v>1.6376945187593449E-6</v>
      </c>
      <c r="W572" t="s">
        <v>9</v>
      </c>
      <c r="X572" t="s">
        <v>1457</v>
      </c>
    </row>
    <row r="573" spans="1:24" x14ac:dyDescent="0.35">
      <c r="A573" t="s">
        <v>979</v>
      </c>
      <c r="B573">
        <v>2023</v>
      </c>
      <c r="C573" t="s">
        <v>1309</v>
      </c>
      <c r="D573" t="s">
        <v>1336</v>
      </c>
      <c r="E573" t="s">
        <v>1359</v>
      </c>
      <c r="F573" t="s">
        <v>1368</v>
      </c>
      <c r="G573" t="s">
        <v>1371</v>
      </c>
      <c r="H573">
        <v>5.4029999999999998E-3</v>
      </c>
      <c r="J573" t="s">
        <v>1404</v>
      </c>
      <c r="N573">
        <v>1.2</v>
      </c>
      <c r="R573" s="2" t="s">
        <v>1438</v>
      </c>
      <c r="S573">
        <v>1266009</v>
      </c>
      <c r="U573">
        <v>1266009</v>
      </c>
      <c r="V573">
        <v>4.2677421724490112E-9</v>
      </c>
      <c r="W573" t="s">
        <v>9</v>
      </c>
      <c r="X573" t="s">
        <v>1456</v>
      </c>
    </row>
    <row r="574" spans="1:24" x14ac:dyDescent="0.35">
      <c r="A574" t="s">
        <v>980</v>
      </c>
      <c r="B574">
        <v>2023</v>
      </c>
      <c r="C574" t="s">
        <v>1309</v>
      </c>
      <c r="D574" t="s">
        <v>1326</v>
      </c>
      <c r="E574" t="s">
        <v>1359</v>
      </c>
      <c r="F574" t="s">
        <v>1368</v>
      </c>
      <c r="G574" t="s">
        <v>1371</v>
      </c>
      <c r="H574">
        <v>3.6415000000000003E-2</v>
      </c>
      <c r="J574" t="s">
        <v>1404</v>
      </c>
      <c r="N574">
        <v>1.2</v>
      </c>
      <c r="R574" s="2" t="s">
        <v>1438</v>
      </c>
      <c r="S574">
        <v>1266009</v>
      </c>
      <c r="U574">
        <v>1266009</v>
      </c>
      <c r="V574">
        <v>2.8763618584070099E-8</v>
      </c>
      <c r="W574" t="s">
        <v>9</v>
      </c>
      <c r="X574" t="s">
        <v>1456</v>
      </c>
    </row>
    <row r="575" spans="1:24" x14ac:dyDescent="0.35">
      <c r="A575" t="s">
        <v>1035</v>
      </c>
      <c r="B575">
        <v>2023</v>
      </c>
      <c r="C575" t="s">
        <v>1308</v>
      </c>
      <c r="D575" t="s">
        <v>1347</v>
      </c>
      <c r="E575" t="s">
        <v>1359</v>
      </c>
      <c r="F575" t="s">
        <v>1370</v>
      </c>
      <c r="G575" t="s">
        <v>1375</v>
      </c>
      <c r="H575">
        <v>19250</v>
      </c>
      <c r="J575" t="s">
        <v>1404</v>
      </c>
      <c r="N575">
        <v>1.2</v>
      </c>
      <c r="R575" s="2" t="s">
        <v>1439</v>
      </c>
      <c r="S575">
        <v>1266009</v>
      </c>
      <c r="U575">
        <v>1266009</v>
      </c>
      <c r="V575">
        <v>1.520526315373745E-2</v>
      </c>
      <c r="W575" t="s">
        <v>9</v>
      </c>
      <c r="X575" t="s">
        <v>1460</v>
      </c>
    </row>
    <row r="576" spans="1:24" x14ac:dyDescent="0.35">
      <c r="A576" t="s">
        <v>1136</v>
      </c>
      <c r="B576">
        <v>2023</v>
      </c>
      <c r="C576" t="s">
        <v>1308</v>
      </c>
      <c r="D576" t="s">
        <v>1347</v>
      </c>
      <c r="E576" t="s">
        <v>1359</v>
      </c>
      <c r="G576" t="s">
        <v>1375</v>
      </c>
      <c r="H576">
        <v>20000</v>
      </c>
      <c r="J576" t="s">
        <v>1404</v>
      </c>
      <c r="N576">
        <v>1.2</v>
      </c>
      <c r="Q576" t="s">
        <v>1424</v>
      </c>
      <c r="R576" t="s">
        <v>1442</v>
      </c>
      <c r="S576">
        <v>1266009</v>
      </c>
      <c r="U576">
        <v>1266009</v>
      </c>
      <c r="V576">
        <v>1.5797676003883071E-2</v>
      </c>
      <c r="W576" t="s">
        <v>9</v>
      </c>
      <c r="X576" t="s">
        <v>1460</v>
      </c>
    </row>
    <row r="577" spans="1:24" x14ac:dyDescent="0.35">
      <c r="A577" t="s">
        <v>1137</v>
      </c>
      <c r="B577">
        <v>2023</v>
      </c>
      <c r="C577" t="s">
        <v>1308</v>
      </c>
      <c r="D577" t="s">
        <v>1347</v>
      </c>
      <c r="E577" t="s">
        <v>1359</v>
      </c>
      <c r="G577" t="s">
        <v>1375</v>
      </c>
      <c r="H577">
        <v>5000</v>
      </c>
      <c r="J577" t="s">
        <v>1404</v>
      </c>
      <c r="N577">
        <v>1.2</v>
      </c>
      <c r="Q577" t="s">
        <v>1424</v>
      </c>
      <c r="R577" t="s">
        <v>1442</v>
      </c>
      <c r="S577">
        <v>1266009</v>
      </c>
      <c r="U577">
        <v>1266009</v>
      </c>
      <c r="V577">
        <v>3.9494190009707669E-3</v>
      </c>
      <c r="W577" t="s">
        <v>9</v>
      </c>
      <c r="X577" t="s">
        <v>1460</v>
      </c>
    </row>
    <row r="578" spans="1:24" x14ac:dyDescent="0.35">
      <c r="A578" t="s">
        <v>1138</v>
      </c>
      <c r="B578">
        <v>2023</v>
      </c>
      <c r="C578" t="s">
        <v>1309</v>
      </c>
      <c r="D578" t="s">
        <v>1350</v>
      </c>
      <c r="E578" t="s">
        <v>1360</v>
      </c>
      <c r="G578" t="s">
        <v>1376</v>
      </c>
      <c r="H578">
        <v>3343</v>
      </c>
      <c r="J578" t="s">
        <v>1404</v>
      </c>
      <c r="N578">
        <v>1.2</v>
      </c>
      <c r="Q578" t="s">
        <v>1424</v>
      </c>
      <c r="R578" t="s">
        <v>1442</v>
      </c>
      <c r="S578">
        <v>1266009</v>
      </c>
      <c r="U578">
        <v>1266009</v>
      </c>
      <c r="V578">
        <v>2.6405815440490549E-3</v>
      </c>
      <c r="W578" t="s">
        <v>9</v>
      </c>
      <c r="X578" t="s">
        <v>1461</v>
      </c>
    </row>
    <row r="579" spans="1:24" x14ac:dyDescent="0.35">
      <c r="A579" t="s">
        <v>1139</v>
      </c>
      <c r="B579">
        <v>2023</v>
      </c>
      <c r="C579" t="s">
        <v>1309</v>
      </c>
      <c r="D579" t="s">
        <v>1350</v>
      </c>
      <c r="E579" t="s">
        <v>1362</v>
      </c>
      <c r="G579" t="s">
        <v>1376</v>
      </c>
      <c r="H579">
        <v>2145</v>
      </c>
      <c r="J579" t="s">
        <v>1404</v>
      </c>
      <c r="N579">
        <v>1.2</v>
      </c>
      <c r="Q579" t="s">
        <v>1424</v>
      </c>
      <c r="R579" t="s">
        <v>1442</v>
      </c>
      <c r="S579">
        <v>1266009</v>
      </c>
      <c r="U579">
        <v>1266009</v>
      </c>
      <c r="V579">
        <v>1.6943007514164589E-3</v>
      </c>
      <c r="W579" t="s">
        <v>9</v>
      </c>
      <c r="X579" t="s">
        <v>1461</v>
      </c>
    </row>
    <row r="580" spans="1:24" x14ac:dyDescent="0.35">
      <c r="A580" t="s">
        <v>1140</v>
      </c>
      <c r="B580">
        <v>2023</v>
      </c>
      <c r="C580" t="s">
        <v>1309</v>
      </c>
      <c r="D580" t="s">
        <v>1350</v>
      </c>
      <c r="E580" t="s">
        <v>1361</v>
      </c>
      <c r="G580" t="s">
        <v>1376</v>
      </c>
      <c r="H580">
        <v>39664</v>
      </c>
      <c r="J580" t="s">
        <v>1404</v>
      </c>
      <c r="N580">
        <v>1.2</v>
      </c>
      <c r="Q580" t="s">
        <v>1424</v>
      </c>
      <c r="R580" t="s">
        <v>1442</v>
      </c>
      <c r="S580">
        <v>1266009</v>
      </c>
      <c r="U580">
        <v>1266009</v>
      </c>
      <c r="V580">
        <v>3.1329951050900903E-2</v>
      </c>
      <c r="W580" t="s">
        <v>9</v>
      </c>
      <c r="X580" t="s">
        <v>1461</v>
      </c>
    </row>
    <row r="581" spans="1:24" hidden="1" x14ac:dyDescent="0.35">
      <c r="A581" t="s">
        <v>98</v>
      </c>
      <c r="B581">
        <v>2023</v>
      </c>
      <c r="C581" t="s">
        <v>1308</v>
      </c>
      <c r="D581" t="s">
        <v>1328</v>
      </c>
      <c r="E581" t="s">
        <v>1359</v>
      </c>
      <c r="F581" t="s">
        <v>1364</v>
      </c>
      <c r="G581" t="s">
        <v>1371</v>
      </c>
      <c r="H581">
        <v>6.0000000000000002E-6</v>
      </c>
      <c r="J581" t="s">
        <v>1387</v>
      </c>
      <c r="L581">
        <f>0.41/1000</f>
        <v>4.0999999999999999E-4</v>
      </c>
      <c r="P581" t="s">
        <v>1473</v>
      </c>
      <c r="R581" s="2" t="s">
        <v>1438</v>
      </c>
      <c r="S581">
        <v>317660</v>
      </c>
      <c r="U581">
        <v>317660</v>
      </c>
      <c r="V581">
        <v>1.8888119372914442E-11</v>
      </c>
      <c r="W581" t="s">
        <v>9</v>
      </c>
      <c r="X581" t="s">
        <v>1456</v>
      </c>
    </row>
    <row r="582" spans="1:24" hidden="1" x14ac:dyDescent="0.35">
      <c r="A582" t="s">
        <v>99</v>
      </c>
      <c r="B582">
        <v>2023</v>
      </c>
      <c r="C582" t="s">
        <v>1308</v>
      </c>
      <c r="D582" t="s">
        <v>1317</v>
      </c>
      <c r="E582" t="s">
        <v>1359</v>
      </c>
      <c r="F582" t="s">
        <v>1364</v>
      </c>
      <c r="G582" t="s">
        <v>1372</v>
      </c>
      <c r="H582">
        <v>5.0000000000000001E-3</v>
      </c>
      <c r="J582" t="s">
        <v>1387</v>
      </c>
      <c r="L582">
        <f t="shared" ref="L582:L612" si="15">0.41/1000</f>
        <v>4.0999999999999999E-4</v>
      </c>
      <c r="P582" t="s">
        <v>1473</v>
      </c>
      <c r="R582" s="2" t="s">
        <v>1438</v>
      </c>
      <c r="S582">
        <v>317660</v>
      </c>
      <c r="U582">
        <v>317660</v>
      </c>
      <c r="V582">
        <v>1.57400994774287E-8</v>
      </c>
      <c r="W582" t="s">
        <v>9</v>
      </c>
      <c r="X582" t="s">
        <v>1457</v>
      </c>
    </row>
    <row r="583" spans="1:24" hidden="1" x14ac:dyDescent="0.35">
      <c r="A583" t="s">
        <v>100</v>
      </c>
      <c r="B583">
        <v>2023</v>
      </c>
      <c r="C583" t="s">
        <v>1308</v>
      </c>
      <c r="D583" t="s">
        <v>1318</v>
      </c>
      <c r="E583" t="s">
        <v>1359</v>
      </c>
      <c r="F583" t="s">
        <v>1364</v>
      </c>
      <c r="G583" t="s">
        <v>1372</v>
      </c>
      <c r="H583">
        <v>0.02</v>
      </c>
      <c r="J583" t="s">
        <v>1387</v>
      </c>
      <c r="L583">
        <f t="shared" si="15"/>
        <v>4.0999999999999999E-4</v>
      </c>
      <c r="P583" t="s">
        <v>1473</v>
      </c>
      <c r="R583" s="2" t="s">
        <v>1438</v>
      </c>
      <c r="S583">
        <v>317660</v>
      </c>
      <c r="U583">
        <v>317660</v>
      </c>
      <c r="V583">
        <v>6.2960397909714788E-8</v>
      </c>
      <c r="W583" t="s">
        <v>9</v>
      </c>
      <c r="X583" t="s">
        <v>1457</v>
      </c>
    </row>
    <row r="584" spans="1:24" hidden="1" x14ac:dyDescent="0.35">
      <c r="A584" t="s">
        <v>101</v>
      </c>
      <c r="B584">
        <v>2023</v>
      </c>
      <c r="C584" t="s">
        <v>1308</v>
      </c>
      <c r="D584" t="s">
        <v>1311</v>
      </c>
      <c r="E584" t="s">
        <v>1359</v>
      </c>
      <c r="F584" t="s">
        <v>1364</v>
      </c>
      <c r="G584" t="s">
        <v>1371</v>
      </c>
      <c r="H584">
        <v>21.766770000000001</v>
      </c>
      <c r="J584" t="s">
        <v>1387</v>
      </c>
      <c r="L584">
        <f t="shared" si="15"/>
        <v>4.0999999999999999E-4</v>
      </c>
      <c r="P584" t="s">
        <v>1473</v>
      </c>
      <c r="R584" s="2" t="s">
        <v>1438</v>
      </c>
      <c r="S584">
        <v>317660</v>
      </c>
      <c r="U584">
        <v>317660</v>
      </c>
      <c r="V584">
        <v>6.8522225020462135E-5</v>
      </c>
      <c r="W584" t="s">
        <v>9</v>
      </c>
      <c r="X584" t="s">
        <v>1456</v>
      </c>
    </row>
    <row r="585" spans="1:24" hidden="1" x14ac:dyDescent="0.35">
      <c r="A585" t="s">
        <v>102</v>
      </c>
      <c r="B585">
        <v>2023</v>
      </c>
      <c r="C585" t="s">
        <v>1308</v>
      </c>
      <c r="D585" t="s">
        <v>1319</v>
      </c>
      <c r="E585" t="s">
        <v>1359</v>
      </c>
      <c r="F585" t="s">
        <v>1364</v>
      </c>
      <c r="G585" t="s">
        <v>1371</v>
      </c>
      <c r="H585">
        <v>1.9699999999999999E-4</v>
      </c>
      <c r="J585" t="s">
        <v>1387</v>
      </c>
      <c r="L585">
        <f t="shared" si="15"/>
        <v>4.0999999999999999E-4</v>
      </c>
      <c r="P585" t="s">
        <v>1473</v>
      </c>
      <c r="R585" s="2" t="s">
        <v>1438</v>
      </c>
      <c r="S585">
        <v>317660</v>
      </c>
      <c r="U585">
        <v>317660</v>
      </c>
      <c r="V585">
        <v>6.2015991941069069E-10</v>
      </c>
      <c r="W585" t="s">
        <v>9</v>
      </c>
      <c r="X585" t="s">
        <v>1456</v>
      </c>
    </row>
    <row r="586" spans="1:24" hidden="1" x14ac:dyDescent="0.35">
      <c r="A586" t="s">
        <v>103</v>
      </c>
      <c r="B586">
        <v>2023</v>
      </c>
      <c r="C586" t="s">
        <v>1308</v>
      </c>
      <c r="D586" t="s">
        <v>1320</v>
      </c>
      <c r="E586" t="s">
        <v>1359</v>
      </c>
      <c r="F586" t="s">
        <v>1364</v>
      </c>
      <c r="G586" t="s">
        <v>1372</v>
      </c>
      <c r="H586">
        <v>1.7999999999999999E-2</v>
      </c>
      <c r="J586" t="s">
        <v>1387</v>
      </c>
      <c r="L586">
        <f t="shared" si="15"/>
        <v>4.0999999999999999E-4</v>
      </c>
      <c r="P586" t="s">
        <v>1473</v>
      </c>
      <c r="R586" s="2" t="s">
        <v>1438</v>
      </c>
      <c r="S586">
        <v>317660</v>
      </c>
      <c r="U586">
        <v>317660</v>
      </c>
      <c r="V586">
        <v>5.6664358118743298E-8</v>
      </c>
      <c r="W586" t="s">
        <v>9</v>
      </c>
      <c r="X586" t="s">
        <v>1457</v>
      </c>
    </row>
    <row r="587" spans="1:24" hidden="1" x14ac:dyDescent="0.35">
      <c r="A587" t="s">
        <v>104</v>
      </c>
      <c r="B587">
        <v>2023</v>
      </c>
      <c r="C587" t="s">
        <v>1308</v>
      </c>
      <c r="D587" t="s">
        <v>1321</v>
      </c>
      <c r="E587" t="s">
        <v>1359</v>
      </c>
      <c r="F587" t="s">
        <v>1364</v>
      </c>
      <c r="G587" t="s">
        <v>1371</v>
      </c>
      <c r="H587">
        <v>1.2620000000000001E-3</v>
      </c>
      <c r="J587" t="s">
        <v>1387</v>
      </c>
      <c r="L587">
        <f t="shared" si="15"/>
        <v>4.0999999999999999E-4</v>
      </c>
      <c r="P587" t="s">
        <v>1473</v>
      </c>
      <c r="R587" s="2" t="s">
        <v>1438</v>
      </c>
      <c r="S587">
        <v>317660</v>
      </c>
      <c r="U587">
        <v>317660</v>
      </c>
      <c r="V587">
        <v>3.9728011081030039E-9</v>
      </c>
      <c r="W587" t="s">
        <v>9</v>
      </c>
      <c r="X587" t="s">
        <v>1456</v>
      </c>
    </row>
    <row r="588" spans="1:24" hidden="1" x14ac:dyDescent="0.35">
      <c r="A588" t="s">
        <v>105</v>
      </c>
      <c r="B588">
        <v>2023</v>
      </c>
      <c r="C588" t="s">
        <v>1308</v>
      </c>
      <c r="D588" t="s">
        <v>1322</v>
      </c>
      <c r="E588" t="s">
        <v>1359</v>
      </c>
      <c r="F588" t="s">
        <v>1364</v>
      </c>
      <c r="G588" t="s">
        <v>1372</v>
      </c>
      <c r="H588">
        <v>4.2000000000000003E-2</v>
      </c>
      <c r="J588" t="s">
        <v>1387</v>
      </c>
      <c r="L588">
        <f t="shared" si="15"/>
        <v>4.0999999999999999E-4</v>
      </c>
      <c r="P588" t="s">
        <v>1473</v>
      </c>
      <c r="R588" s="2" t="s">
        <v>1438</v>
      </c>
      <c r="S588">
        <v>317660</v>
      </c>
      <c r="U588">
        <v>317660</v>
      </c>
      <c r="V588">
        <v>1.3221683561040109E-7</v>
      </c>
      <c r="W588" t="s">
        <v>9</v>
      </c>
      <c r="X588" t="s">
        <v>1457</v>
      </c>
    </row>
    <row r="589" spans="1:24" hidden="1" x14ac:dyDescent="0.35">
      <c r="A589" t="s">
        <v>106</v>
      </c>
      <c r="B589">
        <v>2023</v>
      </c>
      <c r="C589" t="s">
        <v>1308</v>
      </c>
      <c r="D589" t="s">
        <v>1323</v>
      </c>
      <c r="E589" t="s">
        <v>1359</v>
      </c>
      <c r="F589" t="s">
        <v>1364</v>
      </c>
      <c r="G589" t="s">
        <v>1371</v>
      </c>
      <c r="H589">
        <v>4.8099999999999998E-4</v>
      </c>
      <c r="J589" t="s">
        <v>1387</v>
      </c>
      <c r="L589">
        <f t="shared" si="15"/>
        <v>4.0999999999999999E-4</v>
      </c>
      <c r="P589" t="s">
        <v>1473</v>
      </c>
      <c r="R589" s="2" t="s">
        <v>1438</v>
      </c>
      <c r="S589">
        <v>317660</v>
      </c>
      <c r="U589">
        <v>317660</v>
      </c>
      <c r="V589">
        <v>1.5141975697286411E-9</v>
      </c>
      <c r="W589" t="s">
        <v>9</v>
      </c>
      <c r="X589" t="s">
        <v>1456</v>
      </c>
    </row>
    <row r="590" spans="1:24" hidden="1" x14ac:dyDescent="0.35">
      <c r="A590" t="s">
        <v>107</v>
      </c>
      <c r="B590">
        <v>2023</v>
      </c>
      <c r="C590" t="s">
        <v>1308</v>
      </c>
      <c r="D590" t="s">
        <v>1324</v>
      </c>
      <c r="E590" t="s">
        <v>1359</v>
      </c>
      <c r="F590" t="s">
        <v>1364</v>
      </c>
      <c r="G590" t="s">
        <v>1371</v>
      </c>
      <c r="H590">
        <v>3.6499999999999998E-4</v>
      </c>
      <c r="J590" t="s">
        <v>1387</v>
      </c>
      <c r="L590">
        <f t="shared" si="15"/>
        <v>4.0999999999999999E-4</v>
      </c>
      <c r="P590" t="s">
        <v>1473</v>
      </c>
      <c r="R590" s="2" t="s">
        <v>1438</v>
      </c>
      <c r="S590">
        <v>317660</v>
      </c>
      <c r="U590">
        <v>317660</v>
      </c>
      <c r="V590">
        <v>1.1490272618522949E-9</v>
      </c>
      <c r="W590" t="s">
        <v>9</v>
      </c>
      <c r="X590" t="s">
        <v>1456</v>
      </c>
    </row>
    <row r="591" spans="1:24" hidden="1" x14ac:dyDescent="0.35">
      <c r="A591" t="s">
        <v>108</v>
      </c>
      <c r="B591">
        <v>2023</v>
      </c>
      <c r="C591" t="s">
        <v>1308</v>
      </c>
      <c r="D591" t="s">
        <v>1312</v>
      </c>
      <c r="E591" t="s">
        <v>1359</v>
      </c>
      <c r="F591" t="s">
        <v>1364</v>
      </c>
      <c r="G591" t="s">
        <v>1371</v>
      </c>
      <c r="H591">
        <v>81.695002000000002</v>
      </c>
      <c r="J591" t="s">
        <v>1387</v>
      </c>
      <c r="L591">
        <f t="shared" si="15"/>
        <v>4.0999999999999999E-4</v>
      </c>
      <c r="P591" t="s">
        <v>1473</v>
      </c>
      <c r="R591" s="2" t="s">
        <v>1438</v>
      </c>
      <c r="S591">
        <v>317660</v>
      </c>
      <c r="U591">
        <v>317660</v>
      </c>
      <c r="V591">
        <v>2.5717749165774732E-4</v>
      </c>
      <c r="W591" t="s">
        <v>9</v>
      </c>
      <c r="X591" t="s">
        <v>1456</v>
      </c>
    </row>
    <row r="592" spans="1:24" hidden="1" x14ac:dyDescent="0.35">
      <c r="A592" t="s">
        <v>109</v>
      </c>
      <c r="B592">
        <v>2023</v>
      </c>
      <c r="C592" t="s">
        <v>1308</v>
      </c>
      <c r="D592" t="s">
        <v>1313</v>
      </c>
      <c r="E592" t="s">
        <v>1359</v>
      </c>
      <c r="F592" t="s">
        <v>1364</v>
      </c>
      <c r="G592" t="s">
        <v>1371</v>
      </c>
      <c r="H592">
        <v>5.8888949999999998</v>
      </c>
      <c r="J592" t="s">
        <v>1387</v>
      </c>
      <c r="L592">
        <f t="shared" si="15"/>
        <v>4.0999999999999999E-4</v>
      </c>
      <c r="P592" t="s">
        <v>1473</v>
      </c>
      <c r="R592" s="2" t="s">
        <v>1438</v>
      </c>
      <c r="S592">
        <v>317660</v>
      </c>
      <c r="U592">
        <v>317660</v>
      </c>
      <c r="V592">
        <v>1.8538358622426492E-5</v>
      </c>
      <c r="W592" t="s">
        <v>9</v>
      </c>
      <c r="X592" t="s">
        <v>1456</v>
      </c>
    </row>
    <row r="593" spans="1:24" hidden="1" x14ac:dyDescent="0.35">
      <c r="A593" t="s">
        <v>110</v>
      </c>
      <c r="B593">
        <v>2023</v>
      </c>
      <c r="C593" t="s">
        <v>1308</v>
      </c>
      <c r="D593" t="s">
        <v>1314</v>
      </c>
      <c r="E593" t="s">
        <v>1359</v>
      </c>
      <c r="F593" t="s">
        <v>1364</v>
      </c>
      <c r="G593" t="s">
        <v>1371</v>
      </c>
      <c r="H593">
        <v>5.659484</v>
      </c>
      <c r="J593" t="s">
        <v>1387</v>
      </c>
      <c r="L593">
        <f t="shared" si="15"/>
        <v>4.0999999999999999E-4</v>
      </c>
      <c r="P593" t="s">
        <v>1473</v>
      </c>
      <c r="R593" s="2" t="s">
        <v>1438</v>
      </c>
      <c r="S593">
        <v>317660</v>
      </c>
      <c r="U593">
        <v>317660</v>
      </c>
      <c r="V593">
        <v>1.7816168230183219E-5</v>
      </c>
      <c r="W593" t="s">
        <v>9</v>
      </c>
      <c r="X593" t="s">
        <v>1456</v>
      </c>
    </row>
    <row r="594" spans="1:24" hidden="1" x14ac:dyDescent="0.35">
      <c r="A594" t="s">
        <v>111</v>
      </c>
      <c r="B594">
        <v>2023</v>
      </c>
      <c r="C594" t="s">
        <v>1308</v>
      </c>
      <c r="D594" t="s">
        <v>1325</v>
      </c>
      <c r="E594" t="s">
        <v>1359</v>
      </c>
      <c r="F594" t="s">
        <v>1364</v>
      </c>
      <c r="G594" t="s">
        <v>1372</v>
      </c>
      <c r="H594">
        <v>3.5000000000000003E-2</v>
      </c>
      <c r="J594" t="s">
        <v>1387</v>
      </c>
      <c r="L594">
        <f t="shared" si="15"/>
        <v>4.0999999999999999E-4</v>
      </c>
      <c r="P594" t="s">
        <v>1473</v>
      </c>
      <c r="R594" s="2" t="s">
        <v>1438</v>
      </c>
      <c r="S594">
        <v>317660</v>
      </c>
      <c r="U594">
        <v>317660</v>
      </c>
      <c r="V594">
        <v>1.101806963420009E-7</v>
      </c>
      <c r="W594" t="s">
        <v>9</v>
      </c>
      <c r="X594" t="s">
        <v>1457</v>
      </c>
    </row>
    <row r="595" spans="1:24" hidden="1" x14ac:dyDescent="0.35">
      <c r="A595" t="s">
        <v>112</v>
      </c>
      <c r="B595">
        <v>2023</v>
      </c>
      <c r="C595" t="s">
        <v>1308</v>
      </c>
      <c r="D595" t="s">
        <v>1315</v>
      </c>
      <c r="E595" t="s">
        <v>1359</v>
      </c>
      <c r="F595" t="s">
        <v>1364</v>
      </c>
      <c r="G595" t="s">
        <v>1371</v>
      </c>
      <c r="H595">
        <v>6.1535310000000001</v>
      </c>
      <c r="J595" t="s">
        <v>1387</v>
      </c>
      <c r="L595">
        <f t="shared" si="15"/>
        <v>4.0999999999999999E-4</v>
      </c>
      <c r="P595" t="s">
        <v>1473</v>
      </c>
      <c r="R595" s="2" t="s">
        <v>1438</v>
      </c>
      <c r="S595">
        <v>317660</v>
      </c>
      <c r="U595">
        <v>317660</v>
      </c>
      <c r="V595">
        <v>1.9371438015488261E-5</v>
      </c>
      <c r="W595" t="s">
        <v>9</v>
      </c>
      <c r="X595" t="s">
        <v>1456</v>
      </c>
    </row>
    <row r="596" spans="1:24" hidden="1" x14ac:dyDescent="0.35">
      <c r="A596" t="s">
        <v>113</v>
      </c>
      <c r="B596">
        <v>2023</v>
      </c>
      <c r="C596" t="s">
        <v>1308</v>
      </c>
      <c r="D596" t="s">
        <v>1336</v>
      </c>
      <c r="E596" t="s">
        <v>1359</v>
      </c>
      <c r="F596" t="s">
        <v>1364</v>
      </c>
      <c r="G596" t="s">
        <v>1371</v>
      </c>
      <c r="H596">
        <v>6.4999999999999994E-5</v>
      </c>
      <c r="J596" t="s">
        <v>1387</v>
      </c>
      <c r="L596">
        <f t="shared" si="15"/>
        <v>4.0999999999999999E-4</v>
      </c>
      <c r="P596" t="s">
        <v>1473</v>
      </c>
      <c r="R596" s="2" t="s">
        <v>1438</v>
      </c>
      <c r="S596">
        <v>317660</v>
      </c>
      <c r="U596">
        <v>317660</v>
      </c>
      <c r="V596">
        <v>2.0462129320657311E-10</v>
      </c>
      <c r="W596" t="s">
        <v>9</v>
      </c>
      <c r="X596" t="s">
        <v>1456</v>
      </c>
    </row>
    <row r="597" spans="1:24" hidden="1" x14ac:dyDescent="0.35">
      <c r="A597" t="s">
        <v>114</v>
      </c>
      <c r="B597">
        <v>2023</v>
      </c>
      <c r="C597" t="s">
        <v>1308</v>
      </c>
      <c r="D597" t="s">
        <v>1326</v>
      </c>
      <c r="E597" t="s">
        <v>1359</v>
      </c>
      <c r="F597" t="s">
        <v>1364</v>
      </c>
      <c r="G597" t="s">
        <v>1371</v>
      </c>
      <c r="H597">
        <v>5.1699999999999999E-4</v>
      </c>
      <c r="J597" t="s">
        <v>1387</v>
      </c>
      <c r="L597">
        <f t="shared" si="15"/>
        <v>4.0999999999999999E-4</v>
      </c>
      <c r="P597" t="s">
        <v>1473</v>
      </c>
      <c r="R597" s="2" t="s">
        <v>1438</v>
      </c>
      <c r="S597">
        <v>317660</v>
      </c>
      <c r="U597">
        <v>317660</v>
      </c>
      <c r="V597">
        <v>1.6275262859661271E-9</v>
      </c>
      <c r="W597" t="s">
        <v>9</v>
      </c>
      <c r="X597" t="s">
        <v>1456</v>
      </c>
    </row>
    <row r="598" spans="1:24" hidden="1" x14ac:dyDescent="0.35">
      <c r="A598" t="s">
        <v>449</v>
      </c>
      <c r="B598">
        <v>2023</v>
      </c>
      <c r="C598" t="s">
        <v>1308</v>
      </c>
      <c r="D598" t="s">
        <v>1328</v>
      </c>
      <c r="E598" t="s">
        <v>1359</v>
      </c>
      <c r="F598" t="s">
        <v>1366</v>
      </c>
      <c r="G598" t="s">
        <v>1371</v>
      </c>
      <c r="H598">
        <v>9.3400000000000004E-4</v>
      </c>
      <c r="J598" t="s">
        <v>1387</v>
      </c>
      <c r="L598">
        <f t="shared" si="15"/>
        <v>4.0999999999999999E-4</v>
      </c>
      <c r="P598" t="s">
        <v>1473</v>
      </c>
      <c r="R598" s="2" t="s">
        <v>1438</v>
      </c>
      <c r="S598">
        <v>317660</v>
      </c>
      <c r="U598">
        <v>317660</v>
      </c>
      <c r="V598">
        <v>2.9402505823836812E-9</v>
      </c>
      <c r="W598" t="s">
        <v>9</v>
      </c>
      <c r="X598" t="s">
        <v>1456</v>
      </c>
    </row>
    <row r="599" spans="1:24" hidden="1" x14ac:dyDescent="0.35">
      <c r="A599" t="s">
        <v>450</v>
      </c>
      <c r="B599">
        <v>2023</v>
      </c>
      <c r="C599" t="s">
        <v>1308</v>
      </c>
      <c r="D599" t="s">
        <v>1317</v>
      </c>
      <c r="E599" t="s">
        <v>1359</v>
      </c>
      <c r="F599" t="s">
        <v>1366</v>
      </c>
      <c r="G599" t="s">
        <v>1372</v>
      </c>
      <c r="H599">
        <v>0.26</v>
      </c>
      <c r="J599" t="s">
        <v>1387</v>
      </c>
      <c r="L599">
        <f t="shared" si="15"/>
        <v>4.0999999999999999E-4</v>
      </c>
      <c r="P599" t="s">
        <v>1473</v>
      </c>
      <c r="R599" s="2" t="s">
        <v>1438</v>
      </c>
      <c r="S599">
        <v>317660</v>
      </c>
      <c r="U599">
        <v>317660</v>
      </c>
      <c r="V599">
        <v>8.1848517282629226E-7</v>
      </c>
      <c r="W599" t="s">
        <v>9</v>
      </c>
      <c r="X599" t="s">
        <v>1457</v>
      </c>
    </row>
    <row r="600" spans="1:24" hidden="1" x14ac:dyDescent="0.35">
      <c r="A600" t="s">
        <v>451</v>
      </c>
      <c r="B600">
        <v>2023</v>
      </c>
      <c r="C600" t="s">
        <v>1308</v>
      </c>
      <c r="D600" t="s">
        <v>1318</v>
      </c>
      <c r="E600" t="s">
        <v>1359</v>
      </c>
      <c r="F600" t="s">
        <v>1366</v>
      </c>
      <c r="G600" t="s">
        <v>1372</v>
      </c>
      <c r="H600">
        <v>0.373</v>
      </c>
      <c r="J600" t="s">
        <v>1387</v>
      </c>
      <c r="L600">
        <f t="shared" si="15"/>
        <v>4.0999999999999999E-4</v>
      </c>
      <c r="P600" t="s">
        <v>1473</v>
      </c>
      <c r="R600" s="2" t="s">
        <v>1438</v>
      </c>
      <c r="S600">
        <v>317660</v>
      </c>
      <c r="U600">
        <v>317660</v>
      </c>
      <c r="V600">
        <v>1.174211421016181E-6</v>
      </c>
      <c r="W600" t="s">
        <v>9</v>
      </c>
      <c r="X600" t="s">
        <v>1457</v>
      </c>
    </row>
    <row r="601" spans="1:24" hidden="1" x14ac:dyDescent="0.35">
      <c r="A601" t="s">
        <v>452</v>
      </c>
      <c r="B601">
        <v>2023</v>
      </c>
      <c r="C601" t="s">
        <v>1308</v>
      </c>
      <c r="D601" t="s">
        <v>1319</v>
      </c>
      <c r="E601" t="s">
        <v>1359</v>
      </c>
      <c r="F601" t="s">
        <v>1366</v>
      </c>
      <c r="G601" t="s">
        <v>1371</v>
      </c>
      <c r="H601">
        <v>4.934E-3</v>
      </c>
      <c r="J601" t="s">
        <v>1387</v>
      </c>
      <c r="L601">
        <f t="shared" si="15"/>
        <v>4.0999999999999999E-4</v>
      </c>
      <c r="P601" t="s">
        <v>1473</v>
      </c>
      <c r="R601" s="2" t="s">
        <v>1438</v>
      </c>
      <c r="S601">
        <v>317660</v>
      </c>
      <c r="U601">
        <v>317660</v>
      </c>
      <c r="V601">
        <v>1.5532330164326641E-8</v>
      </c>
      <c r="W601" t="s">
        <v>9</v>
      </c>
      <c r="X601" t="s">
        <v>1456</v>
      </c>
    </row>
    <row r="602" spans="1:24" hidden="1" x14ac:dyDescent="0.35">
      <c r="A602" t="s">
        <v>453</v>
      </c>
      <c r="B602">
        <v>2023</v>
      </c>
      <c r="C602" t="s">
        <v>1308</v>
      </c>
      <c r="D602" t="s">
        <v>1320</v>
      </c>
      <c r="E602" t="s">
        <v>1359</v>
      </c>
      <c r="F602" t="s">
        <v>1366</v>
      </c>
      <c r="G602" t="s">
        <v>1372</v>
      </c>
      <c r="H602">
        <v>2.8860000000000001</v>
      </c>
      <c r="J602" t="s">
        <v>1387</v>
      </c>
      <c r="L602">
        <f t="shared" si="15"/>
        <v>4.0999999999999999E-4</v>
      </c>
      <c r="P602" t="s">
        <v>1473</v>
      </c>
      <c r="R602" s="2" t="s">
        <v>1438</v>
      </c>
      <c r="S602">
        <v>317660</v>
      </c>
      <c r="U602">
        <v>317660</v>
      </c>
      <c r="V602">
        <v>9.0851854183718442E-6</v>
      </c>
      <c r="W602" t="s">
        <v>9</v>
      </c>
      <c r="X602" t="s">
        <v>1457</v>
      </c>
    </row>
    <row r="603" spans="1:24" hidden="1" x14ac:dyDescent="0.35">
      <c r="A603" t="s">
        <v>454</v>
      </c>
      <c r="B603">
        <v>2023</v>
      </c>
      <c r="C603" t="s">
        <v>1308</v>
      </c>
      <c r="D603" t="s">
        <v>1321</v>
      </c>
      <c r="E603" t="s">
        <v>1359</v>
      </c>
      <c r="F603" t="s">
        <v>1366</v>
      </c>
      <c r="G603" t="s">
        <v>1371</v>
      </c>
      <c r="H603">
        <v>0.21207100000000001</v>
      </c>
      <c r="J603" t="s">
        <v>1387</v>
      </c>
      <c r="L603">
        <f t="shared" si="15"/>
        <v>4.0999999999999999E-4</v>
      </c>
      <c r="P603" t="s">
        <v>1473</v>
      </c>
      <c r="R603" s="2" t="s">
        <v>1438</v>
      </c>
      <c r="S603">
        <v>317660</v>
      </c>
      <c r="U603">
        <v>317660</v>
      </c>
      <c r="V603">
        <v>6.6760372725555624E-7</v>
      </c>
      <c r="W603" t="s">
        <v>9</v>
      </c>
      <c r="X603" t="s">
        <v>1456</v>
      </c>
    </row>
    <row r="604" spans="1:24" hidden="1" x14ac:dyDescent="0.35">
      <c r="A604" t="s">
        <v>455</v>
      </c>
      <c r="B604">
        <v>2023</v>
      </c>
      <c r="C604" t="s">
        <v>1308</v>
      </c>
      <c r="D604" t="s">
        <v>1322</v>
      </c>
      <c r="E604" t="s">
        <v>1359</v>
      </c>
      <c r="F604" t="s">
        <v>1366</v>
      </c>
      <c r="G604" t="s">
        <v>1372</v>
      </c>
      <c r="H604">
        <v>5.7670000000000003</v>
      </c>
      <c r="J604" t="s">
        <v>1387</v>
      </c>
      <c r="L604">
        <f t="shared" si="15"/>
        <v>4.0999999999999999E-4</v>
      </c>
      <c r="P604" t="s">
        <v>1473</v>
      </c>
      <c r="R604" s="2" t="s">
        <v>1438</v>
      </c>
      <c r="S604">
        <v>317660</v>
      </c>
      <c r="U604">
        <v>317660</v>
      </c>
      <c r="V604">
        <v>1.8154630737266259E-5</v>
      </c>
      <c r="W604" t="s">
        <v>9</v>
      </c>
      <c r="X604" t="s">
        <v>1457</v>
      </c>
    </row>
    <row r="605" spans="1:24" hidden="1" x14ac:dyDescent="0.35">
      <c r="A605" t="s">
        <v>456</v>
      </c>
      <c r="B605">
        <v>2023</v>
      </c>
      <c r="C605" t="s">
        <v>1308</v>
      </c>
      <c r="D605" t="s">
        <v>1323</v>
      </c>
      <c r="E605" t="s">
        <v>1359</v>
      </c>
      <c r="F605" t="s">
        <v>1366</v>
      </c>
      <c r="G605" t="s">
        <v>1371</v>
      </c>
      <c r="H605">
        <v>2.8247000000000001E-2</v>
      </c>
      <c r="J605" t="s">
        <v>1387</v>
      </c>
      <c r="L605">
        <f t="shared" si="15"/>
        <v>4.0999999999999999E-4</v>
      </c>
      <c r="P605" t="s">
        <v>1473</v>
      </c>
      <c r="R605" s="2" t="s">
        <v>1438</v>
      </c>
      <c r="S605">
        <v>317660</v>
      </c>
      <c r="U605">
        <v>317660</v>
      </c>
      <c r="V605">
        <v>8.8922117987785691E-8</v>
      </c>
      <c r="W605" t="s">
        <v>9</v>
      </c>
      <c r="X605" t="s">
        <v>1456</v>
      </c>
    </row>
    <row r="606" spans="1:24" hidden="1" x14ac:dyDescent="0.35">
      <c r="A606" t="s">
        <v>457</v>
      </c>
      <c r="B606">
        <v>2023</v>
      </c>
      <c r="C606" t="s">
        <v>1308</v>
      </c>
      <c r="D606" t="s">
        <v>1324</v>
      </c>
      <c r="E606" t="s">
        <v>1359</v>
      </c>
      <c r="F606" t="s">
        <v>1366</v>
      </c>
      <c r="G606" t="s">
        <v>1371</v>
      </c>
      <c r="H606">
        <v>5.3378000000000002E-2</v>
      </c>
      <c r="J606" t="s">
        <v>1387</v>
      </c>
      <c r="L606">
        <f t="shared" si="15"/>
        <v>4.0999999999999999E-4</v>
      </c>
      <c r="P606" t="s">
        <v>1473</v>
      </c>
      <c r="R606" s="2" t="s">
        <v>1438</v>
      </c>
      <c r="S606">
        <v>317660</v>
      </c>
      <c r="U606">
        <v>317660</v>
      </c>
      <c r="V606">
        <v>1.680350059812378E-7</v>
      </c>
      <c r="W606" t="s">
        <v>9</v>
      </c>
      <c r="X606" t="s">
        <v>1456</v>
      </c>
    </row>
    <row r="607" spans="1:24" hidden="1" x14ac:dyDescent="0.35">
      <c r="A607" t="s">
        <v>458</v>
      </c>
      <c r="B607">
        <v>2023</v>
      </c>
      <c r="C607" t="s">
        <v>1308</v>
      </c>
      <c r="D607" t="s">
        <v>1313</v>
      </c>
      <c r="E607" t="s">
        <v>1359</v>
      </c>
      <c r="F607" t="s">
        <v>1366</v>
      </c>
      <c r="G607" t="s">
        <v>1371</v>
      </c>
      <c r="H607">
        <v>14.395253</v>
      </c>
      <c r="J607" t="s">
        <v>1387</v>
      </c>
      <c r="L607">
        <f t="shared" si="15"/>
        <v>4.0999999999999999E-4</v>
      </c>
      <c r="P607" t="s">
        <v>1473</v>
      </c>
      <c r="R607" s="2" t="s">
        <v>1438</v>
      </c>
      <c r="S607">
        <v>317660</v>
      </c>
      <c r="U607">
        <v>317660</v>
      </c>
      <c r="V607">
        <v>4.5316542844550782E-5</v>
      </c>
      <c r="W607" t="s">
        <v>9</v>
      </c>
      <c r="X607" t="s">
        <v>1456</v>
      </c>
    </row>
    <row r="608" spans="1:24" hidden="1" x14ac:dyDescent="0.35">
      <c r="A608" t="s">
        <v>459</v>
      </c>
      <c r="B608">
        <v>2023</v>
      </c>
      <c r="C608" t="s">
        <v>1308</v>
      </c>
      <c r="D608" t="s">
        <v>1314</v>
      </c>
      <c r="E608" t="s">
        <v>1359</v>
      </c>
      <c r="F608" t="s">
        <v>1366</v>
      </c>
      <c r="G608" t="s">
        <v>1371</v>
      </c>
      <c r="H608">
        <v>2.4474860000000001</v>
      </c>
      <c r="J608" t="s">
        <v>1387</v>
      </c>
      <c r="L608">
        <f t="shared" si="15"/>
        <v>4.0999999999999999E-4</v>
      </c>
      <c r="P608" t="s">
        <v>1473</v>
      </c>
      <c r="R608" s="2" t="s">
        <v>1438</v>
      </c>
      <c r="S608">
        <v>317660</v>
      </c>
      <c r="U608">
        <v>317660</v>
      </c>
      <c r="V608">
        <v>7.7047346219228104E-6</v>
      </c>
      <c r="W608" t="s">
        <v>9</v>
      </c>
      <c r="X608" t="s">
        <v>1456</v>
      </c>
    </row>
    <row r="609" spans="1:24" hidden="1" x14ac:dyDescent="0.35">
      <c r="A609" t="s">
        <v>460</v>
      </c>
      <c r="B609">
        <v>2023</v>
      </c>
      <c r="C609" t="s">
        <v>1308</v>
      </c>
      <c r="D609" t="s">
        <v>1325</v>
      </c>
      <c r="E609" t="s">
        <v>1359</v>
      </c>
      <c r="F609" t="s">
        <v>1366</v>
      </c>
      <c r="G609" t="s">
        <v>1372</v>
      </c>
      <c r="H609">
        <v>5.8259999999999996</v>
      </c>
      <c r="J609" t="s">
        <v>1387</v>
      </c>
      <c r="L609">
        <f t="shared" si="15"/>
        <v>4.0999999999999999E-4</v>
      </c>
      <c r="P609" t="s">
        <v>1473</v>
      </c>
      <c r="R609" s="2" t="s">
        <v>1438</v>
      </c>
      <c r="S609">
        <v>317660</v>
      </c>
      <c r="U609">
        <v>317660</v>
      </c>
      <c r="V609">
        <v>1.8340363911099921E-5</v>
      </c>
      <c r="W609" t="s">
        <v>9</v>
      </c>
      <c r="X609" t="s">
        <v>1457</v>
      </c>
    </row>
    <row r="610" spans="1:24" hidden="1" x14ac:dyDescent="0.35">
      <c r="A610" t="s">
        <v>461</v>
      </c>
      <c r="B610">
        <v>2023</v>
      </c>
      <c r="C610" t="s">
        <v>1308</v>
      </c>
      <c r="D610" t="s">
        <v>1315</v>
      </c>
      <c r="E610" t="s">
        <v>1359</v>
      </c>
      <c r="F610" t="s">
        <v>1366</v>
      </c>
      <c r="G610" t="s">
        <v>1371</v>
      </c>
      <c r="H610">
        <v>30.906241999999999</v>
      </c>
      <c r="J610" t="s">
        <v>1387</v>
      </c>
      <c r="L610">
        <f t="shared" si="15"/>
        <v>4.0999999999999999E-4</v>
      </c>
      <c r="P610" t="s">
        <v>1473</v>
      </c>
      <c r="R610" s="2" t="s">
        <v>1438</v>
      </c>
      <c r="S610">
        <v>317660</v>
      </c>
      <c r="U610">
        <v>317660</v>
      </c>
      <c r="V610">
        <v>9.7293464710696971E-5</v>
      </c>
      <c r="W610" t="s">
        <v>9</v>
      </c>
      <c r="X610" t="s">
        <v>1456</v>
      </c>
    </row>
    <row r="611" spans="1:24" hidden="1" x14ac:dyDescent="0.35">
      <c r="A611" t="s">
        <v>462</v>
      </c>
      <c r="B611">
        <v>2023</v>
      </c>
      <c r="C611" t="s">
        <v>1308</v>
      </c>
      <c r="D611" t="s">
        <v>1336</v>
      </c>
      <c r="E611" t="s">
        <v>1359</v>
      </c>
      <c r="F611" t="s">
        <v>1366</v>
      </c>
      <c r="G611" t="s">
        <v>1371</v>
      </c>
      <c r="H611">
        <v>4.8760000000000001E-3</v>
      </c>
      <c r="J611" t="s">
        <v>1387</v>
      </c>
      <c r="L611">
        <f t="shared" si="15"/>
        <v>4.0999999999999999E-4</v>
      </c>
      <c r="P611" t="s">
        <v>1473</v>
      </c>
      <c r="R611" s="2" t="s">
        <v>1438</v>
      </c>
      <c r="S611">
        <v>317660</v>
      </c>
      <c r="U611">
        <v>317660</v>
      </c>
      <c r="V611">
        <v>1.5349745010388469E-8</v>
      </c>
      <c r="W611" t="s">
        <v>9</v>
      </c>
      <c r="X611" t="s">
        <v>1456</v>
      </c>
    </row>
    <row r="612" spans="1:24" hidden="1" x14ac:dyDescent="0.35">
      <c r="A612" t="s">
        <v>463</v>
      </c>
      <c r="B612">
        <v>2023</v>
      </c>
      <c r="C612" t="s">
        <v>1308</v>
      </c>
      <c r="D612" t="s">
        <v>1326</v>
      </c>
      <c r="E612" t="s">
        <v>1359</v>
      </c>
      <c r="F612" t="s">
        <v>1366</v>
      </c>
      <c r="G612" t="s">
        <v>1371</v>
      </c>
      <c r="H612">
        <v>9.2329999999999999E-3</v>
      </c>
      <c r="J612" t="s">
        <v>1387</v>
      </c>
      <c r="L612">
        <f t="shared" si="15"/>
        <v>4.0999999999999999E-4</v>
      </c>
      <c r="P612" t="s">
        <v>1473</v>
      </c>
      <c r="R612" s="2" t="s">
        <v>1438</v>
      </c>
      <c r="S612">
        <v>317660</v>
      </c>
      <c r="U612">
        <v>317660</v>
      </c>
      <c r="V612">
        <v>2.9065667695019829E-8</v>
      </c>
      <c r="W612" t="s">
        <v>9</v>
      </c>
      <c r="X612" t="s">
        <v>1456</v>
      </c>
    </row>
    <row r="613" spans="1:24" hidden="1" x14ac:dyDescent="0.35">
      <c r="A613" t="s">
        <v>42</v>
      </c>
      <c r="B613">
        <v>2023</v>
      </c>
      <c r="C613" t="s">
        <v>1308</v>
      </c>
      <c r="D613" t="s">
        <v>1328</v>
      </c>
      <c r="E613" t="s">
        <v>1359</v>
      </c>
      <c r="F613" t="s">
        <v>1364</v>
      </c>
      <c r="G613" t="s">
        <v>1371</v>
      </c>
      <c r="H613">
        <v>6.9999999999999999E-6</v>
      </c>
      <c r="J613" t="s">
        <v>1384</v>
      </c>
      <c r="L613">
        <f>2.2/1000</f>
        <v>2.2000000000000001E-3</v>
      </c>
      <c r="N613">
        <v>0.15</v>
      </c>
      <c r="O613">
        <v>90</v>
      </c>
      <c r="R613" s="2" t="s">
        <v>1438</v>
      </c>
      <c r="S613">
        <v>2878047</v>
      </c>
      <c r="U613">
        <v>2878047</v>
      </c>
      <c r="V613">
        <v>2.432204894499638E-12</v>
      </c>
      <c r="W613" t="s">
        <v>9</v>
      </c>
      <c r="X613" t="s">
        <v>1456</v>
      </c>
    </row>
    <row r="614" spans="1:24" hidden="1" x14ac:dyDescent="0.35">
      <c r="A614" t="s">
        <v>44</v>
      </c>
      <c r="B614">
        <v>2023</v>
      </c>
      <c r="C614" t="s">
        <v>1308</v>
      </c>
      <c r="D614" t="s">
        <v>1317</v>
      </c>
      <c r="E614" t="s">
        <v>1359</v>
      </c>
      <c r="F614" t="s">
        <v>1364</v>
      </c>
      <c r="G614" t="s">
        <v>1372</v>
      </c>
      <c r="H614">
        <v>3.2638E-2</v>
      </c>
      <c r="J614" t="s">
        <v>1384</v>
      </c>
      <c r="L614">
        <f t="shared" ref="L614:L677" si="16">2.2/1000</f>
        <v>2.2000000000000001E-3</v>
      </c>
      <c r="N614">
        <v>0.15</v>
      </c>
      <c r="O614">
        <v>90</v>
      </c>
      <c r="R614" s="2" t="s">
        <v>1438</v>
      </c>
      <c r="S614">
        <v>2878047</v>
      </c>
      <c r="U614">
        <v>2878047</v>
      </c>
      <c r="V614">
        <v>1.1340329049525599E-8</v>
      </c>
      <c r="W614" t="s">
        <v>9</v>
      </c>
      <c r="X614" t="s">
        <v>1457</v>
      </c>
    </row>
    <row r="615" spans="1:24" hidden="1" x14ac:dyDescent="0.35">
      <c r="A615" t="s">
        <v>46</v>
      </c>
      <c r="B615">
        <v>2023</v>
      </c>
      <c r="C615" t="s">
        <v>1308</v>
      </c>
      <c r="D615" t="s">
        <v>1318</v>
      </c>
      <c r="E615" t="s">
        <v>1359</v>
      </c>
      <c r="F615" t="s">
        <v>1364</v>
      </c>
      <c r="G615" t="s">
        <v>1372</v>
      </c>
      <c r="H615">
        <v>0.106318</v>
      </c>
      <c r="J615" t="s">
        <v>1384</v>
      </c>
      <c r="L615">
        <f t="shared" si="16"/>
        <v>2.2000000000000001E-3</v>
      </c>
      <c r="N615">
        <v>0.15</v>
      </c>
      <c r="O615">
        <v>90</v>
      </c>
      <c r="R615" s="2" t="s">
        <v>1438</v>
      </c>
      <c r="S615">
        <v>2878047</v>
      </c>
      <c r="U615">
        <v>2878047</v>
      </c>
      <c r="V615">
        <v>3.6941022853344653E-8</v>
      </c>
      <c r="W615" t="s">
        <v>9</v>
      </c>
      <c r="X615" t="s">
        <v>1457</v>
      </c>
    </row>
    <row r="616" spans="1:24" hidden="1" x14ac:dyDescent="0.35">
      <c r="A616" t="s">
        <v>47</v>
      </c>
      <c r="B616">
        <v>2023</v>
      </c>
      <c r="C616" t="s">
        <v>1308</v>
      </c>
      <c r="D616" t="s">
        <v>1329</v>
      </c>
      <c r="E616" t="s">
        <v>1359</v>
      </c>
      <c r="F616" t="s">
        <v>1364</v>
      </c>
      <c r="G616" t="s">
        <v>1371</v>
      </c>
      <c r="H616">
        <v>30.228766</v>
      </c>
      <c r="J616" t="s">
        <v>1384</v>
      </c>
      <c r="L616">
        <f t="shared" si="16"/>
        <v>2.2000000000000001E-3</v>
      </c>
      <c r="N616">
        <v>0.15</v>
      </c>
      <c r="O616">
        <v>90</v>
      </c>
      <c r="R616" s="2" t="s">
        <v>1438</v>
      </c>
      <c r="S616">
        <v>2878047</v>
      </c>
      <c r="U616">
        <v>2878047</v>
      </c>
      <c r="V616">
        <v>1.050322180284061E-5</v>
      </c>
      <c r="W616" t="s">
        <v>9</v>
      </c>
      <c r="X616" t="s">
        <v>1456</v>
      </c>
    </row>
    <row r="617" spans="1:24" hidden="1" x14ac:dyDescent="0.35">
      <c r="A617" t="s">
        <v>49</v>
      </c>
      <c r="B617">
        <v>2023</v>
      </c>
      <c r="C617" t="s">
        <v>1308</v>
      </c>
      <c r="D617" t="s">
        <v>1311</v>
      </c>
      <c r="E617" t="s">
        <v>1359</v>
      </c>
      <c r="F617" t="s">
        <v>1364</v>
      </c>
      <c r="G617" t="s">
        <v>1371</v>
      </c>
      <c r="H617">
        <v>214.67325399999999</v>
      </c>
      <c r="J617" t="s">
        <v>1384</v>
      </c>
      <c r="L617">
        <f t="shared" si="16"/>
        <v>2.2000000000000001E-3</v>
      </c>
      <c r="N617">
        <v>0.15</v>
      </c>
      <c r="O617">
        <v>90</v>
      </c>
      <c r="R617" s="2" t="s">
        <v>1438</v>
      </c>
      <c r="S617">
        <v>2878047</v>
      </c>
      <c r="U617">
        <v>2878047</v>
      </c>
      <c r="V617">
        <v>7.4589905585280565E-5</v>
      </c>
      <c r="W617" t="s">
        <v>9</v>
      </c>
      <c r="X617" t="s">
        <v>1456</v>
      </c>
    </row>
    <row r="618" spans="1:24" hidden="1" x14ac:dyDescent="0.35">
      <c r="A618" t="s">
        <v>51</v>
      </c>
      <c r="B618">
        <v>2023</v>
      </c>
      <c r="C618" t="s">
        <v>1308</v>
      </c>
      <c r="D618" t="s">
        <v>1319</v>
      </c>
      <c r="E618" t="s">
        <v>1359</v>
      </c>
      <c r="F618" t="s">
        <v>1364</v>
      </c>
      <c r="G618" t="s">
        <v>1371</v>
      </c>
      <c r="H618">
        <v>9.0899999999999998E-4</v>
      </c>
      <c r="J618" t="s">
        <v>1384</v>
      </c>
      <c r="L618">
        <f t="shared" si="16"/>
        <v>2.2000000000000001E-3</v>
      </c>
      <c r="N618">
        <v>0.15</v>
      </c>
      <c r="O618">
        <v>90</v>
      </c>
      <c r="R618" s="2" t="s">
        <v>1438</v>
      </c>
      <c r="S618">
        <v>2878047</v>
      </c>
      <c r="U618">
        <v>2878047</v>
      </c>
      <c r="V618">
        <v>3.1583917844288159E-10</v>
      </c>
      <c r="W618" t="s">
        <v>9</v>
      </c>
      <c r="X618" t="s">
        <v>1456</v>
      </c>
    </row>
    <row r="619" spans="1:24" hidden="1" x14ac:dyDescent="0.35">
      <c r="A619" t="s">
        <v>53</v>
      </c>
      <c r="B619">
        <v>2023</v>
      </c>
      <c r="C619" t="s">
        <v>1308</v>
      </c>
      <c r="D619" t="s">
        <v>1320</v>
      </c>
      <c r="E619" t="s">
        <v>1359</v>
      </c>
      <c r="F619" t="s">
        <v>1364</v>
      </c>
      <c r="G619" t="s">
        <v>1372</v>
      </c>
      <c r="H619">
        <v>9.6206E-2</v>
      </c>
      <c r="J619" t="s">
        <v>1384</v>
      </c>
      <c r="L619">
        <f t="shared" si="16"/>
        <v>2.2000000000000001E-3</v>
      </c>
      <c r="N619">
        <v>0.15</v>
      </c>
      <c r="O619">
        <v>90</v>
      </c>
      <c r="R619" s="2" t="s">
        <v>1438</v>
      </c>
      <c r="S619">
        <v>2878047</v>
      </c>
      <c r="U619">
        <v>2878047</v>
      </c>
      <c r="V619">
        <v>3.3427529154318893E-8</v>
      </c>
      <c r="W619" t="s">
        <v>9</v>
      </c>
      <c r="X619" t="s">
        <v>1457</v>
      </c>
    </row>
    <row r="620" spans="1:24" hidden="1" x14ac:dyDescent="0.35">
      <c r="A620" t="s">
        <v>55</v>
      </c>
      <c r="B620">
        <v>2023</v>
      </c>
      <c r="C620" t="s">
        <v>1308</v>
      </c>
      <c r="D620" t="s">
        <v>1321</v>
      </c>
      <c r="E620" t="s">
        <v>1359</v>
      </c>
      <c r="F620" t="s">
        <v>1364</v>
      </c>
      <c r="G620" t="s">
        <v>1371</v>
      </c>
      <c r="H620">
        <v>1.5950000000000001E-3</v>
      </c>
      <c r="J620" t="s">
        <v>1384</v>
      </c>
      <c r="L620">
        <f t="shared" si="16"/>
        <v>2.2000000000000001E-3</v>
      </c>
      <c r="N620">
        <v>0.15</v>
      </c>
      <c r="O620">
        <v>90</v>
      </c>
      <c r="R620" s="2" t="s">
        <v>1438</v>
      </c>
      <c r="S620">
        <v>2878047</v>
      </c>
      <c r="U620">
        <v>2878047</v>
      </c>
      <c r="V620">
        <v>5.5419525810384611E-10</v>
      </c>
      <c r="W620" t="s">
        <v>9</v>
      </c>
      <c r="X620" t="s">
        <v>1456</v>
      </c>
    </row>
    <row r="621" spans="1:24" hidden="1" x14ac:dyDescent="0.35">
      <c r="A621" t="s">
        <v>57</v>
      </c>
      <c r="B621">
        <v>2023</v>
      </c>
      <c r="C621" t="s">
        <v>1308</v>
      </c>
      <c r="D621" t="s">
        <v>1322</v>
      </c>
      <c r="E621" t="s">
        <v>1359</v>
      </c>
      <c r="F621" t="s">
        <v>1364</v>
      </c>
      <c r="G621" t="s">
        <v>1372</v>
      </c>
      <c r="H621">
        <v>0.32725799999999999</v>
      </c>
      <c r="J621" t="s">
        <v>1384</v>
      </c>
      <c r="L621">
        <f t="shared" si="16"/>
        <v>2.2000000000000001E-3</v>
      </c>
      <c r="N621">
        <v>0.15</v>
      </c>
      <c r="O621">
        <v>90</v>
      </c>
      <c r="R621" s="2" t="s">
        <v>1438</v>
      </c>
      <c r="S621">
        <v>2878047</v>
      </c>
      <c r="U621">
        <v>2878047</v>
      </c>
      <c r="V621">
        <v>1.1370835848059471E-7</v>
      </c>
      <c r="W621" t="s">
        <v>9</v>
      </c>
      <c r="X621" t="s">
        <v>1457</v>
      </c>
    </row>
    <row r="622" spans="1:24" hidden="1" x14ac:dyDescent="0.35">
      <c r="A622" t="s">
        <v>59</v>
      </c>
      <c r="B622">
        <v>2023</v>
      </c>
      <c r="C622" t="s">
        <v>1308</v>
      </c>
      <c r="D622" t="s">
        <v>1323</v>
      </c>
      <c r="E622" t="s">
        <v>1359</v>
      </c>
      <c r="F622" t="s">
        <v>1364</v>
      </c>
      <c r="G622" t="s">
        <v>1371</v>
      </c>
      <c r="H622">
        <v>9.1739999999999999E-3</v>
      </c>
      <c r="J622" t="s">
        <v>1384</v>
      </c>
      <c r="L622">
        <f t="shared" si="16"/>
        <v>2.2000000000000001E-3</v>
      </c>
      <c r="N622">
        <v>0.15</v>
      </c>
      <c r="O622">
        <v>90</v>
      </c>
      <c r="R622" s="2" t="s">
        <v>1438</v>
      </c>
      <c r="S622">
        <v>2878047</v>
      </c>
      <c r="U622">
        <v>2878047</v>
      </c>
      <c r="V622">
        <v>3.187578243162811E-9</v>
      </c>
      <c r="W622" t="s">
        <v>9</v>
      </c>
      <c r="X622" t="s">
        <v>1456</v>
      </c>
    </row>
    <row r="623" spans="1:24" hidden="1" x14ac:dyDescent="0.35">
      <c r="A623" t="s">
        <v>62</v>
      </c>
      <c r="B623">
        <v>2023</v>
      </c>
      <c r="C623" t="s">
        <v>1308</v>
      </c>
      <c r="D623" t="s">
        <v>1324</v>
      </c>
      <c r="E623" t="s">
        <v>1359</v>
      </c>
      <c r="F623" t="s">
        <v>1364</v>
      </c>
      <c r="G623" t="s">
        <v>1371</v>
      </c>
      <c r="H623">
        <v>3.7800000000000003E-4</v>
      </c>
      <c r="J623" t="s">
        <v>1384</v>
      </c>
      <c r="L623">
        <f t="shared" si="16"/>
        <v>2.2000000000000001E-3</v>
      </c>
      <c r="N623">
        <v>0.15</v>
      </c>
      <c r="O623">
        <v>90</v>
      </c>
      <c r="R623" s="2" t="s">
        <v>1438</v>
      </c>
      <c r="S623">
        <v>2878047</v>
      </c>
      <c r="U623">
        <v>2878047</v>
      </c>
      <c r="V623">
        <v>1.313390643029805E-10</v>
      </c>
      <c r="W623" t="s">
        <v>9</v>
      </c>
      <c r="X623" t="s">
        <v>1456</v>
      </c>
    </row>
    <row r="624" spans="1:24" hidden="1" x14ac:dyDescent="0.35">
      <c r="A624" t="s">
        <v>63</v>
      </c>
      <c r="B624">
        <v>2023</v>
      </c>
      <c r="C624" t="s">
        <v>1308</v>
      </c>
      <c r="D624" t="s">
        <v>1331</v>
      </c>
      <c r="E624" t="s">
        <v>1359</v>
      </c>
      <c r="F624" t="s">
        <v>1364</v>
      </c>
      <c r="G624" t="s">
        <v>1371</v>
      </c>
      <c r="H624">
        <v>2.0000000000000001E-4</v>
      </c>
      <c r="J624" t="s">
        <v>1384</v>
      </c>
      <c r="L624">
        <f t="shared" si="16"/>
        <v>2.2000000000000001E-3</v>
      </c>
      <c r="N624">
        <v>0.15</v>
      </c>
      <c r="O624">
        <v>90</v>
      </c>
      <c r="R624" s="2" t="s">
        <v>1438</v>
      </c>
      <c r="S624">
        <v>2878047</v>
      </c>
      <c r="U624">
        <v>2878047</v>
      </c>
      <c r="V624">
        <v>6.9491568414275378E-11</v>
      </c>
      <c r="W624" t="s">
        <v>9</v>
      </c>
      <c r="X624" t="s">
        <v>1456</v>
      </c>
    </row>
    <row r="625" spans="1:24" hidden="1" x14ac:dyDescent="0.35">
      <c r="A625" t="s">
        <v>65</v>
      </c>
      <c r="B625">
        <v>2023</v>
      </c>
      <c r="C625" t="s">
        <v>1308</v>
      </c>
      <c r="D625" t="s">
        <v>1312</v>
      </c>
      <c r="E625" t="s">
        <v>1359</v>
      </c>
      <c r="F625" t="s">
        <v>1364</v>
      </c>
      <c r="G625" t="s">
        <v>1371</v>
      </c>
      <c r="H625">
        <v>33.825136999999998</v>
      </c>
      <c r="J625" t="s">
        <v>1384</v>
      </c>
      <c r="L625">
        <f t="shared" si="16"/>
        <v>2.2000000000000001E-3</v>
      </c>
      <c r="N625">
        <v>0.15</v>
      </c>
      <c r="O625">
        <v>90</v>
      </c>
      <c r="R625" s="2" t="s">
        <v>1438</v>
      </c>
      <c r="S625">
        <v>2878047</v>
      </c>
      <c r="U625">
        <v>2878047</v>
      </c>
      <c r="V625">
        <v>1.175280910978869E-5</v>
      </c>
      <c r="W625" t="s">
        <v>9</v>
      </c>
      <c r="X625" t="s">
        <v>1456</v>
      </c>
    </row>
    <row r="626" spans="1:24" hidden="1" x14ac:dyDescent="0.35">
      <c r="A626" t="s">
        <v>66</v>
      </c>
      <c r="B626">
        <v>2023</v>
      </c>
      <c r="C626" t="s">
        <v>1308</v>
      </c>
      <c r="D626" t="s">
        <v>1332</v>
      </c>
      <c r="E626" t="s">
        <v>1359</v>
      </c>
      <c r="F626" t="s">
        <v>1364</v>
      </c>
      <c r="G626" t="s">
        <v>1371</v>
      </c>
      <c r="H626">
        <v>8.2520000000000007E-3</v>
      </c>
      <c r="J626" t="s">
        <v>1384</v>
      </c>
      <c r="L626">
        <f t="shared" si="16"/>
        <v>2.2000000000000001E-3</v>
      </c>
      <c r="N626">
        <v>0.15</v>
      </c>
      <c r="O626">
        <v>90</v>
      </c>
      <c r="R626" s="2" t="s">
        <v>1438</v>
      </c>
      <c r="S626">
        <v>2878047</v>
      </c>
      <c r="U626">
        <v>2878047</v>
      </c>
      <c r="V626">
        <v>2.8672221127730019E-9</v>
      </c>
      <c r="W626" t="s">
        <v>9</v>
      </c>
      <c r="X626" t="s">
        <v>1456</v>
      </c>
    </row>
    <row r="627" spans="1:24" hidden="1" x14ac:dyDescent="0.35">
      <c r="A627" t="s">
        <v>68</v>
      </c>
      <c r="B627">
        <v>2023</v>
      </c>
      <c r="C627" t="s">
        <v>1308</v>
      </c>
      <c r="D627" t="s">
        <v>1313</v>
      </c>
      <c r="E627" t="s">
        <v>1359</v>
      </c>
      <c r="F627" t="s">
        <v>1364</v>
      </c>
      <c r="G627" t="s">
        <v>1371</v>
      </c>
      <c r="H627">
        <v>4.7662110000000002</v>
      </c>
      <c r="J627" t="s">
        <v>1384</v>
      </c>
      <c r="L627">
        <f t="shared" si="16"/>
        <v>2.2000000000000001E-3</v>
      </c>
      <c r="N627">
        <v>0.15</v>
      </c>
      <c r="O627">
        <v>90</v>
      </c>
      <c r="R627" s="2" t="s">
        <v>1438</v>
      </c>
      <c r="S627">
        <v>2878047</v>
      </c>
      <c r="U627">
        <v>2878047</v>
      </c>
      <c r="V627">
        <v>1.6560573889168591E-6</v>
      </c>
      <c r="W627" t="s">
        <v>9</v>
      </c>
      <c r="X627" t="s">
        <v>1456</v>
      </c>
    </row>
    <row r="628" spans="1:24" hidden="1" x14ac:dyDescent="0.35">
      <c r="A628" t="s">
        <v>70</v>
      </c>
      <c r="B628">
        <v>2023</v>
      </c>
      <c r="C628" t="s">
        <v>1308</v>
      </c>
      <c r="D628" t="s">
        <v>1314</v>
      </c>
      <c r="E628" t="s">
        <v>1359</v>
      </c>
      <c r="F628" t="s">
        <v>1364</v>
      </c>
      <c r="G628" t="s">
        <v>1371</v>
      </c>
      <c r="H628">
        <v>2.9410349999999998</v>
      </c>
      <c r="J628" t="s">
        <v>1384</v>
      </c>
      <c r="L628">
        <f t="shared" si="16"/>
        <v>2.2000000000000001E-3</v>
      </c>
      <c r="N628">
        <v>0.15</v>
      </c>
      <c r="O628">
        <v>90</v>
      </c>
      <c r="R628" s="2" t="s">
        <v>1438</v>
      </c>
      <c r="S628">
        <v>2878047</v>
      </c>
      <c r="U628">
        <v>2878047</v>
      </c>
      <c r="V628">
        <v>1.021885674556392E-6</v>
      </c>
      <c r="W628" t="s">
        <v>9</v>
      </c>
      <c r="X628" t="s">
        <v>1456</v>
      </c>
    </row>
    <row r="629" spans="1:24" hidden="1" x14ac:dyDescent="0.35">
      <c r="A629" t="s">
        <v>72</v>
      </c>
      <c r="B629">
        <v>2023</v>
      </c>
      <c r="C629" t="s">
        <v>1308</v>
      </c>
      <c r="D629" t="s">
        <v>1325</v>
      </c>
      <c r="E629" t="s">
        <v>1359</v>
      </c>
      <c r="F629" t="s">
        <v>1364</v>
      </c>
      <c r="G629" t="s">
        <v>1372</v>
      </c>
      <c r="H629">
        <v>6.4209999999999996E-3</v>
      </c>
      <c r="J629" t="s">
        <v>1384</v>
      </c>
      <c r="L629">
        <f t="shared" si="16"/>
        <v>2.2000000000000001E-3</v>
      </c>
      <c r="N629">
        <v>0.15</v>
      </c>
      <c r="O629">
        <v>90</v>
      </c>
      <c r="R629" s="2" t="s">
        <v>1438</v>
      </c>
      <c r="S629">
        <v>2878047</v>
      </c>
      <c r="U629">
        <v>2878047</v>
      </c>
      <c r="V629">
        <v>2.2310268039403109E-9</v>
      </c>
      <c r="W629" t="s">
        <v>9</v>
      </c>
      <c r="X629" t="s">
        <v>1457</v>
      </c>
    </row>
    <row r="630" spans="1:24" hidden="1" x14ac:dyDescent="0.35">
      <c r="A630" t="s">
        <v>73</v>
      </c>
      <c r="B630">
        <v>2023</v>
      </c>
      <c r="C630" t="s">
        <v>1308</v>
      </c>
      <c r="D630" t="s">
        <v>1333</v>
      </c>
      <c r="E630" t="s">
        <v>1359</v>
      </c>
      <c r="F630" t="s">
        <v>1364</v>
      </c>
      <c r="G630" t="s">
        <v>1371</v>
      </c>
      <c r="H630">
        <v>5.0000000000000004E-6</v>
      </c>
      <c r="J630" t="s">
        <v>1384</v>
      </c>
      <c r="L630">
        <f t="shared" si="16"/>
        <v>2.2000000000000001E-3</v>
      </c>
      <c r="N630">
        <v>0.15</v>
      </c>
      <c r="O630">
        <v>90</v>
      </c>
      <c r="R630" s="2" t="s">
        <v>1438</v>
      </c>
      <c r="S630">
        <v>2878047</v>
      </c>
      <c r="U630">
        <v>2878047</v>
      </c>
      <c r="V630">
        <v>1.737289210356885E-12</v>
      </c>
      <c r="W630" t="s">
        <v>9</v>
      </c>
      <c r="X630" t="s">
        <v>1456</v>
      </c>
    </row>
    <row r="631" spans="1:24" hidden="1" x14ac:dyDescent="0.35">
      <c r="A631" t="s">
        <v>74</v>
      </c>
      <c r="B631">
        <v>2023</v>
      </c>
      <c r="C631" t="s">
        <v>1308</v>
      </c>
      <c r="D631" t="s">
        <v>1334</v>
      </c>
      <c r="E631" t="s">
        <v>1359</v>
      </c>
      <c r="F631" t="s">
        <v>1364</v>
      </c>
      <c r="G631" t="s">
        <v>1372</v>
      </c>
      <c r="H631">
        <v>5.3160000000000004E-3</v>
      </c>
      <c r="J631" t="s">
        <v>1384</v>
      </c>
      <c r="L631">
        <f t="shared" si="16"/>
        <v>2.2000000000000001E-3</v>
      </c>
      <c r="N631">
        <v>0.15</v>
      </c>
      <c r="O631">
        <v>90</v>
      </c>
      <c r="R631" s="2" t="s">
        <v>1438</v>
      </c>
      <c r="S631">
        <v>2878047</v>
      </c>
      <c r="U631">
        <v>2878047</v>
      </c>
      <c r="V631">
        <v>1.8470858884514399E-9</v>
      </c>
      <c r="W631" t="s">
        <v>9</v>
      </c>
      <c r="X631" t="s">
        <v>1457</v>
      </c>
    </row>
    <row r="632" spans="1:24" hidden="1" x14ac:dyDescent="0.35">
      <c r="A632" t="s">
        <v>76</v>
      </c>
      <c r="B632">
        <v>2023</v>
      </c>
      <c r="C632" t="s">
        <v>1308</v>
      </c>
      <c r="D632" t="s">
        <v>1315</v>
      </c>
      <c r="E632" t="s">
        <v>1359</v>
      </c>
      <c r="F632" t="s">
        <v>1364</v>
      </c>
      <c r="G632" t="s">
        <v>1371</v>
      </c>
      <c r="H632">
        <v>8.4129559999999994</v>
      </c>
      <c r="J632" t="s">
        <v>1384</v>
      </c>
      <c r="L632">
        <f t="shared" si="16"/>
        <v>2.2000000000000001E-3</v>
      </c>
      <c r="N632">
        <v>0.15</v>
      </c>
      <c r="O632">
        <v>90</v>
      </c>
      <c r="R632" s="2" t="s">
        <v>1438</v>
      </c>
      <c r="S632">
        <v>2878047</v>
      </c>
      <c r="U632">
        <v>2878047</v>
      </c>
      <c r="V632">
        <v>2.9231475372014422E-6</v>
      </c>
      <c r="W632" t="s">
        <v>9</v>
      </c>
      <c r="X632" t="s">
        <v>1456</v>
      </c>
    </row>
    <row r="633" spans="1:24" hidden="1" x14ac:dyDescent="0.35">
      <c r="A633" t="s">
        <v>77</v>
      </c>
      <c r="B633">
        <v>2023</v>
      </c>
      <c r="C633" t="s">
        <v>1308</v>
      </c>
      <c r="D633" t="s">
        <v>1335</v>
      </c>
      <c r="E633" t="s">
        <v>1359</v>
      </c>
      <c r="F633" t="s">
        <v>1364</v>
      </c>
      <c r="G633" t="s">
        <v>1371</v>
      </c>
      <c r="H633">
        <v>27.054746000000002</v>
      </c>
      <c r="J633" t="s">
        <v>1384</v>
      </c>
      <c r="L633">
        <f t="shared" si="16"/>
        <v>2.2000000000000001E-3</v>
      </c>
      <c r="N633">
        <v>0.15</v>
      </c>
      <c r="O633">
        <v>90</v>
      </c>
      <c r="R633" s="2" t="s">
        <v>1438</v>
      </c>
      <c r="S633">
        <v>2878047</v>
      </c>
      <c r="U633">
        <v>2878047</v>
      </c>
      <c r="V633">
        <v>9.4003836629492157E-6</v>
      </c>
      <c r="W633" t="s">
        <v>9</v>
      </c>
      <c r="X633" t="s">
        <v>1456</v>
      </c>
    </row>
    <row r="634" spans="1:24" hidden="1" x14ac:dyDescent="0.35">
      <c r="A634" t="s">
        <v>78</v>
      </c>
      <c r="B634">
        <v>2023</v>
      </c>
      <c r="C634" t="s">
        <v>1308</v>
      </c>
      <c r="D634" t="s">
        <v>1336</v>
      </c>
      <c r="E634" t="s">
        <v>1359</v>
      </c>
      <c r="F634" t="s">
        <v>1364</v>
      </c>
      <c r="G634" t="s">
        <v>1371</v>
      </c>
      <c r="H634">
        <v>7.5600000000000005E-4</v>
      </c>
      <c r="J634" t="s">
        <v>1384</v>
      </c>
      <c r="L634">
        <f t="shared" si="16"/>
        <v>2.2000000000000001E-3</v>
      </c>
      <c r="N634">
        <v>0.15</v>
      </c>
      <c r="O634">
        <v>90</v>
      </c>
      <c r="R634" s="2" t="s">
        <v>1438</v>
      </c>
      <c r="S634">
        <v>2878047</v>
      </c>
      <c r="U634">
        <v>2878047</v>
      </c>
      <c r="V634">
        <v>2.62678128605961E-10</v>
      </c>
      <c r="W634" t="s">
        <v>9</v>
      </c>
      <c r="X634" t="s">
        <v>1456</v>
      </c>
    </row>
    <row r="635" spans="1:24" hidden="1" x14ac:dyDescent="0.35">
      <c r="A635" t="s">
        <v>79</v>
      </c>
      <c r="B635">
        <v>2023</v>
      </c>
      <c r="C635" t="s">
        <v>1308</v>
      </c>
      <c r="D635" t="s">
        <v>1316</v>
      </c>
      <c r="E635" t="s">
        <v>1359</v>
      </c>
      <c r="F635" t="s">
        <v>1364</v>
      </c>
      <c r="G635" t="s">
        <v>1371</v>
      </c>
      <c r="H635">
        <v>30.752676999999998</v>
      </c>
      <c r="J635" t="s">
        <v>1384</v>
      </c>
      <c r="L635">
        <f t="shared" si="16"/>
        <v>2.2000000000000001E-3</v>
      </c>
      <c r="N635">
        <v>0.15</v>
      </c>
      <c r="O635">
        <v>90</v>
      </c>
      <c r="R635" s="2" t="s">
        <v>1438</v>
      </c>
      <c r="S635">
        <v>2878047</v>
      </c>
      <c r="U635">
        <v>2878047</v>
      </c>
      <c r="V635">
        <v>1.0685258788338059E-5</v>
      </c>
      <c r="W635" t="s">
        <v>9</v>
      </c>
      <c r="X635" t="s">
        <v>1456</v>
      </c>
    </row>
    <row r="636" spans="1:24" hidden="1" x14ac:dyDescent="0.35">
      <c r="A636" t="s">
        <v>81</v>
      </c>
      <c r="B636">
        <v>2023</v>
      </c>
      <c r="C636" t="s">
        <v>1308</v>
      </c>
      <c r="D636" t="s">
        <v>1326</v>
      </c>
      <c r="E636" t="s">
        <v>1359</v>
      </c>
      <c r="F636" t="s">
        <v>1364</v>
      </c>
      <c r="G636" t="s">
        <v>1371</v>
      </c>
      <c r="H636">
        <v>3.2000000000000002E-3</v>
      </c>
      <c r="J636" t="s">
        <v>1384</v>
      </c>
      <c r="L636">
        <f t="shared" si="16"/>
        <v>2.2000000000000001E-3</v>
      </c>
      <c r="N636">
        <v>0.15</v>
      </c>
      <c r="O636">
        <v>90</v>
      </c>
      <c r="R636" s="2" t="s">
        <v>1438</v>
      </c>
      <c r="S636">
        <v>2878047</v>
      </c>
      <c r="U636">
        <v>2878047</v>
      </c>
      <c r="V636">
        <v>1.111865094628406E-9</v>
      </c>
      <c r="W636" t="s">
        <v>9</v>
      </c>
      <c r="X636" t="s">
        <v>1456</v>
      </c>
    </row>
    <row r="637" spans="1:24" hidden="1" x14ac:dyDescent="0.35">
      <c r="A637" t="s">
        <v>368</v>
      </c>
      <c r="B637">
        <v>2023</v>
      </c>
      <c r="C637" t="s">
        <v>1308</v>
      </c>
      <c r="D637" t="s">
        <v>1328</v>
      </c>
      <c r="E637" t="s">
        <v>1359</v>
      </c>
      <c r="F637" t="s">
        <v>1366</v>
      </c>
      <c r="G637" t="s">
        <v>1371</v>
      </c>
      <c r="H637">
        <v>1.6200000000000001E-4</v>
      </c>
      <c r="J637" t="s">
        <v>1384</v>
      </c>
      <c r="L637">
        <f t="shared" si="16"/>
        <v>2.2000000000000001E-3</v>
      </c>
      <c r="N637">
        <v>0.15</v>
      </c>
      <c r="O637">
        <v>90</v>
      </c>
      <c r="R637" s="2" t="s">
        <v>1438</v>
      </c>
      <c r="S637">
        <v>2878047</v>
      </c>
      <c r="U637">
        <v>2878047</v>
      </c>
      <c r="V637">
        <v>5.6288170415563058E-11</v>
      </c>
      <c r="W637" t="s">
        <v>9</v>
      </c>
      <c r="X637" t="s">
        <v>1456</v>
      </c>
    </row>
    <row r="638" spans="1:24" hidden="1" x14ac:dyDescent="0.35">
      <c r="A638" t="s">
        <v>370</v>
      </c>
      <c r="B638">
        <v>2023</v>
      </c>
      <c r="C638" t="s">
        <v>1308</v>
      </c>
      <c r="D638" t="s">
        <v>1317</v>
      </c>
      <c r="E638" t="s">
        <v>1359</v>
      </c>
      <c r="F638" t="s">
        <v>1366</v>
      </c>
      <c r="G638" t="s">
        <v>1372</v>
      </c>
      <c r="H638">
        <v>0.42926199999999998</v>
      </c>
      <c r="J638" t="s">
        <v>1384</v>
      </c>
      <c r="L638">
        <f t="shared" si="16"/>
        <v>2.2000000000000001E-3</v>
      </c>
      <c r="N638">
        <v>0.15</v>
      </c>
      <c r="O638">
        <v>90</v>
      </c>
      <c r="R638" s="2" t="s">
        <v>1438</v>
      </c>
      <c r="S638">
        <v>2878047</v>
      </c>
      <c r="U638">
        <v>2878047</v>
      </c>
      <c r="V638">
        <v>1.491504482032434E-7</v>
      </c>
      <c r="W638" t="s">
        <v>9</v>
      </c>
      <c r="X638" t="s">
        <v>1457</v>
      </c>
    </row>
    <row r="639" spans="1:24" hidden="1" x14ac:dyDescent="0.35">
      <c r="A639" t="s">
        <v>372</v>
      </c>
      <c r="B639">
        <v>2023</v>
      </c>
      <c r="C639" t="s">
        <v>1308</v>
      </c>
      <c r="D639" t="s">
        <v>1318</v>
      </c>
      <c r="E639" t="s">
        <v>1359</v>
      </c>
      <c r="F639" t="s">
        <v>1366</v>
      </c>
      <c r="G639" t="s">
        <v>1372</v>
      </c>
      <c r="H639">
        <v>3.9515000000000002E-2</v>
      </c>
      <c r="J639" t="s">
        <v>1384</v>
      </c>
      <c r="L639">
        <f t="shared" si="16"/>
        <v>2.2000000000000001E-3</v>
      </c>
      <c r="N639">
        <v>0.15</v>
      </c>
      <c r="O639">
        <v>90</v>
      </c>
      <c r="R639" s="2" t="s">
        <v>1438</v>
      </c>
      <c r="S639">
        <v>2878047</v>
      </c>
      <c r="U639">
        <v>2878047</v>
      </c>
      <c r="V639">
        <v>1.372979662945046E-8</v>
      </c>
      <c r="W639" t="s">
        <v>9</v>
      </c>
      <c r="X639" t="s">
        <v>1457</v>
      </c>
    </row>
    <row r="640" spans="1:24" hidden="1" x14ac:dyDescent="0.35">
      <c r="A640" t="s">
        <v>375</v>
      </c>
      <c r="B640">
        <v>2023</v>
      </c>
      <c r="C640" t="s">
        <v>1308</v>
      </c>
      <c r="D640" t="s">
        <v>1319</v>
      </c>
      <c r="E640" t="s">
        <v>1359</v>
      </c>
      <c r="F640" t="s">
        <v>1366</v>
      </c>
      <c r="G640" t="s">
        <v>1371</v>
      </c>
      <c r="H640">
        <v>1.4796999999999999E-2</v>
      </c>
      <c r="J640" t="s">
        <v>1384</v>
      </c>
      <c r="L640">
        <f t="shared" si="16"/>
        <v>2.2000000000000001E-3</v>
      </c>
      <c r="N640">
        <v>0.15</v>
      </c>
      <c r="O640">
        <v>90</v>
      </c>
      <c r="R640" s="2" t="s">
        <v>1438</v>
      </c>
      <c r="S640">
        <v>2878047</v>
      </c>
      <c r="U640">
        <v>2878047</v>
      </c>
      <c r="V640">
        <v>5.1413336891301643E-9</v>
      </c>
      <c r="W640" t="s">
        <v>9</v>
      </c>
      <c r="X640" t="s">
        <v>1456</v>
      </c>
    </row>
    <row r="641" spans="1:24" hidden="1" x14ac:dyDescent="0.35">
      <c r="A641" t="s">
        <v>377</v>
      </c>
      <c r="B641">
        <v>2023</v>
      </c>
      <c r="C641" t="s">
        <v>1308</v>
      </c>
      <c r="D641" t="s">
        <v>1320</v>
      </c>
      <c r="E641" t="s">
        <v>1359</v>
      </c>
      <c r="F641" t="s">
        <v>1366</v>
      </c>
      <c r="G641" t="s">
        <v>1372</v>
      </c>
      <c r="H641">
        <v>2.1495229999999999</v>
      </c>
      <c r="J641" t="s">
        <v>1384</v>
      </c>
      <c r="L641">
        <f t="shared" si="16"/>
        <v>2.2000000000000001E-3</v>
      </c>
      <c r="N641">
        <v>0.15</v>
      </c>
      <c r="O641">
        <v>90</v>
      </c>
      <c r="R641" s="2" t="s">
        <v>1438</v>
      </c>
      <c r="S641">
        <v>2878047</v>
      </c>
      <c r="U641">
        <v>2878047</v>
      </c>
      <c r="V641">
        <v>7.4686862306279214E-7</v>
      </c>
      <c r="W641" t="s">
        <v>9</v>
      </c>
      <c r="X641" t="s">
        <v>1457</v>
      </c>
    </row>
    <row r="642" spans="1:24" hidden="1" x14ac:dyDescent="0.35">
      <c r="A642" t="s">
        <v>379</v>
      </c>
      <c r="B642">
        <v>2023</v>
      </c>
      <c r="C642" t="s">
        <v>1308</v>
      </c>
      <c r="D642" t="s">
        <v>1321</v>
      </c>
      <c r="E642" t="s">
        <v>1359</v>
      </c>
      <c r="F642" t="s">
        <v>1366</v>
      </c>
      <c r="G642" t="s">
        <v>1371</v>
      </c>
      <c r="H642">
        <v>3.209E-2</v>
      </c>
      <c r="J642" t="s">
        <v>1384</v>
      </c>
      <c r="L642">
        <f t="shared" si="16"/>
        <v>2.2000000000000001E-3</v>
      </c>
      <c r="N642">
        <v>0.15</v>
      </c>
      <c r="O642">
        <v>90</v>
      </c>
      <c r="R642" s="2" t="s">
        <v>1438</v>
      </c>
      <c r="S642">
        <v>2878047</v>
      </c>
      <c r="U642">
        <v>2878047</v>
      </c>
      <c r="V642">
        <v>1.1149922152070481E-8</v>
      </c>
      <c r="W642" t="s">
        <v>9</v>
      </c>
      <c r="X642" t="s">
        <v>1456</v>
      </c>
    </row>
    <row r="643" spans="1:24" hidden="1" x14ac:dyDescent="0.35">
      <c r="A643" t="s">
        <v>381</v>
      </c>
      <c r="B643">
        <v>2023</v>
      </c>
      <c r="C643" t="s">
        <v>1308</v>
      </c>
      <c r="D643" t="s">
        <v>1322</v>
      </c>
      <c r="E643" t="s">
        <v>1359</v>
      </c>
      <c r="F643" t="s">
        <v>1366</v>
      </c>
      <c r="G643" t="s">
        <v>1372</v>
      </c>
      <c r="H643">
        <v>6.8765539999999996</v>
      </c>
      <c r="J643" t="s">
        <v>1384</v>
      </c>
      <c r="L643">
        <f t="shared" si="16"/>
        <v>2.2000000000000001E-3</v>
      </c>
      <c r="N643">
        <v>0.15</v>
      </c>
      <c r="O643">
        <v>90</v>
      </c>
      <c r="R643" s="2" t="s">
        <v>1438</v>
      </c>
      <c r="S643">
        <v>2878047</v>
      </c>
      <c r="U643">
        <v>2878047</v>
      </c>
      <c r="V643">
        <v>2.3893126137272952E-6</v>
      </c>
      <c r="W643" t="s">
        <v>9</v>
      </c>
      <c r="X643" t="s">
        <v>1457</v>
      </c>
    </row>
    <row r="644" spans="1:24" hidden="1" x14ac:dyDescent="0.35">
      <c r="A644" t="s">
        <v>383</v>
      </c>
      <c r="B644">
        <v>2023</v>
      </c>
      <c r="C644" t="s">
        <v>1308</v>
      </c>
      <c r="D644" t="s">
        <v>1323</v>
      </c>
      <c r="E644" t="s">
        <v>1359</v>
      </c>
      <c r="F644" t="s">
        <v>1366</v>
      </c>
      <c r="G644" t="s">
        <v>1371</v>
      </c>
      <c r="H644">
        <v>0.15731100000000001</v>
      </c>
      <c r="J644" t="s">
        <v>1384</v>
      </c>
      <c r="L644">
        <f t="shared" si="16"/>
        <v>2.2000000000000001E-3</v>
      </c>
      <c r="N644">
        <v>0.15</v>
      </c>
      <c r="O644">
        <v>90</v>
      </c>
      <c r="R644" s="2" t="s">
        <v>1438</v>
      </c>
      <c r="S644">
        <v>2878047</v>
      </c>
      <c r="U644">
        <v>2878047</v>
      </c>
      <c r="V644">
        <v>5.4658940594090368E-8</v>
      </c>
      <c r="W644" t="s">
        <v>9</v>
      </c>
      <c r="X644" t="s">
        <v>1456</v>
      </c>
    </row>
    <row r="645" spans="1:24" hidden="1" x14ac:dyDescent="0.35">
      <c r="A645" t="s">
        <v>385</v>
      </c>
      <c r="B645">
        <v>2023</v>
      </c>
      <c r="C645" t="s">
        <v>1308</v>
      </c>
      <c r="D645" t="s">
        <v>1330</v>
      </c>
      <c r="E645" t="s">
        <v>1359</v>
      </c>
      <c r="F645" t="s">
        <v>1366</v>
      </c>
      <c r="G645" t="s">
        <v>1371</v>
      </c>
      <c r="H645">
        <v>1.18E-7</v>
      </c>
      <c r="J645" t="s">
        <v>1384</v>
      </c>
      <c r="L645">
        <f t="shared" si="16"/>
        <v>2.2000000000000001E-3</v>
      </c>
      <c r="N645">
        <v>0.15</v>
      </c>
      <c r="O645">
        <v>90</v>
      </c>
      <c r="R645" s="2" t="s">
        <v>1438</v>
      </c>
      <c r="S645">
        <v>2878047</v>
      </c>
      <c r="U645">
        <v>2878047</v>
      </c>
      <c r="V645">
        <v>4.1000025364422472E-14</v>
      </c>
      <c r="W645" t="s">
        <v>9</v>
      </c>
      <c r="X645" t="s">
        <v>1456</v>
      </c>
    </row>
    <row r="646" spans="1:24" hidden="1" x14ac:dyDescent="0.35">
      <c r="A646" t="s">
        <v>387</v>
      </c>
      <c r="B646">
        <v>2023</v>
      </c>
      <c r="C646" t="s">
        <v>1308</v>
      </c>
      <c r="D646" t="s">
        <v>1324</v>
      </c>
      <c r="E646" t="s">
        <v>1359</v>
      </c>
      <c r="F646" t="s">
        <v>1366</v>
      </c>
      <c r="G646" t="s">
        <v>1371</v>
      </c>
      <c r="H646">
        <v>5.8370000000000002E-3</v>
      </c>
      <c r="J646" t="s">
        <v>1384</v>
      </c>
      <c r="L646">
        <f t="shared" si="16"/>
        <v>2.2000000000000001E-3</v>
      </c>
      <c r="N646">
        <v>0.15</v>
      </c>
      <c r="O646">
        <v>90</v>
      </c>
      <c r="R646" s="2" t="s">
        <v>1438</v>
      </c>
      <c r="S646">
        <v>2878047</v>
      </c>
      <c r="U646">
        <v>2878047</v>
      </c>
      <c r="V646">
        <v>2.0281114241706269E-9</v>
      </c>
      <c r="W646" t="s">
        <v>9</v>
      </c>
      <c r="X646" t="s">
        <v>1456</v>
      </c>
    </row>
    <row r="647" spans="1:24" hidden="1" x14ac:dyDescent="0.35">
      <c r="A647" t="s">
        <v>388</v>
      </c>
      <c r="B647">
        <v>2023</v>
      </c>
      <c r="C647" t="s">
        <v>1308</v>
      </c>
      <c r="D647" t="s">
        <v>1332</v>
      </c>
      <c r="E647" t="s">
        <v>1359</v>
      </c>
      <c r="F647" t="s">
        <v>1366</v>
      </c>
      <c r="G647" t="s">
        <v>1371</v>
      </c>
      <c r="H647">
        <v>0.20386199999999999</v>
      </c>
      <c r="J647" t="s">
        <v>1384</v>
      </c>
      <c r="L647">
        <f t="shared" si="16"/>
        <v>2.2000000000000001E-3</v>
      </c>
      <c r="N647">
        <v>0.15</v>
      </c>
      <c r="O647">
        <v>90</v>
      </c>
      <c r="R647" s="2" t="s">
        <v>1438</v>
      </c>
      <c r="S647">
        <v>2878047</v>
      </c>
      <c r="U647">
        <v>2878047</v>
      </c>
      <c r="V647">
        <v>7.0833450600355024E-8</v>
      </c>
      <c r="W647" t="s">
        <v>9</v>
      </c>
      <c r="X647" t="s">
        <v>1456</v>
      </c>
    </row>
    <row r="648" spans="1:24" hidden="1" x14ac:dyDescent="0.35">
      <c r="A648" t="s">
        <v>390</v>
      </c>
      <c r="B648">
        <v>2023</v>
      </c>
      <c r="C648" t="s">
        <v>1308</v>
      </c>
      <c r="D648" t="s">
        <v>1313</v>
      </c>
      <c r="E648" t="s">
        <v>1359</v>
      </c>
      <c r="F648" t="s">
        <v>1366</v>
      </c>
      <c r="G648" t="s">
        <v>1371</v>
      </c>
      <c r="H648">
        <v>17.132194999999999</v>
      </c>
      <c r="J648" t="s">
        <v>1384</v>
      </c>
      <c r="L648">
        <f t="shared" si="16"/>
        <v>2.2000000000000001E-3</v>
      </c>
      <c r="N648">
        <v>0.15</v>
      </c>
      <c r="O648">
        <v>90</v>
      </c>
      <c r="R648" s="2" t="s">
        <v>1438</v>
      </c>
      <c r="S648">
        <v>2878047</v>
      </c>
      <c r="U648">
        <v>2878047</v>
      </c>
      <c r="V648">
        <v>5.9527155046460321E-6</v>
      </c>
      <c r="W648" t="s">
        <v>9</v>
      </c>
      <c r="X648" t="s">
        <v>1456</v>
      </c>
    </row>
    <row r="649" spans="1:24" hidden="1" x14ac:dyDescent="0.35">
      <c r="A649" t="s">
        <v>392</v>
      </c>
      <c r="B649">
        <v>2023</v>
      </c>
      <c r="C649" t="s">
        <v>1308</v>
      </c>
      <c r="D649" t="s">
        <v>1314</v>
      </c>
      <c r="E649" t="s">
        <v>1359</v>
      </c>
      <c r="F649" t="s">
        <v>1366</v>
      </c>
      <c r="G649" t="s">
        <v>1371</v>
      </c>
      <c r="H649">
        <v>1.370978</v>
      </c>
      <c r="J649" t="s">
        <v>1384</v>
      </c>
      <c r="L649">
        <f t="shared" si="16"/>
        <v>2.2000000000000001E-3</v>
      </c>
      <c r="N649">
        <v>0.15</v>
      </c>
      <c r="O649">
        <v>90</v>
      </c>
      <c r="R649" s="2" t="s">
        <v>1438</v>
      </c>
      <c r="S649">
        <v>2878047</v>
      </c>
      <c r="U649">
        <v>2878047</v>
      </c>
      <c r="V649">
        <v>4.7635705740733209E-7</v>
      </c>
      <c r="W649" t="s">
        <v>9</v>
      </c>
      <c r="X649" t="s">
        <v>1456</v>
      </c>
    </row>
    <row r="650" spans="1:24" hidden="1" x14ac:dyDescent="0.35">
      <c r="A650" t="s">
        <v>394</v>
      </c>
      <c r="B650">
        <v>2023</v>
      </c>
      <c r="C650" t="s">
        <v>1308</v>
      </c>
      <c r="D650" t="s">
        <v>1325</v>
      </c>
      <c r="E650" t="s">
        <v>1359</v>
      </c>
      <c r="F650" t="s">
        <v>1366</v>
      </c>
      <c r="G650" t="s">
        <v>1372</v>
      </c>
      <c r="H650">
        <v>0.107657</v>
      </c>
      <c r="J650" t="s">
        <v>1384</v>
      </c>
      <c r="L650">
        <f t="shared" si="16"/>
        <v>2.2000000000000001E-3</v>
      </c>
      <c r="N650">
        <v>0.15</v>
      </c>
      <c r="O650">
        <v>90</v>
      </c>
      <c r="R650" s="2" t="s">
        <v>1438</v>
      </c>
      <c r="S650">
        <v>2878047</v>
      </c>
      <c r="U650">
        <v>2878047</v>
      </c>
      <c r="V650">
        <v>3.7406268903878219E-8</v>
      </c>
      <c r="W650" t="s">
        <v>9</v>
      </c>
      <c r="X650" t="s">
        <v>1457</v>
      </c>
    </row>
    <row r="651" spans="1:24" hidden="1" x14ac:dyDescent="0.35">
      <c r="A651" t="s">
        <v>395</v>
      </c>
      <c r="B651">
        <v>2023</v>
      </c>
      <c r="C651" t="s">
        <v>1308</v>
      </c>
      <c r="D651" t="s">
        <v>1333</v>
      </c>
      <c r="E651" t="s">
        <v>1359</v>
      </c>
      <c r="F651" t="s">
        <v>1366</v>
      </c>
      <c r="G651" t="s">
        <v>1371</v>
      </c>
      <c r="H651">
        <v>1.3300000000000001E-4</v>
      </c>
      <c r="J651" t="s">
        <v>1384</v>
      </c>
      <c r="L651">
        <f t="shared" si="16"/>
        <v>2.2000000000000001E-3</v>
      </c>
      <c r="N651">
        <v>0.15</v>
      </c>
      <c r="O651">
        <v>90</v>
      </c>
      <c r="R651" s="2" t="s">
        <v>1438</v>
      </c>
      <c r="S651">
        <v>2878047</v>
      </c>
      <c r="U651">
        <v>2878047</v>
      </c>
      <c r="V651">
        <v>4.6211892995493128E-11</v>
      </c>
      <c r="W651" t="s">
        <v>9</v>
      </c>
      <c r="X651" t="s">
        <v>1456</v>
      </c>
    </row>
    <row r="652" spans="1:24" hidden="1" x14ac:dyDescent="0.35">
      <c r="A652" t="s">
        <v>396</v>
      </c>
      <c r="B652">
        <v>2023</v>
      </c>
      <c r="C652" t="s">
        <v>1308</v>
      </c>
      <c r="D652" t="s">
        <v>1334</v>
      </c>
      <c r="E652" t="s">
        <v>1359</v>
      </c>
      <c r="F652" t="s">
        <v>1366</v>
      </c>
      <c r="G652" t="s">
        <v>1372</v>
      </c>
      <c r="H652">
        <v>0.13471900000000001</v>
      </c>
      <c r="J652" t="s">
        <v>1384</v>
      </c>
      <c r="L652">
        <f t="shared" si="16"/>
        <v>2.2000000000000001E-3</v>
      </c>
      <c r="N652">
        <v>0.15</v>
      </c>
      <c r="O652">
        <v>90</v>
      </c>
      <c r="R652" s="2" t="s">
        <v>1438</v>
      </c>
      <c r="S652">
        <v>2878047</v>
      </c>
      <c r="U652">
        <v>2878047</v>
      </c>
      <c r="V652">
        <v>4.6809173026013822E-8</v>
      </c>
      <c r="W652" t="s">
        <v>9</v>
      </c>
      <c r="X652" t="s">
        <v>1457</v>
      </c>
    </row>
    <row r="653" spans="1:24" hidden="1" x14ac:dyDescent="0.35">
      <c r="A653" t="s">
        <v>398</v>
      </c>
      <c r="B653">
        <v>2023</v>
      </c>
      <c r="C653" t="s">
        <v>1308</v>
      </c>
      <c r="D653" t="s">
        <v>1315</v>
      </c>
      <c r="E653" t="s">
        <v>1359</v>
      </c>
      <c r="F653" t="s">
        <v>1366</v>
      </c>
      <c r="G653" t="s">
        <v>1371</v>
      </c>
      <c r="H653">
        <v>153.79599899999999</v>
      </c>
      <c r="J653" t="s">
        <v>1384</v>
      </c>
      <c r="L653">
        <f t="shared" si="16"/>
        <v>2.2000000000000001E-3</v>
      </c>
      <c r="N653">
        <v>0.15</v>
      </c>
      <c r="O653">
        <v>90</v>
      </c>
      <c r="R653" s="2" t="s">
        <v>1438</v>
      </c>
      <c r="S653">
        <v>2878047</v>
      </c>
      <c r="U653">
        <v>2878047</v>
      </c>
      <c r="V653">
        <v>5.3437625931751631E-5</v>
      </c>
      <c r="W653" t="s">
        <v>9</v>
      </c>
      <c r="X653" t="s">
        <v>1456</v>
      </c>
    </row>
    <row r="654" spans="1:24" hidden="1" x14ac:dyDescent="0.35">
      <c r="A654" t="s">
        <v>399</v>
      </c>
      <c r="B654">
        <v>2023</v>
      </c>
      <c r="C654" t="s">
        <v>1308</v>
      </c>
      <c r="D654" t="s">
        <v>1336</v>
      </c>
      <c r="E654" t="s">
        <v>1359</v>
      </c>
      <c r="F654" t="s">
        <v>1366</v>
      </c>
      <c r="G654" t="s">
        <v>1371</v>
      </c>
      <c r="H654">
        <v>1.3265000000000001E-2</v>
      </c>
      <c r="J654" t="s">
        <v>1384</v>
      </c>
      <c r="L654">
        <f t="shared" si="16"/>
        <v>2.2000000000000001E-3</v>
      </c>
      <c r="N654">
        <v>0.15</v>
      </c>
      <c r="O654">
        <v>90</v>
      </c>
      <c r="R654" s="2" t="s">
        <v>1438</v>
      </c>
      <c r="S654">
        <v>2878047</v>
      </c>
      <c r="U654">
        <v>2878047</v>
      </c>
      <c r="V654">
        <v>4.6090282750768149E-9</v>
      </c>
      <c r="W654" t="s">
        <v>9</v>
      </c>
      <c r="X654" t="s">
        <v>1456</v>
      </c>
    </row>
    <row r="655" spans="1:24" hidden="1" x14ac:dyDescent="0.35">
      <c r="A655" t="s">
        <v>400</v>
      </c>
      <c r="B655">
        <v>2023</v>
      </c>
      <c r="C655" t="s">
        <v>1308</v>
      </c>
      <c r="D655" t="s">
        <v>1316</v>
      </c>
      <c r="E655" t="s">
        <v>1359</v>
      </c>
      <c r="F655" t="s">
        <v>1366</v>
      </c>
      <c r="G655" t="s">
        <v>1371</v>
      </c>
      <c r="H655">
        <v>0.446133</v>
      </c>
      <c r="J655" t="s">
        <v>1384</v>
      </c>
      <c r="L655">
        <f t="shared" si="16"/>
        <v>2.2000000000000001E-3</v>
      </c>
      <c r="N655">
        <v>0.15</v>
      </c>
      <c r="O655">
        <v>90</v>
      </c>
      <c r="R655" s="2" t="s">
        <v>1438</v>
      </c>
      <c r="S655">
        <v>2878047</v>
      </c>
      <c r="U655">
        <v>2878047</v>
      </c>
      <c r="V655">
        <v>1.550124094568296E-7</v>
      </c>
      <c r="W655" t="s">
        <v>9</v>
      </c>
      <c r="X655" t="s">
        <v>1456</v>
      </c>
    </row>
    <row r="656" spans="1:24" hidden="1" x14ac:dyDescent="0.35">
      <c r="A656" t="s">
        <v>402</v>
      </c>
      <c r="B656">
        <v>2023</v>
      </c>
      <c r="C656" t="s">
        <v>1308</v>
      </c>
      <c r="D656" t="s">
        <v>1326</v>
      </c>
      <c r="E656" t="s">
        <v>1359</v>
      </c>
      <c r="F656" t="s">
        <v>1366</v>
      </c>
      <c r="G656" t="s">
        <v>1371</v>
      </c>
      <c r="H656">
        <v>9.0480000000000005E-3</v>
      </c>
      <c r="J656" t="s">
        <v>1384</v>
      </c>
      <c r="L656">
        <f t="shared" si="16"/>
        <v>2.2000000000000001E-3</v>
      </c>
      <c r="N656">
        <v>0.15</v>
      </c>
      <c r="O656">
        <v>90</v>
      </c>
      <c r="R656" s="2" t="s">
        <v>1438</v>
      </c>
      <c r="S656">
        <v>2878047</v>
      </c>
      <c r="U656">
        <v>2878047</v>
      </c>
      <c r="V656">
        <v>3.1437985550618178E-9</v>
      </c>
      <c r="W656" t="s">
        <v>9</v>
      </c>
      <c r="X656" t="s">
        <v>1456</v>
      </c>
    </row>
    <row r="657" spans="1:24" hidden="1" x14ac:dyDescent="0.35">
      <c r="A657" t="s">
        <v>771</v>
      </c>
      <c r="B657">
        <v>2023</v>
      </c>
      <c r="C657" t="s">
        <v>1309</v>
      </c>
      <c r="D657" t="s">
        <v>1327</v>
      </c>
      <c r="E657" t="s">
        <v>1359</v>
      </c>
      <c r="F657" t="s">
        <v>1368</v>
      </c>
      <c r="G657" t="s">
        <v>1371</v>
      </c>
      <c r="H657">
        <v>1.8293429999999999</v>
      </c>
      <c r="J657" t="s">
        <v>1384</v>
      </c>
      <c r="L657">
        <f t="shared" si="16"/>
        <v>2.2000000000000001E-3</v>
      </c>
      <c r="N657">
        <v>0.15</v>
      </c>
      <c r="O657">
        <v>90</v>
      </c>
      <c r="R657" s="2" t="s">
        <v>1438</v>
      </c>
      <c r="S657">
        <v>2878047</v>
      </c>
      <c r="U657">
        <v>2878047</v>
      </c>
      <c r="V657">
        <v>6.3561957118837881E-7</v>
      </c>
      <c r="W657" t="s">
        <v>9</v>
      </c>
      <c r="X657" t="s">
        <v>1456</v>
      </c>
    </row>
    <row r="658" spans="1:24" hidden="1" x14ac:dyDescent="0.35">
      <c r="A658" t="s">
        <v>772</v>
      </c>
      <c r="B658">
        <v>2023</v>
      </c>
      <c r="C658" t="s">
        <v>1309</v>
      </c>
      <c r="D658" t="s">
        <v>1328</v>
      </c>
      <c r="E658" t="s">
        <v>1359</v>
      </c>
      <c r="F658" t="s">
        <v>1368</v>
      </c>
      <c r="G658" t="s">
        <v>1371</v>
      </c>
      <c r="H658">
        <v>1.6999999999999999E-3</v>
      </c>
      <c r="J658" t="s">
        <v>1384</v>
      </c>
      <c r="L658">
        <f t="shared" si="16"/>
        <v>2.2000000000000001E-3</v>
      </c>
      <c r="N658">
        <v>0.15</v>
      </c>
      <c r="O658">
        <v>90</v>
      </c>
      <c r="R658" s="2" t="s">
        <v>1438</v>
      </c>
      <c r="S658">
        <v>2878047</v>
      </c>
      <c r="U658">
        <v>2878047</v>
      </c>
      <c r="V658">
        <v>5.9067833152134063E-10</v>
      </c>
      <c r="W658" t="s">
        <v>9</v>
      </c>
      <c r="X658" t="s">
        <v>1456</v>
      </c>
    </row>
    <row r="659" spans="1:24" hidden="1" x14ac:dyDescent="0.35">
      <c r="A659" t="s">
        <v>774</v>
      </c>
      <c r="B659">
        <v>2023</v>
      </c>
      <c r="C659" t="s">
        <v>1309</v>
      </c>
      <c r="D659" t="s">
        <v>1317</v>
      </c>
      <c r="E659" t="s">
        <v>1359</v>
      </c>
      <c r="F659" t="s">
        <v>1368</v>
      </c>
      <c r="G659" t="s">
        <v>1372</v>
      </c>
      <c r="H659">
        <v>6.4565039999999998</v>
      </c>
      <c r="J659" t="s">
        <v>1384</v>
      </c>
      <c r="L659">
        <f t="shared" si="16"/>
        <v>2.2000000000000001E-3</v>
      </c>
      <c r="N659">
        <v>0.15</v>
      </c>
      <c r="O659">
        <v>90</v>
      </c>
      <c r="R659" s="2" t="s">
        <v>1438</v>
      </c>
      <c r="S659">
        <v>2878047</v>
      </c>
      <c r="U659">
        <v>2878047</v>
      </c>
      <c r="V659">
        <v>2.2433629471652129E-6</v>
      </c>
      <c r="W659" t="s">
        <v>9</v>
      </c>
      <c r="X659" t="s">
        <v>1457</v>
      </c>
    </row>
    <row r="660" spans="1:24" hidden="1" x14ac:dyDescent="0.35">
      <c r="A660" t="s">
        <v>776</v>
      </c>
      <c r="B660">
        <v>2023</v>
      </c>
      <c r="C660" t="s">
        <v>1309</v>
      </c>
      <c r="D660" t="s">
        <v>1318</v>
      </c>
      <c r="E660" t="s">
        <v>1359</v>
      </c>
      <c r="F660" t="s">
        <v>1368</v>
      </c>
      <c r="G660" t="s">
        <v>1372</v>
      </c>
      <c r="H660">
        <v>0.106532</v>
      </c>
      <c r="J660" t="s">
        <v>1384</v>
      </c>
      <c r="L660">
        <f t="shared" si="16"/>
        <v>2.2000000000000001E-3</v>
      </c>
      <c r="N660">
        <v>0.15</v>
      </c>
      <c r="O660">
        <v>90</v>
      </c>
      <c r="R660" s="2" t="s">
        <v>1438</v>
      </c>
      <c r="S660">
        <v>2878047</v>
      </c>
      <c r="U660">
        <v>2878047</v>
      </c>
      <c r="V660">
        <v>3.701537883154792E-8</v>
      </c>
      <c r="W660" t="s">
        <v>9</v>
      </c>
      <c r="X660" t="s">
        <v>1457</v>
      </c>
    </row>
    <row r="661" spans="1:24" hidden="1" x14ac:dyDescent="0.35">
      <c r="A661" t="s">
        <v>778</v>
      </c>
      <c r="B661">
        <v>2023</v>
      </c>
      <c r="C661" t="s">
        <v>1309</v>
      </c>
      <c r="D661" t="s">
        <v>1319</v>
      </c>
      <c r="E661" t="s">
        <v>1359</v>
      </c>
      <c r="F661" t="s">
        <v>1368</v>
      </c>
      <c r="G661" t="s">
        <v>1371</v>
      </c>
      <c r="H661">
        <v>2.2599999999999999E-3</v>
      </c>
      <c r="J661" t="s">
        <v>1384</v>
      </c>
      <c r="L661">
        <f t="shared" si="16"/>
        <v>2.2000000000000001E-3</v>
      </c>
      <c r="N661">
        <v>0.15</v>
      </c>
      <c r="O661">
        <v>90</v>
      </c>
      <c r="R661" s="2" t="s">
        <v>1438</v>
      </c>
      <c r="S661">
        <v>2878047</v>
      </c>
      <c r="U661">
        <v>2878047</v>
      </c>
      <c r="V661">
        <v>7.8525472308131167E-10</v>
      </c>
      <c r="W661" t="s">
        <v>9</v>
      </c>
      <c r="X661" t="s">
        <v>1456</v>
      </c>
    </row>
    <row r="662" spans="1:24" hidden="1" x14ac:dyDescent="0.35">
      <c r="A662" t="s">
        <v>780</v>
      </c>
      <c r="B662">
        <v>2023</v>
      </c>
      <c r="C662" t="s">
        <v>1309</v>
      </c>
      <c r="D662" t="s">
        <v>1320</v>
      </c>
      <c r="E662" t="s">
        <v>1359</v>
      </c>
      <c r="F662" t="s">
        <v>1368</v>
      </c>
      <c r="G662" t="s">
        <v>1372</v>
      </c>
      <c r="H662">
        <v>10.222797999999999</v>
      </c>
      <c r="J662" t="s">
        <v>1384</v>
      </c>
      <c r="L662">
        <f t="shared" si="16"/>
        <v>2.2000000000000001E-3</v>
      </c>
      <c r="N662">
        <v>0.15</v>
      </c>
      <c r="O662">
        <v>90</v>
      </c>
      <c r="R662" s="2" t="s">
        <v>1438</v>
      </c>
      <c r="S662">
        <v>2878047</v>
      </c>
      <c r="U662">
        <v>2878047</v>
      </c>
      <c r="V662">
        <v>3.5519913330115868E-6</v>
      </c>
      <c r="W662" t="s">
        <v>9</v>
      </c>
      <c r="X662" t="s">
        <v>1457</v>
      </c>
    </row>
    <row r="663" spans="1:24" hidden="1" x14ac:dyDescent="0.35">
      <c r="A663" t="s">
        <v>782</v>
      </c>
      <c r="B663">
        <v>2023</v>
      </c>
      <c r="C663" t="s">
        <v>1309</v>
      </c>
      <c r="D663" t="s">
        <v>1321</v>
      </c>
      <c r="E663" t="s">
        <v>1359</v>
      </c>
      <c r="F663" t="s">
        <v>1368</v>
      </c>
      <c r="G663" t="s">
        <v>1371</v>
      </c>
      <c r="H663">
        <v>2.7977999999999999E-2</v>
      </c>
      <c r="J663" t="s">
        <v>1384</v>
      </c>
      <c r="L663">
        <f t="shared" si="16"/>
        <v>2.2000000000000001E-3</v>
      </c>
      <c r="N663">
        <v>0.15</v>
      </c>
      <c r="O663">
        <v>90</v>
      </c>
      <c r="R663" s="2" t="s">
        <v>1438</v>
      </c>
      <c r="S663">
        <v>2878047</v>
      </c>
      <c r="U663">
        <v>2878047</v>
      </c>
      <c r="V663">
        <v>9.7211755054729821E-9</v>
      </c>
      <c r="W663" t="s">
        <v>9</v>
      </c>
      <c r="X663" t="s">
        <v>1456</v>
      </c>
    </row>
    <row r="664" spans="1:24" hidden="1" x14ac:dyDescent="0.35">
      <c r="A664" t="s">
        <v>785</v>
      </c>
      <c r="B664">
        <v>2023</v>
      </c>
      <c r="C664" t="s">
        <v>1309</v>
      </c>
      <c r="D664" t="s">
        <v>1322</v>
      </c>
      <c r="E664" t="s">
        <v>1359</v>
      </c>
      <c r="F664" t="s">
        <v>1368</v>
      </c>
      <c r="G664" t="s">
        <v>1372</v>
      </c>
      <c r="H664">
        <v>0.33358599999999999</v>
      </c>
      <c r="J664" t="s">
        <v>1384</v>
      </c>
      <c r="L664">
        <f t="shared" si="16"/>
        <v>2.2000000000000001E-3</v>
      </c>
      <c r="N664">
        <v>0.15</v>
      </c>
      <c r="O664">
        <v>90</v>
      </c>
      <c r="R664" s="2" t="s">
        <v>1438</v>
      </c>
      <c r="S664">
        <v>2878047</v>
      </c>
      <c r="U664">
        <v>2878047</v>
      </c>
      <c r="V664">
        <v>1.1590707170522229E-7</v>
      </c>
      <c r="W664" t="s">
        <v>9</v>
      </c>
      <c r="X664" t="s">
        <v>1457</v>
      </c>
    </row>
    <row r="665" spans="1:24" hidden="1" x14ac:dyDescent="0.35">
      <c r="A665" t="s">
        <v>788</v>
      </c>
      <c r="B665">
        <v>2023</v>
      </c>
      <c r="C665" t="s">
        <v>1309</v>
      </c>
      <c r="D665" t="s">
        <v>1330</v>
      </c>
      <c r="E665" t="s">
        <v>1359</v>
      </c>
      <c r="F665" t="s">
        <v>1368</v>
      </c>
      <c r="G665" t="s">
        <v>1371</v>
      </c>
      <c r="H665">
        <v>1.7217299999999999E-4</v>
      </c>
      <c r="J665" t="s">
        <v>1384</v>
      </c>
      <c r="L665">
        <f t="shared" si="16"/>
        <v>2.2000000000000001E-3</v>
      </c>
      <c r="N665">
        <v>0.15</v>
      </c>
      <c r="O665">
        <v>90</v>
      </c>
      <c r="R665" s="2" t="s">
        <v>1438</v>
      </c>
      <c r="S665">
        <v>2878047</v>
      </c>
      <c r="U665">
        <v>2878047</v>
      </c>
      <c r="V665">
        <v>5.9822859042955162E-11</v>
      </c>
      <c r="W665" t="s">
        <v>9</v>
      </c>
      <c r="X665" t="s">
        <v>1456</v>
      </c>
    </row>
    <row r="666" spans="1:24" hidden="1" x14ac:dyDescent="0.35">
      <c r="A666" t="s">
        <v>790</v>
      </c>
      <c r="B666">
        <v>2023</v>
      </c>
      <c r="C666" t="s">
        <v>1309</v>
      </c>
      <c r="D666" t="s">
        <v>1324</v>
      </c>
      <c r="E666" t="s">
        <v>1359</v>
      </c>
      <c r="F666" t="s">
        <v>1368</v>
      </c>
      <c r="G666" t="s">
        <v>1371</v>
      </c>
      <c r="H666">
        <v>1.0761E-2</v>
      </c>
      <c r="J666" t="s">
        <v>1384</v>
      </c>
      <c r="L666">
        <f t="shared" si="16"/>
        <v>2.2000000000000001E-3</v>
      </c>
      <c r="N666">
        <v>0.15</v>
      </c>
      <c r="O666">
        <v>90</v>
      </c>
      <c r="R666" s="2" t="s">
        <v>1438</v>
      </c>
      <c r="S666">
        <v>2878047</v>
      </c>
      <c r="U666">
        <v>2878047</v>
      </c>
      <c r="V666">
        <v>3.7389938385300863E-9</v>
      </c>
      <c r="W666" t="s">
        <v>9</v>
      </c>
      <c r="X666" t="s">
        <v>1456</v>
      </c>
    </row>
    <row r="667" spans="1:24" hidden="1" x14ac:dyDescent="0.35">
      <c r="A667" t="s">
        <v>792</v>
      </c>
      <c r="B667">
        <v>2023</v>
      </c>
      <c r="C667" t="s">
        <v>1309</v>
      </c>
      <c r="D667" t="s">
        <v>1331</v>
      </c>
      <c r="E667" t="s">
        <v>1359</v>
      </c>
      <c r="F667" t="s">
        <v>1368</v>
      </c>
      <c r="G667" t="s">
        <v>1371</v>
      </c>
      <c r="H667">
        <v>95.663867999999994</v>
      </c>
      <c r="J667" t="s">
        <v>1384</v>
      </c>
      <c r="L667">
        <f t="shared" si="16"/>
        <v>2.2000000000000001E-3</v>
      </c>
      <c r="N667">
        <v>0.15</v>
      </c>
      <c r="O667">
        <v>90</v>
      </c>
      <c r="R667" s="2" t="s">
        <v>1438</v>
      </c>
      <c r="S667">
        <v>2878047</v>
      </c>
      <c r="U667">
        <v>2878047</v>
      </c>
      <c r="V667">
        <v>3.3239161139481043E-5</v>
      </c>
      <c r="W667" t="s">
        <v>9</v>
      </c>
      <c r="X667" t="s">
        <v>1456</v>
      </c>
    </row>
    <row r="668" spans="1:24" hidden="1" x14ac:dyDescent="0.35">
      <c r="A668" t="s">
        <v>793</v>
      </c>
      <c r="B668">
        <v>2023</v>
      </c>
      <c r="C668" t="s">
        <v>1309</v>
      </c>
      <c r="D668" t="s">
        <v>1332</v>
      </c>
      <c r="E668" t="s">
        <v>1359</v>
      </c>
      <c r="F668" t="s">
        <v>1368</v>
      </c>
      <c r="G668" t="s">
        <v>1371</v>
      </c>
      <c r="H668">
        <v>0.21521699999999999</v>
      </c>
      <c r="J668" t="s">
        <v>1384</v>
      </c>
      <c r="L668">
        <f t="shared" si="16"/>
        <v>2.2000000000000001E-3</v>
      </c>
      <c r="N668">
        <v>0.15</v>
      </c>
      <c r="O668">
        <v>90</v>
      </c>
      <c r="R668" s="2" t="s">
        <v>1438</v>
      </c>
      <c r="S668">
        <v>2878047</v>
      </c>
      <c r="U668">
        <v>2878047</v>
      </c>
      <c r="V668">
        <v>7.477883439707551E-8</v>
      </c>
      <c r="W668" t="s">
        <v>9</v>
      </c>
      <c r="X668" t="s">
        <v>1456</v>
      </c>
    </row>
    <row r="669" spans="1:24" hidden="1" x14ac:dyDescent="0.35">
      <c r="A669" t="s">
        <v>795</v>
      </c>
      <c r="B669">
        <v>2023</v>
      </c>
      <c r="C669" t="s">
        <v>1309</v>
      </c>
      <c r="D669" t="s">
        <v>1325</v>
      </c>
      <c r="E669" t="s">
        <v>1359</v>
      </c>
      <c r="F669" t="s">
        <v>1368</v>
      </c>
      <c r="G669" t="s">
        <v>1372</v>
      </c>
      <c r="H669">
        <v>8.7162799999999994</v>
      </c>
      <c r="J669" t="s">
        <v>1384</v>
      </c>
      <c r="L669">
        <f t="shared" si="16"/>
        <v>2.2000000000000001E-3</v>
      </c>
      <c r="N669">
        <v>0.15</v>
      </c>
      <c r="O669">
        <v>90</v>
      </c>
      <c r="R669" s="2" t="s">
        <v>1438</v>
      </c>
      <c r="S669">
        <v>2878047</v>
      </c>
      <c r="U669">
        <v>2878047</v>
      </c>
      <c r="V669">
        <v>3.0285398396899008E-6</v>
      </c>
      <c r="W669" t="s">
        <v>9</v>
      </c>
      <c r="X669" t="s">
        <v>1457</v>
      </c>
    </row>
    <row r="670" spans="1:24" hidden="1" x14ac:dyDescent="0.35">
      <c r="A670" t="s">
        <v>796</v>
      </c>
      <c r="B670">
        <v>2023</v>
      </c>
      <c r="C670" t="s">
        <v>1309</v>
      </c>
      <c r="D670" t="s">
        <v>1333</v>
      </c>
      <c r="E670" t="s">
        <v>1359</v>
      </c>
      <c r="F670" t="s">
        <v>1368</v>
      </c>
      <c r="G670" t="s">
        <v>1371</v>
      </c>
      <c r="H670">
        <v>2.04E-4</v>
      </c>
      <c r="J670" t="s">
        <v>1384</v>
      </c>
      <c r="L670">
        <f t="shared" si="16"/>
        <v>2.2000000000000001E-3</v>
      </c>
      <c r="N670">
        <v>0.15</v>
      </c>
      <c r="O670">
        <v>90</v>
      </c>
      <c r="R670" s="2" t="s">
        <v>1438</v>
      </c>
      <c r="S670">
        <v>2878047</v>
      </c>
      <c r="U670">
        <v>2878047</v>
      </c>
      <c r="V670">
        <v>7.0881399782560879E-11</v>
      </c>
      <c r="W670" t="s">
        <v>9</v>
      </c>
      <c r="X670" t="s">
        <v>1456</v>
      </c>
    </row>
    <row r="671" spans="1:24" hidden="1" x14ac:dyDescent="0.35">
      <c r="A671" t="s">
        <v>797</v>
      </c>
      <c r="B671">
        <v>2023</v>
      </c>
      <c r="C671" t="s">
        <v>1309</v>
      </c>
      <c r="D671" t="s">
        <v>1334</v>
      </c>
      <c r="E671" t="s">
        <v>1359</v>
      </c>
      <c r="F671" t="s">
        <v>1368</v>
      </c>
      <c r="G671" t="s">
        <v>1372</v>
      </c>
      <c r="H671">
        <v>0.161413</v>
      </c>
      <c r="J671" t="s">
        <v>1384</v>
      </c>
      <c r="L671">
        <f t="shared" si="16"/>
        <v>2.2000000000000001E-3</v>
      </c>
      <c r="N671">
        <v>0.15</v>
      </c>
      <c r="O671">
        <v>90</v>
      </c>
      <c r="R671" s="2" t="s">
        <v>1438</v>
      </c>
      <c r="S671">
        <v>2878047</v>
      </c>
      <c r="U671">
        <v>2878047</v>
      </c>
      <c r="V671">
        <v>5.6084212662267158E-8</v>
      </c>
      <c r="W671" t="s">
        <v>9</v>
      </c>
      <c r="X671" t="s">
        <v>1457</v>
      </c>
    </row>
    <row r="672" spans="1:24" hidden="1" x14ac:dyDescent="0.35">
      <c r="A672" t="s">
        <v>798</v>
      </c>
      <c r="B672">
        <v>2023</v>
      </c>
      <c r="C672" t="s">
        <v>1309</v>
      </c>
      <c r="D672" t="s">
        <v>1336</v>
      </c>
      <c r="E672" t="s">
        <v>1359</v>
      </c>
      <c r="F672" t="s">
        <v>1368</v>
      </c>
      <c r="G672" t="s">
        <v>1371</v>
      </c>
      <c r="H672">
        <v>1.722E-3</v>
      </c>
      <c r="J672" t="s">
        <v>1384</v>
      </c>
      <c r="L672">
        <f t="shared" si="16"/>
        <v>2.2000000000000001E-3</v>
      </c>
      <c r="N672">
        <v>0.15</v>
      </c>
      <c r="O672">
        <v>90</v>
      </c>
      <c r="R672" s="2" t="s">
        <v>1438</v>
      </c>
      <c r="S672">
        <v>2878047</v>
      </c>
      <c r="U672">
        <v>2878047</v>
      </c>
      <c r="V672">
        <v>5.9832240404691094E-10</v>
      </c>
      <c r="W672" t="s">
        <v>9</v>
      </c>
      <c r="X672" t="s">
        <v>1456</v>
      </c>
    </row>
    <row r="673" spans="1:24" hidden="1" x14ac:dyDescent="0.35">
      <c r="A673" t="s">
        <v>800</v>
      </c>
      <c r="B673">
        <v>2023</v>
      </c>
      <c r="C673" t="s">
        <v>1309</v>
      </c>
      <c r="D673" t="s">
        <v>1326</v>
      </c>
      <c r="E673" t="s">
        <v>1359</v>
      </c>
      <c r="F673" t="s">
        <v>1368</v>
      </c>
      <c r="G673" t="s">
        <v>1371</v>
      </c>
      <c r="H673">
        <v>1.9369999999999998E-2</v>
      </c>
      <c r="J673" t="s">
        <v>1384</v>
      </c>
      <c r="L673">
        <f t="shared" si="16"/>
        <v>2.2000000000000001E-3</v>
      </c>
      <c r="N673">
        <v>0.15</v>
      </c>
      <c r="O673">
        <v>90</v>
      </c>
      <c r="R673" s="2" t="s">
        <v>1438</v>
      </c>
      <c r="S673">
        <v>2878047</v>
      </c>
      <c r="U673">
        <v>2878047</v>
      </c>
      <c r="V673">
        <v>6.7302584009225696E-9</v>
      </c>
      <c r="W673" t="s">
        <v>9</v>
      </c>
      <c r="X673" t="s">
        <v>1456</v>
      </c>
    </row>
    <row r="674" spans="1:24" hidden="1" x14ac:dyDescent="0.35">
      <c r="A674" t="s">
        <v>1043</v>
      </c>
      <c r="B674">
        <v>2023</v>
      </c>
      <c r="C674" t="s">
        <v>1308</v>
      </c>
      <c r="D674" t="s">
        <v>1347</v>
      </c>
      <c r="E674" t="s">
        <v>1359</v>
      </c>
      <c r="F674" t="s">
        <v>1370</v>
      </c>
      <c r="G674" t="s">
        <v>1375</v>
      </c>
      <c r="H674">
        <v>21630</v>
      </c>
      <c r="J674" t="s">
        <v>1384</v>
      </c>
      <c r="L674">
        <f t="shared" si="16"/>
        <v>2.2000000000000001E-3</v>
      </c>
      <c r="N674">
        <v>0.15</v>
      </c>
      <c r="O674">
        <v>90</v>
      </c>
      <c r="R674" s="2" t="s">
        <v>1439</v>
      </c>
      <c r="S674">
        <v>2878047</v>
      </c>
      <c r="U674">
        <v>2878047</v>
      </c>
      <c r="V674">
        <v>7.5155131240038824E-3</v>
      </c>
      <c r="W674" t="s">
        <v>9</v>
      </c>
      <c r="X674" t="s">
        <v>1460</v>
      </c>
    </row>
    <row r="675" spans="1:24" hidden="1" x14ac:dyDescent="0.35">
      <c r="A675" t="s">
        <v>1117</v>
      </c>
      <c r="B675">
        <v>2023</v>
      </c>
      <c r="C675" t="s">
        <v>1308</v>
      </c>
      <c r="D675" t="s">
        <v>1351</v>
      </c>
      <c r="E675" t="s">
        <v>1359</v>
      </c>
      <c r="G675" t="s">
        <v>1375</v>
      </c>
      <c r="H675">
        <v>596</v>
      </c>
      <c r="I675" t="s">
        <v>1380</v>
      </c>
      <c r="J675" t="s">
        <v>1384</v>
      </c>
      <c r="L675">
        <f t="shared" si="16"/>
        <v>2.2000000000000001E-3</v>
      </c>
      <c r="N675">
        <v>0.15</v>
      </c>
      <c r="O675">
        <v>90</v>
      </c>
      <c r="Q675" t="s">
        <v>1423</v>
      </c>
      <c r="R675" t="s">
        <v>1441</v>
      </c>
      <c r="S675">
        <v>2878047</v>
      </c>
      <c r="U675">
        <v>2878047</v>
      </c>
      <c r="V675">
        <v>2.0708487387454061E-4</v>
      </c>
      <c r="W675" t="s">
        <v>9</v>
      </c>
      <c r="X675" t="s">
        <v>1460</v>
      </c>
    </row>
    <row r="676" spans="1:24" hidden="1" x14ac:dyDescent="0.35">
      <c r="A676" t="s">
        <v>1118</v>
      </c>
      <c r="B676">
        <v>2023</v>
      </c>
      <c r="C676" t="s">
        <v>1308</v>
      </c>
      <c r="D676" t="s">
        <v>1352</v>
      </c>
      <c r="E676" t="s">
        <v>1359</v>
      </c>
      <c r="G676" t="s">
        <v>1375</v>
      </c>
      <c r="H676">
        <v>23</v>
      </c>
      <c r="J676" t="s">
        <v>1384</v>
      </c>
      <c r="L676">
        <f t="shared" si="16"/>
        <v>2.2000000000000001E-3</v>
      </c>
      <c r="N676">
        <v>0.15</v>
      </c>
      <c r="O676">
        <v>90</v>
      </c>
      <c r="Q676" t="s">
        <v>1423</v>
      </c>
      <c r="R676" t="s">
        <v>1441</v>
      </c>
      <c r="S676">
        <v>2878047</v>
      </c>
      <c r="U676">
        <v>2878047</v>
      </c>
      <c r="V676">
        <v>7.9915303676416675E-6</v>
      </c>
      <c r="W676" t="s">
        <v>9</v>
      </c>
      <c r="X676" t="s">
        <v>1460</v>
      </c>
    </row>
    <row r="677" spans="1:24" hidden="1" x14ac:dyDescent="0.35">
      <c r="A677" t="s">
        <v>1119</v>
      </c>
      <c r="B677">
        <v>2023</v>
      </c>
      <c r="C677" t="s">
        <v>1308</v>
      </c>
      <c r="D677" t="s">
        <v>1311</v>
      </c>
      <c r="E677" t="s">
        <v>1359</v>
      </c>
      <c r="G677" t="s">
        <v>1371</v>
      </c>
      <c r="H677">
        <v>187.6</v>
      </c>
      <c r="J677" t="s">
        <v>1384</v>
      </c>
      <c r="L677">
        <f t="shared" si="16"/>
        <v>2.2000000000000001E-3</v>
      </c>
      <c r="N677">
        <v>0.15</v>
      </c>
      <c r="O677">
        <v>90</v>
      </c>
      <c r="Q677" t="s">
        <v>1423</v>
      </c>
      <c r="R677" t="s">
        <v>1441</v>
      </c>
      <c r="S677">
        <v>2878047</v>
      </c>
      <c r="U677">
        <v>2878047</v>
      </c>
      <c r="V677">
        <v>6.51830911725903E-5</v>
      </c>
      <c r="W677" t="s">
        <v>9</v>
      </c>
      <c r="X677" t="s">
        <v>1456</v>
      </c>
    </row>
    <row r="678" spans="1:24" hidden="1" x14ac:dyDescent="0.35">
      <c r="A678" t="s">
        <v>1120</v>
      </c>
      <c r="B678">
        <v>2023</v>
      </c>
      <c r="C678" t="s">
        <v>1308</v>
      </c>
      <c r="D678" t="s">
        <v>1351</v>
      </c>
      <c r="E678" t="s">
        <v>1359</v>
      </c>
      <c r="G678" t="s">
        <v>1375</v>
      </c>
      <c r="H678">
        <v>21538</v>
      </c>
      <c r="J678" t="s">
        <v>1384</v>
      </c>
      <c r="L678">
        <f t="shared" ref="L678:L693" si="17">2.2/1000</f>
        <v>2.2000000000000001E-3</v>
      </c>
      <c r="N678">
        <v>0.15</v>
      </c>
      <c r="O678">
        <v>90</v>
      </c>
      <c r="Q678" t="s">
        <v>1423</v>
      </c>
      <c r="R678" t="s">
        <v>1441</v>
      </c>
      <c r="S678">
        <v>2878047</v>
      </c>
      <c r="U678">
        <v>2878047</v>
      </c>
      <c r="V678">
        <v>7.4835470025333148E-3</v>
      </c>
      <c r="W678" t="s">
        <v>9</v>
      </c>
      <c r="X678" t="s">
        <v>1460</v>
      </c>
    </row>
    <row r="679" spans="1:24" hidden="1" x14ac:dyDescent="0.35">
      <c r="A679" t="s">
        <v>1121</v>
      </c>
      <c r="B679">
        <v>2023</v>
      </c>
      <c r="C679" t="s">
        <v>1308</v>
      </c>
      <c r="D679" t="s">
        <v>1347</v>
      </c>
      <c r="E679" t="s">
        <v>1359</v>
      </c>
      <c r="G679" t="s">
        <v>1375</v>
      </c>
      <c r="H679">
        <v>21634</v>
      </c>
      <c r="J679" t="s">
        <v>1384</v>
      </c>
      <c r="L679">
        <f t="shared" si="17"/>
        <v>2.2000000000000001E-3</v>
      </c>
      <c r="N679">
        <v>0.15</v>
      </c>
      <c r="O679">
        <v>90</v>
      </c>
      <c r="Q679" t="s">
        <v>1423</v>
      </c>
      <c r="R679" t="s">
        <v>1441</v>
      </c>
      <c r="S679">
        <v>2878047</v>
      </c>
      <c r="U679">
        <v>2878047</v>
      </c>
      <c r="V679">
        <v>7.5169029553721666E-3</v>
      </c>
      <c r="W679" t="s">
        <v>9</v>
      </c>
      <c r="X679" t="s">
        <v>1460</v>
      </c>
    </row>
    <row r="680" spans="1:24" hidden="1" x14ac:dyDescent="0.35">
      <c r="A680" t="s">
        <v>1122</v>
      </c>
      <c r="B680">
        <v>2023</v>
      </c>
      <c r="C680" t="s">
        <v>1308</v>
      </c>
      <c r="D680" t="s">
        <v>1347</v>
      </c>
      <c r="E680" t="s">
        <v>1359</v>
      </c>
      <c r="G680" t="s">
        <v>1375</v>
      </c>
      <c r="H680">
        <v>8006</v>
      </c>
      <c r="J680" t="s">
        <v>1384</v>
      </c>
      <c r="L680">
        <f t="shared" si="17"/>
        <v>2.2000000000000001E-3</v>
      </c>
      <c r="N680">
        <v>0.15</v>
      </c>
      <c r="O680">
        <v>90</v>
      </c>
      <c r="Q680" t="s">
        <v>1423</v>
      </c>
      <c r="R680" t="s">
        <v>1441</v>
      </c>
      <c r="S680">
        <v>2878047</v>
      </c>
      <c r="U680">
        <v>2878047</v>
      </c>
      <c r="V680">
        <v>2.7817474836234432E-3</v>
      </c>
      <c r="W680" t="s">
        <v>9</v>
      </c>
      <c r="X680" t="s">
        <v>1460</v>
      </c>
    </row>
    <row r="681" spans="1:24" hidden="1" x14ac:dyDescent="0.35">
      <c r="A681" t="s">
        <v>1123</v>
      </c>
      <c r="B681">
        <v>2023</v>
      </c>
      <c r="C681" t="s">
        <v>1308</v>
      </c>
      <c r="D681" t="s">
        <v>1347</v>
      </c>
      <c r="E681" t="s">
        <v>1359</v>
      </c>
      <c r="G681" t="s">
        <v>1375</v>
      </c>
      <c r="H681">
        <v>98564</v>
      </c>
      <c r="J681" t="s">
        <v>1384</v>
      </c>
      <c r="L681">
        <f t="shared" si="17"/>
        <v>2.2000000000000001E-3</v>
      </c>
      <c r="N681">
        <v>0.15</v>
      </c>
      <c r="O681">
        <v>90</v>
      </c>
      <c r="Q681" t="s">
        <v>1423</v>
      </c>
      <c r="R681" t="s">
        <v>1441</v>
      </c>
      <c r="S681">
        <v>2878047</v>
      </c>
      <c r="U681">
        <v>2878047</v>
      </c>
      <c r="V681">
        <v>3.4246834745923188E-2</v>
      </c>
      <c r="W681" t="s">
        <v>9</v>
      </c>
      <c r="X681" t="s">
        <v>1460</v>
      </c>
    </row>
    <row r="682" spans="1:24" hidden="1" x14ac:dyDescent="0.35">
      <c r="A682" t="s">
        <v>1124</v>
      </c>
      <c r="B682">
        <v>2023</v>
      </c>
      <c r="C682" t="s">
        <v>1308</v>
      </c>
      <c r="D682" t="s">
        <v>1353</v>
      </c>
      <c r="E682" t="s">
        <v>1359</v>
      </c>
      <c r="G682" t="s">
        <v>1375</v>
      </c>
      <c r="H682">
        <v>73</v>
      </c>
      <c r="J682" t="s">
        <v>1384</v>
      </c>
      <c r="L682">
        <f t="shared" si="17"/>
        <v>2.2000000000000001E-3</v>
      </c>
      <c r="N682">
        <v>0.15</v>
      </c>
      <c r="O682">
        <v>90</v>
      </c>
      <c r="Q682" t="s">
        <v>1423</v>
      </c>
      <c r="R682" t="s">
        <v>1441</v>
      </c>
      <c r="S682">
        <v>2878047</v>
      </c>
      <c r="U682">
        <v>2878047</v>
      </c>
      <c r="V682">
        <v>2.5364422471210511E-5</v>
      </c>
      <c r="W682" t="s">
        <v>9</v>
      </c>
      <c r="X682" t="s">
        <v>1460</v>
      </c>
    </row>
    <row r="683" spans="1:24" hidden="1" x14ac:dyDescent="0.35">
      <c r="A683" t="s">
        <v>1125</v>
      </c>
      <c r="B683">
        <v>2023</v>
      </c>
      <c r="C683" t="s">
        <v>1308</v>
      </c>
      <c r="D683" t="s">
        <v>1348</v>
      </c>
      <c r="E683" t="s">
        <v>1359</v>
      </c>
      <c r="G683" t="s">
        <v>1371</v>
      </c>
      <c r="H683">
        <v>28.103000000000002</v>
      </c>
      <c r="J683" t="s">
        <v>1384</v>
      </c>
      <c r="L683">
        <f t="shared" si="17"/>
        <v>2.2000000000000001E-3</v>
      </c>
      <c r="N683">
        <v>0.15</v>
      </c>
      <c r="O683">
        <v>90</v>
      </c>
      <c r="Q683" t="s">
        <v>1423</v>
      </c>
      <c r="R683" t="s">
        <v>1441</v>
      </c>
      <c r="S683">
        <v>2878047</v>
      </c>
      <c r="U683">
        <v>2878047</v>
      </c>
      <c r="V683">
        <v>9.7646077357319054E-6</v>
      </c>
      <c r="W683" t="s">
        <v>9</v>
      </c>
      <c r="X683" t="s">
        <v>1456</v>
      </c>
    </row>
    <row r="684" spans="1:24" hidden="1" x14ac:dyDescent="0.35">
      <c r="A684" t="s">
        <v>1126</v>
      </c>
      <c r="B684">
        <v>2023</v>
      </c>
      <c r="C684" t="s">
        <v>1308</v>
      </c>
      <c r="D684" t="s">
        <v>1313</v>
      </c>
      <c r="E684" t="s">
        <v>1359</v>
      </c>
      <c r="G684" t="s">
        <v>1371</v>
      </c>
      <c r="H684">
        <v>8.6</v>
      </c>
      <c r="J684" t="s">
        <v>1384</v>
      </c>
      <c r="L684">
        <f t="shared" si="17"/>
        <v>2.2000000000000001E-3</v>
      </c>
      <c r="N684">
        <v>0.15</v>
      </c>
      <c r="O684">
        <v>90</v>
      </c>
      <c r="Q684" t="s">
        <v>1423</v>
      </c>
      <c r="R684" t="s">
        <v>1441</v>
      </c>
      <c r="S684">
        <v>2878047</v>
      </c>
      <c r="U684">
        <v>2878047</v>
      </c>
      <c r="V684">
        <v>2.9881374418138411E-6</v>
      </c>
      <c r="W684" t="s">
        <v>9</v>
      </c>
      <c r="X684" t="s">
        <v>1456</v>
      </c>
    </row>
    <row r="685" spans="1:24" hidden="1" x14ac:dyDescent="0.35">
      <c r="A685" t="s">
        <v>1127</v>
      </c>
      <c r="B685">
        <v>2023</v>
      </c>
      <c r="C685" t="s">
        <v>1308</v>
      </c>
      <c r="D685" t="s">
        <v>1314</v>
      </c>
      <c r="E685" t="s">
        <v>1359</v>
      </c>
      <c r="G685" t="s">
        <v>1371</v>
      </c>
      <c r="H685">
        <v>2.6</v>
      </c>
      <c r="J685" t="s">
        <v>1384</v>
      </c>
      <c r="L685">
        <f t="shared" si="17"/>
        <v>2.2000000000000001E-3</v>
      </c>
      <c r="N685">
        <v>0.15</v>
      </c>
      <c r="O685">
        <v>90</v>
      </c>
      <c r="Q685" t="s">
        <v>1423</v>
      </c>
      <c r="R685" t="s">
        <v>1441</v>
      </c>
      <c r="S685">
        <v>2878047</v>
      </c>
      <c r="U685">
        <v>2878047</v>
      </c>
      <c r="V685">
        <v>9.0339038938557985E-7</v>
      </c>
      <c r="W685" t="s">
        <v>9</v>
      </c>
      <c r="X685" t="s">
        <v>1456</v>
      </c>
    </row>
    <row r="686" spans="1:24" hidden="1" x14ac:dyDescent="0.35">
      <c r="A686" t="s">
        <v>1128</v>
      </c>
      <c r="B686">
        <v>2023</v>
      </c>
      <c r="C686" t="s">
        <v>1308</v>
      </c>
      <c r="D686" t="s">
        <v>1355</v>
      </c>
      <c r="E686" t="s">
        <v>1359</v>
      </c>
      <c r="G686" t="s">
        <v>1378</v>
      </c>
      <c r="H686">
        <v>38.54224</v>
      </c>
      <c r="J686" t="s">
        <v>1384</v>
      </c>
      <c r="L686">
        <f t="shared" si="17"/>
        <v>2.2000000000000001E-3</v>
      </c>
      <c r="N686">
        <v>0.15</v>
      </c>
      <c r="O686">
        <v>90</v>
      </c>
      <c r="Q686" t="s">
        <v>1423</v>
      </c>
      <c r="R686" t="s">
        <v>1441</v>
      </c>
      <c r="S686">
        <v>2878047</v>
      </c>
      <c r="U686">
        <v>2878047</v>
      </c>
      <c r="V686">
        <v>1.3391803538997099E-5</v>
      </c>
      <c r="W686" t="s">
        <v>9</v>
      </c>
      <c r="X686" t="s">
        <v>1463</v>
      </c>
    </row>
    <row r="687" spans="1:24" hidden="1" x14ac:dyDescent="0.35">
      <c r="A687" t="s">
        <v>1129</v>
      </c>
      <c r="B687">
        <v>2023</v>
      </c>
      <c r="C687" t="s">
        <v>1308</v>
      </c>
      <c r="D687" t="s">
        <v>1349</v>
      </c>
      <c r="E687" t="s">
        <v>1359</v>
      </c>
      <c r="G687" t="s">
        <v>1371</v>
      </c>
      <c r="H687">
        <v>0.24299999999999999</v>
      </c>
      <c r="J687" t="s">
        <v>1384</v>
      </c>
      <c r="L687">
        <f t="shared" si="17"/>
        <v>2.2000000000000001E-3</v>
      </c>
      <c r="N687">
        <v>0.15</v>
      </c>
      <c r="O687">
        <v>90</v>
      </c>
      <c r="Q687" t="s">
        <v>1423</v>
      </c>
      <c r="R687" t="s">
        <v>1441</v>
      </c>
      <c r="S687">
        <v>2878047</v>
      </c>
      <c r="U687">
        <v>2878047</v>
      </c>
      <c r="V687">
        <v>8.4432255623344579E-8</v>
      </c>
      <c r="W687" t="s">
        <v>9</v>
      </c>
      <c r="X687" t="s">
        <v>1456</v>
      </c>
    </row>
    <row r="688" spans="1:24" hidden="1" x14ac:dyDescent="0.35">
      <c r="A688" t="s">
        <v>1130</v>
      </c>
      <c r="B688">
        <v>2023</v>
      </c>
      <c r="C688" t="s">
        <v>1308</v>
      </c>
      <c r="D688" t="s">
        <v>1316</v>
      </c>
      <c r="E688" t="s">
        <v>1359</v>
      </c>
      <c r="G688" t="s">
        <v>1371</v>
      </c>
      <c r="H688">
        <v>31.552</v>
      </c>
      <c r="J688" t="s">
        <v>1384</v>
      </c>
      <c r="L688">
        <f t="shared" si="17"/>
        <v>2.2000000000000001E-3</v>
      </c>
      <c r="N688">
        <v>0.15</v>
      </c>
      <c r="O688">
        <v>90</v>
      </c>
      <c r="Q688" t="s">
        <v>1423</v>
      </c>
      <c r="R688" t="s">
        <v>1441</v>
      </c>
      <c r="S688">
        <v>2878047</v>
      </c>
      <c r="U688">
        <v>2878047</v>
      </c>
      <c r="V688">
        <v>1.096298983303608E-5</v>
      </c>
      <c r="W688" t="s">
        <v>9</v>
      </c>
      <c r="X688" t="s">
        <v>1456</v>
      </c>
    </row>
    <row r="689" spans="1:24" hidden="1" x14ac:dyDescent="0.35">
      <c r="A689" t="s">
        <v>1131</v>
      </c>
      <c r="B689">
        <v>2023</v>
      </c>
      <c r="C689" t="s">
        <v>1309</v>
      </c>
      <c r="D689" t="s">
        <v>1350</v>
      </c>
      <c r="E689" t="s">
        <v>1360</v>
      </c>
      <c r="G689" t="s">
        <v>1376</v>
      </c>
      <c r="H689">
        <v>2879300</v>
      </c>
      <c r="J689" t="s">
        <v>1384</v>
      </c>
      <c r="L689">
        <f t="shared" si="17"/>
        <v>2.2000000000000001E-3</v>
      </c>
      <c r="N689">
        <v>0.15</v>
      </c>
      <c r="O689">
        <v>90</v>
      </c>
      <c r="Q689" t="s">
        <v>1423</v>
      </c>
      <c r="R689" t="s">
        <v>1441</v>
      </c>
      <c r="S689">
        <v>2878047</v>
      </c>
      <c r="U689">
        <v>2878047</v>
      </c>
      <c r="V689">
        <v>1.000435364676115</v>
      </c>
      <c r="W689" t="s">
        <v>9</v>
      </c>
      <c r="X689" t="s">
        <v>1461</v>
      </c>
    </row>
    <row r="690" spans="1:24" hidden="1" x14ac:dyDescent="0.35">
      <c r="A690" t="s">
        <v>1132</v>
      </c>
      <c r="B690">
        <v>2023</v>
      </c>
      <c r="C690" t="s">
        <v>1309</v>
      </c>
      <c r="D690" t="s">
        <v>1350</v>
      </c>
      <c r="E690" t="s">
        <v>1362</v>
      </c>
      <c r="G690" t="s">
        <v>1376</v>
      </c>
      <c r="H690">
        <v>1088500</v>
      </c>
      <c r="J690" t="s">
        <v>1384</v>
      </c>
      <c r="L690">
        <f t="shared" si="17"/>
        <v>2.2000000000000001E-3</v>
      </c>
      <c r="N690">
        <v>0.15</v>
      </c>
      <c r="O690">
        <v>90</v>
      </c>
      <c r="Q690" t="s">
        <v>1423</v>
      </c>
      <c r="R690" t="s">
        <v>1441</v>
      </c>
      <c r="S690">
        <v>2878047</v>
      </c>
      <c r="U690">
        <v>2878047</v>
      </c>
      <c r="V690">
        <v>0.37820786109469368</v>
      </c>
      <c r="W690" t="s">
        <v>9</v>
      </c>
      <c r="X690" t="s">
        <v>1461</v>
      </c>
    </row>
    <row r="691" spans="1:24" hidden="1" x14ac:dyDescent="0.35">
      <c r="A691" t="s">
        <v>1133</v>
      </c>
      <c r="B691">
        <v>2023</v>
      </c>
      <c r="C691" t="s">
        <v>1309</v>
      </c>
      <c r="D691" t="s">
        <v>1350</v>
      </c>
      <c r="E691" t="s">
        <v>1361</v>
      </c>
      <c r="G691" t="s">
        <v>1376</v>
      </c>
      <c r="H691">
        <v>1790810</v>
      </c>
      <c r="J691" t="s">
        <v>1384</v>
      </c>
      <c r="L691">
        <f t="shared" si="17"/>
        <v>2.2000000000000001E-3</v>
      </c>
      <c r="N691">
        <v>0.15</v>
      </c>
      <c r="O691">
        <v>90</v>
      </c>
      <c r="Q691" t="s">
        <v>1423</v>
      </c>
      <c r="R691" t="s">
        <v>1441</v>
      </c>
      <c r="S691">
        <v>2878047</v>
      </c>
      <c r="U691">
        <v>2878047</v>
      </c>
      <c r="V691">
        <v>0.62223097815984241</v>
      </c>
      <c r="W691" t="s">
        <v>9</v>
      </c>
      <c r="X691" t="s">
        <v>1461</v>
      </c>
    </row>
    <row r="692" spans="1:24" hidden="1" x14ac:dyDescent="0.35">
      <c r="A692" t="s">
        <v>1134</v>
      </c>
      <c r="B692">
        <v>2023</v>
      </c>
      <c r="C692" t="s">
        <v>1310</v>
      </c>
      <c r="E692" t="s">
        <v>1363</v>
      </c>
      <c r="G692" t="s">
        <v>1377</v>
      </c>
      <c r="H692">
        <v>1413</v>
      </c>
      <c r="J692" t="s">
        <v>1384</v>
      </c>
      <c r="L692">
        <f t="shared" si="17"/>
        <v>2.2000000000000001E-3</v>
      </c>
      <c r="N692">
        <v>0.15</v>
      </c>
      <c r="O692">
        <v>90</v>
      </c>
      <c r="Q692" t="s">
        <v>1423</v>
      </c>
      <c r="R692" t="s">
        <v>1441</v>
      </c>
      <c r="S692">
        <v>2878047</v>
      </c>
      <c r="U692">
        <v>2878047</v>
      </c>
      <c r="V692">
        <v>4.9095793084685552E-4</v>
      </c>
      <c r="W692" t="s">
        <v>9</v>
      </c>
      <c r="X692" t="s">
        <v>1462</v>
      </c>
    </row>
    <row r="693" spans="1:24" hidden="1" x14ac:dyDescent="0.35">
      <c r="A693" t="s">
        <v>1135</v>
      </c>
      <c r="B693">
        <v>2023</v>
      </c>
      <c r="C693" t="s">
        <v>1310</v>
      </c>
      <c r="E693" t="s">
        <v>1363</v>
      </c>
      <c r="G693" t="s">
        <v>1377</v>
      </c>
      <c r="H693">
        <v>432</v>
      </c>
      <c r="J693" t="s">
        <v>1384</v>
      </c>
      <c r="L693">
        <f t="shared" si="17"/>
        <v>2.2000000000000001E-3</v>
      </c>
      <c r="N693">
        <v>0.15</v>
      </c>
      <c r="O693">
        <v>90</v>
      </c>
      <c r="Q693" t="s">
        <v>1423</v>
      </c>
      <c r="R693" t="s">
        <v>1441</v>
      </c>
      <c r="S693">
        <v>2878047</v>
      </c>
      <c r="U693">
        <v>2878047</v>
      </c>
      <c r="V693">
        <v>1.5010178777483479E-4</v>
      </c>
      <c r="W693" t="s">
        <v>9</v>
      </c>
      <c r="X693" t="s">
        <v>1462</v>
      </c>
    </row>
    <row r="694" spans="1:24" x14ac:dyDescent="0.35">
      <c r="A694" t="s">
        <v>87</v>
      </c>
      <c r="B694">
        <v>2023</v>
      </c>
      <c r="C694" t="s">
        <v>1308</v>
      </c>
      <c r="D694" t="s">
        <v>1317</v>
      </c>
      <c r="E694" t="s">
        <v>1359</v>
      </c>
      <c r="F694" t="s">
        <v>1364</v>
      </c>
      <c r="G694" t="s">
        <v>1372</v>
      </c>
      <c r="H694">
        <v>19.106400000000001</v>
      </c>
      <c r="J694" t="s">
        <v>1386</v>
      </c>
      <c r="N694">
        <v>1.18</v>
      </c>
      <c r="R694" s="2" t="s">
        <v>1438</v>
      </c>
      <c r="S694">
        <v>841000</v>
      </c>
      <c r="U694">
        <v>841000</v>
      </c>
      <c r="V694">
        <v>2.271866825208086E-5</v>
      </c>
      <c r="W694" t="s">
        <v>9</v>
      </c>
      <c r="X694" t="s">
        <v>1457</v>
      </c>
    </row>
    <row r="695" spans="1:24" x14ac:dyDescent="0.35">
      <c r="A695" t="s">
        <v>88</v>
      </c>
      <c r="B695">
        <v>2023</v>
      </c>
      <c r="C695" t="s">
        <v>1308</v>
      </c>
      <c r="D695" t="s">
        <v>1318</v>
      </c>
      <c r="E695" t="s">
        <v>1359</v>
      </c>
      <c r="F695" t="s">
        <v>1364</v>
      </c>
      <c r="G695" t="s">
        <v>1372</v>
      </c>
      <c r="H695">
        <v>0.1762</v>
      </c>
      <c r="J695" t="s">
        <v>1386</v>
      </c>
      <c r="N695">
        <v>1.18</v>
      </c>
      <c r="R695" s="2" t="s">
        <v>1438</v>
      </c>
      <c r="S695">
        <v>841000</v>
      </c>
      <c r="U695">
        <v>841000</v>
      </c>
      <c r="V695">
        <v>2.09512485136742E-7</v>
      </c>
      <c r="W695" t="s">
        <v>9</v>
      </c>
      <c r="X695" t="s">
        <v>1457</v>
      </c>
    </row>
    <row r="696" spans="1:24" x14ac:dyDescent="0.35">
      <c r="A696" t="s">
        <v>89</v>
      </c>
      <c r="B696">
        <v>2023</v>
      </c>
      <c r="C696" t="s">
        <v>1308</v>
      </c>
      <c r="D696" t="s">
        <v>1311</v>
      </c>
      <c r="E696" t="s">
        <v>1359</v>
      </c>
      <c r="F696" t="s">
        <v>1364</v>
      </c>
      <c r="G696" t="s">
        <v>1371</v>
      </c>
      <c r="H696">
        <v>170.66139999999999</v>
      </c>
      <c r="J696" t="s">
        <v>1386</v>
      </c>
      <c r="N696">
        <v>1.18</v>
      </c>
      <c r="R696" s="2" t="s">
        <v>1438</v>
      </c>
      <c r="S696">
        <v>841000</v>
      </c>
      <c r="U696">
        <v>841000</v>
      </c>
      <c r="V696">
        <v>2.0292675386444711E-4</v>
      </c>
      <c r="W696" t="s">
        <v>9</v>
      </c>
      <c r="X696" t="s">
        <v>1456</v>
      </c>
    </row>
    <row r="697" spans="1:24" x14ac:dyDescent="0.35">
      <c r="A697" t="s">
        <v>90</v>
      </c>
      <c r="B697">
        <v>2023</v>
      </c>
      <c r="C697" t="s">
        <v>1308</v>
      </c>
      <c r="D697" t="s">
        <v>1320</v>
      </c>
      <c r="E697" t="s">
        <v>1359</v>
      </c>
      <c r="F697" t="s">
        <v>1364</v>
      </c>
      <c r="G697" t="s">
        <v>1372</v>
      </c>
      <c r="H697">
        <v>2.0602</v>
      </c>
      <c r="J697" t="s">
        <v>1386</v>
      </c>
      <c r="N697">
        <v>1.18</v>
      </c>
      <c r="R697" s="2" t="s">
        <v>1438</v>
      </c>
      <c r="S697">
        <v>841000</v>
      </c>
      <c r="U697">
        <v>841000</v>
      </c>
      <c r="V697">
        <v>2.449702734839477E-6</v>
      </c>
      <c r="W697" t="s">
        <v>9</v>
      </c>
      <c r="X697" t="s">
        <v>1457</v>
      </c>
    </row>
    <row r="698" spans="1:24" x14ac:dyDescent="0.35">
      <c r="A698" t="s">
        <v>91</v>
      </c>
      <c r="B698">
        <v>2023</v>
      </c>
      <c r="C698" t="s">
        <v>1308</v>
      </c>
      <c r="D698" t="s">
        <v>1322</v>
      </c>
      <c r="E698" t="s">
        <v>1359</v>
      </c>
      <c r="F698" t="s">
        <v>1364</v>
      </c>
      <c r="G698" t="s">
        <v>1372</v>
      </c>
      <c r="H698">
        <v>0.57940000000000003</v>
      </c>
      <c r="J698" t="s">
        <v>1386</v>
      </c>
      <c r="N698">
        <v>1.18</v>
      </c>
      <c r="R698" s="2" t="s">
        <v>1438</v>
      </c>
      <c r="S698">
        <v>841000</v>
      </c>
      <c r="U698">
        <v>841000</v>
      </c>
      <c r="V698">
        <v>6.8894173602853746E-7</v>
      </c>
      <c r="W698" t="s">
        <v>9</v>
      </c>
      <c r="X698" t="s">
        <v>1457</v>
      </c>
    </row>
    <row r="699" spans="1:24" x14ac:dyDescent="0.35">
      <c r="A699" t="s">
        <v>92</v>
      </c>
      <c r="B699">
        <v>2023</v>
      </c>
      <c r="C699" t="s">
        <v>1308</v>
      </c>
      <c r="D699" t="s">
        <v>1330</v>
      </c>
      <c r="E699" t="s">
        <v>1359</v>
      </c>
      <c r="F699" t="s">
        <v>1364</v>
      </c>
      <c r="G699" t="s">
        <v>1371</v>
      </c>
      <c r="H699">
        <v>1.3563199999999999E-2</v>
      </c>
      <c r="J699" t="s">
        <v>1386</v>
      </c>
      <c r="N699">
        <v>1.18</v>
      </c>
      <c r="R699" s="2" t="s">
        <v>1438</v>
      </c>
      <c r="S699">
        <v>841000</v>
      </c>
      <c r="U699">
        <v>841000</v>
      </c>
      <c r="V699">
        <v>1.612746730083234E-8</v>
      </c>
      <c r="W699" t="s">
        <v>9</v>
      </c>
      <c r="X699" t="s">
        <v>1456</v>
      </c>
    </row>
    <row r="700" spans="1:24" x14ac:dyDescent="0.35">
      <c r="A700" t="s">
        <v>93</v>
      </c>
      <c r="B700">
        <v>2023</v>
      </c>
      <c r="C700" t="s">
        <v>1308</v>
      </c>
      <c r="D700" t="s">
        <v>1313</v>
      </c>
      <c r="E700" t="s">
        <v>1359</v>
      </c>
      <c r="F700" t="s">
        <v>1364</v>
      </c>
      <c r="G700" t="s">
        <v>1371</v>
      </c>
      <c r="H700">
        <v>22.745100000000001</v>
      </c>
      <c r="J700" t="s">
        <v>1386</v>
      </c>
      <c r="N700">
        <v>1.18</v>
      </c>
      <c r="R700" s="2" t="s">
        <v>1438</v>
      </c>
      <c r="S700">
        <v>841000</v>
      </c>
      <c r="U700">
        <v>841000</v>
      </c>
      <c r="V700">
        <v>2.7045303210463732E-5</v>
      </c>
      <c r="W700" t="s">
        <v>9</v>
      </c>
      <c r="X700" t="s">
        <v>1456</v>
      </c>
    </row>
    <row r="701" spans="1:24" x14ac:dyDescent="0.35">
      <c r="A701" t="s">
        <v>94</v>
      </c>
      <c r="B701">
        <v>2023</v>
      </c>
      <c r="C701" t="s">
        <v>1308</v>
      </c>
      <c r="D701" t="s">
        <v>1314</v>
      </c>
      <c r="E701" t="s">
        <v>1359</v>
      </c>
      <c r="F701" t="s">
        <v>1364</v>
      </c>
      <c r="G701" t="s">
        <v>1371</v>
      </c>
      <c r="H701">
        <v>17.317900000000002</v>
      </c>
      <c r="J701" t="s">
        <v>1386</v>
      </c>
      <c r="N701">
        <v>1.18</v>
      </c>
      <c r="R701" s="2" t="s">
        <v>1438</v>
      </c>
      <c r="S701">
        <v>841000</v>
      </c>
      <c r="U701">
        <v>841000</v>
      </c>
      <c r="V701">
        <v>2.059203329369798E-5</v>
      </c>
      <c r="W701" t="s">
        <v>9</v>
      </c>
      <c r="X701" t="s">
        <v>1456</v>
      </c>
    </row>
    <row r="702" spans="1:24" x14ac:dyDescent="0.35">
      <c r="A702" t="s">
        <v>95</v>
      </c>
      <c r="B702">
        <v>2023</v>
      </c>
      <c r="C702" t="s">
        <v>1308</v>
      </c>
      <c r="D702" t="s">
        <v>1325</v>
      </c>
      <c r="E702" t="s">
        <v>1359</v>
      </c>
      <c r="F702" t="s">
        <v>1364</v>
      </c>
      <c r="G702" t="s">
        <v>1372</v>
      </c>
      <c r="H702">
        <v>0.1394</v>
      </c>
      <c r="J702" t="s">
        <v>1386</v>
      </c>
      <c r="N702">
        <v>1.18</v>
      </c>
      <c r="R702" s="2" t="s">
        <v>1438</v>
      </c>
      <c r="S702">
        <v>841000</v>
      </c>
      <c r="U702">
        <v>841000</v>
      </c>
      <c r="V702">
        <v>1.6575505350772891E-7</v>
      </c>
      <c r="W702" t="s">
        <v>9</v>
      </c>
      <c r="X702" t="s">
        <v>1457</v>
      </c>
    </row>
    <row r="703" spans="1:24" x14ac:dyDescent="0.35">
      <c r="A703" t="s">
        <v>96</v>
      </c>
      <c r="B703">
        <v>2023</v>
      </c>
      <c r="C703" t="s">
        <v>1308</v>
      </c>
      <c r="D703" t="s">
        <v>1334</v>
      </c>
      <c r="E703" t="s">
        <v>1359</v>
      </c>
      <c r="F703" t="s">
        <v>1364</v>
      </c>
      <c r="G703" t="s">
        <v>1372</v>
      </c>
      <c r="H703">
        <v>1.03E-2</v>
      </c>
      <c r="J703" t="s">
        <v>1386</v>
      </c>
      <c r="N703">
        <v>1.18</v>
      </c>
      <c r="R703" s="2" t="s">
        <v>1438</v>
      </c>
      <c r="S703">
        <v>841000</v>
      </c>
      <c r="U703">
        <v>841000</v>
      </c>
      <c r="V703">
        <v>1.224732461355529E-8</v>
      </c>
      <c r="W703" t="s">
        <v>9</v>
      </c>
      <c r="X703" t="s">
        <v>1457</v>
      </c>
    </row>
    <row r="704" spans="1:24" x14ac:dyDescent="0.35">
      <c r="A704" t="s">
        <v>97</v>
      </c>
      <c r="B704">
        <v>2023</v>
      </c>
      <c r="C704" t="s">
        <v>1308</v>
      </c>
      <c r="D704" t="s">
        <v>1315</v>
      </c>
      <c r="E704" t="s">
        <v>1359</v>
      </c>
      <c r="F704" t="s">
        <v>1364</v>
      </c>
      <c r="G704" t="s">
        <v>1371</v>
      </c>
      <c r="H704">
        <v>37.877000000000002</v>
      </c>
      <c r="J704" t="s">
        <v>1386</v>
      </c>
      <c r="N704">
        <v>1.18</v>
      </c>
      <c r="R704" s="2" t="s">
        <v>1438</v>
      </c>
      <c r="S704">
        <v>841000</v>
      </c>
      <c r="U704">
        <v>841000</v>
      </c>
      <c r="V704">
        <v>4.5038049940546969E-5</v>
      </c>
      <c r="W704" t="s">
        <v>9</v>
      </c>
      <c r="X704" t="s">
        <v>1456</v>
      </c>
    </row>
    <row r="705" spans="1:24" x14ac:dyDescent="0.35">
      <c r="A705" t="s">
        <v>281</v>
      </c>
      <c r="B705">
        <v>2023</v>
      </c>
      <c r="C705" t="s">
        <v>1308</v>
      </c>
      <c r="D705" t="s">
        <v>1317</v>
      </c>
      <c r="E705" t="s">
        <v>1359</v>
      </c>
      <c r="F705" t="s">
        <v>1364</v>
      </c>
      <c r="G705" t="s">
        <v>1372</v>
      </c>
      <c r="H705">
        <v>1.119783</v>
      </c>
      <c r="J705" t="s">
        <v>1386</v>
      </c>
      <c r="N705">
        <v>1.18</v>
      </c>
      <c r="R705" s="2" t="s">
        <v>1438</v>
      </c>
      <c r="S705">
        <v>841000</v>
      </c>
      <c r="U705">
        <v>841000</v>
      </c>
      <c r="V705">
        <v>1.331489892984542E-6</v>
      </c>
      <c r="W705" t="s">
        <v>9</v>
      </c>
      <c r="X705" t="s">
        <v>1457</v>
      </c>
    </row>
    <row r="706" spans="1:24" x14ac:dyDescent="0.35">
      <c r="A706" t="s">
        <v>282</v>
      </c>
      <c r="B706">
        <v>2023</v>
      </c>
      <c r="C706" t="s">
        <v>1308</v>
      </c>
      <c r="D706" t="s">
        <v>1320</v>
      </c>
      <c r="E706" t="s">
        <v>1359</v>
      </c>
      <c r="F706" t="s">
        <v>1364</v>
      </c>
      <c r="G706" t="s">
        <v>1372</v>
      </c>
      <c r="H706">
        <v>0.14268900000000001</v>
      </c>
      <c r="J706" t="s">
        <v>1386</v>
      </c>
      <c r="N706">
        <v>1.18</v>
      </c>
      <c r="R706" s="2" t="s">
        <v>1438</v>
      </c>
      <c r="S706">
        <v>841000</v>
      </c>
      <c r="U706">
        <v>841000</v>
      </c>
      <c r="V706">
        <v>1.6966587395957199E-7</v>
      </c>
      <c r="W706" t="s">
        <v>9</v>
      </c>
      <c r="X706" t="s">
        <v>1457</v>
      </c>
    </row>
    <row r="707" spans="1:24" x14ac:dyDescent="0.35">
      <c r="A707" t="s">
        <v>283</v>
      </c>
      <c r="B707">
        <v>2023</v>
      </c>
      <c r="C707" t="s">
        <v>1308</v>
      </c>
      <c r="D707" t="s">
        <v>1313</v>
      </c>
      <c r="E707" t="s">
        <v>1359</v>
      </c>
      <c r="F707" t="s">
        <v>1364</v>
      </c>
      <c r="G707" t="s">
        <v>1371</v>
      </c>
      <c r="H707">
        <v>2.0945179999999999</v>
      </c>
      <c r="J707" t="s">
        <v>1386</v>
      </c>
      <c r="N707">
        <v>1.18</v>
      </c>
      <c r="R707" s="2" t="s">
        <v>1438</v>
      </c>
      <c r="S707">
        <v>841000</v>
      </c>
      <c r="U707">
        <v>841000</v>
      </c>
      <c r="V707">
        <v>2.490508917954816E-6</v>
      </c>
      <c r="W707" t="s">
        <v>9</v>
      </c>
      <c r="X707" t="s">
        <v>1456</v>
      </c>
    </row>
    <row r="708" spans="1:24" x14ac:dyDescent="0.35">
      <c r="A708" t="s">
        <v>284</v>
      </c>
      <c r="B708">
        <v>2023</v>
      </c>
      <c r="C708" t="s">
        <v>1308</v>
      </c>
      <c r="D708" t="s">
        <v>1314</v>
      </c>
      <c r="E708" t="s">
        <v>1359</v>
      </c>
      <c r="F708" t="s">
        <v>1364</v>
      </c>
      <c r="G708" t="s">
        <v>1371</v>
      </c>
      <c r="H708">
        <v>1.0705439999999999</v>
      </c>
      <c r="J708" t="s">
        <v>1386</v>
      </c>
      <c r="N708">
        <v>1.18</v>
      </c>
      <c r="R708" s="2" t="s">
        <v>1438</v>
      </c>
      <c r="S708">
        <v>841000</v>
      </c>
      <c r="U708">
        <v>841000</v>
      </c>
      <c r="V708">
        <v>1.2729417360285371E-6</v>
      </c>
      <c r="W708" t="s">
        <v>9</v>
      </c>
      <c r="X708" t="s">
        <v>1456</v>
      </c>
    </row>
    <row r="709" spans="1:24" x14ac:dyDescent="0.35">
      <c r="A709" t="s">
        <v>438</v>
      </c>
      <c r="B709">
        <v>2023</v>
      </c>
      <c r="C709" t="s">
        <v>1308</v>
      </c>
      <c r="D709" t="s">
        <v>1317</v>
      </c>
      <c r="E709" t="s">
        <v>1359</v>
      </c>
      <c r="F709" t="s">
        <v>1366</v>
      </c>
      <c r="G709" t="s">
        <v>1372</v>
      </c>
      <c r="H709">
        <v>3.4904999999999999</v>
      </c>
      <c r="J709" t="s">
        <v>1386</v>
      </c>
      <c r="N709">
        <v>1.18</v>
      </c>
      <c r="R709" s="2" t="s">
        <v>1438</v>
      </c>
      <c r="S709">
        <v>841000</v>
      </c>
      <c r="U709">
        <v>841000</v>
      </c>
      <c r="V709">
        <v>4.1504161712247327E-6</v>
      </c>
      <c r="W709" t="s">
        <v>9</v>
      </c>
      <c r="X709" t="s">
        <v>1457</v>
      </c>
    </row>
    <row r="710" spans="1:24" x14ac:dyDescent="0.35">
      <c r="A710" t="s">
        <v>439</v>
      </c>
      <c r="B710">
        <v>2023</v>
      </c>
      <c r="C710" t="s">
        <v>1308</v>
      </c>
      <c r="D710" t="s">
        <v>1318</v>
      </c>
      <c r="E710" t="s">
        <v>1359</v>
      </c>
      <c r="F710" t="s">
        <v>1366</v>
      </c>
      <c r="G710" t="s">
        <v>1372</v>
      </c>
      <c r="H710">
        <v>8.0000000000000004E-4</v>
      </c>
      <c r="J710" t="s">
        <v>1386</v>
      </c>
      <c r="N710">
        <v>1.18</v>
      </c>
      <c r="R710" s="2" t="s">
        <v>1438</v>
      </c>
      <c r="S710">
        <v>841000</v>
      </c>
      <c r="U710">
        <v>841000</v>
      </c>
      <c r="V710">
        <v>9.512485136741975E-10</v>
      </c>
      <c r="W710" t="s">
        <v>9</v>
      </c>
      <c r="X710" t="s">
        <v>1457</v>
      </c>
    </row>
    <row r="711" spans="1:24" x14ac:dyDescent="0.35">
      <c r="A711" t="s">
        <v>440</v>
      </c>
      <c r="B711">
        <v>2023</v>
      </c>
      <c r="C711" t="s">
        <v>1308</v>
      </c>
      <c r="D711" t="s">
        <v>1311</v>
      </c>
      <c r="E711" t="s">
        <v>1359</v>
      </c>
      <c r="F711" t="s">
        <v>1366</v>
      </c>
      <c r="G711" t="s">
        <v>1371</v>
      </c>
      <c r="H711">
        <v>909.10680000000002</v>
      </c>
      <c r="J711" t="s">
        <v>1386</v>
      </c>
      <c r="N711">
        <v>1.18</v>
      </c>
      <c r="R711" s="2" t="s">
        <v>1438</v>
      </c>
      <c r="S711">
        <v>841000</v>
      </c>
      <c r="U711">
        <v>841000</v>
      </c>
      <c r="V711">
        <v>1.0809831153388821E-3</v>
      </c>
      <c r="W711" t="s">
        <v>9</v>
      </c>
      <c r="X711" t="s">
        <v>1456</v>
      </c>
    </row>
    <row r="712" spans="1:24" x14ac:dyDescent="0.35">
      <c r="A712" t="s">
        <v>441</v>
      </c>
      <c r="B712">
        <v>2023</v>
      </c>
      <c r="C712" t="s">
        <v>1308</v>
      </c>
      <c r="D712" t="s">
        <v>1320</v>
      </c>
      <c r="E712" t="s">
        <v>1359</v>
      </c>
      <c r="F712" t="s">
        <v>1366</v>
      </c>
      <c r="G712" t="s">
        <v>1372</v>
      </c>
      <c r="H712">
        <v>0.26929999999999998</v>
      </c>
      <c r="J712" t="s">
        <v>1386</v>
      </c>
      <c r="N712">
        <v>1.18</v>
      </c>
      <c r="R712" s="2" t="s">
        <v>1438</v>
      </c>
      <c r="S712">
        <v>841000</v>
      </c>
      <c r="U712">
        <v>841000</v>
      </c>
      <c r="V712">
        <v>3.2021403091557669E-7</v>
      </c>
      <c r="W712" t="s">
        <v>9</v>
      </c>
      <c r="X712" t="s">
        <v>1457</v>
      </c>
    </row>
    <row r="713" spans="1:24" x14ac:dyDescent="0.35">
      <c r="A713" t="s">
        <v>442</v>
      </c>
      <c r="B713">
        <v>2023</v>
      </c>
      <c r="C713" t="s">
        <v>1308</v>
      </c>
      <c r="D713" t="s">
        <v>1322</v>
      </c>
      <c r="E713" t="s">
        <v>1359</v>
      </c>
      <c r="F713" t="s">
        <v>1366</v>
      </c>
      <c r="G713" t="s">
        <v>1372</v>
      </c>
      <c r="H713">
        <v>20.419599999999999</v>
      </c>
      <c r="J713" t="s">
        <v>1386</v>
      </c>
      <c r="N713">
        <v>1.18</v>
      </c>
      <c r="R713" s="2" t="s">
        <v>1438</v>
      </c>
      <c r="S713">
        <v>841000</v>
      </c>
      <c r="U713">
        <v>841000</v>
      </c>
      <c r="V713">
        <v>2.4280142687277051E-5</v>
      </c>
      <c r="W713" t="s">
        <v>9</v>
      </c>
      <c r="X713" t="s">
        <v>1457</v>
      </c>
    </row>
    <row r="714" spans="1:24" x14ac:dyDescent="0.35">
      <c r="A714" t="s">
        <v>443</v>
      </c>
      <c r="B714">
        <v>2023</v>
      </c>
      <c r="C714" t="s">
        <v>1308</v>
      </c>
      <c r="D714" t="s">
        <v>1330</v>
      </c>
      <c r="E714" t="s">
        <v>1359</v>
      </c>
      <c r="F714" t="s">
        <v>1366</v>
      </c>
      <c r="G714" t="s">
        <v>1371</v>
      </c>
      <c r="H714">
        <v>1.3999999999999999E-6</v>
      </c>
      <c r="J714" t="s">
        <v>1386</v>
      </c>
      <c r="N714">
        <v>1.18</v>
      </c>
      <c r="R714" s="2" t="s">
        <v>1438</v>
      </c>
      <c r="S714">
        <v>841000</v>
      </c>
      <c r="U714">
        <v>841000</v>
      </c>
      <c r="V714">
        <v>1.6646848989298449E-12</v>
      </c>
      <c r="W714" t="s">
        <v>9</v>
      </c>
      <c r="X714" t="s">
        <v>1456</v>
      </c>
    </row>
    <row r="715" spans="1:24" x14ac:dyDescent="0.35">
      <c r="A715" t="s">
        <v>444</v>
      </c>
      <c r="B715">
        <v>2023</v>
      </c>
      <c r="C715" t="s">
        <v>1308</v>
      </c>
      <c r="D715" t="s">
        <v>1313</v>
      </c>
      <c r="E715" t="s">
        <v>1359</v>
      </c>
      <c r="F715" t="s">
        <v>1366</v>
      </c>
      <c r="G715" t="s">
        <v>1371</v>
      </c>
      <c r="H715">
        <v>97.145099999999999</v>
      </c>
      <c r="J715" t="s">
        <v>1386</v>
      </c>
      <c r="N715">
        <v>1.18</v>
      </c>
      <c r="R715" s="2" t="s">
        <v>1438</v>
      </c>
      <c r="S715">
        <v>841000</v>
      </c>
      <c r="U715">
        <v>841000</v>
      </c>
      <c r="V715">
        <v>1.155114149821641E-4</v>
      </c>
      <c r="W715" t="s">
        <v>9</v>
      </c>
      <c r="X715" t="s">
        <v>1456</v>
      </c>
    </row>
    <row r="716" spans="1:24" x14ac:dyDescent="0.35">
      <c r="A716" t="s">
        <v>445</v>
      </c>
      <c r="B716">
        <v>2023</v>
      </c>
      <c r="C716" t="s">
        <v>1308</v>
      </c>
      <c r="D716" t="s">
        <v>1314</v>
      </c>
      <c r="E716" t="s">
        <v>1359</v>
      </c>
      <c r="F716" t="s">
        <v>1366</v>
      </c>
      <c r="G716" t="s">
        <v>1371</v>
      </c>
      <c r="H716">
        <v>94.989199999999997</v>
      </c>
      <c r="J716" t="s">
        <v>1386</v>
      </c>
      <c r="N716">
        <v>1.18</v>
      </c>
      <c r="R716" s="2" t="s">
        <v>1438</v>
      </c>
      <c r="S716">
        <v>841000</v>
      </c>
      <c r="U716">
        <v>841000</v>
      </c>
      <c r="V716">
        <v>1.129479191438763E-4</v>
      </c>
      <c r="W716" t="s">
        <v>9</v>
      </c>
      <c r="X716" t="s">
        <v>1456</v>
      </c>
    </row>
    <row r="717" spans="1:24" x14ac:dyDescent="0.35">
      <c r="A717" t="s">
        <v>446</v>
      </c>
      <c r="B717">
        <v>2023</v>
      </c>
      <c r="C717" t="s">
        <v>1308</v>
      </c>
      <c r="D717" t="s">
        <v>1325</v>
      </c>
      <c r="E717" t="s">
        <v>1359</v>
      </c>
      <c r="F717" t="s">
        <v>1366</v>
      </c>
      <c r="G717" t="s">
        <v>1372</v>
      </c>
      <c r="H717">
        <v>1.6000000000000001E-3</v>
      </c>
      <c r="J717" t="s">
        <v>1386</v>
      </c>
      <c r="N717">
        <v>1.18</v>
      </c>
      <c r="R717" s="2" t="s">
        <v>1438</v>
      </c>
      <c r="S717">
        <v>841000</v>
      </c>
      <c r="U717">
        <v>841000</v>
      </c>
      <c r="V717">
        <v>1.902497027348395E-9</v>
      </c>
      <c r="W717" t="s">
        <v>9</v>
      </c>
      <c r="X717" t="s">
        <v>1457</v>
      </c>
    </row>
    <row r="718" spans="1:24" x14ac:dyDescent="0.35">
      <c r="A718" t="s">
        <v>447</v>
      </c>
      <c r="B718">
        <v>2023</v>
      </c>
      <c r="C718" t="s">
        <v>1308</v>
      </c>
      <c r="D718" t="s">
        <v>1334</v>
      </c>
      <c r="E718" t="s">
        <v>1359</v>
      </c>
      <c r="F718" t="s">
        <v>1366</v>
      </c>
      <c r="G718" t="s">
        <v>1372</v>
      </c>
      <c r="H718">
        <v>1.8E-3</v>
      </c>
      <c r="J718" t="s">
        <v>1386</v>
      </c>
      <c r="N718">
        <v>1.18</v>
      </c>
      <c r="R718" s="2" t="s">
        <v>1438</v>
      </c>
      <c r="S718">
        <v>841000</v>
      </c>
      <c r="U718">
        <v>841000</v>
      </c>
      <c r="V718">
        <v>2.1403091557669442E-9</v>
      </c>
      <c r="W718" t="s">
        <v>9</v>
      </c>
      <c r="X718" t="s">
        <v>1457</v>
      </c>
    </row>
    <row r="719" spans="1:24" x14ac:dyDescent="0.35">
      <c r="A719" t="s">
        <v>448</v>
      </c>
      <c r="B719">
        <v>2023</v>
      </c>
      <c r="C719" t="s">
        <v>1308</v>
      </c>
      <c r="D719" t="s">
        <v>1315</v>
      </c>
      <c r="E719" t="s">
        <v>1359</v>
      </c>
      <c r="F719" t="s">
        <v>1366</v>
      </c>
      <c r="G719" t="s">
        <v>1371</v>
      </c>
      <c r="H719">
        <v>150.6113</v>
      </c>
      <c r="J719" t="s">
        <v>1386</v>
      </c>
      <c r="N719">
        <v>1.18</v>
      </c>
      <c r="R719" s="2" t="s">
        <v>1438</v>
      </c>
      <c r="S719">
        <v>841000</v>
      </c>
      <c r="U719">
        <v>841000</v>
      </c>
      <c r="V719">
        <v>1.790859690844233E-4</v>
      </c>
      <c r="W719" t="s">
        <v>9</v>
      </c>
      <c r="X719" t="s">
        <v>1456</v>
      </c>
    </row>
    <row r="720" spans="1:24" x14ac:dyDescent="0.35">
      <c r="A720" t="s">
        <v>647</v>
      </c>
      <c r="B720">
        <v>2023</v>
      </c>
      <c r="C720" t="s">
        <v>1308</v>
      </c>
      <c r="D720" t="s">
        <v>1317</v>
      </c>
      <c r="E720" t="s">
        <v>1359</v>
      </c>
      <c r="F720" t="s">
        <v>1366</v>
      </c>
      <c r="G720" t="s">
        <v>1372</v>
      </c>
      <c r="H720">
        <v>5.2194999999999998E-2</v>
      </c>
      <c r="J720" t="s">
        <v>1386</v>
      </c>
      <c r="N720">
        <v>1.18</v>
      </c>
      <c r="R720" s="2" t="s">
        <v>1438</v>
      </c>
      <c r="S720">
        <v>841000</v>
      </c>
      <c r="U720">
        <v>841000</v>
      </c>
      <c r="V720">
        <v>6.2063020214030917E-8</v>
      </c>
      <c r="W720" t="s">
        <v>9</v>
      </c>
      <c r="X720" t="s">
        <v>1457</v>
      </c>
    </row>
    <row r="721" spans="1:24" x14ac:dyDescent="0.35">
      <c r="A721" t="s">
        <v>648</v>
      </c>
      <c r="B721">
        <v>2023</v>
      </c>
      <c r="C721" t="s">
        <v>1308</v>
      </c>
      <c r="D721" t="s">
        <v>1320</v>
      </c>
      <c r="E721" t="s">
        <v>1359</v>
      </c>
      <c r="F721" t="s">
        <v>1366</v>
      </c>
      <c r="G721" t="s">
        <v>1372</v>
      </c>
      <c r="H721">
        <v>6.6499999999999997E-3</v>
      </c>
      <c r="J721" t="s">
        <v>1386</v>
      </c>
      <c r="N721">
        <v>1.18</v>
      </c>
      <c r="R721" s="2" t="s">
        <v>1438</v>
      </c>
      <c r="S721">
        <v>841000</v>
      </c>
      <c r="U721">
        <v>841000</v>
      </c>
      <c r="V721">
        <v>7.9072532699167652E-9</v>
      </c>
      <c r="W721" t="s">
        <v>9</v>
      </c>
      <c r="X721" t="s">
        <v>1457</v>
      </c>
    </row>
    <row r="722" spans="1:24" x14ac:dyDescent="0.35">
      <c r="A722" t="s">
        <v>649</v>
      </c>
      <c r="B722">
        <v>2023</v>
      </c>
      <c r="C722" t="s">
        <v>1308</v>
      </c>
      <c r="D722" t="s">
        <v>1313</v>
      </c>
      <c r="E722" t="s">
        <v>1359</v>
      </c>
      <c r="F722" t="s">
        <v>1366</v>
      </c>
      <c r="G722" t="s">
        <v>1371</v>
      </c>
      <c r="H722">
        <v>8.3759E-2</v>
      </c>
      <c r="J722" t="s">
        <v>1386</v>
      </c>
      <c r="N722">
        <v>1.18</v>
      </c>
      <c r="R722" s="2" t="s">
        <v>1438</v>
      </c>
      <c r="S722">
        <v>841000</v>
      </c>
      <c r="U722">
        <v>841000</v>
      </c>
      <c r="V722">
        <v>9.9594530321046374E-8</v>
      </c>
      <c r="W722" t="s">
        <v>9</v>
      </c>
      <c r="X722" t="s">
        <v>1456</v>
      </c>
    </row>
    <row r="723" spans="1:24" x14ac:dyDescent="0.35">
      <c r="A723" t="s">
        <v>650</v>
      </c>
      <c r="B723">
        <v>2023</v>
      </c>
      <c r="C723" t="s">
        <v>1308</v>
      </c>
      <c r="D723" t="s">
        <v>1314</v>
      </c>
      <c r="E723" t="s">
        <v>1359</v>
      </c>
      <c r="F723" t="s">
        <v>1366</v>
      </c>
      <c r="G723" t="s">
        <v>1371</v>
      </c>
      <c r="H723">
        <v>1.2683E-2</v>
      </c>
      <c r="J723" t="s">
        <v>1386</v>
      </c>
      <c r="N723">
        <v>1.18</v>
      </c>
      <c r="R723" s="2" t="s">
        <v>1438</v>
      </c>
      <c r="S723">
        <v>841000</v>
      </c>
      <c r="U723">
        <v>841000</v>
      </c>
      <c r="V723">
        <v>1.5080856123662309E-8</v>
      </c>
      <c r="W723" t="s">
        <v>9</v>
      </c>
      <c r="X723" t="s">
        <v>1456</v>
      </c>
    </row>
    <row r="724" spans="1:24" x14ac:dyDescent="0.35">
      <c r="A724" t="s">
        <v>811</v>
      </c>
      <c r="B724">
        <v>2023</v>
      </c>
      <c r="C724" t="s">
        <v>1309</v>
      </c>
      <c r="D724" t="s">
        <v>1317</v>
      </c>
      <c r="E724" t="s">
        <v>1359</v>
      </c>
      <c r="F724" t="s">
        <v>1368</v>
      </c>
      <c r="G724" t="s">
        <v>1372</v>
      </c>
      <c r="H724">
        <v>53.759300000000003</v>
      </c>
      <c r="J724" t="s">
        <v>1386</v>
      </c>
      <c r="N724">
        <v>1.18</v>
      </c>
      <c r="R724" s="2" t="s">
        <v>1438</v>
      </c>
      <c r="S724">
        <v>841000</v>
      </c>
      <c r="U724">
        <v>841000</v>
      </c>
      <c r="V724">
        <v>6.3923067776456598E-5</v>
      </c>
      <c r="W724" t="s">
        <v>9</v>
      </c>
      <c r="X724" t="s">
        <v>1457</v>
      </c>
    </row>
    <row r="725" spans="1:24" x14ac:dyDescent="0.35">
      <c r="A725" t="s">
        <v>812</v>
      </c>
      <c r="B725">
        <v>2023</v>
      </c>
      <c r="C725" t="s">
        <v>1309</v>
      </c>
      <c r="D725" t="s">
        <v>1318</v>
      </c>
      <c r="E725" t="s">
        <v>1359</v>
      </c>
      <c r="F725" t="s">
        <v>1368</v>
      </c>
      <c r="G725" t="s">
        <v>1372</v>
      </c>
      <c r="H725">
        <v>2.8000000000000001E-2</v>
      </c>
      <c r="J725" t="s">
        <v>1386</v>
      </c>
      <c r="N725">
        <v>1.18</v>
      </c>
      <c r="R725" s="2" t="s">
        <v>1438</v>
      </c>
      <c r="S725">
        <v>841000</v>
      </c>
      <c r="U725">
        <v>841000</v>
      </c>
      <c r="V725">
        <v>3.329369797859691E-8</v>
      </c>
      <c r="W725" t="s">
        <v>9</v>
      </c>
      <c r="X725" t="s">
        <v>1457</v>
      </c>
    </row>
    <row r="726" spans="1:24" x14ac:dyDescent="0.35">
      <c r="A726" t="s">
        <v>813</v>
      </c>
      <c r="B726">
        <v>2023</v>
      </c>
      <c r="C726" t="s">
        <v>1309</v>
      </c>
      <c r="D726" t="s">
        <v>1320</v>
      </c>
      <c r="E726" t="s">
        <v>1359</v>
      </c>
      <c r="F726" t="s">
        <v>1368</v>
      </c>
      <c r="G726" t="s">
        <v>1372</v>
      </c>
      <c r="H726">
        <v>14.5311</v>
      </c>
      <c r="J726" t="s">
        <v>1386</v>
      </c>
      <c r="N726">
        <v>1.18</v>
      </c>
      <c r="R726" s="2" t="s">
        <v>1438</v>
      </c>
      <c r="S726">
        <v>841000</v>
      </c>
      <c r="U726">
        <v>841000</v>
      </c>
      <c r="V726">
        <v>1.7278359096313909E-5</v>
      </c>
      <c r="W726" t="s">
        <v>9</v>
      </c>
      <c r="X726" t="s">
        <v>1457</v>
      </c>
    </row>
    <row r="727" spans="1:24" x14ac:dyDescent="0.35">
      <c r="A727" t="s">
        <v>814</v>
      </c>
      <c r="B727">
        <v>2023</v>
      </c>
      <c r="C727" t="s">
        <v>1309</v>
      </c>
      <c r="D727" t="s">
        <v>1322</v>
      </c>
      <c r="E727" t="s">
        <v>1359</v>
      </c>
      <c r="F727" t="s">
        <v>1368</v>
      </c>
      <c r="G727" t="s">
        <v>1372</v>
      </c>
      <c r="H727">
        <v>0.1588</v>
      </c>
      <c r="J727" t="s">
        <v>1386</v>
      </c>
      <c r="N727">
        <v>1.18</v>
      </c>
      <c r="R727" s="2" t="s">
        <v>1438</v>
      </c>
      <c r="S727">
        <v>841000</v>
      </c>
      <c r="U727">
        <v>841000</v>
      </c>
      <c r="V727">
        <v>1.888228299643282E-7</v>
      </c>
      <c r="W727" t="s">
        <v>9</v>
      </c>
      <c r="X727" t="s">
        <v>1457</v>
      </c>
    </row>
    <row r="728" spans="1:24" x14ac:dyDescent="0.35">
      <c r="A728" t="s">
        <v>815</v>
      </c>
      <c r="B728">
        <v>2023</v>
      </c>
      <c r="C728" t="s">
        <v>1309</v>
      </c>
      <c r="D728" t="s">
        <v>1330</v>
      </c>
      <c r="E728" t="s">
        <v>1359</v>
      </c>
      <c r="F728" t="s">
        <v>1368</v>
      </c>
      <c r="G728" t="s">
        <v>1371</v>
      </c>
      <c r="H728">
        <v>3.8E-6</v>
      </c>
      <c r="J728" t="s">
        <v>1386</v>
      </c>
      <c r="N728">
        <v>1.18</v>
      </c>
      <c r="R728" s="2" t="s">
        <v>1438</v>
      </c>
      <c r="S728">
        <v>841000</v>
      </c>
      <c r="U728">
        <v>841000</v>
      </c>
      <c r="V728">
        <v>4.5184304399524379E-12</v>
      </c>
      <c r="W728" t="s">
        <v>9</v>
      </c>
      <c r="X728" t="s">
        <v>1456</v>
      </c>
    </row>
    <row r="729" spans="1:24" x14ac:dyDescent="0.35">
      <c r="A729" t="s">
        <v>816</v>
      </c>
      <c r="B729">
        <v>2023</v>
      </c>
      <c r="C729" t="s">
        <v>1309</v>
      </c>
      <c r="D729" t="s">
        <v>1331</v>
      </c>
      <c r="E729" t="s">
        <v>1359</v>
      </c>
      <c r="F729" t="s">
        <v>1368</v>
      </c>
      <c r="G729" t="s">
        <v>1371</v>
      </c>
      <c r="H729">
        <v>114.69277</v>
      </c>
      <c r="J729" t="s">
        <v>1386</v>
      </c>
      <c r="N729">
        <v>1.18</v>
      </c>
      <c r="R729" s="2" t="s">
        <v>1438</v>
      </c>
      <c r="S729">
        <v>841000</v>
      </c>
      <c r="U729">
        <v>841000</v>
      </c>
      <c r="V729">
        <v>1.363766587395957E-4</v>
      </c>
      <c r="W729" t="s">
        <v>9</v>
      </c>
      <c r="X729" t="s">
        <v>1456</v>
      </c>
    </row>
    <row r="730" spans="1:24" x14ac:dyDescent="0.35">
      <c r="A730" t="s">
        <v>941</v>
      </c>
      <c r="B730">
        <v>2023</v>
      </c>
      <c r="C730" t="s">
        <v>1309</v>
      </c>
      <c r="D730" t="s">
        <v>1317</v>
      </c>
      <c r="E730" t="s">
        <v>1359</v>
      </c>
      <c r="F730" t="s">
        <v>1368</v>
      </c>
      <c r="G730" t="s">
        <v>1372</v>
      </c>
      <c r="H730">
        <v>1.6565000000000001</v>
      </c>
      <c r="J730" t="s">
        <v>1386</v>
      </c>
      <c r="N730">
        <v>1.18</v>
      </c>
      <c r="R730" s="2" t="s">
        <v>1438</v>
      </c>
      <c r="S730">
        <v>841000</v>
      </c>
      <c r="U730">
        <v>841000</v>
      </c>
      <c r="V730">
        <v>1.9696789536266351E-6</v>
      </c>
      <c r="W730" t="s">
        <v>9</v>
      </c>
      <c r="X730" t="s">
        <v>1457</v>
      </c>
    </row>
    <row r="731" spans="1:24" x14ac:dyDescent="0.35">
      <c r="A731" t="s">
        <v>942</v>
      </c>
      <c r="B731">
        <v>2023</v>
      </c>
      <c r="C731" t="s">
        <v>1309</v>
      </c>
      <c r="D731" t="s">
        <v>1320</v>
      </c>
      <c r="E731" t="s">
        <v>1359</v>
      </c>
      <c r="F731" t="s">
        <v>1368</v>
      </c>
      <c r="G731" t="s">
        <v>1372</v>
      </c>
      <c r="H731">
        <v>20.374976</v>
      </c>
      <c r="J731" t="s">
        <v>1386</v>
      </c>
      <c r="N731">
        <v>1.18</v>
      </c>
      <c r="R731" s="2" t="s">
        <v>1438</v>
      </c>
      <c r="S731">
        <v>841000</v>
      </c>
      <c r="U731">
        <v>841000</v>
      </c>
      <c r="V731">
        <v>2.42270820451843E-5</v>
      </c>
      <c r="W731" t="s">
        <v>9</v>
      </c>
      <c r="X731" t="s">
        <v>1457</v>
      </c>
    </row>
    <row r="732" spans="1:24" x14ac:dyDescent="0.35">
      <c r="A732" t="s">
        <v>943</v>
      </c>
      <c r="B732">
        <v>2023</v>
      </c>
      <c r="C732" t="s">
        <v>1309</v>
      </c>
      <c r="D732" t="s">
        <v>1331</v>
      </c>
      <c r="E732" t="s">
        <v>1359</v>
      </c>
      <c r="F732" t="s">
        <v>1368</v>
      </c>
      <c r="G732" t="s">
        <v>1371</v>
      </c>
      <c r="H732">
        <v>19.945238</v>
      </c>
      <c r="J732" t="s">
        <v>1386</v>
      </c>
      <c r="N732">
        <v>1.18</v>
      </c>
      <c r="R732" s="2" t="s">
        <v>1438</v>
      </c>
      <c r="S732">
        <v>841000</v>
      </c>
      <c r="U732">
        <v>841000</v>
      </c>
      <c r="V732">
        <v>2.371609750297265E-5</v>
      </c>
      <c r="W732" t="s">
        <v>9</v>
      </c>
      <c r="X732" t="s">
        <v>1456</v>
      </c>
    </row>
    <row r="733" spans="1:24" x14ac:dyDescent="0.35">
      <c r="A733" t="s">
        <v>1046</v>
      </c>
      <c r="B733">
        <v>2023</v>
      </c>
      <c r="C733" t="s">
        <v>1308</v>
      </c>
      <c r="D733" t="s">
        <v>1347</v>
      </c>
      <c r="E733" t="s">
        <v>1359</v>
      </c>
      <c r="F733" t="s">
        <v>1370</v>
      </c>
      <c r="G733" t="s">
        <v>1375</v>
      </c>
      <c r="H733">
        <v>26800</v>
      </c>
      <c r="J733" t="s">
        <v>1386</v>
      </c>
      <c r="N733">
        <v>1.18</v>
      </c>
      <c r="R733" s="2" t="s">
        <v>1439</v>
      </c>
      <c r="S733">
        <v>841000</v>
      </c>
      <c r="U733">
        <v>841000</v>
      </c>
      <c r="V733">
        <v>3.1866825208085613E-2</v>
      </c>
      <c r="W733" t="s">
        <v>9</v>
      </c>
      <c r="X733" t="s">
        <v>1460</v>
      </c>
    </row>
    <row r="734" spans="1:24" x14ac:dyDescent="0.35">
      <c r="A734" t="s">
        <v>1155</v>
      </c>
      <c r="B734">
        <v>2024</v>
      </c>
      <c r="C734" t="s">
        <v>1308</v>
      </c>
      <c r="D734" t="s">
        <v>1311</v>
      </c>
      <c r="E734" t="s">
        <v>1359</v>
      </c>
      <c r="G734" t="s">
        <v>1371</v>
      </c>
      <c r="H734">
        <v>1079.77</v>
      </c>
      <c r="J734" t="s">
        <v>1386</v>
      </c>
      <c r="N734">
        <v>1.18</v>
      </c>
      <c r="Q734" t="s">
        <v>1427</v>
      </c>
      <c r="R734" t="s">
        <v>1445</v>
      </c>
      <c r="S734">
        <v>841000</v>
      </c>
      <c r="U734">
        <v>841000</v>
      </c>
      <c r="V734">
        <v>1.2839120095124851E-3</v>
      </c>
      <c r="W734" t="s">
        <v>9</v>
      </c>
      <c r="X734" t="s">
        <v>1456</v>
      </c>
    </row>
    <row r="735" spans="1:24" x14ac:dyDescent="0.35">
      <c r="A735" t="s">
        <v>1156</v>
      </c>
      <c r="B735">
        <v>2024</v>
      </c>
      <c r="C735" t="s">
        <v>1308</v>
      </c>
      <c r="D735" t="s">
        <v>1347</v>
      </c>
      <c r="E735" t="s">
        <v>1359</v>
      </c>
      <c r="G735" t="s">
        <v>1375</v>
      </c>
      <c r="H735">
        <v>25750.747165017401</v>
      </c>
      <c r="J735" t="s">
        <v>1386</v>
      </c>
      <c r="N735">
        <v>1.18</v>
      </c>
      <c r="Q735" t="s">
        <v>1427</v>
      </c>
      <c r="R735" t="s">
        <v>1445</v>
      </c>
      <c r="S735">
        <v>841000</v>
      </c>
      <c r="U735">
        <v>841000</v>
      </c>
      <c r="V735">
        <v>3.0619199958403572E-2</v>
      </c>
      <c r="W735" t="s">
        <v>9</v>
      </c>
      <c r="X735" t="s">
        <v>1460</v>
      </c>
    </row>
    <row r="736" spans="1:24" x14ac:dyDescent="0.35">
      <c r="A736" t="s">
        <v>1157</v>
      </c>
      <c r="B736">
        <v>2024</v>
      </c>
      <c r="C736" t="s">
        <v>1308</v>
      </c>
      <c r="D736" t="s">
        <v>1347</v>
      </c>
      <c r="E736" t="s">
        <v>1359</v>
      </c>
      <c r="G736" t="s">
        <v>1375</v>
      </c>
      <c r="H736">
        <v>7448.9593307550003</v>
      </c>
      <c r="J736" t="s">
        <v>1386</v>
      </c>
      <c r="N736">
        <v>1.18</v>
      </c>
      <c r="Q736" t="s">
        <v>1427</v>
      </c>
      <c r="R736" t="s">
        <v>1445</v>
      </c>
      <c r="S736">
        <v>841000</v>
      </c>
      <c r="U736">
        <v>841000</v>
      </c>
      <c r="V736">
        <v>8.8572643647502978E-3</v>
      </c>
      <c r="W736" t="s">
        <v>9</v>
      </c>
      <c r="X736" t="s">
        <v>1460</v>
      </c>
    </row>
    <row r="737" spans="1:24" x14ac:dyDescent="0.35">
      <c r="A737" t="s">
        <v>1158</v>
      </c>
      <c r="B737">
        <v>2024</v>
      </c>
      <c r="C737" t="s">
        <v>1308</v>
      </c>
      <c r="D737" t="s">
        <v>1322</v>
      </c>
      <c r="E737" t="s">
        <v>1359</v>
      </c>
      <c r="G737" t="s">
        <v>1372</v>
      </c>
      <c r="H737">
        <v>20.6055999999999</v>
      </c>
      <c r="J737" t="s">
        <v>1386</v>
      </c>
      <c r="N737">
        <v>1.18</v>
      </c>
      <c r="Q737" t="s">
        <v>1427</v>
      </c>
      <c r="R737" t="s">
        <v>1445</v>
      </c>
      <c r="S737">
        <v>841000</v>
      </c>
      <c r="U737">
        <v>841000</v>
      </c>
      <c r="V737">
        <v>2.4501307966706181E-5</v>
      </c>
      <c r="W737" t="s">
        <v>9</v>
      </c>
      <c r="X737" t="s">
        <v>1457</v>
      </c>
    </row>
    <row r="738" spans="1:24" x14ac:dyDescent="0.35">
      <c r="A738" t="s">
        <v>1159</v>
      </c>
      <c r="B738">
        <v>2024</v>
      </c>
      <c r="C738" t="s">
        <v>1308</v>
      </c>
      <c r="D738" t="s">
        <v>1330</v>
      </c>
      <c r="E738" t="s">
        <v>1359</v>
      </c>
      <c r="G738" t="s">
        <v>1371</v>
      </c>
      <c r="H738">
        <v>1.3559999999999999E-2</v>
      </c>
      <c r="J738" t="s">
        <v>1386</v>
      </c>
      <c r="N738">
        <v>1.18</v>
      </c>
      <c r="Q738" t="s">
        <v>1427</v>
      </c>
      <c r="R738" t="s">
        <v>1445</v>
      </c>
      <c r="S738">
        <v>841000</v>
      </c>
      <c r="U738">
        <v>841000</v>
      </c>
      <c r="V738">
        <v>1.6123662306777649E-8</v>
      </c>
      <c r="W738" t="s">
        <v>9</v>
      </c>
      <c r="X738" t="s">
        <v>1456</v>
      </c>
    </row>
    <row r="739" spans="1:24" x14ac:dyDescent="0.35">
      <c r="A739" t="s">
        <v>1160</v>
      </c>
      <c r="B739">
        <v>2024</v>
      </c>
      <c r="C739" t="s">
        <v>1308</v>
      </c>
      <c r="D739" t="s">
        <v>1348</v>
      </c>
      <c r="E739" t="s">
        <v>1359</v>
      </c>
      <c r="G739" t="s">
        <v>1371</v>
      </c>
      <c r="H739">
        <v>17.687999999999999</v>
      </c>
      <c r="J739" t="s">
        <v>1386</v>
      </c>
      <c r="N739">
        <v>1.18</v>
      </c>
      <c r="Q739" t="s">
        <v>1427</v>
      </c>
      <c r="R739" t="s">
        <v>1445</v>
      </c>
      <c r="S739">
        <v>841000</v>
      </c>
      <c r="U739">
        <v>841000</v>
      </c>
      <c r="V739">
        <v>2.1032104637336499E-5</v>
      </c>
      <c r="W739" t="s">
        <v>9</v>
      </c>
      <c r="X739" t="s">
        <v>1456</v>
      </c>
    </row>
    <row r="740" spans="1:24" x14ac:dyDescent="0.35">
      <c r="A740" t="s">
        <v>1161</v>
      </c>
      <c r="B740">
        <v>2024</v>
      </c>
      <c r="C740" t="s">
        <v>1308</v>
      </c>
      <c r="D740" t="s">
        <v>1313</v>
      </c>
      <c r="E740" t="s">
        <v>1359</v>
      </c>
      <c r="G740" t="s">
        <v>1371</v>
      </c>
      <c r="H740">
        <v>126.5</v>
      </c>
      <c r="J740" t="s">
        <v>1386</v>
      </c>
      <c r="N740">
        <v>1.18</v>
      </c>
      <c r="Q740" t="s">
        <v>1427</v>
      </c>
      <c r="R740" t="s">
        <v>1445</v>
      </c>
      <c r="S740">
        <v>841000</v>
      </c>
      <c r="U740">
        <v>841000</v>
      </c>
      <c r="V740">
        <v>1.504161712247324E-4</v>
      </c>
      <c r="W740" t="s">
        <v>9</v>
      </c>
      <c r="X740" t="s">
        <v>1456</v>
      </c>
    </row>
    <row r="741" spans="1:24" x14ac:dyDescent="0.35">
      <c r="A741" t="s">
        <v>1162</v>
      </c>
      <c r="B741">
        <v>2024</v>
      </c>
      <c r="C741" t="s">
        <v>1308</v>
      </c>
      <c r="D741" t="s">
        <v>1314</v>
      </c>
      <c r="E741" t="s">
        <v>1359</v>
      </c>
      <c r="G741" t="s">
        <v>1371</v>
      </c>
      <c r="H741">
        <v>112.97</v>
      </c>
      <c r="J741" t="s">
        <v>1386</v>
      </c>
      <c r="N741">
        <v>1.18</v>
      </c>
      <c r="Q741" t="s">
        <v>1427</v>
      </c>
      <c r="R741" t="s">
        <v>1445</v>
      </c>
      <c r="S741">
        <v>841000</v>
      </c>
      <c r="U741">
        <v>841000</v>
      </c>
      <c r="V741">
        <v>1.3432818073721761E-4</v>
      </c>
      <c r="W741" t="s">
        <v>9</v>
      </c>
      <c r="X741" t="s">
        <v>1456</v>
      </c>
    </row>
    <row r="742" spans="1:24" x14ac:dyDescent="0.35">
      <c r="A742" t="s">
        <v>1163</v>
      </c>
      <c r="B742">
        <v>2024</v>
      </c>
      <c r="C742" t="s">
        <v>1308</v>
      </c>
      <c r="D742" t="s">
        <v>1349</v>
      </c>
      <c r="E742" t="s">
        <v>1359</v>
      </c>
      <c r="G742" t="s">
        <v>1371</v>
      </c>
      <c r="H742">
        <v>1.4379999999999999</v>
      </c>
      <c r="J742" t="s">
        <v>1386</v>
      </c>
      <c r="N742">
        <v>1.18</v>
      </c>
      <c r="Q742" t="s">
        <v>1427</v>
      </c>
      <c r="R742" t="s">
        <v>1445</v>
      </c>
      <c r="S742">
        <v>841000</v>
      </c>
      <c r="U742">
        <v>841000</v>
      </c>
      <c r="V742">
        <v>1.7098692033293699E-6</v>
      </c>
      <c r="W742" t="s">
        <v>9</v>
      </c>
      <c r="X742" t="s">
        <v>1456</v>
      </c>
    </row>
    <row r="743" spans="1:24" x14ac:dyDescent="0.35">
      <c r="A743" t="s">
        <v>1164</v>
      </c>
      <c r="B743">
        <v>2024</v>
      </c>
      <c r="C743" t="s">
        <v>1308</v>
      </c>
      <c r="D743" t="s">
        <v>1316</v>
      </c>
      <c r="E743" t="s">
        <v>1359</v>
      </c>
      <c r="G743" t="s">
        <v>1371</v>
      </c>
      <c r="H743">
        <v>4.7160000000000002</v>
      </c>
      <c r="J743" t="s">
        <v>1386</v>
      </c>
      <c r="N743">
        <v>1.18</v>
      </c>
      <c r="Q743" t="s">
        <v>1427</v>
      </c>
      <c r="R743" t="s">
        <v>1445</v>
      </c>
      <c r="S743">
        <v>841000</v>
      </c>
      <c r="U743">
        <v>841000</v>
      </c>
      <c r="V743">
        <v>5.607609988109394E-6</v>
      </c>
      <c r="W743" t="s">
        <v>9</v>
      </c>
      <c r="X743" t="s">
        <v>1456</v>
      </c>
    </row>
    <row r="744" spans="1:24" x14ac:dyDescent="0.35">
      <c r="A744" t="s">
        <v>1165</v>
      </c>
      <c r="B744">
        <v>2024</v>
      </c>
      <c r="C744" t="s">
        <v>1309</v>
      </c>
      <c r="D744" t="s">
        <v>1350</v>
      </c>
      <c r="E744" t="s">
        <v>1360</v>
      </c>
      <c r="G744" t="s">
        <v>1376</v>
      </c>
      <c r="H744">
        <v>2565000</v>
      </c>
      <c r="J744" t="s">
        <v>1386</v>
      </c>
      <c r="N744">
        <v>1.18</v>
      </c>
      <c r="Q744" t="s">
        <v>1427</v>
      </c>
      <c r="R744" t="s">
        <v>1445</v>
      </c>
      <c r="S744">
        <v>841000</v>
      </c>
      <c r="U744">
        <v>841000</v>
      </c>
      <c r="V744">
        <v>3.0499405469678948</v>
      </c>
      <c r="W744" t="s">
        <v>9</v>
      </c>
      <c r="X744" t="s">
        <v>1461</v>
      </c>
    </row>
    <row r="745" spans="1:24" x14ac:dyDescent="0.35">
      <c r="A745" t="s">
        <v>1166</v>
      </c>
      <c r="B745">
        <v>2024</v>
      </c>
      <c r="C745" t="s">
        <v>1309</v>
      </c>
      <c r="D745" t="s">
        <v>1350</v>
      </c>
      <c r="E745" t="s">
        <v>1361</v>
      </c>
      <c r="G745" t="s">
        <v>1376</v>
      </c>
      <c r="H745">
        <v>2565000</v>
      </c>
      <c r="J745" t="s">
        <v>1386</v>
      </c>
      <c r="N745">
        <v>1.18</v>
      </c>
      <c r="Q745" t="s">
        <v>1427</v>
      </c>
      <c r="R745" t="s">
        <v>1445</v>
      </c>
      <c r="S745">
        <v>841000</v>
      </c>
      <c r="U745">
        <v>841000</v>
      </c>
      <c r="V745">
        <v>3.0499405469678948</v>
      </c>
      <c r="W745" t="s">
        <v>9</v>
      </c>
      <c r="X745" t="s">
        <v>1461</v>
      </c>
    </row>
    <row r="746" spans="1:24" x14ac:dyDescent="0.35">
      <c r="A746" t="s">
        <v>1167</v>
      </c>
      <c r="B746">
        <v>2024</v>
      </c>
      <c r="C746" t="s">
        <v>1309</v>
      </c>
      <c r="D746" t="s">
        <v>1350</v>
      </c>
      <c r="E746" t="s">
        <v>1362</v>
      </c>
      <c r="G746" t="s">
        <v>1376</v>
      </c>
      <c r="H746">
        <v>1968.4149299999999</v>
      </c>
      <c r="J746" t="s">
        <v>1386</v>
      </c>
      <c r="N746">
        <v>1.18</v>
      </c>
      <c r="Q746" t="s">
        <v>1427</v>
      </c>
      <c r="R746" t="s">
        <v>1445</v>
      </c>
      <c r="S746">
        <v>841000</v>
      </c>
      <c r="U746">
        <v>841000</v>
      </c>
      <c r="V746">
        <v>2.3405647205707492E-3</v>
      </c>
      <c r="W746" t="s">
        <v>9</v>
      </c>
      <c r="X746" t="s">
        <v>1461</v>
      </c>
    </row>
    <row r="747" spans="1:24" hidden="1" x14ac:dyDescent="0.35">
      <c r="A747" t="s">
        <v>265</v>
      </c>
      <c r="B747">
        <v>2023</v>
      </c>
      <c r="C747" t="s">
        <v>1308</v>
      </c>
      <c r="D747" t="s">
        <v>1317</v>
      </c>
      <c r="E747" t="s">
        <v>1359</v>
      </c>
      <c r="F747" t="s">
        <v>1364</v>
      </c>
      <c r="G747" t="s">
        <v>1372</v>
      </c>
      <c r="H747">
        <v>9.3668000000000001E-2</v>
      </c>
      <c r="J747" t="s">
        <v>1401</v>
      </c>
      <c r="L747">
        <f>0.91/1000</f>
        <v>9.1E-4</v>
      </c>
      <c r="O747">
        <v>95</v>
      </c>
      <c r="R747" s="2" t="s">
        <v>1438</v>
      </c>
      <c r="S747">
        <v>1165551</v>
      </c>
      <c r="U747">
        <v>1165551</v>
      </c>
      <c r="V747">
        <v>8.0363707808581516E-8</v>
      </c>
      <c r="W747" t="s">
        <v>9</v>
      </c>
      <c r="X747" t="s">
        <v>1457</v>
      </c>
    </row>
    <row r="748" spans="1:24" hidden="1" x14ac:dyDescent="0.35">
      <c r="A748" t="s">
        <v>266</v>
      </c>
      <c r="B748">
        <v>2023</v>
      </c>
      <c r="C748" t="s">
        <v>1308</v>
      </c>
      <c r="D748" t="s">
        <v>1311</v>
      </c>
      <c r="E748" t="s">
        <v>1359</v>
      </c>
      <c r="F748" t="s">
        <v>1364</v>
      </c>
      <c r="G748" t="s">
        <v>1371</v>
      </c>
      <c r="H748">
        <v>20.783660000000001</v>
      </c>
      <c r="J748" t="s">
        <v>1401</v>
      </c>
      <c r="L748">
        <f t="shared" ref="L748:L791" si="18">0.91/1000</f>
        <v>9.1E-4</v>
      </c>
      <c r="O748">
        <v>95</v>
      </c>
      <c r="R748" s="2" t="s">
        <v>1438</v>
      </c>
      <c r="S748">
        <v>1165551</v>
      </c>
      <c r="U748">
        <v>1165551</v>
      </c>
      <c r="V748">
        <v>1.783161783568458E-5</v>
      </c>
      <c r="W748" t="s">
        <v>9</v>
      </c>
      <c r="X748" t="s">
        <v>1456</v>
      </c>
    </row>
    <row r="749" spans="1:24" hidden="1" x14ac:dyDescent="0.35">
      <c r="A749" t="s">
        <v>267</v>
      </c>
      <c r="B749">
        <v>2023</v>
      </c>
      <c r="C749" t="s">
        <v>1308</v>
      </c>
      <c r="D749" t="s">
        <v>1319</v>
      </c>
      <c r="E749" t="s">
        <v>1359</v>
      </c>
      <c r="F749" t="s">
        <v>1364</v>
      </c>
      <c r="G749" t="s">
        <v>1371</v>
      </c>
      <c r="H749">
        <v>4.86E-4</v>
      </c>
      <c r="J749" t="s">
        <v>1401</v>
      </c>
      <c r="L749">
        <f t="shared" si="18"/>
        <v>9.1E-4</v>
      </c>
      <c r="O749">
        <v>95</v>
      </c>
      <c r="R749" s="2" t="s">
        <v>1438</v>
      </c>
      <c r="S749">
        <v>1165551</v>
      </c>
      <c r="U749">
        <v>1165551</v>
      </c>
      <c r="V749">
        <v>4.1697017118942031E-10</v>
      </c>
      <c r="W749" t="s">
        <v>9</v>
      </c>
      <c r="X749" t="s">
        <v>1456</v>
      </c>
    </row>
    <row r="750" spans="1:24" hidden="1" x14ac:dyDescent="0.35">
      <c r="A750" t="s">
        <v>268</v>
      </c>
      <c r="B750">
        <v>2023</v>
      </c>
      <c r="C750" t="s">
        <v>1308</v>
      </c>
      <c r="D750" t="s">
        <v>1320</v>
      </c>
      <c r="E750" t="s">
        <v>1359</v>
      </c>
      <c r="F750" t="s">
        <v>1364</v>
      </c>
      <c r="G750" t="s">
        <v>1372</v>
      </c>
      <c r="H750">
        <v>0.23225799999999999</v>
      </c>
      <c r="J750" t="s">
        <v>1401</v>
      </c>
      <c r="L750">
        <f t="shared" si="18"/>
        <v>9.1E-4</v>
      </c>
      <c r="O750">
        <v>95</v>
      </c>
      <c r="R750" s="2" t="s">
        <v>1438</v>
      </c>
      <c r="S750">
        <v>1165551</v>
      </c>
      <c r="U750">
        <v>1165551</v>
      </c>
      <c r="V750">
        <v>1.9926884366278271E-7</v>
      </c>
      <c r="W750" t="s">
        <v>9</v>
      </c>
      <c r="X750" t="s">
        <v>1457</v>
      </c>
    </row>
    <row r="751" spans="1:24" hidden="1" x14ac:dyDescent="0.35">
      <c r="A751" t="s">
        <v>269</v>
      </c>
      <c r="B751">
        <v>2023</v>
      </c>
      <c r="C751" t="s">
        <v>1308</v>
      </c>
      <c r="D751" t="s">
        <v>1321</v>
      </c>
      <c r="E751" t="s">
        <v>1359</v>
      </c>
      <c r="F751" t="s">
        <v>1364</v>
      </c>
      <c r="G751" t="s">
        <v>1371</v>
      </c>
      <c r="H751">
        <v>9.2800000000000001E-4</v>
      </c>
      <c r="J751" t="s">
        <v>1401</v>
      </c>
      <c r="L751">
        <f t="shared" si="18"/>
        <v>9.1E-4</v>
      </c>
      <c r="O751">
        <v>95</v>
      </c>
      <c r="R751" s="2" t="s">
        <v>1438</v>
      </c>
      <c r="S751">
        <v>1165551</v>
      </c>
      <c r="U751">
        <v>1165551</v>
      </c>
      <c r="V751">
        <v>7.9618995650983956E-10</v>
      </c>
      <c r="W751" t="s">
        <v>9</v>
      </c>
      <c r="X751" t="s">
        <v>1456</v>
      </c>
    </row>
    <row r="752" spans="1:24" hidden="1" x14ac:dyDescent="0.35">
      <c r="A752" t="s">
        <v>270</v>
      </c>
      <c r="B752">
        <v>2023</v>
      </c>
      <c r="C752" t="s">
        <v>1308</v>
      </c>
      <c r="D752" t="s">
        <v>1343</v>
      </c>
      <c r="E752" t="s">
        <v>1359</v>
      </c>
      <c r="F752" t="s">
        <v>1364</v>
      </c>
      <c r="G752" t="s">
        <v>1371</v>
      </c>
      <c r="H752">
        <v>2.3574730000000002</v>
      </c>
      <c r="J752" t="s">
        <v>1401</v>
      </c>
      <c r="L752">
        <f t="shared" si="18"/>
        <v>9.1E-4</v>
      </c>
      <c r="O752">
        <v>95</v>
      </c>
      <c r="R752" s="2" t="s">
        <v>1438</v>
      </c>
      <c r="S752">
        <v>1165551</v>
      </c>
      <c r="U752">
        <v>1165551</v>
      </c>
      <c r="V752">
        <v>2.0226253505852601E-6</v>
      </c>
      <c r="W752" t="s">
        <v>9</v>
      </c>
      <c r="X752" t="s">
        <v>1456</v>
      </c>
    </row>
    <row r="753" spans="1:24" hidden="1" x14ac:dyDescent="0.35">
      <c r="A753" t="s">
        <v>271</v>
      </c>
      <c r="B753">
        <v>2023</v>
      </c>
      <c r="C753" t="s">
        <v>1308</v>
      </c>
      <c r="D753" t="s">
        <v>1322</v>
      </c>
      <c r="E753" t="s">
        <v>1359</v>
      </c>
      <c r="F753" t="s">
        <v>1364</v>
      </c>
      <c r="G753" t="s">
        <v>1372</v>
      </c>
      <c r="H753">
        <v>2.4372999999999999E-2</v>
      </c>
      <c r="J753" t="s">
        <v>1401</v>
      </c>
      <c r="L753">
        <f t="shared" si="18"/>
        <v>9.1E-4</v>
      </c>
      <c r="O753">
        <v>95</v>
      </c>
      <c r="R753" s="2" t="s">
        <v>1438</v>
      </c>
      <c r="S753">
        <v>1165551</v>
      </c>
      <c r="U753">
        <v>1165551</v>
      </c>
      <c r="V753">
        <v>2.0911139881480949E-8</v>
      </c>
      <c r="W753" t="s">
        <v>9</v>
      </c>
      <c r="X753" t="s">
        <v>1457</v>
      </c>
    </row>
    <row r="754" spans="1:24" hidden="1" x14ac:dyDescent="0.35">
      <c r="A754" t="s">
        <v>272</v>
      </c>
      <c r="B754">
        <v>2023</v>
      </c>
      <c r="C754" t="s">
        <v>1308</v>
      </c>
      <c r="D754" t="s">
        <v>1323</v>
      </c>
      <c r="E754" t="s">
        <v>1359</v>
      </c>
      <c r="F754" t="s">
        <v>1364</v>
      </c>
      <c r="G754" t="s">
        <v>1371</v>
      </c>
      <c r="H754">
        <v>1.4069E-2</v>
      </c>
      <c r="J754" t="s">
        <v>1401</v>
      </c>
      <c r="L754">
        <f t="shared" si="18"/>
        <v>9.1E-4</v>
      </c>
      <c r="O754">
        <v>95</v>
      </c>
      <c r="R754" s="2" t="s">
        <v>1438</v>
      </c>
      <c r="S754">
        <v>1165551</v>
      </c>
      <c r="U754">
        <v>1165551</v>
      </c>
      <c r="V754">
        <v>1.2070685881613071E-8</v>
      </c>
      <c r="W754" t="s">
        <v>9</v>
      </c>
      <c r="X754" t="s">
        <v>1456</v>
      </c>
    </row>
    <row r="755" spans="1:24" hidden="1" x14ac:dyDescent="0.35">
      <c r="A755" t="s">
        <v>273</v>
      </c>
      <c r="B755">
        <v>2023</v>
      </c>
      <c r="C755" t="s">
        <v>1308</v>
      </c>
      <c r="D755" t="s">
        <v>1324</v>
      </c>
      <c r="E755" t="s">
        <v>1359</v>
      </c>
      <c r="F755" t="s">
        <v>1364</v>
      </c>
      <c r="G755" t="s">
        <v>1371</v>
      </c>
      <c r="H755">
        <v>3.47E-3</v>
      </c>
      <c r="J755" t="s">
        <v>1401</v>
      </c>
      <c r="L755">
        <f t="shared" si="18"/>
        <v>9.1E-4</v>
      </c>
      <c r="O755">
        <v>95</v>
      </c>
      <c r="R755" s="2" t="s">
        <v>1438</v>
      </c>
      <c r="S755">
        <v>1165551</v>
      </c>
      <c r="U755">
        <v>1165551</v>
      </c>
      <c r="V755">
        <v>2.9771327037598532E-9</v>
      </c>
      <c r="W755" t="s">
        <v>9</v>
      </c>
      <c r="X755" t="s">
        <v>1456</v>
      </c>
    </row>
    <row r="756" spans="1:24" hidden="1" x14ac:dyDescent="0.35">
      <c r="A756" t="s">
        <v>274</v>
      </c>
      <c r="B756">
        <v>2023</v>
      </c>
      <c r="C756" t="s">
        <v>1308</v>
      </c>
      <c r="D756" t="s">
        <v>1312</v>
      </c>
      <c r="E756" t="s">
        <v>1359</v>
      </c>
      <c r="F756" t="s">
        <v>1364</v>
      </c>
      <c r="G756" t="s">
        <v>1371</v>
      </c>
      <c r="H756">
        <v>200.59294800000001</v>
      </c>
      <c r="J756" t="s">
        <v>1401</v>
      </c>
      <c r="L756">
        <f t="shared" si="18"/>
        <v>9.1E-4</v>
      </c>
      <c r="O756">
        <v>95</v>
      </c>
      <c r="R756" s="2" t="s">
        <v>1438</v>
      </c>
      <c r="S756">
        <v>1165551</v>
      </c>
      <c r="U756">
        <v>1165551</v>
      </c>
      <c r="V756">
        <v>1.7210139067273759E-4</v>
      </c>
      <c r="W756" t="s">
        <v>9</v>
      </c>
      <c r="X756" t="s">
        <v>1456</v>
      </c>
    </row>
    <row r="757" spans="1:24" hidden="1" x14ac:dyDescent="0.35">
      <c r="A757" t="s">
        <v>275</v>
      </c>
      <c r="B757">
        <v>2023</v>
      </c>
      <c r="C757" t="s">
        <v>1308</v>
      </c>
      <c r="D757" t="s">
        <v>1313</v>
      </c>
      <c r="E757" t="s">
        <v>1359</v>
      </c>
      <c r="F757" t="s">
        <v>1364</v>
      </c>
      <c r="G757" t="s">
        <v>1371</v>
      </c>
      <c r="H757">
        <v>2.8089249999999999</v>
      </c>
      <c r="J757" t="s">
        <v>1401</v>
      </c>
      <c r="L757">
        <f t="shared" si="18"/>
        <v>9.1E-4</v>
      </c>
      <c r="O757">
        <v>95</v>
      </c>
      <c r="R757" s="2" t="s">
        <v>1438</v>
      </c>
      <c r="S757">
        <v>1165551</v>
      </c>
      <c r="U757">
        <v>1165551</v>
      </c>
      <c r="V757">
        <v>2.4099546051609919E-6</v>
      </c>
      <c r="W757" t="s">
        <v>9</v>
      </c>
      <c r="X757" t="s">
        <v>1456</v>
      </c>
    </row>
    <row r="758" spans="1:24" hidden="1" x14ac:dyDescent="0.35">
      <c r="A758" t="s">
        <v>276</v>
      </c>
      <c r="B758">
        <v>2023</v>
      </c>
      <c r="C758" t="s">
        <v>1308</v>
      </c>
      <c r="D758" t="s">
        <v>1314</v>
      </c>
      <c r="E758" t="s">
        <v>1359</v>
      </c>
      <c r="F758" t="s">
        <v>1364</v>
      </c>
      <c r="G758" t="s">
        <v>1371</v>
      </c>
      <c r="H758">
        <v>2.40327</v>
      </c>
      <c r="J758" t="s">
        <v>1401</v>
      </c>
      <c r="L758">
        <f t="shared" si="18"/>
        <v>9.1E-4</v>
      </c>
      <c r="O758">
        <v>95</v>
      </c>
      <c r="R758" s="2" t="s">
        <v>1438</v>
      </c>
      <c r="S758">
        <v>1165551</v>
      </c>
      <c r="U758">
        <v>1165551</v>
      </c>
      <c r="V758">
        <v>2.0619174965316831E-6</v>
      </c>
      <c r="W758" t="s">
        <v>9</v>
      </c>
      <c r="X758" t="s">
        <v>1456</v>
      </c>
    </row>
    <row r="759" spans="1:24" hidden="1" x14ac:dyDescent="0.35">
      <c r="A759" t="s">
        <v>277</v>
      </c>
      <c r="B759">
        <v>2023</v>
      </c>
      <c r="C759" t="s">
        <v>1308</v>
      </c>
      <c r="D759" t="s">
        <v>1325</v>
      </c>
      <c r="E759" t="s">
        <v>1359</v>
      </c>
      <c r="F759" t="s">
        <v>1364</v>
      </c>
      <c r="G759" t="s">
        <v>1372</v>
      </c>
      <c r="H759">
        <v>2.3895E-2</v>
      </c>
      <c r="J759" t="s">
        <v>1401</v>
      </c>
      <c r="L759">
        <f t="shared" si="18"/>
        <v>9.1E-4</v>
      </c>
      <c r="O759">
        <v>95</v>
      </c>
      <c r="R759" s="2" t="s">
        <v>1438</v>
      </c>
      <c r="S759">
        <v>1165551</v>
      </c>
      <c r="U759">
        <v>1165551</v>
      </c>
      <c r="V759">
        <v>2.0501033416813161E-8</v>
      </c>
      <c r="W759" t="s">
        <v>9</v>
      </c>
      <c r="X759" t="s">
        <v>1457</v>
      </c>
    </row>
    <row r="760" spans="1:24" hidden="1" x14ac:dyDescent="0.35">
      <c r="A760" t="s">
        <v>278</v>
      </c>
      <c r="B760">
        <v>2023</v>
      </c>
      <c r="C760" t="s">
        <v>1308</v>
      </c>
      <c r="D760" t="s">
        <v>1334</v>
      </c>
      <c r="E760" t="s">
        <v>1359</v>
      </c>
      <c r="F760" t="s">
        <v>1364</v>
      </c>
      <c r="G760" t="s">
        <v>1372</v>
      </c>
      <c r="H760">
        <v>1.9589999999999998E-3</v>
      </c>
      <c r="J760" t="s">
        <v>1401</v>
      </c>
      <c r="L760">
        <f t="shared" si="18"/>
        <v>9.1E-4</v>
      </c>
      <c r="O760">
        <v>95</v>
      </c>
      <c r="R760" s="2" t="s">
        <v>1438</v>
      </c>
      <c r="S760">
        <v>1165551</v>
      </c>
      <c r="U760">
        <v>1165551</v>
      </c>
      <c r="V760">
        <v>1.68075013448575E-9</v>
      </c>
      <c r="W760" t="s">
        <v>9</v>
      </c>
      <c r="X760" t="s">
        <v>1457</v>
      </c>
    </row>
    <row r="761" spans="1:24" hidden="1" x14ac:dyDescent="0.35">
      <c r="A761" t="s">
        <v>279</v>
      </c>
      <c r="B761">
        <v>2023</v>
      </c>
      <c r="C761" t="s">
        <v>1308</v>
      </c>
      <c r="D761" t="s">
        <v>1315</v>
      </c>
      <c r="E761" t="s">
        <v>1359</v>
      </c>
      <c r="F761" t="s">
        <v>1364</v>
      </c>
      <c r="G761" t="s">
        <v>1371</v>
      </c>
      <c r="H761">
        <v>6.8169180000000003</v>
      </c>
      <c r="J761" t="s">
        <v>1401</v>
      </c>
      <c r="L761">
        <f t="shared" si="18"/>
        <v>9.1E-4</v>
      </c>
      <c r="O761">
        <v>95</v>
      </c>
      <c r="R761" s="2" t="s">
        <v>1438</v>
      </c>
      <c r="S761">
        <v>1165551</v>
      </c>
      <c r="U761">
        <v>1165551</v>
      </c>
      <c r="V761">
        <v>5.8486655667576966E-6</v>
      </c>
      <c r="W761" t="s">
        <v>9</v>
      </c>
      <c r="X761" t="s">
        <v>1456</v>
      </c>
    </row>
    <row r="762" spans="1:24" hidden="1" x14ac:dyDescent="0.35">
      <c r="A762" t="s">
        <v>280</v>
      </c>
      <c r="B762">
        <v>2023</v>
      </c>
      <c r="C762" t="s">
        <v>1308</v>
      </c>
      <c r="D762" t="s">
        <v>1336</v>
      </c>
      <c r="E762" t="s">
        <v>1359</v>
      </c>
      <c r="F762" t="s">
        <v>1364</v>
      </c>
      <c r="G762" t="s">
        <v>1371</v>
      </c>
      <c r="H762">
        <v>1.74E-4</v>
      </c>
      <c r="J762" t="s">
        <v>1401</v>
      </c>
      <c r="L762">
        <f t="shared" si="18"/>
        <v>9.1E-4</v>
      </c>
      <c r="O762">
        <v>95</v>
      </c>
      <c r="R762" s="2" t="s">
        <v>1438</v>
      </c>
      <c r="S762">
        <v>1165551</v>
      </c>
      <c r="U762">
        <v>1165551</v>
      </c>
      <c r="V762">
        <v>1.492856168455949E-10</v>
      </c>
      <c r="W762" t="s">
        <v>9</v>
      </c>
      <c r="X762" t="s">
        <v>1456</v>
      </c>
    </row>
    <row r="763" spans="1:24" hidden="1" x14ac:dyDescent="0.35">
      <c r="A763" t="s">
        <v>632</v>
      </c>
      <c r="B763">
        <v>2023</v>
      </c>
      <c r="C763" t="s">
        <v>1308</v>
      </c>
      <c r="D763" t="s">
        <v>1317</v>
      </c>
      <c r="E763" t="s">
        <v>1359</v>
      </c>
      <c r="F763" t="s">
        <v>1366</v>
      </c>
      <c r="G763" t="s">
        <v>1372</v>
      </c>
      <c r="H763">
        <v>1.0662560000000001</v>
      </c>
      <c r="J763" t="s">
        <v>1401</v>
      </c>
      <c r="L763">
        <f t="shared" si="18"/>
        <v>9.1E-4</v>
      </c>
      <c r="O763">
        <v>95</v>
      </c>
      <c r="R763" s="2" t="s">
        <v>1438</v>
      </c>
      <c r="S763">
        <v>1165551</v>
      </c>
      <c r="U763">
        <v>1165551</v>
      </c>
      <c r="V763">
        <v>9.1480853261676243E-7</v>
      </c>
      <c r="W763" t="s">
        <v>9</v>
      </c>
      <c r="X763" t="s">
        <v>1457</v>
      </c>
    </row>
    <row r="764" spans="1:24" hidden="1" x14ac:dyDescent="0.35">
      <c r="A764" t="s">
        <v>633</v>
      </c>
      <c r="B764">
        <v>2023</v>
      </c>
      <c r="C764" t="s">
        <v>1308</v>
      </c>
      <c r="D764" t="s">
        <v>1311</v>
      </c>
      <c r="E764" t="s">
        <v>1359</v>
      </c>
      <c r="F764" t="s">
        <v>1366</v>
      </c>
      <c r="G764" t="s">
        <v>1371</v>
      </c>
      <c r="H764">
        <v>70.736999999999995</v>
      </c>
      <c r="J764" t="s">
        <v>1401</v>
      </c>
      <c r="L764">
        <f t="shared" si="18"/>
        <v>9.1E-4</v>
      </c>
      <c r="O764">
        <v>95</v>
      </c>
      <c r="R764" s="2" t="s">
        <v>1438</v>
      </c>
      <c r="S764">
        <v>1165551</v>
      </c>
      <c r="U764">
        <v>1165551</v>
      </c>
      <c r="V764">
        <v>6.0689751027625548E-5</v>
      </c>
      <c r="W764" t="s">
        <v>9</v>
      </c>
      <c r="X764" t="s">
        <v>1456</v>
      </c>
    </row>
    <row r="765" spans="1:24" hidden="1" x14ac:dyDescent="0.35">
      <c r="A765" t="s">
        <v>634</v>
      </c>
      <c r="B765">
        <v>2023</v>
      </c>
      <c r="C765" t="s">
        <v>1308</v>
      </c>
      <c r="D765" t="s">
        <v>1319</v>
      </c>
      <c r="E765" t="s">
        <v>1359</v>
      </c>
      <c r="F765" t="s">
        <v>1366</v>
      </c>
      <c r="G765" t="s">
        <v>1371</v>
      </c>
      <c r="H765">
        <v>5.5269999999999998E-3</v>
      </c>
      <c r="J765" t="s">
        <v>1401</v>
      </c>
      <c r="L765">
        <f t="shared" si="18"/>
        <v>9.1E-4</v>
      </c>
      <c r="O765">
        <v>95</v>
      </c>
      <c r="R765" s="2" t="s">
        <v>1438</v>
      </c>
      <c r="S765">
        <v>1165551</v>
      </c>
      <c r="U765">
        <v>1165551</v>
      </c>
      <c r="V765">
        <v>4.7419632431356502E-9</v>
      </c>
      <c r="W765" t="s">
        <v>9</v>
      </c>
      <c r="X765" t="s">
        <v>1456</v>
      </c>
    </row>
    <row r="766" spans="1:24" hidden="1" x14ac:dyDescent="0.35">
      <c r="A766" t="s">
        <v>635</v>
      </c>
      <c r="B766">
        <v>2023</v>
      </c>
      <c r="C766" t="s">
        <v>1308</v>
      </c>
      <c r="D766" t="s">
        <v>1320</v>
      </c>
      <c r="E766" t="s">
        <v>1359</v>
      </c>
      <c r="F766" t="s">
        <v>1366</v>
      </c>
      <c r="G766" t="s">
        <v>1372</v>
      </c>
      <c r="H766">
        <v>2.6438790000000001</v>
      </c>
      <c r="J766" t="s">
        <v>1401</v>
      </c>
      <c r="L766">
        <f t="shared" si="18"/>
        <v>9.1E-4</v>
      </c>
      <c r="O766">
        <v>95</v>
      </c>
      <c r="R766" s="2" t="s">
        <v>1438</v>
      </c>
      <c r="S766">
        <v>1165551</v>
      </c>
      <c r="U766">
        <v>1165551</v>
      </c>
      <c r="V766">
        <v>2.268351191839739E-6</v>
      </c>
      <c r="W766" t="s">
        <v>9</v>
      </c>
      <c r="X766" t="s">
        <v>1457</v>
      </c>
    </row>
    <row r="767" spans="1:24" hidden="1" x14ac:dyDescent="0.35">
      <c r="A767" t="s">
        <v>636</v>
      </c>
      <c r="B767">
        <v>2023</v>
      </c>
      <c r="C767" t="s">
        <v>1308</v>
      </c>
      <c r="D767" t="s">
        <v>1321</v>
      </c>
      <c r="E767" t="s">
        <v>1359</v>
      </c>
      <c r="F767" t="s">
        <v>1366</v>
      </c>
      <c r="G767" t="s">
        <v>1371</v>
      </c>
      <c r="H767">
        <v>1.0559000000000001E-2</v>
      </c>
      <c r="J767" t="s">
        <v>1401</v>
      </c>
      <c r="L767">
        <f t="shared" si="18"/>
        <v>9.1E-4</v>
      </c>
      <c r="O767">
        <v>95</v>
      </c>
      <c r="R767" s="2" t="s">
        <v>1438</v>
      </c>
      <c r="S767">
        <v>1165551</v>
      </c>
      <c r="U767">
        <v>1165551</v>
      </c>
      <c r="V767">
        <v>9.0592346452450397E-9</v>
      </c>
      <c r="W767" t="s">
        <v>9</v>
      </c>
      <c r="X767" t="s">
        <v>1456</v>
      </c>
    </row>
    <row r="768" spans="1:24" hidden="1" x14ac:dyDescent="0.35">
      <c r="A768" t="s">
        <v>637</v>
      </c>
      <c r="B768">
        <v>2023</v>
      </c>
      <c r="C768" t="s">
        <v>1308</v>
      </c>
      <c r="D768" t="s">
        <v>1322</v>
      </c>
      <c r="E768" t="s">
        <v>1359</v>
      </c>
      <c r="F768" t="s">
        <v>1366</v>
      </c>
      <c r="G768" t="s">
        <v>1372</v>
      </c>
      <c r="H768">
        <v>0.27744400000000002</v>
      </c>
      <c r="J768" t="s">
        <v>1401</v>
      </c>
      <c r="L768">
        <f t="shared" si="18"/>
        <v>9.1E-4</v>
      </c>
      <c r="O768">
        <v>95</v>
      </c>
      <c r="R768" s="2" t="s">
        <v>1438</v>
      </c>
      <c r="S768">
        <v>1165551</v>
      </c>
      <c r="U768">
        <v>1165551</v>
      </c>
      <c r="V768">
        <v>2.3803677402361629E-7</v>
      </c>
      <c r="W768" t="s">
        <v>9</v>
      </c>
      <c r="X768" t="s">
        <v>1457</v>
      </c>
    </row>
    <row r="769" spans="1:24" hidden="1" x14ac:dyDescent="0.35">
      <c r="A769" t="s">
        <v>638</v>
      </c>
      <c r="B769">
        <v>2023</v>
      </c>
      <c r="C769" t="s">
        <v>1308</v>
      </c>
      <c r="D769" t="s">
        <v>1323</v>
      </c>
      <c r="E769" t="s">
        <v>1359</v>
      </c>
      <c r="F769" t="s">
        <v>1366</v>
      </c>
      <c r="G769" t="s">
        <v>1371</v>
      </c>
      <c r="H769">
        <v>0.16015599999999999</v>
      </c>
      <c r="J769" t="s">
        <v>1401</v>
      </c>
      <c r="L769">
        <f t="shared" si="18"/>
        <v>9.1E-4</v>
      </c>
      <c r="O769">
        <v>95</v>
      </c>
      <c r="R769" s="2" t="s">
        <v>1438</v>
      </c>
      <c r="S769">
        <v>1165551</v>
      </c>
      <c r="U769">
        <v>1165551</v>
      </c>
      <c r="V769">
        <v>1.3740797270990291E-7</v>
      </c>
      <c r="W769" t="s">
        <v>9</v>
      </c>
      <c r="X769" t="s">
        <v>1456</v>
      </c>
    </row>
    <row r="770" spans="1:24" hidden="1" x14ac:dyDescent="0.35">
      <c r="A770" t="s">
        <v>639</v>
      </c>
      <c r="B770">
        <v>2023</v>
      </c>
      <c r="C770" t="s">
        <v>1308</v>
      </c>
      <c r="D770" t="s">
        <v>1324</v>
      </c>
      <c r="E770" t="s">
        <v>1359</v>
      </c>
      <c r="F770" t="s">
        <v>1366</v>
      </c>
      <c r="G770" t="s">
        <v>1371</v>
      </c>
      <c r="H770">
        <v>3.9490000000000003E-3</v>
      </c>
      <c r="J770" t="s">
        <v>1401</v>
      </c>
      <c r="L770">
        <f t="shared" si="18"/>
        <v>9.1E-4</v>
      </c>
      <c r="O770">
        <v>95</v>
      </c>
      <c r="R770" s="2" t="s">
        <v>1438</v>
      </c>
      <c r="S770">
        <v>1165551</v>
      </c>
      <c r="U770">
        <v>1165551</v>
      </c>
      <c r="V770">
        <v>3.3880971317428412E-9</v>
      </c>
      <c r="W770" t="s">
        <v>9</v>
      </c>
      <c r="X770" t="s">
        <v>1456</v>
      </c>
    </row>
    <row r="771" spans="1:24" hidden="1" x14ac:dyDescent="0.35">
      <c r="A771" t="s">
        <v>640</v>
      </c>
      <c r="B771">
        <v>2023</v>
      </c>
      <c r="C771" t="s">
        <v>1308</v>
      </c>
      <c r="D771" t="s">
        <v>1312</v>
      </c>
      <c r="E771" t="s">
        <v>1359</v>
      </c>
      <c r="F771" t="s">
        <v>1366</v>
      </c>
      <c r="G771" t="s">
        <v>1371</v>
      </c>
      <c r="H771">
        <v>0.83220000000000005</v>
      </c>
      <c r="J771" t="s">
        <v>1401</v>
      </c>
      <c r="L771">
        <f t="shared" si="18"/>
        <v>9.1E-4</v>
      </c>
      <c r="O771">
        <v>95</v>
      </c>
      <c r="R771" s="2" t="s">
        <v>1438</v>
      </c>
      <c r="S771">
        <v>1165551</v>
      </c>
      <c r="U771">
        <v>1165551</v>
      </c>
      <c r="V771">
        <v>7.1399707091324194E-7</v>
      </c>
      <c r="W771" t="s">
        <v>9</v>
      </c>
      <c r="X771" t="s">
        <v>1456</v>
      </c>
    </row>
    <row r="772" spans="1:24" hidden="1" x14ac:dyDescent="0.35">
      <c r="A772" t="s">
        <v>641</v>
      </c>
      <c r="B772">
        <v>2023</v>
      </c>
      <c r="C772" t="s">
        <v>1308</v>
      </c>
      <c r="D772" t="s">
        <v>1313</v>
      </c>
      <c r="E772" t="s">
        <v>1359</v>
      </c>
      <c r="F772" t="s">
        <v>1366</v>
      </c>
      <c r="G772" t="s">
        <v>1371</v>
      </c>
      <c r="H772">
        <v>53.345354</v>
      </c>
      <c r="J772" t="s">
        <v>1401</v>
      </c>
      <c r="L772">
        <f t="shared" si="18"/>
        <v>9.1E-4</v>
      </c>
      <c r="O772">
        <v>95</v>
      </c>
      <c r="R772" s="2" t="s">
        <v>1438</v>
      </c>
      <c r="S772">
        <v>1165551</v>
      </c>
      <c r="U772">
        <v>1165551</v>
      </c>
      <c r="V772">
        <v>4.5768356768601288E-5</v>
      </c>
      <c r="W772" t="s">
        <v>9</v>
      </c>
      <c r="X772" t="s">
        <v>1456</v>
      </c>
    </row>
    <row r="773" spans="1:24" hidden="1" x14ac:dyDescent="0.35">
      <c r="A773" t="s">
        <v>642</v>
      </c>
      <c r="B773">
        <v>2023</v>
      </c>
      <c r="C773" t="s">
        <v>1308</v>
      </c>
      <c r="D773" t="s">
        <v>1314</v>
      </c>
      <c r="E773" t="s">
        <v>1359</v>
      </c>
      <c r="F773" t="s">
        <v>1366</v>
      </c>
      <c r="G773" t="s">
        <v>1371</v>
      </c>
      <c r="H773">
        <v>9.1536720000000003</v>
      </c>
      <c r="J773" t="s">
        <v>1401</v>
      </c>
      <c r="L773">
        <f t="shared" si="18"/>
        <v>9.1E-4</v>
      </c>
      <c r="O773">
        <v>95</v>
      </c>
      <c r="R773" s="2" t="s">
        <v>1438</v>
      </c>
      <c r="S773">
        <v>1165551</v>
      </c>
      <c r="U773">
        <v>1165551</v>
      </c>
      <c r="V773">
        <v>7.8535147754152327E-6</v>
      </c>
      <c r="W773" t="s">
        <v>9</v>
      </c>
      <c r="X773" t="s">
        <v>1456</v>
      </c>
    </row>
    <row r="774" spans="1:24" hidden="1" x14ac:dyDescent="0.35">
      <c r="A774" t="s">
        <v>643</v>
      </c>
      <c r="B774">
        <v>2023</v>
      </c>
      <c r="C774" t="s">
        <v>1308</v>
      </c>
      <c r="D774" t="s">
        <v>1325</v>
      </c>
      <c r="E774" t="s">
        <v>1359</v>
      </c>
      <c r="F774" t="s">
        <v>1366</v>
      </c>
      <c r="G774" t="s">
        <v>1372</v>
      </c>
      <c r="H774">
        <v>0.27200400000000002</v>
      </c>
      <c r="J774" t="s">
        <v>1401</v>
      </c>
      <c r="L774">
        <f t="shared" si="18"/>
        <v>9.1E-4</v>
      </c>
      <c r="O774">
        <v>95</v>
      </c>
      <c r="R774" s="2" t="s">
        <v>1438</v>
      </c>
      <c r="S774">
        <v>1165551</v>
      </c>
      <c r="U774">
        <v>1165551</v>
      </c>
      <c r="V774">
        <v>2.333694535889035E-7</v>
      </c>
      <c r="W774" t="s">
        <v>9</v>
      </c>
      <c r="X774" t="s">
        <v>1457</v>
      </c>
    </row>
    <row r="775" spans="1:24" hidden="1" x14ac:dyDescent="0.35">
      <c r="A775" t="s">
        <v>644</v>
      </c>
      <c r="B775">
        <v>2023</v>
      </c>
      <c r="C775" t="s">
        <v>1308</v>
      </c>
      <c r="D775" t="s">
        <v>1334</v>
      </c>
      <c r="E775" t="s">
        <v>1359</v>
      </c>
      <c r="F775" t="s">
        <v>1366</v>
      </c>
      <c r="G775" t="s">
        <v>1372</v>
      </c>
      <c r="H775">
        <v>2.2304000000000001E-2</v>
      </c>
      <c r="J775" t="s">
        <v>1401</v>
      </c>
      <c r="L775">
        <f t="shared" si="18"/>
        <v>9.1E-4</v>
      </c>
      <c r="O775">
        <v>95</v>
      </c>
      <c r="R775" s="2" t="s">
        <v>1438</v>
      </c>
      <c r="S775">
        <v>1165551</v>
      </c>
      <c r="U775">
        <v>1165551</v>
      </c>
      <c r="V775">
        <v>1.9136013782322692E-8</v>
      </c>
      <c r="W775" t="s">
        <v>9</v>
      </c>
      <c r="X775" t="s">
        <v>1457</v>
      </c>
    </row>
    <row r="776" spans="1:24" hidden="1" x14ac:dyDescent="0.35">
      <c r="A776" t="s">
        <v>645</v>
      </c>
      <c r="B776">
        <v>2023</v>
      </c>
      <c r="C776" t="s">
        <v>1308</v>
      </c>
      <c r="D776" t="s">
        <v>1315</v>
      </c>
      <c r="E776" t="s">
        <v>1359</v>
      </c>
      <c r="F776" t="s">
        <v>1366</v>
      </c>
      <c r="G776" t="s">
        <v>1371</v>
      </c>
      <c r="H776">
        <v>136.932537</v>
      </c>
      <c r="J776" t="s">
        <v>1401</v>
      </c>
      <c r="L776">
        <f t="shared" si="18"/>
        <v>9.1E-4</v>
      </c>
      <c r="O776">
        <v>95</v>
      </c>
      <c r="R776" s="2" t="s">
        <v>1438</v>
      </c>
      <c r="S776">
        <v>1165551</v>
      </c>
      <c r="U776">
        <v>1165551</v>
      </c>
      <c r="V776">
        <v>1.1748309340389221E-4</v>
      </c>
      <c r="W776" t="s">
        <v>9</v>
      </c>
      <c r="X776" t="s">
        <v>1456</v>
      </c>
    </row>
    <row r="777" spans="1:24" hidden="1" x14ac:dyDescent="0.35">
      <c r="A777" t="s">
        <v>646</v>
      </c>
      <c r="B777">
        <v>2023</v>
      </c>
      <c r="C777" t="s">
        <v>1308</v>
      </c>
      <c r="D777" t="s">
        <v>1336</v>
      </c>
      <c r="E777" t="s">
        <v>1359</v>
      </c>
      <c r="F777" t="s">
        <v>1366</v>
      </c>
      <c r="G777" t="s">
        <v>1371</v>
      </c>
      <c r="H777">
        <v>1.9859999999999999E-3</v>
      </c>
      <c r="J777" t="s">
        <v>1401</v>
      </c>
      <c r="L777">
        <f t="shared" si="18"/>
        <v>9.1E-4</v>
      </c>
      <c r="O777">
        <v>95</v>
      </c>
      <c r="R777" s="2" t="s">
        <v>1438</v>
      </c>
      <c r="S777">
        <v>1165551</v>
      </c>
      <c r="U777">
        <v>1165551</v>
      </c>
      <c r="V777">
        <v>1.703915143996273E-9</v>
      </c>
      <c r="W777" t="s">
        <v>9</v>
      </c>
      <c r="X777" t="s">
        <v>1456</v>
      </c>
    </row>
    <row r="778" spans="1:24" hidden="1" x14ac:dyDescent="0.35">
      <c r="A778" t="s">
        <v>927</v>
      </c>
      <c r="B778">
        <v>2023</v>
      </c>
      <c r="C778" t="s">
        <v>1309</v>
      </c>
      <c r="D778" t="s">
        <v>1317</v>
      </c>
      <c r="E778" t="s">
        <v>1359</v>
      </c>
      <c r="F778" t="s">
        <v>1368</v>
      </c>
      <c r="G778" t="s">
        <v>1372</v>
      </c>
      <c r="H778">
        <v>2.4541490000000001</v>
      </c>
      <c r="J778" t="s">
        <v>1401</v>
      </c>
      <c r="L778">
        <f t="shared" si="18"/>
        <v>9.1E-4</v>
      </c>
      <c r="O778">
        <v>95</v>
      </c>
      <c r="R778" s="2" t="s">
        <v>1438</v>
      </c>
      <c r="S778">
        <v>1165551</v>
      </c>
      <c r="U778">
        <v>1165551</v>
      </c>
      <c r="V778">
        <v>2.1055698120459769E-6</v>
      </c>
      <c r="W778" t="s">
        <v>9</v>
      </c>
      <c r="X778" t="s">
        <v>1457</v>
      </c>
    </row>
    <row r="779" spans="1:24" hidden="1" x14ac:dyDescent="0.35">
      <c r="A779" t="s">
        <v>928</v>
      </c>
      <c r="B779">
        <v>2023</v>
      </c>
      <c r="C779" t="s">
        <v>1309</v>
      </c>
      <c r="D779" t="s">
        <v>1319</v>
      </c>
      <c r="E779" t="s">
        <v>1359</v>
      </c>
      <c r="F779" t="s">
        <v>1368</v>
      </c>
      <c r="G779" t="s">
        <v>1371</v>
      </c>
      <c r="H779">
        <v>5.4600000000000004E-4</v>
      </c>
      <c r="J779" t="s">
        <v>1401</v>
      </c>
      <c r="L779">
        <f t="shared" si="18"/>
        <v>9.1E-4</v>
      </c>
      <c r="O779">
        <v>95</v>
      </c>
      <c r="R779" s="2" t="s">
        <v>1438</v>
      </c>
      <c r="S779">
        <v>1165551</v>
      </c>
      <c r="U779">
        <v>1165551</v>
      </c>
      <c r="V779">
        <v>4.6844797010169444E-10</v>
      </c>
      <c r="W779" t="s">
        <v>9</v>
      </c>
      <c r="X779" t="s">
        <v>1456</v>
      </c>
    </row>
    <row r="780" spans="1:24" hidden="1" x14ac:dyDescent="0.35">
      <c r="A780" t="s">
        <v>929</v>
      </c>
      <c r="B780">
        <v>2023</v>
      </c>
      <c r="C780" t="s">
        <v>1309</v>
      </c>
      <c r="D780" t="s">
        <v>1320</v>
      </c>
      <c r="E780" t="s">
        <v>1359</v>
      </c>
      <c r="F780" t="s">
        <v>1368</v>
      </c>
      <c r="G780" t="s">
        <v>1372</v>
      </c>
      <c r="H780">
        <v>1.5507340000000001</v>
      </c>
      <c r="J780" t="s">
        <v>1401</v>
      </c>
      <c r="L780">
        <f t="shared" si="18"/>
        <v>9.1E-4</v>
      </c>
      <c r="O780">
        <v>95</v>
      </c>
      <c r="R780" s="2" t="s">
        <v>1438</v>
      </c>
      <c r="S780">
        <v>1165551</v>
      </c>
      <c r="U780">
        <v>1165551</v>
      </c>
      <c r="V780">
        <v>1.330472883640441E-6</v>
      </c>
      <c r="W780" t="s">
        <v>9</v>
      </c>
      <c r="X780" t="s">
        <v>1457</v>
      </c>
    </row>
    <row r="781" spans="1:24" hidden="1" x14ac:dyDescent="0.35">
      <c r="A781" t="s">
        <v>930</v>
      </c>
      <c r="B781">
        <v>2023</v>
      </c>
      <c r="C781" t="s">
        <v>1309</v>
      </c>
      <c r="D781" t="s">
        <v>1321</v>
      </c>
      <c r="E781" t="s">
        <v>1359</v>
      </c>
      <c r="F781" t="s">
        <v>1368</v>
      </c>
      <c r="G781" t="s">
        <v>1371</v>
      </c>
      <c r="H781">
        <v>6.8040000000000002E-3</v>
      </c>
      <c r="J781" t="s">
        <v>1401</v>
      </c>
      <c r="L781">
        <f t="shared" si="18"/>
        <v>9.1E-4</v>
      </c>
      <c r="O781">
        <v>95</v>
      </c>
      <c r="R781" s="2" t="s">
        <v>1438</v>
      </c>
      <c r="S781">
        <v>1165551</v>
      </c>
      <c r="U781">
        <v>1165551</v>
      </c>
      <c r="V781">
        <v>5.8375823966518839E-9</v>
      </c>
      <c r="W781" t="s">
        <v>9</v>
      </c>
      <c r="X781" t="s">
        <v>1456</v>
      </c>
    </row>
    <row r="782" spans="1:24" hidden="1" x14ac:dyDescent="0.35">
      <c r="A782" t="s">
        <v>931</v>
      </c>
      <c r="B782">
        <v>2023</v>
      </c>
      <c r="C782" t="s">
        <v>1309</v>
      </c>
      <c r="D782" t="s">
        <v>1339</v>
      </c>
      <c r="E782" t="s">
        <v>1359</v>
      </c>
      <c r="F782" t="s">
        <v>1368</v>
      </c>
      <c r="G782" t="s">
        <v>1371</v>
      </c>
      <c r="H782">
        <v>8.1320000000000003E-3</v>
      </c>
      <c r="J782" t="s">
        <v>1401</v>
      </c>
      <c r="L782">
        <f t="shared" si="18"/>
        <v>9.1E-4</v>
      </c>
      <c r="O782">
        <v>95</v>
      </c>
      <c r="R782" s="2" t="s">
        <v>1438</v>
      </c>
      <c r="S782">
        <v>1165551</v>
      </c>
      <c r="U782">
        <v>1165551</v>
      </c>
      <c r="V782">
        <v>6.9769576792435511E-9</v>
      </c>
      <c r="W782" t="s">
        <v>9</v>
      </c>
      <c r="X782" t="s">
        <v>1456</v>
      </c>
    </row>
    <row r="783" spans="1:24" hidden="1" x14ac:dyDescent="0.35">
      <c r="A783" t="s">
        <v>932</v>
      </c>
      <c r="B783">
        <v>2023</v>
      </c>
      <c r="C783" t="s">
        <v>1309</v>
      </c>
      <c r="D783" t="s">
        <v>1322</v>
      </c>
      <c r="E783" t="s">
        <v>1359</v>
      </c>
      <c r="F783" t="s">
        <v>1368</v>
      </c>
      <c r="G783" t="s">
        <v>1372</v>
      </c>
      <c r="H783">
        <v>5.9006000000000003E-2</v>
      </c>
      <c r="J783" t="s">
        <v>1401</v>
      </c>
      <c r="L783">
        <f t="shared" si="18"/>
        <v>9.1E-4</v>
      </c>
      <c r="O783">
        <v>95</v>
      </c>
      <c r="R783" s="2" t="s">
        <v>1438</v>
      </c>
      <c r="S783">
        <v>1165551</v>
      </c>
      <c r="U783">
        <v>1165551</v>
      </c>
      <c r="V783">
        <v>5.0624983376960773E-8</v>
      </c>
      <c r="W783" t="s">
        <v>9</v>
      </c>
      <c r="X783" t="s">
        <v>1457</v>
      </c>
    </row>
    <row r="784" spans="1:24" hidden="1" x14ac:dyDescent="0.35">
      <c r="A784" t="s">
        <v>933</v>
      </c>
      <c r="B784">
        <v>2023</v>
      </c>
      <c r="C784" t="s">
        <v>1309</v>
      </c>
      <c r="D784" t="s">
        <v>1323</v>
      </c>
      <c r="E784" t="s">
        <v>1359</v>
      </c>
      <c r="F784" t="s">
        <v>1368</v>
      </c>
      <c r="G784" t="s">
        <v>1371</v>
      </c>
      <c r="H784">
        <v>0.46065200000000001</v>
      </c>
      <c r="J784" t="s">
        <v>1401</v>
      </c>
      <c r="L784">
        <f t="shared" si="18"/>
        <v>9.1E-4</v>
      </c>
      <c r="O784">
        <v>95</v>
      </c>
      <c r="R784" s="2" t="s">
        <v>1438</v>
      </c>
      <c r="S784">
        <v>1165551</v>
      </c>
      <c r="U784">
        <v>1165551</v>
      </c>
      <c r="V784">
        <v>3.9522251707561488E-7</v>
      </c>
      <c r="W784" t="s">
        <v>9</v>
      </c>
      <c r="X784" t="s">
        <v>1456</v>
      </c>
    </row>
    <row r="785" spans="1:24" hidden="1" x14ac:dyDescent="0.35">
      <c r="A785" t="s">
        <v>934</v>
      </c>
      <c r="B785">
        <v>2023</v>
      </c>
      <c r="C785" t="s">
        <v>1309</v>
      </c>
      <c r="D785" t="s">
        <v>1330</v>
      </c>
      <c r="E785" t="s">
        <v>1359</v>
      </c>
      <c r="F785" t="s">
        <v>1368</v>
      </c>
      <c r="G785" t="s">
        <v>1371</v>
      </c>
      <c r="H785">
        <v>4.0319999999999997E-6</v>
      </c>
      <c r="J785" t="s">
        <v>1401</v>
      </c>
      <c r="L785">
        <f t="shared" si="18"/>
        <v>9.1E-4</v>
      </c>
      <c r="O785">
        <v>95</v>
      </c>
      <c r="R785" s="2" t="s">
        <v>1438</v>
      </c>
      <c r="S785">
        <v>1165551</v>
      </c>
      <c r="U785">
        <v>1165551</v>
      </c>
      <c r="V785">
        <v>3.45930808690482E-12</v>
      </c>
      <c r="W785" t="s">
        <v>9</v>
      </c>
      <c r="X785" t="s">
        <v>1456</v>
      </c>
    </row>
    <row r="786" spans="1:24" hidden="1" x14ac:dyDescent="0.35">
      <c r="A786" t="s">
        <v>935</v>
      </c>
      <c r="B786">
        <v>2023</v>
      </c>
      <c r="C786" t="s">
        <v>1309</v>
      </c>
      <c r="D786" t="s">
        <v>1324</v>
      </c>
      <c r="E786" t="s">
        <v>1359</v>
      </c>
      <c r="F786" t="s">
        <v>1368</v>
      </c>
      <c r="G786" t="s">
        <v>1371</v>
      </c>
      <c r="H786">
        <v>1.7129999999999999E-3</v>
      </c>
      <c r="J786" t="s">
        <v>1401</v>
      </c>
      <c r="L786">
        <f t="shared" si="18"/>
        <v>9.1E-4</v>
      </c>
      <c r="O786">
        <v>95</v>
      </c>
      <c r="R786" s="2" t="s">
        <v>1438</v>
      </c>
      <c r="S786">
        <v>1165551</v>
      </c>
      <c r="U786">
        <v>1165551</v>
      </c>
      <c r="V786">
        <v>1.4696911589454259E-9</v>
      </c>
      <c r="W786" t="s">
        <v>9</v>
      </c>
      <c r="X786" t="s">
        <v>1456</v>
      </c>
    </row>
    <row r="787" spans="1:24" hidden="1" x14ac:dyDescent="0.35">
      <c r="A787" t="s">
        <v>936</v>
      </c>
      <c r="B787">
        <v>2023</v>
      </c>
      <c r="C787" t="s">
        <v>1309</v>
      </c>
      <c r="D787" t="s">
        <v>1332</v>
      </c>
      <c r="E787" t="s">
        <v>1359</v>
      </c>
      <c r="F787" t="s">
        <v>1368</v>
      </c>
      <c r="G787" t="s">
        <v>1371</v>
      </c>
      <c r="H787">
        <v>4.8319000000000001E-2</v>
      </c>
      <c r="J787" t="s">
        <v>1401</v>
      </c>
      <c r="L787">
        <f t="shared" si="18"/>
        <v>9.1E-4</v>
      </c>
      <c r="O787">
        <v>95</v>
      </c>
      <c r="R787" s="2" t="s">
        <v>1438</v>
      </c>
      <c r="S787">
        <v>1165551</v>
      </c>
      <c r="U787">
        <v>1165551</v>
      </c>
      <c r="V787">
        <v>4.1455929427369552E-8</v>
      </c>
      <c r="W787" t="s">
        <v>9</v>
      </c>
      <c r="X787" t="s">
        <v>1456</v>
      </c>
    </row>
    <row r="788" spans="1:24" hidden="1" x14ac:dyDescent="0.35">
      <c r="A788" t="s">
        <v>937</v>
      </c>
      <c r="B788">
        <v>2023</v>
      </c>
      <c r="C788" t="s">
        <v>1309</v>
      </c>
      <c r="D788" t="s">
        <v>1325</v>
      </c>
      <c r="E788" t="s">
        <v>1359</v>
      </c>
      <c r="F788" t="s">
        <v>1368</v>
      </c>
      <c r="G788" t="s">
        <v>1372</v>
      </c>
      <c r="H788">
        <v>0.281555</v>
      </c>
      <c r="J788" t="s">
        <v>1401</v>
      </c>
      <c r="L788">
        <f t="shared" si="18"/>
        <v>9.1E-4</v>
      </c>
      <c r="O788">
        <v>95</v>
      </c>
      <c r="R788" s="2" t="s">
        <v>1438</v>
      </c>
      <c r="S788">
        <v>1165551</v>
      </c>
      <c r="U788">
        <v>1165551</v>
      </c>
      <c r="V788">
        <v>2.4156386121242229E-7</v>
      </c>
      <c r="W788" t="s">
        <v>9</v>
      </c>
      <c r="X788" t="s">
        <v>1457</v>
      </c>
    </row>
    <row r="789" spans="1:24" hidden="1" x14ac:dyDescent="0.35">
      <c r="A789" t="s">
        <v>938</v>
      </c>
      <c r="B789">
        <v>2023</v>
      </c>
      <c r="C789" t="s">
        <v>1309</v>
      </c>
      <c r="D789" t="s">
        <v>1334</v>
      </c>
      <c r="E789" t="s">
        <v>1359</v>
      </c>
      <c r="F789" t="s">
        <v>1368</v>
      </c>
      <c r="G789" t="s">
        <v>1372</v>
      </c>
      <c r="H789">
        <v>1.9970000000000002E-2</v>
      </c>
      <c r="J789" t="s">
        <v>1401</v>
      </c>
      <c r="L789">
        <f t="shared" si="18"/>
        <v>9.1E-4</v>
      </c>
      <c r="O789">
        <v>95</v>
      </c>
      <c r="R789" s="2" t="s">
        <v>1438</v>
      </c>
      <c r="S789">
        <v>1165551</v>
      </c>
      <c r="U789">
        <v>1165551</v>
      </c>
      <c r="V789">
        <v>1.713352740463523E-8</v>
      </c>
      <c r="W789" t="s">
        <v>9</v>
      </c>
      <c r="X789" t="s">
        <v>1457</v>
      </c>
    </row>
    <row r="790" spans="1:24" hidden="1" x14ac:dyDescent="0.35">
      <c r="A790" t="s">
        <v>939</v>
      </c>
      <c r="B790">
        <v>2023</v>
      </c>
      <c r="C790" t="s">
        <v>1309</v>
      </c>
      <c r="D790" t="s">
        <v>1336</v>
      </c>
      <c r="E790" t="s">
        <v>1359</v>
      </c>
      <c r="F790" t="s">
        <v>1368</v>
      </c>
      <c r="G790" t="s">
        <v>1371</v>
      </c>
      <c r="H790">
        <v>5.4000000000000001E-4</v>
      </c>
      <c r="J790" t="s">
        <v>1401</v>
      </c>
      <c r="L790">
        <f t="shared" si="18"/>
        <v>9.1E-4</v>
      </c>
      <c r="O790">
        <v>95</v>
      </c>
      <c r="R790" s="2" t="s">
        <v>1438</v>
      </c>
      <c r="S790">
        <v>1165551</v>
      </c>
      <c r="U790">
        <v>1165551</v>
      </c>
      <c r="V790">
        <v>4.6330019021046702E-10</v>
      </c>
      <c r="W790" t="s">
        <v>9</v>
      </c>
      <c r="X790" t="s">
        <v>1456</v>
      </c>
    </row>
    <row r="791" spans="1:24" hidden="1" x14ac:dyDescent="0.35">
      <c r="A791" t="s">
        <v>940</v>
      </c>
      <c r="B791">
        <v>2023</v>
      </c>
      <c r="C791" t="s">
        <v>1309</v>
      </c>
      <c r="D791" t="s">
        <v>1326</v>
      </c>
      <c r="E791" t="s">
        <v>1359</v>
      </c>
      <c r="F791" t="s">
        <v>1368</v>
      </c>
      <c r="G791" t="s">
        <v>1371</v>
      </c>
      <c r="H791">
        <v>3.8630000000000001E-3</v>
      </c>
      <c r="J791" t="s">
        <v>1401</v>
      </c>
      <c r="L791">
        <f t="shared" si="18"/>
        <v>9.1E-4</v>
      </c>
      <c r="O791">
        <v>95</v>
      </c>
      <c r="R791" s="2" t="s">
        <v>1438</v>
      </c>
      <c r="S791">
        <v>1165551</v>
      </c>
      <c r="U791">
        <v>1165551</v>
      </c>
      <c r="V791">
        <v>3.314312286635248E-9</v>
      </c>
      <c r="W791" t="s">
        <v>9</v>
      </c>
      <c r="X791" t="s">
        <v>1456</v>
      </c>
    </row>
    <row r="792" spans="1:24" hidden="1" x14ac:dyDescent="0.35">
      <c r="A792" t="s">
        <v>1040</v>
      </c>
      <c r="B792">
        <v>2023</v>
      </c>
      <c r="C792" t="s">
        <v>1308</v>
      </c>
      <c r="D792" t="s">
        <v>1347</v>
      </c>
      <c r="E792" t="s">
        <v>1359</v>
      </c>
      <c r="F792" t="s">
        <v>1370</v>
      </c>
      <c r="G792" t="s">
        <v>1375</v>
      </c>
      <c r="H792">
        <v>56110</v>
      </c>
      <c r="J792" t="s">
        <v>1411</v>
      </c>
      <c r="L792">
        <f>3.88/1000</f>
        <v>3.8799999999999998E-3</v>
      </c>
      <c r="R792" s="2" t="s">
        <v>1439</v>
      </c>
      <c r="S792">
        <v>10248000</v>
      </c>
      <c r="U792">
        <v>10248000</v>
      </c>
      <c r="V792">
        <v>5.4752146760343482E-3</v>
      </c>
      <c r="W792" t="s">
        <v>9</v>
      </c>
      <c r="X792" t="s">
        <v>1460</v>
      </c>
    </row>
    <row r="793" spans="1:24" hidden="1" x14ac:dyDescent="0.35">
      <c r="A793" t="s">
        <v>1190</v>
      </c>
      <c r="B793">
        <v>2023</v>
      </c>
      <c r="C793" t="s">
        <v>1308</v>
      </c>
      <c r="D793" t="s">
        <v>1347</v>
      </c>
      <c r="E793" t="s">
        <v>1359</v>
      </c>
      <c r="G793" t="s">
        <v>1375</v>
      </c>
      <c r="H793">
        <v>59145</v>
      </c>
      <c r="J793" t="s">
        <v>1411</v>
      </c>
      <c r="L793">
        <f t="shared" ref="L793:L798" si="19">3.88/1000</f>
        <v>3.8799999999999998E-3</v>
      </c>
      <c r="Q793" t="s">
        <v>1431</v>
      </c>
      <c r="R793" t="s">
        <v>1449</v>
      </c>
      <c r="S793">
        <v>10248000</v>
      </c>
      <c r="U793">
        <v>10248000</v>
      </c>
      <c r="V793">
        <v>5.7713700234192037E-3</v>
      </c>
      <c r="W793" t="s">
        <v>9</v>
      </c>
      <c r="X793" t="s">
        <v>1460</v>
      </c>
    </row>
    <row r="794" spans="1:24" hidden="1" x14ac:dyDescent="0.35">
      <c r="A794" t="s">
        <v>1191</v>
      </c>
      <c r="B794">
        <v>2023</v>
      </c>
      <c r="C794" t="s">
        <v>1308</v>
      </c>
      <c r="D794" t="s">
        <v>1347</v>
      </c>
      <c r="E794" t="s">
        <v>1359</v>
      </c>
      <c r="G794" t="s">
        <v>1375</v>
      </c>
      <c r="H794">
        <v>13365</v>
      </c>
      <c r="J794" t="s">
        <v>1411</v>
      </c>
      <c r="L794">
        <f t="shared" si="19"/>
        <v>3.8799999999999998E-3</v>
      </c>
      <c r="Q794" t="s">
        <v>1431</v>
      </c>
      <c r="R794" t="s">
        <v>1449</v>
      </c>
      <c r="S794">
        <v>10248000</v>
      </c>
      <c r="U794">
        <v>10248000</v>
      </c>
      <c r="V794">
        <v>1.3041569086651051E-3</v>
      </c>
      <c r="W794" t="s">
        <v>9</v>
      </c>
      <c r="X794" t="s">
        <v>1460</v>
      </c>
    </row>
    <row r="795" spans="1:24" hidden="1" x14ac:dyDescent="0.35">
      <c r="A795" t="s">
        <v>1192</v>
      </c>
      <c r="B795">
        <v>2023</v>
      </c>
      <c r="C795" t="s">
        <v>1309</v>
      </c>
      <c r="D795" t="s">
        <v>1350</v>
      </c>
      <c r="E795" t="s">
        <v>1360</v>
      </c>
      <c r="G795" t="s">
        <v>1376</v>
      </c>
      <c r="H795">
        <v>2027000</v>
      </c>
      <c r="J795" t="s">
        <v>1411</v>
      </c>
      <c r="L795">
        <f t="shared" si="19"/>
        <v>3.8799999999999998E-3</v>
      </c>
      <c r="Q795" t="s">
        <v>1431</v>
      </c>
      <c r="R795" t="s">
        <v>1449</v>
      </c>
      <c r="S795">
        <v>10248000</v>
      </c>
      <c r="U795">
        <v>10248000</v>
      </c>
      <c r="V795">
        <v>0.19779469164715069</v>
      </c>
      <c r="W795" t="s">
        <v>9</v>
      </c>
      <c r="X795" t="s">
        <v>1461</v>
      </c>
    </row>
    <row r="796" spans="1:24" hidden="1" x14ac:dyDescent="0.35">
      <c r="A796" t="s">
        <v>1193</v>
      </c>
      <c r="B796">
        <v>2023</v>
      </c>
      <c r="C796" t="s">
        <v>1309</v>
      </c>
      <c r="D796" t="s">
        <v>1350</v>
      </c>
      <c r="E796" t="s">
        <v>1361</v>
      </c>
      <c r="G796" t="s">
        <v>1376</v>
      </c>
      <c r="H796">
        <v>8930000</v>
      </c>
      <c r="J796" t="s">
        <v>1411</v>
      </c>
      <c r="L796">
        <f t="shared" si="19"/>
        <v>3.8799999999999998E-3</v>
      </c>
      <c r="Q796" t="s">
        <v>1431</v>
      </c>
      <c r="R796" t="s">
        <v>1449</v>
      </c>
      <c r="S796">
        <v>10248000</v>
      </c>
      <c r="U796">
        <v>10248000</v>
      </c>
      <c r="V796">
        <v>0.87138953942232633</v>
      </c>
      <c r="W796" t="s">
        <v>9</v>
      </c>
      <c r="X796" t="s">
        <v>1461</v>
      </c>
    </row>
    <row r="797" spans="1:24" hidden="1" x14ac:dyDescent="0.35">
      <c r="A797" t="s">
        <v>1194</v>
      </c>
      <c r="B797">
        <v>2023</v>
      </c>
      <c r="C797" t="s">
        <v>1309</v>
      </c>
      <c r="D797" t="s">
        <v>1350</v>
      </c>
      <c r="E797" t="s">
        <v>1362</v>
      </c>
      <c r="G797" t="s">
        <v>1376</v>
      </c>
      <c r="H797">
        <v>1038000</v>
      </c>
      <c r="J797" t="s">
        <v>1411</v>
      </c>
      <c r="L797">
        <f t="shared" si="19"/>
        <v>3.8799999999999998E-3</v>
      </c>
      <c r="Q797" t="s">
        <v>1431</v>
      </c>
      <c r="R797" t="s">
        <v>1449</v>
      </c>
      <c r="S797">
        <v>10248000</v>
      </c>
      <c r="U797">
        <v>10248000</v>
      </c>
      <c r="V797">
        <v>0.10128805620608899</v>
      </c>
      <c r="W797" t="s">
        <v>9</v>
      </c>
      <c r="X797" t="s">
        <v>1461</v>
      </c>
    </row>
    <row r="798" spans="1:24" hidden="1" x14ac:dyDescent="0.35">
      <c r="A798" t="s">
        <v>1195</v>
      </c>
      <c r="B798">
        <v>2023</v>
      </c>
      <c r="C798" t="s">
        <v>1310</v>
      </c>
      <c r="E798" t="s">
        <v>1363</v>
      </c>
      <c r="G798" t="s">
        <v>1377</v>
      </c>
      <c r="H798">
        <v>6070</v>
      </c>
      <c r="J798" t="s">
        <v>1411</v>
      </c>
      <c r="L798">
        <f t="shared" si="19"/>
        <v>3.8799999999999998E-3</v>
      </c>
      <c r="Q798" t="s">
        <v>1431</v>
      </c>
      <c r="R798" t="s">
        <v>1449</v>
      </c>
      <c r="S798">
        <v>10248000</v>
      </c>
      <c r="U798">
        <v>10248000</v>
      </c>
      <c r="V798">
        <v>5.9231069476971114E-4</v>
      </c>
      <c r="W798" t="s">
        <v>9</v>
      </c>
      <c r="X798" t="s">
        <v>1462</v>
      </c>
    </row>
    <row r="799" spans="1:24" x14ac:dyDescent="0.35">
      <c r="A799" t="s">
        <v>159</v>
      </c>
      <c r="B799">
        <v>2023</v>
      </c>
      <c r="C799" t="s">
        <v>1308</v>
      </c>
      <c r="D799" t="s">
        <v>1328</v>
      </c>
      <c r="E799" t="s">
        <v>1359</v>
      </c>
      <c r="F799" t="s">
        <v>1364</v>
      </c>
      <c r="G799" t="s">
        <v>1371</v>
      </c>
      <c r="H799">
        <v>5.2999999999999998E-4</v>
      </c>
      <c r="J799" t="s">
        <v>1392</v>
      </c>
      <c r="N799">
        <v>4.32</v>
      </c>
      <c r="R799" s="2" t="s">
        <v>1438</v>
      </c>
      <c r="S799">
        <v>25434853.502416398</v>
      </c>
      <c r="U799">
        <v>25434853.502416398</v>
      </c>
      <c r="V799">
        <v>2.083754875763873E-11</v>
      </c>
      <c r="W799" t="s">
        <v>9</v>
      </c>
      <c r="X799" t="s">
        <v>1456</v>
      </c>
    </row>
    <row r="800" spans="1:24" x14ac:dyDescent="0.35">
      <c r="A800" t="s">
        <v>160</v>
      </c>
      <c r="B800">
        <v>2023</v>
      </c>
      <c r="C800" t="s">
        <v>1308</v>
      </c>
      <c r="D800" t="s">
        <v>1317</v>
      </c>
      <c r="E800" t="s">
        <v>1359</v>
      </c>
      <c r="F800" t="s">
        <v>1364</v>
      </c>
      <c r="G800" t="s">
        <v>1372</v>
      </c>
      <c r="H800">
        <v>0.98099999999999998</v>
      </c>
      <c r="J800" t="s">
        <v>1392</v>
      </c>
      <c r="N800">
        <v>4.32</v>
      </c>
      <c r="R800" s="2" t="s">
        <v>1438</v>
      </c>
      <c r="S800">
        <v>25434853.502416398</v>
      </c>
      <c r="U800">
        <v>25434853.502416398</v>
      </c>
      <c r="V800">
        <v>3.8569123266497353E-8</v>
      </c>
      <c r="W800" t="s">
        <v>9</v>
      </c>
      <c r="X800" t="s">
        <v>1457</v>
      </c>
    </row>
    <row r="801" spans="1:24" x14ac:dyDescent="0.35">
      <c r="A801" t="s">
        <v>161</v>
      </c>
      <c r="B801">
        <v>2023</v>
      </c>
      <c r="C801" t="s">
        <v>1308</v>
      </c>
      <c r="D801" t="s">
        <v>1318</v>
      </c>
      <c r="E801" t="s">
        <v>1359</v>
      </c>
      <c r="F801" t="s">
        <v>1364</v>
      </c>
      <c r="G801" t="s">
        <v>1372</v>
      </c>
      <c r="H801">
        <v>0.106</v>
      </c>
      <c r="J801" t="s">
        <v>1392</v>
      </c>
      <c r="N801">
        <v>4.32</v>
      </c>
      <c r="R801" s="2" t="s">
        <v>1438</v>
      </c>
      <c r="S801">
        <v>25434853.502416398</v>
      </c>
      <c r="U801">
        <v>25434853.502416398</v>
      </c>
      <c r="V801">
        <v>4.1675097515277469E-9</v>
      </c>
      <c r="W801" t="s">
        <v>9</v>
      </c>
      <c r="X801" t="s">
        <v>1457</v>
      </c>
    </row>
    <row r="802" spans="1:24" x14ac:dyDescent="0.35">
      <c r="A802" t="s">
        <v>162</v>
      </c>
      <c r="B802">
        <v>2023</v>
      </c>
      <c r="C802" t="s">
        <v>1308</v>
      </c>
      <c r="D802" t="s">
        <v>1311</v>
      </c>
      <c r="E802" t="s">
        <v>1359</v>
      </c>
      <c r="F802" t="s">
        <v>1364</v>
      </c>
      <c r="G802" t="s">
        <v>1371</v>
      </c>
      <c r="H802">
        <v>40.976999999999997</v>
      </c>
      <c r="J802" t="s">
        <v>1392</v>
      </c>
      <c r="N802">
        <v>4.32</v>
      </c>
      <c r="R802" s="2" t="s">
        <v>1438</v>
      </c>
      <c r="S802">
        <v>25434853.502416398</v>
      </c>
      <c r="U802">
        <v>25434853.502416398</v>
      </c>
      <c r="V802">
        <v>1.611057048003325E-6</v>
      </c>
      <c r="W802" t="s">
        <v>9</v>
      </c>
      <c r="X802" t="s">
        <v>1456</v>
      </c>
    </row>
    <row r="803" spans="1:24" x14ac:dyDescent="0.35">
      <c r="A803" t="s">
        <v>163</v>
      </c>
      <c r="B803">
        <v>2023</v>
      </c>
      <c r="C803" t="s">
        <v>1308</v>
      </c>
      <c r="D803" t="s">
        <v>1319</v>
      </c>
      <c r="E803" t="s">
        <v>1359</v>
      </c>
      <c r="F803" t="s">
        <v>1364</v>
      </c>
      <c r="G803" t="s">
        <v>1371</v>
      </c>
      <c r="H803">
        <v>2.4E-2</v>
      </c>
      <c r="J803" t="s">
        <v>1392</v>
      </c>
      <c r="N803">
        <v>4.32</v>
      </c>
      <c r="R803" s="2" t="s">
        <v>1438</v>
      </c>
      <c r="S803">
        <v>25434853.502416398</v>
      </c>
      <c r="U803">
        <v>25434853.502416398</v>
      </c>
      <c r="V803">
        <v>9.435871135534521E-10</v>
      </c>
      <c r="W803" t="s">
        <v>9</v>
      </c>
      <c r="X803" t="s">
        <v>1456</v>
      </c>
    </row>
    <row r="804" spans="1:24" x14ac:dyDescent="0.35">
      <c r="A804" t="s">
        <v>164</v>
      </c>
      <c r="B804">
        <v>2023</v>
      </c>
      <c r="C804" t="s">
        <v>1308</v>
      </c>
      <c r="D804" t="s">
        <v>1320</v>
      </c>
      <c r="E804" t="s">
        <v>1359</v>
      </c>
      <c r="F804" t="s">
        <v>1364</v>
      </c>
      <c r="G804" t="s">
        <v>1372</v>
      </c>
      <c r="H804">
        <v>7.76</v>
      </c>
      <c r="J804" t="s">
        <v>1392</v>
      </c>
      <c r="N804">
        <v>4.32</v>
      </c>
      <c r="R804" s="2" t="s">
        <v>1438</v>
      </c>
      <c r="S804">
        <v>25434853.502416398</v>
      </c>
      <c r="U804">
        <v>25434853.502416398</v>
      </c>
      <c r="V804">
        <v>3.0509316671561609E-7</v>
      </c>
      <c r="W804" t="s">
        <v>9</v>
      </c>
      <c r="X804" t="s">
        <v>1457</v>
      </c>
    </row>
    <row r="805" spans="1:24" x14ac:dyDescent="0.35">
      <c r="A805" t="s">
        <v>165</v>
      </c>
      <c r="B805">
        <v>2023</v>
      </c>
      <c r="C805" t="s">
        <v>1308</v>
      </c>
      <c r="D805" t="s">
        <v>1321</v>
      </c>
      <c r="E805" t="s">
        <v>1359</v>
      </c>
      <c r="F805" t="s">
        <v>1364</v>
      </c>
      <c r="G805" t="s">
        <v>1371</v>
      </c>
      <c r="H805">
        <v>3.1E-2</v>
      </c>
      <c r="J805" t="s">
        <v>1392</v>
      </c>
      <c r="N805">
        <v>4.32</v>
      </c>
      <c r="R805" s="2" t="s">
        <v>1438</v>
      </c>
      <c r="S805">
        <v>25434853.502416398</v>
      </c>
      <c r="U805">
        <v>25434853.502416398</v>
      </c>
      <c r="V805">
        <v>1.218800021673209E-9</v>
      </c>
      <c r="W805" t="s">
        <v>9</v>
      </c>
      <c r="X805" t="s">
        <v>1456</v>
      </c>
    </row>
    <row r="806" spans="1:24" x14ac:dyDescent="0.35">
      <c r="A806" t="s">
        <v>166</v>
      </c>
      <c r="B806">
        <v>2023</v>
      </c>
      <c r="C806" t="s">
        <v>1308</v>
      </c>
      <c r="D806" t="s">
        <v>1322</v>
      </c>
      <c r="E806" t="s">
        <v>1359</v>
      </c>
      <c r="F806" t="s">
        <v>1364</v>
      </c>
      <c r="G806" t="s">
        <v>1372</v>
      </c>
      <c r="H806">
        <v>11.204000000000001</v>
      </c>
      <c r="J806" t="s">
        <v>1392</v>
      </c>
      <c r="N806">
        <v>4.32</v>
      </c>
      <c r="R806" s="2" t="s">
        <v>1438</v>
      </c>
      <c r="S806">
        <v>25434853.502416398</v>
      </c>
      <c r="U806">
        <v>25434853.502416398</v>
      </c>
      <c r="V806">
        <v>4.4049791751053658E-7</v>
      </c>
      <c r="W806" t="s">
        <v>9</v>
      </c>
      <c r="X806" t="s">
        <v>1457</v>
      </c>
    </row>
    <row r="807" spans="1:24" x14ac:dyDescent="0.35">
      <c r="A807" t="s">
        <v>167</v>
      </c>
      <c r="B807">
        <v>2023</v>
      </c>
      <c r="C807" t="s">
        <v>1308</v>
      </c>
      <c r="D807" t="s">
        <v>1323</v>
      </c>
      <c r="E807" t="s">
        <v>1359</v>
      </c>
      <c r="F807" t="s">
        <v>1364</v>
      </c>
      <c r="G807" t="s">
        <v>1371</v>
      </c>
      <c r="H807">
        <v>0.255</v>
      </c>
      <c r="J807" t="s">
        <v>1392</v>
      </c>
      <c r="N807">
        <v>4.32</v>
      </c>
      <c r="R807" s="2" t="s">
        <v>1438</v>
      </c>
      <c r="S807">
        <v>25434853.502416398</v>
      </c>
      <c r="U807">
        <v>25434853.502416398</v>
      </c>
      <c r="V807">
        <v>1.002561308150543E-8</v>
      </c>
      <c r="W807" t="s">
        <v>9</v>
      </c>
      <c r="X807" t="s">
        <v>1456</v>
      </c>
    </row>
    <row r="808" spans="1:24" x14ac:dyDescent="0.35">
      <c r="A808" t="s">
        <v>168</v>
      </c>
      <c r="B808">
        <v>2023</v>
      </c>
      <c r="C808" t="s">
        <v>1308</v>
      </c>
      <c r="D808" t="s">
        <v>1330</v>
      </c>
      <c r="E808" t="s">
        <v>1359</v>
      </c>
      <c r="F808" t="s">
        <v>1364</v>
      </c>
      <c r="G808" t="s">
        <v>1371</v>
      </c>
      <c r="H808">
        <v>9.9999999999999995E-7</v>
      </c>
      <c r="J808" t="s">
        <v>1392</v>
      </c>
      <c r="N808">
        <v>4.32</v>
      </c>
      <c r="R808" s="2" t="s">
        <v>1438</v>
      </c>
      <c r="S808">
        <v>25434853.502416398</v>
      </c>
      <c r="U808">
        <v>25434853.502416398</v>
      </c>
      <c r="V808">
        <v>3.9316129731393833E-14</v>
      </c>
      <c r="W808" t="s">
        <v>9</v>
      </c>
      <c r="X808" t="s">
        <v>1456</v>
      </c>
    </row>
    <row r="809" spans="1:24" x14ac:dyDescent="0.35">
      <c r="A809" t="s">
        <v>169</v>
      </c>
      <c r="B809">
        <v>2023</v>
      </c>
      <c r="C809" t="s">
        <v>1308</v>
      </c>
      <c r="D809" t="s">
        <v>1324</v>
      </c>
      <c r="E809" t="s">
        <v>1359</v>
      </c>
      <c r="F809" t="s">
        <v>1364</v>
      </c>
      <c r="G809" t="s">
        <v>1371</v>
      </c>
      <c r="H809">
        <v>1.2999999999999999E-2</v>
      </c>
      <c r="J809" t="s">
        <v>1392</v>
      </c>
      <c r="N809">
        <v>4.32</v>
      </c>
      <c r="R809" s="2" t="s">
        <v>1438</v>
      </c>
      <c r="S809">
        <v>25434853.502416398</v>
      </c>
      <c r="U809">
        <v>25434853.502416398</v>
      </c>
      <c r="V809">
        <v>5.1110968650811988E-10</v>
      </c>
      <c r="W809" t="s">
        <v>9</v>
      </c>
      <c r="X809" t="s">
        <v>1456</v>
      </c>
    </row>
    <row r="810" spans="1:24" x14ac:dyDescent="0.35">
      <c r="A810" t="s">
        <v>170</v>
      </c>
      <c r="B810">
        <v>2023</v>
      </c>
      <c r="C810" t="s">
        <v>1308</v>
      </c>
      <c r="D810" t="s">
        <v>1312</v>
      </c>
      <c r="E810" t="s">
        <v>1359</v>
      </c>
      <c r="F810" t="s">
        <v>1364</v>
      </c>
      <c r="G810" t="s">
        <v>1371</v>
      </c>
      <c r="H810">
        <v>180.17699999999999</v>
      </c>
      <c r="J810" t="s">
        <v>1392</v>
      </c>
      <c r="N810">
        <v>4.32</v>
      </c>
      <c r="R810" s="2" t="s">
        <v>1438</v>
      </c>
      <c r="S810">
        <v>25434853.502416398</v>
      </c>
      <c r="U810">
        <v>25434853.502416398</v>
      </c>
      <c r="V810">
        <v>7.0838623066133471E-6</v>
      </c>
      <c r="W810" t="s">
        <v>9</v>
      </c>
      <c r="X810" t="s">
        <v>1456</v>
      </c>
    </row>
    <row r="811" spans="1:24" x14ac:dyDescent="0.35">
      <c r="A811" t="s">
        <v>171</v>
      </c>
      <c r="B811">
        <v>2023</v>
      </c>
      <c r="C811" t="s">
        <v>1308</v>
      </c>
      <c r="D811" t="s">
        <v>1332</v>
      </c>
      <c r="E811" t="s">
        <v>1359</v>
      </c>
      <c r="F811" t="s">
        <v>1364</v>
      </c>
      <c r="G811" t="s">
        <v>1371</v>
      </c>
      <c r="H811">
        <v>0.104</v>
      </c>
      <c r="J811" t="s">
        <v>1392</v>
      </c>
      <c r="N811">
        <v>4.32</v>
      </c>
      <c r="R811" s="2" t="s">
        <v>1438</v>
      </c>
      <c r="S811">
        <v>25434853.502416398</v>
      </c>
      <c r="U811">
        <v>25434853.502416398</v>
      </c>
      <c r="V811">
        <v>4.088877492064959E-9</v>
      </c>
      <c r="W811" t="s">
        <v>9</v>
      </c>
      <c r="X811" t="s">
        <v>1456</v>
      </c>
    </row>
    <row r="812" spans="1:24" x14ac:dyDescent="0.35">
      <c r="A812" t="s">
        <v>172</v>
      </c>
      <c r="B812">
        <v>2023</v>
      </c>
      <c r="C812" t="s">
        <v>1308</v>
      </c>
      <c r="D812" t="s">
        <v>1313</v>
      </c>
      <c r="E812" t="s">
        <v>1359</v>
      </c>
      <c r="F812" t="s">
        <v>1364</v>
      </c>
      <c r="G812" t="s">
        <v>1371</v>
      </c>
      <c r="H812">
        <v>45.27</v>
      </c>
      <c r="J812" t="s">
        <v>1392</v>
      </c>
      <c r="N812">
        <v>4.32</v>
      </c>
      <c r="R812" s="2" t="s">
        <v>1438</v>
      </c>
      <c r="S812">
        <v>25434853.502416398</v>
      </c>
      <c r="U812">
        <v>25434853.502416398</v>
      </c>
      <c r="V812">
        <v>1.779841192940199E-6</v>
      </c>
      <c r="W812" t="s">
        <v>9</v>
      </c>
      <c r="X812" t="s">
        <v>1456</v>
      </c>
    </row>
    <row r="813" spans="1:24" x14ac:dyDescent="0.35">
      <c r="A813" t="s">
        <v>173</v>
      </c>
      <c r="B813">
        <v>2023</v>
      </c>
      <c r="C813" t="s">
        <v>1308</v>
      </c>
      <c r="D813" t="s">
        <v>1314</v>
      </c>
      <c r="E813" t="s">
        <v>1359</v>
      </c>
      <c r="F813" t="s">
        <v>1364</v>
      </c>
      <c r="G813" t="s">
        <v>1371</v>
      </c>
      <c r="H813">
        <v>33.68</v>
      </c>
      <c r="J813" t="s">
        <v>1392</v>
      </c>
      <c r="N813">
        <v>4.32</v>
      </c>
      <c r="R813" s="2" t="s">
        <v>1438</v>
      </c>
      <c r="S813">
        <v>25434853.502416398</v>
      </c>
      <c r="U813">
        <v>25434853.502416398</v>
      </c>
      <c r="V813">
        <v>1.3241672493533441E-6</v>
      </c>
      <c r="W813" t="s">
        <v>9</v>
      </c>
      <c r="X813" t="s">
        <v>1456</v>
      </c>
    </row>
    <row r="814" spans="1:24" x14ac:dyDescent="0.35">
      <c r="A814" t="s">
        <v>174</v>
      </c>
      <c r="B814">
        <v>2023</v>
      </c>
      <c r="C814" t="s">
        <v>1308</v>
      </c>
      <c r="D814" t="s">
        <v>1325</v>
      </c>
      <c r="E814" t="s">
        <v>1359</v>
      </c>
      <c r="F814" t="s">
        <v>1364</v>
      </c>
      <c r="G814" t="s">
        <v>1372</v>
      </c>
      <c r="H814">
        <v>1.012</v>
      </c>
      <c r="J814" t="s">
        <v>1392</v>
      </c>
      <c r="N814">
        <v>4.32</v>
      </c>
      <c r="R814" s="2" t="s">
        <v>1438</v>
      </c>
      <c r="S814">
        <v>25434853.502416398</v>
      </c>
      <c r="U814">
        <v>25434853.502416398</v>
      </c>
      <c r="V814">
        <v>3.9787923288170572E-8</v>
      </c>
      <c r="W814" t="s">
        <v>9</v>
      </c>
      <c r="X814" t="s">
        <v>1457</v>
      </c>
    </row>
    <row r="815" spans="1:24" x14ac:dyDescent="0.35">
      <c r="A815" t="s">
        <v>175</v>
      </c>
      <c r="B815">
        <v>2023</v>
      </c>
      <c r="C815" t="s">
        <v>1308</v>
      </c>
      <c r="D815" t="s">
        <v>1337</v>
      </c>
      <c r="E815" t="s">
        <v>1359</v>
      </c>
      <c r="F815" t="s">
        <v>1364</v>
      </c>
      <c r="G815" t="s">
        <v>1371</v>
      </c>
      <c r="H815">
        <v>7.0250000000000004</v>
      </c>
      <c r="J815" t="s">
        <v>1392</v>
      </c>
      <c r="N815">
        <v>4.32</v>
      </c>
      <c r="R815" s="2" t="s">
        <v>1438</v>
      </c>
      <c r="S815">
        <v>25434853.502416398</v>
      </c>
      <c r="U815">
        <v>25434853.502416398</v>
      </c>
      <c r="V815">
        <v>2.7619581136304171E-7</v>
      </c>
      <c r="W815" t="s">
        <v>9</v>
      </c>
      <c r="X815" t="s">
        <v>1456</v>
      </c>
    </row>
    <row r="816" spans="1:24" x14ac:dyDescent="0.35">
      <c r="A816" t="s">
        <v>176</v>
      </c>
      <c r="B816">
        <v>2023</v>
      </c>
      <c r="C816" t="s">
        <v>1308</v>
      </c>
      <c r="D816" t="s">
        <v>1334</v>
      </c>
      <c r="E816" t="s">
        <v>1359</v>
      </c>
      <c r="F816" t="s">
        <v>1364</v>
      </c>
      <c r="G816" t="s">
        <v>1372</v>
      </c>
      <c r="H816">
        <v>0.58299999999999996</v>
      </c>
      <c r="J816" t="s">
        <v>1392</v>
      </c>
      <c r="N816">
        <v>4.32</v>
      </c>
      <c r="R816" s="2" t="s">
        <v>1438</v>
      </c>
      <c r="S816">
        <v>25434853.502416398</v>
      </c>
      <c r="U816">
        <v>25434853.502416398</v>
      </c>
      <c r="V816">
        <v>2.29213036334026E-8</v>
      </c>
      <c r="W816" t="s">
        <v>9</v>
      </c>
      <c r="X816" t="s">
        <v>1457</v>
      </c>
    </row>
    <row r="817" spans="1:24" x14ac:dyDescent="0.35">
      <c r="A817" t="s">
        <v>177</v>
      </c>
      <c r="B817">
        <v>2023</v>
      </c>
      <c r="C817" t="s">
        <v>1308</v>
      </c>
      <c r="D817" t="s">
        <v>1315</v>
      </c>
      <c r="E817" t="s">
        <v>1359</v>
      </c>
      <c r="F817" t="s">
        <v>1364</v>
      </c>
      <c r="G817" t="s">
        <v>1371</v>
      </c>
      <c r="H817">
        <v>222.149</v>
      </c>
      <c r="J817" t="s">
        <v>1392</v>
      </c>
      <c r="N817">
        <v>4.32</v>
      </c>
      <c r="R817" s="2" t="s">
        <v>1438</v>
      </c>
      <c r="S817">
        <v>25434853.502416398</v>
      </c>
      <c r="U817">
        <v>25434853.502416398</v>
      </c>
      <c r="V817">
        <v>8.7340389036994094E-6</v>
      </c>
      <c r="W817" t="s">
        <v>9</v>
      </c>
      <c r="X817" t="s">
        <v>1456</v>
      </c>
    </row>
    <row r="818" spans="1:24" x14ac:dyDescent="0.35">
      <c r="A818" t="s">
        <v>178</v>
      </c>
      <c r="B818">
        <v>2023</v>
      </c>
      <c r="C818" t="s">
        <v>1308</v>
      </c>
      <c r="D818" t="s">
        <v>1336</v>
      </c>
      <c r="E818" t="s">
        <v>1359</v>
      </c>
      <c r="F818" t="s">
        <v>1364</v>
      </c>
      <c r="G818" t="s">
        <v>1371</v>
      </c>
      <c r="H818">
        <v>4.2000000000000003E-2</v>
      </c>
      <c r="J818" t="s">
        <v>1392</v>
      </c>
      <c r="N818">
        <v>4.32</v>
      </c>
      <c r="R818" s="2" t="s">
        <v>1438</v>
      </c>
      <c r="S818">
        <v>25434853.502416398</v>
      </c>
      <c r="U818">
        <v>25434853.502416398</v>
      </c>
      <c r="V818">
        <v>1.651277448718541E-9</v>
      </c>
      <c r="W818" t="s">
        <v>9</v>
      </c>
      <c r="X818" t="s">
        <v>1456</v>
      </c>
    </row>
    <row r="819" spans="1:24" x14ac:dyDescent="0.35">
      <c r="A819" t="s">
        <v>179</v>
      </c>
      <c r="B819">
        <v>2023</v>
      </c>
      <c r="C819" t="s">
        <v>1308</v>
      </c>
      <c r="D819" t="s">
        <v>1316</v>
      </c>
      <c r="E819" t="s">
        <v>1359</v>
      </c>
      <c r="F819" t="s">
        <v>1364</v>
      </c>
      <c r="G819" t="s">
        <v>1371</v>
      </c>
      <c r="H819">
        <v>12.212</v>
      </c>
      <c r="J819" t="s">
        <v>1392</v>
      </c>
      <c r="N819">
        <v>4.32</v>
      </c>
      <c r="R819" s="2" t="s">
        <v>1438</v>
      </c>
      <c r="S819">
        <v>25434853.502416398</v>
      </c>
      <c r="U819">
        <v>25434853.502416398</v>
      </c>
      <c r="V819">
        <v>4.8012857627978152E-7</v>
      </c>
      <c r="W819" t="s">
        <v>9</v>
      </c>
      <c r="X819" t="s">
        <v>1456</v>
      </c>
    </row>
    <row r="820" spans="1:24" x14ac:dyDescent="0.35">
      <c r="A820" t="s">
        <v>180</v>
      </c>
      <c r="B820">
        <v>2023</v>
      </c>
      <c r="C820" t="s">
        <v>1308</v>
      </c>
      <c r="D820" t="s">
        <v>1326</v>
      </c>
      <c r="E820" t="s">
        <v>1359</v>
      </c>
      <c r="F820" t="s">
        <v>1364</v>
      </c>
      <c r="G820" t="s">
        <v>1371</v>
      </c>
      <c r="H820">
        <v>1.6E-2</v>
      </c>
      <c r="J820" t="s">
        <v>1392</v>
      </c>
      <c r="N820">
        <v>4.32</v>
      </c>
      <c r="R820" s="2" t="s">
        <v>1438</v>
      </c>
      <c r="S820">
        <v>25434853.502416398</v>
      </c>
      <c r="U820">
        <v>25434853.502416398</v>
      </c>
      <c r="V820">
        <v>6.2905807570230137E-10</v>
      </c>
      <c r="W820" t="s">
        <v>9</v>
      </c>
      <c r="X820" t="s">
        <v>1456</v>
      </c>
    </row>
    <row r="821" spans="1:24" x14ac:dyDescent="0.35">
      <c r="A821" t="s">
        <v>525</v>
      </c>
      <c r="B821">
        <v>2023</v>
      </c>
      <c r="C821" t="s">
        <v>1308</v>
      </c>
      <c r="D821" t="s">
        <v>1328</v>
      </c>
      <c r="E821" t="s">
        <v>1359</v>
      </c>
      <c r="F821" t="s">
        <v>1366</v>
      </c>
      <c r="G821" t="s">
        <v>1371</v>
      </c>
      <c r="H821">
        <v>9.5500000000000001E-4</v>
      </c>
      <c r="J821" t="s">
        <v>1392</v>
      </c>
      <c r="N821">
        <v>4.32</v>
      </c>
      <c r="R821" s="2" t="s">
        <v>1438</v>
      </c>
      <c r="S821">
        <v>25434853.502416398</v>
      </c>
      <c r="U821">
        <v>25434853.502416398</v>
      </c>
      <c r="V821">
        <v>3.7546903893481108E-11</v>
      </c>
      <c r="W821" t="s">
        <v>9</v>
      </c>
      <c r="X821" t="s">
        <v>1456</v>
      </c>
    </row>
    <row r="822" spans="1:24" x14ac:dyDescent="0.35">
      <c r="A822" t="s">
        <v>526</v>
      </c>
      <c r="B822">
        <v>2023</v>
      </c>
      <c r="C822" t="s">
        <v>1308</v>
      </c>
      <c r="D822" t="s">
        <v>1317</v>
      </c>
      <c r="E822" t="s">
        <v>1359</v>
      </c>
      <c r="F822" t="s">
        <v>1366</v>
      </c>
      <c r="G822" t="s">
        <v>1372</v>
      </c>
      <c r="H822">
        <v>2.5289999999999999</v>
      </c>
      <c r="J822" t="s">
        <v>1392</v>
      </c>
      <c r="N822">
        <v>4.32</v>
      </c>
      <c r="R822" s="2" t="s">
        <v>1438</v>
      </c>
      <c r="S822">
        <v>25434853.502416398</v>
      </c>
      <c r="U822">
        <v>25434853.502416398</v>
      </c>
      <c r="V822">
        <v>9.9430492090695003E-8</v>
      </c>
      <c r="W822" t="s">
        <v>9</v>
      </c>
      <c r="X822" t="s">
        <v>1457</v>
      </c>
    </row>
    <row r="823" spans="1:24" x14ac:dyDescent="0.35">
      <c r="A823" t="s">
        <v>527</v>
      </c>
      <c r="B823">
        <v>2023</v>
      </c>
      <c r="C823" t="s">
        <v>1308</v>
      </c>
      <c r="D823" t="s">
        <v>1318</v>
      </c>
      <c r="E823" t="s">
        <v>1359</v>
      </c>
      <c r="F823" t="s">
        <v>1366</v>
      </c>
      <c r="G823" t="s">
        <v>1372</v>
      </c>
      <c r="H823">
        <v>0.27400000000000002</v>
      </c>
      <c r="J823" t="s">
        <v>1392</v>
      </c>
      <c r="N823">
        <v>4.32</v>
      </c>
      <c r="R823" s="2" t="s">
        <v>1438</v>
      </c>
      <c r="S823">
        <v>25434853.502416398</v>
      </c>
      <c r="U823">
        <v>25434853.502416398</v>
      </c>
      <c r="V823">
        <v>1.077261954640191E-8</v>
      </c>
      <c r="W823" t="s">
        <v>9</v>
      </c>
      <c r="X823" t="s">
        <v>1457</v>
      </c>
    </row>
    <row r="824" spans="1:24" x14ac:dyDescent="0.35">
      <c r="A824" t="s">
        <v>528</v>
      </c>
      <c r="B824">
        <v>2023</v>
      </c>
      <c r="C824" t="s">
        <v>1308</v>
      </c>
      <c r="D824" t="s">
        <v>1311</v>
      </c>
      <c r="E824" t="s">
        <v>1359</v>
      </c>
      <c r="F824" t="s">
        <v>1366</v>
      </c>
      <c r="G824" t="s">
        <v>1371</v>
      </c>
      <c r="H824">
        <v>1138.731</v>
      </c>
      <c r="J824" t="s">
        <v>1392</v>
      </c>
      <c r="N824">
        <v>4.32</v>
      </c>
      <c r="R824" s="2" t="s">
        <v>1438</v>
      </c>
      <c r="S824">
        <v>25434853.502416398</v>
      </c>
      <c r="U824">
        <v>25434853.502416398</v>
      </c>
      <c r="V824">
        <v>4.4770495725159828E-5</v>
      </c>
      <c r="W824" t="s">
        <v>9</v>
      </c>
      <c r="X824" t="s">
        <v>1456</v>
      </c>
    </row>
    <row r="825" spans="1:24" x14ac:dyDescent="0.35">
      <c r="A825" t="s">
        <v>529</v>
      </c>
      <c r="B825">
        <v>2023</v>
      </c>
      <c r="C825" t="s">
        <v>1308</v>
      </c>
      <c r="D825" t="s">
        <v>1319</v>
      </c>
      <c r="E825" t="s">
        <v>1359</v>
      </c>
      <c r="F825" t="s">
        <v>1366</v>
      </c>
      <c r="G825" t="s">
        <v>1371</v>
      </c>
      <c r="H825">
        <v>7.8E-2</v>
      </c>
      <c r="J825" t="s">
        <v>1392</v>
      </c>
      <c r="N825">
        <v>4.32</v>
      </c>
      <c r="R825" s="2" t="s">
        <v>1438</v>
      </c>
      <c r="S825">
        <v>25434853.502416398</v>
      </c>
      <c r="U825">
        <v>25434853.502416398</v>
      </c>
      <c r="V825">
        <v>3.0666581190487189E-9</v>
      </c>
      <c r="W825" t="s">
        <v>9</v>
      </c>
      <c r="X825" t="s">
        <v>1456</v>
      </c>
    </row>
    <row r="826" spans="1:24" x14ac:dyDescent="0.35">
      <c r="A826" t="s">
        <v>530</v>
      </c>
      <c r="B826">
        <v>2023</v>
      </c>
      <c r="C826" t="s">
        <v>1308</v>
      </c>
      <c r="D826" t="s">
        <v>1320</v>
      </c>
      <c r="E826" t="s">
        <v>1359</v>
      </c>
      <c r="F826" t="s">
        <v>1366</v>
      </c>
      <c r="G826" t="s">
        <v>1372</v>
      </c>
      <c r="H826">
        <v>22.965</v>
      </c>
      <c r="J826" t="s">
        <v>1392</v>
      </c>
      <c r="N826">
        <v>4.32</v>
      </c>
      <c r="R826" s="2" t="s">
        <v>1438</v>
      </c>
      <c r="S826">
        <v>25434853.502416398</v>
      </c>
      <c r="U826">
        <v>25434853.502416398</v>
      </c>
      <c r="V826">
        <v>9.0289491928145948E-7</v>
      </c>
      <c r="W826" t="s">
        <v>9</v>
      </c>
      <c r="X826" t="s">
        <v>1457</v>
      </c>
    </row>
    <row r="827" spans="1:24" x14ac:dyDescent="0.35">
      <c r="A827" t="s">
        <v>531</v>
      </c>
      <c r="B827">
        <v>2023</v>
      </c>
      <c r="C827" t="s">
        <v>1308</v>
      </c>
      <c r="D827" t="s">
        <v>1321</v>
      </c>
      <c r="E827" t="s">
        <v>1359</v>
      </c>
      <c r="F827" t="s">
        <v>1366</v>
      </c>
      <c r="G827" t="s">
        <v>1371</v>
      </c>
      <c r="H827">
        <v>0.11600000000000001</v>
      </c>
      <c r="J827" t="s">
        <v>1392</v>
      </c>
      <c r="N827">
        <v>4.32</v>
      </c>
      <c r="R827" s="2" t="s">
        <v>1438</v>
      </c>
      <c r="S827">
        <v>25434853.502416398</v>
      </c>
      <c r="U827">
        <v>25434853.502416398</v>
      </c>
      <c r="V827">
        <v>4.5606710488416854E-9</v>
      </c>
      <c r="W827" t="s">
        <v>9</v>
      </c>
      <c r="X827" t="s">
        <v>1456</v>
      </c>
    </row>
    <row r="828" spans="1:24" x14ac:dyDescent="0.35">
      <c r="A828" t="s">
        <v>532</v>
      </c>
      <c r="B828">
        <v>2023</v>
      </c>
      <c r="C828" t="s">
        <v>1308</v>
      </c>
      <c r="D828" t="s">
        <v>1343</v>
      </c>
      <c r="E828" t="s">
        <v>1359</v>
      </c>
      <c r="F828" t="s">
        <v>1366</v>
      </c>
      <c r="G828" t="s">
        <v>1371</v>
      </c>
      <c r="H828">
        <v>37.063000000000002</v>
      </c>
      <c r="J828" t="s">
        <v>1392</v>
      </c>
      <c r="N828">
        <v>4.32</v>
      </c>
      <c r="R828" s="2" t="s">
        <v>1438</v>
      </c>
      <c r="S828">
        <v>25434853.502416398</v>
      </c>
      <c r="U828">
        <v>25434853.502416398</v>
      </c>
      <c r="V828">
        <v>1.4571737162346501E-6</v>
      </c>
      <c r="W828" t="s">
        <v>9</v>
      </c>
      <c r="X828" t="s">
        <v>1456</v>
      </c>
    </row>
    <row r="829" spans="1:24" x14ac:dyDescent="0.35">
      <c r="A829" t="s">
        <v>533</v>
      </c>
      <c r="B829">
        <v>2023</v>
      </c>
      <c r="C829" t="s">
        <v>1308</v>
      </c>
      <c r="D829" t="s">
        <v>1322</v>
      </c>
      <c r="E829" t="s">
        <v>1359</v>
      </c>
      <c r="F829" t="s">
        <v>1366</v>
      </c>
      <c r="G829" t="s">
        <v>1372</v>
      </c>
      <c r="H829">
        <v>2.109</v>
      </c>
      <c r="J829" t="s">
        <v>1392</v>
      </c>
      <c r="N829">
        <v>4.32</v>
      </c>
      <c r="R829" s="2" t="s">
        <v>1438</v>
      </c>
      <c r="S829">
        <v>25434853.502416398</v>
      </c>
      <c r="U829">
        <v>25434853.502416398</v>
      </c>
      <c r="V829">
        <v>8.2917717603509606E-8</v>
      </c>
      <c r="W829" t="s">
        <v>9</v>
      </c>
      <c r="X829" t="s">
        <v>1457</v>
      </c>
    </row>
    <row r="830" spans="1:24" x14ac:dyDescent="0.35">
      <c r="A830" t="s">
        <v>534</v>
      </c>
      <c r="B830">
        <v>2023</v>
      </c>
      <c r="C830" t="s">
        <v>1308</v>
      </c>
      <c r="D830" t="s">
        <v>1323</v>
      </c>
      <c r="E830" t="s">
        <v>1359</v>
      </c>
      <c r="F830" t="s">
        <v>1366</v>
      </c>
      <c r="G830" t="s">
        <v>1371</v>
      </c>
      <c r="H830">
        <v>0.61399999999999999</v>
      </c>
      <c r="J830" t="s">
        <v>1392</v>
      </c>
      <c r="N830">
        <v>4.32</v>
      </c>
      <c r="R830" s="2" t="s">
        <v>1438</v>
      </c>
      <c r="S830">
        <v>25434853.502416398</v>
      </c>
      <c r="U830">
        <v>25434853.502416398</v>
      </c>
      <c r="V830">
        <v>2.4140103655075819E-8</v>
      </c>
      <c r="W830" t="s">
        <v>9</v>
      </c>
      <c r="X830" t="s">
        <v>1456</v>
      </c>
    </row>
    <row r="831" spans="1:24" x14ac:dyDescent="0.35">
      <c r="A831" t="s">
        <v>535</v>
      </c>
      <c r="B831">
        <v>2023</v>
      </c>
      <c r="C831" t="s">
        <v>1308</v>
      </c>
      <c r="D831" t="s">
        <v>1330</v>
      </c>
      <c r="E831" t="s">
        <v>1359</v>
      </c>
      <c r="F831" t="s">
        <v>1366</v>
      </c>
      <c r="G831" t="s">
        <v>1371</v>
      </c>
      <c r="H831">
        <v>5.7000000000000003E-5</v>
      </c>
      <c r="J831" t="s">
        <v>1392</v>
      </c>
      <c r="N831">
        <v>4.32</v>
      </c>
      <c r="R831" s="2" t="s">
        <v>1438</v>
      </c>
      <c r="S831">
        <v>25434853.502416398</v>
      </c>
      <c r="U831">
        <v>25434853.502416398</v>
      </c>
      <c r="V831">
        <v>2.2410193946894489E-12</v>
      </c>
      <c r="W831" t="s">
        <v>9</v>
      </c>
      <c r="X831" t="s">
        <v>1456</v>
      </c>
    </row>
    <row r="832" spans="1:24" x14ac:dyDescent="0.35">
      <c r="A832" t="s">
        <v>536</v>
      </c>
      <c r="B832">
        <v>2023</v>
      </c>
      <c r="C832" t="s">
        <v>1308</v>
      </c>
      <c r="D832" t="s">
        <v>1324</v>
      </c>
      <c r="E832" t="s">
        <v>1359</v>
      </c>
      <c r="F832" t="s">
        <v>1366</v>
      </c>
      <c r="G832" t="s">
        <v>1371</v>
      </c>
      <c r="H832">
        <v>4.1000000000000002E-2</v>
      </c>
      <c r="J832" t="s">
        <v>1392</v>
      </c>
      <c r="N832">
        <v>4.32</v>
      </c>
      <c r="R832" s="2" t="s">
        <v>1438</v>
      </c>
      <c r="S832">
        <v>25434853.502416398</v>
      </c>
      <c r="U832">
        <v>25434853.502416398</v>
      </c>
      <c r="V832">
        <v>1.6119613189871471E-9</v>
      </c>
      <c r="W832" t="s">
        <v>9</v>
      </c>
      <c r="X832" t="s">
        <v>1456</v>
      </c>
    </row>
    <row r="833" spans="1:24" x14ac:dyDescent="0.35">
      <c r="A833" t="s">
        <v>537</v>
      </c>
      <c r="B833">
        <v>2023</v>
      </c>
      <c r="C833" t="s">
        <v>1308</v>
      </c>
      <c r="D833" t="s">
        <v>1312</v>
      </c>
      <c r="E833" t="s">
        <v>1359</v>
      </c>
      <c r="F833" t="s">
        <v>1366</v>
      </c>
      <c r="G833" t="s">
        <v>1371</v>
      </c>
      <c r="H833">
        <v>267.93700000000001</v>
      </c>
      <c r="J833" t="s">
        <v>1392</v>
      </c>
      <c r="N833">
        <v>4.32</v>
      </c>
      <c r="R833" s="2" t="s">
        <v>1438</v>
      </c>
      <c r="S833">
        <v>25434853.502416398</v>
      </c>
      <c r="U833">
        <v>25434853.502416398</v>
      </c>
      <c r="V833">
        <v>1.053424585184047E-5</v>
      </c>
      <c r="W833" t="s">
        <v>9</v>
      </c>
      <c r="X833" t="s">
        <v>1456</v>
      </c>
    </row>
    <row r="834" spans="1:24" x14ac:dyDescent="0.35">
      <c r="A834" t="s">
        <v>538</v>
      </c>
      <c r="B834">
        <v>2023</v>
      </c>
      <c r="C834" t="s">
        <v>1308</v>
      </c>
      <c r="D834" t="s">
        <v>1332</v>
      </c>
      <c r="E834" t="s">
        <v>1359</v>
      </c>
      <c r="F834" t="s">
        <v>1366</v>
      </c>
      <c r="G834" t="s">
        <v>1371</v>
      </c>
      <c r="H834">
        <v>0.40799999999999997</v>
      </c>
      <c r="J834" t="s">
        <v>1392</v>
      </c>
      <c r="N834">
        <v>4.32</v>
      </c>
      <c r="R834" s="2" t="s">
        <v>1438</v>
      </c>
      <c r="S834">
        <v>25434853.502416398</v>
      </c>
      <c r="U834">
        <v>25434853.502416398</v>
      </c>
      <c r="V834">
        <v>1.6040980930408681E-8</v>
      </c>
      <c r="W834" t="s">
        <v>9</v>
      </c>
      <c r="X834" t="s">
        <v>1456</v>
      </c>
    </row>
    <row r="835" spans="1:24" x14ac:dyDescent="0.35">
      <c r="A835" t="s">
        <v>539</v>
      </c>
      <c r="B835">
        <v>2023</v>
      </c>
      <c r="C835" t="s">
        <v>1308</v>
      </c>
      <c r="D835" t="s">
        <v>1313</v>
      </c>
      <c r="E835" t="s">
        <v>1359</v>
      </c>
      <c r="F835" t="s">
        <v>1366</v>
      </c>
      <c r="G835" t="s">
        <v>1371</v>
      </c>
      <c r="H835">
        <v>239.61699999999999</v>
      </c>
      <c r="J835" t="s">
        <v>1392</v>
      </c>
      <c r="N835">
        <v>4.32</v>
      </c>
      <c r="R835" s="2" t="s">
        <v>1438</v>
      </c>
      <c r="S835">
        <v>25434853.502416398</v>
      </c>
      <c r="U835">
        <v>25434853.502416398</v>
      </c>
      <c r="V835">
        <v>9.4208130578473971E-6</v>
      </c>
      <c r="W835" t="s">
        <v>9</v>
      </c>
      <c r="X835" t="s">
        <v>1456</v>
      </c>
    </row>
    <row r="836" spans="1:24" x14ac:dyDescent="0.35">
      <c r="A836" t="s">
        <v>540</v>
      </c>
      <c r="B836">
        <v>2023</v>
      </c>
      <c r="C836" t="s">
        <v>1308</v>
      </c>
      <c r="D836" t="s">
        <v>1314</v>
      </c>
      <c r="E836" t="s">
        <v>1359</v>
      </c>
      <c r="F836" t="s">
        <v>1366</v>
      </c>
      <c r="G836" t="s">
        <v>1371</v>
      </c>
      <c r="H836">
        <v>66.402000000000001</v>
      </c>
      <c r="J836" t="s">
        <v>1392</v>
      </c>
      <c r="N836">
        <v>4.32</v>
      </c>
      <c r="R836" s="2" t="s">
        <v>1438</v>
      </c>
      <c r="S836">
        <v>25434853.502416398</v>
      </c>
      <c r="U836">
        <v>25434853.502416398</v>
      </c>
      <c r="V836">
        <v>2.6106696464240142E-6</v>
      </c>
      <c r="W836" t="s">
        <v>9</v>
      </c>
      <c r="X836" t="s">
        <v>1456</v>
      </c>
    </row>
    <row r="837" spans="1:24" x14ac:dyDescent="0.35">
      <c r="A837" t="s">
        <v>541</v>
      </c>
      <c r="B837">
        <v>2023</v>
      </c>
      <c r="C837" t="s">
        <v>1308</v>
      </c>
      <c r="D837" t="s">
        <v>1325</v>
      </c>
      <c r="E837" t="s">
        <v>1359</v>
      </c>
      <c r="F837" t="s">
        <v>1366</v>
      </c>
      <c r="G837" t="s">
        <v>1372</v>
      </c>
      <c r="H837">
        <v>1.75</v>
      </c>
      <c r="J837" t="s">
        <v>1392</v>
      </c>
      <c r="N837">
        <v>4.32</v>
      </c>
      <c r="R837" s="2" t="s">
        <v>1438</v>
      </c>
      <c r="S837">
        <v>25434853.502416398</v>
      </c>
      <c r="U837">
        <v>25434853.502416398</v>
      </c>
      <c r="V837">
        <v>6.8803227029939214E-8</v>
      </c>
      <c r="W837" t="s">
        <v>9</v>
      </c>
      <c r="X837" t="s">
        <v>1457</v>
      </c>
    </row>
    <row r="838" spans="1:24" x14ac:dyDescent="0.35">
      <c r="A838" t="s">
        <v>542</v>
      </c>
      <c r="B838">
        <v>2023</v>
      </c>
      <c r="C838" t="s">
        <v>1308</v>
      </c>
      <c r="D838" t="s">
        <v>1337</v>
      </c>
      <c r="E838" t="s">
        <v>1359</v>
      </c>
      <c r="F838" t="s">
        <v>1366</v>
      </c>
      <c r="G838" t="s">
        <v>1371</v>
      </c>
      <c r="H838">
        <v>33.491999999999997</v>
      </c>
      <c r="J838" t="s">
        <v>1392</v>
      </c>
      <c r="N838">
        <v>4.32</v>
      </c>
      <c r="R838" s="2" t="s">
        <v>1438</v>
      </c>
      <c r="S838">
        <v>25434853.502416398</v>
      </c>
      <c r="U838">
        <v>25434853.502416398</v>
      </c>
      <c r="V838">
        <v>1.3167758169638419E-6</v>
      </c>
      <c r="W838" t="s">
        <v>9</v>
      </c>
      <c r="X838" t="s">
        <v>1456</v>
      </c>
    </row>
    <row r="839" spans="1:24" x14ac:dyDescent="0.35">
      <c r="A839" t="s">
        <v>543</v>
      </c>
      <c r="B839">
        <v>2023</v>
      </c>
      <c r="C839" t="s">
        <v>1308</v>
      </c>
      <c r="D839" t="s">
        <v>1334</v>
      </c>
      <c r="E839" t="s">
        <v>1359</v>
      </c>
      <c r="F839" t="s">
        <v>1366</v>
      </c>
      <c r="G839" t="s">
        <v>1372</v>
      </c>
      <c r="H839">
        <v>0.99399999999999999</v>
      </c>
      <c r="J839" t="s">
        <v>1392</v>
      </c>
      <c r="N839">
        <v>4.32</v>
      </c>
      <c r="R839" s="2" t="s">
        <v>1438</v>
      </c>
      <c r="S839">
        <v>25434853.502416398</v>
      </c>
      <c r="U839">
        <v>25434853.502416398</v>
      </c>
      <c r="V839">
        <v>3.9080232953005482E-8</v>
      </c>
      <c r="W839" t="s">
        <v>9</v>
      </c>
      <c r="X839" t="s">
        <v>1457</v>
      </c>
    </row>
    <row r="840" spans="1:24" x14ac:dyDescent="0.35">
      <c r="A840" t="s">
        <v>544</v>
      </c>
      <c r="B840">
        <v>2023</v>
      </c>
      <c r="C840" t="s">
        <v>1308</v>
      </c>
      <c r="D840" t="s">
        <v>1315</v>
      </c>
      <c r="E840" t="s">
        <v>1359</v>
      </c>
      <c r="F840" t="s">
        <v>1366</v>
      </c>
      <c r="G840" t="s">
        <v>1371</v>
      </c>
      <c r="H840">
        <v>614.43799999999999</v>
      </c>
      <c r="J840" t="s">
        <v>1392</v>
      </c>
      <c r="N840">
        <v>4.32</v>
      </c>
      <c r="R840" s="2" t="s">
        <v>1438</v>
      </c>
      <c r="S840">
        <v>25434853.502416398</v>
      </c>
      <c r="U840">
        <v>25434853.502416398</v>
      </c>
      <c r="V840">
        <v>2.415732411989817E-5</v>
      </c>
      <c r="W840" t="s">
        <v>9</v>
      </c>
      <c r="X840" t="s">
        <v>1456</v>
      </c>
    </row>
    <row r="841" spans="1:24" x14ac:dyDescent="0.35">
      <c r="A841" t="s">
        <v>545</v>
      </c>
      <c r="B841">
        <v>2023</v>
      </c>
      <c r="C841" t="s">
        <v>1308</v>
      </c>
      <c r="D841" t="s">
        <v>1336</v>
      </c>
      <c r="E841" t="s">
        <v>1359</v>
      </c>
      <c r="F841" t="s">
        <v>1366</v>
      </c>
      <c r="G841" t="s">
        <v>1371</v>
      </c>
      <c r="H841">
        <v>9.6799999999999997E-2</v>
      </c>
      <c r="J841" t="s">
        <v>1392</v>
      </c>
      <c r="N841">
        <v>4.32</v>
      </c>
      <c r="R841" s="2" t="s">
        <v>1438</v>
      </c>
      <c r="S841">
        <v>25434853.502416398</v>
      </c>
      <c r="U841">
        <v>25434853.502416398</v>
      </c>
      <c r="V841">
        <v>3.8058013579989232E-9</v>
      </c>
      <c r="W841" t="s">
        <v>9</v>
      </c>
      <c r="X841" t="s">
        <v>1456</v>
      </c>
    </row>
    <row r="842" spans="1:24" x14ac:dyDescent="0.35">
      <c r="A842" t="s">
        <v>546</v>
      </c>
      <c r="B842">
        <v>2023</v>
      </c>
      <c r="C842" t="s">
        <v>1308</v>
      </c>
      <c r="D842" t="s">
        <v>1326</v>
      </c>
      <c r="E842" t="s">
        <v>1359</v>
      </c>
      <c r="F842" t="s">
        <v>1366</v>
      </c>
      <c r="G842" t="s">
        <v>1371</v>
      </c>
      <c r="H842">
        <v>4.3999999999999997E-2</v>
      </c>
      <c r="J842" t="s">
        <v>1392</v>
      </c>
      <c r="N842">
        <v>4.32</v>
      </c>
      <c r="R842" s="2" t="s">
        <v>1438</v>
      </c>
      <c r="S842">
        <v>25434853.502416398</v>
      </c>
      <c r="U842">
        <v>25434853.502416398</v>
      </c>
      <c r="V842">
        <v>1.7299097081813291E-9</v>
      </c>
      <c r="W842" t="s">
        <v>9</v>
      </c>
      <c r="X842" t="s">
        <v>1456</v>
      </c>
    </row>
    <row r="843" spans="1:24" x14ac:dyDescent="0.35">
      <c r="A843" t="s">
        <v>885</v>
      </c>
      <c r="B843">
        <v>2023</v>
      </c>
      <c r="C843" t="s">
        <v>1309</v>
      </c>
      <c r="D843" t="s">
        <v>1317</v>
      </c>
      <c r="E843" t="s">
        <v>1359</v>
      </c>
      <c r="F843" t="s">
        <v>1368</v>
      </c>
      <c r="G843" t="s">
        <v>1372</v>
      </c>
      <c r="H843">
        <v>2.3001320000000001</v>
      </c>
      <c r="J843" t="s">
        <v>1392</v>
      </c>
      <c r="N843">
        <v>4.32</v>
      </c>
      <c r="R843" s="2" t="s">
        <v>1438</v>
      </c>
      <c r="S843">
        <v>25434853.502416398</v>
      </c>
      <c r="U843">
        <v>25434853.502416398</v>
      </c>
      <c r="V843">
        <v>9.0432288111330369E-8</v>
      </c>
      <c r="W843" t="s">
        <v>9</v>
      </c>
      <c r="X843" t="s">
        <v>1457</v>
      </c>
    </row>
    <row r="844" spans="1:24" x14ac:dyDescent="0.35">
      <c r="A844" t="s">
        <v>886</v>
      </c>
      <c r="B844">
        <v>2023</v>
      </c>
      <c r="C844" t="s">
        <v>1309</v>
      </c>
      <c r="D844" t="s">
        <v>1321</v>
      </c>
      <c r="E844" t="s">
        <v>1359</v>
      </c>
      <c r="F844" t="s">
        <v>1368</v>
      </c>
      <c r="G844" t="s">
        <v>1371</v>
      </c>
      <c r="H844">
        <v>8.5000000000000006E-3</v>
      </c>
      <c r="J844" t="s">
        <v>1392</v>
      </c>
      <c r="N844">
        <v>4.32</v>
      </c>
      <c r="R844" s="2" t="s">
        <v>1438</v>
      </c>
      <c r="S844">
        <v>25434853.502416398</v>
      </c>
      <c r="U844">
        <v>25434853.502416398</v>
      </c>
      <c r="V844">
        <v>3.341871027168476E-10</v>
      </c>
      <c r="W844" t="s">
        <v>9</v>
      </c>
      <c r="X844" t="s">
        <v>1456</v>
      </c>
    </row>
    <row r="845" spans="1:24" x14ac:dyDescent="0.35">
      <c r="A845" t="s">
        <v>887</v>
      </c>
      <c r="B845">
        <v>2023</v>
      </c>
      <c r="C845" t="s">
        <v>1309</v>
      </c>
      <c r="D845" t="s">
        <v>1322</v>
      </c>
      <c r="E845" t="s">
        <v>1359</v>
      </c>
      <c r="F845" t="s">
        <v>1368</v>
      </c>
      <c r="G845" t="s">
        <v>1372</v>
      </c>
      <c r="H845">
        <v>0.52703</v>
      </c>
      <c r="J845" t="s">
        <v>1392</v>
      </c>
      <c r="N845">
        <v>4.32</v>
      </c>
      <c r="R845" s="2" t="s">
        <v>1438</v>
      </c>
      <c r="S845">
        <v>25434853.502416398</v>
      </c>
      <c r="U845">
        <v>25434853.502416398</v>
      </c>
      <c r="V845">
        <v>2.0720779852336492E-8</v>
      </c>
      <c r="W845" t="s">
        <v>9</v>
      </c>
      <c r="X845" t="s">
        <v>1457</v>
      </c>
    </row>
    <row r="846" spans="1:24" x14ac:dyDescent="0.35">
      <c r="A846" t="s">
        <v>888</v>
      </c>
      <c r="B846">
        <v>2023</v>
      </c>
      <c r="C846" t="s">
        <v>1309</v>
      </c>
      <c r="D846" t="s">
        <v>1324</v>
      </c>
      <c r="E846" t="s">
        <v>1359</v>
      </c>
      <c r="F846" t="s">
        <v>1368</v>
      </c>
      <c r="G846" t="s">
        <v>1371</v>
      </c>
      <c r="H846">
        <v>3.9066999999999998E-2</v>
      </c>
      <c r="J846" t="s">
        <v>1392</v>
      </c>
      <c r="N846">
        <v>4.32</v>
      </c>
      <c r="R846" s="2" t="s">
        <v>1438</v>
      </c>
      <c r="S846">
        <v>25434853.502416398</v>
      </c>
      <c r="U846">
        <v>25434853.502416398</v>
      </c>
      <c r="V846">
        <v>1.535963240216363E-9</v>
      </c>
      <c r="W846" t="s">
        <v>9</v>
      </c>
      <c r="X846" t="s">
        <v>1456</v>
      </c>
    </row>
    <row r="847" spans="1:24" x14ac:dyDescent="0.35">
      <c r="A847" t="s">
        <v>889</v>
      </c>
      <c r="B847">
        <v>2023</v>
      </c>
      <c r="C847" t="s">
        <v>1309</v>
      </c>
      <c r="D847" t="s">
        <v>1326</v>
      </c>
      <c r="E847" t="s">
        <v>1359</v>
      </c>
      <c r="F847" t="s">
        <v>1368</v>
      </c>
      <c r="G847" t="s">
        <v>1371</v>
      </c>
      <c r="H847">
        <v>2.63E-2</v>
      </c>
      <c r="J847" t="s">
        <v>1392</v>
      </c>
      <c r="N847">
        <v>4.32</v>
      </c>
      <c r="R847" s="2" t="s">
        <v>1438</v>
      </c>
      <c r="S847">
        <v>25434853.502416398</v>
      </c>
      <c r="U847">
        <v>25434853.502416398</v>
      </c>
      <c r="V847">
        <v>1.034014211935658E-9</v>
      </c>
      <c r="W847" t="s">
        <v>9</v>
      </c>
      <c r="X847" t="s">
        <v>1456</v>
      </c>
    </row>
    <row r="848" spans="1:24" x14ac:dyDescent="0.35">
      <c r="A848" t="s">
        <v>1034</v>
      </c>
      <c r="B848">
        <v>2023</v>
      </c>
      <c r="C848" t="s">
        <v>1308</v>
      </c>
      <c r="D848" t="s">
        <v>1347</v>
      </c>
      <c r="E848" t="s">
        <v>1359</v>
      </c>
      <c r="F848" t="s">
        <v>1370</v>
      </c>
      <c r="G848" t="s">
        <v>1375</v>
      </c>
      <c r="H848">
        <v>294610</v>
      </c>
      <c r="J848" t="s">
        <v>1392</v>
      </c>
      <c r="N848">
        <v>4.32</v>
      </c>
      <c r="R848" s="2" t="s">
        <v>1439</v>
      </c>
      <c r="S848">
        <v>25434853.502416398</v>
      </c>
      <c r="U848">
        <v>25434853.502416398</v>
      </c>
      <c r="V848">
        <v>1.1582924980165939E-2</v>
      </c>
      <c r="W848" t="s">
        <v>9</v>
      </c>
      <c r="X848" t="s">
        <v>1460</v>
      </c>
    </row>
    <row r="849" spans="1:24" x14ac:dyDescent="0.35">
      <c r="A849" t="s">
        <v>1059</v>
      </c>
      <c r="B849">
        <v>2023</v>
      </c>
      <c r="C849" t="s">
        <v>1308</v>
      </c>
      <c r="D849" t="s">
        <v>1348</v>
      </c>
      <c r="E849" t="s">
        <v>1359</v>
      </c>
      <c r="G849" t="s">
        <v>1371</v>
      </c>
      <c r="H849">
        <v>7414</v>
      </c>
      <c r="I849" t="s">
        <v>1379</v>
      </c>
      <c r="J849" t="s">
        <v>1392</v>
      </c>
      <c r="N849">
        <v>4.32</v>
      </c>
      <c r="Q849" t="s">
        <v>1422</v>
      </c>
      <c r="R849" t="s">
        <v>1440</v>
      </c>
      <c r="S849">
        <v>25434853.502416398</v>
      </c>
      <c r="U849">
        <v>25434853.502416398</v>
      </c>
      <c r="V849">
        <v>2.9148978582855389E-4</v>
      </c>
      <c r="W849" t="s">
        <v>9</v>
      </c>
      <c r="X849" t="s">
        <v>1456</v>
      </c>
    </row>
    <row r="850" spans="1:24" x14ac:dyDescent="0.35">
      <c r="A850" t="s">
        <v>1060</v>
      </c>
      <c r="B850">
        <v>2023</v>
      </c>
      <c r="C850" t="s">
        <v>1308</v>
      </c>
      <c r="D850" t="s">
        <v>1349</v>
      </c>
      <c r="E850" t="s">
        <v>1359</v>
      </c>
      <c r="G850" t="s">
        <v>1371</v>
      </c>
      <c r="H850">
        <v>486</v>
      </c>
      <c r="I850" t="s">
        <v>1379</v>
      </c>
      <c r="J850" t="s">
        <v>1392</v>
      </c>
      <c r="N850">
        <v>4.32</v>
      </c>
      <c r="Q850" t="s">
        <v>1422</v>
      </c>
      <c r="R850" t="s">
        <v>1440</v>
      </c>
      <c r="S850">
        <v>25434853.502416398</v>
      </c>
      <c r="U850">
        <v>25434853.502416398</v>
      </c>
      <c r="V850">
        <v>1.91076390494574E-5</v>
      </c>
      <c r="W850" t="s">
        <v>9</v>
      </c>
      <c r="X850" t="s">
        <v>1456</v>
      </c>
    </row>
    <row r="851" spans="1:24" x14ac:dyDescent="0.35">
      <c r="A851" t="s">
        <v>1061</v>
      </c>
      <c r="B851">
        <v>2023</v>
      </c>
      <c r="C851" t="s">
        <v>1309</v>
      </c>
      <c r="D851" t="s">
        <v>1350</v>
      </c>
      <c r="E851" t="s">
        <v>1360</v>
      </c>
      <c r="G851" t="s">
        <v>1376</v>
      </c>
      <c r="H851">
        <v>595540</v>
      </c>
      <c r="J851" t="s">
        <v>1392</v>
      </c>
      <c r="N851">
        <v>4.32</v>
      </c>
      <c r="Q851" t="s">
        <v>1422</v>
      </c>
      <c r="R851" t="s">
        <v>1440</v>
      </c>
      <c r="S851">
        <v>25434853.502416398</v>
      </c>
      <c r="U851">
        <v>25434853.502416398</v>
      </c>
      <c r="V851">
        <v>2.3414327900234289E-2</v>
      </c>
      <c r="W851" t="s">
        <v>9</v>
      </c>
      <c r="X851" t="s">
        <v>1461</v>
      </c>
    </row>
    <row r="852" spans="1:24" x14ac:dyDescent="0.35">
      <c r="A852" t="s">
        <v>1062</v>
      </c>
      <c r="B852">
        <v>2023</v>
      </c>
      <c r="C852" t="s">
        <v>1309</v>
      </c>
      <c r="D852" t="s">
        <v>1350</v>
      </c>
      <c r="E852" t="s">
        <v>1360</v>
      </c>
      <c r="G852" t="s">
        <v>1376</v>
      </c>
      <c r="H852">
        <v>595540</v>
      </c>
      <c r="J852" t="s">
        <v>1392</v>
      </c>
      <c r="N852">
        <v>4.32</v>
      </c>
      <c r="Q852" t="s">
        <v>1422</v>
      </c>
      <c r="R852" t="s">
        <v>1440</v>
      </c>
      <c r="S852">
        <v>25434853.502416398</v>
      </c>
      <c r="U852">
        <v>25434853.502416398</v>
      </c>
      <c r="V852">
        <v>2.3414327900234289E-2</v>
      </c>
      <c r="W852" t="s">
        <v>9</v>
      </c>
      <c r="X852" t="s">
        <v>1461</v>
      </c>
    </row>
    <row r="853" spans="1:24" x14ac:dyDescent="0.35">
      <c r="A853" t="s">
        <v>1063</v>
      </c>
      <c r="B853">
        <v>2023</v>
      </c>
      <c r="C853" t="s">
        <v>1309</v>
      </c>
      <c r="D853" t="s">
        <v>1350</v>
      </c>
      <c r="E853" t="s">
        <v>1361</v>
      </c>
      <c r="G853" t="s">
        <v>1376</v>
      </c>
      <c r="H853">
        <v>6298809</v>
      </c>
      <c r="J853" t="s">
        <v>1392</v>
      </c>
      <c r="N853">
        <v>4.32</v>
      </c>
      <c r="Q853" t="s">
        <v>1422</v>
      </c>
      <c r="R853" t="s">
        <v>1440</v>
      </c>
      <c r="S853">
        <v>25434853.502416398</v>
      </c>
      <c r="U853">
        <v>25434853.502416398</v>
      </c>
      <c r="V853">
        <v>0.24764479179727111</v>
      </c>
      <c r="W853" t="s">
        <v>9</v>
      </c>
      <c r="X853" t="s">
        <v>1461</v>
      </c>
    </row>
    <row r="854" spans="1:24" x14ac:dyDescent="0.35">
      <c r="A854" t="s">
        <v>1064</v>
      </c>
      <c r="B854">
        <v>2023</v>
      </c>
      <c r="C854" t="s">
        <v>1309</v>
      </c>
      <c r="D854" t="s">
        <v>1350</v>
      </c>
      <c r="E854" t="s">
        <v>1362</v>
      </c>
      <c r="G854" t="s">
        <v>1376</v>
      </c>
      <c r="H854">
        <v>4374352</v>
      </c>
      <c r="J854" t="s">
        <v>1392</v>
      </c>
      <c r="N854">
        <v>4.32</v>
      </c>
      <c r="Q854" t="s">
        <v>1422</v>
      </c>
      <c r="R854" t="s">
        <v>1440</v>
      </c>
      <c r="S854">
        <v>25434853.502416398</v>
      </c>
      <c r="U854">
        <v>25434853.502416398</v>
      </c>
      <c r="V854">
        <v>0.1719825907227821</v>
      </c>
      <c r="W854" t="s">
        <v>9</v>
      </c>
      <c r="X854" t="s">
        <v>1461</v>
      </c>
    </row>
    <row r="855" spans="1:24" x14ac:dyDescent="0.35">
      <c r="A855" t="s">
        <v>1065</v>
      </c>
      <c r="B855">
        <v>2023</v>
      </c>
      <c r="C855" t="s">
        <v>1310</v>
      </c>
      <c r="E855" t="s">
        <v>1363</v>
      </c>
      <c r="G855" t="s">
        <v>1377</v>
      </c>
      <c r="H855">
        <v>64093</v>
      </c>
      <c r="J855" t="s">
        <v>1392</v>
      </c>
      <c r="N855">
        <v>4.32</v>
      </c>
      <c r="Q855" t="s">
        <v>1422</v>
      </c>
      <c r="R855" t="s">
        <v>1440</v>
      </c>
      <c r="S855">
        <v>25434853.502416398</v>
      </c>
      <c r="U855">
        <v>25434853.502416398</v>
      </c>
      <c r="V855">
        <v>2.519888702874225E-3</v>
      </c>
      <c r="W855" t="s">
        <v>9</v>
      </c>
      <c r="X855" t="s">
        <v>1462</v>
      </c>
    </row>
    <row r="856" spans="1:24" x14ac:dyDescent="0.35">
      <c r="A856" t="s">
        <v>1066</v>
      </c>
      <c r="B856">
        <v>2023</v>
      </c>
      <c r="C856" t="s">
        <v>1310</v>
      </c>
      <c r="E856" t="s">
        <v>1363</v>
      </c>
      <c r="G856" t="s">
        <v>1377</v>
      </c>
      <c r="H856">
        <v>3399</v>
      </c>
      <c r="J856" t="s">
        <v>1392</v>
      </c>
      <c r="N856">
        <v>4.32</v>
      </c>
      <c r="Q856" t="s">
        <v>1422</v>
      </c>
      <c r="R856" t="s">
        <v>1440</v>
      </c>
      <c r="S856">
        <v>25434853.502416398</v>
      </c>
      <c r="U856">
        <v>25434853.502416398</v>
      </c>
      <c r="V856">
        <v>1.3363552495700761E-4</v>
      </c>
      <c r="W856" t="s">
        <v>9</v>
      </c>
      <c r="X856" t="s">
        <v>1462</v>
      </c>
    </row>
    <row r="857" spans="1:24" x14ac:dyDescent="0.35">
      <c r="A857" t="s">
        <v>1067</v>
      </c>
      <c r="B857">
        <v>2023</v>
      </c>
      <c r="C857" t="s">
        <v>1310</v>
      </c>
      <c r="E857" t="s">
        <v>1363</v>
      </c>
      <c r="G857" t="s">
        <v>1377</v>
      </c>
      <c r="H857">
        <v>60694</v>
      </c>
      <c r="J857" t="s">
        <v>1392</v>
      </c>
      <c r="N857">
        <v>4.32</v>
      </c>
      <c r="Q857" t="s">
        <v>1422</v>
      </c>
      <c r="R857" t="s">
        <v>1440</v>
      </c>
      <c r="S857">
        <v>25434853.502416398</v>
      </c>
      <c r="U857">
        <v>25434853.502416398</v>
      </c>
      <c r="V857">
        <v>2.3862531779172171E-3</v>
      </c>
      <c r="W857" t="s">
        <v>9</v>
      </c>
      <c r="X857" t="s">
        <v>1462</v>
      </c>
    </row>
    <row r="858" spans="1:24" hidden="1" x14ac:dyDescent="0.35">
      <c r="A858" t="s">
        <v>182</v>
      </c>
      <c r="B858">
        <v>2023</v>
      </c>
      <c r="C858" t="s">
        <v>1308</v>
      </c>
      <c r="D858" t="s">
        <v>1317</v>
      </c>
      <c r="E858" t="s">
        <v>1359</v>
      </c>
      <c r="F858" t="s">
        <v>1364</v>
      </c>
      <c r="G858" t="s">
        <v>1372</v>
      </c>
      <c r="H858">
        <v>2.379</v>
      </c>
      <c r="J858" t="s">
        <v>1394</v>
      </c>
      <c r="K858" t="s">
        <v>1419</v>
      </c>
      <c r="L858">
        <f>2.7/1000</f>
        <v>2.7000000000000001E-3</v>
      </c>
      <c r="P858" t="s">
        <v>1475</v>
      </c>
      <c r="R858" s="2" t="s">
        <v>1438</v>
      </c>
      <c r="T858">
        <v>1574000</v>
      </c>
      <c r="U858">
        <v>1574000</v>
      </c>
      <c r="V858">
        <v>1.5114358322744601E-6</v>
      </c>
      <c r="W858" t="s">
        <v>10</v>
      </c>
      <c r="X858" t="s">
        <v>1457</v>
      </c>
    </row>
    <row r="859" spans="1:24" hidden="1" x14ac:dyDescent="0.35">
      <c r="A859" t="s">
        <v>183</v>
      </c>
      <c r="B859">
        <v>2023</v>
      </c>
      <c r="C859" t="s">
        <v>1308</v>
      </c>
      <c r="D859" t="s">
        <v>1318</v>
      </c>
      <c r="E859" t="s">
        <v>1359</v>
      </c>
      <c r="F859" t="s">
        <v>1364</v>
      </c>
      <c r="G859" t="s">
        <v>1372</v>
      </c>
      <c r="H859">
        <v>3.8999999999999998E-3</v>
      </c>
      <c r="J859" t="s">
        <v>1394</v>
      </c>
      <c r="K859" t="s">
        <v>1419</v>
      </c>
      <c r="L859">
        <f t="shared" ref="L859:L919" si="20">2.7/1000</f>
        <v>2.7000000000000001E-3</v>
      </c>
      <c r="P859" t="s">
        <v>1475</v>
      </c>
      <c r="R859" s="2" t="s">
        <v>1438</v>
      </c>
      <c r="T859">
        <v>1574000</v>
      </c>
      <c r="U859">
        <v>1574000</v>
      </c>
      <c r="V859">
        <v>2.477763659466328E-9</v>
      </c>
      <c r="W859" t="s">
        <v>10</v>
      </c>
      <c r="X859" t="s">
        <v>1457</v>
      </c>
    </row>
    <row r="860" spans="1:24" hidden="1" x14ac:dyDescent="0.35">
      <c r="A860" t="s">
        <v>185</v>
      </c>
      <c r="B860">
        <v>2023</v>
      </c>
      <c r="C860" t="s">
        <v>1308</v>
      </c>
      <c r="D860" t="s">
        <v>1319</v>
      </c>
      <c r="E860" t="s">
        <v>1359</v>
      </c>
      <c r="F860" t="s">
        <v>1364</v>
      </c>
      <c r="G860" t="s">
        <v>1371</v>
      </c>
      <c r="H860">
        <v>8.0000000000000004E-4</v>
      </c>
      <c r="J860" t="s">
        <v>1394</v>
      </c>
      <c r="K860" t="s">
        <v>1419</v>
      </c>
      <c r="L860">
        <f t="shared" si="20"/>
        <v>2.7000000000000001E-3</v>
      </c>
      <c r="P860" t="s">
        <v>1475</v>
      </c>
      <c r="R860" s="2" t="s">
        <v>1438</v>
      </c>
      <c r="T860">
        <v>1574000</v>
      </c>
      <c r="U860">
        <v>1574000</v>
      </c>
      <c r="V860">
        <v>5.0825921219822116E-10</v>
      </c>
      <c r="W860" t="s">
        <v>10</v>
      </c>
      <c r="X860" t="s">
        <v>1456</v>
      </c>
    </row>
    <row r="861" spans="1:24" hidden="1" x14ac:dyDescent="0.35">
      <c r="A861" t="s">
        <v>186</v>
      </c>
      <c r="B861">
        <v>2023</v>
      </c>
      <c r="C861" t="s">
        <v>1308</v>
      </c>
      <c r="D861" t="s">
        <v>1320</v>
      </c>
      <c r="E861" t="s">
        <v>1359</v>
      </c>
      <c r="F861" t="s">
        <v>1364</v>
      </c>
      <c r="G861" t="s">
        <v>1372</v>
      </c>
      <c r="H861">
        <v>0.36080000000000001</v>
      </c>
      <c r="J861" t="s">
        <v>1394</v>
      </c>
      <c r="K861" t="s">
        <v>1419</v>
      </c>
      <c r="L861">
        <f t="shared" si="20"/>
        <v>2.7000000000000001E-3</v>
      </c>
      <c r="P861" t="s">
        <v>1475</v>
      </c>
      <c r="R861" s="2" t="s">
        <v>1438</v>
      </c>
      <c r="T861">
        <v>1574000</v>
      </c>
      <c r="U861">
        <v>1574000</v>
      </c>
      <c r="V861">
        <v>2.2922490470139769E-7</v>
      </c>
      <c r="W861" t="s">
        <v>10</v>
      </c>
      <c r="X861" t="s">
        <v>1457</v>
      </c>
    </row>
    <row r="862" spans="1:24" hidden="1" x14ac:dyDescent="0.35">
      <c r="A862" t="s">
        <v>187</v>
      </c>
      <c r="B862">
        <v>2023</v>
      </c>
      <c r="C862" t="s">
        <v>1308</v>
      </c>
      <c r="D862" t="s">
        <v>1321</v>
      </c>
      <c r="E862" t="s">
        <v>1359</v>
      </c>
      <c r="F862" t="s">
        <v>1364</v>
      </c>
      <c r="G862" t="s">
        <v>1371</v>
      </c>
      <c r="H862">
        <v>1.5E-3</v>
      </c>
      <c r="J862" t="s">
        <v>1394</v>
      </c>
      <c r="K862" t="s">
        <v>1419</v>
      </c>
      <c r="L862">
        <f t="shared" si="20"/>
        <v>2.7000000000000001E-3</v>
      </c>
      <c r="P862" t="s">
        <v>1475</v>
      </c>
      <c r="R862" s="2" t="s">
        <v>1438</v>
      </c>
      <c r="T862">
        <v>1574000</v>
      </c>
      <c r="U862">
        <v>1574000</v>
      </c>
      <c r="V862">
        <v>9.529860228716645E-10</v>
      </c>
      <c r="W862" t="s">
        <v>10</v>
      </c>
      <c r="X862" t="s">
        <v>1456</v>
      </c>
    </row>
    <row r="863" spans="1:24" hidden="1" x14ac:dyDescent="0.35">
      <c r="A863" t="s">
        <v>188</v>
      </c>
      <c r="B863">
        <v>2023</v>
      </c>
      <c r="C863" t="s">
        <v>1308</v>
      </c>
      <c r="D863" t="s">
        <v>1339</v>
      </c>
      <c r="E863" t="s">
        <v>1359</v>
      </c>
      <c r="F863" t="s">
        <v>1364</v>
      </c>
      <c r="G863" t="s">
        <v>1371</v>
      </c>
      <c r="H863">
        <v>2.484</v>
      </c>
      <c r="J863" t="s">
        <v>1394</v>
      </c>
      <c r="K863" t="s">
        <v>1419</v>
      </c>
      <c r="L863">
        <f t="shared" si="20"/>
        <v>2.7000000000000001E-3</v>
      </c>
      <c r="P863" t="s">
        <v>1475</v>
      </c>
      <c r="R863" s="2" t="s">
        <v>1438</v>
      </c>
      <c r="T863">
        <v>1574000</v>
      </c>
      <c r="U863">
        <v>1574000</v>
      </c>
      <c r="V863">
        <v>1.578144853875476E-6</v>
      </c>
      <c r="W863" t="s">
        <v>10</v>
      </c>
      <c r="X863" t="s">
        <v>1456</v>
      </c>
    </row>
    <row r="864" spans="1:24" hidden="1" x14ac:dyDescent="0.35">
      <c r="A864" t="s">
        <v>189</v>
      </c>
      <c r="B864">
        <v>2023</v>
      </c>
      <c r="C864" t="s">
        <v>1308</v>
      </c>
      <c r="D864" t="s">
        <v>1322</v>
      </c>
      <c r="E864" t="s">
        <v>1359</v>
      </c>
      <c r="F864" t="s">
        <v>1364</v>
      </c>
      <c r="G864" t="s">
        <v>1372</v>
      </c>
      <c r="H864">
        <v>112.188</v>
      </c>
      <c r="J864" t="s">
        <v>1394</v>
      </c>
      <c r="K864" t="s">
        <v>1419</v>
      </c>
      <c r="L864">
        <f t="shared" si="20"/>
        <v>2.7000000000000001E-3</v>
      </c>
      <c r="P864" t="s">
        <v>1475</v>
      </c>
      <c r="R864" s="2" t="s">
        <v>1438</v>
      </c>
      <c r="T864">
        <v>1574000</v>
      </c>
      <c r="U864">
        <v>1574000</v>
      </c>
      <c r="V864">
        <v>7.1275730622617539E-5</v>
      </c>
      <c r="W864" t="s">
        <v>10</v>
      </c>
      <c r="X864" t="s">
        <v>1457</v>
      </c>
    </row>
    <row r="865" spans="1:24" hidden="1" x14ac:dyDescent="0.35">
      <c r="A865" t="s">
        <v>190</v>
      </c>
      <c r="B865">
        <v>2023</v>
      </c>
      <c r="C865" t="s">
        <v>1308</v>
      </c>
      <c r="D865" t="s">
        <v>1323</v>
      </c>
      <c r="E865" t="s">
        <v>1359</v>
      </c>
      <c r="F865" t="s">
        <v>1364</v>
      </c>
      <c r="G865" t="s">
        <v>1371</v>
      </c>
      <c r="H865">
        <v>1.7999999999999999E-2</v>
      </c>
      <c r="J865" t="s">
        <v>1394</v>
      </c>
      <c r="K865" t="s">
        <v>1419</v>
      </c>
      <c r="L865">
        <f t="shared" si="20"/>
        <v>2.7000000000000001E-3</v>
      </c>
      <c r="P865" t="s">
        <v>1475</v>
      </c>
      <c r="R865" s="2" t="s">
        <v>1438</v>
      </c>
      <c r="T865">
        <v>1574000</v>
      </c>
      <c r="U865">
        <v>1574000</v>
      </c>
      <c r="V865">
        <v>1.143583227445997E-8</v>
      </c>
      <c r="W865" t="s">
        <v>10</v>
      </c>
      <c r="X865" t="s">
        <v>1456</v>
      </c>
    </row>
    <row r="866" spans="1:24" hidden="1" x14ac:dyDescent="0.35">
      <c r="A866" t="s">
        <v>191</v>
      </c>
      <c r="B866">
        <v>2023</v>
      </c>
      <c r="C866" t="s">
        <v>1308</v>
      </c>
      <c r="D866" t="s">
        <v>1324</v>
      </c>
      <c r="E866" t="s">
        <v>1359</v>
      </c>
      <c r="F866" t="s">
        <v>1364</v>
      </c>
      <c r="G866" t="s">
        <v>1371</v>
      </c>
      <c r="H866">
        <v>6.9999999999999999E-4</v>
      </c>
      <c r="J866" t="s">
        <v>1394</v>
      </c>
      <c r="K866" t="s">
        <v>1419</v>
      </c>
      <c r="L866">
        <f t="shared" si="20"/>
        <v>2.7000000000000001E-3</v>
      </c>
      <c r="P866" t="s">
        <v>1475</v>
      </c>
      <c r="R866" s="2" t="s">
        <v>1438</v>
      </c>
      <c r="T866">
        <v>1574000</v>
      </c>
      <c r="U866">
        <v>1574000</v>
      </c>
      <c r="V866">
        <v>4.4472681067344339E-10</v>
      </c>
      <c r="W866" t="s">
        <v>10</v>
      </c>
      <c r="X866" t="s">
        <v>1456</v>
      </c>
    </row>
    <row r="867" spans="1:24" hidden="1" x14ac:dyDescent="0.35">
      <c r="A867" t="s">
        <v>192</v>
      </c>
      <c r="B867">
        <v>2023</v>
      </c>
      <c r="C867" t="s">
        <v>1308</v>
      </c>
      <c r="D867" t="s">
        <v>1340</v>
      </c>
      <c r="E867" t="s">
        <v>1359</v>
      </c>
      <c r="F867" t="s">
        <v>1364</v>
      </c>
      <c r="G867" t="s">
        <v>1371</v>
      </c>
      <c r="H867">
        <v>0.32700000000000001</v>
      </c>
      <c r="J867" t="s">
        <v>1394</v>
      </c>
      <c r="K867" t="s">
        <v>1419</v>
      </c>
      <c r="L867">
        <f t="shared" si="20"/>
        <v>2.7000000000000001E-3</v>
      </c>
      <c r="P867" t="s">
        <v>1475</v>
      </c>
      <c r="R867" s="2" t="s">
        <v>1438</v>
      </c>
      <c r="T867">
        <v>1574000</v>
      </c>
      <c r="U867">
        <v>1574000</v>
      </c>
      <c r="V867">
        <v>2.077509529860229E-7</v>
      </c>
      <c r="W867" t="s">
        <v>10</v>
      </c>
      <c r="X867" t="s">
        <v>1456</v>
      </c>
    </row>
    <row r="868" spans="1:24" hidden="1" x14ac:dyDescent="0.35">
      <c r="A868" t="s">
        <v>193</v>
      </c>
      <c r="B868">
        <v>2023</v>
      </c>
      <c r="C868" t="s">
        <v>1308</v>
      </c>
      <c r="D868" t="s">
        <v>1332</v>
      </c>
      <c r="E868" t="s">
        <v>1359</v>
      </c>
      <c r="F868" t="s">
        <v>1364</v>
      </c>
      <c r="G868" t="s">
        <v>1371</v>
      </c>
      <c r="H868">
        <v>2E-3</v>
      </c>
      <c r="J868" t="s">
        <v>1394</v>
      </c>
      <c r="K868" t="s">
        <v>1419</v>
      </c>
      <c r="L868">
        <f t="shared" si="20"/>
        <v>2.7000000000000001E-3</v>
      </c>
      <c r="P868" t="s">
        <v>1475</v>
      </c>
      <c r="R868" s="2" t="s">
        <v>1438</v>
      </c>
      <c r="T868">
        <v>1574000</v>
      </c>
      <c r="U868">
        <v>1574000</v>
      </c>
      <c r="V868">
        <v>1.270648030495553E-9</v>
      </c>
      <c r="W868" t="s">
        <v>10</v>
      </c>
      <c r="X868" t="s">
        <v>1456</v>
      </c>
    </row>
    <row r="869" spans="1:24" hidden="1" x14ac:dyDescent="0.35">
      <c r="A869" t="s">
        <v>195</v>
      </c>
      <c r="B869">
        <v>2023</v>
      </c>
      <c r="C869" t="s">
        <v>1308</v>
      </c>
      <c r="D869" t="s">
        <v>1313</v>
      </c>
      <c r="E869" t="s">
        <v>1359</v>
      </c>
      <c r="F869" t="s">
        <v>1364</v>
      </c>
      <c r="G869" t="s">
        <v>1371</v>
      </c>
      <c r="H869">
        <v>6.3540000000000001</v>
      </c>
      <c r="J869" t="s">
        <v>1394</v>
      </c>
      <c r="K869" t="s">
        <v>1419</v>
      </c>
      <c r="L869">
        <f t="shared" si="20"/>
        <v>2.7000000000000001E-3</v>
      </c>
      <c r="P869" t="s">
        <v>1475</v>
      </c>
      <c r="R869" s="2" t="s">
        <v>1438</v>
      </c>
      <c r="T869">
        <v>1574000</v>
      </c>
      <c r="U869">
        <v>1574000</v>
      </c>
      <c r="V869">
        <v>4.036848792884371E-6</v>
      </c>
      <c r="W869" t="s">
        <v>10</v>
      </c>
      <c r="X869" t="s">
        <v>1456</v>
      </c>
    </row>
    <row r="870" spans="1:24" hidden="1" x14ac:dyDescent="0.35">
      <c r="A870" t="s">
        <v>197</v>
      </c>
      <c r="B870">
        <v>2023</v>
      </c>
      <c r="C870" t="s">
        <v>1308</v>
      </c>
      <c r="D870" t="s">
        <v>1314</v>
      </c>
      <c r="E870" t="s">
        <v>1359</v>
      </c>
      <c r="F870" t="s">
        <v>1364</v>
      </c>
      <c r="G870" t="s">
        <v>1371</v>
      </c>
      <c r="H870">
        <v>2.1720000000000002</v>
      </c>
      <c r="J870" t="s">
        <v>1394</v>
      </c>
      <c r="K870" t="s">
        <v>1419</v>
      </c>
      <c r="L870">
        <f t="shared" si="20"/>
        <v>2.7000000000000001E-3</v>
      </c>
      <c r="P870" t="s">
        <v>1475</v>
      </c>
      <c r="R870" s="2" t="s">
        <v>1438</v>
      </c>
      <c r="T870">
        <v>1574000</v>
      </c>
      <c r="U870">
        <v>1574000</v>
      </c>
      <c r="V870">
        <v>1.37992376111817E-6</v>
      </c>
      <c r="W870" t="s">
        <v>10</v>
      </c>
      <c r="X870" t="s">
        <v>1456</v>
      </c>
    </row>
    <row r="871" spans="1:24" hidden="1" x14ac:dyDescent="0.35">
      <c r="A871" t="s">
        <v>198</v>
      </c>
      <c r="B871">
        <v>2023</v>
      </c>
      <c r="C871" t="s">
        <v>1308</v>
      </c>
      <c r="D871" t="s">
        <v>1325</v>
      </c>
      <c r="E871" t="s">
        <v>1359</v>
      </c>
      <c r="F871" t="s">
        <v>1364</v>
      </c>
      <c r="G871" t="s">
        <v>1372</v>
      </c>
      <c r="H871">
        <v>6.4000000000000001E-2</v>
      </c>
      <c r="J871" t="s">
        <v>1394</v>
      </c>
      <c r="K871" t="s">
        <v>1419</v>
      </c>
      <c r="L871">
        <f t="shared" si="20"/>
        <v>2.7000000000000001E-3</v>
      </c>
      <c r="P871" t="s">
        <v>1475</v>
      </c>
      <c r="R871" s="2" t="s">
        <v>1438</v>
      </c>
      <c r="T871">
        <v>1574000</v>
      </c>
      <c r="U871">
        <v>1574000</v>
      </c>
      <c r="V871">
        <v>4.066073697585769E-8</v>
      </c>
      <c r="W871" t="s">
        <v>10</v>
      </c>
      <c r="X871" t="s">
        <v>1457</v>
      </c>
    </row>
    <row r="872" spans="1:24" hidden="1" x14ac:dyDescent="0.35">
      <c r="A872" t="s">
        <v>199</v>
      </c>
      <c r="B872">
        <v>2023</v>
      </c>
      <c r="C872" t="s">
        <v>1308</v>
      </c>
      <c r="D872" t="s">
        <v>1334</v>
      </c>
      <c r="E872" t="s">
        <v>1359</v>
      </c>
      <c r="F872" t="s">
        <v>1364</v>
      </c>
      <c r="G872" t="s">
        <v>1372</v>
      </c>
      <c r="H872">
        <v>2E-3</v>
      </c>
      <c r="J872" t="s">
        <v>1394</v>
      </c>
      <c r="K872" t="s">
        <v>1419</v>
      </c>
      <c r="L872">
        <f t="shared" si="20"/>
        <v>2.7000000000000001E-3</v>
      </c>
      <c r="P872" t="s">
        <v>1475</v>
      </c>
      <c r="R872" s="2" t="s">
        <v>1438</v>
      </c>
      <c r="T872">
        <v>1574000</v>
      </c>
      <c r="U872">
        <v>1574000</v>
      </c>
      <c r="V872">
        <v>1.270648030495553E-9</v>
      </c>
      <c r="W872" t="s">
        <v>10</v>
      </c>
      <c r="X872" t="s">
        <v>1457</v>
      </c>
    </row>
    <row r="873" spans="1:24" hidden="1" x14ac:dyDescent="0.35">
      <c r="A873" t="s">
        <v>201</v>
      </c>
      <c r="B873">
        <v>2023</v>
      </c>
      <c r="C873" t="s">
        <v>1308</v>
      </c>
      <c r="D873" t="s">
        <v>1315</v>
      </c>
      <c r="E873" t="s">
        <v>1359</v>
      </c>
      <c r="F873" t="s">
        <v>1364</v>
      </c>
      <c r="G873" t="s">
        <v>1371</v>
      </c>
      <c r="H873">
        <v>12.048</v>
      </c>
      <c r="J873" t="s">
        <v>1394</v>
      </c>
      <c r="K873" t="s">
        <v>1419</v>
      </c>
      <c r="L873">
        <f t="shared" si="20"/>
        <v>2.7000000000000001E-3</v>
      </c>
      <c r="P873" t="s">
        <v>1475</v>
      </c>
      <c r="R873" s="2" t="s">
        <v>1438</v>
      </c>
      <c r="T873">
        <v>1574000</v>
      </c>
      <c r="U873">
        <v>1574000</v>
      </c>
      <c r="V873">
        <v>7.654383735705209E-6</v>
      </c>
      <c r="W873" t="s">
        <v>10</v>
      </c>
      <c r="X873" t="s">
        <v>1456</v>
      </c>
    </row>
    <row r="874" spans="1:24" hidden="1" x14ac:dyDescent="0.35">
      <c r="A874" t="s">
        <v>202</v>
      </c>
      <c r="B874">
        <v>2023</v>
      </c>
      <c r="C874" t="s">
        <v>1308</v>
      </c>
      <c r="D874" t="s">
        <v>1336</v>
      </c>
      <c r="E874" t="s">
        <v>1359</v>
      </c>
      <c r="F874" t="s">
        <v>1364</v>
      </c>
      <c r="G874" t="s">
        <v>1371</v>
      </c>
      <c r="H874">
        <v>1.5E-3</v>
      </c>
      <c r="J874" t="s">
        <v>1394</v>
      </c>
      <c r="K874" t="s">
        <v>1419</v>
      </c>
      <c r="L874">
        <f t="shared" si="20"/>
        <v>2.7000000000000001E-3</v>
      </c>
      <c r="P874" t="s">
        <v>1475</v>
      </c>
      <c r="R874" s="2" t="s">
        <v>1438</v>
      </c>
      <c r="T874">
        <v>1574000</v>
      </c>
      <c r="U874">
        <v>1574000</v>
      </c>
      <c r="V874">
        <v>9.529860228716645E-10</v>
      </c>
      <c r="W874" t="s">
        <v>10</v>
      </c>
      <c r="X874" t="s">
        <v>1456</v>
      </c>
    </row>
    <row r="875" spans="1:24" hidden="1" x14ac:dyDescent="0.35">
      <c r="A875" t="s">
        <v>203</v>
      </c>
      <c r="B875">
        <v>2023</v>
      </c>
      <c r="C875" t="s">
        <v>1308</v>
      </c>
      <c r="D875" t="s">
        <v>1326</v>
      </c>
      <c r="E875" t="s">
        <v>1359</v>
      </c>
      <c r="F875" t="s">
        <v>1364</v>
      </c>
      <c r="G875" t="s">
        <v>1371</v>
      </c>
      <c r="H875">
        <v>1.9E-3</v>
      </c>
      <c r="J875" t="s">
        <v>1394</v>
      </c>
      <c r="K875" t="s">
        <v>1419</v>
      </c>
      <c r="L875">
        <f t="shared" si="20"/>
        <v>2.7000000000000001E-3</v>
      </c>
      <c r="P875" t="s">
        <v>1475</v>
      </c>
      <c r="R875" s="2" t="s">
        <v>1438</v>
      </c>
      <c r="T875">
        <v>1574000</v>
      </c>
      <c r="U875">
        <v>1574000</v>
      </c>
      <c r="V875">
        <v>1.207115628970775E-9</v>
      </c>
      <c r="W875" t="s">
        <v>10</v>
      </c>
      <c r="X875" t="s">
        <v>1456</v>
      </c>
    </row>
    <row r="876" spans="1:24" hidden="1" x14ac:dyDescent="0.35">
      <c r="A876" t="s">
        <v>548</v>
      </c>
      <c r="B876">
        <v>2023</v>
      </c>
      <c r="C876" t="s">
        <v>1308</v>
      </c>
      <c r="D876" t="s">
        <v>1317</v>
      </c>
      <c r="E876" t="s">
        <v>1359</v>
      </c>
      <c r="F876" t="s">
        <v>1366</v>
      </c>
      <c r="G876" t="s">
        <v>1372</v>
      </c>
      <c r="H876">
        <v>1.0549999999999999</v>
      </c>
      <c r="J876" t="s">
        <v>1394</v>
      </c>
      <c r="K876" t="s">
        <v>1419</v>
      </c>
      <c r="L876">
        <f t="shared" si="20"/>
        <v>2.7000000000000001E-3</v>
      </c>
      <c r="P876" t="s">
        <v>1475</v>
      </c>
      <c r="R876" s="2" t="s">
        <v>1438</v>
      </c>
      <c r="T876">
        <v>1574000</v>
      </c>
      <c r="U876">
        <v>1574000</v>
      </c>
      <c r="V876">
        <v>6.7026683608640407E-7</v>
      </c>
      <c r="W876" t="s">
        <v>10</v>
      </c>
      <c r="X876" t="s">
        <v>1457</v>
      </c>
    </row>
    <row r="877" spans="1:24" hidden="1" x14ac:dyDescent="0.35">
      <c r="A877" t="s">
        <v>549</v>
      </c>
      <c r="B877">
        <v>2023</v>
      </c>
      <c r="C877" t="s">
        <v>1308</v>
      </c>
      <c r="D877" t="s">
        <v>1318</v>
      </c>
      <c r="E877" t="s">
        <v>1359</v>
      </c>
      <c r="F877" t="s">
        <v>1366</v>
      </c>
      <c r="G877" t="s">
        <v>1372</v>
      </c>
      <c r="H877">
        <v>5.8999999999999999E-3</v>
      </c>
      <c r="J877" t="s">
        <v>1394</v>
      </c>
      <c r="K877" t="s">
        <v>1419</v>
      </c>
      <c r="L877">
        <f t="shared" si="20"/>
        <v>2.7000000000000001E-3</v>
      </c>
      <c r="P877" t="s">
        <v>1475</v>
      </c>
      <c r="R877" s="2" t="s">
        <v>1438</v>
      </c>
      <c r="T877">
        <v>1574000</v>
      </c>
      <c r="U877">
        <v>1574000</v>
      </c>
      <c r="V877">
        <v>3.7484116899618808E-9</v>
      </c>
      <c r="W877" t="s">
        <v>10</v>
      </c>
      <c r="X877" t="s">
        <v>1457</v>
      </c>
    </row>
    <row r="878" spans="1:24" hidden="1" x14ac:dyDescent="0.35">
      <c r="A878" t="s">
        <v>550</v>
      </c>
      <c r="B878">
        <v>2023</v>
      </c>
      <c r="C878" t="s">
        <v>1308</v>
      </c>
      <c r="D878" t="s">
        <v>1319</v>
      </c>
      <c r="E878" t="s">
        <v>1359</v>
      </c>
      <c r="F878" t="s">
        <v>1366</v>
      </c>
      <c r="G878" t="s">
        <v>1371</v>
      </c>
      <c r="H878">
        <v>6.9999999999999999E-4</v>
      </c>
      <c r="J878" t="s">
        <v>1394</v>
      </c>
      <c r="K878" t="s">
        <v>1419</v>
      </c>
      <c r="L878">
        <f t="shared" si="20"/>
        <v>2.7000000000000001E-3</v>
      </c>
      <c r="P878" t="s">
        <v>1475</v>
      </c>
      <c r="R878" s="2" t="s">
        <v>1438</v>
      </c>
      <c r="T878">
        <v>1574000</v>
      </c>
      <c r="U878">
        <v>1574000</v>
      </c>
      <c r="V878">
        <v>4.4472681067344339E-10</v>
      </c>
      <c r="W878" t="s">
        <v>10</v>
      </c>
      <c r="X878" t="s">
        <v>1456</v>
      </c>
    </row>
    <row r="879" spans="1:24" hidden="1" x14ac:dyDescent="0.35">
      <c r="A879" t="s">
        <v>551</v>
      </c>
      <c r="B879">
        <v>2023</v>
      </c>
      <c r="C879" t="s">
        <v>1308</v>
      </c>
      <c r="D879" t="s">
        <v>1320</v>
      </c>
      <c r="E879" t="s">
        <v>1359</v>
      </c>
      <c r="F879" t="s">
        <v>1366</v>
      </c>
      <c r="G879" t="s">
        <v>1372</v>
      </c>
      <c r="H879">
        <v>0.38540000000000002</v>
      </c>
      <c r="J879" t="s">
        <v>1394</v>
      </c>
      <c r="K879" t="s">
        <v>1419</v>
      </c>
      <c r="L879">
        <f t="shared" si="20"/>
        <v>2.7000000000000001E-3</v>
      </c>
      <c r="P879" t="s">
        <v>1475</v>
      </c>
      <c r="R879" s="2" t="s">
        <v>1438</v>
      </c>
      <c r="T879">
        <v>1574000</v>
      </c>
      <c r="U879">
        <v>1574000</v>
      </c>
      <c r="V879">
        <v>2.4485387547649298E-7</v>
      </c>
      <c r="W879" t="s">
        <v>10</v>
      </c>
      <c r="X879" t="s">
        <v>1457</v>
      </c>
    </row>
    <row r="880" spans="1:24" hidden="1" x14ac:dyDescent="0.35">
      <c r="A880" t="s">
        <v>552</v>
      </c>
      <c r="B880">
        <v>2023</v>
      </c>
      <c r="C880" t="s">
        <v>1308</v>
      </c>
      <c r="D880" t="s">
        <v>1321</v>
      </c>
      <c r="E880" t="s">
        <v>1359</v>
      </c>
      <c r="F880" t="s">
        <v>1366</v>
      </c>
      <c r="G880" t="s">
        <v>1371</v>
      </c>
      <c r="H880">
        <v>8.9999999999999998E-4</v>
      </c>
      <c r="J880" t="s">
        <v>1394</v>
      </c>
      <c r="K880" t="s">
        <v>1419</v>
      </c>
      <c r="L880">
        <f t="shared" si="20"/>
        <v>2.7000000000000001E-3</v>
      </c>
      <c r="P880" t="s">
        <v>1475</v>
      </c>
      <c r="R880" s="2" t="s">
        <v>1438</v>
      </c>
      <c r="T880">
        <v>1574000</v>
      </c>
      <c r="U880">
        <v>1574000</v>
      </c>
      <c r="V880">
        <v>5.7179161372299868E-10</v>
      </c>
      <c r="W880" t="s">
        <v>10</v>
      </c>
      <c r="X880" t="s">
        <v>1456</v>
      </c>
    </row>
    <row r="881" spans="1:24" hidden="1" x14ac:dyDescent="0.35">
      <c r="A881" t="s">
        <v>553</v>
      </c>
      <c r="B881">
        <v>2023</v>
      </c>
      <c r="C881" t="s">
        <v>1308</v>
      </c>
      <c r="D881" t="s">
        <v>1322</v>
      </c>
      <c r="E881" t="s">
        <v>1359</v>
      </c>
      <c r="F881" t="s">
        <v>1366</v>
      </c>
      <c r="G881" t="s">
        <v>1372</v>
      </c>
      <c r="H881">
        <v>2.27</v>
      </c>
      <c r="J881" t="s">
        <v>1394</v>
      </c>
      <c r="K881" t="s">
        <v>1419</v>
      </c>
      <c r="L881">
        <f t="shared" si="20"/>
        <v>2.7000000000000001E-3</v>
      </c>
      <c r="P881" t="s">
        <v>1475</v>
      </c>
      <c r="R881" s="2" t="s">
        <v>1438</v>
      </c>
      <c r="T881">
        <v>1574000</v>
      </c>
      <c r="U881">
        <v>1574000</v>
      </c>
      <c r="V881">
        <v>1.4421855146124519E-6</v>
      </c>
      <c r="W881" t="s">
        <v>10</v>
      </c>
      <c r="X881" t="s">
        <v>1457</v>
      </c>
    </row>
    <row r="882" spans="1:24" hidden="1" x14ac:dyDescent="0.35">
      <c r="A882" t="s">
        <v>554</v>
      </c>
      <c r="B882">
        <v>2023</v>
      </c>
      <c r="C882" t="s">
        <v>1308</v>
      </c>
      <c r="D882" t="s">
        <v>1323</v>
      </c>
      <c r="E882" t="s">
        <v>1359</v>
      </c>
      <c r="F882" t="s">
        <v>1366</v>
      </c>
      <c r="G882" t="s">
        <v>1371</v>
      </c>
      <c r="H882">
        <v>1.4999999999999999E-2</v>
      </c>
      <c r="J882" t="s">
        <v>1394</v>
      </c>
      <c r="K882" t="s">
        <v>1419</v>
      </c>
      <c r="L882">
        <f t="shared" si="20"/>
        <v>2.7000000000000001E-3</v>
      </c>
      <c r="P882" t="s">
        <v>1475</v>
      </c>
      <c r="R882" s="2" t="s">
        <v>1438</v>
      </c>
      <c r="T882">
        <v>1574000</v>
      </c>
      <c r="U882">
        <v>1574000</v>
      </c>
      <c r="V882">
        <v>9.5298602287166454E-9</v>
      </c>
      <c r="W882" t="s">
        <v>10</v>
      </c>
      <c r="X882" t="s">
        <v>1456</v>
      </c>
    </row>
    <row r="883" spans="1:24" hidden="1" x14ac:dyDescent="0.35">
      <c r="A883" t="s">
        <v>555</v>
      </c>
      <c r="B883">
        <v>2023</v>
      </c>
      <c r="C883" t="s">
        <v>1308</v>
      </c>
      <c r="D883" t="s">
        <v>1324</v>
      </c>
      <c r="E883" t="s">
        <v>1359</v>
      </c>
      <c r="F883" t="s">
        <v>1366</v>
      </c>
      <c r="G883" t="s">
        <v>1371</v>
      </c>
      <c r="H883">
        <v>8.0000000000000004E-4</v>
      </c>
      <c r="J883" t="s">
        <v>1394</v>
      </c>
      <c r="K883" t="s">
        <v>1419</v>
      </c>
      <c r="L883">
        <f t="shared" si="20"/>
        <v>2.7000000000000001E-3</v>
      </c>
      <c r="P883" t="s">
        <v>1475</v>
      </c>
      <c r="R883" s="2" t="s">
        <v>1438</v>
      </c>
      <c r="T883">
        <v>1574000</v>
      </c>
      <c r="U883">
        <v>1574000</v>
      </c>
      <c r="V883">
        <v>5.0825921219822116E-10</v>
      </c>
      <c r="W883" t="s">
        <v>10</v>
      </c>
      <c r="X883" t="s">
        <v>1456</v>
      </c>
    </row>
    <row r="884" spans="1:24" hidden="1" x14ac:dyDescent="0.35">
      <c r="A884" t="s">
        <v>556</v>
      </c>
      <c r="B884">
        <v>2023</v>
      </c>
      <c r="C884" t="s">
        <v>1308</v>
      </c>
      <c r="D884" t="s">
        <v>1332</v>
      </c>
      <c r="E884" t="s">
        <v>1359</v>
      </c>
      <c r="F884" t="s">
        <v>1366</v>
      </c>
      <c r="G884" t="s">
        <v>1371</v>
      </c>
      <c r="H884">
        <v>1E-3</v>
      </c>
      <c r="J884" t="s">
        <v>1394</v>
      </c>
      <c r="K884" t="s">
        <v>1419</v>
      </c>
      <c r="L884">
        <f t="shared" si="20"/>
        <v>2.7000000000000001E-3</v>
      </c>
      <c r="P884" t="s">
        <v>1475</v>
      </c>
      <c r="R884" s="2" t="s">
        <v>1438</v>
      </c>
      <c r="T884">
        <v>1574000</v>
      </c>
      <c r="U884">
        <v>1574000</v>
      </c>
      <c r="V884">
        <v>6.353240152477764E-10</v>
      </c>
      <c r="W884" t="s">
        <v>10</v>
      </c>
      <c r="X884" t="s">
        <v>1456</v>
      </c>
    </row>
    <row r="885" spans="1:24" hidden="1" x14ac:dyDescent="0.35">
      <c r="A885" t="s">
        <v>558</v>
      </c>
      <c r="B885">
        <v>2023</v>
      </c>
      <c r="C885" t="s">
        <v>1308</v>
      </c>
      <c r="D885" t="s">
        <v>1313</v>
      </c>
      <c r="E885" t="s">
        <v>1359</v>
      </c>
      <c r="F885" t="s">
        <v>1366</v>
      </c>
      <c r="G885" t="s">
        <v>1371</v>
      </c>
      <c r="H885">
        <v>5.2539999999999996</v>
      </c>
      <c r="J885" t="s">
        <v>1394</v>
      </c>
      <c r="K885" t="s">
        <v>1419</v>
      </c>
      <c r="L885">
        <f t="shared" si="20"/>
        <v>2.7000000000000001E-3</v>
      </c>
      <c r="P885" t="s">
        <v>1475</v>
      </c>
      <c r="R885" s="2" t="s">
        <v>1438</v>
      </c>
      <c r="T885">
        <v>1574000</v>
      </c>
      <c r="U885">
        <v>1574000</v>
      </c>
      <c r="V885">
        <v>3.3379923761118172E-6</v>
      </c>
      <c r="W885" t="s">
        <v>10</v>
      </c>
      <c r="X885" t="s">
        <v>1456</v>
      </c>
    </row>
    <row r="886" spans="1:24" hidden="1" x14ac:dyDescent="0.35">
      <c r="A886" t="s">
        <v>560</v>
      </c>
      <c r="B886">
        <v>2023</v>
      </c>
      <c r="C886" t="s">
        <v>1308</v>
      </c>
      <c r="D886" t="s">
        <v>1314</v>
      </c>
      <c r="E886" t="s">
        <v>1359</v>
      </c>
      <c r="F886" t="s">
        <v>1366</v>
      </c>
      <c r="G886" t="s">
        <v>1371</v>
      </c>
      <c r="H886">
        <v>0.85899999999999999</v>
      </c>
      <c r="J886" t="s">
        <v>1394</v>
      </c>
      <c r="K886" t="s">
        <v>1419</v>
      </c>
      <c r="L886">
        <f t="shared" si="20"/>
        <v>2.7000000000000001E-3</v>
      </c>
      <c r="P886" t="s">
        <v>1475</v>
      </c>
      <c r="R886" s="2" t="s">
        <v>1438</v>
      </c>
      <c r="T886">
        <v>1574000</v>
      </c>
      <c r="U886">
        <v>1574000</v>
      </c>
      <c r="V886">
        <v>5.457433290978399E-7</v>
      </c>
      <c r="W886" t="s">
        <v>10</v>
      </c>
      <c r="X886" t="s">
        <v>1456</v>
      </c>
    </row>
    <row r="887" spans="1:24" hidden="1" x14ac:dyDescent="0.35">
      <c r="A887" t="s">
        <v>561</v>
      </c>
      <c r="B887">
        <v>2023</v>
      </c>
      <c r="C887" t="s">
        <v>1308</v>
      </c>
      <c r="D887" t="s">
        <v>1325</v>
      </c>
      <c r="E887" t="s">
        <v>1359</v>
      </c>
      <c r="F887" t="s">
        <v>1366</v>
      </c>
      <c r="G887" t="s">
        <v>1372</v>
      </c>
      <c r="H887">
        <v>2.7E-2</v>
      </c>
      <c r="J887" t="s">
        <v>1394</v>
      </c>
      <c r="K887" t="s">
        <v>1419</v>
      </c>
      <c r="L887">
        <f t="shared" si="20"/>
        <v>2.7000000000000001E-3</v>
      </c>
      <c r="P887" t="s">
        <v>1475</v>
      </c>
      <c r="R887" s="2" t="s">
        <v>1438</v>
      </c>
      <c r="T887">
        <v>1574000</v>
      </c>
      <c r="U887">
        <v>1574000</v>
      </c>
      <c r="V887">
        <v>1.715374841168996E-8</v>
      </c>
      <c r="W887" t="s">
        <v>10</v>
      </c>
      <c r="X887" t="s">
        <v>1457</v>
      </c>
    </row>
    <row r="888" spans="1:24" hidden="1" x14ac:dyDescent="0.35">
      <c r="A888" t="s">
        <v>562</v>
      </c>
      <c r="B888">
        <v>2023</v>
      </c>
      <c r="C888" t="s">
        <v>1308</v>
      </c>
      <c r="D888" t="s">
        <v>1334</v>
      </c>
      <c r="E888" t="s">
        <v>1359</v>
      </c>
      <c r="F888" t="s">
        <v>1366</v>
      </c>
      <c r="G888" t="s">
        <v>1372</v>
      </c>
      <c r="H888">
        <v>2E-3</v>
      </c>
      <c r="J888" t="s">
        <v>1394</v>
      </c>
      <c r="K888" t="s">
        <v>1419</v>
      </c>
      <c r="L888">
        <f t="shared" si="20"/>
        <v>2.7000000000000001E-3</v>
      </c>
      <c r="P888" t="s">
        <v>1475</v>
      </c>
      <c r="R888" s="2" t="s">
        <v>1438</v>
      </c>
      <c r="T888">
        <v>1574000</v>
      </c>
      <c r="U888">
        <v>1574000</v>
      </c>
      <c r="V888">
        <v>1.270648030495553E-9</v>
      </c>
      <c r="W888" t="s">
        <v>10</v>
      </c>
      <c r="X888" t="s">
        <v>1457</v>
      </c>
    </row>
    <row r="889" spans="1:24" hidden="1" x14ac:dyDescent="0.35">
      <c r="A889" t="s">
        <v>564</v>
      </c>
      <c r="B889">
        <v>2023</v>
      </c>
      <c r="C889" t="s">
        <v>1308</v>
      </c>
      <c r="D889" t="s">
        <v>1315</v>
      </c>
      <c r="E889" t="s">
        <v>1359</v>
      </c>
      <c r="F889" t="s">
        <v>1366</v>
      </c>
      <c r="G889" t="s">
        <v>1371</v>
      </c>
      <c r="H889">
        <v>11.086</v>
      </c>
      <c r="J889" t="s">
        <v>1394</v>
      </c>
      <c r="K889" t="s">
        <v>1419</v>
      </c>
      <c r="L889">
        <f t="shared" si="20"/>
        <v>2.7000000000000001E-3</v>
      </c>
      <c r="P889" t="s">
        <v>1475</v>
      </c>
      <c r="R889" s="2" t="s">
        <v>1438</v>
      </c>
      <c r="T889">
        <v>1574000</v>
      </c>
      <c r="U889">
        <v>1574000</v>
      </c>
      <c r="V889">
        <v>7.0432020330368491E-6</v>
      </c>
      <c r="W889" t="s">
        <v>10</v>
      </c>
      <c r="X889" t="s">
        <v>1456</v>
      </c>
    </row>
    <row r="890" spans="1:24" hidden="1" x14ac:dyDescent="0.35">
      <c r="A890" t="s">
        <v>565</v>
      </c>
      <c r="B890">
        <v>2023</v>
      </c>
      <c r="C890" t="s">
        <v>1308</v>
      </c>
      <c r="D890" t="s">
        <v>1336</v>
      </c>
      <c r="E890" t="s">
        <v>1359</v>
      </c>
      <c r="F890" t="s">
        <v>1366</v>
      </c>
      <c r="G890" t="s">
        <v>1371</v>
      </c>
      <c r="H890">
        <v>1.6999999999999999E-3</v>
      </c>
      <c r="J890" t="s">
        <v>1394</v>
      </c>
      <c r="K890" t="s">
        <v>1419</v>
      </c>
      <c r="L890">
        <f t="shared" si="20"/>
        <v>2.7000000000000001E-3</v>
      </c>
      <c r="P890" t="s">
        <v>1475</v>
      </c>
      <c r="R890" s="2" t="s">
        <v>1438</v>
      </c>
      <c r="T890">
        <v>1574000</v>
      </c>
      <c r="U890">
        <v>1574000</v>
      </c>
      <c r="V890">
        <v>1.0800508259212199E-9</v>
      </c>
      <c r="W890" t="s">
        <v>10</v>
      </c>
      <c r="X890" t="s">
        <v>1456</v>
      </c>
    </row>
    <row r="891" spans="1:24" hidden="1" x14ac:dyDescent="0.35">
      <c r="A891" t="s">
        <v>566</v>
      </c>
      <c r="B891">
        <v>2023</v>
      </c>
      <c r="C891" t="s">
        <v>1308</v>
      </c>
      <c r="D891" t="s">
        <v>1326</v>
      </c>
      <c r="E891" t="s">
        <v>1359</v>
      </c>
      <c r="F891" t="s">
        <v>1366</v>
      </c>
      <c r="G891" t="s">
        <v>1371</v>
      </c>
      <c r="H891">
        <v>2.2000000000000001E-3</v>
      </c>
      <c r="J891" t="s">
        <v>1394</v>
      </c>
      <c r="K891" t="s">
        <v>1419</v>
      </c>
      <c r="L891">
        <f t="shared" si="20"/>
        <v>2.7000000000000001E-3</v>
      </c>
      <c r="P891" t="s">
        <v>1475</v>
      </c>
      <c r="R891" s="2" t="s">
        <v>1438</v>
      </c>
      <c r="T891">
        <v>1574000</v>
      </c>
      <c r="U891">
        <v>1574000</v>
      </c>
      <c r="V891">
        <v>1.397712833545108E-9</v>
      </c>
      <c r="W891" t="s">
        <v>10</v>
      </c>
      <c r="X891" t="s">
        <v>1456</v>
      </c>
    </row>
    <row r="892" spans="1:24" hidden="1" x14ac:dyDescent="0.35">
      <c r="A892" t="s">
        <v>891</v>
      </c>
      <c r="B892">
        <v>2023</v>
      </c>
      <c r="C892" t="s">
        <v>1309</v>
      </c>
      <c r="D892" t="s">
        <v>1317</v>
      </c>
      <c r="E892" t="s">
        <v>1359</v>
      </c>
      <c r="F892" t="s">
        <v>1368</v>
      </c>
      <c r="G892" t="s">
        <v>1372</v>
      </c>
      <c r="H892">
        <v>19.603999999999999</v>
      </c>
      <c r="J892" t="s">
        <v>1394</v>
      </c>
      <c r="K892" t="s">
        <v>1419</v>
      </c>
      <c r="L892">
        <f t="shared" si="20"/>
        <v>2.7000000000000001E-3</v>
      </c>
      <c r="P892" t="s">
        <v>1475</v>
      </c>
      <c r="R892" s="2" t="s">
        <v>1438</v>
      </c>
      <c r="T892">
        <v>1574000</v>
      </c>
      <c r="U892">
        <v>1574000</v>
      </c>
      <c r="V892">
        <v>1.2454891994917411E-5</v>
      </c>
      <c r="W892" t="s">
        <v>10</v>
      </c>
      <c r="X892" t="s">
        <v>1457</v>
      </c>
    </row>
    <row r="893" spans="1:24" hidden="1" x14ac:dyDescent="0.35">
      <c r="A893" t="s">
        <v>892</v>
      </c>
      <c r="B893">
        <v>2023</v>
      </c>
      <c r="C893" t="s">
        <v>1309</v>
      </c>
      <c r="D893" t="s">
        <v>1318</v>
      </c>
      <c r="E893" t="s">
        <v>1359</v>
      </c>
      <c r="F893" t="s">
        <v>1368</v>
      </c>
      <c r="G893" t="s">
        <v>1372</v>
      </c>
      <c r="H893">
        <v>2.8000000000000001E-2</v>
      </c>
      <c r="J893" t="s">
        <v>1394</v>
      </c>
      <c r="K893" t="s">
        <v>1419</v>
      </c>
      <c r="L893">
        <f t="shared" si="20"/>
        <v>2.7000000000000001E-3</v>
      </c>
      <c r="P893" t="s">
        <v>1475</v>
      </c>
      <c r="R893" s="2" t="s">
        <v>1438</v>
      </c>
      <c r="T893">
        <v>1574000</v>
      </c>
      <c r="U893">
        <v>1574000</v>
      </c>
      <c r="V893">
        <v>1.778907242693774E-8</v>
      </c>
      <c r="W893" t="s">
        <v>10</v>
      </c>
      <c r="X893" t="s">
        <v>1457</v>
      </c>
    </row>
    <row r="894" spans="1:24" hidden="1" x14ac:dyDescent="0.35">
      <c r="A894" t="s">
        <v>893</v>
      </c>
      <c r="B894">
        <v>2023</v>
      </c>
      <c r="C894" t="s">
        <v>1309</v>
      </c>
      <c r="D894" t="s">
        <v>1319</v>
      </c>
      <c r="E894" t="s">
        <v>1359</v>
      </c>
      <c r="F894" t="s">
        <v>1368</v>
      </c>
      <c r="G894" t="s">
        <v>1371</v>
      </c>
      <c r="H894">
        <v>2E-3</v>
      </c>
      <c r="J894" t="s">
        <v>1394</v>
      </c>
      <c r="K894" t="s">
        <v>1419</v>
      </c>
      <c r="L894">
        <f t="shared" si="20"/>
        <v>2.7000000000000001E-3</v>
      </c>
      <c r="P894" t="s">
        <v>1475</v>
      </c>
      <c r="R894" s="2" t="s">
        <v>1438</v>
      </c>
      <c r="T894">
        <v>1574000</v>
      </c>
      <c r="U894">
        <v>1574000</v>
      </c>
      <c r="V894">
        <v>1.270648030495553E-9</v>
      </c>
      <c r="W894" t="s">
        <v>10</v>
      </c>
      <c r="X894" t="s">
        <v>1456</v>
      </c>
    </row>
    <row r="895" spans="1:24" hidden="1" x14ac:dyDescent="0.35">
      <c r="A895" t="s">
        <v>894</v>
      </c>
      <c r="B895">
        <v>2023</v>
      </c>
      <c r="C895" t="s">
        <v>1309</v>
      </c>
      <c r="D895" t="s">
        <v>1320</v>
      </c>
      <c r="E895" t="s">
        <v>1359</v>
      </c>
      <c r="F895" t="s">
        <v>1368</v>
      </c>
      <c r="G895" t="s">
        <v>1372</v>
      </c>
      <c r="H895">
        <v>4.2000000000000003E-2</v>
      </c>
      <c r="J895" t="s">
        <v>1394</v>
      </c>
      <c r="K895" t="s">
        <v>1419</v>
      </c>
      <c r="L895">
        <f t="shared" si="20"/>
        <v>2.7000000000000001E-3</v>
      </c>
      <c r="P895" t="s">
        <v>1475</v>
      </c>
      <c r="R895" s="2" t="s">
        <v>1438</v>
      </c>
      <c r="T895">
        <v>1574000</v>
      </c>
      <c r="U895">
        <v>1574000</v>
      </c>
      <c r="V895">
        <v>2.6683608640406608E-8</v>
      </c>
      <c r="W895" t="s">
        <v>10</v>
      </c>
      <c r="X895" t="s">
        <v>1457</v>
      </c>
    </row>
    <row r="896" spans="1:24" hidden="1" x14ac:dyDescent="0.35">
      <c r="A896" t="s">
        <v>895</v>
      </c>
      <c r="B896">
        <v>2023</v>
      </c>
      <c r="C896" t="s">
        <v>1309</v>
      </c>
      <c r="D896" t="s">
        <v>1321</v>
      </c>
      <c r="E896" t="s">
        <v>1359</v>
      </c>
      <c r="F896" t="s">
        <v>1368</v>
      </c>
      <c r="G896" t="s">
        <v>1371</v>
      </c>
      <c r="H896">
        <v>1.0999999999999999E-2</v>
      </c>
      <c r="J896" t="s">
        <v>1394</v>
      </c>
      <c r="K896" t="s">
        <v>1419</v>
      </c>
      <c r="L896">
        <f t="shared" si="20"/>
        <v>2.7000000000000001E-3</v>
      </c>
      <c r="P896" t="s">
        <v>1475</v>
      </c>
      <c r="R896" s="2" t="s">
        <v>1438</v>
      </c>
      <c r="T896">
        <v>1574000</v>
      </c>
      <c r="U896">
        <v>1574000</v>
      </c>
      <c r="V896">
        <v>6.9885641677255398E-9</v>
      </c>
      <c r="W896" t="s">
        <v>10</v>
      </c>
      <c r="X896" t="s">
        <v>1456</v>
      </c>
    </row>
    <row r="897" spans="1:24" hidden="1" x14ac:dyDescent="0.35">
      <c r="A897" t="s">
        <v>896</v>
      </c>
      <c r="B897">
        <v>2023</v>
      </c>
      <c r="C897" t="s">
        <v>1309</v>
      </c>
      <c r="D897" t="s">
        <v>1339</v>
      </c>
      <c r="E897" t="s">
        <v>1359</v>
      </c>
      <c r="F897" t="s">
        <v>1368</v>
      </c>
      <c r="G897" t="s">
        <v>1371</v>
      </c>
      <c r="H897">
        <v>2.8000000000000001E-2</v>
      </c>
      <c r="J897" t="s">
        <v>1394</v>
      </c>
      <c r="K897" t="s">
        <v>1419</v>
      </c>
      <c r="L897">
        <f t="shared" si="20"/>
        <v>2.7000000000000001E-3</v>
      </c>
      <c r="P897" t="s">
        <v>1475</v>
      </c>
      <c r="R897" s="2" t="s">
        <v>1438</v>
      </c>
      <c r="T897">
        <v>1574000</v>
      </c>
      <c r="U897">
        <v>1574000</v>
      </c>
      <c r="V897">
        <v>1.778907242693774E-8</v>
      </c>
      <c r="W897" t="s">
        <v>10</v>
      </c>
      <c r="X897" t="s">
        <v>1456</v>
      </c>
    </row>
    <row r="898" spans="1:24" hidden="1" x14ac:dyDescent="0.35">
      <c r="A898" t="s">
        <v>897</v>
      </c>
      <c r="B898">
        <v>2023</v>
      </c>
      <c r="C898" t="s">
        <v>1309</v>
      </c>
      <c r="D898" t="s">
        <v>1322</v>
      </c>
      <c r="E898" t="s">
        <v>1359</v>
      </c>
      <c r="F898" t="s">
        <v>1368</v>
      </c>
      <c r="G898" t="s">
        <v>1372</v>
      </c>
      <c r="H898">
        <v>0.154</v>
      </c>
      <c r="J898" t="s">
        <v>1394</v>
      </c>
      <c r="K898" t="s">
        <v>1419</v>
      </c>
      <c r="L898">
        <f t="shared" si="20"/>
        <v>2.7000000000000001E-3</v>
      </c>
      <c r="P898" t="s">
        <v>1475</v>
      </c>
      <c r="R898" s="2" t="s">
        <v>1438</v>
      </c>
      <c r="T898">
        <v>1574000</v>
      </c>
      <c r="U898">
        <v>1574000</v>
      </c>
      <c r="V898">
        <v>9.7839898348157562E-8</v>
      </c>
      <c r="W898" t="s">
        <v>10</v>
      </c>
      <c r="X898" t="s">
        <v>1457</v>
      </c>
    </row>
    <row r="899" spans="1:24" hidden="1" x14ac:dyDescent="0.35">
      <c r="A899" t="s">
        <v>898</v>
      </c>
      <c r="B899">
        <v>2023</v>
      </c>
      <c r="C899" t="s">
        <v>1309</v>
      </c>
      <c r="D899" t="s">
        <v>1323</v>
      </c>
      <c r="E899" t="s">
        <v>1359</v>
      </c>
      <c r="F899" t="s">
        <v>1368</v>
      </c>
      <c r="G899" t="s">
        <v>1371</v>
      </c>
      <c r="H899">
        <v>2.7E-2</v>
      </c>
      <c r="J899" t="s">
        <v>1394</v>
      </c>
      <c r="K899" t="s">
        <v>1419</v>
      </c>
      <c r="L899">
        <f t="shared" si="20"/>
        <v>2.7000000000000001E-3</v>
      </c>
      <c r="P899" t="s">
        <v>1475</v>
      </c>
      <c r="R899" s="2" t="s">
        <v>1438</v>
      </c>
      <c r="T899">
        <v>1574000</v>
      </c>
      <c r="U899">
        <v>1574000</v>
      </c>
      <c r="V899">
        <v>1.715374841168996E-8</v>
      </c>
      <c r="W899" t="s">
        <v>10</v>
      </c>
      <c r="X899" t="s">
        <v>1456</v>
      </c>
    </row>
    <row r="900" spans="1:24" hidden="1" x14ac:dyDescent="0.35">
      <c r="A900" t="s">
        <v>899</v>
      </c>
      <c r="B900">
        <v>2023</v>
      </c>
      <c r="C900" t="s">
        <v>1309</v>
      </c>
      <c r="D900" t="s">
        <v>1324</v>
      </c>
      <c r="E900" t="s">
        <v>1359</v>
      </c>
      <c r="F900" t="s">
        <v>1368</v>
      </c>
      <c r="G900" t="s">
        <v>1371</v>
      </c>
      <c r="H900">
        <v>3.5999999999999997E-2</v>
      </c>
      <c r="J900" t="s">
        <v>1394</v>
      </c>
      <c r="K900" t="s">
        <v>1419</v>
      </c>
      <c r="L900">
        <f t="shared" si="20"/>
        <v>2.7000000000000001E-3</v>
      </c>
      <c r="P900" t="s">
        <v>1475</v>
      </c>
      <c r="R900" s="2" t="s">
        <v>1438</v>
      </c>
      <c r="T900">
        <v>1574000</v>
      </c>
      <c r="U900">
        <v>1574000</v>
      </c>
      <c r="V900">
        <v>2.287166454891995E-8</v>
      </c>
      <c r="W900" t="s">
        <v>10</v>
      </c>
      <c r="X900" t="s">
        <v>1456</v>
      </c>
    </row>
    <row r="901" spans="1:24" hidden="1" x14ac:dyDescent="0.35">
      <c r="A901" t="s">
        <v>900</v>
      </c>
      <c r="B901">
        <v>2023</v>
      </c>
      <c r="C901" t="s">
        <v>1309</v>
      </c>
      <c r="D901" t="s">
        <v>1332</v>
      </c>
      <c r="E901" t="s">
        <v>1359</v>
      </c>
      <c r="F901" t="s">
        <v>1368</v>
      </c>
      <c r="G901" t="s">
        <v>1371</v>
      </c>
      <c r="H901">
        <v>7.0000000000000007E-2</v>
      </c>
      <c r="J901" t="s">
        <v>1394</v>
      </c>
      <c r="K901" t="s">
        <v>1419</v>
      </c>
      <c r="L901">
        <f t="shared" si="20"/>
        <v>2.7000000000000001E-3</v>
      </c>
      <c r="P901" t="s">
        <v>1475</v>
      </c>
      <c r="R901" s="2" t="s">
        <v>1438</v>
      </c>
      <c r="T901">
        <v>1574000</v>
      </c>
      <c r="U901">
        <v>1574000</v>
      </c>
      <c r="V901">
        <v>4.4472681067344352E-8</v>
      </c>
      <c r="W901" t="s">
        <v>10</v>
      </c>
      <c r="X901" t="s">
        <v>1456</v>
      </c>
    </row>
    <row r="902" spans="1:24" hidden="1" x14ac:dyDescent="0.35">
      <c r="A902" t="s">
        <v>901</v>
      </c>
      <c r="B902">
        <v>2023</v>
      </c>
      <c r="C902" t="s">
        <v>1309</v>
      </c>
      <c r="D902" t="s">
        <v>1325</v>
      </c>
      <c r="E902" t="s">
        <v>1359</v>
      </c>
      <c r="F902" t="s">
        <v>1368</v>
      </c>
      <c r="G902" t="s">
        <v>1372</v>
      </c>
      <c r="H902">
        <v>10.222</v>
      </c>
      <c r="J902" t="s">
        <v>1394</v>
      </c>
      <c r="K902" t="s">
        <v>1419</v>
      </c>
      <c r="L902">
        <f t="shared" si="20"/>
        <v>2.7000000000000001E-3</v>
      </c>
      <c r="P902" t="s">
        <v>1475</v>
      </c>
      <c r="R902" s="2" t="s">
        <v>1438</v>
      </c>
      <c r="T902">
        <v>1574000</v>
      </c>
      <c r="U902">
        <v>1574000</v>
      </c>
      <c r="V902">
        <v>6.4942820838627701E-6</v>
      </c>
      <c r="W902" t="s">
        <v>10</v>
      </c>
      <c r="X902" t="s">
        <v>1457</v>
      </c>
    </row>
    <row r="903" spans="1:24" hidden="1" x14ac:dyDescent="0.35">
      <c r="A903" t="s">
        <v>902</v>
      </c>
      <c r="B903">
        <v>2023</v>
      </c>
      <c r="C903" t="s">
        <v>1309</v>
      </c>
      <c r="D903" t="s">
        <v>1334</v>
      </c>
      <c r="E903" t="s">
        <v>1359</v>
      </c>
      <c r="F903" t="s">
        <v>1368</v>
      </c>
      <c r="G903" t="s">
        <v>1372</v>
      </c>
      <c r="H903">
        <v>0.14000000000000001</v>
      </c>
      <c r="J903" t="s">
        <v>1394</v>
      </c>
      <c r="K903" t="s">
        <v>1419</v>
      </c>
      <c r="L903">
        <f t="shared" si="20"/>
        <v>2.7000000000000001E-3</v>
      </c>
      <c r="P903" t="s">
        <v>1475</v>
      </c>
      <c r="R903" s="2" t="s">
        <v>1438</v>
      </c>
      <c r="T903">
        <v>1574000</v>
      </c>
      <c r="U903">
        <v>1574000</v>
      </c>
      <c r="V903">
        <v>8.8945362134688704E-8</v>
      </c>
      <c r="W903" t="s">
        <v>10</v>
      </c>
      <c r="X903" t="s">
        <v>1457</v>
      </c>
    </row>
    <row r="904" spans="1:24" hidden="1" x14ac:dyDescent="0.35">
      <c r="A904" t="s">
        <v>903</v>
      </c>
      <c r="B904">
        <v>2023</v>
      </c>
      <c r="C904" t="s">
        <v>1309</v>
      </c>
      <c r="D904" t="s">
        <v>1336</v>
      </c>
      <c r="E904" t="s">
        <v>1359</v>
      </c>
      <c r="F904" t="s">
        <v>1368</v>
      </c>
      <c r="G904" t="s">
        <v>1371</v>
      </c>
      <c r="H904">
        <v>5.0000000000000001E-3</v>
      </c>
      <c r="J904" t="s">
        <v>1394</v>
      </c>
      <c r="K904" t="s">
        <v>1419</v>
      </c>
      <c r="L904">
        <f t="shared" si="20"/>
        <v>2.7000000000000001E-3</v>
      </c>
      <c r="P904" t="s">
        <v>1475</v>
      </c>
      <c r="R904" s="2" t="s">
        <v>1438</v>
      </c>
      <c r="T904">
        <v>1574000</v>
      </c>
      <c r="U904">
        <v>1574000</v>
      </c>
      <c r="V904">
        <v>3.1766200762388818E-9</v>
      </c>
      <c r="W904" t="s">
        <v>10</v>
      </c>
      <c r="X904" t="s">
        <v>1456</v>
      </c>
    </row>
    <row r="905" spans="1:24" hidden="1" x14ac:dyDescent="0.35">
      <c r="A905" t="s">
        <v>904</v>
      </c>
      <c r="B905">
        <v>2023</v>
      </c>
      <c r="C905" t="s">
        <v>1309</v>
      </c>
      <c r="D905" t="s">
        <v>1326</v>
      </c>
      <c r="E905" t="s">
        <v>1359</v>
      </c>
      <c r="F905" t="s">
        <v>1368</v>
      </c>
      <c r="G905" t="s">
        <v>1371</v>
      </c>
      <c r="H905">
        <v>6.0000000000000001E-3</v>
      </c>
      <c r="J905" t="s">
        <v>1394</v>
      </c>
      <c r="K905" t="s">
        <v>1419</v>
      </c>
      <c r="L905">
        <f t="shared" si="20"/>
        <v>2.7000000000000001E-3</v>
      </c>
      <c r="P905" t="s">
        <v>1475</v>
      </c>
      <c r="R905" s="2" t="s">
        <v>1438</v>
      </c>
      <c r="T905">
        <v>1574000</v>
      </c>
      <c r="U905">
        <v>1574000</v>
      </c>
      <c r="V905">
        <v>3.811944091486658E-9</v>
      </c>
      <c r="W905" t="s">
        <v>10</v>
      </c>
      <c r="X905" t="s">
        <v>1456</v>
      </c>
    </row>
    <row r="906" spans="1:24" hidden="1" x14ac:dyDescent="0.35">
      <c r="A906" t="s">
        <v>986</v>
      </c>
      <c r="B906">
        <v>2023</v>
      </c>
      <c r="C906" t="s">
        <v>1310</v>
      </c>
      <c r="D906" t="s">
        <v>1317</v>
      </c>
      <c r="E906" t="s">
        <v>1359</v>
      </c>
      <c r="F906" t="s">
        <v>1367</v>
      </c>
      <c r="G906" t="s">
        <v>1372</v>
      </c>
      <c r="H906">
        <v>8443.7270000000008</v>
      </c>
      <c r="J906" t="s">
        <v>1394</v>
      </c>
      <c r="K906" t="s">
        <v>1419</v>
      </c>
      <c r="L906">
        <f t="shared" si="20"/>
        <v>2.7000000000000001E-3</v>
      </c>
      <c r="P906" t="s">
        <v>1475</v>
      </c>
      <c r="R906" s="2" t="s">
        <v>1438</v>
      </c>
      <c r="T906">
        <v>1574000</v>
      </c>
      <c r="U906">
        <v>1574000</v>
      </c>
      <c r="V906">
        <v>5.3645025412960611E-3</v>
      </c>
      <c r="W906" t="s">
        <v>10</v>
      </c>
      <c r="X906" t="s">
        <v>1457</v>
      </c>
    </row>
    <row r="907" spans="1:24" hidden="1" x14ac:dyDescent="0.35">
      <c r="A907" t="s">
        <v>987</v>
      </c>
      <c r="B907">
        <v>2023</v>
      </c>
      <c r="C907" t="s">
        <v>1310</v>
      </c>
      <c r="D907" t="s">
        <v>1318</v>
      </c>
      <c r="E907" t="s">
        <v>1359</v>
      </c>
      <c r="F907" t="s">
        <v>1367</v>
      </c>
      <c r="G907" t="s">
        <v>1372</v>
      </c>
      <c r="H907">
        <v>19.398</v>
      </c>
      <c r="J907" t="s">
        <v>1394</v>
      </c>
      <c r="K907" t="s">
        <v>1419</v>
      </c>
      <c r="L907">
        <f t="shared" si="20"/>
        <v>2.7000000000000001E-3</v>
      </c>
      <c r="P907" t="s">
        <v>1475</v>
      </c>
      <c r="R907" s="2" t="s">
        <v>1438</v>
      </c>
      <c r="T907">
        <v>1574000</v>
      </c>
      <c r="U907">
        <v>1574000</v>
      </c>
      <c r="V907">
        <v>1.232401524777637E-5</v>
      </c>
      <c r="W907" t="s">
        <v>10</v>
      </c>
      <c r="X907" t="s">
        <v>1457</v>
      </c>
    </row>
    <row r="908" spans="1:24" hidden="1" x14ac:dyDescent="0.35">
      <c r="A908" t="s">
        <v>988</v>
      </c>
      <c r="B908">
        <v>2023</v>
      </c>
      <c r="C908" t="s">
        <v>1310</v>
      </c>
      <c r="D908" t="s">
        <v>1319</v>
      </c>
      <c r="E908" t="s">
        <v>1359</v>
      </c>
      <c r="F908" t="s">
        <v>1367</v>
      </c>
      <c r="G908" t="s">
        <v>1371</v>
      </c>
      <c r="H908">
        <v>12.836</v>
      </c>
      <c r="J908" t="s">
        <v>1394</v>
      </c>
      <c r="K908" t="s">
        <v>1419</v>
      </c>
      <c r="L908">
        <f t="shared" si="20"/>
        <v>2.7000000000000001E-3</v>
      </c>
      <c r="P908" t="s">
        <v>1475</v>
      </c>
      <c r="R908" s="2" t="s">
        <v>1438</v>
      </c>
      <c r="T908">
        <v>1574000</v>
      </c>
      <c r="U908">
        <v>1574000</v>
      </c>
      <c r="V908">
        <v>8.1550190597204571E-6</v>
      </c>
      <c r="W908" t="s">
        <v>10</v>
      </c>
      <c r="X908" t="s">
        <v>1456</v>
      </c>
    </row>
    <row r="909" spans="1:24" hidden="1" x14ac:dyDescent="0.35">
      <c r="A909" t="s">
        <v>989</v>
      </c>
      <c r="B909">
        <v>2023</v>
      </c>
      <c r="C909" t="s">
        <v>1310</v>
      </c>
      <c r="D909" t="s">
        <v>1320</v>
      </c>
      <c r="E909" t="s">
        <v>1359</v>
      </c>
      <c r="F909" t="s">
        <v>1367</v>
      </c>
      <c r="G909" t="s">
        <v>1372</v>
      </c>
      <c r="H909">
        <v>1898.038</v>
      </c>
      <c r="J909" t="s">
        <v>1394</v>
      </c>
      <c r="K909" t="s">
        <v>1419</v>
      </c>
      <c r="L909">
        <f t="shared" si="20"/>
        <v>2.7000000000000001E-3</v>
      </c>
      <c r="P909" t="s">
        <v>1475</v>
      </c>
      <c r="R909" s="2" t="s">
        <v>1438</v>
      </c>
      <c r="T909">
        <v>1574000</v>
      </c>
      <c r="U909">
        <v>1574000</v>
      </c>
      <c r="V909">
        <v>1.2058691232528589E-3</v>
      </c>
      <c r="W909" t="s">
        <v>10</v>
      </c>
      <c r="X909" t="s">
        <v>1457</v>
      </c>
    </row>
    <row r="910" spans="1:24" hidden="1" x14ac:dyDescent="0.35">
      <c r="A910" t="s">
        <v>990</v>
      </c>
      <c r="B910">
        <v>2023</v>
      </c>
      <c r="C910" t="s">
        <v>1310</v>
      </c>
      <c r="D910" t="s">
        <v>1321</v>
      </c>
      <c r="E910" t="s">
        <v>1359</v>
      </c>
      <c r="F910" t="s">
        <v>1367</v>
      </c>
      <c r="G910" t="s">
        <v>1371</v>
      </c>
      <c r="H910">
        <v>4.2560000000000002</v>
      </c>
      <c r="J910" t="s">
        <v>1394</v>
      </c>
      <c r="K910" t="s">
        <v>1419</v>
      </c>
      <c r="L910">
        <f t="shared" si="20"/>
        <v>2.7000000000000001E-3</v>
      </c>
      <c r="P910" t="s">
        <v>1475</v>
      </c>
      <c r="R910" s="2" t="s">
        <v>1438</v>
      </c>
      <c r="T910">
        <v>1574000</v>
      </c>
      <c r="U910">
        <v>1574000</v>
      </c>
      <c r="V910">
        <v>2.7039390088945359E-6</v>
      </c>
      <c r="W910" t="s">
        <v>10</v>
      </c>
      <c r="X910" t="s">
        <v>1456</v>
      </c>
    </row>
    <row r="911" spans="1:24" hidden="1" x14ac:dyDescent="0.35">
      <c r="A911" t="s">
        <v>991</v>
      </c>
      <c r="B911">
        <v>2023</v>
      </c>
      <c r="C911" t="s">
        <v>1310</v>
      </c>
      <c r="D911" t="s">
        <v>1322</v>
      </c>
      <c r="E911" t="s">
        <v>1359</v>
      </c>
      <c r="F911" t="s">
        <v>1367</v>
      </c>
      <c r="G911" t="s">
        <v>1372</v>
      </c>
      <c r="H911">
        <v>2103.902</v>
      </c>
      <c r="J911" t="s">
        <v>1394</v>
      </c>
      <c r="K911" t="s">
        <v>1419</v>
      </c>
      <c r="L911">
        <f t="shared" si="20"/>
        <v>2.7000000000000001E-3</v>
      </c>
      <c r="P911" t="s">
        <v>1475</v>
      </c>
      <c r="R911" s="2" t="s">
        <v>1438</v>
      </c>
      <c r="T911">
        <v>1574000</v>
      </c>
      <c r="U911">
        <v>1574000</v>
      </c>
      <c r="V911">
        <v>1.3366594663278271E-3</v>
      </c>
      <c r="W911" t="s">
        <v>10</v>
      </c>
      <c r="X911" t="s">
        <v>1457</v>
      </c>
    </row>
    <row r="912" spans="1:24" hidden="1" x14ac:dyDescent="0.35">
      <c r="A912" t="s">
        <v>992</v>
      </c>
      <c r="B912">
        <v>2023</v>
      </c>
      <c r="C912" t="s">
        <v>1310</v>
      </c>
      <c r="D912" t="s">
        <v>1323</v>
      </c>
      <c r="E912" t="s">
        <v>1359</v>
      </c>
      <c r="F912" t="s">
        <v>1367</v>
      </c>
      <c r="G912" t="s">
        <v>1371</v>
      </c>
      <c r="H912">
        <v>80.183999999999997</v>
      </c>
      <c r="J912" t="s">
        <v>1394</v>
      </c>
      <c r="K912" t="s">
        <v>1419</v>
      </c>
      <c r="L912">
        <f t="shared" si="20"/>
        <v>2.7000000000000001E-3</v>
      </c>
      <c r="P912" t="s">
        <v>1475</v>
      </c>
      <c r="R912" s="2" t="s">
        <v>1438</v>
      </c>
      <c r="T912">
        <v>1574000</v>
      </c>
      <c r="U912">
        <v>1574000</v>
      </c>
      <c r="V912">
        <v>5.0942820838627701E-5</v>
      </c>
      <c r="W912" t="s">
        <v>10</v>
      </c>
      <c r="X912" t="s">
        <v>1456</v>
      </c>
    </row>
    <row r="913" spans="1:24" hidden="1" x14ac:dyDescent="0.35">
      <c r="A913" t="s">
        <v>993</v>
      </c>
      <c r="B913">
        <v>2023</v>
      </c>
      <c r="C913" t="s">
        <v>1310</v>
      </c>
      <c r="D913" t="s">
        <v>1324</v>
      </c>
      <c r="E913" t="s">
        <v>1359</v>
      </c>
      <c r="F913" t="s">
        <v>1367</v>
      </c>
      <c r="G913" t="s">
        <v>1371</v>
      </c>
      <c r="H913">
        <v>4.9160000000000004</v>
      </c>
      <c r="J913" t="s">
        <v>1394</v>
      </c>
      <c r="K913" t="s">
        <v>1419</v>
      </c>
      <c r="L913">
        <f t="shared" si="20"/>
        <v>2.7000000000000001E-3</v>
      </c>
      <c r="P913" t="s">
        <v>1475</v>
      </c>
      <c r="R913" s="2" t="s">
        <v>1438</v>
      </c>
      <c r="T913">
        <v>1574000</v>
      </c>
      <c r="U913">
        <v>1574000</v>
      </c>
      <c r="V913">
        <v>3.1232528589580689E-6</v>
      </c>
      <c r="W913" t="s">
        <v>10</v>
      </c>
      <c r="X913" t="s">
        <v>1456</v>
      </c>
    </row>
    <row r="914" spans="1:24" hidden="1" x14ac:dyDescent="0.35">
      <c r="A914" t="s">
        <v>994</v>
      </c>
      <c r="B914">
        <v>2023</v>
      </c>
      <c r="C914" t="s">
        <v>1310</v>
      </c>
      <c r="D914" t="s">
        <v>1332</v>
      </c>
      <c r="E914" t="s">
        <v>1359</v>
      </c>
      <c r="F914" t="s">
        <v>1367</v>
      </c>
      <c r="G914" t="s">
        <v>1371</v>
      </c>
      <c r="H914">
        <v>75.009</v>
      </c>
      <c r="J914" t="s">
        <v>1394</v>
      </c>
      <c r="K914" t="s">
        <v>1419</v>
      </c>
      <c r="L914">
        <f t="shared" si="20"/>
        <v>2.7000000000000001E-3</v>
      </c>
      <c r="P914" t="s">
        <v>1475</v>
      </c>
      <c r="R914" s="2" t="s">
        <v>1438</v>
      </c>
      <c r="T914">
        <v>1574000</v>
      </c>
      <c r="U914">
        <v>1574000</v>
      </c>
      <c r="V914">
        <v>4.765501905972046E-5</v>
      </c>
      <c r="W914" t="s">
        <v>10</v>
      </c>
      <c r="X914" t="s">
        <v>1456</v>
      </c>
    </row>
    <row r="915" spans="1:24" hidden="1" x14ac:dyDescent="0.35">
      <c r="A915" t="s">
        <v>995</v>
      </c>
      <c r="B915">
        <v>2023</v>
      </c>
      <c r="C915" t="s">
        <v>1310</v>
      </c>
      <c r="D915" t="s">
        <v>1325</v>
      </c>
      <c r="E915" t="s">
        <v>1359</v>
      </c>
      <c r="F915" t="s">
        <v>1367</v>
      </c>
      <c r="G915" t="s">
        <v>1372</v>
      </c>
      <c r="H915">
        <v>98.117999999999995</v>
      </c>
      <c r="J915" t="s">
        <v>1394</v>
      </c>
      <c r="K915" t="s">
        <v>1419</v>
      </c>
      <c r="L915">
        <f t="shared" si="20"/>
        <v>2.7000000000000001E-3</v>
      </c>
      <c r="P915" t="s">
        <v>1475</v>
      </c>
      <c r="R915" s="2" t="s">
        <v>1438</v>
      </c>
      <c r="T915">
        <v>1574000</v>
      </c>
      <c r="U915">
        <v>1574000</v>
      </c>
      <c r="V915">
        <v>6.2336721728081318E-5</v>
      </c>
      <c r="W915" t="s">
        <v>10</v>
      </c>
      <c r="X915" t="s">
        <v>1457</v>
      </c>
    </row>
    <row r="916" spans="1:24" hidden="1" x14ac:dyDescent="0.35">
      <c r="A916" t="s">
        <v>996</v>
      </c>
      <c r="B916">
        <v>2023</v>
      </c>
      <c r="C916" t="s">
        <v>1310</v>
      </c>
      <c r="D916" t="s">
        <v>1334</v>
      </c>
      <c r="E916" t="s">
        <v>1359</v>
      </c>
      <c r="F916" t="s">
        <v>1367</v>
      </c>
      <c r="G916" t="s">
        <v>1372</v>
      </c>
      <c r="H916">
        <v>24.524999999999999</v>
      </c>
      <c r="J916" t="s">
        <v>1394</v>
      </c>
      <c r="K916" t="s">
        <v>1419</v>
      </c>
      <c r="L916">
        <f t="shared" si="20"/>
        <v>2.7000000000000001E-3</v>
      </c>
      <c r="P916" t="s">
        <v>1475</v>
      </c>
      <c r="R916" s="2" t="s">
        <v>1438</v>
      </c>
      <c r="T916">
        <v>1574000</v>
      </c>
      <c r="U916">
        <v>1574000</v>
      </c>
      <c r="V916">
        <v>1.5581321473951719E-5</v>
      </c>
      <c r="W916" t="s">
        <v>10</v>
      </c>
      <c r="X916" t="s">
        <v>1457</v>
      </c>
    </row>
    <row r="917" spans="1:24" hidden="1" x14ac:dyDescent="0.35">
      <c r="A917" t="s">
        <v>997</v>
      </c>
      <c r="B917">
        <v>2023</v>
      </c>
      <c r="C917" t="s">
        <v>1310</v>
      </c>
      <c r="D917" t="s">
        <v>1336</v>
      </c>
      <c r="E917" t="s">
        <v>1359</v>
      </c>
      <c r="F917" t="s">
        <v>1367</v>
      </c>
      <c r="G917" t="s">
        <v>1371</v>
      </c>
      <c r="H917">
        <v>8.3460000000000001</v>
      </c>
      <c r="J917" t="s">
        <v>1394</v>
      </c>
      <c r="K917" t="s">
        <v>1419</v>
      </c>
      <c r="L917">
        <f t="shared" si="20"/>
        <v>2.7000000000000001E-3</v>
      </c>
      <c r="P917" t="s">
        <v>1475</v>
      </c>
      <c r="R917" s="2" t="s">
        <v>1438</v>
      </c>
      <c r="T917">
        <v>1574000</v>
      </c>
      <c r="U917">
        <v>1574000</v>
      </c>
      <c r="V917">
        <v>5.3024142312579418E-6</v>
      </c>
      <c r="W917" t="s">
        <v>10</v>
      </c>
      <c r="X917" t="s">
        <v>1456</v>
      </c>
    </row>
    <row r="918" spans="1:24" hidden="1" x14ac:dyDescent="0.35">
      <c r="A918" t="s">
        <v>998</v>
      </c>
      <c r="B918">
        <v>2023</v>
      </c>
      <c r="C918" t="s">
        <v>1310</v>
      </c>
      <c r="D918" t="s">
        <v>1326</v>
      </c>
      <c r="E918" t="s">
        <v>1359</v>
      </c>
      <c r="F918" t="s">
        <v>1367</v>
      </c>
      <c r="G918" t="s">
        <v>1371</v>
      </c>
      <c r="H918">
        <v>8.5020000000000007</v>
      </c>
      <c r="J918" t="s">
        <v>1394</v>
      </c>
      <c r="K918" t="s">
        <v>1419</v>
      </c>
      <c r="L918">
        <f t="shared" si="20"/>
        <v>2.7000000000000001E-3</v>
      </c>
      <c r="P918" t="s">
        <v>1475</v>
      </c>
      <c r="R918" s="2" t="s">
        <v>1438</v>
      </c>
      <c r="T918">
        <v>1574000</v>
      </c>
      <c r="U918">
        <v>1574000</v>
      </c>
      <c r="V918">
        <v>5.4015247776365947E-6</v>
      </c>
      <c r="W918" t="s">
        <v>10</v>
      </c>
      <c r="X918" t="s">
        <v>1456</v>
      </c>
    </row>
    <row r="919" spans="1:24" hidden="1" x14ac:dyDescent="0.35">
      <c r="A919" t="s">
        <v>1042</v>
      </c>
      <c r="B919">
        <v>2023</v>
      </c>
      <c r="C919" t="s">
        <v>1308</v>
      </c>
      <c r="D919" t="s">
        <v>1347</v>
      </c>
      <c r="E919" t="s">
        <v>1359</v>
      </c>
      <c r="F919" t="s">
        <v>1370</v>
      </c>
      <c r="G919" t="s">
        <v>1375</v>
      </c>
      <c r="H919">
        <v>12150</v>
      </c>
      <c r="J919" t="s">
        <v>1394</v>
      </c>
      <c r="K919" t="s">
        <v>1419</v>
      </c>
      <c r="L919">
        <f t="shared" si="20"/>
        <v>2.7000000000000001E-3</v>
      </c>
      <c r="P919" t="s">
        <v>1475</v>
      </c>
      <c r="R919" s="2" t="s">
        <v>1439</v>
      </c>
      <c r="T919">
        <v>1574000</v>
      </c>
      <c r="U919">
        <v>1574000</v>
      </c>
      <c r="V919">
        <v>7.7191867852604828E-3</v>
      </c>
      <c r="W919" t="s">
        <v>10</v>
      </c>
      <c r="X919" t="s">
        <v>1460</v>
      </c>
    </row>
    <row r="920" spans="1:24" hidden="1" x14ac:dyDescent="0.35">
      <c r="A920" t="s">
        <v>286</v>
      </c>
      <c r="B920">
        <v>2023</v>
      </c>
      <c r="C920" t="s">
        <v>1308</v>
      </c>
      <c r="D920" t="s">
        <v>1311</v>
      </c>
      <c r="E920" t="s">
        <v>1359</v>
      </c>
      <c r="F920" t="s">
        <v>1364</v>
      </c>
      <c r="G920" t="s">
        <v>1371</v>
      </c>
      <c r="H920">
        <v>49.312857000000001</v>
      </c>
      <c r="J920" t="s">
        <v>1403</v>
      </c>
      <c r="L920">
        <f>12.6/1000</f>
        <v>1.26E-2</v>
      </c>
      <c r="N920">
        <v>0.65</v>
      </c>
      <c r="O920">
        <v>96.9</v>
      </c>
      <c r="R920" s="2" t="s">
        <v>1438</v>
      </c>
      <c r="S920">
        <v>222627</v>
      </c>
      <c r="U920">
        <v>222627</v>
      </c>
      <c r="V920">
        <v>2.2150438626042661E-4</v>
      </c>
      <c r="W920" t="s">
        <v>9</v>
      </c>
      <c r="X920" t="s">
        <v>1456</v>
      </c>
    </row>
    <row r="921" spans="1:24" hidden="1" x14ac:dyDescent="0.35">
      <c r="A921" t="s">
        <v>287</v>
      </c>
      <c r="B921">
        <v>2023</v>
      </c>
      <c r="C921" t="s">
        <v>1308</v>
      </c>
      <c r="D921" t="s">
        <v>1319</v>
      </c>
      <c r="E921" t="s">
        <v>1359</v>
      </c>
      <c r="F921" t="s">
        <v>1364</v>
      </c>
      <c r="G921" t="s">
        <v>1371</v>
      </c>
      <c r="H921">
        <v>2.0630000000000002E-3</v>
      </c>
      <c r="J921" t="s">
        <v>1403</v>
      </c>
      <c r="L921">
        <f t="shared" ref="L921:L978" si="21">12.6/1000</f>
        <v>1.26E-2</v>
      </c>
      <c r="N921">
        <v>0.65</v>
      </c>
      <c r="O921">
        <v>96.9</v>
      </c>
      <c r="R921" s="2" t="s">
        <v>1438</v>
      </c>
      <c r="S921">
        <v>222627</v>
      </c>
      <c r="U921">
        <v>222627</v>
      </c>
      <c r="V921">
        <v>9.2666208501215048E-9</v>
      </c>
      <c r="W921" t="s">
        <v>9</v>
      </c>
      <c r="X921" t="s">
        <v>1456</v>
      </c>
    </row>
    <row r="922" spans="1:24" hidden="1" x14ac:dyDescent="0.35">
      <c r="A922" t="s">
        <v>288</v>
      </c>
      <c r="B922">
        <v>2023</v>
      </c>
      <c r="C922" t="s">
        <v>1308</v>
      </c>
      <c r="D922" t="s">
        <v>1320</v>
      </c>
      <c r="E922" t="s">
        <v>1359</v>
      </c>
      <c r="F922" t="s">
        <v>1364</v>
      </c>
      <c r="G922" t="s">
        <v>1372</v>
      </c>
      <c r="H922">
        <v>9.1E-4</v>
      </c>
      <c r="J922" t="s">
        <v>1403</v>
      </c>
      <c r="L922">
        <f t="shared" si="21"/>
        <v>1.26E-2</v>
      </c>
      <c r="N922">
        <v>0.65</v>
      </c>
      <c r="O922">
        <v>96.9</v>
      </c>
      <c r="R922" s="2" t="s">
        <v>1438</v>
      </c>
      <c r="S922">
        <v>222627</v>
      </c>
      <c r="U922">
        <v>222627</v>
      </c>
      <c r="V922">
        <v>4.087554519442835E-9</v>
      </c>
      <c r="W922" t="s">
        <v>9</v>
      </c>
      <c r="X922" t="s">
        <v>1457</v>
      </c>
    </row>
    <row r="923" spans="1:24" hidden="1" x14ac:dyDescent="0.35">
      <c r="A923" t="s">
        <v>289</v>
      </c>
      <c r="B923">
        <v>2023</v>
      </c>
      <c r="C923" t="s">
        <v>1308</v>
      </c>
      <c r="D923" t="s">
        <v>1322</v>
      </c>
      <c r="E923" t="s">
        <v>1359</v>
      </c>
      <c r="F923" t="s">
        <v>1364</v>
      </c>
      <c r="G923" t="s">
        <v>1372</v>
      </c>
      <c r="H923">
        <v>0.13203000000000001</v>
      </c>
      <c r="J923" t="s">
        <v>1403</v>
      </c>
      <c r="L923">
        <f t="shared" si="21"/>
        <v>1.26E-2</v>
      </c>
      <c r="N923">
        <v>0.65</v>
      </c>
      <c r="O923">
        <v>96.9</v>
      </c>
      <c r="R923" s="2" t="s">
        <v>1438</v>
      </c>
      <c r="S923">
        <v>222627</v>
      </c>
      <c r="U923">
        <v>222627</v>
      </c>
      <c r="V923">
        <v>5.9305475077146983E-7</v>
      </c>
      <c r="W923" t="s">
        <v>9</v>
      </c>
      <c r="X923" t="s">
        <v>1457</v>
      </c>
    </row>
    <row r="924" spans="1:24" hidden="1" x14ac:dyDescent="0.35">
      <c r="A924" t="s">
        <v>290</v>
      </c>
      <c r="B924">
        <v>2023</v>
      </c>
      <c r="C924" t="s">
        <v>1308</v>
      </c>
      <c r="D924" t="s">
        <v>1323</v>
      </c>
      <c r="E924" t="s">
        <v>1359</v>
      </c>
      <c r="F924" t="s">
        <v>1364</v>
      </c>
      <c r="G924" t="s">
        <v>1371</v>
      </c>
      <c r="H924">
        <v>1.9005999999999999E-2</v>
      </c>
      <c r="J924" t="s">
        <v>1403</v>
      </c>
      <c r="L924">
        <f t="shared" si="21"/>
        <v>1.26E-2</v>
      </c>
      <c r="N924">
        <v>0.65</v>
      </c>
      <c r="O924">
        <v>96.9</v>
      </c>
      <c r="R924" s="2" t="s">
        <v>1438</v>
      </c>
      <c r="S924">
        <v>222627</v>
      </c>
      <c r="U924">
        <v>222627</v>
      </c>
      <c r="V924">
        <v>8.5371495820363201E-8</v>
      </c>
      <c r="W924" t="s">
        <v>9</v>
      </c>
      <c r="X924" t="s">
        <v>1456</v>
      </c>
    </row>
    <row r="925" spans="1:24" hidden="1" x14ac:dyDescent="0.35">
      <c r="A925" t="s">
        <v>291</v>
      </c>
      <c r="B925">
        <v>2023</v>
      </c>
      <c r="C925" t="s">
        <v>1308</v>
      </c>
      <c r="D925" t="s">
        <v>1324</v>
      </c>
      <c r="E925" t="s">
        <v>1359</v>
      </c>
      <c r="F925" t="s">
        <v>1364</v>
      </c>
      <c r="G925" t="s">
        <v>1371</v>
      </c>
      <c r="H925">
        <v>1.3940000000000001E-3</v>
      </c>
      <c r="J925" t="s">
        <v>1403</v>
      </c>
      <c r="L925">
        <f t="shared" si="21"/>
        <v>1.26E-2</v>
      </c>
      <c r="N925">
        <v>0.65</v>
      </c>
      <c r="O925">
        <v>96.9</v>
      </c>
      <c r="R925" s="2" t="s">
        <v>1438</v>
      </c>
      <c r="S925">
        <v>222627</v>
      </c>
      <c r="U925">
        <v>222627</v>
      </c>
      <c r="V925">
        <v>6.2615945056080346E-9</v>
      </c>
      <c r="W925" t="s">
        <v>9</v>
      </c>
      <c r="X925" t="s">
        <v>1456</v>
      </c>
    </row>
    <row r="926" spans="1:24" hidden="1" x14ac:dyDescent="0.35">
      <c r="A926" t="s">
        <v>292</v>
      </c>
      <c r="B926">
        <v>2023</v>
      </c>
      <c r="C926" t="s">
        <v>1308</v>
      </c>
      <c r="D926" t="s">
        <v>1312</v>
      </c>
      <c r="E926" t="s">
        <v>1359</v>
      </c>
      <c r="F926" t="s">
        <v>1364</v>
      </c>
      <c r="G926" t="s">
        <v>1371</v>
      </c>
      <c r="H926">
        <v>164.45857799999999</v>
      </c>
      <c r="J926" t="s">
        <v>1403</v>
      </c>
      <c r="L926">
        <f t="shared" si="21"/>
        <v>1.26E-2</v>
      </c>
      <c r="N926">
        <v>0.65</v>
      </c>
      <c r="O926">
        <v>96.9</v>
      </c>
      <c r="R926" s="2" t="s">
        <v>1438</v>
      </c>
      <c r="S926">
        <v>222627</v>
      </c>
      <c r="U926">
        <v>222627</v>
      </c>
      <c r="V926">
        <v>7.3871802611543064E-4</v>
      </c>
      <c r="W926" t="s">
        <v>9</v>
      </c>
      <c r="X926" t="s">
        <v>1456</v>
      </c>
    </row>
    <row r="927" spans="1:24" hidden="1" x14ac:dyDescent="0.35">
      <c r="A927" t="s">
        <v>293</v>
      </c>
      <c r="B927">
        <v>2023</v>
      </c>
      <c r="C927" t="s">
        <v>1308</v>
      </c>
      <c r="D927" t="s">
        <v>1313</v>
      </c>
      <c r="E927" t="s">
        <v>1359</v>
      </c>
      <c r="F927" t="s">
        <v>1364</v>
      </c>
      <c r="G927" t="s">
        <v>1371</v>
      </c>
      <c r="H927">
        <v>1.202337</v>
      </c>
      <c r="J927" t="s">
        <v>1403</v>
      </c>
      <c r="L927">
        <f t="shared" si="21"/>
        <v>1.26E-2</v>
      </c>
      <c r="N927">
        <v>0.65</v>
      </c>
      <c r="O927">
        <v>96.9</v>
      </c>
      <c r="R927" s="2" t="s">
        <v>1438</v>
      </c>
      <c r="S927">
        <v>222627</v>
      </c>
      <c r="U927">
        <v>222627</v>
      </c>
      <c r="V927">
        <v>5.4006791629047686E-6</v>
      </c>
      <c r="W927" t="s">
        <v>9</v>
      </c>
      <c r="X927" t="s">
        <v>1456</v>
      </c>
    </row>
    <row r="928" spans="1:24" hidden="1" x14ac:dyDescent="0.35">
      <c r="A928" t="s">
        <v>294</v>
      </c>
      <c r="B928">
        <v>2023</v>
      </c>
      <c r="C928" t="s">
        <v>1308</v>
      </c>
      <c r="D928" t="s">
        <v>1313</v>
      </c>
      <c r="E928" t="s">
        <v>1359</v>
      </c>
      <c r="F928" t="s">
        <v>1364</v>
      </c>
      <c r="G928" t="s">
        <v>1371</v>
      </c>
      <c r="H928">
        <v>11.165898</v>
      </c>
      <c r="J928" t="s">
        <v>1403</v>
      </c>
      <c r="L928">
        <f t="shared" si="21"/>
        <v>1.26E-2</v>
      </c>
      <c r="N928">
        <v>0.65</v>
      </c>
      <c r="O928">
        <v>96.9</v>
      </c>
      <c r="R928" s="2" t="s">
        <v>1438</v>
      </c>
      <c r="S928">
        <v>222627</v>
      </c>
      <c r="U928">
        <v>222627</v>
      </c>
      <c r="V928">
        <v>5.0155183333557933E-5</v>
      </c>
      <c r="W928" t="s">
        <v>9</v>
      </c>
      <c r="X928" t="s">
        <v>1456</v>
      </c>
    </row>
    <row r="929" spans="1:24" hidden="1" x14ac:dyDescent="0.35">
      <c r="A929" t="s">
        <v>295</v>
      </c>
      <c r="B929">
        <v>2023</v>
      </c>
      <c r="C929" t="s">
        <v>1308</v>
      </c>
      <c r="D929" t="s">
        <v>1314</v>
      </c>
      <c r="E929" t="s">
        <v>1359</v>
      </c>
      <c r="F929" t="s">
        <v>1364</v>
      </c>
      <c r="G929" t="s">
        <v>1371</v>
      </c>
      <c r="H929">
        <v>1.134085</v>
      </c>
      <c r="J929" t="s">
        <v>1403</v>
      </c>
      <c r="L929">
        <f t="shared" si="21"/>
        <v>1.26E-2</v>
      </c>
      <c r="N929">
        <v>0.65</v>
      </c>
      <c r="O929">
        <v>96.9</v>
      </c>
      <c r="R929" s="2" t="s">
        <v>1438</v>
      </c>
      <c r="S929">
        <v>222627</v>
      </c>
      <c r="U929">
        <v>222627</v>
      </c>
      <c r="V929">
        <v>5.0941035903102501E-6</v>
      </c>
      <c r="W929" t="s">
        <v>9</v>
      </c>
      <c r="X929" t="s">
        <v>1456</v>
      </c>
    </row>
    <row r="930" spans="1:24" hidden="1" x14ac:dyDescent="0.35">
      <c r="A930" t="s">
        <v>296</v>
      </c>
      <c r="B930">
        <v>2023</v>
      </c>
      <c r="C930" t="s">
        <v>1308</v>
      </c>
      <c r="D930" t="s">
        <v>1314</v>
      </c>
      <c r="E930" t="s">
        <v>1359</v>
      </c>
      <c r="F930" t="s">
        <v>1364</v>
      </c>
      <c r="G930" t="s">
        <v>1371</v>
      </c>
      <c r="H930">
        <v>11.165898</v>
      </c>
      <c r="J930" t="s">
        <v>1403</v>
      </c>
      <c r="L930">
        <f t="shared" si="21"/>
        <v>1.26E-2</v>
      </c>
      <c r="N930">
        <v>0.65</v>
      </c>
      <c r="O930">
        <v>96.9</v>
      </c>
      <c r="R930" s="2" t="s">
        <v>1438</v>
      </c>
      <c r="S930">
        <v>222627</v>
      </c>
      <c r="U930">
        <v>222627</v>
      </c>
      <c r="V930">
        <v>5.0155183333557933E-5</v>
      </c>
      <c r="W930" t="s">
        <v>9</v>
      </c>
      <c r="X930" t="s">
        <v>1456</v>
      </c>
    </row>
    <row r="931" spans="1:24" hidden="1" x14ac:dyDescent="0.35">
      <c r="A931" t="s">
        <v>297</v>
      </c>
      <c r="B931">
        <v>2023</v>
      </c>
      <c r="C931" t="s">
        <v>1308</v>
      </c>
      <c r="D931" t="s">
        <v>1315</v>
      </c>
      <c r="E931" t="s">
        <v>1359</v>
      </c>
      <c r="F931" t="s">
        <v>1364</v>
      </c>
      <c r="G931" t="s">
        <v>1371</v>
      </c>
      <c r="H931">
        <v>11.165898</v>
      </c>
      <c r="J931" t="s">
        <v>1403</v>
      </c>
      <c r="L931">
        <f t="shared" si="21"/>
        <v>1.26E-2</v>
      </c>
      <c r="N931">
        <v>0.65</v>
      </c>
      <c r="O931">
        <v>96.9</v>
      </c>
      <c r="R931" s="2" t="s">
        <v>1438</v>
      </c>
      <c r="S931">
        <v>222627</v>
      </c>
      <c r="U931">
        <v>222627</v>
      </c>
      <c r="V931">
        <v>5.0155183333557933E-5</v>
      </c>
      <c r="W931" t="s">
        <v>9</v>
      </c>
      <c r="X931" t="s">
        <v>1456</v>
      </c>
    </row>
    <row r="932" spans="1:24" hidden="1" x14ac:dyDescent="0.35">
      <c r="A932" t="s">
        <v>651</v>
      </c>
      <c r="B932">
        <v>2023</v>
      </c>
      <c r="C932" t="s">
        <v>1308</v>
      </c>
      <c r="D932" t="s">
        <v>1317</v>
      </c>
      <c r="E932" t="s">
        <v>1359</v>
      </c>
      <c r="F932" t="s">
        <v>1366</v>
      </c>
      <c r="G932" t="s">
        <v>1372</v>
      </c>
      <c r="H932">
        <v>5.3819999999999996E-3</v>
      </c>
      <c r="J932" t="s">
        <v>1403</v>
      </c>
      <c r="L932">
        <f t="shared" si="21"/>
        <v>1.26E-2</v>
      </c>
      <c r="N932">
        <v>0.65</v>
      </c>
      <c r="O932">
        <v>96.9</v>
      </c>
      <c r="R932" s="2" t="s">
        <v>1438</v>
      </c>
      <c r="S932">
        <v>222627</v>
      </c>
      <c r="U932">
        <v>222627</v>
      </c>
      <c r="V932">
        <v>2.4174965300704761E-8</v>
      </c>
      <c r="W932" t="s">
        <v>9</v>
      </c>
      <c r="X932" t="s">
        <v>1457</v>
      </c>
    </row>
    <row r="933" spans="1:24" hidden="1" x14ac:dyDescent="0.35">
      <c r="A933" t="s">
        <v>652</v>
      </c>
      <c r="B933">
        <v>2023</v>
      </c>
      <c r="C933" t="s">
        <v>1308</v>
      </c>
      <c r="D933" t="s">
        <v>1317</v>
      </c>
      <c r="E933" t="s">
        <v>1359</v>
      </c>
      <c r="F933" t="s">
        <v>1366</v>
      </c>
      <c r="G933" t="s">
        <v>1372</v>
      </c>
      <c r="H933">
        <v>4.9280000000000001E-3</v>
      </c>
      <c r="J933" t="s">
        <v>1403</v>
      </c>
      <c r="L933">
        <f t="shared" si="21"/>
        <v>1.26E-2</v>
      </c>
      <c r="N933">
        <v>0.65</v>
      </c>
      <c r="O933">
        <v>96.9</v>
      </c>
      <c r="R933" s="2" t="s">
        <v>1438</v>
      </c>
      <c r="S933">
        <v>222627</v>
      </c>
      <c r="U933">
        <v>222627</v>
      </c>
      <c r="V933">
        <v>2.2135679859136579E-8</v>
      </c>
      <c r="W933" t="s">
        <v>9</v>
      </c>
      <c r="X933" t="s">
        <v>1457</v>
      </c>
    </row>
    <row r="934" spans="1:24" hidden="1" x14ac:dyDescent="0.35">
      <c r="A934" t="s">
        <v>653</v>
      </c>
      <c r="B934">
        <v>2023</v>
      </c>
      <c r="C934" t="s">
        <v>1308</v>
      </c>
      <c r="D934" t="s">
        <v>1318</v>
      </c>
      <c r="E934" t="s">
        <v>1359</v>
      </c>
      <c r="F934" t="s">
        <v>1366</v>
      </c>
      <c r="G934" t="s">
        <v>1372</v>
      </c>
      <c r="H934">
        <v>2.23E-4</v>
      </c>
      <c r="J934" t="s">
        <v>1403</v>
      </c>
      <c r="L934">
        <f t="shared" si="21"/>
        <v>1.26E-2</v>
      </c>
      <c r="N934">
        <v>0.65</v>
      </c>
      <c r="O934">
        <v>96.9</v>
      </c>
      <c r="R934" s="2" t="s">
        <v>1438</v>
      </c>
      <c r="S934">
        <v>222627</v>
      </c>
      <c r="U934">
        <v>222627</v>
      </c>
      <c r="V934">
        <v>1.001675448171156E-9</v>
      </c>
      <c r="W934" t="s">
        <v>9</v>
      </c>
      <c r="X934" t="s">
        <v>1457</v>
      </c>
    </row>
    <row r="935" spans="1:24" hidden="1" x14ac:dyDescent="0.35">
      <c r="A935" t="s">
        <v>654</v>
      </c>
      <c r="B935">
        <v>2023</v>
      </c>
      <c r="C935" t="s">
        <v>1308</v>
      </c>
      <c r="D935" t="s">
        <v>1318</v>
      </c>
      <c r="E935" t="s">
        <v>1359</v>
      </c>
      <c r="F935" t="s">
        <v>1366</v>
      </c>
      <c r="G935" t="s">
        <v>1372</v>
      </c>
      <c r="H935">
        <v>4.64E-4</v>
      </c>
      <c r="J935" t="s">
        <v>1403</v>
      </c>
      <c r="L935">
        <f t="shared" si="21"/>
        <v>1.26E-2</v>
      </c>
      <c r="N935">
        <v>0.65</v>
      </c>
      <c r="O935">
        <v>96.9</v>
      </c>
      <c r="R935" s="2" t="s">
        <v>1438</v>
      </c>
      <c r="S935">
        <v>222627</v>
      </c>
      <c r="U935">
        <v>222627</v>
      </c>
      <c r="V935">
        <v>2.0842036231005218E-9</v>
      </c>
      <c r="W935" t="s">
        <v>9</v>
      </c>
      <c r="X935" t="s">
        <v>1457</v>
      </c>
    </row>
    <row r="936" spans="1:24" hidden="1" x14ac:dyDescent="0.35">
      <c r="A936" t="s">
        <v>655</v>
      </c>
      <c r="B936">
        <v>2023</v>
      </c>
      <c r="C936" t="s">
        <v>1308</v>
      </c>
      <c r="D936" t="s">
        <v>1319</v>
      </c>
      <c r="E936" t="s">
        <v>1359</v>
      </c>
      <c r="F936" t="s">
        <v>1366</v>
      </c>
      <c r="G936" t="s">
        <v>1371</v>
      </c>
      <c r="H936">
        <v>3.1799999999999998E-4</v>
      </c>
      <c r="J936" t="s">
        <v>1403</v>
      </c>
      <c r="L936">
        <f t="shared" si="21"/>
        <v>1.26E-2</v>
      </c>
      <c r="N936">
        <v>0.65</v>
      </c>
      <c r="O936">
        <v>96.9</v>
      </c>
      <c r="R936" s="2" t="s">
        <v>1438</v>
      </c>
      <c r="S936">
        <v>222627</v>
      </c>
      <c r="U936">
        <v>222627</v>
      </c>
      <c r="V936">
        <v>1.4283981727283751E-9</v>
      </c>
      <c r="W936" t="s">
        <v>9</v>
      </c>
      <c r="X936" t="s">
        <v>1456</v>
      </c>
    </row>
    <row r="937" spans="1:24" hidden="1" x14ac:dyDescent="0.35">
      <c r="A937" t="s">
        <v>656</v>
      </c>
      <c r="B937">
        <v>2023</v>
      </c>
      <c r="C937" t="s">
        <v>1308</v>
      </c>
      <c r="D937" t="s">
        <v>1319</v>
      </c>
      <c r="E937" t="s">
        <v>1359</v>
      </c>
      <c r="F937" t="s">
        <v>1366</v>
      </c>
      <c r="G937" t="s">
        <v>1371</v>
      </c>
      <c r="H937">
        <v>6.6699999999999995E-4</v>
      </c>
      <c r="J937" t="s">
        <v>1403</v>
      </c>
      <c r="L937">
        <f t="shared" si="21"/>
        <v>1.26E-2</v>
      </c>
      <c r="N937">
        <v>0.65</v>
      </c>
      <c r="O937">
        <v>96.9</v>
      </c>
      <c r="R937" s="2" t="s">
        <v>1438</v>
      </c>
      <c r="S937">
        <v>222627</v>
      </c>
      <c r="U937">
        <v>222627</v>
      </c>
      <c r="V937">
        <v>2.996042708207001E-9</v>
      </c>
      <c r="W937" t="s">
        <v>9</v>
      </c>
      <c r="X937" t="s">
        <v>1456</v>
      </c>
    </row>
    <row r="938" spans="1:24" hidden="1" x14ac:dyDescent="0.35">
      <c r="A938" t="s">
        <v>657</v>
      </c>
      <c r="B938">
        <v>2023</v>
      </c>
      <c r="C938" t="s">
        <v>1308</v>
      </c>
      <c r="D938" t="s">
        <v>1320</v>
      </c>
      <c r="E938" t="s">
        <v>1359</v>
      </c>
      <c r="F938" t="s">
        <v>1366</v>
      </c>
      <c r="G938" t="s">
        <v>1372</v>
      </c>
      <c r="H938">
        <v>2.6575999999999999E-2</v>
      </c>
      <c r="J938" t="s">
        <v>1403</v>
      </c>
      <c r="L938">
        <f t="shared" si="21"/>
        <v>1.26E-2</v>
      </c>
      <c r="N938">
        <v>0.65</v>
      </c>
      <c r="O938">
        <v>96.9</v>
      </c>
      <c r="R938" s="2" t="s">
        <v>1438</v>
      </c>
      <c r="S938">
        <v>222627</v>
      </c>
      <c r="U938">
        <v>222627</v>
      </c>
      <c r="V938">
        <v>1.193745592403437E-7</v>
      </c>
      <c r="W938" t="s">
        <v>9</v>
      </c>
      <c r="X938" t="s">
        <v>1457</v>
      </c>
    </row>
    <row r="939" spans="1:24" hidden="1" x14ac:dyDescent="0.35">
      <c r="A939" t="s">
        <v>658</v>
      </c>
      <c r="B939">
        <v>2023</v>
      </c>
      <c r="C939" t="s">
        <v>1308</v>
      </c>
      <c r="D939" t="s">
        <v>1320</v>
      </c>
      <c r="E939" t="s">
        <v>1359</v>
      </c>
      <c r="F939" t="s">
        <v>1366</v>
      </c>
      <c r="G939" t="s">
        <v>1372</v>
      </c>
      <c r="H939">
        <v>5.5078000000000002E-2</v>
      </c>
      <c r="J939" t="s">
        <v>1403</v>
      </c>
      <c r="L939">
        <f t="shared" si="21"/>
        <v>1.26E-2</v>
      </c>
      <c r="N939">
        <v>0.65</v>
      </c>
      <c r="O939">
        <v>96.9</v>
      </c>
      <c r="R939" s="2" t="s">
        <v>1438</v>
      </c>
      <c r="S939">
        <v>222627</v>
      </c>
      <c r="U939">
        <v>222627</v>
      </c>
      <c r="V939">
        <v>2.4740036024381588E-7</v>
      </c>
      <c r="W939" t="s">
        <v>9</v>
      </c>
      <c r="X939" t="s">
        <v>1457</v>
      </c>
    </row>
    <row r="940" spans="1:24" hidden="1" x14ac:dyDescent="0.35">
      <c r="A940" t="s">
        <v>659</v>
      </c>
      <c r="B940">
        <v>2023</v>
      </c>
      <c r="C940" t="s">
        <v>1308</v>
      </c>
      <c r="D940" t="s">
        <v>1321</v>
      </c>
      <c r="E940" t="s">
        <v>1359</v>
      </c>
      <c r="F940" t="s">
        <v>1366</v>
      </c>
      <c r="G940" t="s">
        <v>1371</v>
      </c>
      <c r="H940">
        <v>6.7999999999999999E-5</v>
      </c>
      <c r="J940" t="s">
        <v>1403</v>
      </c>
      <c r="L940">
        <f t="shared" si="21"/>
        <v>1.26E-2</v>
      </c>
      <c r="N940">
        <v>0.65</v>
      </c>
      <c r="O940">
        <v>96.9</v>
      </c>
      <c r="R940" s="2" t="s">
        <v>1438</v>
      </c>
      <c r="S940">
        <v>222627</v>
      </c>
      <c r="U940">
        <v>222627</v>
      </c>
      <c r="V940">
        <v>3.0544363441990412E-10</v>
      </c>
      <c r="W940" t="s">
        <v>9</v>
      </c>
      <c r="X940" t="s">
        <v>1456</v>
      </c>
    </row>
    <row r="941" spans="1:24" hidden="1" x14ac:dyDescent="0.35">
      <c r="A941" t="s">
        <v>660</v>
      </c>
      <c r="B941">
        <v>2023</v>
      </c>
      <c r="C941" t="s">
        <v>1308</v>
      </c>
      <c r="D941" t="s">
        <v>1321</v>
      </c>
      <c r="E941" t="s">
        <v>1359</v>
      </c>
      <c r="F941" t="s">
        <v>1366</v>
      </c>
      <c r="G941" t="s">
        <v>1371</v>
      </c>
      <c r="H941">
        <v>0.142043</v>
      </c>
      <c r="J941" t="s">
        <v>1403</v>
      </c>
      <c r="L941">
        <f t="shared" si="21"/>
        <v>1.26E-2</v>
      </c>
      <c r="N941">
        <v>0.65</v>
      </c>
      <c r="O941">
        <v>96.9</v>
      </c>
      <c r="R941" s="2" t="s">
        <v>1438</v>
      </c>
      <c r="S941">
        <v>222627</v>
      </c>
      <c r="U941">
        <v>222627</v>
      </c>
      <c r="V941">
        <v>6.3803132593980062E-7</v>
      </c>
      <c r="W941" t="s">
        <v>9</v>
      </c>
      <c r="X941" t="s">
        <v>1456</v>
      </c>
    </row>
    <row r="942" spans="1:24" hidden="1" x14ac:dyDescent="0.35">
      <c r="A942" t="s">
        <v>661</v>
      </c>
      <c r="B942">
        <v>2023</v>
      </c>
      <c r="C942" t="s">
        <v>1308</v>
      </c>
      <c r="D942" t="s">
        <v>1322</v>
      </c>
      <c r="E942" t="s">
        <v>1359</v>
      </c>
      <c r="F942" t="s">
        <v>1366</v>
      </c>
      <c r="G942" t="s">
        <v>1372</v>
      </c>
      <c r="H942">
        <v>1.6819000000000001E-2</v>
      </c>
      <c r="J942" t="s">
        <v>1403</v>
      </c>
      <c r="L942">
        <f t="shared" si="21"/>
        <v>1.26E-2</v>
      </c>
      <c r="N942">
        <v>0.65</v>
      </c>
      <c r="O942">
        <v>96.9</v>
      </c>
      <c r="R942" s="2" t="s">
        <v>1438</v>
      </c>
      <c r="S942">
        <v>222627</v>
      </c>
      <c r="U942">
        <v>222627</v>
      </c>
      <c r="V942">
        <v>7.5547889519240703E-8</v>
      </c>
      <c r="W942" t="s">
        <v>9</v>
      </c>
      <c r="X942" t="s">
        <v>1457</v>
      </c>
    </row>
    <row r="943" spans="1:24" hidden="1" x14ac:dyDescent="0.35">
      <c r="A943" t="s">
        <v>662</v>
      </c>
      <c r="B943">
        <v>2023</v>
      </c>
      <c r="C943" t="s">
        <v>1308</v>
      </c>
      <c r="D943" t="s">
        <v>1322</v>
      </c>
      <c r="E943" t="s">
        <v>1359</v>
      </c>
      <c r="F943" t="s">
        <v>1366</v>
      </c>
      <c r="G943" t="s">
        <v>1372</v>
      </c>
      <c r="H943">
        <v>3.4785999999999997E-2</v>
      </c>
      <c r="J943" t="s">
        <v>1403</v>
      </c>
      <c r="L943">
        <f t="shared" si="21"/>
        <v>1.26E-2</v>
      </c>
      <c r="N943">
        <v>0.65</v>
      </c>
      <c r="O943">
        <v>96.9</v>
      </c>
      <c r="R943" s="2" t="s">
        <v>1438</v>
      </c>
      <c r="S943">
        <v>222627</v>
      </c>
      <c r="U943">
        <v>222627</v>
      </c>
      <c r="V943">
        <v>1.5625238627839391E-7</v>
      </c>
      <c r="W943" t="s">
        <v>9</v>
      </c>
      <c r="X943" t="s">
        <v>1457</v>
      </c>
    </row>
    <row r="944" spans="1:24" hidden="1" x14ac:dyDescent="0.35">
      <c r="A944" t="s">
        <v>663</v>
      </c>
      <c r="B944">
        <v>2023</v>
      </c>
      <c r="C944" t="s">
        <v>1308</v>
      </c>
      <c r="D944" t="s">
        <v>1323</v>
      </c>
      <c r="E944" t="s">
        <v>1359</v>
      </c>
      <c r="F944" t="s">
        <v>1366</v>
      </c>
      <c r="G944" t="s">
        <v>1371</v>
      </c>
      <c r="H944">
        <v>7.6000000000000004E-4</v>
      </c>
      <c r="J944" t="s">
        <v>1403</v>
      </c>
      <c r="L944">
        <f t="shared" si="21"/>
        <v>1.26E-2</v>
      </c>
      <c r="N944">
        <v>0.65</v>
      </c>
      <c r="O944">
        <v>96.9</v>
      </c>
      <c r="R944" s="2" t="s">
        <v>1438</v>
      </c>
      <c r="S944">
        <v>222627</v>
      </c>
      <c r="U944">
        <v>222627</v>
      </c>
      <c r="V944">
        <v>3.413781796457752E-9</v>
      </c>
      <c r="W944" t="s">
        <v>9</v>
      </c>
      <c r="X944" t="s">
        <v>1456</v>
      </c>
    </row>
    <row r="945" spans="1:24" hidden="1" x14ac:dyDescent="0.35">
      <c r="A945" t="s">
        <v>664</v>
      </c>
      <c r="B945">
        <v>2023</v>
      </c>
      <c r="C945" t="s">
        <v>1308</v>
      </c>
      <c r="D945" t="s">
        <v>1323</v>
      </c>
      <c r="E945" t="s">
        <v>1359</v>
      </c>
      <c r="F945" t="s">
        <v>1366</v>
      </c>
      <c r="G945" t="s">
        <v>1371</v>
      </c>
      <c r="H945">
        <v>1.565E-3</v>
      </c>
      <c r="J945" t="s">
        <v>1403</v>
      </c>
      <c r="L945">
        <f t="shared" si="21"/>
        <v>1.26E-2</v>
      </c>
      <c r="N945">
        <v>0.65</v>
      </c>
      <c r="O945">
        <v>96.9</v>
      </c>
      <c r="R945" s="2" t="s">
        <v>1438</v>
      </c>
      <c r="S945">
        <v>222627</v>
      </c>
      <c r="U945">
        <v>222627</v>
      </c>
      <c r="V945">
        <v>7.0296954098110292E-9</v>
      </c>
      <c r="W945" t="s">
        <v>9</v>
      </c>
      <c r="X945" t="s">
        <v>1456</v>
      </c>
    </row>
    <row r="946" spans="1:24" hidden="1" x14ac:dyDescent="0.35">
      <c r="A946" t="s">
        <v>665</v>
      </c>
      <c r="B946">
        <v>2023</v>
      </c>
      <c r="C946" t="s">
        <v>1308</v>
      </c>
      <c r="D946" t="s">
        <v>1324</v>
      </c>
      <c r="E946" t="s">
        <v>1359</v>
      </c>
      <c r="F946" t="s">
        <v>1366</v>
      </c>
      <c r="G946" t="s">
        <v>1371</v>
      </c>
      <c r="H946">
        <v>1.01E-4</v>
      </c>
      <c r="J946" t="s">
        <v>1403</v>
      </c>
      <c r="L946">
        <f t="shared" si="21"/>
        <v>1.26E-2</v>
      </c>
      <c r="N946">
        <v>0.65</v>
      </c>
      <c r="O946">
        <v>96.9</v>
      </c>
      <c r="R946" s="2" t="s">
        <v>1438</v>
      </c>
      <c r="S946">
        <v>222627</v>
      </c>
      <c r="U946">
        <v>222627</v>
      </c>
      <c r="V946">
        <v>4.5367363347662242E-10</v>
      </c>
      <c r="W946" t="s">
        <v>9</v>
      </c>
      <c r="X946" t="s">
        <v>1456</v>
      </c>
    </row>
    <row r="947" spans="1:24" hidden="1" x14ac:dyDescent="0.35">
      <c r="A947" t="s">
        <v>666</v>
      </c>
      <c r="B947">
        <v>2023</v>
      </c>
      <c r="C947" t="s">
        <v>1308</v>
      </c>
      <c r="D947" t="s">
        <v>1324</v>
      </c>
      <c r="E947" t="s">
        <v>1359</v>
      </c>
      <c r="F947" t="s">
        <v>1366</v>
      </c>
      <c r="G947" t="s">
        <v>1371</v>
      </c>
      <c r="H947">
        <v>2.12E-4</v>
      </c>
      <c r="J947" t="s">
        <v>1403</v>
      </c>
      <c r="L947">
        <f t="shared" si="21"/>
        <v>1.26E-2</v>
      </c>
      <c r="N947">
        <v>0.65</v>
      </c>
      <c r="O947">
        <v>96.9</v>
      </c>
      <c r="R947" s="2" t="s">
        <v>1438</v>
      </c>
      <c r="S947">
        <v>222627</v>
      </c>
      <c r="U947">
        <v>222627</v>
      </c>
      <c r="V947">
        <v>9.5226544848558353E-10</v>
      </c>
      <c r="W947" t="s">
        <v>9</v>
      </c>
      <c r="X947" t="s">
        <v>1456</v>
      </c>
    </row>
    <row r="948" spans="1:24" hidden="1" x14ac:dyDescent="0.35">
      <c r="A948" t="s">
        <v>667</v>
      </c>
      <c r="B948">
        <v>2023</v>
      </c>
      <c r="C948" t="s">
        <v>1308</v>
      </c>
      <c r="D948" t="s">
        <v>1332</v>
      </c>
      <c r="E948" t="s">
        <v>1359</v>
      </c>
      <c r="F948" t="s">
        <v>1366</v>
      </c>
      <c r="G948" t="s">
        <v>1371</v>
      </c>
      <c r="H948">
        <v>6.3400000000000001E-4</v>
      </c>
      <c r="J948" t="s">
        <v>1403</v>
      </c>
      <c r="L948">
        <f t="shared" si="21"/>
        <v>1.26E-2</v>
      </c>
      <c r="N948">
        <v>0.65</v>
      </c>
      <c r="O948">
        <v>96.9</v>
      </c>
      <c r="R948" s="2" t="s">
        <v>1438</v>
      </c>
      <c r="S948">
        <v>222627</v>
      </c>
      <c r="U948">
        <v>222627</v>
      </c>
      <c r="V948">
        <v>2.847812709150283E-9</v>
      </c>
      <c r="W948" t="s">
        <v>9</v>
      </c>
      <c r="X948" t="s">
        <v>1456</v>
      </c>
    </row>
    <row r="949" spans="1:24" hidden="1" x14ac:dyDescent="0.35">
      <c r="A949" t="s">
        <v>668</v>
      </c>
      <c r="B949">
        <v>2023</v>
      </c>
      <c r="C949" t="s">
        <v>1308</v>
      </c>
      <c r="D949" t="s">
        <v>1332</v>
      </c>
      <c r="E949" t="s">
        <v>1359</v>
      </c>
      <c r="F949" t="s">
        <v>1366</v>
      </c>
      <c r="G949" t="s">
        <v>1371</v>
      </c>
      <c r="H949">
        <v>1.304E-3</v>
      </c>
      <c r="J949" t="s">
        <v>1403</v>
      </c>
      <c r="L949">
        <f t="shared" si="21"/>
        <v>1.26E-2</v>
      </c>
      <c r="N949">
        <v>0.65</v>
      </c>
      <c r="O949">
        <v>96.9</v>
      </c>
      <c r="R949" s="2" t="s">
        <v>1438</v>
      </c>
      <c r="S949">
        <v>222627</v>
      </c>
      <c r="U949">
        <v>222627</v>
      </c>
      <c r="V949">
        <v>5.8573308718169858E-9</v>
      </c>
      <c r="W949" t="s">
        <v>9</v>
      </c>
      <c r="X949" t="s">
        <v>1456</v>
      </c>
    </row>
    <row r="950" spans="1:24" hidden="1" x14ac:dyDescent="0.35">
      <c r="A950" t="s">
        <v>669</v>
      </c>
      <c r="B950">
        <v>2023</v>
      </c>
      <c r="C950" t="s">
        <v>1308</v>
      </c>
      <c r="D950" t="s">
        <v>1313</v>
      </c>
      <c r="E950" t="s">
        <v>1359</v>
      </c>
      <c r="F950" t="s">
        <v>1366</v>
      </c>
      <c r="G950" t="s">
        <v>1371</v>
      </c>
      <c r="H950">
        <v>0.597862</v>
      </c>
      <c r="J950" t="s">
        <v>1403</v>
      </c>
      <c r="L950">
        <f t="shared" si="21"/>
        <v>1.26E-2</v>
      </c>
      <c r="N950">
        <v>0.65</v>
      </c>
      <c r="O950">
        <v>96.9</v>
      </c>
      <c r="R950" s="2" t="s">
        <v>1438</v>
      </c>
      <c r="S950">
        <v>222627</v>
      </c>
      <c r="U950">
        <v>222627</v>
      </c>
      <c r="V950">
        <v>2.6854873847287172E-6</v>
      </c>
      <c r="W950" t="s">
        <v>9</v>
      </c>
      <c r="X950" t="s">
        <v>1456</v>
      </c>
    </row>
    <row r="951" spans="1:24" hidden="1" x14ac:dyDescent="0.35">
      <c r="A951" t="s">
        <v>670</v>
      </c>
      <c r="B951">
        <v>2023</v>
      </c>
      <c r="C951" t="s">
        <v>1308</v>
      </c>
      <c r="D951" t="s">
        <v>1313</v>
      </c>
      <c r="E951" t="s">
        <v>1359</v>
      </c>
      <c r="F951" t="s">
        <v>1366</v>
      </c>
      <c r="G951" t="s">
        <v>1371</v>
      </c>
      <c r="H951">
        <v>1.1423140000000001</v>
      </c>
      <c r="J951" t="s">
        <v>1403</v>
      </c>
      <c r="L951">
        <f t="shared" si="21"/>
        <v>1.26E-2</v>
      </c>
      <c r="N951">
        <v>0.65</v>
      </c>
      <c r="O951">
        <v>96.9</v>
      </c>
      <c r="R951" s="2" t="s">
        <v>1438</v>
      </c>
      <c r="S951">
        <v>222627</v>
      </c>
      <c r="U951">
        <v>222627</v>
      </c>
      <c r="V951">
        <v>5.1310667618932114E-6</v>
      </c>
      <c r="W951" t="s">
        <v>9</v>
      </c>
      <c r="X951" t="s">
        <v>1456</v>
      </c>
    </row>
    <row r="952" spans="1:24" hidden="1" x14ac:dyDescent="0.35">
      <c r="A952" t="s">
        <v>671</v>
      </c>
      <c r="B952">
        <v>2023</v>
      </c>
      <c r="C952" t="s">
        <v>1308</v>
      </c>
      <c r="D952" t="s">
        <v>1314</v>
      </c>
      <c r="E952" t="s">
        <v>1359</v>
      </c>
      <c r="F952" t="s">
        <v>1366</v>
      </c>
      <c r="G952" t="s">
        <v>1371</v>
      </c>
      <c r="H952">
        <v>5.7718999999999999E-2</v>
      </c>
      <c r="J952" t="s">
        <v>1403</v>
      </c>
      <c r="L952">
        <f t="shared" si="21"/>
        <v>1.26E-2</v>
      </c>
      <c r="N952">
        <v>0.65</v>
      </c>
      <c r="O952">
        <v>96.9</v>
      </c>
      <c r="R952" s="2" t="s">
        <v>1438</v>
      </c>
      <c r="S952">
        <v>222627</v>
      </c>
      <c r="U952">
        <v>222627</v>
      </c>
      <c r="V952">
        <v>2.592632519865066E-7</v>
      </c>
      <c r="W952" t="s">
        <v>9</v>
      </c>
      <c r="X952" t="s">
        <v>1456</v>
      </c>
    </row>
    <row r="953" spans="1:24" hidden="1" x14ac:dyDescent="0.35">
      <c r="A953" t="s">
        <v>672</v>
      </c>
      <c r="B953">
        <v>2023</v>
      </c>
      <c r="C953" t="s">
        <v>1308</v>
      </c>
      <c r="D953" t="s">
        <v>1314</v>
      </c>
      <c r="E953" t="s">
        <v>1359</v>
      </c>
      <c r="F953" t="s">
        <v>1366</v>
      </c>
      <c r="G953" t="s">
        <v>1371</v>
      </c>
      <c r="H953">
        <v>0.19373199999999999</v>
      </c>
      <c r="J953" t="s">
        <v>1403</v>
      </c>
      <c r="L953">
        <f t="shared" si="21"/>
        <v>1.26E-2</v>
      </c>
      <c r="N953">
        <v>0.65</v>
      </c>
      <c r="O953">
        <v>96.9</v>
      </c>
      <c r="R953" s="2" t="s">
        <v>1438</v>
      </c>
      <c r="S953">
        <v>222627</v>
      </c>
      <c r="U953">
        <v>222627</v>
      </c>
      <c r="V953">
        <v>8.7020891446230686E-7</v>
      </c>
      <c r="W953" t="s">
        <v>9</v>
      </c>
      <c r="X953" t="s">
        <v>1456</v>
      </c>
    </row>
    <row r="954" spans="1:24" hidden="1" x14ac:dyDescent="0.35">
      <c r="A954" t="s">
        <v>673</v>
      </c>
      <c r="B954">
        <v>2023</v>
      </c>
      <c r="C954" t="s">
        <v>1308</v>
      </c>
      <c r="D954" t="s">
        <v>1325</v>
      </c>
      <c r="E954" t="s">
        <v>1359</v>
      </c>
      <c r="F954" t="s">
        <v>1366</v>
      </c>
      <c r="G954" t="s">
        <v>1372</v>
      </c>
      <c r="H954">
        <v>1.0150000000000001E-3</v>
      </c>
      <c r="J954" t="s">
        <v>1403</v>
      </c>
      <c r="L954">
        <f t="shared" si="21"/>
        <v>1.26E-2</v>
      </c>
      <c r="N954">
        <v>0.65</v>
      </c>
      <c r="O954">
        <v>96.9</v>
      </c>
      <c r="R954" s="2" t="s">
        <v>1438</v>
      </c>
      <c r="S954">
        <v>222627</v>
      </c>
      <c r="U954">
        <v>222627</v>
      </c>
      <c r="V954">
        <v>4.5591954255323928E-9</v>
      </c>
      <c r="W954" t="s">
        <v>9</v>
      </c>
      <c r="X954" t="s">
        <v>1457</v>
      </c>
    </row>
    <row r="955" spans="1:24" hidden="1" x14ac:dyDescent="0.35">
      <c r="A955" t="s">
        <v>674</v>
      </c>
      <c r="B955">
        <v>2023</v>
      </c>
      <c r="C955" t="s">
        <v>1308</v>
      </c>
      <c r="D955" t="s">
        <v>1315</v>
      </c>
      <c r="E955" t="s">
        <v>1359</v>
      </c>
      <c r="F955" t="s">
        <v>1366</v>
      </c>
      <c r="G955" t="s">
        <v>1371</v>
      </c>
      <c r="H955">
        <v>2.9009589999999998</v>
      </c>
      <c r="J955" t="s">
        <v>1403</v>
      </c>
      <c r="L955">
        <f t="shared" si="21"/>
        <v>1.26E-2</v>
      </c>
      <c r="N955">
        <v>0.65</v>
      </c>
      <c r="O955">
        <v>96.9</v>
      </c>
      <c r="R955" s="2" t="s">
        <v>1438</v>
      </c>
      <c r="S955">
        <v>222627</v>
      </c>
      <c r="U955">
        <v>222627</v>
      </c>
      <c r="V955">
        <v>1.303058029798722E-5</v>
      </c>
      <c r="W955" t="s">
        <v>9</v>
      </c>
      <c r="X955" t="s">
        <v>1456</v>
      </c>
    </row>
    <row r="956" spans="1:24" hidden="1" x14ac:dyDescent="0.35">
      <c r="A956" t="s">
        <v>675</v>
      </c>
      <c r="B956">
        <v>2023</v>
      </c>
      <c r="C956" t="s">
        <v>1308</v>
      </c>
      <c r="D956" t="s">
        <v>1336</v>
      </c>
      <c r="E956" t="s">
        <v>1359</v>
      </c>
      <c r="F956" t="s">
        <v>1366</v>
      </c>
      <c r="G956" t="s">
        <v>1371</v>
      </c>
      <c r="H956">
        <v>1.3200000000000001E-4</v>
      </c>
      <c r="J956" t="s">
        <v>1403</v>
      </c>
      <c r="L956">
        <f t="shared" si="21"/>
        <v>1.26E-2</v>
      </c>
      <c r="N956">
        <v>0.65</v>
      </c>
      <c r="O956">
        <v>96.9</v>
      </c>
      <c r="R956" s="2" t="s">
        <v>1438</v>
      </c>
      <c r="S956">
        <v>222627</v>
      </c>
      <c r="U956">
        <v>222627</v>
      </c>
      <c r="V956">
        <v>5.9291999622687277E-10</v>
      </c>
      <c r="W956" t="s">
        <v>9</v>
      </c>
      <c r="X956" t="s">
        <v>1456</v>
      </c>
    </row>
    <row r="957" spans="1:24" hidden="1" x14ac:dyDescent="0.35">
      <c r="A957" t="s">
        <v>676</v>
      </c>
      <c r="B957">
        <v>2023</v>
      </c>
      <c r="C957" t="s">
        <v>1308</v>
      </c>
      <c r="D957" t="s">
        <v>1336</v>
      </c>
      <c r="E957" t="s">
        <v>1359</v>
      </c>
      <c r="F957" t="s">
        <v>1366</v>
      </c>
      <c r="G957" t="s">
        <v>1371</v>
      </c>
      <c r="H957">
        <v>2.72E-4</v>
      </c>
      <c r="J957" t="s">
        <v>1403</v>
      </c>
      <c r="L957">
        <f t="shared" si="21"/>
        <v>1.26E-2</v>
      </c>
      <c r="N957">
        <v>0.65</v>
      </c>
      <c r="O957">
        <v>96.9</v>
      </c>
      <c r="R957" s="2" t="s">
        <v>1438</v>
      </c>
      <c r="S957">
        <v>222627</v>
      </c>
      <c r="U957">
        <v>222627</v>
      </c>
      <c r="V957">
        <v>1.2217745376796161E-9</v>
      </c>
      <c r="W957" t="s">
        <v>9</v>
      </c>
      <c r="X957" t="s">
        <v>1456</v>
      </c>
    </row>
    <row r="958" spans="1:24" hidden="1" x14ac:dyDescent="0.35">
      <c r="A958" t="s">
        <v>677</v>
      </c>
      <c r="B958">
        <v>2023</v>
      </c>
      <c r="C958" t="s">
        <v>1308</v>
      </c>
      <c r="D958" t="s">
        <v>1326</v>
      </c>
      <c r="E958" t="s">
        <v>1359</v>
      </c>
      <c r="F958" t="s">
        <v>1366</v>
      </c>
      <c r="G958" t="s">
        <v>1371</v>
      </c>
      <c r="H958">
        <v>8.3999999999999995E-5</v>
      </c>
      <c r="J958" t="s">
        <v>1403</v>
      </c>
      <c r="L958">
        <f t="shared" si="21"/>
        <v>1.26E-2</v>
      </c>
      <c r="N958">
        <v>0.65</v>
      </c>
      <c r="O958">
        <v>96.9</v>
      </c>
      <c r="R958" s="2" t="s">
        <v>1438</v>
      </c>
      <c r="S958">
        <v>222627</v>
      </c>
      <c r="U958">
        <v>222627</v>
      </c>
      <c r="V958">
        <v>3.7731272487164628E-10</v>
      </c>
      <c r="W958" t="s">
        <v>9</v>
      </c>
      <c r="X958" t="s">
        <v>1456</v>
      </c>
    </row>
    <row r="959" spans="1:24" hidden="1" x14ac:dyDescent="0.35">
      <c r="A959" t="s">
        <v>678</v>
      </c>
      <c r="B959">
        <v>2023</v>
      </c>
      <c r="C959" t="s">
        <v>1308</v>
      </c>
      <c r="D959" t="s">
        <v>1326</v>
      </c>
      <c r="E959" t="s">
        <v>1359</v>
      </c>
      <c r="F959" t="s">
        <v>1366</v>
      </c>
      <c r="G959" t="s">
        <v>1371</v>
      </c>
      <c r="H959">
        <v>1.74E-4</v>
      </c>
      <c r="J959" t="s">
        <v>1403</v>
      </c>
      <c r="L959">
        <f t="shared" si="21"/>
        <v>1.26E-2</v>
      </c>
      <c r="N959">
        <v>0.65</v>
      </c>
      <c r="O959">
        <v>96.9</v>
      </c>
      <c r="R959" s="2" t="s">
        <v>1438</v>
      </c>
      <c r="S959">
        <v>222627</v>
      </c>
      <c r="U959">
        <v>222627</v>
      </c>
      <c r="V959">
        <v>7.8157635866269589E-10</v>
      </c>
      <c r="W959" t="s">
        <v>9</v>
      </c>
      <c r="X959" t="s">
        <v>1456</v>
      </c>
    </row>
    <row r="960" spans="1:24" hidden="1" x14ac:dyDescent="0.35">
      <c r="A960" t="s">
        <v>959</v>
      </c>
      <c r="B960">
        <v>2023</v>
      </c>
      <c r="C960" t="s">
        <v>1309</v>
      </c>
      <c r="D960" t="s">
        <v>1317</v>
      </c>
      <c r="E960" t="s">
        <v>1359</v>
      </c>
      <c r="F960" t="s">
        <v>1368</v>
      </c>
      <c r="G960" t="s">
        <v>1372</v>
      </c>
      <c r="H960">
        <v>0.54520000000000002</v>
      </c>
      <c r="J960" t="s">
        <v>1403</v>
      </c>
      <c r="L960">
        <f t="shared" si="21"/>
        <v>1.26E-2</v>
      </c>
      <c r="N960">
        <v>0.65</v>
      </c>
      <c r="O960">
        <v>96.9</v>
      </c>
      <c r="R960" s="2" t="s">
        <v>1438</v>
      </c>
      <c r="S960">
        <v>222627</v>
      </c>
      <c r="U960">
        <v>222627</v>
      </c>
      <c r="V960">
        <v>2.4489392571431138E-6</v>
      </c>
      <c r="W960" t="s">
        <v>9</v>
      </c>
      <c r="X960" t="s">
        <v>1457</v>
      </c>
    </row>
    <row r="961" spans="1:24" hidden="1" x14ac:dyDescent="0.35">
      <c r="A961" t="s">
        <v>960</v>
      </c>
      <c r="B961">
        <v>2023</v>
      </c>
      <c r="C961" t="s">
        <v>1309</v>
      </c>
      <c r="D961" t="s">
        <v>1321</v>
      </c>
      <c r="E961" t="s">
        <v>1359</v>
      </c>
      <c r="F961" t="s">
        <v>1368</v>
      </c>
      <c r="G961" t="s">
        <v>1371</v>
      </c>
      <c r="H961">
        <v>7.0020000000000004E-3</v>
      </c>
      <c r="J961" t="s">
        <v>1403</v>
      </c>
      <c r="L961">
        <f t="shared" si="21"/>
        <v>1.26E-2</v>
      </c>
      <c r="N961">
        <v>0.65</v>
      </c>
      <c r="O961">
        <v>96.9</v>
      </c>
      <c r="R961" s="2" t="s">
        <v>1438</v>
      </c>
      <c r="S961">
        <v>222627</v>
      </c>
      <c r="U961">
        <v>222627</v>
      </c>
      <c r="V961">
        <v>3.1451710708943657E-8</v>
      </c>
      <c r="W961" t="s">
        <v>9</v>
      </c>
      <c r="X961" t="s">
        <v>1456</v>
      </c>
    </row>
    <row r="962" spans="1:24" hidden="1" x14ac:dyDescent="0.35">
      <c r="A962" t="s">
        <v>961</v>
      </c>
      <c r="B962">
        <v>2023</v>
      </c>
      <c r="C962" t="s">
        <v>1309</v>
      </c>
      <c r="D962" t="s">
        <v>1339</v>
      </c>
      <c r="E962" t="s">
        <v>1359</v>
      </c>
      <c r="F962" t="s">
        <v>1368</v>
      </c>
      <c r="G962" t="s">
        <v>1371</v>
      </c>
      <c r="H962">
        <v>6.7889999999999999E-3</v>
      </c>
      <c r="J962" t="s">
        <v>1403</v>
      </c>
      <c r="L962">
        <f t="shared" si="21"/>
        <v>1.26E-2</v>
      </c>
      <c r="N962">
        <v>0.65</v>
      </c>
      <c r="O962">
        <v>96.9</v>
      </c>
      <c r="R962" s="2" t="s">
        <v>1438</v>
      </c>
      <c r="S962">
        <v>222627</v>
      </c>
      <c r="U962">
        <v>222627</v>
      </c>
      <c r="V962">
        <v>3.049495344230484E-8</v>
      </c>
      <c r="W962" t="s">
        <v>9</v>
      </c>
      <c r="X962" t="s">
        <v>1456</v>
      </c>
    </row>
    <row r="963" spans="1:24" hidden="1" x14ac:dyDescent="0.35">
      <c r="A963" t="s">
        <v>962</v>
      </c>
      <c r="B963">
        <v>2023</v>
      </c>
      <c r="C963" t="s">
        <v>1309</v>
      </c>
      <c r="D963" t="s">
        <v>1322</v>
      </c>
      <c r="E963" t="s">
        <v>1359</v>
      </c>
      <c r="F963" t="s">
        <v>1368</v>
      </c>
      <c r="G963" t="s">
        <v>1372</v>
      </c>
      <c r="H963">
        <v>0.14374000000000001</v>
      </c>
      <c r="J963" t="s">
        <v>1403</v>
      </c>
      <c r="L963">
        <f t="shared" si="21"/>
        <v>1.26E-2</v>
      </c>
      <c r="N963">
        <v>0.65</v>
      </c>
      <c r="O963">
        <v>96.9</v>
      </c>
      <c r="R963" s="2" t="s">
        <v>1438</v>
      </c>
      <c r="S963">
        <v>222627</v>
      </c>
      <c r="U963">
        <v>222627</v>
      </c>
      <c r="V963">
        <v>6.4565394134583859E-7</v>
      </c>
      <c r="W963" t="s">
        <v>9</v>
      </c>
      <c r="X963" t="s">
        <v>1457</v>
      </c>
    </row>
    <row r="964" spans="1:24" hidden="1" x14ac:dyDescent="0.35">
      <c r="A964" t="s">
        <v>963</v>
      </c>
      <c r="B964">
        <v>2023</v>
      </c>
      <c r="C964" t="s">
        <v>1309</v>
      </c>
      <c r="D964" t="s">
        <v>1324</v>
      </c>
      <c r="E964" t="s">
        <v>1359</v>
      </c>
      <c r="F964" t="s">
        <v>1368</v>
      </c>
      <c r="G964" t="s">
        <v>1371</v>
      </c>
      <c r="H964">
        <v>1.6329999999999999E-3</v>
      </c>
      <c r="J964" t="s">
        <v>1403</v>
      </c>
      <c r="L964">
        <f t="shared" si="21"/>
        <v>1.26E-2</v>
      </c>
      <c r="N964">
        <v>0.65</v>
      </c>
      <c r="O964">
        <v>96.9</v>
      </c>
      <c r="R964" s="2" t="s">
        <v>1438</v>
      </c>
      <c r="S964">
        <v>222627</v>
      </c>
      <c r="U964">
        <v>222627</v>
      </c>
      <c r="V964">
        <v>7.3351390442309327E-9</v>
      </c>
      <c r="W964" t="s">
        <v>9</v>
      </c>
      <c r="X964" t="s">
        <v>1456</v>
      </c>
    </row>
    <row r="965" spans="1:24" hidden="1" x14ac:dyDescent="0.35">
      <c r="A965" t="s">
        <v>964</v>
      </c>
      <c r="B965">
        <v>2023</v>
      </c>
      <c r="C965" t="s">
        <v>1309</v>
      </c>
      <c r="D965" t="s">
        <v>1326</v>
      </c>
      <c r="E965" t="s">
        <v>1359</v>
      </c>
      <c r="F965" t="s">
        <v>1368</v>
      </c>
      <c r="G965" t="s">
        <v>1371</v>
      </c>
      <c r="H965">
        <v>3.055E-3</v>
      </c>
      <c r="J965" t="s">
        <v>1403</v>
      </c>
      <c r="L965">
        <f t="shared" si="21"/>
        <v>1.26E-2</v>
      </c>
      <c r="N965">
        <v>0.65</v>
      </c>
      <c r="O965">
        <v>96.9</v>
      </c>
      <c r="R965" s="2" t="s">
        <v>1438</v>
      </c>
      <c r="S965">
        <v>222627</v>
      </c>
      <c r="U965">
        <v>222627</v>
      </c>
      <c r="V965">
        <v>1.3722504458129519E-8</v>
      </c>
      <c r="W965" t="s">
        <v>9</v>
      </c>
      <c r="X965" t="s">
        <v>1456</v>
      </c>
    </row>
    <row r="966" spans="1:24" hidden="1" x14ac:dyDescent="0.35">
      <c r="A966" t="s">
        <v>1047</v>
      </c>
      <c r="B966">
        <v>2023</v>
      </c>
      <c r="C966" t="s">
        <v>1308</v>
      </c>
      <c r="D966" t="s">
        <v>1347</v>
      </c>
      <c r="E966" t="s">
        <v>1359</v>
      </c>
      <c r="F966" t="s">
        <v>1370</v>
      </c>
      <c r="G966" t="s">
        <v>1375</v>
      </c>
      <c r="H966">
        <v>12400</v>
      </c>
      <c r="J966" t="s">
        <v>1403</v>
      </c>
      <c r="L966">
        <f t="shared" si="21"/>
        <v>1.26E-2</v>
      </c>
      <c r="N966">
        <v>0.65</v>
      </c>
      <c r="O966">
        <v>96.9</v>
      </c>
      <c r="R966" s="2" t="s">
        <v>1439</v>
      </c>
      <c r="S966">
        <v>222627</v>
      </c>
      <c r="U966">
        <v>222627</v>
      </c>
      <c r="V966">
        <v>5.5698545100100173E-2</v>
      </c>
      <c r="W966" t="s">
        <v>9</v>
      </c>
      <c r="X966" t="s">
        <v>1460</v>
      </c>
    </row>
    <row r="967" spans="1:24" hidden="1" x14ac:dyDescent="0.35">
      <c r="A967" t="s">
        <v>1284</v>
      </c>
      <c r="B967">
        <v>2023</v>
      </c>
      <c r="C967" t="s">
        <v>1308</v>
      </c>
      <c r="D967" t="s">
        <v>1311</v>
      </c>
      <c r="E967" t="s">
        <v>1359</v>
      </c>
      <c r="G967" t="s">
        <v>1371</v>
      </c>
      <c r="H967">
        <v>18.670000000000002</v>
      </c>
      <c r="J967" t="s">
        <v>1403</v>
      </c>
      <c r="L967">
        <f t="shared" si="21"/>
        <v>1.26E-2</v>
      </c>
      <c r="N967">
        <v>0.65</v>
      </c>
      <c r="O967">
        <v>96.9</v>
      </c>
      <c r="Q967" t="s">
        <v>1437</v>
      </c>
      <c r="R967" t="s">
        <v>1455</v>
      </c>
      <c r="S967">
        <v>222627</v>
      </c>
      <c r="U967">
        <v>222627</v>
      </c>
      <c r="V967">
        <v>8.3862244920876634E-5</v>
      </c>
      <c r="W967" t="s">
        <v>9</v>
      </c>
      <c r="X967" t="s">
        <v>1456</v>
      </c>
    </row>
    <row r="968" spans="1:24" hidden="1" x14ac:dyDescent="0.35">
      <c r="A968" t="s">
        <v>1285</v>
      </c>
      <c r="B968">
        <v>2023</v>
      </c>
      <c r="C968" t="s">
        <v>1308</v>
      </c>
      <c r="D968" t="s">
        <v>1347</v>
      </c>
      <c r="E968" t="s">
        <v>1359</v>
      </c>
      <c r="G968" t="s">
        <v>1375</v>
      </c>
      <c r="H968">
        <v>12303</v>
      </c>
      <c r="J968" t="s">
        <v>1403</v>
      </c>
      <c r="L968">
        <f t="shared" si="21"/>
        <v>1.26E-2</v>
      </c>
      <c r="N968">
        <v>0.65</v>
      </c>
      <c r="O968">
        <v>96.9</v>
      </c>
      <c r="Q968" t="s">
        <v>1437</v>
      </c>
      <c r="R968" t="s">
        <v>1455</v>
      </c>
      <c r="S968">
        <v>222627</v>
      </c>
      <c r="U968">
        <v>222627</v>
      </c>
      <c r="V968">
        <v>5.5262838739236479E-2</v>
      </c>
      <c r="W968" t="s">
        <v>9</v>
      </c>
      <c r="X968" t="s">
        <v>1460</v>
      </c>
    </row>
    <row r="969" spans="1:24" hidden="1" x14ac:dyDescent="0.35">
      <c r="A969" t="s">
        <v>1286</v>
      </c>
      <c r="B969">
        <v>2023</v>
      </c>
      <c r="C969" t="s">
        <v>1308</v>
      </c>
      <c r="D969" t="s">
        <v>1347</v>
      </c>
      <c r="E969" t="s">
        <v>1359</v>
      </c>
      <c r="G969" t="s">
        <v>1375</v>
      </c>
      <c r="H969">
        <v>2791</v>
      </c>
      <c r="J969" t="s">
        <v>1403</v>
      </c>
      <c r="L969">
        <f t="shared" si="21"/>
        <v>1.26E-2</v>
      </c>
      <c r="N969">
        <v>0.65</v>
      </c>
      <c r="O969">
        <v>96.9</v>
      </c>
      <c r="Q969" t="s">
        <v>1437</v>
      </c>
      <c r="R969" t="s">
        <v>1455</v>
      </c>
      <c r="S969">
        <v>222627</v>
      </c>
      <c r="U969">
        <v>222627</v>
      </c>
      <c r="V969">
        <v>1.253666446567577E-2</v>
      </c>
      <c r="W969" t="s">
        <v>9</v>
      </c>
      <c r="X969" t="s">
        <v>1460</v>
      </c>
    </row>
    <row r="970" spans="1:24" hidden="1" x14ac:dyDescent="0.35">
      <c r="A970" t="s">
        <v>1287</v>
      </c>
      <c r="B970">
        <v>2023</v>
      </c>
      <c r="C970" t="s">
        <v>1308</v>
      </c>
      <c r="D970" t="s">
        <v>1322</v>
      </c>
      <c r="E970" t="s">
        <v>1359</v>
      </c>
      <c r="G970" t="s">
        <v>1372</v>
      </c>
      <c r="H970">
        <v>0.05</v>
      </c>
      <c r="J970" t="s">
        <v>1403</v>
      </c>
      <c r="L970">
        <f t="shared" si="21"/>
        <v>1.26E-2</v>
      </c>
      <c r="N970">
        <v>0.65</v>
      </c>
      <c r="O970">
        <v>96.9</v>
      </c>
      <c r="Q970" t="s">
        <v>1437</v>
      </c>
      <c r="R970" t="s">
        <v>1455</v>
      </c>
      <c r="S970">
        <v>222627</v>
      </c>
      <c r="U970">
        <v>222627</v>
      </c>
      <c r="V970">
        <v>2.2459090766169421E-7</v>
      </c>
      <c r="W970" t="s">
        <v>9</v>
      </c>
      <c r="X970" t="s">
        <v>1457</v>
      </c>
    </row>
    <row r="971" spans="1:24" hidden="1" x14ac:dyDescent="0.35">
      <c r="A971" t="s">
        <v>1288</v>
      </c>
      <c r="B971">
        <v>2023</v>
      </c>
      <c r="C971" t="s">
        <v>1308</v>
      </c>
      <c r="D971" t="s">
        <v>1330</v>
      </c>
      <c r="E971" t="s">
        <v>1359</v>
      </c>
      <c r="G971" t="s">
        <v>1371</v>
      </c>
      <c r="H971">
        <v>0</v>
      </c>
      <c r="J971" t="s">
        <v>1403</v>
      </c>
      <c r="L971">
        <f t="shared" si="21"/>
        <v>1.26E-2</v>
      </c>
      <c r="N971">
        <v>0.65</v>
      </c>
      <c r="O971">
        <v>96.9</v>
      </c>
      <c r="Q971" t="s">
        <v>1437</v>
      </c>
      <c r="R971" t="s">
        <v>1455</v>
      </c>
      <c r="S971">
        <v>222627</v>
      </c>
      <c r="U971">
        <v>222627</v>
      </c>
      <c r="V971">
        <v>0</v>
      </c>
      <c r="W971" t="s">
        <v>9</v>
      </c>
      <c r="X971" t="s">
        <v>1456</v>
      </c>
    </row>
    <row r="972" spans="1:24" hidden="1" x14ac:dyDescent="0.35">
      <c r="A972" t="s">
        <v>1289</v>
      </c>
      <c r="B972">
        <v>2023</v>
      </c>
      <c r="C972" t="s">
        <v>1308</v>
      </c>
      <c r="D972" t="s">
        <v>1357</v>
      </c>
      <c r="E972" t="s">
        <v>1359</v>
      </c>
      <c r="G972" t="s">
        <v>1378</v>
      </c>
      <c r="H972">
        <v>10.92</v>
      </c>
      <c r="J972" t="s">
        <v>1403</v>
      </c>
      <c r="L972">
        <f t="shared" si="21"/>
        <v>1.26E-2</v>
      </c>
      <c r="N972">
        <v>0.65</v>
      </c>
      <c r="O972">
        <v>96.9</v>
      </c>
      <c r="Q972" t="s">
        <v>1437</v>
      </c>
      <c r="R972" t="s">
        <v>1455</v>
      </c>
      <c r="S972">
        <v>222627</v>
      </c>
      <c r="U972">
        <v>222627</v>
      </c>
      <c r="V972">
        <v>4.9050654233314021E-5</v>
      </c>
      <c r="W972" t="s">
        <v>9</v>
      </c>
      <c r="X972" t="s">
        <v>1463</v>
      </c>
    </row>
    <row r="973" spans="1:24" hidden="1" x14ac:dyDescent="0.35">
      <c r="A973" t="s">
        <v>1290</v>
      </c>
      <c r="B973">
        <v>2023</v>
      </c>
      <c r="C973" t="s">
        <v>1308</v>
      </c>
      <c r="D973" t="s">
        <v>1358</v>
      </c>
      <c r="E973" t="s">
        <v>1359</v>
      </c>
      <c r="G973" t="s">
        <v>1378</v>
      </c>
      <c r="H973">
        <v>0.61</v>
      </c>
      <c r="J973" t="s">
        <v>1403</v>
      </c>
      <c r="L973">
        <f t="shared" si="21"/>
        <v>1.26E-2</v>
      </c>
      <c r="N973">
        <v>0.65</v>
      </c>
      <c r="O973">
        <v>96.9</v>
      </c>
      <c r="Q973" t="s">
        <v>1437</v>
      </c>
      <c r="R973" t="s">
        <v>1455</v>
      </c>
      <c r="S973">
        <v>222627</v>
      </c>
      <c r="U973">
        <v>222627</v>
      </c>
      <c r="V973">
        <v>2.74000907347267E-6</v>
      </c>
      <c r="W973" t="s">
        <v>9</v>
      </c>
      <c r="X973" t="s">
        <v>1463</v>
      </c>
    </row>
    <row r="974" spans="1:24" hidden="1" x14ac:dyDescent="0.35">
      <c r="A974" t="s">
        <v>1291</v>
      </c>
      <c r="B974">
        <v>2023</v>
      </c>
      <c r="C974" t="s">
        <v>1308</v>
      </c>
      <c r="D974" t="s">
        <v>1316</v>
      </c>
      <c r="E974" t="s">
        <v>1359</v>
      </c>
      <c r="G974" t="s">
        <v>1371</v>
      </c>
      <c r="H974">
        <v>0.2</v>
      </c>
      <c r="J974" t="s">
        <v>1403</v>
      </c>
      <c r="L974">
        <f t="shared" si="21"/>
        <v>1.26E-2</v>
      </c>
      <c r="N974">
        <v>0.65</v>
      </c>
      <c r="O974">
        <v>96.9</v>
      </c>
      <c r="Q974" t="s">
        <v>1437</v>
      </c>
      <c r="R974" t="s">
        <v>1455</v>
      </c>
      <c r="S974">
        <v>222627</v>
      </c>
      <c r="U974">
        <v>222627</v>
      </c>
      <c r="V974">
        <v>8.9836363064677693E-7</v>
      </c>
      <c r="W974" t="s">
        <v>9</v>
      </c>
      <c r="X974" t="s">
        <v>1456</v>
      </c>
    </row>
    <row r="975" spans="1:24" hidden="1" x14ac:dyDescent="0.35">
      <c r="A975" t="s">
        <v>1292</v>
      </c>
      <c r="B975">
        <v>2023</v>
      </c>
      <c r="C975" t="s">
        <v>1309</v>
      </c>
      <c r="D975" t="s">
        <v>1350</v>
      </c>
      <c r="E975" t="s">
        <v>1360</v>
      </c>
      <c r="G975" t="s">
        <v>1376</v>
      </c>
      <c r="H975">
        <v>518856</v>
      </c>
      <c r="J975" t="s">
        <v>1403</v>
      </c>
      <c r="L975">
        <f t="shared" si="21"/>
        <v>1.26E-2</v>
      </c>
      <c r="N975">
        <v>0.65</v>
      </c>
      <c r="O975">
        <v>96.9</v>
      </c>
      <c r="Q975" t="s">
        <v>1437</v>
      </c>
      <c r="R975" t="s">
        <v>1455</v>
      </c>
      <c r="S975">
        <v>222627</v>
      </c>
      <c r="U975">
        <v>222627</v>
      </c>
      <c r="V975">
        <v>2.3306067997143201</v>
      </c>
      <c r="W975" t="s">
        <v>9</v>
      </c>
      <c r="X975" t="s">
        <v>1461</v>
      </c>
    </row>
    <row r="976" spans="1:24" hidden="1" x14ac:dyDescent="0.35">
      <c r="A976" t="s">
        <v>1293</v>
      </c>
      <c r="B976">
        <v>2023</v>
      </c>
      <c r="C976" t="s">
        <v>1309</v>
      </c>
      <c r="D976" t="s">
        <v>1350</v>
      </c>
      <c r="E976" t="s">
        <v>1360</v>
      </c>
      <c r="G976" t="s">
        <v>1376</v>
      </c>
      <c r="H976">
        <v>518856</v>
      </c>
      <c r="J976" t="s">
        <v>1403</v>
      </c>
      <c r="L976">
        <f t="shared" si="21"/>
        <v>1.26E-2</v>
      </c>
      <c r="N976">
        <v>0.65</v>
      </c>
      <c r="O976">
        <v>96.9</v>
      </c>
      <c r="Q976" t="s">
        <v>1437</v>
      </c>
      <c r="R976" t="s">
        <v>1455</v>
      </c>
      <c r="S976">
        <v>222627</v>
      </c>
      <c r="U976">
        <v>222627</v>
      </c>
      <c r="V976">
        <v>2.3306067997143201</v>
      </c>
      <c r="W976" t="s">
        <v>9</v>
      </c>
      <c r="X976" t="s">
        <v>1461</v>
      </c>
    </row>
    <row r="977" spans="1:24" hidden="1" x14ac:dyDescent="0.35">
      <c r="A977" t="s">
        <v>1294</v>
      </c>
      <c r="B977">
        <v>2023</v>
      </c>
      <c r="C977" t="s">
        <v>1309</v>
      </c>
      <c r="D977" t="s">
        <v>1350</v>
      </c>
      <c r="E977" t="s">
        <v>1361</v>
      </c>
      <c r="G977" t="s">
        <v>1376</v>
      </c>
      <c r="H977">
        <v>29350</v>
      </c>
      <c r="J977" t="s">
        <v>1403</v>
      </c>
      <c r="L977">
        <f t="shared" si="21"/>
        <v>1.26E-2</v>
      </c>
      <c r="N977">
        <v>0.65</v>
      </c>
      <c r="O977">
        <v>96.9</v>
      </c>
      <c r="Q977" t="s">
        <v>1437</v>
      </c>
      <c r="R977" t="s">
        <v>1455</v>
      </c>
      <c r="S977">
        <v>222627</v>
      </c>
      <c r="U977">
        <v>222627</v>
      </c>
      <c r="V977">
        <v>0.13183486279741449</v>
      </c>
      <c r="W977" t="s">
        <v>9</v>
      </c>
      <c r="X977" t="s">
        <v>1461</v>
      </c>
    </row>
    <row r="978" spans="1:24" hidden="1" x14ac:dyDescent="0.35">
      <c r="A978" t="s">
        <v>1295</v>
      </c>
      <c r="B978">
        <v>2023</v>
      </c>
      <c r="C978" t="s">
        <v>1309</v>
      </c>
      <c r="D978" t="s">
        <v>1350</v>
      </c>
      <c r="E978" t="s">
        <v>1362</v>
      </c>
      <c r="G978" t="s">
        <v>1376</v>
      </c>
      <c r="H978">
        <v>324347</v>
      </c>
      <c r="J978" t="s">
        <v>1403</v>
      </c>
      <c r="L978">
        <f t="shared" si="21"/>
        <v>1.26E-2</v>
      </c>
      <c r="N978">
        <v>0.65</v>
      </c>
      <c r="O978">
        <v>96.9</v>
      </c>
      <c r="Q978" t="s">
        <v>1437</v>
      </c>
      <c r="R978" t="s">
        <v>1455</v>
      </c>
      <c r="S978">
        <v>222627</v>
      </c>
      <c r="U978">
        <v>222627</v>
      </c>
      <c r="V978">
        <v>1.456907742546951</v>
      </c>
      <c r="W978" t="s">
        <v>9</v>
      </c>
      <c r="X978" t="s">
        <v>1461</v>
      </c>
    </row>
    <row r="979" spans="1:24" hidden="1" x14ac:dyDescent="0.35">
      <c r="A979" t="s">
        <v>181</v>
      </c>
      <c r="B979">
        <v>2023</v>
      </c>
      <c r="C979" t="s">
        <v>1308</v>
      </c>
      <c r="D979" t="s">
        <v>1317</v>
      </c>
      <c r="E979" t="s">
        <v>1359</v>
      </c>
      <c r="F979" t="s">
        <v>1364</v>
      </c>
      <c r="G979" t="s">
        <v>1372</v>
      </c>
      <c r="H979">
        <v>0.42609999999999998</v>
      </c>
      <c r="J979" t="s">
        <v>1393</v>
      </c>
      <c r="K979" t="s">
        <v>1419</v>
      </c>
      <c r="L979">
        <f t="shared" ref="L979:L990" si="22">2.7/1000</f>
        <v>2.7000000000000001E-3</v>
      </c>
      <c r="P979" t="s">
        <v>1475</v>
      </c>
      <c r="R979" s="2" t="s">
        <v>1438</v>
      </c>
      <c r="T979">
        <v>1574000</v>
      </c>
      <c r="U979">
        <v>1574000</v>
      </c>
      <c r="V979">
        <v>2.7071156289707748E-7</v>
      </c>
      <c r="W979" t="s">
        <v>10</v>
      </c>
      <c r="X979" t="s">
        <v>1457</v>
      </c>
    </row>
    <row r="980" spans="1:24" hidden="1" x14ac:dyDescent="0.35">
      <c r="A980" t="s">
        <v>184</v>
      </c>
      <c r="B980">
        <v>2023</v>
      </c>
      <c r="C980" t="s">
        <v>1308</v>
      </c>
      <c r="D980" t="s">
        <v>1311</v>
      </c>
      <c r="E980" t="s">
        <v>1359</v>
      </c>
      <c r="F980" t="s">
        <v>1364</v>
      </c>
      <c r="G980" t="s">
        <v>1371</v>
      </c>
      <c r="H980">
        <v>21.347999999999999</v>
      </c>
      <c r="J980" t="s">
        <v>1393</v>
      </c>
      <c r="K980" t="s">
        <v>1419</v>
      </c>
      <c r="L980">
        <f t="shared" si="22"/>
        <v>2.7000000000000001E-3</v>
      </c>
      <c r="P980" t="s">
        <v>1475</v>
      </c>
      <c r="R980" s="2" t="s">
        <v>1438</v>
      </c>
      <c r="T980">
        <v>1574000</v>
      </c>
      <c r="U980">
        <v>1574000</v>
      </c>
      <c r="V980">
        <v>1.3562897077509531E-5</v>
      </c>
      <c r="W980" t="s">
        <v>10</v>
      </c>
      <c r="X980" t="s">
        <v>1456</v>
      </c>
    </row>
    <row r="981" spans="1:24" hidden="1" x14ac:dyDescent="0.35">
      <c r="A981" t="s">
        <v>194</v>
      </c>
      <c r="B981">
        <v>2023</v>
      </c>
      <c r="C981" t="s">
        <v>1308</v>
      </c>
      <c r="D981" t="s">
        <v>1313</v>
      </c>
      <c r="E981" t="s">
        <v>1359</v>
      </c>
      <c r="F981" t="s">
        <v>1364</v>
      </c>
      <c r="G981" t="s">
        <v>1371</v>
      </c>
      <c r="H981">
        <v>6.6239999999999997</v>
      </c>
      <c r="J981" t="s">
        <v>1393</v>
      </c>
      <c r="K981" t="s">
        <v>1419</v>
      </c>
      <c r="L981">
        <f t="shared" si="22"/>
        <v>2.7000000000000001E-3</v>
      </c>
      <c r="P981" t="s">
        <v>1475</v>
      </c>
      <c r="R981" s="2" t="s">
        <v>1438</v>
      </c>
      <c r="T981">
        <v>1574000</v>
      </c>
      <c r="U981">
        <v>1574000</v>
      </c>
      <c r="V981">
        <v>4.20838627700127E-6</v>
      </c>
      <c r="W981" t="s">
        <v>10</v>
      </c>
      <c r="X981" t="s">
        <v>1456</v>
      </c>
    </row>
    <row r="982" spans="1:24" hidden="1" x14ac:dyDescent="0.35">
      <c r="A982" t="s">
        <v>196</v>
      </c>
      <c r="B982">
        <v>2023</v>
      </c>
      <c r="C982" t="s">
        <v>1308</v>
      </c>
      <c r="D982" t="s">
        <v>1314</v>
      </c>
      <c r="E982" t="s">
        <v>1359</v>
      </c>
      <c r="F982" t="s">
        <v>1364</v>
      </c>
      <c r="G982" t="s">
        <v>1371</v>
      </c>
      <c r="H982">
        <v>2.2959999999999998</v>
      </c>
      <c r="J982" t="s">
        <v>1393</v>
      </c>
      <c r="K982" t="s">
        <v>1419</v>
      </c>
      <c r="L982">
        <f t="shared" si="22"/>
        <v>2.7000000000000001E-3</v>
      </c>
      <c r="P982" t="s">
        <v>1475</v>
      </c>
      <c r="R982" s="2" t="s">
        <v>1438</v>
      </c>
      <c r="T982">
        <v>1574000</v>
      </c>
      <c r="U982">
        <v>1574000</v>
      </c>
      <c r="V982">
        <v>1.458703939008894E-6</v>
      </c>
      <c r="W982" t="s">
        <v>10</v>
      </c>
      <c r="X982" t="s">
        <v>1456</v>
      </c>
    </row>
    <row r="983" spans="1:24" hidden="1" x14ac:dyDescent="0.35">
      <c r="A983" t="s">
        <v>200</v>
      </c>
      <c r="B983">
        <v>2023</v>
      </c>
      <c r="C983" t="s">
        <v>1308</v>
      </c>
      <c r="D983" t="s">
        <v>1315</v>
      </c>
      <c r="E983" t="s">
        <v>1359</v>
      </c>
      <c r="F983" t="s">
        <v>1364</v>
      </c>
      <c r="G983" t="s">
        <v>1371</v>
      </c>
      <c r="H983">
        <v>12.734</v>
      </c>
      <c r="J983" t="s">
        <v>1393</v>
      </c>
      <c r="K983" t="s">
        <v>1419</v>
      </c>
      <c r="L983">
        <f t="shared" si="22"/>
        <v>2.7000000000000001E-3</v>
      </c>
      <c r="P983" t="s">
        <v>1475</v>
      </c>
      <c r="R983" s="2" t="s">
        <v>1438</v>
      </c>
      <c r="T983">
        <v>1574000</v>
      </c>
      <c r="U983">
        <v>1574000</v>
      </c>
      <c r="V983">
        <v>8.0902160101651845E-6</v>
      </c>
      <c r="W983" t="s">
        <v>10</v>
      </c>
      <c r="X983" t="s">
        <v>1456</v>
      </c>
    </row>
    <row r="984" spans="1:24" hidden="1" x14ac:dyDescent="0.35">
      <c r="A984" t="s">
        <v>547</v>
      </c>
      <c r="B984">
        <v>2023</v>
      </c>
      <c r="C984" t="s">
        <v>1308</v>
      </c>
      <c r="D984" t="s">
        <v>1317</v>
      </c>
      <c r="E984" t="s">
        <v>1359</v>
      </c>
      <c r="F984" t="s">
        <v>1366</v>
      </c>
      <c r="G984" t="s">
        <v>1372</v>
      </c>
      <c r="H984">
        <v>6.6199999999999995E-2</v>
      </c>
      <c r="J984" t="s">
        <v>1393</v>
      </c>
      <c r="K984" t="s">
        <v>1419</v>
      </c>
      <c r="L984">
        <f t="shared" si="22"/>
        <v>2.7000000000000001E-3</v>
      </c>
      <c r="P984" t="s">
        <v>1475</v>
      </c>
      <c r="R984" s="2" t="s">
        <v>1438</v>
      </c>
      <c r="T984">
        <v>1574000</v>
      </c>
      <c r="U984">
        <v>1574000</v>
      </c>
      <c r="V984">
        <v>4.2058449809402793E-8</v>
      </c>
      <c r="W984" t="s">
        <v>10</v>
      </c>
      <c r="X984" t="s">
        <v>1457</v>
      </c>
    </row>
    <row r="985" spans="1:24" hidden="1" x14ac:dyDescent="0.35">
      <c r="A985" t="s">
        <v>557</v>
      </c>
      <c r="B985">
        <v>2023</v>
      </c>
      <c r="C985" t="s">
        <v>1308</v>
      </c>
      <c r="D985" t="s">
        <v>1313</v>
      </c>
      <c r="E985" t="s">
        <v>1359</v>
      </c>
      <c r="F985" t="s">
        <v>1366</v>
      </c>
      <c r="G985" t="s">
        <v>1371</v>
      </c>
      <c r="H985">
        <v>3.298</v>
      </c>
      <c r="J985" t="s">
        <v>1393</v>
      </c>
      <c r="K985" t="s">
        <v>1419</v>
      </c>
      <c r="L985">
        <f t="shared" si="22"/>
        <v>2.7000000000000001E-3</v>
      </c>
      <c r="P985" t="s">
        <v>1475</v>
      </c>
      <c r="R985" s="2" t="s">
        <v>1438</v>
      </c>
      <c r="T985">
        <v>1574000</v>
      </c>
      <c r="U985">
        <v>1574000</v>
      </c>
      <c r="V985">
        <v>2.0952986022871661E-6</v>
      </c>
      <c r="W985" t="s">
        <v>10</v>
      </c>
      <c r="X985" t="s">
        <v>1456</v>
      </c>
    </row>
    <row r="986" spans="1:24" hidden="1" x14ac:dyDescent="0.35">
      <c r="A986" t="s">
        <v>559</v>
      </c>
      <c r="B986">
        <v>2023</v>
      </c>
      <c r="C986" t="s">
        <v>1308</v>
      </c>
      <c r="D986" t="s">
        <v>1314</v>
      </c>
      <c r="E986" t="s">
        <v>1359</v>
      </c>
      <c r="F986" t="s">
        <v>1366</v>
      </c>
      <c r="G986" t="s">
        <v>1371</v>
      </c>
      <c r="H986">
        <v>0.63300000000000001</v>
      </c>
      <c r="J986" t="s">
        <v>1393</v>
      </c>
      <c r="K986" t="s">
        <v>1419</v>
      </c>
      <c r="L986">
        <f t="shared" si="22"/>
        <v>2.7000000000000001E-3</v>
      </c>
      <c r="P986" t="s">
        <v>1475</v>
      </c>
      <c r="R986" s="2" t="s">
        <v>1438</v>
      </c>
      <c r="T986">
        <v>1574000</v>
      </c>
      <c r="U986">
        <v>1574000</v>
      </c>
      <c r="V986">
        <v>4.0216010165184251E-7</v>
      </c>
      <c r="W986" t="s">
        <v>10</v>
      </c>
      <c r="X986" t="s">
        <v>1456</v>
      </c>
    </row>
    <row r="987" spans="1:24" hidden="1" x14ac:dyDescent="0.35">
      <c r="A987" t="s">
        <v>563</v>
      </c>
      <c r="B987">
        <v>2023</v>
      </c>
      <c r="C987" t="s">
        <v>1308</v>
      </c>
      <c r="D987" t="s">
        <v>1315</v>
      </c>
      <c r="E987" t="s">
        <v>1359</v>
      </c>
      <c r="F987" t="s">
        <v>1366</v>
      </c>
      <c r="G987" t="s">
        <v>1371</v>
      </c>
      <c r="H987">
        <v>6.9240000000000004</v>
      </c>
      <c r="J987" t="s">
        <v>1393</v>
      </c>
      <c r="K987" t="s">
        <v>1419</v>
      </c>
      <c r="L987">
        <f t="shared" si="22"/>
        <v>2.7000000000000001E-3</v>
      </c>
      <c r="P987" t="s">
        <v>1475</v>
      </c>
      <c r="R987" s="2" t="s">
        <v>1438</v>
      </c>
      <c r="T987">
        <v>1574000</v>
      </c>
      <c r="U987">
        <v>1574000</v>
      </c>
      <c r="V987">
        <v>4.398983481575604E-6</v>
      </c>
      <c r="W987" t="s">
        <v>10</v>
      </c>
      <c r="X987" t="s">
        <v>1456</v>
      </c>
    </row>
    <row r="988" spans="1:24" hidden="1" x14ac:dyDescent="0.35">
      <c r="A988" t="s">
        <v>890</v>
      </c>
      <c r="B988">
        <v>2023</v>
      </c>
      <c r="C988" t="s">
        <v>1309</v>
      </c>
      <c r="D988" t="s">
        <v>1317</v>
      </c>
      <c r="E988" t="s">
        <v>1359</v>
      </c>
      <c r="F988" t="s">
        <v>1368</v>
      </c>
      <c r="G988" t="s">
        <v>1372</v>
      </c>
      <c r="H988">
        <v>6.9099999999999995E-2</v>
      </c>
      <c r="J988" t="s">
        <v>1393</v>
      </c>
      <c r="K988" t="s">
        <v>1419</v>
      </c>
      <c r="L988">
        <f t="shared" si="22"/>
        <v>2.7000000000000001E-3</v>
      </c>
      <c r="P988" t="s">
        <v>1475</v>
      </c>
      <c r="R988" s="2" t="s">
        <v>1438</v>
      </c>
      <c r="T988">
        <v>1574000</v>
      </c>
      <c r="U988">
        <v>1574000</v>
      </c>
      <c r="V988">
        <v>4.3900889453621353E-8</v>
      </c>
      <c r="W988" t="s">
        <v>10</v>
      </c>
      <c r="X988" t="s">
        <v>1457</v>
      </c>
    </row>
    <row r="989" spans="1:24" hidden="1" x14ac:dyDescent="0.35">
      <c r="A989" t="s">
        <v>1038</v>
      </c>
      <c r="B989">
        <v>2023</v>
      </c>
      <c r="C989" t="s">
        <v>1308</v>
      </c>
      <c r="D989" t="s">
        <v>1347</v>
      </c>
      <c r="E989" t="s">
        <v>1359</v>
      </c>
      <c r="F989" t="s">
        <v>1370</v>
      </c>
      <c r="G989" t="s">
        <v>1375</v>
      </c>
      <c r="H989">
        <v>13370</v>
      </c>
      <c r="J989" t="s">
        <v>1393</v>
      </c>
      <c r="K989" t="s">
        <v>1419</v>
      </c>
      <c r="L989">
        <f t="shared" si="22"/>
        <v>2.7000000000000001E-3</v>
      </c>
      <c r="P989" t="s">
        <v>1475</v>
      </c>
      <c r="R989" s="2" t="s">
        <v>1439</v>
      </c>
      <c r="T989">
        <v>1574000</v>
      </c>
      <c r="U989">
        <v>1574000</v>
      </c>
      <c r="V989">
        <v>8.4942820838627697E-3</v>
      </c>
      <c r="W989" t="s">
        <v>10</v>
      </c>
      <c r="X989" t="s">
        <v>1460</v>
      </c>
    </row>
    <row r="990" spans="1:24" hidden="1" x14ac:dyDescent="0.35">
      <c r="A990" t="s">
        <v>1041</v>
      </c>
      <c r="B990">
        <v>2023</v>
      </c>
      <c r="C990" t="s">
        <v>1308</v>
      </c>
      <c r="D990" t="s">
        <v>1347</v>
      </c>
      <c r="E990" t="s">
        <v>1359</v>
      </c>
      <c r="F990" t="s">
        <v>1370</v>
      </c>
      <c r="G990" t="s">
        <v>1375</v>
      </c>
      <c r="H990">
        <v>12420</v>
      </c>
      <c r="J990" t="s">
        <v>1393</v>
      </c>
      <c r="K990" t="s">
        <v>1419</v>
      </c>
      <c r="L990">
        <f t="shared" si="22"/>
        <v>2.7000000000000001E-3</v>
      </c>
      <c r="P990" t="s">
        <v>1475</v>
      </c>
      <c r="R990" s="2" t="s">
        <v>1439</v>
      </c>
      <c r="T990">
        <v>1574000</v>
      </c>
      <c r="U990">
        <v>1574000</v>
      </c>
      <c r="V990">
        <v>7.8907242693773832E-3</v>
      </c>
      <c r="W990" t="s">
        <v>10</v>
      </c>
      <c r="X990" t="s">
        <v>1460</v>
      </c>
    </row>
    <row r="991" spans="1:24" hidden="1" x14ac:dyDescent="0.35">
      <c r="A991" t="s">
        <v>128</v>
      </c>
      <c r="B991">
        <v>2023</v>
      </c>
      <c r="C991" t="s">
        <v>1308</v>
      </c>
      <c r="D991" t="s">
        <v>1317</v>
      </c>
      <c r="E991" t="s">
        <v>1359</v>
      </c>
      <c r="F991" t="s">
        <v>1364</v>
      </c>
      <c r="G991" t="s">
        <v>1372</v>
      </c>
      <c r="H991">
        <v>1.76</v>
      </c>
      <c r="J991" t="s">
        <v>1389</v>
      </c>
      <c r="L991">
        <f>5.701/1000</f>
        <v>5.7009999999999995E-3</v>
      </c>
      <c r="N991">
        <v>0.68</v>
      </c>
      <c r="O991">
        <v>95.7</v>
      </c>
      <c r="R991" s="2" t="s">
        <v>1438</v>
      </c>
      <c r="S991">
        <v>1028000</v>
      </c>
      <c r="U991">
        <v>1028000</v>
      </c>
      <c r="V991">
        <v>1.712062256809338E-6</v>
      </c>
      <c r="W991" t="s">
        <v>9</v>
      </c>
      <c r="X991" t="s">
        <v>1457</v>
      </c>
    </row>
    <row r="992" spans="1:24" hidden="1" x14ac:dyDescent="0.35">
      <c r="A992" t="s">
        <v>129</v>
      </c>
      <c r="B992">
        <v>2023</v>
      </c>
      <c r="C992" t="s">
        <v>1308</v>
      </c>
      <c r="D992" t="s">
        <v>1318</v>
      </c>
      <c r="E992" t="s">
        <v>1359</v>
      </c>
      <c r="F992" t="s">
        <v>1364</v>
      </c>
      <c r="G992" t="s">
        <v>1372</v>
      </c>
      <c r="H992">
        <v>0.40350000000000003</v>
      </c>
      <c r="J992" t="s">
        <v>1389</v>
      </c>
      <c r="L992">
        <f t="shared" ref="L992:L1040" si="23">5.701/1000</f>
        <v>5.7009999999999995E-3</v>
      </c>
      <c r="N992">
        <v>0.68</v>
      </c>
      <c r="O992">
        <v>95.7</v>
      </c>
      <c r="R992" s="2" t="s">
        <v>1438</v>
      </c>
      <c r="S992">
        <v>1028000</v>
      </c>
      <c r="U992">
        <v>1028000</v>
      </c>
      <c r="V992">
        <v>3.9250972762645919E-7</v>
      </c>
      <c r="W992" t="s">
        <v>9</v>
      </c>
      <c r="X992" t="s">
        <v>1457</v>
      </c>
    </row>
    <row r="993" spans="1:24" hidden="1" x14ac:dyDescent="0.35">
      <c r="A993" t="s">
        <v>130</v>
      </c>
      <c r="B993">
        <v>2023</v>
      </c>
      <c r="C993" t="s">
        <v>1308</v>
      </c>
      <c r="D993" t="s">
        <v>1311</v>
      </c>
      <c r="E993" t="s">
        <v>1359</v>
      </c>
      <c r="F993" t="s">
        <v>1364</v>
      </c>
      <c r="G993" t="s">
        <v>1371</v>
      </c>
      <c r="H993">
        <v>192.69113899999999</v>
      </c>
      <c r="J993" t="s">
        <v>1389</v>
      </c>
      <c r="L993">
        <f t="shared" si="23"/>
        <v>5.7009999999999995E-3</v>
      </c>
      <c r="N993">
        <v>0.68</v>
      </c>
      <c r="O993">
        <v>95.7</v>
      </c>
      <c r="R993" s="2" t="s">
        <v>1438</v>
      </c>
      <c r="S993">
        <v>1028000</v>
      </c>
      <c r="U993">
        <v>1028000</v>
      </c>
      <c r="V993">
        <v>1.8744274221789881E-4</v>
      </c>
      <c r="W993" t="s">
        <v>9</v>
      </c>
      <c r="X993" t="s">
        <v>1456</v>
      </c>
    </row>
    <row r="994" spans="1:24" hidden="1" x14ac:dyDescent="0.35">
      <c r="A994" t="s">
        <v>131</v>
      </c>
      <c r="B994">
        <v>2023</v>
      </c>
      <c r="C994" t="s">
        <v>1308</v>
      </c>
      <c r="D994" t="s">
        <v>1320</v>
      </c>
      <c r="E994" t="s">
        <v>1359</v>
      </c>
      <c r="F994" t="s">
        <v>1364</v>
      </c>
      <c r="G994" t="s">
        <v>1372</v>
      </c>
      <c r="H994">
        <v>9.5000000000000005E-5</v>
      </c>
      <c r="J994" t="s">
        <v>1389</v>
      </c>
      <c r="L994">
        <f t="shared" si="23"/>
        <v>5.7009999999999995E-3</v>
      </c>
      <c r="N994">
        <v>0.68</v>
      </c>
      <c r="O994">
        <v>95.7</v>
      </c>
      <c r="R994" s="2" t="s">
        <v>1438</v>
      </c>
      <c r="S994">
        <v>1028000</v>
      </c>
      <c r="U994">
        <v>1028000</v>
      </c>
      <c r="V994">
        <v>9.2412451361867705E-11</v>
      </c>
      <c r="W994" t="s">
        <v>9</v>
      </c>
      <c r="X994" t="s">
        <v>1457</v>
      </c>
    </row>
    <row r="995" spans="1:24" hidden="1" x14ac:dyDescent="0.35">
      <c r="A995" t="s">
        <v>132</v>
      </c>
      <c r="B995">
        <v>2023</v>
      </c>
      <c r="C995" t="s">
        <v>1308</v>
      </c>
      <c r="D995" t="s">
        <v>1322</v>
      </c>
      <c r="E995" t="s">
        <v>1359</v>
      </c>
      <c r="F995" t="s">
        <v>1364</v>
      </c>
      <c r="G995" t="s">
        <v>1372</v>
      </c>
      <c r="H995">
        <v>76.863327999999996</v>
      </c>
      <c r="J995" t="s">
        <v>1389</v>
      </c>
      <c r="L995">
        <f t="shared" si="23"/>
        <v>5.7009999999999995E-3</v>
      </c>
      <c r="N995">
        <v>0.68</v>
      </c>
      <c r="O995">
        <v>95.7</v>
      </c>
      <c r="R995" s="2" t="s">
        <v>1438</v>
      </c>
      <c r="S995">
        <v>1028000</v>
      </c>
      <c r="U995">
        <v>1028000</v>
      </c>
      <c r="V995">
        <v>7.4769774319066143E-5</v>
      </c>
      <c r="W995" t="s">
        <v>9</v>
      </c>
      <c r="X995" t="s">
        <v>1457</v>
      </c>
    </row>
    <row r="996" spans="1:24" hidden="1" x14ac:dyDescent="0.35">
      <c r="A996" t="s">
        <v>133</v>
      </c>
      <c r="B996">
        <v>2023</v>
      </c>
      <c r="C996" t="s">
        <v>1308</v>
      </c>
      <c r="D996" t="s">
        <v>1330</v>
      </c>
      <c r="E996" t="s">
        <v>1359</v>
      </c>
      <c r="F996" t="s">
        <v>1364</v>
      </c>
      <c r="G996" t="s">
        <v>1371</v>
      </c>
      <c r="H996">
        <v>2.7130699999999998E-4</v>
      </c>
      <c r="J996" t="s">
        <v>1389</v>
      </c>
      <c r="L996">
        <f t="shared" si="23"/>
        <v>5.7009999999999995E-3</v>
      </c>
      <c r="N996">
        <v>0.68</v>
      </c>
      <c r="O996">
        <v>95.7</v>
      </c>
      <c r="R996" s="2" t="s">
        <v>1438</v>
      </c>
      <c r="S996">
        <v>1028000</v>
      </c>
      <c r="U996">
        <v>1028000</v>
      </c>
      <c r="V996">
        <v>2.6391731517509732E-10</v>
      </c>
      <c r="W996" t="s">
        <v>9</v>
      </c>
      <c r="X996" t="s">
        <v>1456</v>
      </c>
    </row>
    <row r="997" spans="1:24" hidden="1" x14ac:dyDescent="0.35">
      <c r="A997" t="s">
        <v>134</v>
      </c>
      <c r="B997">
        <v>2023</v>
      </c>
      <c r="C997" t="s">
        <v>1308</v>
      </c>
      <c r="D997" t="s">
        <v>1312</v>
      </c>
      <c r="E997" t="s">
        <v>1359</v>
      </c>
      <c r="F997" t="s">
        <v>1364</v>
      </c>
      <c r="G997" t="s">
        <v>1371</v>
      </c>
      <c r="H997">
        <v>298.17563899999999</v>
      </c>
      <c r="J997" t="s">
        <v>1389</v>
      </c>
      <c r="L997">
        <f t="shared" si="23"/>
        <v>5.7009999999999995E-3</v>
      </c>
      <c r="N997">
        <v>0.68</v>
      </c>
      <c r="O997">
        <v>95.7</v>
      </c>
      <c r="R997" s="2" t="s">
        <v>1438</v>
      </c>
      <c r="S997">
        <v>1028000</v>
      </c>
      <c r="U997">
        <v>1028000</v>
      </c>
      <c r="V997">
        <v>2.9005412354085602E-4</v>
      </c>
      <c r="W997" t="s">
        <v>9</v>
      </c>
      <c r="X997" t="s">
        <v>1456</v>
      </c>
    </row>
    <row r="998" spans="1:24" hidden="1" x14ac:dyDescent="0.35">
      <c r="A998" t="s">
        <v>135</v>
      </c>
      <c r="B998">
        <v>2023</v>
      </c>
      <c r="C998" t="s">
        <v>1308</v>
      </c>
      <c r="D998" t="s">
        <v>1313</v>
      </c>
      <c r="E998" t="s">
        <v>1359</v>
      </c>
      <c r="F998" t="s">
        <v>1364</v>
      </c>
      <c r="G998" t="s">
        <v>1371</v>
      </c>
      <c r="H998">
        <v>28.311682999999999</v>
      </c>
      <c r="J998" t="s">
        <v>1389</v>
      </c>
      <c r="L998">
        <f t="shared" si="23"/>
        <v>5.7009999999999995E-3</v>
      </c>
      <c r="N998">
        <v>0.68</v>
      </c>
      <c r="O998">
        <v>95.7</v>
      </c>
      <c r="R998" s="2" t="s">
        <v>1438</v>
      </c>
      <c r="S998">
        <v>1028000</v>
      </c>
      <c r="U998">
        <v>1028000</v>
      </c>
      <c r="V998">
        <v>2.7540547665369649E-5</v>
      </c>
      <c r="W998" t="s">
        <v>9</v>
      </c>
      <c r="X998" t="s">
        <v>1456</v>
      </c>
    </row>
    <row r="999" spans="1:24" hidden="1" x14ac:dyDescent="0.35">
      <c r="A999" t="s">
        <v>136</v>
      </c>
      <c r="B999">
        <v>2023</v>
      </c>
      <c r="C999" t="s">
        <v>1308</v>
      </c>
      <c r="D999" t="s">
        <v>1314</v>
      </c>
      <c r="E999" t="s">
        <v>1359</v>
      </c>
      <c r="F999" t="s">
        <v>1364</v>
      </c>
      <c r="G999" t="s">
        <v>1371</v>
      </c>
      <c r="H999">
        <v>26.902601000000001</v>
      </c>
      <c r="J999" t="s">
        <v>1389</v>
      </c>
      <c r="L999">
        <f t="shared" si="23"/>
        <v>5.7009999999999995E-3</v>
      </c>
      <c r="N999">
        <v>0.68</v>
      </c>
      <c r="O999">
        <v>95.7</v>
      </c>
      <c r="R999" s="2" t="s">
        <v>1438</v>
      </c>
      <c r="S999">
        <v>1028000</v>
      </c>
      <c r="U999">
        <v>1028000</v>
      </c>
      <c r="V999">
        <v>2.6169845330739299E-5</v>
      </c>
      <c r="W999" t="s">
        <v>9</v>
      </c>
      <c r="X999" t="s">
        <v>1456</v>
      </c>
    </row>
    <row r="1000" spans="1:24" hidden="1" x14ac:dyDescent="0.35">
      <c r="A1000" t="s">
        <v>137</v>
      </c>
      <c r="B1000">
        <v>2023</v>
      </c>
      <c r="C1000" t="s">
        <v>1308</v>
      </c>
      <c r="D1000" t="s">
        <v>1325</v>
      </c>
      <c r="E1000" t="s">
        <v>1359</v>
      </c>
      <c r="F1000" t="s">
        <v>1364</v>
      </c>
      <c r="G1000" t="s">
        <v>1372</v>
      </c>
      <c r="H1000">
        <v>0.43284</v>
      </c>
      <c r="J1000" t="s">
        <v>1389</v>
      </c>
      <c r="L1000">
        <f t="shared" si="23"/>
        <v>5.7009999999999995E-3</v>
      </c>
      <c r="N1000">
        <v>0.68</v>
      </c>
      <c r="O1000">
        <v>95.7</v>
      </c>
      <c r="R1000" s="2" t="s">
        <v>1438</v>
      </c>
      <c r="S1000">
        <v>1028000</v>
      </c>
      <c r="U1000">
        <v>1028000</v>
      </c>
      <c r="V1000">
        <v>4.2105058365758749E-7</v>
      </c>
      <c r="W1000" t="s">
        <v>9</v>
      </c>
      <c r="X1000" t="s">
        <v>1457</v>
      </c>
    </row>
    <row r="1001" spans="1:24" hidden="1" x14ac:dyDescent="0.35">
      <c r="A1001" t="s">
        <v>138</v>
      </c>
      <c r="B1001">
        <v>2023</v>
      </c>
      <c r="C1001" t="s">
        <v>1308</v>
      </c>
      <c r="D1001" t="s">
        <v>1334</v>
      </c>
      <c r="E1001" t="s">
        <v>1359</v>
      </c>
      <c r="F1001" t="s">
        <v>1364</v>
      </c>
      <c r="G1001" t="s">
        <v>1372</v>
      </c>
      <c r="H1001">
        <v>3.1600000000000003E-2</v>
      </c>
      <c r="J1001" t="s">
        <v>1389</v>
      </c>
      <c r="L1001">
        <f t="shared" si="23"/>
        <v>5.7009999999999995E-3</v>
      </c>
      <c r="N1001">
        <v>0.68</v>
      </c>
      <c r="O1001">
        <v>95.7</v>
      </c>
      <c r="R1001" s="2" t="s">
        <v>1438</v>
      </c>
      <c r="S1001">
        <v>1028000</v>
      </c>
      <c r="U1001">
        <v>1028000</v>
      </c>
      <c r="V1001">
        <v>3.0739299610894952E-8</v>
      </c>
      <c r="W1001" t="s">
        <v>9</v>
      </c>
      <c r="X1001" t="s">
        <v>1457</v>
      </c>
    </row>
    <row r="1002" spans="1:24" hidden="1" x14ac:dyDescent="0.35">
      <c r="A1002" t="s">
        <v>139</v>
      </c>
      <c r="B1002">
        <v>2023</v>
      </c>
      <c r="C1002" t="s">
        <v>1308</v>
      </c>
      <c r="D1002" t="s">
        <v>1315</v>
      </c>
      <c r="E1002" t="s">
        <v>1359</v>
      </c>
      <c r="F1002" t="s">
        <v>1364</v>
      </c>
      <c r="G1002" t="s">
        <v>1371</v>
      </c>
      <c r="H1002">
        <v>30.948951999999998</v>
      </c>
      <c r="J1002" t="s">
        <v>1389</v>
      </c>
      <c r="L1002">
        <f t="shared" si="23"/>
        <v>5.7009999999999995E-3</v>
      </c>
      <c r="N1002">
        <v>0.68</v>
      </c>
      <c r="O1002">
        <v>95.7</v>
      </c>
      <c r="R1002" s="2" t="s">
        <v>1438</v>
      </c>
      <c r="S1002">
        <v>1028000</v>
      </c>
      <c r="U1002">
        <v>1028000</v>
      </c>
      <c r="V1002">
        <v>3.0105984435797661E-5</v>
      </c>
      <c r="W1002" t="s">
        <v>9</v>
      </c>
      <c r="X1002" t="s">
        <v>1456</v>
      </c>
    </row>
    <row r="1003" spans="1:24" hidden="1" x14ac:dyDescent="0.35">
      <c r="A1003" t="s">
        <v>477</v>
      </c>
      <c r="B1003">
        <v>2023</v>
      </c>
      <c r="C1003" t="s">
        <v>1308</v>
      </c>
      <c r="D1003" t="s">
        <v>1317</v>
      </c>
      <c r="E1003" t="s">
        <v>1359</v>
      </c>
      <c r="F1003" t="s">
        <v>1366</v>
      </c>
      <c r="G1003" t="s">
        <v>1372</v>
      </c>
      <c r="H1003">
        <v>3.9180000000000001</v>
      </c>
      <c r="J1003" t="s">
        <v>1389</v>
      </c>
      <c r="L1003">
        <f t="shared" si="23"/>
        <v>5.7009999999999995E-3</v>
      </c>
      <c r="N1003">
        <v>0.68</v>
      </c>
      <c r="O1003">
        <v>95.7</v>
      </c>
      <c r="R1003" s="2" t="s">
        <v>1438</v>
      </c>
      <c r="S1003">
        <v>1028000</v>
      </c>
      <c r="U1003">
        <v>1028000</v>
      </c>
      <c r="V1003">
        <v>3.8112840466926072E-6</v>
      </c>
      <c r="W1003" t="s">
        <v>9</v>
      </c>
      <c r="X1003" t="s">
        <v>1457</v>
      </c>
    </row>
    <row r="1004" spans="1:24" hidden="1" x14ac:dyDescent="0.35">
      <c r="A1004" t="s">
        <v>478</v>
      </c>
      <c r="B1004">
        <v>2023</v>
      </c>
      <c r="C1004" t="s">
        <v>1308</v>
      </c>
      <c r="D1004" t="s">
        <v>1311</v>
      </c>
      <c r="E1004" t="s">
        <v>1359</v>
      </c>
      <c r="F1004" t="s">
        <v>1366</v>
      </c>
      <c r="G1004" t="s">
        <v>1371</v>
      </c>
      <c r="H1004">
        <v>33.538049999999998</v>
      </c>
      <c r="J1004" t="s">
        <v>1389</v>
      </c>
      <c r="L1004">
        <f t="shared" si="23"/>
        <v>5.7009999999999995E-3</v>
      </c>
      <c r="N1004">
        <v>0.68</v>
      </c>
      <c r="O1004">
        <v>95.7</v>
      </c>
      <c r="R1004" s="2" t="s">
        <v>1438</v>
      </c>
      <c r="S1004">
        <v>1028000</v>
      </c>
      <c r="U1004">
        <v>1028000</v>
      </c>
      <c r="V1004">
        <v>3.262456225680934E-5</v>
      </c>
      <c r="W1004" t="s">
        <v>9</v>
      </c>
      <c r="X1004" t="s">
        <v>1456</v>
      </c>
    </row>
    <row r="1005" spans="1:24" hidden="1" x14ac:dyDescent="0.35">
      <c r="A1005" t="s">
        <v>481</v>
      </c>
      <c r="B1005">
        <v>2023</v>
      </c>
      <c r="C1005" t="s">
        <v>1308</v>
      </c>
      <c r="D1005" t="s">
        <v>1320</v>
      </c>
      <c r="E1005" t="s">
        <v>1359</v>
      </c>
      <c r="F1005" t="s">
        <v>1366</v>
      </c>
      <c r="G1005" t="s">
        <v>1372</v>
      </c>
      <c r="H1005">
        <v>9.7900000000000005E-4</v>
      </c>
      <c r="J1005" t="s">
        <v>1389</v>
      </c>
      <c r="L1005">
        <f t="shared" si="23"/>
        <v>5.7009999999999995E-3</v>
      </c>
      <c r="N1005">
        <v>0.68</v>
      </c>
      <c r="O1005">
        <v>95.7</v>
      </c>
      <c r="R1005" s="2" t="s">
        <v>1438</v>
      </c>
      <c r="S1005">
        <v>1028000</v>
      </c>
      <c r="U1005">
        <v>1028000</v>
      </c>
      <c r="V1005">
        <v>9.5233463035019467E-10</v>
      </c>
      <c r="W1005" t="s">
        <v>9</v>
      </c>
      <c r="X1005" t="s">
        <v>1457</v>
      </c>
    </row>
    <row r="1006" spans="1:24" hidden="1" x14ac:dyDescent="0.35">
      <c r="A1006" t="s">
        <v>483</v>
      </c>
      <c r="B1006">
        <v>2023</v>
      </c>
      <c r="C1006" t="s">
        <v>1308</v>
      </c>
      <c r="D1006" t="s">
        <v>1322</v>
      </c>
      <c r="E1006" t="s">
        <v>1359</v>
      </c>
      <c r="F1006" t="s">
        <v>1366</v>
      </c>
      <c r="G1006" t="s">
        <v>1372</v>
      </c>
      <c r="H1006">
        <v>13.055331000000001</v>
      </c>
      <c r="J1006" t="s">
        <v>1389</v>
      </c>
      <c r="L1006">
        <f t="shared" si="23"/>
        <v>5.7009999999999995E-3</v>
      </c>
      <c r="N1006">
        <v>0.68</v>
      </c>
      <c r="O1006">
        <v>95.7</v>
      </c>
      <c r="R1006" s="2" t="s">
        <v>1438</v>
      </c>
      <c r="S1006">
        <v>1028000</v>
      </c>
      <c r="U1006">
        <v>1028000</v>
      </c>
      <c r="V1006">
        <v>1.2699738326848249E-5</v>
      </c>
      <c r="W1006" t="s">
        <v>9</v>
      </c>
      <c r="X1006" t="s">
        <v>1457</v>
      </c>
    </row>
    <row r="1007" spans="1:24" hidden="1" x14ac:dyDescent="0.35">
      <c r="A1007" t="s">
        <v>486</v>
      </c>
      <c r="B1007">
        <v>2023</v>
      </c>
      <c r="C1007" t="s">
        <v>1308</v>
      </c>
      <c r="D1007" t="s">
        <v>1330</v>
      </c>
      <c r="E1007" t="s">
        <v>1359</v>
      </c>
      <c r="F1007" t="s">
        <v>1366</v>
      </c>
      <c r="G1007" t="s">
        <v>1371</v>
      </c>
      <c r="H1007">
        <v>7.1200000000000002E-7</v>
      </c>
      <c r="J1007" t="s">
        <v>1389</v>
      </c>
      <c r="L1007">
        <f t="shared" si="23"/>
        <v>5.7009999999999995E-3</v>
      </c>
      <c r="N1007">
        <v>0.68</v>
      </c>
      <c r="O1007">
        <v>95.7</v>
      </c>
      <c r="R1007" s="2" t="s">
        <v>1438</v>
      </c>
      <c r="S1007">
        <v>1028000</v>
      </c>
      <c r="U1007">
        <v>1028000</v>
      </c>
      <c r="V1007">
        <v>6.9260700389105063E-13</v>
      </c>
      <c r="W1007" t="s">
        <v>9</v>
      </c>
      <c r="X1007" t="s">
        <v>1456</v>
      </c>
    </row>
    <row r="1008" spans="1:24" hidden="1" x14ac:dyDescent="0.35">
      <c r="A1008" t="s">
        <v>490</v>
      </c>
      <c r="B1008">
        <v>2023</v>
      </c>
      <c r="C1008" t="s">
        <v>1308</v>
      </c>
      <c r="D1008" t="s">
        <v>1313</v>
      </c>
      <c r="E1008" t="s">
        <v>1359</v>
      </c>
      <c r="F1008" t="s">
        <v>1366</v>
      </c>
      <c r="G1008" t="s">
        <v>1371</v>
      </c>
      <c r="H1008">
        <v>39.579759000000003</v>
      </c>
      <c r="J1008" t="s">
        <v>1389</v>
      </c>
      <c r="L1008">
        <f t="shared" si="23"/>
        <v>5.7009999999999995E-3</v>
      </c>
      <c r="N1008">
        <v>0.68</v>
      </c>
      <c r="O1008">
        <v>95.7</v>
      </c>
      <c r="R1008" s="2" t="s">
        <v>1438</v>
      </c>
      <c r="S1008">
        <v>1028000</v>
      </c>
      <c r="U1008">
        <v>1028000</v>
      </c>
      <c r="V1008">
        <v>3.8501711089494168E-5</v>
      </c>
      <c r="W1008" t="s">
        <v>9</v>
      </c>
      <c r="X1008" t="s">
        <v>1456</v>
      </c>
    </row>
    <row r="1009" spans="1:24" hidden="1" x14ac:dyDescent="0.35">
      <c r="A1009" t="s">
        <v>492</v>
      </c>
      <c r="B1009">
        <v>2023</v>
      </c>
      <c r="C1009" t="s">
        <v>1308</v>
      </c>
      <c r="D1009" t="s">
        <v>1314</v>
      </c>
      <c r="E1009" t="s">
        <v>1359</v>
      </c>
      <c r="F1009" t="s">
        <v>1366</v>
      </c>
      <c r="G1009" t="s">
        <v>1371</v>
      </c>
      <c r="H1009">
        <v>8.8781979999999994</v>
      </c>
      <c r="J1009" t="s">
        <v>1389</v>
      </c>
      <c r="L1009">
        <f t="shared" si="23"/>
        <v>5.7009999999999995E-3</v>
      </c>
      <c r="N1009">
        <v>0.68</v>
      </c>
      <c r="O1009">
        <v>95.7</v>
      </c>
      <c r="R1009" s="2" t="s">
        <v>1438</v>
      </c>
      <c r="S1009">
        <v>1028000</v>
      </c>
      <c r="U1009">
        <v>1028000</v>
      </c>
      <c r="V1009">
        <v>8.6363793774319064E-6</v>
      </c>
      <c r="W1009" t="s">
        <v>9</v>
      </c>
      <c r="X1009" t="s">
        <v>1456</v>
      </c>
    </row>
    <row r="1010" spans="1:24" hidden="1" x14ac:dyDescent="0.35">
      <c r="A1010" t="s">
        <v>494</v>
      </c>
      <c r="B1010">
        <v>2023</v>
      </c>
      <c r="C1010" t="s">
        <v>1308</v>
      </c>
      <c r="D1010" t="s">
        <v>1325</v>
      </c>
      <c r="E1010" t="s">
        <v>1359</v>
      </c>
      <c r="F1010" t="s">
        <v>1366</v>
      </c>
      <c r="G1010" t="s">
        <v>1372</v>
      </c>
      <c r="H1010">
        <v>0.28134999999999999</v>
      </c>
      <c r="J1010" t="s">
        <v>1389</v>
      </c>
      <c r="L1010">
        <f t="shared" si="23"/>
        <v>5.7009999999999995E-3</v>
      </c>
      <c r="N1010">
        <v>0.68</v>
      </c>
      <c r="O1010">
        <v>95.7</v>
      </c>
      <c r="R1010" s="2" t="s">
        <v>1438</v>
      </c>
      <c r="S1010">
        <v>1028000</v>
      </c>
      <c r="U1010">
        <v>1028000</v>
      </c>
      <c r="V1010">
        <v>2.7368677042801548E-7</v>
      </c>
      <c r="W1010" t="s">
        <v>9</v>
      </c>
      <c r="X1010" t="s">
        <v>1457</v>
      </c>
    </row>
    <row r="1011" spans="1:24" hidden="1" x14ac:dyDescent="0.35">
      <c r="A1011" t="s">
        <v>495</v>
      </c>
      <c r="B1011">
        <v>2023</v>
      </c>
      <c r="C1011" t="s">
        <v>1308</v>
      </c>
      <c r="D1011" t="s">
        <v>1334</v>
      </c>
      <c r="E1011" t="s">
        <v>1359</v>
      </c>
      <c r="F1011" t="s">
        <v>1366</v>
      </c>
      <c r="G1011" t="s">
        <v>1372</v>
      </c>
      <c r="H1011">
        <v>9.9000000000000008E-3</v>
      </c>
      <c r="J1011" t="s">
        <v>1389</v>
      </c>
      <c r="L1011">
        <f t="shared" si="23"/>
        <v>5.7009999999999995E-3</v>
      </c>
      <c r="N1011">
        <v>0.68</v>
      </c>
      <c r="O1011">
        <v>95.7</v>
      </c>
      <c r="R1011" s="2" t="s">
        <v>1438</v>
      </c>
      <c r="S1011">
        <v>1028000</v>
      </c>
      <c r="U1011">
        <v>1028000</v>
      </c>
      <c r="V1011">
        <v>9.6303501945525293E-9</v>
      </c>
      <c r="W1011" t="s">
        <v>9</v>
      </c>
      <c r="X1011" t="s">
        <v>1457</v>
      </c>
    </row>
    <row r="1012" spans="1:24" hidden="1" x14ac:dyDescent="0.35">
      <c r="A1012" t="s">
        <v>496</v>
      </c>
      <c r="B1012">
        <v>2023</v>
      </c>
      <c r="C1012" t="s">
        <v>1308</v>
      </c>
      <c r="D1012" t="s">
        <v>1315</v>
      </c>
      <c r="E1012" t="s">
        <v>1359</v>
      </c>
      <c r="F1012" t="s">
        <v>1366</v>
      </c>
      <c r="G1012" t="s">
        <v>1371</v>
      </c>
      <c r="H1012">
        <v>77.562467999999996</v>
      </c>
      <c r="J1012" t="s">
        <v>1389</v>
      </c>
      <c r="L1012">
        <f t="shared" si="23"/>
        <v>5.7009999999999995E-3</v>
      </c>
      <c r="N1012">
        <v>0.68</v>
      </c>
      <c r="O1012">
        <v>95.7</v>
      </c>
      <c r="R1012" s="2" t="s">
        <v>1438</v>
      </c>
      <c r="S1012">
        <v>1028000</v>
      </c>
      <c r="U1012">
        <v>1028000</v>
      </c>
      <c r="V1012">
        <v>7.5449871595330729E-5</v>
      </c>
      <c r="W1012" t="s">
        <v>9</v>
      </c>
      <c r="X1012" t="s">
        <v>1456</v>
      </c>
    </row>
    <row r="1013" spans="1:24" hidden="1" x14ac:dyDescent="0.35">
      <c r="A1013" t="s">
        <v>828</v>
      </c>
      <c r="B1013">
        <v>2023</v>
      </c>
      <c r="C1013" t="s">
        <v>1309</v>
      </c>
      <c r="D1013" t="s">
        <v>1327</v>
      </c>
      <c r="E1013" t="s">
        <v>1359</v>
      </c>
      <c r="F1013" t="s">
        <v>1368</v>
      </c>
      <c r="G1013" t="s">
        <v>1371</v>
      </c>
      <c r="H1013">
        <v>1.29</v>
      </c>
      <c r="J1013" t="s">
        <v>1389</v>
      </c>
      <c r="L1013">
        <f t="shared" si="23"/>
        <v>5.7009999999999995E-3</v>
      </c>
      <c r="N1013">
        <v>0.68</v>
      </c>
      <c r="O1013">
        <v>95.7</v>
      </c>
      <c r="R1013" s="2" t="s">
        <v>1438</v>
      </c>
      <c r="S1013">
        <v>1028000</v>
      </c>
      <c r="U1013">
        <v>1028000</v>
      </c>
      <c r="V1013">
        <v>1.2548638132295719E-6</v>
      </c>
      <c r="W1013" t="s">
        <v>9</v>
      </c>
      <c r="X1013" t="s">
        <v>1456</v>
      </c>
    </row>
    <row r="1014" spans="1:24" hidden="1" x14ac:dyDescent="0.35">
      <c r="A1014" t="s">
        <v>830</v>
      </c>
      <c r="B1014">
        <v>2023</v>
      </c>
      <c r="C1014" t="s">
        <v>1309</v>
      </c>
      <c r="D1014" t="s">
        <v>1317</v>
      </c>
      <c r="E1014" t="s">
        <v>1359</v>
      </c>
      <c r="F1014" t="s">
        <v>1368</v>
      </c>
      <c r="G1014" t="s">
        <v>1372</v>
      </c>
      <c r="H1014">
        <v>2.6163099999999999</v>
      </c>
      <c r="J1014" t="s">
        <v>1389</v>
      </c>
      <c r="L1014">
        <f t="shared" si="23"/>
        <v>5.7009999999999995E-3</v>
      </c>
      <c r="N1014">
        <v>0.68</v>
      </c>
      <c r="O1014">
        <v>95.7</v>
      </c>
      <c r="R1014" s="2" t="s">
        <v>1438</v>
      </c>
      <c r="S1014">
        <v>1028000</v>
      </c>
      <c r="U1014">
        <v>1028000</v>
      </c>
      <c r="V1014">
        <v>2.5450486381322962E-6</v>
      </c>
      <c r="W1014" t="s">
        <v>9</v>
      </c>
      <c r="X1014" t="s">
        <v>1457</v>
      </c>
    </row>
    <row r="1015" spans="1:24" hidden="1" x14ac:dyDescent="0.35">
      <c r="A1015" t="s">
        <v>832</v>
      </c>
      <c r="B1015">
        <v>2023</v>
      </c>
      <c r="C1015" t="s">
        <v>1309</v>
      </c>
      <c r="D1015" t="s">
        <v>1318</v>
      </c>
      <c r="E1015" t="s">
        <v>1359</v>
      </c>
      <c r="F1015" t="s">
        <v>1368</v>
      </c>
      <c r="G1015" t="s">
        <v>1372</v>
      </c>
      <c r="H1015">
        <v>1.5998999999999999E-2</v>
      </c>
      <c r="J1015" t="s">
        <v>1389</v>
      </c>
      <c r="L1015">
        <f t="shared" si="23"/>
        <v>5.7009999999999995E-3</v>
      </c>
      <c r="N1015">
        <v>0.68</v>
      </c>
      <c r="O1015">
        <v>95.7</v>
      </c>
      <c r="R1015" s="2" t="s">
        <v>1438</v>
      </c>
      <c r="S1015">
        <v>1028000</v>
      </c>
      <c r="U1015">
        <v>1028000</v>
      </c>
      <c r="V1015">
        <v>1.556322957198443E-8</v>
      </c>
      <c r="W1015" t="s">
        <v>9</v>
      </c>
      <c r="X1015" t="s">
        <v>1457</v>
      </c>
    </row>
    <row r="1016" spans="1:24" hidden="1" x14ac:dyDescent="0.35">
      <c r="A1016" t="s">
        <v>835</v>
      </c>
      <c r="B1016">
        <v>2023</v>
      </c>
      <c r="C1016" t="s">
        <v>1309</v>
      </c>
      <c r="D1016" t="s">
        <v>1320</v>
      </c>
      <c r="E1016" t="s">
        <v>1359</v>
      </c>
      <c r="F1016" t="s">
        <v>1368</v>
      </c>
      <c r="G1016" t="s">
        <v>1372</v>
      </c>
      <c r="H1016">
        <v>3.0873999999999999E-2</v>
      </c>
      <c r="J1016" t="s">
        <v>1389</v>
      </c>
      <c r="L1016">
        <f t="shared" si="23"/>
        <v>5.7009999999999995E-3</v>
      </c>
      <c r="N1016">
        <v>0.68</v>
      </c>
      <c r="O1016">
        <v>95.7</v>
      </c>
      <c r="R1016" s="2" t="s">
        <v>1438</v>
      </c>
      <c r="S1016">
        <v>1028000</v>
      </c>
      <c r="U1016">
        <v>1028000</v>
      </c>
      <c r="V1016">
        <v>3.0033073929961088E-8</v>
      </c>
      <c r="W1016" t="s">
        <v>9</v>
      </c>
      <c r="X1016" t="s">
        <v>1457</v>
      </c>
    </row>
    <row r="1017" spans="1:24" hidden="1" x14ac:dyDescent="0.35">
      <c r="A1017" t="s">
        <v>839</v>
      </c>
      <c r="B1017">
        <v>2023</v>
      </c>
      <c r="C1017" t="s">
        <v>1309</v>
      </c>
      <c r="D1017" t="s">
        <v>1322</v>
      </c>
      <c r="E1017" t="s">
        <v>1359</v>
      </c>
      <c r="F1017" t="s">
        <v>1368</v>
      </c>
      <c r="G1017" t="s">
        <v>1372</v>
      </c>
      <c r="H1017">
        <v>0.133797</v>
      </c>
      <c r="J1017" t="s">
        <v>1389</v>
      </c>
      <c r="L1017">
        <f t="shared" si="23"/>
        <v>5.7009999999999995E-3</v>
      </c>
      <c r="N1017">
        <v>0.68</v>
      </c>
      <c r="O1017">
        <v>95.7</v>
      </c>
      <c r="R1017" s="2" t="s">
        <v>1438</v>
      </c>
      <c r="S1017">
        <v>1028000</v>
      </c>
      <c r="U1017">
        <v>1028000</v>
      </c>
      <c r="V1017">
        <v>1.301527237354086E-7</v>
      </c>
      <c r="W1017" t="s">
        <v>9</v>
      </c>
      <c r="X1017" t="s">
        <v>1457</v>
      </c>
    </row>
    <row r="1018" spans="1:24" hidden="1" x14ac:dyDescent="0.35">
      <c r="A1018" t="s">
        <v>842</v>
      </c>
      <c r="B1018">
        <v>2023</v>
      </c>
      <c r="C1018" t="s">
        <v>1309</v>
      </c>
      <c r="D1018" t="s">
        <v>1330</v>
      </c>
      <c r="E1018" t="s">
        <v>1359</v>
      </c>
      <c r="F1018" t="s">
        <v>1368</v>
      </c>
      <c r="G1018" t="s">
        <v>1371</v>
      </c>
      <c r="H1018">
        <v>2.9699999999999999E-6</v>
      </c>
      <c r="J1018" t="s">
        <v>1389</v>
      </c>
      <c r="L1018">
        <f t="shared" si="23"/>
        <v>5.7009999999999995E-3</v>
      </c>
      <c r="N1018">
        <v>0.68</v>
      </c>
      <c r="O1018">
        <v>95.7</v>
      </c>
      <c r="R1018" s="2" t="s">
        <v>1438</v>
      </c>
      <c r="S1018">
        <v>1028000</v>
      </c>
      <c r="U1018">
        <v>1028000</v>
      </c>
      <c r="V1018">
        <v>2.8891050583657589E-12</v>
      </c>
      <c r="W1018" t="s">
        <v>9</v>
      </c>
      <c r="X1018" t="s">
        <v>1456</v>
      </c>
    </row>
    <row r="1019" spans="1:24" hidden="1" x14ac:dyDescent="0.35">
      <c r="A1019" t="s">
        <v>845</v>
      </c>
      <c r="B1019">
        <v>2023</v>
      </c>
      <c r="C1019" t="s">
        <v>1309</v>
      </c>
      <c r="D1019" t="s">
        <v>1331</v>
      </c>
      <c r="E1019" t="s">
        <v>1359</v>
      </c>
      <c r="F1019" t="s">
        <v>1368</v>
      </c>
      <c r="G1019" t="s">
        <v>1371</v>
      </c>
      <c r="H1019">
        <v>106.087</v>
      </c>
      <c r="J1019" t="s">
        <v>1389</v>
      </c>
      <c r="L1019">
        <f t="shared" si="23"/>
        <v>5.7009999999999995E-3</v>
      </c>
      <c r="N1019">
        <v>0.68</v>
      </c>
      <c r="O1019">
        <v>95.7</v>
      </c>
      <c r="R1019" s="2" t="s">
        <v>1438</v>
      </c>
      <c r="S1019">
        <v>1028000</v>
      </c>
      <c r="U1019">
        <v>1028000</v>
      </c>
      <c r="V1019">
        <v>1.031974708171206E-4</v>
      </c>
      <c r="W1019" t="s">
        <v>9</v>
      </c>
      <c r="X1019" t="s">
        <v>1456</v>
      </c>
    </row>
    <row r="1020" spans="1:24" hidden="1" x14ac:dyDescent="0.35">
      <c r="A1020" t="s">
        <v>847</v>
      </c>
      <c r="B1020">
        <v>2023</v>
      </c>
      <c r="C1020" t="s">
        <v>1309</v>
      </c>
      <c r="D1020" t="s">
        <v>1325</v>
      </c>
      <c r="E1020" t="s">
        <v>1359</v>
      </c>
      <c r="F1020" t="s">
        <v>1368</v>
      </c>
      <c r="G1020" t="s">
        <v>1372</v>
      </c>
      <c r="H1020">
        <v>1.6409229999999999</v>
      </c>
      <c r="J1020" t="s">
        <v>1389</v>
      </c>
      <c r="L1020">
        <f t="shared" si="23"/>
        <v>5.7009999999999995E-3</v>
      </c>
      <c r="N1020">
        <v>0.68</v>
      </c>
      <c r="O1020">
        <v>95.7</v>
      </c>
      <c r="R1020" s="2" t="s">
        <v>1438</v>
      </c>
      <c r="S1020">
        <v>1028000</v>
      </c>
      <c r="U1020">
        <v>1028000</v>
      </c>
      <c r="V1020">
        <v>1.59622859922179E-6</v>
      </c>
      <c r="W1020" t="s">
        <v>9</v>
      </c>
      <c r="X1020" t="s">
        <v>1457</v>
      </c>
    </row>
    <row r="1021" spans="1:24" hidden="1" x14ac:dyDescent="0.35">
      <c r="A1021" t="s">
        <v>849</v>
      </c>
      <c r="B1021">
        <v>2023</v>
      </c>
      <c r="C1021" t="s">
        <v>1309</v>
      </c>
      <c r="D1021" t="s">
        <v>1334</v>
      </c>
      <c r="E1021" t="s">
        <v>1359</v>
      </c>
      <c r="F1021" t="s">
        <v>1368</v>
      </c>
      <c r="G1021" t="s">
        <v>1372</v>
      </c>
      <c r="H1021">
        <v>1.542E-2</v>
      </c>
      <c r="J1021" t="s">
        <v>1389</v>
      </c>
      <c r="L1021">
        <f t="shared" si="23"/>
        <v>5.7009999999999995E-3</v>
      </c>
      <c r="N1021">
        <v>0.68</v>
      </c>
      <c r="O1021">
        <v>95.7</v>
      </c>
      <c r="R1021" s="2" t="s">
        <v>1438</v>
      </c>
      <c r="S1021">
        <v>1028000</v>
      </c>
      <c r="U1021">
        <v>1028000</v>
      </c>
      <c r="V1021">
        <v>1.4999999999999999E-8</v>
      </c>
      <c r="W1021" t="s">
        <v>9</v>
      </c>
      <c r="X1021" t="s">
        <v>1457</v>
      </c>
    </row>
    <row r="1022" spans="1:24" hidden="1" x14ac:dyDescent="0.35">
      <c r="A1022" t="s">
        <v>982</v>
      </c>
      <c r="B1022">
        <v>2023</v>
      </c>
      <c r="C1022" t="s">
        <v>1310</v>
      </c>
      <c r="D1022" t="s">
        <v>1334</v>
      </c>
      <c r="E1022" t="s">
        <v>1359</v>
      </c>
      <c r="F1022" t="s">
        <v>1369</v>
      </c>
      <c r="G1022" t="s">
        <v>1372</v>
      </c>
      <c r="H1022">
        <v>1.54E-2</v>
      </c>
      <c r="J1022" t="s">
        <v>1389</v>
      </c>
      <c r="L1022">
        <f t="shared" si="23"/>
        <v>5.7009999999999995E-3</v>
      </c>
      <c r="N1022">
        <v>0.68</v>
      </c>
      <c r="O1022">
        <v>95.7</v>
      </c>
      <c r="R1022" s="2" t="s">
        <v>1438</v>
      </c>
      <c r="S1022">
        <v>1028000</v>
      </c>
      <c r="U1022">
        <v>1028000</v>
      </c>
      <c r="V1022">
        <v>1.498054474708171E-8</v>
      </c>
      <c r="W1022" t="s">
        <v>9</v>
      </c>
      <c r="X1022" t="s">
        <v>1457</v>
      </c>
    </row>
    <row r="1023" spans="1:24" hidden="1" x14ac:dyDescent="0.35">
      <c r="A1023" t="s">
        <v>1028</v>
      </c>
      <c r="B1023">
        <v>2023</v>
      </c>
      <c r="C1023" t="s">
        <v>1308</v>
      </c>
      <c r="D1023" t="s">
        <v>1347</v>
      </c>
      <c r="E1023" t="s">
        <v>1359</v>
      </c>
      <c r="F1023" t="s">
        <v>1370</v>
      </c>
      <c r="G1023" t="s">
        <v>1375</v>
      </c>
      <c r="H1023">
        <v>36870</v>
      </c>
      <c r="J1023" t="s">
        <v>1389</v>
      </c>
      <c r="L1023">
        <f t="shared" si="23"/>
        <v>5.7009999999999995E-3</v>
      </c>
      <c r="N1023">
        <v>0.68</v>
      </c>
      <c r="O1023">
        <v>95.7</v>
      </c>
      <c r="R1023" s="2" t="s">
        <v>1439</v>
      </c>
      <c r="S1023">
        <v>1028000</v>
      </c>
      <c r="U1023">
        <v>1028000</v>
      </c>
      <c r="V1023">
        <v>3.5865758754863808E-2</v>
      </c>
      <c r="W1023" t="s">
        <v>9</v>
      </c>
      <c r="X1023" t="s">
        <v>1460</v>
      </c>
    </row>
    <row r="1024" spans="1:24" hidden="1" x14ac:dyDescent="0.35">
      <c r="A1024" t="s">
        <v>1228</v>
      </c>
      <c r="B1024">
        <v>2023</v>
      </c>
      <c r="C1024" t="s">
        <v>1308</v>
      </c>
      <c r="D1024" t="s">
        <v>1317</v>
      </c>
      <c r="E1024" t="s">
        <v>1359</v>
      </c>
      <c r="G1024" t="s">
        <v>1372</v>
      </c>
      <c r="H1024">
        <v>5.6700999999999997</v>
      </c>
      <c r="J1024" t="s">
        <v>1389</v>
      </c>
      <c r="L1024">
        <f t="shared" si="23"/>
        <v>5.7009999999999995E-3</v>
      </c>
      <c r="N1024">
        <v>0.68</v>
      </c>
      <c r="O1024">
        <v>95.7</v>
      </c>
      <c r="Q1024" t="s">
        <v>1433</v>
      </c>
      <c r="R1024" t="s">
        <v>1451</v>
      </c>
      <c r="S1024">
        <v>1028000</v>
      </c>
      <c r="U1024">
        <v>1028000</v>
      </c>
      <c r="V1024">
        <v>5.5156614785992214E-6</v>
      </c>
      <c r="W1024" t="s">
        <v>9</v>
      </c>
      <c r="X1024" t="s">
        <v>1457</v>
      </c>
    </row>
    <row r="1025" spans="1:24" hidden="1" x14ac:dyDescent="0.35">
      <c r="A1025" t="s">
        <v>1229</v>
      </c>
      <c r="B1025">
        <v>2023</v>
      </c>
      <c r="C1025" t="s">
        <v>1308</v>
      </c>
      <c r="D1025" t="s">
        <v>1311</v>
      </c>
      <c r="E1025" t="s">
        <v>1359</v>
      </c>
      <c r="G1025" t="s">
        <v>1371</v>
      </c>
      <c r="H1025">
        <v>226.22</v>
      </c>
      <c r="J1025" t="s">
        <v>1389</v>
      </c>
      <c r="L1025">
        <f t="shared" si="23"/>
        <v>5.7009999999999995E-3</v>
      </c>
      <c r="N1025">
        <v>0.68</v>
      </c>
      <c r="O1025">
        <v>95.7</v>
      </c>
      <c r="Q1025" t="s">
        <v>1433</v>
      </c>
      <c r="R1025" t="s">
        <v>1451</v>
      </c>
      <c r="S1025">
        <v>1028000</v>
      </c>
      <c r="U1025">
        <v>1028000</v>
      </c>
      <c r="V1025">
        <v>2.2005836575875491E-4</v>
      </c>
      <c r="W1025" t="s">
        <v>9</v>
      </c>
      <c r="X1025" t="s">
        <v>1456</v>
      </c>
    </row>
    <row r="1026" spans="1:24" hidden="1" x14ac:dyDescent="0.35">
      <c r="A1026" t="s">
        <v>1230</v>
      </c>
      <c r="B1026">
        <v>2023</v>
      </c>
      <c r="C1026" t="s">
        <v>1308</v>
      </c>
      <c r="D1026" t="s">
        <v>1347</v>
      </c>
      <c r="E1026" t="s">
        <v>1359</v>
      </c>
      <c r="G1026" t="s">
        <v>1375</v>
      </c>
      <c r="H1026">
        <v>40394.416907685103</v>
      </c>
      <c r="J1026" t="s">
        <v>1389</v>
      </c>
      <c r="L1026">
        <f t="shared" si="23"/>
        <v>5.7009999999999995E-3</v>
      </c>
      <c r="N1026">
        <v>0.68</v>
      </c>
      <c r="O1026">
        <v>95.7</v>
      </c>
      <c r="Q1026" t="s">
        <v>1433</v>
      </c>
      <c r="R1026" t="s">
        <v>1451</v>
      </c>
      <c r="S1026">
        <v>1028000</v>
      </c>
      <c r="U1026">
        <v>1028000</v>
      </c>
      <c r="V1026">
        <v>3.9294179871289012E-2</v>
      </c>
      <c r="W1026" t="s">
        <v>9</v>
      </c>
      <c r="X1026" t="s">
        <v>1460</v>
      </c>
    </row>
    <row r="1027" spans="1:24" hidden="1" x14ac:dyDescent="0.35">
      <c r="A1027" t="s">
        <v>1231</v>
      </c>
      <c r="B1027">
        <v>2023</v>
      </c>
      <c r="C1027" t="s">
        <v>1308</v>
      </c>
      <c r="D1027" t="s">
        <v>1347</v>
      </c>
      <c r="E1027" t="s">
        <v>1359</v>
      </c>
      <c r="G1027" t="s">
        <v>1375</v>
      </c>
      <c r="H1027">
        <v>3597.5544</v>
      </c>
      <c r="J1027" t="s">
        <v>1389</v>
      </c>
      <c r="L1027">
        <f t="shared" si="23"/>
        <v>5.7009999999999995E-3</v>
      </c>
      <c r="N1027">
        <v>0.68</v>
      </c>
      <c r="O1027">
        <v>95.7</v>
      </c>
      <c r="Q1027" t="s">
        <v>1433</v>
      </c>
      <c r="R1027" t="s">
        <v>1451</v>
      </c>
      <c r="S1027">
        <v>1028000</v>
      </c>
      <c r="U1027">
        <v>1028000</v>
      </c>
      <c r="V1027">
        <v>3.4995665369649811E-3</v>
      </c>
      <c r="W1027" t="s">
        <v>9</v>
      </c>
      <c r="X1027" t="s">
        <v>1460</v>
      </c>
    </row>
    <row r="1028" spans="1:24" hidden="1" x14ac:dyDescent="0.35">
      <c r="A1028" t="s">
        <v>1232</v>
      </c>
      <c r="B1028">
        <v>2023</v>
      </c>
      <c r="C1028" t="s">
        <v>1308</v>
      </c>
      <c r="D1028" t="s">
        <v>1347</v>
      </c>
      <c r="E1028" t="s">
        <v>1359</v>
      </c>
      <c r="G1028" t="s">
        <v>1375</v>
      </c>
      <c r="H1028">
        <v>71787.549598278507</v>
      </c>
      <c r="J1028" t="s">
        <v>1389</v>
      </c>
      <c r="L1028">
        <f t="shared" si="23"/>
        <v>5.7009999999999995E-3</v>
      </c>
      <c r="N1028">
        <v>0.68</v>
      </c>
      <c r="O1028">
        <v>95.7</v>
      </c>
      <c r="Q1028" t="s">
        <v>1433</v>
      </c>
      <c r="R1028" t="s">
        <v>1451</v>
      </c>
      <c r="S1028">
        <v>1028000</v>
      </c>
      <c r="U1028">
        <v>1028000</v>
      </c>
      <c r="V1028">
        <v>6.9832246690932395E-2</v>
      </c>
      <c r="W1028" t="s">
        <v>9</v>
      </c>
      <c r="X1028" t="s">
        <v>1460</v>
      </c>
    </row>
    <row r="1029" spans="1:24" hidden="1" x14ac:dyDescent="0.35">
      <c r="A1029" t="s">
        <v>1233</v>
      </c>
      <c r="B1029">
        <v>2023</v>
      </c>
      <c r="C1029" t="s">
        <v>1308</v>
      </c>
      <c r="D1029" t="s">
        <v>1322</v>
      </c>
      <c r="E1029" t="s">
        <v>1359</v>
      </c>
      <c r="G1029" t="s">
        <v>1372</v>
      </c>
      <c r="H1029">
        <v>89.913300000000007</v>
      </c>
      <c r="J1029" t="s">
        <v>1389</v>
      </c>
      <c r="L1029">
        <f t="shared" si="23"/>
        <v>5.7009999999999995E-3</v>
      </c>
      <c r="N1029">
        <v>0.68</v>
      </c>
      <c r="O1029">
        <v>95.7</v>
      </c>
      <c r="Q1029" t="s">
        <v>1433</v>
      </c>
      <c r="R1029" t="s">
        <v>1451</v>
      </c>
      <c r="S1029">
        <v>1028000</v>
      </c>
      <c r="U1029">
        <v>1028000</v>
      </c>
      <c r="V1029">
        <v>8.7464299610894947E-5</v>
      </c>
      <c r="W1029" t="s">
        <v>9</v>
      </c>
      <c r="X1029" t="s">
        <v>1457</v>
      </c>
    </row>
    <row r="1030" spans="1:24" hidden="1" x14ac:dyDescent="0.35">
      <c r="A1030" t="s">
        <v>1234</v>
      </c>
      <c r="B1030">
        <v>2023</v>
      </c>
      <c r="C1030" t="s">
        <v>1308</v>
      </c>
      <c r="D1030" t="s">
        <v>1330</v>
      </c>
      <c r="E1030" t="s">
        <v>1359</v>
      </c>
      <c r="G1030" t="s">
        <v>1371</v>
      </c>
      <c r="H1030">
        <v>2.7129999999999998E-4</v>
      </c>
      <c r="J1030" t="s">
        <v>1389</v>
      </c>
      <c r="L1030">
        <f t="shared" si="23"/>
        <v>5.7009999999999995E-3</v>
      </c>
      <c r="N1030">
        <v>0.68</v>
      </c>
      <c r="O1030">
        <v>95.7</v>
      </c>
      <c r="Q1030" t="s">
        <v>1433</v>
      </c>
      <c r="R1030" t="s">
        <v>1451</v>
      </c>
      <c r="S1030">
        <v>1028000</v>
      </c>
      <c r="U1030">
        <v>1028000</v>
      </c>
      <c r="V1030">
        <v>2.6391050583657588E-10</v>
      </c>
      <c r="W1030" t="s">
        <v>9</v>
      </c>
      <c r="X1030" t="s">
        <v>1456</v>
      </c>
    </row>
    <row r="1031" spans="1:24" hidden="1" x14ac:dyDescent="0.35">
      <c r="A1031" t="s">
        <v>1235</v>
      </c>
      <c r="B1031">
        <v>2023</v>
      </c>
      <c r="C1031" t="s">
        <v>1308</v>
      </c>
      <c r="D1031" t="s">
        <v>1348</v>
      </c>
      <c r="E1031" t="s">
        <v>1359</v>
      </c>
      <c r="G1031" t="s">
        <v>1371</v>
      </c>
      <c r="H1031">
        <v>298.29599999999999</v>
      </c>
      <c r="J1031" t="s">
        <v>1389</v>
      </c>
      <c r="L1031">
        <f t="shared" si="23"/>
        <v>5.7009999999999995E-3</v>
      </c>
      <c r="N1031">
        <v>0.68</v>
      </c>
      <c r="O1031">
        <v>95.7</v>
      </c>
      <c r="Q1031" t="s">
        <v>1433</v>
      </c>
      <c r="R1031" t="s">
        <v>1451</v>
      </c>
      <c r="S1031">
        <v>1028000</v>
      </c>
      <c r="U1031">
        <v>1028000</v>
      </c>
      <c r="V1031">
        <v>2.9017120622568088E-4</v>
      </c>
      <c r="W1031" t="s">
        <v>9</v>
      </c>
      <c r="X1031" t="s">
        <v>1456</v>
      </c>
    </row>
    <row r="1032" spans="1:24" hidden="1" x14ac:dyDescent="0.35">
      <c r="A1032" t="s">
        <v>1236</v>
      </c>
      <c r="B1032">
        <v>2023</v>
      </c>
      <c r="C1032" t="s">
        <v>1308</v>
      </c>
      <c r="D1032" t="s">
        <v>1313</v>
      </c>
      <c r="E1032" t="s">
        <v>1359</v>
      </c>
      <c r="G1032" t="s">
        <v>1371</v>
      </c>
      <c r="H1032">
        <v>72.34</v>
      </c>
      <c r="J1032" t="s">
        <v>1389</v>
      </c>
      <c r="L1032">
        <f t="shared" si="23"/>
        <v>5.7009999999999995E-3</v>
      </c>
      <c r="N1032">
        <v>0.68</v>
      </c>
      <c r="O1032">
        <v>95.7</v>
      </c>
      <c r="Q1032" t="s">
        <v>1433</v>
      </c>
      <c r="R1032" t="s">
        <v>1451</v>
      </c>
      <c r="S1032">
        <v>1028000</v>
      </c>
      <c r="U1032">
        <v>1028000</v>
      </c>
      <c r="V1032">
        <v>7.0369649805447477E-5</v>
      </c>
      <c r="W1032" t="s">
        <v>9</v>
      </c>
      <c r="X1032" t="s">
        <v>1456</v>
      </c>
    </row>
    <row r="1033" spans="1:24" hidden="1" x14ac:dyDescent="0.35">
      <c r="A1033" t="s">
        <v>1237</v>
      </c>
      <c r="B1033">
        <v>2023</v>
      </c>
      <c r="C1033" t="s">
        <v>1308</v>
      </c>
      <c r="D1033" t="s">
        <v>1314</v>
      </c>
      <c r="E1033" t="s">
        <v>1359</v>
      </c>
      <c r="G1033" t="s">
        <v>1371</v>
      </c>
      <c r="H1033">
        <v>36.22</v>
      </c>
      <c r="J1033" t="s">
        <v>1389</v>
      </c>
      <c r="L1033">
        <f t="shared" si="23"/>
        <v>5.7009999999999995E-3</v>
      </c>
      <c r="N1033">
        <v>0.68</v>
      </c>
      <c r="O1033">
        <v>95.7</v>
      </c>
      <c r="Q1033" t="s">
        <v>1433</v>
      </c>
      <c r="R1033" t="s">
        <v>1451</v>
      </c>
      <c r="S1033">
        <v>1028000</v>
      </c>
      <c r="U1033">
        <v>1028000</v>
      </c>
      <c r="V1033">
        <v>3.5233463035019452E-5</v>
      </c>
      <c r="W1033" t="s">
        <v>9</v>
      </c>
      <c r="X1033" t="s">
        <v>1456</v>
      </c>
    </row>
    <row r="1034" spans="1:24" hidden="1" x14ac:dyDescent="0.35">
      <c r="A1034" t="s">
        <v>1238</v>
      </c>
      <c r="B1034">
        <v>2023</v>
      </c>
      <c r="C1034" t="s">
        <v>1308</v>
      </c>
      <c r="D1034" t="s">
        <v>1325</v>
      </c>
      <c r="E1034" t="s">
        <v>1359</v>
      </c>
      <c r="G1034" t="s">
        <v>1372</v>
      </c>
      <c r="H1034">
        <v>0.71409999999999996</v>
      </c>
      <c r="J1034" t="s">
        <v>1389</v>
      </c>
      <c r="L1034">
        <f t="shared" si="23"/>
        <v>5.7009999999999995E-3</v>
      </c>
      <c r="N1034">
        <v>0.68</v>
      </c>
      <c r="O1034">
        <v>95.7</v>
      </c>
      <c r="Q1034" t="s">
        <v>1433</v>
      </c>
      <c r="R1034" t="s">
        <v>1451</v>
      </c>
      <c r="S1034">
        <v>1028000</v>
      </c>
      <c r="U1034">
        <v>1028000</v>
      </c>
      <c r="V1034">
        <v>6.946498054474708E-7</v>
      </c>
      <c r="W1034" t="s">
        <v>9</v>
      </c>
      <c r="X1034" t="s">
        <v>1457</v>
      </c>
    </row>
    <row r="1035" spans="1:24" hidden="1" x14ac:dyDescent="0.35">
      <c r="A1035" t="s">
        <v>1239</v>
      </c>
      <c r="B1035">
        <v>2023</v>
      </c>
      <c r="C1035" t="s">
        <v>1308</v>
      </c>
      <c r="D1035" t="s">
        <v>1349</v>
      </c>
      <c r="E1035" t="s">
        <v>1359</v>
      </c>
      <c r="G1035" t="s">
        <v>1371</v>
      </c>
      <c r="H1035">
        <v>1.8779999999999999</v>
      </c>
      <c r="J1035" t="s">
        <v>1389</v>
      </c>
      <c r="L1035">
        <f t="shared" si="23"/>
        <v>5.7009999999999995E-3</v>
      </c>
      <c r="N1035">
        <v>0.68</v>
      </c>
      <c r="O1035">
        <v>95.7</v>
      </c>
      <c r="Q1035" t="s">
        <v>1433</v>
      </c>
      <c r="R1035" t="s">
        <v>1451</v>
      </c>
      <c r="S1035">
        <v>1028000</v>
      </c>
      <c r="U1035">
        <v>1028000</v>
      </c>
      <c r="V1035">
        <v>1.826848249027237E-6</v>
      </c>
      <c r="W1035" t="s">
        <v>9</v>
      </c>
      <c r="X1035" t="s">
        <v>1456</v>
      </c>
    </row>
    <row r="1036" spans="1:24" hidden="1" x14ac:dyDescent="0.35">
      <c r="A1036" t="s">
        <v>1240</v>
      </c>
      <c r="B1036">
        <v>2023</v>
      </c>
      <c r="C1036" t="s">
        <v>1308</v>
      </c>
      <c r="D1036" t="s">
        <v>1316</v>
      </c>
      <c r="E1036" t="s">
        <v>1359</v>
      </c>
      <c r="G1036" t="s">
        <v>1371</v>
      </c>
      <c r="H1036">
        <v>4.625</v>
      </c>
      <c r="J1036" t="s">
        <v>1389</v>
      </c>
      <c r="L1036">
        <f t="shared" si="23"/>
        <v>5.7009999999999995E-3</v>
      </c>
      <c r="N1036">
        <v>0.68</v>
      </c>
      <c r="O1036">
        <v>95.7</v>
      </c>
      <c r="Q1036" t="s">
        <v>1433</v>
      </c>
      <c r="R1036" t="s">
        <v>1451</v>
      </c>
      <c r="S1036">
        <v>1028000</v>
      </c>
      <c r="U1036">
        <v>1028000</v>
      </c>
      <c r="V1036">
        <v>4.4990272373540852E-6</v>
      </c>
      <c r="W1036" t="s">
        <v>9</v>
      </c>
      <c r="X1036" t="s">
        <v>1456</v>
      </c>
    </row>
    <row r="1037" spans="1:24" hidden="1" x14ac:dyDescent="0.35">
      <c r="A1037" t="s">
        <v>1241</v>
      </c>
      <c r="B1037">
        <v>2023</v>
      </c>
      <c r="C1037" t="s">
        <v>1309</v>
      </c>
      <c r="D1037" t="s">
        <v>1350</v>
      </c>
      <c r="E1037" t="s">
        <v>1360</v>
      </c>
      <c r="G1037" t="s">
        <v>1376</v>
      </c>
      <c r="H1037">
        <v>1552393.1810000001</v>
      </c>
      <c r="J1037" t="s">
        <v>1389</v>
      </c>
      <c r="L1037">
        <f t="shared" si="23"/>
        <v>5.7009999999999995E-3</v>
      </c>
      <c r="N1037">
        <v>0.68</v>
      </c>
      <c r="O1037">
        <v>95.7</v>
      </c>
      <c r="Q1037" t="s">
        <v>1433</v>
      </c>
      <c r="R1037" t="s">
        <v>1451</v>
      </c>
      <c r="S1037">
        <v>1028000</v>
      </c>
      <c r="U1037">
        <v>1028000</v>
      </c>
      <c r="V1037">
        <v>1.510110098249027</v>
      </c>
      <c r="W1037" t="s">
        <v>9</v>
      </c>
      <c r="X1037" t="s">
        <v>1461</v>
      </c>
    </row>
    <row r="1038" spans="1:24" hidden="1" x14ac:dyDescent="0.35">
      <c r="A1038" t="s">
        <v>1242</v>
      </c>
      <c r="B1038">
        <v>2023</v>
      </c>
      <c r="C1038" t="s">
        <v>1309</v>
      </c>
      <c r="D1038" t="s">
        <v>1350</v>
      </c>
      <c r="E1038" t="s">
        <v>1362</v>
      </c>
      <c r="G1038" t="s">
        <v>1376</v>
      </c>
      <c r="H1038">
        <v>1543354.5</v>
      </c>
      <c r="J1038" t="s">
        <v>1389</v>
      </c>
      <c r="L1038">
        <f t="shared" si="23"/>
        <v>5.7009999999999995E-3</v>
      </c>
      <c r="N1038">
        <v>0.68</v>
      </c>
      <c r="O1038">
        <v>95.7</v>
      </c>
      <c r="Q1038" t="s">
        <v>1433</v>
      </c>
      <c r="R1038" t="s">
        <v>1451</v>
      </c>
      <c r="S1038">
        <v>1028000</v>
      </c>
      <c r="U1038">
        <v>1028000</v>
      </c>
      <c r="V1038">
        <v>1.5013176070038909</v>
      </c>
      <c r="W1038" t="s">
        <v>9</v>
      </c>
      <c r="X1038" t="s">
        <v>1461</v>
      </c>
    </row>
    <row r="1039" spans="1:24" hidden="1" x14ac:dyDescent="0.35">
      <c r="A1039" t="s">
        <v>1243</v>
      </c>
      <c r="B1039">
        <v>2023</v>
      </c>
      <c r="C1039" t="s">
        <v>1309</v>
      </c>
      <c r="D1039" t="s">
        <v>1350</v>
      </c>
      <c r="E1039" t="s">
        <v>1361</v>
      </c>
      <c r="G1039" t="s">
        <v>1376</v>
      </c>
      <c r="H1039">
        <v>562159.18099999998</v>
      </c>
      <c r="J1039" t="s">
        <v>1389</v>
      </c>
      <c r="L1039">
        <f t="shared" si="23"/>
        <v>5.7009999999999995E-3</v>
      </c>
      <c r="N1039">
        <v>0.68</v>
      </c>
      <c r="O1039">
        <v>95.7</v>
      </c>
      <c r="Q1039" t="s">
        <v>1433</v>
      </c>
      <c r="R1039" t="s">
        <v>1451</v>
      </c>
      <c r="S1039">
        <v>1028000</v>
      </c>
      <c r="U1039">
        <v>1028000</v>
      </c>
      <c r="V1039">
        <v>0.54684745233463028</v>
      </c>
      <c r="W1039" t="s">
        <v>9</v>
      </c>
      <c r="X1039" t="s">
        <v>1461</v>
      </c>
    </row>
    <row r="1040" spans="1:24" hidden="1" x14ac:dyDescent="0.35">
      <c r="A1040" t="s">
        <v>1244</v>
      </c>
      <c r="B1040">
        <v>2023</v>
      </c>
      <c r="C1040" t="s">
        <v>1310</v>
      </c>
      <c r="E1040" t="s">
        <v>1363</v>
      </c>
      <c r="G1040" t="s">
        <v>1377</v>
      </c>
      <c r="H1040">
        <v>701.81</v>
      </c>
      <c r="J1040" t="s">
        <v>1389</v>
      </c>
      <c r="L1040">
        <f t="shared" si="23"/>
        <v>5.7009999999999995E-3</v>
      </c>
      <c r="N1040">
        <v>0.68</v>
      </c>
      <c r="O1040">
        <v>95.7</v>
      </c>
      <c r="Q1040" t="s">
        <v>1433</v>
      </c>
      <c r="R1040" t="s">
        <v>1451</v>
      </c>
      <c r="S1040">
        <v>1028000</v>
      </c>
      <c r="U1040">
        <v>1028000</v>
      </c>
      <c r="V1040">
        <v>6.8269455252918285E-4</v>
      </c>
      <c r="W1040" t="s">
        <v>9</v>
      </c>
      <c r="X1040" t="s">
        <v>1462</v>
      </c>
    </row>
    <row r="1041" spans="1:24" hidden="1" x14ac:dyDescent="0.35">
      <c r="A1041" t="s">
        <v>1037</v>
      </c>
      <c r="B1041">
        <v>2023</v>
      </c>
      <c r="C1041" t="s">
        <v>1308</v>
      </c>
      <c r="D1041" t="s">
        <v>1347</v>
      </c>
      <c r="E1041" t="s">
        <v>1359</v>
      </c>
      <c r="F1041" t="s">
        <v>1370</v>
      </c>
      <c r="G1041" t="s">
        <v>1375</v>
      </c>
      <c r="H1041">
        <v>16420</v>
      </c>
      <c r="J1041" t="s">
        <v>1410</v>
      </c>
      <c r="L1041">
        <f>3.03/1000</f>
        <v>3.0299999999999997E-3</v>
      </c>
      <c r="N1041">
        <v>2.34</v>
      </c>
      <c r="O1041">
        <v>93</v>
      </c>
      <c r="R1041" s="2" t="s">
        <v>1439</v>
      </c>
      <c r="S1041">
        <v>1034000</v>
      </c>
      <c r="U1041">
        <v>1034000</v>
      </c>
      <c r="V1041">
        <v>1.5880077369439069E-2</v>
      </c>
      <c r="W1041" t="s">
        <v>9</v>
      </c>
      <c r="X1041" t="s">
        <v>1460</v>
      </c>
    </row>
    <row r="1042" spans="1:24" hidden="1" x14ac:dyDescent="0.35">
      <c r="A1042" t="s">
        <v>1178</v>
      </c>
      <c r="B1042">
        <v>2023</v>
      </c>
      <c r="C1042" t="s">
        <v>1308</v>
      </c>
      <c r="D1042" t="s">
        <v>1311</v>
      </c>
      <c r="E1042" t="s">
        <v>1359</v>
      </c>
      <c r="G1042" t="s">
        <v>1371</v>
      </c>
      <c r="H1042">
        <v>2.2349999999999999</v>
      </c>
      <c r="J1042" t="s">
        <v>1410</v>
      </c>
      <c r="L1042">
        <f t="shared" ref="L1042:L1053" si="24">3.03/1000</f>
        <v>3.0299999999999997E-3</v>
      </c>
      <c r="N1042">
        <v>2.34</v>
      </c>
      <c r="O1042">
        <v>93</v>
      </c>
      <c r="Q1042" t="s">
        <v>1430</v>
      </c>
      <c r="R1042" t="s">
        <v>1448</v>
      </c>
      <c r="S1042">
        <v>1034000</v>
      </c>
      <c r="U1042">
        <v>1034000</v>
      </c>
      <c r="V1042">
        <v>2.161508704061895E-6</v>
      </c>
      <c r="W1042" t="s">
        <v>9</v>
      </c>
      <c r="X1042" t="s">
        <v>1456</v>
      </c>
    </row>
    <row r="1043" spans="1:24" hidden="1" x14ac:dyDescent="0.35">
      <c r="A1043" t="s">
        <v>1179</v>
      </c>
      <c r="B1043">
        <v>2023</v>
      </c>
      <c r="C1043" t="s">
        <v>1308</v>
      </c>
      <c r="D1043" t="s">
        <v>1347</v>
      </c>
      <c r="E1043" t="s">
        <v>1359</v>
      </c>
      <c r="G1043" t="s">
        <v>1375</v>
      </c>
      <c r="H1043">
        <v>18521.099999999999</v>
      </c>
      <c r="J1043" t="s">
        <v>1410</v>
      </c>
      <c r="L1043">
        <f t="shared" si="24"/>
        <v>3.0299999999999997E-3</v>
      </c>
      <c r="N1043">
        <v>2.34</v>
      </c>
      <c r="O1043">
        <v>93</v>
      </c>
      <c r="Q1043" t="s">
        <v>1430</v>
      </c>
      <c r="R1043" t="s">
        <v>1448</v>
      </c>
      <c r="S1043">
        <v>1034000</v>
      </c>
      <c r="U1043">
        <v>1034000</v>
      </c>
      <c r="V1043">
        <v>1.7912088974854929E-2</v>
      </c>
      <c r="W1043" t="s">
        <v>9</v>
      </c>
      <c r="X1043" t="s">
        <v>1460</v>
      </c>
    </row>
    <row r="1044" spans="1:24" hidden="1" x14ac:dyDescent="0.35">
      <c r="A1044" t="s">
        <v>1180</v>
      </c>
      <c r="B1044">
        <v>2023</v>
      </c>
      <c r="C1044" t="s">
        <v>1308</v>
      </c>
      <c r="D1044" t="s">
        <v>1347</v>
      </c>
      <c r="E1044" t="s">
        <v>1359</v>
      </c>
      <c r="G1044" t="s">
        <v>1375</v>
      </c>
      <c r="H1044">
        <v>189.9</v>
      </c>
      <c r="J1044" t="s">
        <v>1410</v>
      </c>
      <c r="L1044">
        <f t="shared" si="24"/>
        <v>3.0299999999999997E-3</v>
      </c>
      <c r="N1044">
        <v>2.34</v>
      </c>
      <c r="O1044">
        <v>93</v>
      </c>
      <c r="Q1044" t="s">
        <v>1430</v>
      </c>
      <c r="R1044" t="s">
        <v>1448</v>
      </c>
      <c r="S1044">
        <v>1034000</v>
      </c>
      <c r="U1044">
        <v>1034000</v>
      </c>
      <c r="V1044">
        <v>1.836557059961315E-4</v>
      </c>
      <c r="W1044" t="s">
        <v>9</v>
      </c>
      <c r="X1044" t="s">
        <v>1460</v>
      </c>
    </row>
    <row r="1045" spans="1:24" hidden="1" x14ac:dyDescent="0.35">
      <c r="A1045" t="s">
        <v>1181</v>
      </c>
      <c r="B1045">
        <v>2023</v>
      </c>
      <c r="C1045" t="s">
        <v>1308</v>
      </c>
      <c r="D1045" t="s">
        <v>1348</v>
      </c>
      <c r="E1045" t="s">
        <v>1359</v>
      </c>
      <c r="G1045" t="s">
        <v>1371</v>
      </c>
      <c r="H1045">
        <v>7.5179999999999998</v>
      </c>
      <c r="J1045" t="s">
        <v>1410</v>
      </c>
      <c r="L1045">
        <f t="shared" si="24"/>
        <v>3.0299999999999997E-3</v>
      </c>
      <c r="N1045">
        <v>2.34</v>
      </c>
      <c r="O1045">
        <v>93</v>
      </c>
      <c r="Q1045" t="s">
        <v>1430</v>
      </c>
      <c r="R1045" t="s">
        <v>1448</v>
      </c>
      <c r="S1045">
        <v>1034000</v>
      </c>
      <c r="U1045">
        <v>1034000</v>
      </c>
      <c r="V1045">
        <v>7.2707930367504844E-6</v>
      </c>
      <c r="W1045" t="s">
        <v>9</v>
      </c>
      <c r="X1045" t="s">
        <v>1456</v>
      </c>
    </row>
    <row r="1046" spans="1:24" hidden="1" x14ac:dyDescent="0.35">
      <c r="A1046" t="s">
        <v>1182</v>
      </c>
      <c r="B1046">
        <v>2023</v>
      </c>
      <c r="C1046" t="s">
        <v>1308</v>
      </c>
      <c r="D1046" t="s">
        <v>1313</v>
      </c>
      <c r="E1046" t="s">
        <v>1359</v>
      </c>
      <c r="G1046" t="s">
        <v>1371</v>
      </c>
      <c r="H1046">
        <v>54.561</v>
      </c>
      <c r="J1046" t="s">
        <v>1410</v>
      </c>
      <c r="L1046">
        <f t="shared" si="24"/>
        <v>3.0299999999999997E-3</v>
      </c>
      <c r="N1046">
        <v>2.34</v>
      </c>
      <c r="O1046">
        <v>93</v>
      </c>
      <c r="Q1046" t="s">
        <v>1430</v>
      </c>
      <c r="R1046" t="s">
        <v>1448</v>
      </c>
      <c r="S1046">
        <v>1034000</v>
      </c>
      <c r="U1046">
        <v>1034000</v>
      </c>
      <c r="V1046">
        <v>5.2766924564796897E-5</v>
      </c>
      <c r="W1046" t="s">
        <v>9</v>
      </c>
      <c r="X1046" t="s">
        <v>1456</v>
      </c>
    </row>
    <row r="1047" spans="1:24" hidden="1" x14ac:dyDescent="0.35">
      <c r="A1047" t="s">
        <v>1183</v>
      </c>
      <c r="B1047">
        <v>2023</v>
      </c>
      <c r="C1047" t="s">
        <v>1308</v>
      </c>
      <c r="D1047" t="s">
        <v>1314</v>
      </c>
      <c r="E1047" t="s">
        <v>1359</v>
      </c>
      <c r="G1047" t="s">
        <v>1371</v>
      </c>
      <c r="H1047">
        <v>5.6360000000000001</v>
      </c>
      <c r="J1047" t="s">
        <v>1410</v>
      </c>
      <c r="L1047">
        <f t="shared" si="24"/>
        <v>3.0299999999999997E-3</v>
      </c>
      <c r="N1047">
        <v>2.34</v>
      </c>
      <c r="O1047">
        <v>93</v>
      </c>
      <c r="Q1047" t="s">
        <v>1430</v>
      </c>
      <c r="R1047" t="s">
        <v>1448</v>
      </c>
      <c r="S1047">
        <v>1034000</v>
      </c>
      <c r="U1047">
        <v>1034000</v>
      </c>
      <c r="V1047">
        <v>5.450676982591876E-6</v>
      </c>
      <c r="W1047" t="s">
        <v>9</v>
      </c>
      <c r="X1047" t="s">
        <v>1456</v>
      </c>
    </row>
    <row r="1048" spans="1:24" hidden="1" x14ac:dyDescent="0.35">
      <c r="A1048" t="s">
        <v>1184</v>
      </c>
      <c r="B1048">
        <v>2023</v>
      </c>
      <c r="C1048" t="s">
        <v>1308</v>
      </c>
      <c r="D1048" t="s">
        <v>1349</v>
      </c>
      <c r="E1048" t="s">
        <v>1359</v>
      </c>
      <c r="G1048" t="s">
        <v>1371</v>
      </c>
      <c r="H1048">
        <v>1.6299999999999999E-2</v>
      </c>
      <c r="J1048" t="s">
        <v>1410</v>
      </c>
      <c r="L1048">
        <f t="shared" si="24"/>
        <v>3.0299999999999997E-3</v>
      </c>
      <c r="N1048">
        <v>2.34</v>
      </c>
      <c r="O1048">
        <v>93</v>
      </c>
      <c r="Q1048" t="s">
        <v>1430</v>
      </c>
      <c r="R1048" t="s">
        <v>1448</v>
      </c>
      <c r="S1048">
        <v>1034000</v>
      </c>
      <c r="U1048">
        <v>1034000</v>
      </c>
      <c r="V1048">
        <v>1.5764023210831721E-8</v>
      </c>
      <c r="W1048" t="s">
        <v>9</v>
      </c>
      <c r="X1048" t="s">
        <v>1456</v>
      </c>
    </row>
    <row r="1049" spans="1:24" hidden="1" x14ac:dyDescent="0.35">
      <c r="A1049" t="s">
        <v>1185</v>
      </c>
      <c r="B1049">
        <v>2023</v>
      </c>
      <c r="C1049" t="s">
        <v>1308</v>
      </c>
      <c r="D1049" t="s">
        <v>1316</v>
      </c>
      <c r="E1049" t="s">
        <v>1359</v>
      </c>
      <c r="G1049" t="s">
        <v>1371</v>
      </c>
      <c r="H1049">
        <v>0.15240000000000001</v>
      </c>
      <c r="J1049" t="s">
        <v>1410</v>
      </c>
      <c r="L1049">
        <f t="shared" si="24"/>
        <v>3.0299999999999997E-3</v>
      </c>
      <c r="N1049">
        <v>2.34</v>
      </c>
      <c r="O1049">
        <v>93</v>
      </c>
      <c r="Q1049" t="s">
        <v>1430</v>
      </c>
      <c r="R1049" t="s">
        <v>1448</v>
      </c>
      <c r="S1049">
        <v>1034000</v>
      </c>
      <c r="U1049">
        <v>1034000</v>
      </c>
      <c r="V1049">
        <v>1.4738878143133461E-7</v>
      </c>
      <c r="W1049" t="s">
        <v>9</v>
      </c>
      <c r="X1049" t="s">
        <v>1456</v>
      </c>
    </row>
    <row r="1050" spans="1:24" hidden="1" x14ac:dyDescent="0.35">
      <c r="A1050" t="s">
        <v>1186</v>
      </c>
      <c r="B1050">
        <v>2023</v>
      </c>
      <c r="C1050" t="s">
        <v>1309</v>
      </c>
      <c r="D1050" t="s">
        <v>1350</v>
      </c>
      <c r="E1050" t="s">
        <v>1360</v>
      </c>
      <c r="G1050" t="s">
        <v>1376</v>
      </c>
      <c r="H1050">
        <v>5145100</v>
      </c>
      <c r="J1050" t="s">
        <v>1410</v>
      </c>
      <c r="L1050">
        <f t="shared" si="24"/>
        <v>3.0299999999999997E-3</v>
      </c>
      <c r="N1050">
        <v>2.34</v>
      </c>
      <c r="O1050">
        <v>93</v>
      </c>
      <c r="Q1050" t="s">
        <v>1430</v>
      </c>
      <c r="R1050" t="s">
        <v>1448</v>
      </c>
      <c r="S1050">
        <v>1034000</v>
      </c>
      <c r="U1050">
        <v>1034000</v>
      </c>
      <c r="V1050">
        <v>4.9759187620889751</v>
      </c>
      <c r="W1050" t="s">
        <v>9</v>
      </c>
      <c r="X1050" t="s">
        <v>1461</v>
      </c>
    </row>
    <row r="1051" spans="1:24" hidden="1" x14ac:dyDescent="0.35">
      <c r="A1051" t="s">
        <v>1187</v>
      </c>
      <c r="B1051">
        <v>2023</v>
      </c>
      <c r="C1051" t="s">
        <v>1309</v>
      </c>
      <c r="D1051" t="s">
        <v>1350</v>
      </c>
      <c r="E1051" t="s">
        <v>1362</v>
      </c>
      <c r="G1051" t="s">
        <v>1376</v>
      </c>
      <c r="H1051">
        <v>6038800</v>
      </c>
      <c r="J1051" t="s">
        <v>1410</v>
      </c>
      <c r="L1051">
        <f t="shared" si="24"/>
        <v>3.0299999999999997E-3</v>
      </c>
      <c r="N1051">
        <v>2.34</v>
      </c>
      <c r="O1051">
        <v>93</v>
      </c>
      <c r="Q1051" t="s">
        <v>1430</v>
      </c>
      <c r="R1051" t="s">
        <v>1448</v>
      </c>
      <c r="S1051">
        <v>1034000</v>
      </c>
      <c r="U1051">
        <v>1034000</v>
      </c>
      <c r="V1051">
        <v>5.8402321083172151</v>
      </c>
      <c r="W1051" t="s">
        <v>9</v>
      </c>
      <c r="X1051" t="s">
        <v>1461</v>
      </c>
    </row>
    <row r="1052" spans="1:24" hidden="1" x14ac:dyDescent="0.35">
      <c r="A1052" t="s">
        <v>1188</v>
      </c>
      <c r="B1052">
        <v>2023</v>
      </c>
      <c r="C1052" t="s">
        <v>1309</v>
      </c>
      <c r="D1052" t="s">
        <v>1350</v>
      </c>
      <c r="E1052" t="s">
        <v>1361</v>
      </c>
      <c r="G1052" t="s">
        <v>1376</v>
      </c>
      <c r="H1052">
        <v>-893699.99999999977</v>
      </c>
      <c r="J1052" t="s">
        <v>1410</v>
      </c>
      <c r="L1052">
        <f t="shared" si="24"/>
        <v>3.0299999999999997E-3</v>
      </c>
      <c r="N1052">
        <v>2.34</v>
      </c>
      <c r="O1052">
        <v>93</v>
      </c>
      <c r="Q1052" t="s">
        <v>1430</v>
      </c>
      <c r="R1052" t="s">
        <v>1448</v>
      </c>
      <c r="S1052">
        <v>1034000</v>
      </c>
      <c r="U1052">
        <v>1034000</v>
      </c>
      <c r="V1052">
        <v>-0.86431334622823963</v>
      </c>
      <c r="W1052" t="s">
        <v>9</v>
      </c>
      <c r="X1052" t="s">
        <v>1461</v>
      </c>
    </row>
    <row r="1053" spans="1:24" hidden="1" x14ac:dyDescent="0.35">
      <c r="A1053" t="s">
        <v>1189</v>
      </c>
      <c r="B1053">
        <v>2023</v>
      </c>
      <c r="C1053" t="s">
        <v>1310</v>
      </c>
      <c r="E1053" t="s">
        <v>1363</v>
      </c>
      <c r="G1053" t="s">
        <v>1377</v>
      </c>
      <c r="H1053">
        <v>1014.81</v>
      </c>
      <c r="J1053" t="s">
        <v>1410</v>
      </c>
      <c r="L1053">
        <f t="shared" si="24"/>
        <v>3.0299999999999997E-3</v>
      </c>
      <c r="N1053">
        <v>2.34</v>
      </c>
      <c r="O1053">
        <v>93</v>
      </c>
      <c r="Q1053" t="s">
        <v>1430</v>
      </c>
      <c r="R1053" t="s">
        <v>1448</v>
      </c>
      <c r="S1053">
        <v>1034000</v>
      </c>
      <c r="U1053">
        <v>1034000</v>
      </c>
      <c r="V1053">
        <v>9.8144100580270792E-4</v>
      </c>
      <c r="W1053" t="s">
        <v>9</v>
      </c>
      <c r="X1053" t="s">
        <v>1462</v>
      </c>
    </row>
    <row r="1054" spans="1:24" x14ac:dyDescent="0.35">
      <c r="A1054" t="s">
        <v>217</v>
      </c>
      <c r="B1054">
        <v>2023</v>
      </c>
      <c r="C1054" t="s">
        <v>1308</v>
      </c>
      <c r="D1054" t="s">
        <v>1311</v>
      </c>
      <c r="E1054" t="s">
        <v>1359</v>
      </c>
      <c r="F1054" t="s">
        <v>1364</v>
      </c>
      <c r="G1054" t="s">
        <v>1371</v>
      </c>
      <c r="H1054">
        <v>32.78</v>
      </c>
      <c r="J1054" t="s">
        <v>1396</v>
      </c>
      <c r="M1054">
        <v>0.66200000000000003</v>
      </c>
      <c r="R1054" s="2" t="s">
        <v>1438</v>
      </c>
      <c r="S1054">
        <v>21000000</v>
      </c>
      <c r="U1054">
        <v>21000000</v>
      </c>
      <c r="V1054">
        <v>1.560952380952381E-6</v>
      </c>
      <c r="W1054" t="s">
        <v>9</v>
      </c>
      <c r="X1054" t="s">
        <v>1456</v>
      </c>
    </row>
    <row r="1055" spans="1:24" x14ac:dyDescent="0.35">
      <c r="A1055" t="s">
        <v>218</v>
      </c>
      <c r="B1055">
        <v>2023</v>
      </c>
      <c r="C1055" t="s">
        <v>1308</v>
      </c>
      <c r="D1055" t="s">
        <v>1312</v>
      </c>
      <c r="E1055" t="s">
        <v>1359</v>
      </c>
      <c r="F1055" t="s">
        <v>1364</v>
      </c>
      <c r="G1055" t="s">
        <v>1371</v>
      </c>
      <c r="H1055">
        <v>151.08000000000001</v>
      </c>
      <c r="J1055" t="s">
        <v>1396</v>
      </c>
      <c r="M1055">
        <v>0.66200000000000003</v>
      </c>
      <c r="R1055" s="2" t="s">
        <v>1438</v>
      </c>
      <c r="S1055">
        <v>21000000</v>
      </c>
      <c r="U1055">
        <v>21000000</v>
      </c>
      <c r="V1055">
        <v>7.1942857142857147E-6</v>
      </c>
      <c r="W1055" t="s">
        <v>9</v>
      </c>
      <c r="X1055" t="s">
        <v>1456</v>
      </c>
    </row>
    <row r="1056" spans="1:24" x14ac:dyDescent="0.35">
      <c r="A1056" t="s">
        <v>219</v>
      </c>
      <c r="B1056">
        <v>2023</v>
      </c>
      <c r="C1056" t="s">
        <v>1308</v>
      </c>
      <c r="D1056" t="s">
        <v>1313</v>
      </c>
      <c r="E1056" t="s">
        <v>1359</v>
      </c>
      <c r="F1056" t="s">
        <v>1364</v>
      </c>
      <c r="G1056" t="s">
        <v>1371</v>
      </c>
      <c r="H1056">
        <v>10.51</v>
      </c>
      <c r="J1056" t="s">
        <v>1396</v>
      </c>
      <c r="M1056">
        <v>0.66200000000000003</v>
      </c>
      <c r="R1056" s="2" t="s">
        <v>1438</v>
      </c>
      <c r="S1056">
        <v>21000000</v>
      </c>
      <c r="U1056">
        <v>21000000</v>
      </c>
      <c r="V1056">
        <v>5.0047619047619042E-7</v>
      </c>
      <c r="W1056" t="s">
        <v>9</v>
      </c>
      <c r="X1056" t="s">
        <v>1456</v>
      </c>
    </row>
    <row r="1057" spans="1:24" x14ac:dyDescent="0.35">
      <c r="A1057" t="s">
        <v>220</v>
      </c>
      <c r="B1057">
        <v>2023</v>
      </c>
      <c r="C1057" t="s">
        <v>1308</v>
      </c>
      <c r="D1057" t="s">
        <v>1314</v>
      </c>
      <c r="E1057" t="s">
        <v>1359</v>
      </c>
      <c r="F1057" t="s">
        <v>1364</v>
      </c>
      <c r="G1057" t="s">
        <v>1371</v>
      </c>
      <c r="H1057">
        <v>10.26</v>
      </c>
      <c r="J1057" t="s">
        <v>1396</v>
      </c>
      <c r="M1057">
        <v>0.66200000000000003</v>
      </c>
      <c r="R1057" s="2" t="s">
        <v>1438</v>
      </c>
      <c r="S1057">
        <v>21000000</v>
      </c>
      <c r="U1057">
        <v>21000000</v>
      </c>
      <c r="V1057">
        <v>4.8857142857142852E-7</v>
      </c>
      <c r="W1057" t="s">
        <v>9</v>
      </c>
      <c r="X1057" t="s">
        <v>1456</v>
      </c>
    </row>
    <row r="1058" spans="1:24" x14ac:dyDescent="0.35">
      <c r="A1058" t="s">
        <v>221</v>
      </c>
      <c r="B1058">
        <v>2023</v>
      </c>
      <c r="C1058" t="s">
        <v>1308</v>
      </c>
      <c r="D1058" t="s">
        <v>1315</v>
      </c>
      <c r="E1058" t="s">
        <v>1359</v>
      </c>
      <c r="F1058" t="s">
        <v>1364</v>
      </c>
      <c r="G1058" t="s">
        <v>1371</v>
      </c>
      <c r="H1058">
        <v>10.84</v>
      </c>
      <c r="J1058" t="s">
        <v>1396</v>
      </c>
      <c r="M1058">
        <v>0.66200000000000003</v>
      </c>
      <c r="R1058" s="2" t="s">
        <v>1438</v>
      </c>
      <c r="S1058">
        <v>21000000</v>
      </c>
      <c r="U1058">
        <v>21000000</v>
      </c>
      <c r="V1058">
        <v>5.1619047619047621E-7</v>
      </c>
      <c r="W1058" t="s">
        <v>9</v>
      </c>
      <c r="X1058" t="s">
        <v>1456</v>
      </c>
    </row>
    <row r="1059" spans="1:24" x14ac:dyDescent="0.35">
      <c r="A1059" t="s">
        <v>222</v>
      </c>
      <c r="B1059">
        <v>2023</v>
      </c>
      <c r="C1059" t="s">
        <v>1308</v>
      </c>
      <c r="D1059" t="s">
        <v>1316</v>
      </c>
      <c r="E1059" t="s">
        <v>1359</v>
      </c>
      <c r="F1059" t="s">
        <v>1364</v>
      </c>
      <c r="G1059" t="s">
        <v>1371</v>
      </c>
      <c r="H1059">
        <v>11.86</v>
      </c>
      <c r="J1059" t="s">
        <v>1396</v>
      </c>
      <c r="M1059">
        <v>0.66200000000000003</v>
      </c>
      <c r="R1059" s="2" t="s">
        <v>1438</v>
      </c>
      <c r="S1059">
        <v>21000000</v>
      </c>
      <c r="U1059">
        <v>21000000</v>
      </c>
      <c r="V1059">
        <v>5.6476190476190471E-7</v>
      </c>
      <c r="W1059" t="s">
        <v>9</v>
      </c>
      <c r="X1059" t="s">
        <v>1456</v>
      </c>
    </row>
    <row r="1060" spans="1:24" x14ac:dyDescent="0.35">
      <c r="A1060" t="s">
        <v>580</v>
      </c>
      <c r="B1060">
        <v>2023</v>
      </c>
      <c r="C1060" t="s">
        <v>1308</v>
      </c>
      <c r="D1060" t="s">
        <v>1317</v>
      </c>
      <c r="E1060" t="s">
        <v>1359</v>
      </c>
      <c r="F1060" t="s">
        <v>1366</v>
      </c>
      <c r="G1060" t="s">
        <v>1372</v>
      </c>
      <c r="H1060">
        <v>2.74</v>
      </c>
      <c r="J1060" t="s">
        <v>1396</v>
      </c>
      <c r="M1060">
        <v>0.66200000000000003</v>
      </c>
      <c r="R1060" s="2" t="s">
        <v>1438</v>
      </c>
      <c r="S1060">
        <v>21000000</v>
      </c>
      <c r="U1060">
        <v>21000000</v>
      </c>
      <c r="V1060">
        <v>1.304761904761905E-7</v>
      </c>
      <c r="W1060" t="s">
        <v>9</v>
      </c>
      <c r="X1060" t="s">
        <v>1457</v>
      </c>
    </row>
    <row r="1061" spans="1:24" x14ac:dyDescent="0.35">
      <c r="A1061" t="s">
        <v>581</v>
      </c>
      <c r="B1061">
        <v>2023</v>
      </c>
      <c r="C1061" t="s">
        <v>1308</v>
      </c>
      <c r="D1061" t="s">
        <v>1318</v>
      </c>
      <c r="E1061" t="s">
        <v>1359</v>
      </c>
      <c r="F1061" t="s">
        <v>1366</v>
      </c>
      <c r="G1061" t="s">
        <v>1372</v>
      </c>
      <c r="H1061">
        <v>0.113</v>
      </c>
      <c r="J1061" t="s">
        <v>1396</v>
      </c>
      <c r="M1061">
        <v>0.66200000000000003</v>
      </c>
      <c r="R1061" s="2" t="s">
        <v>1438</v>
      </c>
      <c r="S1061">
        <v>21000000</v>
      </c>
      <c r="U1061">
        <v>21000000</v>
      </c>
      <c r="V1061">
        <v>5.3809523809523814E-9</v>
      </c>
      <c r="W1061" t="s">
        <v>9</v>
      </c>
      <c r="X1061" t="s">
        <v>1457</v>
      </c>
    </row>
    <row r="1062" spans="1:24" x14ac:dyDescent="0.35">
      <c r="A1062" t="s">
        <v>582</v>
      </c>
      <c r="B1062">
        <v>2023</v>
      </c>
      <c r="C1062" t="s">
        <v>1308</v>
      </c>
      <c r="D1062" t="s">
        <v>1311</v>
      </c>
      <c r="E1062" t="s">
        <v>1359</v>
      </c>
      <c r="F1062" t="s">
        <v>1366</v>
      </c>
      <c r="G1062" t="s">
        <v>1371</v>
      </c>
      <c r="H1062">
        <v>389.87</v>
      </c>
      <c r="J1062" t="s">
        <v>1396</v>
      </c>
      <c r="M1062">
        <v>0.66200000000000003</v>
      </c>
      <c r="R1062" s="2" t="s">
        <v>1438</v>
      </c>
      <c r="S1062">
        <v>21000000</v>
      </c>
      <c r="U1062">
        <v>21000000</v>
      </c>
      <c r="V1062">
        <v>1.8565238095238091E-5</v>
      </c>
      <c r="W1062" t="s">
        <v>9</v>
      </c>
      <c r="X1062" t="s">
        <v>1456</v>
      </c>
    </row>
    <row r="1063" spans="1:24" x14ac:dyDescent="0.35">
      <c r="A1063" t="s">
        <v>583</v>
      </c>
      <c r="B1063">
        <v>2023</v>
      </c>
      <c r="C1063" t="s">
        <v>1308</v>
      </c>
      <c r="D1063" t="s">
        <v>1319</v>
      </c>
      <c r="E1063" t="s">
        <v>1359</v>
      </c>
      <c r="F1063" t="s">
        <v>1366</v>
      </c>
      <c r="G1063" t="s">
        <v>1371</v>
      </c>
      <c r="H1063">
        <v>1.3515200000000001</v>
      </c>
      <c r="J1063" t="s">
        <v>1396</v>
      </c>
      <c r="M1063">
        <v>0.66200000000000003</v>
      </c>
      <c r="R1063" s="2" t="s">
        <v>1438</v>
      </c>
      <c r="S1063">
        <v>21000000</v>
      </c>
      <c r="U1063">
        <v>21000000</v>
      </c>
      <c r="V1063">
        <v>6.4358095238095244E-8</v>
      </c>
      <c r="W1063" t="s">
        <v>9</v>
      </c>
      <c r="X1063" t="s">
        <v>1456</v>
      </c>
    </row>
    <row r="1064" spans="1:24" x14ac:dyDescent="0.35">
      <c r="A1064" t="s">
        <v>584</v>
      </c>
      <c r="B1064">
        <v>2023</v>
      </c>
      <c r="C1064" t="s">
        <v>1308</v>
      </c>
      <c r="D1064" t="s">
        <v>1320</v>
      </c>
      <c r="E1064" t="s">
        <v>1359</v>
      </c>
      <c r="F1064" t="s">
        <v>1366</v>
      </c>
      <c r="G1064" t="s">
        <v>1372</v>
      </c>
      <c r="H1064">
        <v>298.78300000000002</v>
      </c>
      <c r="J1064" t="s">
        <v>1396</v>
      </c>
      <c r="M1064">
        <v>0.66200000000000003</v>
      </c>
      <c r="R1064" s="2" t="s">
        <v>1438</v>
      </c>
      <c r="S1064">
        <v>21000000</v>
      </c>
      <c r="U1064">
        <v>21000000</v>
      </c>
      <c r="V1064">
        <v>1.42277619047619E-5</v>
      </c>
      <c r="W1064" t="s">
        <v>9</v>
      </c>
      <c r="X1064" t="s">
        <v>1457</v>
      </c>
    </row>
    <row r="1065" spans="1:24" x14ac:dyDescent="0.35">
      <c r="A1065" t="s">
        <v>585</v>
      </c>
      <c r="B1065">
        <v>2023</v>
      </c>
      <c r="C1065" t="s">
        <v>1308</v>
      </c>
      <c r="D1065" t="s">
        <v>1321</v>
      </c>
      <c r="E1065" t="s">
        <v>1359</v>
      </c>
      <c r="F1065" t="s">
        <v>1366</v>
      </c>
      <c r="G1065" t="s">
        <v>1371</v>
      </c>
      <c r="H1065">
        <v>0.17150000000000001</v>
      </c>
      <c r="J1065" t="s">
        <v>1396</v>
      </c>
      <c r="M1065">
        <v>0.66200000000000003</v>
      </c>
      <c r="R1065" s="2" t="s">
        <v>1438</v>
      </c>
      <c r="S1065">
        <v>21000000</v>
      </c>
      <c r="U1065">
        <v>21000000</v>
      </c>
      <c r="V1065">
        <v>8.166666666666667E-9</v>
      </c>
      <c r="W1065" t="s">
        <v>9</v>
      </c>
      <c r="X1065" t="s">
        <v>1456</v>
      </c>
    </row>
    <row r="1066" spans="1:24" x14ac:dyDescent="0.35">
      <c r="A1066" t="s">
        <v>586</v>
      </c>
      <c r="B1066">
        <v>2023</v>
      </c>
      <c r="C1066" t="s">
        <v>1308</v>
      </c>
      <c r="D1066" t="s">
        <v>1322</v>
      </c>
      <c r="E1066" t="s">
        <v>1359</v>
      </c>
      <c r="F1066" t="s">
        <v>1366</v>
      </c>
      <c r="G1066" t="s">
        <v>1372</v>
      </c>
      <c r="H1066">
        <v>10.576000000000001</v>
      </c>
      <c r="J1066" t="s">
        <v>1396</v>
      </c>
      <c r="M1066">
        <v>0.66200000000000003</v>
      </c>
      <c r="R1066" s="2" t="s">
        <v>1438</v>
      </c>
      <c r="S1066">
        <v>21000000</v>
      </c>
      <c r="U1066">
        <v>21000000</v>
      </c>
      <c r="V1066">
        <v>5.0361904761904767E-7</v>
      </c>
      <c r="W1066" t="s">
        <v>9</v>
      </c>
      <c r="X1066" t="s">
        <v>1457</v>
      </c>
    </row>
    <row r="1067" spans="1:24" x14ac:dyDescent="0.35">
      <c r="A1067" t="s">
        <v>587</v>
      </c>
      <c r="B1067">
        <v>2023</v>
      </c>
      <c r="C1067" t="s">
        <v>1308</v>
      </c>
      <c r="D1067" t="s">
        <v>1323</v>
      </c>
      <c r="E1067" t="s">
        <v>1359</v>
      </c>
      <c r="F1067" t="s">
        <v>1366</v>
      </c>
      <c r="G1067" t="s">
        <v>1371</v>
      </c>
      <c r="H1067">
        <v>3.0989</v>
      </c>
      <c r="J1067" t="s">
        <v>1396</v>
      </c>
      <c r="M1067">
        <v>0.66200000000000003</v>
      </c>
      <c r="R1067" s="2" t="s">
        <v>1438</v>
      </c>
      <c r="S1067">
        <v>21000000</v>
      </c>
      <c r="U1067">
        <v>21000000</v>
      </c>
      <c r="V1067">
        <v>1.475666666666667E-7</v>
      </c>
      <c r="W1067" t="s">
        <v>9</v>
      </c>
      <c r="X1067" t="s">
        <v>1456</v>
      </c>
    </row>
    <row r="1068" spans="1:24" x14ac:dyDescent="0.35">
      <c r="A1068" t="s">
        <v>588</v>
      </c>
      <c r="B1068">
        <v>2023</v>
      </c>
      <c r="C1068" t="s">
        <v>1308</v>
      </c>
      <c r="D1068" t="s">
        <v>1330</v>
      </c>
      <c r="E1068" t="s">
        <v>1359</v>
      </c>
      <c r="F1068" t="s">
        <v>1366</v>
      </c>
      <c r="G1068" t="s">
        <v>1371</v>
      </c>
      <c r="H1068">
        <v>2.1100000000000001E-4</v>
      </c>
      <c r="J1068" t="s">
        <v>1396</v>
      </c>
      <c r="M1068">
        <v>0.66200000000000003</v>
      </c>
      <c r="R1068" s="2" t="s">
        <v>1438</v>
      </c>
      <c r="S1068">
        <v>21000000</v>
      </c>
      <c r="U1068">
        <v>21000000</v>
      </c>
      <c r="V1068">
        <v>1.004761904761905E-11</v>
      </c>
      <c r="W1068" t="s">
        <v>9</v>
      </c>
      <c r="X1068" t="s">
        <v>1456</v>
      </c>
    </row>
    <row r="1069" spans="1:24" x14ac:dyDescent="0.35">
      <c r="A1069" t="s">
        <v>589</v>
      </c>
      <c r="B1069">
        <v>2023</v>
      </c>
      <c r="C1069" t="s">
        <v>1308</v>
      </c>
      <c r="D1069" t="s">
        <v>1324</v>
      </c>
      <c r="E1069" t="s">
        <v>1359</v>
      </c>
      <c r="F1069" t="s">
        <v>1366</v>
      </c>
      <c r="G1069" t="s">
        <v>1371</v>
      </c>
      <c r="H1069">
        <v>0.52036000000000004</v>
      </c>
      <c r="J1069" t="s">
        <v>1396</v>
      </c>
      <c r="M1069">
        <v>0.66200000000000003</v>
      </c>
      <c r="R1069" s="2" t="s">
        <v>1438</v>
      </c>
      <c r="S1069">
        <v>21000000</v>
      </c>
      <c r="U1069">
        <v>21000000</v>
      </c>
      <c r="V1069">
        <v>2.4779047619047619E-8</v>
      </c>
      <c r="W1069" t="s">
        <v>9</v>
      </c>
      <c r="X1069" t="s">
        <v>1456</v>
      </c>
    </row>
    <row r="1070" spans="1:24" x14ac:dyDescent="0.35">
      <c r="A1070" t="s">
        <v>590</v>
      </c>
      <c r="B1070">
        <v>2023</v>
      </c>
      <c r="C1070" t="s">
        <v>1308</v>
      </c>
      <c r="D1070" t="s">
        <v>1312</v>
      </c>
      <c r="E1070" t="s">
        <v>1359</v>
      </c>
      <c r="F1070" t="s">
        <v>1366</v>
      </c>
      <c r="G1070" t="s">
        <v>1371</v>
      </c>
      <c r="H1070">
        <v>84.27</v>
      </c>
      <c r="J1070" t="s">
        <v>1396</v>
      </c>
      <c r="M1070">
        <v>0.66200000000000003</v>
      </c>
      <c r="R1070" s="2" t="s">
        <v>1438</v>
      </c>
      <c r="S1070">
        <v>21000000</v>
      </c>
      <c r="U1070">
        <v>21000000</v>
      </c>
      <c r="V1070">
        <v>4.012857142857143E-6</v>
      </c>
      <c r="W1070" t="s">
        <v>9</v>
      </c>
      <c r="X1070" t="s">
        <v>1456</v>
      </c>
    </row>
    <row r="1071" spans="1:24" x14ac:dyDescent="0.35">
      <c r="A1071" t="s">
        <v>591</v>
      </c>
      <c r="B1071">
        <v>2023</v>
      </c>
      <c r="C1071" t="s">
        <v>1308</v>
      </c>
      <c r="D1071" t="s">
        <v>1313</v>
      </c>
      <c r="E1071" t="s">
        <v>1359</v>
      </c>
      <c r="F1071" t="s">
        <v>1366</v>
      </c>
      <c r="G1071" t="s">
        <v>1371</v>
      </c>
      <c r="H1071">
        <v>1091.19</v>
      </c>
      <c r="J1071" t="s">
        <v>1396</v>
      </c>
      <c r="M1071">
        <v>0.66200000000000003</v>
      </c>
      <c r="R1071" s="2" t="s">
        <v>1438</v>
      </c>
      <c r="S1071">
        <v>21000000</v>
      </c>
      <c r="U1071">
        <v>21000000</v>
      </c>
      <c r="V1071">
        <v>5.1961428571428582E-5</v>
      </c>
      <c r="W1071" t="s">
        <v>9</v>
      </c>
      <c r="X1071" t="s">
        <v>1456</v>
      </c>
    </row>
    <row r="1072" spans="1:24" x14ac:dyDescent="0.35">
      <c r="A1072" t="s">
        <v>592</v>
      </c>
      <c r="B1072">
        <v>2023</v>
      </c>
      <c r="C1072" t="s">
        <v>1308</v>
      </c>
      <c r="D1072" t="s">
        <v>1314</v>
      </c>
      <c r="E1072" t="s">
        <v>1359</v>
      </c>
      <c r="F1072" t="s">
        <v>1366</v>
      </c>
      <c r="G1072" t="s">
        <v>1371</v>
      </c>
      <c r="H1072">
        <v>173.63</v>
      </c>
      <c r="J1072" t="s">
        <v>1396</v>
      </c>
      <c r="M1072">
        <v>0.66200000000000003</v>
      </c>
      <c r="R1072" s="2" t="s">
        <v>1438</v>
      </c>
      <c r="S1072">
        <v>21000000</v>
      </c>
      <c r="U1072">
        <v>21000000</v>
      </c>
      <c r="V1072">
        <v>8.2680952380952382E-6</v>
      </c>
      <c r="W1072" t="s">
        <v>9</v>
      </c>
      <c r="X1072" t="s">
        <v>1456</v>
      </c>
    </row>
    <row r="1073" spans="1:24" x14ac:dyDescent="0.35">
      <c r="A1073" t="s">
        <v>593</v>
      </c>
      <c r="B1073">
        <v>2023</v>
      </c>
      <c r="C1073" t="s">
        <v>1308</v>
      </c>
      <c r="D1073" t="s">
        <v>1325</v>
      </c>
      <c r="E1073" t="s">
        <v>1359</v>
      </c>
      <c r="F1073" t="s">
        <v>1366</v>
      </c>
      <c r="G1073" t="s">
        <v>1372</v>
      </c>
      <c r="H1073">
        <v>2.0390000000000001</v>
      </c>
      <c r="J1073" t="s">
        <v>1396</v>
      </c>
      <c r="M1073">
        <v>0.66200000000000003</v>
      </c>
      <c r="R1073" s="2" t="s">
        <v>1438</v>
      </c>
      <c r="S1073">
        <v>21000000</v>
      </c>
      <c r="U1073">
        <v>21000000</v>
      </c>
      <c r="V1073">
        <v>9.7095238095238108E-8</v>
      </c>
      <c r="W1073" t="s">
        <v>9</v>
      </c>
      <c r="X1073" t="s">
        <v>1457</v>
      </c>
    </row>
    <row r="1074" spans="1:24" x14ac:dyDescent="0.35">
      <c r="A1074" t="s">
        <v>594</v>
      </c>
      <c r="B1074">
        <v>2023</v>
      </c>
      <c r="C1074" t="s">
        <v>1308</v>
      </c>
      <c r="D1074" t="s">
        <v>1334</v>
      </c>
      <c r="E1074" t="s">
        <v>1359</v>
      </c>
      <c r="F1074" t="s">
        <v>1366</v>
      </c>
      <c r="G1074" t="s">
        <v>1372</v>
      </c>
      <c r="H1074">
        <v>2.06</v>
      </c>
      <c r="J1074" t="s">
        <v>1396</v>
      </c>
      <c r="M1074">
        <v>0.66200000000000003</v>
      </c>
      <c r="R1074" s="2" t="s">
        <v>1438</v>
      </c>
      <c r="S1074">
        <v>21000000</v>
      </c>
      <c r="U1074">
        <v>21000000</v>
      </c>
      <c r="V1074">
        <v>9.8095238095238104E-8</v>
      </c>
      <c r="W1074" t="s">
        <v>9</v>
      </c>
      <c r="X1074" t="s">
        <v>1457</v>
      </c>
    </row>
    <row r="1075" spans="1:24" x14ac:dyDescent="0.35">
      <c r="A1075" t="s">
        <v>595</v>
      </c>
      <c r="B1075">
        <v>2023</v>
      </c>
      <c r="C1075" t="s">
        <v>1308</v>
      </c>
      <c r="D1075" t="s">
        <v>1315</v>
      </c>
      <c r="E1075" t="s">
        <v>1359</v>
      </c>
      <c r="F1075" t="s">
        <v>1366</v>
      </c>
      <c r="G1075" t="s">
        <v>1371</v>
      </c>
      <c r="H1075">
        <v>2181.7199999999998</v>
      </c>
      <c r="J1075" t="s">
        <v>1396</v>
      </c>
      <c r="M1075">
        <v>0.66200000000000003</v>
      </c>
      <c r="R1075" s="2" t="s">
        <v>1438</v>
      </c>
      <c r="S1075">
        <v>21000000</v>
      </c>
      <c r="U1075">
        <v>21000000</v>
      </c>
      <c r="V1075">
        <v>1.038914285714286E-4</v>
      </c>
      <c r="W1075" t="s">
        <v>9</v>
      </c>
      <c r="X1075" t="s">
        <v>1456</v>
      </c>
    </row>
    <row r="1076" spans="1:24" x14ac:dyDescent="0.35">
      <c r="A1076" t="s">
        <v>596</v>
      </c>
      <c r="B1076">
        <v>2023</v>
      </c>
      <c r="C1076" t="s">
        <v>1308</v>
      </c>
      <c r="D1076" t="s">
        <v>1336</v>
      </c>
      <c r="E1076" t="s">
        <v>1359</v>
      </c>
      <c r="F1076" t="s">
        <v>1366</v>
      </c>
      <c r="G1076" t="s">
        <v>1371</v>
      </c>
      <c r="H1076">
        <v>0.26829999999999998</v>
      </c>
      <c r="J1076" t="s">
        <v>1396</v>
      </c>
      <c r="M1076">
        <v>0.66200000000000003</v>
      </c>
      <c r="R1076" s="2" t="s">
        <v>1438</v>
      </c>
      <c r="S1076">
        <v>21000000</v>
      </c>
      <c r="U1076">
        <v>21000000</v>
      </c>
      <c r="V1076">
        <v>1.277619047619048E-8</v>
      </c>
      <c r="W1076" t="s">
        <v>9</v>
      </c>
      <c r="X1076" t="s">
        <v>1456</v>
      </c>
    </row>
    <row r="1077" spans="1:24" x14ac:dyDescent="0.35">
      <c r="A1077" t="s">
        <v>597</v>
      </c>
      <c r="B1077">
        <v>2023</v>
      </c>
      <c r="C1077" t="s">
        <v>1308</v>
      </c>
      <c r="D1077" t="s">
        <v>1326</v>
      </c>
      <c r="E1077" t="s">
        <v>1359</v>
      </c>
      <c r="F1077" t="s">
        <v>1366</v>
      </c>
      <c r="G1077" t="s">
        <v>1371</v>
      </c>
      <c r="H1077">
        <v>0.29421000000000003</v>
      </c>
      <c r="J1077" t="s">
        <v>1396</v>
      </c>
      <c r="M1077">
        <v>0.66200000000000003</v>
      </c>
      <c r="R1077" s="2" t="s">
        <v>1438</v>
      </c>
      <c r="S1077">
        <v>21000000</v>
      </c>
      <c r="U1077">
        <v>21000000</v>
      </c>
      <c r="V1077">
        <v>1.4009999999999999E-8</v>
      </c>
      <c r="W1077" t="s">
        <v>9</v>
      </c>
      <c r="X1077" t="s">
        <v>1456</v>
      </c>
    </row>
    <row r="1078" spans="1:24" x14ac:dyDescent="0.35">
      <c r="A1078" t="s">
        <v>915</v>
      </c>
      <c r="B1078">
        <v>2023</v>
      </c>
      <c r="C1078" t="s">
        <v>1309</v>
      </c>
      <c r="D1078" t="s">
        <v>1317</v>
      </c>
      <c r="E1078" t="s">
        <v>1359</v>
      </c>
      <c r="F1078" t="s">
        <v>1368</v>
      </c>
      <c r="G1078" t="s">
        <v>1372</v>
      </c>
      <c r="H1078">
        <v>1.3</v>
      </c>
      <c r="J1078" t="s">
        <v>1396</v>
      </c>
      <c r="M1078">
        <v>0.66200000000000003</v>
      </c>
      <c r="R1078" s="2" t="s">
        <v>1438</v>
      </c>
      <c r="S1078">
        <v>21000000</v>
      </c>
      <c r="U1078">
        <v>21000000</v>
      </c>
      <c r="V1078">
        <v>6.1904761904761913E-8</v>
      </c>
      <c r="W1078" t="s">
        <v>9</v>
      </c>
      <c r="X1078" t="s">
        <v>1457</v>
      </c>
    </row>
    <row r="1079" spans="1:24" x14ac:dyDescent="0.35">
      <c r="A1079" t="s">
        <v>916</v>
      </c>
      <c r="B1079">
        <v>2023</v>
      </c>
      <c r="C1079" t="s">
        <v>1309</v>
      </c>
      <c r="D1079" t="s">
        <v>1318</v>
      </c>
      <c r="E1079" t="s">
        <v>1359</v>
      </c>
      <c r="F1079" t="s">
        <v>1368</v>
      </c>
      <c r="G1079" t="s">
        <v>1372</v>
      </c>
      <c r="H1079">
        <v>4.3229999999999998E-2</v>
      </c>
      <c r="J1079" t="s">
        <v>1396</v>
      </c>
      <c r="M1079">
        <v>0.66200000000000003</v>
      </c>
      <c r="R1079" s="2" t="s">
        <v>1438</v>
      </c>
      <c r="S1079">
        <v>21000000</v>
      </c>
      <c r="U1079">
        <v>21000000</v>
      </c>
      <c r="V1079">
        <v>2.0585714285714279E-9</v>
      </c>
      <c r="W1079" t="s">
        <v>9</v>
      </c>
      <c r="X1079" t="s">
        <v>1457</v>
      </c>
    </row>
    <row r="1080" spans="1:24" x14ac:dyDescent="0.35">
      <c r="A1080" t="s">
        <v>917</v>
      </c>
      <c r="B1080">
        <v>2023</v>
      </c>
      <c r="C1080" t="s">
        <v>1309</v>
      </c>
      <c r="D1080" t="s">
        <v>1319</v>
      </c>
      <c r="E1080" t="s">
        <v>1359</v>
      </c>
      <c r="F1080" t="s">
        <v>1368</v>
      </c>
      <c r="G1080" t="s">
        <v>1371</v>
      </c>
      <c r="H1080">
        <v>1.6900000000000001E-3</v>
      </c>
      <c r="J1080" t="s">
        <v>1396</v>
      </c>
      <c r="M1080">
        <v>0.66200000000000003</v>
      </c>
      <c r="R1080" s="2" t="s">
        <v>1438</v>
      </c>
      <c r="S1080">
        <v>21000000</v>
      </c>
      <c r="U1080">
        <v>21000000</v>
      </c>
      <c r="V1080">
        <v>8.0476190476190483E-11</v>
      </c>
      <c r="W1080" t="s">
        <v>9</v>
      </c>
      <c r="X1080" t="s">
        <v>1456</v>
      </c>
    </row>
    <row r="1081" spans="1:24" x14ac:dyDescent="0.35">
      <c r="A1081" t="s">
        <v>918</v>
      </c>
      <c r="B1081">
        <v>2023</v>
      </c>
      <c r="C1081" t="s">
        <v>1309</v>
      </c>
      <c r="D1081" t="s">
        <v>1320</v>
      </c>
      <c r="E1081" t="s">
        <v>1359</v>
      </c>
      <c r="F1081" t="s">
        <v>1368</v>
      </c>
      <c r="G1081" t="s">
        <v>1372</v>
      </c>
      <c r="H1081">
        <v>6.87</v>
      </c>
      <c r="J1081" t="s">
        <v>1396</v>
      </c>
      <c r="M1081">
        <v>0.66200000000000003</v>
      </c>
      <c r="R1081" s="2" t="s">
        <v>1438</v>
      </c>
      <c r="S1081">
        <v>21000000</v>
      </c>
      <c r="U1081">
        <v>21000000</v>
      </c>
      <c r="V1081">
        <v>3.2714285714285707E-7</v>
      </c>
      <c r="W1081" t="s">
        <v>9</v>
      </c>
      <c r="X1081" t="s">
        <v>1457</v>
      </c>
    </row>
    <row r="1082" spans="1:24" x14ac:dyDescent="0.35">
      <c r="A1082" t="s">
        <v>919</v>
      </c>
      <c r="B1082">
        <v>2023</v>
      </c>
      <c r="C1082" t="s">
        <v>1309</v>
      </c>
      <c r="D1082" t="s">
        <v>1321</v>
      </c>
      <c r="E1082" t="s">
        <v>1359</v>
      </c>
      <c r="F1082" t="s">
        <v>1368</v>
      </c>
      <c r="G1082" t="s">
        <v>1371</v>
      </c>
      <c r="H1082">
        <v>1.6900000000000001E-3</v>
      </c>
      <c r="J1082" t="s">
        <v>1396</v>
      </c>
      <c r="M1082">
        <v>0.66200000000000003</v>
      </c>
      <c r="R1082" s="2" t="s">
        <v>1438</v>
      </c>
      <c r="S1082">
        <v>21000000</v>
      </c>
      <c r="U1082">
        <v>21000000</v>
      </c>
      <c r="V1082">
        <v>8.0476190476190483E-11</v>
      </c>
      <c r="W1082" t="s">
        <v>9</v>
      </c>
      <c r="X1082" t="s">
        <v>1456</v>
      </c>
    </row>
    <row r="1083" spans="1:24" x14ac:dyDescent="0.35">
      <c r="A1083" t="s">
        <v>920</v>
      </c>
      <c r="B1083">
        <v>2023</v>
      </c>
      <c r="C1083" t="s">
        <v>1309</v>
      </c>
      <c r="D1083" t="s">
        <v>1322</v>
      </c>
      <c r="E1083" t="s">
        <v>1359</v>
      </c>
      <c r="F1083" t="s">
        <v>1368</v>
      </c>
      <c r="G1083" t="s">
        <v>1372</v>
      </c>
      <c r="H1083">
        <v>0.61399999999999999</v>
      </c>
      <c r="J1083" t="s">
        <v>1396</v>
      </c>
      <c r="M1083">
        <v>0.66200000000000003</v>
      </c>
      <c r="R1083" s="2" t="s">
        <v>1438</v>
      </c>
      <c r="S1083">
        <v>21000000</v>
      </c>
      <c r="U1083">
        <v>21000000</v>
      </c>
      <c r="V1083">
        <v>2.9238095238095241E-8</v>
      </c>
      <c r="W1083" t="s">
        <v>9</v>
      </c>
      <c r="X1083" t="s">
        <v>1457</v>
      </c>
    </row>
    <row r="1084" spans="1:24" x14ac:dyDescent="0.35">
      <c r="A1084" t="s">
        <v>921</v>
      </c>
      <c r="B1084">
        <v>2023</v>
      </c>
      <c r="C1084" t="s">
        <v>1309</v>
      </c>
      <c r="D1084" t="s">
        <v>1323</v>
      </c>
      <c r="E1084" t="s">
        <v>1359</v>
      </c>
      <c r="F1084" t="s">
        <v>1368</v>
      </c>
      <c r="G1084" t="s">
        <v>1371</v>
      </c>
      <c r="H1084">
        <v>0.37646000000000002</v>
      </c>
      <c r="J1084" t="s">
        <v>1396</v>
      </c>
      <c r="M1084">
        <v>0.66200000000000003</v>
      </c>
      <c r="R1084" s="2" t="s">
        <v>1438</v>
      </c>
      <c r="S1084">
        <v>21000000</v>
      </c>
      <c r="U1084">
        <v>21000000</v>
      </c>
      <c r="V1084">
        <v>1.792666666666667E-8</v>
      </c>
      <c r="W1084" t="s">
        <v>9</v>
      </c>
      <c r="X1084" t="s">
        <v>1456</v>
      </c>
    </row>
    <row r="1085" spans="1:24" x14ac:dyDescent="0.35">
      <c r="A1085" t="s">
        <v>922</v>
      </c>
      <c r="B1085">
        <v>2023</v>
      </c>
      <c r="C1085" t="s">
        <v>1309</v>
      </c>
      <c r="D1085" t="s">
        <v>1330</v>
      </c>
      <c r="E1085" t="s">
        <v>1359</v>
      </c>
      <c r="F1085" t="s">
        <v>1368</v>
      </c>
      <c r="G1085" t="s">
        <v>1371</v>
      </c>
      <c r="H1085">
        <v>9.9999999999999995E-7</v>
      </c>
      <c r="J1085" t="s">
        <v>1396</v>
      </c>
      <c r="M1085">
        <v>0.66200000000000003</v>
      </c>
      <c r="R1085" s="2" t="s">
        <v>1438</v>
      </c>
      <c r="S1085">
        <v>21000000</v>
      </c>
      <c r="U1085">
        <v>21000000</v>
      </c>
      <c r="V1085">
        <v>4.7619047619047619E-14</v>
      </c>
      <c r="W1085" t="s">
        <v>9</v>
      </c>
      <c r="X1085" t="s">
        <v>1456</v>
      </c>
    </row>
    <row r="1086" spans="1:24" x14ac:dyDescent="0.35">
      <c r="A1086" t="s">
        <v>923</v>
      </c>
      <c r="B1086">
        <v>2023</v>
      </c>
      <c r="C1086" t="s">
        <v>1309</v>
      </c>
      <c r="D1086" t="s">
        <v>1324</v>
      </c>
      <c r="E1086" t="s">
        <v>1359</v>
      </c>
      <c r="F1086" t="s">
        <v>1368</v>
      </c>
      <c r="G1086" t="s">
        <v>1371</v>
      </c>
      <c r="H1086">
        <v>1.6240000000000001E-2</v>
      </c>
      <c r="J1086" t="s">
        <v>1396</v>
      </c>
      <c r="M1086">
        <v>0.66200000000000003</v>
      </c>
      <c r="R1086" s="2" t="s">
        <v>1438</v>
      </c>
      <c r="S1086">
        <v>21000000</v>
      </c>
      <c r="U1086">
        <v>21000000</v>
      </c>
      <c r="V1086">
        <v>7.7333333333333335E-10</v>
      </c>
      <c r="W1086" t="s">
        <v>9</v>
      </c>
      <c r="X1086" t="s">
        <v>1456</v>
      </c>
    </row>
    <row r="1087" spans="1:24" x14ac:dyDescent="0.35">
      <c r="A1087" t="s">
        <v>924</v>
      </c>
      <c r="B1087">
        <v>2023</v>
      </c>
      <c r="C1087" t="s">
        <v>1309</v>
      </c>
      <c r="D1087" t="s">
        <v>1325</v>
      </c>
      <c r="E1087" t="s">
        <v>1359</v>
      </c>
      <c r="F1087" t="s">
        <v>1368</v>
      </c>
      <c r="G1087" t="s">
        <v>1372</v>
      </c>
      <c r="H1087">
        <v>1.0129999999999999</v>
      </c>
      <c r="J1087" t="s">
        <v>1396</v>
      </c>
      <c r="M1087">
        <v>0.66200000000000003</v>
      </c>
      <c r="R1087" s="2" t="s">
        <v>1438</v>
      </c>
      <c r="S1087">
        <v>21000000</v>
      </c>
      <c r="U1087">
        <v>21000000</v>
      </c>
      <c r="V1087">
        <v>4.8238095238095243E-8</v>
      </c>
      <c r="W1087" t="s">
        <v>9</v>
      </c>
      <c r="X1087" t="s">
        <v>1457</v>
      </c>
    </row>
    <row r="1088" spans="1:24" x14ac:dyDescent="0.35">
      <c r="A1088" t="s">
        <v>925</v>
      </c>
      <c r="B1088">
        <v>2023</v>
      </c>
      <c r="C1088" t="s">
        <v>1309</v>
      </c>
      <c r="D1088" t="s">
        <v>1334</v>
      </c>
      <c r="E1088" t="s">
        <v>1359</v>
      </c>
      <c r="F1088" t="s">
        <v>1368</v>
      </c>
      <c r="G1088" t="s">
        <v>1372</v>
      </c>
      <c r="H1088">
        <v>0.27900000000000003</v>
      </c>
      <c r="J1088" t="s">
        <v>1396</v>
      </c>
      <c r="M1088">
        <v>0.66200000000000003</v>
      </c>
      <c r="R1088" s="2" t="s">
        <v>1438</v>
      </c>
      <c r="S1088">
        <v>21000000</v>
      </c>
      <c r="U1088">
        <v>21000000</v>
      </c>
      <c r="V1088">
        <v>1.328571428571429E-8</v>
      </c>
      <c r="W1088" t="s">
        <v>9</v>
      </c>
      <c r="X1088" t="s">
        <v>1457</v>
      </c>
    </row>
    <row r="1089" spans="1:24" x14ac:dyDescent="0.35">
      <c r="A1089" t="s">
        <v>926</v>
      </c>
      <c r="B1089">
        <v>2023</v>
      </c>
      <c r="C1089" t="s">
        <v>1309</v>
      </c>
      <c r="D1089" t="s">
        <v>1326</v>
      </c>
      <c r="E1089" t="s">
        <v>1359</v>
      </c>
      <c r="F1089" t="s">
        <v>1368</v>
      </c>
      <c r="G1089" t="s">
        <v>1371</v>
      </c>
      <c r="H1089">
        <v>7.7099999999999998E-3</v>
      </c>
      <c r="J1089" t="s">
        <v>1396</v>
      </c>
      <c r="M1089">
        <v>0.66200000000000003</v>
      </c>
      <c r="R1089" s="2" t="s">
        <v>1438</v>
      </c>
      <c r="S1089">
        <v>21000000</v>
      </c>
      <c r="U1089">
        <v>21000000</v>
      </c>
      <c r="V1089">
        <v>3.6714285714285712E-10</v>
      </c>
      <c r="W1089" t="s">
        <v>9</v>
      </c>
      <c r="X1089" t="s">
        <v>1456</v>
      </c>
    </row>
    <row r="1090" spans="1:24" x14ac:dyDescent="0.35">
      <c r="A1090" t="s">
        <v>1033</v>
      </c>
      <c r="B1090">
        <v>2023</v>
      </c>
      <c r="C1090" t="s">
        <v>1308</v>
      </c>
      <c r="D1090" t="s">
        <v>1347</v>
      </c>
      <c r="E1090" t="s">
        <v>1359</v>
      </c>
      <c r="F1090" t="s">
        <v>1370</v>
      </c>
      <c r="G1090" t="s">
        <v>1375</v>
      </c>
      <c r="H1090">
        <v>119160</v>
      </c>
      <c r="J1090" t="s">
        <v>1396</v>
      </c>
      <c r="M1090">
        <v>0.66200000000000003</v>
      </c>
      <c r="R1090" s="2" t="s">
        <v>1439</v>
      </c>
      <c r="S1090">
        <v>21000000</v>
      </c>
      <c r="U1090">
        <v>21000000</v>
      </c>
      <c r="V1090">
        <v>5.6742857142857142E-3</v>
      </c>
      <c r="W1090" t="s">
        <v>9</v>
      </c>
      <c r="X1090" t="s">
        <v>1460</v>
      </c>
    </row>
    <row r="1091" spans="1:24" hidden="1" x14ac:dyDescent="0.35">
      <c r="A1091" t="s">
        <v>479</v>
      </c>
      <c r="B1091">
        <v>2023</v>
      </c>
      <c r="C1091" t="s">
        <v>1308</v>
      </c>
      <c r="D1091" t="s">
        <v>1311</v>
      </c>
      <c r="E1091" t="s">
        <v>1359</v>
      </c>
      <c r="F1091" t="s">
        <v>1366</v>
      </c>
      <c r="G1091" t="s">
        <v>1371</v>
      </c>
      <c r="H1091">
        <v>159.04</v>
      </c>
      <c r="J1091" t="s">
        <v>1406</v>
      </c>
      <c r="L1091">
        <f>4.785/1000</f>
        <v>4.7850000000000002E-3</v>
      </c>
      <c r="N1091">
        <v>0.36</v>
      </c>
      <c r="O1091">
        <v>91</v>
      </c>
      <c r="R1091" s="2" t="s">
        <v>1438</v>
      </c>
      <c r="S1091">
        <v>1661000</v>
      </c>
      <c r="U1091">
        <v>1661000</v>
      </c>
      <c r="V1091">
        <v>9.5749548464780246E-5</v>
      </c>
      <c r="W1091" t="s">
        <v>9</v>
      </c>
      <c r="X1091" t="s">
        <v>1456</v>
      </c>
    </row>
    <row r="1092" spans="1:24" hidden="1" x14ac:dyDescent="0.35">
      <c r="A1092" t="s">
        <v>480</v>
      </c>
      <c r="B1092">
        <v>2023</v>
      </c>
      <c r="C1092" t="s">
        <v>1308</v>
      </c>
      <c r="D1092" t="s">
        <v>1319</v>
      </c>
      <c r="E1092" t="s">
        <v>1359</v>
      </c>
      <c r="F1092" t="s">
        <v>1366</v>
      </c>
      <c r="G1092" t="s">
        <v>1371</v>
      </c>
      <c r="H1092">
        <v>3.0000000000000001E-5</v>
      </c>
      <c r="J1092" t="s">
        <v>1406</v>
      </c>
      <c r="L1092">
        <f t="shared" ref="L1092:L1133" si="25">4.785/1000</f>
        <v>4.7850000000000002E-3</v>
      </c>
      <c r="N1092">
        <v>0.36</v>
      </c>
      <c r="O1092">
        <v>91</v>
      </c>
      <c r="R1092" s="2" t="s">
        <v>1438</v>
      </c>
      <c r="S1092">
        <v>1661000</v>
      </c>
      <c r="U1092">
        <v>1661000</v>
      </c>
      <c r="V1092">
        <v>1.8061408789885609E-11</v>
      </c>
      <c r="W1092" t="s">
        <v>9</v>
      </c>
      <c r="X1092" t="s">
        <v>1456</v>
      </c>
    </row>
    <row r="1093" spans="1:24" hidden="1" x14ac:dyDescent="0.35">
      <c r="A1093" t="s">
        <v>482</v>
      </c>
      <c r="B1093">
        <v>2023</v>
      </c>
      <c r="C1093" t="s">
        <v>1308</v>
      </c>
      <c r="D1093" t="s">
        <v>1320</v>
      </c>
      <c r="E1093" t="s">
        <v>1359</v>
      </c>
      <c r="F1093" t="s">
        <v>1366</v>
      </c>
      <c r="G1093" t="s">
        <v>1372</v>
      </c>
      <c r="H1093">
        <v>2.2000000000000001E-4</v>
      </c>
      <c r="J1093" t="s">
        <v>1406</v>
      </c>
      <c r="L1093">
        <f t="shared" si="25"/>
        <v>4.7850000000000002E-3</v>
      </c>
      <c r="N1093">
        <v>0.36</v>
      </c>
      <c r="O1093">
        <v>91</v>
      </c>
      <c r="R1093" s="2" t="s">
        <v>1438</v>
      </c>
      <c r="S1093">
        <v>1661000</v>
      </c>
      <c r="U1093">
        <v>1661000</v>
      </c>
      <c r="V1093">
        <v>1.324503311258278E-10</v>
      </c>
      <c r="W1093" t="s">
        <v>9</v>
      </c>
      <c r="X1093" t="s">
        <v>1457</v>
      </c>
    </row>
    <row r="1094" spans="1:24" hidden="1" x14ac:dyDescent="0.35">
      <c r="A1094" t="s">
        <v>484</v>
      </c>
      <c r="B1094">
        <v>2023</v>
      </c>
      <c r="C1094" t="s">
        <v>1308</v>
      </c>
      <c r="D1094" t="s">
        <v>1322</v>
      </c>
      <c r="E1094" t="s">
        <v>1359</v>
      </c>
      <c r="F1094" t="s">
        <v>1366</v>
      </c>
      <c r="G1094" t="s">
        <v>1372</v>
      </c>
      <c r="H1094">
        <v>0.38100000000000001</v>
      </c>
      <c r="J1094" t="s">
        <v>1406</v>
      </c>
      <c r="L1094">
        <f t="shared" si="25"/>
        <v>4.7850000000000002E-3</v>
      </c>
      <c r="N1094">
        <v>0.36</v>
      </c>
      <c r="O1094">
        <v>91</v>
      </c>
      <c r="R1094" s="2" t="s">
        <v>1438</v>
      </c>
      <c r="S1094">
        <v>1661000</v>
      </c>
      <c r="U1094">
        <v>1661000</v>
      </c>
      <c r="V1094">
        <v>2.293798916315473E-7</v>
      </c>
      <c r="W1094" t="s">
        <v>9</v>
      </c>
      <c r="X1094" t="s">
        <v>1457</v>
      </c>
    </row>
    <row r="1095" spans="1:24" hidden="1" x14ac:dyDescent="0.35">
      <c r="A1095" t="s">
        <v>485</v>
      </c>
      <c r="B1095">
        <v>2023</v>
      </c>
      <c r="C1095" t="s">
        <v>1308</v>
      </c>
      <c r="D1095" t="s">
        <v>1323</v>
      </c>
      <c r="E1095" t="s">
        <v>1359</v>
      </c>
      <c r="F1095" t="s">
        <v>1366</v>
      </c>
      <c r="G1095" t="s">
        <v>1371</v>
      </c>
      <c r="H1095">
        <v>2.7E-4</v>
      </c>
      <c r="J1095" t="s">
        <v>1406</v>
      </c>
      <c r="L1095">
        <f t="shared" si="25"/>
        <v>4.7850000000000002E-3</v>
      </c>
      <c r="N1095">
        <v>0.36</v>
      </c>
      <c r="O1095">
        <v>91</v>
      </c>
      <c r="R1095" s="2" t="s">
        <v>1438</v>
      </c>
      <c r="S1095">
        <v>1661000</v>
      </c>
      <c r="U1095">
        <v>1661000</v>
      </c>
      <c r="V1095">
        <v>1.625526791089705E-10</v>
      </c>
      <c r="W1095" t="s">
        <v>9</v>
      </c>
      <c r="X1095" t="s">
        <v>1456</v>
      </c>
    </row>
    <row r="1096" spans="1:24" hidden="1" x14ac:dyDescent="0.35">
      <c r="A1096" t="s">
        <v>487</v>
      </c>
      <c r="B1096">
        <v>2023</v>
      </c>
      <c r="C1096" t="s">
        <v>1308</v>
      </c>
      <c r="D1096" t="s">
        <v>1330</v>
      </c>
      <c r="E1096" t="s">
        <v>1359</v>
      </c>
      <c r="F1096" t="s">
        <v>1366</v>
      </c>
      <c r="G1096" t="s">
        <v>1371</v>
      </c>
      <c r="H1096">
        <v>1.9999999999999999E-6</v>
      </c>
      <c r="J1096" t="s">
        <v>1406</v>
      </c>
      <c r="L1096">
        <f t="shared" si="25"/>
        <v>4.7850000000000002E-3</v>
      </c>
      <c r="N1096">
        <v>0.36</v>
      </c>
      <c r="O1096">
        <v>91</v>
      </c>
      <c r="R1096" s="2" t="s">
        <v>1438</v>
      </c>
      <c r="S1096">
        <v>1661000</v>
      </c>
      <c r="U1096">
        <v>1661000</v>
      </c>
      <c r="V1096">
        <v>1.204093919325707E-12</v>
      </c>
      <c r="W1096" t="s">
        <v>9</v>
      </c>
      <c r="X1096" t="s">
        <v>1456</v>
      </c>
    </row>
    <row r="1097" spans="1:24" hidden="1" x14ac:dyDescent="0.35">
      <c r="A1097" t="s">
        <v>488</v>
      </c>
      <c r="B1097">
        <v>2023</v>
      </c>
      <c r="C1097" t="s">
        <v>1308</v>
      </c>
      <c r="D1097" t="s">
        <v>1324</v>
      </c>
      <c r="E1097" t="s">
        <v>1359</v>
      </c>
      <c r="F1097" t="s">
        <v>1366</v>
      </c>
      <c r="G1097" t="s">
        <v>1371</v>
      </c>
      <c r="H1097">
        <v>3.0000000000000001E-5</v>
      </c>
      <c r="J1097" t="s">
        <v>1406</v>
      </c>
      <c r="L1097">
        <f t="shared" si="25"/>
        <v>4.7850000000000002E-3</v>
      </c>
      <c r="N1097">
        <v>0.36</v>
      </c>
      <c r="O1097">
        <v>91</v>
      </c>
      <c r="R1097" s="2" t="s">
        <v>1438</v>
      </c>
      <c r="S1097">
        <v>1661000</v>
      </c>
      <c r="U1097">
        <v>1661000</v>
      </c>
      <c r="V1097">
        <v>1.8061408789885609E-11</v>
      </c>
      <c r="W1097" t="s">
        <v>9</v>
      </c>
      <c r="X1097" t="s">
        <v>1456</v>
      </c>
    </row>
    <row r="1098" spans="1:24" hidden="1" x14ac:dyDescent="0.35">
      <c r="A1098" t="s">
        <v>489</v>
      </c>
      <c r="B1098">
        <v>2023</v>
      </c>
      <c r="C1098" t="s">
        <v>1308</v>
      </c>
      <c r="D1098" t="s">
        <v>1312</v>
      </c>
      <c r="E1098" t="s">
        <v>1359</v>
      </c>
      <c r="F1098" t="s">
        <v>1366</v>
      </c>
      <c r="G1098" t="s">
        <v>1371</v>
      </c>
      <c r="H1098">
        <v>110.9</v>
      </c>
      <c r="J1098" t="s">
        <v>1406</v>
      </c>
      <c r="L1098">
        <f t="shared" si="25"/>
        <v>4.7850000000000002E-3</v>
      </c>
      <c r="N1098">
        <v>0.36</v>
      </c>
      <c r="O1098">
        <v>91</v>
      </c>
      <c r="R1098" s="2" t="s">
        <v>1438</v>
      </c>
      <c r="S1098">
        <v>1661000</v>
      </c>
      <c r="U1098">
        <v>1661000</v>
      </c>
      <c r="V1098">
        <v>6.6767007826610473E-5</v>
      </c>
      <c r="W1098" t="s">
        <v>9</v>
      </c>
      <c r="X1098" t="s">
        <v>1456</v>
      </c>
    </row>
    <row r="1099" spans="1:24" hidden="1" x14ac:dyDescent="0.35">
      <c r="A1099" t="s">
        <v>491</v>
      </c>
      <c r="B1099">
        <v>2023</v>
      </c>
      <c r="C1099" t="s">
        <v>1308</v>
      </c>
      <c r="D1099" t="s">
        <v>1313</v>
      </c>
      <c r="E1099" t="s">
        <v>1359</v>
      </c>
      <c r="F1099" t="s">
        <v>1366</v>
      </c>
      <c r="G1099" t="s">
        <v>1371</v>
      </c>
      <c r="H1099">
        <v>765</v>
      </c>
      <c r="J1099" t="s">
        <v>1406</v>
      </c>
      <c r="L1099">
        <f t="shared" si="25"/>
        <v>4.7850000000000002E-3</v>
      </c>
      <c r="N1099">
        <v>0.36</v>
      </c>
      <c r="O1099">
        <v>91</v>
      </c>
      <c r="R1099" s="2" t="s">
        <v>1438</v>
      </c>
      <c r="S1099">
        <v>1661000</v>
      </c>
      <c r="U1099">
        <v>1661000</v>
      </c>
      <c r="V1099">
        <v>4.6056592414208308E-4</v>
      </c>
      <c r="W1099" t="s">
        <v>9</v>
      </c>
      <c r="X1099" t="s">
        <v>1456</v>
      </c>
    </row>
    <row r="1100" spans="1:24" hidden="1" x14ac:dyDescent="0.35">
      <c r="A1100" t="s">
        <v>493</v>
      </c>
      <c r="B1100">
        <v>2023</v>
      </c>
      <c r="C1100" t="s">
        <v>1308</v>
      </c>
      <c r="D1100" t="s">
        <v>1314</v>
      </c>
      <c r="E1100" t="s">
        <v>1359</v>
      </c>
      <c r="F1100" t="s">
        <v>1366</v>
      </c>
      <c r="G1100" t="s">
        <v>1371</v>
      </c>
      <c r="H1100">
        <v>308.16000000000003</v>
      </c>
      <c r="J1100" t="s">
        <v>1406</v>
      </c>
      <c r="L1100">
        <f t="shared" si="25"/>
        <v>4.7850000000000002E-3</v>
      </c>
      <c r="N1100">
        <v>0.36</v>
      </c>
      <c r="O1100">
        <v>91</v>
      </c>
      <c r="R1100" s="2" t="s">
        <v>1438</v>
      </c>
      <c r="S1100">
        <v>1661000</v>
      </c>
      <c r="U1100">
        <v>1661000</v>
      </c>
      <c r="V1100">
        <v>1.8552679108970501E-4</v>
      </c>
      <c r="W1100" t="s">
        <v>9</v>
      </c>
      <c r="X1100" t="s">
        <v>1456</v>
      </c>
    </row>
    <row r="1101" spans="1:24" hidden="1" x14ac:dyDescent="0.35">
      <c r="A1101" t="s">
        <v>497</v>
      </c>
      <c r="B1101">
        <v>2023</v>
      </c>
      <c r="C1101" t="s">
        <v>1308</v>
      </c>
      <c r="D1101" t="s">
        <v>1315</v>
      </c>
      <c r="E1101" t="s">
        <v>1359</v>
      </c>
      <c r="F1101" t="s">
        <v>1366</v>
      </c>
      <c r="G1101" t="s">
        <v>1371</v>
      </c>
      <c r="H1101">
        <v>1528.15</v>
      </c>
      <c r="J1101" t="s">
        <v>1406</v>
      </c>
      <c r="L1101">
        <f t="shared" si="25"/>
        <v>4.7850000000000002E-3</v>
      </c>
      <c r="N1101">
        <v>0.36</v>
      </c>
      <c r="O1101">
        <v>91</v>
      </c>
      <c r="R1101" s="2" t="s">
        <v>1438</v>
      </c>
      <c r="S1101">
        <v>1661000</v>
      </c>
      <c r="U1101">
        <v>1661000</v>
      </c>
      <c r="V1101">
        <v>9.2001806140878993E-4</v>
      </c>
      <c r="W1101" t="s">
        <v>9</v>
      </c>
      <c r="X1101" t="s">
        <v>1456</v>
      </c>
    </row>
    <row r="1102" spans="1:24" hidden="1" x14ac:dyDescent="0.35">
      <c r="A1102" t="s">
        <v>498</v>
      </c>
      <c r="B1102">
        <v>2023</v>
      </c>
      <c r="C1102" t="s">
        <v>1308</v>
      </c>
      <c r="D1102" t="s">
        <v>1326</v>
      </c>
      <c r="E1102" t="s">
        <v>1359</v>
      </c>
      <c r="F1102" t="s">
        <v>1366</v>
      </c>
      <c r="G1102" t="s">
        <v>1371</v>
      </c>
      <c r="H1102">
        <v>3.8000000000000002E-4</v>
      </c>
      <c r="J1102" t="s">
        <v>1406</v>
      </c>
      <c r="L1102">
        <f t="shared" si="25"/>
        <v>4.7850000000000002E-3</v>
      </c>
      <c r="N1102">
        <v>0.36</v>
      </c>
      <c r="O1102">
        <v>91</v>
      </c>
      <c r="R1102" s="2" t="s">
        <v>1438</v>
      </c>
      <c r="S1102">
        <v>1661000</v>
      </c>
      <c r="U1102">
        <v>1661000</v>
      </c>
      <c r="V1102">
        <v>2.2877784467188441E-10</v>
      </c>
      <c r="W1102" t="s">
        <v>9</v>
      </c>
      <c r="X1102" t="s">
        <v>1456</v>
      </c>
    </row>
    <row r="1103" spans="1:24" hidden="1" x14ac:dyDescent="0.35">
      <c r="A1103" t="s">
        <v>829</v>
      </c>
      <c r="B1103">
        <v>2023</v>
      </c>
      <c r="C1103" t="s">
        <v>1309</v>
      </c>
      <c r="D1103" t="s">
        <v>1328</v>
      </c>
      <c r="E1103" t="s">
        <v>1359</v>
      </c>
      <c r="F1103" t="s">
        <v>1368</v>
      </c>
      <c r="G1103" t="s">
        <v>1371</v>
      </c>
      <c r="H1103">
        <v>0.80300000000000005</v>
      </c>
      <c r="J1103" t="s">
        <v>1406</v>
      </c>
      <c r="L1103">
        <f t="shared" si="25"/>
        <v>4.7850000000000002E-3</v>
      </c>
      <c r="N1103">
        <v>0.36</v>
      </c>
      <c r="O1103">
        <v>91</v>
      </c>
      <c r="R1103" s="2" t="s">
        <v>1438</v>
      </c>
      <c r="S1103">
        <v>1661000</v>
      </c>
      <c r="U1103">
        <v>1661000</v>
      </c>
      <c r="V1103">
        <v>4.8344370860927159E-7</v>
      </c>
      <c r="W1103" t="s">
        <v>9</v>
      </c>
      <c r="X1103" t="s">
        <v>1456</v>
      </c>
    </row>
    <row r="1104" spans="1:24" hidden="1" x14ac:dyDescent="0.35">
      <c r="A1104" t="s">
        <v>831</v>
      </c>
      <c r="B1104">
        <v>2023</v>
      </c>
      <c r="C1104" t="s">
        <v>1309</v>
      </c>
      <c r="D1104" t="s">
        <v>1317</v>
      </c>
      <c r="E1104" t="s">
        <v>1359</v>
      </c>
      <c r="F1104" t="s">
        <v>1368</v>
      </c>
      <c r="G1104" t="s">
        <v>1372</v>
      </c>
      <c r="H1104">
        <v>13.59</v>
      </c>
      <c r="J1104" t="s">
        <v>1406</v>
      </c>
      <c r="L1104">
        <f t="shared" si="25"/>
        <v>4.7850000000000002E-3</v>
      </c>
      <c r="N1104">
        <v>0.36</v>
      </c>
      <c r="O1104">
        <v>91</v>
      </c>
      <c r="R1104" s="2" t="s">
        <v>1438</v>
      </c>
      <c r="S1104">
        <v>1661000</v>
      </c>
      <c r="U1104">
        <v>1661000</v>
      </c>
      <c r="V1104">
        <v>8.1818181818181813E-6</v>
      </c>
      <c r="W1104" t="s">
        <v>9</v>
      </c>
      <c r="X1104" t="s">
        <v>1457</v>
      </c>
    </row>
    <row r="1105" spans="1:24" hidden="1" x14ac:dyDescent="0.35">
      <c r="A1105" t="s">
        <v>833</v>
      </c>
      <c r="B1105">
        <v>2023</v>
      </c>
      <c r="C1105" t="s">
        <v>1309</v>
      </c>
      <c r="D1105" t="s">
        <v>1318</v>
      </c>
      <c r="E1105" t="s">
        <v>1359</v>
      </c>
      <c r="F1105" t="s">
        <v>1368</v>
      </c>
      <c r="G1105" t="s">
        <v>1372</v>
      </c>
      <c r="H1105">
        <v>3.2000000000000001E-2</v>
      </c>
      <c r="J1105" t="s">
        <v>1406</v>
      </c>
      <c r="L1105">
        <f t="shared" si="25"/>
        <v>4.7850000000000002E-3</v>
      </c>
      <c r="N1105">
        <v>0.36</v>
      </c>
      <c r="O1105">
        <v>91</v>
      </c>
      <c r="R1105" s="2" t="s">
        <v>1438</v>
      </c>
      <c r="S1105">
        <v>1661000</v>
      </c>
      <c r="U1105">
        <v>1661000</v>
      </c>
      <c r="V1105">
        <v>1.9265502709211318E-8</v>
      </c>
      <c r="W1105" t="s">
        <v>9</v>
      </c>
      <c r="X1105" t="s">
        <v>1457</v>
      </c>
    </row>
    <row r="1106" spans="1:24" hidden="1" x14ac:dyDescent="0.35">
      <c r="A1106" t="s">
        <v>834</v>
      </c>
      <c r="B1106">
        <v>2023</v>
      </c>
      <c r="C1106" t="s">
        <v>1309</v>
      </c>
      <c r="D1106" t="s">
        <v>1319</v>
      </c>
      <c r="E1106" t="s">
        <v>1359</v>
      </c>
      <c r="F1106" t="s">
        <v>1368</v>
      </c>
      <c r="G1106" t="s">
        <v>1371</v>
      </c>
      <c r="H1106">
        <v>2.5000000000000001E-3</v>
      </c>
      <c r="J1106" t="s">
        <v>1406</v>
      </c>
      <c r="L1106">
        <f t="shared" si="25"/>
        <v>4.7850000000000002E-3</v>
      </c>
      <c r="N1106">
        <v>0.36</v>
      </c>
      <c r="O1106">
        <v>91</v>
      </c>
      <c r="R1106" s="2" t="s">
        <v>1438</v>
      </c>
      <c r="S1106">
        <v>1661000</v>
      </c>
      <c r="U1106">
        <v>1661000</v>
      </c>
      <c r="V1106">
        <v>1.505117399157134E-9</v>
      </c>
      <c r="W1106" t="s">
        <v>9</v>
      </c>
      <c r="X1106" t="s">
        <v>1456</v>
      </c>
    </row>
    <row r="1107" spans="1:24" hidden="1" x14ac:dyDescent="0.35">
      <c r="A1107" t="s">
        <v>836</v>
      </c>
      <c r="B1107">
        <v>2023</v>
      </c>
      <c r="C1107" t="s">
        <v>1309</v>
      </c>
      <c r="D1107" t="s">
        <v>1320</v>
      </c>
      <c r="E1107" t="s">
        <v>1359</v>
      </c>
      <c r="F1107" t="s">
        <v>1368</v>
      </c>
      <c r="G1107" t="s">
        <v>1372</v>
      </c>
      <c r="H1107">
        <v>365.1</v>
      </c>
      <c r="J1107" t="s">
        <v>1406</v>
      </c>
      <c r="L1107">
        <f t="shared" si="25"/>
        <v>4.7850000000000002E-3</v>
      </c>
      <c r="N1107">
        <v>0.36</v>
      </c>
      <c r="O1107">
        <v>91</v>
      </c>
      <c r="R1107" s="2" t="s">
        <v>1438</v>
      </c>
      <c r="S1107">
        <v>1661000</v>
      </c>
      <c r="U1107">
        <v>1661000</v>
      </c>
      <c r="V1107">
        <v>2.1980734497290791E-4</v>
      </c>
      <c r="W1107" t="s">
        <v>9</v>
      </c>
      <c r="X1107" t="s">
        <v>1457</v>
      </c>
    </row>
    <row r="1108" spans="1:24" hidden="1" x14ac:dyDescent="0.35">
      <c r="A1108" t="s">
        <v>837</v>
      </c>
      <c r="B1108">
        <v>2023</v>
      </c>
      <c r="C1108" t="s">
        <v>1309</v>
      </c>
      <c r="D1108" t="s">
        <v>1321</v>
      </c>
      <c r="E1108" t="s">
        <v>1359</v>
      </c>
      <c r="F1108" t="s">
        <v>1368</v>
      </c>
      <c r="G1108" t="s">
        <v>1371</v>
      </c>
      <c r="H1108">
        <v>1.2200000000000001E-2</v>
      </c>
      <c r="J1108" t="s">
        <v>1406</v>
      </c>
      <c r="L1108">
        <f t="shared" si="25"/>
        <v>4.7850000000000002E-3</v>
      </c>
      <c r="N1108">
        <v>0.36</v>
      </c>
      <c r="O1108">
        <v>91</v>
      </c>
      <c r="R1108" s="2" t="s">
        <v>1438</v>
      </c>
      <c r="S1108">
        <v>1661000</v>
      </c>
      <c r="U1108">
        <v>1661000</v>
      </c>
      <c r="V1108">
        <v>7.3449729078868158E-9</v>
      </c>
      <c r="W1108" t="s">
        <v>9</v>
      </c>
      <c r="X1108" t="s">
        <v>1456</v>
      </c>
    </row>
    <row r="1109" spans="1:24" hidden="1" x14ac:dyDescent="0.35">
      <c r="A1109" t="s">
        <v>838</v>
      </c>
      <c r="B1109">
        <v>2023</v>
      </c>
      <c r="C1109" t="s">
        <v>1309</v>
      </c>
      <c r="D1109" t="s">
        <v>1339</v>
      </c>
      <c r="E1109" t="s">
        <v>1359</v>
      </c>
      <c r="F1109" t="s">
        <v>1368</v>
      </c>
      <c r="G1109" t="s">
        <v>1371</v>
      </c>
      <c r="H1109">
        <v>3.4000000000000002E-2</v>
      </c>
      <c r="J1109" t="s">
        <v>1406</v>
      </c>
      <c r="L1109">
        <f t="shared" si="25"/>
        <v>4.7850000000000002E-3</v>
      </c>
      <c r="N1109">
        <v>0.36</v>
      </c>
      <c r="O1109">
        <v>91</v>
      </c>
      <c r="R1109" s="2" t="s">
        <v>1438</v>
      </c>
      <c r="S1109">
        <v>1661000</v>
      </c>
      <c r="U1109">
        <v>1661000</v>
      </c>
      <c r="V1109">
        <v>2.0469596628537031E-8</v>
      </c>
      <c r="W1109" t="s">
        <v>9</v>
      </c>
      <c r="X1109" t="s">
        <v>1456</v>
      </c>
    </row>
    <row r="1110" spans="1:24" hidden="1" x14ac:dyDescent="0.35">
      <c r="A1110" t="s">
        <v>840</v>
      </c>
      <c r="B1110">
        <v>2023</v>
      </c>
      <c r="C1110" t="s">
        <v>1309</v>
      </c>
      <c r="D1110" t="s">
        <v>1322</v>
      </c>
      <c r="E1110" t="s">
        <v>1359</v>
      </c>
      <c r="F1110" t="s">
        <v>1368</v>
      </c>
      <c r="G1110" t="s">
        <v>1372</v>
      </c>
      <c r="H1110">
        <v>0.23899999999999999</v>
      </c>
      <c r="J1110" t="s">
        <v>1406</v>
      </c>
      <c r="L1110">
        <f t="shared" si="25"/>
        <v>4.7850000000000002E-3</v>
      </c>
      <c r="N1110">
        <v>0.36</v>
      </c>
      <c r="O1110">
        <v>91</v>
      </c>
      <c r="R1110" s="2" t="s">
        <v>1438</v>
      </c>
      <c r="S1110">
        <v>1661000</v>
      </c>
      <c r="U1110">
        <v>1661000</v>
      </c>
      <c r="V1110">
        <v>1.4388922335942201E-7</v>
      </c>
      <c r="W1110" t="s">
        <v>9</v>
      </c>
      <c r="X1110" t="s">
        <v>1457</v>
      </c>
    </row>
    <row r="1111" spans="1:24" hidden="1" x14ac:dyDescent="0.35">
      <c r="A1111" t="s">
        <v>841</v>
      </c>
      <c r="B1111">
        <v>2023</v>
      </c>
      <c r="C1111" t="s">
        <v>1309</v>
      </c>
      <c r="D1111" t="s">
        <v>1323</v>
      </c>
      <c r="E1111" t="s">
        <v>1359</v>
      </c>
      <c r="F1111" t="s">
        <v>1368</v>
      </c>
      <c r="G1111" t="s">
        <v>1371</v>
      </c>
      <c r="H1111">
        <v>4.3999999999999997E-2</v>
      </c>
      <c r="J1111" t="s">
        <v>1406</v>
      </c>
      <c r="L1111">
        <f t="shared" si="25"/>
        <v>4.7850000000000002E-3</v>
      </c>
      <c r="N1111">
        <v>0.36</v>
      </c>
      <c r="O1111">
        <v>91</v>
      </c>
      <c r="R1111" s="2" t="s">
        <v>1438</v>
      </c>
      <c r="S1111">
        <v>1661000</v>
      </c>
      <c r="U1111">
        <v>1661000</v>
      </c>
      <c r="V1111">
        <v>2.649006622516556E-8</v>
      </c>
      <c r="W1111" t="s">
        <v>9</v>
      </c>
      <c r="X1111" t="s">
        <v>1456</v>
      </c>
    </row>
    <row r="1112" spans="1:24" hidden="1" x14ac:dyDescent="0.35">
      <c r="A1112" t="s">
        <v>843</v>
      </c>
      <c r="B1112">
        <v>2023</v>
      </c>
      <c r="C1112" t="s">
        <v>1309</v>
      </c>
      <c r="D1112" t="s">
        <v>1330</v>
      </c>
      <c r="E1112" t="s">
        <v>1359</v>
      </c>
      <c r="F1112" t="s">
        <v>1368</v>
      </c>
      <c r="G1112" t="s">
        <v>1371</v>
      </c>
      <c r="H1112">
        <v>3.6999999999999998E-5</v>
      </c>
      <c r="J1112" t="s">
        <v>1406</v>
      </c>
      <c r="L1112">
        <f t="shared" si="25"/>
        <v>4.7850000000000002E-3</v>
      </c>
      <c r="N1112">
        <v>0.36</v>
      </c>
      <c r="O1112">
        <v>91</v>
      </c>
      <c r="R1112" s="2" t="s">
        <v>1438</v>
      </c>
      <c r="S1112">
        <v>1661000</v>
      </c>
      <c r="U1112">
        <v>1661000</v>
      </c>
      <c r="V1112">
        <v>2.227573750752559E-11</v>
      </c>
      <c r="W1112" t="s">
        <v>9</v>
      </c>
      <c r="X1112" t="s">
        <v>1456</v>
      </c>
    </row>
    <row r="1113" spans="1:24" hidden="1" x14ac:dyDescent="0.35">
      <c r="A1113" t="s">
        <v>844</v>
      </c>
      <c r="B1113">
        <v>2023</v>
      </c>
      <c r="C1113" t="s">
        <v>1309</v>
      </c>
      <c r="D1113" t="s">
        <v>1324</v>
      </c>
      <c r="E1113" t="s">
        <v>1359</v>
      </c>
      <c r="F1113" t="s">
        <v>1368</v>
      </c>
      <c r="G1113" t="s">
        <v>1371</v>
      </c>
      <c r="H1113">
        <v>9.7600000000000006E-2</v>
      </c>
      <c r="J1113" t="s">
        <v>1406</v>
      </c>
      <c r="L1113">
        <f t="shared" si="25"/>
        <v>4.7850000000000002E-3</v>
      </c>
      <c r="N1113">
        <v>0.36</v>
      </c>
      <c r="O1113">
        <v>91</v>
      </c>
      <c r="R1113" s="2" t="s">
        <v>1438</v>
      </c>
      <c r="S1113">
        <v>1661000</v>
      </c>
      <c r="U1113">
        <v>1661000</v>
      </c>
      <c r="V1113">
        <v>5.8759783263094533E-8</v>
      </c>
      <c r="W1113" t="s">
        <v>9</v>
      </c>
      <c r="X1113" t="s">
        <v>1456</v>
      </c>
    </row>
    <row r="1114" spans="1:24" hidden="1" x14ac:dyDescent="0.35">
      <c r="A1114" t="s">
        <v>846</v>
      </c>
      <c r="B1114">
        <v>2023</v>
      </c>
      <c r="C1114" t="s">
        <v>1309</v>
      </c>
      <c r="D1114" t="s">
        <v>1331</v>
      </c>
      <c r="E1114" t="s">
        <v>1359</v>
      </c>
      <c r="F1114" t="s">
        <v>1368</v>
      </c>
      <c r="G1114" t="s">
        <v>1371</v>
      </c>
      <c r="H1114">
        <v>136.96</v>
      </c>
      <c r="J1114" t="s">
        <v>1406</v>
      </c>
      <c r="L1114">
        <f t="shared" si="25"/>
        <v>4.7850000000000002E-3</v>
      </c>
      <c r="N1114">
        <v>0.36</v>
      </c>
      <c r="O1114">
        <v>91</v>
      </c>
      <c r="R1114" s="2" t="s">
        <v>1438</v>
      </c>
      <c r="S1114">
        <v>1661000</v>
      </c>
      <c r="U1114">
        <v>1661000</v>
      </c>
      <c r="V1114">
        <v>8.2456351595424444E-5</v>
      </c>
      <c r="W1114" t="s">
        <v>9</v>
      </c>
      <c r="X1114" t="s">
        <v>1456</v>
      </c>
    </row>
    <row r="1115" spans="1:24" hidden="1" x14ac:dyDescent="0.35">
      <c r="A1115" t="s">
        <v>848</v>
      </c>
      <c r="B1115">
        <v>2023</v>
      </c>
      <c r="C1115" t="s">
        <v>1309</v>
      </c>
      <c r="D1115" t="s">
        <v>1325</v>
      </c>
      <c r="E1115" t="s">
        <v>1359</v>
      </c>
      <c r="F1115" t="s">
        <v>1368</v>
      </c>
      <c r="G1115" t="s">
        <v>1372</v>
      </c>
      <c r="H1115">
        <v>1.1519999999999999</v>
      </c>
      <c r="J1115" t="s">
        <v>1406</v>
      </c>
      <c r="L1115">
        <f t="shared" si="25"/>
        <v>4.7850000000000002E-3</v>
      </c>
      <c r="N1115">
        <v>0.36</v>
      </c>
      <c r="O1115">
        <v>91</v>
      </c>
      <c r="R1115" s="2" t="s">
        <v>1438</v>
      </c>
      <c r="S1115">
        <v>1661000</v>
      </c>
      <c r="U1115">
        <v>1661000</v>
      </c>
      <c r="V1115">
        <v>6.9355809753160746E-7</v>
      </c>
      <c r="W1115" t="s">
        <v>9</v>
      </c>
      <c r="X1115" t="s">
        <v>1457</v>
      </c>
    </row>
    <row r="1116" spans="1:24" hidden="1" x14ac:dyDescent="0.35">
      <c r="A1116" t="s">
        <v>850</v>
      </c>
      <c r="B1116">
        <v>2023</v>
      </c>
      <c r="C1116" t="s">
        <v>1309</v>
      </c>
      <c r="D1116" t="s">
        <v>1334</v>
      </c>
      <c r="E1116" t="s">
        <v>1359</v>
      </c>
      <c r="F1116" t="s">
        <v>1368</v>
      </c>
      <c r="G1116" t="s">
        <v>1372</v>
      </c>
      <c r="H1116">
        <v>0.36199999999999999</v>
      </c>
      <c r="J1116" t="s">
        <v>1406</v>
      </c>
      <c r="L1116">
        <f t="shared" si="25"/>
        <v>4.7850000000000002E-3</v>
      </c>
      <c r="N1116">
        <v>0.36</v>
      </c>
      <c r="O1116">
        <v>91</v>
      </c>
      <c r="R1116" s="2" t="s">
        <v>1438</v>
      </c>
      <c r="S1116">
        <v>1661000</v>
      </c>
      <c r="U1116">
        <v>1661000</v>
      </c>
      <c r="V1116">
        <v>2.17940999397953E-7</v>
      </c>
      <c r="W1116" t="s">
        <v>9</v>
      </c>
      <c r="X1116" t="s">
        <v>1457</v>
      </c>
    </row>
    <row r="1117" spans="1:24" hidden="1" x14ac:dyDescent="0.35">
      <c r="A1117" t="s">
        <v>851</v>
      </c>
      <c r="B1117">
        <v>2023</v>
      </c>
      <c r="C1117" t="s">
        <v>1309</v>
      </c>
      <c r="D1117" t="s">
        <v>1336</v>
      </c>
      <c r="E1117" t="s">
        <v>1359</v>
      </c>
      <c r="F1117" t="s">
        <v>1368</v>
      </c>
      <c r="G1117" t="s">
        <v>1371</v>
      </c>
      <c r="H1117">
        <v>2.3999999999999998E-3</v>
      </c>
      <c r="J1117" t="s">
        <v>1406</v>
      </c>
      <c r="L1117">
        <f t="shared" si="25"/>
        <v>4.7850000000000002E-3</v>
      </c>
      <c r="N1117">
        <v>0.36</v>
      </c>
      <c r="O1117">
        <v>91</v>
      </c>
      <c r="R1117" s="2" t="s">
        <v>1438</v>
      </c>
      <c r="S1117">
        <v>1661000</v>
      </c>
      <c r="U1117">
        <v>1661000</v>
      </c>
      <c r="V1117">
        <v>1.444912703190849E-9</v>
      </c>
      <c r="W1117" t="s">
        <v>9</v>
      </c>
      <c r="X1117" t="s">
        <v>1456</v>
      </c>
    </row>
    <row r="1118" spans="1:24" hidden="1" x14ac:dyDescent="0.35">
      <c r="A1118" t="s">
        <v>852</v>
      </c>
      <c r="B1118">
        <v>2023</v>
      </c>
      <c r="C1118" t="s">
        <v>1309</v>
      </c>
      <c r="D1118" t="s">
        <v>1326</v>
      </c>
      <c r="E1118" t="s">
        <v>1359</v>
      </c>
      <c r="F1118" t="s">
        <v>1368</v>
      </c>
      <c r="G1118" t="s">
        <v>1371</v>
      </c>
      <c r="H1118">
        <v>6.3E-3</v>
      </c>
      <c r="J1118" t="s">
        <v>1406</v>
      </c>
      <c r="L1118">
        <f t="shared" si="25"/>
        <v>4.7850000000000002E-3</v>
      </c>
      <c r="N1118">
        <v>0.36</v>
      </c>
      <c r="O1118">
        <v>91</v>
      </c>
      <c r="R1118" s="2" t="s">
        <v>1438</v>
      </c>
      <c r="S1118">
        <v>1661000</v>
      </c>
      <c r="U1118">
        <v>1661000</v>
      </c>
      <c r="V1118">
        <v>3.7928958458759781E-9</v>
      </c>
      <c r="W1118" t="s">
        <v>9</v>
      </c>
      <c r="X1118" t="s">
        <v>1456</v>
      </c>
    </row>
    <row r="1119" spans="1:24" hidden="1" x14ac:dyDescent="0.35">
      <c r="A1119" t="s">
        <v>983</v>
      </c>
      <c r="B1119">
        <v>2023</v>
      </c>
      <c r="C1119" t="s">
        <v>1310</v>
      </c>
      <c r="D1119" t="s">
        <v>1322</v>
      </c>
      <c r="E1119" t="s">
        <v>1359</v>
      </c>
      <c r="F1119" t="s">
        <v>1367</v>
      </c>
      <c r="G1119" t="s">
        <v>1372</v>
      </c>
      <c r="H1119">
        <v>134.05000000000001</v>
      </c>
      <c r="J1119" t="s">
        <v>1406</v>
      </c>
      <c r="L1119">
        <f t="shared" si="25"/>
        <v>4.7850000000000002E-3</v>
      </c>
      <c r="N1119">
        <v>0.36</v>
      </c>
      <c r="O1119">
        <v>91</v>
      </c>
      <c r="R1119" s="2" t="s">
        <v>1438</v>
      </c>
      <c r="S1119">
        <v>1661000</v>
      </c>
      <c r="U1119">
        <v>1661000</v>
      </c>
      <c r="V1119">
        <v>8.0704394942805543E-5</v>
      </c>
      <c r="W1119" t="s">
        <v>9</v>
      </c>
      <c r="X1119" t="s">
        <v>1457</v>
      </c>
    </row>
    <row r="1120" spans="1:24" hidden="1" x14ac:dyDescent="0.35">
      <c r="A1120" t="s">
        <v>1214</v>
      </c>
      <c r="B1120">
        <v>2023</v>
      </c>
      <c r="C1120" t="s">
        <v>1308</v>
      </c>
      <c r="D1120" t="s">
        <v>1311</v>
      </c>
      <c r="E1120" t="s">
        <v>1359</v>
      </c>
      <c r="G1120" t="s">
        <v>1371</v>
      </c>
      <c r="H1120">
        <v>159.19999999999999</v>
      </c>
      <c r="J1120" t="s">
        <v>1406</v>
      </c>
      <c r="L1120">
        <f t="shared" si="25"/>
        <v>4.7850000000000002E-3</v>
      </c>
      <c r="N1120">
        <v>0.36</v>
      </c>
      <c r="O1120">
        <v>91</v>
      </c>
      <c r="Q1120" t="s">
        <v>1433</v>
      </c>
      <c r="R1120" t="s">
        <v>1451</v>
      </c>
      <c r="S1120">
        <v>1661000</v>
      </c>
      <c r="U1120">
        <v>1661000</v>
      </c>
      <c r="V1120">
        <v>9.5845875978326308E-5</v>
      </c>
      <c r="W1120" t="s">
        <v>9</v>
      </c>
      <c r="X1120" t="s">
        <v>1456</v>
      </c>
    </row>
    <row r="1121" spans="1:24" hidden="1" x14ac:dyDescent="0.35">
      <c r="A1121" t="s">
        <v>1215</v>
      </c>
      <c r="B1121">
        <v>2023</v>
      </c>
      <c r="C1121" t="s">
        <v>1308</v>
      </c>
      <c r="D1121" t="s">
        <v>1347</v>
      </c>
      <c r="E1121" t="s">
        <v>1359</v>
      </c>
      <c r="G1121" t="s">
        <v>1375</v>
      </c>
      <c r="H1121">
        <v>39711.867141113798</v>
      </c>
      <c r="J1121" t="s">
        <v>1406</v>
      </c>
      <c r="L1121">
        <f t="shared" si="25"/>
        <v>4.7850000000000002E-3</v>
      </c>
      <c r="N1121">
        <v>0.36</v>
      </c>
      <c r="O1121">
        <v>91</v>
      </c>
      <c r="Q1121" t="s">
        <v>1433</v>
      </c>
      <c r="R1121" t="s">
        <v>1451</v>
      </c>
      <c r="S1121">
        <v>1661000</v>
      </c>
      <c r="U1121">
        <v>1661000</v>
      </c>
      <c r="V1121">
        <v>2.3908408874842749E-2</v>
      </c>
      <c r="W1121" t="s">
        <v>9</v>
      </c>
      <c r="X1121" t="s">
        <v>1460</v>
      </c>
    </row>
    <row r="1122" spans="1:24" hidden="1" x14ac:dyDescent="0.35">
      <c r="A1122" t="s">
        <v>1216</v>
      </c>
      <c r="B1122">
        <v>2023</v>
      </c>
      <c r="C1122" t="s">
        <v>1308</v>
      </c>
      <c r="D1122" t="s">
        <v>1347</v>
      </c>
      <c r="E1122" t="s">
        <v>1359</v>
      </c>
      <c r="G1122" t="s">
        <v>1375</v>
      </c>
      <c r="H1122">
        <v>371.76247934999998</v>
      </c>
      <c r="J1122" t="s">
        <v>1406</v>
      </c>
      <c r="L1122">
        <f t="shared" si="25"/>
        <v>4.7850000000000002E-3</v>
      </c>
      <c r="N1122">
        <v>0.36</v>
      </c>
      <c r="O1122">
        <v>91</v>
      </c>
      <c r="Q1122" t="s">
        <v>1433</v>
      </c>
      <c r="R1122" t="s">
        <v>1451</v>
      </c>
      <c r="S1122">
        <v>1661000</v>
      </c>
      <c r="U1122">
        <v>1661000</v>
      </c>
      <c r="V1122">
        <v>2.2381847040939189E-4</v>
      </c>
      <c r="W1122" t="s">
        <v>9</v>
      </c>
      <c r="X1122" t="s">
        <v>1460</v>
      </c>
    </row>
    <row r="1123" spans="1:24" hidden="1" x14ac:dyDescent="0.35">
      <c r="A1123" t="s">
        <v>1217</v>
      </c>
      <c r="B1123">
        <v>2023</v>
      </c>
      <c r="C1123" t="s">
        <v>1308</v>
      </c>
      <c r="D1123" t="s">
        <v>1347</v>
      </c>
      <c r="E1123" t="s">
        <v>1359</v>
      </c>
      <c r="G1123" t="s">
        <v>1375</v>
      </c>
      <c r="H1123">
        <v>98442.976808040796</v>
      </c>
      <c r="J1123" t="s">
        <v>1406</v>
      </c>
      <c r="L1123">
        <f t="shared" si="25"/>
        <v>4.7850000000000002E-3</v>
      </c>
      <c r="N1123">
        <v>0.36</v>
      </c>
      <c r="O1123">
        <v>91</v>
      </c>
      <c r="Q1123" t="s">
        <v>1433</v>
      </c>
      <c r="R1123" t="s">
        <v>1451</v>
      </c>
      <c r="S1123">
        <v>1661000</v>
      </c>
      <c r="U1123">
        <v>1661000</v>
      </c>
      <c r="V1123">
        <v>5.9267294887441778E-2</v>
      </c>
      <c r="W1123" t="s">
        <v>9</v>
      </c>
      <c r="X1123" t="s">
        <v>1460</v>
      </c>
    </row>
    <row r="1124" spans="1:24" hidden="1" x14ac:dyDescent="0.35">
      <c r="A1124" t="s">
        <v>1218</v>
      </c>
      <c r="B1124">
        <v>2023</v>
      </c>
      <c r="C1124" t="s">
        <v>1308</v>
      </c>
      <c r="D1124" t="s">
        <v>1348</v>
      </c>
      <c r="E1124" t="s">
        <v>1359</v>
      </c>
      <c r="G1124" t="s">
        <v>1371</v>
      </c>
      <c r="H1124">
        <v>111.3</v>
      </c>
      <c r="J1124" t="s">
        <v>1406</v>
      </c>
      <c r="L1124">
        <f t="shared" si="25"/>
        <v>4.7850000000000002E-3</v>
      </c>
      <c r="N1124">
        <v>0.36</v>
      </c>
      <c r="O1124">
        <v>91</v>
      </c>
      <c r="Q1124" t="s">
        <v>1433</v>
      </c>
      <c r="R1124" t="s">
        <v>1451</v>
      </c>
      <c r="S1124">
        <v>1661000</v>
      </c>
      <c r="U1124">
        <v>1661000</v>
      </c>
      <c r="V1124">
        <v>6.7007826610475615E-5</v>
      </c>
      <c r="W1124" t="s">
        <v>9</v>
      </c>
      <c r="X1124" t="s">
        <v>1456</v>
      </c>
    </row>
    <row r="1125" spans="1:24" hidden="1" x14ac:dyDescent="0.35">
      <c r="A1125" t="s">
        <v>1219</v>
      </c>
      <c r="B1125">
        <v>2023</v>
      </c>
      <c r="C1125" t="s">
        <v>1308</v>
      </c>
      <c r="D1125" t="s">
        <v>1313</v>
      </c>
      <c r="E1125" t="s">
        <v>1359</v>
      </c>
      <c r="G1125" t="s">
        <v>1371</v>
      </c>
      <c r="H1125">
        <v>900</v>
      </c>
      <c r="J1125" t="s">
        <v>1406</v>
      </c>
      <c r="L1125">
        <f t="shared" si="25"/>
        <v>4.7850000000000002E-3</v>
      </c>
      <c r="N1125">
        <v>0.36</v>
      </c>
      <c r="O1125">
        <v>91</v>
      </c>
      <c r="Q1125" t="s">
        <v>1433</v>
      </c>
      <c r="R1125" t="s">
        <v>1451</v>
      </c>
      <c r="S1125">
        <v>1661000</v>
      </c>
      <c r="U1125">
        <v>1661000</v>
      </c>
      <c r="V1125">
        <v>5.4184226369656833E-4</v>
      </c>
      <c r="W1125" t="s">
        <v>9</v>
      </c>
      <c r="X1125" t="s">
        <v>1456</v>
      </c>
    </row>
    <row r="1126" spans="1:24" hidden="1" x14ac:dyDescent="0.35">
      <c r="A1126" t="s">
        <v>1220</v>
      </c>
      <c r="B1126">
        <v>2023</v>
      </c>
      <c r="C1126" t="s">
        <v>1308</v>
      </c>
      <c r="D1126" t="s">
        <v>1314</v>
      </c>
      <c r="E1126" t="s">
        <v>1359</v>
      </c>
      <c r="G1126" t="s">
        <v>1371</v>
      </c>
      <c r="H1126">
        <v>321.7</v>
      </c>
      <c r="J1126" t="s">
        <v>1406</v>
      </c>
      <c r="L1126">
        <f t="shared" si="25"/>
        <v>4.7850000000000002E-3</v>
      </c>
      <c r="N1126">
        <v>0.36</v>
      </c>
      <c r="O1126">
        <v>91</v>
      </c>
      <c r="Q1126" t="s">
        <v>1433</v>
      </c>
      <c r="R1126" t="s">
        <v>1451</v>
      </c>
      <c r="S1126">
        <v>1661000</v>
      </c>
      <c r="U1126">
        <v>1661000</v>
      </c>
      <c r="V1126">
        <v>1.9367850692354001E-4</v>
      </c>
      <c r="W1126" t="s">
        <v>9</v>
      </c>
      <c r="X1126" t="s">
        <v>1456</v>
      </c>
    </row>
    <row r="1127" spans="1:24" hidden="1" x14ac:dyDescent="0.35">
      <c r="A1127" t="s">
        <v>1221</v>
      </c>
      <c r="B1127">
        <v>2023</v>
      </c>
      <c r="C1127" t="s">
        <v>1308</v>
      </c>
      <c r="D1127" t="s">
        <v>1355</v>
      </c>
      <c r="E1127" t="s">
        <v>1359</v>
      </c>
      <c r="G1127" t="s">
        <v>1378</v>
      </c>
      <c r="H1127">
        <v>1.1000000000000001E-3</v>
      </c>
      <c r="J1127" t="s">
        <v>1406</v>
      </c>
      <c r="L1127">
        <f t="shared" si="25"/>
        <v>4.7850000000000002E-3</v>
      </c>
      <c r="N1127">
        <v>0.36</v>
      </c>
      <c r="O1127">
        <v>91</v>
      </c>
      <c r="Q1127" t="s">
        <v>1433</v>
      </c>
      <c r="R1127" t="s">
        <v>1451</v>
      </c>
      <c r="S1127">
        <v>1661000</v>
      </c>
      <c r="U1127">
        <v>1661000</v>
      </c>
      <c r="V1127">
        <v>6.6225165562913909E-10</v>
      </c>
      <c r="W1127" t="s">
        <v>9</v>
      </c>
      <c r="X1127" t="s">
        <v>1463</v>
      </c>
    </row>
    <row r="1128" spans="1:24" hidden="1" x14ac:dyDescent="0.35">
      <c r="A1128" t="s">
        <v>1222</v>
      </c>
      <c r="B1128">
        <v>2023</v>
      </c>
      <c r="C1128" t="s">
        <v>1308</v>
      </c>
      <c r="D1128" t="s">
        <v>1349</v>
      </c>
      <c r="E1128" t="s">
        <v>1359</v>
      </c>
      <c r="G1128" t="s">
        <v>1371</v>
      </c>
      <c r="H1128">
        <v>4.8</v>
      </c>
      <c r="J1128" t="s">
        <v>1406</v>
      </c>
      <c r="L1128">
        <f t="shared" si="25"/>
        <v>4.7850000000000002E-3</v>
      </c>
      <c r="N1128">
        <v>0.36</v>
      </c>
      <c r="O1128">
        <v>91</v>
      </c>
      <c r="Q1128" t="s">
        <v>1433</v>
      </c>
      <c r="R1128" t="s">
        <v>1451</v>
      </c>
      <c r="S1128">
        <v>1661000</v>
      </c>
      <c r="U1128">
        <v>1661000</v>
      </c>
      <c r="V1128">
        <v>2.8898254063816971E-6</v>
      </c>
      <c r="W1128" t="s">
        <v>9</v>
      </c>
      <c r="X1128" t="s">
        <v>1456</v>
      </c>
    </row>
    <row r="1129" spans="1:24" hidden="1" x14ac:dyDescent="0.35">
      <c r="A1129" t="s">
        <v>1223</v>
      </c>
      <c r="B1129">
        <v>2023</v>
      </c>
      <c r="C1129" t="s">
        <v>1308</v>
      </c>
      <c r="D1129" t="s">
        <v>1316</v>
      </c>
      <c r="E1129" t="s">
        <v>1359</v>
      </c>
      <c r="G1129" t="s">
        <v>1371</v>
      </c>
      <c r="H1129">
        <v>2.4</v>
      </c>
      <c r="J1129" t="s">
        <v>1406</v>
      </c>
      <c r="L1129">
        <f t="shared" si="25"/>
        <v>4.7850000000000002E-3</v>
      </c>
      <c r="N1129">
        <v>0.36</v>
      </c>
      <c r="O1129">
        <v>91</v>
      </c>
      <c r="Q1129" t="s">
        <v>1433</v>
      </c>
      <c r="R1129" t="s">
        <v>1451</v>
      </c>
      <c r="S1129">
        <v>1661000</v>
      </c>
      <c r="U1129">
        <v>1661000</v>
      </c>
      <c r="V1129">
        <v>1.444912703190849E-6</v>
      </c>
      <c r="W1129" t="s">
        <v>9</v>
      </c>
      <c r="X1129" t="s">
        <v>1456</v>
      </c>
    </row>
    <row r="1130" spans="1:24" hidden="1" x14ac:dyDescent="0.35">
      <c r="A1130" t="s">
        <v>1224</v>
      </c>
      <c r="B1130">
        <v>2023</v>
      </c>
      <c r="C1130" t="s">
        <v>1309</v>
      </c>
      <c r="D1130" t="s">
        <v>1350</v>
      </c>
      <c r="E1130" t="s">
        <v>1360</v>
      </c>
      <c r="G1130" t="s">
        <v>1376</v>
      </c>
      <c r="H1130">
        <v>3232459</v>
      </c>
      <c r="J1130" t="s">
        <v>1406</v>
      </c>
      <c r="L1130">
        <f t="shared" si="25"/>
        <v>4.7850000000000002E-3</v>
      </c>
      <c r="N1130">
        <v>0.36</v>
      </c>
      <c r="O1130">
        <v>91</v>
      </c>
      <c r="Q1130" t="s">
        <v>1433</v>
      </c>
      <c r="R1130" t="s">
        <v>1451</v>
      </c>
      <c r="S1130">
        <v>1661000</v>
      </c>
      <c r="U1130">
        <v>1661000</v>
      </c>
      <c r="V1130">
        <v>1.9460921131848281</v>
      </c>
      <c r="W1130" t="s">
        <v>9</v>
      </c>
      <c r="X1130" t="s">
        <v>1461</v>
      </c>
    </row>
    <row r="1131" spans="1:24" hidden="1" x14ac:dyDescent="0.35">
      <c r="A1131" t="s">
        <v>1225</v>
      </c>
      <c r="B1131">
        <v>2023</v>
      </c>
      <c r="C1131" t="s">
        <v>1309</v>
      </c>
      <c r="D1131" t="s">
        <v>1350</v>
      </c>
      <c r="E1131" t="s">
        <v>1362</v>
      </c>
      <c r="G1131" t="s">
        <v>1376</v>
      </c>
      <c r="H1131">
        <v>2226014</v>
      </c>
      <c r="J1131" t="s">
        <v>1406</v>
      </c>
      <c r="L1131">
        <f t="shared" si="25"/>
        <v>4.7850000000000002E-3</v>
      </c>
      <c r="N1131">
        <v>0.36</v>
      </c>
      <c r="O1131">
        <v>91</v>
      </c>
      <c r="Q1131" t="s">
        <v>1433</v>
      </c>
      <c r="R1131" t="s">
        <v>1451</v>
      </c>
      <c r="S1131">
        <v>1661000</v>
      </c>
      <c r="U1131">
        <v>1661000</v>
      </c>
      <c r="V1131">
        <v>1.3401649608669479</v>
      </c>
      <c r="W1131" t="s">
        <v>9</v>
      </c>
      <c r="X1131" t="s">
        <v>1461</v>
      </c>
    </row>
    <row r="1132" spans="1:24" hidden="1" x14ac:dyDescent="0.35">
      <c r="A1132" t="s">
        <v>1226</v>
      </c>
      <c r="B1132">
        <v>2023</v>
      </c>
      <c r="C1132" t="s">
        <v>1309</v>
      </c>
      <c r="D1132" t="s">
        <v>1350</v>
      </c>
      <c r="E1132" t="s">
        <v>1361</v>
      </c>
      <c r="G1132" t="s">
        <v>1376</v>
      </c>
      <c r="H1132">
        <v>1006445</v>
      </c>
      <c r="J1132" t="s">
        <v>1406</v>
      </c>
      <c r="L1132">
        <f t="shared" si="25"/>
        <v>4.7850000000000002E-3</v>
      </c>
      <c r="N1132">
        <v>0.36</v>
      </c>
      <c r="O1132">
        <v>91</v>
      </c>
      <c r="Q1132" t="s">
        <v>1433</v>
      </c>
      <c r="R1132" t="s">
        <v>1451</v>
      </c>
      <c r="S1132">
        <v>1661000</v>
      </c>
      <c r="U1132">
        <v>1661000</v>
      </c>
      <c r="V1132">
        <v>0.60592715231788075</v>
      </c>
      <c r="W1132" t="s">
        <v>9</v>
      </c>
      <c r="X1132" t="s">
        <v>1461</v>
      </c>
    </row>
    <row r="1133" spans="1:24" hidden="1" x14ac:dyDescent="0.35">
      <c r="A1133" t="s">
        <v>1227</v>
      </c>
      <c r="B1133">
        <v>2023</v>
      </c>
      <c r="C1133" t="s">
        <v>1310</v>
      </c>
      <c r="E1133" t="s">
        <v>1363</v>
      </c>
      <c r="G1133" t="s">
        <v>1377</v>
      </c>
      <c r="H1133">
        <v>398.06040000000002</v>
      </c>
      <c r="J1133" t="s">
        <v>1406</v>
      </c>
      <c r="L1133">
        <f t="shared" si="25"/>
        <v>4.7850000000000002E-3</v>
      </c>
      <c r="N1133">
        <v>0.36</v>
      </c>
      <c r="O1133">
        <v>91</v>
      </c>
      <c r="Q1133" t="s">
        <v>1433</v>
      </c>
      <c r="R1133" t="s">
        <v>1451</v>
      </c>
      <c r="S1133">
        <v>1661000</v>
      </c>
      <c r="U1133">
        <v>1661000</v>
      </c>
      <c r="V1133">
        <v>2.396510535821794E-4</v>
      </c>
      <c r="W1133" t="s">
        <v>9</v>
      </c>
      <c r="X1133" t="s">
        <v>1462</v>
      </c>
    </row>
    <row r="1134" spans="1:24" hidden="1" x14ac:dyDescent="0.35">
      <c r="A1134" t="s">
        <v>1296</v>
      </c>
      <c r="B1134">
        <v>2023</v>
      </c>
      <c r="C1134" t="s">
        <v>1308</v>
      </c>
      <c r="D1134" t="s">
        <v>1311</v>
      </c>
      <c r="E1134" t="s">
        <v>1359</v>
      </c>
      <c r="G1134" t="s">
        <v>1371</v>
      </c>
      <c r="H1134">
        <v>21.85</v>
      </c>
      <c r="J1134" t="s">
        <v>1416</v>
      </c>
      <c r="L1134">
        <f>5.9/1000</f>
        <v>5.9000000000000007E-3</v>
      </c>
      <c r="N1134">
        <v>0.85</v>
      </c>
      <c r="O1134">
        <v>98.3</v>
      </c>
      <c r="Q1134" t="s">
        <v>1437</v>
      </c>
      <c r="R1134" t="s">
        <v>1455</v>
      </c>
      <c r="S1134">
        <v>191148</v>
      </c>
      <c r="U1134">
        <v>191148</v>
      </c>
      <c r="V1134">
        <v>1.1430933098959969E-4</v>
      </c>
      <c r="W1134" t="s">
        <v>9</v>
      </c>
      <c r="X1134" t="s">
        <v>1456</v>
      </c>
    </row>
    <row r="1135" spans="1:24" hidden="1" x14ac:dyDescent="0.35">
      <c r="A1135" t="s">
        <v>1297</v>
      </c>
      <c r="B1135">
        <v>2023</v>
      </c>
      <c r="C1135" t="s">
        <v>1308</v>
      </c>
      <c r="D1135" t="s">
        <v>1347</v>
      </c>
      <c r="E1135" t="s">
        <v>1359</v>
      </c>
      <c r="G1135" t="s">
        <v>1375</v>
      </c>
      <c r="H1135">
        <v>4109</v>
      </c>
      <c r="J1135" t="s">
        <v>1416</v>
      </c>
      <c r="L1135">
        <f t="shared" ref="L1135:L1145" si="26">5.9/1000</f>
        <v>5.9000000000000007E-3</v>
      </c>
      <c r="N1135">
        <v>0.85</v>
      </c>
      <c r="O1135">
        <v>98.3</v>
      </c>
      <c r="Q1135" t="s">
        <v>1437</v>
      </c>
      <c r="R1135" t="s">
        <v>1455</v>
      </c>
      <c r="S1135">
        <v>191148</v>
      </c>
      <c r="U1135">
        <v>191148</v>
      </c>
      <c r="V1135">
        <v>2.1496432084039591E-2</v>
      </c>
      <c r="W1135" t="s">
        <v>9</v>
      </c>
      <c r="X1135" t="s">
        <v>1460</v>
      </c>
    </row>
    <row r="1136" spans="1:24" hidden="1" x14ac:dyDescent="0.35">
      <c r="A1136" t="s">
        <v>1298</v>
      </c>
      <c r="B1136">
        <v>2023</v>
      </c>
      <c r="C1136" t="s">
        <v>1308</v>
      </c>
      <c r="D1136" t="s">
        <v>1347</v>
      </c>
      <c r="E1136" t="s">
        <v>1359</v>
      </c>
      <c r="G1136" t="s">
        <v>1375</v>
      </c>
      <c r="H1136">
        <v>64</v>
      </c>
      <c r="J1136" t="s">
        <v>1416</v>
      </c>
      <c r="L1136">
        <f t="shared" si="26"/>
        <v>5.9000000000000007E-3</v>
      </c>
      <c r="N1136">
        <v>0.85</v>
      </c>
      <c r="O1136">
        <v>98.3</v>
      </c>
      <c r="Q1136" t="s">
        <v>1437</v>
      </c>
      <c r="R1136" t="s">
        <v>1455</v>
      </c>
      <c r="S1136">
        <v>191148</v>
      </c>
      <c r="U1136">
        <v>191148</v>
      </c>
      <c r="V1136">
        <v>3.3481909305878169E-4</v>
      </c>
      <c r="W1136" t="s">
        <v>9</v>
      </c>
      <c r="X1136" t="s">
        <v>1460</v>
      </c>
    </row>
    <row r="1137" spans="1:24" hidden="1" x14ac:dyDescent="0.35">
      <c r="A1137" t="s">
        <v>1299</v>
      </c>
      <c r="B1137">
        <v>2023</v>
      </c>
      <c r="C1137" t="s">
        <v>1308</v>
      </c>
      <c r="D1137" t="s">
        <v>1322</v>
      </c>
      <c r="E1137" t="s">
        <v>1359</v>
      </c>
      <c r="G1137" t="s">
        <v>1372</v>
      </c>
      <c r="H1137">
        <v>6.0999999999999997E-4</v>
      </c>
      <c r="J1137" t="s">
        <v>1416</v>
      </c>
      <c r="L1137">
        <f t="shared" si="26"/>
        <v>5.9000000000000007E-3</v>
      </c>
      <c r="N1137">
        <v>0.85</v>
      </c>
      <c r="O1137">
        <v>98.3</v>
      </c>
      <c r="Q1137" t="s">
        <v>1437</v>
      </c>
      <c r="R1137" t="s">
        <v>1455</v>
      </c>
      <c r="S1137">
        <v>191148</v>
      </c>
      <c r="U1137">
        <v>191148</v>
      </c>
      <c r="V1137">
        <v>3.1912444807165129E-9</v>
      </c>
      <c r="W1137" t="s">
        <v>9</v>
      </c>
      <c r="X1137" t="s">
        <v>1457</v>
      </c>
    </row>
    <row r="1138" spans="1:24" hidden="1" x14ac:dyDescent="0.35">
      <c r="A1138" t="s">
        <v>1300</v>
      </c>
      <c r="B1138">
        <v>2023</v>
      </c>
      <c r="C1138" t="s">
        <v>1308</v>
      </c>
      <c r="D1138" t="s">
        <v>1330</v>
      </c>
      <c r="E1138" t="s">
        <v>1359</v>
      </c>
      <c r="G1138" t="s">
        <v>1371</v>
      </c>
      <c r="H1138">
        <v>1.4999999999999999E-7</v>
      </c>
      <c r="J1138" t="s">
        <v>1416</v>
      </c>
      <c r="L1138">
        <f t="shared" si="26"/>
        <v>5.9000000000000007E-3</v>
      </c>
      <c r="N1138">
        <v>0.85</v>
      </c>
      <c r="O1138">
        <v>98.3</v>
      </c>
      <c r="Q1138" t="s">
        <v>1437</v>
      </c>
      <c r="R1138" t="s">
        <v>1455</v>
      </c>
      <c r="S1138">
        <v>191148</v>
      </c>
      <c r="U1138">
        <v>191148</v>
      </c>
      <c r="V1138">
        <v>7.8473224935651954E-13</v>
      </c>
      <c r="W1138" t="s">
        <v>9</v>
      </c>
      <c r="X1138" t="s">
        <v>1456</v>
      </c>
    </row>
    <row r="1139" spans="1:24" hidden="1" x14ac:dyDescent="0.35">
      <c r="A1139" t="s">
        <v>1301</v>
      </c>
      <c r="B1139">
        <v>2023</v>
      </c>
      <c r="C1139" t="s">
        <v>1308</v>
      </c>
      <c r="D1139" t="s">
        <v>1357</v>
      </c>
      <c r="E1139" t="s">
        <v>1359</v>
      </c>
      <c r="G1139" t="s">
        <v>1378</v>
      </c>
      <c r="H1139">
        <v>1.47</v>
      </c>
      <c r="J1139" t="s">
        <v>1416</v>
      </c>
      <c r="L1139">
        <f t="shared" si="26"/>
        <v>5.9000000000000007E-3</v>
      </c>
      <c r="N1139">
        <v>0.85</v>
      </c>
      <c r="O1139">
        <v>98.3</v>
      </c>
      <c r="Q1139" t="s">
        <v>1437</v>
      </c>
      <c r="R1139" t="s">
        <v>1455</v>
      </c>
      <c r="S1139">
        <v>191148</v>
      </c>
      <c r="U1139">
        <v>191148</v>
      </c>
      <c r="V1139">
        <v>7.6903760436938908E-6</v>
      </c>
      <c r="W1139" t="s">
        <v>9</v>
      </c>
      <c r="X1139" t="s">
        <v>1463</v>
      </c>
    </row>
    <row r="1140" spans="1:24" hidden="1" x14ac:dyDescent="0.35">
      <c r="A1140" t="s">
        <v>1302</v>
      </c>
      <c r="B1140">
        <v>2023</v>
      </c>
      <c r="C1140" t="s">
        <v>1308</v>
      </c>
      <c r="D1140" t="s">
        <v>1358</v>
      </c>
      <c r="E1140" t="s">
        <v>1359</v>
      </c>
      <c r="G1140" t="s">
        <v>1378</v>
      </c>
      <c r="H1140">
        <v>1.1399999999999999</v>
      </c>
      <c r="J1140" t="s">
        <v>1416</v>
      </c>
      <c r="L1140">
        <f t="shared" si="26"/>
        <v>5.9000000000000007E-3</v>
      </c>
      <c r="N1140">
        <v>0.85</v>
      </c>
      <c r="O1140">
        <v>98.3</v>
      </c>
      <c r="Q1140" t="s">
        <v>1437</v>
      </c>
      <c r="R1140" t="s">
        <v>1455</v>
      </c>
      <c r="S1140">
        <v>191148</v>
      </c>
      <c r="U1140">
        <v>191148</v>
      </c>
      <c r="V1140">
        <v>5.9639650951095477E-6</v>
      </c>
      <c r="W1140" t="s">
        <v>9</v>
      </c>
      <c r="X1140" t="s">
        <v>1463</v>
      </c>
    </row>
    <row r="1141" spans="1:24" hidden="1" x14ac:dyDescent="0.35">
      <c r="A1141" t="s">
        <v>1303</v>
      </c>
      <c r="B1141">
        <v>2023</v>
      </c>
      <c r="C1141" t="s">
        <v>1308</v>
      </c>
      <c r="D1141" t="s">
        <v>1316</v>
      </c>
      <c r="E1141" t="s">
        <v>1359</v>
      </c>
      <c r="G1141" t="s">
        <v>1371</v>
      </c>
      <c r="H1141">
        <v>0.99</v>
      </c>
      <c r="J1141" t="s">
        <v>1416</v>
      </c>
      <c r="L1141">
        <f t="shared" si="26"/>
        <v>5.9000000000000007E-3</v>
      </c>
      <c r="N1141">
        <v>0.85</v>
      </c>
      <c r="O1141">
        <v>98.3</v>
      </c>
      <c r="Q1141" t="s">
        <v>1437</v>
      </c>
      <c r="R1141" t="s">
        <v>1455</v>
      </c>
      <c r="S1141">
        <v>191148</v>
      </c>
      <c r="U1141">
        <v>191148</v>
      </c>
      <c r="V1141">
        <v>5.1792328457530292E-6</v>
      </c>
      <c r="W1141" t="s">
        <v>9</v>
      </c>
      <c r="X1141" t="s">
        <v>1456</v>
      </c>
    </row>
    <row r="1142" spans="1:24" hidden="1" x14ac:dyDescent="0.35">
      <c r="A1142" t="s">
        <v>1304</v>
      </c>
      <c r="B1142">
        <v>2023</v>
      </c>
      <c r="C1142" t="s">
        <v>1309</v>
      </c>
      <c r="D1142" t="s">
        <v>1350</v>
      </c>
      <c r="E1142" t="s">
        <v>1360</v>
      </c>
      <c r="G1142" t="s">
        <v>1376</v>
      </c>
      <c r="H1142">
        <v>168115</v>
      </c>
      <c r="J1142" t="s">
        <v>1416</v>
      </c>
      <c r="L1142">
        <f t="shared" si="26"/>
        <v>5.9000000000000007E-3</v>
      </c>
      <c r="N1142">
        <v>0.85</v>
      </c>
      <c r="O1142">
        <v>98.3</v>
      </c>
      <c r="Q1142" t="s">
        <v>1437</v>
      </c>
      <c r="R1142" t="s">
        <v>1455</v>
      </c>
      <c r="S1142">
        <v>191148</v>
      </c>
      <c r="U1142">
        <v>191148</v>
      </c>
      <c r="V1142">
        <v>0.87950174733714193</v>
      </c>
      <c r="W1142" t="s">
        <v>9</v>
      </c>
      <c r="X1142" t="s">
        <v>1461</v>
      </c>
    </row>
    <row r="1143" spans="1:24" hidden="1" x14ac:dyDescent="0.35">
      <c r="A1143" t="s">
        <v>1305</v>
      </c>
      <c r="B1143">
        <v>2023</v>
      </c>
      <c r="C1143" t="s">
        <v>1309</v>
      </c>
      <c r="D1143" t="s">
        <v>1350</v>
      </c>
      <c r="E1143" t="s">
        <v>1360</v>
      </c>
      <c r="G1143" t="s">
        <v>1376</v>
      </c>
      <c r="H1143">
        <v>168115</v>
      </c>
      <c r="J1143" t="s">
        <v>1416</v>
      </c>
      <c r="L1143">
        <f t="shared" si="26"/>
        <v>5.9000000000000007E-3</v>
      </c>
      <c r="N1143">
        <v>0.85</v>
      </c>
      <c r="O1143">
        <v>98.3</v>
      </c>
      <c r="Q1143" t="s">
        <v>1437</v>
      </c>
      <c r="R1143" t="s">
        <v>1455</v>
      </c>
      <c r="S1143">
        <v>191148</v>
      </c>
      <c r="U1143">
        <v>191148</v>
      </c>
      <c r="V1143">
        <v>0.87950174733714193</v>
      </c>
      <c r="W1143" t="s">
        <v>9</v>
      </c>
      <c r="X1143" t="s">
        <v>1461</v>
      </c>
    </row>
    <row r="1144" spans="1:24" hidden="1" x14ac:dyDescent="0.35">
      <c r="A1144" t="s">
        <v>1306</v>
      </c>
      <c r="B1144">
        <v>2023</v>
      </c>
      <c r="C1144" t="s">
        <v>1309</v>
      </c>
      <c r="D1144" t="s">
        <v>1350</v>
      </c>
      <c r="E1144" t="s">
        <v>1361</v>
      </c>
      <c r="G1144" t="s">
        <v>1376</v>
      </c>
      <c r="H1144">
        <v>82144</v>
      </c>
      <c r="J1144" t="s">
        <v>1416</v>
      </c>
      <c r="L1144">
        <f t="shared" si="26"/>
        <v>5.9000000000000007E-3</v>
      </c>
      <c r="N1144">
        <v>0.85</v>
      </c>
      <c r="O1144">
        <v>98.3</v>
      </c>
      <c r="Q1144" t="s">
        <v>1437</v>
      </c>
      <c r="R1144" t="s">
        <v>1455</v>
      </c>
      <c r="S1144">
        <v>191148</v>
      </c>
      <c r="U1144">
        <v>191148</v>
      </c>
      <c r="V1144">
        <v>0.42974030594094631</v>
      </c>
      <c r="W1144" t="s">
        <v>9</v>
      </c>
      <c r="X1144" t="s">
        <v>1461</v>
      </c>
    </row>
    <row r="1145" spans="1:24" hidden="1" x14ac:dyDescent="0.35">
      <c r="A1145" t="s">
        <v>1307</v>
      </c>
      <c r="B1145">
        <v>2023</v>
      </c>
      <c r="C1145" t="s">
        <v>1309</v>
      </c>
      <c r="D1145" t="s">
        <v>1350</v>
      </c>
      <c r="E1145" t="s">
        <v>1362</v>
      </c>
      <c r="G1145" t="s">
        <v>1376</v>
      </c>
      <c r="H1145">
        <v>536420</v>
      </c>
      <c r="J1145" t="s">
        <v>1416</v>
      </c>
      <c r="L1145">
        <f t="shared" si="26"/>
        <v>5.9000000000000007E-3</v>
      </c>
      <c r="N1145">
        <v>0.85</v>
      </c>
      <c r="O1145">
        <v>98.3</v>
      </c>
      <c r="Q1145" t="s">
        <v>1437</v>
      </c>
      <c r="R1145" t="s">
        <v>1455</v>
      </c>
      <c r="S1145">
        <v>191148</v>
      </c>
      <c r="U1145">
        <v>191148</v>
      </c>
      <c r="V1145">
        <v>2.806307154665495</v>
      </c>
      <c r="W1145" t="s">
        <v>9</v>
      </c>
      <c r="X1145" t="s">
        <v>1461</v>
      </c>
    </row>
    <row r="1146" spans="1:24" hidden="1" x14ac:dyDescent="0.35">
      <c r="A1146" t="s">
        <v>1068</v>
      </c>
      <c r="B1146">
        <v>2023</v>
      </c>
      <c r="C1146" t="s">
        <v>1308</v>
      </c>
      <c r="D1146" t="s">
        <v>1348</v>
      </c>
      <c r="E1146" t="s">
        <v>1359</v>
      </c>
      <c r="G1146" t="s">
        <v>1371</v>
      </c>
      <c r="H1146">
        <v>75</v>
      </c>
      <c r="I1146" t="s">
        <v>1379</v>
      </c>
      <c r="J1146" t="s">
        <v>1412</v>
      </c>
      <c r="L1146">
        <f>5.23/1000</f>
        <v>5.2300000000000003E-3</v>
      </c>
      <c r="N1146">
        <v>1.47</v>
      </c>
      <c r="O1146">
        <v>93.5</v>
      </c>
      <c r="P1146" t="s">
        <v>1472</v>
      </c>
      <c r="Q1146" t="s">
        <v>1422</v>
      </c>
      <c r="R1146" t="s">
        <v>1440</v>
      </c>
      <c r="S1146">
        <v>2658395.96049</v>
      </c>
      <c r="U1146">
        <v>2658395.96049</v>
      </c>
      <c r="V1146">
        <v>2.8212501491378989E-5</v>
      </c>
      <c r="W1146" t="s">
        <v>9</v>
      </c>
      <c r="X1146" t="s">
        <v>1456</v>
      </c>
    </row>
    <row r="1147" spans="1:24" hidden="1" x14ac:dyDescent="0.35">
      <c r="A1147" t="s">
        <v>1069</v>
      </c>
      <c r="B1147">
        <v>2023</v>
      </c>
      <c r="C1147" t="s">
        <v>1308</v>
      </c>
      <c r="D1147" t="s">
        <v>1349</v>
      </c>
      <c r="E1147" t="s">
        <v>1359</v>
      </c>
      <c r="G1147" t="s">
        <v>1371</v>
      </c>
      <c r="H1147">
        <v>48</v>
      </c>
      <c r="I1147" t="s">
        <v>1379</v>
      </c>
      <c r="J1147" t="s">
        <v>1412</v>
      </c>
      <c r="L1147">
        <f t="shared" ref="L1147:L1154" si="27">5.23/1000</f>
        <v>5.2300000000000003E-3</v>
      </c>
      <c r="N1147">
        <v>1.47</v>
      </c>
      <c r="O1147">
        <v>93.5</v>
      </c>
      <c r="Q1147" t="s">
        <v>1422</v>
      </c>
      <c r="R1147" t="s">
        <v>1440</v>
      </c>
      <c r="S1147">
        <v>2658395.96049</v>
      </c>
      <c r="U1147">
        <v>2658395.96049</v>
      </c>
      <c r="V1147">
        <v>1.8056000954482551E-5</v>
      </c>
      <c r="W1147" t="s">
        <v>9</v>
      </c>
      <c r="X1147" t="s">
        <v>1456</v>
      </c>
    </row>
    <row r="1148" spans="1:24" hidden="1" x14ac:dyDescent="0.35">
      <c r="A1148" t="s">
        <v>1070</v>
      </c>
      <c r="B1148">
        <v>2023</v>
      </c>
      <c r="C1148" t="s">
        <v>1309</v>
      </c>
      <c r="D1148" t="s">
        <v>1350</v>
      </c>
      <c r="E1148" t="s">
        <v>1360</v>
      </c>
      <c r="G1148" t="s">
        <v>1376</v>
      </c>
      <c r="H1148">
        <v>1486950</v>
      </c>
      <c r="J1148" t="s">
        <v>1412</v>
      </c>
      <c r="L1148">
        <f t="shared" si="27"/>
        <v>5.2300000000000003E-3</v>
      </c>
      <c r="N1148">
        <v>1.47</v>
      </c>
      <c r="O1148">
        <v>93.5</v>
      </c>
      <c r="Q1148" t="s">
        <v>1422</v>
      </c>
      <c r="R1148" t="s">
        <v>1440</v>
      </c>
      <c r="S1148">
        <v>2658395.96049</v>
      </c>
      <c r="U1148">
        <v>2658395.96049</v>
      </c>
      <c r="V1148">
        <v>0.55934105456807981</v>
      </c>
      <c r="W1148" t="s">
        <v>9</v>
      </c>
      <c r="X1148" t="s">
        <v>1461</v>
      </c>
    </row>
    <row r="1149" spans="1:24" hidden="1" x14ac:dyDescent="0.35">
      <c r="A1149" t="s">
        <v>1071</v>
      </c>
      <c r="B1149">
        <v>2023</v>
      </c>
      <c r="C1149" t="s">
        <v>1309</v>
      </c>
      <c r="D1149" t="s">
        <v>1350</v>
      </c>
      <c r="E1149" t="s">
        <v>1360</v>
      </c>
      <c r="G1149" t="s">
        <v>1376</v>
      </c>
      <c r="H1149">
        <v>1486950</v>
      </c>
      <c r="J1149" t="s">
        <v>1412</v>
      </c>
      <c r="L1149">
        <f t="shared" si="27"/>
        <v>5.2300000000000003E-3</v>
      </c>
      <c r="N1149">
        <v>1.47</v>
      </c>
      <c r="O1149">
        <v>93.5</v>
      </c>
      <c r="Q1149" t="s">
        <v>1422</v>
      </c>
      <c r="R1149" t="s">
        <v>1440</v>
      </c>
      <c r="S1149">
        <v>2658395.96049</v>
      </c>
      <c r="U1149">
        <v>2658395.96049</v>
      </c>
      <c r="V1149">
        <v>0.55934105456807981</v>
      </c>
      <c r="W1149" t="s">
        <v>9</v>
      </c>
      <c r="X1149" t="s">
        <v>1461</v>
      </c>
    </row>
    <row r="1150" spans="1:24" hidden="1" x14ac:dyDescent="0.35">
      <c r="A1150" t="s">
        <v>1072</v>
      </c>
      <c r="B1150">
        <v>2023</v>
      </c>
      <c r="C1150" t="s">
        <v>1309</v>
      </c>
      <c r="D1150" t="s">
        <v>1350</v>
      </c>
      <c r="E1150" t="s">
        <v>1361</v>
      </c>
      <c r="G1150" t="s">
        <v>1376</v>
      </c>
      <c r="H1150">
        <v>1014537.05</v>
      </c>
      <c r="J1150" t="s">
        <v>1412</v>
      </c>
      <c r="L1150">
        <f t="shared" si="27"/>
        <v>5.2300000000000003E-3</v>
      </c>
      <c r="N1150">
        <v>1.47</v>
      </c>
      <c r="O1150">
        <v>93.5</v>
      </c>
      <c r="Q1150" t="s">
        <v>1422</v>
      </c>
      <c r="R1150" t="s">
        <v>1440</v>
      </c>
      <c r="S1150">
        <v>2658395.96049</v>
      </c>
      <c r="U1150">
        <v>2658395.96049</v>
      </c>
      <c r="V1150">
        <v>0.38163504048245672</v>
      </c>
      <c r="W1150" t="s">
        <v>9</v>
      </c>
      <c r="X1150" t="s">
        <v>1461</v>
      </c>
    </row>
    <row r="1151" spans="1:24" hidden="1" x14ac:dyDescent="0.35">
      <c r="A1151" t="s">
        <v>1073</v>
      </c>
      <c r="B1151">
        <v>2023</v>
      </c>
      <c r="C1151" t="s">
        <v>1309</v>
      </c>
      <c r="D1151" t="s">
        <v>1350</v>
      </c>
      <c r="E1151" t="s">
        <v>1362</v>
      </c>
      <c r="G1151" t="s">
        <v>1376</v>
      </c>
      <c r="H1151">
        <v>4118213.9</v>
      </c>
      <c r="J1151" t="s">
        <v>1412</v>
      </c>
      <c r="L1151">
        <f t="shared" si="27"/>
        <v>5.2300000000000003E-3</v>
      </c>
      <c r="N1151">
        <v>1.47</v>
      </c>
      <c r="O1151">
        <v>93.5</v>
      </c>
      <c r="Q1151" t="s">
        <v>1422</v>
      </c>
      <c r="R1151" t="s">
        <v>1440</v>
      </c>
      <c r="S1151">
        <v>2658395.96049</v>
      </c>
      <c r="U1151">
        <v>2658395.96049</v>
      </c>
      <c r="V1151">
        <v>1.5491348772742359</v>
      </c>
      <c r="W1151" t="s">
        <v>9</v>
      </c>
      <c r="X1151" t="s">
        <v>1461</v>
      </c>
    </row>
    <row r="1152" spans="1:24" hidden="1" x14ac:dyDescent="0.35">
      <c r="A1152" t="s">
        <v>1074</v>
      </c>
      <c r="B1152">
        <v>2023</v>
      </c>
      <c r="C1152" t="s">
        <v>1310</v>
      </c>
      <c r="E1152" t="s">
        <v>1363</v>
      </c>
      <c r="G1152" t="s">
        <v>1377</v>
      </c>
      <c r="H1152">
        <v>1367</v>
      </c>
      <c r="J1152" t="s">
        <v>1412</v>
      </c>
      <c r="L1152">
        <f t="shared" si="27"/>
        <v>5.2300000000000003E-3</v>
      </c>
      <c r="N1152">
        <v>1.47</v>
      </c>
      <c r="O1152">
        <v>93.5</v>
      </c>
      <c r="Q1152" t="s">
        <v>1422</v>
      </c>
      <c r="R1152" t="s">
        <v>1440</v>
      </c>
      <c r="S1152">
        <v>2658395.96049</v>
      </c>
      <c r="U1152">
        <v>2658395.96049</v>
      </c>
      <c r="V1152">
        <v>5.1421986051620105E-4</v>
      </c>
      <c r="W1152" t="s">
        <v>9</v>
      </c>
      <c r="X1152" t="s">
        <v>1462</v>
      </c>
    </row>
    <row r="1153" spans="1:24" hidden="1" x14ac:dyDescent="0.35">
      <c r="A1153" t="s">
        <v>1075</v>
      </c>
      <c r="B1153">
        <v>2023</v>
      </c>
      <c r="C1153" t="s">
        <v>1310</v>
      </c>
      <c r="E1153" t="s">
        <v>1363</v>
      </c>
      <c r="G1153" t="s">
        <v>1377</v>
      </c>
      <c r="H1153">
        <v>608</v>
      </c>
      <c r="J1153" t="s">
        <v>1412</v>
      </c>
      <c r="L1153">
        <f t="shared" si="27"/>
        <v>5.2300000000000003E-3</v>
      </c>
      <c r="N1153">
        <v>1.47</v>
      </c>
      <c r="O1153">
        <v>93.5</v>
      </c>
      <c r="Q1153" t="s">
        <v>1422</v>
      </c>
      <c r="R1153" t="s">
        <v>1440</v>
      </c>
      <c r="S1153">
        <v>2658395.96049</v>
      </c>
      <c r="U1153">
        <v>2658395.96049</v>
      </c>
      <c r="V1153">
        <v>2.2870934542344569E-4</v>
      </c>
      <c r="W1153" t="s">
        <v>9</v>
      </c>
      <c r="X1153" t="s">
        <v>1462</v>
      </c>
    </row>
    <row r="1154" spans="1:24" hidden="1" x14ac:dyDescent="0.35">
      <c r="A1154" t="s">
        <v>1076</v>
      </c>
      <c r="B1154">
        <v>2023</v>
      </c>
      <c r="C1154" t="s">
        <v>1310</v>
      </c>
      <c r="E1154" t="s">
        <v>1363</v>
      </c>
      <c r="G1154" t="s">
        <v>1377</v>
      </c>
      <c r="H1154">
        <v>759</v>
      </c>
      <c r="J1154" t="s">
        <v>1412</v>
      </c>
      <c r="L1154">
        <f t="shared" si="27"/>
        <v>5.2300000000000003E-3</v>
      </c>
      <c r="N1154">
        <v>1.47</v>
      </c>
      <c r="O1154">
        <v>93.5</v>
      </c>
      <c r="Q1154" t="s">
        <v>1422</v>
      </c>
      <c r="R1154" t="s">
        <v>1440</v>
      </c>
      <c r="S1154">
        <v>2658395.96049</v>
      </c>
      <c r="U1154">
        <v>2658395.96049</v>
      </c>
      <c r="V1154">
        <v>2.8551051509275528E-4</v>
      </c>
      <c r="W1154" t="s">
        <v>9</v>
      </c>
      <c r="X1154" t="s">
        <v>1462</v>
      </c>
    </row>
    <row r="1155" spans="1:24" hidden="1" x14ac:dyDescent="0.35">
      <c r="A1155" t="s">
        <v>19</v>
      </c>
      <c r="B1155">
        <v>2023</v>
      </c>
      <c r="C1155" t="s">
        <v>1308</v>
      </c>
      <c r="D1155" t="s">
        <v>1311</v>
      </c>
      <c r="E1155" t="s">
        <v>1359</v>
      </c>
      <c r="F1155" t="s">
        <v>1364</v>
      </c>
      <c r="G1155" t="s">
        <v>1371</v>
      </c>
      <c r="H1155">
        <v>3.03</v>
      </c>
      <c r="J1155" t="s">
        <v>1381</v>
      </c>
      <c r="L1155">
        <f>1.17/1000</f>
        <v>1.17E-3</v>
      </c>
      <c r="N1155">
        <v>1</v>
      </c>
      <c r="O1155">
        <v>92.8</v>
      </c>
      <c r="R1155" s="2" t="s">
        <v>1438</v>
      </c>
      <c r="S1155">
        <v>19594928</v>
      </c>
      <c r="U1155">
        <v>19594928</v>
      </c>
      <c r="V1155">
        <v>1.546318516710038E-7</v>
      </c>
      <c r="W1155" t="s">
        <v>9</v>
      </c>
      <c r="X1155" t="s">
        <v>1456</v>
      </c>
    </row>
    <row r="1156" spans="1:24" hidden="1" x14ac:dyDescent="0.35">
      <c r="A1156" t="s">
        <v>20</v>
      </c>
      <c r="B1156">
        <v>2023</v>
      </c>
      <c r="C1156" t="s">
        <v>1308</v>
      </c>
      <c r="D1156" t="s">
        <v>1312</v>
      </c>
      <c r="E1156" t="s">
        <v>1359</v>
      </c>
      <c r="F1156" t="s">
        <v>1364</v>
      </c>
      <c r="G1156" t="s">
        <v>1371</v>
      </c>
      <c r="H1156">
        <v>9.0299999999999994</v>
      </c>
      <c r="J1156" t="s">
        <v>1381</v>
      </c>
      <c r="L1156">
        <f t="shared" ref="L1156:L1213" si="28">1.17/1000</f>
        <v>1.17E-3</v>
      </c>
      <c r="N1156">
        <v>1</v>
      </c>
      <c r="O1156">
        <v>92.8</v>
      </c>
      <c r="R1156" s="2" t="s">
        <v>1438</v>
      </c>
      <c r="S1156">
        <v>19594928</v>
      </c>
      <c r="U1156">
        <v>19594928</v>
      </c>
      <c r="V1156">
        <v>4.6083353814823908E-7</v>
      </c>
      <c r="W1156" t="s">
        <v>9</v>
      </c>
      <c r="X1156" t="s">
        <v>1456</v>
      </c>
    </row>
    <row r="1157" spans="1:24" hidden="1" x14ac:dyDescent="0.35">
      <c r="A1157" t="s">
        <v>21</v>
      </c>
      <c r="B1157">
        <v>2023</v>
      </c>
      <c r="C1157" t="s">
        <v>1308</v>
      </c>
      <c r="D1157" t="s">
        <v>1313</v>
      </c>
      <c r="E1157" t="s">
        <v>1359</v>
      </c>
      <c r="F1157" t="s">
        <v>1364</v>
      </c>
      <c r="G1157" t="s">
        <v>1371</v>
      </c>
      <c r="H1157">
        <v>1.73</v>
      </c>
      <c r="J1157" t="s">
        <v>1381</v>
      </c>
      <c r="L1157">
        <f t="shared" si="28"/>
        <v>1.17E-3</v>
      </c>
      <c r="N1157">
        <v>1</v>
      </c>
      <c r="O1157">
        <v>92.8</v>
      </c>
      <c r="R1157" s="2" t="s">
        <v>1438</v>
      </c>
      <c r="S1157">
        <v>19594928</v>
      </c>
      <c r="U1157">
        <v>19594928</v>
      </c>
      <c r="V1157">
        <v>8.8288152934269517E-8</v>
      </c>
      <c r="W1157" t="s">
        <v>9</v>
      </c>
      <c r="X1157" t="s">
        <v>1456</v>
      </c>
    </row>
    <row r="1158" spans="1:24" hidden="1" x14ac:dyDescent="0.35">
      <c r="A1158" t="s">
        <v>22</v>
      </c>
      <c r="B1158">
        <v>2023</v>
      </c>
      <c r="C1158" t="s">
        <v>1308</v>
      </c>
      <c r="D1158" t="s">
        <v>1314</v>
      </c>
      <c r="E1158" t="s">
        <v>1359</v>
      </c>
      <c r="F1158" t="s">
        <v>1364</v>
      </c>
      <c r="G1158" t="s">
        <v>1371</v>
      </c>
      <c r="H1158">
        <v>0.61</v>
      </c>
      <c r="J1158" t="s">
        <v>1381</v>
      </c>
      <c r="L1158">
        <f t="shared" si="28"/>
        <v>1.17E-3</v>
      </c>
      <c r="N1158">
        <v>1</v>
      </c>
      <c r="O1158">
        <v>92.8</v>
      </c>
      <c r="R1158" s="2" t="s">
        <v>1438</v>
      </c>
      <c r="S1158">
        <v>19594928</v>
      </c>
      <c r="U1158">
        <v>19594928</v>
      </c>
      <c r="V1158">
        <v>3.1130504791852261E-8</v>
      </c>
      <c r="W1158" t="s">
        <v>9</v>
      </c>
      <c r="X1158" t="s">
        <v>1456</v>
      </c>
    </row>
    <row r="1159" spans="1:24" hidden="1" x14ac:dyDescent="0.35">
      <c r="A1159" t="s">
        <v>23</v>
      </c>
      <c r="B1159">
        <v>2023</v>
      </c>
      <c r="C1159" t="s">
        <v>1308</v>
      </c>
      <c r="D1159" t="s">
        <v>1315</v>
      </c>
      <c r="E1159" t="s">
        <v>1359</v>
      </c>
      <c r="F1159" t="s">
        <v>1364</v>
      </c>
      <c r="G1159" t="s">
        <v>1371</v>
      </c>
      <c r="H1159">
        <v>7.86</v>
      </c>
      <c r="J1159" t="s">
        <v>1381</v>
      </c>
      <c r="L1159">
        <f t="shared" si="28"/>
        <v>1.17E-3</v>
      </c>
      <c r="N1159">
        <v>1</v>
      </c>
      <c r="O1159">
        <v>92.8</v>
      </c>
      <c r="R1159" s="2" t="s">
        <v>1438</v>
      </c>
      <c r="S1159">
        <v>19594928</v>
      </c>
      <c r="U1159">
        <v>19594928</v>
      </c>
      <c r="V1159">
        <v>4.0112420928517831E-7</v>
      </c>
      <c r="W1159" t="s">
        <v>9</v>
      </c>
      <c r="X1159" t="s">
        <v>1456</v>
      </c>
    </row>
    <row r="1160" spans="1:24" hidden="1" x14ac:dyDescent="0.35">
      <c r="A1160" t="s">
        <v>24</v>
      </c>
      <c r="B1160">
        <v>2023</v>
      </c>
      <c r="C1160" t="s">
        <v>1308</v>
      </c>
      <c r="D1160" t="s">
        <v>1316</v>
      </c>
      <c r="E1160" t="s">
        <v>1359</v>
      </c>
      <c r="F1160" t="s">
        <v>1364</v>
      </c>
      <c r="G1160" t="s">
        <v>1371</v>
      </c>
      <c r="H1160">
        <v>0.5</v>
      </c>
      <c r="J1160" t="s">
        <v>1381</v>
      </c>
      <c r="L1160">
        <f t="shared" si="28"/>
        <v>1.17E-3</v>
      </c>
      <c r="N1160">
        <v>1</v>
      </c>
      <c r="O1160">
        <v>92.8</v>
      </c>
      <c r="R1160" s="2" t="s">
        <v>1438</v>
      </c>
      <c r="S1160">
        <v>19594928</v>
      </c>
      <c r="U1160">
        <v>19594928</v>
      </c>
      <c r="V1160">
        <v>2.551680720643628E-8</v>
      </c>
      <c r="W1160" t="s">
        <v>9</v>
      </c>
      <c r="X1160" t="s">
        <v>1456</v>
      </c>
    </row>
    <row r="1161" spans="1:24" hidden="1" x14ac:dyDescent="0.35">
      <c r="A1161" t="s">
        <v>319</v>
      </c>
      <c r="B1161">
        <v>2023</v>
      </c>
      <c r="C1161" t="s">
        <v>1308</v>
      </c>
      <c r="D1161" t="s">
        <v>1313</v>
      </c>
      <c r="E1161" t="s">
        <v>1359</v>
      </c>
      <c r="F1161" t="s">
        <v>1365</v>
      </c>
      <c r="G1161" t="s">
        <v>1371</v>
      </c>
      <c r="H1161">
        <v>20.97</v>
      </c>
      <c r="J1161" t="s">
        <v>1381</v>
      </c>
      <c r="L1161">
        <f t="shared" si="28"/>
        <v>1.17E-3</v>
      </c>
      <c r="N1161">
        <v>1</v>
      </c>
      <c r="O1161">
        <v>92.8</v>
      </c>
      <c r="R1161" s="2" t="s">
        <v>1438</v>
      </c>
      <c r="S1161">
        <v>19594928</v>
      </c>
      <c r="U1161">
        <v>19594928</v>
      </c>
      <c r="V1161">
        <v>1.070174894237937E-6</v>
      </c>
      <c r="W1161" t="s">
        <v>9</v>
      </c>
      <c r="X1161" t="s">
        <v>1456</v>
      </c>
    </row>
    <row r="1162" spans="1:24" hidden="1" x14ac:dyDescent="0.35">
      <c r="A1162" t="s">
        <v>320</v>
      </c>
      <c r="B1162">
        <v>2023</v>
      </c>
      <c r="C1162" t="s">
        <v>1308</v>
      </c>
      <c r="D1162" t="s">
        <v>1314</v>
      </c>
      <c r="E1162" t="s">
        <v>1359</v>
      </c>
      <c r="F1162" t="s">
        <v>1365</v>
      </c>
      <c r="G1162" t="s">
        <v>1371</v>
      </c>
      <c r="H1162">
        <v>3.18</v>
      </c>
      <c r="J1162" t="s">
        <v>1381</v>
      </c>
      <c r="L1162">
        <f t="shared" si="28"/>
        <v>1.17E-3</v>
      </c>
      <c r="N1162">
        <v>1</v>
      </c>
      <c r="O1162">
        <v>92.8</v>
      </c>
      <c r="R1162" s="2" t="s">
        <v>1438</v>
      </c>
      <c r="S1162">
        <v>19594928</v>
      </c>
      <c r="U1162">
        <v>19594928</v>
      </c>
      <c r="V1162">
        <v>1.622868938329347E-7</v>
      </c>
      <c r="W1162" t="s">
        <v>9</v>
      </c>
      <c r="X1162" t="s">
        <v>1456</v>
      </c>
    </row>
    <row r="1163" spans="1:24" hidden="1" x14ac:dyDescent="0.35">
      <c r="A1163" t="s">
        <v>321</v>
      </c>
      <c r="B1163">
        <v>2023</v>
      </c>
      <c r="C1163" t="s">
        <v>1308</v>
      </c>
      <c r="D1163" t="s">
        <v>1315</v>
      </c>
      <c r="E1163" t="s">
        <v>1359</v>
      </c>
      <c r="F1163" t="s">
        <v>1365</v>
      </c>
      <c r="G1163" t="s">
        <v>1371</v>
      </c>
      <c r="H1163">
        <v>44.34</v>
      </c>
      <c r="J1163" t="s">
        <v>1381</v>
      </c>
      <c r="L1163">
        <f t="shared" si="28"/>
        <v>1.17E-3</v>
      </c>
      <c r="N1163">
        <v>1</v>
      </c>
      <c r="O1163">
        <v>92.8</v>
      </c>
      <c r="R1163" s="2" t="s">
        <v>1438</v>
      </c>
      <c r="S1163">
        <v>19594928</v>
      </c>
      <c r="U1163">
        <v>19594928</v>
      </c>
      <c r="V1163">
        <v>2.2628304630667689E-6</v>
      </c>
      <c r="W1163" t="s">
        <v>9</v>
      </c>
      <c r="X1163" t="s">
        <v>1456</v>
      </c>
    </row>
    <row r="1164" spans="1:24" hidden="1" x14ac:dyDescent="0.35">
      <c r="A1164" t="s">
        <v>326</v>
      </c>
      <c r="B1164">
        <v>2023</v>
      </c>
      <c r="C1164" t="s">
        <v>1308</v>
      </c>
      <c r="D1164" t="s">
        <v>1317</v>
      </c>
      <c r="E1164" t="s">
        <v>1359</v>
      </c>
      <c r="F1164" t="s">
        <v>1366</v>
      </c>
      <c r="G1164" t="s">
        <v>1372</v>
      </c>
      <c r="H1164">
        <v>4.54</v>
      </c>
      <c r="J1164" t="s">
        <v>1381</v>
      </c>
      <c r="L1164">
        <f t="shared" si="28"/>
        <v>1.17E-3</v>
      </c>
      <c r="N1164">
        <v>1</v>
      </c>
      <c r="O1164">
        <v>92.8</v>
      </c>
      <c r="R1164" s="2" t="s">
        <v>1438</v>
      </c>
      <c r="S1164">
        <v>19594928</v>
      </c>
      <c r="U1164">
        <v>19594928</v>
      </c>
      <c r="V1164">
        <v>2.3169260943444139E-7</v>
      </c>
      <c r="W1164" t="s">
        <v>9</v>
      </c>
      <c r="X1164" t="s">
        <v>1457</v>
      </c>
    </row>
    <row r="1165" spans="1:24" hidden="1" x14ac:dyDescent="0.35">
      <c r="A1165" t="s">
        <v>327</v>
      </c>
      <c r="B1165">
        <v>2023</v>
      </c>
      <c r="C1165" t="s">
        <v>1308</v>
      </c>
      <c r="D1165" t="s">
        <v>1318</v>
      </c>
      <c r="E1165" t="s">
        <v>1359</v>
      </c>
      <c r="F1165" t="s">
        <v>1366</v>
      </c>
      <c r="G1165" t="s">
        <v>1372</v>
      </c>
      <c r="H1165">
        <v>0.156</v>
      </c>
      <c r="J1165" t="s">
        <v>1381</v>
      </c>
      <c r="L1165">
        <f t="shared" si="28"/>
        <v>1.17E-3</v>
      </c>
      <c r="N1165">
        <v>1</v>
      </c>
      <c r="O1165">
        <v>92.8</v>
      </c>
      <c r="R1165" s="2" t="s">
        <v>1438</v>
      </c>
      <c r="S1165">
        <v>19594928</v>
      </c>
      <c r="U1165">
        <v>19594928</v>
      </c>
      <c r="V1165">
        <v>7.9612438484081191E-9</v>
      </c>
      <c r="W1165" t="s">
        <v>9</v>
      </c>
      <c r="X1165" t="s">
        <v>1457</v>
      </c>
    </row>
    <row r="1166" spans="1:24" hidden="1" x14ac:dyDescent="0.35">
      <c r="A1166" t="s">
        <v>328</v>
      </c>
      <c r="B1166">
        <v>2023</v>
      </c>
      <c r="C1166" t="s">
        <v>1308</v>
      </c>
      <c r="D1166" t="s">
        <v>1311</v>
      </c>
      <c r="E1166" t="s">
        <v>1359</v>
      </c>
      <c r="F1166" t="s">
        <v>1366</v>
      </c>
      <c r="G1166" t="s">
        <v>1371</v>
      </c>
      <c r="H1166">
        <v>619.20000000000005</v>
      </c>
      <c r="J1166" t="s">
        <v>1381</v>
      </c>
      <c r="L1166">
        <f t="shared" si="28"/>
        <v>1.17E-3</v>
      </c>
      <c r="N1166">
        <v>1</v>
      </c>
      <c r="O1166">
        <v>92.8</v>
      </c>
      <c r="R1166" s="2" t="s">
        <v>1438</v>
      </c>
      <c r="S1166">
        <v>19594928</v>
      </c>
      <c r="U1166">
        <v>19594928</v>
      </c>
      <c r="V1166">
        <v>3.1600014044450691E-5</v>
      </c>
      <c r="W1166" t="s">
        <v>9</v>
      </c>
      <c r="X1166" t="s">
        <v>1456</v>
      </c>
    </row>
    <row r="1167" spans="1:24" hidden="1" x14ac:dyDescent="0.35">
      <c r="A1167" t="s">
        <v>329</v>
      </c>
      <c r="B1167">
        <v>2023</v>
      </c>
      <c r="C1167" t="s">
        <v>1308</v>
      </c>
      <c r="D1167" t="s">
        <v>1319</v>
      </c>
      <c r="E1167" t="s">
        <v>1359</v>
      </c>
      <c r="F1167" t="s">
        <v>1366</v>
      </c>
      <c r="G1167" t="s">
        <v>1371</v>
      </c>
      <c r="H1167">
        <v>1.1211</v>
      </c>
      <c r="J1167" t="s">
        <v>1381</v>
      </c>
      <c r="L1167">
        <f t="shared" si="28"/>
        <v>1.17E-3</v>
      </c>
      <c r="N1167">
        <v>1</v>
      </c>
      <c r="O1167">
        <v>92.8</v>
      </c>
      <c r="R1167" s="2" t="s">
        <v>1438</v>
      </c>
      <c r="S1167">
        <v>19594928</v>
      </c>
      <c r="U1167">
        <v>19594928</v>
      </c>
      <c r="V1167">
        <v>5.7213785118271422E-8</v>
      </c>
      <c r="W1167" t="s">
        <v>9</v>
      </c>
      <c r="X1167" t="s">
        <v>1456</v>
      </c>
    </row>
    <row r="1168" spans="1:24" hidden="1" x14ac:dyDescent="0.35">
      <c r="A1168" t="s">
        <v>330</v>
      </c>
      <c r="B1168">
        <v>2023</v>
      </c>
      <c r="C1168" t="s">
        <v>1308</v>
      </c>
      <c r="D1168" t="s">
        <v>1320</v>
      </c>
      <c r="E1168" t="s">
        <v>1359</v>
      </c>
      <c r="F1168" t="s">
        <v>1366</v>
      </c>
      <c r="G1168" t="s">
        <v>1372</v>
      </c>
      <c r="H1168">
        <v>63.844999999999999</v>
      </c>
      <c r="J1168" t="s">
        <v>1381</v>
      </c>
      <c r="L1168">
        <f t="shared" si="28"/>
        <v>1.17E-3</v>
      </c>
      <c r="N1168">
        <v>1</v>
      </c>
      <c r="O1168">
        <v>92.8</v>
      </c>
      <c r="R1168" s="2" t="s">
        <v>1438</v>
      </c>
      <c r="S1168">
        <v>19594928</v>
      </c>
      <c r="U1168">
        <v>19594928</v>
      </c>
      <c r="V1168">
        <v>3.2582411121898481E-6</v>
      </c>
      <c r="W1168" t="s">
        <v>9</v>
      </c>
      <c r="X1168" t="s">
        <v>1457</v>
      </c>
    </row>
    <row r="1169" spans="1:24" hidden="1" x14ac:dyDescent="0.35">
      <c r="A1169" t="s">
        <v>331</v>
      </c>
      <c r="B1169">
        <v>2023</v>
      </c>
      <c r="C1169" t="s">
        <v>1308</v>
      </c>
      <c r="D1169" t="s">
        <v>1321</v>
      </c>
      <c r="E1169" t="s">
        <v>1359</v>
      </c>
      <c r="F1169" t="s">
        <v>1366</v>
      </c>
      <c r="G1169" t="s">
        <v>1371</v>
      </c>
      <c r="H1169">
        <v>0.14599999999999999</v>
      </c>
      <c r="J1169" t="s">
        <v>1381</v>
      </c>
      <c r="L1169">
        <f t="shared" si="28"/>
        <v>1.17E-3</v>
      </c>
      <c r="N1169">
        <v>1</v>
      </c>
      <c r="O1169">
        <v>92.8</v>
      </c>
      <c r="R1169" s="2" t="s">
        <v>1438</v>
      </c>
      <c r="S1169">
        <v>19594928</v>
      </c>
      <c r="U1169">
        <v>19594928</v>
      </c>
      <c r="V1169">
        <v>7.4509077042793928E-9</v>
      </c>
      <c r="W1169" t="s">
        <v>9</v>
      </c>
      <c r="X1169" t="s">
        <v>1456</v>
      </c>
    </row>
    <row r="1170" spans="1:24" hidden="1" x14ac:dyDescent="0.35">
      <c r="A1170" t="s">
        <v>332</v>
      </c>
      <c r="B1170">
        <v>2023</v>
      </c>
      <c r="C1170" t="s">
        <v>1308</v>
      </c>
      <c r="D1170" t="s">
        <v>1344</v>
      </c>
      <c r="E1170" t="s">
        <v>1359</v>
      </c>
      <c r="F1170" t="s">
        <v>1366</v>
      </c>
      <c r="G1170" t="s">
        <v>1371</v>
      </c>
      <c r="H1170">
        <v>19.05</v>
      </c>
      <c r="J1170" t="s">
        <v>1381</v>
      </c>
      <c r="L1170">
        <f t="shared" si="28"/>
        <v>1.17E-3</v>
      </c>
      <c r="N1170">
        <v>1</v>
      </c>
      <c r="O1170">
        <v>92.8</v>
      </c>
      <c r="R1170" s="2" t="s">
        <v>1438</v>
      </c>
      <c r="S1170">
        <v>19594928</v>
      </c>
      <c r="U1170">
        <v>19594928</v>
      </c>
      <c r="V1170">
        <v>9.7219035456522227E-7</v>
      </c>
      <c r="W1170" t="s">
        <v>9</v>
      </c>
      <c r="X1170" t="s">
        <v>1456</v>
      </c>
    </row>
    <row r="1171" spans="1:24" hidden="1" x14ac:dyDescent="0.35">
      <c r="A1171" t="s">
        <v>333</v>
      </c>
      <c r="B1171">
        <v>2023</v>
      </c>
      <c r="C1171" t="s">
        <v>1308</v>
      </c>
      <c r="D1171" t="s">
        <v>1322</v>
      </c>
      <c r="E1171" t="s">
        <v>1359</v>
      </c>
      <c r="F1171" t="s">
        <v>1366</v>
      </c>
      <c r="G1171" t="s">
        <v>1372</v>
      </c>
      <c r="H1171">
        <v>11.949</v>
      </c>
      <c r="J1171" t="s">
        <v>1381</v>
      </c>
      <c r="L1171">
        <f t="shared" si="28"/>
        <v>1.17E-3</v>
      </c>
      <c r="N1171">
        <v>1</v>
      </c>
      <c r="O1171">
        <v>92.8</v>
      </c>
      <c r="R1171" s="2" t="s">
        <v>1438</v>
      </c>
      <c r="S1171">
        <v>19594928</v>
      </c>
      <c r="U1171">
        <v>19594928</v>
      </c>
      <c r="V1171">
        <v>6.0980065861941415E-7</v>
      </c>
      <c r="W1171" t="s">
        <v>9</v>
      </c>
      <c r="X1171" t="s">
        <v>1457</v>
      </c>
    </row>
    <row r="1172" spans="1:24" hidden="1" x14ac:dyDescent="0.35">
      <c r="A1172" t="s">
        <v>334</v>
      </c>
      <c r="B1172">
        <v>2023</v>
      </c>
      <c r="C1172" t="s">
        <v>1308</v>
      </c>
      <c r="D1172" t="s">
        <v>1323</v>
      </c>
      <c r="E1172" t="s">
        <v>1359</v>
      </c>
      <c r="F1172" t="s">
        <v>1366</v>
      </c>
      <c r="G1172" t="s">
        <v>1371</v>
      </c>
      <c r="H1172">
        <v>1.1379999999999999</v>
      </c>
      <c r="J1172" t="s">
        <v>1381</v>
      </c>
      <c r="L1172">
        <f t="shared" si="28"/>
        <v>1.17E-3</v>
      </c>
      <c r="N1172">
        <v>1</v>
      </c>
      <c r="O1172">
        <v>92.8</v>
      </c>
      <c r="R1172" s="2" t="s">
        <v>1438</v>
      </c>
      <c r="S1172">
        <v>19594928</v>
      </c>
      <c r="U1172">
        <v>19594928</v>
      </c>
      <c r="V1172">
        <v>5.8076253201848972E-8</v>
      </c>
      <c r="W1172" t="s">
        <v>9</v>
      </c>
      <c r="X1172" t="s">
        <v>1456</v>
      </c>
    </row>
    <row r="1173" spans="1:24" hidden="1" x14ac:dyDescent="0.35">
      <c r="A1173" t="s">
        <v>335</v>
      </c>
      <c r="B1173">
        <v>2023</v>
      </c>
      <c r="C1173" t="s">
        <v>1308</v>
      </c>
      <c r="D1173" t="s">
        <v>1330</v>
      </c>
      <c r="E1173" t="s">
        <v>1359</v>
      </c>
      <c r="F1173" t="s">
        <v>1366</v>
      </c>
      <c r="G1173" t="s">
        <v>1371</v>
      </c>
      <c r="H1173">
        <v>2.9E-5</v>
      </c>
      <c r="J1173" t="s">
        <v>1381</v>
      </c>
      <c r="L1173">
        <f t="shared" si="28"/>
        <v>1.17E-3</v>
      </c>
      <c r="N1173">
        <v>1</v>
      </c>
      <c r="O1173">
        <v>92.8</v>
      </c>
      <c r="R1173" s="2" t="s">
        <v>1438</v>
      </c>
      <c r="S1173">
        <v>19594928</v>
      </c>
      <c r="U1173">
        <v>19594928</v>
      </c>
      <c r="V1173">
        <v>1.479974817973304E-12</v>
      </c>
      <c r="W1173" t="s">
        <v>9</v>
      </c>
      <c r="X1173" t="s">
        <v>1456</v>
      </c>
    </row>
    <row r="1174" spans="1:24" hidden="1" x14ac:dyDescent="0.35">
      <c r="A1174" t="s">
        <v>336</v>
      </c>
      <c r="B1174">
        <v>2023</v>
      </c>
      <c r="C1174" t="s">
        <v>1308</v>
      </c>
      <c r="D1174" t="s">
        <v>1324</v>
      </c>
      <c r="E1174" t="s">
        <v>1359</v>
      </c>
      <c r="F1174" t="s">
        <v>1366</v>
      </c>
      <c r="G1174" t="s">
        <v>1371</v>
      </c>
      <c r="H1174">
        <v>0.48699999999999999</v>
      </c>
      <c r="J1174" t="s">
        <v>1381</v>
      </c>
      <c r="L1174">
        <f t="shared" si="28"/>
        <v>1.17E-3</v>
      </c>
      <c r="N1174">
        <v>1</v>
      </c>
      <c r="O1174">
        <v>92.8</v>
      </c>
      <c r="R1174" s="2" t="s">
        <v>1438</v>
      </c>
      <c r="S1174">
        <v>19594928</v>
      </c>
      <c r="U1174">
        <v>19594928</v>
      </c>
      <c r="V1174">
        <v>2.4853370219068932E-8</v>
      </c>
      <c r="W1174" t="s">
        <v>9</v>
      </c>
      <c r="X1174" t="s">
        <v>1456</v>
      </c>
    </row>
    <row r="1175" spans="1:24" hidden="1" x14ac:dyDescent="0.35">
      <c r="A1175" t="s">
        <v>337</v>
      </c>
      <c r="B1175">
        <v>2023</v>
      </c>
      <c r="C1175" t="s">
        <v>1308</v>
      </c>
      <c r="D1175" t="s">
        <v>1312</v>
      </c>
      <c r="E1175" t="s">
        <v>1359</v>
      </c>
      <c r="F1175" t="s">
        <v>1366</v>
      </c>
      <c r="G1175" t="s">
        <v>1371</v>
      </c>
      <c r="H1175">
        <v>145.93</v>
      </c>
      <c r="J1175" t="s">
        <v>1381</v>
      </c>
      <c r="L1175">
        <f t="shared" si="28"/>
        <v>1.17E-3</v>
      </c>
      <c r="N1175">
        <v>1</v>
      </c>
      <c r="O1175">
        <v>92.8</v>
      </c>
      <c r="R1175" s="2" t="s">
        <v>1438</v>
      </c>
      <c r="S1175">
        <v>19594928</v>
      </c>
      <c r="U1175">
        <v>19594928</v>
      </c>
      <c r="V1175">
        <v>7.4473353512704922E-6</v>
      </c>
      <c r="W1175" t="s">
        <v>9</v>
      </c>
      <c r="X1175" t="s">
        <v>1456</v>
      </c>
    </row>
    <row r="1176" spans="1:24" hidden="1" x14ac:dyDescent="0.35">
      <c r="A1176" t="s">
        <v>338</v>
      </c>
      <c r="B1176">
        <v>2023</v>
      </c>
      <c r="C1176" t="s">
        <v>1308</v>
      </c>
      <c r="D1176" t="s">
        <v>1313</v>
      </c>
      <c r="E1176" t="s">
        <v>1359</v>
      </c>
      <c r="F1176" t="s">
        <v>1366</v>
      </c>
      <c r="G1176" t="s">
        <v>1371</v>
      </c>
      <c r="H1176">
        <v>182.17</v>
      </c>
      <c r="J1176" t="s">
        <v>1381</v>
      </c>
      <c r="L1176">
        <f t="shared" si="28"/>
        <v>1.17E-3</v>
      </c>
      <c r="N1176">
        <v>1</v>
      </c>
      <c r="O1176">
        <v>92.8</v>
      </c>
      <c r="R1176" s="2" t="s">
        <v>1438</v>
      </c>
      <c r="S1176">
        <v>19594928</v>
      </c>
      <c r="U1176">
        <v>19594928</v>
      </c>
      <c r="V1176">
        <v>9.2967935375929936E-6</v>
      </c>
      <c r="W1176" t="s">
        <v>9</v>
      </c>
      <c r="X1176" t="s">
        <v>1456</v>
      </c>
    </row>
    <row r="1177" spans="1:24" hidden="1" x14ac:dyDescent="0.35">
      <c r="A1177" t="s">
        <v>339</v>
      </c>
      <c r="B1177">
        <v>2023</v>
      </c>
      <c r="C1177" t="s">
        <v>1308</v>
      </c>
      <c r="D1177" t="s">
        <v>1314</v>
      </c>
      <c r="E1177" t="s">
        <v>1359</v>
      </c>
      <c r="F1177" t="s">
        <v>1366</v>
      </c>
      <c r="G1177" t="s">
        <v>1371</v>
      </c>
      <c r="H1177">
        <v>111.11</v>
      </c>
      <c r="J1177" t="s">
        <v>1381</v>
      </c>
      <c r="L1177">
        <f t="shared" si="28"/>
        <v>1.17E-3</v>
      </c>
      <c r="N1177">
        <v>1</v>
      </c>
      <c r="O1177">
        <v>92.8</v>
      </c>
      <c r="R1177" s="2" t="s">
        <v>1438</v>
      </c>
      <c r="S1177">
        <v>19594928</v>
      </c>
      <c r="U1177">
        <v>19594928</v>
      </c>
      <c r="V1177">
        <v>5.6703448974142697E-6</v>
      </c>
      <c r="W1177" t="s">
        <v>9</v>
      </c>
      <c r="X1177" t="s">
        <v>1456</v>
      </c>
    </row>
    <row r="1178" spans="1:24" hidden="1" x14ac:dyDescent="0.35">
      <c r="A1178" t="s">
        <v>340</v>
      </c>
      <c r="B1178">
        <v>2023</v>
      </c>
      <c r="C1178" t="s">
        <v>1308</v>
      </c>
      <c r="D1178" t="s">
        <v>1325</v>
      </c>
      <c r="E1178" t="s">
        <v>1359</v>
      </c>
      <c r="F1178" t="s">
        <v>1366</v>
      </c>
      <c r="G1178" t="s">
        <v>1372</v>
      </c>
      <c r="H1178">
        <v>0.61299999999999999</v>
      </c>
      <c r="J1178" t="s">
        <v>1381</v>
      </c>
      <c r="L1178">
        <f t="shared" si="28"/>
        <v>1.17E-3</v>
      </c>
      <c r="N1178">
        <v>1</v>
      </c>
      <c r="O1178">
        <v>92.8</v>
      </c>
      <c r="R1178" s="2" t="s">
        <v>1438</v>
      </c>
      <c r="S1178">
        <v>19594928</v>
      </c>
      <c r="U1178">
        <v>19594928</v>
      </c>
      <c r="V1178">
        <v>3.1283605635090878E-8</v>
      </c>
      <c r="W1178" t="s">
        <v>9</v>
      </c>
      <c r="X1178" t="s">
        <v>1457</v>
      </c>
    </row>
    <row r="1179" spans="1:24" hidden="1" x14ac:dyDescent="0.35">
      <c r="A1179" t="s">
        <v>341</v>
      </c>
      <c r="B1179">
        <v>2023</v>
      </c>
      <c r="C1179" t="s">
        <v>1308</v>
      </c>
      <c r="D1179" t="s">
        <v>1334</v>
      </c>
      <c r="E1179" t="s">
        <v>1359</v>
      </c>
      <c r="F1179" t="s">
        <v>1366</v>
      </c>
      <c r="G1179" t="s">
        <v>1372</v>
      </c>
      <c r="H1179">
        <v>9.5380000000000003</v>
      </c>
      <c r="J1179" t="s">
        <v>1381</v>
      </c>
      <c r="L1179">
        <f t="shared" si="28"/>
        <v>1.17E-3</v>
      </c>
      <c r="N1179">
        <v>1</v>
      </c>
      <c r="O1179">
        <v>92.8</v>
      </c>
      <c r="R1179" s="2" t="s">
        <v>1438</v>
      </c>
      <c r="S1179">
        <v>19594928</v>
      </c>
      <c r="U1179">
        <v>19594928</v>
      </c>
      <c r="V1179">
        <v>4.8675861426997846E-7</v>
      </c>
      <c r="W1179" t="s">
        <v>9</v>
      </c>
      <c r="X1179" t="s">
        <v>1457</v>
      </c>
    </row>
    <row r="1180" spans="1:24" hidden="1" x14ac:dyDescent="0.35">
      <c r="A1180" t="s">
        <v>342</v>
      </c>
      <c r="B1180">
        <v>2023</v>
      </c>
      <c r="C1180" t="s">
        <v>1308</v>
      </c>
      <c r="D1180" t="s">
        <v>1315</v>
      </c>
      <c r="E1180" t="s">
        <v>1359</v>
      </c>
      <c r="F1180" t="s">
        <v>1366</v>
      </c>
      <c r="G1180" t="s">
        <v>1371</v>
      </c>
      <c r="H1180">
        <v>354.76</v>
      </c>
      <c r="J1180" t="s">
        <v>1381</v>
      </c>
      <c r="L1180">
        <f t="shared" si="28"/>
        <v>1.17E-3</v>
      </c>
      <c r="N1180">
        <v>1</v>
      </c>
      <c r="O1180">
        <v>92.8</v>
      </c>
      <c r="R1180" s="2" t="s">
        <v>1438</v>
      </c>
      <c r="S1180">
        <v>19594928</v>
      </c>
      <c r="U1180">
        <v>19594928</v>
      </c>
      <c r="V1180">
        <v>1.8104685049110671E-5</v>
      </c>
      <c r="W1180" t="s">
        <v>9</v>
      </c>
      <c r="X1180" t="s">
        <v>1456</v>
      </c>
    </row>
    <row r="1181" spans="1:24" hidden="1" x14ac:dyDescent="0.35">
      <c r="A1181" t="s">
        <v>343</v>
      </c>
      <c r="B1181">
        <v>2023</v>
      </c>
      <c r="C1181" t="s">
        <v>1308</v>
      </c>
      <c r="D1181" t="s">
        <v>1336</v>
      </c>
      <c r="E1181" t="s">
        <v>1359</v>
      </c>
      <c r="F1181" t="s">
        <v>1366</v>
      </c>
      <c r="G1181" t="s">
        <v>1371</v>
      </c>
      <c r="H1181">
        <v>0.17299999999999999</v>
      </c>
      <c r="J1181" t="s">
        <v>1381</v>
      </c>
      <c r="L1181">
        <f t="shared" si="28"/>
        <v>1.17E-3</v>
      </c>
      <c r="N1181">
        <v>1</v>
      </c>
      <c r="O1181">
        <v>92.8</v>
      </c>
      <c r="R1181" s="2" t="s">
        <v>1438</v>
      </c>
      <c r="S1181">
        <v>19594928</v>
      </c>
      <c r="U1181">
        <v>19594928</v>
      </c>
      <c r="V1181">
        <v>8.8288152934269514E-9</v>
      </c>
      <c r="W1181" t="s">
        <v>9</v>
      </c>
      <c r="X1181" t="s">
        <v>1456</v>
      </c>
    </row>
    <row r="1182" spans="1:24" hidden="1" x14ac:dyDescent="0.35">
      <c r="A1182" t="s">
        <v>344</v>
      </c>
      <c r="B1182">
        <v>2023</v>
      </c>
      <c r="C1182" t="s">
        <v>1308</v>
      </c>
      <c r="D1182" t="s">
        <v>1316</v>
      </c>
      <c r="E1182" t="s">
        <v>1359</v>
      </c>
      <c r="F1182" t="s">
        <v>1366</v>
      </c>
      <c r="G1182" t="s">
        <v>1371</v>
      </c>
      <c r="H1182">
        <v>27.5</v>
      </c>
      <c r="J1182" t="s">
        <v>1381</v>
      </c>
      <c r="L1182">
        <f t="shared" si="28"/>
        <v>1.17E-3</v>
      </c>
      <c r="N1182">
        <v>1</v>
      </c>
      <c r="O1182">
        <v>92.8</v>
      </c>
      <c r="R1182" s="2" t="s">
        <v>1438</v>
      </c>
      <c r="S1182">
        <v>19594928</v>
      </c>
      <c r="U1182">
        <v>19594928</v>
      </c>
      <c r="V1182">
        <v>1.4034243963539949E-6</v>
      </c>
      <c r="W1182" t="s">
        <v>9</v>
      </c>
      <c r="X1182" t="s">
        <v>1456</v>
      </c>
    </row>
    <row r="1183" spans="1:24" hidden="1" x14ac:dyDescent="0.35">
      <c r="A1183" t="s">
        <v>345</v>
      </c>
      <c r="B1183">
        <v>2023</v>
      </c>
      <c r="C1183" t="s">
        <v>1308</v>
      </c>
      <c r="D1183" t="s">
        <v>1326</v>
      </c>
      <c r="E1183" t="s">
        <v>1359</v>
      </c>
      <c r="F1183" t="s">
        <v>1366</v>
      </c>
      <c r="G1183" t="s">
        <v>1371</v>
      </c>
      <c r="H1183">
        <v>0.126</v>
      </c>
      <c r="J1183" t="s">
        <v>1381</v>
      </c>
      <c r="L1183">
        <f t="shared" si="28"/>
        <v>1.17E-3</v>
      </c>
      <c r="N1183">
        <v>1</v>
      </c>
      <c r="O1183">
        <v>92.8</v>
      </c>
      <c r="R1183" s="2" t="s">
        <v>1438</v>
      </c>
      <c r="S1183">
        <v>19594928</v>
      </c>
      <c r="U1183">
        <v>19594928</v>
      </c>
      <c r="V1183">
        <v>6.4302354160219418E-9</v>
      </c>
      <c r="W1183" t="s">
        <v>9</v>
      </c>
      <c r="X1183" t="s">
        <v>1456</v>
      </c>
    </row>
    <row r="1184" spans="1:24" hidden="1" x14ac:dyDescent="0.35">
      <c r="A1184" t="s">
        <v>697</v>
      </c>
      <c r="B1184">
        <v>2023</v>
      </c>
      <c r="C1184" t="s">
        <v>1308</v>
      </c>
      <c r="D1184" t="s">
        <v>1311</v>
      </c>
      <c r="E1184" t="s">
        <v>1359</v>
      </c>
      <c r="F1184" t="s">
        <v>1367</v>
      </c>
      <c r="G1184" t="s">
        <v>1371</v>
      </c>
      <c r="H1184">
        <v>24.26</v>
      </c>
      <c r="J1184" t="s">
        <v>1381</v>
      </c>
      <c r="L1184">
        <f t="shared" si="28"/>
        <v>1.17E-3</v>
      </c>
      <c r="N1184">
        <v>1</v>
      </c>
      <c r="O1184">
        <v>92.8</v>
      </c>
      <c r="R1184" s="2" t="s">
        <v>1438</v>
      </c>
      <c r="S1184">
        <v>19594928</v>
      </c>
      <c r="U1184">
        <v>19594928</v>
      </c>
      <c r="V1184">
        <v>1.2380754856562881E-6</v>
      </c>
      <c r="W1184" t="s">
        <v>9</v>
      </c>
      <c r="X1184" t="s">
        <v>1456</v>
      </c>
    </row>
    <row r="1185" spans="1:24" hidden="1" x14ac:dyDescent="0.35">
      <c r="A1185" t="s">
        <v>698</v>
      </c>
      <c r="B1185">
        <v>2023</v>
      </c>
      <c r="C1185" t="s">
        <v>1308</v>
      </c>
      <c r="D1185" t="s">
        <v>1312</v>
      </c>
      <c r="E1185" t="s">
        <v>1359</v>
      </c>
      <c r="F1185" t="s">
        <v>1367</v>
      </c>
      <c r="G1185" t="s">
        <v>1371</v>
      </c>
      <c r="H1185">
        <v>112.49</v>
      </c>
      <c r="J1185" t="s">
        <v>1381</v>
      </c>
      <c r="L1185">
        <f t="shared" si="28"/>
        <v>1.17E-3</v>
      </c>
      <c r="N1185">
        <v>1</v>
      </c>
      <c r="O1185">
        <v>92.8</v>
      </c>
      <c r="R1185" s="2" t="s">
        <v>1438</v>
      </c>
      <c r="S1185">
        <v>19594928</v>
      </c>
      <c r="U1185">
        <v>19594928</v>
      </c>
      <c r="V1185">
        <v>5.7407712853040332E-6</v>
      </c>
      <c r="W1185" t="s">
        <v>9</v>
      </c>
      <c r="X1185" t="s">
        <v>1456</v>
      </c>
    </row>
    <row r="1186" spans="1:24" hidden="1" x14ac:dyDescent="0.35">
      <c r="A1186" t="s">
        <v>699</v>
      </c>
      <c r="B1186">
        <v>2023</v>
      </c>
      <c r="C1186" t="s">
        <v>1308</v>
      </c>
      <c r="D1186" t="s">
        <v>1313</v>
      </c>
      <c r="E1186" t="s">
        <v>1359</v>
      </c>
      <c r="F1186" t="s">
        <v>1367</v>
      </c>
      <c r="G1186" t="s">
        <v>1371</v>
      </c>
      <c r="H1186">
        <v>7.98</v>
      </c>
      <c r="J1186" t="s">
        <v>1381</v>
      </c>
      <c r="L1186">
        <f t="shared" si="28"/>
        <v>1.17E-3</v>
      </c>
      <c r="N1186">
        <v>1</v>
      </c>
      <c r="O1186">
        <v>92.8</v>
      </c>
      <c r="R1186" s="2" t="s">
        <v>1438</v>
      </c>
      <c r="S1186">
        <v>19594928</v>
      </c>
      <c r="U1186">
        <v>19594928</v>
      </c>
      <c r="V1186">
        <v>4.07248243014723E-7</v>
      </c>
      <c r="W1186" t="s">
        <v>9</v>
      </c>
      <c r="X1186" t="s">
        <v>1456</v>
      </c>
    </row>
    <row r="1187" spans="1:24" hidden="1" x14ac:dyDescent="0.35">
      <c r="A1187" t="s">
        <v>700</v>
      </c>
      <c r="B1187">
        <v>2023</v>
      </c>
      <c r="C1187" t="s">
        <v>1308</v>
      </c>
      <c r="D1187" t="s">
        <v>1314</v>
      </c>
      <c r="E1187" t="s">
        <v>1359</v>
      </c>
      <c r="F1187" t="s">
        <v>1367</v>
      </c>
      <c r="G1187" t="s">
        <v>1371</v>
      </c>
      <c r="H1187">
        <v>7.97</v>
      </c>
      <c r="J1187" t="s">
        <v>1381</v>
      </c>
      <c r="L1187">
        <f t="shared" si="28"/>
        <v>1.17E-3</v>
      </c>
      <c r="N1187">
        <v>1</v>
      </c>
      <c r="O1187">
        <v>92.8</v>
      </c>
      <c r="R1187" s="2" t="s">
        <v>1438</v>
      </c>
      <c r="S1187">
        <v>19594928</v>
      </c>
      <c r="U1187">
        <v>19594928</v>
      </c>
      <c r="V1187">
        <v>4.0673790687059431E-7</v>
      </c>
      <c r="W1187" t="s">
        <v>9</v>
      </c>
      <c r="X1187" t="s">
        <v>1456</v>
      </c>
    </row>
    <row r="1188" spans="1:24" hidden="1" x14ac:dyDescent="0.35">
      <c r="A1188" t="s">
        <v>701</v>
      </c>
      <c r="B1188">
        <v>2023</v>
      </c>
      <c r="C1188" t="s">
        <v>1308</v>
      </c>
      <c r="D1188" t="s">
        <v>1315</v>
      </c>
      <c r="E1188" t="s">
        <v>1359</v>
      </c>
      <c r="F1188" t="s">
        <v>1367</v>
      </c>
      <c r="G1188" t="s">
        <v>1371</v>
      </c>
      <c r="H1188">
        <v>7.99</v>
      </c>
      <c r="J1188" t="s">
        <v>1381</v>
      </c>
      <c r="L1188">
        <f t="shared" si="28"/>
        <v>1.17E-3</v>
      </c>
      <c r="N1188">
        <v>1</v>
      </c>
      <c r="O1188">
        <v>92.8</v>
      </c>
      <c r="R1188" s="2" t="s">
        <v>1438</v>
      </c>
      <c r="S1188">
        <v>19594928</v>
      </c>
      <c r="U1188">
        <v>19594928</v>
      </c>
      <c r="V1188">
        <v>4.0775857915885169E-7</v>
      </c>
      <c r="W1188" t="s">
        <v>9</v>
      </c>
      <c r="X1188" t="s">
        <v>1456</v>
      </c>
    </row>
    <row r="1189" spans="1:24" hidden="1" x14ac:dyDescent="0.35">
      <c r="A1189" t="s">
        <v>702</v>
      </c>
      <c r="B1189">
        <v>2023</v>
      </c>
      <c r="C1189" t="s">
        <v>1308</v>
      </c>
      <c r="D1189" t="s">
        <v>1316</v>
      </c>
      <c r="E1189" t="s">
        <v>1359</v>
      </c>
      <c r="F1189" t="s">
        <v>1367</v>
      </c>
      <c r="G1189" t="s">
        <v>1371</v>
      </c>
      <c r="H1189">
        <v>8.9499999999999993</v>
      </c>
      <c r="J1189" t="s">
        <v>1381</v>
      </c>
      <c r="L1189">
        <f t="shared" si="28"/>
        <v>1.17E-3</v>
      </c>
      <c r="N1189">
        <v>1</v>
      </c>
      <c r="O1189">
        <v>92.8</v>
      </c>
      <c r="R1189" s="2" t="s">
        <v>1438</v>
      </c>
      <c r="S1189">
        <v>19594928</v>
      </c>
      <c r="U1189">
        <v>19594928</v>
      </c>
      <c r="V1189">
        <v>4.5675084899520941E-7</v>
      </c>
      <c r="W1189" t="s">
        <v>9</v>
      </c>
      <c r="X1189" t="s">
        <v>1456</v>
      </c>
    </row>
    <row r="1190" spans="1:24" hidden="1" x14ac:dyDescent="0.35">
      <c r="A1190" t="s">
        <v>742</v>
      </c>
      <c r="B1190">
        <v>2023</v>
      </c>
      <c r="C1190" t="s">
        <v>1309</v>
      </c>
      <c r="D1190" t="s">
        <v>1317</v>
      </c>
      <c r="E1190" t="s">
        <v>1359</v>
      </c>
      <c r="F1190" t="s">
        <v>1368</v>
      </c>
      <c r="G1190" t="s">
        <v>1372</v>
      </c>
      <c r="H1190">
        <v>2.2263999999999999</v>
      </c>
      <c r="J1190" t="s">
        <v>1381</v>
      </c>
      <c r="L1190">
        <f t="shared" si="28"/>
        <v>1.17E-3</v>
      </c>
      <c r="N1190">
        <v>1</v>
      </c>
      <c r="O1190">
        <v>92.8</v>
      </c>
      <c r="R1190" s="2" t="s">
        <v>1438</v>
      </c>
      <c r="S1190">
        <v>19594928</v>
      </c>
      <c r="U1190">
        <v>19594928</v>
      </c>
      <c r="V1190">
        <v>1.136212391288195E-7</v>
      </c>
      <c r="W1190" t="s">
        <v>9</v>
      </c>
      <c r="X1190" t="s">
        <v>1457</v>
      </c>
    </row>
    <row r="1191" spans="1:24" hidden="1" x14ac:dyDescent="0.35">
      <c r="A1191" t="s">
        <v>743</v>
      </c>
      <c r="B1191">
        <v>2023</v>
      </c>
      <c r="C1191" t="s">
        <v>1309</v>
      </c>
      <c r="D1191" t="s">
        <v>1318</v>
      </c>
      <c r="E1191" t="s">
        <v>1359</v>
      </c>
      <c r="F1191" t="s">
        <v>1368</v>
      </c>
      <c r="G1191" t="s">
        <v>1372</v>
      </c>
      <c r="H1191">
        <v>0.67349999999999999</v>
      </c>
      <c r="J1191" t="s">
        <v>1381</v>
      </c>
      <c r="L1191">
        <f t="shared" si="28"/>
        <v>1.17E-3</v>
      </c>
      <c r="N1191">
        <v>1</v>
      </c>
      <c r="O1191">
        <v>92.8</v>
      </c>
      <c r="R1191" s="2" t="s">
        <v>1438</v>
      </c>
      <c r="S1191">
        <v>19594928</v>
      </c>
      <c r="U1191">
        <v>19594928</v>
      </c>
      <c r="V1191">
        <v>3.4371139307069658E-8</v>
      </c>
      <c r="W1191" t="s">
        <v>9</v>
      </c>
      <c r="X1191" t="s">
        <v>1457</v>
      </c>
    </row>
    <row r="1192" spans="1:24" hidden="1" x14ac:dyDescent="0.35">
      <c r="A1192" t="s">
        <v>744</v>
      </c>
      <c r="B1192">
        <v>2023</v>
      </c>
      <c r="C1192" t="s">
        <v>1309</v>
      </c>
      <c r="D1192" t="s">
        <v>1319</v>
      </c>
      <c r="E1192" t="s">
        <v>1359</v>
      </c>
      <c r="F1192" t="s">
        <v>1368</v>
      </c>
      <c r="G1192" t="s">
        <v>1371</v>
      </c>
      <c r="H1192">
        <v>3.7000000000000002E-3</v>
      </c>
      <c r="J1192" t="s">
        <v>1381</v>
      </c>
      <c r="L1192">
        <f t="shared" si="28"/>
        <v>1.17E-3</v>
      </c>
      <c r="N1192">
        <v>1</v>
      </c>
      <c r="O1192">
        <v>92.8</v>
      </c>
      <c r="R1192" s="2" t="s">
        <v>1438</v>
      </c>
      <c r="S1192">
        <v>19594928</v>
      </c>
      <c r="U1192">
        <v>19594928</v>
      </c>
      <c r="V1192">
        <v>1.8882437332762849E-10</v>
      </c>
      <c r="W1192" t="s">
        <v>9</v>
      </c>
      <c r="X1192" t="s">
        <v>1456</v>
      </c>
    </row>
    <row r="1193" spans="1:24" hidden="1" x14ac:dyDescent="0.35">
      <c r="A1193" t="s">
        <v>745</v>
      </c>
      <c r="B1193">
        <v>2023</v>
      </c>
      <c r="C1193" t="s">
        <v>1309</v>
      </c>
      <c r="D1193" t="s">
        <v>1320</v>
      </c>
      <c r="E1193" t="s">
        <v>1359</v>
      </c>
      <c r="F1193" t="s">
        <v>1368</v>
      </c>
      <c r="G1193" t="s">
        <v>1372</v>
      </c>
      <c r="H1193">
        <v>112.7972</v>
      </c>
      <c r="J1193" t="s">
        <v>1381</v>
      </c>
      <c r="L1193">
        <f t="shared" si="28"/>
        <v>1.17E-3</v>
      </c>
      <c r="N1193">
        <v>1</v>
      </c>
      <c r="O1193">
        <v>92.8</v>
      </c>
      <c r="R1193" s="2" t="s">
        <v>1438</v>
      </c>
      <c r="S1193">
        <v>19594928</v>
      </c>
      <c r="U1193">
        <v>19594928</v>
      </c>
      <c r="V1193">
        <v>5.7564488116516688E-6</v>
      </c>
      <c r="W1193" t="s">
        <v>9</v>
      </c>
      <c r="X1193" t="s">
        <v>1457</v>
      </c>
    </row>
    <row r="1194" spans="1:24" hidden="1" x14ac:dyDescent="0.35">
      <c r="A1194" t="s">
        <v>746</v>
      </c>
      <c r="B1194">
        <v>2023</v>
      </c>
      <c r="C1194" t="s">
        <v>1309</v>
      </c>
      <c r="D1194" t="s">
        <v>1321</v>
      </c>
      <c r="E1194" t="s">
        <v>1359</v>
      </c>
      <c r="F1194" t="s">
        <v>1368</v>
      </c>
      <c r="G1194" t="s">
        <v>1371</v>
      </c>
      <c r="H1194">
        <v>8.4400000000000003E-2</v>
      </c>
      <c r="J1194" t="s">
        <v>1381</v>
      </c>
      <c r="L1194">
        <f t="shared" si="28"/>
        <v>1.17E-3</v>
      </c>
      <c r="N1194">
        <v>1</v>
      </c>
      <c r="O1194">
        <v>92.8</v>
      </c>
      <c r="R1194" s="2" t="s">
        <v>1438</v>
      </c>
      <c r="S1194">
        <v>19594928</v>
      </c>
      <c r="U1194">
        <v>19594928</v>
      </c>
      <c r="V1194">
        <v>4.3072370564464439E-9</v>
      </c>
      <c r="W1194" t="s">
        <v>9</v>
      </c>
      <c r="X1194" t="s">
        <v>1456</v>
      </c>
    </row>
    <row r="1195" spans="1:24" hidden="1" x14ac:dyDescent="0.35">
      <c r="A1195" t="s">
        <v>747</v>
      </c>
      <c r="B1195">
        <v>2023</v>
      </c>
      <c r="C1195" t="s">
        <v>1309</v>
      </c>
      <c r="D1195" t="s">
        <v>1339</v>
      </c>
      <c r="E1195" t="s">
        <v>1359</v>
      </c>
      <c r="F1195" t="s">
        <v>1368</v>
      </c>
      <c r="G1195" t="s">
        <v>1371</v>
      </c>
      <c r="H1195">
        <v>9.8599999999999993E-2</v>
      </c>
      <c r="J1195" t="s">
        <v>1381</v>
      </c>
      <c r="L1195">
        <f t="shared" si="28"/>
        <v>1.17E-3</v>
      </c>
      <c r="N1195">
        <v>1</v>
      </c>
      <c r="O1195">
        <v>92.8</v>
      </c>
      <c r="R1195" s="2" t="s">
        <v>1438</v>
      </c>
      <c r="S1195">
        <v>19594928</v>
      </c>
      <c r="U1195">
        <v>19594928</v>
      </c>
      <c r="V1195">
        <v>5.0319143811092338E-9</v>
      </c>
      <c r="W1195" t="s">
        <v>9</v>
      </c>
      <c r="X1195" t="s">
        <v>1456</v>
      </c>
    </row>
    <row r="1196" spans="1:24" hidden="1" x14ac:dyDescent="0.35">
      <c r="A1196" t="s">
        <v>748</v>
      </c>
      <c r="B1196">
        <v>2023</v>
      </c>
      <c r="C1196" t="s">
        <v>1309</v>
      </c>
      <c r="D1196" t="s">
        <v>1322</v>
      </c>
      <c r="E1196" t="s">
        <v>1359</v>
      </c>
      <c r="F1196" t="s">
        <v>1368</v>
      </c>
      <c r="G1196" t="s">
        <v>1372</v>
      </c>
      <c r="H1196">
        <v>0.88700000000000001</v>
      </c>
      <c r="J1196" t="s">
        <v>1381</v>
      </c>
      <c r="L1196">
        <f t="shared" si="28"/>
        <v>1.17E-3</v>
      </c>
      <c r="N1196">
        <v>1</v>
      </c>
      <c r="O1196">
        <v>92.8</v>
      </c>
      <c r="R1196" s="2" t="s">
        <v>1438</v>
      </c>
      <c r="S1196">
        <v>19594928</v>
      </c>
      <c r="U1196">
        <v>19594928</v>
      </c>
      <c r="V1196">
        <v>4.5266815984217948E-8</v>
      </c>
      <c r="W1196" t="s">
        <v>9</v>
      </c>
      <c r="X1196" t="s">
        <v>1457</v>
      </c>
    </row>
    <row r="1197" spans="1:24" hidden="1" x14ac:dyDescent="0.35">
      <c r="A1197" t="s">
        <v>749</v>
      </c>
      <c r="B1197">
        <v>2023</v>
      </c>
      <c r="C1197" t="s">
        <v>1309</v>
      </c>
      <c r="D1197" t="s">
        <v>1323</v>
      </c>
      <c r="E1197" t="s">
        <v>1359</v>
      </c>
      <c r="F1197" t="s">
        <v>1368</v>
      </c>
      <c r="G1197" t="s">
        <v>1371</v>
      </c>
      <c r="H1197">
        <v>2.3685999999999998</v>
      </c>
      <c r="J1197" t="s">
        <v>1381</v>
      </c>
      <c r="L1197">
        <f t="shared" si="28"/>
        <v>1.17E-3</v>
      </c>
      <c r="N1197">
        <v>1</v>
      </c>
      <c r="O1197">
        <v>92.8</v>
      </c>
      <c r="R1197" s="2" t="s">
        <v>1438</v>
      </c>
      <c r="S1197">
        <v>19594928</v>
      </c>
      <c r="U1197">
        <v>19594928</v>
      </c>
      <c r="V1197">
        <v>1.2087821909832989E-7</v>
      </c>
      <c r="W1197" t="s">
        <v>9</v>
      </c>
      <c r="X1197" t="s">
        <v>1456</v>
      </c>
    </row>
    <row r="1198" spans="1:24" hidden="1" x14ac:dyDescent="0.35">
      <c r="A1198" t="s">
        <v>750</v>
      </c>
      <c r="B1198">
        <v>2023</v>
      </c>
      <c r="C1198" t="s">
        <v>1309</v>
      </c>
      <c r="D1198" t="s">
        <v>1330</v>
      </c>
      <c r="E1198" t="s">
        <v>1359</v>
      </c>
      <c r="F1198" t="s">
        <v>1368</v>
      </c>
      <c r="G1198" t="s">
        <v>1371</v>
      </c>
      <c r="H1198">
        <v>4.5100000000000012E-5</v>
      </c>
      <c r="J1198" t="s">
        <v>1381</v>
      </c>
      <c r="L1198">
        <f t="shared" si="28"/>
        <v>1.17E-3</v>
      </c>
      <c r="N1198">
        <v>1</v>
      </c>
      <c r="O1198">
        <v>92.8</v>
      </c>
      <c r="R1198" s="2" t="s">
        <v>1438</v>
      </c>
      <c r="S1198">
        <v>19594928</v>
      </c>
      <c r="U1198">
        <v>19594928</v>
      </c>
      <c r="V1198">
        <v>2.3016160100205529E-12</v>
      </c>
      <c r="W1198" t="s">
        <v>9</v>
      </c>
      <c r="X1198" t="s">
        <v>1456</v>
      </c>
    </row>
    <row r="1199" spans="1:24" hidden="1" x14ac:dyDescent="0.35">
      <c r="A1199" t="s">
        <v>751</v>
      </c>
      <c r="B1199">
        <v>2023</v>
      </c>
      <c r="C1199" t="s">
        <v>1309</v>
      </c>
      <c r="D1199" t="s">
        <v>1324</v>
      </c>
      <c r="E1199" t="s">
        <v>1359</v>
      </c>
      <c r="F1199" t="s">
        <v>1368</v>
      </c>
      <c r="G1199" t="s">
        <v>1371</v>
      </c>
      <c r="H1199">
        <v>0.3669</v>
      </c>
      <c r="J1199" t="s">
        <v>1381</v>
      </c>
      <c r="L1199">
        <f t="shared" si="28"/>
        <v>1.17E-3</v>
      </c>
      <c r="N1199">
        <v>1</v>
      </c>
      <c r="O1199">
        <v>92.8</v>
      </c>
      <c r="R1199" s="2" t="s">
        <v>1438</v>
      </c>
      <c r="S1199">
        <v>19594928</v>
      </c>
      <c r="U1199">
        <v>19594928</v>
      </c>
      <c r="V1199">
        <v>1.872423312808294E-8</v>
      </c>
      <c r="W1199" t="s">
        <v>9</v>
      </c>
      <c r="X1199" t="s">
        <v>1456</v>
      </c>
    </row>
    <row r="1200" spans="1:24" hidden="1" x14ac:dyDescent="0.35">
      <c r="A1200" t="s">
        <v>752</v>
      </c>
      <c r="B1200">
        <v>2023</v>
      </c>
      <c r="C1200" t="s">
        <v>1309</v>
      </c>
      <c r="D1200" t="s">
        <v>1325</v>
      </c>
      <c r="E1200" t="s">
        <v>1359</v>
      </c>
      <c r="F1200" t="s">
        <v>1368</v>
      </c>
      <c r="G1200" t="s">
        <v>1372</v>
      </c>
      <c r="H1200">
        <v>6.1070000000000002</v>
      </c>
      <c r="J1200" t="s">
        <v>1381</v>
      </c>
      <c r="L1200">
        <f t="shared" si="28"/>
        <v>1.17E-3</v>
      </c>
      <c r="N1200">
        <v>1</v>
      </c>
      <c r="O1200">
        <v>92.8</v>
      </c>
      <c r="R1200" s="2" t="s">
        <v>1438</v>
      </c>
      <c r="S1200">
        <v>19594928</v>
      </c>
      <c r="U1200">
        <v>19594928</v>
      </c>
      <c r="V1200">
        <v>3.1166228321941271E-7</v>
      </c>
      <c r="W1200" t="s">
        <v>9</v>
      </c>
      <c r="X1200" t="s">
        <v>1457</v>
      </c>
    </row>
    <row r="1201" spans="1:24" hidden="1" x14ac:dyDescent="0.35">
      <c r="A1201" t="s">
        <v>753</v>
      </c>
      <c r="B1201">
        <v>2023</v>
      </c>
      <c r="C1201" t="s">
        <v>1309</v>
      </c>
      <c r="D1201" t="s">
        <v>1334</v>
      </c>
      <c r="E1201" t="s">
        <v>1359</v>
      </c>
      <c r="F1201" t="s">
        <v>1368</v>
      </c>
      <c r="G1201" t="s">
        <v>1372</v>
      </c>
      <c r="H1201">
        <v>0.74680000000000002</v>
      </c>
      <c r="J1201" t="s">
        <v>1381</v>
      </c>
      <c r="L1201">
        <f t="shared" si="28"/>
        <v>1.17E-3</v>
      </c>
      <c r="N1201">
        <v>1</v>
      </c>
      <c r="O1201">
        <v>92.8</v>
      </c>
      <c r="R1201" s="2" t="s">
        <v>1438</v>
      </c>
      <c r="S1201">
        <v>19594928</v>
      </c>
      <c r="U1201">
        <v>19594928</v>
      </c>
      <c r="V1201">
        <v>3.8111903243533218E-8</v>
      </c>
      <c r="W1201" t="s">
        <v>9</v>
      </c>
      <c r="X1201" t="s">
        <v>1457</v>
      </c>
    </row>
    <row r="1202" spans="1:24" hidden="1" x14ac:dyDescent="0.35">
      <c r="A1202" t="s">
        <v>754</v>
      </c>
      <c r="B1202">
        <v>2023</v>
      </c>
      <c r="C1202" t="s">
        <v>1309</v>
      </c>
      <c r="D1202" t="s">
        <v>1336</v>
      </c>
      <c r="E1202" t="s">
        <v>1359</v>
      </c>
      <c r="F1202" t="s">
        <v>1368</v>
      </c>
      <c r="G1202" t="s">
        <v>1371</v>
      </c>
      <c r="H1202">
        <v>3.8999999999999998E-3</v>
      </c>
      <c r="J1202" t="s">
        <v>1381</v>
      </c>
      <c r="L1202">
        <f t="shared" si="28"/>
        <v>1.17E-3</v>
      </c>
      <c r="N1202">
        <v>1</v>
      </c>
      <c r="O1202">
        <v>92.8</v>
      </c>
      <c r="R1202" s="2" t="s">
        <v>1438</v>
      </c>
      <c r="S1202">
        <v>19594928</v>
      </c>
      <c r="U1202">
        <v>19594928</v>
      </c>
      <c r="V1202">
        <v>1.99031096210203E-10</v>
      </c>
      <c r="W1202" t="s">
        <v>9</v>
      </c>
      <c r="X1202" t="s">
        <v>1456</v>
      </c>
    </row>
    <row r="1203" spans="1:24" hidden="1" x14ac:dyDescent="0.35">
      <c r="A1203" t="s">
        <v>755</v>
      </c>
      <c r="B1203">
        <v>2023</v>
      </c>
      <c r="C1203" t="s">
        <v>1309</v>
      </c>
      <c r="D1203" t="s">
        <v>1326</v>
      </c>
      <c r="E1203" t="s">
        <v>1359</v>
      </c>
      <c r="F1203" t="s">
        <v>1368</v>
      </c>
      <c r="G1203" t="s">
        <v>1371</v>
      </c>
      <c r="H1203">
        <v>5.16E-2</v>
      </c>
      <c r="J1203" t="s">
        <v>1381</v>
      </c>
      <c r="L1203">
        <f t="shared" si="28"/>
        <v>1.17E-3</v>
      </c>
      <c r="N1203">
        <v>1</v>
      </c>
      <c r="O1203">
        <v>92.8</v>
      </c>
      <c r="R1203" s="2" t="s">
        <v>1438</v>
      </c>
      <c r="S1203">
        <v>19594928</v>
      </c>
      <c r="U1203">
        <v>19594928</v>
      </c>
      <c r="V1203">
        <v>2.6333345037042238E-9</v>
      </c>
      <c r="W1203" t="s">
        <v>9</v>
      </c>
      <c r="X1203" t="s">
        <v>1456</v>
      </c>
    </row>
    <row r="1204" spans="1:24" hidden="1" x14ac:dyDescent="0.35">
      <c r="A1204" t="s">
        <v>1031</v>
      </c>
      <c r="B1204">
        <v>2023</v>
      </c>
      <c r="C1204" t="s">
        <v>1308</v>
      </c>
      <c r="D1204" t="s">
        <v>1347</v>
      </c>
      <c r="E1204" t="s">
        <v>1359</v>
      </c>
      <c r="F1204" t="s">
        <v>1370</v>
      </c>
      <c r="G1204" t="s">
        <v>1375</v>
      </c>
      <c r="H1204">
        <v>195810</v>
      </c>
      <c r="J1204" t="s">
        <v>1381</v>
      </c>
      <c r="L1204">
        <f t="shared" si="28"/>
        <v>1.17E-3</v>
      </c>
      <c r="N1204">
        <v>1</v>
      </c>
      <c r="O1204">
        <v>92.8</v>
      </c>
      <c r="R1204" s="2" t="s">
        <v>1439</v>
      </c>
      <c r="S1204">
        <v>19594928</v>
      </c>
      <c r="U1204">
        <v>19594928</v>
      </c>
      <c r="V1204">
        <v>9.992892038184575E-3</v>
      </c>
      <c r="W1204" t="s">
        <v>9</v>
      </c>
      <c r="X1204" t="s">
        <v>1460</v>
      </c>
    </row>
    <row r="1205" spans="1:24" hidden="1" x14ac:dyDescent="0.35">
      <c r="A1205" t="s">
        <v>1050</v>
      </c>
      <c r="B1205">
        <v>2023</v>
      </c>
      <c r="C1205" t="s">
        <v>1308</v>
      </c>
      <c r="D1205" t="s">
        <v>1348</v>
      </c>
      <c r="E1205" t="s">
        <v>1359</v>
      </c>
      <c r="G1205" t="s">
        <v>1371</v>
      </c>
      <c r="H1205">
        <v>4802</v>
      </c>
      <c r="I1205" t="s">
        <v>1379</v>
      </c>
      <c r="J1205" t="s">
        <v>1381</v>
      </c>
      <c r="L1205">
        <f t="shared" si="28"/>
        <v>1.17E-3</v>
      </c>
      <c r="N1205">
        <v>1</v>
      </c>
      <c r="O1205">
        <v>92.8</v>
      </c>
      <c r="Q1205" t="s">
        <v>1422</v>
      </c>
      <c r="R1205" t="s">
        <v>1440</v>
      </c>
      <c r="S1205">
        <v>19594928</v>
      </c>
      <c r="U1205">
        <v>19594928</v>
      </c>
      <c r="V1205">
        <v>2.4506341641061401E-4</v>
      </c>
      <c r="W1205" t="s">
        <v>9</v>
      </c>
      <c r="X1205" t="s">
        <v>1456</v>
      </c>
    </row>
    <row r="1206" spans="1:24" hidden="1" x14ac:dyDescent="0.35">
      <c r="A1206" t="s">
        <v>1051</v>
      </c>
      <c r="B1206">
        <v>2023</v>
      </c>
      <c r="C1206" t="s">
        <v>1308</v>
      </c>
      <c r="D1206" t="s">
        <v>1349</v>
      </c>
      <c r="E1206" t="s">
        <v>1359</v>
      </c>
      <c r="G1206" t="s">
        <v>1371</v>
      </c>
      <c r="H1206">
        <v>315</v>
      </c>
      <c r="I1206" t="s">
        <v>1379</v>
      </c>
      <c r="J1206" t="s">
        <v>1381</v>
      </c>
      <c r="L1206">
        <f t="shared" si="28"/>
        <v>1.17E-3</v>
      </c>
      <c r="N1206">
        <v>1</v>
      </c>
      <c r="O1206">
        <v>92.8</v>
      </c>
      <c r="Q1206" t="s">
        <v>1422</v>
      </c>
      <c r="R1206" t="s">
        <v>1440</v>
      </c>
      <c r="S1206">
        <v>19594928</v>
      </c>
      <c r="U1206">
        <v>19594928</v>
      </c>
      <c r="V1206">
        <v>1.6075588540054851E-5</v>
      </c>
      <c r="W1206" t="s">
        <v>9</v>
      </c>
      <c r="X1206" t="s">
        <v>1456</v>
      </c>
    </row>
    <row r="1207" spans="1:24" hidden="1" x14ac:dyDescent="0.35">
      <c r="A1207" t="s">
        <v>1052</v>
      </c>
      <c r="B1207">
        <v>2023</v>
      </c>
      <c r="C1207" t="s">
        <v>1309</v>
      </c>
      <c r="D1207" t="s">
        <v>1350</v>
      </c>
      <c r="E1207" t="s">
        <v>1360</v>
      </c>
      <c r="G1207" t="s">
        <v>1376</v>
      </c>
      <c r="H1207">
        <v>12904502</v>
      </c>
      <c r="J1207" t="s">
        <v>1381</v>
      </c>
      <c r="L1207">
        <f t="shared" si="28"/>
        <v>1.17E-3</v>
      </c>
      <c r="N1207">
        <v>1</v>
      </c>
      <c r="O1207">
        <v>92.8</v>
      </c>
      <c r="Q1207" t="s">
        <v>1422</v>
      </c>
      <c r="R1207" t="s">
        <v>1440</v>
      </c>
      <c r="S1207">
        <v>19594928</v>
      </c>
      <c r="U1207">
        <v>19594928</v>
      </c>
      <c r="V1207">
        <v>0.65856337925814268</v>
      </c>
      <c r="W1207" t="s">
        <v>9</v>
      </c>
      <c r="X1207" t="s">
        <v>1461</v>
      </c>
    </row>
    <row r="1208" spans="1:24" hidden="1" x14ac:dyDescent="0.35">
      <c r="A1208" t="s">
        <v>1053</v>
      </c>
      <c r="B1208">
        <v>2023</v>
      </c>
      <c r="C1208" t="s">
        <v>1309</v>
      </c>
      <c r="D1208" t="s">
        <v>1350</v>
      </c>
      <c r="E1208" t="s">
        <v>1360</v>
      </c>
      <c r="G1208" t="s">
        <v>1376</v>
      </c>
      <c r="H1208">
        <v>635385</v>
      </c>
      <c r="J1208" t="s">
        <v>1381</v>
      </c>
      <c r="L1208">
        <f t="shared" si="28"/>
        <v>1.17E-3</v>
      </c>
      <c r="N1208">
        <v>1</v>
      </c>
      <c r="O1208">
        <v>92.8</v>
      </c>
      <c r="Q1208" t="s">
        <v>1422</v>
      </c>
      <c r="R1208" t="s">
        <v>1440</v>
      </c>
      <c r="S1208">
        <v>19594928</v>
      </c>
      <c r="U1208">
        <v>19594928</v>
      </c>
      <c r="V1208">
        <v>3.242599309372303E-2</v>
      </c>
      <c r="W1208" t="s">
        <v>9</v>
      </c>
      <c r="X1208" t="s">
        <v>1461</v>
      </c>
    </row>
    <row r="1209" spans="1:24" hidden="1" x14ac:dyDescent="0.35">
      <c r="A1209" t="s">
        <v>1054</v>
      </c>
      <c r="B1209">
        <v>2023</v>
      </c>
      <c r="C1209" t="s">
        <v>1309</v>
      </c>
      <c r="D1209" t="s">
        <v>1350</v>
      </c>
      <c r="E1209" t="s">
        <v>1361</v>
      </c>
      <c r="G1209" t="s">
        <v>1376</v>
      </c>
      <c r="H1209">
        <v>12929907</v>
      </c>
      <c r="J1209" t="s">
        <v>1381</v>
      </c>
      <c r="L1209">
        <f t="shared" si="28"/>
        <v>1.17E-3</v>
      </c>
      <c r="N1209">
        <v>1</v>
      </c>
      <c r="O1209">
        <v>92.8</v>
      </c>
      <c r="Q1209" t="s">
        <v>1422</v>
      </c>
      <c r="R1209" t="s">
        <v>1440</v>
      </c>
      <c r="S1209">
        <v>19594928</v>
      </c>
      <c r="U1209">
        <v>19594928</v>
      </c>
      <c r="V1209">
        <v>0.65985988823230179</v>
      </c>
      <c r="W1209" t="s">
        <v>9</v>
      </c>
      <c r="X1209" t="s">
        <v>1461</v>
      </c>
    </row>
    <row r="1210" spans="1:24" hidden="1" x14ac:dyDescent="0.35">
      <c r="A1210" t="s">
        <v>1055</v>
      </c>
      <c r="B1210">
        <v>2023</v>
      </c>
      <c r="C1210" t="s">
        <v>1309</v>
      </c>
      <c r="D1210" t="s">
        <v>1350</v>
      </c>
      <c r="E1210" t="s">
        <v>1362</v>
      </c>
      <c r="G1210" t="s">
        <v>1376</v>
      </c>
      <c r="H1210">
        <v>7468148</v>
      </c>
      <c r="J1210" t="s">
        <v>1381</v>
      </c>
      <c r="L1210">
        <f t="shared" si="28"/>
        <v>1.17E-3</v>
      </c>
      <c r="N1210">
        <v>1</v>
      </c>
      <c r="O1210">
        <v>92.8</v>
      </c>
      <c r="Q1210" t="s">
        <v>1422</v>
      </c>
      <c r="R1210" t="s">
        <v>1440</v>
      </c>
      <c r="S1210">
        <v>19594928</v>
      </c>
      <c r="U1210">
        <v>19594928</v>
      </c>
      <c r="V1210">
        <v>0.38112658541026528</v>
      </c>
      <c r="W1210" t="s">
        <v>9</v>
      </c>
      <c r="X1210" t="s">
        <v>1461</v>
      </c>
    </row>
    <row r="1211" spans="1:24" hidden="1" x14ac:dyDescent="0.35">
      <c r="A1211" t="s">
        <v>1056</v>
      </c>
      <c r="B1211">
        <v>2023</v>
      </c>
      <c r="C1211" t="s">
        <v>1310</v>
      </c>
      <c r="E1211" t="s">
        <v>1363</v>
      </c>
      <c r="G1211" t="s">
        <v>1377</v>
      </c>
      <c r="H1211">
        <v>2445</v>
      </c>
      <c r="J1211" t="s">
        <v>1381</v>
      </c>
      <c r="L1211">
        <f t="shared" si="28"/>
        <v>1.17E-3</v>
      </c>
      <c r="N1211">
        <v>1</v>
      </c>
      <c r="O1211">
        <v>92.8</v>
      </c>
      <c r="Q1211" t="s">
        <v>1422</v>
      </c>
      <c r="R1211" t="s">
        <v>1440</v>
      </c>
      <c r="S1211">
        <v>19594928</v>
      </c>
      <c r="U1211">
        <v>19594928</v>
      </c>
      <c r="V1211">
        <v>1.247771872394734E-4</v>
      </c>
      <c r="W1211" t="s">
        <v>9</v>
      </c>
      <c r="X1211" t="s">
        <v>1462</v>
      </c>
    </row>
    <row r="1212" spans="1:24" hidden="1" x14ac:dyDescent="0.35">
      <c r="A1212" t="s">
        <v>1057</v>
      </c>
      <c r="B1212">
        <v>2023</v>
      </c>
      <c r="C1212" t="s">
        <v>1310</v>
      </c>
      <c r="E1212" t="s">
        <v>1363</v>
      </c>
      <c r="G1212" t="s">
        <v>1377</v>
      </c>
      <c r="H1212">
        <v>2074</v>
      </c>
      <c r="J1212" t="s">
        <v>1381</v>
      </c>
      <c r="L1212">
        <f t="shared" si="28"/>
        <v>1.17E-3</v>
      </c>
      <c r="N1212">
        <v>1</v>
      </c>
      <c r="O1212">
        <v>92.8</v>
      </c>
      <c r="Q1212" t="s">
        <v>1422</v>
      </c>
      <c r="R1212" t="s">
        <v>1440</v>
      </c>
      <c r="S1212">
        <v>19594928</v>
      </c>
      <c r="U1212">
        <v>19594928</v>
      </c>
      <c r="V1212">
        <v>1.058437162922977E-4</v>
      </c>
      <c r="W1212" t="s">
        <v>9</v>
      </c>
      <c r="X1212" t="s">
        <v>1462</v>
      </c>
    </row>
    <row r="1213" spans="1:24" hidden="1" x14ac:dyDescent="0.35">
      <c r="A1213" t="s">
        <v>1058</v>
      </c>
      <c r="B1213">
        <v>2023</v>
      </c>
      <c r="C1213" t="s">
        <v>1310</v>
      </c>
      <c r="E1213" t="s">
        <v>1363</v>
      </c>
      <c r="G1213" t="s">
        <v>1377</v>
      </c>
      <c r="H1213">
        <v>371</v>
      </c>
      <c r="J1213" t="s">
        <v>1381</v>
      </c>
      <c r="L1213">
        <f t="shared" si="28"/>
        <v>1.17E-3</v>
      </c>
      <c r="N1213">
        <v>1</v>
      </c>
      <c r="O1213">
        <v>92.8</v>
      </c>
      <c r="Q1213" t="s">
        <v>1422</v>
      </c>
      <c r="R1213" t="s">
        <v>1440</v>
      </c>
      <c r="S1213">
        <v>19594928</v>
      </c>
      <c r="U1213">
        <v>19594928</v>
      </c>
      <c r="V1213">
        <v>1.893347094717572E-5</v>
      </c>
      <c r="W1213" t="s">
        <v>9</v>
      </c>
      <c r="X1213" t="s">
        <v>1462</v>
      </c>
    </row>
    <row r="1214" spans="1:24" hidden="1" x14ac:dyDescent="0.35">
      <c r="A1214" t="s">
        <v>1149</v>
      </c>
      <c r="B1214">
        <v>2023</v>
      </c>
      <c r="C1214" t="s">
        <v>1308</v>
      </c>
      <c r="D1214" t="s">
        <v>1347</v>
      </c>
      <c r="E1214" t="s">
        <v>1359</v>
      </c>
      <c r="G1214" t="s">
        <v>1375</v>
      </c>
      <c r="H1214">
        <v>18188</v>
      </c>
      <c r="J1214" t="s">
        <v>1414</v>
      </c>
      <c r="L1214">
        <f>6.76/1000</f>
        <v>6.7599999999999995E-3</v>
      </c>
      <c r="O1214">
        <v>97.1</v>
      </c>
      <c r="Q1214" t="s">
        <v>1426</v>
      </c>
      <c r="R1214" t="s">
        <v>1444</v>
      </c>
      <c r="S1214">
        <v>838419</v>
      </c>
      <c r="U1214">
        <v>838419</v>
      </c>
      <c r="V1214">
        <v>2.169321067389933E-2</v>
      </c>
      <c r="W1214" t="s">
        <v>9</v>
      </c>
      <c r="X1214" t="s">
        <v>1460</v>
      </c>
    </row>
    <row r="1215" spans="1:24" hidden="1" x14ac:dyDescent="0.35">
      <c r="A1215" t="s">
        <v>1150</v>
      </c>
      <c r="B1215">
        <v>2023</v>
      </c>
      <c r="C1215" t="s">
        <v>1308</v>
      </c>
      <c r="D1215" t="s">
        <v>1347</v>
      </c>
      <c r="E1215" t="s">
        <v>1359</v>
      </c>
      <c r="G1215" t="s">
        <v>1375</v>
      </c>
      <c r="H1215">
        <v>100</v>
      </c>
      <c r="J1215" t="s">
        <v>1414</v>
      </c>
      <c r="L1215">
        <f t="shared" ref="L1215:L1219" si="29">6.76/1000</f>
        <v>6.7599999999999995E-3</v>
      </c>
      <c r="O1215">
        <v>97.1</v>
      </c>
      <c r="Q1215" t="s">
        <v>1426</v>
      </c>
      <c r="R1215" t="s">
        <v>1444</v>
      </c>
      <c r="S1215">
        <v>838419</v>
      </c>
      <c r="U1215">
        <v>838419</v>
      </c>
      <c r="V1215">
        <v>1.192721061903416E-4</v>
      </c>
      <c r="W1215" t="s">
        <v>9</v>
      </c>
      <c r="X1215" t="s">
        <v>1460</v>
      </c>
    </row>
    <row r="1216" spans="1:24" hidden="1" x14ac:dyDescent="0.35">
      <c r="A1216" t="s">
        <v>1151</v>
      </c>
      <c r="B1216">
        <v>2023</v>
      </c>
      <c r="C1216" t="s">
        <v>1309</v>
      </c>
      <c r="D1216" t="s">
        <v>1350</v>
      </c>
      <c r="E1216" t="s">
        <v>1360</v>
      </c>
      <c r="G1216" t="s">
        <v>1376</v>
      </c>
      <c r="H1216">
        <v>3499000</v>
      </c>
      <c r="J1216" t="s">
        <v>1414</v>
      </c>
      <c r="L1216">
        <f t="shared" si="29"/>
        <v>6.7599999999999995E-3</v>
      </c>
      <c r="O1216">
        <v>97.1</v>
      </c>
      <c r="Q1216" t="s">
        <v>1426</v>
      </c>
      <c r="R1216" t="s">
        <v>1444</v>
      </c>
      <c r="S1216">
        <v>838419</v>
      </c>
      <c r="U1216">
        <v>838419</v>
      </c>
      <c r="V1216">
        <v>4.1733309956000522</v>
      </c>
      <c r="W1216" t="s">
        <v>9</v>
      </c>
      <c r="X1216" t="s">
        <v>1461</v>
      </c>
    </row>
    <row r="1217" spans="1:24" hidden="1" x14ac:dyDescent="0.35">
      <c r="A1217" t="s">
        <v>1152</v>
      </c>
      <c r="B1217">
        <v>2023</v>
      </c>
      <c r="C1217" t="s">
        <v>1309</v>
      </c>
      <c r="D1217" t="s">
        <v>1350</v>
      </c>
      <c r="E1217" t="s">
        <v>1361</v>
      </c>
      <c r="G1217" t="s">
        <v>1376</v>
      </c>
      <c r="H1217">
        <v>1088000</v>
      </c>
      <c r="J1217" t="s">
        <v>1414</v>
      </c>
      <c r="L1217">
        <f t="shared" si="29"/>
        <v>6.7599999999999995E-3</v>
      </c>
      <c r="O1217">
        <v>97.1</v>
      </c>
      <c r="Q1217" t="s">
        <v>1426</v>
      </c>
      <c r="R1217" t="s">
        <v>1444</v>
      </c>
      <c r="S1217">
        <v>838419</v>
      </c>
      <c r="U1217">
        <v>838419</v>
      </c>
      <c r="V1217">
        <v>1.2976805153509161</v>
      </c>
      <c r="W1217" t="s">
        <v>9</v>
      </c>
      <c r="X1217" t="s">
        <v>1461</v>
      </c>
    </row>
    <row r="1218" spans="1:24" hidden="1" x14ac:dyDescent="0.35">
      <c r="A1218" t="s">
        <v>1153</v>
      </c>
      <c r="B1218">
        <v>2023</v>
      </c>
      <c r="C1218" t="s">
        <v>1309</v>
      </c>
      <c r="D1218" t="s">
        <v>1350</v>
      </c>
      <c r="E1218" t="s">
        <v>1362</v>
      </c>
      <c r="G1218" t="s">
        <v>1376</v>
      </c>
      <c r="H1218">
        <v>2411000</v>
      </c>
      <c r="J1218" t="s">
        <v>1414</v>
      </c>
      <c r="L1218">
        <f t="shared" si="29"/>
        <v>6.7599999999999995E-3</v>
      </c>
      <c r="O1218">
        <v>97.1</v>
      </c>
      <c r="Q1218" t="s">
        <v>1426</v>
      </c>
      <c r="R1218" t="s">
        <v>1444</v>
      </c>
      <c r="S1218">
        <v>838419</v>
      </c>
      <c r="U1218">
        <v>838419</v>
      </c>
      <c r="V1218">
        <v>2.8756504802491349</v>
      </c>
      <c r="W1218" t="s">
        <v>9</v>
      </c>
      <c r="X1218" t="s">
        <v>1461</v>
      </c>
    </row>
    <row r="1219" spans="1:24" hidden="1" x14ac:dyDescent="0.35">
      <c r="A1219" t="s">
        <v>1154</v>
      </c>
      <c r="B1219">
        <v>2023</v>
      </c>
      <c r="C1219" t="s">
        <v>1310</v>
      </c>
      <c r="E1219" t="s">
        <v>1363</v>
      </c>
      <c r="G1219" t="s">
        <v>1377</v>
      </c>
      <c r="H1219">
        <v>277.60000000000002</v>
      </c>
      <c r="J1219" t="s">
        <v>1414</v>
      </c>
      <c r="L1219">
        <f t="shared" si="29"/>
        <v>6.7599999999999995E-3</v>
      </c>
      <c r="O1219">
        <v>97.1</v>
      </c>
      <c r="Q1219" t="s">
        <v>1426</v>
      </c>
      <c r="R1219" t="s">
        <v>1444</v>
      </c>
      <c r="S1219">
        <v>838419</v>
      </c>
      <c r="U1219">
        <v>838419</v>
      </c>
      <c r="V1219">
        <v>3.3109936678438819E-4</v>
      </c>
      <c r="W1219" t="s">
        <v>9</v>
      </c>
      <c r="X1219" t="s">
        <v>1462</v>
      </c>
    </row>
    <row r="1220" spans="1:24" hidden="1" x14ac:dyDescent="0.35">
      <c r="A1220" t="s">
        <v>285</v>
      </c>
      <c r="B1220">
        <v>2023</v>
      </c>
      <c r="C1220" t="s">
        <v>1308</v>
      </c>
      <c r="D1220" t="s">
        <v>1323</v>
      </c>
      <c r="E1220" t="s">
        <v>1359</v>
      </c>
      <c r="F1220" t="s">
        <v>1364</v>
      </c>
      <c r="G1220" t="s">
        <v>1371</v>
      </c>
      <c r="H1220">
        <v>1E-3</v>
      </c>
      <c r="J1220" t="s">
        <v>1402</v>
      </c>
      <c r="K1220" t="s">
        <v>1420</v>
      </c>
      <c r="L1220">
        <f>10.14/1000</f>
        <v>1.014E-2</v>
      </c>
      <c r="O1220">
        <v>97</v>
      </c>
      <c r="P1220" t="s">
        <v>1475</v>
      </c>
      <c r="R1220" s="2" t="s">
        <v>1438</v>
      </c>
      <c r="T1220">
        <v>122000</v>
      </c>
      <c r="U1220">
        <v>122000</v>
      </c>
      <c r="V1220">
        <v>8.1967213114754098E-9</v>
      </c>
      <c r="W1220" t="s">
        <v>10</v>
      </c>
      <c r="X1220" t="s">
        <v>1456</v>
      </c>
    </row>
    <row r="1221" spans="1:24" hidden="1" x14ac:dyDescent="0.35">
      <c r="A1221" t="s">
        <v>735</v>
      </c>
      <c r="B1221">
        <v>2023</v>
      </c>
      <c r="C1221" t="s">
        <v>1308</v>
      </c>
      <c r="D1221" t="s">
        <v>1317</v>
      </c>
      <c r="E1221" t="s">
        <v>1359</v>
      </c>
      <c r="F1221" t="s">
        <v>1367</v>
      </c>
      <c r="G1221" t="s">
        <v>1372</v>
      </c>
      <c r="H1221">
        <v>0.97</v>
      </c>
      <c r="J1221" t="s">
        <v>1402</v>
      </c>
      <c r="K1221" t="s">
        <v>1420</v>
      </c>
      <c r="L1221">
        <f t="shared" ref="L1221:L1242" si="30">10.14/1000</f>
        <v>1.014E-2</v>
      </c>
      <c r="O1221">
        <v>97</v>
      </c>
      <c r="P1221" t="s">
        <v>1475</v>
      </c>
      <c r="R1221" s="2" t="s">
        <v>1438</v>
      </c>
      <c r="T1221">
        <v>122000</v>
      </c>
      <c r="U1221">
        <v>122000</v>
      </c>
      <c r="V1221">
        <v>7.9508196721311473E-6</v>
      </c>
      <c r="W1221" t="s">
        <v>10</v>
      </c>
      <c r="X1221" t="s">
        <v>1457</v>
      </c>
    </row>
    <row r="1222" spans="1:24" hidden="1" x14ac:dyDescent="0.35">
      <c r="A1222" t="s">
        <v>736</v>
      </c>
      <c r="B1222">
        <v>2023</v>
      </c>
      <c r="C1222" t="s">
        <v>1308</v>
      </c>
      <c r="D1222" t="s">
        <v>1318</v>
      </c>
      <c r="E1222" t="s">
        <v>1359</v>
      </c>
      <c r="F1222" t="s">
        <v>1367</v>
      </c>
      <c r="G1222" t="s">
        <v>1372</v>
      </c>
      <c r="H1222">
        <v>0.08</v>
      </c>
      <c r="J1222" t="s">
        <v>1402</v>
      </c>
      <c r="K1222" t="s">
        <v>1420</v>
      </c>
      <c r="L1222">
        <f t="shared" si="30"/>
        <v>1.014E-2</v>
      </c>
      <c r="O1222">
        <v>97</v>
      </c>
      <c r="P1222" t="s">
        <v>1475</v>
      </c>
      <c r="R1222" s="2" t="s">
        <v>1438</v>
      </c>
      <c r="T1222">
        <v>122000</v>
      </c>
      <c r="U1222">
        <v>122000</v>
      </c>
      <c r="V1222">
        <v>6.5573770491803284E-7</v>
      </c>
      <c r="W1222" t="s">
        <v>10</v>
      </c>
      <c r="X1222" t="s">
        <v>1457</v>
      </c>
    </row>
    <row r="1223" spans="1:24" hidden="1" x14ac:dyDescent="0.35">
      <c r="A1223" t="s">
        <v>737</v>
      </c>
      <c r="B1223">
        <v>2023</v>
      </c>
      <c r="C1223" t="s">
        <v>1308</v>
      </c>
      <c r="D1223" t="s">
        <v>1322</v>
      </c>
      <c r="E1223" t="s">
        <v>1359</v>
      </c>
      <c r="F1223" t="s">
        <v>1367</v>
      </c>
      <c r="G1223" t="s">
        <v>1372</v>
      </c>
      <c r="H1223">
        <v>0.05</v>
      </c>
      <c r="J1223" t="s">
        <v>1402</v>
      </c>
      <c r="K1223" t="s">
        <v>1420</v>
      </c>
      <c r="L1223">
        <f t="shared" si="30"/>
        <v>1.014E-2</v>
      </c>
      <c r="O1223">
        <v>97</v>
      </c>
      <c r="P1223" t="s">
        <v>1475</v>
      </c>
      <c r="R1223" s="2" t="s">
        <v>1438</v>
      </c>
      <c r="T1223">
        <v>122000</v>
      </c>
      <c r="U1223">
        <v>122000</v>
      </c>
      <c r="V1223">
        <v>4.0983606557377053E-7</v>
      </c>
      <c r="W1223" t="s">
        <v>10</v>
      </c>
      <c r="X1223" t="s">
        <v>1457</v>
      </c>
    </row>
    <row r="1224" spans="1:24" hidden="1" x14ac:dyDescent="0.35">
      <c r="A1224" t="s">
        <v>738</v>
      </c>
      <c r="B1224">
        <v>2023</v>
      </c>
      <c r="C1224" t="s">
        <v>1308</v>
      </c>
      <c r="D1224" t="s">
        <v>1312</v>
      </c>
      <c r="E1224" t="s">
        <v>1359</v>
      </c>
      <c r="F1224" t="s">
        <v>1367</v>
      </c>
      <c r="G1224" t="s">
        <v>1371</v>
      </c>
      <c r="H1224">
        <v>13.88</v>
      </c>
      <c r="J1224" t="s">
        <v>1402</v>
      </c>
      <c r="K1224" t="s">
        <v>1420</v>
      </c>
      <c r="L1224">
        <f t="shared" si="30"/>
        <v>1.014E-2</v>
      </c>
      <c r="O1224">
        <v>97</v>
      </c>
      <c r="P1224" t="s">
        <v>1475</v>
      </c>
      <c r="R1224" s="2" t="s">
        <v>1438</v>
      </c>
      <c r="T1224">
        <v>122000</v>
      </c>
      <c r="U1224">
        <v>122000</v>
      </c>
      <c r="V1224">
        <v>1.137704918032787E-4</v>
      </c>
      <c r="W1224" t="s">
        <v>10</v>
      </c>
      <c r="X1224" t="s">
        <v>1456</v>
      </c>
    </row>
    <row r="1225" spans="1:24" hidden="1" x14ac:dyDescent="0.35">
      <c r="A1225" t="s">
        <v>739</v>
      </c>
      <c r="B1225">
        <v>2023</v>
      </c>
      <c r="C1225" t="s">
        <v>1308</v>
      </c>
      <c r="D1225" t="s">
        <v>1313</v>
      </c>
      <c r="E1225" t="s">
        <v>1359</v>
      </c>
      <c r="F1225" t="s">
        <v>1367</v>
      </c>
      <c r="G1225" t="s">
        <v>1371</v>
      </c>
      <c r="H1225">
        <v>4.6440000000000001</v>
      </c>
      <c r="J1225" t="s">
        <v>1402</v>
      </c>
      <c r="K1225" t="s">
        <v>1420</v>
      </c>
      <c r="L1225">
        <f t="shared" si="30"/>
        <v>1.014E-2</v>
      </c>
      <c r="O1225">
        <v>97</v>
      </c>
      <c r="P1225" t="s">
        <v>1475</v>
      </c>
      <c r="R1225" s="2" t="s">
        <v>1438</v>
      </c>
      <c r="T1225">
        <v>122000</v>
      </c>
      <c r="U1225">
        <v>122000</v>
      </c>
      <c r="V1225">
        <v>3.8065573770491807E-5</v>
      </c>
      <c r="W1225" t="s">
        <v>10</v>
      </c>
      <c r="X1225" t="s">
        <v>1456</v>
      </c>
    </row>
    <row r="1226" spans="1:24" hidden="1" x14ac:dyDescent="0.35">
      <c r="A1226" t="s">
        <v>740</v>
      </c>
      <c r="B1226">
        <v>2023</v>
      </c>
      <c r="C1226" t="s">
        <v>1308</v>
      </c>
      <c r="D1226" t="s">
        <v>1314</v>
      </c>
      <c r="E1226" t="s">
        <v>1359</v>
      </c>
      <c r="F1226" t="s">
        <v>1367</v>
      </c>
      <c r="G1226" t="s">
        <v>1371</v>
      </c>
      <c r="H1226">
        <v>1.8360000000000001</v>
      </c>
      <c r="J1226" t="s">
        <v>1402</v>
      </c>
      <c r="K1226" t="s">
        <v>1420</v>
      </c>
      <c r="L1226">
        <f t="shared" si="30"/>
        <v>1.014E-2</v>
      </c>
      <c r="O1226">
        <v>97</v>
      </c>
      <c r="P1226" t="s">
        <v>1475</v>
      </c>
      <c r="R1226" s="2" t="s">
        <v>1438</v>
      </c>
      <c r="T1226">
        <v>122000</v>
      </c>
      <c r="U1226">
        <v>122000</v>
      </c>
      <c r="V1226">
        <v>1.5049180327868849E-5</v>
      </c>
      <c r="W1226" t="s">
        <v>10</v>
      </c>
      <c r="X1226" t="s">
        <v>1456</v>
      </c>
    </row>
    <row r="1227" spans="1:24" hidden="1" x14ac:dyDescent="0.35">
      <c r="A1227" t="s">
        <v>741</v>
      </c>
      <c r="B1227">
        <v>2023</v>
      </c>
      <c r="C1227" t="s">
        <v>1308</v>
      </c>
      <c r="D1227" t="s">
        <v>1315</v>
      </c>
      <c r="E1227" t="s">
        <v>1359</v>
      </c>
      <c r="F1227" t="s">
        <v>1367</v>
      </c>
      <c r="G1227" t="s">
        <v>1371</v>
      </c>
      <c r="H1227">
        <v>10.196</v>
      </c>
      <c r="J1227" t="s">
        <v>1402</v>
      </c>
      <c r="K1227" t="s">
        <v>1420</v>
      </c>
      <c r="L1227">
        <f t="shared" si="30"/>
        <v>1.014E-2</v>
      </c>
      <c r="O1227">
        <v>97</v>
      </c>
      <c r="P1227" t="s">
        <v>1475</v>
      </c>
      <c r="R1227" s="2" t="s">
        <v>1438</v>
      </c>
      <c r="T1227">
        <v>122000</v>
      </c>
      <c r="U1227">
        <v>122000</v>
      </c>
      <c r="V1227">
        <v>8.3573770491803274E-5</v>
      </c>
      <c r="W1227" t="s">
        <v>10</v>
      </c>
      <c r="X1227" t="s">
        <v>1456</v>
      </c>
    </row>
    <row r="1228" spans="1:24" hidden="1" x14ac:dyDescent="0.35">
      <c r="A1228" t="s">
        <v>944</v>
      </c>
      <c r="B1228">
        <v>2023</v>
      </c>
      <c r="C1228" t="s">
        <v>1309</v>
      </c>
      <c r="D1228" t="s">
        <v>1327</v>
      </c>
      <c r="E1228" t="s">
        <v>1359</v>
      </c>
      <c r="F1228" t="s">
        <v>1368</v>
      </c>
      <c r="G1228" t="s">
        <v>1371</v>
      </c>
      <c r="H1228">
        <v>0.24979999999999999</v>
      </c>
      <c r="J1228" t="s">
        <v>1402</v>
      </c>
      <c r="K1228" t="s">
        <v>1420</v>
      </c>
      <c r="L1228">
        <f t="shared" si="30"/>
        <v>1.014E-2</v>
      </c>
      <c r="O1228">
        <v>97</v>
      </c>
      <c r="P1228" t="s">
        <v>1475</v>
      </c>
      <c r="R1228" s="2" t="s">
        <v>1438</v>
      </c>
      <c r="T1228">
        <v>122000</v>
      </c>
      <c r="U1228">
        <v>122000</v>
      </c>
      <c r="V1228">
        <v>2.0475409836065569E-6</v>
      </c>
      <c r="W1228" t="s">
        <v>10</v>
      </c>
      <c r="X1228" t="s">
        <v>1456</v>
      </c>
    </row>
    <row r="1229" spans="1:24" hidden="1" x14ac:dyDescent="0.35">
      <c r="A1229" t="s">
        <v>945</v>
      </c>
      <c r="B1229">
        <v>2023</v>
      </c>
      <c r="C1229" t="s">
        <v>1309</v>
      </c>
      <c r="D1229" t="s">
        <v>1317</v>
      </c>
      <c r="E1229" t="s">
        <v>1359</v>
      </c>
      <c r="F1229" t="s">
        <v>1368</v>
      </c>
      <c r="G1229" t="s">
        <v>1372</v>
      </c>
      <c r="H1229">
        <v>4.3954E-2</v>
      </c>
      <c r="J1229" t="s">
        <v>1402</v>
      </c>
      <c r="K1229" t="s">
        <v>1420</v>
      </c>
      <c r="L1229">
        <f t="shared" si="30"/>
        <v>1.014E-2</v>
      </c>
      <c r="O1229">
        <v>97</v>
      </c>
      <c r="P1229" t="s">
        <v>1475</v>
      </c>
      <c r="R1229" s="2" t="s">
        <v>1438</v>
      </c>
      <c r="T1229">
        <v>122000</v>
      </c>
      <c r="U1229">
        <v>122000</v>
      </c>
      <c r="V1229">
        <v>3.6027868852459021E-7</v>
      </c>
      <c r="W1229" t="s">
        <v>10</v>
      </c>
      <c r="X1229" t="s">
        <v>1457</v>
      </c>
    </row>
    <row r="1230" spans="1:24" hidden="1" x14ac:dyDescent="0.35">
      <c r="A1230" t="s">
        <v>946</v>
      </c>
      <c r="B1230">
        <v>2023</v>
      </c>
      <c r="C1230" t="s">
        <v>1309</v>
      </c>
      <c r="D1230" t="s">
        <v>1318</v>
      </c>
      <c r="E1230" t="s">
        <v>1359</v>
      </c>
      <c r="F1230" t="s">
        <v>1368</v>
      </c>
      <c r="G1230" t="s">
        <v>1372</v>
      </c>
      <c r="H1230">
        <v>3.0349999999999999E-3</v>
      </c>
      <c r="J1230" t="s">
        <v>1402</v>
      </c>
      <c r="K1230" t="s">
        <v>1420</v>
      </c>
      <c r="L1230">
        <f t="shared" si="30"/>
        <v>1.014E-2</v>
      </c>
      <c r="O1230">
        <v>97</v>
      </c>
      <c r="P1230" t="s">
        <v>1475</v>
      </c>
      <c r="R1230" s="2" t="s">
        <v>1438</v>
      </c>
      <c r="T1230">
        <v>122000</v>
      </c>
      <c r="U1230">
        <v>122000</v>
      </c>
      <c r="V1230">
        <v>2.4877049180327869E-8</v>
      </c>
      <c r="W1230" t="s">
        <v>10</v>
      </c>
      <c r="X1230" t="s">
        <v>1457</v>
      </c>
    </row>
    <row r="1231" spans="1:24" hidden="1" x14ac:dyDescent="0.35">
      <c r="A1231" t="s">
        <v>947</v>
      </c>
      <c r="B1231">
        <v>2023</v>
      </c>
      <c r="C1231" t="s">
        <v>1309</v>
      </c>
      <c r="D1231" t="s">
        <v>1319</v>
      </c>
      <c r="E1231" t="s">
        <v>1359</v>
      </c>
      <c r="F1231" t="s">
        <v>1368</v>
      </c>
      <c r="G1231" t="s">
        <v>1371</v>
      </c>
      <c r="H1231">
        <v>1.7E-5</v>
      </c>
      <c r="J1231" t="s">
        <v>1402</v>
      </c>
      <c r="K1231" t="s">
        <v>1420</v>
      </c>
      <c r="L1231">
        <f t="shared" si="30"/>
        <v>1.014E-2</v>
      </c>
      <c r="O1231">
        <v>97</v>
      </c>
      <c r="P1231" t="s">
        <v>1475</v>
      </c>
      <c r="R1231" s="2" t="s">
        <v>1438</v>
      </c>
      <c r="T1231">
        <v>122000</v>
      </c>
      <c r="U1231">
        <v>122000</v>
      </c>
      <c r="V1231">
        <v>1.39344262295082E-10</v>
      </c>
      <c r="W1231" t="s">
        <v>10</v>
      </c>
      <c r="X1231" t="s">
        <v>1456</v>
      </c>
    </row>
    <row r="1232" spans="1:24" hidden="1" x14ac:dyDescent="0.35">
      <c r="A1232" t="s">
        <v>948</v>
      </c>
      <c r="B1232">
        <v>2023</v>
      </c>
      <c r="C1232" t="s">
        <v>1309</v>
      </c>
      <c r="D1232" t="s">
        <v>1320</v>
      </c>
      <c r="E1232" t="s">
        <v>1359</v>
      </c>
      <c r="F1232" t="s">
        <v>1368</v>
      </c>
      <c r="G1232" t="s">
        <v>1372</v>
      </c>
      <c r="H1232">
        <v>1.96346</v>
      </c>
      <c r="J1232" t="s">
        <v>1402</v>
      </c>
      <c r="K1232" t="s">
        <v>1420</v>
      </c>
      <c r="L1232">
        <f t="shared" si="30"/>
        <v>1.014E-2</v>
      </c>
      <c r="O1232">
        <v>97</v>
      </c>
      <c r="P1232" t="s">
        <v>1475</v>
      </c>
      <c r="R1232" s="2" t="s">
        <v>1438</v>
      </c>
      <c r="T1232">
        <v>122000</v>
      </c>
      <c r="U1232">
        <v>122000</v>
      </c>
      <c r="V1232">
        <v>1.6093934426229512E-5</v>
      </c>
      <c r="W1232" t="s">
        <v>10</v>
      </c>
      <c r="X1232" t="s">
        <v>1457</v>
      </c>
    </row>
    <row r="1233" spans="1:24" hidden="1" x14ac:dyDescent="0.35">
      <c r="A1233" t="s">
        <v>949</v>
      </c>
      <c r="B1233">
        <v>2023</v>
      </c>
      <c r="C1233" t="s">
        <v>1309</v>
      </c>
      <c r="D1233" t="s">
        <v>1321</v>
      </c>
      <c r="E1233" t="s">
        <v>1359</v>
      </c>
      <c r="F1233" t="s">
        <v>1368</v>
      </c>
      <c r="G1233" t="s">
        <v>1371</v>
      </c>
      <c r="H1233">
        <v>1.181E-3</v>
      </c>
      <c r="J1233" t="s">
        <v>1402</v>
      </c>
      <c r="K1233" t="s">
        <v>1420</v>
      </c>
      <c r="L1233">
        <f t="shared" si="30"/>
        <v>1.014E-2</v>
      </c>
      <c r="O1233">
        <v>97</v>
      </c>
      <c r="P1233" t="s">
        <v>1475</v>
      </c>
      <c r="R1233" s="2" t="s">
        <v>1438</v>
      </c>
      <c r="T1233">
        <v>122000</v>
      </c>
      <c r="U1233">
        <v>122000</v>
      </c>
      <c r="V1233">
        <v>9.6803278688524594E-9</v>
      </c>
      <c r="W1233" t="s">
        <v>10</v>
      </c>
      <c r="X1233" t="s">
        <v>1456</v>
      </c>
    </row>
    <row r="1234" spans="1:24" hidden="1" x14ac:dyDescent="0.35">
      <c r="A1234" t="s">
        <v>950</v>
      </c>
      <c r="B1234">
        <v>2023</v>
      </c>
      <c r="C1234" t="s">
        <v>1309</v>
      </c>
      <c r="D1234" t="s">
        <v>1339</v>
      </c>
      <c r="E1234" t="s">
        <v>1359</v>
      </c>
      <c r="F1234" t="s">
        <v>1368</v>
      </c>
      <c r="G1234" t="s">
        <v>1371</v>
      </c>
      <c r="H1234">
        <v>2.92E-4</v>
      </c>
      <c r="J1234" t="s">
        <v>1402</v>
      </c>
      <c r="K1234" t="s">
        <v>1420</v>
      </c>
      <c r="L1234">
        <f t="shared" si="30"/>
        <v>1.014E-2</v>
      </c>
      <c r="O1234">
        <v>97</v>
      </c>
      <c r="P1234" t="s">
        <v>1475</v>
      </c>
      <c r="R1234" s="2" t="s">
        <v>1438</v>
      </c>
      <c r="T1234">
        <v>122000</v>
      </c>
      <c r="U1234">
        <v>122000</v>
      </c>
      <c r="V1234">
        <v>2.3934426229508201E-9</v>
      </c>
      <c r="W1234" t="s">
        <v>10</v>
      </c>
      <c r="X1234" t="s">
        <v>1456</v>
      </c>
    </row>
    <row r="1235" spans="1:24" hidden="1" x14ac:dyDescent="0.35">
      <c r="A1235" t="s">
        <v>951</v>
      </c>
      <c r="B1235">
        <v>2023</v>
      </c>
      <c r="C1235" t="s">
        <v>1309</v>
      </c>
      <c r="D1235" t="s">
        <v>1322</v>
      </c>
      <c r="E1235" t="s">
        <v>1359</v>
      </c>
      <c r="F1235" t="s">
        <v>1368</v>
      </c>
      <c r="G1235" t="s">
        <v>1372</v>
      </c>
      <c r="H1235">
        <v>1.6528000000000001E-2</v>
      </c>
      <c r="J1235" t="s">
        <v>1402</v>
      </c>
      <c r="K1235" t="s">
        <v>1420</v>
      </c>
      <c r="L1235">
        <f t="shared" si="30"/>
        <v>1.014E-2</v>
      </c>
      <c r="O1235">
        <v>97</v>
      </c>
      <c r="P1235" t="s">
        <v>1475</v>
      </c>
      <c r="R1235" s="2" t="s">
        <v>1438</v>
      </c>
      <c r="T1235">
        <v>122000</v>
      </c>
      <c r="U1235">
        <v>122000</v>
      </c>
      <c r="V1235">
        <v>1.3547540983606561E-7</v>
      </c>
      <c r="W1235" t="s">
        <v>10</v>
      </c>
      <c r="X1235" t="s">
        <v>1457</v>
      </c>
    </row>
    <row r="1236" spans="1:24" hidden="1" x14ac:dyDescent="0.35">
      <c r="A1236" t="s">
        <v>952</v>
      </c>
      <c r="B1236">
        <v>2023</v>
      </c>
      <c r="C1236" t="s">
        <v>1309</v>
      </c>
      <c r="D1236" t="s">
        <v>1323</v>
      </c>
      <c r="E1236" t="s">
        <v>1359</v>
      </c>
      <c r="F1236" t="s">
        <v>1368</v>
      </c>
      <c r="G1236" t="s">
        <v>1371</v>
      </c>
      <c r="H1236">
        <v>2.0576000000000001E-2</v>
      </c>
      <c r="J1236" t="s">
        <v>1402</v>
      </c>
      <c r="K1236" t="s">
        <v>1420</v>
      </c>
      <c r="L1236">
        <f t="shared" si="30"/>
        <v>1.014E-2</v>
      </c>
      <c r="O1236">
        <v>97</v>
      </c>
      <c r="P1236" t="s">
        <v>1475</v>
      </c>
      <c r="R1236" s="2" t="s">
        <v>1438</v>
      </c>
      <c r="T1236">
        <v>122000</v>
      </c>
      <c r="U1236">
        <v>122000</v>
      </c>
      <c r="V1236">
        <v>1.6865573770491799E-7</v>
      </c>
      <c r="W1236" t="s">
        <v>10</v>
      </c>
      <c r="X1236" t="s">
        <v>1456</v>
      </c>
    </row>
    <row r="1237" spans="1:24" hidden="1" x14ac:dyDescent="0.35">
      <c r="A1237" t="s">
        <v>953</v>
      </c>
      <c r="B1237">
        <v>2023</v>
      </c>
      <c r="C1237" t="s">
        <v>1309</v>
      </c>
      <c r="D1237" t="s">
        <v>1324</v>
      </c>
      <c r="E1237" t="s">
        <v>1359</v>
      </c>
      <c r="F1237" t="s">
        <v>1368</v>
      </c>
      <c r="G1237" t="s">
        <v>1371</v>
      </c>
      <c r="H1237">
        <v>1.261E-3</v>
      </c>
      <c r="J1237" t="s">
        <v>1402</v>
      </c>
      <c r="K1237" t="s">
        <v>1420</v>
      </c>
      <c r="L1237">
        <f t="shared" si="30"/>
        <v>1.014E-2</v>
      </c>
      <c r="O1237">
        <v>97</v>
      </c>
      <c r="P1237" t="s">
        <v>1475</v>
      </c>
      <c r="R1237" s="2" t="s">
        <v>1438</v>
      </c>
      <c r="T1237">
        <v>122000</v>
      </c>
      <c r="U1237">
        <v>122000</v>
      </c>
      <c r="V1237">
        <v>1.033606557377049E-8</v>
      </c>
      <c r="W1237" t="s">
        <v>10</v>
      </c>
      <c r="X1237" t="s">
        <v>1456</v>
      </c>
    </row>
    <row r="1238" spans="1:24" hidden="1" x14ac:dyDescent="0.35">
      <c r="A1238" t="s">
        <v>954</v>
      </c>
      <c r="B1238">
        <v>2023</v>
      </c>
      <c r="C1238" t="s">
        <v>1309</v>
      </c>
      <c r="D1238" t="s">
        <v>1331</v>
      </c>
      <c r="E1238" t="s">
        <v>1359</v>
      </c>
      <c r="F1238" t="s">
        <v>1368</v>
      </c>
      <c r="G1238" t="s">
        <v>1371</v>
      </c>
      <c r="H1238">
        <v>48.97</v>
      </c>
      <c r="J1238" t="s">
        <v>1402</v>
      </c>
      <c r="K1238" t="s">
        <v>1420</v>
      </c>
      <c r="L1238">
        <f t="shared" si="30"/>
        <v>1.014E-2</v>
      </c>
      <c r="O1238">
        <v>97</v>
      </c>
      <c r="P1238" t="s">
        <v>1475</v>
      </c>
      <c r="R1238" s="2" t="s">
        <v>1438</v>
      </c>
      <c r="T1238">
        <v>122000</v>
      </c>
      <c r="U1238">
        <v>122000</v>
      </c>
      <c r="V1238">
        <v>4.0139344262295082E-4</v>
      </c>
      <c r="W1238" t="s">
        <v>10</v>
      </c>
      <c r="X1238" t="s">
        <v>1456</v>
      </c>
    </row>
    <row r="1239" spans="1:24" hidden="1" x14ac:dyDescent="0.35">
      <c r="A1239" t="s">
        <v>955</v>
      </c>
      <c r="B1239">
        <v>2023</v>
      </c>
      <c r="C1239" t="s">
        <v>1309</v>
      </c>
      <c r="D1239" t="s">
        <v>1332</v>
      </c>
      <c r="E1239" t="s">
        <v>1359</v>
      </c>
      <c r="F1239" t="s">
        <v>1368</v>
      </c>
      <c r="G1239" t="s">
        <v>1371</v>
      </c>
      <c r="H1239">
        <v>5.5310000000000003E-3</v>
      </c>
      <c r="J1239" t="s">
        <v>1402</v>
      </c>
      <c r="K1239" t="s">
        <v>1420</v>
      </c>
      <c r="L1239">
        <f t="shared" si="30"/>
        <v>1.014E-2</v>
      </c>
      <c r="O1239">
        <v>97</v>
      </c>
      <c r="P1239" t="s">
        <v>1475</v>
      </c>
      <c r="R1239" s="2" t="s">
        <v>1438</v>
      </c>
      <c r="T1239">
        <v>122000</v>
      </c>
      <c r="U1239">
        <v>122000</v>
      </c>
      <c r="V1239">
        <v>4.5336065573770497E-8</v>
      </c>
      <c r="W1239" t="s">
        <v>10</v>
      </c>
      <c r="X1239" t="s">
        <v>1456</v>
      </c>
    </row>
    <row r="1240" spans="1:24" hidden="1" x14ac:dyDescent="0.35">
      <c r="A1240" t="s">
        <v>956</v>
      </c>
      <c r="B1240">
        <v>2023</v>
      </c>
      <c r="C1240" t="s">
        <v>1309</v>
      </c>
      <c r="D1240" t="s">
        <v>1325</v>
      </c>
      <c r="E1240" t="s">
        <v>1359</v>
      </c>
      <c r="F1240" t="s">
        <v>1368</v>
      </c>
      <c r="G1240" t="s">
        <v>1372</v>
      </c>
      <c r="H1240">
        <v>4.7551999999999997E-2</v>
      </c>
      <c r="J1240" t="s">
        <v>1402</v>
      </c>
      <c r="K1240" t="s">
        <v>1420</v>
      </c>
      <c r="L1240">
        <f t="shared" si="30"/>
        <v>1.014E-2</v>
      </c>
      <c r="O1240">
        <v>97</v>
      </c>
      <c r="P1240" t="s">
        <v>1475</v>
      </c>
      <c r="R1240" s="2" t="s">
        <v>1438</v>
      </c>
      <c r="T1240">
        <v>122000</v>
      </c>
      <c r="U1240">
        <v>122000</v>
      </c>
      <c r="V1240">
        <v>3.8977049180327868E-7</v>
      </c>
      <c r="W1240" t="s">
        <v>10</v>
      </c>
      <c r="X1240" t="s">
        <v>1457</v>
      </c>
    </row>
    <row r="1241" spans="1:24" hidden="1" x14ac:dyDescent="0.35">
      <c r="A1241" t="s">
        <v>957</v>
      </c>
      <c r="B1241">
        <v>2023</v>
      </c>
      <c r="C1241" t="s">
        <v>1309</v>
      </c>
      <c r="D1241" t="s">
        <v>1336</v>
      </c>
      <c r="E1241" t="s">
        <v>1359</v>
      </c>
      <c r="F1241" t="s">
        <v>1368</v>
      </c>
      <c r="G1241" t="s">
        <v>1371</v>
      </c>
      <c r="H1241">
        <v>1.93E-4</v>
      </c>
      <c r="J1241" t="s">
        <v>1402</v>
      </c>
      <c r="K1241" t="s">
        <v>1420</v>
      </c>
      <c r="L1241">
        <f t="shared" si="30"/>
        <v>1.014E-2</v>
      </c>
      <c r="O1241">
        <v>97</v>
      </c>
      <c r="P1241" t="s">
        <v>1475</v>
      </c>
      <c r="R1241" s="2" t="s">
        <v>1438</v>
      </c>
      <c r="T1241">
        <v>122000</v>
      </c>
      <c r="U1241">
        <v>122000</v>
      </c>
      <c r="V1241">
        <v>1.581967213114754E-9</v>
      </c>
      <c r="W1241" t="s">
        <v>10</v>
      </c>
      <c r="X1241" t="s">
        <v>1456</v>
      </c>
    </row>
    <row r="1242" spans="1:24" hidden="1" x14ac:dyDescent="0.35">
      <c r="A1242" t="s">
        <v>958</v>
      </c>
      <c r="B1242">
        <v>2023</v>
      </c>
      <c r="C1242" t="s">
        <v>1309</v>
      </c>
      <c r="D1242" t="s">
        <v>1326</v>
      </c>
      <c r="E1242" t="s">
        <v>1359</v>
      </c>
      <c r="F1242" t="s">
        <v>1368</v>
      </c>
      <c r="G1242" t="s">
        <v>1371</v>
      </c>
      <c r="H1242">
        <v>4.7800000000000002E-4</v>
      </c>
      <c r="J1242" t="s">
        <v>1402</v>
      </c>
      <c r="K1242" t="s">
        <v>1420</v>
      </c>
      <c r="L1242">
        <f t="shared" si="30"/>
        <v>1.014E-2</v>
      </c>
      <c r="O1242">
        <v>97</v>
      </c>
      <c r="P1242" t="s">
        <v>1475</v>
      </c>
      <c r="R1242" s="2" t="s">
        <v>1438</v>
      </c>
      <c r="T1242">
        <v>122000</v>
      </c>
      <c r="U1242">
        <v>122000</v>
      </c>
      <c r="V1242">
        <v>3.9180327868852462E-9</v>
      </c>
      <c r="W1242" t="s">
        <v>10</v>
      </c>
      <c r="X1242" t="s">
        <v>1456</v>
      </c>
    </row>
    <row r="1243" spans="1:24" hidden="1" x14ac:dyDescent="0.35">
      <c r="A1243" t="s">
        <v>1168</v>
      </c>
      <c r="B1243">
        <v>2023</v>
      </c>
      <c r="C1243" t="s">
        <v>1308</v>
      </c>
      <c r="D1243" t="s">
        <v>1347</v>
      </c>
      <c r="E1243" t="s">
        <v>1359</v>
      </c>
      <c r="G1243" t="s">
        <v>1375</v>
      </c>
      <c r="H1243">
        <v>7271</v>
      </c>
      <c r="J1243" t="s">
        <v>1415</v>
      </c>
      <c r="L1243">
        <f>944/1000</f>
        <v>0.94399999999999995</v>
      </c>
      <c r="P1243" t="s">
        <v>1474</v>
      </c>
      <c r="Q1243" t="s">
        <v>1428</v>
      </c>
      <c r="R1243" t="s">
        <v>1446</v>
      </c>
      <c r="S1243">
        <v>127307</v>
      </c>
      <c r="U1243">
        <v>127307</v>
      </c>
      <c r="V1243">
        <v>5.7113905755378731E-2</v>
      </c>
      <c r="W1243" t="s">
        <v>9</v>
      </c>
      <c r="X1243" t="s">
        <v>1460</v>
      </c>
    </row>
    <row r="1244" spans="1:24" hidden="1" x14ac:dyDescent="0.35">
      <c r="A1244" t="s">
        <v>1169</v>
      </c>
      <c r="B1244">
        <v>2023</v>
      </c>
      <c r="C1244" t="s">
        <v>1308</v>
      </c>
      <c r="D1244" t="s">
        <v>1347</v>
      </c>
      <c r="E1244" t="s">
        <v>1359</v>
      </c>
      <c r="G1244" t="s">
        <v>1375</v>
      </c>
      <c r="H1244">
        <v>1408</v>
      </c>
      <c r="J1244" t="s">
        <v>1415</v>
      </c>
      <c r="L1244">
        <f>944/1000</f>
        <v>0.94399999999999995</v>
      </c>
      <c r="P1244" t="s">
        <v>1474</v>
      </c>
      <c r="Q1244" t="s">
        <v>1428</v>
      </c>
      <c r="R1244" t="s">
        <v>1446</v>
      </c>
      <c r="S1244">
        <v>127307</v>
      </c>
      <c r="U1244">
        <v>127307</v>
      </c>
      <c r="V1244">
        <v>1.1059878875474251E-2</v>
      </c>
      <c r="W1244" t="s">
        <v>9</v>
      </c>
      <c r="X1244" t="s">
        <v>1460</v>
      </c>
    </row>
    <row r="1245" spans="1:24" hidden="1" x14ac:dyDescent="0.35">
      <c r="A1245" t="s">
        <v>1077</v>
      </c>
      <c r="B1245">
        <v>2023</v>
      </c>
      <c r="C1245" t="s">
        <v>1308</v>
      </c>
      <c r="D1245" t="s">
        <v>1348</v>
      </c>
      <c r="E1245" t="s">
        <v>1359</v>
      </c>
      <c r="G1245" t="s">
        <v>1371</v>
      </c>
      <c r="H1245">
        <v>6726</v>
      </c>
      <c r="I1245" t="s">
        <v>1379</v>
      </c>
      <c r="K1245" t="s">
        <v>1417</v>
      </c>
      <c r="L1245">
        <f>3.86/1000</f>
        <v>3.8599999999999997E-3</v>
      </c>
      <c r="N1245">
        <v>9.5500000000000007</v>
      </c>
      <c r="O1245">
        <v>90.6</v>
      </c>
      <c r="Q1245" t="s">
        <v>1422</v>
      </c>
      <c r="R1245" t="s">
        <v>1440</v>
      </c>
      <c r="T1245">
        <v>3842649.0057279998</v>
      </c>
      <c r="U1245">
        <v>3842649.0057279998</v>
      </c>
      <c r="V1245">
        <v>1.7503550259141459E-3</v>
      </c>
      <c r="W1245" t="s">
        <v>10</v>
      </c>
      <c r="X1245" t="s">
        <v>1456</v>
      </c>
    </row>
    <row r="1246" spans="1:24" hidden="1" x14ac:dyDescent="0.35">
      <c r="A1246" t="s">
        <v>1078</v>
      </c>
      <c r="B1246">
        <v>2023</v>
      </c>
      <c r="C1246" t="s">
        <v>1308</v>
      </c>
      <c r="D1246" t="s">
        <v>1349</v>
      </c>
      <c r="E1246" t="s">
        <v>1359</v>
      </c>
      <c r="G1246" t="s">
        <v>1371</v>
      </c>
      <c r="H1246">
        <v>442</v>
      </c>
      <c r="I1246" t="s">
        <v>1379</v>
      </c>
      <c r="K1246" t="s">
        <v>1417</v>
      </c>
      <c r="L1246">
        <f t="shared" ref="L1246:L1253" si="31">3.86/1000</f>
        <v>3.8599999999999997E-3</v>
      </c>
      <c r="N1246">
        <v>9.5500000000000007</v>
      </c>
      <c r="O1246">
        <v>90.6</v>
      </c>
      <c r="Q1246" t="s">
        <v>1422</v>
      </c>
      <c r="R1246" t="s">
        <v>1440</v>
      </c>
      <c r="T1246">
        <v>3842649.0057279998</v>
      </c>
      <c r="U1246">
        <v>3842649.0057279998</v>
      </c>
      <c r="V1246">
        <v>1.150248173437485E-4</v>
      </c>
      <c r="W1246" t="s">
        <v>10</v>
      </c>
      <c r="X1246" t="s">
        <v>1456</v>
      </c>
    </row>
    <row r="1247" spans="1:24" hidden="1" x14ac:dyDescent="0.35">
      <c r="A1247" t="s">
        <v>1079</v>
      </c>
      <c r="B1247">
        <v>2023</v>
      </c>
      <c r="C1247" t="s">
        <v>1309</v>
      </c>
      <c r="D1247" t="s">
        <v>1350</v>
      </c>
      <c r="E1247" t="s">
        <v>1360</v>
      </c>
      <c r="G1247" t="s">
        <v>1376</v>
      </c>
      <c r="H1247">
        <v>968789</v>
      </c>
      <c r="K1247" t="s">
        <v>1417</v>
      </c>
      <c r="L1247">
        <f t="shared" si="31"/>
        <v>3.8599999999999997E-3</v>
      </c>
      <c r="N1247">
        <v>9.5500000000000007</v>
      </c>
      <c r="O1247">
        <v>90.6</v>
      </c>
      <c r="Q1247" t="s">
        <v>1422</v>
      </c>
      <c r="R1247" t="s">
        <v>1440</v>
      </c>
      <c r="T1247">
        <v>3842649.0057279998</v>
      </c>
      <c r="U1247">
        <v>3842649.0057279998</v>
      </c>
      <c r="V1247">
        <v>0.25211488183174829</v>
      </c>
      <c r="W1247" t="s">
        <v>10</v>
      </c>
      <c r="X1247" t="s">
        <v>1461</v>
      </c>
    </row>
    <row r="1248" spans="1:24" hidden="1" x14ac:dyDescent="0.35">
      <c r="A1248" t="s">
        <v>1080</v>
      </c>
      <c r="B1248">
        <v>2023</v>
      </c>
      <c r="C1248" t="s">
        <v>1309</v>
      </c>
      <c r="D1248" t="s">
        <v>1350</v>
      </c>
      <c r="E1248" t="s">
        <v>1360</v>
      </c>
      <c r="G1248" t="s">
        <v>1376</v>
      </c>
      <c r="H1248">
        <v>968789</v>
      </c>
      <c r="K1248" t="s">
        <v>1417</v>
      </c>
      <c r="L1248">
        <f t="shared" si="31"/>
        <v>3.8599999999999997E-3</v>
      </c>
      <c r="N1248">
        <v>9.5500000000000007</v>
      </c>
      <c r="O1248">
        <v>90.6</v>
      </c>
      <c r="Q1248" t="s">
        <v>1422</v>
      </c>
      <c r="R1248" t="s">
        <v>1440</v>
      </c>
      <c r="T1248">
        <v>3842649.0057279998</v>
      </c>
      <c r="U1248">
        <v>3842649.0057279998</v>
      </c>
      <c r="V1248">
        <v>0.25211488183174829</v>
      </c>
      <c r="W1248" t="s">
        <v>10</v>
      </c>
      <c r="X1248" t="s">
        <v>1461</v>
      </c>
    </row>
    <row r="1249" spans="1:24" hidden="1" x14ac:dyDescent="0.35">
      <c r="A1249" t="s">
        <v>1081</v>
      </c>
      <c r="B1249">
        <v>2023</v>
      </c>
      <c r="C1249" t="s">
        <v>1309</v>
      </c>
      <c r="D1249" t="s">
        <v>1350</v>
      </c>
      <c r="E1249" t="s">
        <v>1361</v>
      </c>
      <c r="G1249" t="s">
        <v>1376</v>
      </c>
      <c r="H1249">
        <v>1400259</v>
      </c>
      <c r="K1249" t="s">
        <v>1417</v>
      </c>
      <c r="L1249">
        <f t="shared" si="31"/>
        <v>3.8599999999999997E-3</v>
      </c>
      <c r="N1249">
        <v>9.5500000000000007</v>
      </c>
      <c r="O1249">
        <v>90.6</v>
      </c>
      <c r="Q1249" t="s">
        <v>1422</v>
      </c>
      <c r="R1249" t="s">
        <v>1440</v>
      </c>
      <c r="T1249">
        <v>3842649.0057279998</v>
      </c>
      <c r="U1249">
        <v>3842649.0057279998</v>
      </c>
      <c r="V1249">
        <v>0.36439940205642518</v>
      </c>
      <c r="W1249" t="s">
        <v>10</v>
      </c>
      <c r="X1249" t="s">
        <v>1461</v>
      </c>
    </row>
    <row r="1250" spans="1:24" hidden="1" x14ac:dyDescent="0.35">
      <c r="A1250" t="s">
        <v>1082</v>
      </c>
      <c r="B1250">
        <v>2023</v>
      </c>
      <c r="C1250" t="s">
        <v>1309</v>
      </c>
      <c r="D1250" t="s">
        <v>1350</v>
      </c>
      <c r="E1250" t="s">
        <v>1362</v>
      </c>
      <c r="G1250" t="s">
        <v>1376</v>
      </c>
      <c r="H1250">
        <v>1993390</v>
      </c>
      <c r="K1250" t="s">
        <v>1417</v>
      </c>
      <c r="L1250">
        <f t="shared" si="31"/>
        <v>3.8599999999999997E-3</v>
      </c>
      <c r="N1250">
        <v>9.5500000000000007</v>
      </c>
      <c r="O1250">
        <v>90.6</v>
      </c>
      <c r="Q1250" t="s">
        <v>1422</v>
      </c>
      <c r="R1250" t="s">
        <v>1440</v>
      </c>
      <c r="T1250">
        <v>3842649.0057279998</v>
      </c>
      <c r="U1250">
        <v>3842649.0057279998</v>
      </c>
      <c r="V1250">
        <v>0.51875411910600644</v>
      </c>
      <c r="W1250" t="s">
        <v>10</v>
      </c>
      <c r="X1250" t="s">
        <v>1461</v>
      </c>
    </row>
    <row r="1251" spans="1:24" hidden="1" x14ac:dyDescent="0.35">
      <c r="A1251" t="s">
        <v>1083</v>
      </c>
      <c r="B1251">
        <v>2023</v>
      </c>
      <c r="C1251" t="s">
        <v>1310</v>
      </c>
      <c r="E1251" t="s">
        <v>1363</v>
      </c>
      <c r="G1251" t="s">
        <v>1377</v>
      </c>
      <c r="H1251">
        <v>3595.51</v>
      </c>
      <c r="K1251" t="s">
        <v>1417</v>
      </c>
      <c r="L1251">
        <f t="shared" si="31"/>
        <v>3.8599999999999997E-3</v>
      </c>
      <c r="N1251">
        <v>9.5500000000000007</v>
      </c>
      <c r="O1251">
        <v>90.6</v>
      </c>
      <c r="Q1251" t="s">
        <v>1422</v>
      </c>
      <c r="R1251" t="s">
        <v>1440</v>
      </c>
      <c r="T1251">
        <v>3842649.0057279998</v>
      </c>
      <c r="U1251">
        <v>3842649.0057279998</v>
      </c>
      <c r="V1251">
        <v>9.3568525114846434E-4</v>
      </c>
      <c r="W1251" t="s">
        <v>10</v>
      </c>
      <c r="X1251" t="s">
        <v>1462</v>
      </c>
    </row>
    <row r="1252" spans="1:24" hidden="1" x14ac:dyDescent="0.35">
      <c r="A1252" t="s">
        <v>1084</v>
      </c>
      <c r="B1252">
        <v>2023</v>
      </c>
      <c r="C1252" t="s">
        <v>1310</v>
      </c>
      <c r="E1252" t="s">
        <v>1363</v>
      </c>
      <c r="G1252" t="s">
        <v>1377</v>
      </c>
      <c r="H1252">
        <v>2252.0700000000002</v>
      </c>
      <c r="K1252" t="s">
        <v>1417</v>
      </c>
      <c r="L1252">
        <f t="shared" si="31"/>
        <v>3.8599999999999997E-3</v>
      </c>
      <c r="N1252">
        <v>9.5500000000000007</v>
      </c>
      <c r="O1252">
        <v>90.6</v>
      </c>
      <c r="Q1252" t="s">
        <v>1422</v>
      </c>
      <c r="R1252" t="s">
        <v>1440</v>
      </c>
      <c r="T1252">
        <v>3842649.0057279998</v>
      </c>
      <c r="U1252">
        <v>3842649.0057279998</v>
      </c>
      <c r="V1252">
        <v>5.8607226333786365E-4</v>
      </c>
      <c r="W1252" t="s">
        <v>10</v>
      </c>
      <c r="X1252" t="s">
        <v>1462</v>
      </c>
    </row>
    <row r="1253" spans="1:24" hidden="1" x14ac:dyDescent="0.35">
      <c r="A1253" t="s">
        <v>1085</v>
      </c>
      <c r="B1253">
        <v>2023</v>
      </c>
      <c r="C1253" t="s">
        <v>1310</v>
      </c>
      <c r="E1253" t="s">
        <v>1363</v>
      </c>
      <c r="G1253" t="s">
        <v>1377</v>
      </c>
      <c r="H1253">
        <v>1343.44</v>
      </c>
      <c r="K1253" t="s">
        <v>1417</v>
      </c>
      <c r="L1253">
        <f t="shared" si="31"/>
        <v>3.8599999999999997E-3</v>
      </c>
      <c r="N1253">
        <v>9.5500000000000007</v>
      </c>
      <c r="O1253">
        <v>90.6</v>
      </c>
      <c r="Q1253" t="s">
        <v>1422</v>
      </c>
      <c r="R1253" t="s">
        <v>1440</v>
      </c>
      <c r="T1253">
        <v>3842649.0057279998</v>
      </c>
      <c r="U1253">
        <v>3842649.0057279998</v>
      </c>
      <c r="V1253">
        <v>3.4961298781060069E-4</v>
      </c>
      <c r="W1253" t="s">
        <v>10</v>
      </c>
      <c r="X1253" t="s">
        <v>1462</v>
      </c>
    </row>
    <row r="1254" spans="1:24" s="3" customFormat="1" x14ac:dyDescent="0.35">
      <c r="A1254" s="3" t="s">
        <v>1172</v>
      </c>
      <c r="B1254" s="3">
        <v>2023</v>
      </c>
      <c r="C1254" s="3" t="s">
        <v>1308</v>
      </c>
      <c r="D1254" s="3" t="s">
        <v>1347</v>
      </c>
      <c r="E1254" s="3" t="s">
        <v>1359</v>
      </c>
      <c r="G1254" s="3" t="s">
        <v>1375</v>
      </c>
      <c r="H1254" s="3">
        <v>28000</v>
      </c>
      <c r="K1254" s="3" t="s">
        <v>1421</v>
      </c>
      <c r="P1254" s="3" t="s">
        <v>1476</v>
      </c>
      <c r="Q1254" s="3" t="s">
        <v>1429</v>
      </c>
      <c r="R1254" s="3" t="s">
        <v>1447</v>
      </c>
      <c r="T1254" s="3">
        <v>3089208</v>
      </c>
      <c r="U1254" s="3">
        <v>3089208</v>
      </c>
      <c r="V1254" s="3">
        <v>9.0638118249078727E-3</v>
      </c>
      <c r="W1254" s="3" t="s">
        <v>10</v>
      </c>
      <c r="X1254" s="3" t="s">
        <v>1460</v>
      </c>
    </row>
    <row r="1255" spans="1:24" s="3" customFormat="1" x14ac:dyDescent="0.35">
      <c r="A1255" s="3" t="s">
        <v>1173</v>
      </c>
      <c r="B1255" s="3">
        <v>2023</v>
      </c>
      <c r="C1255" s="3" t="s">
        <v>1308</v>
      </c>
      <c r="D1255" s="3" t="s">
        <v>1347</v>
      </c>
      <c r="E1255" s="3" t="s">
        <v>1359</v>
      </c>
      <c r="G1255" s="3" t="s">
        <v>1375</v>
      </c>
      <c r="H1255" s="3">
        <v>1000</v>
      </c>
      <c r="K1255" s="3" t="s">
        <v>1421</v>
      </c>
      <c r="P1255" s="3" t="s">
        <v>1476</v>
      </c>
      <c r="Q1255" s="3" t="s">
        <v>1429</v>
      </c>
      <c r="R1255" s="3" t="s">
        <v>1447</v>
      </c>
      <c r="T1255" s="3">
        <v>3089208</v>
      </c>
      <c r="U1255" s="3">
        <v>3089208</v>
      </c>
      <c r="V1255" s="3">
        <v>3.237075651752812E-4</v>
      </c>
      <c r="W1255" s="3" t="s">
        <v>10</v>
      </c>
      <c r="X1255" s="3" t="s">
        <v>1460</v>
      </c>
    </row>
    <row r="1256" spans="1:24" s="3" customFormat="1" x14ac:dyDescent="0.35">
      <c r="A1256" s="3" t="s">
        <v>1174</v>
      </c>
      <c r="B1256" s="3">
        <v>2023</v>
      </c>
      <c r="C1256" s="3" t="s">
        <v>1308</v>
      </c>
      <c r="D1256" s="3" t="s">
        <v>1356</v>
      </c>
      <c r="E1256" s="3" t="s">
        <v>1359</v>
      </c>
      <c r="G1256" s="3" t="s">
        <v>1378</v>
      </c>
      <c r="H1256" s="3">
        <v>0.55000000000000004</v>
      </c>
      <c r="K1256" s="3" t="s">
        <v>1421</v>
      </c>
      <c r="P1256" s="3" t="s">
        <v>1476</v>
      </c>
      <c r="Q1256" s="3" t="s">
        <v>1429</v>
      </c>
      <c r="R1256" s="3" t="s">
        <v>1447</v>
      </c>
      <c r="T1256" s="3">
        <v>3089208</v>
      </c>
      <c r="U1256" s="3">
        <v>3089208</v>
      </c>
      <c r="V1256" s="3">
        <v>1.7803916084640471E-7</v>
      </c>
      <c r="W1256" s="3" t="s">
        <v>10</v>
      </c>
      <c r="X1256" s="3" t="s">
        <v>1463</v>
      </c>
    </row>
    <row r="1257" spans="1:24" s="3" customFormat="1" x14ac:dyDescent="0.35">
      <c r="A1257" s="3" t="s">
        <v>1175</v>
      </c>
      <c r="B1257" s="3">
        <v>2023</v>
      </c>
      <c r="C1257" s="3" t="s">
        <v>1310</v>
      </c>
      <c r="E1257" s="3" t="s">
        <v>1363</v>
      </c>
      <c r="G1257" s="3" t="s">
        <v>1377</v>
      </c>
      <c r="H1257" s="3">
        <v>594168</v>
      </c>
      <c r="K1257" s="3" t="s">
        <v>1421</v>
      </c>
      <c r="P1257" s="3" t="s">
        <v>1476</v>
      </c>
      <c r="Q1257" s="3" t="s">
        <v>1429</v>
      </c>
      <c r="R1257" s="3" t="s">
        <v>1447</v>
      </c>
      <c r="T1257" s="3">
        <v>3089208</v>
      </c>
      <c r="U1257" s="3">
        <v>3089208</v>
      </c>
      <c r="V1257" s="3">
        <v>0.19233667658506651</v>
      </c>
      <c r="W1257" s="3" t="s">
        <v>10</v>
      </c>
      <c r="X1257" s="3" t="s">
        <v>1462</v>
      </c>
    </row>
    <row r="1258" spans="1:24" s="3" customFormat="1" x14ac:dyDescent="0.35">
      <c r="A1258" s="3" t="s">
        <v>1176</v>
      </c>
      <c r="B1258" s="3">
        <v>2023</v>
      </c>
      <c r="C1258" s="3" t="s">
        <v>1310</v>
      </c>
      <c r="E1258" s="3" t="s">
        <v>1363</v>
      </c>
      <c r="G1258" s="3" t="s">
        <v>1377</v>
      </c>
      <c r="H1258" s="3">
        <v>7829</v>
      </c>
      <c r="K1258" s="3" t="s">
        <v>1421</v>
      </c>
      <c r="P1258" s="3" t="s">
        <v>1476</v>
      </c>
      <c r="Q1258" s="3" t="s">
        <v>1429</v>
      </c>
      <c r="R1258" s="3" t="s">
        <v>1447</v>
      </c>
      <c r="T1258" s="3">
        <v>3089208</v>
      </c>
      <c r="U1258" s="3">
        <v>3089208</v>
      </c>
      <c r="V1258" s="3">
        <v>2.5343065277572759E-3</v>
      </c>
      <c r="W1258" s="3" t="s">
        <v>10</v>
      </c>
      <c r="X1258" s="3" t="s">
        <v>1462</v>
      </c>
    </row>
    <row r="1259" spans="1:24" s="3" customFormat="1" x14ac:dyDescent="0.35">
      <c r="A1259" s="3" t="s">
        <v>1177</v>
      </c>
      <c r="B1259" s="3">
        <v>2023</v>
      </c>
      <c r="C1259" s="3" t="s">
        <v>1310</v>
      </c>
      <c r="E1259" s="3" t="s">
        <v>1363</v>
      </c>
      <c r="G1259" s="3" t="s">
        <v>1377</v>
      </c>
      <c r="H1259" s="3">
        <v>1661</v>
      </c>
      <c r="K1259" s="3" t="s">
        <v>1421</v>
      </c>
      <c r="P1259" s="3" t="s">
        <v>1476</v>
      </c>
      <c r="Q1259" s="3" t="s">
        <v>1429</v>
      </c>
      <c r="R1259" s="3" t="s">
        <v>1447</v>
      </c>
      <c r="T1259" s="3">
        <v>3089208</v>
      </c>
      <c r="U1259" s="3">
        <v>3089208</v>
      </c>
      <c r="V1259" s="3">
        <v>5.3767826575614201E-4</v>
      </c>
      <c r="W1259" s="3" t="s">
        <v>10</v>
      </c>
      <c r="X1259" s="3" t="s">
        <v>1462</v>
      </c>
    </row>
    <row r="1260" spans="1:24" hidden="1" x14ac:dyDescent="0.35">
      <c r="A1260" t="s">
        <v>1245</v>
      </c>
      <c r="B1260">
        <v>2023</v>
      </c>
      <c r="C1260" t="s">
        <v>1308</v>
      </c>
      <c r="D1260" t="s">
        <v>1317</v>
      </c>
      <c r="E1260" t="s">
        <v>1359</v>
      </c>
      <c r="G1260" t="s">
        <v>1372</v>
      </c>
      <c r="H1260">
        <v>30</v>
      </c>
      <c r="K1260" t="s">
        <v>1418</v>
      </c>
      <c r="L1260">
        <f>3.015/1000</f>
        <v>3.0150000000000003E-3</v>
      </c>
      <c r="O1260">
        <v>91.4</v>
      </c>
      <c r="Q1260" t="s">
        <v>1433</v>
      </c>
      <c r="R1260" t="s">
        <v>1451</v>
      </c>
      <c r="T1260">
        <v>2911000</v>
      </c>
      <c r="U1260">
        <v>2911000</v>
      </c>
      <c r="V1260">
        <v>1.0305736860185501E-5</v>
      </c>
      <c r="W1260" t="s">
        <v>10</v>
      </c>
      <c r="X1260" t="s">
        <v>1457</v>
      </c>
    </row>
    <row r="1261" spans="1:24" hidden="1" x14ac:dyDescent="0.35">
      <c r="A1261" t="s">
        <v>1246</v>
      </c>
      <c r="B1261">
        <v>2023</v>
      </c>
      <c r="C1261" t="s">
        <v>1308</v>
      </c>
      <c r="D1261" t="s">
        <v>1311</v>
      </c>
      <c r="E1261" t="s">
        <v>1359</v>
      </c>
      <c r="G1261" t="s">
        <v>1371</v>
      </c>
      <c r="H1261">
        <v>58.1</v>
      </c>
      <c r="K1261" t="s">
        <v>1418</v>
      </c>
      <c r="L1261">
        <f t="shared" ref="L1261:L1274" si="32">3.015/1000</f>
        <v>3.0150000000000003E-3</v>
      </c>
      <c r="O1261">
        <v>91.4</v>
      </c>
      <c r="Q1261" t="s">
        <v>1433</v>
      </c>
      <c r="R1261" t="s">
        <v>1451</v>
      </c>
      <c r="T1261">
        <v>2911000</v>
      </c>
      <c r="U1261">
        <v>2911000</v>
      </c>
      <c r="V1261">
        <v>1.9958777052559262E-5</v>
      </c>
      <c r="W1261" t="s">
        <v>10</v>
      </c>
      <c r="X1261" t="s">
        <v>1456</v>
      </c>
    </row>
    <row r="1262" spans="1:24" hidden="1" x14ac:dyDescent="0.35">
      <c r="A1262" t="s">
        <v>1247</v>
      </c>
      <c r="B1262">
        <v>2023</v>
      </c>
      <c r="C1262" t="s">
        <v>1308</v>
      </c>
      <c r="D1262" t="s">
        <v>1347</v>
      </c>
      <c r="E1262" t="s">
        <v>1359</v>
      </c>
      <c r="G1262" t="s">
        <v>1375</v>
      </c>
      <c r="H1262">
        <v>57797.154413883101</v>
      </c>
      <c r="K1262" t="s">
        <v>1418</v>
      </c>
      <c r="L1262">
        <f t="shared" si="32"/>
        <v>3.0150000000000003E-3</v>
      </c>
      <c r="O1262">
        <v>91.4</v>
      </c>
      <c r="Q1262" t="s">
        <v>1433</v>
      </c>
      <c r="R1262" t="s">
        <v>1451</v>
      </c>
      <c r="T1262">
        <v>2911000</v>
      </c>
      <c r="U1262">
        <v>2911000</v>
      </c>
      <c r="V1262">
        <v>1.985474215523295E-2</v>
      </c>
      <c r="W1262" t="s">
        <v>10</v>
      </c>
      <c r="X1262" t="s">
        <v>1460</v>
      </c>
    </row>
    <row r="1263" spans="1:24" hidden="1" x14ac:dyDescent="0.35">
      <c r="A1263" t="s">
        <v>1248</v>
      </c>
      <c r="B1263">
        <v>2023</v>
      </c>
      <c r="C1263" t="s">
        <v>1308</v>
      </c>
      <c r="D1263" t="s">
        <v>1347</v>
      </c>
      <c r="E1263" t="s">
        <v>1359</v>
      </c>
      <c r="G1263" t="s">
        <v>1375</v>
      </c>
      <c r="H1263">
        <v>5107.9907999999996</v>
      </c>
      <c r="K1263" t="s">
        <v>1418</v>
      </c>
      <c r="L1263">
        <f t="shared" si="32"/>
        <v>3.0150000000000003E-3</v>
      </c>
      <c r="O1263">
        <v>91.4</v>
      </c>
      <c r="Q1263" t="s">
        <v>1433</v>
      </c>
      <c r="R1263" t="s">
        <v>1451</v>
      </c>
      <c r="T1263">
        <v>2911000</v>
      </c>
      <c r="U1263">
        <v>2911000</v>
      </c>
      <c r="V1263">
        <v>1.7547203023016141E-3</v>
      </c>
      <c r="W1263" t="s">
        <v>10</v>
      </c>
      <c r="X1263" t="s">
        <v>1460</v>
      </c>
    </row>
    <row r="1264" spans="1:24" hidden="1" x14ac:dyDescent="0.35">
      <c r="A1264" t="s">
        <v>1249</v>
      </c>
      <c r="B1264">
        <v>2023</v>
      </c>
      <c r="C1264" t="s">
        <v>1308</v>
      </c>
      <c r="D1264" t="s">
        <v>1347</v>
      </c>
      <c r="E1264" t="s">
        <v>1359</v>
      </c>
      <c r="G1264" t="s">
        <v>1375</v>
      </c>
      <c r="H1264">
        <v>112774.455094777</v>
      </c>
      <c r="K1264" t="s">
        <v>1418</v>
      </c>
      <c r="L1264">
        <f t="shared" si="32"/>
        <v>3.0150000000000003E-3</v>
      </c>
      <c r="O1264">
        <v>91.4</v>
      </c>
      <c r="Q1264" t="s">
        <v>1433</v>
      </c>
      <c r="R1264" t="s">
        <v>1451</v>
      </c>
      <c r="T1264">
        <v>2911000</v>
      </c>
      <c r="U1264">
        <v>2911000</v>
      </c>
      <c r="V1264">
        <v>3.8740795291919268E-2</v>
      </c>
      <c r="W1264" t="s">
        <v>10</v>
      </c>
      <c r="X1264" t="s">
        <v>1460</v>
      </c>
    </row>
    <row r="1265" spans="1:24" hidden="1" x14ac:dyDescent="0.35">
      <c r="A1265" t="s">
        <v>1250</v>
      </c>
      <c r="B1265">
        <v>2023</v>
      </c>
      <c r="C1265" t="s">
        <v>1308</v>
      </c>
      <c r="D1265" t="s">
        <v>1322</v>
      </c>
      <c r="E1265" t="s">
        <v>1359</v>
      </c>
      <c r="G1265" t="s">
        <v>1372</v>
      </c>
      <c r="H1265">
        <v>60</v>
      </c>
      <c r="K1265" t="s">
        <v>1418</v>
      </c>
      <c r="L1265">
        <f t="shared" si="32"/>
        <v>3.0150000000000003E-3</v>
      </c>
      <c r="O1265">
        <v>91.4</v>
      </c>
      <c r="Q1265" t="s">
        <v>1433</v>
      </c>
      <c r="R1265" t="s">
        <v>1451</v>
      </c>
      <c r="T1265">
        <v>2911000</v>
      </c>
      <c r="U1265">
        <v>2911000</v>
      </c>
      <c r="V1265">
        <v>2.0611473720371002E-5</v>
      </c>
      <c r="W1265" t="s">
        <v>10</v>
      </c>
      <c r="X1265" t="s">
        <v>1457</v>
      </c>
    </row>
    <row r="1266" spans="1:24" hidden="1" x14ac:dyDescent="0.35">
      <c r="A1266" t="s">
        <v>1251</v>
      </c>
      <c r="B1266">
        <v>2023</v>
      </c>
      <c r="C1266" t="s">
        <v>1308</v>
      </c>
      <c r="D1266" t="s">
        <v>1330</v>
      </c>
      <c r="E1266" t="s">
        <v>1359</v>
      </c>
      <c r="G1266" t="s">
        <v>1371</v>
      </c>
      <c r="H1266">
        <v>0.09</v>
      </c>
      <c r="K1266" t="s">
        <v>1418</v>
      </c>
      <c r="L1266">
        <f t="shared" si="32"/>
        <v>3.0150000000000003E-3</v>
      </c>
      <c r="O1266">
        <v>91.4</v>
      </c>
      <c r="Q1266" t="s">
        <v>1433</v>
      </c>
      <c r="R1266" t="s">
        <v>1451</v>
      </c>
      <c r="T1266">
        <v>2911000</v>
      </c>
      <c r="U1266">
        <v>2911000</v>
      </c>
      <c r="V1266">
        <v>3.0917210580556507E-8</v>
      </c>
      <c r="W1266" t="s">
        <v>10</v>
      </c>
      <c r="X1266" t="s">
        <v>1456</v>
      </c>
    </row>
    <row r="1267" spans="1:24" hidden="1" x14ac:dyDescent="0.35">
      <c r="A1267" t="s">
        <v>1252</v>
      </c>
      <c r="B1267">
        <v>2023</v>
      </c>
      <c r="C1267" t="s">
        <v>1308</v>
      </c>
      <c r="D1267" t="s">
        <v>1348</v>
      </c>
      <c r="E1267" t="s">
        <v>1359</v>
      </c>
      <c r="G1267" t="s">
        <v>1371</v>
      </c>
      <c r="H1267">
        <v>113.09</v>
      </c>
      <c r="K1267" t="s">
        <v>1418</v>
      </c>
      <c r="L1267">
        <f t="shared" si="32"/>
        <v>3.0150000000000003E-3</v>
      </c>
      <c r="O1267">
        <v>91.4</v>
      </c>
      <c r="Q1267" t="s">
        <v>1433</v>
      </c>
      <c r="R1267" t="s">
        <v>1451</v>
      </c>
      <c r="T1267">
        <v>2911000</v>
      </c>
      <c r="U1267">
        <v>2911000</v>
      </c>
      <c r="V1267">
        <v>3.8849192717279289E-5</v>
      </c>
      <c r="W1267" t="s">
        <v>10</v>
      </c>
      <c r="X1267" t="s">
        <v>1456</v>
      </c>
    </row>
    <row r="1268" spans="1:24" hidden="1" x14ac:dyDescent="0.35">
      <c r="A1268" t="s">
        <v>1253</v>
      </c>
      <c r="B1268">
        <v>2023</v>
      </c>
      <c r="C1268" t="s">
        <v>1308</v>
      </c>
      <c r="D1268" t="s">
        <v>1313</v>
      </c>
      <c r="E1268" t="s">
        <v>1359</v>
      </c>
      <c r="G1268" t="s">
        <v>1371</v>
      </c>
      <c r="H1268">
        <v>25.99</v>
      </c>
      <c r="K1268" t="s">
        <v>1418</v>
      </c>
      <c r="L1268">
        <f t="shared" si="32"/>
        <v>3.0150000000000003E-3</v>
      </c>
      <c r="O1268">
        <v>91.4</v>
      </c>
      <c r="Q1268" t="s">
        <v>1433</v>
      </c>
      <c r="R1268" t="s">
        <v>1451</v>
      </c>
      <c r="T1268">
        <v>2911000</v>
      </c>
      <c r="U1268">
        <v>2911000</v>
      </c>
      <c r="V1268">
        <v>8.9282033665407078E-6</v>
      </c>
      <c r="W1268" t="s">
        <v>10</v>
      </c>
      <c r="X1268" t="s">
        <v>1456</v>
      </c>
    </row>
    <row r="1269" spans="1:24" hidden="1" x14ac:dyDescent="0.35">
      <c r="A1269" t="s">
        <v>1254</v>
      </c>
      <c r="B1269">
        <v>2023</v>
      </c>
      <c r="C1269" t="s">
        <v>1308</v>
      </c>
      <c r="D1269" t="s">
        <v>1314</v>
      </c>
      <c r="E1269" t="s">
        <v>1359</v>
      </c>
      <c r="G1269" t="s">
        <v>1371</v>
      </c>
      <c r="H1269">
        <v>13.74</v>
      </c>
      <c r="K1269" t="s">
        <v>1418</v>
      </c>
      <c r="L1269">
        <f t="shared" si="32"/>
        <v>3.0150000000000003E-3</v>
      </c>
      <c r="O1269">
        <v>91.4</v>
      </c>
      <c r="Q1269" t="s">
        <v>1433</v>
      </c>
      <c r="R1269" t="s">
        <v>1451</v>
      </c>
      <c r="T1269">
        <v>2911000</v>
      </c>
      <c r="U1269">
        <v>2911000</v>
      </c>
      <c r="V1269">
        <v>4.7200274819649609E-6</v>
      </c>
      <c r="W1269" t="s">
        <v>10</v>
      </c>
      <c r="X1269" t="s">
        <v>1456</v>
      </c>
    </row>
    <row r="1270" spans="1:24" hidden="1" x14ac:dyDescent="0.35">
      <c r="A1270" t="s">
        <v>1255</v>
      </c>
      <c r="B1270">
        <v>2023</v>
      </c>
      <c r="C1270" t="s">
        <v>1308</v>
      </c>
      <c r="D1270" t="s">
        <v>1349</v>
      </c>
      <c r="E1270" t="s">
        <v>1359</v>
      </c>
      <c r="G1270" t="s">
        <v>1371</v>
      </c>
      <c r="H1270">
        <v>0.44</v>
      </c>
      <c r="K1270" t="s">
        <v>1418</v>
      </c>
      <c r="L1270">
        <f t="shared" si="32"/>
        <v>3.0150000000000003E-3</v>
      </c>
      <c r="O1270">
        <v>91.4</v>
      </c>
      <c r="Q1270" t="s">
        <v>1433</v>
      </c>
      <c r="R1270" t="s">
        <v>1451</v>
      </c>
      <c r="T1270">
        <v>2911000</v>
      </c>
      <c r="U1270">
        <v>2911000</v>
      </c>
      <c r="V1270">
        <v>1.5115080728272069E-7</v>
      </c>
      <c r="W1270" t="s">
        <v>10</v>
      </c>
      <c r="X1270" t="s">
        <v>1456</v>
      </c>
    </row>
    <row r="1271" spans="1:24" hidden="1" x14ac:dyDescent="0.35">
      <c r="A1271" t="s">
        <v>1256</v>
      </c>
      <c r="B1271">
        <v>2023</v>
      </c>
      <c r="C1271" t="s">
        <v>1309</v>
      </c>
      <c r="D1271" t="s">
        <v>1350</v>
      </c>
      <c r="E1271" t="s">
        <v>1360</v>
      </c>
      <c r="G1271" t="s">
        <v>1376</v>
      </c>
      <c r="H1271">
        <v>5314082.9729999993</v>
      </c>
      <c r="K1271" t="s">
        <v>1418</v>
      </c>
      <c r="L1271">
        <f t="shared" si="32"/>
        <v>3.0150000000000003E-3</v>
      </c>
      <c r="O1271">
        <v>91.4</v>
      </c>
      <c r="Q1271" t="s">
        <v>1433</v>
      </c>
      <c r="R1271" t="s">
        <v>1451</v>
      </c>
      <c r="T1271">
        <v>2911000</v>
      </c>
      <c r="U1271">
        <v>2911000</v>
      </c>
      <c r="V1271">
        <v>1.825518025764342</v>
      </c>
      <c r="W1271" t="s">
        <v>10</v>
      </c>
      <c r="X1271" t="s">
        <v>1461</v>
      </c>
    </row>
    <row r="1272" spans="1:24" hidden="1" x14ac:dyDescent="0.35">
      <c r="A1272" t="s">
        <v>1257</v>
      </c>
      <c r="B1272">
        <v>2023</v>
      </c>
      <c r="C1272" t="s">
        <v>1309</v>
      </c>
      <c r="D1272" t="s">
        <v>1350</v>
      </c>
      <c r="E1272" t="s">
        <v>1362</v>
      </c>
      <c r="G1272" t="s">
        <v>1376</v>
      </c>
      <c r="H1272">
        <v>9170580.9000000004</v>
      </c>
      <c r="K1272" t="s">
        <v>1418</v>
      </c>
      <c r="L1272">
        <f t="shared" si="32"/>
        <v>3.0150000000000003E-3</v>
      </c>
      <c r="O1272">
        <v>91.4</v>
      </c>
      <c r="Q1272" t="s">
        <v>1433</v>
      </c>
      <c r="R1272" t="s">
        <v>1451</v>
      </c>
      <c r="T1272">
        <v>2911000</v>
      </c>
      <c r="U1272">
        <v>2911000</v>
      </c>
      <c r="V1272">
        <v>3.1503197870147721</v>
      </c>
      <c r="W1272" t="s">
        <v>10</v>
      </c>
      <c r="X1272" t="s">
        <v>1461</v>
      </c>
    </row>
    <row r="1273" spans="1:24" hidden="1" x14ac:dyDescent="0.35">
      <c r="A1273" t="s">
        <v>1258</v>
      </c>
      <c r="B1273">
        <v>2023</v>
      </c>
      <c r="C1273" t="s">
        <v>1309</v>
      </c>
      <c r="D1273" t="s">
        <v>1350</v>
      </c>
      <c r="E1273" t="s">
        <v>1361</v>
      </c>
      <c r="G1273" t="s">
        <v>1376</v>
      </c>
      <c r="H1273">
        <v>4907818.6729999986</v>
      </c>
      <c r="K1273" t="s">
        <v>1418</v>
      </c>
      <c r="L1273">
        <f t="shared" si="32"/>
        <v>3.0150000000000003E-3</v>
      </c>
      <c r="O1273">
        <v>91.4</v>
      </c>
      <c r="Q1273" t="s">
        <v>1433</v>
      </c>
      <c r="R1273" t="s">
        <v>1451</v>
      </c>
      <c r="T1273">
        <v>2911000</v>
      </c>
      <c r="U1273">
        <v>2911000</v>
      </c>
      <c r="V1273">
        <v>1.6859562600480931</v>
      </c>
      <c r="W1273" t="s">
        <v>10</v>
      </c>
      <c r="X1273" t="s">
        <v>1461</v>
      </c>
    </row>
    <row r="1274" spans="1:24" hidden="1" x14ac:dyDescent="0.35">
      <c r="A1274" t="s">
        <v>1259</v>
      </c>
      <c r="B1274">
        <v>2023</v>
      </c>
      <c r="C1274" t="s">
        <v>1310</v>
      </c>
      <c r="E1274" t="s">
        <v>1363</v>
      </c>
      <c r="G1274" t="s">
        <v>1377</v>
      </c>
      <c r="H1274">
        <v>2784.23</v>
      </c>
      <c r="K1274" t="s">
        <v>1418</v>
      </c>
      <c r="L1274">
        <f t="shared" si="32"/>
        <v>3.0150000000000003E-3</v>
      </c>
      <c r="O1274">
        <v>91.4</v>
      </c>
      <c r="Q1274" t="s">
        <v>1433</v>
      </c>
      <c r="R1274" t="s">
        <v>1451</v>
      </c>
      <c r="T1274">
        <v>2911000</v>
      </c>
      <c r="U1274">
        <v>2911000</v>
      </c>
      <c r="V1274">
        <v>9.5645139127447612E-4</v>
      </c>
      <c r="W1274" t="s">
        <v>10</v>
      </c>
      <c r="X1274" t="s">
        <v>1462</v>
      </c>
    </row>
    <row r="1275" spans="1:24" hidden="1" x14ac:dyDescent="0.35">
      <c r="A1275" t="s">
        <v>1266</v>
      </c>
      <c r="B1275">
        <v>2023</v>
      </c>
      <c r="C1275" t="s">
        <v>1308</v>
      </c>
      <c r="D1275" t="s">
        <v>1311</v>
      </c>
      <c r="E1275" t="s">
        <v>1359</v>
      </c>
      <c r="G1275" t="s">
        <v>1371</v>
      </c>
      <c r="H1275">
        <v>162.21032723366179</v>
      </c>
      <c r="K1275" t="s">
        <v>1419</v>
      </c>
      <c r="L1275">
        <f>2.7/1000</f>
        <v>2.7000000000000001E-3</v>
      </c>
      <c r="Q1275" t="s">
        <v>1434</v>
      </c>
      <c r="R1275" t="s">
        <v>1452</v>
      </c>
      <c r="T1275">
        <v>1574000</v>
      </c>
      <c r="U1275">
        <v>1574000</v>
      </c>
      <c r="V1275">
        <v>1.0305611641274571E-4</v>
      </c>
      <c r="W1275" t="s">
        <v>10</v>
      </c>
      <c r="X1275" t="s">
        <v>1456</v>
      </c>
    </row>
    <row r="1276" spans="1:24" hidden="1" x14ac:dyDescent="0.35">
      <c r="A1276" t="s">
        <v>1267</v>
      </c>
      <c r="B1276">
        <v>2023</v>
      </c>
      <c r="C1276" t="s">
        <v>1308</v>
      </c>
      <c r="D1276" t="s">
        <v>1347</v>
      </c>
      <c r="E1276" t="s">
        <v>1359</v>
      </c>
      <c r="G1276" t="s">
        <v>1375</v>
      </c>
      <c r="H1276">
        <v>35617.369225595001</v>
      </c>
      <c r="K1276" t="s">
        <v>1419</v>
      </c>
      <c r="L1276">
        <f t="shared" ref="L1276:L1285" si="33">2.7/1000</f>
        <v>2.7000000000000001E-3</v>
      </c>
      <c r="Q1276" t="s">
        <v>1434</v>
      </c>
      <c r="R1276" t="s">
        <v>1452</v>
      </c>
      <c r="T1276">
        <v>1574000</v>
      </c>
      <c r="U1276">
        <v>1574000</v>
      </c>
      <c r="V1276">
        <v>2.26285700289676E-2</v>
      </c>
      <c r="W1276" t="s">
        <v>10</v>
      </c>
      <c r="X1276" t="s">
        <v>1460</v>
      </c>
    </row>
    <row r="1277" spans="1:24" hidden="1" x14ac:dyDescent="0.35">
      <c r="A1277" t="s">
        <v>1268</v>
      </c>
      <c r="B1277">
        <v>2023</v>
      </c>
      <c r="C1277" t="s">
        <v>1308</v>
      </c>
      <c r="D1277" t="s">
        <v>1347</v>
      </c>
      <c r="E1277" t="s">
        <v>1359</v>
      </c>
      <c r="G1277" t="s">
        <v>1375</v>
      </c>
      <c r="H1277">
        <v>5536.701</v>
      </c>
      <c r="K1277" t="s">
        <v>1419</v>
      </c>
      <c r="L1277">
        <f t="shared" si="33"/>
        <v>2.7000000000000001E-3</v>
      </c>
      <c r="Q1277" t="s">
        <v>1434</v>
      </c>
      <c r="R1277" t="s">
        <v>1452</v>
      </c>
      <c r="T1277">
        <v>1574000</v>
      </c>
      <c r="U1277">
        <v>1574000</v>
      </c>
      <c r="V1277">
        <v>3.5175991105463791E-3</v>
      </c>
      <c r="W1277" t="s">
        <v>10</v>
      </c>
      <c r="X1277" t="s">
        <v>1460</v>
      </c>
    </row>
    <row r="1278" spans="1:24" hidden="1" x14ac:dyDescent="0.35">
      <c r="A1278" t="s">
        <v>1269</v>
      </c>
      <c r="B1278">
        <v>2023</v>
      </c>
      <c r="C1278" t="s">
        <v>1308</v>
      </c>
      <c r="D1278" t="s">
        <v>1348</v>
      </c>
      <c r="E1278" t="s">
        <v>1359</v>
      </c>
      <c r="G1278" t="s">
        <v>1371</v>
      </c>
      <c r="H1278">
        <v>319.19231890732362</v>
      </c>
      <c r="K1278" t="s">
        <v>1419</v>
      </c>
      <c r="L1278">
        <f t="shared" si="33"/>
        <v>2.7000000000000001E-3</v>
      </c>
      <c r="Q1278" t="s">
        <v>1434</v>
      </c>
      <c r="R1278" t="s">
        <v>1452</v>
      </c>
      <c r="T1278">
        <v>1574000</v>
      </c>
      <c r="U1278">
        <v>1574000</v>
      </c>
      <c r="V1278">
        <v>2.0279054568444959E-4</v>
      </c>
      <c r="W1278" t="s">
        <v>10</v>
      </c>
      <c r="X1278" t="s">
        <v>1456</v>
      </c>
    </row>
    <row r="1279" spans="1:24" hidden="1" x14ac:dyDescent="0.35">
      <c r="A1279" t="s">
        <v>1270</v>
      </c>
      <c r="B1279">
        <v>2023</v>
      </c>
      <c r="C1279" t="s">
        <v>1308</v>
      </c>
      <c r="D1279" t="s">
        <v>1313</v>
      </c>
      <c r="E1279" t="s">
        <v>1359</v>
      </c>
      <c r="G1279" t="s">
        <v>1371</v>
      </c>
      <c r="H1279">
        <v>50.803300388615952</v>
      </c>
      <c r="K1279" t="s">
        <v>1419</v>
      </c>
      <c r="L1279">
        <f t="shared" si="33"/>
        <v>2.7000000000000001E-3</v>
      </c>
      <c r="Q1279" t="s">
        <v>1434</v>
      </c>
      <c r="R1279" t="s">
        <v>1452</v>
      </c>
      <c r="T1279">
        <v>1574000</v>
      </c>
      <c r="U1279">
        <v>1574000</v>
      </c>
      <c r="V1279">
        <v>3.2276556790734403E-5</v>
      </c>
      <c r="W1279" t="s">
        <v>10</v>
      </c>
      <c r="X1279" t="s">
        <v>1456</v>
      </c>
    </row>
    <row r="1280" spans="1:24" hidden="1" x14ac:dyDescent="0.35">
      <c r="A1280" t="s">
        <v>1271</v>
      </c>
      <c r="B1280">
        <v>2023</v>
      </c>
      <c r="C1280" t="s">
        <v>1308</v>
      </c>
      <c r="D1280" t="s">
        <v>1349</v>
      </c>
      <c r="E1280" t="s">
        <v>1359</v>
      </c>
      <c r="G1280" t="s">
        <v>1371</v>
      </c>
      <c r="H1280">
        <v>47.442164741802017</v>
      </c>
      <c r="K1280" t="s">
        <v>1419</v>
      </c>
      <c r="L1280">
        <f t="shared" si="33"/>
        <v>2.7000000000000001E-3</v>
      </c>
      <c r="Q1280" t="s">
        <v>1434</v>
      </c>
      <c r="R1280" t="s">
        <v>1452</v>
      </c>
      <c r="T1280">
        <v>1574000</v>
      </c>
      <c r="U1280">
        <v>1574000</v>
      </c>
      <c r="V1280">
        <v>3.014114659580814E-5</v>
      </c>
      <c r="W1280" t="s">
        <v>10</v>
      </c>
      <c r="X1280" t="s">
        <v>1456</v>
      </c>
    </row>
    <row r="1281" spans="1:24" hidden="1" x14ac:dyDescent="0.35">
      <c r="A1281" t="s">
        <v>1272</v>
      </c>
      <c r="B1281">
        <v>2023</v>
      </c>
      <c r="C1281" t="s">
        <v>1308</v>
      </c>
      <c r="D1281" t="s">
        <v>1316</v>
      </c>
      <c r="E1281" t="s">
        <v>1359</v>
      </c>
      <c r="G1281" t="s">
        <v>1371</v>
      </c>
      <c r="H1281">
        <v>60.86381506924382</v>
      </c>
      <c r="K1281" t="s">
        <v>1419</v>
      </c>
      <c r="L1281">
        <f t="shared" si="33"/>
        <v>2.7000000000000001E-3</v>
      </c>
      <c r="Q1281" t="s">
        <v>1434</v>
      </c>
      <c r="R1281" t="s">
        <v>1452</v>
      </c>
      <c r="T1281">
        <v>1574000</v>
      </c>
      <c r="U1281">
        <v>1574000</v>
      </c>
      <c r="V1281">
        <v>3.8668243373090103E-5</v>
      </c>
      <c r="W1281" t="s">
        <v>10</v>
      </c>
      <c r="X1281" t="s">
        <v>1456</v>
      </c>
    </row>
    <row r="1282" spans="1:24" hidden="1" x14ac:dyDescent="0.35">
      <c r="A1282" t="s">
        <v>1273</v>
      </c>
      <c r="B1282">
        <v>2023</v>
      </c>
      <c r="C1282" t="s">
        <v>1309</v>
      </c>
      <c r="D1282" t="s">
        <v>1350</v>
      </c>
      <c r="E1282" t="s">
        <v>1360</v>
      </c>
      <c r="G1282" t="s">
        <v>1376</v>
      </c>
      <c r="H1282">
        <v>974971.40334801702</v>
      </c>
      <c r="K1282" t="s">
        <v>1419</v>
      </c>
      <c r="L1282">
        <f t="shared" si="33"/>
        <v>2.7000000000000001E-3</v>
      </c>
      <c r="Q1282" t="s">
        <v>1434</v>
      </c>
      <c r="R1282" t="s">
        <v>1452</v>
      </c>
      <c r="T1282">
        <v>1574000</v>
      </c>
      <c r="U1282">
        <v>1574000</v>
      </c>
      <c r="V1282">
        <v>0.61942274672682152</v>
      </c>
      <c r="W1282" t="s">
        <v>10</v>
      </c>
      <c r="X1282" t="s">
        <v>1461</v>
      </c>
    </row>
    <row r="1283" spans="1:24" hidden="1" x14ac:dyDescent="0.35">
      <c r="A1283" t="s">
        <v>1274</v>
      </c>
      <c r="B1283">
        <v>2023</v>
      </c>
      <c r="C1283" t="s">
        <v>1309</v>
      </c>
      <c r="D1283" t="s">
        <v>1350</v>
      </c>
      <c r="E1283" t="s">
        <v>1362</v>
      </c>
      <c r="G1283" t="s">
        <v>1376</v>
      </c>
      <c r="H1283">
        <v>1743711.5</v>
      </c>
      <c r="K1283" t="s">
        <v>1419</v>
      </c>
      <c r="L1283">
        <f t="shared" si="33"/>
        <v>2.7000000000000001E-3</v>
      </c>
      <c r="Q1283" t="s">
        <v>1434</v>
      </c>
      <c r="R1283" t="s">
        <v>1452</v>
      </c>
      <c r="T1283">
        <v>1574000</v>
      </c>
      <c r="U1283">
        <v>1574000</v>
      </c>
      <c r="V1283">
        <v>1.107821791613723</v>
      </c>
      <c r="W1283" t="s">
        <v>10</v>
      </c>
      <c r="X1283" t="s">
        <v>1461</v>
      </c>
    </row>
    <row r="1284" spans="1:24" hidden="1" x14ac:dyDescent="0.35">
      <c r="A1284" t="s">
        <v>1275</v>
      </c>
      <c r="B1284">
        <v>2023</v>
      </c>
      <c r="C1284" t="s">
        <v>1309</v>
      </c>
      <c r="D1284" t="s">
        <v>1350</v>
      </c>
      <c r="E1284" t="s">
        <v>1361</v>
      </c>
      <c r="G1284" t="s">
        <v>1376</v>
      </c>
      <c r="H1284">
        <v>749557.37969801703</v>
      </c>
      <c r="K1284" t="s">
        <v>1419</v>
      </c>
      <c r="L1284">
        <f t="shared" si="33"/>
        <v>2.7000000000000001E-3</v>
      </c>
      <c r="Q1284" t="s">
        <v>1434</v>
      </c>
      <c r="R1284" t="s">
        <v>1452</v>
      </c>
      <c r="T1284">
        <v>1574000</v>
      </c>
      <c r="U1284">
        <v>1574000</v>
      </c>
      <c r="V1284">
        <v>0.47621180412834629</v>
      </c>
      <c r="W1284" t="s">
        <v>10</v>
      </c>
      <c r="X1284" t="s">
        <v>1461</v>
      </c>
    </row>
    <row r="1285" spans="1:24" hidden="1" x14ac:dyDescent="0.35">
      <c r="A1285" t="s">
        <v>1276</v>
      </c>
      <c r="B1285">
        <v>2023</v>
      </c>
      <c r="C1285" t="s">
        <v>1310</v>
      </c>
      <c r="E1285" t="s">
        <v>1363</v>
      </c>
      <c r="G1285" t="s">
        <v>1377</v>
      </c>
      <c r="H1285">
        <v>370</v>
      </c>
      <c r="K1285" t="s">
        <v>1419</v>
      </c>
      <c r="L1285">
        <f t="shared" si="33"/>
        <v>2.7000000000000001E-3</v>
      </c>
      <c r="Q1285" t="s">
        <v>1434</v>
      </c>
      <c r="R1285" t="s">
        <v>1452</v>
      </c>
      <c r="T1285">
        <v>1574000</v>
      </c>
      <c r="U1285">
        <v>1574000</v>
      </c>
      <c r="V1285">
        <v>2.3506988564167731E-4</v>
      </c>
      <c r="W1285" t="s">
        <v>10</v>
      </c>
      <c r="X1285" t="s">
        <v>1462</v>
      </c>
    </row>
    <row r="1286" spans="1:24" hidden="1" x14ac:dyDescent="0.35">
      <c r="A1286" t="s">
        <v>1277</v>
      </c>
      <c r="B1286">
        <v>2023</v>
      </c>
      <c r="C1286" t="s">
        <v>1308</v>
      </c>
      <c r="D1286" t="s">
        <v>1347</v>
      </c>
      <c r="E1286" t="s">
        <v>1359</v>
      </c>
      <c r="G1286" t="s">
        <v>1375</v>
      </c>
      <c r="H1286">
        <v>14002</v>
      </c>
      <c r="K1286" t="s">
        <v>1420</v>
      </c>
      <c r="L1286">
        <f>10.14/1000</f>
        <v>1.014E-2</v>
      </c>
      <c r="O1286">
        <v>97</v>
      </c>
      <c r="Q1286" t="s">
        <v>1435</v>
      </c>
      <c r="R1286" t="s">
        <v>1453</v>
      </c>
      <c r="T1286">
        <v>122000</v>
      </c>
      <c r="U1286">
        <v>122000</v>
      </c>
      <c r="V1286">
        <v>0.1147704918032787</v>
      </c>
      <c r="W1286" t="s">
        <v>10</v>
      </c>
      <c r="X1286" t="s">
        <v>1460</v>
      </c>
    </row>
    <row r="1287" spans="1:24" hidden="1" x14ac:dyDescent="0.35">
      <c r="A1287" t="s">
        <v>1278</v>
      </c>
      <c r="B1287">
        <v>2023</v>
      </c>
      <c r="C1287" t="s">
        <v>1308</v>
      </c>
      <c r="D1287" t="s">
        <v>1347</v>
      </c>
      <c r="E1287" t="s">
        <v>1359</v>
      </c>
      <c r="G1287" t="s">
        <v>1375</v>
      </c>
      <c r="H1287">
        <v>30057</v>
      </c>
      <c r="K1287" t="s">
        <v>1420</v>
      </c>
      <c r="L1287">
        <f t="shared" ref="L1287:L1290" si="34">10.14/1000</f>
        <v>1.014E-2</v>
      </c>
      <c r="O1287">
        <v>97</v>
      </c>
      <c r="Q1287" t="s">
        <v>1435</v>
      </c>
      <c r="R1287" t="s">
        <v>1453</v>
      </c>
      <c r="T1287">
        <v>122000</v>
      </c>
      <c r="U1287">
        <v>122000</v>
      </c>
      <c r="V1287">
        <v>0.24636885245901641</v>
      </c>
      <c r="W1287" t="s">
        <v>10</v>
      </c>
      <c r="X1287" t="s">
        <v>1460</v>
      </c>
    </row>
    <row r="1288" spans="1:24" hidden="1" x14ac:dyDescent="0.35">
      <c r="A1288" t="s">
        <v>1279</v>
      </c>
      <c r="B1288">
        <v>2023</v>
      </c>
      <c r="C1288" t="s">
        <v>1309</v>
      </c>
      <c r="D1288" t="s">
        <v>1350</v>
      </c>
      <c r="E1288" t="s">
        <v>1360</v>
      </c>
      <c r="G1288" t="s">
        <v>1376</v>
      </c>
      <c r="H1288">
        <v>183118</v>
      </c>
      <c r="K1288" t="s">
        <v>1420</v>
      </c>
      <c r="L1288">
        <f t="shared" si="34"/>
        <v>1.014E-2</v>
      </c>
      <c r="O1288">
        <v>97</v>
      </c>
      <c r="Q1288" t="s">
        <v>1435</v>
      </c>
      <c r="R1288" t="s">
        <v>1453</v>
      </c>
      <c r="T1288">
        <v>122000</v>
      </c>
      <c r="U1288">
        <v>122000</v>
      </c>
      <c r="V1288">
        <v>1.500967213114754</v>
      </c>
      <c r="W1288" t="s">
        <v>10</v>
      </c>
      <c r="X1288" t="s">
        <v>1461</v>
      </c>
    </row>
    <row r="1289" spans="1:24" hidden="1" x14ac:dyDescent="0.35">
      <c r="A1289" t="s">
        <v>1280</v>
      </c>
      <c r="B1289">
        <v>2023</v>
      </c>
      <c r="C1289" t="s">
        <v>1309</v>
      </c>
      <c r="D1289" t="s">
        <v>1350</v>
      </c>
      <c r="E1289" t="s">
        <v>1362</v>
      </c>
      <c r="G1289" t="s">
        <v>1376</v>
      </c>
      <c r="H1289">
        <v>25131</v>
      </c>
      <c r="K1289" t="s">
        <v>1420</v>
      </c>
      <c r="L1289">
        <f t="shared" si="34"/>
        <v>1.014E-2</v>
      </c>
      <c r="O1289">
        <v>97</v>
      </c>
      <c r="Q1289" t="s">
        <v>1435</v>
      </c>
      <c r="R1289" t="s">
        <v>1453</v>
      </c>
      <c r="T1289">
        <v>122000</v>
      </c>
      <c r="U1289">
        <v>122000</v>
      </c>
      <c r="V1289">
        <v>0.20599180327868849</v>
      </c>
      <c r="W1289" t="s">
        <v>10</v>
      </c>
      <c r="X1289" t="s">
        <v>1461</v>
      </c>
    </row>
    <row r="1290" spans="1:24" hidden="1" x14ac:dyDescent="0.35">
      <c r="A1290" t="s">
        <v>1281</v>
      </c>
      <c r="B1290">
        <v>2023</v>
      </c>
      <c r="C1290" t="s">
        <v>1309</v>
      </c>
      <c r="D1290" t="s">
        <v>1350</v>
      </c>
      <c r="E1290" t="s">
        <v>1361</v>
      </c>
      <c r="G1290" t="s">
        <v>1376</v>
      </c>
      <c r="H1290">
        <v>147624</v>
      </c>
      <c r="K1290" t="s">
        <v>1420</v>
      </c>
      <c r="L1290">
        <f t="shared" si="34"/>
        <v>1.014E-2</v>
      </c>
      <c r="O1290">
        <v>97</v>
      </c>
      <c r="Q1290" t="s">
        <v>1435</v>
      </c>
      <c r="R1290" t="s">
        <v>1453</v>
      </c>
      <c r="T1290">
        <v>122000</v>
      </c>
      <c r="U1290">
        <v>122000</v>
      </c>
      <c r="V1290">
        <v>1.2100327868852461</v>
      </c>
      <c r="W1290" t="s">
        <v>10</v>
      </c>
      <c r="X1290" t="s">
        <v>1461</v>
      </c>
    </row>
  </sheetData>
  <autoFilter ref="A1:X1290" xr:uid="{00000000-0001-0000-0000-000000000000}">
    <filterColumn colId="11">
      <filters blank="1"/>
    </filterColumn>
    <sortState xmlns:xlrd2="http://schemas.microsoft.com/office/spreadsheetml/2017/richdata2" ref="A2:X1290">
      <sortCondition ref="J1"/>
    </sortState>
  </autoFilter>
  <hyperlinks>
    <hyperlink ref="R1155" r:id="rId1" xr:uid="{00000000-0004-0000-0000-000000000000}"/>
    <hyperlink ref="R1156" r:id="rId2" xr:uid="{00000000-0004-0000-0000-000001000000}"/>
    <hyperlink ref="R1157" r:id="rId3" xr:uid="{00000000-0004-0000-0000-000002000000}"/>
    <hyperlink ref="R1158" r:id="rId4" xr:uid="{00000000-0004-0000-0000-000003000000}"/>
    <hyperlink ref="R1159" r:id="rId5" xr:uid="{00000000-0004-0000-0000-000004000000}"/>
    <hyperlink ref="R1160" r:id="rId6" xr:uid="{00000000-0004-0000-0000-000005000000}"/>
    <hyperlink ref="R277" r:id="rId7" xr:uid="{00000000-0004-0000-0000-000006000000}"/>
    <hyperlink ref="R278" r:id="rId8" xr:uid="{00000000-0004-0000-0000-000007000000}"/>
    <hyperlink ref="R279" r:id="rId9" xr:uid="{00000000-0004-0000-0000-000008000000}"/>
    <hyperlink ref="R280" r:id="rId10" xr:uid="{00000000-0004-0000-0000-000009000000}"/>
    <hyperlink ref="R281" r:id="rId11" xr:uid="{00000000-0004-0000-0000-00000A000000}"/>
    <hyperlink ref="R282" r:id="rId12" xr:uid="{00000000-0004-0000-0000-00000B000000}"/>
    <hyperlink ref="R283" r:id="rId13" xr:uid="{00000000-0004-0000-0000-00000C000000}"/>
    <hyperlink ref="R284" r:id="rId14" xr:uid="{00000000-0004-0000-0000-00000D000000}"/>
    <hyperlink ref="R285" r:id="rId15" xr:uid="{00000000-0004-0000-0000-00000E000000}"/>
    <hyperlink ref="R286" r:id="rId16" xr:uid="{00000000-0004-0000-0000-00000F000000}"/>
    <hyperlink ref="R287" r:id="rId17" xr:uid="{00000000-0004-0000-0000-000010000000}"/>
    <hyperlink ref="R288" r:id="rId18" xr:uid="{00000000-0004-0000-0000-000011000000}"/>
    <hyperlink ref="R289" r:id="rId19" xr:uid="{00000000-0004-0000-0000-000012000000}"/>
    <hyperlink ref="R290" r:id="rId20" xr:uid="{00000000-0004-0000-0000-000013000000}"/>
    <hyperlink ref="R291" r:id="rId21" xr:uid="{00000000-0004-0000-0000-000014000000}"/>
    <hyperlink ref="R292" r:id="rId22" xr:uid="{00000000-0004-0000-0000-000015000000}"/>
    <hyperlink ref="R451" r:id="rId23" xr:uid="{00000000-0004-0000-0000-000016000000}"/>
    <hyperlink ref="R613" r:id="rId24" xr:uid="{00000000-0004-0000-0000-000017000000}"/>
    <hyperlink ref="R452" r:id="rId25" xr:uid="{00000000-0004-0000-0000-000018000000}"/>
    <hyperlink ref="R614" r:id="rId26" xr:uid="{00000000-0004-0000-0000-000019000000}"/>
    <hyperlink ref="R453" r:id="rId27" xr:uid="{00000000-0004-0000-0000-00001A000000}"/>
    <hyperlink ref="R615" r:id="rId28" xr:uid="{00000000-0004-0000-0000-00001B000000}"/>
    <hyperlink ref="R616" r:id="rId29" xr:uid="{00000000-0004-0000-0000-00001C000000}"/>
    <hyperlink ref="R454" r:id="rId30" xr:uid="{00000000-0004-0000-0000-00001D000000}"/>
    <hyperlink ref="R617" r:id="rId31" xr:uid="{00000000-0004-0000-0000-00001E000000}"/>
    <hyperlink ref="R455" r:id="rId32" xr:uid="{00000000-0004-0000-0000-00001F000000}"/>
    <hyperlink ref="R618" r:id="rId33" xr:uid="{00000000-0004-0000-0000-000020000000}"/>
    <hyperlink ref="R456" r:id="rId34" xr:uid="{00000000-0004-0000-0000-000021000000}"/>
    <hyperlink ref="R619" r:id="rId35" xr:uid="{00000000-0004-0000-0000-000022000000}"/>
    <hyperlink ref="R457" r:id="rId36" xr:uid="{00000000-0004-0000-0000-000023000000}"/>
    <hyperlink ref="R620" r:id="rId37" xr:uid="{00000000-0004-0000-0000-000024000000}"/>
    <hyperlink ref="R458" r:id="rId38" xr:uid="{00000000-0004-0000-0000-000025000000}"/>
    <hyperlink ref="R621" r:id="rId39" xr:uid="{00000000-0004-0000-0000-000026000000}"/>
    <hyperlink ref="R459" r:id="rId40" xr:uid="{00000000-0004-0000-0000-000027000000}"/>
    <hyperlink ref="R622" r:id="rId41" xr:uid="{00000000-0004-0000-0000-000028000000}"/>
    <hyperlink ref="R460" r:id="rId42" xr:uid="{00000000-0004-0000-0000-000029000000}"/>
    <hyperlink ref="R461" r:id="rId43" xr:uid="{00000000-0004-0000-0000-00002A000000}"/>
    <hyperlink ref="R623" r:id="rId44" xr:uid="{00000000-0004-0000-0000-00002B000000}"/>
    <hyperlink ref="R624" r:id="rId45" xr:uid="{00000000-0004-0000-0000-00002C000000}"/>
    <hyperlink ref="R462" r:id="rId46" xr:uid="{00000000-0004-0000-0000-00002D000000}"/>
    <hyperlink ref="R625" r:id="rId47" xr:uid="{00000000-0004-0000-0000-00002E000000}"/>
    <hyperlink ref="R626" r:id="rId48" xr:uid="{00000000-0004-0000-0000-00002F000000}"/>
    <hyperlink ref="R463" r:id="rId49" xr:uid="{00000000-0004-0000-0000-000030000000}"/>
    <hyperlink ref="R627" r:id="rId50" xr:uid="{00000000-0004-0000-0000-000031000000}"/>
    <hyperlink ref="R464" r:id="rId51" xr:uid="{00000000-0004-0000-0000-000032000000}"/>
    <hyperlink ref="R628" r:id="rId52" xr:uid="{00000000-0004-0000-0000-000033000000}"/>
    <hyperlink ref="R465" r:id="rId53" xr:uid="{00000000-0004-0000-0000-000034000000}"/>
    <hyperlink ref="R629" r:id="rId54" xr:uid="{00000000-0004-0000-0000-000035000000}"/>
    <hyperlink ref="R630" r:id="rId55" xr:uid="{00000000-0004-0000-0000-000036000000}"/>
    <hyperlink ref="R631" r:id="rId56" xr:uid="{00000000-0004-0000-0000-000037000000}"/>
    <hyperlink ref="R466" r:id="rId57" xr:uid="{00000000-0004-0000-0000-000038000000}"/>
    <hyperlink ref="R632" r:id="rId58" xr:uid="{00000000-0004-0000-0000-000039000000}"/>
    <hyperlink ref="R633" r:id="rId59" xr:uid="{00000000-0004-0000-0000-00003A000000}"/>
    <hyperlink ref="R634" r:id="rId60" xr:uid="{00000000-0004-0000-0000-00003B000000}"/>
    <hyperlink ref="R635" r:id="rId61" xr:uid="{00000000-0004-0000-0000-00003C000000}"/>
    <hyperlink ref="R467" r:id="rId62" xr:uid="{00000000-0004-0000-0000-00003D000000}"/>
    <hyperlink ref="R636" r:id="rId63" xr:uid="{00000000-0004-0000-0000-00003E000000}"/>
    <hyperlink ref="R65" r:id="rId64" xr:uid="{00000000-0004-0000-0000-00003F000000}"/>
    <hyperlink ref="R66" r:id="rId65" xr:uid="{00000000-0004-0000-0000-000040000000}"/>
    <hyperlink ref="R67" r:id="rId66" xr:uid="{00000000-0004-0000-0000-000041000000}"/>
    <hyperlink ref="R68" r:id="rId67" xr:uid="{00000000-0004-0000-0000-000042000000}"/>
    <hyperlink ref="R69" r:id="rId68" xr:uid="{00000000-0004-0000-0000-000043000000}"/>
    <hyperlink ref="R694" r:id="rId69" xr:uid="{00000000-0004-0000-0000-000044000000}"/>
    <hyperlink ref="R695" r:id="rId70" xr:uid="{00000000-0004-0000-0000-000045000000}"/>
    <hyperlink ref="R696" r:id="rId71" xr:uid="{00000000-0004-0000-0000-000046000000}"/>
    <hyperlink ref="R697" r:id="rId72" xr:uid="{00000000-0004-0000-0000-000047000000}"/>
    <hyperlink ref="R698" r:id="rId73" xr:uid="{00000000-0004-0000-0000-000048000000}"/>
    <hyperlink ref="R699" r:id="rId74" xr:uid="{00000000-0004-0000-0000-000049000000}"/>
    <hyperlink ref="R700" r:id="rId75" xr:uid="{00000000-0004-0000-0000-00004A000000}"/>
    <hyperlink ref="R701" r:id="rId76" xr:uid="{00000000-0004-0000-0000-00004B000000}"/>
    <hyperlink ref="R702" r:id="rId77" xr:uid="{00000000-0004-0000-0000-00004C000000}"/>
    <hyperlink ref="R703" r:id="rId78" xr:uid="{00000000-0004-0000-0000-00004D000000}"/>
    <hyperlink ref="R704" r:id="rId79" xr:uid="{00000000-0004-0000-0000-00004E000000}"/>
    <hyperlink ref="R581" r:id="rId80" xr:uid="{00000000-0004-0000-0000-00004F000000}"/>
    <hyperlink ref="R582" r:id="rId81" xr:uid="{00000000-0004-0000-0000-000050000000}"/>
    <hyperlink ref="R583" r:id="rId82" xr:uid="{00000000-0004-0000-0000-000051000000}"/>
    <hyperlink ref="R584" r:id="rId83" xr:uid="{00000000-0004-0000-0000-000052000000}"/>
    <hyperlink ref="R585" r:id="rId84" xr:uid="{00000000-0004-0000-0000-000053000000}"/>
    <hyperlink ref="R586" r:id="rId85" xr:uid="{00000000-0004-0000-0000-000054000000}"/>
    <hyperlink ref="R587" r:id="rId86" xr:uid="{00000000-0004-0000-0000-000055000000}"/>
    <hyperlink ref="R588" r:id="rId87" xr:uid="{00000000-0004-0000-0000-000056000000}"/>
    <hyperlink ref="R589" r:id="rId88" xr:uid="{00000000-0004-0000-0000-000057000000}"/>
    <hyperlink ref="R590" r:id="rId89" xr:uid="{00000000-0004-0000-0000-000058000000}"/>
    <hyperlink ref="R591" r:id="rId90" xr:uid="{00000000-0004-0000-0000-000059000000}"/>
    <hyperlink ref="R592" r:id="rId91" xr:uid="{00000000-0004-0000-0000-00005A000000}"/>
    <hyperlink ref="R593" r:id="rId92" xr:uid="{00000000-0004-0000-0000-00005B000000}"/>
    <hyperlink ref="R594" r:id="rId93" xr:uid="{00000000-0004-0000-0000-00005C000000}"/>
    <hyperlink ref="R595" r:id="rId94" xr:uid="{00000000-0004-0000-0000-00005D000000}"/>
    <hyperlink ref="R596" r:id="rId95" xr:uid="{00000000-0004-0000-0000-00005E000000}"/>
    <hyperlink ref="R597" r:id="rId96" xr:uid="{00000000-0004-0000-0000-00005F000000}"/>
    <hyperlink ref="R98" r:id="rId97" xr:uid="{00000000-0004-0000-0000-000060000000}"/>
    <hyperlink ref="R99" r:id="rId98" xr:uid="{00000000-0004-0000-0000-000061000000}"/>
    <hyperlink ref="R100" r:id="rId99" xr:uid="{00000000-0004-0000-0000-000062000000}"/>
    <hyperlink ref="R101" r:id="rId100" xr:uid="{00000000-0004-0000-0000-000063000000}"/>
    <hyperlink ref="R102" r:id="rId101" xr:uid="{00000000-0004-0000-0000-000064000000}"/>
    <hyperlink ref="R103" r:id="rId102" xr:uid="{00000000-0004-0000-0000-000065000000}"/>
    <hyperlink ref="R104" r:id="rId103" xr:uid="{00000000-0004-0000-0000-000066000000}"/>
    <hyperlink ref="R105" r:id="rId104" xr:uid="{00000000-0004-0000-0000-000067000000}"/>
    <hyperlink ref="R106" r:id="rId105" xr:uid="{00000000-0004-0000-0000-000068000000}"/>
    <hyperlink ref="R107" r:id="rId106" xr:uid="{00000000-0004-0000-0000-000069000000}"/>
    <hyperlink ref="R108" r:id="rId107" xr:uid="{00000000-0004-0000-0000-00006A000000}"/>
    <hyperlink ref="R109" r:id="rId108" xr:uid="{00000000-0004-0000-0000-00006B000000}"/>
    <hyperlink ref="R110" r:id="rId109" xr:uid="{00000000-0004-0000-0000-00006C000000}"/>
    <hyperlink ref="R991" r:id="rId110" xr:uid="{00000000-0004-0000-0000-00006D000000}"/>
    <hyperlink ref="R992" r:id="rId111" xr:uid="{00000000-0004-0000-0000-00006E000000}"/>
    <hyperlink ref="R993" r:id="rId112" xr:uid="{00000000-0004-0000-0000-00006F000000}"/>
    <hyperlink ref="R994" r:id="rId113" xr:uid="{00000000-0004-0000-0000-000070000000}"/>
    <hyperlink ref="R995" r:id="rId114" xr:uid="{00000000-0004-0000-0000-000071000000}"/>
    <hyperlink ref="R996" r:id="rId115" xr:uid="{00000000-0004-0000-0000-000072000000}"/>
    <hyperlink ref="R997" r:id="rId116" xr:uid="{00000000-0004-0000-0000-000073000000}"/>
    <hyperlink ref="R998" r:id="rId117" xr:uid="{00000000-0004-0000-0000-000074000000}"/>
    <hyperlink ref="R999" r:id="rId118" xr:uid="{00000000-0004-0000-0000-000075000000}"/>
    <hyperlink ref="R1000" r:id="rId119" xr:uid="{00000000-0004-0000-0000-000076000000}"/>
    <hyperlink ref="R1001" r:id="rId120" xr:uid="{00000000-0004-0000-0000-000077000000}"/>
    <hyperlink ref="R1002" r:id="rId121" xr:uid="{00000000-0004-0000-0000-000078000000}"/>
    <hyperlink ref="R376" r:id="rId122" xr:uid="{00000000-0004-0000-0000-000079000000}"/>
    <hyperlink ref="R377" r:id="rId123" xr:uid="{00000000-0004-0000-0000-00007A000000}"/>
    <hyperlink ref="R378" r:id="rId124" xr:uid="{00000000-0004-0000-0000-00007B000000}"/>
    <hyperlink ref="R379" r:id="rId125" xr:uid="{00000000-0004-0000-0000-00007C000000}"/>
    <hyperlink ref="R380" r:id="rId126" xr:uid="{00000000-0004-0000-0000-00007D000000}"/>
    <hyperlink ref="R381" r:id="rId127" xr:uid="{00000000-0004-0000-0000-00007E000000}"/>
    <hyperlink ref="R382" r:id="rId128" xr:uid="{00000000-0004-0000-0000-00007F000000}"/>
    <hyperlink ref="R383" r:id="rId129" xr:uid="{00000000-0004-0000-0000-000080000000}"/>
    <hyperlink ref="R384" r:id="rId130" xr:uid="{00000000-0004-0000-0000-000081000000}"/>
    <hyperlink ref="R385" r:id="rId131" xr:uid="{00000000-0004-0000-0000-000082000000}"/>
    <hyperlink ref="R386" r:id="rId132" xr:uid="{00000000-0004-0000-0000-000083000000}"/>
    <hyperlink ref="R387" r:id="rId133" xr:uid="{00000000-0004-0000-0000-000084000000}"/>
    <hyperlink ref="R388" r:id="rId134" xr:uid="{00000000-0004-0000-0000-000085000000}"/>
    <hyperlink ref="R389" r:id="rId135" xr:uid="{00000000-0004-0000-0000-000086000000}"/>
    <hyperlink ref="R390" r:id="rId136" xr:uid="{00000000-0004-0000-0000-000087000000}"/>
    <hyperlink ref="R32" r:id="rId137" xr:uid="{00000000-0004-0000-0000-000088000000}"/>
    <hyperlink ref="R33" r:id="rId138" xr:uid="{00000000-0004-0000-0000-000089000000}"/>
    <hyperlink ref="R34" r:id="rId139" xr:uid="{00000000-0004-0000-0000-00008A000000}"/>
    <hyperlink ref="R35" r:id="rId140" xr:uid="{00000000-0004-0000-0000-00008B000000}"/>
    <hyperlink ref="R799" r:id="rId141" xr:uid="{00000000-0004-0000-0000-00008C000000}"/>
    <hyperlink ref="R800" r:id="rId142" xr:uid="{00000000-0004-0000-0000-00008D000000}"/>
    <hyperlink ref="R801" r:id="rId143" xr:uid="{00000000-0004-0000-0000-00008E000000}"/>
    <hyperlink ref="R802" r:id="rId144" xr:uid="{00000000-0004-0000-0000-00008F000000}"/>
    <hyperlink ref="R803" r:id="rId145" xr:uid="{00000000-0004-0000-0000-000090000000}"/>
    <hyperlink ref="R804" r:id="rId146" xr:uid="{00000000-0004-0000-0000-000091000000}"/>
    <hyperlink ref="R805" r:id="rId147" xr:uid="{00000000-0004-0000-0000-000092000000}"/>
    <hyperlink ref="R806" r:id="rId148" xr:uid="{00000000-0004-0000-0000-000093000000}"/>
    <hyperlink ref="R807" r:id="rId149" xr:uid="{00000000-0004-0000-0000-000094000000}"/>
    <hyperlink ref="R808" r:id="rId150" xr:uid="{00000000-0004-0000-0000-000095000000}"/>
    <hyperlink ref="R809" r:id="rId151" xr:uid="{00000000-0004-0000-0000-000096000000}"/>
    <hyperlink ref="R810" r:id="rId152" xr:uid="{00000000-0004-0000-0000-000097000000}"/>
    <hyperlink ref="R811" r:id="rId153" xr:uid="{00000000-0004-0000-0000-000098000000}"/>
    <hyperlink ref="R812" r:id="rId154" xr:uid="{00000000-0004-0000-0000-000099000000}"/>
    <hyperlink ref="R813" r:id="rId155" xr:uid="{00000000-0004-0000-0000-00009A000000}"/>
    <hyperlink ref="R814" r:id="rId156" xr:uid="{00000000-0004-0000-0000-00009B000000}"/>
    <hyperlink ref="R815" r:id="rId157" xr:uid="{00000000-0004-0000-0000-00009C000000}"/>
    <hyperlink ref="R816" r:id="rId158" xr:uid="{00000000-0004-0000-0000-00009D000000}"/>
    <hyperlink ref="R817" r:id="rId159" xr:uid="{00000000-0004-0000-0000-00009E000000}"/>
    <hyperlink ref="R818" r:id="rId160" xr:uid="{00000000-0004-0000-0000-00009F000000}"/>
    <hyperlink ref="R819" r:id="rId161" xr:uid="{00000000-0004-0000-0000-0000A0000000}"/>
    <hyperlink ref="R820" r:id="rId162" xr:uid="{00000000-0004-0000-0000-0000A1000000}"/>
    <hyperlink ref="R979" r:id="rId163" xr:uid="{00000000-0004-0000-0000-0000A2000000}"/>
    <hyperlink ref="R858" r:id="rId164" xr:uid="{00000000-0004-0000-0000-0000A3000000}"/>
    <hyperlink ref="R859" r:id="rId165" xr:uid="{00000000-0004-0000-0000-0000A4000000}"/>
    <hyperlink ref="R980" r:id="rId166" xr:uid="{00000000-0004-0000-0000-0000A5000000}"/>
    <hyperlink ref="R860" r:id="rId167" xr:uid="{00000000-0004-0000-0000-0000A6000000}"/>
    <hyperlink ref="R861" r:id="rId168" xr:uid="{00000000-0004-0000-0000-0000A7000000}"/>
    <hyperlink ref="R862" r:id="rId169" xr:uid="{00000000-0004-0000-0000-0000A8000000}"/>
    <hyperlink ref="R863" r:id="rId170" xr:uid="{00000000-0004-0000-0000-0000A9000000}"/>
    <hyperlink ref="R864" r:id="rId171" xr:uid="{00000000-0004-0000-0000-0000AA000000}"/>
    <hyperlink ref="R865" r:id="rId172" xr:uid="{00000000-0004-0000-0000-0000AB000000}"/>
    <hyperlink ref="R866" r:id="rId173" xr:uid="{00000000-0004-0000-0000-0000AC000000}"/>
    <hyperlink ref="R867" r:id="rId174" xr:uid="{00000000-0004-0000-0000-0000AD000000}"/>
    <hyperlink ref="R868" r:id="rId175" xr:uid="{00000000-0004-0000-0000-0000AE000000}"/>
    <hyperlink ref="R981" r:id="rId176" xr:uid="{00000000-0004-0000-0000-0000AF000000}"/>
    <hyperlink ref="R869" r:id="rId177" xr:uid="{00000000-0004-0000-0000-0000B0000000}"/>
    <hyperlink ref="R982" r:id="rId178" xr:uid="{00000000-0004-0000-0000-0000B1000000}"/>
    <hyperlink ref="R870" r:id="rId179" xr:uid="{00000000-0004-0000-0000-0000B2000000}"/>
    <hyperlink ref="R871" r:id="rId180" xr:uid="{00000000-0004-0000-0000-0000B3000000}"/>
    <hyperlink ref="R872" r:id="rId181" xr:uid="{00000000-0004-0000-0000-0000B4000000}"/>
    <hyperlink ref="R983" r:id="rId182" xr:uid="{00000000-0004-0000-0000-0000B5000000}"/>
    <hyperlink ref="R873" r:id="rId183" xr:uid="{00000000-0004-0000-0000-0000B6000000}"/>
    <hyperlink ref="R874" r:id="rId184" xr:uid="{00000000-0004-0000-0000-0000B7000000}"/>
    <hyperlink ref="R875" r:id="rId185" xr:uid="{00000000-0004-0000-0000-0000B8000000}"/>
    <hyperlink ref="R415" r:id="rId186" xr:uid="{00000000-0004-0000-0000-0000B9000000}"/>
    <hyperlink ref="R416" r:id="rId187" xr:uid="{00000000-0004-0000-0000-0000BA000000}"/>
    <hyperlink ref="R417" r:id="rId188" xr:uid="{00000000-0004-0000-0000-0000BB000000}"/>
    <hyperlink ref="R418" r:id="rId189" xr:uid="{00000000-0004-0000-0000-0000BC000000}"/>
    <hyperlink ref="R419" r:id="rId190" xr:uid="{00000000-0004-0000-0000-0000BD000000}"/>
    <hyperlink ref="R420" r:id="rId191" xr:uid="{00000000-0004-0000-0000-0000BE000000}"/>
    <hyperlink ref="R421" r:id="rId192" xr:uid="{00000000-0004-0000-0000-0000BF000000}"/>
    <hyperlink ref="R422" r:id="rId193" xr:uid="{00000000-0004-0000-0000-0000C0000000}"/>
    <hyperlink ref="R423" r:id="rId194" xr:uid="{00000000-0004-0000-0000-0000C1000000}"/>
    <hyperlink ref="R424" r:id="rId195" xr:uid="{00000000-0004-0000-0000-0000C2000000}"/>
    <hyperlink ref="R425" r:id="rId196" xr:uid="{00000000-0004-0000-0000-0000C3000000}"/>
    <hyperlink ref="R426" r:id="rId197" xr:uid="{00000000-0004-0000-0000-0000C4000000}"/>
    <hyperlink ref="R427" r:id="rId198" xr:uid="{00000000-0004-0000-0000-0000C5000000}"/>
    <hyperlink ref="R1054" r:id="rId199" xr:uid="{00000000-0004-0000-0000-0000C6000000}"/>
    <hyperlink ref="R1055" r:id="rId200" xr:uid="{00000000-0004-0000-0000-0000C7000000}"/>
    <hyperlink ref="R1056" r:id="rId201" xr:uid="{00000000-0004-0000-0000-0000C8000000}"/>
    <hyperlink ref="R1057" r:id="rId202" xr:uid="{00000000-0004-0000-0000-0000C9000000}"/>
    <hyperlink ref="R1058" r:id="rId203" xr:uid="{00000000-0004-0000-0000-0000CA000000}"/>
    <hyperlink ref="R1059" r:id="rId204" xr:uid="{00000000-0004-0000-0000-0000CB000000}"/>
    <hyperlink ref="R350" r:id="rId205" xr:uid="{00000000-0004-0000-0000-0000CC000000}"/>
    <hyperlink ref="R193" r:id="rId206" xr:uid="{00000000-0004-0000-0000-0000CD000000}"/>
    <hyperlink ref="R194" r:id="rId207" xr:uid="{00000000-0004-0000-0000-0000CE000000}"/>
    <hyperlink ref="R351" r:id="rId208" xr:uid="{00000000-0004-0000-0000-0000CF000000}"/>
    <hyperlink ref="R195" r:id="rId209" xr:uid="{00000000-0004-0000-0000-0000D0000000}"/>
    <hyperlink ref="R196" r:id="rId210" xr:uid="{00000000-0004-0000-0000-0000D1000000}"/>
    <hyperlink ref="R197" r:id="rId211" xr:uid="{00000000-0004-0000-0000-0000D2000000}"/>
    <hyperlink ref="R352" r:id="rId212" xr:uid="{00000000-0004-0000-0000-0000D3000000}"/>
    <hyperlink ref="R198" r:id="rId213" xr:uid="{00000000-0004-0000-0000-0000D4000000}"/>
    <hyperlink ref="R199" r:id="rId214" xr:uid="{00000000-0004-0000-0000-0000D5000000}"/>
    <hyperlink ref="R200" r:id="rId215" xr:uid="{00000000-0004-0000-0000-0000D6000000}"/>
    <hyperlink ref="R201" r:id="rId216" xr:uid="{00000000-0004-0000-0000-0000D7000000}"/>
    <hyperlink ref="R353" r:id="rId217" xr:uid="{00000000-0004-0000-0000-0000D8000000}"/>
    <hyperlink ref="R202" r:id="rId218" xr:uid="{00000000-0004-0000-0000-0000D9000000}"/>
    <hyperlink ref="R203" r:id="rId219" xr:uid="{00000000-0004-0000-0000-0000DA000000}"/>
    <hyperlink ref="R354" r:id="rId220" xr:uid="{00000000-0004-0000-0000-0000DB000000}"/>
    <hyperlink ref="R204" r:id="rId221" xr:uid="{00000000-0004-0000-0000-0000DC000000}"/>
    <hyperlink ref="R355" r:id="rId222" xr:uid="{00000000-0004-0000-0000-0000DD000000}"/>
    <hyperlink ref="R205" r:id="rId223" xr:uid="{00000000-0004-0000-0000-0000DE000000}"/>
    <hyperlink ref="R356" r:id="rId224" xr:uid="{00000000-0004-0000-0000-0000DF000000}"/>
    <hyperlink ref="R206" r:id="rId225" xr:uid="{00000000-0004-0000-0000-0000E0000000}"/>
    <hyperlink ref="R357" r:id="rId226" xr:uid="{00000000-0004-0000-0000-0000E1000000}"/>
    <hyperlink ref="R207" r:id="rId227" xr:uid="{00000000-0004-0000-0000-0000E2000000}"/>
    <hyperlink ref="R208" r:id="rId228" xr:uid="{00000000-0004-0000-0000-0000E3000000}"/>
    <hyperlink ref="R163" r:id="rId229" xr:uid="{00000000-0004-0000-0000-0000E4000000}"/>
    <hyperlink ref="R164" r:id="rId230" xr:uid="{00000000-0004-0000-0000-0000E5000000}"/>
    <hyperlink ref="R165" r:id="rId231" xr:uid="{00000000-0004-0000-0000-0000E6000000}"/>
    <hyperlink ref="R166" r:id="rId232" xr:uid="{00000000-0004-0000-0000-0000E7000000}"/>
    <hyperlink ref="R167" r:id="rId233" xr:uid="{00000000-0004-0000-0000-0000E8000000}"/>
    <hyperlink ref="R168" r:id="rId234" xr:uid="{00000000-0004-0000-0000-0000E9000000}"/>
    <hyperlink ref="R169" r:id="rId235" xr:uid="{00000000-0004-0000-0000-0000EA000000}"/>
    <hyperlink ref="R170" r:id="rId236" xr:uid="{00000000-0004-0000-0000-0000EB000000}"/>
    <hyperlink ref="R171" r:id="rId237" xr:uid="{00000000-0004-0000-0000-0000EC000000}"/>
    <hyperlink ref="R172" r:id="rId238" xr:uid="{00000000-0004-0000-0000-0000ED000000}"/>
    <hyperlink ref="R173" r:id="rId239" xr:uid="{00000000-0004-0000-0000-0000EE000000}"/>
    <hyperlink ref="R144" r:id="rId240" xr:uid="{00000000-0004-0000-0000-0000EF000000}"/>
    <hyperlink ref="R145" r:id="rId241" xr:uid="{00000000-0004-0000-0000-0000F0000000}"/>
    <hyperlink ref="R146" r:id="rId242" xr:uid="{00000000-0004-0000-0000-0000F1000000}"/>
    <hyperlink ref="R147" r:id="rId243" xr:uid="{00000000-0004-0000-0000-0000F2000000}"/>
    <hyperlink ref="R148" r:id="rId244" xr:uid="{00000000-0004-0000-0000-0000F3000000}"/>
    <hyperlink ref="R149" r:id="rId245" xr:uid="{00000000-0004-0000-0000-0000F4000000}"/>
    <hyperlink ref="R150" r:id="rId246" xr:uid="{00000000-0004-0000-0000-0000F5000000}"/>
    <hyperlink ref="R747" r:id="rId247" xr:uid="{00000000-0004-0000-0000-0000F6000000}"/>
    <hyperlink ref="R748" r:id="rId248" xr:uid="{00000000-0004-0000-0000-0000F7000000}"/>
    <hyperlink ref="R749" r:id="rId249" xr:uid="{00000000-0004-0000-0000-0000F8000000}"/>
    <hyperlink ref="R750" r:id="rId250" xr:uid="{00000000-0004-0000-0000-0000F9000000}"/>
    <hyperlink ref="R751" r:id="rId251" xr:uid="{00000000-0004-0000-0000-0000FA000000}"/>
    <hyperlink ref="R752" r:id="rId252" xr:uid="{00000000-0004-0000-0000-0000FB000000}"/>
    <hyperlink ref="R753" r:id="rId253" xr:uid="{00000000-0004-0000-0000-0000FC000000}"/>
    <hyperlink ref="R754" r:id="rId254" xr:uid="{00000000-0004-0000-0000-0000FD000000}"/>
    <hyperlink ref="R755" r:id="rId255" xr:uid="{00000000-0004-0000-0000-0000FE000000}"/>
    <hyperlink ref="R756" r:id="rId256" xr:uid="{00000000-0004-0000-0000-0000FF000000}"/>
    <hyperlink ref="R757" r:id="rId257" xr:uid="{00000000-0004-0000-0000-000000010000}"/>
    <hyperlink ref="R758" r:id="rId258" xr:uid="{00000000-0004-0000-0000-000001010000}"/>
    <hyperlink ref="R759" r:id="rId259" xr:uid="{00000000-0004-0000-0000-000002010000}"/>
    <hyperlink ref="R760" r:id="rId260" xr:uid="{00000000-0004-0000-0000-000003010000}"/>
    <hyperlink ref="R761" r:id="rId261" xr:uid="{00000000-0004-0000-0000-000004010000}"/>
    <hyperlink ref="R762" r:id="rId262" xr:uid="{00000000-0004-0000-0000-000005010000}"/>
    <hyperlink ref="R705" r:id="rId263" xr:uid="{00000000-0004-0000-0000-000006010000}"/>
    <hyperlink ref="R706" r:id="rId264" xr:uid="{00000000-0004-0000-0000-000007010000}"/>
    <hyperlink ref="R707" r:id="rId265" xr:uid="{00000000-0004-0000-0000-000008010000}"/>
    <hyperlink ref="R708" r:id="rId266" xr:uid="{00000000-0004-0000-0000-000009010000}"/>
    <hyperlink ref="R1220" r:id="rId267" xr:uid="{00000000-0004-0000-0000-00000A010000}"/>
    <hyperlink ref="R920" r:id="rId268" xr:uid="{00000000-0004-0000-0000-00000B010000}"/>
    <hyperlink ref="R921" r:id="rId269" xr:uid="{00000000-0004-0000-0000-00000C010000}"/>
    <hyperlink ref="R922" r:id="rId270" xr:uid="{00000000-0004-0000-0000-00000D010000}"/>
    <hyperlink ref="R923" r:id="rId271" xr:uid="{00000000-0004-0000-0000-00000E010000}"/>
    <hyperlink ref="R924" r:id="rId272" xr:uid="{00000000-0004-0000-0000-00000F010000}"/>
    <hyperlink ref="R925" r:id="rId273" xr:uid="{00000000-0004-0000-0000-000010010000}"/>
    <hyperlink ref="R926" r:id="rId274" xr:uid="{00000000-0004-0000-0000-000011010000}"/>
    <hyperlink ref="R927" r:id="rId275" xr:uid="{00000000-0004-0000-0000-000012010000}"/>
    <hyperlink ref="R928" r:id="rId276" xr:uid="{00000000-0004-0000-0000-000013010000}"/>
    <hyperlink ref="R929" r:id="rId277" xr:uid="{00000000-0004-0000-0000-000014010000}"/>
    <hyperlink ref="R930" r:id="rId278" xr:uid="{00000000-0004-0000-0000-000015010000}"/>
    <hyperlink ref="R931" r:id="rId279" xr:uid="{00000000-0004-0000-0000-000016010000}"/>
    <hyperlink ref="R520" r:id="rId280" xr:uid="{00000000-0004-0000-0000-000017010000}"/>
    <hyperlink ref="R521" r:id="rId281" xr:uid="{00000000-0004-0000-0000-000018010000}"/>
    <hyperlink ref="R522" r:id="rId282" xr:uid="{00000000-0004-0000-0000-000019010000}"/>
    <hyperlink ref="R523" r:id="rId283" xr:uid="{00000000-0004-0000-0000-00001A010000}"/>
    <hyperlink ref="R524" r:id="rId284" xr:uid="{00000000-0004-0000-0000-00001B010000}"/>
    <hyperlink ref="R525" r:id="rId285" xr:uid="{00000000-0004-0000-0000-00001C010000}"/>
    <hyperlink ref="R526" r:id="rId286" xr:uid="{00000000-0004-0000-0000-00001D010000}"/>
    <hyperlink ref="R527" r:id="rId287" xr:uid="{00000000-0004-0000-0000-00001E010000}"/>
    <hyperlink ref="R528" r:id="rId288" xr:uid="{00000000-0004-0000-0000-00001F010000}"/>
    <hyperlink ref="R529" r:id="rId289" xr:uid="{00000000-0004-0000-0000-000020010000}"/>
    <hyperlink ref="R530" r:id="rId290" xr:uid="{00000000-0004-0000-0000-000021010000}"/>
    <hyperlink ref="R531" r:id="rId291" xr:uid="{00000000-0004-0000-0000-000022010000}"/>
    <hyperlink ref="R532" r:id="rId292" xr:uid="{00000000-0004-0000-0000-000023010000}"/>
    <hyperlink ref="R533" r:id="rId293" xr:uid="{00000000-0004-0000-0000-000024010000}"/>
    <hyperlink ref="R534" r:id="rId294" xr:uid="{00000000-0004-0000-0000-000025010000}"/>
    <hyperlink ref="R535" r:id="rId295" xr:uid="{00000000-0004-0000-0000-000026010000}"/>
    <hyperlink ref="R536" r:id="rId296" xr:uid="{00000000-0004-0000-0000-000027010000}"/>
    <hyperlink ref="R537" r:id="rId297" xr:uid="{00000000-0004-0000-0000-000028010000}"/>
    <hyperlink ref="R538" r:id="rId298" xr:uid="{00000000-0004-0000-0000-000029010000}"/>
    <hyperlink ref="R539" r:id="rId299" xr:uid="{00000000-0004-0000-0000-00002A010000}"/>
    <hyperlink ref="R540" r:id="rId300" xr:uid="{00000000-0004-0000-0000-00002B010000}"/>
    <hyperlink ref="R1161" r:id="rId301" xr:uid="{00000000-0004-0000-0000-00002C010000}"/>
    <hyperlink ref="R1162" r:id="rId302" xr:uid="{00000000-0004-0000-0000-00002D010000}"/>
    <hyperlink ref="R1163" r:id="rId303" xr:uid="{00000000-0004-0000-0000-00002E010000}"/>
    <hyperlink ref="R36" r:id="rId304" xr:uid="{00000000-0004-0000-0000-00002F010000}"/>
    <hyperlink ref="R358" r:id="rId305" xr:uid="{00000000-0004-0000-0000-000030010000}"/>
    <hyperlink ref="R359" r:id="rId306" xr:uid="{00000000-0004-0000-0000-000031010000}"/>
    <hyperlink ref="R360" r:id="rId307" xr:uid="{00000000-0004-0000-0000-000032010000}"/>
    <hyperlink ref="R1164" r:id="rId308" xr:uid="{00000000-0004-0000-0000-000033010000}"/>
    <hyperlink ref="R1165" r:id="rId309" xr:uid="{00000000-0004-0000-0000-000034010000}"/>
    <hyperlink ref="R1166" r:id="rId310" xr:uid="{00000000-0004-0000-0000-000035010000}"/>
    <hyperlink ref="R1167" r:id="rId311" xr:uid="{00000000-0004-0000-0000-000036010000}"/>
    <hyperlink ref="R1168" r:id="rId312" xr:uid="{00000000-0004-0000-0000-000037010000}"/>
    <hyperlink ref="R1169" r:id="rId313" xr:uid="{00000000-0004-0000-0000-000038010000}"/>
    <hyperlink ref="R1170" r:id="rId314" xr:uid="{00000000-0004-0000-0000-000039010000}"/>
    <hyperlink ref="R1171" r:id="rId315" xr:uid="{00000000-0004-0000-0000-00003A010000}"/>
    <hyperlink ref="R1172" r:id="rId316" xr:uid="{00000000-0004-0000-0000-00003B010000}"/>
    <hyperlink ref="R1173" r:id="rId317" xr:uid="{00000000-0004-0000-0000-00003C010000}"/>
    <hyperlink ref="R1174" r:id="rId318" xr:uid="{00000000-0004-0000-0000-00003D010000}"/>
    <hyperlink ref="R1175" r:id="rId319" xr:uid="{00000000-0004-0000-0000-00003E010000}"/>
    <hyperlink ref="R1176" r:id="rId320" xr:uid="{00000000-0004-0000-0000-00003F010000}"/>
    <hyperlink ref="R1177" r:id="rId321" xr:uid="{00000000-0004-0000-0000-000040010000}"/>
    <hyperlink ref="R1178" r:id="rId322" xr:uid="{00000000-0004-0000-0000-000041010000}"/>
    <hyperlink ref="R1179" r:id="rId323" xr:uid="{00000000-0004-0000-0000-000042010000}"/>
    <hyperlink ref="R1180" r:id="rId324" xr:uid="{00000000-0004-0000-0000-000043010000}"/>
    <hyperlink ref="R1181" r:id="rId325" xr:uid="{00000000-0004-0000-0000-000044010000}"/>
    <hyperlink ref="R1182" r:id="rId326" xr:uid="{00000000-0004-0000-0000-000045010000}"/>
    <hyperlink ref="R1183" r:id="rId327" xr:uid="{00000000-0004-0000-0000-000046010000}"/>
    <hyperlink ref="R293" r:id="rId328" xr:uid="{00000000-0004-0000-0000-000047010000}"/>
    <hyperlink ref="R294" r:id="rId329" xr:uid="{00000000-0004-0000-0000-000048010000}"/>
    <hyperlink ref="R295" r:id="rId330" xr:uid="{00000000-0004-0000-0000-000049010000}"/>
    <hyperlink ref="R296" r:id="rId331" xr:uid="{00000000-0004-0000-0000-00004A010000}"/>
    <hyperlink ref="R297" r:id="rId332" xr:uid="{00000000-0004-0000-0000-00004B010000}"/>
    <hyperlink ref="R298" r:id="rId333" xr:uid="{00000000-0004-0000-0000-00004C010000}"/>
    <hyperlink ref="R299" r:id="rId334" xr:uid="{00000000-0004-0000-0000-00004D010000}"/>
    <hyperlink ref="R300" r:id="rId335" xr:uid="{00000000-0004-0000-0000-00004E010000}"/>
    <hyperlink ref="R301" r:id="rId336" xr:uid="{00000000-0004-0000-0000-00004F010000}"/>
    <hyperlink ref="R302" r:id="rId337" xr:uid="{00000000-0004-0000-0000-000050010000}"/>
    <hyperlink ref="R303" r:id="rId338" xr:uid="{00000000-0004-0000-0000-000051010000}"/>
    <hyperlink ref="R304" r:id="rId339" xr:uid="{00000000-0004-0000-0000-000052010000}"/>
    <hyperlink ref="R305" r:id="rId340" xr:uid="{00000000-0004-0000-0000-000053010000}"/>
    <hyperlink ref="R306" r:id="rId341" xr:uid="{00000000-0004-0000-0000-000054010000}"/>
    <hyperlink ref="R307" r:id="rId342" xr:uid="{00000000-0004-0000-0000-000055010000}"/>
    <hyperlink ref="R308" r:id="rId343" xr:uid="{00000000-0004-0000-0000-000056010000}"/>
    <hyperlink ref="R309" r:id="rId344" xr:uid="{00000000-0004-0000-0000-000057010000}"/>
    <hyperlink ref="R310" r:id="rId345" xr:uid="{00000000-0004-0000-0000-000058010000}"/>
    <hyperlink ref="R311" r:id="rId346" xr:uid="{00000000-0004-0000-0000-000059010000}"/>
    <hyperlink ref="R312" r:id="rId347" xr:uid="{00000000-0004-0000-0000-00005A010000}"/>
    <hyperlink ref="R313" r:id="rId348" xr:uid="{00000000-0004-0000-0000-00005B010000}"/>
    <hyperlink ref="R314" r:id="rId349" xr:uid="{00000000-0004-0000-0000-00005C010000}"/>
    <hyperlink ref="R637" r:id="rId350" xr:uid="{00000000-0004-0000-0000-00005D010000}"/>
    <hyperlink ref="R468" r:id="rId351" xr:uid="{00000000-0004-0000-0000-00005E010000}"/>
    <hyperlink ref="R638" r:id="rId352" xr:uid="{00000000-0004-0000-0000-00005F010000}"/>
    <hyperlink ref="R469" r:id="rId353" xr:uid="{00000000-0004-0000-0000-000060010000}"/>
    <hyperlink ref="R639" r:id="rId354" xr:uid="{00000000-0004-0000-0000-000061010000}"/>
    <hyperlink ref="R470" r:id="rId355" xr:uid="{00000000-0004-0000-0000-000062010000}"/>
    <hyperlink ref="R471" r:id="rId356" xr:uid="{00000000-0004-0000-0000-000063010000}"/>
    <hyperlink ref="R640" r:id="rId357" xr:uid="{00000000-0004-0000-0000-000064010000}"/>
    <hyperlink ref="R472" r:id="rId358" xr:uid="{00000000-0004-0000-0000-000065010000}"/>
    <hyperlink ref="R641" r:id="rId359" xr:uid="{00000000-0004-0000-0000-000066010000}"/>
    <hyperlink ref="R473" r:id="rId360" xr:uid="{00000000-0004-0000-0000-000067010000}"/>
    <hyperlink ref="R642" r:id="rId361" xr:uid="{00000000-0004-0000-0000-000068010000}"/>
    <hyperlink ref="R474" r:id="rId362" xr:uid="{00000000-0004-0000-0000-000069010000}"/>
    <hyperlink ref="R643" r:id="rId363" xr:uid="{00000000-0004-0000-0000-00006A010000}"/>
    <hyperlink ref="R475" r:id="rId364" xr:uid="{00000000-0004-0000-0000-00006B010000}"/>
    <hyperlink ref="R644" r:id="rId365" xr:uid="{00000000-0004-0000-0000-00006C010000}"/>
    <hyperlink ref="R476" r:id="rId366" xr:uid="{00000000-0004-0000-0000-00006D010000}"/>
    <hyperlink ref="R645" r:id="rId367" xr:uid="{00000000-0004-0000-0000-00006E010000}"/>
    <hyperlink ref="R477" r:id="rId368" xr:uid="{00000000-0004-0000-0000-00006F010000}"/>
    <hyperlink ref="R646" r:id="rId369" xr:uid="{00000000-0004-0000-0000-000070010000}"/>
    <hyperlink ref="R647" r:id="rId370" xr:uid="{00000000-0004-0000-0000-000071010000}"/>
    <hyperlink ref="R478" r:id="rId371" xr:uid="{00000000-0004-0000-0000-000072010000}"/>
    <hyperlink ref="R648" r:id="rId372" xr:uid="{00000000-0004-0000-0000-000073010000}"/>
    <hyperlink ref="R479" r:id="rId373" xr:uid="{00000000-0004-0000-0000-000074010000}"/>
    <hyperlink ref="R649" r:id="rId374" xr:uid="{00000000-0004-0000-0000-000075010000}"/>
    <hyperlink ref="R480" r:id="rId375" xr:uid="{00000000-0004-0000-0000-000076010000}"/>
    <hyperlink ref="R650" r:id="rId376" xr:uid="{00000000-0004-0000-0000-000077010000}"/>
    <hyperlink ref="R651" r:id="rId377" xr:uid="{00000000-0004-0000-0000-000078010000}"/>
    <hyperlink ref="R652" r:id="rId378" xr:uid="{00000000-0004-0000-0000-000079010000}"/>
    <hyperlink ref="R481" r:id="rId379" xr:uid="{00000000-0004-0000-0000-00007A010000}"/>
    <hyperlink ref="R653" r:id="rId380" xr:uid="{00000000-0004-0000-0000-00007B010000}"/>
    <hyperlink ref="R654" r:id="rId381" xr:uid="{00000000-0004-0000-0000-00007C010000}"/>
    <hyperlink ref="R655" r:id="rId382" xr:uid="{00000000-0004-0000-0000-00007D010000}"/>
    <hyperlink ref="R482" r:id="rId383" xr:uid="{00000000-0004-0000-0000-00007E010000}"/>
    <hyperlink ref="R656" r:id="rId384" xr:uid="{00000000-0004-0000-0000-00007F010000}"/>
    <hyperlink ref="R229" r:id="rId385" xr:uid="{00000000-0004-0000-0000-000080010000}"/>
    <hyperlink ref="R230" r:id="rId386" xr:uid="{00000000-0004-0000-0000-000081010000}"/>
    <hyperlink ref="R231" r:id="rId387" xr:uid="{00000000-0004-0000-0000-000082010000}"/>
    <hyperlink ref="R232" r:id="rId388" xr:uid="{00000000-0004-0000-0000-000083010000}"/>
    <hyperlink ref="R233" r:id="rId389" xr:uid="{00000000-0004-0000-0000-000084010000}"/>
    <hyperlink ref="R234" r:id="rId390" xr:uid="{00000000-0004-0000-0000-000085010000}"/>
    <hyperlink ref="R235" r:id="rId391" xr:uid="{00000000-0004-0000-0000-000086010000}"/>
    <hyperlink ref="R236" r:id="rId392" xr:uid="{00000000-0004-0000-0000-000087010000}"/>
    <hyperlink ref="R237" r:id="rId393" xr:uid="{00000000-0004-0000-0000-000088010000}"/>
    <hyperlink ref="R238" r:id="rId394" xr:uid="{00000000-0004-0000-0000-000089010000}"/>
    <hyperlink ref="R239" r:id="rId395" xr:uid="{00000000-0004-0000-0000-00008A010000}"/>
    <hyperlink ref="R240" r:id="rId396" xr:uid="{00000000-0004-0000-0000-00008B010000}"/>
    <hyperlink ref="R241" r:id="rId397" xr:uid="{00000000-0004-0000-0000-00008C010000}"/>
    <hyperlink ref="R242" r:id="rId398" xr:uid="{00000000-0004-0000-0000-00008D010000}"/>
    <hyperlink ref="R243" r:id="rId399" xr:uid="{00000000-0004-0000-0000-00008E010000}"/>
    <hyperlink ref="R244" r:id="rId400" xr:uid="{00000000-0004-0000-0000-00008F010000}"/>
    <hyperlink ref="R245" r:id="rId401" xr:uid="{00000000-0004-0000-0000-000090010000}"/>
    <hyperlink ref="R246" r:id="rId402" xr:uid="{00000000-0004-0000-0000-000091010000}"/>
    <hyperlink ref="R247" r:id="rId403" xr:uid="{00000000-0004-0000-0000-000092010000}"/>
    <hyperlink ref="R248" r:id="rId404" xr:uid="{00000000-0004-0000-0000-000093010000}"/>
    <hyperlink ref="R70" r:id="rId405" xr:uid="{00000000-0004-0000-0000-000094010000}"/>
    <hyperlink ref="R71" r:id="rId406" xr:uid="{00000000-0004-0000-0000-000095010000}"/>
    <hyperlink ref="R72" r:id="rId407" xr:uid="{00000000-0004-0000-0000-000096010000}"/>
    <hyperlink ref="R73" r:id="rId408" xr:uid="{00000000-0004-0000-0000-000097010000}"/>
    <hyperlink ref="R74" r:id="rId409" xr:uid="{00000000-0004-0000-0000-000098010000}"/>
    <hyperlink ref="R75" r:id="rId410" xr:uid="{00000000-0004-0000-0000-000099010000}"/>
    <hyperlink ref="R76" r:id="rId411" xr:uid="{00000000-0004-0000-0000-00009A010000}"/>
    <hyperlink ref="R77" r:id="rId412" xr:uid="{00000000-0004-0000-0000-00009B010000}"/>
    <hyperlink ref="R78" r:id="rId413" xr:uid="{00000000-0004-0000-0000-00009C010000}"/>
    <hyperlink ref="R79" r:id="rId414" xr:uid="{00000000-0004-0000-0000-00009D010000}"/>
    <hyperlink ref="R80" r:id="rId415" xr:uid="{00000000-0004-0000-0000-00009E010000}"/>
    <hyperlink ref="R81" r:id="rId416" xr:uid="{00000000-0004-0000-0000-00009F010000}"/>
    <hyperlink ref="R82" r:id="rId417" xr:uid="{00000000-0004-0000-0000-0000A0010000}"/>
    <hyperlink ref="R83" r:id="rId418" xr:uid="{00000000-0004-0000-0000-0000A1010000}"/>
    <hyperlink ref="R84" r:id="rId419" xr:uid="{00000000-0004-0000-0000-0000A2010000}"/>
    <hyperlink ref="R709" r:id="rId420" xr:uid="{00000000-0004-0000-0000-0000A3010000}"/>
    <hyperlink ref="R710" r:id="rId421" xr:uid="{00000000-0004-0000-0000-0000A4010000}"/>
    <hyperlink ref="R711" r:id="rId422" xr:uid="{00000000-0004-0000-0000-0000A5010000}"/>
    <hyperlink ref="R712" r:id="rId423" xr:uid="{00000000-0004-0000-0000-0000A6010000}"/>
    <hyperlink ref="R713" r:id="rId424" xr:uid="{00000000-0004-0000-0000-0000A7010000}"/>
    <hyperlink ref="R714" r:id="rId425" xr:uid="{00000000-0004-0000-0000-0000A8010000}"/>
    <hyperlink ref="R715" r:id="rId426" xr:uid="{00000000-0004-0000-0000-0000A9010000}"/>
    <hyperlink ref="R716" r:id="rId427" xr:uid="{00000000-0004-0000-0000-0000AA010000}"/>
    <hyperlink ref="R717" r:id="rId428" xr:uid="{00000000-0004-0000-0000-0000AB010000}"/>
    <hyperlink ref="R718" r:id="rId429" xr:uid="{00000000-0004-0000-0000-0000AC010000}"/>
    <hyperlink ref="R719" r:id="rId430" xr:uid="{00000000-0004-0000-0000-0000AD010000}"/>
    <hyperlink ref="R598" r:id="rId431" xr:uid="{00000000-0004-0000-0000-0000AE010000}"/>
    <hyperlink ref="R599" r:id="rId432" xr:uid="{00000000-0004-0000-0000-0000AF010000}"/>
    <hyperlink ref="R600" r:id="rId433" xr:uid="{00000000-0004-0000-0000-0000B0010000}"/>
    <hyperlink ref="R601" r:id="rId434" xr:uid="{00000000-0004-0000-0000-0000B1010000}"/>
    <hyperlink ref="R602" r:id="rId435" xr:uid="{00000000-0004-0000-0000-0000B2010000}"/>
    <hyperlink ref="R603" r:id="rId436" xr:uid="{00000000-0004-0000-0000-0000B3010000}"/>
    <hyperlink ref="R604" r:id="rId437" xr:uid="{00000000-0004-0000-0000-0000B4010000}"/>
    <hyperlink ref="R605" r:id="rId438" xr:uid="{00000000-0004-0000-0000-0000B5010000}"/>
    <hyperlink ref="R606" r:id="rId439" xr:uid="{00000000-0004-0000-0000-0000B6010000}"/>
    <hyperlink ref="R607" r:id="rId440" xr:uid="{00000000-0004-0000-0000-0000B7010000}"/>
    <hyperlink ref="R608" r:id="rId441" xr:uid="{00000000-0004-0000-0000-0000B8010000}"/>
    <hyperlink ref="R609" r:id="rId442" xr:uid="{00000000-0004-0000-0000-0000B9010000}"/>
    <hyperlink ref="R610" r:id="rId443" xr:uid="{00000000-0004-0000-0000-0000BA010000}"/>
    <hyperlink ref="R611" r:id="rId444" xr:uid="{00000000-0004-0000-0000-0000BB010000}"/>
    <hyperlink ref="R612" r:id="rId445" xr:uid="{00000000-0004-0000-0000-0000BC010000}"/>
    <hyperlink ref="R111" r:id="rId446" xr:uid="{00000000-0004-0000-0000-0000BD010000}"/>
    <hyperlink ref="R112" r:id="rId447" xr:uid="{00000000-0004-0000-0000-0000BE010000}"/>
    <hyperlink ref="R113" r:id="rId448" xr:uid="{00000000-0004-0000-0000-0000BF010000}"/>
    <hyperlink ref="R114" r:id="rId449" xr:uid="{00000000-0004-0000-0000-0000C0010000}"/>
    <hyperlink ref="R115" r:id="rId450" xr:uid="{00000000-0004-0000-0000-0000C1010000}"/>
    <hyperlink ref="R116" r:id="rId451" xr:uid="{00000000-0004-0000-0000-0000C2010000}"/>
    <hyperlink ref="R117" r:id="rId452" xr:uid="{00000000-0004-0000-0000-0000C3010000}"/>
    <hyperlink ref="R118" r:id="rId453" xr:uid="{00000000-0004-0000-0000-0000C4010000}"/>
    <hyperlink ref="R119" r:id="rId454" xr:uid="{00000000-0004-0000-0000-0000C5010000}"/>
    <hyperlink ref="R120" r:id="rId455" xr:uid="{00000000-0004-0000-0000-0000C6010000}"/>
    <hyperlink ref="R121" r:id="rId456" xr:uid="{00000000-0004-0000-0000-0000C7010000}"/>
    <hyperlink ref="R122" r:id="rId457" xr:uid="{00000000-0004-0000-0000-0000C8010000}"/>
    <hyperlink ref="R123" r:id="rId458" xr:uid="{00000000-0004-0000-0000-0000C9010000}"/>
    <hyperlink ref="R1003" r:id="rId459" xr:uid="{00000000-0004-0000-0000-0000CA010000}"/>
    <hyperlink ref="R1004" r:id="rId460" xr:uid="{00000000-0004-0000-0000-0000CB010000}"/>
    <hyperlink ref="R1091" r:id="rId461" xr:uid="{00000000-0004-0000-0000-0000CC010000}"/>
    <hyperlink ref="R1092" r:id="rId462" xr:uid="{00000000-0004-0000-0000-0000CD010000}"/>
    <hyperlink ref="R1005" r:id="rId463" xr:uid="{00000000-0004-0000-0000-0000CE010000}"/>
    <hyperlink ref="R1093" r:id="rId464" xr:uid="{00000000-0004-0000-0000-0000CF010000}"/>
    <hyperlink ref="R1006" r:id="rId465" xr:uid="{00000000-0004-0000-0000-0000D0010000}"/>
    <hyperlink ref="R1094" r:id="rId466" xr:uid="{00000000-0004-0000-0000-0000D1010000}"/>
    <hyperlink ref="R1095" r:id="rId467" xr:uid="{00000000-0004-0000-0000-0000D2010000}"/>
    <hyperlink ref="R1007" r:id="rId468" xr:uid="{00000000-0004-0000-0000-0000D3010000}"/>
    <hyperlink ref="R1096" r:id="rId469" xr:uid="{00000000-0004-0000-0000-0000D4010000}"/>
    <hyperlink ref="R1097" r:id="rId470" xr:uid="{00000000-0004-0000-0000-0000D5010000}"/>
    <hyperlink ref="R1098" r:id="rId471" xr:uid="{00000000-0004-0000-0000-0000D6010000}"/>
    <hyperlink ref="R1008" r:id="rId472" xr:uid="{00000000-0004-0000-0000-0000D7010000}"/>
    <hyperlink ref="R1099" r:id="rId473" xr:uid="{00000000-0004-0000-0000-0000D8010000}"/>
    <hyperlink ref="R1009" r:id="rId474" xr:uid="{00000000-0004-0000-0000-0000D9010000}"/>
    <hyperlink ref="R1100" r:id="rId475" xr:uid="{00000000-0004-0000-0000-0000DA010000}"/>
    <hyperlink ref="R1010" r:id="rId476" xr:uid="{00000000-0004-0000-0000-0000DB010000}"/>
    <hyperlink ref="R1011" r:id="rId477" xr:uid="{00000000-0004-0000-0000-0000DC010000}"/>
    <hyperlink ref="R1012" r:id="rId478" xr:uid="{00000000-0004-0000-0000-0000DD010000}"/>
    <hyperlink ref="R1101" r:id="rId479" xr:uid="{00000000-0004-0000-0000-0000DE010000}"/>
    <hyperlink ref="R1102" r:id="rId480" xr:uid="{00000000-0004-0000-0000-0000DF010000}"/>
    <hyperlink ref="R391" r:id="rId481" xr:uid="{00000000-0004-0000-0000-0000E0010000}"/>
    <hyperlink ref="R392" r:id="rId482" xr:uid="{00000000-0004-0000-0000-0000E1010000}"/>
    <hyperlink ref="R393" r:id="rId483" xr:uid="{00000000-0004-0000-0000-0000E2010000}"/>
    <hyperlink ref="R394" r:id="rId484" xr:uid="{00000000-0004-0000-0000-0000E3010000}"/>
    <hyperlink ref="R395" r:id="rId485" xr:uid="{00000000-0004-0000-0000-0000E4010000}"/>
    <hyperlink ref="R396" r:id="rId486" xr:uid="{00000000-0004-0000-0000-0000E5010000}"/>
    <hyperlink ref="R397" r:id="rId487" xr:uid="{00000000-0004-0000-0000-0000E6010000}"/>
    <hyperlink ref="R398" r:id="rId488" xr:uid="{00000000-0004-0000-0000-0000E7010000}"/>
    <hyperlink ref="R399" r:id="rId489" xr:uid="{00000000-0004-0000-0000-0000E8010000}"/>
    <hyperlink ref="R400" r:id="rId490" xr:uid="{00000000-0004-0000-0000-0000E9010000}"/>
    <hyperlink ref="R401" r:id="rId491" xr:uid="{00000000-0004-0000-0000-0000EA010000}"/>
    <hyperlink ref="R402" r:id="rId492" xr:uid="{00000000-0004-0000-0000-0000EB010000}"/>
    <hyperlink ref="R403" r:id="rId493" xr:uid="{00000000-0004-0000-0000-0000EC010000}"/>
    <hyperlink ref="R404" r:id="rId494" xr:uid="{00000000-0004-0000-0000-0000ED010000}"/>
    <hyperlink ref="R260" r:id="rId495" xr:uid="{00000000-0004-0000-0000-0000EE010000}"/>
    <hyperlink ref="R271" r:id="rId496" xr:uid="{00000000-0004-0000-0000-0000EF010000}"/>
    <hyperlink ref="R261" r:id="rId497" xr:uid="{00000000-0004-0000-0000-0000F0010000}"/>
    <hyperlink ref="R272" r:id="rId498" xr:uid="{00000000-0004-0000-0000-0000F1010000}"/>
    <hyperlink ref="R262" r:id="rId499" xr:uid="{00000000-0004-0000-0000-0000F2010000}"/>
    <hyperlink ref="R273" r:id="rId500" xr:uid="{00000000-0004-0000-0000-0000F3010000}"/>
    <hyperlink ref="R37" r:id="rId501" xr:uid="{00000000-0004-0000-0000-0000F4010000}"/>
    <hyperlink ref="R38" r:id="rId502" xr:uid="{00000000-0004-0000-0000-0000F5010000}"/>
    <hyperlink ref="R39" r:id="rId503" xr:uid="{00000000-0004-0000-0000-0000F6010000}"/>
    <hyperlink ref="R40" r:id="rId504" xr:uid="{00000000-0004-0000-0000-0000F7010000}"/>
    <hyperlink ref="R41" r:id="rId505" xr:uid="{00000000-0004-0000-0000-0000F8010000}"/>
    <hyperlink ref="R42" r:id="rId506" xr:uid="{00000000-0004-0000-0000-0000F9010000}"/>
    <hyperlink ref="R821" r:id="rId507" xr:uid="{00000000-0004-0000-0000-0000FA010000}"/>
    <hyperlink ref="R822" r:id="rId508" xr:uid="{00000000-0004-0000-0000-0000FB010000}"/>
    <hyperlink ref="R823" r:id="rId509" xr:uid="{00000000-0004-0000-0000-0000FC010000}"/>
    <hyperlink ref="R824" r:id="rId510" xr:uid="{00000000-0004-0000-0000-0000FD010000}"/>
    <hyperlink ref="R825" r:id="rId511" xr:uid="{00000000-0004-0000-0000-0000FE010000}"/>
    <hyperlink ref="R826" r:id="rId512" xr:uid="{00000000-0004-0000-0000-0000FF010000}"/>
    <hyperlink ref="R827" r:id="rId513" xr:uid="{00000000-0004-0000-0000-000000020000}"/>
    <hyperlink ref="R828" r:id="rId514" xr:uid="{00000000-0004-0000-0000-000001020000}"/>
    <hyperlink ref="R829" r:id="rId515" xr:uid="{00000000-0004-0000-0000-000002020000}"/>
    <hyperlink ref="R830" r:id="rId516" xr:uid="{00000000-0004-0000-0000-000003020000}"/>
    <hyperlink ref="R831" r:id="rId517" xr:uid="{00000000-0004-0000-0000-000004020000}"/>
    <hyperlink ref="R832" r:id="rId518" xr:uid="{00000000-0004-0000-0000-000005020000}"/>
    <hyperlink ref="R833" r:id="rId519" xr:uid="{00000000-0004-0000-0000-000006020000}"/>
    <hyperlink ref="R834" r:id="rId520" xr:uid="{00000000-0004-0000-0000-000007020000}"/>
    <hyperlink ref="R835" r:id="rId521" xr:uid="{00000000-0004-0000-0000-000008020000}"/>
    <hyperlink ref="R836" r:id="rId522" xr:uid="{00000000-0004-0000-0000-000009020000}"/>
    <hyperlink ref="R837" r:id="rId523" xr:uid="{00000000-0004-0000-0000-00000A020000}"/>
    <hyperlink ref="R838" r:id="rId524" xr:uid="{00000000-0004-0000-0000-00000B020000}"/>
    <hyperlink ref="R839" r:id="rId525" xr:uid="{00000000-0004-0000-0000-00000C020000}"/>
    <hyperlink ref="R840" r:id="rId526" xr:uid="{00000000-0004-0000-0000-00000D020000}"/>
    <hyperlink ref="R841" r:id="rId527" xr:uid="{00000000-0004-0000-0000-00000E020000}"/>
    <hyperlink ref="R842" r:id="rId528" xr:uid="{00000000-0004-0000-0000-00000F020000}"/>
    <hyperlink ref="R984" r:id="rId529" xr:uid="{00000000-0004-0000-0000-000010020000}"/>
    <hyperlink ref="R876" r:id="rId530" xr:uid="{00000000-0004-0000-0000-000011020000}"/>
    <hyperlink ref="R877" r:id="rId531" xr:uid="{00000000-0004-0000-0000-000012020000}"/>
    <hyperlink ref="R878" r:id="rId532" xr:uid="{00000000-0004-0000-0000-000013020000}"/>
    <hyperlink ref="R879" r:id="rId533" xr:uid="{00000000-0004-0000-0000-000014020000}"/>
    <hyperlink ref="R880" r:id="rId534" xr:uid="{00000000-0004-0000-0000-000015020000}"/>
    <hyperlink ref="R881" r:id="rId535" xr:uid="{00000000-0004-0000-0000-000016020000}"/>
    <hyperlink ref="R882" r:id="rId536" xr:uid="{00000000-0004-0000-0000-000017020000}"/>
    <hyperlink ref="R883" r:id="rId537" xr:uid="{00000000-0004-0000-0000-000018020000}"/>
    <hyperlink ref="R884" r:id="rId538" xr:uid="{00000000-0004-0000-0000-000019020000}"/>
    <hyperlink ref="R985" r:id="rId539" xr:uid="{00000000-0004-0000-0000-00001A020000}"/>
    <hyperlink ref="R885" r:id="rId540" xr:uid="{00000000-0004-0000-0000-00001B020000}"/>
    <hyperlink ref="R986" r:id="rId541" xr:uid="{00000000-0004-0000-0000-00001C020000}"/>
    <hyperlink ref="R886" r:id="rId542" xr:uid="{00000000-0004-0000-0000-00001D020000}"/>
    <hyperlink ref="R887" r:id="rId543" xr:uid="{00000000-0004-0000-0000-00001E020000}"/>
    <hyperlink ref="R888" r:id="rId544" xr:uid="{00000000-0004-0000-0000-00001F020000}"/>
    <hyperlink ref="R987" r:id="rId545" xr:uid="{00000000-0004-0000-0000-000020020000}"/>
    <hyperlink ref="R889" r:id="rId546" xr:uid="{00000000-0004-0000-0000-000021020000}"/>
    <hyperlink ref="R890" r:id="rId547" xr:uid="{00000000-0004-0000-0000-000022020000}"/>
    <hyperlink ref="R891" r:id="rId548" xr:uid="{00000000-0004-0000-0000-000023020000}"/>
    <hyperlink ref="R428" r:id="rId549" xr:uid="{00000000-0004-0000-0000-000024020000}"/>
    <hyperlink ref="R429" r:id="rId550" xr:uid="{00000000-0004-0000-0000-000025020000}"/>
    <hyperlink ref="R430" r:id="rId551" xr:uid="{00000000-0004-0000-0000-000026020000}"/>
    <hyperlink ref="R431" r:id="rId552" xr:uid="{00000000-0004-0000-0000-000027020000}"/>
    <hyperlink ref="R432" r:id="rId553" xr:uid="{00000000-0004-0000-0000-000028020000}"/>
    <hyperlink ref="R433" r:id="rId554" xr:uid="{00000000-0004-0000-0000-000029020000}"/>
    <hyperlink ref="R434" r:id="rId555" xr:uid="{00000000-0004-0000-0000-00002A020000}"/>
    <hyperlink ref="R435" r:id="rId556" xr:uid="{00000000-0004-0000-0000-00002B020000}"/>
    <hyperlink ref="R436" r:id="rId557" xr:uid="{00000000-0004-0000-0000-00002C020000}"/>
    <hyperlink ref="R437" r:id="rId558" xr:uid="{00000000-0004-0000-0000-00002D020000}"/>
    <hyperlink ref="R438" r:id="rId559" xr:uid="{00000000-0004-0000-0000-00002E020000}"/>
    <hyperlink ref="R439" r:id="rId560" xr:uid="{00000000-0004-0000-0000-00002F020000}"/>
    <hyperlink ref="R440" r:id="rId561" xr:uid="{00000000-0004-0000-0000-000030020000}"/>
    <hyperlink ref="R1060" r:id="rId562" xr:uid="{00000000-0004-0000-0000-000031020000}"/>
    <hyperlink ref="R1061" r:id="rId563" xr:uid="{00000000-0004-0000-0000-000032020000}"/>
    <hyperlink ref="R1062" r:id="rId564" xr:uid="{00000000-0004-0000-0000-000033020000}"/>
    <hyperlink ref="R1063" r:id="rId565" xr:uid="{00000000-0004-0000-0000-000034020000}"/>
    <hyperlink ref="R1064" r:id="rId566" xr:uid="{00000000-0004-0000-0000-000035020000}"/>
    <hyperlink ref="R1065" r:id="rId567" xr:uid="{00000000-0004-0000-0000-000036020000}"/>
    <hyperlink ref="R1066" r:id="rId568" xr:uid="{00000000-0004-0000-0000-000037020000}"/>
    <hyperlink ref="R1067" r:id="rId569" xr:uid="{00000000-0004-0000-0000-000038020000}"/>
    <hyperlink ref="R1068" r:id="rId570" xr:uid="{00000000-0004-0000-0000-000039020000}"/>
    <hyperlink ref="R1069" r:id="rId571" xr:uid="{00000000-0004-0000-0000-00003A020000}"/>
    <hyperlink ref="R1070" r:id="rId572" xr:uid="{00000000-0004-0000-0000-00003B020000}"/>
    <hyperlink ref="R1071" r:id="rId573" xr:uid="{00000000-0004-0000-0000-00003C020000}"/>
    <hyperlink ref="R1072" r:id="rId574" xr:uid="{00000000-0004-0000-0000-00003D020000}"/>
    <hyperlink ref="R1073" r:id="rId575" xr:uid="{00000000-0004-0000-0000-00003E020000}"/>
    <hyperlink ref="R1074" r:id="rId576" xr:uid="{00000000-0004-0000-0000-00003F020000}"/>
    <hyperlink ref="R1075" r:id="rId577" xr:uid="{00000000-0004-0000-0000-000040020000}"/>
    <hyperlink ref="R1076" r:id="rId578" xr:uid="{00000000-0004-0000-0000-000041020000}"/>
    <hyperlink ref="R1077" r:id="rId579" xr:uid="{00000000-0004-0000-0000-000042020000}"/>
    <hyperlink ref="R209" r:id="rId580" xr:uid="{00000000-0004-0000-0000-000043020000}"/>
    <hyperlink ref="R210" r:id="rId581" xr:uid="{00000000-0004-0000-0000-000044020000}"/>
    <hyperlink ref="R211" r:id="rId582" xr:uid="{00000000-0004-0000-0000-000045020000}"/>
    <hyperlink ref="R212" r:id="rId583" xr:uid="{00000000-0004-0000-0000-000046020000}"/>
    <hyperlink ref="R213" r:id="rId584" xr:uid="{00000000-0004-0000-0000-000047020000}"/>
    <hyperlink ref="R214" r:id="rId585" xr:uid="{00000000-0004-0000-0000-000048020000}"/>
    <hyperlink ref="R215" r:id="rId586" xr:uid="{00000000-0004-0000-0000-000049020000}"/>
    <hyperlink ref="R216" r:id="rId587" xr:uid="{00000000-0004-0000-0000-00004A020000}"/>
    <hyperlink ref="R217" r:id="rId588" xr:uid="{00000000-0004-0000-0000-00004B020000}"/>
    <hyperlink ref="R218" r:id="rId589" xr:uid="{00000000-0004-0000-0000-00004C020000}"/>
    <hyperlink ref="R361" r:id="rId590" xr:uid="{00000000-0004-0000-0000-00004D020000}"/>
    <hyperlink ref="R219" r:id="rId591" xr:uid="{00000000-0004-0000-0000-00004E020000}"/>
    <hyperlink ref="R362" r:id="rId592" xr:uid="{00000000-0004-0000-0000-00004F020000}"/>
    <hyperlink ref="R220" r:id="rId593" xr:uid="{00000000-0004-0000-0000-000050020000}"/>
    <hyperlink ref="R363" r:id="rId594" xr:uid="{00000000-0004-0000-0000-000051020000}"/>
    <hyperlink ref="R221" r:id="rId595" xr:uid="{00000000-0004-0000-0000-000052020000}"/>
    <hyperlink ref="R222" r:id="rId596" xr:uid="{00000000-0004-0000-0000-000053020000}"/>
    <hyperlink ref="R174" r:id="rId597" xr:uid="{00000000-0004-0000-0000-000054020000}"/>
    <hyperlink ref="R175" r:id="rId598" xr:uid="{00000000-0004-0000-0000-000055020000}"/>
    <hyperlink ref="R176" r:id="rId599" xr:uid="{00000000-0004-0000-0000-000056020000}"/>
    <hyperlink ref="R177" r:id="rId600" xr:uid="{00000000-0004-0000-0000-000057020000}"/>
    <hyperlink ref="R178" r:id="rId601" xr:uid="{00000000-0004-0000-0000-000058020000}"/>
    <hyperlink ref="R179" r:id="rId602" xr:uid="{00000000-0004-0000-0000-000059020000}"/>
    <hyperlink ref="R180" r:id="rId603" xr:uid="{00000000-0004-0000-0000-00005A020000}"/>
    <hyperlink ref="R181" r:id="rId604" xr:uid="{00000000-0004-0000-0000-00005B020000}"/>
    <hyperlink ref="R182" r:id="rId605" xr:uid="{00000000-0004-0000-0000-00005C020000}"/>
    <hyperlink ref="R183" r:id="rId606" xr:uid="{00000000-0004-0000-0000-00005D020000}"/>
    <hyperlink ref="R184" r:id="rId607" xr:uid="{00000000-0004-0000-0000-00005E020000}"/>
    <hyperlink ref="R185" r:id="rId608" xr:uid="{00000000-0004-0000-0000-00005F020000}"/>
    <hyperlink ref="R151" r:id="rId609" xr:uid="{00000000-0004-0000-0000-000060020000}"/>
    <hyperlink ref="R152" r:id="rId610" xr:uid="{00000000-0004-0000-0000-000061020000}"/>
    <hyperlink ref="R153" r:id="rId611" xr:uid="{00000000-0004-0000-0000-000062020000}"/>
    <hyperlink ref="R154" r:id="rId612" xr:uid="{00000000-0004-0000-0000-000063020000}"/>
    <hyperlink ref="R155" r:id="rId613" xr:uid="{00000000-0004-0000-0000-000064020000}"/>
    <hyperlink ref="R763" r:id="rId614" xr:uid="{00000000-0004-0000-0000-000065020000}"/>
    <hyperlink ref="R764" r:id="rId615" xr:uid="{00000000-0004-0000-0000-000066020000}"/>
    <hyperlink ref="R765" r:id="rId616" xr:uid="{00000000-0004-0000-0000-000067020000}"/>
    <hyperlink ref="R766" r:id="rId617" xr:uid="{00000000-0004-0000-0000-000068020000}"/>
    <hyperlink ref="R767" r:id="rId618" xr:uid="{00000000-0004-0000-0000-000069020000}"/>
    <hyperlink ref="R768" r:id="rId619" xr:uid="{00000000-0004-0000-0000-00006A020000}"/>
    <hyperlink ref="R769" r:id="rId620" xr:uid="{00000000-0004-0000-0000-00006B020000}"/>
    <hyperlink ref="R770" r:id="rId621" xr:uid="{00000000-0004-0000-0000-00006C020000}"/>
    <hyperlink ref="R771" r:id="rId622" xr:uid="{00000000-0004-0000-0000-00006D020000}"/>
    <hyperlink ref="R772" r:id="rId623" xr:uid="{00000000-0004-0000-0000-00006E020000}"/>
    <hyperlink ref="R773" r:id="rId624" xr:uid="{00000000-0004-0000-0000-00006F020000}"/>
    <hyperlink ref="R774" r:id="rId625" xr:uid="{00000000-0004-0000-0000-000070020000}"/>
    <hyperlink ref="R775" r:id="rId626" xr:uid="{00000000-0004-0000-0000-000071020000}"/>
    <hyperlink ref="R776" r:id="rId627" xr:uid="{00000000-0004-0000-0000-000072020000}"/>
    <hyperlink ref="R777" r:id="rId628" xr:uid="{00000000-0004-0000-0000-000073020000}"/>
    <hyperlink ref="R720" r:id="rId629" xr:uid="{00000000-0004-0000-0000-000074020000}"/>
    <hyperlink ref="R721" r:id="rId630" xr:uid="{00000000-0004-0000-0000-000075020000}"/>
    <hyperlink ref="R722" r:id="rId631" xr:uid="{00000000-0004-0000-0000-000076020000}"/>
    <hyperlink ref="R723" r:id="rId632" xr:uid="{00000000-0004-0000-0000-000077020000}"/>
    <hyperlink ref="R932" r:id="rId633" xr:uid="{00000000-0004-0000-0000-000078020000}"/>
    <hyperlink ref="R933" r:id="rId634" xr:uid="{00000000-0004-0000-0000-000079020000}"/>
    <hyperlink ref="R934" r:id="rId635" xr:uid="{00000000-0004-0000-0000-00007A020000}"/>
    <hyperlink ref="R935" r:id="rId636" xr:uid="{00000000-0004-0000-0000-00007B020000}"/>
    <hyperlink ref="R936" r:id="rId637" xr:uid="{00000000-0004-0000-0000-00007C020000}"/>
    <hyperlink ref="R937" r:id="rId638" xr:uid="{00000000-0004-0000-0000-00007D020000}"/>
    <hyperlink ref="R938" r:id="rId639" xr:uid="{00000000-0004-0000-0000-00007E020000}"/>
    <hyperlink ref="R939" r:id="rId640" xr:uid="{00000000-0004-0000-0000-00007F020000}"/>
    <hyperlink ref="R940" r:id="rId641" xr:uid="{00000000-0004-0000-0000-000080020000}"/>
    <hyperlink ref="R941" r:id="rId642" xr:uid="{00000000-0004-0000-0000-000081020000}"/>
    <hyperlink ref="R942" r:id="rId643" xr:uid="{00000000-0004-0000-0000-000082020000}"/>
    <hyperlink ref="R943" r:id="rId644" xr:uid="{00000000-0004-0000-0000-000083020000}"/>
    <hyperlink ref="R944" r:id="rId645" xr:uid="{00000000-0004-0000-0000-000084020000}"/>
    <hyperlink ref="R945" r:id="rId646" xr:uid="{00000000-0004-0000-0000-000085020000}"/>
    <hyperlink ref="R946" r:id="rId647" xr:uid="{00000000-0004-0000-0000-000086020000}"/>
    <hyperlink ref="R947" r:id="rId648" xr:uid="{00000000-0004-0000-0000-000087020000}"/>
    <hyperlink ref="R948" r:id="rId649" xr:uid="{00000000-0004-0000-0000-000088020000}"/>
    <hyperlink ref="R949" r:id="rId650" xr:uid="{00000000-0004-0000-0000-000089020000}"/>
    <hyperlink ref="R950" r:id="rId651" xr:uid="{00000000-0004-0000-0000-00008A020000}"/>
    <hyperlink ref="R951" r:id="rId652" xr:uid="{00000000-0004-0000-0000-00008B020000}"/>
    <hyperlink ref="R952" r:id="rId653" xr:uid="{00000000-0004-0000-0000-00008C020000}"/>
    <hyperlink ref="R953" r:id="rId654" xr:uid="{00000000-0004-0000-0000-00008D020000}"/>
    <hyperlink ref="R954" r:id="rId655" xr:uid="{00000000-0004-0000-0000-00008E020000}"/>
    <hyperlink ref="R955" r:id="rId656" xr:uid="{00000000-0004-0000-0000-00008F020000}"/>
    <hyperlink ref="R956" r:id="rId657" xr:uid="{00000000-0004-0000-0000-000090020000}"/>
    <hyperlink ref="R957" r:id="rId658" xr:uid="{00000000-0004-0000-0000-000091020000}"/>
    <hyperlink ref="R958" r:id="rId659" xr:uid="{00000000-0004-0000-0000-000092020000}"/>
    <hyperlink ref="R959" r:id="rId660" xr:uid="{00000000-0004-0000-0000-000093020000}"/>
    <hyperlink ref="R541" r:id="rId661" xr:uid="{00000000-0004-0000-0000-000094020000}"/>
    <hyperlink ref="R542" r:id="rId662" xr:uid="{00000000-0004-0000-0000-000095020000}"/>
    <hyperlink ref="R543" r:id="rId663" xr:uid="{00000000-0004-0000-0000-000096020000}"/>
    <hyperlink ref="R544" r:id="rId664" xr:uid="{00000000-0004-0000-0000-000097020000}"/>
    <hyperlink ref="R545" r:id="rId665" xr:uid="{00000000-0004-0000-0000-000098020000}"/>
    <hyperlink ref="R546" r:id="rId666" xr:uid="{00000000-0004-0000-0000-000099020000}"/>
    <hyperlink ref="R547" r:id="rId667" xr:uid="{00000000-0004-0000-0000-00009A020000}"/>
    <hyperlink ref="R548" r:id="rId668" xr:uid="{00000000-0004-0000-0000-00009B020000}"/>
    <hyperlink ref="R549" r:id="rId669" xr:uid="{00000000-0004-0000-0000-00009C020000}"/>
    <hyperlink ref="R550" r:id="rId670" xr:uid="{00000000-0004-0000-0000-00009D020000}"/>
    <hyperlink ref="R551" r:id="rId671" xr:uid="{00000000-0004-0000-0000-00009E020000}"/>
    <hyperlink ref="R552" r:id="rId672" xr:uid="{00000000-0004-0000-0000-00009F020000}"/>
    <hyperlink ref="R553" r:id="rId673" xr:uid="{00000000-0004-0000-0000-0000A0020000}"/>
    <hyperlink ref="R554" r:id="rId674" xr:uid="{00000000-0004-0000-0000-0000A1020000}"/>
    <hyperlink ref="R555" r:id="rId675" xr:uid="{00000000-0004-0000-0000-0000A2020000}"/>
    <hyperlink ref="R556" r:id="rId676" xr:uid="{00000000-0004-0000-0000-0000A3020000}"/>
    <hyperlink ref="R557" r:id="rId677" xr:uid="{00000000-0004-0000-0000-0000A4020000}"/>
    <hyperlink ref="R558" r:id="rId678" xr:uid="{00000000-0004-0000-0000-0000A5020000}"/>
    <hyperlink ref="R1184" r:id="rId679" xr:uid="{00000000-0004-0000-0000-0000A6020000}"/>
    <hyperlink ref="R1185" r:id="rId680" xr:uid="{00000000-0004-0000-0000-0000A7020000}"/>
    <hyperlink ref="R1186" r:id="rId681" xr:uid="{00000000-0004-0000-0000-0000A8020000}"/>
    <hyperlink ref="R1187" r:id="rId682" xr:uid="{00000000-0004-0000-0000-0000A9020000}"/>
    <hyperlink ref="R1188" r:id="rId683" xr:uid="{00000000-0004-0000-0000-0000AA020000}"/>
    <hyperlink ref="R1189" r:id="rId684" xr:uid="{00000000-0004-0000-0000-0000AB020000}"/>
    <hyperlink ref="R315" r:id="rId685" xr:uid="{00000000-0004-0000-0000-0000AC020000}"/>
    <hyperlink ref="R316" r:id="rId686" xr:uid="{00000000-0004-0000-0000-0000AD020000}"/>
    <hyperlink ref="R317" r:id="rId687" xr:uid="{00000000-0004-0000-0000-0000AE020000}"/>
    <hyperlink ref="R318" r:id="rId688" xr:uid="{00000000-0004-0000-0000-0000AF020000}"/>
    <hyperlink ref="R319" r:id="rId689" xr:uid="{00000000-0004-0000-0000-0000B0020000}"/>
    <hyperlink ref="R320" r:id="rId690" xr:uid="{00000000-0004-0000-0000-0000B1020000}"/>
    <hyperlink ref="R321" r:id="rId691" xr:uid="{00000000-0004-0000-0000-0000B2020000}"/>
    <hyperlink ref="R322" r:id="rId692" xr:uid="{00000000-0004-0000-0000-0000B3020000}"/>
    <hyperlink ref="R323" r:id="rId693" xr:uid="{00000000-0004-0000-0000-0000B4020000}"/>
    <hyperlink ref="R324" r:id="rId694" xr:uid="{00000000-0004-0000-0000-0000B5020000}"/>
    <hyperlink ref="R249" r:id="rId695" xr:uid="{00000000-0004-0000-0000-0000B6020000}"/>
    <hyperlink ref="R250" r:id="rId696" xr:uid="{00000000-0004-0000-0000-0000B7020000}"/>
    <hyperlink ref="R251" r:id="rId697" xr:uid="{00000000-0004-0000-0000-0000B8020000}"/>
    <hyperlink ref="R124" r:id="rId698" xr:uid="{00000000-0004-0000-0000-0000B9020000}"/>
    <hyperlink ref="R125" r:id="rId699" xr:uid="{00000000-0004-0000-0000-0000BA020000}"/>
    <hyperlink ref="R126" r:id="rId700" xr:uid="{00000000-0004-0000-0000-0000BB020000}"/>
    <hyperlink ref="R127" r:id="rId701" xr:uid="{00000000-0004-0000-0000-0000BC020000}"/>
    <hyperlink ref="R128" r:id="rId702" xr:uid="{00000000-0004-0000-0000-0000BD020000}"/>
    <hyperlink ref="R129" r:id="rId703" xr:uid="{00000000-0004-0000-0000-0000BE020000}"/>
    <hyperlink ref="R43" r:id="rId704" xr:uid="{00000000-0004-0000-0000-0000BF020000}"/>
    <hyperlink ref="R44" r:id="rId705" xr:uid="{00000000-0004-0000-0000-0000C0020000}"/>
    <hyperlink ref="R45" r:id="rId706" xr:uid="{00000000-0004-0000-0000-0000C1020000}"/>
    <hyperlink ref="R46" r:id="rId707" xr:uid="{00000000-0004-0000-0000-0000C2020000}"/>
    <hyperlink ref="R47" r:id="rId708" xr:uid="{00000000-0004-0000-0000-0000C3020000}"/>
    <hyperlink ref="R48" r:id="rId709" xr:uid="{00000000-0004-0000-0000-0000C4020000}"/>
    <hyperlink ref="R49" r:id="rId710" xr:uid="{00000000-0004-0000-0000-0000C5020000}"/>
    <hyperlink ref="R50" r:id="rId711" xr:uid="{00000000-0004-0000-0000-0000C6020000}"/>
    <hyperlink ref="R364" r:id="rId712" xr:uid="{00000000-0004-0000-0000-0000C7020000}"/>
    <hyperlink ref="R365" r:id="rId713" xr:uid="{00000000-0004-0000-0000-0000C8020000}"/>
    <hyperlink ref="R366" r:id="rId714" xr:uid="{00000000-0004-0000-0000-0000C9020000}"/>
    <hyperlink ref="R367" r:id="rId715" xr:uid="{00000000-0004-0000-0000-0000CA020000}"/>
    <hyperlink ref="R368" r:id="rId716" xr:uid="{00000000-0004-0000-0000-0000CB020000}"/>
    <hyperlink ref="R1221" r:id="rId717" xr:uid="{00000000-0004-0000-0000-0000CC020000}"/>
    <hyperlink ref="R1222" r:id="rId718" xr:uid="{00000000-0004-0000-0000-0000CD020000}"/>
    <hyperlink ref="R1223" r:id="rId719" xr:uid="{00000000-0004-0000-0000-0000CE020000}"/>
    <hyperlink ref="R1224" r:id="rId720" xr:uid="{00000000-0004-0000-0000-0000CF020000}"/>
    <hyperlink ref="R1225" r:id="rId721" xr:uid="{00000000-0004-0000-0000-0000D0020000}"/>
    <hyperlink ref="R1226" r:id="rId722" xr:uid="{00000000-0004-0000-0000-0000D1020000}"/>
    <hyperlink ref="R1227" r:id="rId723" xr:uid="{00000000-0004-0000-0000-0000D2020000}"/>
    <hyperlink ref="R1190" r:id="rId724" xr:uid="{00000000-0004-0000-0000-0000D3020000}"/>
    <hyperlink ref="R1191" r:id="rId725" xr:uid="{00000000-0004-0000-0000-0000D4020000}"/>
    <hyperlink ref="R1192" r:id="rId726" xr:uid="{00000000-0004-0000-0000-0000D5020000}"/>
    <hyperlink ref="R1193" r:id="rId727" xr:uid="{00000000-0004-0000-0000-0000D6020000}"/>
    <hyperlink ref="R1194" r:id="rId728" xr:uid="{00000000-0004-0000-0000-0000D7020000}"/>
    <hyperlink ref="R1195" r:id="rId729" xr:uid="{00000000-0004-0000-0000-0000D8020000}"/>
    <hyperlink ref="R1196" r:id="rId730" xr:uid="{00000000-0004-0000-0000-0000D9020000}"/>
    <hyperlink ref="R1197" r:id="rId731" xr:uid="{00000000-0004-0000-0000-0000DA020000}"/>
    <hyperlink ref="R1198" r:id="rId732" xr:uid="{00000000-0004-0000-0000-0000DB020000}"/>
    <hyperlink ref="R1199" r:id="rId733" xr:uid="{00000000-0004-0000-0000-0000DC020000}"/>
    <hyperlink ref="R1200" r:id="rId734" xr:uid="{00000000-0004-0000-0000-0000DD020000}"/>
    <hyperlink ref="R1201" r:id="rId735" xr:uid="{00000000-0004-0000-0000-0000DE020000}"/>
    <hyperlink ref="R1202" r:id="rId736" xr:uid="{00000000-0004-0000-0000-0000DF020000}"/>
    <hyperlink ref="R1203" r:id="rId737" xr:uid="{00000000-0004-0000-0000-0000E0020000}"/>
    <hyperlink ref="R325" r:id="rId738" xr:uid="{00000000-0004-0000-0000-0000E1020000}"/>
    <hyperlink ref="R326" r:id="rId739" xr:uid="{00000000-0004-0000-0000-0000E2020000}"/>
    <hyperlink ref="R327" r:id="rId740" xr:uid="{00000000-0004-0000-0000-0000E3020000}"/>
    <hyperlink ref="R328" r:id="rId741" xr:uid="{00000000-0004-0000-0000-0000E4020000}"/>
    <hyperlink ref="R329" r:id="rId742" xr:uid="{00000000-0004-0000-0000-0000E5020000}"/>
    <hyperlink ref="R330" r:id="rId743" xr:uid="{00000000-0004-0000-0000-0000E6020000}"/>
    <hyperlink ref="R331" r:id="rId744" xr:uid="{00000000-0004-0000-0000-0000E7020000}"/>
    <hyperlink ref="R332" r:id="rId745" xr:uid="{00000000-0004-0000-0000-0000E8020000}"/>
    <hyperlink ref="R333" r:id="rId746" xr:uid="{00000000-0004-0000-0000-0000E9020000}"/>
    <hyperlink ref="R334" r:id="rId747" xr:uid="{00000000-0004-0000-0000-0000EA020000}"/>
    <hyperlink ref="R335" r:id="rId748" xr:uid="{00000000-0004-0000-0000-0000EB020000}"/>
    <hyperlink ref="R336" r:id="rId749" xr:uid="{00000000-0004-0000-0000-0000EC020000}"/>
    <hyperlink ref="R337" r:id="rId750" xr:uid="{00000000-0004-0000-0000-0000ED020000}"/>
    <hyperlink ref="R338" r:id="rId751" xr:uid="{00000000-0004-0000-0000-0000EE020000}"/>
    <hyperlink ref="R483" r:id="rId752" xr:uid="{00000000-0004-0000-0000-0000EF020000}"/>
    <hyperlink ref="R657" r:id="rId753" xr:uid="{00000000-0004-0000-0000-0000F0020000}"/>
    <hyperlink ref="R658" r:id="rId754" xr:uid="{00000000-0004-0000-0000-0000F1020000}"/>
    <hyperlink ref="R484" r:id="rId755" xr:uid="{00000000-0004-0000-0000-0000F2020000}"/>
    <hyperlink ref="R659" r:id="rId756" xr:uid="{00000000-0004-0000-0000-0000F3020000}"/>
    <hyperlink ref="R485" r:id="rId757" xr:uid="{00000000-0004-0000-0000-0000F4020000}"/>
    <hyperlink ref="R660" r:id="rId758" xr:uid="{00000000-0004-0000-0000-0000F5020000}"/>
    <hyperlink ref="R486" r:id="rId759" xr:uid="{00000000-0004-0000-0000-0000F6020000}"/>
    <hyperlink ref="R661" r:id="rId760" xr:uid="{00000000-0004-0000-0000-0000F7020000}"/>
    <hyperlink ref="R487" r:id="rId761" xr:uid="{00000000-0004-0000-0000-0000F8020000}"/>
    <hyperlink ref="R662" r:id="rId762" xr:uid="{00000000-0004-0000-0000-0000F9020000}"/>
    <hyperlink ref="R488" r:id="rId763" xr:uid="{00000000-0004-0000-0000-0000FA020000}"/>
    <hyperlink ref="R663" r:id="rId764" xr:uid="{00000000-0004-0000-0000-0000FB020000}"/>
    <hyperlink ref="R489" r:id="rId765" xr:uid="{00000000-0004-0000-0000-0000FC020000}"/>
    <hyperlink ref="R490" r:id="rId766" xr:uid="{00000000-0004-0000-0000-0000FD020000}"/>
    <hyperlink ref="R664" r:id="rId767" xr:uid="{00000000-0004-0000-0000-0000FE020000}"/>
    <hyperlink ref="R491" r:id="rId768" xr:uid="{00000000-0004-0000-0000-0000FF020000}"/>
    <hyperlink ref="R492" r:id="rId769" xr:uid="{00000000-0004-0000-0000-000000030000}"/>
    <hyperlink ref="R665" r:id="rId770" xr:uid="{00000000-0004-0000-0000-000001030000}"/>
    <hyperlink ref="R493" r:id="rId771" xr:uid="{00000000-0004-0000-0000-000002030000}"/>
    <hyperlink ref="R666" r:id="rId772" xr:uid="{00000000-0004-0000-0000-000003030000}"/>
    <hyperlink ref="R494" r:id="rId773" xr:uid="{00000000-0004-0000-0000-000004030000}"/>
    <hyperlink ref="R667" r:id="rId774" xr:uid="{00000000-0004-0000-0000-000005030000}"/>
    <hyperlink ref="R668" r:id="rId775" xr:uid="{00000000-0004-0000-0000-000006030000}"/>
    <hyperlink ref="R495" r:id="rId776" xr:uid="{00000000-0004-0000-0000-000007030000}"/>
    <hyperlink ref="R669" r:id="rId777" xr:uid="{00000000-0004-0000-0000-000008030000}"/>
    <hyperlink ref="R670" r:id="rId778" xr:uid="{00000000-0004-0000-0000-000009030000}"/>
    <hyperlink ref="R671" r:id="rId779" xr:uid="{00000000-0004-0000-0000-00000A030000}"/>
    <hyperlink ref="R672" r:id="rId780" xr:uid="{00000000-0004-0000-0000-00000B030000}"/>
    <hyperlink ref="R496" r:id="rId781" xr:uid="{00000000-0004-0000-0000-00000C030000}"/>
    <hyperlink ref="R673" r:id="rId782" xr:uid="{00000000-0004-0000-0000-00000D030000}"/>
    <hyperlink ref="R85" r:id="rId783" xr:uid="{00000000-0004-0000-0000-00000E030000}"/>
    <hyperlink ref="R86" r:id="rId784" xr:uid="{00000000-0004-0000-0000-00000F030000}"/>
    <hyperlink ref="R87" r:id="rId785" xr:uid="{00000000-0004-0000-0000-000010030000}"/>
    <hyperlink ref="R88" r:id="rId786" xr:uid="{00000000-0004-0000-0000-000011030000}"/>
    <hyperlink ref="R89" r:id="rId787" xr:uid="{00000000-0004-0000-0000-000012030000}"/>
    <hyperlink ref="R90" r:id="rId788" xr:uid="{00000000-0004-0000-0000-000013030000}"/>
    <hyperlink ref="R91" r:id="rId789" xr:uid="{00000000-0004-0000-0000-000014030000}"/>
    <hyperlink ref="R92" r:id="rId790" xr:uid="{00000000-0004-0000-0000-000015030000}"/>
    <hyperlink ref="R93" r:id="rId791" xr:uid="{00000000-0004-0000-0000-000016030000}"/>
    <hyperlink ref="R94" r:id="rId792" xr:uid="{00000000-0004-0000-0000-000017030000}"/>
    <hyperlink ref="R724" r:id="rId793" xr:uid="{00000000-0004-0000-0000-000018030000}"/>
    <hyperlink ref="R725" r:id="rId794" xr:uid="{00000000-0004-0000-0000-000019030000}"/>
    <hyperlink ref="R726" r:id="rId795" xr:uid="{00000000-0004-0000-0000-00001A030000}"/>
    <hyperlink ref="R727" r:id="rId796" xr:uid="{00000000-0004-0000-0000-00001B030000}"/>
    <hyperlink ref="R728" r:id="rId797" xr:uid="{00000000-0004-0000-0000-00001C030000}"/>
    <hyperlink ref="R729" r:id="rId798" xr:uid="{00000000-0004-0000-0000-00001D030000}"/>
    <hyperlink ref="R130" r:id="rId799" xr:uid="{00000000-0004-0000-0000-00001E030000}"/>
    <hyperlink ref="R131" r:id="rId800" xr:uid="{00000000-0004-0000-0000-00001F030000}"/>
    <hyperlink ref="R132" r:id="rId801" xr:uid="{00000000-0004-0000-0000-000020030000}"/>
    <hyperlink ref="R133" r:id="rId802" xr:uid="{00000000-0004-0000-0000-000021030000}"/>
    <hyperlink ref="R134" r:id="rId803" xr:uid="{00000000-0004-0000-0000-000022030000}"/>
    <hyperlink ref="R135" r:id="rId804" xr:uid="{00000000-0004-0000-0000-000023030000}"/>
    <hyperlink ref="R136" r:id="rId805" xr:uid="{00000000-0004-0000-0000-000024030000}"/>
    <hyperlink ref="R137" r:id="rId806" xr:uid="{00000000-0004-0000-0000-000025030000}"/>
    <hyperlink ref="R138" r:id="rId807" xr:uid="{00000000-0004-0000-0000-000026030000}"/>
    <hyperlink ref="R139" r:id="rId808" xr:uid="{00000000-0004-0000-0000-000027030000}"/>
    <hyperlink ref="R140" r:id="rId809" xr:uid="{00000000-0004-0000-0000-000028030000}"/>
    <hyperlink ref="R1013" r:id="rId810" xr:uid="{00000000-0004-0000-0000-000029030000}"/>
    <hyperlink ref="R1103" r:id="rId811" xr:uid="{00000000-0004-0000-0000-00002A030000}"/>
    <hyperlink ref="R1014" r:id="rId812" xr:uid="{00000000-0004-0000-0000-00002B030000}"/>
    <hyperlink ref="R1104" r:id="rId813" xr:uid="{00000000-0004-0000-0000-00002C030000}"/>
    <hyperlink ref="R1015" r:id="rId814" xr:uid="{00000000-0004-0000-0000-00002D030000}"/>
    <hyperlink ref="R1105" r:id="rId815" xr:uid="{00000000-0004-0000-0000-00002E030000}"/>
    <hyperlink ref="R1106" r:id="rId816" xr:uid="{00000000-0004-0000-0000-00002F030000}"/>
    <hyperlink ref="R1016" r:id="rId817" xr:uid="{00000000-0004-0000-0000-000030030000}"/>
    <hyperlink ref="R1107" r:id="rId818" xr:uid="{00000000-0004-0000-0000-000031030000}"/>
    <hyperlink ref="R1108" r:id="rId819" xr:uid="{00000000-0004-0000-0000-000032030000}"/>
    <hyperlink ref="R1109" r:id="rId820" xr:uid="{00000000-0004-0000-0000-000033030000}"/>
    <hyperlink ref="R1017" r:id="rId821" xr:uid="{00000000-0004-0000-0000-000034030000}"/>
    <hyperlink ref="R1110" r:id="rId822" xr:uid="{00000000-0004-0000-0000-000035030000}"/>
    <hyperlink ref="R1111" r:id="rId823" xr:uid="{00000000-0004-0000-0000-000036030000}"/>
    <hyperlink ref="R1018" r:id="rId824" xr:uid="{00000000-0004-0000-0000-000037030000}"/>
    <hyperlink ref="R1112" r:id="rId825" xr:uid="{00000000-0004-0000-0000-000038030000}"/>
    <hyperlink ref="R1113" r:id="rId826" xr:uid="{00000000-0004-0000-0000-000039030000}"/>
    <hyperlink ref="R1019" r:id="rId827" xr:uid="{00000000-0004-0000-0000-00003A030000}"/>
    <hyperlink ref="R1114" r:id="rId828" xr:uid="{00000000-0004-0000-0000-00003B030000}"/>
    <hyperlink ref="R1020" r:id="rId829" xr:uid="{00000000-0004-0000-0000-00003C030000}"/>
    <hyperlink ref="R1115" r:id="rId830" xr:uid="{00000000-0004-0000-0000-00003D030000}"/>
    <hyperlink ref="R1021" r:id="rId831" xr:uid="{00000000-0004-0000-0000-00003E030000}"/>
    <hyperlink ref="R1116" r:id="rId832" xr:uid="{00000000-0004-0000-0000-00003F030000}"/>
    <hyperlink ref="R1117" r:id="rId833" xr:uid="{00000000-0004-0000-0000-000040030000}"/>
    <hyperlink ref="R1118" r:id="rId834" xr:uid="{00000000-0004-0000-0000-000041030000}"/>
    <hyperlink ref="R405" r:id="rId835" xr:uid="{00000000-0004-0000-0000-000042030000}"/>
    <hyperlink ref="R406" r:id="rId836" xr:uid="{00000000-0004-0000-0000-000043030000}"/>
    <hyperlink ref="R407" r:id="rId837" xr:uid="{00000000-0004-0000-0000-000044030000}"/>
    <hyperlink ref="R408" r:id="rId838" xr:uid="{00000000-0004-0000-0000-000045030000}"/>
    <hyperlink ref="R409" r:id="rId839" xr:uid="{00000000-0004-0000-0000-000046030000}"/>
    <hyperlink ref="R410" r:id="rId840" xr:uid="{00000000-0004-0000-0000-000047030000}"/>
    <hyperlink ref="R411" r:id="rId841" xr:uid="{00000000-0004-0000-0000-000048030000}"/>
    <hyperlink ref="R412" r:id="rId842" xr:uid="{00000000-0004-0000-0000-000049030000}"/>
    <hyperlink ref="R413" r:id="rId843" xr:uid="{00000000-0004-0000-0000-00004A030000}"/>
    <hyperlink ref="R414" r:id="rId844" xr:uid="{00000000-0004-0000-0000-00004B030000}"/>
    <hyperlink ref="R263" r:id="rId845" xr:uid="{00000000-0004-0000-0000-00004C030000}"/>
    <hyperlink ref="R264" r:id="rId846" xr:uid="{00000000-0004-0000-0000-00004D030000}"/>
    <hyperlink ref="R274" r:id="rId847" xr:uid="{00000000-0004-0000-0000-00004E030000}"/>
    <hyperlink ref="R265" r:id="rId848" xr:uid="{00000000-0004-0000-0000-00004F030000}"/>
    <hyperlink ref="R266" r:id="rId849" xr:uid="{00000000-0004-0000-0000-000050030000}"/>
    <hyperlink ref="R267" r:id="rId850" xr:uid="{00000000-0004-0000-0000-000051030000}"/>
    <hyperlink ref="R275" r:id="rId851" xr:uid="{00000000-0004-0000-0000-000052030000}"/>
    <hyperlink ref="R268" r:id="rId852" xr:uid="{00000000-0004-0000-0000-000053030000}"/>
    <hyperlink ref="R269" r:id="rId853" xr:uid="{00000000-0004-0000-0000-000054030000}"/>
    <hyperlink ref="R51" r:id="rId854" xr:uid="{00000000-0004-0000-0000-000055030000}"/>
    <hyperlink ref="R52" r:id="rId855" xr:uid="{00000000-0004-0000-0000-000056030000}"/>
    <hyperlink ref="R53" r:id="rId856" xr:uid="{00000000-0004-0000-0000-000057030000}"/>
    <hyperlink ref="R54" r:id="rId857" xr:uid="{00000000-0004-0000-0000-000058030000}"/>
    <hyperlink ref="R55" r:id="rId858" xr:uid="{00000000-0004-0000-0000-000059030000}"/>
    <hyperlink ref="R56" r:id="rId859" xr:uid="{00000000-0004-0000-0000-00005A030000}"/>
    <hyperlink ref="R57" r:id="rId860" xr:uid="{00000000-0004-0000-0000-00005B030000}"/>
    <hyperlink ref="R58" r:id="rId861" xr:uid="{00000000-0004-0000-0000-00005C030000}"/>
    <hyperlink ref="R59" r:id="rId862" xr:uid="{00000000-0004-0000-0000-00005D030000}"/>
    <hyperlink ref="R60" r:id="rId863" xr:uid="{00000000-0004-0000-0000-00005E030000}"/>
    <hyperlink ref="R61" r:id="rId864" xr:uid="{00000000-0004-0000-0000-00005F030000}"/>
    <hyperlink ref="R62" r:id="rId865" xr:uid="{00000000-0004-0000-0000-000060030000}"/>
    <hyperlink ref="R63" r:id="rId866" xr:uid="{00000000-0004-0000-0000-000061030000}"/>
    <hyperlink ref="R843" r:id="rId867" xr:uid="{00000000-0004-0000-0000-000062030000}"/>
    <hyperlink ref="R844" r:id="rId868" xr:uid="{00000000-0004-0000-0000-000063030000}"/>
    <hyperlink ref="R845" r:id="rId869" xr:uid="{00000000-0004-0000-0000-000064030000}"/>
    <hyperlink ref="R846" r:id="rId870" xr:uid="{00000000-0004-0000-0000-000065030000}"/>
    <hyperlink ref="R847" r:id="rId871" xr:uid="{00000000-0004-0000-0000-000066030000}"/>
    <hyperlink ref="R988" r:id="rId872" xr:uid="{00000000-0004-0000-0000-000067030000}"/>
    <hyperlink ref="R892" r:id="rId873" xr:uid="{00000000-0004-0000-0000-000068030000}"/>
    <hyperlink ref="R893" r:id="rId874" xr:uid="{00000000-0004-0000-0000-000069030000}"/>
    <hyperlink ref="R894" r:id="rId875" xr:uid="{00000000-0004-0000-0000-00006A030000}"/>
    <hyperlink ref="R895" r:id="rId876" xr:uid="{00000000-0004-0000-0000-00006B030000}"/>
    <hyperlink ref="R896" r:id="rId877" xr:uid="{00000000-0004-0000-0000-00006C030000}"/>
    <hyperlink ref="R897" r:id="rId878" xr:uid="{00000000-0004-0000-0000-00006D030000}"/>
    <hyperlink ref="R898" r:id="rId879" xr:uid="{00000000-0004-0000-0000-00006E030000}"/>
    <hyperlink ref="R899" r:id="rId880" xr:uid="{00000000-0004-0000-0000-00006F030000}"/>
    <hyperlink ref="R900" r:id="rId881" xr:uid="{00000000-0004-0000-0000-000070030000}"/>
    <hyperlink ref="R901" r:id="rId882" xr:uid="{00000000-0004-0000-0000-000071030000}"/>
    <hyperlink ref="R902" r:id="rId883" xr:uid="{00000000-0004-0000-0000-000072030000}"/>
    <hyperlink ref="R903" r:id="rId884" xr:uid="{00000000-0004-0000-0000-000073030000}"/>
    <hyperlink ref="R904" r:id="rId885" xr:uid="{00000000-0004-0000-0000-000074030000}"/>
    <hyperlink ref="R905" r:id="rId886" xr:uid="{00000000-0004-0000-0000-000075030000}"/>
    <hyperlink ref="R441" r:id="rId887" xr:uid="{00000000-0004-0000-0000-000076030000}"/>
    <hyperlink ref="R442" r:id="rId888" xr:uid="{00000000-0004-0000-0000-000077030000}"/>
    <hyperlink ref="R443" r:id="rId889" xr:uid="{00000000-0004-0000-0000-000078030000}"/>
    <hyperlink ref="R444" r:id="rId890" xr:uid="{00000000-0004-0000-0000-000079030000}"/>
    <hyperlink ref="R445" r:id="rId891" xr:uid="{00000000-0004-0000-0000-00007A030000}"/>
    <hyperlink ref="R446" r:id="rId892" xr:uid="{00000000-0004-0000-0000-00007B030000}"/>
    <hyperlink ref="R447" r:id="rId893" xr:uid="{00000000-0004-0000-0000-00007C030000}"/>
    <hyperlink ref="R448" r:id="rId894" xr:uid="{00000000-0004-0000-0000-00007D030000}"/>
    <hyperlink ref="R449" r:id="rId895" xr:uid="{00000000-0004-0000-0000-00007E030000}"/>
    <hyperlink ref="R450" r:id="rId896" xr:uid="{00000000-0004-0000-0000-00007F030000}"/>
    <hyperlink ref="R1078" r:id="rId897" xr:uid="{00000000-0004-0000-0000-000080030000}"/>
    <hyperlink ref="R1079" r:id="rId898" xr:uid="{00000000-0004-0000-0000-000081030000}"/>
    <hyperlink ref="R1080" r:id="rId899" xr:uid="{00000000-0004-0000-0000-000082030000}"/>
    <hyperlink ref="R1081" r:id="rId900" xr:uid="{00000000-0004-0000-0000-000083030000}"/>
    <hyperlink ref="R1082" r:id="rId901" xr:uid="{00000000-0004-0000-0000-000084030000}"/>
    <hyperlink ref="R1083" r:id="rId902" xr:uid="{00000000-0004-0000-0000-000085030000}"/>
    <hyperlink ref="R1084" r:id="rId903" xr:uid="{00000000-0004-0000-0000-000086030000}"/>
    <hyperlink ref="R1085" r:id="rId904" xr:uid="{00000000-0004-0000-0000-000087030000}"/>
    <hyperlink ref="R1086" r:id="rId905" xr:uid="{00000000-0004-0000-0000-000088030000}"/>
    <hyperlink ref="R1087" r:id="rId906" xr:uid="{00000000-0004-0000-0000-000089030000}"/>
    <hyperlink ref="R1088" r:id="rId907" xr:uid="{00000000-0004-0000-0000-00008A030000}"/>
    <hyperlink ref="R1089" r:id="rId908" xr:uid="{00000000-0004-0000-0000-00008B030000}"/>
    <hyperlink ref="R778" r:id="rId909" xr:uid="{00000000-0004-0000-0000-00008C030000}"/>
    <hyperlink ref="R779" r:id="rId910" xr:uid="{00000000-0004-0000-0000-00008D030000}"/>
    <hyperlink ref="R780" r:id="rId911" xr:uid="{00000000-0004-0000-0000-00008E030000}"/>
    <hyperlink ref="R781" r:id="rId912" xr:uid="{00000000-0004-0000-0000-00008F030000}"/>
    <hyperlink ref="R782" r:id="rId913" xr:uid="{00000000-0004-0000-0000-000090030000}"/>
    <hyperlink ref="R783" r:id="rId914" xr:uid="{00000000-0004-0000-0000-000091030000}"/>
    <hyperlink ref="R784" r:id="rId915" xr:uid="{00000000-0004-0000-0000-000092030000}"/>
    <hyperlink ref="R785" r:id="rId916" xr:uid="{00000000-0004-0000-0000-000093030000}"/>
    <hyperlink ref="R786" r:id="rId917" xr:uid="{00000000-0004-0000-0000-000094030000}"/>
    <hyperlink ref="R787" r:id="rId918" xr:uid="{00000000-0004-0000-0000-000095030000}"/>
    <hyperlink ref="R788" r:id="rId919" xr:uid="{00000000-0004-0000-0000-000096030000}"/>
    <hyperlink ref="R789" r:id="rId920" xr:uid="{00000000-0004-0000-0000-000097030000}"/>
    <hyperlink ref="R790" r:id="rId921" xr:uid="{00000000-0004-0000-0000-000098030000}"/>
    <hyperlink ref="R791" r:id="rId922" xr:uid="{00000000-0004-0000-0000-000099030000}"/>
    <hyperlink ref="R730" r:id="rId923" xr:uid="{00000000-0004-0000-0000-00009A030000}"/>
    <hyperlink ref="R731" r:id="rId924" xr:uid="{00000000-0004-0000-0000-00009B030000}"/>
    <hyperlink ref="R732" r:id="rId925" xr:uid="{00000000-0004-0000-0000-00009C030000}"/>
    <hyperlink ref="R1228" r:id="rId926" xr:uid="{00000000-0004-0000-0000-00009D030000}"/>
    <hyperlink ref="R1229" r:id="rId927" xr:uid="{00000000-0004-0000-0000-00009E030000}"/>
    <hyperlink ref="R1230" r:id="rId928" xr:uid="{00000000-0004-0000-0000-00009F030000}"/>
    <hyperlink ref="R1231" r:id="rId929" xr:uid="{00000000-0004-0000-0000-0000A0030000}"/>
    <hyperlink ref="R1232" r:id="rId930" xr:uid="{00000000-0004-0000-0000-0000A1030000}"/>
    <hyperlink ref="R1233" r:id="rId931" xr:uid="{00000000-0004-0000-0000-0000A2030000}"/>
    <hyperlink ref="R1234" r:id="rId932" xr:uid="{00000000-0004-0000-0000-0000A3030000}"/>
    <hyperlink ref="R1235" r:id="rId933" xr:uid="{00000000-0004-0000-0000-0000A4030000}"/>
    <hyperlink ref="R1236" r:id="rId934" xr:uid="{00000000-0004-0000-0000-0000A5030000}"/>
    <hyperlink ref="R1237" r:id="rId935" xr:uid="{00000000-0004-0000-0000-0000A6030000}"/>
    <hyperlink ref="R1238" r:id="rId936" xr:uid="{00000000-0004-0000-0000-0000A7030000}"/>
    <hyperlink ref="R1239" r:id="rId937" xr:uid="{00000000-0004-0000-0000-0000A8030000}"/>
    <hyperlink ref="R1240" r:id="rId938" xr:uid="{00000000-0004-0000-0000-0000A9030000}"/>
    <hyperlink ref="R1241" r:id="rId939" xr:uid="{00000000-0004-0000-0000-0000AA030000}"/>
    <hyperlink ref="R1242" r:id="rId940" xr:uid="{00000000-0004-0000-0000-0000AB030000}"/>
    <hyperlink ref="R960" r:id="rId941" xr:uid="{00000000-0004-0000-0000-0000AC030000}"/>
    <hyperlink ref="R961" r:id="rId942" xr:uid="{00000000-0004-0000-0000-0000AD030000}"/>
    <hyperlink ref="R962" r:id="rId943" xr:uid="{00000000-0004-0000-0000-0000AE030000}"/>
    <hyperlink ref="R963" r:id="rId944" xr:uid="{00000000-0004-0000-0000-0000AF030000}"/>
    <hyperlink ref="R964" r:id="rId945" xr:uid="{00000000-0004-0000-0000-0000B0030000}"/>
    <hyperlink ref="R965" r:id="rId946" xr:uid="{00000000-0004-0000-0000-0000B1030000}"/>
    <hyperlink ref="R559" r:id="rId947" xr:uid="{00000000-0004-0000-0000-0000B2030000}"/>
    <hyperlink ref="R560" r:id="rId948" xr:uid="{00000000-0004-0000-0000-0000B3030000}"/>
    <hyperlink ref="R561" r:id="rId949" xr:uid="{00000000-0004-0000-0000-0000B4030000}"/>
    <hyperlink ref="R562" r:id="rId950" xr:uid="{00000000-0004-0000-0000-0000B5030000}"/>
    <hyperlink ref="R563" r:id="rId951" xr:uid="{00000000-0004-0000-0000-0000B6030000}"/>
    <hyperlink ref="R564" r:id="rId952" xr:uid="{00000000-0004-0000-0000-0000B7030000}"/>
    <hyperlink ref="R565" r:id="rId953" xr:uid="{00000000-0004-0000-0000-0000B8030000}"/>
    <hyperlink ref="R566" r:id="rId954" xr:uid="{00000000-0004-0000-0000-0000B9030000}"/>
    <hyperlink ref="R567" r:id="rId955" xr:uid="{00000000-0004-0000-0000-0000BA030000}"/>
    <hyperlink ref="R568" r:id="rId956" xr:uid="{00000000-0004-0000-0000-0000BB030000}"/>
    <hyperlink ref="R569" r:id="rId957" xr:uid="{00000000-0004-0000-0000-0000BC030000}"/>
    <hyperlink ref="R570" r:id="rId958" xr:uid="{00000000-0004-0000-0000-0000BD030000}"/>
    <hyperlink ref="R571" r:id="rId959" xr:uid="{00000000-0004-0000-0000-0000BE030000}"/>
    <hyperlink ref="R572" r:id="rId960" xr:uid="{00000000-0004-0000-0000-0000BF030000}"/>
    <hyperlink ref="R573" r:id="rId961" xr:uid="{00000000-0004-0000-0000-0000C0030000}"/>
    <hyperlink ref="R574" r:id="rId962" xr:uid="{00000000-0004-0000-0000-0000C1030000}"/>
    <hyperlink ref="R339" r:id="rId963" xr:uid="{00000000-0004-0000-0000-0000C2030000}"/>
    <hyperlink ref="R1022" r:id="rId964" xr:uid="{00000000-0004-0000-0000-0000C3030000}"/>
    <hyperlink ref="R1119" r:id="rId965" xr:uid="{00000000-0004-0000-0000-0000C4030000}"/>
    <hyperlink ref="R270" r:id="rId966" xr:uid="{00000000-0004-0000-0000-0000C5030000}"/>
    <hyperlink ref="R276" r:id="rId967" xr:uid="{00000000-0004-0000-0000-0000C6030000}"/>
    <hyperlink ref="R906" r:id="rId968" xr:uid="{00000000-0004-0000-0000-0000C7030000}"/>
    <hyperlink ref="R907" r:id="rId969" xr:uid="{00000000-0004-0000-0000-0000C8030000}"/>
    <hyperlink ref="R908" r:id="rId970" xr:uid="{00000000-0004-0000-0000-0000C9030000}"/>
    <hyperlink ref="R909" r:id="rId971" xr:uid="{00000000-0004-0000-0000-0000CA030000}"/>
    <hyperlink ref="R910" r:id="rId972" xr:uid="{00000000-0004-0000-0000-0000CB030000}"/>
    <hyperlink ref="R911" r:id="rId973" xr:uid="{00000000-0004-0000-0000-0000CC030000}"/>
    <hyperlink ref="R912" r:id="rId974" xr:uid="{00000000-0004-0000-0000-0000CD030000}"/>
    <hyperlink ref="R913" r:id="rId975" xr:uid="{00000000-0004-0000-0000-0000CE030000}"/>
    <hyperlink ref="R914" r:id="rId976" xr:uid="{00000000-0004-0000-0000-0000CF030000}"/>
    <hyperlink ref="R915" r:id="rId977" xr:uid="{00000000-0004-0000-0000-0000D0030000}"/>
    <hyperlink ref="R916" r:id="rId978" xr:uid="{00000000-0004-0000-0000-0000D1030000}"/>
    <hyperlink ref="R917" r:id="rId979" xr:uid="{00000000-0004-0000-0000-0000D2030000}"/>
    <hyperlink ref="R918" r:id="rId980" xr:uid="{00000000-0004-0000-0000-0000D3030000}"/>
    <hyperlink ref="R2" r:id="rId981" xr:uid="{00000000-0004-0000-0000-0000D4030000}"/>
    <hyperlink ref="R3" r:id="rId982" xr:uid="{00000000-0004-0000-0000-0000D5030000}"/>
    <hyperlink ref="R4" r:id="rId983" xr:uid="{00000000-0004-0000-0000-0000D6030000}"/>
    <hyperlink ref="R5" r:id="rId984" xr:uid="{00000000-0004-0000-0000-0000D7030000}"/>
    <hyperlink ref="R6" r:id="rId985" xr:uid="{00000000-0004-0000-0000-0000D8030000}"/>
    <hyperlink ref="R7" r:id="rId986" xr:uid="{00000000-0004-0000-0000-0000D9030000}"/>
    <hyperlink ref="R8" r:id="rId987" xr:uid="{00000000-0004-0000-0000-0000DA030000}"/>
    <hyperlink ref="R9" r:id="rId988" xr:uid="{00000000-0004-0000-0000-0000DB030000}"/>
    <hyperlink ref="R10" r:id="rId989" xr:uid="{00000000-0004-0000-0000-0000DC030000}"/>
    <hyperlink ref="R11" r:id="rId990" xr:uid="{00000000-0004-0000-0000-0000DD030000}"/>
    <hyperlink ref="R12" r:id="rId991" xr:uid="{00000000-0004-0000-0000-0000DE030000}"/>
    <hyperlink ref="R13" r:id="rId992" xr:uid="{00000000-0004-0000-0000-0000DF030000}"/>
    <hyperlink ref="R14" r:id="rId993" xr:uid="{00000000-0004-0000-0000-0000E0030000}"/>
    <hyperlink ref="R15" r:id="rId994" xr:uid="{00000000-0004-0000-0000-0000E1030000}"/>
    <hyperlink ref="R16" r:id="rId995" xr:uid="{00000000-0004-0000-0000-0000E2030000}"/>
    <hyperlink ref="R17" r:id="rId996" xr:uid="{00000000-0004-0000-0000-0000E3030000}"/>
    <hyperlink ref="R18" r:id="rId997" xr:uid="{00000000-0004-0000-0000-0000E4030000}"/>
    <hyperlink ref="R19" r:id="rId998" xr:uid="{00000000-0004-0000-0000-0000E5030000}"/>
    <hyperlink ref="R20" r:id="rId999" xr:uid="{00000000-0004-0000-0000-0000E6030000}"/>
    <hyperlink ref="R21" r:id="rId1000" xr:uid="{00000000-0004-0000-0000-0000E7030000}"/>
    <hyperlink ref="R22" r:id="rId1001" xr:uid="{00000000-0004-0000-0000-0000E8030000}"/>
    <hyperlink ref="R23" r:id="rId1002" xr:uid="{00000000-0004-0000-0000-0000E9030000}"/>
    <hyperlink ref="R24" r:id="rId1003" xr:uid="{00000000-0004-0000-0000-0000EA030000}"/>
    <hyperlink ref="R25" r:id="rId1004" xr:uid="{00000000-0004-0000-0000-0000EB030000}"/>
    <hyperlink ref="R26" r:id="rId1005" xr:uid="{00000000-0004-0000-0000-0000EC030000}"/>
    <hyperlink ref="R27" r:id="rId1006" xr:uid="{00000000-0004-0000-0000-0000ED030000}"/>
    <hyperlink ref="R28" r:id="rId1007" xr:uid="{00000000-0004-0000-0000-0000EE030000}"/>
    <hyperlink ref="R29" r:id="rId1008" xr:uid="{00000000-0004-0000-0000-0000EF030000}"/>
    <hyperlink ref="R30" r:id="rId1009" xr:uid="{00000000-0004-0000-0000-0000F0030000}"/>
    <hyperlink ref="R1023" r:id="rId1010" xr:uid="{00000000-0004-0000-0000-0000F1030000}"/>
    <hyperlink ref="R340" r:id="rId1011" xr:uid="{00000000-0004-0000-0000-0000F2030000}"/>
    <hyperlink ref="R64" r:id="rId1012" xr:uid="{00000000-0004-0000-0000-0000F3030000}"/>
    <hyperlink ref="R1204" r:id="rId1013" xr:uid="{00000000-0004-0000-0000-0000F4030000}"/>
    <hyperlink ref="R141" r:id="rId1014" xr:uid="{00000000-0004-0000-0000-0000F5030000}"/>
    <hyperlink ref="R1090" r:id="rId1015" xr:uid="{00000000-0004-0000-0000-0000F6030000}"/>
    <hyperlink ref="R848" r:id="rId1016" xr:uid="{00000000-0004-0000-0000-0000F7030000}"/>
    <hyperlink ref="R575" r:id="rId1017" xr:uid="{00000000-0004-0000-0000-0000F8030000}"/>
    <hyperlink ref="R156" r:id="rId1018" xr:uid="{00000000-0004-0000-0000-0000F9030000}"/>
    <hyperlink ref="R1041" r:id="rId1019" xr:uid="{00000000-0004-0000-0000-0000FA030000}"/>
    <hyperlink ref="R989" r:id="rId1020" xr:uid="{00000000-0004-0000-0000-0000FB030000}"/>
    <hyperlink ref="R497" r:id="rId1021" xr:uid="{00000000-0004-0000-0000-0000FC030000}"/>
    <hyperlink ref="R792" r:id="rId1022" xr:uid="{00000000-0004-0000-0000-0000FD030000}"/>
    <hyperlink ref="R990" r:id="rId1023" xr:uid="{00000000-0004-0000-0000-0000FE030000}"/>
    <hyperlink ref="R919" r:id="rId1024" xr:uid="{00000000-0004-0000-0000-0000FF030000}"/>
    <hyperlink ref="R674" r:id="rId1025" xr:uid="{00000000-0004-0000-0000-000000040000}"/>
    <hyperlink ref="R369" r:id="rId1026" xr:uid="{00000000-0004-0000-0000-000001040000}"/>
    <hyperlink ref="R95" r:id="rId1027" xr:uid="{00000000-0004-0000-0000-000002040000}"/>
    <hyperlink ref="R733" r:id="rId1028" xr:uid="{00000000-0004-0000-0000-000003040000}"/>
    <hyperlink ref="R966" r:id="rId1029" xr:uid="{00000000-0004-0000-0000-000004040000}"/>
    <hyperlink ref="R186" r:id="rId1030" xr:uid="{00000000-0004-0000-0000-000005040000}"/>
    <hyperlink ref="R31" r:id="rId1031" xr:uid="{00000000-0004-0000-0000-000006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2025-10-06T19:48:04Z</dcterms:created>
  <dcterms:modified xsi:type="dcterms:W3CDTF">2025-10-07T21:22:14Z</dcterms:modified>
</cp:coreProperties>
</file>