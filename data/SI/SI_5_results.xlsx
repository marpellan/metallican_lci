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https://polymtlca-my.sharepoint.com/personal/marin_pellan_polymtl_ca/Documents/POST_DOC/CODE/regionalized_lci_mineral/results/"/>
    </mc:Choice>
  </mc:AlternateContent>
  <xr:revisionPtr revIDLastSave="126" documentId="11_9E085252E48779FD7E0676B8CE278A0B5354D447" xr6:coauthVersionLast="47" xr6:coauthVersionMax="47" xr10:uidLastSave="{9AF3FF7E-D94D-4188-9629-89916D08C799}"/>
  <bookViews>
    <workbookView xWindow="-120" yWindow="-120" windowWidth="29040" windowHeight="15720" activeTab="1" xr2:uid="{00000000-000D-0000-FFFF-FFFF00000000}"/>
  </bookViews>
  <sheets>
    <sheet name="README" sheetId="15" r:id="rId1"/>
    <sheet name="recap" sheetId="16" r:id="rId2"/>
    <sheet name="EQ_damages_regioinvent" sheetId="1" r:id="rId3"/>
    <sheet name="HH_damages_regioinvent" sheetId="2" r:id="rId4"/>
    <sheet name="EQ_damages_ecoinvent" sheetId="7" state="hidden" r:id="rId5"/>
    <sheet name="HH_damages_ecoinvent" sheetId="8" state="hidden" r:id="rId6"/>
    <sheet name="MP_results" sheetId="9" r:id="rId7"/>
    <sheet name="CA_GWP_results" sheetId="14" r:id="rId8"/>
    <sheet name="bgf_tech" sheetId="10" r:id="rId9"/>
    <sheet name="bgf_bio" sheetId="11" r:id="rId10"/>
    <sheet name="agf_tech" sheetId="12" r:id="rId11"/>
    <sheet name="agf_bio" sheetId="13" r:id="rId12"/>
  </sheets>
  <definedNames>
    <definedName name="_xlnm._FilterDatabase" localSheetId="2" hidden="1">EQ_damages_regioinvent!$A$1:$W$1</definedName>
    <definedName name="_xlnm._FilterDatabase" localSheetId="3" hidden="1">HH_damages_regioinvent!$A$1:$L$1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7" i="16" l="1"/>
  <c r="F7" i="16"/>
  <c r="E7" i="16"/>
  <c r="D7" i="16"/>
  <c r="C7" i="16"/>
  <c r="G5" i="16"/>
  <c r="F5" i="16"/>
  <c r="E5" i="16"/>
  <c r="D5" i="16"/>
  <c r="C5" i="16"/>
  <c r="G4" i="16"/>
  <c r="F4" i="16"/>
  <c r="E4" i="16"/>
  <c r="D4" i="16"/>
  <c r="C4" i="16"/>
  <c r="G2" i="16"/>
  <c r="F2" i="16"/>
  <c r="E2" i="16"/>
  <c r="D2" i="16"/>
  <c r="C2" i="16"/>
  <c r="G6" i="16"/>
  <c r="F6" i="16"/>
  <c r="E6" i="16"/>
  <c r="I6" i="16" s="1"/>
  <c r="D6" i="16"/>
  <c r="C6" i="16"/>
  <c r="G3" i="16"/>
  <c r="F3" i="16"/>
  <c r="E3" i="16"/>
  <c r="D3" i="16"/>
  <c r="H3" i="16" s="1"/>
  <c r="C3" i="16"/>
  <c r="L3" i="2"/>
  <c r="L16" i="2"/>
  <c r="L47" i="2"/>
  <c r="L53" i="2"/>
  <c r="L41" i="2"/>
  <c r="L49" i="2"/>
  <c r="L4" i="2"/>
  <c r="L5" i="2"/>
  <c r="L17" i="2"/>
  <c r="L48" i="2"/>
  <c r="L54" i="2"/>
  <c r="L42" i="2"/>
  <c r="L50" i="2"/>
  <c r="L6" i="2"/>
  <c r="L7" i="2"/>
  <c r="L8" i="2"/>
  <c r="L9" i="2"/>
  <c r="L10" i="2"/>
  <c r="L11" i="2"/>
  <c r="L12" i="2"/>
  <c r="L13" i="2"/>
  <c r="L14" i="2"/>
  <c r="L15" i="2"/>
  <c r="L18" i="2"/>
  <c r="L19" i="2"/>
  <c r="L20" i="2"/>
  <c r="L21" i="2"/>
  <c r="L22" i="2"/>
  <c r="L23" i="2"/>
  <c r="L24" i="2"/>
  <c r="L25" i="2"/>
  <c r="L26" i="2"/>
  <c r="L27" i="2"/>
  <c r="L28" i="2"/>
  <c r="L29" i="2"/>
  <c r="L30" i="2"/>
  <c r="L31" i="2"/>
  <c r="L32" i="2"/>
  <c r="L33" i="2"/>
  <c r="L34" i="2"/>
  <c r="L35" i="2"/>
  <c r="L36" i="2"/>
  <c r="L37" i="2"/>
  <c r="L38" i="2"/>
  <c r="L43" i="2"/>
  <c r="L44" i="2"/>
  <c r="L45" i="2"/>
  <c r="L46" i="2"/>
  <c r="L39" i="2"/>
  <c r="L40" i="2"/>
  <c r="L55" i="2"/>
  <c r="L56" i="2"/>
  <c r="L57" i="2"/>
  <c r="L51" i="2"/>
  <c r="L52" i="2"/>
  <c r="L2" i="2"/>
  <c r="U3" i="1"/>
  <c r="U16" i="1"/>
  <c r="U47" i="1"/>
  <c r="U53" i="1"/>
  <c r="U41" i="1"/>
  <c r="U49" i="1"/>
  <c r="U4" i="1"/>
  <c r="U5" i="1"/>
  <c r="U17" i="1"/>
  <c r="U48" i="1"/>
  <c r="U54" i="1"/>
  <c r="U42" i="1"/>
  <c r="U50" i="1"/>
  <c r="U6" i="1"/>
  <c r="U7" i="1"/>
  <c r="U8" i="1"/>
  <c r="U9" i="1"/>
  <c r="U10" i="1"/>
  <c r="U11" i="1"/>
  <c r="U12" i="1"/>
  <c r="U13" i="1"/>
  <c r="U14" i="1"/>
  <c r="U15" i="1"/>
  <c r="U18" i="1"/>
  <c r="U19" i="1"/>
  <c r="U20" i="1"/>
  <c r="U21" i="1"/>
  <c r="U22" i="1"/>
  <c r="U23" i="1"/>
  <c r="U24" i="1"/>
  <c r="U25" i="1"/>
  <c r="U26" i="1"/>
  <c r="U27" i="1"/>
  <c r="U28" i="1"/>
  <c r="U29" i="1"/>
  <c r="U30" i="1"/>
  <c r="U31" i="1"/>
  <c r="U32" i="1"/>
  <c r="U33" i="1"/>
  <c r="U34" i="1"/>
  <c r="U35" i="1"/>
  <c r="U36" i="1"/>
  <c r="U37" i="1"/>
  <c r="U38" i="1"/>
  <c r="U43" i="1"/>
  <c r="U44" i="1"/>
  <c r="U45" i="1"/>
  <c r="U46" i="1"/>
  <c r="U39" i="1"/>
  <c r="U40" i="1"/>
  <c r="U55" i="1"/>
  <c r="U56" i="1"/>
  <c r="U57" i="1"/>
  <c r="U51" i="1"/>
  <c r="U52" i="1"/>
  <c r="U2" i="1"/>
  <c r="H7" i="16" l="1"/>
  <c r="H6" i="16"/>
  <c r="H5" i="16"/>
  <c r="I7" i="16"/>
  <c r="I5" i="16"/>
  <c r="H4" i="16"/>
  <c r="I4" i="16"/>
  <c r="I3" i="16"/>
  <c r="H2" i="16"/>
  <c r="I2" i="16"/>
</calcChain>
</file>

<file path=xl/sharedStrings.xml><?xml version="1.0" encoding="utf-8"?>
<sst xmlns="http://schemas.openxmlformats.org/spreadsheetml/2006/main" count="2459" uniqueCount="266">
  <si>
    <t>Climate change</t>
  </si>
  <si>
    <t>Commodity</t>
  </si>
  <si>
    <t>Fisheries impact</t>
  </si>
  <si>
    <t>Freshwater acidification</t>
  </si>
  <si>
    <t>Freshwater ecotoxicity</t>
  </si>
  <si>
    <t>Freshwater eutrophication</t>
  </si>
  <si>
    <t>Ionizing radiations</t>
  </si>
  <si>
    <t>Land occupation</t>
  </si>
  <si>
    <t>Land transformation</t>
  </si>
  <si>
    <t>Marine acidification</t>
  </si>
  <si>
    <t>Marine ecotoxicity</t>
  </si>
  <si>
    <t>Marine eutrophication</t>
  </si>
  <si>
    <t>Photochemical ozone</t>
  </si>
  <si>
    <t>Terrestrial acidification</t>
  </si>
  <si>
    <t>Terrestrial ecotoxicity</t>
  </si>
  <si>
    <t>Thermally polluted water</t>
  </si>
  <si>
    <t>Water availability freshwater</t>
  </si>
  <si>
    <t>Water availability terrestrial</t>
  </si>
  <si>
    <t>Source</t>
  </si>
  <si>
    <t>Reference product</t>
  </si>
  <si>
    <t>Cu concentrate from Au mine</t>
  </si>
  <si>
    <t>Ecoinvent</t>
  </si>
  <si>
    <t>Cu concentrate</t>
  </si>
  <si>
    <t>Cu concentrate from Cu mine</t>
  </si>
  <si>
    <t>Au-Ag ingot</t>
  </si>
  <si>
    <t>Doré</t>
  </si>
  <si>
    <t>Pb concentrate</t>
  </si>
  <si>
    <t>Zn concentrate</t>
  </si>
  <si>
    <t>Ni concentrate</t>
  </si>
  <si>
    <t>U yellowcake</t>
  </si>
  <si>
    <t>U concentrate</t>
  </si>
  <si>
    <t>Regioinvent</t>
  </si>
  <si>
    <t>Copper Mountain</t>
  </si>
  <si>
    <t>MetalliCan</t>
  </si>
  <si>
    <t>Gibraltar (Cu)</t>
  </si>
  <si>
    <t>Highland Valley (Cu)</t>
  </si>
  <si>
    <t>Mount Milligan</t>
  </si>
  <si>
    <t>Mount Polley</t>
  </si>
  <si>
    <t>Goldex (Cu)</t>
  </si>
  <si>
    <t>Kidd Creek</t>
  </si>
  <si>
    <t>LaRonde (Cu)</t>
  </si>
  <si>
    <t>New Afton</t>
  </si>
  <si>
    <t>Snow Lake (Cu)</t>
  </si>
  <si>
    <t>Casa Berardi</t>
  </si>
  <si>
    <t>Hemlo</t>
  </si>
  <si>
    <t>Meliadine</t>
  </si>
  <si>
    <t>Rainy River</t>
  </si>
  <si>
    <t>Meadowbank complex</t>
  </si>
  <si>
    <t>Porcupine complex</t>
  </si>
  <si>
    <t>Canadian Malartic</t>
  </si>
  <si>
    <t>Detour Lake</t>
  </si>
  <si>
    <t>Kiena</t>
  </si>
  <si>
    <t>Brucejack</t>
  </si>
  <si>
    <t>Eagle River</t>
  </si>
  <si>
    <t>Éléonore</t>
  </si>
  <si>
    <t>Goldex (Au)</t>
  </si>
  <si>
    <t>Island</t>
  </si>
  <si>
    <t>LaRonde (Doré)</t>
  </si>
  <si>
    <t>Macassa</t>
  </si>
  <si>
    <t>Musselwhite</t>
  </si>
  <si>
    <t>Red Lake</t>
  </si>
  <si>
    <t>Seabee Gold Operation</t>
  </si>
  <si>
    <t>Snow Lake (Doré)</t>
  </si>
  <si>
    <t>Westwood-Doyon</t>
  </si>
  <si>
    <t>Nunavik Nickel</t>
  </si>
  <si>
    <t>Thompson</t>
  </si>
  <si>
    <t>Voisey's Bay</t>
  </si>
  <si>
    <t>Raglan</t>
  </si>
  <si>
    <t>Gibraltar (Mo)</t>
  </si>
  <si>
    <t>Mo concentrate</t>
  </si>
  <si>
    <t>Highland Valley (Mo)</t>
  </si>
  <si>
    <t>Kidd Creek (Zn)</t>
  </si>
  <si>
    <t>LaRonde (Zn)</t>
  </si>
  <si>
    <t>Snow Lake (Zn)</t>
  </si>
  <si>
    <t>Key Lake + McArthur River</t>
  </si>
  <si>
    <t>Cigar Lake + McClean Lake</t>
  </si>
  <si>
    <t>Human toxicity non-cancer</t>
  </si>
  <si>
    <t>Human toxicity, cancer</t>
  </si>
  <si>
    <t>Ozone layer depletion</t>
  </si>
  <si>
    <t>Particulate matter</t>
  </si>
  <si>
    <t>Water availability</t>
  </si>
  <si>
    <t>Climate change (kg CO2 eq)</t>
  </si>
  <si>
    <t>Land occupation biodiversity (m2 arable land eq .yr)</t>
  </si>
  <si>
    <t>Land transformation biodiversity (m2 arable land eq)</t>
  </si>
  <si>
    <t>Particulate matter formation (kg PM2.5 eq)</t>
  </si>
  <si>
    <t>Water scarcity (m3 world-eq)</t>
  </si>
  <si>
    <t>Copper concentrate</t>
  </si>
  <si>
    <t>Gold-silver doré</t>
  </si>
  <si>
    <t>Zinc concentrate</t>
  </si>
  <si>
    <t>Nickel concentrate</t>
  </si>
  <si>
    <t>Uranium concentrate (yellowcake)</t>
  </si>
  <si>
    <t>Gibraltar**</t>
  </si>
  <si>
    <t>Highland Valley**</t>
  </si>
  <si>
    <t>Goldex**</t>
  </si>
  <si>
    <t>LaRonde**</t>
  </si>
  <si>
    <t>Snow Lake**</t>
  </si>
  <si>
    <t>Timmins Operation</t>
  </si>
  <si>
    <t>Molybdenum concentrate</t>
  </si>
  <si>
    <t>Kidd Creek**</t>
  </si>
  <si>
    <t>Market for Doré</t>
  </si>
  <si>
    <t>MetalliCan market</t>
  </si>
  <si>
    <t>Market for Cu concentrate</t>
  </si>
  <si>
    <t>Market for Ni concentrate</t>
  </si>
  <si>
    <t>Market for U concentrate</t>
  </si>
  <si>
    <t>Market for Mo concentrate</t>
  </si>
  <si>
    <t>Market for Zn concentrate</t>
  </si>
  <si>
    <t>site_id</t>
  </si>
  <si>
    <t>ore_processed_t</t>
  </si>
  <si>
    <t>dore_t_mass</t>
  </si>
  <si>
    <t>conc_t_mass</t>
  </si>
  <si>
    <t>BC-MAIN-599152a0</t>
  </si>
  <si>
    <t>BC-MAIN-6b4800fe</t>
  </si>
  <si>
    <t>BC-MAIN-bf503b6b</t>
  </si>
  <si>
    <t>BC-MAIN-ed23117f</t>
  </si>
  <si>
    <t>BC-MAIN-3f490561</t>
  </si>
  <si>
    <t>QC-MAIN-c0660aec</t>
  </si>
  <si>
    <t>ON-MAIN-f8313ebd</t>
  </si>
  <si>
    <t>QC-MAIN-e51eda66</t>
  </si>
  <si>
    <t>BC-MAIN-aa76f6f2</t>
  </si>
  <si>
    <t>GRP-a13779f8</t>
  </si>
  <si>
    <t>QC-MAIN-b86f7d07</t>
  </si>
  <si>
    <t>ON-MAIN-6e9be24e</t>
  </si>
  <si>
    <t>NU-MAIN-8b0264c9</t>
  </si>
  <si>
    <t>ON-MAIN-0aadf28f</t>
  </si>
  <si>
    <t>GRP-0a2c0d69</t>
  </si>
  <si>
    <t>GRP-0d911886</t>
  </si>
  <si>
    <t>QC-MAIN-e7e6a960</t>
  </si>
  <si>
    <t>ON-MAIN-aeafbb59</t>
  </si>
  <si>
    <t>QC-MAIN-9de9bb0d</t>
  </si>
  <si>
    <t>BC-MAIN-857b7b89</t>
  </si>
  <si>
    <t>ON-MAIN-cb85213a</t>
  </si>
  <si>
    <t>QC-MAIN-6dc537e6</t>
  </si>
  <si>
    <t>ON-MAIN-687b8c8d</t>
  </si>
  <si>
    <t>ON-MAIN-1f126a43</t>
  </si>
  <si>
    <t>ON-MAIN-fefeaee4</t>
  </si>
  <si>
    <t>ON-MAIN-7f050560</t>
  </si>
  <si>
    <t>GRP-14bfbb82</t>
  </si>
  <si>
    <t>GRP-147b3123</t>
  </si>
  <si>
    <t>QC-MAIN-02884fb5</t>
  </si>
  <si>
    <t>QC-MAIN-5ce331b8</t>
  </si>
  <si>
    <t>MB-MAIN-e0a6250e</t>
  </si>
  <si>
    <t>NL-MAIN-2d8801d6</t>
  </si>
  <si>
    <t>QC-MAIN-a97821c0</t>
  </si>
  <si>
    <t>GRP-21eee27d</t>
  </si>
  <si>
    <t>GRP-91aaa60b</t>
  </si>
  <si>
    <t>reference_product_market</t>
  </si>
  <si>
    <t>flow_type</t>
  </si>
  <si>
    <t>name</t>
  </si>
  <si>
    <t>supplier_reference_product</t>
  </si>
  <si>
    <t>categories</t>
  </si>
  <si>
    <t>unit</t>
  </si>
  <si>
    <t>location</t>
  </si>
  <si>
    <t>impact_score_market</t>
  </si>
  <si>
    <t>n_sites</t>
  </si>
  <si>
    <t>total_score_market</t>
  </si>
  <si>
    <t>share_%</t>
  </si>
  <si>
    <t>Biosphere (direct)</t>
  </si>
  <si>
    <t>Carbon dioxide, fossil</t>
  </si>
  <si>
    <t>('air', 'non-urban air or from high stacks')</t>
  </si>
  <si>
    <t>kilogram</t>
  </si>
  <si>
    <t>Carbon dioxide, from soil or biomass stock</t>
  </si>
  <si>
    <t>('air', 'low population density, long-term')</t>
  </si>
  <si>
    <t>Carbon monoxide, fossil</t>
  </si>
  <si>
    <t>Dinitrogen monoxide</t>
  </si>
  <si>
    <t>Methane, fossil</t>
  </si>
  <si>
    <t>('air',)</t>
  </si>
  <si>
    <t>Technosphere (first-tier)</t>
  </si>
  <si>
    <t>market for steel, low-alloyed</t>
  </si>
  <si>
    <t>steel, low-alloyed</t>
  </si>
  <si>
    <t>GLO</t>
  </si>
  <si>
    <t>market for diesel</t>
  </si>
  <si>
    <t>diesel</t>
  </si>
  <si>
    <t>RoW</t>
  </si>
  <si>
    <t>market for explosive, tovex</t>
  </si>
  <si>
    <t>explosive, tovex</t>
  </si>
  <si>
    <t>market for polyacrylamide</t>
  </si>
  <si>
    <t>polyacrylamide</t>
  </si>
  <si>
    <t>market for chemical, organic</t>
  </si>
  <si>
    <t>chemical, organic</t>
  </si>
  <si>
    <t>market for cement, unspecified</t>
  </si>
  <si>
    <t>cement, unspecified</t>
  </si>
  <si>
    <t>market for lime</t>
  </si>
  <si>
    <t>lime</t>
  </si>
  <si>
    <t>market for natural gas, high pressure</t>
  </si>
  <si>
    <t>natural gas, high pressure</t>
  </si>
  <si>
    <t>cubic meter</t>
  </si>
  <si>
    <t>CA</t>
  </si>
  <si>
    <t>market for sodium cyanide</t>
  </si>
  <si>
    <t>sodium cyanide</t>
  </si>
  <si>
    <t>market for sodium bicarbonate</t>
  </si>
  <si>
    <t>sodium bicarbonate</t>
  </si>
  <si>
    <t>market for propane</t>
  </si>
  <si>
    <t>propane</t>
  </si>
  <si>
    <t>market for liquefied petroleum gas</t>
  </si>
  <si>
    <t>liquefied petroleum gas</t>
  </si>
  <si>
    <t>market for dipropylene glycol monomethyl ether</t>
  </si>
  <si>
    <t>dipropylene glycol monomethyl ether</t>
  </si>
  <si>
    <t>market for sulfur dioxide, liquid</t>
  </si>
  <si>
    <t>sulfur dioxide, liquid</t>
  </si>
  <si>
    <t>market for activated carbon, granular</t>
  </si>
  <si>
    <t>activated carbon, granular</t>
  </si>
  <si>
    <t>market for hydrochloric acid, without water, in 30% solution state</t>
  </si>
  <si>
    <t>hydrochloric acid, without water, in 30% solution state</t>
  </si>
  <si>
    <t>market for light fuel oil</t>
  </si>
  <si>
    <t>light fuel oil</t>
  </si>
  <si>
    <t>market for sulfuric acid</t>
  </si>
  <si>
    <t>sulfuric acid</t>
  </si>
  <si>
    <t>market for sulfidic tailings, from copper mine operation</t>
  </si>
  <si>
    <t>sulfidic tailings, from copper mine operation</t>
  </si>
  <si>
    <t>market for sulfidic tailings, from gold mine operation</t>
  </si>
  <si>
    <t>sulfidic tailings, from gold mine operation</t>
  </si>
  <si>
    <t>market for synthetic rubber</t>
  </si>
  <si>
    <t>synthetic rubber</t>
  </si>
  <si>
    <t>market for lubricating oil</t>
  </si>
  <si>
    <t>lubricating oil</t>
  </si>
  <si>
    <t>market for kerosene</t>
  </si>
  <si>
    <t>kerosene</t>
  </si>
  <si>
    <t>market for sodium hydroxide, without water, in 50% solution state</t>
  </si>
  <si>
    <t>sodium hydroxide, without water, in 50% solution state</t>
  </si>
  <si>
    <t>market for nitric acid, without water, in 50% solution state</t>
  </si>
  <si>
    <t>nitric acid, without water, in 50% solution state</t>
  </si>
  <si>
    <t>market for ammonium nitrate</t>
  </si>
  <si>
    <t>ammonium nitrate</t>
  </si>
  <si>
    <t>market for acetylene</t>
  </si>
  <si>
    <t>acetylene</t>
  </si>
  <si>
    <t>market for biogas</t>
  </si>
  <si>
    <t>biogas</t>
  </si>
  <si>
    <t>market for soda ash, light</t>
  </si>
  <si>
    <t>soda ash, light</t>
  </si>
  <si>
    <t>market for ammonia, anhydrous, liquid</t>
  </si>
  <si>
    <t>ammonia, anhydrous, liquid</t>
  </si>
  <si>
    <t>market for sulfidic tailings, from nickel mine operation</t>
  </si>
  <si>
    <t>sulfidic tailings, from nickel mine operation</t>
  </si>
  <si>
    <t>market for hydrogen peroxide, without water, in 50% solution state</t>
  </si>
  <si>
    <t>hydrogen peroxide, without water, in 50% solution state</t>
  </si>
  <si>
    <t>market for electricity, medium voltage</t>
  </si>
  <si>
    <t>electricity, medium voltage</t>
  </si>
  <si>
    <t>kilowatt hour</t>
  </si>
  <si>
    <t>Title of the article</t>
  </si>
  <si>
    <r>
      <t>Supplementary Information for ''</t>
    </r>
    <r>
      <rPr>
        <i/>
        <sz val="11"/>
        <color theme="1"/>
        <rFont val="Calibri"/>
        <family val="2"/>
        <scheme val="minor"/>
      </rPr>
      <t>Towards site-specific life cycle inventories for metals: methodological framework and application to 35 sites in Canada</t>
    </r>
    <r>
      <rPr>
        <sz val="11"/>
        <color theme="1"/>
        <rFont val="Calibri"/>
        <family val="2"/>
        <scheme val="minor"/>
      </rPr>
      <t>"</t>
    </r>
  </si>
  <si>
    <t>Authors</t>
  </si>
  <si>
    <r>
      <t>Marin Pellan¹, Titouan Greffe</t>
    </r>
    <r>
      <rPr>
        <vertAlign val="super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>, Guillaume Majeau-Bettez¹, Anne de Bortoli</t>
    </r>
    <r>
      <rPr>
        <vertAlign val="superscript"/>
        <sz val="11"/>
        <color theme="1"/>
        <rFont val="Calibri"/>
        <family val="2"/>
        <scheme val="minor"/>
      </rPr>
      <t>1,3,4</t>
    </r>
  </si>
  <si>
    <t>Affiliations</t>
  </si>
  <si>
    <r>
      <t xml:space="preserve">¹CIRAIG, Ecole Polytechnique de Montréal, P.O. Box 6079, Montréal, H3C 3A7, Québec, Canada
</t>
    </r>
    <r>
      <rPr>
        <vertAlign val="super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 xml:space="preserve">CIRAIG, Institute of Environmental Sciences, UQAM, Montreal, Quebec H2X 3Y7, Canada
</t>
    </r>
    <r>
      <rPr>
        <vertAlign val="superscript"/>
        <sz val="11"/>
        <color theme="1"/>
        <rFont val="Calibri"/>
        <family val="2"/>
        <scheme val="minor"/>
      </rPr>
      <t>3</t>
    </r>
    <r>
      <rPr>
        <sz val="11"/>
        <color theme="1"/>
        <rFont val="Calibri"/>
        <family val="2"/>
        <scheme val="minor"/>
      </rPr>
      <t xml:space="preserve">CIRAIG, Université du Québec à Montréal, C.P. 8888, succ. Centre-ville. Montréal (Québec) H3C 3P8, Québec, Canada
</t>
    </r>
    <r>
      <rPr>
        <vertAlign val="superscript"/>
        <sz val="11"/>
        <color theme="1"/>
        <rFont val="Calibri"/>
        <family val="2"/>
        <scheme val="minor"/>
      </rPr>
      <t>4</t>
    </r>
    <r>
      <rPr>
        <sz val="11"/>
        <color theme="1"/>
        <rFont val="Calibri"/>
        <family val="2"/>
        <scheme val="minor"/>
      </rPr>
      <t>LVMT, Ecole des Ponts ParisTech, Cité Descartes, 6-8 Avenue Blaise Pascal, Champs-sur-Marne, 77420, France</t>
    </r>
  </si>
  <si>
    <t>Corresponding author</t>
  </si>
  <si>
    <t>marin.pellan@polymlt.ca; pellan.marin@gmail.com</t>
  </si>
  <si>
    <t>Journal</t>
  </si>
  <si>
    <t>Environmental Science &amp; Technology</t>
  </si>
  <si>
    <t>Date</t>
  </si>
  <si>
    <t>Purpose and scope</t>
  </si>
  <si>
    <t>This spreadsheet ….</t>
  </si>
  <si>
    <t>Total EQ</t>
  </si>
  <si>
    <t>Total HH</t>
  </si>
  <si>
    <t>Endpoint</t>
  </si>
  <si>
    <t>Min_MetalliCan</t>
  </si>
  <si>
    <t>Mean_Metallican</t>
  </si>
  <si>
    <t>Max_MetalliCan</t>
  </si>
  <si>
    <t>EI value</t>
  </si>
  <si>
    <t>RI value</t>
  </si>
  <si>
    <t>Mean diff with EI</t>
  </si>
  <si>
    <t>Order of magnitude</t>
  </si>
  <si>
    <t>Au-Ag</t>
  </si>
  <si>
    <t>EQ</t>
  </si>
  <si>
    <t>Cu</t>
  </si>
  <si>
    <t>Ni</t>
  </si>
  <si>
    <t>HH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</si>
</sst>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0.0"/>
    <numFmt numFmtId="165" formatCode="_-* #,##0_-;\-* #,##0_-;_-* &quot;-&quot;??_-;_-@_-"/>
  </numFmts>
  <fonts count="7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Aptos Narrow"/>
      <family val="2"/>
    </font>
    <font>
      <i/>
      <sz val="11"/>
      <color theme="1"/>
      <name val="Calibri"/>
      <family val="2"/>
      <scheme val="minor"/>
    </font>
    <font>
      <vertAlign val="superscript"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2">
    <xf numFmtId="0" fontId="0" fillId="0" borderId="0"/>
    <xf numFmtId="43" fontId="2" fillId="0" borderId="0" applyFont="0" applyFill="0" applyBorder="0" applyAlignment="0" applyProtection="0"/>
  </cellStyleXfs>
  <cellXfs count="10">
    <xf numFmtId="0" fontId="0" fillId="0" borderId="0" xfId="0"/>
    <xf numFmtId="0" fontId="1" fillId="0" borderId="1" xfId="0" applyFont="1" applyBorder="1" applyAlignment="1">
      <alignment horizontal="center" vertical="top"/>
    </xf>
    <xf numFmtId="0" fontId="4" fillId="0" borderId="0" xfId="0" applyFont="1"/>
    <xf numFmtId="0" fontId="0" fillId="0" borderId="0" xfId="0" applyAlignment="1">
      <alignment wrapText="1"/>
    </xf>
    <xf numFmtId="0" fontId="5" fillId="0" borderId="0" xfId="0" applyFont="1"/>
    <xf numFmtId="17" fontId="0" fillId="0" borderId="0" xfId="0" applyNumberFormat="1" applyAlignment="1">
      <alignment horizontal="left" vertical="center"/>
    </xf>
    <xf numFmtId="0" fontId="1" fillId="0" borderId="2" xfId="0" applyFont="1" applyFill="1" applyBorder="1" applyAlignment="1">
      <alignment horizontal="center" vertical="top"/>
    </xf>
    <xf numFmtId="0" fontId="3" fillId="0" borderId="0" xfId="0" applyFont="1"/>
    <xf numFmtId="164" fontId="0" fillId="0" borderId="0" xfId="0" applyNumberFormat="1"/>
    <xf numFmtId="165" fontId="0" fillId="0" borderId="0" xfId="1" applyNumberFormat="1" applyFont="1"/>
  </cellXfs>
  <cellStyles count="2">
    <cellStyle name="Milliers" xfId="1" builtinId="3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99BF3C-B60C-40CF-863B-5104E3DD65A2}">
  <sheetPr>
    <tabColor rgb="FFC00000"/>
  </sheetPr>
  <dimension ref="A1:B7"/>
  <sheetViews>
    <sheetView workbookViewId="0">
      <selection sqref="A1:XFD1048576"/>
    </sheetView>
  </sheetViews>
  <sheetFormatPr baseColWidth="10" defaultRowHeight="15" x14ac:dyDescent="0.25"/>
  <cols>
    <col min="1" max="1" width="20.85546875" bestFit="1" customWidth="1"/>
    <col min="2" max="2" width="138.28515625" bestFit="1" customWidth="1"/>
  </cols>
  <sheetData>
    <row r="1" spans="1:2" ht="14.25" customHeight="1" x14ac:dyDescent="0.25">
      <c r="A1" s="2" t="s">
        <v>238</v>
      </c>
      <c r="B1" t="s">
        <v>239</v>
      </c>
    </row>
    <row r="2" spans="1:2" ht="17.25" x14ac:dyDescent="0.25">
      <c r="A2" s="2" t="s">
        <v>240</v>
      </c>
      <c r="B2" t="s">
        <v>241</v>
      </c>
    </row>
    <row r="3" spans="1:2" ht="66.75" x14ac:dyDescent="0.25">
      <c r="A3" s="2" t="s">
        <v>242</v>
      </c>
      <c r="B3" s="3" t="s">
        <v>243</v>
      </c>
    </row>
    <row r="4" spans="1:2" ht="14.25" customHeight="1" x14ac:dyDescent="0.25">
      <c r="A4" s="2" t="s">
        <v>244</v>
      </c>
      <c r="B4" t="s">
        <v>245</v>
      </c>
    </row>
    <row r="5" spans="1:2" x14ac:dyDescent="0.25">
      <c r="A5" s="2" t="s">
        <v>246</v>
      </c>
      <c r="B5" s="4" t="s">
        <v>247</v>
      </c>
    </row>
    <row r="6" spans="1:2" x14ac:dyDescent="0.25">
      <c r="A6" s="2" t="s">
        <v>248</v>
      </c>
      <c r="B6" s="5">
        <v>46023</v>
      </c>
    </row>
    <row r="7" spans="1:2" x14ac:dyDescent="0.25">
      <c r="A7" s="2" t="s">
        <v>249</v>
      </c>
      <c r="B7" t="s">
        <v>250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8BFACB-D559-4F86-A663-15A3034E80B0}">
  <dimension ref="A1:I7"/>
  <sheetViews>
    <sheetView tabSelected="1" workbookViewId="0">
      <selection activeCell="D24" sqref="D24"/>
    </sheetView>
  </sheetViews>
  <sheetFormatPr baseColWidth="10" defaultRowHeight="15" x14ac:dyDescent="0.25"/>
  <cols>
    <col min="1" max="1" width="13.5703125" bestFit="1" customWidth="1"/>
    <col min="2" max="2" width="11.28515625" bestFit="1" customWidth="1"/>
    <col min="3" max="3" width="17.5703125" bestFit="1" customWidth="1"/>
    <col min="4" max="4" width="19" bestFit="1" customWidth="1"/>
    <col min="5" max="5" width="17.85546875" bestFit="1" customWidth="1"/>
    <col min="6" max="7" width="12" bestFit="1" customWidth="1"/>
    <col min="8" max="8" width="16.28515625" bestFit="1" customWidth="1"/>
    <col min="9" max="9" width="18.5703125" bestFit="1" customWidth="1"/>
  </cols>
  <sheetData>
    <row r="1" spans="1:9" s="7" customFormat="1" x14ac:dyDescent="0.25">
      <c r="A1" s="7" t="s">
        <v>1</v>
      </c>
      <c r="B1" s="7" t="s">
        <v>253</v>
      </c>
      <c r="C1" s="7" t="s">
        <v>254</v>
      </c>
      <c r="D1" s="7" t="s">
        <v>255</v>
      </c>
      <c r="E1" s="7" t="s">
        <v>256</v>
      </c>
      <c r="F1" s="7" t="s">
        <v>257</v>
      </c>
      <c r="G1" s="7" t="s">
        <v>258</v>
      </c>
      <c r="H1" s="7" t="s">
        <v>259</v>
      </c>
      <c r="I1" s="7" t="s">
        <v>260</v>
      </c>
    </row>
    <row r="2" spans="1:9" x14ac:dyDescent="0.25">
      <c r="A2" t="s">
        <v>261</v>
      </c>
      <c r="B2" t="s">
        <v>262</v>
      </c>
      <c r="C2">
        <f>MIN(EQ_damages_regioinvent!U18:U38)</f>
        <v>12341.029109881432</v>
      </c>
      <c r="D2">
        <f>AVERAGE(EQ_damages_regioinvent!U18:U38)</f>
        <v>30231.619246039001</v>
      </c>
      <c r="E2">
        <f>MAX(EQ_damages_regioinvent!U18:U38)</f>
        <v>67619.839684905266</v>
      </c>
      <c r="F2">
        <f>EQ_damages_regioinvent!U16</f>
        <v>4606.5550843609835</v>
      </c>
      <c r="G2">
        <f>EQ_damages_regioinvent!U17</f>
        <v>5382.1824663003326</v>
      </c>
      <c r="H2" s="8">
        <f>D2/F2</f>
        <v>6.5627391168454245</v>
      </c>
      <c r="I2" s="9">
        <f>E2/C2</f>
        <v>5.4792707385125787</v>
      </c>
    </row>
    <row r="3" spans="1:9" x14ac:dyDescent="0.25">
      <c r="A3" t="s">
        <v>263</v>
      </c>
      <c r="B3" t="s">
        <v>262</v>
      </c>
      <c r="C3">
        <f>MIN(EQ_damages_regioinvent!U6:U15)</f>
        <v>0.96457407294308672</v>
      </c>
      <c r="D3">
        <f>AVERAGE(EQ_damages_regioinvent!U6:U15)</f>
        <v>2.9683288453871421</v>
      </c>
      <c r="E3">
        <f>MAX(EQ_damages_regioinvent!U6:U15)</f>
        <v>6.097573165254631</v>
      </c>
      <c r="F3">
        <f>EQ_damages_regioinvent!U3</f>
        <v>11.414936361261768</v>
      </c>
      <c r="G3">
        <f>EQ_damages_regioinvent!U5</f>
        <v>11.728090837034701</v>
      </c>
      <c r="H3" s="8">
        <f>D3/F3</f>
        <v>0.26003901830417503</v>
      </c>
      <c r="I3" s="9">
        <f t="shared" ref="I3:I4" si="0">E3/C3</f>
        <v>6.321518830223015</v>
      </c>
    </row>
    <row r="4" spans="1:9" x14ac:dyDescent="0.25">
      <c r="A4" t="s">
        <v>264</v>
      </c>
      <c r="B4" t="s">
        <v>262</v>
      </c>
      <c r="C4">
        <f>MIN(EQ_damages_regioinvent!U43:U46)</f>
        <v>1.6611445676325833</v>
      </c>
      <c r="D4">
        <f>AVERAGE(EQ_damages_regioinvent!U43:U46)</f>
        <v>3.874619417710218</v>
      </c>
      <c r="E4">
        <f>MAX(EQ_damages_regioinvent!U43:U46)</f>
        <v>7.8635190239668882</v>
      </c>
      <c r="F4">
        <f>EQ_damages_regioinvent!U41</f>
        <v>0.60515901260528993</v>
      </c>
      <c r="G4">
        <f>EQ_damages_regioinvent!U42</f>
        <v>0.62292963059852147</v>
      </c>
      <c r="H4" s="8">
        <f t="shared" ref="H4" si="1">D4/F4</f>
        <v>6.4026468035722823</v>
      </c>
      <c r="I4" s="9">
        <f t="shared" si="0"/>
        <v>4.7337957076028339</v>
      </c>
    </row>
    <row r="5" spans="1:9" x14ac:dyDescent="0.25">
      <c r="A5" t="s">
        <v>261</v>
      </c>
      <c r="B5" t="s">
        <v>265</v>
      </c>
      <c r="C5">
        <f>MIN(HH_damages_regioinvent!L18:L38)</f>
        <v>6.0735530848433868E-2</v>
      </c>
      <c r="D5">
        <f>AVERAGE(HH_damages_regioinvent!L18:L38)</f>
        <v>0.24625962104844637</v>
      </c>
      <c r="E5">
        <f>MAX(HH_damages_regioinvent!L18:L38)</f>
        <v>0.70724558169858653</v>
      </c>
      <c r="F5">
        <f>HH_damages_regioinvent!L16</f>
        <v>3.9388706606080431E-2</v>
      </c>
      <c r="G5">
        <f>HH_damages_regioinvent!L17</f>
        <v>5.6366618624629168E-2</v>
      </c>
      <c r="H5" s="8">
        <f t="shared" ref="H5:H7" si="2">D5/F5</f>
        <v>6.2520362374739999</v>
      </c>
      <c r="I5" s="9">
        <f>E5/C5</f>
        <v>11.644676054014001</v>
      </c>
    </row>
    <row r="6" spans="1:9" x14ac:dyDescent="0.25">
      <c r="A6" t="s">
        <v>263</v>
      </c>
      <c r="B6" t="s">
        <v>265</v>
      </c>
      <c r="C6">
        <f>MIN(HH_damages_regioinvent!L6:L15)</f>
        <v>3.714378702381557E-6</v>
      </c>
      <c r="D6">
        <f>AVERAGE(HH_damages_regioinvent!L6:L15)</f>
        <v>1.6330761187144709E-5</v>
      </c>
      <c r="E6">
        <f>MAX(HH_damages_regioinvent!L6:L15)</f>
        <v>4.7176474988789319E-5</v>
      </c>
      <c r="F6">
        <f>HH_damages_regioinvent!L3</f>
        <v>1.74116782699683E-5</v>
      </c>
      <c r="G6">
        <f>HH_damages_regioinvent!L5</f>
        <v>5.4095811117628327E-5</v>
      </c>
      <c r="H6" s="8">
        <f t="shared" si="2"/>
        <v>0.9379199944965696</v>
      </c>
      <c r="I6" s="9">
        <f t="shared" ref="I6:I7" si="3">E6/C6</f>
        <v>12.701040677015801</v>
      </c>
    </row>
    <row r="7" spans="1:9" x14ac:dyDescent="0.25">
      <c r="A7" t="s">
        <v>264</v>
      </c>
      <c r="B7" t="s">
        <v>265</v>
      </c>
      <c r="C7">
        <f>MIN(HH_damages_regioinvent!L43:L46)</f>
        <v>1.0191631601158609E-5</v>
      </c>
      <c r="D7">
        <f>AVERAGE(HH_damages_regioinvent!L43:L46)</f>
        <v>2.5103415622157763E-5</v>
      </c>
      <c r="E7">
        <f>MAX(HH_damages_regioinvent!L43:L46)</f>
        <v>6.426995580956293E-5</v>
      </c>
      <c r="F7">
        <f>HH_damages_regioinvent!L41</f>
        <v>4.2334357841902031E-6</v>
      </c>
      <c r="G7">
        <f>HH_damages_regioinvent!L42</f>
        <v>8.5359831357259077E-6</v>
      </c>
      <c r="H7" s="8">
        <f t="shared" si="2"/>
        <v>5.9297971911860934</v>
      </c>
      <c r="I7" s="9">
        <f t="shared" si="3"/>
        <v>6.3061498221988881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57"/>
  <sheetViews>
    <sheetView topLeftCell="A28" workbookViewId="0">
      <selection activeCell="A42" sqref="A42"/>
    </sheetView>
  </sheetViews>
  <sheetFormatPr baseColWidth="10" defaultColWidth="9.140625" defaultRowHeight="15" x14ac:dyDescent="0.25"/>
  <cols>
    <col min="1" max="1" width="27.28515625" bestFit="1" customWidth="1"/>
    <col min="2" max="2" width="11.7109375" bestFit="1" customWidth="1"/>
    <col min="3" max="3" width="22.140625" bestFit="1" customWidth="1"/>
    <col min="4" max="4" width="19.140625" bestFit="1" customWidth="1"/>
    <col min="5" max="5" width="20" bestFit="1" customWidth="1"/>
    <col min="6" max="6" width="27.140625" bestFit="1" customWidth="1"/>
    <col min="7" max="7" width="26" bestFit="1" customWidth="1"/>
    <col min="8" max="8" width="29.42578125" bestFit="1" customWidth="1"/>
    <col min="9" max="9" width="22" bestFit="1" customWidth="1"/>
    <col min="10" max="10" width="19.85546875" bestFit="1" customWidth="1"/>
    <col min="11" max="11" width="23.5703125" bestFit="1" customWidth="1"/>
    <col min="12" max="12" width="23.42578125" bestFit="1" customWidth="1"/>
    <col min="13" max="13" width="22.28515625" bestFit="1" customWidth="1"/>
    <col min="14" max="14" width="25.85546875" bestFit="1" customWidth="1"/>
    <col min="15" max="15" width="24.7109375" bestFit="1" customWidth="1"/>
    <col min="16" max="16" width="26.28515625" bestFit="1" customWidth="1"/>
    <col min="17" max="17" width="25" bestFit="1" customWidth="1"/>
    <col min="18" max="18" width="28.28515625" bestFit="1" customWidth="1"/>
    <col min="19" max="19" width="31.85546875" bestFit="1" customWidth="1"/>
    <col min="20" max="20" width="31" bestFit="1" customWidth="1"/>
    <col min="21" max="21" width="12.85546875" bestFit="1" customWidth="1"/>
  </cols>
  <sheetData>
    <row r="1" spans="1:21" x14ac:dyDescent="0.25">
      <c r="A1" s="1" t="s">
        <v>1</v>
      </c>
      <c r="B1" s="1" t="s">
        <v>18</v>
      </c>
      <c r="C1" s="1" t="s">
        <v>19</v>
      </c>
      <c r="D1" s="1" t="s">
        <v>0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6" t="s">
        <v>251</v>
      </c>
    </row>
    <row r="2" spans="1:21" x14ac:dyDescent="0.25">
      <c r="A2" t="s">
        <v>20</v>
      </c>
      <c r="B2" t="s">
        <v>21</v>
      </c>
      <c r="C2" t="s">
        <v>22</v>
      </c>
      <c r="D2">
        <v>0.53659424957488422</v>
      </c>
      <c r="E2">
        <v>7.1970633177291828E-19</v>
      </c>
      <c r="F2">
        <v>1.30430442972374E-2</v>
      </c>
      <c r="G2">
        <v>0.1862539719250039</v>
      </c>
      <c r="H2">
        <v>1.9128050216719999E-4</v>
      </c>
      <c r="I2">
        <v>2.1423133005751221E-10</v>
      </c>
      <c r="J2">
        <v>0.1457633894612145</v>
      </c>
      <c r="K2">
        <v>0.43790294285602788</v>
      </c>
      <c r="L2">
        <v>0.16396618304602539</v>
      </c>
      <c r="M2">
        <v>5.9521369222169673E-7</v>
      </c>
      <c r="N2">
        <v>6.7065584920675001E-3</v>
      </c>
      <c r="O2">
        <v>5.3084989111225903E-2</v>
      </c>
      <c r="P2">
        <v>8.9063787041830406E-2</v>
      </c>
      <c r="Q2">
        <v>2.1725581519630902E-2</v>
      </c>
      <c r="R2">
        <v>1.2256961984501E-3</v>
      </c>
      <c r="S2">
        <v>2.109333707341066E-5</v>
      </c>
      <c r="T2">
        <v>3.8015765302115463E-5</v>
      </c>
      <c r="U2">
        <f>SUM(D2:T2)</f>
        <v>1.6555813785560645</v>
      </c>
    </row>
    <row r="3" spans="1:21" x14ac:dyDescent="0.25">
      <c r="A3" t="s">
        <v>23</v>
      </c>
      <c r="B3" t="s">
        <v>21</v>
      </c>
      <c r="C3" t="s">
        <v>22</v>
      </c>
      <c r="D3">
        <v>0.61587606900798497</v>
      </c>
      <c r="E3">
        <v>6.8609545059493605E-19</v>
      </c>
      <c r="F3">
        <v>3.0580511304932299E-2</v>
      </c>
      <c r="G3">
        <v>8.2619914831715899</v>
      </c>
      <c r="H3">
        <v>1.3191804672969999E-4</v>
      </c>
      <c r="I3">
        <v>1.2992237175798631E-9</v>
      </c>
      <c r="J3">
        <v>0.53101571864937458</v>
      </c>
      <c r="K3">
        <v>1.059863412056897</v>
      </c>
      <c r="L3">
        <v>0.1836937093385077</v>
      </c>
      <c r="M3">
        <v>7.8176708555953468E-6</v>
      </c>
      <c r="N3">
        <v>1.0923350446569301E-2</v>
      </c>
      <c r="O3">
        <v>0.17743806692440611</v>
      </c>
      <c r="P3">
        <v>0.25728139195199279</v>
      </c>
      <c r="Q3">
        <v>0.28534646743204001</v>
      </c>
      <c r="R3">
        <v>6.7338469963750002E-4</v>
      </c>
      <c r="S3">
        <v>3.8194051642156772E-5</v>
      </c>
      <c r="T3">
        <v>7.4865209383395586E-5</v>
      </c>
      <c r="U3">
        <f>SUM(D3:T3)</f>
        <v>11.414936361261768</v>
      </c>
    </row>
    <row r="4" spans="1:21" x14ac:dyDescent="0.25">
      <c r="A4" t="s">
        <v>20</v>
      </c>
      <c r="B4" t="s">
        <v>31</v>
      </c>
      <c r="C4" t="s">
        <v>22</v>
      </c>
      <c r="D4">
        <v>0.76059256914148965</v>
      </c>
      <c r="E4">
        <v>6.8686788181556974E-19</v>
      </c>
      <c r="F4">
        <v>6.3708557179310898E-2</v>
      </c>
      <c r="G4">
        <v>0.23294287659940441</v>
      </c>
      <c r="H4">
        <v>1.9317450845720001E-4</v>
      </c>
      <c r="I4">
        <v>2.4914076918873222E-9</v>
      </c>
      <c r="J4">
        <v>9.4816778145626293E-2</v>
      </c>
      <c r="K4">
        <v>0.32680787051752891</v>
      </c>
      <c r="L4">
        <v>0.2343966369734537</v>
      </c>
      <c r="M4">
        <v>7.101549365787233E-7</v>
      </c>
      <c r="N4">
        <v>6.4698595542707999E-3</v>
      </c>
      <c r="O4">
        <v>5.6539771543087702E-2</v>
      </c>
      <c r="P4">
        <v>0.13090838183846021</v>
      </c>
      <c r="Q4">
        <v>2.59210597120689E-2</v>
      </c>
      <c r="R4">
        <v>9.1951331303329997E-4</v>
      </c>
      <c r="S4">
        <v>2.1674411351364371E-5</v>
      </c>
      <c r="T4">
        <v>9.9962619557588937E-5</v>
      </c>
      <c r="U4">
        <f>SUM(D4:T4)</f>
        <v>1.9343393987034456</v>
      </c>
    </row>
    <row r="5" spans="1:21" x14ac:dyDescent="0.25">
      <c r="A5" t="s">
        <v>23</v>
      </c>
      <c r="B5" t="s">
        <v>31</v>
      </c>
      <c r="C5" t="s">
        <v>22</v>
      </c>
      <c r="D5">
        <v>0.626442341201913</v>
      </c>
      <c r="E5">
        <v>6.749735228879871E-19</v>
      </c>
      <c r="F5">
        <v>0.19623575313264899</v>
      </c>
      <c r="G5">
        <v>8.2450171511950643</v>
      </c>
      <c r="H5">
        <v>1.7383967387410001E-4</v>
      </c>
      <c r="I5">
        <v>1.296653771532839E-9</v>
      </c>
      <c r="J5">
        <v>0.53679632376834019</v>
      </c>
      <c r="K5">
        <v>1.0646857454329819</v>
      </c>
      <c r="L5">
        <v>0.19039468987483571</v>
      </c>
      <c r="M5">
        <v>7.8929063084752472E-6</v>
      </c>
      <c r="N5">
        <v>9.1765466478052997E-3</v>
      </c>
      <c r="O5">
        <v>0.1796706407752402</v>
      </c>
      <c r="P5">
        <v>0.39055704841659911</v>
      </c>
      <c r="Q5">
        <v>0.28809256224428131</v>
      </c>
      <c r="R5">
        <v>6.5688556958829998E-4</v>
      </c>
      <c r="S5">
        <v>3.8413037559884991E-5</v>
      </c>
      <c r="T5">
        <v>1.4500186100550001E-4</v>
      </c>
      <c r="U5">
        <f>SUM(D5:T5)</f>
        <v>11.728090837034701</v>
      </c>
    </row>
    <row r="6" spans="1:21" x14ac:dyDescent="0.25">
      <c r="A6" t="s">
        <v>32</v>
      </c>
      <c r="B6" t="s">
        <v>33</v>
      </c>
      <c r="C6" t="s">
        <v>22</v>
      </c>
      <c r="D6">
        <v>1.052792319104654</v>
      </c>
      <c r="E6">
        <v>2.8087919977608781E-19</v>
      </c>
      <c r="F6">
        <v>1.2875685004734501E-2</v>
      </c>
      <c r="G6">
        <v>1.110521193458559</v>
      </c>
      <c r="H6">
        <v>1.1392308580026E-2</v>
      </c>
      <c r="I6">
        <v>5.3799837411955022E-11</v>
      </c>
      <c r="J6">
        <v>0.14382491415197809</v>
      </c>
      <c r="K6">
        <v>1.879079363585731</v>
      </c>
      <c r="L6">
        <v>0.32913428767274389</v>
      </c>
      <c r="M6">
        <v>2.3659338218381479E-7</v>
      </c>
      <c r="N6">
        <v>3.5590003374718002E-3</v>
      </c>
      <c r="O6">
        <v>8.1520012595793001E-2</v>
      </c>
      <c r="P6">
        <v>8.0464177539695494E-2</v>
      </c>
      <c r="Q6">
        <v>8.6425219053215003E-3</v>
      </c>
      <c r="R6">
        <v>3.68977993275E-4</v>
      </c>
      <c r="S6">
        <v>4.6111068381142999E-5</v>
      </c>
      <c r="T6">
        <v>4.7073443282316589E-5</v>
      </c>
      <c r="U6">
        <f>SUM(D6:T6)</f>
        <v>4.7142681830888291</v>
      </c>
    </row>
    <row r="7" spans="1:21" x14ac:dyDescent="0.25">
      <c r="A7" t="s">
        <v>34</v>
      </c>
      <c r="B7" t="s">
        <v>33</v>
      </c>
      <c r="C7" t="s">
        <v>22</v>
      </c>
      <c r="D7">
        <v>0.88775044301489148</v>
      </c>
      <c r="E7">
        <v>4.9524102515515252E-19</v>
      </c>
      <c r="F7">
        <v>2.6917667643932101E-2</v>
      </c>
      <c r="G7">
        <v>0.18833747797479511</v>
      </c>
      <c r="H7">
        <v>1.461167631929E-4</v>
      </c>
      <c r="I7">
        <v>7.5963093313490037E-11</v>
      </c>
      <c r="J7">
        <v>0.13261628171009679</v>
      </c>
      <c r="K7">
        <v>1.1679184880831901</v>
      </c>
      <c r="L7">
        <v>0.27646718138423793</v>
      </c>
      <c r="M7">
        <v>3.5043497608242419E-7</v>
      </c>
      <c r="N7">
        <v>4.1216985296452001E-3</v>
      </c>
      <c r="O7">
        <v>8.1707979179609994E-2</v>
      </c>
      <c r="P7">
        <v>0.10941562822009759</v>
      </c>
      <c r="Q7">
        <v>1.27914263110537E-2</v>
      </c>
      <c r="R7">
        <v>5.0371088342880004E-4</v>
      </c>
      <c r="S7">
        <v>4.0761419124882727E-5</v>
      </c>
      <c r="T7">
        <v>7.0489085691464323E-5</v>
      </c>
      <c r="U7">
        <f>SUM(D7:T7)</f>
        <v>2.8888057007139274</v>
      </c>
    </row>
    <row r="8" spans="1:21" x14ac:dyDescent="0.25">
      <c r="A8" t="s">
        <v>35</v>
      </c>
      <c r="B8" t="s">
        <v>33</v>
      </c>
      <c r="C8" t="s">
        <v>22</v>
      </c>
      <c r="D8">
        <v>0.53938845679543135</v>
      </c>
      <c r="E8">
        <v>1.5863286477985031E-19</v>
      </c>
      <c r="F8">
        <v>6.0532635916422002E-3</v>
      </c>
      <c r="G8">
        <v>6.8068897192573002E-2</v>
      </c>
      <c r="H8">
        <v>4.8685174571794553E-5</v>
      </c>
      <c r="I8">
        <v>2.6841417908663779E-11</v>
      </c>
      <c r="J8">
        <v>0.1024106761364299</v>
      </c>
      <c r="K8">
        <v>1.600331949762217</v>
      </c>
      <c r="L8">
        <v>0.16729904330922629</v>
      </c>
      <c r="M8">
        <v>1.137854179162103E-7</v>
      </c>
      <c r="N8">
        <v>1.5606106072076E-3</v>
      </c>
      <c r="O8">
        <v>3.67950191930927E-2</v>
      </c>
      <c r="P8">
        <v>3.6204349645115597E-2</v>
      </c>
      <c r="Q8">
        <v>4.1532465156529997E-3</v>
      </c>
      <c r="R8">
        <v>1.7015129436340001E-4</v>
      </c>
      <c r="S8">
        <v>3.0686542454616928E-5</v>
      </c>
      <c r="T8">
        <v>2.3364923246233921E-5</v>
      </c>
      <c r="U8">
        <f>SUM(D8:T8)</f>
        <v>2.562538514495484</v>
      </c>
    </row>
    <row r="9" spans="1:21" x14ac:dyDescent="0.25">
      <c r="A9" t="s">
        <v>36</v>
      </c>
      <c r="B9" t="s">
        <v>33</v>
      </c>
      <c r="C9" t="s">
        <v>22</v>
      </c>
      <c r="D9">
        <v>0.93239428455869888</v>
      </c>
      <c r="E9">
        <v>3.6640830022165028E-19</v>
      </c>
      <c r="F9">
        <v>1.19625950347092E-2</v>
      </c>
      <c r="G9">
        <v>2.7384625025614979</v>
      </c>
      <c r="H9">
        <v>1.65018943417438E-2</v>
      </c>
      <c r="I9">
        <v>6.3070896768950143E-11</v>
      </c>
      <c r="J9">
        <v>0.16603210003765129</v>
      </c>
      <c r="K9">
        <v>1.37296412563529</v>
      </c>
      <c r="L9">
        <v>0.290577123166395</v>
      </c>
      <c r="M9">
        <v>3.9542765966360698E-7</v>
      </c>
      <c r="N9">
        <v>3.9890582495523E-3</v>
      </c>
      <c r="O9">
        <v>5.6122091902384999E-2</v>
      </c>
      <c r="P9">
        <v>6.9219276369277605E-2</v>
      </c>
      <c r="Q9">
        <v>1.44443587291525E-2</v>
      </c>
      <c r="R9">
        <v>3.4062905009129998E-4</v>
      </c>
      <c r="S9">
        <v>1.059878199575E-4</v>
      </c>
      <c r="T9">
        <v>6.2938009708158444E-5</v>
      </c>
      <c r="U9">
        <f>SUM(D9:T9)</f>
        <v>5.6731793609568406</v>
      </c>
    </row>
    <row r="10" spans="1:21" x14ac:dyDescent="0.25">
      <c r="A10" t="s">
        <v>37</v>
      </c>
      <c r="B10" t="s">
        <v>33</v>
      </c>
      <c r="C10" t="s">
        <v>22</v>
      </c>
      <c r="D10">
        <v>1.037626125633029</v>
      </c>
      <c r="E10">
        <v>3.3470950608846638E-19</v>
      </c>
      <c r="F10">
        <v>0.25479684174596817</v>
      </c>
      <c r="G10">
        <v>0.18096987389563779</v>
      </c>
      <c r="H10">
        <v>3.160093576404E-4</v>
      </c>
      <c r="I10">
        <v>5.6876564364518852E-11</v>
      </c>
      <c r="J10">
        <v>0.14016455521608079</v>
      </c>
      <c r="K10">
        <v>1.6173748930676111</v>
      </c>
      <c r="L10">
        <v>0.32781424184138319</v>
      </c>
      <c r="M10">
        <v>2.8882863136765691E-7</v>
      </c>
      <c r="N10">
        <v>3.90845822657633E-2</v>
      </c>
      <c r="O10">
        <v>1.2995786280448449</v>
      </c>
      <c r="P10">
        <v>1.1888091572269071</v>
      </c>
      <c r="Q10">
        <v>1.05579652985221E-2</v>
      </c>
      <c r="R10">
        <v>3.7416708269769999E-4</v>
      </c>
      <c r="S10">
        <v>5.2046338288037817E-5</v>
      </c>
      <c r="T10">
        <v>5.3789354749086128E-5</v>
      </c>
      <c r="U10">
        <f>SUM(D10:T10)</f>
        <v>6.097573165254631</v>
      </c>
    </row>
    <row r="11" spans="1:21" x14ac:dyDescent="0.25">
      <c r="A11" t="s">
        <v>38</v>
      </c>
      <c r="B11" t="s">
        <v>33</v>
      </c>
      <c r="C11" t="s">
        <v>22</v>
      </c>
      <c r="D11">
        <v>0.91364206224870725</v>
      </c>
      <c r="E11">
        <v>1.6300261442516509E-18</v>
      </c>
      <c r="F11">
        <v>4.2829446641292498E-2</v>
      </c>
      <c r="G11">
        <v>0.23697922513919739</v>
      </c>
      <c r="H11">
        <v>2.4794643639040003E-4</v>
      </c>
      <c r="I11">
        <v>3.7560632717971462E-10</v>
      </c>
      <c r="J11">
        <v>0.16663394372283469</v>
      </c>
      <c r="K11">
        <v>0.44894201711834242</v>
      </c>
      <c r="L11">
        <v>0.26742863949817108</v>
      </c>
      <c r="M11">
        <v>6.0115470966010081E-7</v>
      </c>
      <c r="N11">
        <v>3.1198268313570999E-3</v>
      </c>
      <c r="O11">
        <v>2.8887241966143298E-2</v>
      </c>
      <c r="P11">
        <v>0.15699289202695549</v>
      </c>
      <c r="Q11">
        <v>2.19430003942905E-2</v>
      </c>
      <c r="R11">
        <v>1.7945685203584001E-3</v>
      </c>
      <c r="S11">
        <v>5.9581183385548972E-5</v>
      </c>
      <c r="T11">
        <v>1.5680800000170001E-4</v>
      </c>
      <c r="U11">
        <f>SUM(D11:T11)</f>
        <v>2.2896578012577438</v>
      </c>
    </row>
    <row r="12" spans="1:21" x14ac:dyDescent="0.25">
      <c r="A12" t="s">
        <v>39</v>
      </c>
      <c r="B12" t="s">
        <v>33</v>
      </c>
      <c r="C12" t="s">
        <v>22</v>
      </c>
      <c r="D12">
        <v>0.19887743530842769</v>
      </c>
      <c r="E12">
        <v>3.8827681081992163E-20</v>
      </c>
      <c r="F12">
        <v>7.7863704823120002E-3</v>
      </c>
      <c r="G12">
        <v>0.17615285587918539</v>
      </c>
      <c r="H12">
        <v>1.094909114031733E-5</v>
      </c>
      <c r="I12">
        <v>3.2065597195584891E-12</v>
      </c>
      <c r="J12">
        <v>2.2175516239769901E-2</v>
      </c>
      <c r="K12">
        <v>0.35092268129793219</v>
      </c>
      <c r="L12">
        <v>6.3046619053046205E-2</v>
      </c>
      <c r="M12">
        <v>2.413855277445631E-8</v>
      </c>
      <c r="N12">
        <v>2.3911989170174001E-3</v>
      </c>
      <c r="O12">
        <v>8.0121497301392799E-2</v>
      </c>
      <c r="P12">
        <v>6.2191254866281902E-2</v>
      </c>
      <c r="Q12">
        <v>8.8107145546179998E-4</v>
      </c>
      <c r="R12">
        <v>1.1001711840062451E-5</v>
      </c>
      <c r="S12">
        <v>9.7646861836306307E-7</v>
      </c>
      <c r="T12">
        <v>4.6207289012643939E-6</v>
      </c>
      <c r="U12">
        <f>SUM(D12:T12)</f>
        <v>0.96457407294308672</v>
      </c>
    </row>
    <row r="13" spans="1:21" x14ac:dyDescent="0.25">
      <c r="A13" t="s">
        <v>40</v>
      </c>
      <c r="B13" t="s">
        <v>33</v>
      </c>
      <c r="C13" t="s">
        <v>22</v>
      </c>
      <c r="D13">
        <v>0.52170663455039867</v>
      </c>
      <c r="E13">
        <v>4.2633971614172209E-19</v>
      </c>
      <c r="F13">
        <v>4.2702193865401902E-2</v>
      </c>
      <c r="G13">
        <v>9.8411692564802797E-2</v>
      </c>
      <c r="H13">
        <v>5.9090349691569923E-5</v>
      </c>
      <c r="I13">
        <v>2.9849590310045092E-10</v>
      </c>
      <c r="J13">
        <v>0.12970988669445621</v>
      </c>
      <c r="K13">
        <v>0.56955701988544527</v>
      </c>
      <c r="L13">
        <v>0.1555148612783761</v>
      </c>
      <c r="M13">
        <v>1.7362305646551481E-7</v>
      </c>
      <c r="N13">
        <v>3.8171716327966999E-3</v>
      </c>
      <c r="O13">
        <v>0.10343935289901671</v>
      </c>
      <c r="P13">
        <v>0.1650587816696884</v>
      </c>
      <c r="Q13">
        <v>6.3507340658863001E-3</v>
      </c>
      <c r="R13">
        <v>1.6303152079422999E-3</v>
      </c>
      <c r="S13">
        <v>3.9886215569654477E-5</v>
      </c>
      <c r="T13">
        <v>3.957062713422714E-5</v>
      </c>
      <c r="U13">
        <f>SUM(D13:T13)</f>
        <v>1.798037365428159</v>
      </c>
    </row>
    <row r="14" spans="1:21" x14ac:dyDescent="0.25">
      <c r="A14" t="s">
        <v>41</v>
      </c>
      <c r="B14" t="s">
        <v>33</v>
      </c>
      <c r="C14" t="s">
        <v>22</v>
      </c>
      <c r="D14">
        <v>0.23816149084208171</v>
      </c>
      <c r="E14">
        <v>1.360607442046522E-19</v>
      </c>
      <c r="F14">
        <v>2.1287397253126001E-3</v>
      </c>
      <c r="G14">
        <v>4.2888519220551001E-2</v>
      </c>
      <c r="H14">
        <v>2.8649608957829998E-4</v>
      </c>
      <c r="I14">
        <v>1.784785425254692E-11</v>
      </c>
      <c r="J14">
        <v>5.0293651910846199E-2</v>
      </c>
      <c r="K14">
        <v>0.62644840460875995</v>
      </c>
      <c r="L14">
        <v>7.2291045040808008E-2</v>
      </c>
      <c r="M14">
        <v>7.1485686149307551E-8</v>
      </c>
      <c r="N14">
        <v>4.0421778861800001E-4</v>
      </c>
      <c r="O14">
        <v>4.9175238953798996E-3</v>
      </c>
      <c r="P14">
        <v>9.9644823951778993E-3</v>
      </c>
      <c r="Q14">
        <v>2.6093330485685001E-3</v>
      </c>
      <c r="R14">
        <v>1.2323572662220001E-4</v>
      </c>
      <c r="S14">
        <v>1.8803575394132229E-5</v>
      </c>
      <c r="T14">
        <v>1.812163761978711E-5</v>
      </c>
      <c r="U14">
        <f>SUM(D14:T14)</f>
        <v>1.0505541370088523</v>
      </c>
    </row>
    <row r="15" spans="1:21" x14ac:dyDescent="0.25">
      <c r="A15" t="s">
        <v>42</v>
      </c>
      <c r="B15" t="s">
        <v>33</v>
      </c>
      <c r="C15" t="s">
        <v>22</v>
      </c>
      <c r="D15">
        <v>0.85360922396722072</v>
      </c>
      <c r="E15">
        <v>2.1766191898286522E-19</v>
      </c>
      <c r="F15">
        <v>5.6472993104276198E-2</v>
      </c>
      <c r="G15">
        <v>0.1146868812569054</v>
      </c>
      <c r="H15">
        <v>3.3257161444601818E-5</v>
      </c>
      <c r="I15">
        <v>1.7771553466701989E-10</v>
      </c>
      <c r="J15">
        <v>7.4344069675710195E-2</v>
      </c>
      <c r="K15">
        <v>0.1082562146028561</v>
      </c>
      <c r="L15">
        <v>0.25168502678597671</v>
      </c>
      <c r="M15">
        <v>2.4845470440520632E-7</v>
      </c>
      <c r="N15">
        <v>5.2707369272642001E-3</v>
      </c>
      <c r="O15">
        <v>1.6846410694048599E-2</v>
      </c>
      <c r="P15">
        <v>0.14916094858227999</v>
      </c>
      <c r="Q15">
        <v>9.0693549802974005E-3</v>
      </c>
      <c r="R15">
        <v>4.4306455367214004E-3</v>
      </c>
      <c r="S15">
        <v>1.175378048229E-4</v>
      </c>
      <c r="T15">
        <v>1.1660301162310001E-4</v>
      </c>
      <c r="U15">
        <f>SUM(D15:T15)</f>
        <v>1.6441001527238674</v>
      </c>
    </row>
    <row r="16" spans="1:21" x14ac:dyDescent="0.25">
      <c r="A16" t="s">
        <v>24</v>
      </c>
      <c r="B16" t="s">
        <v>21</v>
      </c>
      <c r="C16" t="s">
        <v>25</v>
      </c>
      <c r="D16">
        <v>1493.0410351606231</v>
      </c>
      <c r="E16">
        <v>2.002539430416293E-15</v>
      </c>
      <c r="F16">
        <v>36.291481697522741</v>
      </c>
      <c r="G16">
        <v>518.24040835354049</v>
      </c>
      <c r="H16">
        <v>0.53222643618875909</v>
      </c>
      <c r="I16">
        <v>5.9608574270232727E-7</v>
      </c>
      <c r="J16">
        <v>405.57782459773841</v>
      </c>
      <c r="K16">
        <v>1218.4384956606059</v>
      </c>
      <c r="L16">
        <v>456.22598409616421</v>
      </c>
      <c r="M16">
        <v>1.6561460462387E-3</v>
      </c>
      <c r="N16">
        <v>18.660593605873409</v>
      </c>
      <c r="O16">
        <v>147.70577076021101</v>
      </c>
      <c r="P16">
        <v>247.81459943949861</v>
      </c>
      <c r="Q16">
        <v>60.450114649904037</v>
      </c>
      <c r="R16">
        <v>3.4104256550980749</v>
      </c>
      <c r="S16">
        <v>5.8690937785232898E-2</v>
      </c>
      <c r="T16">
        <v>0.1057765680983542</v>
      </c>
      <c r="U16">
        <f>SUM(D16:T16)</f>
        <v>4606.5550843609835</v>
      </c>
    </row>
    <row r="17" spans="1:21" x14ac:dyDescent="0.25">
      <c r="A17" t="s">
        <v>24</v>
      </c>
      <c r="B17" t="s">
        <v>31</v>
      </c>
      <c r="C17" t="s">
        <v>25</v>
      </c>
      <c r="D17">
        <v>2116.3028535288281</v>
      </c>
      <c r="E17">
        <v>1.9111684243274528E-15</v>
      </c>
      <c r="F17">
        <v>177.26521007268309</v>
      </c>
      <c r="G17">
        <v>648.14946689541864</v>
      </c>
      <c r="H17">
        <v>0.53749639481759637</v>
      </c>
      <c r="I17">
        <v>6.932191592938844E-6</v>
      </c>
      <c r="J17">
        <v>263.82195178965492</v>
      </c>
      <c r="K17">
        <v>909.32316428381239</v>
      </c>
      <c r="L17">
        <v>652.19447547579091</v>
      </c>
      <c r="M17">
        <v>1.9759631166586002E-3</v>
      </c>
      <c r="N17">
        <v>18.001993158314811</v>
      </c>
      <c r="O17">
        <v>157.31849506017019</v>
      </c>
      <c r="P17">
        <v>364.24465947533031</v>
      </c>
      <c r="Q17">
        <v>72.123779329831393</v>
      </c>
      <c r="R17">
        <v>2.5584902471985602</v>
      </c>
      <c r="S17">
        <v>6.0307741939726503E-2</v>
      </c>
      <c r="T17">
        <v>0.27813995123400082</v>
      </c>
      <c r="U17">
        <f>SUM(D17:T17)</f>
        <v>5382.1824663003326</v>
      </c>
    </row>
    <row r="18" spans="1:21" x14ac:dyDescent="0.25">
      <c r="A18" t="s">
        <v>43</v>
      </c>
      <c r="B18" t="s">
        <v>33</v>
      </c>
      <c r="C18" t="s">
        <v>25</v>
      </c>
      <c r="D18">
        <v>8084.4474599306741</v>
      </c>
      <c r="E18">
        <v>6.9493734078327251E-15</v>
      </c>
      <c r="F18">
        <v>1118.2935087694191</v>
      </c>
      <c r="G18">
        <v>2089.5142806541589</v>
      </c>
      <c r="H18">
        <v>0.51459644591003362</v>
      </c>
      <c r="I18">
        <v>2.244416814053595E-6</v>
      </c>
      <c r="J18">
        <v>1644.5800513283129</v>
      </c>
      <c r="K18">
        <v>15465.435786998411</v>
      </c>
      <c r="L18">
        <v>2443.2251031355499</v>
      </c>
      <c r="M18">
        <v>1.9048486466745E-3</v>
      </c>
      <c r="N18">
        <v>112.19093220249169</v>
      </c>
      <c r="O18">
        <v>304.80051936295098</v>
      </c>
      <c r="P18">
        <v>2818.8921309651241</v>
      </c>
      <c r="Q18">
        <v>69.593284339435797</v>
      </c>
      <c r="R18">
        <v>12.042658582283419</v>
      </c>
      <c r="S18">
        <v>0.2491924409769761</v>
      </c>
      <c r="T18">
        <v>0.59259583060398291</v>
      </c>
      <c r="U18">
        <f>SUM(D18:T18)</f>
        <v>34164.374008079365</v>
      </c>
    </row>
    <row r="19" spans="1:21" x14ac:dyDescent="0.25">
      <c r="A19" t="s">
        <v>44</v>
      </c>
      <c r="B19" t="s">
        <v>33</v>
      </c>
      <c r="C19" t="s">
        <v>25</v>
      </c>
      <c r="D19">
        <v>5136.7379655940658</v>
      </c>
      <c r="E19">
        <v>3.287568902220614E-15</v>
      </c>
      <c r="F19">
        <v>841.84201504051487</v>
      </c>
      <c r="G19">
        <v>1320.2030379020341</v>
      </c>
      <c r="H19">
        <v>0.71480906811225076</v>
      </c>
      <c r="I19">
        <v>4.8111260618847332E-5</v>
      </c>
      <c r="J19">
        <v>553.68075005999196</v>
      </c>
      <c r="K19">
        <v>6983.6117463962801</v>
      </c>
      <c r="L19">
        <v>1773.031141499328</v>
      </c>
      <c r="M19">
        <v>3.0222633946748001E-3</v>
      </c>
      <c r="N19">
        <v>94.090385750047759</v>
      </c>
      <c r="O19">
        <v>2092.8258119259622</v>
      </c>
      <c r="P19">
        <v>3147.1836529622342</v>
      </c>
      <c r="Q19">
        <v>110.3312563476657</v>
      </c>
      <c r="R19">
        <v>3.2594706963517242</v>
      </c>
      <c r="S19">
        <v>0.21849042121791001</v>
      </c>
      <c r="T19">
        <v>0.41181215276803329</v>
      </c>
      <c r="U19">
        <f>SUM(D19:T19)</f>
        <v>22058.145416191226</v>
      </c>
    </row>
    <row r="20" spans="1:21" x14ac:dyDescent="0.25">
      <c r="A20" t="s">
        <v>45</v>
      </c>
      <c r="B20" t="s">
        <v>33</v>
      </c>
      <c r="C20" t="s">
        <v>25</v>
      </c>
      <c r="D20">
        <v>7621.8667750596969</v>
      </c>
      <c r="E20">
        <v>5.6207616860283354E-15</v>
      </c>
      <c r="F20">
        <v>889.32507802241173</v>
      </c>
      <c r="G20">
        <v>532.94530480935543</v>
      </c>
      <c r="H20">
        <v>0.97698301658405562</v>
      </c>
      <c r="I20">
        <v>2.4089086655160432E-7</v>
      </c>
      <c r="J20">
        <v>347.74236015432427</v>
      </c>
      <c r="K20">
        <v>4368.4666776491113</v>
      </c>
      <c r="L20">
        <v>2384.2477793247831</v>
      </c>
      <c r="M20">
        <v>1.6651389874847999E-3</v>
      </c>
      <c r="N20">
        <v>258.30328424480763</v>
      </c>
      <c r="O20">
        <v>8408.8210670925037</v>
      </c>
      <c r="P20">
        <v>6844.0311735941059</v>
      </c>
      <c r="Q20">
        <v>60.779479249626647</v>
      </c>
      <c r="R20">
        <v>0.57716078083827427</v>
      </c>
      <c r="S20">
        <v>5.4337131893419897E-2</v>
      </c>
      <c r="T20">
        <v>0.53247499401916898</v>
      </c>
      <c r="U20">
        <f>SUM(D20:T20)</f>
        <v>31718.671600503942</v>
      </c>
    </row>
    <row r="21" spans="1:21" x14ac:dyDescent="0.25">
      <c r="A21" t="s">
        <v>46</v>
      </c>
      <c r="B21" t="s">
        <v>33</v>
      </c>
      <c r="C21" t="s">
        <v>25</v>
      </c>
      <c r="D21">
        <v>22562.36293660415</v>
      </c>
      <c r="E21">
        <v>2.8730914703894162E-14</v>
      </c>
      <c r="F21">
        <v>489.66906520976778</v>
      </c>
      <c r="G21">
        <v>6470.8509803808438</v>
      </c>
      <c r="H21">
        <v>3.1621238287113922</v>
      </c>
      <c r="I21">
        <v>2.8560894804910002E-4</v>
      </c>
      <c r="J21">
        <v>2344.866715906197</v>
      </c>
      <c r="K21">
        <v>25540.918546110021</v>
      </c>
      <c r="L21">
        <v>6668.4639192661889</v>
      </c>
      <c r="M21">
        <v>1.7614854323796E-2</v>
      </c>
      <c r="N21">
        <v>54.492451944966056</v>
      </c>
      <c r="O21">
        <v>847.05204406806092</v>
      </c>
      <c r="P21">
        <v>1972.4994459587381</v>
      </c>
      <c r="Q21">
        <v>642.96066392346404</v>
      </c>
      <c r="R21">
        <v>18.28069748809132</v>
      </c>
      <c r="S21">
        <v>1.2052957445349479</v>
      </c>
      <c r="T21">
        <v>3.036898008241971</v>
      </c>
      <c r="U21">
        <f>SUM(D21:T21)</f>
        <v>67619.839684905266</v>
      </c>
    </row>
    <row r="22" spans="1:21" x14ac:dyDescent="0.25">
      <c r="A22" t="s">
        <v>47</v>
      </c>
      <c r="B22" t="s">
        <v>33</v>
      </c>
      <c r="C22" t="s">
        <v>25</v>
      </c>
      <c r="D22">
        <v>12035.48120280303</v>
      </c>
      <c r="E22">
        <v>9.7513497264230737E-15</v>
      </c>
      <c r="F22">
        <v>1374.85038405505</v>
      </c>
      <c r="G22">
        <v>1411.031074670515</v>
      </c>
      <c r="H22">
        <v>1.4097563865931739</v>
      </c>
      <c r="I22">
        <v>5.146021978622835E-7</v>
      </c>
      <c r="J22">
        <v>432.7972632792293</v>
      </c>
      <c r="K22">
        <v>4234.6802521472509</v>
      </c>
      <c r="L22">
        <v>3690.0403942416729</v>
      </c>
      <c r="M22">
        <v>2.8688403115807001E-3</v>
      </c>
      <c r="N22">
        <v>374.80603728397568</v>
      </c>
      <c r="O22">
        <v>12181.36290669257</v>
      </c>
      <c r="P22">
        <v>10339.089998662321</v>
      </c>
      <c r="Q22">
        <v>104.7206214312607</v>
      </c>
      <c r="R22">
        <v>1.024458718206487</v>
      </c>
      <c r="S22">
        <v>0.1159561340215324</v>
      </c>
      <c r="T22">
        <v>0.95747760506781876</v>
      </c>
      <c r="U22">
        <f>SUM(D22:T22)</f>
        <v>46182.370653465681</v>
      </c>
    </row>
    <row r="23" spans="1:21" x14ac:dyDescent="0.25">
      <c r="A23" t="s">
        <v>48</v>
      </c>
      <c r="B23" t="s">
        <v>33</v>
      </c>
      <c r="C23" t="s">
        <v>25</v>
      </c>
      <c r="D23">
        <v>10584.78264362584</v>
      </c>
      <c r="E23">
        <v>3.8037346513075779E-15</v>
      </c>
      <c r="F23">
        <v>94.569459261574025</v>
      </c>
      <c r="G23">
        <v>1493.324874169713</v>
      </c>
      <c r="H23">
        <v>0.65702264542513811</v>
      </c>
      <c r="I23">
        <v>6.9167028109448183E-5</v>
      </c>
      <c r="J23">
        <v>1121.4129463294539</v>
      </c>
      <c r="K23">
        <v>17445.879406418178</v>
      </c>
      <c r="L23">
        <v>3272.9347519311009</v>
      </c>
      <c r="M23">
        <v>3.7300917438513998E-3</v>
      </c>
      <c r="N23">
        <v>16.23313608316672</v>
      </c>
      <c r="O23">
        <v>379.78377951522668</v>
      </c>
      <c r="P23">
        <v>481.5095393587203</v>
      </c>
      <c r="Q23">
        <v>136.1530582504156</v>
      </c>
      <c r="R23">
        <v>4.3875998144766637</v>
      </c>
      <c r="S23">
        <v>0.59353336092517672</v>
      </c>
      <c r="T23">
        <v>0.47402225014155408</v>
      </c>
      <c r="U23">
        <f>SUM(D23:T23)</f>
        <v>35032.69957227313</v>
      </c>
    </row>
    <row r="24" spans="1:21" x14ac:dyDescent="0.25">
      <c r="A24" t="s">
        <v>49</v>
      </c>
      <c r="B24" t="s">
        <v>33</v>
      </c>
      <c r="C24" t="s">
        <v>25</v>
      </c>
      <c r="D24">
        <v>7742.6941392945009</v>
      </c>
      <c r="E24">
        <v>6.9593154646239142E-15</v>
      </c>
      <c r="F24">
        <v>450.17132885539871</v>
      </c>
      <c r="G24">
        <v>1596.7905508329241</v>
      </c>
      <c r="H24">
        <v>1.4450179769101981</v>
      </c>
      <c r="I24">
        <v>1.827369734846418E-6</v>
      </c>
      <c r="J24">
        <v>1036.8610412168141</v>
      </c>
      <c r="K24">
        <v>6321.1361795631246</v>
      </c>
      <c r="L24">
        <v>2383.6064300268699</v>
      </c>
      <c r="M24">
        <v>3.1189471824530001E-3</v>
      </c>
      <c r="N24">
        <v>74.105992472562136</v>
      </c>
      <c r="O24">
        <v>2036.792483584022</v>
      </c>
      <c r="P24">
        <v>2385.8150928748978</v>
      </c>
      <c r="Q24">
        <v>113.8689594337758</v>
      </c>
      <c r="R24">
        <v>8.1854170689287855</v>
      </c>
      <c r="S24">
        <v>0.41251939575143087</v>
      </c>
      <c r="T24">
        <v>0.71889331997316075</v>
      </c>
      <c r="U24">
        <f>SUM(D24:T24)</f>
        <v>24152.607166691007</v>
      </c>
    </row>
    <row r="25" spans="1:21" x14ac:dyDescent="0.25">
      <c r="A25" t="s">
        <v>50</v>
      </c>
      <c r="B25" t="s">
        <v>33</v>
      </c>
      <c r="C25" t="s">
        <v>25</v>
      </c>
      <c r="D25">
        <v>15124.99054273512</v>
      </c>
      <c r="E25">
        <v>1.4561562541550439E-14</v>
      </c>
      <c r="F25">
        <v>975.2200476304148</v>
      </c>
      <c r="G25">
        <v>3666.428988650548</v>
      </c>
      <c r="H25">
        <v>2.7552358923596061</v>
      </c>
      <c r="I25">
        <v>9.8996858184714697E-5</v>
      </c>
      <c r="J25">
        <v>980.74398500958182</v>
      </c>
      <c r="K25">
        <v>5057.6749590672571</v>
      </c>
      <c r="L25">
        <v>4618.3310803346758</v>
      </c>
      <c r="M25">
        <v>9.0537385325547993E-3</v>
      </c>
      <c r="N25">
        <v>142.1928007364312</v>
      </c>
      <c r="O25">
        <v>3874.4076899978882</v>
      </c>
      <c r="P25">
        <v>4775.5082955887137</v>
      </c>
      <c r="Q25">
        <v>330.47702286367331</v>
      </c>
      <c r="R25">
        <v>7.8634824510964494</v>
      </c>
      <c r="S25">
        <v>0.63639921533768007</v>
      </c>
      <c r="T25">
        <v>1.6022675084428</v>
      </c>
      <c r="U25">
        <f>SUM(D25:T25)</f>
        <v>39558.841950416921</v>
      </c>
    </row>
    <row r="26" spans="1:21" x14ac:dyDescent="0.25">
      <c r="A26" t="s">
        <v>51</v>
      </c>
      <c r="B26" t="s">
        <v>33</v>
      </c>
      <c r="C26" t="s">
        <v>25</v>
      </c>
      <c r="D26">
        <v>3846.98041868572</v>
      </c>
      <c r="E26">
        <v>6.0997267613782497E-15</v>
      </c>
      <c r="F26">
        <v>55.694644064328912</v>
      </c>
      <c r="G26">
        <v>539.267428600421</v>
      </c>
      <c r="H26">
        <v>0.45409856336316429</v>
      </c>
      <c r="I26">
        <v>1.512293912239902E-6</v>
      </c>
      <c r="J26">
        <v>1752.8460940527841</v>
      </c>
      <c r="K26">
        <v>24029.93404899925</v>
      </c>
      <c r="L26">
        <v>1151.1049275179521</v>
      </c>
      <c r="M26">
        <v>1.6454997516328E-3</v>
      </c>
      <c r="N26">
        <v>6.0994191062791536</v>
      </c>
      <c r="O26">
        <v>111.3314554126344</v>
      </c>
      <c r="P26">
        <v>279.23459828632838</v>
      </c>
      <c r="Q26">
        <v>60.061605208710738</v>
      </c>
      <c r="R26">
        <v>8.1764695942243879</v>
      </c>
      <c r="S26">
        <v>0.19102753851965379</v>
      </c>
      <c r="T26">
        <v>0.55311587079094726</v>
      </c>
      <c r="U26">
        <f>SUM(D26:T26)</f>
        <v>31841.930998513359</v>
      </c>
    </row>
    <row r="27" spans="1:21" x14ac:dyDescent="0.25">
      <c r="A27" t="s">
        <v>52</v>
      </c>
      <c r="B27" t="s">
        <v>33</v>
      </c>
      <c r="C27" t="s">
        <v>25</v>
      </c>
      <c r="D27">
        <v>26750.341332655182</v>
      </c>
      <c r="E27">
        <v>4.9791463750324406E-15</v>
      </c>
      <c r="F27">
        <v>701.27472336849962</v>
      </c>
      <c r="G27">
        <v>3005.0910699783112</v>
      </c>
      <c r="H27">
        <v>1.1331874461816971</v>
      </c>
      <c r="I27">
        <v>2.7626065018910052E-6</v>
      </c>
      <c r="J27">
        <v>824.00470387347571</v>
      </c>
      <c r="K27">
        <v>3272.7999274803101</v>
      </c>
      <c r="L27">
        <v>8203.6116426179942</v>
      </c>
      <c r="M27">
        <v>4.8136092032531998E-3</v>
      </c>
      <c r="N27">
        <v>161.36011397108399</v>
      </c>
      <c r="O27">
        <v>5265.9825121367849</v>
      </c>
      <c r="P27">
        <v>4497.9434445551642</v>
      </c>
      <c r="Q27">
        <v>175.70058663900721</v>
      </c>
      <c r="R27">
        <v>25.899242850734641</v>
      </c>
      <c r="S27">
        <v>1.3464393048410239</v>
      </c>
      <c r="T27">
        <v>1.1295796034574559</v>
      </c>
      <c r="U27">
        <f>SUM(D27:T27)</f>
        <v>52887.623322852844</v>
      </c>
    </row>
    <row r="28" spans="1:21" x14ac:dyDescent="0.25">
      <c r="A28" t="s">
        <v>53</v>
      </c>
      <c r="B28" t="s">
        <v>33</v>
      </c>
      <c r="C28" t="s">
        <v>25</v>
      </c>
      <c r="D28">
        <v>4782.621591762856</v>
      </c>
      <c r="E28">
        <v>6.0806796310347229E-15</v>
      </c>
      <c r="F28">
        <v>298.19404365815927</v>
      </c>
      <c r="G28">
        <v>1847.1167224983681</v>
      </c>
      <c r="H28">
        <v>0.4741771191134253</v>
      </c>
      <c r="I28">
        <v>4.4528720742950658E-5</v>
      </c>
      <c r="J28">
        <v>218.61473697551739</v>
      </c>
      <c r="K28">
        <v>1292.545615513769</v>
      </c>
      <c r="L28">
        <v>1430.490397926684</v>
      </c>
      <c r="M28">
        <v>2.9755274251122999E-3</v>
      </c>
      <c r="N28">
        <v>85.567257930743466</v>
      </c>
      <c r="O28">
        <v>2714.102702214318</v>
      </c>
      <c r="P28">
        <v>2255.1030817288161</v>
      </c>
      <c r="Q28">
        <v>108.6113642498869</v>
      </c>
      <c r="R28">
        <v>2.851487034952124</v>
      </c>
      <c r="S28">
        <v>0.1562333385643617</v>
      </c>
      <c r="T28">
        <v>0.62244306262966587</v>
      </c>
      <c r="U28">
        <f>SUM(D28:T28)</f>
        <v>15037.074875070521</v>
      </c>
    </row>
    <row r="29" spans="1:21" x14ac:dyDescent="0.25">
      <c r="A29" t="s">
        <v>54</v>
      </c>
      <c r="B29" t="s">
        <v>33</v>
      </c>
      <c r="C29" t="s">
        <v>25</v>
      </c>
      <c r="D29">
        <v>4827.6332719582006</v>
      </c>
      <c r="E29">
        <v>3.8221632661047176E-15</v>
      </c>
      <c r="F29">
        <v>156.11765245233849</v>
      </c>
      <c r="G29">
        <v>904.16643147600666</v>
      </c>
      <c r="H29">
        <v>0.67993747474915167</v>
      </c>
      <c r="I29">
        <v>1.9853440876672271E-6</v>
      </c>
      <c r="J29">
        <v>779.05448309949736</v>
      </c>
      <c r="K29">
        <v>1956.9686634452701</v>
      </c>
      <c r="L29">
        <v>1462.0119307772741</v>
      </c>
      <c r="M29">
        <v>1.8854373297664E-3</v>
      </c>
      <c r="N29">
        <v>30.757717380609741</v>
      </c>
      <c r="O29">
        <v>1205.693497693652</v>
      </c>
      <c r="P29">
        <v>1061.549571184142</v>
      </c>
      <c r="Q29">
        <v>68.821798664441545</v>
      </c>
      <c r="R29">
        <v>10.192123359135881</v>
      </c>
      <c r="S29">
        <v>0.2436537063554802</v>
      </c>
      <c r="T29">
        <v>0.33349284174783711</v>
      </c>
      <c r="U29">
        <f>SUM(D29:T29)</f>
        <v>12464.226112936094</v>
      </c>
    </row>
    <row r="30" spans="1:21" x14ac:dyDescent="0.25">
      <c r="A30" t="s">
        <v>55</v>
      </c>
      <c r="B30" t="s">
        <v>33</v>
      </c>
      <c r="C30" t="s">
        <v>25</v>
      </c>
      <c r="D30">
        <v>6858.0270165679703</v>
      </c>
      <c r="E30">
        <v>1.223538625939751E-14</v>
      </c>
      <c r="F30">
        <v>321.48859208345908</v>
      </c>
      <c r="G30">
        <v>1778.825625538371</v>
      </c>
      <c r="H30">
        <v>1.8611482904698839</v>
      </c>
      <c r="I30">
        <v>2.8193955164864471E-6</v>
      </c>
      <c r="J30">
        <v>1250.796285749655</v>
      </c>
      <c r="K30">
        <v>3369.8717566678661</v>
      </c>
      <c r="L30">
        <v>2007.386600157472</v>
      </c>
      <c r="M30">
        <v>4.5124183806325002E-3</v>
      </c>
      <c r="N30">
        <v>23.418204682400809</v>
      </c>
      <c r="O30">
        <v>216.83489979178799</v>
      </c>
      <c r="P30">
        <v>1178.4281158179001</v>
      </c>
      <c r="Q30">
        <v>164.70967741628161</v>
      </c>
      <c r="R30">
        <v>13.470482443882529</v>
      </c>
      <c r="S30">
        <v>0.4472313405661511</v>
      </c>
      <c r="T30">
        <v>1.1770402884537361</v>
      </c>
      <c r="U30">
        <f>SUM(D30:T30)</f>
        <v>17186.747192074312</v>
      </c>
    </row>
    <row r="31" spans="1:21" x14ac:dyDescent="0.25">
      <c r="A31" t="s">
        <v>56</v>
      </c>
      <c r="B31" t="s">
        <v>33</v>
      </c>
      <c r="C31" t="s">
        <v>25</v>
      </c>
      <c r="D31">
        <v>4321.990893382068</v>
      </c>
      <c r="E31">
        <v>2.0937807898883381E-15</v>
      </c>
      <c r="F31">
        <v>773.69050980915506</v>
      </c>
      <c r="G31">
        <v>976.84697915300467</v>
      </c>
      <c r="H31">
        <v>0.30491260024438849</v>
      </c>
      <c r="I31">
        <v>6.3057307158455127E-5</v>
      </c>
      <c r="J31">
        <v>209.52919331045791</v>
      </c>
      <c r="K31">
        <v>1555.7514306956209</v>
      </c>
      <c r="L31">
        <v>1408.7814851098051</v>
      </c>
      <c r="M31">
        <v>2.5730366138814998E-3</v>
      </c>
      <c r="N31">
        <v>193.7606799464553</v>
      </c>
      <c r="O31">
        <v>5713.7794007445991</v>
      </c>
      <c r="P31">
        <v>4871.9580538099781</v>
      </c>
      <c r="Q31">
        <v>93.926351496631696</v>
      </c>
      <c r="R31">
        <v>3.6145917935772811</v>
      </c>
      <c r="S31">
        <v>0.20256911116047771</v>
      </c>
      <c r="T31">
        <v>0.21739322173506939</v>
      </c>
      <c r="U31">
        <f>SUM(D31:T31)</f>
        <v>20124.357080278412</v>
      </c>
    </row>
    <row r="32" spans="1:21" x14ac:dyDescent="0.25">
      <c r="A32" t="s">
        <v>57</v>
      </c>
      <c r="B32" t="s">
        <v>33</v>
      </c>
      <c r="C32" t="s">
        <v>25</v>
      </c>
      <c r="D32">
        <v>3916.0611020924239</v>
      </c>
      <c r="E32">
        <v>3.2002129829685891E-15</v>
      </c>
      <c r="F32">
        <v>320.53340374817537</v>
      </c>
      <c r="G32">
        <v>738.70291385132464</v>
      </c>
      <c r="H32">
        <v>0.44354701602434887</v>
      </c>
      <c r="I32">
        <v>2.2405852175061668E-6</v>
      </c>
      <c r="J32">
        <v>973.63498947672497</v>
      </c>
      <c r="K32">
        <v>4275.2381474248496</v>
      </c>
      <c r="L32">
        <v>1167.333629434668</v>
      </c>
      <c r="M32">
        <v>1.3032582842016E-3</v>
      </c>
      <c r="N32">
        <v>28.65265067086456</v>
      </c>
      <c r="O32">
        <v>776.44179936799526</v>
      </c>
      <c r="P32">
        <v>1238.9727196709009</v>
      </c>
      <c r="Q32">
        <v>47.670205510646383</v>
      </c>
      <c r="R32">
        <v>12.2375553962881</v>
      </c>
      <c r="S32">
        <v>0.29939595223740439</v>
      </c>
      <c r="T32">
        <v>0.29702706774324927</v>
      </c>
      <c r="U32">
        <f>SUM(D32:T32)</f>
        <v>13496.520392179738</v>
      </c>
    </row>
    <row r="33" spans="1:21" x14ac:dyDescent="0.25">
      <c r="A33" t="s">
        <v>58</v>
      </c>
      <c r="B33" t="s">
        <v>33</v>
      </c>
      <c r="C33" t="s">
        <v>25</v>
      </c>
      <c r="D33">
        <v>11918.64554795386</v>
      </c>
      <c r="E33">
        <v>3.8780559738353733E-14</v>
      </c>
      <c r="F33">
        <v>624.39141269954428</v>
      </c>
      <c r="G33">
        <v>3012.9350427111858</v>
      </c>
      <c r="H33">
        <v>2.814137935803827</v>
      </c>
      <c r="I33">
        <v>3.1290028057805957E-5</v>
      </c>
      <c r="J33">
        <v>894.19223338466554</v>
      </c>
      <c r="K33">
        <v>7187.9559680304783</v>
      </c>
      <c r="L33">
        <v>3313.4952813202199</v>
      </c>
      <c r="M33">
        <v>1.0418615941258799E-2</v>
      </c>
      <c r="N33">
        <v>93.350751123314325</v>
      </c>
      <c r="O33">
        <v>1582.5940228351189</v>
      </c>
      <c r="P33">
        <v>2951.9180519325901</v>
      </c>
      <c r="Q33">
        <v>380.30825067587273</v>
      </c>
      <c r="R33">
        <v>4.2500760774256419</v>
      </c>
      <c r="S33">
        <v>0.31797116317877983</v>
      </c>
      <c r="T33">
        <v>3.58613207698389</v>
      </c>
      <c r="U33">
        <f>SUM(D33:T33)</f>
        <v>31970.765329826212</v>
      </c>
    </row>
    <row r="34" spans="1:21" x14ac:dyDescent="0.25">
      <c r="A34" t="s">
        <v>59</v>
      </c>
      <c r="B34" t="s">
        <v>33</v>
      </c>
      <c r="C34" t="s">
        <v>25</v>
      </c>
      <c r="D34">
        <v>5876.4730891931613</v>
      </c>
      <c r="E34">
        <v>3.8073897396065767E-15</v>
      </c>
      <c r="F34">
        <v>364.68260792778233</v>
      </c>
      <c r="G34">
        <v>1224.360518724189</v>
      </c>
      <c r="H34">
        <v>0.46818117644580859</v>
      </c>
      <c r="I34">
        <v>7.0577776899171648E-5</v>
      </c>
      <c r="J34">
        <v>323.09937372712159</v>
      </c>
      <c r="K34">
        <v>2619.1057367011399</v>
      </c>
      <c r="L34">
        <v>1831.0167894964991</v>
      </c>
      <c r="M34">
        <v>3.4125079222131999E-3</v>
      </c>
      <c r="N34">
        <v>91.082954304552857</v>
      </c>
      <c r="O34">
        <v>3213.566307279792</v>
      </c>
      <c r="P34">
        <v>2604.1459233440278</v>
      </c>
      <c r="Q34">
        <v>124.560672239678</v>
      </c>
      <c r="R34">
        <v>4.2636715968381811</v>
      </c>
      <c r="S34">
        <v>0.25996102815813171</v>
      </c>
      <c r="T34">
        <v>0.32624509662755891</v>
      </c>
      <c r="U34">
        <f>SUM(D34:T34)</f>
        <v>18277.415514921711</v>
      </c>
    </row>
    <row r="35" spans="1:21" x14ac:dyDescent="0.25">
      <c r="A35" t="s">
        <v>60</v>
      </c>
      <c r="B35" t="s">
        <v>33</v>
      </c>
      <c r="C35" t="s">
        <v>25</v>
      </c>
      <c r="D35">
        <v>7313.3171381225393</v>
      </c>
      <c r="E35">
        <v>2.9971887468132902E-15</v>
      </c>
      <c r="F35">
        <v>201.37350255684399</v>
      </c>
      <c r="G35">
        <v>1382.289892958732</v>
      </c>
      <c r="H35">
        <v>0.65930295960000163</v>
      </c>
      <c r="I35">
        <v>6.6483218424535342E-5</v>
      </c>
      <c r="J35">
        <v>938.46018810924954</v>
      </c>
      <c r="K35">
        <v>14861.80307236815</v>
      </c>
      <c r="L35">
        <v>2627.992905637625</v>
      </c>
      <c r="M35">
        <v>3.4792944681594001E-3</v>
      </c>
      <c r="N35">
        <v>10.45168523435474</v>
      </c>
      <c r="O35">
        <v>913.28200188530263</v>
      </c>
      <c r="P35">
        <v>1020.743594295976</v>
      </c>
      <c r="Q35">
        <v>126.9983806255121</v>
      </c>
      <c r="R35">
        <v>4.2003728876054414</v>
      </c>
      <c r="S35">
        <v>0.48352511962714562</v>
      </c>
      <c r="T35">
        <v>0.40554857486587248</v>
      </c>
      <c r="U35">
        <f>SUM(D35:T35)</f>
        <v>29402.464657113665</v>
      </c>
    </row>
    <row r="36" spans="1:21" x14ac:dyDescent="0.25">
      <c r="A36" t="s">
        <v>61</v>
      </c>
      <c r="B36" t="s">
        <v>33</v>
      </c>
      <c r="C36" t="s">
        <v>25</v>
      </c>
      <c r="D36">
        <v>31237.092886224571</v>
      </c>
      <c r="E36">
        <v>2.8153578925263512E-15</v>
      </c>
      <c r="F36">
        <v>1389.499354219832</v>
      </c>
      <c r="G36">
        <v>1635.4470707203379</v>
      </c>
      <c r="H36">
        <v>0.50885526455285368</v>
      </c>
      <c r="I36">
        <v>4.9710642434729577E-7</v>
      </c>
      <c r="J36">
        <v>321.68780707444319</v>
      </c>
      <c r="K36">
        <v>3982.1988954478811</v>
      </c>
      <c r="L36">
        <v>9710.3078448580363</v>
      </c>
      <c r="M36">
        <v>1.4760626546535E-3</v>
      </c>
      <c r="N36">
        <v>30.52802137707322</v>
      </c>
      <c r="O36">
        <v>1767.482302965107</v>
      </c>
      <c r="P36">
        <v>3201.5755544585109</v>
      </c>
      <c r="Q36">
        <v>53.881606524022793</v>
      </c>
      <c r="R36">
        <v>2.8606547389292989</v>
      </c>
      <c r="S36">
        <v>0.1726179071365688</v>
      </c>
      <c r="T36">
        <v>4.9147996613848379</v>
      </c>
      <c r="U36">
        <f>SUM(D36:T36)</f>
        <v>53338.159748001584</v>
      </c>
    </row>
    <row r="37" spans="1:21" x14ac:dyDescent="0.25">
      <c r="A37" t="s">
        <v>62</v>
      </c>
      <c r="B37" t="s">
        <v>33</v>
      </c>
      <c r="C37" t="s">
        <v>25</v>
      </c>
      <c r="D37">
        <v>6407.4054262706941</v>
      </c>
      <c r="E37">
        <v>1.633825089600542E-15</v>
      </c>
      <c r="F37">
        <v>423.9004904620387</v>
      </c>
      <c r="G37">
        <v>860.86856343668603</v>
      </c>
      <c r="H37">
        <v>0.24963661649118471</v>
      </c>
      <c r="I37">
        <v>1.3339774772770541E-6</v>
      </c>
      <c r="J37">
        <v>558.04527551977696</v>
      </c>
      <c r="K37">
        <v>812.59838053766384</v>
      </c>
      <c r="L37">
        <v>1889.211082966179</v>
      </c>
      <c r="M37">
        <v>1.8649634745259E-3</v>
      </c>
      <c r="N37">
        <v>39.563478243178849</v>
      </c>
      <c r="O37">
        <v>126.4533940511316</v>
      </c>
      <c r="P37">
        <v>1119.639597921685</v>
      </c>
      <c r="Q37">
        <v>68.076858581522643</v>
      </c>
      <c r="R37">
        <v>33.257539150195619</v>
      </c>
      <c r="S37">
        <v>0.88226830898618103</v>
      </c>
      <c r="T37">
        <v>0.87525151774936683</v>
      </c>
      <c r="U37">
        <f>SUM(D37:T37)</f>
        <v>12341.029109881432</v>
      </c>
    </row>
    <row r="38" spans="1:21" x14ac:dyDescent="0.25">
      <c r="A38" t="s">
        <v>63</v>
      </c>
      <c r="B38" t="s">
        <v>33</v>
      </c>
      <c r="C38" t="s">
        <v>25</v>
      </c>
      <c r="D38">
        <v>5643.884996893984</v>
      </c>
      <c r="E38">
        <v>1.0081330858791979E-14</v>
      </c>
      <c r="F38">
        <v>153.9202042338101</v>
      </c>
      <c r="G38">
        <v>895.11007399681148</v>
      </c>
      <c r="H38">
        <v>0.96511087519620165</v>
      </c>
      <c r="I38">
        <v>2.2067143520832768E-6</v>
      </c>
      <c r="J38">
        <v>1560.70469975944</v>
      </c>
      <c r="K38">
        <v>15263.857226033089</v>
      </c>
      <c r="L38">
        <v>1622.5266422004529</v>
      </c>
      <c r="M38">
        <v>2.5914415528691002E-3</v>
      </c>
      <c r="N38">
        <v>13.41090335701208</v>
      </c>
      <c r="O38">
        <v>151.63235586739401</v>
      </c>
      <c r="P38">
        <v>595.14407595667797</v>
      </c>
      <c r="Q38">
        <v>94.589108033813417</v>
      </c>
      <c r="R38">
        <v>11.24836298038851</v>
      </c>
      <c r="S38">
        <v>0.2344874319213579</v>
      </c>
      <c r="T38">
        <v>0.90893937425986804</v>
      </c>
      <c r="U38">
        <f>SUM(D38:T38)</f>
        <v>26008.139780642527</v>
      </c>
    </row>
    <row r="39" spans="1:21" x14ac:dyDescent="0.25">
      <c r="A39" t="s">
        <v>68</v>
      </c>
      <c r="B39" t="s">
        <v>33</v>
      </c>
      <c r="C39" t="s">
        <v>69</v>
      </c>
      <c r="D39">
        <v>3.7620032246720081</v>
      </c>
      <c r="E39">
        <v>2.098673589355777E-18</v>
      </c>
      <c r="F39">
        <v>0.11406848983540351</v>
      </c>
      <c r="G39">
        <v>0.79811416084037778</v>
      </c>
      <c r="H39">
        <v>6.191962534703E-4</v>
      </c>
      <c r="I39">
        <v>3.219073635745479E-10</v>
      </c>
      <c r="J39">
        <v>0.56198552751198028</v>
      </c>
      <c r="K39">
        <v>4.9492661164806346</v>
      </c>
      <c r="L39">
        <v>1.171579735925264</v>
      </c>
      <c r="M39">
        <v>1.48503164092031E-6</v>
      </c>
      <c r="N39">
        <v>1.74664442448857E-2</v>
      </c>
      <c r="O39">
        <v>0.3462523593502852</v>
      </c>
      <c r="P39">
        <v>0.46366853693202997</v>
      </c>
      <c r="Q39">
        <v>5.4205984279353303E-2</v>
      </c>
      <c r="R39">
        <v>2.1345660509883E-3</v>
      </c>
      <c r="S39">
        <v>1.7273389904420001E-4</v>
      </c>
      <c r="T39">
        <v>2.9871026549350001E-4</v>
      </c>
      <c r="U39">
        <f>SUM(D39:T39)</f>
        <v>12.241837271894765</v>
      </c>
    </row>
    <row r="40" spans="1:21" x14ac:dyDescent="0.25">
      <c r="A40" t="s">
        <v>70</v>
      </c>
      <c r="B40" t="s">
        <v>33</v>
      </c>
      <c r="C40" t="s">
        <v>69</v>
      </c>
      <c r="D40">
        <v>2.2857562677170158</v>
      </c>
      <c r="E40">
        <v>6.7223549548309626E-19</v>
      </c>
      <c r="F40">
        <v>2.56518010567072E-2</v>
      </c>
      <c r="G40">
        <v>0.288454278870726</v>
      </c>
      <c r="H40">
        <v>2.0631224543130001E-4</v>
      </c>
      <c r="I40">
        <v>1.137453686796921E-10</v>
      </c>
      <c r="J40">
        <v>0.43398379795869668</v>
      </c>
      <c r="K40">
        <v>6.7816967168883684</v>
      </c>
      <c r="L40">
        <v>0.70895999293384449</v>
      </c>
      <c r="M40">
        <v>4.8218630622629957E-7</v>
      </c>
      <c r="N40">
        <v>6.6133701889547003E-3</v>
      </c>
      <c r="O40">
        <v>0.15592556000561689</v>
      </c>
      <c r="P40">
        <v>0.15342249009189429</v>
      </c>
      <c r="Q40">
        <v>1.7600133944276598E-2</v>
      </c>
      <c r="R40">
        <v>7.2104690763639999E-4</v>
      </c>
      <c r="S40">
        <v>1.300397821987E-4</v>
      </c>
      <c r="T40">
        <v>9.9013092679082516E-5</v>
      </c>
      <c r="U40">
        <f>SUM(D40:T40)</f>
        <v>10.859221303984098</v>
      </c>
    </row>
    <row r="41" spans="1:21" x14ac:dyDescent="0.25">
      <c r="A41" t="s">
        <v>28</v>
      </c>
      <c r="B41" t="s">
        <v>21</v>
      </c>
      <c r="C41" t="s">
        <v>28</v>
      </c>
      <c r="D41">
        <v>0.2534112735666007</v>
      </c>
      <c r="E41">
        <v>1.6948470370002329E-19</v>
      </c>
      <c r="F41">
        <v>4.1023902662507003E-3</v>
      </c>
      <c r="G41">
        <v>3.8015815523276313E-2</v>
      </c>
      <c r="H41">
        <v>2.5271492835500219E-5</v>
      </c>
      <c r="I41">
        <v>1.201738452400941E-11</v>
      </c>
      <c r="J41">
        <v>2.9213925509208601E-2</v>
      </c>
      <c r="K41">
        <v>0.14115247955603749</v>
      </c>
      <c r="L41">
        <v>7.6447688968550406E-2</v>
      </c>
      <c r="M41">
        <v>4.35893707121488E-8</v>
      </c>
      <c r="N41">
        <v>1.7229712199697E-3</v>
      </c>
      <c r="O41">
        <v>2.8718892273842399E-2</v>
      </c>
      <c r="P41">
        <v>3.0425389808399601E-2</v>
      </c>
      <c r="Q41">
        <v>1.5910694071226E-3</v>
      </c>
      <c r="R41">
        <v>2.3232273175778419E-5</v>
      </c>
      <c r="S41">
        <v>1.383124251740363E-6</v>
      </c>
      <c r="T41">
        <v>3.0718601438040001E-4</v>
      </c>
      <c r="U41">
        <f>SUM(D41:T41)</f>
        <v>0.60515901260528993</v>
      </c>
    </row>
    <row r="42" spans="1:21" x14ac:dyDescent="0.25">
      <c r="A42" t="s">
        <v>28</v>
      </c>
      <c r="B42" t="s">
        <v>31</v>
      </c>
      <c r="C42" t="s">
        <v>28</v>
      </c>
      <c r="D42">
        <v>0.23384367271918671</v>
      </c>
      <c r="E42">
        <v>1.6232119564216589E-19</v>
      </c>
      <c r="F42">
        <v>1.6032181536415301E-2</v>
      </c>
      <c r="G42">
        <v>3.5165442433409799E-2</v>
      </c>
      <c r="H42">
        <v>4.7917947200100007E-5</v>
      </c>
      <c r="I42">
        <v>2.1028769204474379E-11</v>
      </c>
      <c r="J42">
        <v>3.5624542025266097E-2</v>
      </c>
      <c r="K42">
        <v>0.16735244135306099</v>
      </c>
      <c r="L42">
        <v>7.0799405359701598E-2</v>
      </c>
      <c r="M42">
        <v>6.5640901138883119E-8</v>
      </c>
      <c r="N42">
        <v>1.5556444026208001E-3</v>
      </c>
      <c r="O42">
        <v>2.74572320250045E-2</v>
      </c>
      <c r="P42">
        <v>3.1816127159295098E-2</v>
      </c>
      <c r="Q42">
        <v>2.3959421682762001E-3</v>
      </c>
      <c r="R42">
        <v>2.0711175376019891E-5</v>
      </c>
      <c r="S42">
        <v>1.1291340962521411E-6</v>
      </c>
      <c r="T42">
        <v>8.1717549768210002E-4</v>
      </c>
      <c r="U42">
        <f>SUM(D42:T42)</f>
        <v>0.62292963059852147</v>
      </c>
    </row>
    <row r="43" spans="1:21" x14ac:dyDescent="0.25">
      <c r="A43" t="s">
        <v>64</v>
      </c>
      <c r="B43" t="s">
        <v>33</v>
      </c>
      <c r="C43" t="s">
        <v>28</v>
      </c>
      <c r="D43">
        <v>0.52742815200099458</v>
      </c>
      <c r="E43">
        <v>1.7630834233797039E-19</v>
      </c>
      <c r="F43">
        <v>2.4994336857637699E-2</v>
      </c>
      <c r="G43">
        <v>0.18030320301842931</v>
      </c>
      <c r="H43">
        <v>8.7082010555072296E-5</v>
      </c>
      <c r="I43">
        <v>8.6919160305562162E-11</v>
      </c>
      <c r="J43">
        <v>4.8951807031553198E-2</v>
      </c>
      <c r="K43">
        <v>0.30589219206066348</v>
      </c>
      <c r="L43">
        <v>0.16419582140827099</v>
      </c>
      <c r="M43">
        <v>3.7282350022942948E-7</v>
      </c>
      <c r="N43">
        <v>6.5055715965521002E-3</v>
      </c>
      <c r="O43">
        <v>0.21013773114870651</v>
      </c>
      <c r="P43">
        <v>0.17850381015971581</v>
      </c>
      <c r="Q43">
        <v>1.3608182460454799E-2</v>
      </c>
      <c r="R43">
        <v>4.8122064096350003E-4</v>
      </c>
      <c r="S43">
        <v>1.342540778402397E-5</v>
      </c>
      <c r="T43">
        <v>4.1658919882816363E-5</v>
      </c>
      <c r="U43">
        <f>SUM(D43:T43)</f>
        <v>1.6611445676325833</v>
      </c>
    </row>
    <row r="44" spans="1:21" x14ac:dyDescent="0.25">
      <c r="A44" t="s">
        <v>65</v>
      </c>
      <c r="B44" t="s">
        <v>33</v>
      </c>
      <c r="C44" t="s">
        <v>28</v>
      </c>
      <c r="D44">
        <v>0.52151493627031831</v>
      </c>
      <c r="E44">
        <v>8.8740681503679548E-20</v>
      </c>
      <c r="F44">
        <v>2.9761806435237698E-2</v>
      </c>
      <c r="G44">
        <v>0.2325152888590625</v>
      </c>
      <c r="H44">
        <v>4.6117325482406617E-5</v>
      </c>
      <c r="I44">
        <v>3.6241240387266428E-11</v>
      </c>
      <c r="J44">
        <v>0.1033450135227859</v>
      </c>
      <c r="K44">
        <v>1.8037617652569971</v>
      </c>
      <c r="L44">
        <v>0.16211058732190939</v>
      </c>
      <c r="M44">
        <v>2.0287597304674389E-7</v>
      </c>
      <c r="N44">
        <v>4.3815476117824003E-3</v>
      </c>
      <c r="O44">
        <v>8.1905206671670394E-2</v>
      </c>
      <c r="P44">
        <v>0.118102055822146</v>
      </c>
      <c r="Q44">
        <v>7.4050591956622003E-3</v>
      </c>
      <c r="R44">
        <v>5.4111836686200003E-4</v>
      </c>
      <c r="S44">
        <v>1.5503738515411311E-5</v>
      </c>
      <c r="T44">
        <v>3.1425652820977619E-5</v>
      </c>
      <c r="U44">
        <f>SUM(D44:T44)</f>
        <v>3.0654376349634669</v>
      </c>
    </row>
    <row r="45" spans="1:21" x14ac:dyDescent="0.25">
      <c r="A45" t="s">
        <v>66</v>
      </c>
      <c r="B45" t="s">
        <v>33</v>
      </c>
      <c r="C45" t="s">
        <v>28</v>
      </c>
      <c r="D45">
        <v>1.6037916801608201</v>
      </c>
      <c r="E45">
        <v>1.1205258407134159E-19</v>
      </c>
      <c r="F45">
        <v>0.55497732749143924</v>
      </c>
      <c r="G45">
        <v>0.23050336469890459</v>
      </c>
      <c r="H45">
        <v>6.493906063580433E-5</v>
      </c>
      <c r="I45">
        <v>3.6515860602744329E-11</v>
      </c>
      <c r="J45">
        <v>7.9298854560521298E-2</v>
      </c>
      <c r="K45">
        <v>0.90689422050982438</v>
      </c>
      <c r="L45">
        <v>0.49054130553140168</v>
      </c>
      <c r="M45">
        <v>2.6896233960959861E-7</v>
      </c>
      <c r="N45">
        <v>9.0469389435312506E-2</v>
      </c>
      <c r="O45">
        <v>1.706973687122292</v>
      </c>
      <c r="P45">
        <v>2.1878914162104488</v>
      </c>
      <c r="Q45">
        <v>9.8174961144862002E-3</v>
      </c>
      <c r="R45">
        <v>2.2120389712512001E-3</v>
      </c>
      <c r="S45">
        <v>5.2429428853944932E-5</v>
      </c>
      <c r="T45">
        <v>3.0605671841635238E-5</v>
      </c>
      <c r="U45">
        <f>SUM(D45:T45)</f>
        <v>7.8635190239668882</v>
      </c>
    </row>
    <row r="46" spans="1:21" x14ac:dyDescent="0.25">
      <c r="A46" t="s">
        <v>67</v>
      </c>
      <c r="B46" t="s">
        <v>33</v>
      </c>
      <c r="C46" t="s">
        <v>28</v>
      </c>
      <c r="D46">
        <v>0.82860363394851322</v>
      </c>
      <c r="E46">
        <v>1.438064924689413E-19</v>
      </c>
      <c r="F46">
        <v>7.2520431534549401E-2</v>
      </c>
      <c r="G46">
        <v>0.14431332302997141</v>
      </c>
      <c r="H46">
        <v>5.5465750824130752E-5</v>
      </c>
      <c r="I46">
        <v>1.7885512624280321E-10</v>
      </c>
      <c r="J46">
        <v>6.8721256195456298E-2</v>
      </c>
      <c r="K46">
        <v>0.1714802033902173</v>
      </c>
      <c r="L46">
        <v>0.2631839180901927</v>
      </c>
      <c r="M46">
        <v>2.2856274880681139E-7</v>
      </c>
      <c r="N46">
        <v>2.2528152534795801E-2</v>
      </c>
      <c r="O46">
        <v>0.75271545228123948</v>
      </c>
      <c r="P46">
        <v>0.57487117194354909</v>
      </c>
      <c r="Q46">
        <v>8.342789429852001E-3</v>
      </c>
      <c r="R46">
        <v>9.9093588167269999E-4</v>
      </c>
      <c r="S46">
        <v>2.208302577320914E-5</v>
      </c>
      <c r="T46">
        <v>2.7398499721452719E-5</v>
      </c>
      <c r="U46">
        <f>SUM(D46:T46)</f>
        <v>2.9083764442779323</v>
      </c>
    </row>
    <row r="47" spans="1:21" x14ac:dyDescent="0.25">
      <c r="A47" t="s">
        <v>26</v>
      </c>
      <c r="B47" t="s">
        <v>21</v>
      </c>
      <c r="C47" t="s">
        <v>26</v>
      </c>
      <c r="D47">
        <v>0.24013253537503981</v>
      </c>
      <c r="E47">
        <v>3.2207745536459052E-19</v>
      </c>
      <c r="F47">
        <v>5.8369228951488999E-3</v>
      </c>
      <c r="G47">
        <v>8.3350946064438394E-2</v>
      </c>
      <c r="H47">
        <v>8.5600381374970673E-5</v>
      </c>
      <c r="I47">
        <v>9.5871157810648959E-11</v>
      </c>
      <c r="J47">
        <v>6.5230912279235595E-2</v>
      </c>
      <c r="K47">
        <v>0.1959669562857384</v>
      </c>
      <c r="L47">
        <v>7.3376886310915893E-2</v>
      </c>
      <c r="M47">
        <v>2.6636544690015961E-7</v>
      </c>
      <c r="N47">
        <v>3.0012675575739E-3</v>
      </c>
      <c r="O47">
        <v>2.3756185864989499E-2</v>
      </c>
      <c r="P47">
        <v>3.9857141109665997E-2</v>
      </c>
      <c r="Q47">
        <v>9.722464900034599E-3</v>
      </c>
      <c r="R47">
        <v>5.4851413494919998E-4</v>
      </c>
      <c r="S47">
        <v>9.4395281069851994E-6</v>
      </c>
      <c r="T47">
        <v>1.7012523230660299E-5</v>
      </c>
      <c r="U47">
        <f>SUM(D47:T47)</f>
        <v>0.74089305167176078</v>
      </c>
    </row>
    <row r="48" spans="1:21" x14ac:dyDescent="0.25">
      <c r="A48" t="s">
        <v>26</v>
      </c>
      <c r="B48" t="s">
        <v>31</v>
      </c>
      <c r="C48" t="s">
        <v>26</v>
      </c>
      <c r="D48">
        <v>0.34037454087652902</v>
      </c>
      <c r="E48">
        <v>3.0738184461987029E-19</v>
      </c>
      <c r="F48">
        <v>2.8510363569854501E-2</v>
      </c>
      <c r="G48">
        <v>0.1042448056838657</v>
      </c>
      <c r="H48">
        <v>8.6447972423174801E-5</v>
      </c>
      <c r="I48">
        <v>1.1149356165100911E-9</v>
      </c>
      <c r="J48">
        <v>4.24316765095165E-2</v>
      </c>
      <c r="K48">
        <v>0.1462505442517931</v>
      </c>
      <c r="L48">
        <v>0.10489538147564979</v>
      </c>
      <c r="M48">
        <v>3.1780306914549878E-7</v>
      </c>
      <c r="N48">
        <v>2.8953418700361998E-3</v>
      </c>
      <c r="O48">
        <v>2.5302243515830498E-2</v>
      </c>
      <c r="P48">
        <v>5.8583112408514902E-2</v>
      </c>
      <c r="Q48">
        <v>1.1599993054600299E-2</v>
      </c>
      <c r="R48">
        <v>4.1149352378210002E-4</v>
      </c>
      <c r="S48">
        <v>9.6995660009242957E-6</v>
      </c>
      <c r="T48">
        <v>4.4734503226989188E-5</v>
      </c>
      <c r="U48">
        <f>SUM(D48:T48)</f>
        <v>0.86564069769962837</v>
      </c>
    </row>
    <row r="49" spans="1:21" x14ac:dyDescent="0.25">
      <c r="A49" t="s">
        <v>29</v>
      </c>
      <c r="B49" t="s">
        <v>21</v>
      </c>
      <c r="C49" t="s">
        <v>30</v>
      </c>
      <c r="D49">
        <v>53.932450053311861</v>
      </c>
      <c r="E49">
        <v>4.5844203638958279E-17</v>
      </c>
      <c r="F49">
        <v>3.6203505482243798</v>
      </c>
      <c r="G49">
        <v>1988.857810274892</v>
      </c>
      <c r="H49">
        <v>5.9952297751095004E-3</v>
      </c>
      <c r="I49">
        <v>3.5145902000218479E-9</v>
      </c>
      <c r="J49">
        <v>3.7190760913459489</v>
      </c>
      <c r="K49">
        <v>6.040875450910173</v>
      </c>
      <c r="L49">
        <v>16.61994175067791</v>
      </c>
      <c r="M49">
        <v>7.4220858405655704E-3</v>
      </c>
      <c r="N49">
        <v>1.2136876128731999</v>
      </c>
      <c r="O49">
        <v>9.0600455929754844</v>
      </c>
      <c r="P49">
        <v>23.60448616987275</v>
      </c>
      <c r="Q49">
        <v>270.919085605021</v>
      </c>
      <c r="R49">
        <v>8.0113116562149991E-3</v>
      </c>
      <c r="S49">
        <v>4.1973988767929999E-4</v>
      </c>
      <c r="T49">
        <v>4.2669996789178001E-3</v>
      </c>
      <c r="U49">
        <f>SUM(D49:T49)</f>
        <v>2377.6139245204577</v>
      </c>
    </row>
    <row r="50" spans="1:21" x14ac:dyDescent="0.25">
      <c r="A50" t="s">
        <v>29</v>
      </c>
      <c r="B50" t="s">
        <v>31</v>
      </c>
      <c r="C50" t="s">
        <v>30</v>
      </c>
      <c r="D50">
        <v>41.799958320467141</v>
      </c>
      <c r="E50">
        <v>5.046316104840653E-17</v>
      </c>
      <c r="F50">
        <v>9.6328845323972487</v>
      </c>
      <c r="G50">
        <v>1982.7872299750809</v>
      </c>
      <c r="H50">
        <v>7.2348039532861E-3</v>
      </c>
      <c r="I50">
        <v>7.7273390251054354E-9</v>
      </c>
      <c r="J50">
        <v>5.3218738713846649</v>
      </c>
      <c r="K50">
        <v>6.1038905332768518</v>
      </c>
      <c r="L50">
        <v>12.926292669075989</v>
      </c>
      <c r="M50">
        <v>7.4190267342611584E-3</v>
      </c>
      <c r="N50">
        <v>1.179461816784569</v>
      </c>
      <c r="O50">
        <v>8.4842571616707474</v>
      </c>
      <c r="P50">
        <v>28.329132067640622</v>
      </c>
      <c r="Q50">
        <v>270.80742125118888</v>
      </c>
      <c r="R50">
        <v>7.2816303825032E-3</v>
      </c>
      <c r="S50">
        <v>4.7295804187490003E-4</v>
      </c>
      <c r="T50">
        <v>3.0123417411196999E-3</v>
      </c>
      <c r="U50">
        <f>SUM(D50:T50)</f>
        <v>2367.3978229675477</v>
      </c>
    </row>
    <row r="51" spans="1:21" x14ac:dyDescent="0.25">
      <c r="A51" t="s">
        <v>74</v>
      </c>
      <c r="B51" t="s">
        <v>33</v>
      </c>
      <c r="C51" t="s">
        <v>30</v>
      </c>
      <c r="D51">
        <v>14.35458612592778</v>
      </c>
      <c r="E51">
        <v>2.4625682741565372E-19</v>
      </c>
      <c r="F51">
        <v>1.242459470783835</v>
      </c>
      <c r="G51">
        <v>0.89353964671578723</v>
      </c>
      <c r="H51">
        <v>1.609778129639E-4</v>
      </c>
      <c r="I51">
        <v>1.7444882708355781E-10</v>
      </c>
      <c r="J51">
        <v>0.74673254988046378</v>
      </c>
      <c r="K51">
        <v>14.48043702581054</v>
      </c>
      <c r="L51">
        <v>4.446184428059909</v>
      </c>
      <c r="M51">
        <v>4.478422723558504E-7</v>
      </c>
      <c r="N51">
        <v>7.5315867155712896E-2</v>
      </c>
      <c r="O51">
        <v>1.0463733142101399</v>
      </c>
      <c r="P51">
        <v>2.8182722207911128</v>
      </c>
      <c r="Q51">
        <v>1.6348816054351002E-2</v>
      </c>
      <c r="R51">
        <v>1.3848277146178E-3</v>
      </c>
      <c r="S51">
        <v>1.7631462616849E-3</v>
      </c>
      <c r="T51">
        <v>2.5339858600458001E-3</v>
      </c>
      <c r="U51">
        <f>SUM(D51:T51)</f>
        <v>40.126092851055681</v>
      </c>
    </row>
    <row r="52" spans="1:21" x14ac:dyDescent="0.25">
      <c r="A52" t="s">
        <v>75</v>
      </c>
      <c r="B52" t="s">
        <v>33</v>
      </c>
      <c r="C52" t="s">
        <v>30</v>
      </c>
      <c r="D52">
        <v>7.8797491343176196</v>
      </c>
      <c r="E52">
        <v>1.353193233415272E-19</v>
      </c>
      <c r="F52">
        <v>1.3458870715203961</v>
      </c>
      <c r="G52">
        <v>0.46954886246024508</v>
      </c>
      <c r="H52">
        <v>8.8306960973402488E-5</v>
      </c>
      <c r="I52">
        <v>9.6009849098106836E-11</v>
      </c>
      <c r="J52">
        <v>0.28329887708040608</v>
      </c>
      <c r="K52">
        <v>5.3851777332615693</v>
      </c>
      <c r="L52">
        <v>2.4184454008981171</v>
      </c>
      <c r="M52">
        <v>2.4885832082044089E-7</v>
      </c>
      <c r="N52">
        <v>4.7253569586889199E-2</v>
      </c>
      <c r="O52">
        <v>0.71658122497032051</v>
      </c>
      <c r="P52">
        <v>2.5910807154921378</v>
      </c>
      <c r="Q52">
        <v>9.0845922987547005E-3</v>
      </c>
      <c r="R52">
        <v>7.7281245319019999E-4</v>
      </c>
      <c r="S52">
        <v>5.9662113257069995E-4</v>
      </c>
      <c r="T52">
        <v>1.4150198436243999E-3</v>
      </c>
      <c r="U52">
        <f>SUM(D52:T52)</f>
        <v>21.148980191231139</v>
      </c>
    </row>
    <row r="53" spans="1:21" x14ac:dyDescent="0.25">
      <c r="A53" t="s">
        <v>27</v>
      </c>
      <c r="B53" t="s">
        <v>21</v>
      </c>
      <c r="C53" t="s">
        <v>27</v>
      </c>
      <c r="D53">
        <v>0.24268713954233501</v>
      </c>
      <c r="E53">
        <v>3.2550381898518139E-19</v>
      </c>
      <c r="F53">
        <v>5.8990179413863997E-3</v>
      </c>
      <c r="G53">
        <v>8.4237660769256012E-2</v>
      </c>
      <c r="H53">
        <v>8.6511022743902897E-5</v>
      </c>
      <c r="I53">
        <v>9.6891063948490695E-11</v>
      </c>
      <c r="J53">
        <v>6.5924858277021103E-2</v>
      </c>
      <c r="K53">
        <v>0.1980517224970097</v>
      </c>
      <c r="L53">
        <v>7.4157492316709595E-2</v>
      </c>
      <c r="M53">
        <v>2.6919913513069368E-7</v>
      </c>
      <c r="N53">
        <v>3.0331958576701001E-3</v>
      </c>
      <c r="O53">
        <v>2.4008911761177702E-2</v>
      </c>
      <c r="P53">
        <v>4.0281154081343702E-2</v>
      </c>
      <c r="Q53">
        <v>9.8258958618158004E-3</v>
      </c>
      <c r="R53">
        <v>5.5434939570820003E-4</v>
      </c>
      <c r="S53">
        <v>9.5399486459580435E-6</v>
      </c>
      <c r="T53">
        <v>1.7193507740167781E-5</v>
      </c>
      <c r="U53">
        <f>SUM(D53:T53)</f>
        <v>0.74877491207658964</v>
      </c>
    </row>
    <row r="54" spans="1:21" x14ac:dyDescent="0.25">
      <c r="A54" t="s">
        <v>27</v>
      </c>
      <c r="B54" t="s">
        <v>31</v>
      </c>
      <c r="C54" t="s">
        <v>27</v>
      </c>
      <c r="D54">
        <v>0.34399554783756492</v>
      </c>
      <c r="E54">
        <v>3.1065187216834609E-19</v>
      </c>
      <c r="F54">
        <v>2.8813665755752799E-2</v>
      </c>
      <c r="G54">
        <v>0.105353795249466</v>
      </c>
      <c r="H54">
        <v>8.7367630797651247E-5</v>
      </c>
      <c r="I54">
        <v>1.1267966277926011E-9</v>
      </c>
      <c r="J54">
        <v>4.2883077581979498E-2</v>
      </c>
      <c r="K54">
        <v>0.14780640931047781</v>
      </c>
      <c r="L54">
        <v>0.10601129015401591</v>
      </c>
      <c r="M54">
        <v>3.2118396536491577E-7</v>
      </c>
      <c r="N54">
        <v>2.9261432980455001E-3</v>
      </c>
      <c r="O54">
        <v>2.5571416802835201E-2</v>
      </c>
      <c r="P54">
        <v>5.9206338045873101E-2</v>
      </c>
      <c r="Q54">
        <v>1.1723397692471001E-2</v>
      </c>
      <c r="R54">
        <v>4.1587111949320001E-4</v>
      </c>
      <c r="S54">
        <v>9.8027529013254899E-6</v>
      </c>
      <c r="T54">
        <v>4.5210402374741398E-5</v>
      </c>
      <c r="U54">
        <f>SUM(D54:T54)</f>
        <v>0.87484965594481046</v>
      </c>
    </row>
    <row r="55" spans="1:21" x14ac:dyDescent="0.25">
      <c r="A55" t="s">
        <v>71</v>
      </c>
      <c r="B55" t="s">
        <v>33</v>
      </c>
      <c r="C55" t="s">
        <v>27</v>
      </c>
      <c r="D55">
        <v>7.4343106591309299E-2</v>
      </c>
      <c r="E55">
        <v>1.4514319379318101E-20</v>
      </c>
      <c r="F55">
        <v>2.9106520055798999E-3</v>
      </c>
      <c r="G55">
        <v>6.5848350748253195E-2</v>
      </c>
      <c r="H55">
        <v>4.0929202759986681E-6</v>
      </c>
      <c r="I55">
        <v>1.198655974541231E-12</v>
      </c>
      <c r="J55">
        <v>8.2895118031273002E-3</v>
      </c>
      <c r="K55">
        <v>0.1311797078621286</v>
      </c>
      <c r="L55">
        <v>2.3567688902061699E-2</v>
      </c>
      <c r="M55">
        <v>9.023321855431392E-9</v>
      </c>
      <c r="N55">
        <v>8.9386292752149997E-4</v>
      </c>
      <c r="O55">
        <v>2.9950513822387601E-2</v>
      </c>
      <c r="P55">
        <v>2.32479434532358E-2</v>
      </c>
      <c r="Q55">
        <v>3.2935658548170001E-4</v>
      </c>
      <c r="R55">
        <v>4.1125906655028256E-6</v>
      </c>
      <c r="S55">
        <v>3.6501734739471241E-7</v>
      </c>
      <c r="T55">
        <v>1.7272917915617039E-6</v>
      </c>
      <c r="U55">
        <f>SUM(D55:T55)</f>
        <v>0.36057100154568755</v>
      </c>
    </row>
    <row r="56" spans="1:21" x14ac:dyDescent="0.25">
      <c r="A56" t="s">
        <v>72</v>
      </c>
      <c r="B56" t="s">
        <v>33</v>
      </c>
      <c r="C56" t="s">
        <v>27</v>
      </c>
      <c r="D56">
        <v>0.19502108521610631</v>
      </c>
      <c r="E56">
        <v>1.593716300427111E-19</v>
      </c>
      <c r="F56">
        <v>1.59626655471686E-2</v>
      </c>
      <c r="G56">
        <v>3.6787639198364697E-2</v>
      </c>
      <c r="H56">
        <v>2.2088782845857958E-5</v>
      </c>
      <c r="I56">
        <v>1.115818567401908E-10</v>
      </c>
      <c r="J56">
        <v>4.8487332133443098E-2</v>
      </c>
      <c r="K56">
        <v>0.21290822388792219</v>
      </c>
      <c r="L56">
        <v>5.8133584989523403E-2</v>
      </c>
      <c r="M56">
        <v>6.4902677836237779E-8</v>
      </c>
      <c r="N56">
        <v>1.4269111070003E-3</v>
      </c>
      <c r="O56">
        <v>3.8667048943888803E-2</v>
      </c>
      <c r="P56">
        <v>6.1701235944584203E-2</v>
      </c>
      <c r="Q56">
        <v>2.3739914243116E-3</v>
      </c>
      <c r="R56">
        <v>6.0943415201480001E-4</v>
      </c>
      <c r="S56">
        <v>1.491001354562154E-5</v>
      </c>
      <c r="T56">
        <v>1.4792042859023889E-5</v>
      </c>
      <c r="U56">
        <f>SUM(D56:T56)</f>
        <v>0.67213100839783813</v>
      </c>
    </row>
    <row r="57" spans="1:21" x14ac:dyDescent="0.25">
      <c r="A57" t="s">
        <v>73</v>
      </c>
      <c r="B57" t="s">
        <v>33</v>
      </c>
      <c r="C57" t="s">
        <v>27</v>
      </c>
      <c r="D57">
        <v>0.31909081431293013</v>
      </c>
      <c r="E57">
        <v>8.1365007384702867E-20</v>
      </c>
      <c r="F57">
        <v>2.1110378043466001E-2</v>
      </c>
      <c r="G57">
        <v>4.2871526631659801E-2</v>
      </c>
      <c r="H57">
        <v>1.243198271576272E-5</v>
      </c>
      <c r="I57">
        <v>6.6432499882577194E-11</v>
      </c>
      <c r="J57">
        <v>2.77908311071235E-2</v>
      </c>
      <c r="K57">
        <v>4.04676560892221E-2</v>
      </c>
      <c r="L57">
        <v>9.4083308715095598E-2</v>
      </c>
      <c r="M57">
        <v>9.2875770625070879E-8</v>
      </c>
      <c r="N57">
        <v>1.9702737227107001E-3</v>
      </c>
      <c r="O57">
        <v>6.2974189725345997E-3</v>
      </c>
      <c r="P57">
        <v>5.5758405126005002E-2</v>
      </c>
      <c r="Q57">
        <v>3.3902490793336999E-3</v>
      </c>
      <c r="R57">
        <v>1.6562359553189999E-3</v>
      </c>
      <c r="S57">
        <v>4.3937240498138443E-5</v>
      </c>
      <c r="T57">
        <v>4.3587802217343852E-5</v>
      </c>
      <c r="U57">
        <f>SUM(D57:T57)</f>
        <v>0.61458714772303469</v>
      </c>
    </row>
  </sheetData>
  <autoFilter ref="A1:W1" xr:uid="{00000000-0001-0000-0000-000000000000}">
    <sortState xmlns:xlrd2="http://schemas.microsoft.com/office/spreadsheetml/2017/richdata2" ref="A2:W57">
      <sortCondition ref="C1"/>
    </sortState>
  </autoFilter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57"/>
  <sheetViews>
    <sheetView workbookViewId="0">
      <selection activeCell="A16" sqref="A16"/>
    </sheetView>
  </sheetViews>
  <sheetFormatPr baseColWidth="10" defaultColWidth="9.140625" defaultRowHeight="15" x14ac:dyDescent="0.25"/>
  <cols>
    <col min="1" max="1" width="27.28515625" bestFit="1" customWidth="1"/>
    <col min="2" max="2" width="11.7109375" bestFit="1" customWidth="1"/>
    <col min="3" max="3" width="22.140625" bestFit="1" customWidth="1"/>
    <col min="4" max="4" width="19.140625" bestFit="1" customWidth="1"/>
    <col min="5" max="5" width="29.42578125" bestFit="1" customWidth="1"/>
    <col min="6" max="6" width="25.85546875" bestFit="1" customWidth="1"/>
    <col min="7" max="7" width="22" bestFit="1" customWidth="1"/>
    <col min="8" max="8" width="25.42578125" bestFit="1" customWidth="1"/>
    <col min="9" max="9" width="21.7109375" bestFit="1" customWidth="1"/>
    <col min="10" max="10" width="24.7109375" bestFit="1" customWidth="1"/>
    <col min="11" max="11" width="21.42578125" bestFit="1" customWidth="1"/>
    <col min="12" max="12" width="13" bestFit="1" customWidth="1"/>
  </cols>
  <sheetData>
    <row r="1" spans="1:12" x14ac:dyDescent="0.25">
      <c r="A1" s="1" t="s">
        <v>1</v>
      </c>
      <c r="B1" s="1" t="s">
        <v>18</v>
      </c>
      <c r="C1" s="1" t="s">
        <v>19</v>
      </c>
      <c r="D1" s="1" t="s">
        <v>0</v>
      </c>
      <c r="E1" s="1" t="s">
        <v>76</v>
      </c>
      <c r="F1" s="1" t="s">
        <v>77</v>
      </c>
      <c r="G1" s="1" t="s">
        <v>6</v>
      </c>
      <c r="H1" s="1" t="s">
        <v>78</v>
      </c>
      <c r="I1" s="1" t="s">
        <v>79</v>
      </c>
      <c r="J1" s="1" t="s">
        <v>12</v>
      </c>
      <c r="K1" s="1" t="s">
        <v>80</v>
      </c>
      <c r="L1" s="6" t="s">
        <v>252</v>
      </c>
    </row>
    <row r="2" spans="1:12" x14ac:dyDescent="0.25">
      <c r="A2" t="s">
        <v>20</v>
      </c>
      <c r="B2" t="s">
        <v>21</v>
      </c>
      <c r="C2" t="s">
        <v>22</v>
      </c>
      <c r="D2">
        <v>7.2316659012806106E-6</v>
      </c>
      <c r="E2">
        <v>2.9264619861949851E-6</v>
      </c>
      <c r="F2">
        <v>4.2767182510420011E-7</v>
      </c>
      <c r="G2">
        <v>2.3559124021514028E-9</v>
      </c>
      <c r="H2">
        <v>1.575599106003816E-11</v>
      </c>
      <c r="I2">
        <v>9.8617646012384059E-7</v>
      </c>
      <c r="J2">
        <v>5.438528578284332E-9</v>
      </c>
      <c r="K2">
        <v>2.5763906586482358E-6</v>
      </c>
      <c r="L2">
        <f>SUM(D2:K2)</f>
        <v>1.4156177028323368E-5</v>
      </c>
    </row>
    <row r="3" spans="1:12" x14ac:dyDescent="0.25">
      <c r="A3" t="s">
        <v>23</v>
      </c>
      <c r="B3" t="s">
        <v>21</v>
      </c>
      <c r="C3" t="s">
        <v>22</v>
      </c>
      <c r="D3">
        <v>8.3001447928380131E-6</v>
      </c>
      <c r="E3">
        <v>7.9869159208296462E-7</v>
      </c>
      <c r="F3">
        <v>5.6200184072477346E-7</v>
      </c>
      <c r="G3">
        <v>1.286584761659139E-8</v>
      </c>
      <c r="H3">
        <v>1.718800732050986E-11</v>
      </c>
      <c r="I3">
        <v>3.0547210708865658E-6</v>
      </c>
      <c r="J3">
        <v>1.8123086096959399E-8</v>
      </c>
      <c r="K3">
        <v>4.6651128517151124E-6</v>
      </c>
      <c r="L3">
        <f>SUM(D3:K3)</f>
        <v>1.74116782699683E-5</v>
      </c>
    </row>
    <row r="4" spans="1:12" x14ac:dyDescent="0.25">
      <c r="A4" t="s">
        <v>20</v>
      </c>
      <c r="B4" t="s">
        <v>31</v>
      </c>
      <c r="C4" t="s">
        <v>22</v>
      </c>
      <c r="D4">
        <v>1.0250485076797289E-5</v>
      </c>
      <c r="E4">
        <v>2.9856740683665421E-6</v>
      </c>
      <c r="F4">
        <v>4.8036528343258062E-7</v>
      </c>
      <c r="G4">
        <v>2.429637684408909E-8</v>
      </c>
      <c r="H4">
        <v>2.8071498632028891E-11</v>
      </c>
      <c r="I4">
        <v>6.4608095638464122E-6</v>
      </c>
      <c r="J4">
        <v>5.7607874514598898E-9</v>
      </c>
      <c r="K4">
        <v>5.0565935688612607E-8</v>
      </c>
      <c r="L4">
        <f>SUM(D4:K4)</f>
        <v>2.0257985163925616E-5</v>
      </c>
    </row>
    <row r="5" spans="1:12" x14ac:dyDescent="0.25">
      <c r="A5" t="s">
        <v>23</v>
      </c>
      <c r="B5" t="s">
        <v>31</v>
      </c>
      <c r="C5" t="s">
        <v>22</v>
      </c>
      <c r="D5">
        <v>8.4425461535398328E-6</v>
      </c>
      <c r="E5">
        <v>8.2598768919738275E-7</v>
      </c>
      <c r="F5">
        <v>5.9207311582305906E-7</v>
      </c>
      <c r="G5">
        <v>1.277743533778082E-8</v>
      </c>
      <c r="H5">
        <v>2.0730570646338631E-11</v>
      </c>
      <c r="I5">
        <v>4.4050973396467867E-5</v>
      </c>
      <c r="J5">
        <v>1.834937318858873E-8</v>
      </c>
      <c r="K5">
        <v>1.530832235031708E-7</v>
      </c>
      <c r="L5">
        <f>SUM(D5:K5)</f>
        <v>5.4095811117628327E-5</v>
      </c>
    </row>
    <row r="6" spans="1:12" x14ac:dyDescent="0.25">
      <c r="A6" t="s">
        <v>32</v>
      </c>
      <c r="B6" t="s">
        <v>33</v>
      </c>
      <c r="C6" t="s">
        <v>22</v>
      </c>
      <c r="D6">
        <v>1.4188453047770361E-5</v>
      </c>
      <c r="E6">
        <v>4.3403981698251122E-7</v>
      </c>
      <c r="F6">
        <v>5.953199909748313E-7</v>
      </c>
      <c r="G6">
        <v>7.5887478542610948E-10</v>
      </c>
      <c r="H6">
        <v>4.7112457025752339E-11</v>
      </c>
      <c r="I6">
        <v>3.94106412132903E-6</v>
      </c>
      <c r="J6">
        <v>8.3082957223134723E-9</v>
      </c>
      <c r="K6">
        <v>4.9264424030097258E-8</v>
      </c>
      <c r="L6">
        <f>SUM(D6:K6)</f>
        <v>1.9217255684051597E-5</v>
      </c>
    </row>
    <row r="7" spans="1:12" x14ac:dyDescent="0.25">
      <c r="A7" t="s">
        <v>34</v>
      </c>
      <c r="B7" t="s">
        <v>33</v>
      </c>
      <c r="C7" t="s">
        <v>22</v>
      </c>
      <c r="D7">
        <v>1.196418823432333E-5</v>
      </c>
      <c r="E7">
        <v>2.7294749804890201E-7</v>
      </c>
      <c r="F7">
        <v>8.4985918326294175E-7</v>
      </c>
      <c r="G7">
        <v>1.084909253754716E-9</v>
      </c>
      <c r="H7">
        <v>4.2770524113649559E-11</v>
      </c>
      <c r="I7">
        <v>3.8889122352701584E-6</v>
      </c>
      <c r="J7">
        <v>8.346244462395065E-9</v>
      </c>
      <c r="K7">
        <v>7.4141027648112852E-8</v>
      </c>
      <c r="L7">
        <f>SUM(D7:K7)</f>
        <v>1.7059522102793711E-5</v>
      </c>
    </row>
    <row r="8" spans="1:12" x14ac:dyDescent="0.25">
      <c r="A8" t="s">
        <v>35</v>
      </c>
      <c r="B8" t="s">
        <v>33</v>
      </c>
      <c r="C8" t="s">
        <v>22</v>
      </c>
      <c r="D8">
        <v>7.2693233550355467E-6</v>
      </c>
      <c r="E8">
        <v>9.8785402496896165E-8</v>
      </c>
      <c r="F8">
        <v>2.752158992559696E-7</v>
      </c>
      <c r="G8">
        <v>3.7850112965246633E-10</v>
      </c>
      <c r="H8">
        <v>2.3060772613577151E-11</v>
      </c>
      <c r="I8">
        <v>2.2332447583913089E-6</v>
      </c>
      <c r="J8">
        <v>3.664534587001457E-9</v>
      </c>
      <c r="K8">
        <v>2.5437215057671711E-8</v>
      </c>
      <c r="L8">
        <f>SUM(D8:K8)</f>
        <v>9.9060727267266605E-6</v>
      </c>
    </row>
    <row r="9" spans="1:12" x14ac:dyDescent="0.25">
      <c r="A9" t="s">
        <v>36</v>
      </c>
      <c r="B9" t="s">
        <v>33</v>
      </c>
      <c r="C9" t="s">
        <v>22</v>
      </c>
      <c r="D9">
        <v>1.256585205683497E-5</v>
      </c>
      <c r="E9">
        <v>7.751517576616722E-7</v>
      </c>
      <c r="F9">
        <v>1.21582503026004E-6</v>
      </c>
      <c r="G9">
        <v>8.7673641553037401E-10</v>
      </c>
      <c r="H9">
        <v>3.9404385774789163E-11</v>
      </c>
      <c r="I9">
        <v>1.1769766298472991E-6</v>
      </c>
      <c r="J9">
        <v>5.6778048885744837E-9</v>
      </c>
      <c r="K9">
        <v>6.9348396917523691E-8</v>
      </c>
      <c r="L9">
        <f>SUM(D9:K9)</f>
        <v>1.5809747817211384E-5</v>
      </c>
    </row>
    <row r="10" spans="1:12" x14ac:dyDescent="0.25">
      <c r="A10" t="s">
        <v>37</v>
      </c>
      <c r="B10" t="s">
        <v>33</v>
      </c>
      <c r="C10" t="s">
        <v>22</v>
      </c>
      <c r="D10">
        <v>1.398405867523088E-5</v>
      </c>
      <c r="E10">
        <v>2.8568307956630871E-7</v>
      </c>
      <c r="F10">
        <v>7.0214903562676745E-7</v>
      </c>
      <c r="G10">
        <v>8.0185464803517546E-10</v>
      </c>
      <c r="H10">
        <v>4.5961767135170302E-11</v>
      </c>
      <c r="I10">
        <v>3.2014075164983357E-5</v>
      </c>
      <c r="J10">
        <v>1.3392604329474791E-7</v>
      </c>
      <c r="K10">
        <v>5.5735173672084573E-8</v>
      </c>
      <c r="L10">
        <f>SUM(D10:K10)</f>
        <v>4.7176474988789319E-5</v>
      </c>
    </row>
    <row r="11" spans="1:12" x14ac:dyDescent="0.25">
      <c r="A11" t="s">
        <v>38</v>
      </c>
      <c r="B11" t="s">
        <v>33</v>
      </c>
      <c r="C11" t="s">
        <v>22</v>
      </c>
      <c r="D11">
        <v>1.231312886862754E-5</v>
      </c>
      <c r="E11">
        <v>5.0496431704775316E-7</v>
      </c>
      <c r="F11">
        <v>9.1546363380531993E-7</v>
      </c>
      <c r="G11">
        <v>4.0864778916114484E-9</v>
      </c>
      <c r="H11">
        <v>4.0826588492794043E-11</v>
      </c>
      <c r="I11">
        <v>6.3883012342637342E-6</v>
      </c>
      <c r="J11">
        <v>2.8411832275616531E-9</v>
      </c>
      <c r="K11">
        <v>1.3301755707549371E-7</v>
      </c>
      <c r="L11">
        <f>SUM(D11:K11)</f>
        <v>2.0261844098527509E-5</v>
      </c>
    </row>
    <row r="12" spans="1:12" x14ac:dyDescent="0.25">
      <c r="A12" t="s">
        <v>39</v>
      </c>
      <c r="B12" t="s">
        <v>33</v>
      </c>
      <c r="C12" t="s">
        <v>22</v>
      </c>
      <c r="D12">
        <v>2.6802657109838842E-6</v>
      </c>
      <c r="E12">
        <v>2.5294680107063422E-7</v>
      </c>
      <c r="F12">
        <v>6.9687686251985189E-8</v>
      </c>
      <c r="G12">
        <v>4.498548408668738E-11</v>
      </c>
      <c r="H12">
        <v>9.6251711064257802E-13</v>
      </c>
      <c r="I12">
        <v>3.7933135714652002E-6</v>
      </c>
      <c r="J12">
        <v>8.3599877219957841E-9</v>
      </c>
      <c r="K12">
        <v>4.8385586651313646E-9</v>
      </c>
      <c r="L12">
        <f>SUM(D12:K12)</f>
        <v>6.8094582641600282E-6</v>
      </c>
    </row>
    <row r="13" spans="1:12" x14ac:dyDescent="0.25">
      <c r="A13" t="s">
        <v>40</v>
      </c>
      <c r="B13" t="s">
        <v>33</v>
      </c>
      <c r="C13" t="s">
        <v>22</v>
      </c>
      <c r="D13">
        <v>7.0310259227766012E-6</v>
      </c>
      <c r="E13">
        <v>1.797338784868064E-7</v>
      </c>
      <c r="F13">
        <v>2.1632088903982449E-7</v>
      </c>
      <c r="G13">
        <v>2.9825111283693889E-9</v>
      </c>
      <c r="H13">
        <v>2.5895730631161209E-11</v>
      </c>
      <c r="I13">
        <v>1.9489324621301321E-6</v>
      </c>
      <c r="J13">
        <v>1.0691371738769541E-8</v>
      </c>
      <c r="K13">
        <v>3.5252118413508602E-8</v>
      </c>
      <c r="L13">
        <f>SUM(D13:K13)</f>
        <v>9.4249650494446433E-6</v>
      </c>
    </row>
    <row r="14" spans="1:12" x14ac:dyDescent="0.25">
      <c r="A14" t="s">
        <v>41</v>
      </c>
      <c r="B14" t="s">
        <v>33</v>
      </c>
      <c r="C14" t="s">
        <v>22</v>
      </c>
      <c r="D14">
        <v>3.20969584304976E-6</v>
      </c>
      <c r="E14">
        <v>7.3325657991709474E-8</v>
      </c>
      <c r="F14">
        <v>1.269839529119432E-7</v>
      </c>
      <c r="G14">
        <v>2.5378950151847531E-10</v>
      </c>
      <c r="H14">
        <v>1.3573709694587019E-11</v>
      </c>
      <c r="I14">
        <v>2.8689913020710292E-7</v>
      </c>
      <c r="J14">
        <v>4.5647298261336678E-10</v>
      </c>
      <c r="K14">
        <v>1.6750282027214879E-8</v>
      </c>
      <c r="L14">
        <f>SUM(D14:K14)</f>
        <v>3.714378702381557E-6</v>
      </c>
    </row>
    <row r="15" spans="1:12" x14ac:dyDescent="0.25">
      <c r="A15" t="s">
        <v>42</v>
      </c>
      <c r="B15" t="s">
        <v>33</v>
      </c>
      <c r="C15" t="s">
        <v>22</v>
      </c>
      <c r="D15">
        <v>1.150406797497607E-5</v>
      </c>
      <c r="E15">
        <v>3.8133740361691781E-7</v>
      </c>
      <c r="F15">
        <v>1.9312873259087731E-7</v>
      </c>
      <c r="G15">
        <v>2.628655282396202E-9</v>
      </c>
      <c r="H15">
        <v>2.3913918361437601E-11</v>
      </c>
      <c r="I15">
        <v>1.69979013152622E-6</v>
      </c>
      <c r="J15">
        <v>1.6803505516453531E-9</v>
      </c>
      <c r="K15">
        <v>1.4523527489821661E-7</v>
      </c>
      <c r="L15">
        <f>SUM(D15:K15)</f>
        <v>1.3927892437360704E-5</v>
      </c>
    </row>
    <row r="16" spans="1:12" x14ac:dyDescent="0.25">
      <c r="A16" t="s">
        <v>24</v>
      </c>
      <c r="B16" t="s">
        <v>21</v>
      </c>
      <c r="C16" t="s">
        <v>25</v>
      </c>
      <c r="D16">
        <v>2.0121672850087001E-2</v>
      </c>
      <c r="E16">
        <v>8.1427034563321E-3</v>
      </c>
      <c r="F16">
        <v>1.1899709994088699E-3</v>
      </c>
      <c r="G16">
        <v>6.5551839898116378E-6</v>
      </c>
      <c r="H16">
        <v>4.3840092122783372E-8</v>
      </c>
      <c r="I16">
        <v>2.7439763327497999E-3</v>
      </c>
      <c r="J16">
        <v>1.5132376761425389E-5</v>
      </c>
      <c r="K16">
        <v>7.1686515666593001E-3</v>
      </c>
      <c r="L16">
        <f>SUM(D16:K16)</f>
        <v>3.9388706606080431E-2</v>
      </c>
    </row>
    <row r="17" spans="1:12" x14ac:dyDescent="0.25">
      <c r="A17" t="s">
        <v>24</v>
      </c>
      <c r="B17" t="s">
        <v>31</v>
      </c>
      <c r="C17" t="s">
        <v>25</v>
      </c>
      <c r="D17">
        <v>2.8521355188319199E-2</v>
      </c>
      <c r="E17">
        <v>8.307457500176401E-3</v>
      </c>
      <c r="F17">
        <v>1.336587367644403E-3</v>
      </c>
      <c r="G17">
        <v>6.7603202693110976E-5</v>
      </c>
      <c r="H17">
        <v>7.8107248724987185E-8</v>
      </c>
      <c r="I17">
        <v>1.7976811556831399E-2</v>
      </c>
      <c r="J17">
        <v>1.6029042696636491E-5</v>
      </c>
      <c r="K17">
        <v>1.4069665901930001E-4</v>
      </c>
      <c r="L17">
        <f>SUM(D17:K17)</f>
        <v>5.6366618624629168E-2</v>
      </c>
    </row>
    <row r="18" spans="1:12" x14ac:dyDescent="0.25">
      <c r="A18" t="s">
        <v>43</v>
      </c>
      <c r="B18" t="s">
        <v>33</v>
      </c>
      <c r="C18" t="s">
        <v>25</v>
      </c>
      <c r="D18">
        <v>0.1089538754185452</v>
      </c>
      <c r="E18">
        <v>7.1731486041920998E-3</v>
      </c>
      <c r="F18">
        <v>1.3278100787045E-3</v>
      </c>
      <c r="G18">
        <v>2.2481006795755291E-5</v>
      </c>
      <c r="H18">
        <v>3.7433054856540499E-7</v>
      </c>
      <c r="I18">
        <v>1.47590719126592E-2</v>
      </c>
      <c r="J18">
        <v>3.019220448895255E-5</v>
      </c>
      <c r="K18">
        <v>4.8313747009360003E-4</v>
      </c>
      <c r="L18">
        <f>SUM(D18:K18)</f>
        <v>0.13275009102602789</v>
      </c>
    </row>
    <row r="19" spans="1:12" x14ac:dyDescent="0.25">
      <c r="A19" t="s">
        <v>44</v>
      </c>
      <c r="B19" t="s">
        <v>33</v>
      </c>
      <c r="C19" t="s">
        <v>25</v>
      </c>
      <c r="D19">
        <v>6.9227675882434003E-2</v>
      </c>
      <c r="E19">
        <v>6.5810085656367E-3</v>
      </c>
      <c r="F19">
        <v>3.2107498699393E-3</v>
      </c>
      <c r="G19">
        <v>4.6390677595660001E-4</v>
      </c>
      <c r="H19">
        <v>2.4575822814653022E-7</v>
      </c>
      <c r="I19">
        <v>0.10038920979046539</v>
      </c>
      <c r="J19">
        <v>2.175098016987E-4</v>
      </c>
      <c r="K19">
        <v>4.3577261155389998E-4</v>
      </c>
      <c r="L19">
        <f>SUM(D19:K19)</f>
        <v>0.18052607905591275</v>
      </c>
    </row>
    <row r="20" spans="1:12" x14ac:dyDescent="0.25">
      <c r="A20" t="s">
        <v>45</v>
      </c>
      <c r="B20" t="s">
        <v>33</v>
      </c>
      <c r="C20" t="s">
        <v>25</v>
      </c>
      <c r="D20">
        <v>0.1027196883091583</v>
      </c>
      <c r="E20">
        <v>1.3939744489662E-3</v>
      </c>
      <c r="F20">
        <v>1.7637929081040799E-3</v>
      </c>
      <c r="G20">
        <v>3.4644610975362962E-6</v>
      </c>
      <c r="H20">
        <v>6.1409495923632029E-8</v>
      </c>
      <c r="I20">
        <v>3.1990115680589397E-2</v>
      </c>
      <c r="J20">
        <v>8.7558877699469998E-4</v>
      </c>
      <c r="K20">
        <v>4.1527200650919998E-4</v>
      </c>
      <c r="L20">
        <f>SUM(D20:K20)</f>
        <v>0.13916195800091533</v>
      </c>
    </row>
    <row r="21" spans="1:12" x14ac:dyDescent="0.25">
      <c r="A21" t="s">
        <v>46</v>
      </c>
      <c r="B21" t="s">
        <v>33</v>
      </c>
      <c r="C21" t="s">
        <v>25</v>
      </c>
      <c r="D21">
        <v>0.30407234293191521</v>
      </c>
      <c r="E21">
        <v>6.8864928354446997E-3</v>
      </c>
      <c r="F21">
        <v>7.7914700854422999E-3</v>
      </c>
      <c r="G21">
        <v>2.7514315287463001E-3</v>
      </c>
      <c r="H21">
        <v>1.071703355835522E-6</v>
      </c>
      <c r="I21">
        <v>0.1399372129580323</v>
      </c>
      <c r="J21">
        <v>8.396754592943785E-5</v>
      </c>
      <c r="K21">
        <v>2.8521279477797998E-3</v>
      </c>
      <c r="L21">
        <f>SUM(D21:K21)</f>
        <v>0.46437611753664582</v>
      </c>
    </row>
    <row r="22" spans="1:12" x14ac:dyDescent="0.25">
      <c r="A22" t="s">
        <v>47</v>
      </c>
      <c r="B22" t="s">
        <v>33</v>
      </c>
      <c r="C22" t="s">
        <v>25</v>
      </c>
      <c r="D22">
        <v>0.1622018481766683</v>
      </c>
      <c r="E22">
        <v>2.9717611661792E-3</v>
      </c>
      <c r="F22">
        <v>3.016042966200777E-3</v>
      </c>
      <c r="G22">
        <v>7.0436077082965947E-6</v>
      </c>
      <c r="H22">
        <v>7.2122386834933952E-7</v>
      </c>
      <c r="I22">
        <v>5.2294666827501897E-2</v>
      </c>
      <c r="J22">
        <v>1.2667270997827999E-3</v>
      </c>
      <c r="K22">
        <v>8.1637610734880005E-4</v>
      </c>
      <c r="L22">
        <f>SUM(D22:K22)</f>
        <v>0.2225751871752584</v>
      </c>
    </row>
    <row r="23" spans="1:12" x14ac:dyDescent="0.25">
      <c r="A23" t="s">
        <v>48</v>
      </c>
      <c r="B23" t="s">
        <v>33</v>
      </c>
      <c r="C23" t="s">
        <v>25</v>
      </c>
      <c r="D23">
        <v>0.1426508237585502</v>
      </c>
      <c r="E23">
        <v>1.5637523888528099E-2</v>
      </c>
      <c r="F23">
        <v>3.1585966068481E-3</v>
      </c>
      <c r="G23">
        <v>6.6640737642669997E-4</v>
      </c>
      <c r="H23">
        <v>4.0971507046928442E-7</v>
      </c>
      <c r="I23">
        <v>8.3646857954122897E-2</v>
      </c>
      <c r="J23">
        <v>3.7812159748090973E-5</v>
      </c>
      <c r="K23">
        <v>5.2947498141070004E-4</v>
      </c>
      <c r="L23">
        <f>SUM(D23:K23)</f>
        <v>0.24632790644070532</v>
      </c>
    </row>
    <row r="24" spans="1:12" x14ac:dyDescent="0.25">
      <c r="A24" t="s">
        <v>49</v>
      </c>
      <c r="B24" t="s">
        <v>33</v>
      </c>
      <c r="C24" t="s">
        <v>25</v>
      </c>
      <c r="D24">
        <v>0.10434807534872211</v>
      </c>
      <c r="E24">
        <v>2.4947450967185E-3</v>
      </c>
      <c r="F24">
        <v>6.2643069613196999E-3</v>
      </c>
      <c r="G24">
        <v>2.0338610918626181E-5</v>
      </c>
      <c r="H24">
        <v>3.6738287399505888E-7</v>
      </c>
      <c r="I24">
        <v>4.7679549800641798E-2</v>
      </c>
      <c r="J24">
        <v>2.1033915588979999E-4</v>
      </c>
      <c r="K24">
        <v>6.47670295047E-4</v>
      </c>
      <c r="L24">
        <f>SUM(D24:K24)</f>
        <v>0.16166539265213153</v>
      </c>
    </row>
    <row r="25" spans="1:12" x14ac:dyDescent="0.25">
      <c r="A25" t="s">
        <v>50</v>
      </c>
      <c r="B25" t="s">
        <v>33</v>
      </c>
      <c r="C25" t="s">
        <v>25</v>
      </c>
      <c r="D25">
        <v>0.20383908034530679</v>
      </c>
      <c r="E25">
        <v>5.1530967631817004E-3</v>
      </c>
      <c r="F25">
        <v>1.13024964931129E-2</v>
      </c>
      <c r="G25">
        <v>9.5699177759110004E-4</v>
      </c>
      <c r="H25">
        <v>7.6732455805718699E-7</v>
      </c>
      <c r="I25">
        <v>0.1588344338106438</v>
      </c>
      <c r="J25">
        <v>4.0101064251970003E-4</v>
      </c>
      <c r="K25">
        <v>1.5378382886113999E-3</v>
      </c>
      <c r="L25">
        <f>SUM(D25:K25)</f>
        <v>0.38202571544552549</v>
      </c>
    </row>
    <row r="26" spans="1:12" x14ac:dyDescent="0.25">
      <c r="A26" t="s">
        <v>51</v>
      </c>
      <c r="B26" t="s">
        <v>33</v>
      </c>
      <c r="C26" t="s">
        <v>25</v>
      </c>
      <c r="D26">
        <v>5.1845648978467197E-2</v>
      </c>
      <c r="E26">
        <v>9.1963193053830002E-4</v>
      </c>
      <c r="F26">
        <v>5.2343928989272593E-4</v>
      </c>
      <c r="G26">
        <v>1.5322943090079429E-5</v>
      </c>
      <c r="H26">
        <v>2.236459150506256E-7</v>
      </c>
      <c r="I26">
        <v>6.9887803799593001E-3</v>
      </c>
      <c r="J26">
        <v>1.0145343306105979E-5</v>
      </c>
      <c r="K26">
        <v>4.3233833726510001E-4</v>
      </c>
      <c r="L26">
        <f>SUM(D26:K26)</f>
        <v>6.0735530848433868E-2</v>
      </c>
    </row>
    <row r="27" spans="1:12" x14ac:dyDescent="0.25">
      <c r="A27" t="s">
        <v>52</v>
      </c>
      <c r="B27" t="s">
        <v>33</v>
      </c>
      <c r="C27" t="s">
        <v>25</v>
      </c>
      <c r="D27">
        <v>0.36051361233555917</v>
      </c>
      <c r="E27">
        <v>4.2886818338641998E-3</v>
      </c>
      <c r="F27">
        <v>4.1418907792082002E-3</v>
      </c>
      <c r="G27">
        <v>3.975738047549635E-5</v>
      </c>
      <c r="H27">
        <v>1.799430377711437E-6</v>
      </c>
      <c r="I27">
        <v>4.7160644639722103E-2</v>
      </c>
      <c r="J27">
        <v>5.4258293610920003E-4</v>
      </c>
      <c r="K27">
        <v>1.1309207572533001E-3</v>
      </c>
      <c r="L27">
        <f>SUM(D27:K27)</f>
        <v>0.41781989009256937</v>
      </c>
    </row>
    <row r="28" spans="1:12" x14ac:dyDescent="0.25">
      <c r="A28" t="s">
        <v>53</v>
      </c>
      <c r="B28" t="s">
        <v>33</v>
      </c>
      <c r="C28" t="s">
        <v>25</v>
      </c>
      <c r="D28">
        <v>6.4455259265272596E-2</v>
      </c>
      <c r="E28">
        <v>1.2621931003252E-3</v>
      </c>
      <c r="F28">
        <v>6.2014624751966993E-4</v>
      </c>
      <c r="G28">
        <v>4.2891316300239999E-4</v>
      </c>
      <c r="H28">
        <v>2.378855033718304E-7</v>
      </c>
      <c r="I28">
        <v>9.3419487338971194E-2</v>
      </c>
      <c r="J28">
        <v>2.823011845976E-4</v>
      </c>
      <c r="K28">
        <v>5.461855330936E-4</v>
      </c>
      <c r="L28">
        <f>SUM(D28:K28)</f>
        <v>0.16101472371828562</v>
      </c>
    </row>
    <row r="29" spans="1:12" x14ac:dyDescent="0.25">
      <c r="A29" t="s">
        <v>54</v>
      </c>
      <c r="B29" t="s">
        <v>33</v>
      </c>
      <c r="C29" t="s">
        <v>25</v>
      </c>
      <c r="D29">
        <v>6.5061880435972191E-2</v>
      </c>
      <c r="E29">
        <v>8.9171805507651004E-3</v>
      </c>
      <c r="F29">
        <v>3.9910295399848E-3</v>
      </c>
      <c r="G29">
        <v>2.0449721329772839E-5</v>
      </c>
      <c r="H29">
        <v>2.5128374513362261E-7</v>
      </c>
      <c r="I29">
        <v>2.7904566440056799E-2</v>
      </c>
      <c r="J29">
        <v>1.244988684385E-4</v>
      </c>
      <c r="K29">
        <v>3.3454665220679998E-4</v>
      </c>
      <c r="L29">
        <f>SUM(D29:K29)</f>
        <v>0.1063544034924991</v>
      </c>
    </row>
    <row r="30" spans="1:12" x14ac:dyDescent="0.25">
      <c r="A30" t="s">
        <v>55</v>
      </c>
      <c r="B30" t="s">
        <v>33</v>
      </c>
      <c r="C30" t="s">
        <v>25</v>
      </c>
      <c r="D30">
        <v>9.2425440912486806E-2</v>
      </c>
      <c r="E30">
        <v>3.7903890547467001E-3</v>
      </c>
      <c r="F30">
        <v>6.8716999772440142E-3</v>
      </c>
      <c r="G30">
        <v>3.0674130380159771E-5</v>
      </c>
      <c r="H30">
        <v>3.064546324636812E-7</v>
      </c>
      <c r="I30">
        <v>4.7952194600044303E-2</v>
      </c>
      <c r="J30">
        <v>2.132663553053958E-5</v>
      </c>
      <c r="K30">
        <v>9.9846323416750006E-4</v>
      </c>
      <c r="L30">
        <f>SUM(D30:K30)</f>
        <v>0.15209049499923247</v>
      </c>
    </row>
    <row r="31" spans="1:12" x14ac:dyDescent="0.25">
      <c r="A31" t="s">
        <v>56</v>
      </c>
      <c r="B31" t="s">
        <v>33</v>
      </c>
      <c r="C31" t="s">
        <v>25</v>
      </c>
      <c r="D31">
        <v>5.8247352064020999E-2</v>
      </c>
      <c r="E31">
        <v>1.4381908446223E-3</v>
      </c>
      <c r="F31">
        <v>5.3169498881001313E-4</v>
      </c>
      <c r="G31">
        <v>6.0681332876039997E-4</v>
      </c>
      <c r="H31">
        <v>2.5952733037195922E-7</v>
      </c>
      <c r="I31">
        <v>0.30553836926520289</v>
      </c>
      <c r="J31">
        <v>5.9427230014480004E-4</v>
      </c>
      <c r="K31">
        <v>2.898863441623E-4</v>
      </c>
      <c r="L31">
        <f>SUM(D31:K31)</f>
        <v>0.36724683866305408</v>
      </c>
    </row>
    <row r="32" spans="1:12" x14ac:dyDescent="0.25">
      <c r="A32" t="s">
        <v>57</v>
      </c>
      <c r="B32" t="s">
        <v>33</v>
      </c>
      <c r="C32" t="s">
        <v>25</v>
      </c>
      <c r="D32">
        <v>5.2776647449993302E-2</v>
      </c>
      <c r="E32">
        <v>1.3491276660358E-3</v>
      </c>
      <c r="F32">
        <v>1.623758995987863E-3</v>
      </c>
      <c r="G32">
        <v>2.2387477621390711E-5</v>
      </c>
      <c r="H32">
        <v>1.9437986775360859E-7</v>
      </c>
      <c r="I32">
        <v>1.46291765420167E-2</v>
      </c>
      <c r="J32">
        <v>8.0252125306171597E-5</v>
      </c>
      <c r="K32">
        <v>2.6461125853709998E-4</v>
      </c>
      <c r="L32">
        <f>SUM(D32:K32)</f>
        <v>7.0746155895366092E-2</v>
      </c>
    </row>
    <row r="33" spans="1:12" x14ac:dyDescent="0.25">
      <c r="A33" t="s">
        <v>58</v>
      </c>
      <c r="B33" t="s">
        <v>33</v>
      </c>
      <c r="C33" t="s">
        <v>25</v>
      </c>
      <c r="D33">
        <v>0.16062725719565629</v>
      </c>
      <c r="E33">
        <v>5.5130576365661002E-3</v>
      </c>
      <c r="F33">
        <v>2.9530539048033002E-3</v>
      </c>
      <c r="G33">
        <v>3.0570020049209998E-4</v>
      </c>
      <c r="H33">
        <v>4.5589217979590498E-7</v>
      </c>
      <c r="I33">
        <v>0.1241001078290077</v>
      </c>
      <c r="J33">
        <v>1.6299278320230001E-4</v>
      </c>
      <c r="K33">
        <v>2.7207010081971E-3</v>
      </c>
      <c r="L33">
        <f>SUM(D33:K33)</f>
        <v>0.29638332645010468</v>
      </c>
    </row>
    <row r="34" spans="1:12" x14ac:dyDescent="0.25">
      <c r="A34" t="s">
        <v>59</v>
      </c>
      <c r="B34" t="s">
        <v>33</v>
      </c>
      <c r="C34" t="s">
        <v>25</v>
      </c>
      <c r="D34">
        <v>7.9197065739484596E-2</v>
      </c>
      <c r="E34">
        <v>7.9308823031230009E-3</v>
      </c>
      <c r="F34">
        <v>1.8552065609246E-3</v>
      </c>
      <c r="G34">
        <v>6.7951030660389996E-4</v>
      </c>
      <c r="H34">
        <v>3.6092246004357138E-7</v>
      </c>
      <c r="I34">
        <v>0.1278635727447775</v>
      </c>
      <c r="J34">
        <v>3.3342123635200002E-4</v>
      </c>
      <c r="K34">
        <v>4.1011978306590001E-4</v>
      </c>
      <c r="L34">
        <f>SUM(D34:K34)</f>
        <v>0.21827013959679153</v>
      </c>
    </row>
    <row r="35" spans="1:12" x14ac:dyDescent="0.25">
      <c r="A35" t="s">
        <v>60</v>
      </c>
      <c r="B35" t="s">
        <v>33</v>
      </c>
      <c r="C35" t="s">
        <v>25</v>
      </c>
      <c r="D35">
        <v>9.8561373361836596E-2</v>
      </c>
      <c r="E35">
        <v>1.2043485336859E-2</v>
      </c>
      <c r="F35">
        <v>3.2591577697937998E-3</v>
      </c>
      <c r="G35">
        <v>6.4043379071410003E-4</v>
      </c>
      <c r="H35">
        <v>3.604443836346166E-7</v>
      </c>
      <c r="I35">
        <v>0.59217620342048938</v>
      </c>
      <c r="J35">
        <v>9.3105653736908842E-5</v>
      </c>
      <c r="K35">
        <v>4.7146192077319999E-4</v>
      </c>
      <c r="L35">
        <f>SUM(D35:K35)</f>
        <v>0.70724558169858653</v>
      </c>
    </row>
    <row r="36" spans="1:12" x14ac:dyDescent="0.25">
      <c r="A36" t="s">
        <v>61</v>
      </c>
      <c r="B36" t="s">
        <v>33</v>
      </c>
      <c r="C36" t="s">
        <v>25</v>
      </c>
      <c r="D36">
        <v>0.42098143933760113</v>
      </c>
      <c r="E36">
        <v>5.2167429457092001E-3</v>
      </c>
      <c r="F36">
        <v>2.2538210788075001E-3</v>
      </c>
      <c r="G36">
        <v>6.3523089176860893E-6</v>
      </c>
      <c r="H36">
        <v>9.5563502912141108E-7</v>
      </c>
      <c r="I36">
        <v>4.7928217020283499E-2</v>
      </c>
      <c r="J36">
        <v>1.8066235717690001E-4</v>
      </c>
      <c r="K36">
        <v>4.8554597027469998E-4</v>
      </c>
      <c r="L36">
        <f>SUM(D36:K36)</f>
        <v>0.47705373665379974</v>
      </c>
    </row>
    <row r="37" spans="1:12" x14ac:dyDescent="0.25">
      <c r="A37" t="s">
        <v>62</v>
      </c>
      <c r="B37" t="s">
        <v>33</v>
      </c>
      <c r="C37" t="s">
        <v>25</v>
      </c>
      <c r="D37">
        <v>8.6352426259488607E-2</v>
      </c>
      <c r="E37">
        <v>2.8624144415795999E-3</v>
      </c>
      <c r="F37">
        <v>1.449672838194713E-3</v>
      </c>
      <c r="G37">
        <v>1.9731347339136241E-5</v>
      </c>
      <c r="H37">
        <v>1.7950388379537761E-7</v>
      </c>
      <c r="I37">
        <v>1.2759052076035299E-2</v>
      </c>
      <c r="J37">
        <v>1.261313369758303E-5</v>
      </c>
      <c r="K37">
        <v>1.090172483316E-3</v>
      </c>
      <c r="L37">
        <f>SUM(D37:K37)</f>
        <v>0.10454626208353474</v>
      </c>
    </row>
    <row r="38" spans="1:12" x14ac:dyDescent="0.25">
      <c r="A38" t="s">
        <v>63</v>
      </c>
      <c r="B38" t="s">
        <v>33</v>
      </c>
      <c r="C38" t="s">
        <v>25</v>
      </c>
      <c r="D38">
        <v>7.60624823994034E-2</v>
      </c>
      <c r="E38">
        <v>1.4436876284402E-3</v>
      </c>
      <c r="F38">
        <v>8.662847551035044E-4</v>
      </c>
      <c r="G38">
        <v>2.311477041910378E-5</v>
      </c>
      <c r="H38">
        <v>2.760918190078141E-7</v>
      </c>
      <c r="I38">
        <v>2.3427999762147701E-2</v>
      </c>
      <c r="J38">
        <v>1.449927451544908E-5</v>
      </c>
      <c r="K38">
        <v>6.9816581014609999E-4</v>
      </c>
      <c r="L38">
        <f>SUM(D38:K38)</f>
        <v>0.10253651049199447</v>
      </c>
    </row>
    <row r="39" spans="1:12" x14ac:dyDescent="0.25">
      <c r="A39" t="s">
        <v>68</v>
      </c>
      <c r="B39" t="s">
        <v>33</v>
      </c>
      <c r="C39" t="s">
        <v>69</v>
      </c>
      <c r="D39">
        <v>5.0700413694248392E-5</v>
      </c>
      <c r="E39">
        <v>1.156664426194421E-6</v>
      </c>
      <c r="F39">
        <v>3.601432040942107E-6</v>
      </c>
      <c r="G39">
        <v>4.5974994201762058E-9</v>
      </c>
      <c r="H39">
        <v>1.8124784616515341E-10</v>
      </c>
      <c r="I39">
        <v>1.647996940177903E-5</v>
      </c>
      <c r="J39">
        <v>3.5368722425446003E-8</v>
      </c>
      <c r="K39">
        <v>3.1418603125576799E-7</v>
      </c>
      <c r="L39">
        <f>SUM(D39:K39)</f>
        <v>7.2292813064111513E-5</v>
      </c>
    </row>
    <row r="40" spans="1:12" x14ac:dyDescent="0.25">
      <c r="A40" t="s">
        <v>70</v>
      </c>
      <c r="B40" t="s">
        <v>33</v>
      </c>
      <c r="C40" t="s">
        <v>69</v>
      </c>
      <c r="D40">
        <v>3.0805074175207887E-5</v>
      </c>
      <c r="E40">
        <v>4.1862102865631882E-7</v>
      </c>
      <c r="F40">
        <v>1.166277186126152E-6</v>
      </c>
      <c r="G40">
        <v>1.603967070525606E-9</v>
      </c>
      <c r="H40">
        <v>9.772420421864627E-11</v>
      </c>
      <c r="I40">
        <v>9.4637788863602963E-6</v>
      </c>
      <c r="J40">
        <v>1.552912921054748E-8</v>
      </c>
      <c r="K40">
        <v>1.077948050806897E-7</v>
      </c>
      <c r="L40">
        <f>SUM(D40:K40)</f>
        <v>4.197877690191663E-5</v>
      </c>
    </row>
    <row r="41" spans="1:12" x14ac:dyDescent="0.25">
      <c r="A41" t="s">
        <v>28</v>
      </c>
      <c r="B41" t="s">
        <v>21</v>
      </c>
      <c r="C41" t="s">
        <v>28</v>
      </c>
      <c r="D41">
        <v>3.415216743686185E-6</v>
      </c>
      <c r="E41">
        <v>9.1856359484262438E-8</v>
      </c>
      <c r="F41">
        <v>4.260088912191909E-8</v>
      </c>
      <c r="G41">
        <v>1.821170398174475E-10</v>
      </c>
      <c r="H41">
        <v>7.9134938733059792E-12</v>
      </c>
      <c r="I41">
        <v>5.1171272086196369E-7</v>
      </c>
      <c r="J41">
        <v>2.9209350934467229E-9</v>
      </c>
      <c r="K41">
        <v>1.689381054087356E-7</v>
      </c>
      <c r="L41">
        <f>SUM(D41:K41)</f>
        <v>4.2334357841902031E-6</v>
      </c>
    </row>
    <row r="42" spans="1:12" x14ac:dyDescent="0.25">
      <c r="A42" t="s">
        <v>28</v>
      </c>
      <c r="B42" t="s">
        <v>31</v>
      </c>
      <c r="C42" t="s">
        <v>28</v>
      </c>
      <c r="D42">
        <v>3.1515047270375948E-6</v>
      </c>
      <c r="E42">
        <v>9.0267130692805657E-8</v>
      </c>
      <c r="F42">
        <v>4.0998828667569529E-8</v>
      </c>
      <c r="G42">
        <v>2.5723854554443478E-10</v>
      </c>
      <c r="H42">
        <v>8.6846173653234812E-12</v>
      </c>
      <c r="I42">
        <v>5.2369085350882074E-6</v>
      </c>
      <c r="J42">
        <v>2.7948788183136479E-9</v>
      </c>
      <c r="K42">
        <v>1.324311225850562E-8</v>
      </c>
      <c r="L42">
        <f>SUM(D42:K42)</f>
        <v>8.5359831357259077E-6</v>
      </c>
    </row>
    <row r="43" spans="1:12" x14ac:dyDescent="0.25">
      <c r="A43" t="s">
        <v>64</v>
      </c>
      <c r="B43" t="s">
        <v>33</v>
      </c>
      <c r="C43" t="s">
        <v>28</v>
      </c>
      <c r="D43">
        <v>7.10813465727764E-6</v>
      </c>
      <c r="E43">
        <v>2.9812575487513849E-7</v>
      </c>
      <c r="F43">
        <v>1.3034984570662859E-6</v>
      </c>
      <c r="G43">
        <v>9.768392605049639E-10</v>
      </c>
      <c r="H43">
        <v>1.763717581974247E-11</v>
      </c>
      <c r="I43">
        <v>1.4092334635099441E-6</v>
      </c>
      <c r="J43">
        <v>2.1769289902063239E-8</v>
      </c>
      <c r="K43">
        <v>4.9875502091212918E-8</v>
      </c>
      <c r="L43">
        <f>SUM(D43:K43)</f>
        <v>1.0191631601158609E-5</v>
      </c>
    </row>
    <row r="44" spans="1:12" x14ac:dyDescent="0.25">
      <c r="A44" t="s">
        <v>65</v>
      </c>
      <c r="B44" t="s">
        <v>33</v>
      </c>
      <c r="C44" t="s">
        <v>28</v>
      </c>
      <c r="D44">
        <v>7.0284424131698749E-6</v>
      </c>
      <c r="E44">
        <v>1.467669588715916E-6</v>
      </c>
      <c r="F44">
        <v>1.509216416875281E-6</v>
      </c>
      <c r="G44">
        <v>5.1099265807300932E-10</v>
      </c>
      <c r="H44">
        <v>1.7164508611502541E-11</v>
      </c>
      <c r="I44">
        <v>9.00283127824519E-7</v>
      </c>
      <c r="J44">
        <v>8.4734000745708957E-9</v>
      </c>
      <c r="K44">
        <v>3.9457329163446882E-8</v>
      </c>
      <c r="L44">
        <f>SUM(D44:K44)</f>
        <v>1.0954070432990294E-5</v>
      </c>
    </row>
    <row r="45" spans="1:12" x14ac:dyDescent="0.25">
      <c r="A45" t="s">
        <v>66</v>
      </c>
      <c r="B45" t="s">
        <v>33</v>
      </c>
      <c r="C45" t="s">
        <v>28</v>
      </c>
      <c r="D45">
        <v>2.1614256239888689E-5</v>
      </c>
      <c r="E45">
        <v>3.3415799986791979E-7</v>
      </c>
      <c r="F45">
        <v>7.620655469351873E-7</v>
      </c>
      <c r="G45">
        <v>4.7644959511074408E-10</v>
      </c>
      <c r="H45">
        <v>7.7283797823571628E-11</v>
      </c>
      <c r="I45">
        <v>4.1328767072700119E-5</v>
      </c>
      <c r="J45">
        <v>1.775236897480328E-7</v>
      </c>
      <c r="K45">
        <v>5.2631527030061493E-8</v>
      </c>
      <c r="L45">
        <f>SUM(D45:K45)</f>
        <v>6.426995580956293E-5</v>
      </c>
    </row>
    <row r="46" spans="1:12" x14ac:dyDescent="0.25">
      <c r="A46" t="s">
        <v>67</v>
      </c>
      <c r="B46" t="s">
        <v>33</v>
      </c>
      <c r="C46" t="s">
        <v>28</v>
      </c>
      <c r="D46">
        <v>1.116706832126469E-5</v>
      </c>
      <c r="E46">
        <v>3.9233698439391299E-7</v>
      </c>
      <c r="F46">
        <v>7.4178558777164009E-7</v>
      </c>
      <c r="G46">
        <v>1.811530075183009E-9</v>
      </c>
      <c r="H46">
        <v>3.7973825212470223E-11</v>
      </c>
      <c r="I46">
        <v>2.5826854406893391E-6</v>
      </c>
      <c r="J46">
        <v>7.815580205011825E-8</v>
      </c>
      <c r="K46">
        <v>3.4123004849134802E-8</v>
      </c>
      <c r="L46">
        <f>SUM(D46:K46)</f>
        <v>1.499800464491923E-5</v>
      </c>
    </row>
    <row r="47" spans="1:12" x14ac:dyDescent="0.25">
      <c r="A47" t="s">
        <v>26</v>
      </c>
      <c r="B47" t="s">
        <v>21</v>
      </c>
      <c r="C47" t="s">
        <v>26</v>
      </c>
      <c r="D47">
        <v>3.2362595559596889E-6</v>
      </c>
      <c r="E47">
        <v>1.309627811363107E-6</v>
      </c>
      <c r="F47">
        <v>1.913884104566177E-7</v>
      </c>
      <c r="G47">
        <v>1.054299804997882E-9</v>
      </c>
      <c r="H47">
        <v>7.051000074190799E-12</v>
      </c>
      <c r="I47">
        <v>4.4132610654666771E-7</v>
      </c>
      <c r="J47">
        <v>2.4338084618468082E-9</v>
      </c>
      <c r="K47">
        <v>1.152966548262032E-6</v>
      </c>
      <c r="L47">
        <f>SUM(D47:K47)</f>
        <v>6.3350635918550318E-6</v>
      </c>
    </row>
    <row r="48" spans="1:12" x14ac:dyDescent="0.25">
      <c r="A48" t="s">
        <v>26</v>
      </c>
      <c r="B48" t="s">
        <v>31</v>
      </c>
      <c r="C48" t="s">
        <v>26</v>
      </c>
      <c r="D48">
        <v>4.5872182996932858E-6</v>
      </c>
      <c r="E48">
        <v>1.3361259471175921E-6</v>
      </c>
      <c r="F48">
        <v>2.1496938241289101E-7</v>
      </c>
      <c r="G48">
        <v>1.087292777763404E-8</v>
      </c>
      <c r="H48">
        <v>1.256234140249743E-11</v>
      </c>
      <c r="I48">
        <v>2.8912917763904978E-6</v>
      </c>
      <c r="J48">
        <v>2.5780232728610251E-9</v>
      </c>
      <c r="K48">
        <v>2.2628878892307809E-8</v>
      </c>
      <c r="L48">
        <f>SUM(D48:K48)</f>
        <v>9.0656977978984705E-6</v>
      </c>
    </row>
    <row r="49" spans="1:12" x14ac:dyDescent="0.25">
      <c r="A49" t="s">
        <v>29</v>
      </c>
      <c r="B49" t="s">
        <v>21</v>
      </c>
      <c r="C49" t="s">
        <v>30</v>
      </c>
      <c r="D49">
        <v>7.2684614176520002E-4</v>
      </c>
      <c r="E49">
        <v>9.317267180589746E-4</v>
      </c>
      <c r="F49">
        <v>8.3827510133463299E-5</v>
      </c>
      <c r="G49">
        <v>8.6287405780819998E-4</v>
      </c>
      <c r="H49">
        <v>1.639585071960609E-9</v>
      </c>
      <c r="I49">
        <v>3.6069785521610002E-4</v>
      </c>
      <c r="J49">
        <v>9.183413699047738E-7</v>
      </c>
      <c r="K49">
        <v>5.1268034162436922E-5</v>
      </c>
      <c r="L49">
        <f>SUM(D49:K49)</f>
        <v>3.0181602980993514E-3</v>
      </c>
    </row>
    <row r="50" spans="1:12" x14ac:dyDescent="0.25">
      <c r="A50" t="s">
        <v>29</v>
      </c>
      <c r="B50" t="s">
        <v>31</v>
      </c>
      <c r="C50" t="s">
        <v>30</v>
      </c>
      <c r="D50">
        <v>5.6333688535920002E-4</v>
      </c>
      <c r="E50">
        <v>9.1646223814971083E-4</v>
      </c>
      <c r="F50">
        <v>8.7248951590288923E-5</v>
      </c>
      <c r="G50">
        <v>8.6290664403949999E-4</v>
      </c>
      <c r="H50">
        <v>1.7820129387481169E-9</v>
      </c>
      <c r="I50">
        <v>1.3504378524956001E-3</v>
      </c>
      <c r="J50">
        <v>8.579361878449744E-7</v>
      </c>
      <c r="K50">
        <v>6.2266006630937718E-6</v>
      </c>
      <c r="L50">
        <f>SUM(D50:K50)</f>
        <v>3.7874788904981773E-3</v>
      </c>
    </row>
    <row r="51" spans="1:12" x14ac:dyDescent="0.25">
      <c r="A51" t="s">
        <v>74</v>
      </c>
      <c r="B51" t="s">
        <v>33</v>
      </c>
      <c r="C51" t="s">
        <v>30</v>
      </c>
      <c r="D51">
        <v>1.934563613150168E-4</v>
      </c>
      <c r="E51">
        <v>3.0762007916113861E-6</v>
      </c>
      <c r="F51">
        <v>9.0639772985789745E-7</v>
      </c>
      <c r="G51">
        <v>2.2880648197528691E-9</v>
      </c>
      <c r="H51">
        <v>5.5491592416021246E-10</v>
      </c>
      <c r="I51">
        <v>2.7818661967164349E-5</v>
      </c>
      <c r="J51">
        <v>1.008369277102508E-7</v>
      </c>
      <c r="K51">
        <v>2.1413941533772721E-7</v>
      </c>
      <c r="L51">
        <f>SUM(D51:K51)</f>
        <v>2.2557544112744235E-4</v>
      </c>
    </row>
    <row r="52" spans="1:12" x14ac:dyDescent="0.25">
      <c r="A52" t="s">
        <v>75</v>
      </c>
      <c r="B52" t="s">
        <v>33</v>
      </c>
      <c r="C52" t="s">
        <v>30</v>
      </c>
      <c r="D52">
        <v>1.061951617535027E-4</v>
      </c>
      <c r="E52">
        <v>3.5252209685602619E-6</v>
      </c>
      <c r="F52">
        <v>5.1633017087596008E-7</v>
      </c>
      <c r="G52">
        <v>1.260517372518925E-9</v>
      </c>
      <c r="H52">
        <v>3.0472841617581492E-10</v>
      </c>
      <c r="I52">
        <v>8.2200189628980438E-5</v>
      </c>
      <c r="J52">
        <v>5.7755321422621692E-8</v>
      </c>
      <c r="K52">
        <v>1.1825781184550499E-7</v>
      </c>
      <c r="L52">
        <f>SUM(D52:K52)</f>
        <v>1.9261448090097618E-4</v>
      </c>
    </row>
    <row r="53" spans="1:12" x14ac:dyDescent="0.25">
      <c r="A53" t="s">
        <v>27</v>
      </c>
      <c r="B53" t="s">
        <v>21</v>
      </c>
      <c r="C53" t="s">
        <v>27</v>
      </c>
      <c r="D53">
        <v>3.2706878858617221E-6</v>
      </c>
      <c r="E53">
        <v>1.3235599583916991E-6</v>
      </c>
      <c r="F53">
        <v>1.9342445730383791E-7</v>
      </c>
      <c r="G53">
        <v>1.0655157665623569E-9</v>
      </c>
      <c r="H53">
        <v>7.1260108110165682E-12</v>
      </c>
      <c r="I53">
        <v>4.460210732632338E-7</v>
      </c>
      <c r="J53">
        <v>2.459700094379209E-9</v>
      </c>
      <c r="K53">
        <v>1.165232153160865E-6</v>
      </c>
      <c r="L53">
        <f>SUM(D53:K53)</f>
        <v>6.4024578698531117E-6</v>
      </c>
    </row>
    <row r="54" spans="1:12" x14ac:dyDescent="0.25">
      <c r="A54" t="s">
        <v>27</v>
      </c>
      <c r="B54" t="s">
        <v>31</v>
      </c>
      <c r="C54" t="s">
        <v>27</v>
      </c>
      <c r="D54">
        <v>4.6360185106379994E-6</v>
      </c>
      <c r="E54">
        <v>1.350339988737087E-6</v>
      </c>
      <c r="F54">
        <v>2.1725629082383289E-7</v>
      </c>
      <c r="G54">
        <v>1.098859716708281E-8</v>
      </c>
      <c r="H54">
        <v>1.2695983346872261E-11</v>
      </c>
      <c r="I54">
        <v>2.9220502330639139E-6</v>
      </c>
      <c r="J54">
        <v>2.6054491025775978E-9</v>
      </c>
      <c r="K54">
        <v>2.2869611964525441E-8</v>
      </c>
      <c r="L54">
        <f>SUM(D54:K54)</f>
        <v>9.1621413774803655E-6</v>
      </c>
    </row>
    <row r="55" spans="1:12" x14ac:dyDescent="0.25">
      <c r="A55" t="s">
        <v>71</v>
      </c>
      <c r="B55" t="s">
        <v>33</v>
      </c>
      <c r="C55" t="s">
        <v>27</v>
      </c>
      <c r="D55">
        <v>1.0019199972872059E-6</v>
      </c>
      <c r="E55">
        <v>9.4554986072087749E-8</v>
      </c>
      <c r="F55">
        <v>2.6050212272926271E-8</v>
      </c>
      <c r="G55">
        <v>1.6816190553242089E-11</v>
      </c>
      <c r="H55">
        <v>3.5980209416693981E-13</v>
      </c>
      <c r="I55">
        <v>1.417992487319255E-6</v>
      </c>
      <c r="J55">
        <v>3.125077990984711E-9</v>
      </c>
      <c r="K55">
        <v>1.808719549751706E-9</v>
      </c>
      <c r="L55">
        <f>SUM(D55:K55)</f>
        <v>2.5454686564848584E-6</v>
      </c>
    </row>
    <row r="56" spans="1:12" x14ac:dyDescent="0.25">
      <c r="A56" t="s">
        <v>72</v>
      </c>
      <c r="B56" t="s">
        <v>33</v>
      </c>
      <c r="C56" t="s">
        <v>27</v>
      </c>
      <c r="D56">
        <v>2.6282937858824678E-6</v>
      </c>
      <c r="E56">
        <v>6.7186987301959421E-8</v>
      </c>
      <c r="F56">
        <v>8.0863712528089047E-8</v>
      </c>
      <c r="G56">
        <v>1.1149035094285031E-9</v>
      </c>
      <c r="H56">
        <v>9.6801790471310637E-12</v>
      </c>
      <c r="I56">
        <v>7.2853764841252895E-7</v>
      </c>
      <c r="J56">
        <v>3.9965814056908834E-9</v>
      </c>
      <c r="K56">
        <v>1.3177725097936279E-8</v>
      </c>
      <c r="L56">
        <f>SUM(D56:K56)</f>
        <v>3.5231810243171475E-6</v>
      </c>
    </row>
    <row r="57" spans="1:12" x14ac:dyDescent="0.25">
      <c r="A57" t="s">
        <v>73</v>
      </c>
      <c r="B57" t="s">
        <v>33</v>
      </c>
      <c r="C57" t="s">
        <v>27</v>
      </c>
      <c r="D57">
        <v>4.3003781062555341E-6</v>
      </c>
      <c r="E57">
        <v>1.425491436283598E-7</v>
      </c>
      <c r="F57">
        <v>7.2194165696211142E-8</v>
      </c>
      <c r="G57">
        <v>9.8262733227734139E-10</v>
      </c>
      <c r="H57">
        <v>8.9393500813927627E-12</v>
      </c>
      <c r="I57">
        <v>6.354048272190204E-7</v>
      </c>
      <c r="J57">
        <v>6.2813804303070665E-10</v>
      </c>
      <c r="K57">
        <v>5.4290934158968303E-8</v>
      </c>
      <c r="L57">
        <f>SUM(D57:K57)</f>
        <v>5.2064368816834837E-6</v>
      </c>
    </row>
  </sheetData>
  <autoFilter ref="A1:L1" xr:uid="{00000000-0001-0000-0100-000000000000}">
    <sortState xmlns:xlrd2="http://schemas.microsoft.com/office/spreadsheetml/2017/richdata2" ref="A2:L57">
      <sortCondition ref="C1"/>
    </sortState>
  </autoFilter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T57"/>
  <sheetViews>
    <sheetView workbookViewId="0"/>
  </sheetViews>
  <sheetFormatPr baseColWidth="10" defaultColWidth="9.140625" defaultRowHeight="15" x14ac:dyDescent="0.25"/>
  <sheetData>
    <row r="1" spans="1:2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 x14ac:dyDescent="0.25">
      <c r="A2">
        <v>0.53659424957488422</v>
      </c>
      <c r="B2" t="s">
        <v>20</v>
      </c>
      <c r="C2">
        <v>7.1970633177291828E-19</v>
      </c>
      <c r="D2">
        <v>1.30430442972374E-2</v>
      </c>
      <c r="E2">
        <v>0.1862539719250039</v>
      </c>
      <c r="F2">
        <v>1.9128050216719999E-4</v>
      </c>
      <c r="G2">
        <v>2.1423133005751221E-10</v>
      </c>
      <c r="H2">
        <v>0.1457633894612145</v>
      </c>
      <c r="I2">
        <v>0.43790294285602788</v>
      </c>
      <c r="J2">
        <v>0.16396618304602539</v>
      </c>
      <c r="K2">
        <v>5.9521369222169673E-7</v>
      </c>
      <c r="L2">
        <v>6.7065584920675001E-3</v>
      </c>
      <c r="M2">
        <v>5.3084989111225903E-2</v>
      </c>
      <c r="N2">
        <v>8.9063787041830406E-2</v>
      </c>
      <c r="O2">
        <v>2.1725581519630902E-2</v>
      </c>
      <c r="P2">
        <v>1.2256961984501E-3</v>
      </c>
      <c r="Q2">
        <v>2.109333707341066E-5</v>
      </c>
      <c r="R2">
        <v>3.8015765302115463E-5</v>
      </c>
      <c r="S2" t="s">
        <v>21</v>
      </c>
      <c r="T2" t="s">
        <v>22</v>
      </c>
    </row>
    <row r="3" spans="1:20" x14ac:dyDescent="0.25">
      <c r="A3">
        <v>0.61587606900798497</v>
      </c>
      <c r="B3" t="s">
        <v>23</v>
      </c>
      <c r="C3">
        <v>6.8609545059493605E-19</v>
      </c>
      <c r="D3">
        <v>3.0580511304932299E-2</v>
      </c>
      <c r="E3">
        <v>8.2619914831715899</v>
      </c>
      <c r="F3">
        <v>1.3191804672969999E-4</v>
      </c>
      <c r="G3">
        <v>1.2992237175798631E-9</v>
      </c>
      <c r="H3">
        <v>0.53101571864937458</v>
      </c>
      <c r="I3">
        <v>1.059863412056897</v>
      </c>
      <c r="J3">
        <v>0.1836937093385077</v>
      </c>
      <c r="K3">
        <v>7.8176708555953468E-6</v>
      </c>
      <c r="L3">
        <v>1.0923350446569301E-2</v>
      </c>
      <c r="M3">
        <v>0.17743806692440611</v>
      </c>
      <c r="N3">
        <v>0.25728139195199279</v>
      </c>
      <c r="O3">
        <v>0.28534646743204001</v>
      </c>
      <c r="P3">
        <v>6.7338469963750002E-4</v>
      </c>
      <c r="Q3">
        <v>3.8194051642156772E-5</v>
      </c>
      <c r="R3">
        <v>7.4865209383395586E-5</v>
      </c>
      <c r="S3" t="s">
        <v>21</v>
      </c>
      <c r="T3" t="s">
        <v>22</v>
      </c>
    </row>
    <row r="4" spans="1:20" x14ac:dyDescent="0.25">
      <c r="A4">
        <v>1493.0410351606231</v>
      </c>
      <c r="B4" t="s">
        <v>24</v>
      </c>
      <c r="C4">
        <v>2.002539430416293E-15</v>
      </c>
      <c r="D4">
        <v>36.291481697522741</v>
      </c>
      <c r="E4">
        <v>518.24040835354049</v>
      </c>
      <c r="F4">
        <v>0.53222643618875909</v>
      </c>
      <c r="G4">
        <v>5.9608574270232727E-7</v>
      </c>
      <c r="H4">
        <v>405.57782459773841</v>
      </c>
      <c r="I4">
        <v>1218.4384956606059</v>
      </c>
      <c r="J4">
        <v>456.22598409616421</v>
      </c>
      <c r="K4">
        <v>1.6561460462387E-3</v>
      </c>
      <c r="L4">
        <v>18.660593605873409</v>
      </c>
      <c r="M4">
        <v>147.70577076021101</v>
      </c>
      <c r="N4">
        <v>247.81459943949861</v>
      </c>
      <c r="O4">
        <v>60.450114649904037</v>
      </c>
      <c r="P4">
        <v>3.4104256550980749</v>
      </c>
      <c r="Q4">
        <v>5.8690937785232898E-2</v>
      </c>
      <c r="R4">
        <v>0.1057765680983542</v>
      </c>
      <c r="S4" t="s">
        <v>21</v>
      </c>
      <c r="T4" t="s">
        <v>25</v>
      </c>
    </row>
    <row r="5" spans="1:20" x14ac:dyDescent="0.25">
      <c r="A5">
        <v>0.24013253537503981</v>
      </c>
      <c r="B5" t="s">
        <v>26</v>
      </c>
      <c r="C5">
        <v>3.2207745536459052E-19</v>
      </c>
      <c r="D5">
        <v>5.8369228951488999E-3</v>
      </c>
      <c r="E5">
        <v>8.3350946064438394E-2</v>
      </c>
      <c r="F5">
        <v>8.5600381374970673E-5</v>
      </c>
      <c r="G5">
        <v>9.5871157810648959E-11</v>
      </c>
      <c r="H5">
        <v>6.5230912279235595E-2</v>
      </c>
      <c r="I5">
        <v>0.1959669562857384</v>
      </c>
      <c r="J5">
        <v>7.3376886310915893E-2</v>
      </c>
      <c r="K5">
        <v>2.6636544690015961E-7</v>
      </c>
      <c r="L5">
        <v>3.0012675575739E-3</v>
      </c>
      <c r="M5">
        <v>2.3756185864989499E-2</v>
      </c>
      <c r="N5">
        <v>3.9857141109665997E-2</v>
      </c>
      <c r="O5">
        <v>9.722464900034599E-3</v>
      </c>
      <c r="P5">
        <v>5.4851413494919998E-4</v>
      </c>
      <c r="Q5">
        <v>9.4395281069851994E-6</v>
      </c>
      <c r="R5">
        <v>1.7012523230660299E-5</v>
      </c>
      <c r="S5" t="s">
        <v>21</v>
      </c>
      <c r="T5" t="s">
        <v>26</v>
      </c>
    </row>
    <row r="6" spans="1:20" x14ac:dyDescent="0.25">
      <c r="A6">
        <v>0.24268713954233501</v>
      </c>
      <c r="B6" t="s">
        <v>27</v>
      </c>
      <c r="C6">
        <v>3.2550381898518139E-19</v>
      </c>
      <c r="D6">
        <v>5.8990179413863997E-3</v>
      </c>
      <c r="E6">
        <v>8.4237660769256012E-2</v>
      </c>
      <c r="F6">
        <v>8.6511022743902897E-5</v>
      </c>
      <c r="G6">
        <v>9.6891063948490695E-11</v>
      </c>
      <c r="H6">
        <v>6.5924858277021103E-2</v>
      </c>
      <c r="I6">
        <v>0.1980517224970097</v>
      </c>
      <c r="J6">
        <v>7.4157492316709595E-2</v>
      </c>
      <c r="K6">
        <v>2.6919913513069368E-7</v>
      </c>
      <c r="L6">
        <v>3.0331958576701001E-3</v>
      </c>
      <c r="M6">
        <v>2.4008911761177702E-2</v>
      </c>
      <c r="N6">
        <v>4.0281154081343702E-2</v>
      </c>
      <c r="O6">
        <v>9.8258958618158004E-3</v>
      </c>
      <c r="P6">
        <v>5.5434939570820003E-4</v>
      </c>
      <c r="Q6">
        <v>9.5399486459580435E-6</v>
      </c>
      <c r="R6">
        <v>1.7193507740167781E-5</v>
      </c>
      <c r="S6" t="s">
        <v>21</v>
      </c>
      <c r="T6" t="s">
        <v>27</v>
      </c>
    </row>
    <row r="7" spans="1:20" x14ac:dyDescent="0.25">
      <c r="A7">
        <v>0.2534112735666007</v>
      </c>
      <c r="B7" t="s">
        <v>28</v>
      </c>
      <c r="C7">
        <v>1.6948470370002329E-19</v>
      </c>
      <c r="D7">
        <v>4.1023902662507003E-3</v>
      </c>
      <c r="E7">
        <v>3.8015815523276313E-2</v>
      </c>
      <c r="F7">
        <v>2.5271492835500219E-5</v>
      </c>
      <c r="G7">
        <v>1.201738452400941E-11</v>
      </c>
      <c r="H7">
        <v>2.9213925509208601E-2</v>
      </c>
      <c r="I7">
        <v>0.14115247955603749</v>
      </c>
      <c r="J7">
        <v>7.6447688968550406E-2</v>
      </c>
      <c r="K7">
        <v>4.35893707121488E-8</v>
      </c>
      <c r="L7">
        <v>1.7229712199697E-3</v>
      </c>
      <c r="M7">
        <v>2.8718892273842399E-2</v>
      </c>
      <c r="N7">
        <v>3.0425389808399601E-2</v>
      </c>
      <c r="O7">
        <v>1.5910694071226E-3</v>
      </c>
      <c r="P7">
        <v>2.3232273175778419E-5</v>
      </c>
      <c r="Q7">
        <v>1.383124251740363E-6</v>
      </c>
      <c r="R7">
        <v>3.0718601438040001E-4</v>
      </c>
      <c r="S7" t="s">
        <v>21</v>
      </c>
      <c r="T7" t="s">
        <v>28</v>
      </c>
    </row>
    <row r="8" spans="1:20" x14ac:dyDescent="0.25">
      <c r="A8">
        <v>53.932450053311861</v>
      </c>
      <c r="B8" t="s">
        <v>29</v>
      </c>
      <c r="C8">
        <v>4.5844203638958279E-17</v>
      </c>
      <c r="D8">
        <v>3.6203505482243798</v>
      </c>
      <c r="E8">
        <v>1988.857810274892</v>
      </c>
      <c r="F8">
        <v>5.9952297751095004E-3</v>
      </c>
      <c r="G8">
        <v>3.5145902000218479E-9</v>
      </c>
      <c r="H8">
        <v>3.7190760913459489</v>
      </c>
      <c r="I8">
        <v>6.040875450910173</v>
      </c>
      <c r="J8">
        <v>16.61994175067791</v>
      </c>
      <c r="K8">
        <v>7.4220858405655704E-3</v>
      </c>
      <c r="L8">
        <v>1.2136876128731999</v>
      </c>
      <c r="M8">
        <v>9.0600455929754844</v>
      </c>
      <c r="N8">
        <v>23.60448616987275</v>
      </c>
      <c r="O8">
        <v>270.919085605021</v>
      </c>
      <c r="P8">
        <v>8.0113116562149991E-3</v>
      </c>
      <c r="Q8">
        <v>4.1973988767929999E-4</v>
      </c>
      <c r="R8">
        <v>4.2669996789178001E-3</v>
      </c>
      <c r="S8" t="s">
        <v>21</v>
      </c>
      <c r="T8" t="s">
        <v>30</v>
      </c>
    </row>
    <row r="9" spans="1:20" x14ac:dyDescent="0.25">
      <c r="A9">
        <v>0.76059256914148965</v>
      </c>
      <c r="B9" t="s">
        <v>20</v>
      </c>
      <c r="C9">
        <v>6.8686788181556974E-19</v>
      </c>
      <c r="D9">
        <v>6.3708557179310898E-2</v>
      </c>
      <c r="E9">
        <v>0.23294287659940441</v>
      </c>
      <c r="F9">
        <v>1.9317450845720001E-4</v>
      </c>
      <c r="G9">
        <v>2.4914076918873222E-9</v>
      </c>
      <c r="H9">
        <v>9.4816778145626293E-2</v>
      </c>
      <c r="I9">
        <v>0.32680787051752891</v>
      </c>
      <c r="J9">
        <v>0.2343966369734537</v>
      </c>
      <c r="K9">
        <v>7.101549365787233E-7</v>
      </c>
      <c r="L9">
        <v>6.4698595542707999E-3</v>
      </c>
      <c r="M9">
        <v>5.6539771543087702E-2</v>
      </c>
      <c r="N9">
        <v>0.13090838183846021</v>
      </c>
      <c r="O9">
        <v>2.59210597120689E-2</v>
      </c>
      <c r="P9">
        <v>9.1951331303329997E-4</v>
      </c>
      <c r="Q9">
        <v>2.1674411351364371E-5</v>
      </c>
      <c r="R9">
        <v>9.9962619557588937E-5</v>
      </c>
      <c r="S9" t="s">
        <v>31</v>
      </c>
      <c r="T9" t="s">
        <v>22</v>
      </c>
    </row>
    <row r="10" spans="1:20" x14ac:dyDescent="0.25">
      <c r="A10">
        <v>0.626442341201913</v>
      </c>
      <c r="B10" t="s">
        <v>23</v>
      </c>
      <c r="C10">
        <v>6.749735228879871E-19</v>
      </c>
      <c r="D10">
        <v>0.19623575313264899</v>
      </c>
      <c r="E10">
        <v>8.2450171511950643</v>
      </c>
      <c r="F10">
        <v>1.7383967387410001E-4</v>
      </c>
      <c r="G10">
        <v>1.296653771532839E-9</v>
      </c>
      <c r="H10">
        <v>0.53679632376834019</v>
      </c>
      <c r="I10">
        <v>1.0646857454329819</v>
      </c>
      <c r="J10">
        <v>0.19039468987483571</v>
      </c>
      <c r="K10">
        <v>7.8929063084752472E-6</v>
      </c>
      <c r="L10">
        <v>9.1765466478052997E-3</v>
      </c>
      <c r="M10">
        <v>0.1796706407752402</v>
      </c>
      <c r="N10">
        <v>0.39055704841659911</v>
      </c>
      <c r="O10">
        <v>0.28809256224428131</v>
      </c>
      <c r="P10">
        <v>6.5688556958829998E-4</v>
      </c>
      <c r="Q10">
        <v>3.8413037559884991E-5</v>
      </c>
      <c r="R10">
        <v>1.4500186100550001E-4</v>
      </c>
      <c r="S10" t="s">
        <v>31</v>
      </c>
      <c r="T10" t="s">
        <v>22</v>
      </c>
    </row>
    <row r="11" spans="1:20" x14ac:dyDescent="0.25">
      <c r="A11">
        <v>2116.3028535288281</v>
      </c>
      <c r="B11" t="s">
        <v>24</v>
      </c>
      <c r="C11">
        <v>1.9111684243274528E-15</v>
      </c>
      <c r="D11">
        <v>177.26521007268309</v>
      </c>
      <c r="E11">
        <v>648.14946689541864</v>
      </c>
      <c r="F11">
        <v>0.53749639481759637</v>
      </c>
      <c r="G11">
        <v>6.932191592938844E-6</v>
      </c>
      <c r="H11">
        <v>263.82195178965492</v>
      </c>
      <c r="I11">
        <v>909.32316428381239</v>
      </c>
      <c r="J11">
        <v>652.19447547579091</v>
      </c>
      <c r="K11">
        <v>1.9759631166586002E-3</v>
      </c>
      <c r="L11">
        <v>18.001993158314811</v>
      </c>
      <c r="M11">
        <v>157.31849506017019</v>
      </c>
      <c r="N11">
        <v>364.24465947533031</v>
      </c>
      <c r="O11">
        <v>72.123779329831393</v>
      </c>
      <c r="P11">
        <v>2.5584902471985602</v>
      </c>
      <c r="Q11">
        <v>6.0307741939726503E-2</v>
      </c>
      <c r="R11">
        <v>0.27813995123400082</v>
      </c>
      <c r="S11" t="s">
        <v>31</v>
      </c>
      <c r="T11" t="s">
        <v>25</v>
      </c>
    </row>
    <row r="12" spans="1:20" x14ac:dyDescent="0.25">
      <c r="A12">
        <v>0.34037454087652902</v>
      </c>
      <c r="B12" t="s">
        <v>26</v>
      </c>
      <c r="C12">
        <v>3.0738184461987029E-19</v>
      </c>
      <c r="D12">
        <v>2.8510363569854501E-2</v>
      </c>
      <c r="E12">
        <v>0.1042448056838657</v>
      </c>
      <c r="F12">
        <v>8.6447972423174801E-5</v>
      </c>
      <c r="G12">
        <v>1.1149356165100911E-9</v>
      </c>
      <c r="H12">
        <v>4.24316765095165E-2</v>
      </c>
      <c r="I12">
        <v>0.1462505442517931</v>
      </c>
      <c r="J12">
        <v>0.10489538147564979</v>
      </c>
      <c r="K12">
        <v>3.1780306914549878E-7</v>
      </c>
      <c r="L12">
        <v>2.8953418700361998E-3</v>
      </c>
      <c r="M12">
        <v>2.5302243515830498E-2</v>
      </c>
      <c r="N12">
        <v>5.8583112408514902E-2</v>
      </c>
      <c r="O12">
        <v>1.1599993054600299E-2</v>
      </c>
      <c r="P12">
        <v>4.1149352378210002E-4</v>
      </c>
      <c r="Q12">
        <v>9.6995660009242957E-6</v>
      </c>
      <c r="R12">
        <v>4.4734503226989188E-5</v>
      </c>
      <c r="S12" t="s">
        <v>31</v>
      </c>
      <c r="T12" t="s">
        <v>26</v>
      </c>
    </row>
    <row r="13" spans="1:20" x14ac:dyDescent="0.25">
      <c r="A13">
        <v>0.34399554783756492</v>
      </c>
      <c r="B13" t="s">
        <v>27</v>
      </c>
      <c r="C13">
        <v>3.1065187216834609E-19</v>
      </c>
      <c r="D13">
        <v>2.8813665755752799E-2</v>
      </c>
      <c r="E13">
        <v>0.105353795249466</v>
      </c>
      <c r="F13">
        <v>8.7367630797651247E-5</v>
      </c>
      <c r="G13">
        <v>1.1267966277926011E-9</v>
      </c>
      <c r="H13">
        <v>4.2883077581979498E-2</v>
      </c>
      <c r="I13">
        <v>0.14780640931047781</v>
      </c>
      <c r="J13">
        <v>0.10601129015401591</v>
      </c>
      <c r="K13">
        <v>3.2118396536491577E-7</v>
      </c>
      <c r="L13">
        <v>2.9261432980455001E-3</v>
      </c>
      <c r="M13">
        <v>2.5571416802835201E-2</v>
      </c>
      <c r="N13">
        <v>5.9206338045873101E-2</v>
      </c>
      <c r="O13">
        <v>1.1723397692471001E-2</v>
      </c>
      <c r="P13">
        <v>4.1587111949320001E-4</v>
      </c>
      <c r="Q13">
        <v>9.8027529013254899E-6</v>
      </c>
      <c r="R13">
        <v>4.5210402374741398E-5</v>
      </c>
      <c r="S13" t="s">
        <v>31</v>
      </c>
      <c r="T13" t="s">
        <v>27</v>
      </c>
    </row>
    <row r="14" spans="1:20" x14ac:dyDescent="0.25">
      <c r="A14">
        <v>0.23384367271918671</v>
      </c>
      <c r="B14" t="s">
        <v>28</v>
      </c>
      <c r="C14">
        <v>1.6232119564216589E-19</v>
      </c>
      <c r="D14">
        <v>1.6032181536415301E-2</v>
      </c>
      <c r="E14">
        <v>3.5165442433409799E-2</v>
      </c>
      <c r="F14">
        <v>4.7917947200100007E-5</v>
      </c>
      <c r="G14">
        <v>2.1028769204474379E-11</v>
      </c>
      <c r="H14">
        <v>3.5624542025266097E-2</v>
      </c>
      <c r="I14">
        <v>0.16735244135306099</v>
      </c>
      <c r="J14">
        <v>7.0799405359701598E-2</v>
      </c>
      <c r="K14">
        <v>6.5640901138883119E-8</v>
      </c>
      <c r="L14">
        <v>1.5556444026208001E-3</v>
      </c>
      <c r="M14">
        <v>2.74572320250045E-2</v>
      </c>
      <c r="N14">
        <v>3.1816127159295098E-2</v>
      </c>
      <c r="O14">
        <v>2.3959421682762001E-3</v>
      </c>
      <c r="P14">
        <v>2.0711175376019891E-5</v>
      </c>
      <c r="Q14">
        <v>1.1291340962521411E-6</v>
      </c>
      <c r="R14">
        <v>8.1717549768210002E-4</v>
      </c>
      <c r="S14" t="s">
        <v>31</v>
      </c>
      <c r="T14" t="s">
        <v>28</v>
      </c>
    </row>
    <row r="15" spans="1:20" x14ac:dyDescent="0.25">
      <c r="A15">
        <v>41.799958320467141</v>
      </c>
      <c r="B15" t="s">
        <v>29</v>
      </c>
      <c r="C15">
        <v>5.046316104840653E-17</v>
      </c>
      <c r="D15">
        <v>9.6328845323972487</v>
      </c>
      <c r="E15">
        <v>1982.7872299750809</v>
      </c>
      <c r="F15">
        <v>7.2348039532861E-3</v>
      </c>
      <c r="G15">
        <v>7.7273390251054354E-9</v>
      </c>
      <c r="H15">
        <v>5.3218738713846649</v>
      </c>
      <c r="I15">
        <v>6.1038905332768518</v>
      </c>
      <c r="J15">
        <v>12.926292669075989</v>
      </c>
      <c r="K15">
        <v>7.4190267342611584E-3</v>
      </c>
      <c r="L15">
        <v>1.179461816784569</v>
      </c>
      <c r="M15">
        <v>8.4842571616707474</v>
      </c>
      <c r="N15">
        <v>28.329132067640622</v>
      </c>
      <c r="O15">
        <v>270.80742125118888</v>
      </c>
      <c r="P15">
        <v>7.2816303825032E-3</v>
      </c>
      <c r="Q15">
        <v>4.7295804187490003E-4</v>
      </c>
      <c r="R15">
        <v>3.0123417411196999E-3</v>
      </c>
      <c r="S15" t="s">
        <v>31</v>
      </c>
      <c r="T15" t="s">
        <v>30</v>
      </c>
    </row>
    <row r="16" spans="1:20" x14ac:dyDescent="0.25">
      <c r="A16">
        <v>1.0822937624585709</v>
      </c>
      <c r="B16" t="s">
        <v>32</v>
      </c>
      <c r="C16">
        <v>2.9262966111020921E-19</v>
      </c>
      <c r="D16">
        <v>1.1347472575942799E-2</v>
      </c>
      <c r="E16">
        <v>0.15752305220944141</v>
      </c>
      <c r="F16">
        <v>4.9459494851652004E-3</v>
      </c>
      <c r="G16">
        <v>4.9065151341663757E-11</v>
      </c>
      <c r="H16">
        <v>0.14387246373363721</v>
      </c>
      <c r="I16">
        <v>1.874426238962811</v>
      </c>
      <c r="J16">
        <v>0.33624692572008791</v>
      </c>
      <c r="K16">
        <v>2.3884832638553759E-7</v>
      </c>
      <c r="L16">
        <v>3.5879146530204999E-3</v>
      </c>
      <c r="M16">
        <v>8.3627663539971003E-2</v>
      </c>
      <c r="N16">
        <v>8.4997256912578104E-2</v>
      </c>
      <c r="O16">
        <v>8.718125362780299E-3</v>
      </c>
      <c r="P16">
        <v>3.6701581313340002E-4</v>
      </c>
      <c r="Q16">
        <v>4.5918978824177788E-5</v>
      </c>
      <c r="R16">
        <v>3.3864100893507043E-5</v>
      </c>
      <c r="S16" t="s">
        <v>33</v>
      </c>
      <c r="T16" t="s">
        <v>22</v>
      </c>
    </row>
    <row r="17" spans="1:20" x14ac:dyDescent="0.25">
      <c r="A17">
        <v>0.9146466285768946</v>
      </c>
      <c r="B17" t="s">
        <v>34</v>
      </c>
      <c r="C17">
        <v>5.1107319533326805E-19</v>
      </c>
      <c r="D17">
        <v>1.37187065332579E-2</v>
      </c>
      <c r="E17">
        <v>0.2011271740694808</v>
      </c>
      <c r="F17">
        <v>2.7472007636180002E-4</v>
      </c>
      <c r="G17">
        <v>6.7741534908815219E-11</v>
      </c>
      <c r="H17">
        <v>0.13156439937413239</v>
      </c>
      <c r="I17">
        <v>1.1574549329827111</v>
      </c>
      <c r="J17">
        <v>0.28219317370712532</v>
      </c>
      <c r="K17">
        <v>3.5409384318719802E-7</v>
      </c>
      <c r="L17">
        <v>4.1094198846542999E-3</v>
      </c>
      <c r="M17">
        <v>8.2668996159505695E-2</v>
      </c>
      <c r="N17">
        <v>9.9704670529624895E-2</v>
      </c>
      <c r="O17">
        <v>1.29246382044005E-2</v>
      </c>
      <c r="P17">
        <v>4.9952201040990001E-4</v>
      </c>
      <c r="Q17">
        <v>4.0480994876465361E-5</v>
      </c>
      <c r="R17">
        <v>4.9523553030396488E-5</v>
      </c>
      <c r="S17" t="s">
        <v>33</v>
      </c>
      <c r="T17" t="s">
        <v>22</v>
      </c>
    </row>
    <row r="18" spans="1:20" x14ac:dyDescent="0.25">
      <c r="A18">
        <v>0.55114148062613544</v>
      </c>
      <c r="B18" t="s">
        <v>35</v>
      </c>
      <c r="C18">
        <v>1.649466198399592E-19</v>
      </c>
      <c r="D18">
        <v>5.0605216133727997E-3</v>
      </c>
      <c r="E18">
        <v>7.5440531389112497E-2</v>
      </c>
      <c r="F18">
        <v>8.9958471012943419E-5</v>
      </c>
      <c r="G18">
        <v>2.3808851838914459E-11</v>
      </c>
      <c r="H18">
        <v>0.102456901311358</v>
      </c>
      <c r="I18">
        <v>1.6000843562990481</v>
      </c>
      <c r="J18">
        <v>0.169993789129852</v>
      </c>
      <c r="K18">
        <v>1.152268354503934E-7</v>
      </c>
      <c r="L18">
        <v>1.5677038893307999E-3</v>
      </c>
      <c r="M18">
        <v>3.7640321637320701E-2</v>
      </c>
      <c r="N18">
        <v>3.75571804442024E-2</v>
      </c>
      <c r="O18">
        <v>4.2058562273048997E-3</v>
      </c>
      <c r="P18">
        <v>1.6955666203800001E-4</v>
      </c>
      <c r="Q18">
        <v>3.0586235705117948E-5</v>
      </c>
      <c r="R18">
        <v>1.6800076209123659E-5</v>
      </c>
      <c r="S18" t="s">
        <v>33</v>
      </c>
      <c r="T18" t="s">
        <v>22</v>
      </c>
    </row>
    <row r="19" spans="1:20" x14ac:dyDescent="0.25">
      <c r="A19">
        <v>0.95977345560574934</v>
      </c>
      <c r="B19" t="s">
        <v>36</v>
      </c>
      <c r="C19">
        <v>3.7909713568685928E-19</v>
      </c>
      <c r="D19">
        <v>9.9774360809993003E-3</v>
      </c>
      <c r="E19">
        <v>0.23164214280560791</v>
      </c>
      <c r="F19">
        <v>7.2396290554740004E-3</v>
      </c>
      <c r="G19">
        <v>5.5304761126663098E-11</v>
      </c>
      <c r="H19">
        <v>0.16435185918863271</v>
      </c>
      <c r="I19">
        <v>1.3561390957098891</v>
      </c>
      <c r="J19">
        <v>0.29707317149694912</v>
      </c>
      <c r="K19">
        <v>3.9401459951340739E-7</v>
      </c>
      <c r="L19">
        <v>4.0045588510652002E-3</v>
      </c>
      <c r="M19">
        <v>5.7016556020216699E-2</v>
      </c>
      <c r="N19">
        <v>7.2023792235049094E-2</v>
      </c>
      <c r="O19">
        <v>1.43817702974386E-2</v>
      </c>
      <c r="P19">
        <v>3.3333665027470002E-4</v>
      </c>
      <c r="Q19">
        <v>1.0565214251840001E-4</v>
      </c>
      <c r="R19">
        <v>4.8178249112735728E-5</v>
      </c>
      <c r="S19" t="s">
        <v>33</v>
      </c>
      <c r="T19" t="s">
        <v>22</v>
      </c>
    </row>
    <row r="20" spans="1:20" x14ac:dyDescent="0.25">
      <c r="A20">
        <v>1.069681309509861</v>
      </c>
      <c r="B20" t="s">
        <v>37</v>
      </c>
      <c r="C20">
        <v>3.4731465557253252E-19</v>
      </c>
      <c r="D20">
        <v>0.13696642369995951</v>
      </c>
      <c r="E20">
        <v>0.17455089146081881</v>
      </c>
      <c r="F20">
        <v>3.047662780595E-4</v>
      </c>
      <c r="G20">
        <v>5.1481922634154428E-11</v>
      </c>
      <c r="H20">
        <v>0.1397688200268257</v>
      </c>
      <c r="I20">
        <v>1.610089220183202</v>
      </c>
      <c r="J20">
        <v>0.33543511017825151</v>
      </c>
      <c r="K20">
        <v>2.7753279494059308E-7</v>
      </c>
      <c r="L20">
        <v>3.9108813097004903E-2</v>
      </c>
      <c r="M20">
        <v>1.2907869931128579</v>
      </c>
      <c r="N20">
        <v>1.073902378577217</v>
      </c>
      <c r="O20">
        <v>1.01305259755376E-2</v>
      </c>
      <c r="P20">
        <v>3.7103531825049998E-4</v>
      </c>
      <c r="Q20">
        <v>5.1824050976498857E-5</v>
      </c>
      <c r="R20">
        <v>3.8384737345687481E-5</v>
      </c>
      <c r="S20" t="s">
        <v>33</v>
      </c>
      <c r="T20" t="s">
        <v>22</v>
      </c>
    </row>
    <row r="21" spans="1:20" x14ac:dyDescent="0.25">
      <c r="A21">
        <v>1.1341586844676519</v>
      </c>
      <c r="B21" t="s">
        <v>38</v>
      </c>
      <c r="C21">
        <v>1.692963912156953E-18</v>
      </c>
      <c r="D21">
        <v>1.9931302893817799E-2</v>
      </c>
      <c r="E21">
        <v>0.28563544688844111</v>
      </c>
      <c r="F21">
        <v>3.8657783566410002E-4</v>
      </c>
      <c r="G21">
        <v>3.477702084465916E-10</v>
      </c>
      <c r="H21">
        <v>0.20677194429386531</v>
      </c>
      <c r="I21">
        <v>0.4540492293115293</v>
      </c>
      <c r="J21">
        <v>0.32702405953121788</v>
      </c>
      <c r="K21">
        <v>6.0176781025223648E-7</v>
      </c>
      <c r="L21">
        <v>3.4429283581579998E-3</v>
      </c>
      <c r="M21">
        <v>3.72771851610239E-2</v>
      </c>
      <c r="N21">
        <v>0.13125549102319239</v>
      </c>
      <c r="O21">
        <v>2.1964876807476E-2</v>
      </c>
      <c r="P21">
        <v>1.8059005963181999E-3</v>
      </c>
      <c r="Q21">
        <v>5.9359619131631527E-5</v>
      </c>
      <c r="R21">
        <v>1.033350236041E-4</v>
      </c>
      <c r="S21" t="s">
        <v>33</v>
      </c>
      <c r="T21" t="s">
        <v>22</v>
      </c>
    </row>
    <row r="22" spans="1:20" x14ac:dyDescent="0.25">
      <c r="A22">
        <v>0.2146439500937912</v>
      </c>
      <c r="B22" t="s">
        <v>39</v>
      </c>
      <c r="C22">
        <v>4.0918214352786161E-20</v>
      </c>
      <c r="D22">
        <v>7.2203175563883004E-3</v>
      </c>
      <c r="E22">
        <v>1.87884335701274E-2</v>
      </c>
      <c r="F22">
        <v>2.1445485569045091E-5</v>
      </c>
      <c r="G22">
        <v>3.020196361585769E-12</v>
      </c>
      <c r="H22">
        <v>2.2172524583081499E-2</v>
      </c>
      <c r="I22">
        <v>0.35103021964859682</v>
      </c>
      <c r="J22">
        <v>6.7786799287046895E-2</v>
      </c>
      <c r="K22">
        <v>2.6773286438544399E-8</v>
      </c>
      <c r="L22">
        <v>2.4046398864797001E-3</v>
      </c>
      <c r="M22">
        <v>7.5109881255988206E-2</v>
      </c>
      <c r="N22">
        <v>5.8598843393885103E-2</v>
      </c>
      <c r="O22">
        <v>9.7725430375219993E-4</v>
      </c>
      <c r="P22">
        <v>1.184726200595429E-5</v>
      </c>
      <c r="Q22">
        <v>9.6744028053022044E-7</v>
      </c>
      <c r="R22">
        <v>4.0274698292404757E-6</v>
      </c>
      <c r="S22" t="s">
        <v>33</v>
      </c>
      <c r="T22" t="s">
        <v>22</v>
      </c>
    </row>
    <row r="23" spans="1:20" x14ac:dyDescent="0.25">
      <c r="A23">
        <v>0.57616081900043159</v>
      </c>
      <c r="B23" t="s">
        <v>40</v>
      </c>
      <c r="C23">
        <v>4.6054858944664666E-19</v>
      </c>
      <c r="D23">
        <v>1.03459273656978E-2</v>
      </c>
      <c r="E23">
        <v>9.7468617945539099E-2</v>
      </c>
      <c r="F23">
        <v>8.7547194061424408E-5</v>
      </c>
      <c r="G23">
        <v>2.9305296596258699E-10</v>
      </c>
      <c r="H23">
        <v>0.17409520750714991</v>
      </c>
      <c r="I23">
        <v>0.57862725478716448</v>
      </c>
      <c r="J23">
        <v>0.17030751272587619</v>
      </c>
      <c r="K23">
        <v>1.8056516679473991E-7</v>
      </c>
      <c r="L23">
        <v>4.1602144265037999E-3</v>
      </c>
      <c r="M23">
        <v>3.8749772976447598E-2</v>
      </c>
      <c r="N23">
        <v>8.3941155861573996E-2</v>
      </c>
      <c r="O23">
        <v>6.5909603156353996E-3</v>
      </c>
      <c r="P23">
        <v>1.6344165744371999E-3</v>
      </c>
      <c r="Q23">
        <v>3.9866323366040048E-5</v>
      </c>
      <c r="R23">
        <v>2.7520175808821949E-5</v>
      </c>
      <c r="S23" t="s">
        <v>33</v>
      </c>
      <c r="T23" t="s">
        <v>22</v>
      </c>
    </row>
    <row r="24" spans="1:20" x14ac:dyDescent="0.25">
      <c r="A24">
        <v>0.29842283754806348</v>
      </c>
      <c r="B24" t="s">
        <v>41</v>
      </c>
      <c r="C24">
        <v>1.4407001829814721E-19</v>
      </c>
      <c r="D24">
        <v>1.9912626713447E-3</v>
      </c>
      <c r="E24">
        <v>5.0385503674774602E-2</v>
      </c>
      <c r="F24">
        <v>1.6207387077139999E-4</v>
      </c>
      <c r="G24">
        <v>1.7572514111154871E-11</v>
      </c>
      <c r="H24">
        <v>5.0763365943287002E-2</v>
      </c>
      <c r="I24">
        <v>0.62542241307992197</v>
      </c>
      <c r="J24">
        <v>9.0133513879130198E-2</v>
      </c>
      <c r="K24">
        <v>7.3193654197369241E-8</v>
      </c>
      <c r="L24">
        <v>4.6124717208680002E-4</v>
      </c>
      <c r="M24">
        <v>7.3971395717152997E-3</v>
      </c>
      <c r="N24">
        <v>1.3662275586846699E-2</v>
      </c>
      <c r="O24">
        <v>2.6716305638799999E-3</v>
      </c>
      <c r="P24">
        <v>1.2760032162829999E-4</v>
      </c>
      <c r="Q24">
        <v>1.879886619958341E-5</v>
      </c>
      <c r="R24">
        <v>1.461718358904063E-5</v>
      </c>
      <c r="S24" t="s">
        <v>33</v>
      </c>
      <c r="T24" t="s">
        <v>22</v>
      </c>
    </row>
    <row r="25" spans="1:20" x14ac:dyDescent="0.25">
      <c r="A25">
        <v>0.8794671237955799</v>
      </c>
      <c r="B25" t="s">
        <v>42</v>
      </c>
      <c r="C25">
        <v>2.3218652043141858E-19</v>
      </c>
      <c r="D25">
        <v>1.18587006553574E-2</v>
      </c>
      <c r="E25">
        <v>0.1213067448931127</v>
      </c>
      <c r="F25">
        <v>4.96828163513071E-5</v>
      </c>
      <c r="G25">
        <v>1.7477302657073721E-10</v>
      </c>
      <c r="H25">
        <v>0.1026377527944406</v>
      </c>
      <c r="I25">
        <v>0.1094952225375086</v>
      </c>
      <c r="J25">
        <v>0.25852865181521739</v>
      </c>
      <c r="K25">
        <v>2.4972848620086398E-7</v>
      </c>
      <c r="L25">
        <v>5.7936711026403001E-3</v>
      </c>
      <c r="M25">
        <v>1.7119421077582402E-2</v>
      </c>
      <c r="N25">
        <v>0.1016616200387688</v>
      </c>
      <c r="O25">
        <v>9.1153392448829005E-3</v>
      </c>
      <c r="P25">
        <v>4.4325454372361999E-3</v>
      </c>
      <c r="Q25">
        <v>1.175172863515E-4</v>
      </c>
      <c r="R25">
        <v>7.7694572256662404E-5</v>
      </c>
      <c r="S25" t="s">
        <v>33</v>
      </c>
      <c r="T25" t="s">
        <v>22</v>
      </c>
    </row>
    <row r="26" spans="1:20" x14ac:dyDescent="0.25">
      <c r="A26">
        <v>9128.0229044833377</v>
      </c>
      <c r="B26" t="s">
        <v>43</v>
      </c>
      <c r="C26">
        <v>7.3108714234589974E-15</v>
      </c>
      <c r="D26">
        <v>143.61426630738961</v>
      </c>
      <c r="E26">
        <v>1062.7612440925391</v>
      </c>
      <c r="F26">
        <v>0.56959934232572385</v>
      </c>
      <c r="G26">
        <v>2.188261082982479E-6</v>
      </c>
      <c r="H26">
        <v>1965.5965636140411</v>
      </c>
      <c r="I26">
        <v>15538.4727986118</v>
      </c>
      <c r="J26">
        <v>2721.9079033075232</v>
      </c>
      <c r="K26">
        <v>1.896458284109E-3</v>
      </c>
      <c r="L26">
        <v>124.8439956966929</v>
      </c>
      <c r="M26">
        <v>172.76039217637211</v>
      </c>
      <c r="N26">
        <v>1534.160008037109</v>
      </c>
      <c r="O26">
        <v>69.222173038490297</v>
      </c>
      <c r="P26">
        <v>12.090199065266789</v>
      </c>
      <c r="Q26">
        <v>0.24856358096988629</v>
      </c>
      <c r="R26">
        <v>0.35878995872214559</v>
      </c>
      <c r="S26" t="s">
        <v>33</v>
      </c>
      <c r="T26" t="s">
        <v>25</v>
      </c>
    </row>
    <row r="27" spans="1:20" x14ac:dyDescent="0.25">
      <c r="A27">
        <v>5770.0189407380603</v>
      </c>
      <c r="B27" t="s">
        <v>44</v>
      </c>
      <c r="C27">
        <v>3.4137306684170211E-15</v>
      </c>
      <c r="D27">
        <v>194.363743514031</v>
      </c>
      <c r="E27">
        <v>1355.0888080178349</v>
      </c>
      <c r="F27">
        <v>1.651992336796309</v>
      </c>
      <c r="G27">
        <v>4.8036148400990497E-5</v>
      </c>
      <c r="H27">
        <v>564.56137430541514</v>
      </c>
      <c r="I27">
        <v>6998.5193706306864</v>
      </c>
      <c r="J27">
        <v>1952.2950932627371</v>
      </c>
      <c r="K27">
        <v>3.0345071566797001E-3</v>
      </c>
      <c r="L27">
        <v>101.42026321655121</v>
      </c>
      <c r="M27">
        <v>1148.432365382974</v>
      </c>
      <c r="N27">
        <v>1720.2999924025139</v>
      </c>
      <c r="O27">
        <v>110.7629054185563</v>
      </c>
      <c r="P27">
        <v>3.3072708182544281</v>
      </c>
      <c r="Q27">
        <v>0.21801256927320259</v>
      </c>
      <c r="R27">
        <v>0.33036461761315278</v>
      </c>
      <c r="S27" t="s">
        <v>33</v>
      </c>
      <c r="T27" t="s">
        <v>25</v>
      </c>
    </row>
    <row r="28" spans="1:20" x14ac:dyDescent="0.25">
      <c r="A28">
        <v>8230.5845072692555</v>
      </c>
      <c r="B28" t="s">
        <v>45</v>
      </c>
      <c r="C28">
        <v>5.7337161249481209E-15</v>
      </c>
      <c r="D28">
        <v>848.15479982120723</v>
      </c>
      <c r="E28">
        <v>670.05631897451599</v>
      </c>
      <c r="F28">
        <v>1.0357099521240021</v>
      </c>
      <c r="G28">
        <v>1.780910088165971E-7</v>
      </c>
      <c r="H28">
        <v>331.5803279428381</v>
      </c>
      <c r="I28">
        <v>4374.9380376679519</v>
      </c>
      <c r="J28">
        <v>2535.977261630539</v>
      </c>
      <c r="K28">
        <v>1.6056809171964999E-3</v>
      </c>
      <c r="L28">
        <v>258.70059165362852</v>
      </c>
      <c r="M28">
        <v>8430.7003875215687</v>
      </c>
      <c r="N28">
        <v>6797.0583874712493</v>
      </c>
      <c r="O28">
        <v>58.608276877127338</v>
      </c>
      <c r="P28">
        <v>0.57811610864641405</v>
      </c>
      <c r="Q28">
        <v>5.3563188804154997E-2</v>
      </c>
      <c r="R28">
        <v>0.30428349685973738</v>
      </c>
      <c r="S28" t="s">
        <v>33</v>
      </c>
      <c r="T28" t="s">
        <v>25</v>
      </c>
    </row>
    <row r="29" spans="1:20" x14ac:dyDescent="0.25">
      <c r="A29">
        <v>26213.180052341319</v>
      </c>
      <c r="B29" t="s">
        <v>46</v>
      </c>
      <c r="C29">
        <v>2.9601550695313589E-14</v>
      </c>
      <c r="D29">
        <v>269.75707814247818</v>
      </c>
      <c r="E29">
        <v>6485.7103383371486</v>
      </c>
      <c r="F29">
        <v>4.2238556342850391</v>
      </c>
      <c r="G29">
        <v>2.8538378633959999E-4</v>
      </c>
      <c r="H29">
        <v>2384.2042832626248</v>
      </c>
      <c r="I29">
        <v>25603.55721917528</v>
      </c>
      <c r="J29">
        <v>7608.5011571186769</v>
      </c>
      <c r="K29">
        <v>1.73940371264352E-2</v>
      </c>
      <c r="L29">
        <v>57.429935951301083</v>
      </c>
      <c r="M29">
        <v>1001.929298362104</v>
      </c>
      <c r="N29">
        <v>1906.002641146853</v>
      </c>
      <c r="O29">
        <v>634.90147537276152</v>
      </c>
      <c r="P29">
        <v>18.384319628668891</v>
      </c>
      <c r="Q29">
        <v>1.2026000681402991</v>
      </c>
      <c r="R29">
        <v>1.9776131600931179</v>
      </c>
      <c r="S29" t="s">
        <v>33</v>
      </c>
      <c r="T29" t="s">
        <v>25</v>
      </c>
    </row>
    <row r="30" spans="1:20" x14ac:dyDescent="0.25">
      <c r="A30">
        <v>13233.610694484531</v>
      </c>
      <c r="B30" t="s">
        <v>47</v>
      </c>
      <c r="C30">
        <v>1.002328134881778E-14</v>
      </c>
      <c r="D30">
        <v>1313.6380472666849</v>
      </c>
      <c r="E30">
        <v>1841.7159663953221</v>
      </c>
      <c r="F30">
        <v>1.684202966457029</v>
      </c>
      <c r="G30">
        <v>3.9201838921463488E-7</v>
      </c>
      <c r="H30">
        <v>403.4018383034508</v>
      </c>
      <c r="I30">
        <v>4232.3032839130647</v>
      </c>
      <c r="J30">
        <v>3989.2005868790989</v>
      </c>
      <c r="K30">
        <v>2.7768511569577999E-3</v>
      </c>
      <c r="L30">
        <v>375.97241146713299</v>
      </c>
      <c r="M30">
        <v>12251.284474239181</v>
      </c>
      <c r="N30">
        <v>10356.16945613747</v>
      </c>
      <c r="O30">
        <v>101.35713123243571</v>
      </c>
      <c r="P30">
        <v>1.0649750931952111</v>
      </c>
      <c r="Q30">
        <v>0.1139864764241469</v>
      </c>
      <c r="R30">
        <v>0.57062466833123371</v>
      </c>
      <c r="S30" t="s">
        <v>33</v>
      </c>
      <c r="T30" t="s">
        <v>25</v>
      </c>
    </row>
    <row r="31" spans="1:20" x14ac:dyDescent="0.25">
      <c r="A31">
        <v>11594.153449687259</v>
      </c>
      <c r="B31" t="s">
        <v>48</v>
      </c>
      <c r="C31">
        <v>4.0172858279673052E-15</v>
      </c>
      <c r="D31">
        <v>72.95841089203563</v>
      </c>
      <c r="E31">
        <v>1718.072967352374</v>
      </c>
      <c r="F31">
        <v>1.0320952714494429</v>
      </c>
      <c r="G31">
        <v>6.9117248419452349E-5</v>
      </c>
      <c r="H31">
        <v>1145.9237564674061</v>
      </c>
      <c r="I31">
        <v>17487.266899000271</v>
      </c>
      <c r="J31">
        <v>3564.9601558579961</v>
      </c>
      <c r="K31">
        <v>3.754708545499E-3</v>
      </c>
      <c r="L31">
        <v>17.76827815509623</v>
      </c>
      <c r="M31">
        <v>426.54040834232097</v>
      </c>
      <c r="N31">
        <v>525.23232427663311</v>
      </c>
      <c r="O31">
        <v>137.05138323465391</v>
      </c>
      <c r="P31">
        <v>4.4859257916364106</v>
      </c>
      <c r="Q31">
        <v>0.59332681059817816</v>
      </c>
      <c r="R31">
        <v>0.39694341415201778</v>
      </c>
      <c r="S31" t="s">
        <v>33</v>
      </c>
      <c r="T31" t="s">
        <v>25</v>
      </c>
    </row>
    <row r="32" spans="1:20" x14ac:dyDescent="0.25">
      <c r="A32">
        <v>8379.9073454637564</v>
      </c>
      <c r="B32" t="s">
        <v>49</v>
      </c>
      <c r="C32">
        <v>7.2245783019321766E-15</v>
      </c>
      <c r="D32">
        <v>296.47385978069929</v>
      </c>
      <c r="E32">
        <v>1709.357356062161</v>
      </c>
      <c r="F32">
        <v>2.3816331280094811</v>
      </c>
      <c r="G32">
        <v>1.6334413705577579E-6</v>
      </c>
      <c r="H32">
        <v>1208.4200446430691</v>
      </c>
      <c r="I32">
        <v>6327.3549086270332</v>
      </c>
      <c r="J32">
        <v>2544.8606239466039</v>
      </c>
      <c r="K32">
        <v>3.1088328320454002E-3</v>
      </c>
      <c r="L32">
        <v>76.017296691237703</v>
      </c>
      <c r="M32">
        <v>2069.2730444317149</v>
      </c>
      <c r="N32">
        <v>2203.446031470477</v>
      </c>
      <c r="O32">
        <v>113.4743261217683</v>
      </c>
      <c r="P32">
        <v>8.2250034117329278</v>
      </c>
      <c r="Q32">
        <v>0.41069812177290999</v>
      </c>
      <c r="R32">
        <v>0.49244645135499099</v>
      </c>
      <c r="S32" t="s">
        <v>33</v>
      </c>
      <c r="T32" t="s">
        <v>25</v>
      </c>
    </row>
    <row r="33" spans="1:20" x14ac:dyDescent="0.25">
      <c r="A33">
        <v>16467.841399636411</v>
      </c>
      <c r="B33" t="s">
        <v>50</v>
      </c>
      <c r="C33">
        <v>1.4942927057779821E-14</v>
      </c>
      <c r="D33">
        <v>585.39236299372897</v>
      </c>
      <c r="E33">
        <v>4072.2585630793728</v>
      </c>
      <c r="F33">
        <v>5.6794047071755003</v>
      </c>
      <c r="G33">
        <v>9.86276006249092E-5</v>
      </c>
      <c r="H33">
        <v>963.85227679130639</v>
      </c>
      <c r="I33">
        <v>5012.3248125046548</v>
      </c>
      <c r="J33">
        <v>4952.4352006618728</v>
      </c>
      <c r="K33">
        <v>8.9892322143934993E-3</v>
      </c>
      <c r="L33">
        <v>145.5364470231527</v>
      </c>
      <c r="M33">
        <v>3940.2680676665282</v>
      </c>
      <c r="N33">
        <v>4331.2812087192879</v>
      </c>
      <c r="O33">
        <v>328.11545026367918</v>
      </c>
      <c r="P33">
        <v>7.9197484573852348</v>
      </c>
      <c r="Q33">
        <v>0.63268123886984284</v>
      </c>
      <c r="R33">
        <v>1.1145940665247771</v>
      </c>
      <c r="S33" t="s">
        <v>33</v>
      </c>
      <c r="T33" t="s">
        <v>25</v>
      </c>
    </row>
    <row r="34" spans="1:20" x14ac:dyDescent="0.25">
      <c r="A34">
        <v>4356.882221474767</v>
      </c>
      <c r="B34" t="s">
        <v>51</v>
      </c>
      <c r="C34">
        <v>6.3378905501990793E-15</v>
      </c>
      <c r="D34">
        <v>42.395103050245751</v>
      </c>
      <c r="E34">
        <v>719.7258070977947</v>
      </c>
      <c r="F34">
        <v>0.494036969611446</v>
      </c>
      <c r="G34">
        <v>1.4761919441066329E-6</v>
      </c>
      <c r="H34">
        <v>1965.812308676052</v>
      </c>
      <c r="I34">
        <v>24118.193919558169</v>
      </c>
      <c r="J34">
        <v>1266.0268258548681</v>
      </c>
      <c r="K34">
        <v>1.6030844669976999E-3</v>
      </c>
      <c r="L34">
        <v>6.0710853716746769</v>
      </c>
      <c r="M34">
        <v>137.827192270148</v>
      </c>
      <c r="N34">
        <v>295.75576562712899</v>
      </c>
      <c r="O34">
        <v>58.513562428705939</v>
      </c>
      <c r="P34">
        <v>8.1682163424437686</v>
      </c>
      <c r="Q34">
        <v>0.19031108785907941</v>
      </c>
      <c r="R34">
        <v>0.29554653620772819</v>
      </c>
      <c r="S34" t="s">
        <v>33</v>
      </c>
      <c r="T34" t="s">
        <v>25</v>
      </c>
    </row>
    <row r="35" spans="1:20" x14ac:dyDescent="0.25">
      <c r="A35">
        <v>27794.350543666969</v>
      </c>
      <c r="B35" t="s">
        <v>52</v>
      </c>
      <c r="C35">
        <v>5.3558158640183678E-15</v>
      </c>
      <c r="D35">
        <v>594.00570069602645</v>
      </c>
      <c r="E35">
        <v>3746.6772510234591</v>
      </c>
      <c r="F35">
        <v>1.520096033178318</v>
      </c>
      <c r="G35">
        <v>2.5697758824818922E-6</v>
      </c>
      <c r="H35">
        <v>907.24981993901895</v>
      </c>
      <c r="I35">
        <v>3291.1488309601641</v>
      </c>
      <c r="J35">
        <v>8494.6569135470036</v>
      </c>
      <c r="K35">
        <v>4.8622253024805002E-3</v>
      </c>
      <c r="L35">
        <v>163.86056349108691</v>
      </c>
      <c r="M35">
        <v>5363.4078918153764</v>
      </c>
      <c r="N35">
        <v>4616.5796052357491</v>
      </c>
      <c r="O35">
        <v>177.47577081494069</v>
      </c>
      <c r="P35">
        <v>26.042412924670149</v>
      </c>
      <c r="Q35">
        <v>1.3441140947435599</v>
      </c>
      <c r="R35">
        <v>0.84358850038423361</v>
      </c>
      <c r="S35" t="s">
        <v>33</v>
      </c>
      <c r="T35" t="s">
        <v>25</v>
      </c>
    </row>
    <row r="36" spans="1:20" x14ac:dyDescent="0.25">
      <c r="A36">
        <v>5388.7151467323019</v>
      </c>
      <c r="B36" t="s">
        <v>53</v>
      </c>
      <c r="C36">
        <v>6.2287859688906532E-15</v>
      </c>
      <c r="D36">
        <v>281.90005849360159</v>
      </c>
      <c r="E36">
        <v>1109.19086528498</v>
      </c>
      <c r="F36">
        <v>0.56531262860462916</v>
      </c>
      <c r="G36">
        <v>4.4499515425050637E-5</v>
      </c>
      <c r="H36">
        <v>219.3905366654177</v>
      </c>
      <c r="I36">
        <v>1302.669421504022</v>
      </c>
      <c r="J36">
        <v>1573.3466309916389</v>
      </c>
      <c r="K36">
        <v>2.9011086703050002E-3</v>
      </c>
      <c r="L36">
        <v>85.549338572320707</v>
      </c>
      <c r="M36">
        <v>2742.1381549252978</v>
      </c>
      <c r="N36">
        <v>2261.8331561358182</v>
      </c>
      <c r="O36">
        <v>105.8935936531002</v>
      </c>
      <c r="P36">
        <v>2.8431285980684988</v>
      </c>
      <c r="Q36">
        <v>0.1555611224016786</v>
      </c>
      <c r="R36">
        <v>0.36567789616372498</v>
      </c>
      <c r="S36" t="s">
        <v>33</v>
      </c>
      <c r="T36" t="s">
        <v>25</v>
      </c>
    </row>
    <row r="37" spans="1:20" x14ac:dyDescent="0.25">
      <c r="A37">
        <v>6717.589154512717</v>
      </c>
      <c r="B37" t="s">
        <v>54</v>
      </c>
      <c r="C37">
        <v>4.2035494651722734E-15</v>
      </c>
      <c r="D37">
        <v>120.5333140530492</v>
      </c>
      <c r="E37">
        <v>1202.743966675459</v>
      </c>
      <c r="F37">
        <v>1.2368566732210711</v>
      </c>
      <c r="G37">
        <v>1.925387717591888E-6</v>
      </c>
      <c r="H37">
        <v>1048.828631277305</v>
      </c>
      <c r="I37">
        <v>2018.1256023290559</v>
      </c>
      <c r="J37">
        <v>2036.1927176614281</v>
      </c>
      <c r="K37">
        <v>1.9997556550454001E-3</v>
      </c>
      <c r="L37">
        <v>33.658002242232932</v>
      </c>
      <c r="M37">
        <v>939.83044199791425</v>
      </c>
      <c r="N37">
        <v>914.45485799717665</v>
      </c>
      <c r="O37">
        <v>72.992316831191715</v>
      </c>
      <c r="P37">
        <v>10.361666555296541</v>
      </c>
      <c r="Q37">
        <v>0.24383969714151019</v>
      </c>
      <c r="R37">
        <v>0.33825558674583128</v>
      </c>
      <c r="S37" t="s">
        <v>33</v>
      </c>
      <c r="T37" t="s">
        <v>25</v>
      </c>
    </row>
    <row r="38" spans="1:20" x14ac:dyDescent="0.25">
      <c r="A38">
        <v>8513.2802785999811</v>
      </c>
      <c r="B38" t="s">
        <v>55</v>
      </c>
      <c r="C38">
        <v>1.270781297685129E-14</v>
      </c>
      <c r="D38">
        <v>149.60937100809031</v>
      </c>
      <c r="E38">
        <v>2144.0514638425352</v>
      </c>
      <c r="F38">
        <v>2.901750398641052</v>
      </c>
      <c r="G38">
        <v>2.6104506109619991E-6</v>
      </c>
      <c r="H38">
        <v>1552.0822082066541</v>
      </c>
      <c r="I38">
        <v>3408.2077721898559</v>
      </c>
      <c r="J38">
        <v>2454.724821676376</v>
      </c>
      <c r="K38">
        <v>4.5170204649717998E-3</v>
      </c>
      <c r="L38">
        <v>25.843485980022781</v>
      </c>
      <c r="M38">
        <v>279.81192472678782</v>
      </c>
      <c r="N38">
        <v>985.236719110389</v>
      </c>
      <c r="O38">
        <v>164.873887169829</v>
      </c>
      <c r="P38">
        <v>13.555543861910129</v>
      </c>
      <c r="Q38">
        <v>0.44556822362345372</v>
      </c>
      <c r="R38">
        <v>0.77565867585800174</v>
      </c>
      <c r="S38" t="s">
        <v>33</v>
      </c>
      <c r="T38" t="s">
        <v>25</v>
      </c>
    </row>
    <row r="39" spans="1:20" x14ac:dyDescent="0.25">
      <c r="A39">
        <v>4657.6612830921904</v>
      </c>
      <c r="B39" t="s">
        <v>56</v>
      </c>
      <c r="C39">
        <v>2.214314980906414E-15</v>
      </c>
      <c r="D39">
        <v>550.4602619335717</v>
      </c>
      <c r="E39">
        <v>1007.384703643918</v>
      </c>
      <c r="F39">
        <v>0.37383093962072561</v>
      </c>
      <c r="G39">
        <v>6.2992489511032995E-5</v>
      </c>
      <c r="H39">
        <v>228.61760477364601</v>
      </c>
      <c r="I39">
        <v>1568.395703620648</v>
      </c>
      <c r="J39">
        <v>1504.303911790405</v>
      </c>
      <c r="K39">
        <v>2.5736226256470999E-3</v>
      </c>
      <c r="L39">
        <v>197.03770665378559</v>
      </c>
      <c r="M39">
        <v>5642.7412984977636</v>
      </c>
      <c r="N39">
        <v>4564.9642589867199</v>
      </c>
      <c r="O39">
        <v>93.940865849909358</v>
      </c>
      <c r="P39">
        <v>3.662245154039101</v>
      </c>
      <c r="Q39">
        <v>0.20231757293381489</v>
      </c>
      <c r="R39">
        <v>0.19953324635450331</v>
      </c>
      <c r="S39" t="s">
        <v>33</v>
      </c>
      <c r="T39" t="s">
        <v>25</v>
      </c>
    </row>
    <row r="40" spans="1:20" x14ac:dyDescent="0.25">
      <c r="A40">
        <v>4324.807895437044</v>
      </c>
      <c r="B40" t="s">
        <v>57</v>
      </c>
      <c r="C40">
        <v>3.4569933793481839E-15</v>
      </c>
      <c r="D40">
        <v>77.659132467868289</v>
      </c>
      <c r="E40">
        <v>731.62395058249717</v>
      </c>
      <c r="F40">
        <v>0.65715124749636489</v>
      </c>
      <c r="G40">
        <v>2.199729164164123E-6</v>
      </c>
      <c r="H40">
        <v>1306.8023542937001</v>
      </c>
      <c r="I40">
        <v>4343.3216083768293</v>
      </c>
      <c r="J40">
        <v>1278.37098903945</v>
      </c>
      <c r="K40">
        <v>1.3553675095989001E-3</v>
      </c>
      <c r="L40">
        <v>31.227616228949142</v>
      </c>
      <c r="M40">
        <v>290.86554606224081</v>
      </c>
      <c r="N40">
        <v>630.08342764010104</v>
      </c>
      <c r="O40">
        <v>49.473404131421702</v>
      </c>
      <c r="P40">
        <v>12.268341284584039</v>
      </c>
      <c r="Q40">
        <v>0.29924663635578952</v>
      </c>
      <c r="R40">
        <v>0.20657335444237479</v>
      </c>
      <c r="S40" t="s">
        <v>33</v>
      </c>
      <c r="T40" t="s">
        <v>25</v>
      </c>
    </row>
    <row r="41" spans="1:20" x14ac:dyDescent="0.25">
      <c r="A41">
        <v>14965.14663070449</v>
      </c>
      <c r="B41" t="s">
        <v>58</v>
      </c>
      <c r="C41">
        <v>3.9462741765500653E-14</v>
      </c>
      <c r="D41">
        <v>321.52239901784742</v>
      </c>
      <c r="E41">
        <v>3589.360209995496</v>
      </c>
      <c r="F41">
        <v>3.8591958888516431</v>
      </c>
      <c r="G41">
        <v>3.1078445063826698E-5</v>
      </c>
      <c r="H41">
        <v>790.56116904653743</v>
      </c>
      <c r="I41">
        <v>7243.4304730954391</v>
      </c>
      <c r="J41">
        <v>3975.5319654909872</v>
      </c>
      <c r="K41">
        <v>9.8478804200728999E-3</v>
      </c>
      <c r="L41">
        <v>94.542649764582407</v>
      </c>
      <c r="M41">
        <v>1570.044991169997</v>
      </c>
      <c r="N41">
        <v>2532.962514456357</v>
      </c>
      <c r="O41">
        <v>359.45439222841412</v>
      </c>
      <c r="P41">
        <v>4.0794087536764776</v>
      </c>
      <c r="Q41">
        <v>0.31324956065364162</v>
      </c>
      <c r="R41">
        <v>1.839108593621497</v>
      </c>
      <c r="S41" t="s">
        <v>33</v>
      </c>
      <c r="T41" t="s">
        <v>25</v>
      </c>
    </row>
    <row r="42" spans="1:20" x14ac:dyDescent="0.25">
      <c r="A42">
        <v>6951.4236837301214</v>
      </c>
      <c r="B42" t="s">
        <v>59</v>
      </c>
      <c r="C42">
        <v>4.0152562991090616E-15</v>
      </c>
      <c r="D42">
        <v>294.72163043772292</v>
      </c>
      <c r="E42">
        <v>1481.3173692046371</v>
      </c>
      <c r="F42">
        <v>0.70159561928494818</v>
      </c>
      <c r="G42">
        <v>7.0460720684720234E-5</v>
      </c>
      <c r="H42">
        <v>342.17904660810188</v>
      </c>
      <c r="I42">
        <v>2645.0899807417782</v>
      </c>
      <c r="J42">
        <v>2152.294455781112</v>
      </c>
      <c r="K42">
        <v>3.4273117972148E-3</v>
      </c>
      <c r="L42">
        <v>93.059886460702359</v>
      </c>
      <c r="M42">
        <v>2903.0950787983211</v>
      </c>
      <c r="N42">
        <v>2361.3457797236788</v>
      </c>
      <c r="O42">
        <v>125.1012414315325</v>
      </c>
      <c r="P42">
        <v>4.3712022541645181</v>
      </c>
      <c r="Q42">
        <v>0.2594664180551049</v>
      </c>
      <c r="R42">
        <v>0.32380136698157541</v>
      </c>
      <c r="S42" t="s">
        <v>33</v>
      </c>
      <c r="T42" t="s">
        <v>25</v>
      </c>
    </row>
    <row r="43" spans="1:20" x14ac:dyDescent="0.25">
      <c r="A43">
        <v>7883.7236456400797</v>
      </c>
      <c r="B43" t="s">
        <v>60</v>
      </c>
      <c r="C43">
        <v>3.1354017160862091E-15</v>
      </c>
      <c r="D43">
        <v>61.456432345399307</v>
      </c>
      <c r="E43">
        <v>1555.8185238740659</v>
      </c>
      <c r="F43">
        <v>1.0574791241206749</v>
      </c>
      <c r="G43">
        <v>6.641232102748346E-5</v>
      </c>
      <c r="H43">
        <v>959.33234401192783</v>
      </c>
      <c r="I43">
        <v>14899.84899041238</v>
      </c>
      <c r="J43">
        <v>2788.7155962867751</v>
      </c>
      <c r="K43">
        <v>3.4992151335549999E-3</v>
      </c>
      <c r="L43">
        <v>11.63374779732224</v>
      </c>
      <c r="M43">
        <v>214.4591968045288</v>
      </c>
      <c r="N43">
        <v>408.41579585425302</v>
      </c>
      <c r="O43">
        <v>127.7256008013134</v>
      </c>
      <c r="P43">
        <v>4.2516969325682554</v>
      </c>
      <c r="Q43">
        <v>0.48296419007540692</v>
      </c>
      <c r="R43">
        <v>0.33916516441879802</v>
      </c>
      <c r="S43" t="s">
        <v>33</v>
      </c>
      <c r="T43" t="s">
        <v>25</v>
      </c>
    </row>
    <row r="44" spans="1:20" x14ac:dyDescent="0.25">
      <c r="A44">
        <v>31744.319330243052</v>
      </c>
      <c r="B44" t="s">
        <v>61</v>
      </c>
      <c r="C44">
        <v>2.9591630706495962E-15</v>
      </c>
      <c r="D44">
        <v>261.76912452749491</v>
      </c>
      <c r="E44">
        <v>1907.9931982346</v>
      </c>
      <c r="F44">
        <v>0.99894463795241961</v>
      </c>
      <c r="G44">
        <v>4.3686970076467698E-7</v>
      </c>
      <c r="H44">
        <v>329.15464279434411</v>
      </c>
      <c r="I44">
        <v>4033.0785787491432</v>
      </c>
      <c r="J44">
        <v>9852.2203905249207</v>
      </c>
      <c r="K44">
        <v>1.4850682109435001E-3</v>
      </c>
      <c r="L44">
        <v>33.744427342971697</v>
      </c>
      <c r="M44">
        <v>1032.611011994373</v>
      </c>
      <c r="N44">
        <v>1767.7027704901629</v>
      </c>
      <c r="O44">
        <v>54.20698639084069</v>
      </c>
      <c r="P44">
        <v>2.9516961970857039</v>
      </c>
      <c r="Q44">
        <v>0.17223513806473531</v>
      </c>
      <c r="R44">
        <v>3.0805117426549802</v>
      </c>
      <c r="S44" t="s">
        <v>33</v>
      </c>
      <c r="T44" t="s">
        <v>25</v>
      </c>
    </row>
    <row r="45" spans="1:20" x14ac:dyDescent="0.25">
      <c r="A45">
        <v>6601.501327711956</v>
      </c>
      <c r="B45" t="s">
        <v>62</v>
      </c>
      <c r="C45">
        <v>1.742850399870109E-15</v>
      </c>
      <c r="D45">
        <v>89.014390042760667</v>
      </c>
      <c r="E45">
        <v>910.55892585918161</v>
      </c>
      <c r="F45">
        <v>0.37293171431425259</v>
      </c>
      <c r="G45">
        <v>1.3118902718635349E-6</v>
      </c>
      <c r="H45">
        <v>770.42477327150164</v>
      </c>
      <c r="I45">
        <v>821.89868561963453</v>
      </c>
      <c r="J45">
        <v>1940.581054304703</v>
      </c>
      <c r="K45">
        <v>1.8745248011211E-3</v>
      </c>
      <c r="L45">
        <v>43.488754026536853</v>
      </c>
      <c r="M45">
        <v>128.50267870897869</v>
      </c>
      <c r="N45">
        <v>763.09769928948401</v>
      </c>
      <c r="O45">
        <v>68.42202803977203</v>
      </c>
      <c r="P45">
        <v>33.271800281251693</v>
      </c>
      <c r="Q45">
        <v>0.88211429218000603</v>
      </c>
      <c r="R45">
        <v>0.58319499101951033</v>
      </c>
      <c r="S45" t="s">
        <v>33</v>
      </c>
      <c r="T45" t="s">
        <v>25</v>
      </c>
    </row>
    <row r="46" spans="1:20" x14ac:dyDescent="0.25">
      <c r="A46">
        <v>6693.2160446241314</v>
      </c>
      <c r="B46" t="s">
        <v>63</v>
      </c>
      <c r="C46">
        <v>1.04547603187301E-14</v>
      </c>
      <c r="D46">
        <v>76.988085892584266</v>
      </c>
      <c r="E46">
        <v>1166.542589094295</v>
      </c>
      <c r="F46">
        <v>1.096330459241079</v>
      </c>
      <c r="G46">
        <v>2.1025781741763021E-6</v>
      </c>
      <c r="H46">
        <v>1839.058057147156</v>
      </c>
      <c r="I46">
        <v>15348.56938151768</v>
      </c>
      <c r="J46">
        <v>1885.460491519068</v>
      </c>
      <c r="K46">
        <v>2.5272025393120998E-3</v>
      </c>
      <c r="L46">
        <v>14.03370295353456</v>
      </c>
      <c r="M46">
        <v>197.5408188125289</v>
      </c>
      <c r="N46">
        <v>528.82406078044278</v>
      </c>
      <c r="O46">
        <v>92.244519403789397</v>
      </c>
      <c r="P46">
        <v>11.30579755003469</v>
      </c>
      <c r="Q46">
        <v>0.2338254048938779</v>
      </c>
      <c r="R46">
        <v>0.52418588444746594</v>
      </c>
      <c r="S46" t="s">
        <v>33</v>
      </c>
      <c r="T46" t="s">
        <v>25</v>
      </c>
    </row>
    <row r="47" spans="1:20" x14ac:dyDescent="0.25">
      <c r="A47">
        <v>0.58507638375666571</v>
      </c>
      <c r="B47" t="s">
        <v>64</v>
      </c>
      <c r="C47">
        <v>1.7838764931947911E-19</v>
      </c>
      <c r="D47">
        <v>2.3077681400801801E-2</v>
      </c>
      <c r="E47">
        <v>0.20214927667584379</v>
      </c>
      <c r="F47">
        <v>2.5777542641810001E-4</v>
      </c>
      <c r="G47">
        <v>8.766045748691083E-11</v>
      </c>
      <c r="H47">
        <v>5.5215951966041399E-2</v>
      </c>
      <c r="I47">
        <v>0.30782046092529691</v>
      </c>
      <c r="J47">
        <v>0.18100515887850821</v>
      </c>
      <c r="K47">
        <v>3.8324547517343258E-7</v>
      </c>
      <c r="L47">
        <v>6.6224003019060996E-3</v>
      </c>
      <c r="M47">
        <v>0.21165608231350649</v>
      </c>
      <c r="N47">
        <v>0.18094745289555189</v>
      </c>
      <c r="O47">
        <v>1.3988620653761399E-2</v>
      </c>
      <c r="P47">
        <v>4.7045157048589999E-4</v>
      </c>
      <c r="Q47">
        <v>1.316543304700395E-5</v>
      </c>
      <c r="R47">
        <v>3.6542029536658252E-5</v>
      </c>
      <c r="S47" t="s">
        <v>33</v>
      </c>
      <c r="T47" t="s">
        <v>28</v>
      </c>
    </row>
    <row r="48" spans="1:20" x14ac:dyDescent="0.25">
      <c r="A48">
        <v>0.55249421334049975</v>
      </c>
      <c r="B48" t="s">
        <v>65</v>
      </c>
      <c r="C48">
        <v>8.9292905127146322E-20</v>
      </c>
      <c r="D48">
        <v>1.12431056032627E-2</v>
      </c>
      <c r="E48">
        <v>0.21163751104843939</v>
      </c>
      <c r="F48">
        <v>1.324886518678E-4</v>
      </c>
      <c r="G48">
        <v>3.6505540628804758E-11</v>
      </c>
      <c r="H48">
        <v>0.105605927815209</v>
      </c>
      <c r="I48">
        <v>1.808505591401405</v>
      </c>
      <c r="J48">
        <v>0.17106844357036941</v>
      </c>
      <c r="K48">
        <v>2.0798384551754561E-7</v>
      </c>
      <c r="L48">
        <v>4.6654944388077003E-3</v>
      </c>
      <c r="M48">
        <v>7.7168785318772901E-2</v>
      </c>
      <c r="N48">
        <v>9.4639488018108495E-2</v>
      </c>
      <c r="O48">
        <v>7.5915446451373996E-3</v>
      </c>
      <c r="P48">
        <v>5.3614306108170002E-4</v>
      </c>
      <c r="Q48">
        <v>1.536786137989847E-5</v>
      </c>
      <c r="R48">
        <v>2.561952493414808E-5</v>
      </c>
      <c r="S48" t="s">
        <v>33</v>
      </c>
      <c r="T48" t="s">
        <v>28</v>
      </c>
    </row>
    <row r="49" spans="1:20" x14ac:dyDescent="0.25">
      <c r="A49">
        <v>1.646743258252527</v>
      </c>
      <c r="B49" t="s">
        <v>66</v>
      </c>
      <c r="C49">
        <v>1.154361718157079E-19</v>
      </c>
      <c r="D49">
        <v>0.194197505297486</v>
      </c>
      <c r="E49">
        <v>0.21749339651926711</v>
      </c>
      <c r="F49">
        <v>2.265471019178E-4</v>
      </c>
      <c r="G49">
        <v>3.8172236796590847E-11</v>
      </c>
      <c r="H49">
        <v>9.0302488187927604E-2</v>
      </c>
      <c r="I49">
        <v>0.91237952753039742</v>
      </c>
      <c r="J49">
        <v>0.50259378875560712</v>
      </c>
      <c r="K49">
        <v>2.7498375228506459E-7</v>
      </c>
      <c r="L49">
        <v>9.4999219193917503E-2</v>
      </c>
      <c r="M49">
        <v>1.709730363545984</v>
      </c>
      <c r="N49">
        <v>1.7386990856963991</v>
      </c>
      <c r="O49">
        <v>1.0037109079043101E-2</v>
      </c>
      <c r="P49">
        <v>2.2098325043230001E-3</v>
      </c>
      <c r="Q49">
        <v>5.2301788316503478E-5</v>
      </c>
      <c r="R49">
        <v>2.9577860106050071E-5</v>
      </c>
      <c r="S49" t="s">
        <v>33</v>
      </c>
      <c r="T49" t="s">
        <v>28</v>
      </c>
    </row>
    <row r="50" spans="1:20" x14ac:dyDescent="0.25">
      <c r="A50">
        <v>0.86909797129869359</v>
      </c>
      <c r="B50" t="s">
        <v>67</v>
      </c>
      <c r="C50">
        <v>1.5902782701908331E-19</v>
      </c>
      <c r="D50">
        <v>7.1320399309876298E-2</v>
      </c>
      <c r="E50">
        <v>0.15246090993907169</v>
      </c>
      <c r="F50">
        <v>1.9865565092069999E-4</v>
      </c>
      <c r="G50">
        <v>1.783968494227258E-10</v>
      </c>
      <c r="H50">
        <v>9.2904382684675907E-2</v>
      </c>
      <c r="I50">
        <v>0.17618718629030511</v>
      </c>
      <c r="J50">
        <v>0.27482536751677011</v>
      </c>
      <c r="K50">
        <v>2.3773559353639609E-7</v>
      </c>
      <c r="L50">
        <v>2.261994664941E-2</v>
      </c>
      <c r="M50">
        <v>0.75249697092807466</v>
      </c>
      <c r="N50">
        <v>0.57777401161171116</v>
      </c>
      <c r="O50">
        <v>8.6774736523630991E-3</v>
      </c>
      <c r="P50">
        <v>9.876757821053999E-4</v>
      </c>
      <c r="Q50">
        <v>2.193424523172071E-5</v>
      </c>
      <c r="R50">
        <v>2.4591267324276761E-5</v>
      </c>
      <c r="S50" t="s">
        <v>33</v>
      </c>
      <c r="T50" t="s">
        <v>28</v>
      </c>
    </row>
    <row r="51" spans="1:20" x14ac:dyDescent="0.25">
      <c r="A51">
        <v>3.875980677048231</v>
      </c>
      <c r="B51" t="s">
        <v>68</v>
      </c>
      <c r="C51">
        <v>2.1657652812874839E-18</v>
      </c>
      <c r="D51">
        <v>5.8135503079811301E-2</v>
      </c>
      <c r="E51">
        <v>0.85231281147070614</v>
      </c>
      <c r="F51">
        <v>1.1641760665965001E-3</v>
      </c>
      <c r="G51">
        <v>2.8706701934151298E-10</v>
      </c>
      <c r="H51">
        <v>0.55752798555684457</v>
      </c>
      <c r="I51">
        <v>4.9049249055614004</v>
      </c>
      <c r="J51">
        <v>1.195844663772051</v>
      </c>
      <c r="K51">
        <v>1.5005367516780881E-6</v>
      </c>
      <c r="L51">
        <v>1.7414411237743101E-2</v>
      </c>
      <c r="M51">
        <v>0.35032484282795501</v>
      </c>
      <c r="N51">
        <v>0.42251659613847797</v>
      </c>
      <c r="O51">
        <v>5.4770493757493703E-2</v>
      </c>
      <c r="P51">
        <v>2.1168149452758999E-3</v>
      </c>
      <c r="Q51">
        <v>1.7154555052050001E-4</v>
      </c>
      <c r="R51">
        <v>2.098650233915E-4</v>
      </c>
      <c r="S51" t="s">
        <v>33</v>
      </c>
      <c r="T51" t="s">
        <v>69</v>
      </c>
    </row>
    <row r="52" spans="1:20" x14ac:dyDescent="0.25">
      <c r="A52">
        <v>2.3355618347135452</v>
      </c>
      <c r="B52" t="s">
        <v>70</v>
      </c>
      <c r="C52">
        <v>6.9899117687793212E-19</v>
      </c>
      <c r="D52">
        <v>2.1444877110001401E-2</v>
      </c>
      <c r="E52">
        <v>0.31969291427921481</v>
      </c>
      <c r="F52">
        <v>3.8121531067200002E-4</v>
      </c>
      <c r="G52">
        <v>1.008943204729554E-10</v>
      </c>
      <c r="H52">
        <v>0.4341796855450577</v>
      </c>
      <c r="I52">
        <v>6.780647495320812</v>
      </c>
      <c r="J52">
        <v>0.72037946635882422</v>
      </c>
      <c r="K52">
        <v>4.8829457396204039E-7</v>
      </c>
      <c r="L52">
        <v>6.6434292570262E-3</v>
      </c>
      <c r="M52">
        <v>0.15950768238903759</v>
      </c>
      <c r="N52">
        <v>0.15915535606288561</v>
      </c>
      <c r="O52">
        <v>1.78230771211473E-2</v>
      </c>
      <c r="P52">
        <v>7.1852704606150005E-4</v>
      </c>
      <c r="Q52">
        <v>1.296147141826E-4</v>
      </c>
      <c r="R52">
        <v>7.1193364857691376E-5</v>
      </c>
      <c r="S52" t="s">
        <v>33</v>
      </c>
      <c r="T52" t="s">
        <v>69</v>
      </c>
    </row>
    <row r="53" spans="1:20" x14ac:dyDescent="0.25">
      <c r="A53">
        <v>8.0236845823776493E-2</v>
      </c>
      <c r="B53" t="s">
        <v>71</v>
      </c>
      <c r="C53">
        <v>1.5295789359210311E-20</v>
      </c>
      <c r="D53">
        <v>2.6990536643603001E-3</v>
      </c>
      <c r="E53">
        <v>7.0233739921779998E-3</v>
      </c>
      <c r="F53">
        <v>8.0166163486593178E-6</v>
      </c>
      <c r="G53">
        <v>1.1289907931019749E-12</v>
      </c>
      <c r="H53">
        <v>8.2883934793706003E-3</v>
      </c>
      <c r="I53">
        <v>0.13121990717035029</v>
      </c>
      <c r="J53">
        <v>2.5339633214488101E-2</v>
      </c>
      <c r="K53">
        <v>1.000822141966458E-8</v>
      </c>
      <c r="L53">
        <v>8.9888734605780005E-4</v>
      </c>
      <c r="M53">
        <v>2.80771030769351E-2</v>
      </c>
      <c r="N53">
        <v>2.1905050817523902E-2</v>
      </c>
      <c r="O53">
        <v>3.6531105278110002E-4</v>
      </c>
      <c r="P53">
        <v>4.4286688987836318E-6</v>
      </c>
      <c r="Q53">
        <v>3.6164243087057117E-7</v>
      </c>
      <c r="R53">
        <v>1.50552341516403E-6</v>
      </c>
      <c r="S53" t="s">
        <v>33</v>
      </c>
      <c r="T53" t="s">
        <v>27</v>
      </c>
    </row>
    <row r="54" spans="1:20" x14ac:dyDescent="0.25">
      <c r="A54">
        <v>0.21537680545680299</v>
      </c>
      <c r="B54" t="s">
        <v>72</v>
      </c>
      <c r="C54">
        <v>1.7215937555609781E-19</v>
      </c>
      <c r="D54">
        <v>3.8674494531674001E-3</v>
      </c>
      <c r="E54">
        <v>3.6435105118395997E-2</v>
      </c>
      <c r="F54">
        <v>3.2726341300356769E-5</v>
      </c>
      <c r="G54">
        <v>1.095472121801161E-10</v>
      </c>
      <c r="H54">
        <v>6.5079172873744998E-2</v>
      </c>
      <c r="I54">
        <v>0.2162988018888308</v>
      </c>
      <c r="J54">
        <v>6.3663280757006696E-2</v>
      </c>
      <c r="K54">
        <v>6.7497733717482114E-8</v>
      </c>
      <c r="L54">
        <v>1.5551452098873E-3</v>
      </c>
      <c r="M54">
        <v>1.44851962099067E-2</v>
      </c>
      <c r="N54">
        <v>3.1378354758162703E-2</v>
      </c>
      <c r="O54">
        <v>2.4637912850221E-3</v>
      </c>
      <c r="P54">
        <v>6.1096729902840004E-4</v>
      </c>
      <c r="Q54">
        <v>1.490257756615963E-5</v>
      </c>
      <c r="R54">
        <v>1.028741890723218E-5</v>
      </c>
      <c r="S54" t="s">
        <v>33</v>
      </c>
      <c r="T54" t="s">
        <v>27</v>
      </c>
    </row>
    <row r="55" spans="1:20" x14ac:dyDescent="0.25">
      <c r="A55">
        <v>0.3287568516594247</v>
      </c>
      <c r="B55" t="s">
        <v>73</v>
      </c>
      <c r="C55">
        <v>8.6794502333009802E-20</v>
      </c>
      <c r="D55">
        <v>4.4329447609713999E-3</v>
      </c>
      <c r="E55">
        <v>4.5346122289232703E-2</v>
      </c>
      <c r="F55">
        <v>1.8572117650080651E-5</v>
      </c>
      <c r="G55">
        <v>6.5332550023951513E-11</v>
      </c>
      <c r="H55">
        <v>3.8367397175759502E-2</v>
      </c>
      <c r="I55">
        <v>4.0930814208621401E-2</v>
      </c>
      <c r="J55">
        <v>9.6641549551259809E-2</v>
      </c>
      <c r="K55">
        <v>9.3351927698531079E-8</v>
      </c>
      <c r="L55">
        <v>2.1657537038290002E-3</v>
      </c>
      <c r="M55">
        <v>6.3994740081202003E-3</v>
      </c>
      <c r="N55">
        <v>3.8002506654377197E-2</v>
      </c>
      <c r="O55">
        <v>3.4074386269709002E-3</v>
      </c>
      <c r="P55">
        <v>1.6569461641806E-3</v>
      </c>
      <c r="Q55">
        <v>4.3929570412428939E-5</v>
      </c>
      <c r="R55">
        <v>2.90432948720664E-5</v>
      </c>
      <c r="S55" t="s">
        <v>33</v>
      </c>
      <c r="T55" t="s">
        <v>27</v>
      </c>
    </row>
    <row r="56" spans="1:20" x14ac:dyDescent="0.25">
      <c r="A56">
        <v>14.49076298215868</v>
      </c>
      <c r="B56" t="s">
        <v>74</v>
      </c>
      <c r="C56">
        <v>2.9539126300387448E-19</v>
      </c>
      <c r="D56">
        <v>0.19621101058207499</v>
      </c>
      <c r="E56">
        <v>0.98751294448470772</v>
      </c>
      <c r="F56">
        <v>2.038584103936E-4</v>
      </c>
      <c r="G56">
        <v>1.9821566739120039E-10</v>
      </c>
      <c r="H56">
        <v>0.75948043831381551</v>
      </c>
      <c r="I56">
        <v>14.540913127072971</v>
      </c>
      <c r="J56">
        <v>4.4826337534800684</v>
      </c>
      <c r="K56">
        <v>4.654743897377102E-7</v>
      </c>
      <c r="L56">
        <v>8.2884982968031595E-2</v>
      </c>
      <c r="M56">
        <v>0.89209969938996825</v>
      </c>
      <c r="N56">
        <v>1.6396828689138181</v>
      </c>
      <c r="O56">
        <v>1.6991107631411099E-2</v>
      </c>
      <c r="P56">
        <v>1.4264000244114999E-3</v>
      </c>
      <c r="Q56">
        <v>1.7633467713724E-3</v>
      </c>
      <c r="R56">
        <v>1.5816874193198E-3</v>
      </c>
      <c r="S56" t="s">
        <v>33</v>
      </c>
      <c r="T56" t="s">
        <v>30</v>
      </c>
    </row>
    <row r="57" spans="1:20" x14ac:dyDescent="0.25">
      <c r="A57">
        <v>7.9522055614049183</v>
      </c>
      <c r="B57" t="s">
        <v>75</v>
      </c>
      <c r="C57">
        <v>1.626847468364881E-19</v>
      </c>
      <c r="D57">
        <v>0.1869779904174925</v>
      </c>
      <c r="E57">
        <v>0.53012424942225711</v>
      </c>
      <c r="F57">
        <v>1.120187880213E-4</v>
      </c>
      <c r="G57">
        <v>1.0899438588025071E-10</v>
      </c>
      <c r="H57">
        <v>0.28961978060711407</v>
      </c>
      <c r="I57">
        <v>5.4117960244561827</v>
      </c>
      <c r="J57">
        <v>2.4377282922933641</v>
      </c>
      <c r="K57">
        <v>2.5813116202809521E-7</v>
      </c>
      <c r="L57">
        <v>5.2426412092951097E-2</v>
      </c>
      <c r="M57">
        <v>0.7048765721278023</v>
      </c>
      <c r="N57">
        <v>1.4050905548598349</v>
      </c>
      <c r="O57">
        <v>9.4223817802362997E-3</v>
      </c>
      <c r="P57">
        <v>7.9558334913419995E-4</v>
      </c>
      <c r="Q57">
        <v>5.9672839552770004E-4</v>
      </c>
      <c r="R57">
        <v>8.8268825305730001E-4</v>
      </c>
      <c r="S57" t="s">
        <v>33</v>
      </c>
      <c r="T57" t="s">
        <v>30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K57"/>
  <sheetViews>
    <sheetView workbookViewId="0"/>
  </sheetViews>
  <sheetFormatPr baseColWidth="10" defaultColWidth="9.140625" defaultRowHeight="15" x14ac:dyDescent="0.25"/>
  <sheetData>
    <row r="1" spans="1:11" x14ac:dyDescent="0.25">
      <c r="A1" s="1" t="s">
        <v>0</v>
      </c>
      <c r="B1" s="1" t="s">
        <v>1</v>
      </c>
      <c r="C1" s="1" t="s">
        <v>76</v>
      </c>
      <c r="D1" s="1" t="s">
        <v>77</v>
      </c>
      <c r="E1" s="1" t="s">
        <v>6</v>
      </c>
      <c r="F1" s="1" t="s">
        <v>78</v>
      </c>
      <c r="G1" s="1" t="s">
        <v>79</v>
      </c>
      <c r="H1" s="1" t="s">
        <v>12</v>
      </c>
      <c r="I1" s="1" t="s">
        <v>80</v>
      </c>
      <c r="J1" s="1" t="s">
        <v>18</v>
      </c>
      <c r="K1" s="1" t="s">
        <v>19</v>
      </c>
    </row>
    <row r="2" spans="1:11" x14ac:dyDescent="0.25">
      <c r="A2">
        <v>7.2316659012806106E-6</v>
      </c>
      <c r="B2" t="s">
        <v>20</v>
      </c>
      <c r="C2">
        <v>2.9264619861949851E-6</v>
      </c>
      <c r="D2">
        <v>4.2767182510420011E-7</v>
      </c>
      <c r="E2">
        <v>2.3559124021514028E-9</v>
      </c>
      <c r="F2">
        <v>1.575599106003816E-11</v>
      </c>
      <c r="G2">
        <v>9.8617646012384059E-7</v>
      </c>
      <c r="H2">
        <v>5.438528578284332E-9</v>
      </c>
      <c r="I2">
        <v>2.5763906586482358E-6</v>
      </c>
      <c r="J2" t="s">
        <v>21</v>
      </c>
      <c r="K2" t="s">
        <v>22</v>
      </c>
    </row>
    <row r="3" spans="1:11" x14ac:dyDescent="0.25">
      <c r="A3">
        <v>8.3001447928380131E-6</v>
      </c>
      <c r="B3" t="s">
        <v>23</v>
      </c>
      <c r="C3">
        <v>7.9869159208296462E-7</v>
      </c>
      <c r="D3">
        <v>5.6200184072477346E-7</v>
      </c>
      <c r="E3">
        <v>1.286584761659139E-8</v>
      </c>
      <c r="F3">
        <v>1.718800732050986E-11</v>
      </c>
      <c r="G3">
        <v>3.0547210708865658E-6</v>
      </c>
      <c r="H3">
        <v>1.8123086096959399E-8</v>
      </c>
      <c r="I3">
        <v>4.6651128517151124E-6</v>
      </c>
      <c r="J3" t="s">
        <v>21</v>
      </c>
      <c r="K3" t="s">
        <v>22</v>
      </c>
    </row>
    <row r="4" spans="1:11" x14ac:dyDescent="0.25">
      <c r="A4">
        <v>2.0121672850087001E-2</v>
      </c>
      <c r="B4" t="s">
        <v>24</v>
      </c>
      <c r="C4">
        <v>8.1427034563321E-3</v>
      </c>
      <c r="D4">
        <v>1.1899709994088699E-3</v>
      </c>
      <c r="E4">
        <v>6.5551839898116378E-6</v>
      </c>
      <c r="F4">
        <v>4.3840092122783372E-8</v>
      </c>
      <c r="G4">
        <v>2.7439763327497999E-3</v>
      </c>
      <c r="H4">
        <v>1.5132376761425389E-5</v>
      </c>
      <c r="I4">
        <v>7.1686515666593001E-3</v>
      </c>
      <c r="J4" t="s">
        <v>21</v>
      </c>
      <c r="K4" t="s">
        <v>25</v>
      </c>
    </row>
    <row r="5" spans="1:11" x14ac:dyDescent="0.25">
      <c r="A5">
        <v>3.2362595559596889E-6</v>
      </c>
      <c r="B5" t="s">
        <v>26</v>
      </c>
      <c r="C5">
        <v>1.309627811363107E-6</v>
      </c>
      <c r="D5">
        <v>1.913884104566177E-7</v>
      </c>
      <c r="E5">
        <v>1.054299804997882E-9</v>
      </c>
      <c r="F5">
        <v>7.051000074190799E-12</v>
      </c>
      <c r="G5">
        <v>4.4132610654666771E-7</v>
      </c>
      <c r="H5">
        <v>2.4338084618468082E-9</v>
      </c>
      <c r="I5">
        <v>1.152966548262032E-6</v>
      </c>
      <c r="J5" t="s">
        <v>21</v>
      </c>
      <c r="K5" t="s">
        <v>26</v>
      </c>
    </row>
    <row r="6" spans="1:11" x14ac:dyDescent="0.25">
      <c r="A6">
        <v>3.2706878858617221E-6</v>
      </c>
      <c r="B6" t="s">
        <v>27</v>
      </c>
      <c r="C6">
        <v>1.3235599583916991E-6</v>
      </c>
      <c r="D6">
        <v>1.9342445730383791E-7</v>
      </c>
      <c r="E6">
        <v>1.0655157665623569E-9</v>
      </c>
      <c r="F6">
        <v>7.1260108110165682E-12</v>
      </c>
      <c r="G6">
        <v>4.460210732632338E-7</v>
      </c>
      <c r="H6">
        <v>2.459700094379209E-9</v>
      </c>
      <c r="I6">
        <v>1.165232153160865E-6</v>
      </c>
      <c r="J6" t="s">
        <v>21</v>
      </c>
      <c r="K6" t="s">
        <v>27</v>
      </c>
    </row>
    <row r="7" spans="1:11" x14ac:dyDescent="0.25">
      <c r="A7">
        <v>3.415216743686185E-6</v>
      </c>
      <c r="B7" t="s">
        <v>28</v>
      </c>
      <c r="C7">
        <v>9.1856359484262438E-8</v>
      </c>
      <c r="D7">
        <v>4.260088912191909E-8</v>
      </c>
      <c r="E7">
        <v>1.821170398174475E-10</v>
      </c>
      <c r="F7">
        <v>7.9134938733059792E-12</v>
      </c>
      <c r="G7">
        <v>5.1171272086196369E-7</v>
      </c>
      <c r="H7">
        <v>2.9209350934467229E-9</v>
      </c>
      <c r="I7">
        <v>1.689381054087356E-7</v>
      </c>
      <c r="J7" t="s">
        <v>21</v>
      </c>
      <c r="K7" t="s">
        <v>28</v>
      </c>
    </row>
    <row r="8" spans="1:11" x14ac:dyDescent="0.25">
      <c r="A8">
        <v>7.2684614176520002E-4</v>
      </c>
      <c r="B8" t="s">
        <v>29</v>
      </c>
      <c r="C8">
        <v>9.317267180589746E-4</v>
      </c>
      <c r="D8">
        <v>8.3827510133463299E-5</v>
      </c>
      <c r="E8">
        <v>8.6287405780819998E-4</v>
      </c>
      <c r="F8">
        <v>1.639585071960609E-9</v>
      </c>
      <c r="G8">
        <v>3.6069785521610002E-4</v>
      </c>
      <c r="H8">
        <v>9.183413699047738E-7</v>
      </c>
      <c r="I8">
        <v>5.1268034162436922E-5</v>
      </c>
      <c r="J8" t="s">
        <v>21</v>
      </c>
      <c r="K8" t="s">
        <v>30</v>
      </c>
    </row>
    <row r="9" spans="1:11" x14ac:dyDescent="0.25">
      <c r="A9">
        <v>1.0250485076797289E-5</v>
      </c>
      <c r="B9" t="s">
        <v>20</v>
      </c>
      <c r="C9">
        <v>2.9856740683665421E-6</v>
      </c>
      <c r="D9">
        <v>4.8036528343258062E-7</v>
      </c>
      <c r="E9">
        <v>2.429637684408909E-8</v>
      </c>
      <c r="F9">
        <v>2.8071498632028891E-11</v>
      </c>
      <c r="G9">
        <v>6.4608095638464122E-6</v>
      </c>
      <c r="H9">
        <v>5.7607874514598898E-9</v>
      </c>
      <c r="I9">
        <v>5.0565935688612607E-8</v>
      </c>
      <c r="J9" t="s">
        <v>31</v>
      </c>
      <c r="K9" t="s">
        <v>22</v>
      </c>
    </row>
    <row r="10" spans="1:11" x14ac:dyDescent="0.25">
      <c r="A10">
        <v>8.4425461535398328E-6</v>
      </c>
      <c r="B10" t="s">
        <v>23</v>
      </c>
      <c r="C10">
        <v>8.2598768919738275E-7</v>
      </c>
      <c r="D10">
        <v>5.9207311582305906E-7</v>
      </c>
      <c r="E10">
        <v>1.277743533778082E-8</v>
      </c>
      <c r="F10">
        <v>2.0730570646338631E-11</v>
      </c>
      <c r="G10">
        <v>4.4050973396467867E-5</v>
      </c>
      <c r="H10">
        <v>1.834937318858873E-8</v>
      </c>
      <c r="I10">
        <v>1.530832235031708E-7</v>
      </c>
      <c r="J10" t="s">
        <v>31</v>
      </c>
      <c r="K10" t="s">
        <v>22</v>
      </c>
    </row>
    <row r="11" spans="1:11" x14ac:dyDescent="0.25">
      <c r="A11">
        <v>2.8521355188319199E-2</v>
      </c>
      <c r="B11" t="s">
        <v>24</v>
      </c>
      <c r="C11">
        <v>8.307457500176401E-3</v>
      </c>
      <c r="D11">
        <v>1.336587367644403E-3</v>
      </c>
      <c r="E11">
        <v>6.7603202693110976E-5</v>
      </c>
      <c r="F11">
        <v>7.8107248724987185E-8</v>
      </c>
      <c r="G11">
        <v>1.7976811556831399E-2</v>
      </c>
      <c r="H11">
        <v>1.6029042696636491E-5</v>
      </c>
      <c r="I11">
        <v>1.4069665901930001E-4</v>
      </c>
      <c r="J11" t="s">
        <v>31</v>
      </c>
      <c r="K11" t="s">
        <v>25</v>
      </c>
    </row>
    <row r="12" spans="1:11" x14ac:dyDescent="0.25">
      <c r="A12">
        <v>4.5872182996932858E-6</v>
      </c>
      <c r="B12" t="s">
        <v>26</v>
      </c>
      <c r="C12">
        <v>1.3361259471175921E-6</v>
      </c>
      <c r="D12">
        <v>2.1496938241289101E-7</v>
      </c>
      <c r="E12">
        <v>1.087292777763404E-8</v>
      </c>
      <c r="F12">
        <v>1.256234140249743E-11</v>
      </c>
      <c r="G12">
        <v>2.8912917763904978E-6</v>
      </c>
      <c r="H12">
        <v>2.5780232728610251E-9</v>
      </c>
      <c r="I12">
        <v>2.2628878892307809E-8</v>
      </c>
      <c r="J12" t="s">
        <v>31</v>
      </c>
      <c r="K12" t="s">
        <v>26</v>
      </c>
    </row>
    <row r="13" spans="1:11" x14ac:dyDescent="0.25">
      <c r="A13">
        <v>4.6360185106379994E-6</v>
      </c>
      <c r="B13" t="s">
        <v>27</v>
      </c>
      <c r="C13">
        <v>1.350339988737087E-6</v>
      </c>
      <c r="D13">
        <v>2.1725629082383289E-7</v>
      </c>
      <c r="E13">
        <v>1.098859716708281E-8</v>
      </c>
      <c r="F13">
        <v>1.2695983346872261E-11</v>
      </c>
      <c r="G13">
        <v>2.9220502330639139E-6</v>
      </c>
      <c r="H13">
        <v>2.6054491025775978E-9</v>
      </c>
      <c r="I13">
        <v>2.2869611964525441E-8</v>
      </c>
      <c r="J13" t="s">
        <v>31</v>
      </c>
      <c r="K13" t="s">
        <v>27</v>
      </c>
    </row>
    <row r="14" spans="1:11" x14ac:dyDescent="0.25">
      <c r="A14">
        <v>3.1515047270375948E-6</v>
      </c>
      <c r="B14" t="s">
        <v>28</v>
      </c>
      <c r="C14">
        <v>9.0267130692805657E-8</v>
      </c>
      <c r="D14">
        <v>4.0998828667569529E-8</v>
      </c>
      <c r="E14">
        <v>2.5723854554443478E-10</v>
      </c>
      <c r="F14">
        <v>8.6846173653234812E-12</v>
      </c>
      <c r="G14">
        <v>5.2369085350882074E-6</v>
      </c>
      <c r="H14">
        <v>2.7948788183136479E-9</v>
      </c>
      <c r="I14">
        <v>1.324311225850562E-8</v>
      </c>
      <c r="J14" t="s">
        <v>31</v>
      </c>
      <c r="K14" t="s">
        <v>28</v>
      </c>
    </row>
    <row r="15" spans="1:11" x14ac:dyDescent="0.25">
      <c r="A15">
        <v>5.6333688535920002E-4</v>
      </c>
      <c r="B15" t="s">
        <v>29</v>
      </c>
      <c r="C15">
        <v>9.1646223814971083E-4</v>
      </c>
      <c r="D15">
        <v>8.7248951590288923E-5</v>
      </c>
      <c r="E15">
        <v>8.6290664403949999E-4</v>
      </c>
      <c r="F15">
        <v>1.7820129387481169E-9</v>
      </c>
      <c r="G15">
        <v>1.3504378524956001E-3</v>
      </c>
      <c r="H15">
        <v>8.579361878449744E-7</v>
      </c>
      <c r="I15">
        <v>6.2266006630937718E-6</v>
      </c>
      <c r="J15" t="s">
        <v>31</v>
      </c>
      <c r="K15" t="s">
        <v>30</v>
      </c>
    </row>
    <row r="16" spans="1:11" x14ac:dyDescent="0.25">
      <c r="A16">
        <v>1.4586043184895369E-5</v>
      </c>
      <c r="B16" t="s">
        <v>32</v>
      </c>
      <c r="C16">
        <v>7.8541643983297956E-7</v>
      </c>
      <c r="D16">
        <v>6.1708207667964238E-7</v>
      </c>
      <c r="E16">
        <v>7.3966339127425551E-10</v>
      </c>
      <c r="F16">
        <v>3.4336066676039443E-11</v>
      </c>
      <c r="G16">
        <v>1.2716539530439999E-4</v>
      </c>
      <c r="H16">
        <v>8.4996099477064901E-9</v>
      </c>
      <c r="I16">
        <v>5.6086539406003917E-6</v>
      </c>
      <c r="J16" t="s">
        <v>33</v>
      </c>
      <c r="K16" t="s">
        <v>22</v>
      </c>
    </row>
    <row r="17" spans="1:11" x14ac:dyDescent="0.25">
      <c r="A17">
        <v>1.23266673837213E-5</v>
      </c>
      <c r="B17" t="s">
        <v>34</v>
      </c>
      <c r="C17">
        <v>2.9290213109210158E-7</v>
      </c>
      <c r="D17">
        <v>8.5768921057895019E-7</v>
      </c>
      <c r="E17">
        <v>1.025831205325264E-9</v>
      </c>
      <c r="F17">
        <v>3.1975564259252913E-11</v>
      </c>
      <c r="G17">
        <v>1.1117435111111529E-5</v>
      </c>
      <c r="H17">
        <v>8.4285074531725006E-9</v>
      </c>
      <c r="I17">
        <v>4.9444455701560196E-6</v>
      </c>
      <c r="J17" t="s">
        <v>33</v>
      </c>
      <c r="K17" t="s">
        <v>22</v>
      </c>
    </row>
    <row r="18" spans="1:11" x14ac:dyDescent="0.25">
      <c r="A18">
        <v>7.4277185324402631E-6</v>
      </c>
      <c r="B18" t="s">
        <v>35</v>
      </c>
      <c r="C18">
        <v>1.1123001419300689E-7</v>
      </c>
      <c r="D18">
        <v>2.7794816532348499E-7</v>
      </c>
      <c r="E18">
        <v>3.5955325900829472E-10</v>
      </c>
      <c r="F18">
        <v>1.706363133079459E-11</v>
      </c>
      <c r="G18">
        <v>7.5863746592203305E-5</v>
      </c>
      <c r="H18">
        <v>3.7395294198763317E-9</v>
      </c>
      <c r="I18">
        <v>3.7358760104941422E-6</v>
      </c>
      <c r="J18" t="s">
        <v>33</v>
      </c>
      <c r="K18" t="s">
        <v>22</v>
      </c>
    </row>
    <row r="19" spans="1:11" x14ac:dyDescent="0.25">
      <c r="A19">
        <v>1.2934840388359249E-5</v>
      </c>
      <c r="B19" t="s">
        <v>36</v>
      </c>
      <c r="C19">
        <v>2.123292122995326E-6</v>
      </c>
      <c r="D19">
        <v>1.2799639195986459E-6</v>
      </c>
      <c r="E19">
        <v>8.3923622343518658E-10</v>
      </c>
      <c r="F19">
        <v>3.0364551650380543E-11</v>
      </c>
      <c r="G19">
        <v>1.6545740926801381E-6</v>
      </c>
      <c r="H19">
        <v>5.7509924286248082E-9</v>
      </c>
      <c r="I19">
        <v>1.290460547343468E-5</v>
      </c>
      <c r="J19" t="s">
        <v>33</v>
      </c>
      <c r="K19" t="s">
        <v>22</v>
      </c>
    </row>
    <row r="20" spans="1:11" x14ac:dyDescent="0.25">
      <c r="A20">
        <v>1.441606550277141E-5</v>
      </c>
      <c r="B20" t="s">
        <v>37</v>
      </c>
      <c r="C20">
        <v>4.734677006825764E-7</v>
      </c>
      <c r="D20">
        <v>7.1615726947651079E-7</v>
      </c>
      <c r="E20">
        <v>7.7780590878166739E-10</v>
      </c>
      <c r="F20">
        <v>3.3891327588659188E-11</v>
      </c>
      <c r="G20">
        <v>4.3263951474250688E-5</v>
      </c>
      <c r="H20">
        <v>1.3298089389432539E-7</v>
      </c>
      <c r="I20">
        <v>6.3299135819238294E-6</v>
      </c>
      <c r="J20" t="s">
        <v>33</v>
      </c>
      <c r="K20" t="s">
        <v>22</v>
      </c>
    </row>
    <row r="21" spans="1:11" x14ac:dyDescent="0.25">
      <c r="A21">
        <v>1.528502530055749E-5</v>
      </c>
      <c r="B21" t="s">
        <v>38</v>
      </c>
      <c r="C21">
        <v>5.9154873128985534E-7</v>
      </c>
      <c r="D21">
        <v>9.6532815552521597E-7</v>
      </c>
      <c r="E21">
        <v>3.761942254058248E-9</v>
      </c>
      <c r="F21">
        <v>3.6543822749195963E-11</v>
      </c>
      <c r="G21">
        <v>1.8552744711609781E-6</v>
      </c>
      <c r="H21">
        <v>3.7002986860920091E-9</v>
      </c>
      <c r="I21">
        <v>7.2503259061966561E-6</v>
      </c>
      <c r="J21" t="s">
        <v>33</v>
      </c>
      <c r="K21" t="s">
        <v>22</v>
      </c>
    </row>
    <row r="22" spans="1:11" x14ac:dyDescent="0.25">
      <c r="A22">
        <v>2.8927505958104692E-6</v>
      </c>
      <c r="B22" t="s">
        <v>39</v>
      </c>
      <c r="C22">
        <v>3.507562425523564E-7</v>
      </c>
      <c r="D22">
        <v>7.3476586571980078E-8</v>
      </c>
      <c r="E22">
        <v>4.6070710924859843E-11</v>
      </c>
      <c r="F22">
        <v>1.069055850033588E-12</v>
      </c>
      <c r="G22">
        <v>4.1586795267067822E-6</v>
      </c>
      <c r="H22">
        <v>7.8356796485334744E-9</v>
      </c>
      <c r="I22">
        <v>1.181654705882503E-7</v>
      </c>
      <c r="J22" t="s">
        <v>33</v>
      </c>
      <c r="K22" t="s">
        <v>22</v>
      </c>
    </row>
    <row r="23" spans="1:11" x14ac:dyDescent="0.25">
      <c r="A23">
        <v>7.7649034637679882E-6</v>
      </c>
      <c r="B23" t="s">
        <v>40</v>
      </c>
      <c r="C23">
        <v>2.5031709142951158E-7</v>
      </c>
      <c r="D23">
        <v>2.2852388498034261E-7</v>
      </c>
      <c r="E23">
        <v>2.921263022115883E-9</v>
      </c>
      <c r="F23">
        <v>1.728020426047475E-11</v>
      </c>
      <c r="G23">
        <v>2.170364942309353E-6</v>
      </c>
      <c r="H23">
        <v>3.9269235810313587E-9</v>
      </c>
      <c r="I23">
        <v>4.8693681211906589E-6</v>
      </c>
      <c r="J23" t="s">
        <v>33</v>
      </c>
      <c r="K23" t="s">
        <v>22</v>
      </c>
    </row>
    <row r="24" spans="1:11" x14ac:dyDescent="0.25">
      <c r="A24">
        <v>4.0218363501590797E-6</v>
      </c>
      <c r="B24" t="s">
        <v>41</v>
      </c>
      <c r="C24">
        <v>1.202018472111299E-7</v>
      </c>
      <c r="D24">
        <v>1.345190616468442E-7</v>
      </c>
      <c r="E24">
        <v>2.6140652903396919E-10</v>
      </c>
      <c r="F24">
        <v>9.7633112950271879E-12</v>
      </c>
      <c r="G24">
        <v>1.730445640832912E-6</v>
      </c>
      <c r="H24">
        <v>7.0547112937625444E-10</v>
      </c>
      <c r="I24">
        <v>2.2961384963031368E-6</v>
      </c>
      <c r="J24" t="s">
        <v>33</v>
      </c>
      <c r="K24" t="s">
        <v>22</v>
      </c>
    </row>
    <row r="25" spans="1:11" x14ac:dyDescent="0.25">
      <c r="A25">
        <v>1.185255417712127E-5</v>
      </c>
      <c r="B25" t="s">
        <v>42</v>
      </c>
      <c r="C25">
        <v>5.9915334685288317E-7</v>
      </c>
      <c r="D25">
        <v>1.8877242651069549E-7</v>
      </c>
      <c r="E25">
        <v>2.597475563137066E-9</v>
      </c>
      <c r="F25">
        <v>1.8731873915992011E-11</v>
      </c>
      <c r="G25">
        <v>3.1766967153623379E-6</v>
      </c>
      <c r="H25">
        <v>1.702688181404265E-9</v>
      </c>
      <c r="I25">
        <v>1.435384253008903E-5</v>
      </c>
      <c r="J25" t="s">
        <v>33</v>
      </c>
      <c r="K25" t="s">
        <v>22</v>
      </c>
    </row>
    <row r="26" spans="1:11" x14ac:dyDescent="0.25">
      <c r="A26">
        <v>0.12301811288422911</v>
      </c>
      <c r="B26" t="s">
        <v>43</v>
      </c>
      <c r="C26">
        <v>2.0413673254477901E-2</v>
      </c>
      <c r="D26">
        <v>2.2546174447261001E-3</v>
      </c>
      <c r="E26">
        <v>2.2127589233205099E-5</v>
      </c>
      <c r="F26">
        <v>2.9094641353885362E-7</v>
      </c>
      <c r="G26">
        <v>1.7898973060885899E-2</v>
      </c>
      <c r="H26">
        <v>1.6152613651627231E-5</v>
      </c>
      <c r="I26">
        <v>3.0360150499738801E-2</v>
      </c>
      <c r="J26" t="s">
        <v>33</v>
      </c>
      <c r="K26" t="s">
        <v>25</v>
      </c>
    </row>
    <row r="27" spans="1:11" x14ac:dyDescent="0.25">
      <c r="A27">
        <v>7.7762386108920001E-2</v>
      </c>
      <c r="B27" t="s">
        <v>44</v>
      </c>
      <c r="C27">
        <v>9.2694462247153997E-3</v>
      </c>
      <c r="D27">
        <v>3.3966998813552999E-3</v>
      </c>
      <c r="E27">
        <v>4.6303846626179998E-4</v>
      </c>
      <c r="F27">
        <v>1.7672621731254839E-7</v>
      </c>
      <c r="G27">
        <v>2.3125859458537901E-2</v>
      </c>
      <c r="H27">
        <v>1.1880824579120001E-4</v>
      </c>
      <c r="I27">
        <v>2.66285768339087E-2</v>
      </c>
      <c r="J27" t="s">
        <v>33</v>
      </c>
      <c r="K27" t="s">
        <v>25</v>
      </c>
    </row>
    <row r="28" spans="1:11" x14ac:dyDescent="0.25">
      <c r="A28">
        <v>0.11092336038284541</v>
      </c>
      <c r="B28" t="s">
        <v>45</v>
      </c>
      <c r="C28">
        <v>2.3289061362907E-3</v>
      </c>
      <c r="D28">
        <v>1.9731923975046788E-3</v>
      </c>
      <c r="E28">
        <v>2.7301830087500679E-6</v>
      </c>
      <c r="F28">
        <v>6.6478299358384849E-8</v>
      </c>
      <c r="G28">
        <v>9.6760776187461595E-2</v>
      </c>
      <c r="H28">
        <v>8.7785537363010003E-4</v>
      </c>
      <c r="I28">
        <v>6.5423360373024998E-3</v>
      </c>
      <c r="J28" t="s">
        <v>33</v>
      </c>
      <c r="K28" t="s">
        <v>25</v>
      </c>
    </row>
    <row r="29" spans="1:11" x14ac:dyDescent="0.25">
      <c r="A29">
        <v>0.35327430443218849</v>
      </c>
      <c r="B29" t="s">
        <v>46</v>
      </c>
      <c r="C29">
        <v>7.7401540078193996E-3</v>
      </c>
      <c r="D29">
        <v>8.3820703063370999E-3</v>
      </c>
      <c r="E29">
        <v>2.7489558178939999E-3</v>
      </c>
      <c r="F29">
        <v>8.3980298633302384E-7</v>
      </c>
      <c r="G29">
        <v>0.14206795692936941</v>
      </c>
      <c r="H29">
        <v>9.9654466682032514E-5</v>
      </c>
      <c r="I29">
        <v>0.1468884496967604</v>
      </c>
      <c r="J29" t="s">
        <v>33</v>
      </c>
      <c r="K29" t="s">
        <v>25</v>
      </c>
    </row>
    <row r="30" spans="1:11" x14ac:dyDescent="0.25">
      <c r="A30">
        <v>0.17834900625984801</v>
      </c>
      <c r="B30" t="s">
        <v>47</v>
      </c>
      <c r="C30">
        <v>5.2734303448687993E-3</v>
      </c>
      <c r="D30">
        <v>3.4049671435681002E-3</v>
      </c>
      <c r="E30">
        <v>5.902711790350133E-6</v>
      </c>
      <c r="F30">
        <v>5.496672821160574E-7</v>
      </c>
      <c r="G30">
        <v>0.1282992227887495</v>
      </c>
      <c r="H30">
        <v>1.2735304507685999E-3</v>
      </c>
      <c r="I30">
        <v>1.39225809576311E-2</v>
      </c>
      <c r="J30" t="s">
        <v>33</v>
      </c>
      <c r="K30" t="s">
        <v>25</v>
      </c>
    </row>
    <row r="31" spans="1:11" x14ac:dyDescent="0.25">
      <c r="A31">
        <v>0.15625408626245599</v>
      </c>
      <c r="B31" t="s">
        <v>48</v>
      </c>
      <c r="C31">
        <v>0.62289204705516943</v>
      </c>
      <c r="D31">
        <v>2.5180908860477798E-2</v>
      </c>
      <c r="E31">
        <v>6.6591308493739996E-4</v>
      </c>
      <c r="F31">
        <v>2.8872435063163629E-7</v>
      </c>
      <c r="G31">
        <v>8.9690693220743606E-2</v>
      </c>
      <c r="H31">
        <v>4.2463674777150202E-5</v>
      </c>
      <c r="I31">
        <v>7.2470356256572693E-2</v>
      </c>
      <c r="J31" t="s">
        <v>33</v>
      </c>
      <c r="K31" t="s">
        <v>25</v>
      </c>
    </row>
    <row r="32" spans="1:11" x14ac:dyDescent="0.25">
      <c r="A32">
        <v>0.11293578013549969</v>
      </c>
      <c r="B32" t="s">
        <v>49</v>
      </c>
      <c r="C32">
        <v>2.9972187981273002E-3</v>
      </c>
      <c r="D32">
        <v>6.4612523282346996E-3</v>
      </c>
      <c r="E32">
        <v>1.8106499726449551E-5</v>
      </c>
      <c r="F32">
        <v>3.0704837990113361E-7</v>
      </c>
      <c r="G32">
        <v>9.9120697252873494E-2</v>
      </c>
      <c r="H32">
        <v>2.135427343846E-4</v>
      </c>
      <c r="I32">
        <v>5.0163651241006399E-2</v>
      </c>
      <c r="J32" t="s">
        <v>33</v>
      </c>
      <c r="K32" t="s">
        <v>25</v>
      </c>
    </row>
    <row r="33" spans="1:11" x14ac:dyDescent="0.25">
      <c r="A33">
        <v>0.2219366442680398</v>
      </c>
      <c r="B33" t="s">
        <v>50</v>
      </c>
      <c r="C33">
        <v>5.8686928038649E-3</v>
      </c>
      <c r="D33">
        <v>1.16305039448942E-2</v>
      </c>
      <c r="E33">
        <v>9.5281074771819997E-4</v>
      </c>
      <c r="F33">
        <v>6.2999470940977111E-7</v>
      </c>
      <c r="G33">
        <v>0.1127406463005957</v>
      </c>
      <c r="H33">
        <v>4.0754379475979997E-4</v>
      </c>
      <c r="I33">
        <v>7.72772002861703E-2</v>
      </c>
      <c r="J33" t="s">
        <v>33</v>
      </c>
      <c r="K33" t="s">
        <v>25</v>
      </c>
    </row>
    <row r="34" spans="1:11" x14ac:dyDescent="0.25">
      <c r="A34">
        <v>5.8717581494351301E-2</v>
      </c>
      <c r="B34" t="s">
        <v>51</v>
      </c>
      <c r="C34">
        <v>1.0070628811775001E-3</v>
      </c>
      <c r="D34">
        <v>6.763646605776819E-4</v>
      </c>
      <c r="E34">
        <v>1.4995081598356481E-5</v>
      </c>
      <c r="F34">
        <v>1.7171770137644069E-7</v>
      </c>
      <c r="G34">
        <v>4.0947330750845E-3</v>
      </c>
      <c r="H34">
        <v>1.2773826032067509E-5</v>
      </c>
      <c r="I34">
        <v>2.32450516146585E-2</v>
      </c>
      <c r="J34" t="s">
        <v>33</v>
      </c>
      <c r="K34" t="s">
        <v>25</v>
      </c>
    </row>
    <row r="35" spans="1:11" x14ac:dyDescent="0.25">
      <c r="A35">
        <v>0.3745836956548142</v>
      </c>
      <c r="B35" t="s">
        <v>52</v>
      </c>
      <c r="C35">
        <v>4.5901813746403999E-3</v>
      </c>
      <c r="D35">
        <v>3.9924793279048996E-3</v>
      </c>
      <c r="E35">
        <v>3.8621415470925901E-5</v>
      </c>
      <c r="F35">
        <v>1.2861686353028051E-6</v>
      </c>
      <c r="G35">
        <v>6.3168559253364398E-2</v>
      </c>
      <c r="H35">
        <v>5.5175402164099998E-4</v>
      </c>
      <c r="I35">
        <v>0.16417331149644451</v>
      </c>
      <c r="J35" t="s">
        <v>33</v>
      </c>
      <c r="K35" t="s">
        <v>25</v>
      </c>
    </row>
    <row r="36" spans="1:11" x14ac:dyDescent="0.25">
      <c r="A36">
        <v>7.26235653716263E-2</v>
      </c>
      <c r="B36" t="s">
        <v>53</v>
      </c>
      <c r="C36">
        <v>1.5134239891511001E-3</v>
      </c>
      <c r="D36">
        <v>7.5905662607562258E-4</v>
      </c>
      <c r="E36">
        <v>4.2863864102500002E-4</v>
      </c>
      <c r="F36">
        <v>1.711903599338382E-7</v>
      </c>
      <c r="G36">
        <v>0.1000949295266772</v>
      </c>
      <c r="H36">
        <v>2.851125680241E-4</v>
      </c>
      <c r="I36">
        <v>1.9000607689969098E-2</v>
      </c>
      <c r="J36" t="s">
        <v>33</v>
      </c>
      <c r="K36" t="s">
        <v>25</v>
      </c>
    </row>
    <row r="37" spans="1:11" x14ac:dyDescent="0.25">
      <c r="A37">
        <v>9.0532763732496496E-2</v>
      </c>
      <c r="B37" t="s">
        <v>54</v>
      </c>
      <c r="C37">
        <v>1.0651292508752399E-2</v>
      </c>
      <c r="D37">
        <v>4.215890560964E-3</v>
      </c>
      <c r="E37">
        <v>2.0096977524336432E-5</v>
      </c>
      <c r="F37">
        <v>2.2631222671253721E-7</v>
      </c>
      <c r="G37">
        <v>0.79921146968822943</v>
      </c>
      <c r="H37">
        <v>9.6521884016561159E-5</v>
      </c>
      <c r="I37">
        <v>2.9783164026433401E-2</v>
      </c>
      <c r="J37" t="s">
        <v>33</v>
      </c>
      <c r="K37" t="s">
        <v>25</v>
      </c>
    </row>
    <row r="38" spans="1:11" x14ac:dyDescent="0.25">
      <c r="A38">
        <v>0.11473324344398569</v>
      </c>
      <c r="B38" t="s">
        <v>55</v>
      </c>
      <c r="C38">
        <v>4.4403134595534001E-3</v>
      </c>
      <c r="D38">
        <v>7.2459956282256294E-3</v>
      </c>
      <c r="E38">
        <v>2.8238084285260201E-5</v>
      </c>
      <c r="F38">
        <v>2.743071194198132E-7</v>
      </c>
      <c r="G38">
        <v>1.39261566342119E-2</v>
      </c>
      <c r="H38">
        <v>2.7775372359488499E-5</v>
      </c>
      <c r="I38">
        <v>5.4422768912150497E-2</v>
      </c>
      <c r="J38" t="s">
        <v>33</v>
      </c>
      <c r="K38" t="s">
        <v>25</v>
      </c>
    </row>
    <row r="39" spans="1:11" x14ac:dyDescent="0.25">
      <c r="A39">
        <v>6.2771172643379003E-2</v>
      </c>
      <c r="B39" t="s">
        <v>56</v>
      </c>
      <c r="C39">
        <v>3.9877286624610004E-3</v>
      </c>
      <c r="D39">
        <v>6.3061805026639998E-4</v>
      </c>
      <c r="E39">
        <v>6.0620050054089995E-4</v>
      </c>
      <c r="F39">
        <v>1.9599129487277791E-7</v>
      </c>
      <c r="G39">
        <v>0.30378487450673258</v>
      </c>
      <c r="H39">
        <v>5.8674472892969996E-4</v>
      </c>
      <c r="I39">
        <v>2.47115524287457E-2</v>
      </c>
      <c r="J39" t="s">
        <v>33</v>
      </c>
      <c r="K39" t="s">
        <v>25</v>
      </c>
    </row>
    <row r="40" spans="1:11" x14ac:dyDescent="0.25">
      <c r="A40">
        <v>5.8285316703191203E-2</v>
      </c>
      <c r="B40" t="s">
        <v>57</v>
      </c>
      <c r="C40">
        <v>1.8789430159005E-3</v>
      </c>
      <c r="D40">
        <v>1.7153577489671969E-3</v>
      </c>
      <c r="E40">
        <v>2.1927733951636611E-5</v>
      </c>
      <c r="F40">
        <v>1.2970955903933751E-7</v>
      </c>
      <c r="G40">
        <v>1.62913049967396E-2</v>
      </c>
      <c r="H40">
        <v>2.9476476490256801E-5</v>
      </c>
      <c r="I40">
        <v>3.6550700150229397E-2</v>
      </c>
      <c r="J40" t="s">
        <v>33</v>
      </c>
      <c r="K40" t="s">
        <v>25</v>
      </c>
    </row>
    <row r="41" spans="1:11" x14ac:dyDescent="0.25">
      <c r="A41">
        <v>0.20168486815892561</v>
      </c>
      <c r="B41" t="s">
        <v>58</v>
      </c>
      <c r="C41">
        <v>7.6343386394520001E-3</v>
      </c>
      <c r="D41">
        <v>4.0371385586569003E-3</v>
      </c>
      <c r="E41">
        <v>3.0330233748529999E-4</v>
      </c>
      <c r="F41">
        <v>3.970346933754026E-7</v>
      </c>
      <c r="G41">
        <v>9.1622444491188906E-2</v>
      </c>
      <c r="H41">
        <v>1.6158050730729999E-4</v>
      </c>
      <c r="I41">
        <v>3.8261050827780897E-2</v>
      </c>
      <c r="J41" t="s">
        <v>33</v>
      </c>
      <c r="K41" t="s">
        <v>25</v>
      </c>
    </row>
    <row r="42" spans="1:11" x14ac:dyDescent="0.25">
      <c r="A42">
        <v>9.3684145247617701E-2</v>
      </c>
      <c r="B42" t="s">
        <v>59</v>
      </c>
      <c r="C42">
        <v>1.0587344445003199E-2</v>
      </c>
      <c r="D42">
        <v>1.9832662735628998E-3</v>
      </c>
      <c r="E42">
        <v>6.7859586608539995E-4</v>
      </c>
      <c r="F42">
        <v>2.9059083102682692E-7</v>
      </c>
      <c r="G42">
        <v>0.1352593470952867</v>
      </c>
      <c r="H42">
        <v>3.008471655469E-4</v>
      </c>
      <c r="I42">
        <v>3.1691849107768399E-2</v>
      </c>
      <c r="J42" t="s">
        <v>33</v>
      </c>
      <c r="K42" t="s">
        <v>25</v>
      </c>
    </row>
    <row r="43" spans="1:11" x14ac:dyDescent="0.25">
      <c r="A43">
        <v>0.1062487261215468</v>
      </c>
      <c r="B43" t="s">
        <v>60</v>
      </c>
      <c r="C43">
        <v>0.13239237279449681</v>
      </c>
      <c r="D43">
        <v>7.9634797187069003E-3</v>
      </c>
      <c r="E43">
        <v>6.3966870243480003E-4</v>
      </c>
      <c r="F43">
        <v>2.5708302976880882E-7</v>
      </c>
      <c r="G43">
        <v>0.63554914360269887</v>
      </c>
      <c r="H43">
        <v>1.995899620834019E-5</v>
      </c>
      <c r="I43">
        <v>5.89904017292672E-2</v>
      </c>
      <c r="J43" t="s">
        <v>33</v>
      </c>
      <c r="K43" t="s">
        <v>25</v>
      </c>
    </row>
    <row r="44" spans="1:11" x14ac:dyDescent="0.25">
      <c r="A44">
        <v>0.42781731612332968</v>
      </c>
      <c r="B44" t="s">
        <v>61</v>
      </c>
      <c r="C44">
        <v>5.9226092931047008E-3</v>
      </c>
      <c r="D44">
        <v>2.1390217667955E-3</v>
      </c>
      <c r="E44">
        <v>5.7118867292923059E-6</v>
      </c>
      <c r="F44">
        <v>5.0966468592715652E-7</v>
      </c>
      <c r="G44">
        <v>4.1845064697597502E-2</v>
      </c>
      <c r="H44">
        <v>1.037509414285E-4</v>
      </c>
      <c r="I44">
        <v>2.10372118577693E-2</v>
      </c>
      <c r="J44" t="s">
        <v>33</v>
      </c>
      <c r="K44" t="s">
        <v>25</v>
      </c>
    </row>
    <row r="45" spans="1:11" x14ac:dyDescent="0.25">
      <c r="A45">
        <v>8.8968251364937495E-2</v>
      </c>
      <c r="B45" t="s">
        <v>62</v>
      </c>
      <c r="C45">
        <v>4.4973957257615996E-3</v>
      </c>
      <c r="D45">
        <v>1.4169733135019999E-3</v>
      </c>
      <c r="E45">
        <v>1.9497304530109751E-5</v>
      </c>
      <c r="F45">
        <v>1.40606155278717E-7</v>
      </c>
      <c r="G45">
        <v>2.3845084383423601E-2</v>
      </c>
      <c r="H45">
        <v>1.278080557018457E-5</v>
      </c>
      <c r="I45">
        <v>0.10774355021785451</v>
      </c>
      <c r="J45" t="s">
        <v>33</v>
      </c>
      <c r="K45" t="s">
        <v>25</v>
      </c>
    </row>
    <row r="46" spans="1:11" x14ac:dyDescent="0.25">
      <c r="A46">
        <v>9.0204287964537111E-2</v>
      </c>
      <c r="B46" t="s">
        <v>63</v>
      </c>
      <c r="C46">
        <v>1.6945239315773E-3</v>
      </c>
      <c r="D46">
        <v>1.17517549630841E-3</v>
      </c>
      <c r="E46">
        <v>2.1821942329093581E-5</v>
      </c>
      <c r="F46">
        <v>2.2025415849957519E-7</v>
      </c>
      <c r="G46">
        <v>3.44549923337494E-2</v>
      </c>
      <c r="H46">
        <v>1.915145491054492E-5</v>
      </c>
      <c r="I46">
        <v>2.8559994410874898E-2</v>
      </c>
      <c r="J46" t="s">
        <v>33</v>
      </c>
      <c r="K46" t="s">
        <v>25</v>
      </c>
    </row>
    <row r="47" spans="1:11" x14ac:dyDescent="0.25">
      <c r="A47">
        <v>7.8850582855531721E-6</v>
      </c>
      <c r="B47" t="s">
        <v>64</v>
      </c>
      <c r="C47">
        <v>3.2527376847311402E-7</v>
      </c>
      <c r="D47">
        <v>1.3043644816092661E-6</v>
      </c>
      <c r="E47">
        <v>1.036919775615316E-9</v>
      </c>
      <c r="F47">
        <v>1.161597150359062E-11</v>
      </c>
      <c r="G47">
        <v>4.279839254230163E-6</v>
      </c>
      <c r="H47">
        <v>2.1925223530253551E-8</v>
      </c>
      <c r="I47">
        <v>1.6080574923399379E-6</v>
      </c>
      <c r="J47" t="s">
        <v>33</v>
      </c>
      <c r="K47" t="s">
        <v>28</v>
      </c>
    </row>
    <row r="48" spans="1:11" x14ac:dyDescent="0.25">
      <c r="A48">
        <v>7.4459492751624222E-6</v>
      </c>
      <c r="B48" t="s">
        <v>65</v>
      </c>
      <c r="C48">
        <v>4.1550450576208187E-6</v>
      </c>
      <c r="D48">
        <v>1.6608108030567399E-6</v>
      </c>
      <c r="E48">
        <v>5.4158432059039501E-10</v>
      </c>
      <c r="F48">
        <v>1.131520329483394E-11</v>
      </c>
      <c r="G48">
        <v>5.611668125841497E-6</v>
      </c>
      <c r="H48">
        <v>7.9733501707064148E-9</v>
      </c>
      <c r="I48">
        <v>1.877067358509025E-6</v>
      </c>
      <c r="J48" t="s">
        <v>33</v>
      </c>
      <c r="K48" t="s">
        <v>28</v>
      </c>
    </row>
    <row r="49" spans="1:11" x14ac:dyDescent="0.25">
      <c r="A49">
        <v>2.2193113472032961E-5</v>
      </c>
      <c r="B49" t="s">
        <v>66</v>
      </c>
      <c r="C49">
        <v>6.9970622770239454E-7</v>
      </c>
      <c r="D49">
        <v>7.626912369447239E-7</v>
      </c>
      <c r="E49">
        <v>5.2244737883053319E-10</v>
      </c>
      <c r="F49">
        <v>4.3525913473244572E-11</v>
      </c>
      <c r="G49">
        <v>1.703760597405737E-5</v>
      </c>
      <c r="H49">
        <v>1.777842104392393E-7</v>
      </c>
      <c r="I49">
        <v>6.3882655636808214E-6</v>
      </c>
      <c r="J49" t="s">
        <v>33</v>
      </c>
      <c r="K49" t="s">
        <v>28</v>
      </c>
    </row>
    <row r="50" spans="1:11" x14ac:dyDescent="0.25">
      <c r="A50">
        <v>1.1712809387981749E-5</v>
      </c>
      <c r="B50" t="s">
        <v>67</v>
      </c>
      <c r="C50">
        <v>4.1748097846467111E-7</v>
      </c>
      <c r="D50">
        <v>7.4218828424657163E-7</v>
      </c>
      <c r="E50">
        <v>1.8430418817333799E-9</v>
      </c>
      <c r="F50">
        <v>2.5225109379068011E-11</v>
      </c>
      <c r="G50">
        <v>9.7150561174769637E-6</v>
      </c>
      <c r="H50">
        <v>7.8097274247812872E-8</v>
      </c>
      <c r="I50">
        <v>2.679101193080072E-6</v>
      </c>
      <c r="J50" t="s">
        <v>33</v>
      </c>
      <c r="K50" t="s">
        <v>28</v>
      </c>
    </row>
    <row r="51" spans="1:11" x14ac:dyDescent="0.25">
      <c r="A51">
        <v>5.2236484669541079E-5</v>
      </c>
      <c r="B51" t="s">
        <v>68</v>
      </c>
      <c r="C51">
        <v>1.241225796018383E-6</v>
      </c>
      <c r="D51">
        <v>3.634613200730249E-6</v>
      </c>
      <c r="E51">
        <v>4.3471454678982289E-9</v>
      </c>
      <c r="F51">
        <v>1.3550224774834899E-10</v>
      </c>
      <c r="G51">
        <v>4.7112143265801131E-5</v>
      </c>
      <c r="H51">
        <v>3.5717326741690338E-8</v>
      </c>
      <c r="I51">
        <v>2.0952983985192668E-5</v>
      </c>
      <c r="J51" t="s">
        <v>33</v>
      </c>
      <c r="K51" t="s">
        <v>69</v>
      </c>
    </row>
    <row r="52" spans="1:11" x14ac:dyDescent="0.25">
      <c r="A52">
        <v>3.1476302425383667E-5</v>
      </c>
      <c r="B52" t="s">
        <v>70</v>
      </c>
      <c r="C52">
        <v>4.7135732441180618E-7</v>
      </c>
      <c r="D52">
        <v>1.1778556582230241E-6</v>
      </c>
      <c r="E52">
        <v>1.5236720348922159E-9</v>
      </c>
      <c r="F52">
        <v>7.2310230861157183E-11</v>
      </c>
      <c r="G52">
        <v>3.2148635555510002E-4</v>
      </c>
      <c r="H52">
        <v>1.5846933413111019E-8</v>
      </c>
      <c r="I52">
        <v>1.5831451310007061E-5</v>
      </c>
      <c r="J52" t="s">
        <v>33</v>
      </c>
      <c r="K52" t="s">
        <v>69</v>
      </c>
    </row>
    <row r="53" spans="1:11" x14ac:dyDescent="0.25">
      <c r="A53">
        <v>1.081349758338223E-6</v>
      </c>
      <c r="B53" t="s">
        <v>71</v>
      </c>
      <c r="C53">
        <v>1.311174964650633E-7</v>
      </c>
      <c r="D53">
        <v>2.746655515557083E-8</v>
      </c>
      <c r="E53">
        <v>1.7221863168345571E-11</v>
      </c>
      <c r="F53">
        <v>3.9962773394601182E-13</v>
      </c>
      <c r="G53">
        <v>1.554571277641385E-6</v>
      </c>
      <c r="H53">
        <v>2.929084449213377E-9</v>
      </c>
      <c r="I53">
        <v>4.4171871782181208E-8</v>
      </c>
      <c r="J53" t="s">
        <v>33</v>
      </c>
      <c r="K53" t="s">
        <v>27</v>
      </c>
    </row>
    <row r="54" spans="1:11" x14ac:dyDescent="0.25">
      <c r="A54">
        <v>2.9026272657835149E-6</v>
      </c>
      <c r="B54" t="s">
        <v>72</v>
      </c>
      <c r="C54">
        <v>9.3571959510129387E-8</v>
      </c>
      <c r="D54">
        <v>8.5425359699889061E-8</v>
      </c>
      <c r="E54">
        <v>1.0920081270987651E-9</v>
      </c>
      <c r="F54">
        <v>6.4595772825162787E-12</v>
      </c>
      <c r="G54">
        <v>8.1131216583498099E-7</v>
      </c>
      <c r="H54">
        <v>1.467937853385585E-9</v>
      </c>
      <c r="I54">
        <v>1.8202364802478519E-6</v>
      </c>
      <c r="J54" t="s">
        <v>33</v>
      </c>
      <c r="K54" t="s">
        <v>27</v>
      </c>
    </row>
    <row r="55" spans="1:11" x14ac:dyDescent="0.25">
      <c r="A55">
        <v>4.430647024730476E-6</v>
      </c>
      <c r="B55" t="s">
        <v>73</v>
      </c>
      <c r="C55">
        <v>2.2397172680553421E-7</v>
      </c>
      <c r="D55">
        <v>7.0565719019679816E-8</v>
      </c>
      <c r="E55">
        <v>9.7097192570057938E-10</v>
      </c>
      <c r="F55">
        <v>7.0022309434026113E-12</v>
      </c>
      <c r="G55">
        <v>1.187492793305931E-6</v>
      </c>
      <c r="H55">
        <v>6.3648815657121375E-10</v>
      </c>
      <c r="I55">
        <v>5.3656628372768331E-6</v>
      </c>
      <c r="J55" t="s">
        <v>33</v>
      </c>
      <c r="K55" t="s">
        <v>27</v>
      </c>
    </row>
    <row r="56" spans="1:11" x14ac:dyDescent="0.25">
      <c r="A56">
        <v>1.952916130458184E-4</v>
      </c>
      <c r="B56" t="s">
        <v>74</v>
      </c>
      <c r="C56">
        <v>4.0840271125486854E-6</v>
      </c>
      <c r="D56">
        <v>8.6317329060633301E-7</v>
      </c>
      <c r="E56">
        <v>2.4354218900494139E-9</v>
      </c>
      <c r="F56">
        <v>2.7052960586111828E-10</v>
      </c>
      <c r="G56">
        <v>2.9639719633505979E-5</v>
      </c>
      <c r="H56">
        <v>8.458154266045323E-8</v>
      </c>
      <c r="I56">
        <v>2.153793936875E-4</v>
      </c>
      <c r="J56" t="s">
        <v>33</v>
      </c>
      <c r="K56" t="s">
        <v>30</v>
      </c>
    </row>
    <row r="57" spans="1:11" x14ac:dyDescent="0.25">
      <c r="A57">
        <v>1.071716550203504E-4</v>
      </c>
      <c r="B57" t="s">
        <v>75</v>
      </c>
      <c r="C57">
        <v>8.1598049081510944E-6</v>
      </c>
      <c r="D57">
        <v>7.2831528049327157E-7</v>
      </c>
      <c r="E57">
        <v>1.340836386217808E-9</v>
      </c>
      <c r="F57">
        <v>1.489490927175407E-10</v>
      </c>
      <c r="G57">
        <v>1.7008379195496699E-5</v>
      </c>
      <c r="H57">
        <v>5.6451717647172493E-8</v>
      </c>
      <c r="I57">
        <v>7.2885833978573338E-5</v>
      </c>
      <c r="J57" t="s">
        <v>33</v>
      </c>
      <c r="K57" t="s">
        <v>30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H64"/>
  <sheetViews>
    <sheetView workbookViewId="0">
      <selection activeCell="C26" sqref="C26"/>
    </sheetView>
  </sheetViews>
  <sheetFormatPr baseColWidth="10" defaultColWidth="9.140625" defaultRowHeight="15" x14ac:dyDescent="0.25"/>
  <cols>
    <col min="1" max="1" width="27.28515625" bestFit="1" customWidth="1"/>
    <col min="2" max="2" width="25.42578125" bestFit="1" customWidth="1"/>
    <col min="3" max="3" width="47.5703125" bestFit="1" customWidth="1"/>
    <col min="4" max="4" width="48.42578125" bestFit="1" customWidth="1"/>
    <col min="5" max="5" width="39.5703125" bestFit="1" customWidth="1"/>
    <col min="6" max="6" width="17.42578125" bestFit="1" customWidth="1"/>
    <col min="7" max="7" width="32" bestFit="1" customWidth="1"/>
    <col min="8" max="8" width="27.140625" bestFit="1" customWidth="1"/>
  </cols>
  <sheetData>
    <row r="1" spans="1:8" x14ac:dyDescent="0.25">
      <c r="A1" s="1" t="s">
        <v>1</v>
      </c>
      <c r="B1" s="1" t="s">
        <v>81</v>
      </c>
      <c r="C1" s="1" t="s">
        <v>82</v>
      </c>
      <c r="D1" s="1" t="s">
        <v>83</v>
      </c>
      <c r="E1" s="1" t="s">
        <v>84</v>
      </c>
      <c r="F1" s="1" t="s">
        <v>18</v>
      </c>
      <c r="G1" s="1" t="s">
        <v>19</v>
      </c>
      <c r="H1" s="1" t="s">
        <v>85</v>
      </c>
    </row>
    <row r="2" spans="1:8" x14ac:dyDescent="0.25">
      <c r="A2" t="s">
        <v>20</v>
      </c>
      <c r="B2">
        <v>1.080073689000205</v>
      </c>
      <c r="C2">
        <v>0.41956417106860711</v>
      </c>
      <c r="D2">
        <v>5.3379256703796002E-3</v>
      </c>
      <c r="E2">
        <v>7.2110083792290003E-4</v>
      </c>
      <c r="F2" t="s">
        <v>21</v>
      </c>
      <c r="G2" t="s">
        <v>86</v>
      </c>
    </row>
    <row r="3" spans="1:8" x14ac:dyDescent="0.25">
      <c r="A3" t="s">
        <v>23</v>
      </c>
      <c r="B3">
        <v>1.265671255907868</v>
      </c>
      <c r="C3">
        <v>2.0313459639248892</v>
      </c>
      <c r="D3">
        <v>1.2977911208112401E-2</v>
      </c>
      <c r="E3">
        <v>2.2336387032701002E-3</v>
      </c>
      <c r="F3" t="s">
        <v>21</v>
      </c>
      <c r="G3" t="s">
        <v>86</v>
      </c>
    </row>
    <row r="4" spans="1:8" x14ac:dyDescent="0.25">
      <c r="A4" t="s">
        <v>24</v>
      </c>
      <c r="B4">
        <v>3005.2396966874348</v>
      </c>
      <c r="C4">
        <v>1167.4119447040609</v>
      </c>
      <c r="D4">
        <v>14.85245585424058</v>
      </c>
      <c r="E4">
        <v>2.006419452091091</v>
      </c>
      <c r="F4" t="s">
        <v>21</v>
      </c>
      <c r="G4" t="s">
        <v>87</v>
      </c>
    </row>
    <row r="5" spans="1:8" x14ac:dyDescent="0.25">
      <c r="A5" t="s">
        <v>26</v>
      </c>
      <c r="B5">
        <v>0.48334627820456261</v>
      </c>
      <c r="C5">
        <v>0.18776013550013901</v>
      </c>
      <c r="D5">
        <v>2.3887874325416E-3</v>
      </c>
      <c r="E5">
        <v>3.2270150231340002E-4</v>
      </c>
      <c r="F5" t="s">
        <v>21</v>
      </c>
      <c r="G5" t="s">
        <v>26</v>
      </c>
    </row>
    <row r="6" spans="1:8" x14ac:dyDescent="0.25">
      <c r="A6" t="s">
        <v>27</v>
      </c>
      <c r="B6">
        <v>0.488488265362582</v>
      </c>
      <c r="C6">
        <v>0.18975758464993861</v>
      </c>
      <c r="D6">
        <v>2.4142002022028001E-3</v>
      </c>
      <c r="E6">
        <v>3.2613450296820003E-4</v>
      </c>
      <c r="F6" t="s">
        <v>21</v>
      </c>
      <c r="G6" t="s">
        <v>88</v>
      </c>
    </row>
    <row r="7" spans="1:8" x14ac:dyDescent="0.25">
      <c r="A7" t="s">
        <v>28</v>
      </c>
      <c r="B7">
        <v>0.51463122195993982</v>
      </c>
      <c r="C7">
        <v>9.8754090564201605E-2</v>
      </c>
      <c r="D7">
        <v>1.5393338408890001E-3</v>
      </c>
      <c r="E7">
        <v>3.7416881019899998E-4</v>
      </c>
      <c r="F7" t="s">
        <v>21</v>
      </c>
      <c r="G7" t="s">
        <v>89</v>
      </c>
    </row>
    <row r="8" spans="1:8" x14ac:dyDescent="0.25">
      <c r="A8" t="s">
        <v>29</v>
      </c>
      <c r="B8">
        <v>109.32237041340299</v>
      </c>
      <c r="C8">
        <v>11.806889079053271</v>
      </c>
      <c r="D8">
        <v>2.1704079791029701E-2</v>
      </c>
      <c r="E8">
        <v>0.26374541987667721</v>
      </c>
      <c r="F8" t="s">
        <v>21</v>
      </c>
      <c r="G8" t="s">
        <v>90</v>
      </c>
    </row>
    <row r="9" spans="1:8" x14ac:dyDescent="0.25">
      <c r="A9" t="s">
        <v>20</v>
      </c>
      <c r="B9">
        <v>1.5056416272615869</v>
      </c>
      <c r="C9">
        <v>3.0218147264025651E-5</v>
      </c>
      <c r="D9">
        <v>1.6516548182412961E-7</v>
      </c>
      <c r="E9">
        <v>6.781177137228791E-7</v>
      </c>
      <c r="F9" t="s">
        <v>31</v>
      </c>
      <c r="G9" t="s">
        <v>86</v>
      </c>
    </row>
    <row r="10" spans="1:8" x14ac:dyDescent="0.25">
      <c r="A10" t="s">
        <v>23</v>
      </c>
      <c r="B10">
        <v>1.255305369215818</v>
      </c>
      <c r="C10">
        <v>1.9640265389626971E-6</v>
      </c>
      <c r="D10">
        <v>7.8784717838951121E-9</v>
      </c>
      <c r="E10">
        <v>1.0111871708137269E-7</v>
      </c>
      <c r="F10" t="s">
        <v>31</v>
      </c>
      <c r="G10" t="s">
        <v>86</v>
      </c>
    </row>
    <row r="11" spans="1:8" x14ac:dyDescent="0.25">
      <c r="A11" t="s">
        <v>24</v>
      </c>
      <c r="B11">
        <v>4189.3568278012572</v>
      </c>
      <c r="C11">
        <v>8.4080167890938098E-2</v>
      </c>
      <c r="D11">
        <v>4.595629657061E-4</v>
      </c>
      <c r="E11">
        <v>1.8868215469217001E-3</v>
      </c>
      <c r="F11" t="s">
        <v>31</v>
      </c>
      <c r="G11" t="s">
        <v>87</v>
      </c>
    </row>
    <row r="12" spans="1:8" x14ac:dyDescent="0.25">
      <c r="A12" t="s">
        <v>26</v>
      </c>
      <c r="B12">
        <v>0.67379316935558908</v>
      </c>
      <c r="C12">
        <v>1.352299317000398E-5</v>
      </c>
      <c r="D12">
        <v>7.3913587810333015E-8</v>
      </c>
      <c r="E12">
        <v>3.0346603097545971E-7</v>
      </c>
      <c r="F12" t="s">
        <v>31</v>
      </c>
      <c r="G12" t="s">
        <v>26</v>
      </c>
    </row>
    <row r="13" spans="1:8" x14ac:dyDescent="0.25">
      <c r="A13" t="s">
        <v>27</v>
      </c>
      <c r="B13">
        <v>0.68096118417151863</v>
      </c>
      <c r="C13">
        <v>1.3666855082213821E-5</v>
      </c>
      <c r="D13">
        <v>7.4699903933470402E-8</v>
      </c>
      <c r="E13">
        <v>3.0669440022286509E-7</v>
      </c>
      <c r="F13" t="s">
        <v>31</v>
      </c>
      <c r="G13" t="s">
        <v>88</v>
      </c>
    </row>
    <row r="14" spans="1:8" x14ac:dyDescent="0.25">
      <c r="A14" t="s">
        <v>28</v>
      </c>
      <c r="B14">
        <v>0.4696741951539794</v>
      </c>
      <c r="C14">
        <v>1.168413848504292E-6</v>
      </c>
      <c r="D14">
        <v>4.768442385245747E-9</v>
      </c>
      <c r="E14">
        <v>4.6542779940512113E-8</v>
      </c>
      <c r="F14" t="s">
        <v>31</v>
      </c>
      <c r="G14" t="s">
        <v>89</v>
      </c>
    </row>
    <row r="15" spans="1:8" x14ac:dyDescent="0.25">
      <c r="A15" t="s">
        <v>29</v>
      </c>
      <c r="B15">
        <v>84.137681195355071</v>
      </c>
      <c r="C15">
        <v>1.892185234392E-4</v>
      </c>
      <c r="D15">
        <v>1.0389958507448161E-6</v>
      </c>
      <c r="E15">
        <v>3.1511176085125402E-6</v>
      </c>
      <c r="F15" t="s">
        <v>31</v>
      </c>
      <c r="G15" t="s">
        <v>90</v>
      </c>
    </row>
    <row r="16" spans="1:8" x14ac:dyDescent="0.25">
      <c r="A16" t="s">
        <v>32</v>
      </c>
      <c r="B16">
        <v>2.1089134958014042</v>
      </c>
      <c r="C16">
        <v>0.21827022874800581</v>
      </c>
      <c r="D16">
        <v>1.17102106570955E-2</v>
      </c>
      <c r="E16">
        <v>2.8817405011904002E-3</v>
      </c>
      <c r="F16" t="s">
        <v>33</v>
      </c>
      <c r="G16" t="s">
        <v>86</v>
      </c>
      <c r="H16">
        <v>0.3724666728676938</v>
      </c>
    </row>
    <row r="17" spans="1:8" x14ac:dyDescent="0.25">
      <c r="A17" t="s">
        <v>91</v>
      </c>
      <c r="B17">
        <v>1.823938680348457</v>
      </c>
      <c r="C17">
        <v>0.20125988767850511</v>
      </c>
      <c r="D17">
        <v>7.2783362908835003E-3</v>
      </c>
      <c r="E17">
        <v>2.8436065100029E-3</v>
      </c>
      <c r="F17" t="s">
        <v>33</v>
      </c>
      <c r="G17" t="s">
        <v>86</v>
      </c>
      <c r="H17">
        <v>0.39771659433743412</v>
      </c>
    </row>
    <row r="18" spans="1:8" x14ac:dyDescent="0.25">
      <c r="A18" t="s">
        <v>92</v>
      </c>
      <c r="B18">
        <v>1.0848636295801311</v>
      </c>
      <c r="C18">
        <v>0.15541953824414231</v>
      </c>
      <c r="D18">
        <v>9.9730882116011998E-3</v>
      </c>
      <c r="E18">
        <v>1.6329680715261999E-3</v>
      </c>
      <c r="F18" t="s">
        <v>33</v>
      </c>
      <c r="G18" t="s">
        <v>86</v>
      </c>
      <c r="H18">
        <v>0.22880009604623849</v>
      </c>
    </row>
    <row r="19" spans="1:8" x14ac:dyDescent="0.25">
      <c r="A19" t="s">
        <v>36</v>
      </c>
      <c r="B19">
        <v>1.8618573448432889</v>
      </c>
      <c r="C19">
        <v>0.25197209173126561</v>
      </c>
      <c r="D19">
        <v>8.5561575759558004E-3</v>
      </c>
      <c r="E19">
        <v>8.6061556963619998E-4</v>
      </c>
      <c r="F19" t="s">
        <v>33</v>
      </c>
      <c r="G19" t="s">
        <v>86</v>
      </c>
      <c r="H19">
        <v>0.75270654536379145</v>
      </c>
    </row>
    <row r="20" spans="1:8" x14ac:dyDescent="0.25">
      <c r="A20" t="s">
        <v>37</v>
      </c>
      <c r="B20">
        <v>2.1412709630024618</v>
      </c>
      <c r="C20">
        <v>0.212715228749258</v>
      </c>
      <c r="D20">
        <v>1.00792979140379E-2</v>
      </c>
      <c r="E20">
        <v>2.34089706458404E-2</v>
      </c>
      <c r="F20" t="s">
        <v>33</v>
      </c>
      <c r="G20" t="s">
        <v>86</v>
      </c>
      <c r="H20">
        <v>0.41896461578139849</v>
      </c>
    </row>
    <row r="21" spans="1:8" x14ac:dyDescent="0.25">
      <c r="A21" t="s">
        <v>93</v>
      </c>
      <c r="B21">
        <v>1.8825846848488501</v>
      </c>
      <c r="C21">
        <v>0.25288545486887087</v>
      </c>
      <c r="D21">
        <v>2.7977560173449E-3</v>
      </c>
      <c r="E21">
        <v>4.6711815055367999E-3</v>
      </c>
      <c r="F21" t="s">
        <v>33</v>
      </c>
      <c r="G21" t="s">
        <v>86</v>
      </c>
      <c r="H21">
        <v>0.47839848371680987</v>
      </c>
    </row>
    <row r="22" spans="1:8" x14ac:dyDescent="0.25">
      <c r="A22" t="s">
        <v>39</v>
      </c>
      <c r="B22">
        <v>0.38304483731852118</v>
      </c>
      <c r="C22">
        <v>3.3653800851139302E-2</v>
      </c>
      <c r="D22">
        <v>2.1869105691814002E-3</v>
      </c>
      <c r="E22">
        <v>2.7737039222546999E-3</v>
      </c>
      <c r="F22" t="s">
        <v>33</v>
      </c>
      <c r="G22" t="s">
        <v>86</v>
      </c>
      <c r="H22">
        <v>1.4160072546741001E-2</v>
      </c>
    </row>
    <row r="23" spans="1:8" x14ac:dyDescent="0.25">
      <c r="A23" t="s">
        <v>94</v>
      </c>
      <c r="B23">
        <v>1.067831224104326</v>
      </c>
      <c r="C23">
        <v>0.19684911204364119</v>
      </c>
      <c r="D23">
        <v>3.5494151090724999E-3</v>
      </c>
      <c r="E23">
        <v>1.4250763965807001E-3</v>
      </c>
      <c r="F23" t="s">
        <v>33</v>
      </c>
      <c r="G23" t="s">
        <v>86</v>
      </c>
      <c r="H23">
        <v>0.20745227809544189</v>
      </c>
    </row>
    <row r="24" spans="1:8" x14ac:dyDescent="0.25">
      <c r="A24" t="s">
        <v>41</v>
      </c>
      <c r="B24">
        <v>0.47706988038093368</v>
      </c>
      <c r="C24">
        <v>7.6326184328173993E-2</v>
      </c>
      <c r="D24">
        <v>3.9039558011889999E-3</v>
      </c>
      <c r="E24">
        <v>2.097831448317E-4</v>
      </c>
      <c r="F24" t="s">
        <v>33</v>
      </c>
      <c r="G24" t="s">
        <v>86</v>
      </c>
      <c r="H24">
        <v>0.1417220000921782</v>
      </c>
    </row>
    <row r="25" spans="1:8" x14ac:dyDescent="0.25">
      <c r="A25" t="s">
        <v>95</v>
      </c>
      <c r="B25">
        <v>1.7020487160843389</v>
      </c>
      <c r="C25">
        <v>0.1128253555520924</v>
      </c>
      <c r="D25">
        <v>6.7464052220019997E-4</v>
      </c>
      <c r="E25">
        <v>1.2429013645807001E-3</v>
      </c>
      <c r="F25" t="s">
        <v>33</v>
      </c>
      <c r="G25" t="s">
        <v>86</v>
      </c>
      <c r="H25">
        <v>1.853639984242524</v>
      </c>
    </row>
    <row r="26" spans="1:8" x14ac:dyDescent="0.25">
      <c r="A26" t="s">
        <v>43</v>
      </c>
      <c r="B26">
        <v>16340.756411080971</v>
      </c>
      <c r="C26">
        <v>2495.8322855097022</v>
      </c>
      <c r="D26">
        <v>96.378851515042953</v>
      </c>
      <c r="E26">
        <v>10.79196206876032</v>
      </c>
      <c r="F26" t="s">
        <v>33</v>
      </c>
      <c r="G26" t="s">
        <v>87</v>
      </c>
      <c r="H26">
        <v>1662.5982822965479</v>
      </c>
    </row>
    <row r="27" spans="1:8" x14ac:dyDescent="0.25">
      <c r="A27" t="s">
        <v>44</v>
      </c>
      <c r="B27">
        <v>11557.11103402108</v>
      </c>
      <c r="C27">
        <v>840.27182868028171</v>
      </c>
      <c r="D27">
        <v>43.521080744765548</v>
      </c>
      <c r="E27">
        <v>73.405464541961493</v>
      </c>
      <c r="F27" t="s">
        <v>33</v>
      </c>
      <c r="G27" t="s">
        <v>87</v>
      </c>
      <c r="H27">
        <v>1698.29503496041</v>
      </c>
    </row>
    <row r="28" spans="1:8" x14ac:dyDescent="0.25">
      <c r="A28" t="s">
        <v>45</v>
      </c>
      <c r="B28">
        <v>15103.64335205864</v>
      </c>
      <c r="C28">
        <v>527.73752311556359</v>
      </c>
      <c r="D28">
        <v>27.223791623406601</v>
      </c>
      <c r="E28">
        <v>23.39145157333212</v>
      </c>
      <c r="F28" t="s">
        <v>33</v>
      </c>
      <c r="G28" t="s">
        <v>87</v>
      </c>
      <c r="H28">
        <v>1739.5830321281101</v>
      </c>
    </row>
    <row r="29" spans="1:8" x14ac:dyDescent="0.25">
      <c r="A29" t="s">
        <v>46</v>
      </c>
      <c r="B29">
        <v>45894.973876682721</v>
      </c>
      <c r="C29">
        <v>3558.5947929624972</v>
      </c>
      <c r="D29">
        <v>159.16812374792349</v>
      </c>
      <c r="E29">
        <v>102.32330904308721</v>
      </c>
      <c r="F29" t="s">
        <v>33</v>
      </c>
      <c r="G29" t="s">
        <v>87</v>
      </c>
      <c r="H29">
        <v>9546.0308616411112</v>
      </c>
    </row>
    <row r="30" spans="1:8" x14ac:dyDescent="0.25">
      <c r="A30" t="s">
        <v>47</v>
      </c>
      <c r="B30">
        <v>24798.813504340309</v>
      </c>
      <c r="C30">
        <v>656.81774789536109</v>
      </c>
      <c r="D30">
        <v>26.390049807332311</v>
      </c>
      <c r="E30">
        <v>38.238316413563062</v>
      </c>
      <c r="F30" t="s">
        <v>33</v>
      </c>
      <c r="G30" t="s">
        <v>87</v>
      </c>
      <c r="H30">
        <v>3629.865692178797</v>
      </c>
    </row>
    <row r="31" spans="1:8" x14ac:dyDescent="0.25">
      <c r="A31" t="s">
        <v>48</v>
      </c>
      <c r="B31">
        <v>20869.903368436819</v>
      </c>
      <c r="C31">
        <v>1701.868287762891</v>
      </c>
      <c r="D31">
        <v>108.7207527829426</v>
      </c>
      <c r="E31">
        <v>61.163311051997191</v>
      </c>
      <c r="F31" t="s">
        <v>33</v>
      </c>
      <c r="G31" t="s">
        <v>87</v>
      </c>
      <c r="H31">
        <v>3276.467897931529</v>
      </c>
    </row>
    <row r="32" spans="1:8" x14ac:dyDescent="0.25">
      <c r="A32" t="s">
        <v>49</v>
      </c>
      <c r="B32">
        <v>15764.662167643841</v>
      </c>
      <c r="C32">
        <v>1573.55140705703</v>
      </c>
      <c r="D32">
        <v>39.392607746621429</v>
      </c>
      <c r="E32">
        <v>34.863702214946557</v>
      </c>
      <c r="F32" t="s">
        <v>33</v>
      </c>
      <c r="G32" t="s">
        <v>87</v>
      </c>
      <c r="H32">
        <v>2897.5634742552379</v>
      </c>
    </row>
    <row r="33" spans="1:8" x14ac:dyDescent="0.25">
      <c r="A33" t="s">
        <v>50</v>
      </c>
      <c r="B33">
        <v>31041.327158421551</v>
      </c>
      <c r="C33">
        <v>1488.3875491760371</v>
      </c>
      <c r="D33">
        <v>31.51885997806356</v>
      </c>
      <c r="E33">
        <v>116.1411215174371</v>
      </c>
      <c r="F33" t="s">
        <v>33</v>
      </c>
      <c r="G33" t="s">
        <v>87</v>
      </c>
      <c r="H33">
        <v>5514.9756104960361</v>
      </c>
    </row>
    <row r="34" spans="1:8" x14ac:dyDescent="0.25">
      <c r="A34" t="s">
        <v>51</v>
      </c>
      <c r="B34">
        <v>8025.4110468692306</v>
      </c>
      <c r="C34">
        <v>2660.1379938666878</v>
      </c>
      <c r="D34">
        <v>149.751838681484</v>
      </c>
      <c r="E34">
        <v>5.1102571047769576</v>
      </c>
      <c r="F34" t="s">
        <v>33</v>
      </c>
      <c r="G34" t="s">
        <v>87</v>
      </c>
      <c r="H34">
        <v>1376.943344466182</v>
      </c>
    </row>
    <row r="35" spans="1:8" x14ac:dyDescent="0.25">
      <c r="A35" t="s">
        <v>52</v>
      </c>
      <c r="B35">
        <v>54197.026768724507</v>
      </c>
      <c r="C35">
        <v>1250.5183072841439</v>
      </c>
      <c r="D35">
        <v>20.395720220676509</v>
      </c>
      <c r="E35">
        <v>34.484274338624523</v>
      </c>
      <c r="F35" t="s">
        <v>33</v>
      </c>
      <c r="G35" t="s">
        <v>87</v>
      </c>
      <c r="H35">
        <v>10942.78381396348</v>
      </c>
    </row>
    <row r="36" spans="1:8" x14ac:dyDescent="0.25">
      <c r="A36" t="s">
        <v>53</v>
      </c>
      <c r="B36">
        <v>9811.0970597424912</v>
      </c>
      <c r="C36">
        <v>331.77205714901629</v>
      </c>
      <c r="D36">
        <v>8.0549985228643628</v>
      </c>
      <c r="E36">
        <v>68.309142855661477</v>
      </c>
      <c r="F36" t="s">
        <v>33</v>
      </c>
      <c r="G36" t="s">
        <v>87</v>
      </c>
      <c r="H36">
        <v>1482.65071755956</v>
      </c>
    </row>
    <row r="37" spans="1:8" x14ac:dyDescent="0.25">
      <c r="A37" t="s">
        <v>54</v>
      </c>
      <c r="B37">
        <v>10042.79940181022</v>
      </c>
      <c r="C37">
        <v>1182.3014173370871</v>
      </c>
      <c r="D37">
        <v>12.195608006262621</v>
      </c>
      <c r="E37">
        <v>20.404062606433829</v>
      </c>
      <c r="F37" t="s">
        <v>33</v>
      </c>
      <c r="G37" t="s">
        <v>87</v>
      </c>
      <c r="H37">
        <v>1588.44840505557</v>
      </c>
    </row>
    <row r="38" spans="1:8" x14ac:dyDescent="0.25">
      <c r="A38" t="s">
        <v>93</v>
      </c>
      <c r="B38">
        <v>14131.153937048441</v>
      </c>
      <c r="C38">
        <v>1898.22181845625</v>
      </c>
      <c r="D38">
        <v>21.00066072098782</v>
      </c>
      <c r="E38">
        <v>35.063062362219519</v>
      </c>
      <c r="F38" t="s">
        <v>33</v>
      </c>
      <c r="G38" t="s">
        <v>87</v>
      </c>
      <c r="H38">
        <v>3590.9792952824109</v>
      </c>
    </row>
    <row r="39" spans="1:8" x14ac:dyDescent="0.25">
      <c r="A39" t="s">
        <v>56</v>
      </c>
      <c r="B39">
        <v>9272.6658579429204</v>
      </c>
      <c r="C39">
        <v>317.98374237675779</v>
      </c>
      <c r="D39">
        <v>9.6952674702421913</v>
      </c>
      <c r="E39">
        <v>223.4123167368835</v>
      </c>
      <c r="F39" t="s">
        <v>33</v>
      </c>
      <c r="G39" t="s">
        <v>87</v>
      </c>
      <c r="H39">
        <v>1281.235045814484</v>
      </c>
    </row>
    <row r="40" spans="1:8" x14ac:dyDescent="0.25">
      <c r="A40" t="s">
        <v>94</v>
      </c>
      <c r="B40">
        <v>8015.4095218656639</v>
      </c>
      <c r="C40">
        <v>1477.598878677494</v>
      </c>
      <c r="D40">
        <v>26.642801941770809</v>
      </c>
      <c r="E40">
        <v>10.696981345703049</v>
      </c>
      <c r="F40" t="s">
        <v>33</v>
      </c>
      <c r="G40" t="s">
        <v>87</v>
      </c>
      <c r="H40">
        <v>1557.188913661895</v>
      </c>
    </row>
    <row r="41" spans="1:8" x14ac:dyDescent="0.25">
      <c r="A41" t="s">
        <v>58</v>
      </c>
      <c r="B41">
        <v>24880.617598393979</v>
      </c>
      <c r="C41">
        <v>1357.035665933158</v>
      </c>
      <c r="D41">
        <v>44.794530944433681</v>
      </c>
      <c r="E41">
        <v>90.743079860402474</v>
      </c>
      <c r="F41" t="s">
        <v>33</v>
      </c>
      <c r="G41" t="s">
        <v>87</v>
      </c>
      <c r="H41">
        <v>5622.9534439671752</v>
      </c>
    </row>
    <row r="42" spans="1:8" x14ac:dyDescent="0.25">
      <c r="A42" t="s">
        <v>59</v>
      </c>
      <c r="B42">
        <v>12128.701026611079</v>
      </c>
      <c r="C42">
        <v>490.33906178419602</v>
      </c>
      <c r="D42">
        <v>16.321971575693009</v>
      </c>
      <c r="E42">
        <v>93.494958072628833</v>
      </c>
      <c r="F42" t="s">
        <v>33</v>
      </c>
      <c r="G42" t="s">
        <v>87</v>
      </c>
      <c r="H42">
        <v>1749.620508096674</v>
      </c>
    </row>
    <row r="43" spans="1:8" x14ac:dyDescent="0.25">
      <c r="A43" t="s">
        <v>60</v>
      </c>
      <c r="B43">
        <v>16912.712551519751</v>
      </c>
      <c r="C43">
        <v>1424.2172237808529</v>
      </c>
      <c r="D43">
        <v>92.617080523880162</v>
      </c>
      <c r="E43">
        <v>433.00439714693943</v>
      </c>
      <c r="F43" t="s">
        <v>33</v>
      </c>
      <c r="G43" t="s">
        <v>87</v>
      </c>
      <c r="H43">
        <v>2737.7336450052849</v>
      </c>
    </row>
    <row r="44" spans="1:8" x14ac:dyDescent="0.25">
      <c r="A44" t="s">
        <v>61</v>
      </c>
      <c r="B44">
        <v>60454.990318625911</v>
      </c>
      <c r="C44">
        <v>488.19685436397282</v>
      </c>
      <c r="D44">
        <v>24.81661445115445</v>
      </c>
      <c r="E44">
        <v>35.045530001158859</v>
      </c>
      <c r="F44" t="s">
        <v>33</v>
      </c>
      <c r="G44" t="s">
        <v>87</v>
      </c>
      <c r="H44">
        <v>6728.4813012534814</v>
      </c>
    </row>
    <row r="45" spans="1:8" x14ac:dyDescent="0.25">
      <c r="A45" t="s">
        <v>95</v>
      </c>
      <c r="B45">
        <v>12776.005546864641</v>
      </c>
      <c r="C45">
        <v>846.89548069299644</v>
      </c>
      <c r="D45">
        <v>5.0640214771611021</v>
      </c>
      <c r="E45">
        <v>9.3295301237112902</v>
      </c>
      <c r="F45" t="s">
        <v>33</v>
      </c>
      <c r="G45" t="s">
        <v>87</v>
      </c>
      <c r="H45">
        <v>13913.887681846591</v>
      </c>
    </row>
    <row r="46" spans="1:8" x14ac:dyDescent="0.25">
      <c r="A46" t="s">
        <v>96</v>
      </c>
      <c r="B46">
        <v>38966.018818344673</v>
      </c>
      <c r="C46">
        <v>863.53304063951634</v>
      </c>
      <c r="D46">
        <v>23.02059254932993</v>
      </c>
      <c r="E46">
        <v>44.918089698081303</v>
      </c>
      <c r="F46" t="s">
        <v>33</v>
      </c>
      <c r="G46" t="s">
        <v>87</v>
      </c>
      <c r="H46">
        <v>4174.0902808890933</v>
      </c>
    </row>
    <row r="47" spans="1:8" x14ac:dyDescent="0.25">
      <c r="A47" t="s">
        <v>63</v>
      </c>
      <c r="B47">
        <v>11654.736303029549</v>
      </c>
      <c r="C47">
        <v>2368.5421512777261</v>
      </c>
      <c r="D47">
        <v>95.122636646409603</v>
      </c>
      <c r="E47">
        <v>17.130757508356329</v>
      </c>
      <c r="F47" t="s">
        <v>33</v>
      </c>
      <c r="G47" t="s">
        <v>87</v>
      </c>
      <c r="H47">
        <v>2038.712948137626</v>
      </c>
    </row>
    <row r="48" spans="1:8" x14ac:dyDescent="0.25">
      <c r="A48" t="s">
        <v>64</v>
      </c>
      <c r="B48">
        <v>1.0636864292346779</v>
      </c>
      <c r="C48">
        <v>7.4289785607450906E-2</v>
      </c>
      <c r="D48">
        <v>1.9062856416670001E-3</v>
      </c>
      <c r="E48">
        <v>1.0304437963252E-3</v>
      </c>
      <c r="F48" t="s">
        <v>33</v>
      </c>
      <c r="G48" t="s">
        <v>89</v>
      </c>
      <c r="H48">
        <v>0.18474702014270811</v>
      </c>
    </row>
    <row r="49" spans="1:8" x14ac:dyDescent="0.25">
      <c r="A49" t="s">
        <v>65</v>
      </c>
      <c r="B49">
        <v>1.037983928236246</v>
      </c>
      <c r="C49">
        <v>0.1568374987314097</v>
      </c>
      <c r="D49">
        <v>1.12408398768503E-2</v>
      </c>
      <c r="E49">
        <v>6.5829487520949995E-4</v>
      </c>
      <c r="F49" t="s">
        <v>33</v>
      </c>
      <c r="G49" t="s">
        <v>89</v>
      </c>
      <c r="H49">
        <v>0.29547866329020828</v>
      </c>
    </row>
    <row r="50" spans="1:8" x14ac:dyDescent="0.25">
      <c r="A50" t="s">
        <v>66</v>
      </c>
      <c r="B50">
        <v>3.2407484579695369</v>
      </c>
      <c r="C50">
        <v>0.1203447902576102</v>
      </c>
      <c r="D50">
        <v>5.6516625009436997E-3</v>
      </c>
      <c r="E50">
        <v>3.0219954015117401E-2</v>
      </c>
      <c r="F50" t="s">
        <v>33</v>
      </c>
      <c r="G50" t="s">
        <v>89</v>
      </c>
      <c r="H50">
        <v>0.2246630806923102</v>
      </c>
    </row>
    <row r="51" spans="1:8" x14ac:dyDescent="0.25">
      <c r="A51" t="s">
        <v>67</v>
      </c>
      <c r="B51">
        <v>1.681643675167241</v>
      </c>
      <c r="C51">
        <v>0.10429211344340419</v>
      </c>
      <c r="D51">
        <v>1.0686452908454001E-3</v>
      </c>
      <c r="E51">
        <v>1.8884821221294E-3</v>
      </c>
      <c r="F51" t="s">
        <v>33</v>
      </c>
      <c r="G51" t="s">
        <v>89</v>
      </c>
      <c r="H51">
        <v>0.163648356267242</v>
      </c>
    </row>
    <row r="52" spans="1:8" x14ac:dyDescent="0.25">
      <c r="A52" t="s">
        <v>91</v>
      </c>
      <c r="B52">
        <v>7.7292704010342659</v>
      </c>
      <c r="C52">
        <v>0.85287524793718661</v>
      </c>
      <c r="D52">
        <v>3.0843268221519501E-2</v>
      </c>
      <c r="E52">
        <v>1.2050297214355301E-2</v>
      </c>
      <c r="F52" t="s">
        <v>33</v>
      </c>
      <c r="G52" t="s">
        <v>97</v>
      </c>
      <c r="H52">
        <v>1.6853961099731869</v>
      </c>
    </row>
    <row r="53" spans="1:8" x14ac:dyDescent="0.25">
      <c r="A53" t="s">
        <v>92</v>
      </c>
      <c r="B53">
        <v>4.5973061062245621</v>
      </c>
      <c r="C53">
        <v>0.65861845687186482</v>
      </c>
      <c r="D53">
        <v>4.2262769041075302E-2</v>
      </c>
      <c r="E53">
        <v>6.9199977742441E-3</v>
      </c>
      <c r="F53" t="s">
        <v>33</v>
      </c>
      <c r="G53" t="s">
        <v>97</v>
      </c>
      <c r="H53">
        <v>0.96958184759748522</v>
      </c>
    </row>
    <row r="54" spans="1:8" x14ac:dyDescent="0.25">
      <c r="A54" t="s">
        <v>98</v>
      </c>
      <c r="B54">
        <v>0.1431874017808473</v>
      </c>
      <c r="C54">
        <v>1.2580251857916299E-2</v>
      </c>
      <c r="D54">
        <v>8.1749714360089998E-4</v>
      </c>
      <c r="E54">
        <v>1.0368484570827999E-3</v>
      </c>
      <c r="F54" t="s">
        <v>33</v>
      </c>
      <c r="G54" t="s">
        <v>88</v>
      </c>
      <c r="H54">
        <v>5.2932291706860998E-3</v>
      </c>
    </row>
    <row r="55" spans="1:8" x14ac:dyDescent="0.25">
      <c r="A55" t="s">
        <v>94</v>
      </c>
      <c r="B55">
        <v>0.39916993714928861</v>
      </c>
      <c r="C55">
        <v>7.3584894097678197E-2</v>
      </c>
      <c r="D55">
        <v>1.3268200379052001E-3</v>
      </c>
      <c r="E55">
        <v>5.3271307597710003E-4</v>
      </c>
      <c r="F55" t="s">
        <v>33</v>
      </c>
      <c r="G55" t="s">
        <v>88</v>
      </c>
      <c r="H55">
        <v>7.7548503217987605E-2</v>
      </c>
    </row>
    <row r="56" spans="1:8" x14ac:dyDescent="0.25">
      <c r="A56" t="s">
        <v>95</v>
      </c>
      <c r="B56">
        <v>0.63624911218389868</v>
      </c>
      <c r="C56">
        <v>4.2175662624154203E-2</v>
      </c>
      <c r="D56">
        <v>2.5218986952759998E-4</v>
      </c>
      <c r="E56">
        <v>4.6461354973420001E-4</v>
      </c>
      <c r="F56" t="s">
        <v>33</v>
      </c>
      <c r="G56" t="s">
        <v>88</v>
      </c>
      <c r="H56">
        <v>0.69291600218007354</v>
      </c>
    </row>
    <row r="57" spans="1:8" x14ac:dyDescent="0.25">
      <c r="A57" t="s">
        <v>74</v>
      </c>
      <c r="B57">
        <v>28.28329157486316</v>
      </c>
      <c r="C57">
        <v>1.133249312130026</v>
      </c>
      <c r="D57">
        <v>9.0240450348020695E-2</v>
      </c>
      <c r="E57">
        <v>2.0341248135289001E-2</v>
      </c>
      <c r="F57" t="s">
        <v>33</v>
      </c>
      <c r="G57" t="s">
        <v>90</v>
      </c>
      <c r="H57">
        <v>70.149123936476457</v>
      </c>
    </row>
    <row r="58" spans="1:8" x14ac:dyDescent="0.25">
      <c r="A58" t="s">
        <v>75</v>
      </c>
      <c r="B58">
        <v>15.503180311002071</v>
      </c>
      <c r="C58">
        <v>0.42993740842640688</v>
      </c>
      <c r="D58">
        <v>3.3559820268549201E-2</v>
      </c>
      <c r="E58">
        <v>6.0105493670901802E-2</v>
      </c>
      <c r="F58" t="s">
        <v>33</v>
      </c>
      <c r="G58" t="s">
        <v>90</v>
      </c>
      <c r="H58">
        <v>23.713952453561799</v>
      </c>
    </row>
    <row r="59" spans="1:8" x14ac:dyDescent="0.25">
      <c r="A59" t="s">
        <v>99</v>
      </c>
      <c r="B59">
        <v>18788.971582763392</v>
      </c>
      <c r="C59">
        <v>1238.195539134631</v>
      </c>
      <c r="D59">
        <v>36.996057017312033</v>
      </c>
      <c r="E59">
        <v>55.700028233406023</v>
      </c>
      <c r="F59" t="s">
        <v>100</v>
      </c>
      <c r="G59" t="s">
        <v>87</v>
      </c>
      <c r="H59">
        <v>5075.7024665956014</v>
      </c>
    </row>
    <row r="60" spans="1:8" x14ac:dyDescent="0.25">
      <c r="A60" t="s">
        <v>101</v>
      </c>
      <c r="B60">
        <v>1.356469118881267</v>
      </c>
      <c r="C60">
        <v>0.16398993037701221</v>
      </c>
      <c r="D60">
        <v>7.8432580499025999E-3</v>
      </c>
      <c r="E60">
        <v>2.9194786609803998E-3</v>
      </c>
      <c r="F60" t="s">
        <v>100</v>
      </c>
      <c r="G60" t="s">
        <v>86</v>
      </c>
      <c r="H60">
        <v>0.38154299398669961</v>
      </c>
    </row>
    <row r="61" spans="1:8" x14ac:dyDescent="0.25">
      <c r="A61" t="s">
        <v>102</v>
      </c>
      <c r="B61">
        <v>1.489414516186349</v>
      </c>
      <c r="C61">
        <v>9.3578778435744803E-2</v>
      </c>
      <c r="D61">
        <v>2.9089450381601001E-3</v>
      </c>
      <c r="E61">
        <v>5.0013534028205998E-3</v>
      </c>
      <c r="F61" t="s">
        <v>100</v>
      </c>
      <c r="G61" t="s">
        <v>89</v>
      </c>
      <c r="H61">
        <v>0.1934462038085133</v>
      </c>
    </row>
    <row r="62" spans="1:8" x14ac:dyDescent="0.25">
      <c r="A62" t="s">
        <v>103</v>
      </c>
      <c r="B62">
        <v>20.98037136909862</v>
      </c>
      <c r="C62">
        <v>0.73135681153542365</v>
      </c>
      <c r="D62">
        <v>5.7851520115513901E-2</v>
      </c>
      <c r="E62">
        <v>4.3063675777627201E-2</v>
      </c>
      <c r="F62" t="s">
        <v>100</v>
      </c>
      <c r="G62" t="s">
        <v>90</v>
      </c>
      <c r="H62">
        <v>43.614741136381241</v>
      </c>
    </row>
    <row r="63" spans="1:8" x14ac:dyDescent="0.25">
      <c r="A63" t="s">
        <v>104</v>
      </c>
      <c r="B63">
        <v>5.7788596604441969</v>
      </c>
      <c r="C63">
        <v>0.73190307326895931</v>
      </c>
      <c r="D63">
        <v>3.7954689347088802E-2</v>
      </c>
      <c r="E63">
        <v>8.8554360382498004E-3</v>
      </c>
      <c r="F63" t="s">
        <v>100</v>
      </c>
      <c r="G63" t="s">
        <v>97</v>
      </c>
      <c r="H63">
        <v>1.239627354589055</v>
      </c>
    </row>
    <row r="64" spans="1:8" x14ac:dyDescent="0.25">
      <c r="A64" t="s">
        <v>105</v>
      </c>
      <c r="B64">
        <v>0.37856285780032278</v>
      </c>
      <c r="C64">
        <v>3.10513019911451E-2</v>
      </c>
      <c r="D64">
        <v>6.2402684076179999E-4</v>
      </c>
      <c r="E64">
        <v>7.4397556224230004E-4</v>
      </c>
      <c r="F64" t="s">
        <v>100</v>
      </c>
      <c r="G64" t="s">
        <v>88</v>
      </c>
      <c r="H64">
        <v>0.30645252793598599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K130"/>
  <sheetViews>
    <sheetView workbookViewId="0"/>
  </sheetViews>
  <sheetFormatPr baseColWidth="10" defaultColWidth="9.140625" defaultRowHeight="15" x14ac:dyDescent="0.25"/>
  <sheetData>
    <row r="1" spans="1:11" x14ac:dyDescent="0.25">
      <c r="A1" s="1" t="s">
        <v>145</v>
      </c>
      <c r="B1" s="1" t="s">
        <v>146</v>
      </c>
      <c r="C1" s="1" t="s">
        <v>147</v>
      </c>
      <c r="D1" s="1" t="s">
        <v>148</v>
      </c>
      <c r="E1" s="1" t="s">
        <v>149</v>
      </c>
      <c r="F1" s="1" t="s">
        <v>150</v>
      </c>
      <c r="G1" s="1" t="s">
        <v>151</v>
      </c>
      <c r="H1" s="1" t="s">
        <v>152</v>
      </c>
      <c r="I1" s="1" t="s">
        <v>153</v>
      </c>
      <c r="J1" s="1" t="s">
        <v>154</v>
      </c>
      <c r="K1" s="1" t="s">
        <v>155</v>
      </c>
    </row>
    <row r="2" spans="1:11" x14ac:dyDescent="0.25">
      <c r="A2" t="s">
        <v>22</v>
      </c>
      <c r="B2" t="s">
        <v>156</v>
      </c>
      <c r="C2" t="s">
        <v>157</v>
      </c>
      <c r="E2" t="s">
        <v>158</v>
      </c>
      <c r="F2" t="s">
        <v>159</v>
      </c>
      <c r="H2">
        <v>0.54920894365141004</v>
      </c>
      <c r="I2">
        <v>9</v>
      </c>
      <c r="J2">
        <v>1.3879451220739081</v>
      </c>
      <c r="K2">
        <v>39.569932190889951</v>
      </c>
    </row>
    <row r="3" spans="1:11" x14ac:dyDescent="0.25">
      <c r="A3" t="s">
        <v>22</v>
      </c>
      <c r="B3" t="s">
        <v>156</v>
      </c>
      <c r="C3" t="s">
        <v>160</v>
      </c>
      <c r="E3" t="s">
        <v>161</v>
      </c>
      <c r="F3" t="s">
        <v>159</v>
      </c>
      <c r="H3">
        <v>0.1106497683927999</v>
      </c>
      <c r="I3">
        <v>8</v>
      </c>
      <c r="J3">
        <v>1.3879451220739081</v>
      </c>
      <c r="K3">
        <v>7.9722005310601771</v>
      </c>
    </row>
    <row r="4" spans="1:11" x14ac:dyDescent="0.25">
      <c r="A4" t="s">
        <v>22</v>
      </c>
      <c r="B4" t="s">
        <v>156</v>
      </c>
      <c r="C4" t="s">
        <v>162</v>
      </c>
      <c r="E4" t="s">
        <v>161</v>
      </c>
      <c r="F4" t="s">
        <v>159</v>
      </c>
      <c r="H4">
        <v>2.179712224793855E-2</v>
      </c>
      <c r="I4">
        <v>6</v>
      </c>
      <c r="J4">
        <v>1.3879451220739081</v>
      </c>
      <c r="K4">
        <v>1.5704599483997359</v>
      </c>
    </row>
    <row r="5" spans="1:11" x14ac:dyDescent="0.25">
      <c r="A5" t="s">
        <v>22</v>
      </c>
      <c r="B5" t="s">
        <v>156</v>
      </c>
      <c r="C5" t="s">
        <v>163</v>
      </c>
      <c r="E5" t="s">
        <v>158</v>
      </c>
      <c r="F5" t="s">
        <v>159</v>
      </c>
      <c r="H5">
        <v>1.4858666945436919E-2</v>
      </c>
      <c r="I5">
        <v>7</v>
      </c>
      <c r="J5">
        <v>1.3879451220739081</v>
      </c>
      <c r="K5">
        <v>1.0705514727581349</v>
      </c>
    </row>
    <row r="6" spans="1:11" x14ac:dyDescent="0.25">
      <c r="A6" t="s">
        <v>22</v>
      </c>
      <c r="B6" t="s">
        <v>156</v>
      </c>
      <c r="C6" t="s">
        <v>164</v>
      </c>
      <c r="E6" t="s">
        <v>165</v>
      </c>
      <c r="F6" t="s">
        <v>159</v>
      </c>
      <c r="H6">
        <v>8.1946759398418393E-4</v>
      </c>
      <c r="I6">
        <v>7</v>
      </c>
      <c r="J6">
        <v>1.3879451220739081</v>
      </c>
      <c r="K6">
        <v>5.9041786375509699E-2</v>
      </c>
    </row>
    <row r="7" spans="1:11" x14ac:dyDescent="0.25">
      <c r="A7" t="s">
        <v>22</v>
      </c>
      <c r="B7" t="s">
        <v>166</v>
      </c>
      <c r="C7" t="s">
        <v>167</v>
      </c>
      <c r="D7" t="s">
        <v>168</v>
      </c>
      <c r="F7" t="s">
        <v>159</v>
      </c>
      <c r="G7" t="s">
        <v>169</v>
      </c>
      <c r="H7">
        <v>0.21930812340044131</v>
      </c>
      <c r="I7">
        <v>9</v>
      </c>
      <c r="J7">
        <v>1.3879451220739081</v>
      </c>
      <c r="K7">
        <v>15.800921802494949</v>
      </c>
    </row>
    <row r="8" spans="1:11" x14ac:dyDescent="0.25">
      <c r="A8" t="s">
        <v>22</v>
      </c>
      <c r="B8" t="s">
        <v>166</v>
      </c>
      <c r="C8" t="s">
        <v>170</v>
      </c>
      <c r="D8" t="s">
        <v>171</v>
      </c>
      <c r="F8" t="s">
        <v>159</v>
      </c>
      <c r="G8" t="s">
        <v>172</v>
      </c>
      <c r="H8">
        <v>0.14495707675317779</v>
      </c>
      <c r="I8">
        <v>9</v>
      </c>
      <c r="J8">
        <v>1.3879451220739081</v>
      </c>
      <c r="K8">
        <v>10.44400635499038</v>
      </c>
    </row>
    <row r="9" spans="1:11" x14ac:dyDescent="0.25">
      <c r="A9" t="s">
        <v>22</v>
      </c>
      <c r="B9" t="s">
        <v>166</v>
      </c>
      <c r="C9" t="s">
        <v>173</v>
      </c>
      <c r="D9" t="s">
        <v>174</v>
      </c>
      <c r="F9" t="s">
        <v>159</v>
      </c>
      <c r="G9" t="s">
        <v>169</v>
      </c>
      <c r="H9">
        <v>7.451351089567522E-2</v>
      </c>
      <c r="I9">
        <v>9</v>
      </c>
      <c r="J9">
        <v>1.3879451220739081</v>
      </c>
      <c r="K9">
        <v>5.368620827337538</v>
      </c>
    </row>
    <row r="10" spans="1:11" x14ac:dyDescent="0.25">
      <c r="A10" t="s">
        <v>22</v>
      </c>
      <c r="B10" t="s">
        <v>166</v>
      </c>
      <c r="C10" t="s">
        <v>175</v>
      </c>
      <c r="D10" t="s">
        <v>176</v>
      </c>
      <c r="F10" t="s">
        <v>159</v>
      </c>
      <c r="G10" t="s">
        <v>169</v>
      </c>
      <c r="H10">
        <v>4.4685159900002311E-2</v>
      </c>
      <c r="I10">
        <v>9</v>
      </c>
      <c r="J10">
        <v>1.3879451220739081</v>
      </c>
      <c r="K10">
        <v>3.2195192150848482</v>
      </c>
    </row>
    <row r="11" spans="1:11" x14ac:dyDescent="0.25">
      <c r="A11" t="s">
        <v>22</v>
      </c>
      <c r="B11" t="s">
        <v>166</v>
      </c>
      <c r="C11" t="s">
        <v>177</v>
      </c>
      <c r="D11" t="s">
        <v>178</v>
      </c>
      <c r="F11" t="s">
        <v>159</v>
      </c>
      <c r="G11" t="s">
        <v>169</v>
      </c>
      <c r="H11">
        <v>2.702217215257665E-2</v>
      </c>
      <c r="I11">
        <v>8</v>
      </c>
      <c r="J11">
        <v>1.3879451220739081</v>
      </c>
      <c r="K11">
        <v>1.946919350254954</v>
      </c>
    </row>
    <row r="12" spans="1:11" x14ac:dyDescent="0.25">
      <c r="A12" t="s">
        <v>22</v>
      </c>
      <c r="B12" t="s">
        <v>166</v>
      </c>
      <c r="C12" t="s">
        <v>179</v>
      </c>
      <c r="D12" t="s">
        <v>180</v>
      </c>
      <c r="F12" t="s">
        <v>159</v>
      </c>
      <c r="G12" t="s">
        <v>172</v>
      </c>
      <c r="H12">
        <v>8.1849917733960789E-3</v>
      </c>
      <c r="I12">
        <v>4</v>
      </c>
      <c r="J12">
        <v>1.3879451220739081</v>
      </c>
      <c r="K12">
        <v>0.58972012965223208</v>
      </c>
    </row>
    <row r="13" spans="1:11" x14ac:dyDescent="0.25">
      <c r="A13" t="s">
        <v>22</v>
      </c>
      <c r="B13" t="s">
        <v>166</v>
      </c>
      <c r="C13" t="s">
        <v>181</v>
      </c>
      <c r="D13" t="s">
        <v>182</v>
      </c>
      <c r="F13" t="s">
        <v>159</v>
      </c>
      <c r="G13" t="s">
        <v>172</v>
      </c>
      <c r="H13">
        <v>6.8239181218730212E-3</v>
      </c>
      <c r="I13">
        <v>9</v>
      </c>
      <c r="J13">
        <v>1.3879451220739081</v>
      </c>
      <c r="K13">
        <v>0.4916561911090927</v>
      </c>
    </row>
    <row r="14" spans="1:11" x14ac:dyDescent="0.25">
      <c r="A14" t="s">
        <v>22</v>
      </c>
      <c r="B14" t="s">
        <v>166</v>
      </c>
      <c r="C14" t="s">
        <v>183</v>
      </c>
      <c r="D14" t="s">
        <v>184</v>
      </c>
      <c r="F14" t="s">
        <v>185</v>
      </c>
      <c r="G14" t="s">
        <v>186</v>
      </c>
      <c r="H14">
        <v>4.8468967804003353E-3</v>
      </c>
      <c r="I14">
        <v>8</v>
      </c>
      <c r="J14">
        <v>1.3879451220739081</v>
      </c>
      <c r="K14">
        <v>0.34921386323675119</v>
      </c>
    </row>
    <row r="15" spans="1:11" x14ac:dyDescent="0.25">
      <c r="A15" t="s">
        <v>22</v>
      </c>
      <c r="B15" t="s">
        <v>166</v>
      </c>
      <c r="C15" t="s">
        <v>187</v>
      </c>
      <c r="D15" t="s">
        <v>188</v>
      </c>
      <c r="F15" t="s">
        <v>159</v>
      </c>
      <c r="G15" t="s">
        <v>172</v>
      </c>
      <c r="H15">
        <v>1.466310089379489E-3</v>
      </c>
      <c r="I15">
        <v>3</v>
      </c>
      <c r="J15">
        <v>1.3879451220739081</v>
      </c>
      <c r="K15">
        <v>0.1056461142489903</v>
      </c>
    </row>
    <row r="16" spans="1:11" x14ac:dyDescent="0.25">
      <c r="A16" t="s">
        <v>22</v>
      </c>
      <c r="B16" t="s">
        <v>166</v>
      </c>
      <c r="C16" t="s">
        <v>189</v>
      </c>
      <c r="D16" t="s">
        <v>190</v>
      </c>
      <c r="F16" t="s">
        <v>159</v>
      </c>
      <c r="G16" t="s">
        <v>172</v>
      </c>
      <c r="H16">
        <v>1.435215609262931E-3</v>
      </c>
      <c r="I16">
        <v>9</v>
      </c>
      <c r="J16">
        <v>1.3879451220739081</v>
      </c>
      <c r="K16">
        <v>0.103405789352708</v>
      </c>
    </row>
    <row r="17" spans="1:11" x14ac:dyDescent="0.25">
      <c r="A17" t="s">
        <v>22</v>
      </c>
      <c r="B17" t="s">
        <v>166</v>
      </c>
      <c r="C17" t="s">
        <v>191</v>
      </c>
      <c r="D17" t="s">
        <v>192</v>
      </c>
      <c r="F17" t="s">
        <v>159</v>
      </c>
      <c r="G17" t="s">
        <v>169</v>
      </c>
      <c r="H17">
        <v>7.9890455776353243E-4</v>
      </c>
      <c r="I17">
        <v>4</v>
      </c>
      <c r="J17">
        <v>1.3879451220739081</v>
      </c>
      <c r="K17">
        <v>5.7560241039630311E-2</v>
      </c>
    </row>
    <row r="18" spans="1:11" x14ac:dyDescent="0.25">
      <c r="A18" t="s">
        <v>22</v>
      </c>
      <c r="B18" t="s">
        <v>166</v>
      </c>
      <c r="C18" t="s">
        <v>193</v>
      </c>
      <c r="D18" t="s">
        <v>194</v>
      </c>
      <c r="F18" t="s">
        <v>159</v>
      </c>
      <c r="G18" t="s">
        <v>172</v>
      </c>
      <c r="H18">
        <v>4.2377814138349078E-4</v>
      </c>
      <c r="I18">
        <v>4</v>
      </c>
      <c r="J18">
        <v>1.3879451220739081</v>
      </c>
      <c r="K18">
        <v>3.0532773568905179E-2</v>
      </c>
    </row>
    <row r="19" spans="1:11" x14ac:dyDescent="0.25">
      <c r="A19" t="s">
        <v>22</v>
      </c>
      <c r="B19" t="s">
        <v>166</v>
      </c>
      <c r="C19" t="s">
        <v>195</v>
      </c>
      <c r="D19" t="s">
        <v>196</v>
      </c>
      <c r="F19" t="s">
        <v>159</v>
      </c>
      <c r="G19" t="s">
        <v>172</v>
      </c>
      <c r="H19">
        <v>3.875502744973262E-4</v>
      </c>
      <c r="I19">
        <v>1</v>
      </c>
      <c r="J19">
        <v>1.3879451220739081</v>
      </c>
      <c r="K19">
        <v>2.7922593504146428E-2</v>
      </c>
    </row>
    <row r="20" spans="1:11" x14ac:dyDescent="0.25">
      <c r="A20" t="s">
        <v>22</v>
      </c>
      <c r="B20" t="s">
        <v>166</v>
      </c>
      <c r="C20" t="s">
        <v>197</v>
      </c>
      <c r="D20" t="s">
        <v>198</v>
      </c>
      <c r="F20" t="s">
        <v>159</v>
      </c>
      <c r="G20" t="s">
        <v>172</v>
      </c>
      <c r="H20">
        <v>1.1357671491349131E-4</v>
      </c>
      <c r="I20">
        <v>3</v>
      </c>
      <c r="J20">
        <v>1.3879451220739081</v>
      </c>
      <c r="K20">
        <v>8.1830839784055483E-3</v>
      </c>
    </row>
    <row r="21" spans="1:11" x14ac:dyDescent="0.25">
      <c r="A21" t="s">
        <v>22</v>
      </c>
      <c r="B21" t="s">
        <v>166</v>
      </c>
      <c r="C21" t="s">
        <v>199</v>
      </c>
      <c r="D21" t="s">
        <v>200</v>
      </c>
      <c r="F21" t="s">
        <v>159</v>
      </c>
      <c r="G21" t="s">
        <v>169</v>
      </c>
      <c r="H21">
        <v>9.1353260813210944E-5</v>
      </c>
      <c r="I21">
        <v>3</v>
      </c>
      <c r="J21">
        <v>1.3879451220739081</v>
      </c>
      <c r="K21">
        <v>6.5819072642229739E-3</v>
      </c>
    </row>
    <row r="22" spans="1:11" x14ac:dyDescent="0.25">
      <c r="A22" t="s">
        <v>22</v>
      </c>
      <c r="B22" t="s">
        <v>166</v>
      </c>
      <c r="C22" t="s">
        <v>201</v>
      </c>
      <c r="D22" t="s">
        <v>202</v>
      </c>
      <c r="F22" t="s">
        <v>159</v>
      </c>
      <c r="G22" t="s">
        <v>172</v>
      </c>
      <c r="H22">
        <v>3.0595469950922057E-5</v>
      </c>
      <c r="I22">
        <v>3</v>
      </c>
      <c r="J22">
        <v>1.3879451220739081</v>
      </c>
      <c r="K22">
        <v>2.2043717337473269E-3</v>
      </c>
    </row>
    <row r="23" spans="1:11" x14ac:dyDescent="0.25">
      <c r="A23" t="s">
        <v>22</v>
      </c>
      <c r="B23" t="s">
        <v>166</v>
      </c>
      <c r="C23" t="s">
        <v>203</v>
      </c>
      <c r="D23" t="s">
        <v>204</v>
      </c>
      <c r="F23" t="s">
        <v>159</v>
      </c>
      <c r="G23" t="s">
        <v>172</v>
      </c>
      <c r="H23">
        <v>1.659261906205836E-5</v>
      </c>
      <c r="I23">
        <v>2</v>
      </c>
      <c r="J23">
        <v>1.3879451220739081</v>
      </c>
      <c r="K23">
        <v>1.1954809162242079E-3</v>
      </c>
    </row>
    <row r="24" spans="1:11" x14ac:dyDescent="0.25">
      <c r="A24" t="s">
        <v>22</v>
      </c>
      <c r="B24" t="s">
        <v>166</v>
      </c>
      <c r="C24" t="s">
        <v>205</v>
      </c>
      <c r="D24" t="s">
        <v>206</v>
      </c>
      <c r="F24" t="s">
        <v>159</v>
      </c>
      <c r="G24" t="s">
        <v>172</v>
      </c>
      <c r="H24">
        <v>1.067068842771504E-6</v>
      </c>
      <c r="I24">
        <v>3</v>
      </c>
      <c r="J24">
        <v>1.3879451220739081</v>
      </c>
      <c r="K24">
        <v>7.6881198384634944E-5</v>
      </c>
    </row>
    <row r="25" spans="1:11" x14ac:dyDescent="0.25">
      <c r="A25" t="s">
        <v>22</v>
      </c>
      <c r="B25" t="s">
        <v>166</v>
      </c>
      <c r="C25" t="s">
        <v>207</v>
      </c>
      <c r="D25" t="s">
        <v>208</v>
      </c>
      <c r="F25" t="s">
        <v>159</v>
      </c>
      <c r="G25" t="s">
        <v>186</v>
      </c>
      <c r="H25">
        <v>0</v>
      </c>
      <c r="I25">
        <v>6</v>
      </c>
      <c r="J25">
        <v>1.3879451220739081</v>
      </c>
      <c r="K25">
        <v>0</v>
      </c>
    </row>
    <row r="26" spans="1:11" x14ac:dyDescent="0.25">
      <c r="A26" t="s">
        <v>22</v>
      </c>
      <c r="B26" t="s">
        <v>166</v>
      </c>
      <c r="C26" t="s">
        <v>209</v>
      </c>
      <c r="D26" t="s">
        <v>210</v>
      </c>
      <c r="F26" t="s">
        <v>159</v>
      </c>
      <c r="G26" t="s">
        <v>186</v>
      </c>
      <c r="H26">
        <v>0</v>
      </c>
      <c r="I26">
        <v>3</v>
      </c>
      <c r="J26">
        <v>1.3879451220739081</v>
      </c>
      <c r="K26">
        <v>0</v>
      </c>
    </row>
    <row r="27" spans="1:11" x14ac:dyDescent="0.25">
      <c r="A27" t="s">
        <v>25</v>
      </c>
      <c r="B27" t="s">
        <v>156</v>
      </c>
      <c r="C27" t="s">
        <v>157</v>
      </c>
      <c r="E27" t="s">
        <v>158</v>
      </c>
      <c r="F27" t="s">
        <v>159</v>
      </c>
      <c r="H27">
        <v>7839.7171658862408</v>
      </c>
      <c r="I27">
        <v>21</v>
      </c>
      <c r="J27">
        <v>21404.452354894009</v>
      </c>
      <c r="K27">
        <v>36.626572060339278</v>
      </c>
    </row>
    <row r="28" spans="1:11" x14ac:dyDescent="0.25">
      <c r="A28" t="s">
        <v>25</v>
      </c>
      <c r="B28" t="s">
        <v>156</v>
      </c>
      <c r="C28" t="s">
        <v>162</v>
      </c>
      <c r="E28" t="s">
        <v>161</v>
      </c>
      <c r="F28" t="s">
        <v>159</v>
      </c>
      <c r="H28">
        <v>274.52535021229238</v>
      </c>
      <c r="I28">
        <v>19</v>
      </c>
      <c r="J28">
        <v>21404.452354894009</v>
      </c>
      <c r="K28">
        <v>1.2825618972191259</v>
      </c>
    </row>
    <row r="29" spans="1:11" x14ac:dyDescent="0.25">
      <c r="A29" t="s">
        <v>25</v>
      </c>
      <c r="B29" t="s">
        <v>156</v>
      </c>
      <c r="C29" t="s">
        <v>160</v>
      </c>
      <c r="E29" t="s">
        <v>161</v>
      </c>
      <c r="F29" t="s">
        <v>159</v>
      </c>
      <c r="H29">
        <v>268.64015307700788</v>
      </c>
      <c r="I29">
        <v>16</v>
      </c>
      <c r="J29">
        <v>21404.452354894009</v>
      </c>
      <c r="K29">
        <v>1.255066696511788</v>
      </c>
    </row>
    <row r="30" spans="1:11" x14ac:dyDescent="0.25">
      <c r="A30" t="s">
        <v>25</v>
      </c>
      <c r="B30" t="s">
        <v>156</v>
      </c>
      <c r="C30" t="s">
        <v>163</v>
      </c>
      <c r="E30" t="s">
        <v>158</v>
      </c>
      <c r="F30" t="s">
        <v>159</v>
      </c>
      <c r="H30">
        <v>97.05247726463719</v>
      </c>
      <c r="I30">
        <v>18</v>
      </c>
      <c r="J30">
        <v>21404.452354894009</v>
      </c>
      <c r="K30">
        <v>0.45342191267251308</v>
      </c>
    </row>
    <row r="31" spans="1:11" x14ac:dyDescent="0.25">
      <c r="A31" t="s">
        <v>25</v>
      </c>
      <c r="B31" t="s">
        <v>156</v>
      </c>
      <c r="C31" t="s">
        <v>164</v>
      </c>
      <c r="E31" t="s">
        <v>165</v>
      </c>
      <c r="F31" t="s">
        <v>159</v>
      </c>
      <c r="H31">
        <v>31.41776103041741</v>
      </c>
      <c r="I31">
        <v>18</v>
      </c>
      <c r="J31">
        <v>21404.452354894009</v>
      </c>
      <c r="K31">
        <v>0.14678142897327581</v>
      </c>
    </row>
    <row r="32" spans="1:11" x14ac:dyDescent="0.25">
      <c r="A32" t="s">
        <v>25</v>
      </c>
      <c r="B32" t="s">
        <v>166</v>
      </c>
      <c r="C32" t="s">
        <v>173</v>
      </c>
      <c r="D32" t="s">
        <v>174</v>
      </c>
      <c r="F32" t="s">
        <v>159</v>
      </c>
      <c r="G32" t="s">
        <v>169</v>
      </c>
      <c r="H32">
        <v>4161.1703640884316</v>
      </c>
      <c r="I32">
        <v>21</v>
      </c>
      <c r="J32">
        <v>21404.452354894009</v>
      </c>
      <c r="K32">
        <v>19.440676617624391</v>
      </c>
    </row>
    <row r="33" spans="1:11" x14ac:dyDescent="0.25">
      <c r="A33" t="s">
        <v>25</v>
      </c>
      <c r="B33" t="s">
        <v>166</v>
      </c>
      <c r="C33" t="s">
        <v>170</v>
      </c>
      <c r="D33" t="s">
        <v>171</v>
      </c>
      <c r="F33" t="s">
        <v>159</v>
      </c>
      <c r="G33" t="s">
        <v>172</v>
      </c>
      <c r="H33">
        <v>1750.8328609860259</v>
      </c>
      <c r="I33">
        <v>20</v>
      </c>
      <c r="J33">
        <v>21404.452354894009</v>
      </c>
      <c r="K33">
        <v>8.1797601356790057</v>
      </c>
    </row>
    <row r="34" spans="1:11" x14ac:dyDescent="0.25">
      <c r="A34" t="s">
        <v>25</v>
      </c>
      <c r="B34" t="s">
        <v>166</v>
      </c>
      <c r="C34" t="s">
        <v>167</v>
      </c>
      <c r="D34" t="s">
        <v>168</v>
      </c>
      <c r="F34" t="s">
        <v>159</v>
      </c>
      <c r="G34" t="s">
        <v>169</v>
      </c>
      <c r="H34">
        <v>1495.8085041509271</v>
      </c>
      <c r="I34">
        <v>16</v>
      </c>
      <c r="J34">
        <v>21404.452354894009</v>
      </c>
      <c r="K34">
        <v>6.9883054205258306</v>
      </c>
    </row>
    <row r="35" spans="1:11" x14ac:dyDescent="0.25">
      <c r="A35" t="s">
        <v>25</v>
      </c>
      <c r="B35" t="s">
        <v>166</v>
      </c>
      <c r="C35" t="s">
        <v>187</v>
      </c>
      <c r="D35" t="s">
        <v>188</v>
      </c>
      <c r="F35" t="s">
        <v>159</v>
      </c>
      <c r="G35" t="s">
        <v>172</v>
      </c>
      <c r="H35">
        <v>1068.138673165942</v>
      </c>
      <c r="I35">
        <v>18</v>
      </c>
      <c r="J35">
        <v>21404.452354894009</v>
      </c>
      <c r="K35">
        <v>4.9902639668410789</v>
      </c>
    </row>
    <row r="36" spans="1:11" x14ac:dyDescent="0.25">
      <c r="A36" t="s">
        <v>25</v>
      </c>
      <c r="B36" t="s">
        <v>166</v>
      </c>
      <c r="C36" t="s">
        <v>179</v>
      </c>
      <c r="D36" t="s">
        <v>180</v>
      </c>
      <c r="F36" t="s">
        <v>159</v>
      </c>
      <c r="G36" t="s">
        <v>172</v>
      </c>
      <c r="H36">
        <v>485.45849436542687</v>
      </c>
      <c r="I36">
        <v>18</v>
      </c>
      <c r="J36">
        <v>21404.452354894009</v>
      </c>
      <c r="K36">
        <v>2.2680257654638361</v>
      </c>
    </row>
    <row r="37" spans="1:11" x14ac:dyDescent="0.25">
      <c r="A37" t="s">
        <v>25</v>
      </c>
      <c r="B37" t="s">
        <v>166</v>
      </c>
      <c r="C37" t="s">
        <v>191</v>
      </c>
      <c r="D37" t="s">
        <v>192</v>
      </c>
      <c r="F37" t="s">
        <v>159</v>
      </c>
      <c r="G37" t="s">
        <v>169</v>
      </c>
      <c r="H37">
        <v>109.57090383431969</v>
      </c>
      <c r="I37">
        <v>13</v>
      </c>
      <c r="J37">
        <v>21404.452354894009</v>
      </c>
      <c r="K37">
        <v>0.5119070650236327</v>
      </c>
    </row>
    <row r="38" spans="1:11" x14ac:dyDescent="0.25">
      <c r="A38" t="s">
        <v>25</v>
      </c>
      <c r="B38" t="s">
        <v>166</v>
      </c>
      <c r="C38" t="s">
        <v>183</v>
      </c>
      <c r="D38" t="s">
        <v>184</v>
      </c>
      <c r="F38" t="s">
        <v>185</v>
      </c>
      <c r="G38" t="s">
        <v>186</v>
      </c>
      <c r="H38">
        <v>74.177022431502621</v>
      </c>
      <c r="I38">
        <v>11</v>
      </c>
      <c r="J38">
        <v>21404.452354894009</v>
      </c>
      <c r="K38">
        <v>0.34654949914914529</v>
      </c>
    </row>
    <row r="39" spans="1:11" x14ac:dyDescent="0.25">
      <c r="A39" t="s">
        <v>25</v>
      </c>
      <c r="B39" t="s">
        <v>166</v>
      </c>
      <c r="C39" t="s">
        <v>197</v>
      </c>
      <c r="D39" t="s">
        <v>198</v>
      </c>
      <c r="F39" t="s">
        <v>159</v>
      </c>
      <c r="G39" t="s">
        <v>172</v>
      </c>
      <c r="H39">
        <v>70.083251214879468</v>
      </c>
      <c r="I39">
        <v>13</v>
      </c>
      <c r="J39">
        <v>21404.452354894009</v>
      </c>
      <c r="K39">
        <v>0.32742370630592338</v>
      </c>
    </row>
    <row r="40" spans="1:11" x14ac:dyDescent="0.25">
      <c r="A40" t="s">
        <v>25</v>
      </c>
      <c r="B40" t="s">
        <v>166</v>
      </c>
      <c r="C40" t="s">
        <v>199</v>
      </c>
      <c r="D40" t="s">
        <v>200</v>
      </c>
      <c r="F40" t="s">
        <v>159</v>
      </c>
      <c r="G40" t="s">
        <v>169</v>
      </c>
      <c r="H40">
        <v>56.370124208535827</v>
      </c>
      <c r="I40">
        <v>13</v>
      </c>
      <c r="J40">
        <v>21404.452354894009</v>
      </c>
      <c r="K40">
        <v>0.26335700289779718</v>
      </c>
    </row>
    <row r="41" spans="1:11" x14ac:dyDescent="0.25">
      <c r="A41" t="s">
        <v>25</v>
      </c>
      <c r="B41" t="s">
        <v>166</v>
      </c>
      <c r="C41" t="s">
        <v>181</v>
      </c>
      <c r="D41" t="s">
        <v>182</v>
      </c>
      <c r="F41" t="s">
        <v>159</v>
      </c>
      <c r="G41" t="s">
        <v>172</v>
      </c>
      <c r="H41">
        <v>52.430028831201788</v>
      </c>
      <c r="I41">
        <v>17</v>
      </c>
      <c r="J41">
        <v>21404.452354894009</v>
      </c>
      <c r="K41">
        <v>0.24494917207827541</v>
      </c>
    </row>
    <row r="42" spans="1:11" x14ac:dyDescent="0.25">
      <c r="A42" t="s">
        <v>25</v>
      </c>
      <c r="B42" t="s">
        <v>166</v>
      </c>
      <c r="C42" t="s">
        <v>175</v>
      </c>
      <c r="D42" t="s">
        <v>176</v>
      </c>
      <c r="F42" t="s">
        <v>159</v>
      </c>
      <c r="G42" t="s">
        <v>169</v>
      </c>
      <c r="H42">
        <v>38.874230257591321</v>
      </c>
      <c r="I42">
        <v>14</v>
      </c>
      <c r="J42">
        <v>21404.452354894009</v>
      </c>
      <c r="K42">
        <v>0.1816174953371463</v>
      </c>
    </row>
    <row r="43" spans="1:11" x14ac:dyDescent="0.25">
      <c r="A43" t="s">
        <v>25</v>
      </c>
      <c r="B43" t="s">
        <v>166</v>
      </c>
      <c r="C43" t="s">
        <v>201</v>
      </c>
      <c r="D43" t="s">
        <v>202</v>
      </c>
      <c r="F43" t="s">
        <v>159</v>
      </c>
      <c r="G43" t="s">
        <v>172</v>
      </c>
      <c r="H43">
        <v>18.890588933842459</v>
      </c>
      <c r="I43">
        <v>14</v>
      </c>
      <c r="J43">
        <v>21404.452354894009</v>
      </c>
      <c r="K43">
        <v>8.8255418174823005E-2</v>
      </c>
    </row>
    <row r="44" spans="1:11" x14ac:dyDescent="0.25">
      <c r="A44" t="s">
        <v>25</v>
      </c>
      <c r="B44" t="s">
        <v>166</v>
      </c>
      <c r="C44" t="s">
        <v>203</v>
      </c>
      <c r="D44" t="s">
        <v>204</v>
      </c>
      <c r="F44" t="s">
        <v>159</v>
      </c>
      <c r="G44" t="s">
        <v>172</v>
      </c>
      <c r="H44">
        <v>16.631390360462198</v>
      </c>
      <c r="I44">
        <v>5</v>
      </c>
      <c r="J44">
        <v>21404.452354894009</v>
      </c>
      <c r="K44">
        <v>7.7700611464883051E-2</v>
      </c>
    </row>
    <row r="45" spans="1:11" x14ac:dyDescent="0.25">
      <c r="A45" t="s">
        <v>25</v>
      </c>
      <c r="B45" t="s">
        <v>166</v>
      </c>
      <c r="C45" t="s">
        <v>211</v>
      </c>
      <c r="D45" t="s">
        <v>212</v>
      </c>
      <c r="F45" t="s">
        <v>159</v>
      </c>
      <c r="G45" t="s">
        <v>169</v>
      </c>
      <c r="H45">
        <v>16.346561655311231</v>
      </c>
      <c r="I45">
        <v>3</v>
      </c>
      <c r="J45">
        <v>21404.452354894009</v>
      </c>
      <c r="K45">
        <v>7.6369913064249367E-2</v>
      </c>
    </row>
    <row r="46" spans="1:11" x14ac:dyDescent="0.25">
      <c r="A46" t="s">
        <v>25</v>
      </c>
      <c r="B46" t="s">
        <v>166</v>
      </c>
      <c r="C46" t="s">
        <v>213</v>
      </c>
      <c r="D46" t="s">
        <v>214</v>
      </c>
      <c r="F46" t="s">
        <v>159</v>
      </c>
      <c r="G46" t="s">
        <v>172</v>
      </c>
      <c r="H46">
        <v>14.245258339424399</v>
      </c>
      <c r="I46">
        <v>5</v>
      </c>
      <c r="J46">
        <v>21404.452354894009</v>
      </c>
      <c r="K46">
        <v>6.6552781184178719E-2</v>
      </c>
    </row>
    <row r="47" spans="1:11" x14ac:dyDescent="0.25">
      <c r="A47" t="s">
        <v>25</v>
      </c>
      <c r="B47" t="s">
        <v>166</v>
      </c>
      <c r="C47" t="s">
        <v>189</v>
      </c>
      <c r="D47" t="s">
        <v>190</v>
      </c>
      <c r="F47" t="s">
        <v>159</v>
      </c>
      <c r="G47" t="s">
        <v>172</v>
      </c>
      <c r="H47">
        <v>12.51263310708954</v>
      </c>
      <c r="I47">
        <v>14</v>
      </c>
      <c r="J47">
        <v>21404.452354894009</v>
      </c>
      <c r="K47">
        <v>5.8458085727330467E-2</v>
      </c>
    </row>
    <row r="48" spans="1:11" x14ac:dyDescent="0.25">
      <c r="A48" t="s">
        <v>25</v>
      </c>
      <c r="B48" t="s">
        <v>166</v>
      </c>
      <c r="C48" t="s">
        <v>215</v>
      </c>
      <c r="D48" t="s">
        <v>216</v>
      </c>
      <c r="F48" t="s">
        <v>159</v>
      </c>
      <c r="G48" t="s">
        <v>172</v>
      </c>
      <c r="H48">
        <v>11.996303777136569</v>
      </c>
      <c r="I48">
        <v>3</v>
      </c>
      <c r="J48">
        <v>21404.452354894009</v>
      </c>
      <c r="K48">
        <v>5.6045833727643497E-2</v>
      </c>
    </row>
    <row r="49" spans="1:11" x14ac:dyDescent="0.25">
      <c r="A49" t="s">
        <v>25</v>
      </c>
      <c r="B49" t="s">
        <v>166</v>
      </c>
      <c r="C49" t="s">
        <v>177</v>
      </c>
      <c r="D49" t="s">
        <v>178</v>
      </c>
      <c r="F49" t="s">
        <v>159</v>
      </c>
      <c r="G49" t="s">
        <v>169</v>
      </c>
      <c r="H49">
        <v>8.4989474181386786</v>
      </c>
      <c r="I49">
        <v>3</v>
      </c>
      <c r="J49">
        <v>21404.452354894009</v>
      </c>
      <c r="K49">
        <v>3.9706446477690158E-2</v>
      </c>
    </row>
    <row r="50" spans="1:11" x14ac:dyDescent="0.25">
      <c r="A50" t="s">
        <v>25</v>
      </c>
      <c r="B50" t="s">
        <v>166</v>
      </c>
      <c r="C50" t="s">
        <v>193</v>
      </c>
      <c r="D50" t="s">
        <v>194</v>
      </c>
      <c r="F50" t="s">
        <v>159</v>
      </c>
      <c r="G50" t="s">
        <v>172</v>
      </c>
      <c r="H50">
        <v>7.3810924233873862</v>
      </c>
      <c r="I50">
        <v>6</v>
      </c>
      <c r="J50">
        <v>21404.452354894009</v>
      </c>
      <c r="K50">
        <v>3.448391157599387E-2</v>
      </c>
    </row>
    <row r="51" spans="1:11" x14ac:dyDescent="0.25">
      <c r="A51" t="s">
        <v>25</v>
      </c>
      <c r="B51" t="s">
        <v>166</v>
      </c>
      <c r="C51" t="s">
        <v>217</v>
      </c>
      <c r="D51" t="s">
        <v>218</v>
      </c>
      <c r="F51" t="s">
        <v>159</v>
      </c>
      <c r="G51" t="s">
        <v>172</v>
      </c>
      <c r="H51">
        <v>4.6287560893151394</v>
      </c>
      <c r="I51">
        <v>2</v>
      </c>
      <c r="J51">
        <v>21404.452354894009</v>
      </c>
      <c r="K51">
        <v>2.1625202142846699E-2</v>
      </c>
    </row>
    <row r="52" spans="1:11" x14ac:dyDescent="0.25">
      <c r="A52" t="s">
        <v>25</v>
      </c>
      <c r="B52" t="s">
        <v>166</v>
      </c>
      <c r="C52" t="s">
        <v>205</v>
      </c>
      <c r="D52" t="s">
        <v>206</v>
      </c>
      <c r="F52" t="s">
        <v>159</v>
      </c>
      <c r="G52" t="s">
        <v>172</v>
      </c>
      <c r="H52">
        <v>0.64661038324730935</v>
      </c>
      <c r="I52">
        <v>14</v>
      </c>
      <c r="J52">
        <v>21404.452354894009</v>
      </c>
      <c r="K52">
        <v>3.0209153335309029E-3</v>
      </c>
    </row>
    <row r="53" spans="1:11" x14ac:dyDescent="0.25">
      <c r="A53" t="s">
        <v>25</v>
      </c>
      <c r="B53" t="s">
        <v>166</v>
      </c>
      <c r="C53" t="s">
        <v>219</v>
      </c>
      <c r="D53" t="s">
        <v>220</v>
      </c>
      <c r="F53" t="s">
        <v>159</v>
      </c>
      <c r="G53" t="s">
        <v>172</v>
      </c>
      <c r="H53">
        <v>0.41083379266259062</v>
      </c>
      <c r="I53">
        <v>2</v>
      </c>
      <c r="J53">
        <v>21404.452354894009</v>
      </c>
      <c r="K53">
        <v>1.919384742252729E-3</v>
      </c>
    </row>
    <row r="54" spans="1:11" x14ac:dyDescent="0.25">
      <c r="A54" t="s">
        <v>25</v>
      </c>
      <c r="B54" t="s">
        <v>166</v>
      </c>
      <c r="C54" t="s">
        <v>221</v>
      </c>
      <c r="D54" t="s">
        <v>222</v>
      </c>
      <c r="F54" t="s">
        <v>159</v>
      </c>
      <c r="G54" t="s">
        <v>172</v>
      </c>
      <c r="H54">
        <v>8.9085440607463567E-2</v>
      </c>
      <c r="I54">
        <v>1</v>
      </c>
      <c r="J54">
        <v>21404.452354894009</v>
      </c>
      <c r="K54">
        <v>4.1620051347445331E-4</v>
      </c>
    </row>
    <row r="55" spans="1:11" x14ac:dyDescent="0.25">
      <c r="A55" t="s">
        <v>25</v>
      </c>
      <c r="B55" t="s">
        <v>166</v>
      </c>
      <c r="C55" t="s">
        <v>223</v>
      </c>
      <c r="D55" t="s">
        <v>224</v>
      </c>
      <c r="F55" t="s">
        <v>159</v>
      </c>
      <c r="G55" t="s">
        <v>172</v>
      </c>
      <c r="H55">
        <v>1.1788310750437739E-2</v>
      </c>
      <c r="I55">
        <v>1</v>
      </c>
      <c r="J55">
        <v>21404.452354894009</v>
      </c>
      <c r="K55">
        <v>5.5074105868176613E-5</v>
      </c>
    </row>
    <row r="56" spans="1:11" x14ac:dyDescent="0.25">
      <c r="A56" t="s">
        <v>25</v>
      </c>
      <c r="B56" t="s">
        <v>166</v>
      </c>
      <c r="C56" t="s">
        <v>225</v>
      </c>
      <c r="D56" t="s">
        <v>226</v>
      </c>
      <c r="F56" t="s">
        <v>185</v>
      </c>
      <c r="G56" t="s">
        <v>172</v>
      </c>
      <c r="H56">
        <v>2.27088908176692E-3</v>
      </c>
      <c r="I56">
        <v>2</v>
      </c>
      <c r="J56">
        <v>21404.452354894009</v>
      </c>
      <c r="K56">
        <v>1.06094238904818E-5</v>
      </c>
    </row>
    <row r="57" spans="1:11" x14ac:dyDescent="0.25">
      <c r="A57" t="s">
        <v>25</v>
      </c>
      <c r="B57" t="s">
        <v>166</v>
      </c>
      <c r="C57" t="s">
        <v>209</v>
      </c>
      <c r="D57" t="s">
        <v>210</v>
      </c>
      <c r="F57" t="s">
        <v>159</v>
      </c>
      <c r="G57" t="s">
        <v>186</v>
      </c>
      <c r="H57">
        <v>0</v>
      </c>
      <c r="I57">
        <v>21</v>
      </c>
      <c r="J57">
        <v>21404.452354894009</v>
      </c>
      <c r="K57">
        <v>0</v>
      </c>
    </row>
    <row r="58" spans="1:11" x14ac:dyDescent="0.25">
      <c r="A58" t="s">
        <v>69</v>
      </c>
      <c r="B58" t="s">
        <v>156</v>
      </c>
      <c r="C58" t="s">
        <v>157</v>
      </c>
      <c r="E58" t="s">
        <v>158</v>
      </c>
      <c r="F58" t="s">
        <v>159</v>
      </c>
      <c r="H58">
        <v>2.3915938797259488</v>
      </c>
      <c r="I58">
        <v>2</v>
      </c>
      <c r="J58">
        <v>6.0064788873299229</v>
      </c>
      <c r="K58">
        <v>39.816903123904773</v>
      </c>
    </row>
    <row r="59" spans="1:11" x14ac:dyDescent="0.25">
      <c r="A59" t="s">
        <v>69</v>
      </c>
      <c r="B59" t="s">
        <v>156</v>
      </c>
      <c r="C59" t="s">
        <v>160</v>
      </c>
      <c r="E59" t="s">
        <v>161</v>
      </c>
      <c r="F59" t="s">
        <v>159</v>
      </c>
      <c r="H59">
        <v>0.58014724398264772</v>
      </c>
      <c r="I59">
        <v>2</v>
      </c>
      <c r="J59">
        <v>6.0064788873299229</v>
      </c>
      <c r="K59">
        <v>9.658691137771438</v>
      </c>
    </row>
    <row r="60" spans="1:11" x14ac:dyDescent="0.25">
      <c r="A60" t="s">
        <v>69</v>
      </c>
      <c r="B60" t="s">
        <v>156</v>
      </c>
      <c r="C60" t="s">
        <v>162</v>
      </c>
      <c r="E60" t="s">
        <v>161</v>
      </c>
      <c r="F60" t="s">
        <v>159</v>
      </c>
      <c r="H60">
        <v>0.11352409469128549</v>
      </c>
      <c r="I60">
        <v>2</v>
      </c>
      <c r="J60">
        <v>6.0064788873299229</v>
      </c>
      <c r="K60">
        <v>1.890027365795848</v>
      </c>
    </row>
    <row r="61" spans="1:11" x14ac:dyDescent="0.25">
      <c r="A61" t="s">
        <v>69</v>
      </c>
      <c r="B61" t="s">
        <v>156</v>
      </c>
      <c r="C61" t="s">
        <v>163</v>
      </c>
      <c r="E61" t="s">
        <v>158</v>
      </c>
      <c r="F61" t="s">
        <v>159</v>
      </c>
      <c r="H61">
        <v>9.1730504856524647E-2</v>
      </c>
      <c r="I61">
        <v>2</v>
      </c>
      <c r="J61">
        <v>6.0064788873299229</v>
      </c>
      <c r="K61">
        <v>1.5271926627432439</v>
      </c>
    </row>
    <row r="62" spans="1:11" x14ac:dyDescent="0.25">
      <c r="A62" t="s">
        <v>69</v>
      </c>
      <c r="B62" t="s">
        <v>156</v>
      </c>
      <c r="C62" t="s">
        <v>164</v>
      </c>
      <c r="E62" t="s">
        <v>165</v>
      </c>
      <c r="F62" t="s">
        <v>159</v>
      </c>
      <c r="H62">
        <v>3.3630351294806739E-3</v>
      </c>
      <c r="I62">
        <v>2</v>
      </c>
      <c r="J62">
        <v>6.0064788873299229</v>
      </c>
      <c r="K62">
        <v>5.5990126537773501E-2</v>
      </c>
    </row>
    <row r="63" spans="1:11" x14ac:dyDescent="0.25">
      <c r="A63" t="s">
        <v>69</v>
      </c>
      <c r="B63" t="s">
        <v>166</v>
      </c>
      <c r="C63" t="s">
        <v>167</v>
      </c>
      <c r="D63" t="s">
        <v>168</v>
      </c>
      <c r="F63" t="s">
        <v>159</v>
      </c>
      <c r="G63" t="s">
        <v>169</v>
      </c>
      <c r="H63">
        <v>0.9381462870006132</v>
      </c>
      <c r="I63">
        <v>2</v>
      </c>
      <c r="J63">
        <v>6.0064788873299229</v>
      </c>
      <c r="K63">
        <v>15.61890592805613</v>
      </c>
    </row>
    <row r="64" spans="1:11" x14ac:dyDescent="0.25">
      <c r="A64" t="s">
        <v>69</v>
      </c>
      <c r="B64" t="s">
        <v>166</v>
      </c>
      <c r="C64" t="s">
        <v>170</v>
      </c>
      <c r="D64" t="s">
        <v>171</v>
      </c>
      <c r="F64" t="s">
        <v>159</v>
      </c>
      <c r="G64" t="s">
        <v>172</v>
      </c>
      <c r="H64">
        <v>0.62727437142652309</v>
      </c>
      <c r="I64">
        <v>2</v>
      </c>
      <c r="J64">
        <v>6.0064788873299229</v>
      </c>
      <c r="K64">
        <v>10.44329603404911</v>
      </c>
    </row>
    <row r="65" spans="1:11" x14ac:dyDescent="0.25">
      <c r="A65" t="s">
        <v>69</v>
      </c>
      <c r="B65" t="s">
        <v>166</v>
      </c>
      <c r="C65" t="s">
        <v>173</v>
      </c>
      <c r="D65" t="s">
        <v>174</v>
      </c>
      <c r="F65" t="s">
        <v>159</v>
      </c>
      <c r="G65" t="s">
        <v>169</v>
      </c>
      <c r="H65">
        <v>0.35192806523674758</v>
      </c>
      <c r="I65">
        <v>2</v>
      </c>
      <c r="J65">
        <v>6.0064788873299229</v>
      </c>
      <c r="K65">
        <v>5.8591409682485569</v>
      </c>
    </row>
    <row r="66" spans="1:11" x14ac:dyDescent="0.25">
      <c r="A66" t="s">
        <v>69</v>
      </c>
      <c r="B66" t="s">
        <v>166</v>
      </c>
      <c r="C66" t="s">
        <v>175</v>
      </c>
      <c r="D66" t="s">
        <v>176</v>
      </c>
      <c r="F66" t="s">
        <v>159</v>
      </c>
      <c r="G66" t="s">
        <v>169</v>
      </c>
      <c r="H66">
        <v>0.19275726324802411</v>
      </c>
      <c r="I66">
        <v>2</v>
      </c>
      <c r="J66">
        <v>6.0064788873299229</v>
      </c>
      <c r="K66">
        <v>3.2091557610337502</v>
      </c>
    </row>
    <row r="67" spans="1:11" x14ac:dyDescent="0.25">
      <c r="A67" t="s">
        <v>69</v>
      </c>
      <c r="B67" t="s">
        <v>166</v>
      </c>
      <c r="C67" t="s">
        <v>177</v>
      </c>
      <c r="D67" t="s">
        <v>178</v>
      </c>
      <c r="F67" t="s">
        <v>159</v>
      </c>
      <c r="G67" t="s">
        <v>169</v>
      </c>
      <c r="H67">
        <v>0.19104458682330211</v>
      </c>
      <c r="I67">
        <v>2</v>
      </c>
      <c r="J67">
        <v>6.0064788873299229</v>
      </c>
      <c r="K67">
        <v>3.180641943590143</v>
      </c>
    </row>
    <row r="68" spans="1:11" x14ac:dyDescent="0.25">
      <c r="A68" t="s">
        <v>69</v>
      </c>
      <c r="B68" t="s">
        <v>166</v>
      </c>
      <c r="C68" t="s">
        <v>181</v>
      </c>
      <c r="D68" t="s">
        <v>182</v>
      </c>
      <c r="F68" t="s">
        <v>159</v>
      </c>
      <c r="G68" t="s">
        <v>172</v>
      </c>
      <c r="H68">
        <v>2.8624971650101489E-2</v>
      </c>
      <c r="I68">
        <v>2</v>
      </c>
      <c r="J68">
        <v>6.0064788873299229</v>
      </c>
      <c r="K68">
        <v>0.47656825549629511</v>
      </c>
    </row>
    <row r="69" spans="1:11" x14ac:dyDescent="0.25">
      <c r="A69" t="s">
        <v>69</v>
      </c>
      <c r="B69" t="s">
        <v>166</v>
      </c>
      <c r="C69" t="s">
        <v>183</v>
      </c>
      <c r="D69" t="s">
        <v>184</v>
      </c>
      <c r="F69" t="s">
        <v>185</v>
      </c>
      <c r="G69" t="s">
        <v>186</v>
      </c>
      <c r="H69">
        <v>2.5986509009249561E-2</v>
      </c>
      <c r="I69">
        <v>2</v>
      </c>
      <c r="J69">
        <v>6.0064788873299229</v>
      </c>
      <c r="K69">
        <v>0.43264131110267517</v>
      </c>
    </row>
    <row r="70" spans="1:11" x14ac:dyDescent="0.25">
      <c r="A70" t="s">
        <v>69</v>
      </c>
      <c r="B70" t="s">
        <v>166</v>
      </c>
      <c r="C70" t="s">
        <v>189</v>
      </c>
      <c r="D70" t="s">
        <v>190</v>
      </c>
      <c r="F70" t="s">
        <v>159</v>
      </c>
      <c r="G70" t="s">
        <v>172</v>
      </c>
      <c r="H70">
        <v>6.0101212823850843E-3</v>
      </c>
      <c r="I70">
        <v>2</v>
      </c>
      <c r="J70">
        <v>6.0064788873299229</v>
      </c>
      <c r="K70">
        <v>0.1000606411031069</v>
      </c>
    </row>
    <row r="71" spans="1:11" x14ac:dyDescent="0.25">
      <c r="A71" t="s">
        <v>69</v>
      </c>
      <c r="B71" t="s">
        <v>166</v>
      </c>
      <c r="C71" t="s">
        <v>193</v>
      </c>
      <c r="D71" t="s">
        <v>194</v>
      </c>
      <c r="F71" t="s">
        <v>159</v>
      </c>
      <c r="G71" t="s">
        <v>172</v>
      </c>
      <c r="H71">
        <v>2.2504136724048329E-3</v>
      </c>
      <c r="I71">
        <v>1</v>
      </c>
      <c r="J71">
        <v>6.0064788873299229</v>
      </c>
      <c r="K71">
        <v>3.7466437735290473E-2</v>
      </c>
    </row>
    <row r="72" spans="1:11" x14ac:dyDescent="0.25">
      <c r="A72" t="s">
        <v>69</v>
      </c>
      <c r="B72" t="s">
        <v>166</v>
      </c>
      <c r="C72" t="s">
        <v>191</v>
      </c>
      <c r="D72" t="s">
        <v>192</v>
      </c>
      <c r="F72" t="s">
        <v>159</v>
      </c>
      <c r="G72" t="s">
        <v>169</v>
      </c>
      <c r="H72">
        <v>9.3573618593147931E-5</v>
      </c>
      <c r="I72">
        <v>1</v>
      </c>
      <c r="J72">
        <v>6.0064788873299229</v>
      </c>
      <c r="K72">
        <v>1.557878090448837E-3</v>
      </c>
    </row>
    <row r="73" spans="1:11" x14ac:dyDescent="0.25">
      <c r="A73" t="s">
        <v>69</v>
      </c>
      <c r="B73" t="s">
        <v>166</v>
      </c>
      <c r="C73" t="s">
        <v>207</v>
      </c>
      <c r="D73" t="s">
        <v>208</v>
      </c>
      <c r="F73" t="s">
        <v>159</v>
      </c>
      <c r="G73" t="s">
        <v>186</v>
      </c>
      <c r="H73">
        <v>0</v>
      </c>
      <c r="I73">
        <v>2</v>
      </c>
      <c r="J73">
        <v>6.0064788873299229</v>
      </c>
      <c r="K73">
        <v>0</v>
      </c>
    </row>
    <row r="74" spans="1:11" x14ac:dyDescent="0.25">
      <c r="A74" t="s">
        <v>28</v>
      </c>
      <c r="B74" t="s">
        <v>156</v>
      </c>
      <c r="C74" t="s">
        <v>157</v>
      </c>
      <c r="E74" t="s">
        <v>158</v>
      </c>
      <c r="F74" t="s">
        <v>159</v>
      </c>
      <c r="H74">
        <v>0.46529914719770887</v>
      </c>
      <c r="I74">
        <v>3</v>
      </c>
      <c r="J74">
        <v>1.174327740842763</v>
      </c>
      <c r="K74">
        <v>39.622596913514492</v>
      </c>
    </row>
    <row r="75" spans="1:11" x14ac:dyDescent="0.25">
      <c r="A75" t="s">
        <v>28</v>
      </c>
      <c r="B75" t="s">
        <v>156</v>
      </c>
      <c r="C75" t="s">
        <v>162</v>
      </c>
      <c r="E75" t="s">
        <v>161</v>
      </c>
      <c r="F75" t="s">
        <v>159</v>
      </c>
      <c r="H75">
        <v>1.493530060309251E-2</v>
      </c>
      <c r="I75">
        <v>3</v>
      </c>
      <c r="J75">
        <v>1.174327740842763</v>
      </c>
      <c r="K75">
        <v>1.271817064661533</v>
      </c>
    </row>
    <row r="76" spans="1:11" x14ac:dyDescent="0.25">
      <c r="A76" t="s">
        <v>28</v>
      </c>
      <c r="B76" t="s">
        <v>156</v>
      </c>
      <c r="C76" t="s">
        <v>163</v>
      </c>
      <c r="E76" t="s">
        <v>158</v>
      </c>
      <c r="F76" t="s">
        <v>159</v>
      </c>
      <c r="H76">
        <v>1.312354424401338E-2</v>
      </c>
      <c r="I76">
        <v>3</v>
      </c>
      <c r="J76">
        <v>1.174327740842763</v>
      </c>
      <c r="K76">
        <v>1.1175367648724031</v>
      </c>
    </row>
    <row r="77" spans="1:11" x14ac:dyDescent="0.25">
      <c r="A77" t="s">
        <v>28</v>
      </c>
      <c r="B77" t="s">
        <v>156</v>
      </c>
      <c r="C77" t="s">
        <v>160</v>
      </c>
      <c r="E77" t="s">
        <v>161</v>
      </c>
      <c r="F77" t="s">
        <v>159</v>
      </c>
      <c r="H77">
        <v>1.1130761752776139E-2</v>
      </c>
      <c r="I77">
        <v>3</v>
      </c>
      <c r="J77">
        <v>1.174327740842763</v>
      </c>
      <c r="K77">
        <v>0.94784116611160807</v>
      </c>
    </row>
    <row r="78" spans="1:11" x14ac:dyDescent="0.25">
      <c r="A78" t="s">
        <v>28</v>
      </c>
      <c r="B78" t="s">
        <v>156</v>
      </c>
      <c r="C78" t="s">
        <v>164</v>
      </c>
      <c r="E78" t="s">
        <v>165</v>
      </c>
      <c r="F78" t="s">
        <v>159</v>
      </c>
      <c r="H78">
        <v>1.78316902849647E-3</v>
      </c>
      <c r="I78">
        <v>3</v>
      </c>
      <c r="J78">
        <v>1.174327740842763</v>
      </c>
      <c r="K78">
        <v>0.15184594270222809</v>
      </c>
    </row>
    <row r="79" spans="1:11" x14ac:dyDescent="0.25">
      <c r="A79" t="s">
        <v>28</v>
      </c>
      <c r="B79" t="s">
        <v>166</v>
      </c>
      <c r="C79" t="s">
        <v>167</v>
      </c>
      <c r="D79" t="s">
        <v>168</v>
      </c>
      <c r="F79" t="s">
        <v>159</v>
      </c>
      <c r="G79" t="s">
        <v>169</v>
      </c>
      <c r="H79">
        <v>0.4601813061125708</v>
      </c>
      <c r="I79">
        <v>3</v>
      </c>
      <c r="J79">
        <v>1.174327740842763</v>
      </c>
      <c r="K79">
        <v>39.186786627583132</v>
      </c>
    </row>
    <row r="80" spans="1:11" x14ac:dyDescent="0.25">
      <c r="A80" t="s">
        <v>28</v>
      </c>
      <c r="B80" t="s">
        <v>166</v>
      </c>
      <c r="C80" t="s">
        <v>170</v>
      </c>
      <c r="D80" t="s">
        <v>171</v>
      </c>
      <c r="F80" t="s">
        <v>159</v>
      </c>
      <c r="G80" t="s">
        <v>172</v>
      </c>
      <c r="H80">
        <v>7.5585375353772286E-2</v>
      </c>
      <c r="I80">
        <v>3</v>
      </c>
      <c r="J80">
        <v>1.174327740842763</v>
      </c>
      <c r="K80">
        <v>6.4364804411013941</v>
      </c>
    </row>
    <row r="81" spans="1:11" x14ac:dyDescent="0.25">
      <c r="A81" t="s">
        <v>28</v>
      </c>
      <c r="B81" t="s">
        <v>166</v>
      </c>
      <c r="C81" t="s">
        <v>179</v>
      </c>
      <c r="D81" t="s">
        <v>180</v>
      </c>
      <c r="F81" t="s">
        <v>159</v>
      </c>
      <c r="G81" t="s">
        <v>172</v>
      </c>
      <c r="H81">
        <v>2.9405225357778252E-2</v>
      </c>
      <c r="I81">
        <v>3</v>
      </c>
      <c r="J81">
        <v>1.174327740842763</v>
      </c>
      <c r="K81">
        <v>2.5040050009101749</v>
      </c>
    </row>
    <row r="82" spans="1:11" x14ac:dyDescent="0.25">
      <c r="A82" t="s">
        <v>28</v>
      </c>
      <c r="B82" t="s">
        <v>166</v>
      </c>
      <c r="C82" t="s">
        <v>183</v>
      </c>
      <c r="D82" t="s">
        <v>184</v>
      </c>
      <c r="F82" t="s">
        <v>185</v>
      </c>
      <c r="G82" t="s">
        <v>186</v>
      </c>
      <c r="H82">
        <v>2.7511984296489111E-2</v>
      </c>
      <c r="I82">
        <v>3</v>
      </c>
      <c r="J82">
        <v>1.174327740842763</v>
      </c>
      <c r="K82">
        <v>2.3427858628924989</v>
      </c>
    </row>
    <row r="83" spans="1:11" x14ac:dyDescent="0.25">
      <c r="A83" t="s">
        <v>28</v>
      </c>
      <c r="B83" t="s">
        <v>166</v>
      </c>
      <c r="C83" t="s">
        <v>227</v>
      </c>
      <c r="D83" t="s">
        <v>228</v>
      </c>
      <c r="F83" t="s">
        <v>159</v>
      </c>
      <c r="G83" t="s">
        <v>172</v>
      </c>
      <c r="H83">
        <v>1.1560675006655649E-2</v>
      </c>
      <c r="I83">
        <v>3</v>
      </c>
      <c r="J83">
        <v>1.174327740842763</v>
      </c>
      <c r="K83">
        <v>0.98445047362664484</v>
      </c>
    </row>
    <row r="84" spans="1:11" x14ac:dyDescent="0.25">
      <c r="A84" t="s">
        <v>28</v>
      </c>
      <c r="B84" t="s">
        <v>166</v>
      </c>
      <c r="C84" t="s">
        <v>181</v>
      </c>
      <c r="D84" t="s">
        <v>182</v>
      </c>
      <c r="F84" t="s">
        <v>159</v>
      </c>
      <c r="G84" t="s">
        <v>172</v>
      </c>
      <c r="H84">
        <v>9.9082396301424496E-3</v>
      </c>
      <c r="I84">
        <v>3</v>
      </c>
      <c r="J84">
        <v>1.174327740842763</v>
      </c>
      <c r="K84">
        <v>0.84373716855498515</v>
      </c>
    </row>
    <row r="85" spans="1:11" x14ac:dyDescent="0.25">
      <c r="A85" t="s">
        <v>28</v>
      </c>
      <c r="B85" t="s">
        <v>166</v>
      </c>
      <c r="C85" t="s">
        <v>193</v>
      </c>
      <c r="D85" t="s">
        <v>194</v>
      </c>
      <c r="F85" t="s">
        <v>159</v>
      </c>
      <c r="G85" t="s">
        <v>172</v>
      </c>
      <c r="H85">
        <v>6.6721946768901839E-3</v>
      </c>
      <c r="I85">
        <v>3</v>
      </c>
      <c r="J85">
        <v>1.174327740842763</v>
      </c>
      <c r="K85">
        <v>0.56817142649647767</v>
      </c>
    </row>
    <row r="86" spans="1:11" x14ac:dyDescent="0.25">
      <c r="A86" t="s">
        <v>28</v>
      </c>
      <c r="B86" t="s">
        <v>166</v>
      </c>
      <c r="C86" t="s">
        <v>229</v>
      </c>
      <c r="D86" t="s">
        <v>230</v>
      </c>
      <c r="F86" t="s">
        <v>159</v>
      </c>
      <c r="G86" t="s">
        <v>172</v>
      </c>
      <c r="H86">
        <v>3.9782044806495991E-3</v>
      </c>
      <c r="I86">
        <v>3</v>
      </c>
      <c r="J86">
        <v>1.174327740842763</v>
      </c>
      <c r="K86">
        <v>0.33876441322885043</v>
      </c>
    </row>
    <row r="87" spans="1:11" x14ac:dyDescent="0.25">
      <c r="A87" t="s">
        <v>28</v>
      </c>
      <c r="B87" t="s">
        <v>166</v>
      </c>
      <c r="C87" t="s">
        <v>205</v>
      </c>
      <c r="D87" t="s">
        <v>206</v>
      </c>
      <c r="F87" t="s">
        <v>159</v>
      </c>
      <c r="G87" t="s">
        <v>172</v>
      </c>
      <c r="H87">
        <v>4.4593458564376909E-4</v>
      </c>
      <c r="I87">
        <v>3</v>
      </c>
      <c r="J87">
        <v>1.174327740842763</v>
      </c>
      <c r="K87">
        <v>3.7973605675340839E-2</v>
      </c>
    </row>
    <row r="88" spans="1:11" x14ac:dyDescent="0.25">
      <c r="A88" t="s">
        <v>28</v>
      </c>
      <c r="B88" t="s">
        <v>166</v>
      </c>
      <c r="C88" t="s">
        <v>231</v>
      </c>
      <c r="D88" t="s">
        <v>232</v>
      </c>
      <c r="F88" t="s">
        <v>159</v>
      </c>
      <c r="G88" t="s">
        <v>186</v>
      </c>
      <c r="H88">
        <v>0</v>
      </c>
      <c r="I88">
        <v>3</v>
      </c>
      <c r="J88">
        <v>1.174327740842763</v>
      </c>
      <c r="K88">
        <v>0</v>
      </c>
    </row>
    <row r="89" spans="1:11" x14ac:dyDescent="0.25">
      <c r="A89" t="s">
        <v>30</v>
      </c>
      <c r="B89" t="s">
        <v>156</v>
      </c>
      <c r="C89" t="s">
        <v>157</v>
      </c>
      <c r="E89" t="s">
        <v>158</v>
      </c>
      <c r="F89" t="s">
        <v>159</v>
      </c>
      <c r="H89">
        <v>5.927461128272097</v>
      </c>
      <c r="I89">
        <v>2</v>
      </c>
      <c r="J89">
        <v>21.264017786571031</v>
      </c>
      <c r="K89">
        <v>27.87554632321412</v>
      </c>
    </row>
    <row r="90" spans="1:11" x14ac:dyDescent="0.25">
      <c r="A90" t="s">
        <v>30</v>
      </c>
      <c r="B90" t="s">
        <v>156</v>
      </c>
      <c r="C90" t="s">
        <v>163</v>
      </c>
      <c r="E90" t="s">
        <v>158</v>
      </c>
      <c r="F90" t="s">
        <v>159</v>
      </c>
      <c r="H90">
        <v>0.18159861696561369</v>
      </c>
      <c r="I90">
        <v>2</v>
      </c>
      <c r="J90">
        <v>21.264017786571031</v>
      </c>
      <c r="K90">
        <v>0.854018364677533</v>
      </c>
    </row>
    <row r="91" spans="1:11" x14ac:dyDescent="0.25">
      <c r="A91" t="s">
        <v>30</v>
      </c>
      <c r="B91" t="s">
        <v>156</v>
      </c>
      <c r="C91" t="s">
        <v>164</v>
      </c>
      <c r="E91" t="s">
        <v>165</v>
      </c>
      <c r="F91" t="s">
        <v>159</v>
      </c>
      <c r="H91">
        <v>0.15193640157912691</v>
      </c>
      <c r="I91">
        <v>2</v>
      </c>
      <c r="J91">
        <v>21.264017786571031</v>
      </c>
      <c r="K91">
        <v>0.71452348800742671</v>
      </c>
    </row>
    <row r="92" spans="1:11" x14ac:dyDescent="0.25">
      <c r="A92" t="s">
        <v>30</v>
      </c>
      <c r="B92" t="s">
        <v>156</v>
      </c>
      <c r="C92" t="s">
        <v>162</v>
      </c>
      <c r="E92" t="s">
        <v>161</v>
      </c>
      <c r="F92" t="s">
        <v>159</v>
      </c>
      <c r="H92">
        <v>4.0781778016297107E-2</v>
      </c>
      <c r="I92">
        <v>1</v>
      </c>
      <c r="J92">
        <v>21.264017786571031</v>
      </c>
      <c r="K92">
        <v>0.19178773468696131</v>
      </c>
    </row>
    <row r="93" spans="1:11" x14ac:dyDescent="0.25">
      <c r="A93" t="s">
        <v>30</v>
      </c>
      <c r="B93" t="s">
        <v>166</v>
      </c>
      <c r="C93" t="s">
        <v>170</v>
      </c>
      <c r="D93" t="s">
        <v>171</v>
      </c>
      <c r="F93" t="s">
        <v>159</v>
      </c>
      <c r="G93" t="s">
        <v>172</v>
      </c>
      <c r="H93">
        <v>1.1292625852172451</v>
      </c>
      <c r="I93">
        <v>2</v>
      </c>
      <c r="J93">
        <v>21.264017786571031</v>
      </c>
      <c r="K93">
        <v>5.3106736297521993</v>
      </c>
    </row>
    <row r="94" spans="1:11" x14ac:dyDescent="0.25">
      <c r="A94" t="s">
        <v>30</v>
      </c>
      <c r="B94" t="s">
        <v>166</v>
      </c>
      <c r="C94" t="s">
        <v>183</v>
      </c>
      <c r="D94" t="s">
        <v>184</v>
      </c>
      <c r="F94" t="s">
        <v>185</v>
      </c>
      <c r="G94" t="s">
        <v>186</v>
      </c>
      <c r="H94">
        <v>0.19424421607069381</v>
      </c>
      <c r="I94">
        <v>2</v>
      </c>
      <c r="J94">
        <v>21.264017786571031</v>
      </c>
      <c r="K94">
        <v>0.91348783668421196</v>
      </c>
    </row>
    <row r="95" spans="1:11" x14ac:dyDescent="0.25">
      <c r="A95" t="s">
        <v>30</v>
      </c>
      <c r="B95" t="s">
        <v>166</v>
      </c>
      <c r="C95" t="s">
        <v>193</v>
      </c>
      <c r="D95" t="s">
        <v>194</v>
      </c>
      <c r="F95" t="s">
        <v>159</v>
      </c>
      <c r="G95" t="s">
        <v>172</v>
      </c>
      <c r="H95">
        <v>8.7394126618404816E-2</v>
      </c>
      <c r="I95">
        <v>2</v>
      </c>
      <c r="J95">
        <v>21.264017786571031</v>
      </c>
      <c r="K95">
        <v>0.41099536078077042</v>
      </c>
    </row>
    <row r="96" spans="1:11" x14ac:dyDescent="0.25">
      <c r="A96" t="s">
        <v>30</v>
      </c>
      <c r="B96" t="s">
        <v>166</v>
      </c>
      <c r="C96" t="s">
        <v>179</v>
      </c>
      <c r="D96" t="s">
        <v>180</v>
      </c>
      <c r="F96" t="s">
        <v>159</v>
      </c>
      <c r="G96" t="s">
        <v>172</v>
      </c>
      <c r="H96">
        <v>1.8318117910767571E-2</v>
      </c>
      <c r="I96">
        <v>2</v>
      </c>
      <c r="J96">
        <v>21.264017786571031</v>
      </c>
      <c r="K96">
        <v>8.6146080644910417E-2</v>
      </c>
    </row>
    <row r="97" spans="1:11" x14ac:dyDescent="0.25">
      <c r="A97" t="s">
        <v>30</v>
      </c>
      <c r="B97" t="s">
        <v>166</v>
      </c>
      <c r="C97" t="s">
        <v>229</v>
      </c>
      <c r="D97" t="s">
        <v>230</v>
      </c>
      <c r="F97" t="s">
        <v>159</v>
      </c>
      <c r="G97" t="s">
        <v>172</v>
      </c>
      <c r="H97">
        <v>1.6554657640149E-3</v>
      </c>
      <c r="I97">
        <v>2</v>
      </c>
      <c r="J97">
        <v>21.264017786571031</v>
      </c>
      <c r="K97">
        <v>7.7852914751622574E-3</v>
      </c>
    </row>
    <row r="98" spans="1:11" x14ac:dyDescent="0.25">
      <c r="A98" t="s">
        <v>30</v>
      </c>
      <c r="B98" t="s">
        <v>166</v>
      </c>
      <c r="C98" t="s">
        <v>233</v>
      </c>
      <c r="D98" t="s">
        <v>234</v>
      </c>
      <c r="F98" t="s">
        <v>159</v>
      </c>
      <c r="G98" t="s">
        <v>172</v>
      </c>
      <c r="H98">
        <v>5.6716572880825713E-4</v>
      </c>
      <c r="I98">
        <v>2</v>
      </c>
      <c r="J98">
        <v>21.264017786571031</v>
      </c>
      <c r="K98">
        <v>2.6672557110370841E-3</v>
      </c>
    </row>
    <row r="99" spans="1:11" x14ac:dyDescent="0.25">
      <c r="A99" t="s">
        <v>30</v>
      </c>
      <c r="B99" t="s">
        <v>166</v>
      </c>
      <c r="C99" t="s">
        <v>181</v>
      </c>
      <c r="D99" t="s">
        <v>182</v>
      </c>
      <c r="F99" t="s">
        <v>159</v>
      </c>
      <c r="G99" t="s">
        <v>172</v>
      </c>
      <c r="H99">
        <v>3.0936415625774293E-4</v>
      </c>
      <c r="I99">
        <v>2</v>
      </c>
      <c r="J99">
        <v>21.264017786571031</v>
      </c>
      <c r="K99">
        <v>1.454871602172554E-3</v>
      </c>
    </row>
    <row r="100" spans="1:11" x14ac:dyDescent="0.25">
      <c r="A100" t="s">
        <v>30</v>
      </c>
      <c r="B100" t="s">
        <v>166</v>
      </c>
      <c r="C100" t="s">
        <v>207</v>
      </c>
      <c r="D100" t="s">
        <v>208</v>
      </c>
      <c r="F100" t="s">
        <v>159</v>
      </c>
      <c r="G100" t="s">
        <v>186</v>
      </c>
      <c r="H100">
        <v>0</v>
      </c>
      <c r="I100">
        <v>2</v>
      </c>
      <c r="J100">
        <v>21.264017786571031</v>
      </c>
      <c r="K100">
        <v>0</v>
      </c>
    </row>
    <row r="101" spans="1:11" x14ac:dyDescent="0.25">
      <c r="A101" t="s">
        <v>27</v>
      </c>
      <c r="B101" t="s">
        <v>156</v>
      </c>
      <c r="C101" t="s">
        <v>157</v>
      </c>
      <c r="E101" t="s">
        <v>158</v>
      </c>
      <c r="F101" t="s">
        <v>159</v>
      </c>
      <c r="H101">
        <v>7.8212709671201627E-2</v>
      </c>
      <c r="I101">
        <v>3</v>
      </c>
      <c r="J101">
        <v>0.39901206491865238</v>
      </c>
      <c r="K101">
        <v>19.601590164234018</v>
      </c>
    </row>
    <row r="102" spans="1:11" x14ac:dyDescent="0.25">
      <c r="A102" t="s">
        <v>27</v>
      </c>
      <c r="B102" t="s">
        <v>156</v>
      </c>
      <c r="C102" t="s">
        <v>160</v>
      </c>
      <c r="E102" t="s">
        <v>161</v>
      </c>
      <c r="F102" t="s">
        <v>159</v>
      </c>
      <c r="H102">
        <v>9.7610951922192553E-3</v>
      </c>
      <c r="I102">
        <v>2</v>
      </c>
      <c r="J102">
        <v>0.39901206491865238</v>
      </c>
      <c r="K102">
        <v>2.446315801054606</v>
      </c>
    </row>
    <row r="103" spans="1:11" x14ac:dyDescent="0.25">
      <c r="A103" t="s">
        <v>27</v>
      </c>
      <c r="B103" t="s">
        <v>156</v>
      </c>
      <c r="C103" t="s">
        <v>163</v>
      </c>
      <c r="E103" t="s">
        <v>158</v>
      </c>
      <c r="F103" t="s">
        <v>159</v>
      </c>
      <c r="H103">
        <v>1.990847131867817E-3</v>
      </c>
      <c r="I103">
        <v>3</v>
      </c>
      <c r="J103">
        <v>0.39901206491865238</v>
      </c>
      <c r="K103">
        <v>0.49894409390194649</v>
      </c>
    </row>
    <row r="104" spans="1:11" x14ac:dyDescent="0.25">
      <c r="A104" t="s">
        <v>27</v>
      </c>
      <c r="B104" t="s">
        <v>156</v>
      </c>
      <c r="C104" t="s">
        <v>162</v>
      </c>
      <c r="E104" t="s">
        <v>161</v>
      </c>
      <c r="F104" t="s">
        <v>159</v>
      </c>
      <c r="H104">
        <v>1.1347874841558441E-3</v>
      </c>
      <c r="I104">
        <v>2</v>
      </c>
      <c r="J104">
        <v>0.39901206491865238</v>
      </c>
      <c r="K104">
        <v>0.28439929113100781</v>
      </c>
    </row>
    <row r="105" spans="1:11" x14ac:dyDescent="0.25">
      <c r="A105" t="s">
        <v>27</v>
      </c>
      <c r="B105" t="s">
        <v>156</v>
      </c>
      <c r="C105" t="s">
        <v>164</v>
      </c>
      <c r="E105" t="s">
        <v>165</v>
      </c>
      <c r="F105" t="s">
        <v>159</v>
      </c>
      <c r="H105">
        <v>1.016974021741114E-4</v>
      </c>
      <c r="I105">
        <v>3</v>
      </c>
      <c r="J105">
        <v>0.39901206491865238</v>
      </c>
      <c r="K105">
        <v>2.5487300038119078E-2</v>
      </c>
    </row>
    <row r="106" spans="1:11" x14ac:dyDescent="0.25">
      <c r="A106" t="s">
        <v>27</v>
      </c>
      <c r="B106" t="s">
        <v>166</v>
      </c>
      <c r="C106" t="s">
        <v>173</v>
      </c>
      <c r="D106" t="s">
        <v>174</v>
      </c>
      <c r="F106" t="s">
        <v>159</v>
      </c>
      <c r="G106" t="s">
        <v>169</v>
      </c>
      <c r="H106">
        <v>1.825125683986285E-2</v>
      </c>
      <c r="I106">
        <v>3</v>
      </c>
      <c r="J106">
        <v>0.39901206491865238</v>
      </c>
      <c r="K106">
        <v>4.5741115230647926</v>
      </c>
    </row>
    <row r="107" spans="1:11" x14ac:dyDescent="0.25">
      <c r="A107" t="s">
        <v>27</v>
      </c>
      <c r="B107" t="s">
        <v>166</v>
      </c>
      <c r="C107" t="s">
        <v>167</v>
      </c>
      <c r="D107" t="s">
        <v>168</v>
      </c>
      <c r="F107" t="s">
        <v>159</v>
      </c>
      <c r="G107" t="s">
        <v>169</v>
      </c>
      <c r="H107">
        <v>1.322461040344481E-2</v>
      </c>
      <c r="I107">
        <v>3</v>
      </c>
      <c r="J107">
        <v>0.39901206491865238</v>
      </c>
      <c r="K107">
        <v>3.314338478998359</v>
      </c>
    </row>
    <row r="108" spans="1:11" x14ac:dyDescent="0.25">
      <c r="A108" t="s">
        <v>27</v>
      </c>
      <c r="B108" t="s">
        <v>166</v>
      </c>
      <c r="C108" t="s">
        <v>170</v>
      </c>
      <c r="D108" t="s">
        <v>171</v>
      </c>
      <c r="F108" t="s">
        <v>159</v>
      </c>
      <c r="G108" t="s">
        <v>172</v>
      </c>
      <c r="H108">
        <v>9.5262414811411438E-3</v>
      </c>
      <c r="I108">
        <v>2</v>
      </c>
      <c r="J108">
        <v>0.39901206491865238</v>
      </c>
      <c r="K108">
        <v>2.3874570016030172</v>
      </c>
    </row>
    <row r="109" spans="1:11" x14ac:dyDescent="0.25">
      <c r="A109" t="s">
        <v>27</v>
      </c>
      <c r="B109" t="s">
        <v>166</v>
      </c>
      <c r="C109" t="s">
        <v>179</v>
      </c>
      <c r="D109" t="s">
        <v>180</v>
      </c>
      <c r="F109" t="s">
        <v>159</v>
      </c>
      <c r="G109" t="s">
        <v>172</v>
      </c>
      <c r="H109">
        <v>8.6267432652357406E-3</v>
      </c>
      <c r="I109">
        <v>3</v>
      </c>
      <c r="J109">
        <v>0.39901206491865238</v>
      </c>
      <c r="K109">
        <v>2.1620256688214421</v>
      </c>
    </row>
    <row r="110" spans="1:11" x14ac:dyDescent="0.25">
      <c r="A110" t="s">
        <v>27</v>
      </c>
      <c r="B110" t="s">
        <v>166</v>
      </c>
      <c r="C110" t="s">
        <v>187</v>
      </c>
      <c r="D110" t="s">
        <v>188</v>
      </c>
      <c r="F110" t="s">
        <v>159</v>
      </c>
      <c r="G110" t="s">
        <v>172</v>
      </c>
      <c r="H110">
        <v>5.308809651322596E-3</v>
      </c>
      <c r="I110">
        <v>2</v>
      </c>
      <c r="J110">
        <v>0.39901206491865238</v>
      </c>
      <c r="K110">
        <v>1.330488503500493</v>
      </c>
    </row>
    <row r="111" spans="1:11" x14ac:dyDescent="0.25">
      <c r="A111" t="s">
        <v>27</v>
      </c>
      <c r="B111" t="s">
        <v>166</v>
      </c>
      <c r="C111" t="s">
        <v>177</v>
      </c>
      <c r="D111" t="s">
        <v>178</v>
      </c>
      <c r="F111" t="s">
        <v>159</v>
      </c>
      <c r="G111" t="s">
        <v>169</v>
      </c>
      <c r="H111">
        <v>1.892123465992517E-3</v>
      </c>
      <c r="I111">
        <v>3</v>
      </c>
      <c r="J111">
        <v>0.39901206491865238</v>
      </c>
      <c r="K111">
        <v>0.4742020686462875</v>
      </c>
    </row>
    <row r="112" spans="1:11" x14ac:dyDescent="0.25">
      <c r="A112" t="s">
        <v>27</v>
      </c>
      <c r="B112" t="s">
        <v>166</v>
      </c>
      <c r="C112" t="s">
        <v>183</v>
      </c>
      <c r="D112" t="s">
        <v>184</v>
      </c>
      <c r="F112" t="s">
        <v>185</v>
      </c>
      <c r="G112" t="s">
        <v>186</v>
      </c>
      <c r="H112">
        <v>1.866732229412691E-3</v>
      </c>
      <c r="I112">
        <v>2</v>
      </c>
      <c r="J112">
        <v>0.39901206491865238</v>
      </c>
      <c r="K112">
        <v>0.46783854262483671</v>
      </c>
    </row>
    <row r="113" spans="1:11" x14ac:dyDescent="0.25">
      <c r="A113" t="s">
        <v>27</v>
      </c>
      <c r="B113" t="s">
        <v>166</v>
      </c>
      <c r="C113" t="s">
        <v>175</v>
      </c>
      <c r="D113" t="s">
        <v>176</v>
      </c>
      <c r="F113" t="s">
        <v>159</v>
      </c>
      <c r="G113" t="s">
        <v>169</v>
      </c>
      <c r="H113">
        <v>1.358694945396164E-3</v>
      </c>
      <c r="I113">
        <v>3</v>
      </c>
      <c r="J113">
        <v>0.39901206491865238</v>
      </c>
      <c r="K113">
        <v>0.34051475252337648</v>
      </c>
    </row>
    <row r="114" spans="1:11" x14ac:dyDescent="0.25">
      <c r="A114" t="s">
        <v>27</v>
      </c>
      <c r="B114" t="s">
        <v>166</v>
      </c>
      <c r="C114" t="s">
        <v>191</v>
      </c>
      <c r="D114" t="s">
        <v>192</v>
      </c>
      <c r="F114" t="s">
        <v>159</v>
      </c>
      <c r="G114" t="s">
        <v>169</v>
      </c>
      <c r="H114">
        <v>6.0513722506209304E-4</v>
      </c>
      <c r="I114">
        <v>1</v>
      </c>
      <c r="J114">
        <v>0.39901206491865238</v>
      </c>
      <c r="K114">
        <v>0.15165887908313341</v>
      </c>
    </row>
    <row r="115" spans="1:11" x14ac:dyDescent="0.25">
      <c r="A115" t="s">
        <v>27</v>
      </c>
      <c r="B115" t="s">
        <v>166</v>
      </c>
      <c r="C115" t="s">
        <v>181</v>
      </c>
      <c r="D115" t="s">
        <v>182</v>
      </c>
      <c r="F115" t="s">
        <v>159</v>
      </c>
      <c r="G115" t="s">
        <v>172</v>
      </c>
      <c r="H115">
        <v>4.3604765090794929E-4</v>
      </c>
      <c r="I115">
        <v>3</v>
      </c>
      <c r="J115">
        <v>0.39901206491865238</v>
      </c>
      <c r="K115">
        <v>0.1092818210890058</v>
      </c>
    </row>
    <row r="116" spans="1:11" x14ac:dyDescent="0.25">
      <c r="A116" t="s">
        <v>27</v>
      </c>
      <c r="B116" t="s">
        <v>166</v>
      </c>
      <c r="C116" t="s">
        <v>197</v>
      </c>
      <c r="D116" t="s">
        <v>198</v>
      </c>
      <c r="F116" t="s">
        <v>159</v>
      </c>
      <c r="G116" t="s">
        <v>172</v>
      </c>
      <c r="H116">
        <v>4.1120712778658982E-4</v>
      </c>
      <c r="I116">
        <v>2</v>
      </c>
      <c r="J116">
        <v>0.39901206491865238</v>
      </c>
      <c r="K116">
        <v>0.1030563143173186</v>
      </c>
    </row>
    <row r="117" spans="1:11" x14ac:dyDescent="0.25">
      <c r="A117" t="s">
        <v>27</v>
      </c>
      <c r="B117" t="s">
        <v>166</v>
      </c>
      <c r="C117" t="s">
        <v>199</v>
      </c>
      <c r="D117" t="s">
        <v>200</v>
      </c>
      <c r="F117" t="s">
        <v>159</v>
      </c>
      <c r="G117" t="s">
        <v>169</v>
      </c>
      <c r="H117">
        <v>3.3074659732452202E-4</v>
      </c>
      <c r="I117">
        <v>2</v>
      </c>
      <c r="J117">
        <v>0.39901206491865238</v>
      </c>
      <c r="K117">
        <v>8.2891377580763662E-2</v>
      </c>
    </row>
    <row r="118" spans="1:11" x14ac:dyDescent="0.25">
      <c r="A118" t="s">
        <v>27</v>
      </c>
      <c r="B118" t="s">
        <v>166</v>
      </c>
      <c r="C118" t="s">
        <v>193</v>
      </c>
      <c r="D118" t="s">
        <v>194</v>
      </c>
      <c r="F118" t="s">
        <v>159</v>
      </c>
      <c r="G118" t="s">
        <v>172</v>
      </c>
      <c r="H118">
        <v>1.182186603251907E-4</v>
      </c>
      <c r="I118">
        <v>1</v>
      </c>
      <c r="J118">
        <v>0.39901206491865238</v>
      </c>
      <c r="K118">
        <v>2.962784104016809E-2</v>
      </c>
    </row>
    <row r="119" spans="1:11" x14ac:dyDescent="0.25">
      <c r="A119" t="s">
        <v>27</v>
      </c>
      <c r="B119" t="s">
        <v>166</v>
      </c>
      <c r="C119" t="s">
        <v>201</v>
      </c>
      <c r="D119" t="s">
        <v>202</v>
      </c>
      <c r="F119" t="s">
        <v>159</v>
      </c>
      <c r="G119" t="s">
        <v>172</v>
      </c>
      <c r="H119">
        <v>1.107716078192497E-4</v>
      </c>
      <c r="I119">
        <v>2</v>
      </c>
      <c r="J119">
        <v>0.39901206491865238</v>
      </c>
      <c r="K119">
        <v>2.7761468275861019E-2</v>
      </c>
    </row>
    <row r="120" spans="1:11" x14ac:dyDescent="0.25">
      <c r="A120" t="s">
        <v>27</v>
      </c>
      <c r="B120" t="s">
        <v>166</v>
      </c>
      <c r="C120" t="s">
        <v>189</v>
      </c>
      <c r="D120" t="s">
        <v>190</v>
      </c>
      <c r="F120" t="s">
        <v>159</v>
      </c>
      <c r="G120" t="s">
        <v>172</v>
      </c>
      <c r="H120">
        <v>1.004610553770747E-4</v>
      </c>
      <c r="I120">
        <v>3</v>
      </c>
      <c r="J120">
        <v>0.39901206491865238</v>
      </c>
      <c r="K120">
        <v>2.5177448054748901E-2</v>
      </c>
    </row>
    <row r="121" spans="1:11" x14ac:dyDescent="0.25">
      <c r="A121" t="s">
        <v>27</v>
      </c>
      <c r="B121" t="s">
        <v>166</v>
      </c>
      <c r="C121" t="s">
        <v>203</v>
      </c>
      <c r="D121" t="s">
        <v>204</v>
      </c>
      <c r="F121" t="s">
        <v>159</v>
      </c>
      <c r="G121" t="s">
        <v>172</v>
      </c>
      <c r="H121">
        <v>6.3167224376067815E-5</v>
      </c>
      <c r="I121">
        <v>1</v>
      </c>
      <c r="J121">
        <v>0.39901206491865238</v>
      </c>
      <c r="K121">
        <v>1.5830905862193888E-2</v>
      </c>
    </row>
    <row r="122" spans="1:11" x14ac:dyDescent="0.25">
      <c r="A122" t="s">
        <v>27</v>
      </c>
      <c r="B122" t="s">
        <v>166</v>
      </c>
      <c r="C122" t="s">
        <v>205</v>
      </c>
      <c r="D122" t="s">
        <v>206</v>
      </c>
      <c r="F122" t="s">
        <v>159</v>
      </c>
      <c r="G122" t="s">
        <v>172</v>
      </c>
      <c r="H122">
        <v>3.8633474680167388E-6</v>
      </c>
      <c r="I122">
        <v>2</v>
      </c>
      <c r="J122">
        <v>0.39901206491865238</v>
      </c>
      <c r="K122">
        <v>9.682282336009988E-4</v>
      </c>
    </row>
    <row r="123" spans="1:11" x14ac:dyDescent="0.25">
      <c r="A123" t="s">
        <v>27</v>
      </c>
      <c r="B123" t="s">
        <v>166</v>
      </c>
      <c r="C123" t="s">
        <v>207</v>
      </c>
      <c r="D123" t="s">
        <v>208</v>
      </c>
      <c r="F123" t="s">
        <v>159</v>
      </c>
      <c r="G123" t="s">
        <v>186</v>
      </c>
      <c r="H123">
        <v>0</v>
      </c>
      <c r="I123">
        <v>1</v>
      </c>
      <c r="J123">
        <v>0.39901206491865238</v>
      </c>
      <c r="K123">
        <v>0</v>
      </c>
    </row>
    <row r="124" spans="1:11" x14ac:dyDescent="0.25">
      <c r="A124" t="s">
        <v>27</v>
      </c>
      <c r="B124" t="s">
        <v>166</v>
      </c>
      <c r="C124" t="s">
        <v>209</v>
      </c>
      <c r="D124" t="s">
        <v>210</v>
      </c>
      <c r="F124" t="s">
        <v>159</v>
      </c>
      <c r="G124" t="s">
        <v>186</v>
      </c>
      <c r="H124">
        <v>0</v>
      </c>
      <c r="I124">
        <v>2</v>
      </c>
      <c r="J124">
        <v>0.39901206491865238</v>
      </c>
      <c r="K124">
        <v>0</v>
      </c>
    </row>
    <row r="125" spans="1:11" x14ac:dyDescent="0.25">
      <c r="A125" t="s">
        <v>22</v>
      </c>
      <c r="B125" t="s">
        <v>166</v>
      </c>
      <c r="C125" t="s">
        <v>235</v>
      </c>
      <c r="D125" t="s">
        <v>236</v>
      </c>
      <c r="F125" t="s">
        <v>237</v>
      </c>
      <c r="G125" t="s">
        <v>186</v>
      </c>
      <c r="H125">
        <v>0.15550433875546049</v>
      </c>
      <c r="I125">
        <v>9</v>
      </c>
      <c r="J125">
        <v>1.3879451220739081</v>
      </c>
      <c r="K125">
        <v>11.203925593477461</v>
      </c>
    </row>
    <row r="126" spans="1:11" x14ac:dyDescent="0.25">
      <c r="A126" t="s">
        <v>25</v>
      </c>
      <c r="B126" t="s">
        <v>166</v>
      </c>
      <c r="C126" t="s">
        <v>235</v>
      </c>
      <c r="D126" t="s">
        <v>236</v>
      </c>
      <c r="F126" t="s">
        <v>237</v>
      </c>
      <c r="G126" t="s">
        <v>186</v>
      </c>
      <c r="H126">
        <v>3417.8926771309589</v>
      </c>
      <c r="I126">
        <v>19</v>
      </c>
      <c r="J126">
        <v>21404.452354894009</v>
      </c>
      <c r="K126">
        <v>15.96813887345021</v>
      </c>
    </row>
    <row r="127" spans="1:11" x14ac:dyDescent="0.25">
      <c r="A127" t="s">
        <v>69</v>
      </c>
      <c r="B127" t="s">
        <v>166</v>
      </c>
      <c r="C127" t="s">
        <v>235</v>
      </c>
      <c r="D127" t="s">
        <v>236</v>
      </c>
      <c r="F127" t="s">
        <v>237</v>
      </c>
      <c r="G127" t="s">
        <v>186</v>
      </c>
      <c r="H127">
        <v>0.46200397342069188</v>
      </c>
      <c r="I127">
        <v>2</v>
      </c>
      <c r="J127">
        <v>6.0064788873299229</v>
      </c>
      <c r="K127">
        <v>7.6917605486842531</v>
      </c>
    </row>
    <row r="128" spans="1:11" x14ac:dyDescent="0.25">
      <c r="A128" t="s">
        <v>28</v>
      </c>
      <c r="B128" t="s">
        <v>166</v>
      </c>
      <c r="C128" t="s">
        <v>235</v>
      </c>
      <c r="D128" t="s">
        <v>236</v>
      </c>
      <c r="F128" t="s">
        <v>237</v>
      </c>
      <c r="G128" t="s">
        <v>186</v>
      </c>
      <c r="H128">
        <v>4.2806652638739708E-2</v>
      </c>
      <c r="I128">
        <v>3</v>
      </c>
      <c r="J128">
        <v>1.174327740842763</v>
      </c>
      <c r="K128">
        <v>3.645204924480391</v>
      </c>
    </row>
    <row r="129" spans="1:11" x14ac:dyDescent="0.25">
      <c r="A129" t="s">
        <v>30</v>
      </c>
      <c r="B129" t="s">
        <v>166</v>
      </c>
      <c r="C129" t="s">
        <v>235</v>
      </c>
      <c r="D129" t="s">
        <v>236</v>
      </c>
      <c r="F129" t="s">
        <v>237</v>
      </c>
      <c r="G129" t="s">
        <v>186</v>
      </c>
      <c r="H129">
        <v>13.53048881000943</v>
      </c>
      <c r="I129">
        <v>2</v>
      </c>
      <c r="J129">
        <v>21.264017786571031</v>
      </c>
      <c r="K129">
        <v>63.630913714502292</v>
      </c>
    </row>
    <row r="130" spans="1:11" x14ac:dyDescent="0.25">
      <c r="A130" t="s">
        <v>27</v>
      </c>
      <c r="B130" t="s">
        <v>166</v>
      </c>
      <c r="C130" t="s">
        <v>235</v>
      </c>
      <c r="D130" t="s">
        <v>236</v>
      </c>
      <c r="F130" t="s">
        <v>237</v>
      </c>
      <c r="G130" t="s">
        <v>186</v>
      </c>
      <c r="H130">
        <v>0.24557609917682191</v>
      </c>
      <c r="I130">
        <v>2</v>
      </c>
      <c r="J130">
        <v>0.39901206491865238</v>
      </c>
      <c r="K130">
        <v>61.546033508256983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L44"/>
  <sheetViews>
    <sheetView workbookViewId="0">
      <selection activeCell="A3" sqref="A3"/>
    </sheetView>
  </sheetViews>
  <sheetFormatPr baseColWidth="10" defaultColWidth="9.140625" defaultRowHeight="15" x14ac:dyDescent="0.25"/>
  <cols>
    <col min="1" max="1" width="24.140625" bestFit="1" customWidth="1"/>
    <col min="2" max="2" width="25.42578125" bestFit="1" customWidth="1"/>
    <col min="3" max="3" width="47.5703125" bestFit="1" customWidth="1"/>
    <col min="4" max="4" width="48.42578125" bestFit="1" customWidth="1"/>
    <col min="5" max="5" width="39.5703125" bestFit="1" customWidth="1"/>
    <col min="6" max="6" width="27.140625" bestFit="1" customWidth="1"/>
    <col min="7" max="7" width="10.5703125" bestFit="1" customWidth="1"/>
    <col min="8" max="8" width="17.5703125" bestFit="1" customWidth="1"/>
    <col min="9" max="9" width="19" bestFit="1" customWidth="1"/>
    <col min="10" max="10" width="15.7109375" bestFit="1" customWidth="1"/>
    <col min="11" max="11" width="12.28515625" bestFit="1" customWidth="1"/>
    <col min="12" max="12" width="12.140625" bestFit="1" customWidth="1"/>
  </cols>
  <sheetData>
    <row r="1" spans="1:12" x14ac:dyDescent="0.25">
      <c r="A1" s="1" t="s">
        <v>1</v>
      </c>
      <c r="B1" s="1" t="s">
        <v>81</v>
      </c>
      <c r="C1" s="1" t="s">
        <v>82</v>
      </c>
      <c r="D1" s="1" t="s">
        <v>83</v>
      </c>
      <c r="E1" s="1" t="s">
        <v>84</v>
      </c>
      <c r="F1" s="1" t="s">
        <v>85</v>
      </c>
      <c r="G1" s="1" t="s">
        <v>18</v>
      </c>
      <c r="H1" s="1" t="s">
        <v>19</v>
      </c>
      <c r="I1" s="1" t="s">
        <v>106</v>
      </c>
      <c r="J1" s="1" t="s">
        <v>107</v>
      </c>
      <c r="K1" s="1" t="s">
        <v>108</v>
      </c>
      <c r="L1" s="1" t="s">
        <v>109</v>
      </c>
    </row>
    <row r="2" spans="1:12" x14ac:dyDescent="0.25">
      <c r="A2" t="s">
        <v>32</v>
      </c>
      <c r="B2">
        <v>0</v>
      </c>
      <c r="C2">
        <v>0</v>
      </c>
      <c r="D2">
        <v>0</v>
      </c>
      <c r="E2">
        <v>0</v>
      </c>
      <c r="F2">
        <v>0</v>
      </c>
      <c r="G2" t="s">
        <v>33</v>
      </c>
      <c r="H2" t="s">
        <v>22</v>
      </c>
      <c r="I2" t="s">
        <v>110</v>
      </c>
      <c r="J2">
        <v>6862152</v>
      </c>
      <c r="L2">
        <v>63500</v>
      </c>
    </row>
    <row r="3" spans="1:12" x14ac:dyDescent="0.25">
      <c r="A3" t="s">
        <v>91</v>
      </c>
      <c r="B3">
        <v>0.34863641810694379</v>
      </c>
      <c r="C3">
        <v>1.3185499345063099E-2</v>
      </c>
      <c r="D3">
        <v>8.5787469001924384E-5</v>
      </c>
      <c r="E3">
        <v>2.6613756007630001E-4</v>
      </c>
      <c r="F3">
        <v>0.1510291606396158</v>
      </c>
      <c r="G3" t="s">
        <v>33</v>
      </c>
      <c r="H3" t="s">
        <v>22</v>
      </c>
      <c r="I3" t="s">
        <v>111</v>
      </c>
      <c r="J3">
        <v>30000000</v>
      </c>
      <c r="L3">
        <v>186436.98475294121</v>
      </c>
    </row>
    <row r="4" spans="1:12" x14ac:dyDescent="0.25">
      <c r="A4" t="s">
        <v>92</v>
      </c>
      <c r="B4">
        <v>0</v>
      </c>
      <c r="C4">
        <v>0</v>
      </c>
      <c r="D4">
        <v>0</v>
      </c>
      <c r="E4">
        <v>0</v>
      </c>
      <c r="F4">
        <v>0</v>
      </c>
      <c r="G4" t="s">
        <v>33</v>
      </c>
      <c r="H4" t="s">
        <v>22</v>
      </c>
      <c r="I4" t="s">
        <v>112</v>
      </c>
      <c r="J4">
        <v>17408000</v>
      </c>
      <c r="L4">
        <v>343098.03921568632</v>
      </c>
    </row>
    <row r="5" spans="1:12" x14ac:dyDescent="0.25">
      <c r="A5" t="s">
        <v>36</v>
      </c>
      <c r="B5">
        <v>0.31093164242944599</v>
      </c>
      <c r="C5">
        <v>8.9978927918380001E-3</v>
      </c>
      <c r="D5">
        <v>9.2840881114464755E-5</v>
      </c>
      <c r="E5">
        <v>2.3642463960010001E-4</v>
      </c>
      <c r="F5">
        <v>8.33328613186059E-2</v>
      </c>
      <c r="G5" t="s">
        <v>33</v>
      </c>
      <c r="H5" t="s">
        <v>22</v>
      </c>
      <c r="I5" t="s">
        <v>113</v>
      </c>
      <c r="J5">
        <v>21680000</v>
      </c>
      <c r="L5">
        <v>93533.694346666671</v>
      </c>
    </row>
    <row r="6" spans="1:12" x14ac:dyDescent="0.25">
      <c r="A6" t="s">
        <v>37</v>
      </c>
      <c r="B6">
        <v>0</v>
      </c>
      <c r="C6">
        <v>0</v>
      </c>
      <c r="D6">
        <v>0</v>
      </c>
      <c r="E6">
        <v>0</v>
      </c>
      <c r="F6">
        <v>0</v>
      </c>
      <c r="G6" t="s">
        <v>33</v>
      </c>
      <c r="H6" t="s">
        <v>22</v>
      </c>
      <c r="I6" t="s">
        <v>114</v>
      </c>
      <c r="J6">
        <v>5948239</v>
      </c>
      <c r="L6">
        <v>45578.436133333344</v>
      </c>
    </row>
    <row r="7" spans="1:12" x14ac:dyDescent="0.25">
      <c r="A7" t="s">
        <v>93</v>
      </c>
      <c r="B7">
        <v>0.76318551073810137</v>
      </c>
      <c r="C7">
        <v>0.1595998135678868</v>
      </c>
      <c r="D7">
        <v>1.5196638469310001E-4</v>
      </c>
      <c r="E7">
        <v>9.0569208097330005E-4</v>
      </c>
      <c r="F7">
        <v>0.25260538921425069</v>
      </c>
      <c r="G7" t="s">
        <v>33</v>
      </c>
      <c r="H7" t="s">
        <v>22</v>
      </c>
      <c r="I7" t="s">
        <v>115</v>
      </c>
      <c r="J7">
        <v>2886927.3287240001</v>
      </c>
      <c r="K7">
        <v>4.4745421183166938</v>
      </c>
      <c r="L7">
        <v>130.12252666666669</v>
      </c>
    </row>
    <row r="8" spans="1:12" x14ac:dyDescent="0.25">
      <c r="A8" t="s">
        <v>39</v>
      </c>
      <c r="B8">
        <v>0</v>
      </c>
      <c r="C8">
        <v>0</v>
      </c>
      <c r="D8">
        <v>0</v>
      </c>
      <c r="E8">
        <v>0</v>
      </c>
      <c r="F8">
        <v>0</v>
      </c>
      <c r="G8" t="s">
        <v>33</v>
      </c>
      <c r="H8" t="s">
        <v>22</v>
      </c>
      <c r="I8" t="s">
        <v>116</v>
      </c>
      <c r="J8">
        <v>1340000</v>
      </c>
      <c r="L8">
        <v>152533.33333333331</v>
      </c>
    </row>
    <row r="9" spans="1:12" x14ac:dyDescent="0.25">
      <c r="A9" t="s">
        <v>94</v>
      </c>
      <c r="B9">
        <v>0.35822580162039441</v>
      </c>
      <c r="C9">
        <v>0.14370895740135919</v>
      </c>
      <c r="D9">
        <v>1.139768131083E-4</v>
      </c>
      <c r="E9">
        <v>4.982519256631E-4</v>
      </c>
      <c r="F9">
        <v>0.15441425390048191</v>
      </c>
      <c r="G9" t="s">
        <v>33</v>
      </c>
      <c r="H9" t="s">
        <v>22</v>
      </c>
      <c r="I9" t="s">
        <v>117</v>
      </c>
      <c r="J9">
        <v>1501500</v>
      </c>
      <c r="K9">
        <v>9.8029027903061134</v>
      </c>
      <c r="L9">
        <v>23998.078283999999</v>
      </c>
    </row>
    <row r="10" spans="1:12" x14ac:dyDescent="0.25">
      <c r="A10" t="s">
        <v>41</v>
      </c>
      <c r="B10">
        <v>0.2297686706629441</v>
      </c>
      <c r="C10">
        <v>7.3571967795497996E-3</v>
      </c>
      <c r="D10">
        <v>4.2922075017249377E-5</v>
      </c>
      <c r="E10">
        <v>1.841163694137E-4</v>
      </c>
      <c r="F10">
        <v>6.7919489235753805E-2</v>
      </c>
      <c r="G10" t="s">
        <v>33</v>
      </c>
      <c r="H10" t="s">
        <v>22</v>
      </c>
      <c r="I10" t="s">
        <v>118</v>
      </c>
      <c r="J10">
        <v>3065000</v>
      </c>
      <c r="L10">
        <v>71667.536000000007</v>
      </c>
    </row>
    <row r="11" spans="1:12" x14ac:dyDescent="0.25">
      <c r="A11" t="s">
        <v>95</v>
      </c>
      <c r="B11">
        <v>9.5040225501460296E-2</v>
      </c>
      <c r="C11">
        <v>5.0816853418580998E-3</v>
      </c>
      <c r="D11">
        <v>1.4251556554193331E-5</v>
      </c>
      <c r="E11">
        <v>4.9220874862672093E-5</v>
      </c>
      <c r="F11">
        <v>8.8030319515478295E-2</v>
      </c>
      <c r="G11" t="s">
        <v>33</v>
      </c>
      <c r="H11" t="s">
        <v>22</v>
      </c>
      <c r="I11" t="s">
        <v>119</v>
      </c>
      <c r="J11">
        <v>2123641</v>
      </c>
      <c r="K11">
        <v>32.978787143877547</v>
      </c>
      <c r="L11">
        <v>109797.3333333333</v>
      </c>
    </row>
    <row r="12" spans="1:12" x14ac:dyDescent="0.25">
      <c r="A12" t="s">
        <v>43</v>
      </c>
      <c r="B12">
        <v>5844.319419501634</v>
      </c>
      <c r="C12">
        <v>1153.3848376259939</v>
      </c>
      <c r="D12">
        <v>1.642851286174986</v>
      </c>
      <c r="E12">
        <v>6.640038129318806</v>
      </c>
      <c r="F12">
        <v>1662.59828229655</v>
      </c>
      <c r="G12" t="s">
        <v>33</v>
      </c>
      <c r="H12" t="s">
        <v>25</v>
      </c>
      <c r="I12" t="s">
        <v>120</v>
      </c>
      <c r="J12">
        <v>1361450</v>
      </c>
      <c r="K12">
        <v>3.5165997959183581</v>
      </c>
    </row>
    <row r="13" spans="1:12" x14ac:dyDescent="0.25">
      <c r="A13" t="s">
        <v>44</v>
      </c>
      <c r="B13">
        <v>0</v>
      </c>
      <c r="C13">
        <v>0</v>
      </c>
      <c r="D13">
        <v>0</v>
      </c>
      <c r="E13">
        <v>0</v>
      </c>
      <c r="F13">
        <v>0</v>
      </c>
      <c r="G13" t="s">
        <v>33</v>
      </c>
      <c r="H13" t="s">
        <v>25</v>
      </c>
      <c r="I13" t="s">
        <v>121</v>
      </c>
      <c r="J13">
        <v>1266009</v>
      </c>
      <c r="K13">
        <v>4.476523630102041</v>
      </c>
    </row>
    <row r="14" spans="1:12" x14ac:dyDescent="0.25">
      <c r="A14" t="s">
        <v>45</v>
      </c>
      <c r="B14">
        <v>2442.8982814754718</v>
      </c>
      <c r="C14">
        <v>96.218721610249077</v>
      </c>
      <c r="D14">
        <v>0.25384591526578182</v>
      </c>
      <c r="E14">
        <v>2.3911100144805331</v>
      </c>
      <c r="F14">
        <v>573.60305964402437</v>
      </c>
      <c r="G14" t="s">
        <v>33</v>
      </c>
      <c r="H14" t="s">
        <v>25</v>
      </c>
      <c r="I14" t="s">
        <v>122</v>
      </c>
      <c r="J14">
        <v>1918143</v>
      </c>
      <c r="K14">
        <v>12.41413683010194</v>
      </c>
    </row>
    <row r="15" spans="1:12" x14ac:dyDescent="0.25">
      <c r="A15" t="s">
        <v>46</v>
      </c>
      <c r="B15">
        <v>27783.22994575648</v>
      </c>
      <c r="C15">
        <v>1117.0014759240539</v>
      </c>
      <c r="D15">
        <v>4.5298929421084697</v>
      </c>
      <c r="E15">
        <v>22.892975312815551</v>
      </c>
      <c r="F15">
        <v>8641.1725704645123</v>
      </c>
      <c r="G15" t="s">
        <v>33</v>
      </c>
      <c r="H15" t="s">
        <v>25</v>
      </c>
      <c r="I15" t="s">
        <v>123</v>
      </c>
      <c r="J15">
        <v>8764000</v>
      </c>
      <c r="K15">
        <v>8.0534261301020305</v>
      </c>
    </row>
    <row r="16" spans="1:12" x14ac:dyDescent="0.25">
      <c r="A16" t="s">
        <v>47</v>
      </c>
      <c r="B16">
        <v>8418.7493051593337</v>
      </c>
      <c r="C16">
        <v>214.75384132629239</v>
      </c>
      <c r="D16">
        <v>2.2884276542837858</v>
      </c>
      <c r="E16">
        <v>6.7416992767772763</v>
      </c>
      <c r="F16">
        <v>1240.155630600035</v>
      </c>
      <c r="G16" t="s">
        <v>33</v>
      </c>
      <c r="H16" t="s">
        <v>25</v>
      </c>
      <c r="I16" t="s">
        <v>124</v>
      </c>
      <c r="J16">
        <v>3842649.0057279998</v>
      </c>
      <c r="K16">
        <v>17.66760135719143</v>
      </c>
    </row>
    <row r="17" spans="1:12" x14ac:dyDescent="0.25">
      <c r="A17" t="s">
        <v>48</v>
      </c>
      <c r="B17">
        <v>5622.5241414948096</v>
      </c>
      <c r="C17">
        <v>183.4488523963461</v>
      </c>
      <c r="D17">
        <v>1.2609945327650851</v>
      </c>
      <c r="E17">
        <v>3.9437886197009822</v>
      </c>
      <c r="F17">
        <v>1643.523115742486</v>
      </c>
      <c r="G17" t="s">
        <v>33</v>
      </c>
      <c r="H17" t="s">
        <v>25</v>
      </c>
      <c r="I17" t="s">
        <v>125</v>
      </c>
      <c r="J17">
        <v>2911000</v>
      </c>
      <c r="K17">
        <v>8.2519489795918357</v>
      </c>
    </row>
    <row r="18" spans="1:12" x14ac:dyDescent="0.25">
      <c r="A18" t="s">
        <v>49</v>
      </c>
      <c r="B18">
        <v>2132.866549493222</v>
      </c>
      <c r="C18">
        <v>618.15917043588558</v>
      </c>
      <c r="D18">
        <v>0.96731810726504164</v>
      </c>
      <c r="E18">
        <v>2.385319866516054</v>
      </c>
      <c r="F18">
        <v>610.11218773036217</v>
      </c>
      <c r="G18" t="s">
        <v>33</v>
      </c>
      <c r="H18" t="s">
        <v>25</v>
      </c>
      <c r="I18" t="s">
        <v>126</v>
      </c>
      <c r="J18">
        <v>17332900</v>
      </c>
      <c r="K18">
        <v>29.039084533163258</v>
      </c>
    </row>
    <row r="19" spans="1:12" x14ac:dyDescent="0.25">
      <c r="A19" t="s">
        <v>50</v>
      </c>
      <c r="B19">
        <v>10219.741105063331</v>
      </c>
      <c r="C19">
        <v>386.12064125333688</v>
      </c>
      <c r="D19">
        <v>2.2293825011525699</v>
      </c>
      <c r="E19">
        <v>8.2659426023693694</v>
      </c>
      <c r="F19">
        <v>2843.4715964781522</v>
      </c>
      <c r="G19" t="s">
        <v>33</v>
      </c>
      <c r="H19" t="s">
        <v>25</v>
      </c>
      <c r="I19" t="s">
        <v>127</v>
      </c>
      <c r="J19">
        <v>25434853.502416398</v>
      </c>
      <c r="K19">
        <v>24.008283837755101</v>
      </c>
    </row>
    <row r="20" spans="1:12" x14ac:dyDescent="0.25">
      <c r="A20" t="s">
        <v>51</v>
      </c>
      <c r="B20">
        <v>4517.2968092321989</v>
      </c>
      <c r="C20">
        <v>801.1640086137603</v>
      </c>
      <c r="D20">
        <v>1.1143373569908199</v>
      </c>
      <c r="E20">
        <v>5.0302644291363672</v>
      </c>
      <c r="F20">
        <v>1300.1970063177789</v>
      </c>
      <c r="G20" t="s">
        <v>33</v>
      </c>
      <c r="H20" t="s">
        <v>25</v>
      </c>
      <c r="I20" t="s">
        <v>128</v>
      </c>
      <c r="J20">
        <v>191148</v>
      </c>
      <c r="K20">
        <v>1.220177609693877</v>
      </c>
    </row>
    <row r="21" spans="1:12" x14ac:dyDescent="0.25">
      <c r="A21" t="s">
        <v>52</v>
      </c>
      <c r="B21">
        <v>21935.420959984829</v>
      </c>
      <c r="C21">
        <v>916.44607511547156</v>
      </c>
      <c r="D21">
        <v>4.9799327524844212</v>
      </c>
      <c r="E21">
        <v>18.056195447061121</v>
      </c>
      <c r="F21">
        <v>10341.983922743741</v>
      </c>
      <c r="G21" t="s">
        <v>33</v>
      </c>
      <c r="H21" t="s">
        <v>25</v>
      </c>
      <c r="I21" t="s">
        <v>129</v>
      </c>
      <c r="J21">
        <v>166000</v>
      </c>
      <c r="K21">
        <v>0.92040969387755101</v>
      </c>
    </row>
    <row r="22" spans="1:12" x14ac:dyDescent="0.25">
      <c r="A22" t="s">
        <v>53</v>
      </c>
      <c r="B22">
        <v>2907.8698433790928</v>
      </c>
      <c r="C22">
        <v>114.53261114496409</v>
      </c>
      <c r="D22">
        <v>0.30216193914569778</v>
      </c>
      <c r="E22">
        <v>2.8462244032159032</v>
      </c>
      <c r="F22">
        <v>682.78038912096622</v>
      </c>
      <c r="G22" t="s">
        <v>33</v>
      </c>
      <c r="H22" t="s">
        <v>25</v>
      </c>
      <c r="I22" t="s">
        <v>130</v>
      </c>
      <c r="J22">
        <v>222627</v>
      </c>
      <c r="K22">
        <v>2.7760508515306119</v>
      </c>
    </row>
    <row r="23" spans="1:12" x14ac:dyDescent="0.25">
      <c r="A23" t="s">
        <v>54</v>
      </c>
      <c r="B23">
        <v>4419.8211938909653</v>
      </c>
      <c r="C23">
        <v>906.08478049311725</v>
      </c>
      <c r="D23">
        <v>1.1063492606583081</v>
      </c>
      <c r="E23">
        <v>4.9338163217309887</v>
      </c>
      <c r="F23">
        <v>1278.942650048738</v>
      </c>
      <c r="G23" t="s">
        <v>33</v>
      </c>
      <c r="H23" t="s">
        <v>25</v>
      </c>
      <c r="I23" t="s">
        <v>131</v>
      </c>
      <c r="J23">
        <v>1661000</v>
      </c>
      <c r="K23">
        <v>7.7388999209183664</v>
      </c>
    </row>
    <row r="24" spans="1:12" x14ac:dyDescent="0.25">
      <c r="A24" t="s">
        <v>93</v>
      </c>
      <c r="B24">
        <v>5728.6623895150351</v>
      </c>
      <c r="C24">
        <v>1197.9963271089121</v>
      </c>
      <c r="D24">
        <v>1.140697887355524</v>
      </c>
      <c r="E24">
        <v>6.7983525476914366</v>
      </c>
      <c r="F24">
        <v>1896.1195810994941</v>
      </c>
      <c r="G24" t="s">
        <v>33</v>
      </c>
      <c r="H24" t="s">
        <v>25</v>
      </c>
      <c r="I24" t="s">
        <v>115</v>
      </c>
      <c r="J24">
        <v>2886927.3287240001</v>
      </c>
      <c r="K24">
        <v>4.4745421183166938</v>
      </c>
      <c r="L24">
        <v>130.12252666666669</v>
      </c>
    </row>
    <row r="25" spans="1:12" x14ac:dyDescent="0.25">
      <c r="A25" t="s">
        <v>56</v>
      </c>
      <c r="B25">
        <v>3739.4633842379708</v>
      </c>
      <c r="C25">
        <v>154.2918212994868</v>
      </c>
      <c r="D25">
        <v>0.8136320649415123</v>
      </c>
      <c r="E25">
        <v>2.7961146766478051</v>
      </c>
      <c r="F25">
        <v>1281.235045814514</v>
      </c>
      <c r="G25" t="s">
        <v>33</v>
      </c>
      <c r="H25" t="s">
        <v>25</v>
      </c>
      <c r="I25" t="s">
        <v>132</v>
      </c>
      <c r="J25">
        <v>439008</v>
      </c>
      <c r="K25">
        <v>4.1704080612244896</v>
      </c>
    </row>
    <row r="26" spans="1:12" x14ac:dyDescent="0.25">
      <c r="A26" t="s">
        <v>94</v>
      </c>
      <c r="B26">
        <v>2688.932882686313</v>
      </c>
      <c r="C26">
        <v>1078.7155252762741</v>
      </c>
      <c r="D26">
        <v>0.85553860175797358</v>
      </c>
      <c r="E26">
        <v>3.7400041054449011</v>
      </c>
      <c r="F26">
        <v>1159.0721712695349</v>
      </c>
      <c r="G26" t="s">
        <v>33</v>
      </c>
      <c r="H26" t="s">
        <v>25</v>
      </c>
      <c r="I26" t="s">
        <v>117</v>
      </c>
      <c r="J26">
        <v>1501500</v>
      </c>
      <c r="K26">
        <v>9.8029027903061134</v>
      </c>
      <c r="L26">
        <v>23998.078283999999</v>
      </c>
    </row>
    <row r="27" spans="1:12" x14ac:dyDescent="0.25">
      <c r="A27" t="s">
        <v>58</v>
      </c>
      <c r="B27">
        <v>18972.13449696988</v>
      </c>
      <c r="C27">
        <v>747.25769032576829</v>
      </c>
      <c r="D27">
        <v>1.9714283162948421</v>
      </c>
      <c r="E27">
        <v>18.569934383177351</v>
      </c>
      <c r="F27">
        <v>4454.7390605497594</v>
      </c>
      <c r="G27" t="s">
        <v>33</v>
      </c>
      <c r="H27" t="s">
        <v>25</v>
      </c>
      <c r="I27" t="s">
        <v>133</v>
      </c>
      <c r="J27">
        <v>441588</v>
      </c>
      <c r="K27">
        <v>7.253304461734694</v>
      </c>
    </row>
    <row r="28" spans="1:12" x14ac:dyDescent="0.25">
      <c r="A28" t="s">
        <v>59</v>
      </c>
      <c r="B28">
        <v>4788.3276304283372</v>
      </c>
      <c r="C28">
        <v>186.93131415468361</v>
      </c>
      <c r="D28">
        <v>1.0031581557489651</v>
      </c>
      <c r="E28">
        <v>3.8343133824664331</v>
      </c>
      <c r="F28">
        <v>1501.268784593994</v>
      </c>
      <c r="G28" t="s">
        <v>33</v>
      </c>
      <c r="H28" t="s">
        <v>25</v>
      </c>
      <c r="I28" t="s">
        <v>134</v>
      </c>
      <c r="J28">
        <v>1028000</v>
      </c>
      <c r="K28">
        <v>5.7128877551020407</v>
      </c>
    </row>
    <row r="29" spans="1:12" x14ac:dyDescent="0.25">
      <c r="A29" t="s">
        <v>60</v>
      </c>
      <c r="B29">
        <v>0</v>
      </c>
      <c r="C29">
        <v>0</v>
      </c>
      <c r="D29">
        <v>0</v>
      </c>
      <c r="E29">
        <v>0</v>
      </c>
      <c r="F29">
        <v>0</v>
      </c>
      <c r="G29" t="s">
        <v>33</v>
      </c>
      <c r="H29" t="s">
        <v>25</v>
      </c>
      <c r="I29" t="s">
        <v>135</v>
      </c>
      <c r="J29">
        <v>841000</v>
      </c>
      <c r="K29">
        <v>3.5769025000000001</v>
      </c>
    </row>
    <row r="30" spans="1:12" x14ac:dyDescent="0.25">
      <c r="A30" t="s">
        <v>61</v>
      </c>
      <c r="B30">
        <v>36627.573101839393</v>
      </c>
      <c r="C30">
        <v>134.56072709155001</v>
      </c>
      <c r="D30">
        <v>2.0941228172669231</v>
      </c>
      <c r="E30">
        <v>9.8826869879522672</v>
      </c>
      <c r="F30">
        <v>2820.2467635825728</v>
      </c>
      <c r="G30" t="s">
        <v>33</v>
      </c>
      <c r="H30" t="s">
        <v>25</v>
      </c>
      <c r="I30" t="s">
        <v>136</v>
      </c>
      <c r="J30">
        <v>122000</v>
      </c>
      <c r="K30">
        <v>1.2300799484693881</v>
      </c>
    </row>
    <row r="31" spans="1:12" x14ac:dyDescent="0.25">
      <c r="A31" t="s">
        <v>95</v>
      </c>
      <c r="B31">
        <v>713.3958182168484</v>
      </c>
      <c r="C31">
        <v>38.14440758888631</v>
      </c>
      <c r="D31">
        <v>0.1069757632735413</v>
      </c>
      <c r="E31">
        <v>0.3694642562258994</v>
      </c>
      <c r="F31">
        <v>660.77770793063542</v>
      </c>
      <c r="G31" t="s">
        <v>33</v>
      </c>
      <c r="H31" t="s">
        <v>25</v>
      </c>
      <c r="I31" t="s">
        <v>119</v>
      </c>
      <c r="J31">
        <v>2123641</v>
      </c>
      <c r="K31">
        <v>32.978787143877547</v>
      </c>
      <c r="L31">
        <v>109797.3333333333</v>
      </c>
    </row>
    <row r="32" spans="1:12" x14ac:dyDescent="0.25">
      <c r="A32" t="s">
        <v>96</v>
      </c>
      <c r="B32">
        <v>7641.2718396870723</v>
      </c>
      <c r="C32">
        <v>331.09851615616151</v>
      </c>
      <c r="D32">
        <v>1.5842320940723551</v>
      </c>
      <c r="E32">
        <v>5.4832229007225273</v>
      </c>
      <c r="F32">
        <v>2810.8952105969629</v>
      </c>
      <c r="G32" t="s">
        <v>33</v>
      </c>
      <c r="H32" t="s">
        <v>25</v>
      </c>
      <c r="I32" t="s">
        <v>137</v>
      </c>
      <c r="J32">
        <v>1574000</v>
      </c>
      <c r="K32">
        <v>4.2180154591836736</v>
      </c>
    </row>
    <row r="33" spans="1:12" x14ac:dyDescent="0.25">
      <c r="A33" t="s">
        <v>63</v>
      </c>
      <c r="B33">
        <v>6943.797360686337</v>
      </c>
      <c r="C33">
        <v>1112.2115920718941</v>
      </c>
      <c r="D33">
        <v>1.3485321180018111</v>
      </c>
      <c r="E33">
        <v>16.63887577098215</v>
      </c>
      <c r="F33">
        <v>2038.712948137628</v>
      </c>
      <c r="G33" t="s">
        <v>33</v>
      </c>
      <c r="H33" t="s">
        <v>25</v>
      </c>
      <c r="I33" t="s">
        <v>138</v>
      </c>
      <c r="J33">
        <v>1034000</v>
      </c>
      <c r="K33">
        <v>4.1181668765306121</v>
      </c>
    </row>
    <row r="34" spans="1:12" x14ac:dyDescent="0.25">
      <c r="A34" t="s">
        <v>64</v>
      </c>
      <c r="B34">
        <v>0</v>
      </c>
      <c r="C34">
        <v>0</v>
      </c>
      <c r="D34">
        <v>0</v>
      </c>
      <c r="E34">
        <v>0</v>
      </c>
      <c r="F34">
        <v>0</v>
      </c>
      <c r="G34" t="s">
        <v>33</v>
      </c>
      <c r="H34" t="s">
        <v>28</v>
      </c>
      <c r="I34" t="s">
        <v>139</v>
      </c>
      <c r="J34">
        <v>6835294.1176470499</v>
      </c>
      <c r="L34">
        <v>363125</v>
      </c>
    </row>
    <row r="35" spans="1:12" x14ac:dyDescent="0.25">
      <c r="A35" t="s">
        <v>65</v>
      </c>
      <c r="B35">
        <v>0</v>
      </c>
      <c r="C35">
        <v>0</v>
      </c>
      <c r="D35">
        <v>0</v>
      </c>
      <c r="E35">
        <v>0</v>
      </c>
      <c r="F35">
        <v>0</v>
      </c>
      <c r="G35" t="s">
        <v>33</v>
      </c>
      <c r="H35" t="s">
        <v>28</v>
      </c>
      <c r="I35" t="s">
        <v>140</v>
      </c>
      <c r="J35">
        <v>464705.88235294097</v>
      </c>
      <c r="L35">
        <v>49375</v>
      </c>
    </row>
    <row r="36" spans="1:12" x14ac:dyDescent="0.25">
      <c r="A36" t="s">
        <v>66</v>
      </c>
      <c r="B36">
        <v>0</v>
      </c>
      <c r="C36">
        <v>0</v>
      </c>
      <c r="D36">
        <v>0</v>
      </c>
      <c r="E36">
        <v>0</v>
      </c>
      <c r="F36">
        <v>0</v>
      </c>
      <c r="G36" t="s">
        <v>33</v>
      </c>
      <c r="H36" t="s">
        <v>28</v>
      </c>
      <c r="I36" t="s">
        <v>141</v>
      </c>
      <c r="J36">
        <v>794117.64705882303</v>
      </c>
      <c r="L36">
        <v>84375</v>
      </c>
    </row>
    <row r="37" spans="1:12" x14ac:dyDescent="0.25">
      <c r="A37" t="s">
        <v>67</v>
      </c>
      <c r="B37">
        <v>0</v>
      </c>
      <c r="C37">
        <v>0</v>
      </c>
      <c r="D37">
        <v>0</v>
      </c>
      <c r="E37">
        <v>0</v>
      </c>
      <c r="F37">
        <v>0</v>
      </c>
      <c r="G37" t="s">
        <v>33</v>
      </c>
      <c r="H37" t="s">
        <v>28</v>
      </c>
      <c r="I37" t="s">
        <v>142</v>
      </c>
      <c r="J37">
        <v>1500000</v>
      </c>
      <c r="L37">
        <v>151450</v>
      </c>
    </row>
    <row r="38" spans="1:12" x14ac:dyDescent="0.25">
      <c r="A38" t="s">
        <v>91</v>
      </c>
      <c r="B38">
        <v>1.4774099736723529</v>
      </c>
      <c r="C38">
        <v>5.5875940980465999E-2</v>
      </c>
      <c r="D38">
        <v>3.6353994528099998E-4</v>
      </c>
      <c r="E38">
        <v>1.1278061129231999E-3</v>
      </c>
      <c r="F38">
        <v>0.64001341301130565</v>
      </c>
      <c r="G38" t="s">
        <v>33</v>
      </c>
      <c r="H38" t="s">
        <v>69</v>
      </c>
      <c r="I38" t="s">
        <v>111</v>
      </c>
      <c r="J38">
        <v>30000000</v>
      </c>
      <c r="L38">
        <v>186436.98475294121</v>
      </c>
    </row>
    <row r="39" spans="1:12" x14ac:dyDescent="0.25">
      <c r="A39" t="s">
        <v>92</v>
      </c>
      <c r="B39">
        <v>0</v>
      </c>
      <c r="C39">
        <v>0</v>
      </c>
      <c r="D39">
        <v>0</v>
      </c>
      <c r="E39">
        <v>0</v>
      </c>
      <c r="F39">
        <v>0</v>
      </c>
      <c r="G39" t="s">
        <v>33</v>
      </c>
      <c r="H39" t="s">
        <v>69</v>
      </c>
      <c r="I39" t="s">
        <v>112</v>
      </c>
      <c r="J39">
        <v>17408000</v>
      </c>
      <c r="L39">
        <v>343098.03921568632</v>
      </c>
    </row>
    <row r="40" spans="1:12" x14ac:dyDescent="0.25">
      <c r="A40" t="s">
        <v>98</v>
      </c>
      <c r="B40">
        <v>0</v>
      </c>
      <c r="C40">
        <v>0</v>
      </c>
      <c r="D40">
        <v>0</v>
      </c>
      <c r="E40">
        <v>0</v>
      </c>
      <c r="F40">
        <v>0</v>
      </c>
      <c r="G40" t="s">
        <v>33</v>
      </c>
      <c r="H40" t="s">
        <v>27</v>
      </c>
      <c r="I40" t="s">
        <v>116</v>
      </c>
      <c r="J40">
        <v>1340000</v>
      </c>
      <c r="L40">
        <v>152533.33333333331</v>
      </c>
    </row>
    <row r="41" spans="1:12" x14ac:dyDescent="0.25">
      <c r="A41" t="s">
        <v>94</v>
      </c>
      <c r="B41">
        <v>0.13390971411950789</v>
      </c>
      <c r="C41">
        <v>5.3720376429055902E-2</v>
      </c>
      <c r="D41">
        <v>4.2606094674806052E-5</v>
      </c>
      <c r="E41">
        <v>1.86253396435E-4</v>
      </c>
      <c r="F41">
        <v>5.7722163340284897E-2</v>
      </c>
      <c r="G41" t="s">
        <v>33</v>
      </c>
      <c r="H41" t="s">
        <v>27</v>
      </c>
      <c r="I41" t="s">
        <v>117</v>
      </c>
      <c r="J41">
        <v>1501500</v>
      </c>
      <c r="K41">
        <v>9.8029027903061134</v>
      </c>
      <c r="L41">
        <v>23998.078283999999</v>
      </c>
    </row>
    <row r="42" spans="1:12" x14ac:dyDescent="0.25">
      <c r="A42" t="s">
        <v>95</v>
      </c>
      <c r="B42">
        <v>3.5527339182831602E-2</v>
      </c>
      <c r="C42">
        <v>1.8996036568042999E-3</v>
      </c>
      <c r="D42">
        <v>5.3274271356720172E-6</v>
      </c>
      <c r="E42">
        <v>1.8399437702538369E-5</v>
      </c>
      <c r="F42">
        <v>3.2906940511087397E-2</v>
      </c>
      <c r="G42" t="s">
        <v>33</v>
      </c>
      <c r="H42" t="s">
        <v>27</v>
      </c>
      <c r="I42" t="s">
        <v>119</v>
      </c>
      <c r="J42">
        <v>2123641</v>
      </c>
      <c r="K42">
        <v>32.978787143877547</v>
      </c>
      <c r="L42">
        <v>109797.3333333333</v>
      </c>
    </row>
    <row r="43" spans="1:12" x14ac:dyDescent="0.25">
      <c r="A43" t="s">
        <v>74</v>
      </c>
      <c r="B43">
        <v>0</v>
      </c>
      <c r="C43">
        <v>0</v>
      </c>
      <c r="D43">
        <v>0</v>
      </c>
      <c r="E43">
        <v>0</v>
      </c>
      <c r="F43">
        <v>0</v>
      </c>
      <c r="G43" t="s">
        <v>33</v>
      </c>
      <c r="H43" t="s">
        <v>30</v>
      </c>
      <c r="I43" t="s">
        <v>143</v>
      </c>
      <c r="J43">
        <v>98408.871032543204</v>
      </c>
      <c r="L43">
        <v>7204.1082352941175</v>
      </c>
    </row>
    <row r="44" spans="1:12" x14ac:dyDescent="0.25">
      <c r="A44" t="s">
        <v>75</v>
      </c>
      <c r="B44">
        <v>0</v>
      </c>
      <c r="C44">
        <v>0</v>
      </c>
      <c r="D44">
        <v>0</v>
      </c>
      <c r="E44">
        <v>0</v>
      </c>
      <c r="F44">
        <v>0</v>
      </c>
      <c r="G44" t="s">
        <v>33</v>
      </c>
      <c r="H44" t="s">
        <v>30</v>
      </c>
      <c r="I44" t="s">
        <v>144</v>
      </c>
      <c r="J44">
        <v>43726.856187782003</v>
      </c>
      <c r="L44">
        <v>9605.477647058824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L44"/>
  <sheetViews>
    <sheetView workbookViewId="0"/>
  </sheetViews>
  <sheetFormatPr baseColWidth="10" defaultColWidth="9.140625" defaultRowHeight="15" x14ac:dyDescent="0.25"/>
  <sheetData>
    <row r="1" spans="1:12" x14ac:dyDescent="0.25">
      <c r="A1" s="1" t="s">
        <v>1</v>
      </c>
      <c r="B1" s="1" t="s">
        <v>81</v>
      </c>
      <c r="C1" s="1" t="s">
        <v>82</v>
      </c>
      <c r="D1" s="1" t="s">
        <v>83</v>
      </c>
      <c r="E1" s="1" t="s">
        <v>84</v>
      </c>
      <c r="F1" s="1" t="s">
        <v>85</v>
      </c>
      <c r="G1" s="1" t="s">
        <v>18</v>
      </c>
      <c r="H1" s="1" t="s">
        <v>19</v>
      </c>
      <c r="I1" s="1" t="s">
        <v>106</v>
      </c>
      <c r="J1" s="1" t="s">
        <v>107</v>
      </c>
      <c r="K1" s="1" t="s">
        <v>108</v>
      </c>
      <c r="L1" s="1" t="s">
        <v>109</v>
      </c>
    </row>
    <row r="2" spans="1:12" x14ac:dyDescent="0.25">
      <c r="A2" t="s">
        <v>32</v>
      </c>
      <c r="B2">
        <v>1.3329820311124081</v>
      </c>
      <c r="C2">
        <v>0.13119694589446501</v>
      </c>
      <c r="D2">
        <v>1.09610519183935E-2</v>
      </c>
      <c r="E2">
        <v>3.1884871508485201E-2</v>
      </c>
      <c r="F2">
        <v>0</v>
      </c>
      <c r="G2" t="s">
        <v>33</v>
      </c>
      <c r="H2" t="s">
        <v>22</v>
      </c>
      <c r="I2" t="s">
        <v>110</v>
      </c>
      <c r="J2">
        <v>6862152</v>
      </c>
      <c r="L2">
        <v>63500</v>
      </c>
    </row>
    <row r="3" spans="1:12" x14ac:dyDescent="0.25">
      <c r="A3" t="s">
        <v>91</v>
      </c>
      <c r="B3">
        <v>0.82976936364802345</v>
      </c>
      <c r="C3">
        <v>7.4685089200208193E-2</v>
      </c>
      <c r="D3">
        <v>6.2396818113913998E-3</v>
      </c>
      <c r="E3">
        <v>2.6621718855841E-3</v>
      </c>
      <c r="F3">
        <v>1.2351246663250779</v>
      </c>
      <c r="G3" t="s">
        <v>33</v>
      </c>
      <c r="H3" t="s">
        <v>22</v>
      </c>
      <c r="I3" t="s">
        <v>111</v>
      </c>
      <c r="J3">
        <v>30000000</v>
      </c>
      <c r="L3">
        <v>186436.98475294121</v>
      </c>
    </row>
    <row r="4" spans="1:12" x14ac:dyDescent="0.25">
      <c r="A4" t="s">
        <v>92</v>
      </c>
      <c r="B4">
        <v>0.70247092290933577</v>
      </c>
      <c r="C4">
        <v>0.1153737556664502</v>
      </c>
      <c r="D4">
        <v>9.6390789279204997E-3</v>
      </c>
      <c r="E4">
        <v>1.9027851400668799E-2</v>
      </c>
      <c r="F4">
        <v>2.5452594430960289</v>
      </c>
      <c r="G4" t="s">
        <v>33</v>
      </c>
      <c r="H4" t="s">
        <v>22</v>
      </c>
      <c r="I4" t="s">
        <v>112</v>
      </c>
      <c r="J4">
        <v>17408000</v>
      </c>
      <c r="L4">
        <v>343098.03921568632</v>
      </c>
    </row>
    <row r="5" spans="1:12" x14ac:dyDescent="0.25">
      <c r="A5" t="s">
        <v>36</v>
      </c>
      <c r="B5">
        <v>0.8766181260187994</v>
      </c>
      <c r="C5">
        <v>8.4853262999167095E-2</v>
      </c>
      <c r="D5">
        <v>7.0891973819170997E-3</v>
      </c>
      <c r="E5">
        <v>2.0433362841799999E-4</v>
      </c>
      <c r="F5">
        <v>3.7206058738645988</v>
      </c>
      <c r="G5" t="s">
        <v>33</v>
      </c>
      <c r="H5" t="s">
        <v>22</v>
      </c>
      <c r="I5" t="s">
        <v>113</v>
      </c>
      <c r="J5">
        <v>21680000</v>
      </c>
      <c r="L5">
        <v>93533.694346666671</v>
      </c>
    </row>
    <row r="6" spans="1:12" x14ac:dyDescent="0.25">
      <c r="A6" t="s">
        <v>37</v>
      </c>
      <c r="B6">
        <v>1.3048362100299451</v>
      </c>
      <c r="C6">
        <v>0.11005584327052891</v>
      </c>
      <c r="D6">
        <v>9.1947862694449992E-3</v>
      </c>
      <c r="E6">
        <v>1.23627703629064E-2</v>
      </c>
      <c r="F6">
        <v>0</v>
      </c>
      <c r="G6" t="s">
        <v>33</v>
      </c>
      <c r="H6" t="s">
        <v>22</v>
      </c>
      <c r="I6" t="s">
        <v>114</v>
      </c>
      <c r="J6">
        <v>5948239</v>
      </c>
      <c r="L6">
        <v>45578.436133333344</v>
      </c>
    </row>
    <row r="7" spans="1:12" x14ac:dyDescent="0.25">
      <c r="A7" t="s">
        <v>93</v>
      </c>
      <c r="B7">
        <v>0.43343599046474612</v>
      </c>
      <c r="C7">
        <v>2.50541928631575E-2</v>
      </c>
      <c r="D7">
        <v>2.0931913372541E-3</v>
      </c>
      <c r="E7">
        <v>7.7371151047254472E-5</v>
      </c>
      <c r="F7">
        <v>0.8642261077960498</v>
      </c>
      <c r="G7" t="s">
        <v>33</v>
      </c>
      <c r="H7" t="s">
        <v>22</v>
      </c>
      <c r="I7" t="s">
        <v>115</v>
      </c>
      <c r="J7">
        <v>2886927.3287240001</v>
      </c>
      <c r="K7">
        <v>4.4745421183166938</v>
      </c>
      <c r="L7">
        <v>130.12252666666669</v>
      </c>
    </row>
    <row r="8" spans="1:12" x14ac:dyDescent="0.25">
      <c r="A8" t="s">
        <v>39</v>
      </c>
      <c r="B8">
        <v>0.33049280312234758</v>
      </c>
      <c r="C8">
        <v>2.53910787864319E-2</v>
      </c>
      <c r="D8">
        <v>2.1213369946735E-3</v>
      </c>
      <c r="E8">
        <v>1.1088602703415999E-3</v>
      </c>
      <c r="F8">
        <v>0</v>
      </c>
      <c r="G8" t="s">
        <v>33</v>
      </c>
      <c r="H8" t="s">
        <v>22</v>
      </c>
      <c r="I8" t="s">
        <v>116</v>
      </c>
      <c r="J8">
        <v>1340000</v>
      </c>
      <c r="L8">
        <v>152533.33333333331</v>
      </c>
    </row>
    <row r="9" spans="1:12" x14ac:dyDescent="0.25">
      <c r="A9" t="s">
        <v>94</v>
      </c>
      <c r="B9">
        <v>0.57280719728590634</v>
      </c>
      <c r="C9">
        <v>3.9909052705826502E-2</v>
      </c>
      <c r="D9">
        <v>3.3342635645418998E-3</v>
      </c>
      <c r="E9">
        <v>4.3197592765769997E-4</v>
      </c>
      <c r="F9">
        <v>0.44072780222764152</v>
      </c>
      <c r="G9" t="s">
        <v>33</v>
      </c>
      <c r="H9" t="s">
        <v>22</v>
      </c>
      <c r="I9" t="s">
        <v>117</v>
      </c>
      <c r="J9">
        <v>1501500</v>
      </c>
      <c r="K9">
        <v>9.8029027903061134</v>
      </c>
      <c r="L9">
        <v>23998.078283999999</v>
      </c>
    </row>
    <row r="10" spans="1:12" x14ac:dyDescent="0.25">
      <c r="A10" t="s">
        <v>41</v>
      </c>
      <c r="B10">
        <v>0.24730120971798891</v>
      </c>
      <c r="C10">
        <v>4.3486584443073101E-2</v>
      </c>
      <c r="D10">
        <v>3.6331543009622E-3</v>
      </c>
      <c r="E10">
        <v>3.7646054988720002E-4</v>
      </c>
      <c r="F10">
        <v>1.6583858187907621</v>
      </c>
      <c r="G10" t="s">
        <v>33</v>
      </c>
      <c r="H10" t="s">
        <v>22</v>
      </c>
      <c r="I10" t="s">
        <v>118</v>
      </c>
      <c r="J10">
        <v>3065000</v>
      </c>
      <c r="L10">
        <v>71667.536000000007</v>
      </c>
    </row>
    <row r="11" spans="1:12" x14ac:dyDescent="0.25">
      <c r="A11" t="s">
        <v>95</v>
      </c>
      <c r="B11">
        <v>7.4457953759949194E-2</v>
      </c>
      <c r="C11">
        <v>6.2244121538089997E-3</v>
      </c>
      <c r="D11">
        <v>5.2002816350930003E-4</v>
      </c>
      <c r="E11">
        <v>3.7608327693300001E-4</v>
      </c>
      <c r="F11">
        <v>0</v>
      </c>
      <c r="G11" t="s">
        <v>33</v>
      </c>
      <c r="H11" t="s">
        <v>22</v>
      </c>
      <c r="I11" t="s">
        <v>119</v>
      </c>
      <c r="J11">
        <v>2123641</v>
      </c>
      <c r="K11">
        <v>32.978787143877547</v>
      </c>
      <c r="L11">
        <v>109797.3333333333</v>
      </c>
    </row>
    <row r="12" spans="1:12" x14ac:dyDescent="0.25">
      <c r="A12" t="s">
        <v>43</v>
      </c>
      <c r="B12">
        <v>10496.43699157933</v>
      </c>
      <c r="C12">
        <v>1110.4623827973769</v>
      </c>
      <c r="D12">
        <v>92.775305184262834</v>
      </c>
      <c r="E12">
        <v>0.76920896768569946</v>
      </c>
      <c r="F12">
        <v>0</v>
      </c>
      <c r="G12" t="s">
        <v>33</v>
      </c>
      <c r="H12" t="s">
        <v>25</v>
      </c>
      <c r="I12" t="s">
        <v>120</v>
      </c>
      <c r="J12">
        <v>1361450</v>
      </c>
      <c r="K12">
        <v>3.5165997959183581</v>
      </c>
    </row>
    <row r="13" spans="1:12" x14ac:dyDescent="0.25">
      <c r="A13" t="s">
        <v>44</v>
      </c>
      <c r="B13">
        <v>6303.7826455882196</v>
      </c>
      <c r="C13">
        <v>492.65204227085633</v>
      </c>
      <c r="D13">
        <v>41.159379631950287</v>
      </c>
      <c r="E13">
        <v>4.3536159180641789</v>
      </c>
      <c r="F13">
        <v>338.46907948337321</v>
      </c>
      <c r="G13" t="s">
        <v>33</v>
      </c>
      <c r="H13" t="s">
        <v>25</v>
      </c>
      <c r="I13" t="s">
        <v>121</v>
      </c>
      <c r="J13">
        <v>1266009</v>
      </c>
      <c r="K13">
        <v>4.476523630102041</v>
      </c>
    </row>
    <row r="14" spans="1:12" x14ac:dyDescent="0.25">
      <c r="A14" t="s">
        <v>45</v>
      </c>
      <c r="B14">
        <v>11492.476151133171</v>
      </c>
      <c r="C14">
        <v>0</v>
      </c>
      <c r="D14">
        <v>0</v>
      </c>
      <c r="E14">
        <v>33.054980205759421</v>
      </c>
      <c r="F14">
        <v>1400.0758427819819</v>
      </c>
      <c r="G14" t="s">
        <v>33</v>
      </c>
      <c r="H14" t="s">
        <v>25</v>
      </c>
      <c r="I14" t="s">
        <v>122</v>
      </c>
      <c r="J14">
        <v>1918143</v>
      </c>
      <c r="K14">
        <v>12.41413683010194</v>
      </c>
    </row>
    <row r="15" spans="1:12" x14ac:dyDescent="0.25">
      <c r="A15" t="s">
        <v>46</v>
      </c>
      <c r="B15">
        <v>18111.74393092623</v>
      </c>
      <c r="C15">
        <v>1781.519588359442</v>
      </c>
      <c r="D15">
        <v>148.83982273287981</v>
      </c>
      <c r="E15">
        <v>30.392670551697499</v>
      </c>
      <c r="F15">
        <v>30057.033156458521</v>
      </c>
      <c r="G15" t="s">
        <v>33</v>
      </c>
      <c r="H15" t="s">
        <v>25</v>
      </c>
      <c r="I15" t="s">
        <v>123</v>
      </c>
      <c r="J15">
        <v>8764000</v>
      </c>
      <c r="K15">
        <v>8.0534261301020305</v>
      </c>
    </row>
    <row r="16" spans="1:12" x14ac:dyDescent="0.25">
      <c r="A16" t="s">
        <v>47</v>
      </c>
      <c r="B16">
        <v>14748.34978907989</v>
      </c>
      <c r="C16">
        <v>272.39035273260919</v>
      </c>
      <c r="D16">
        <v>22.757274458522261</v>
      </c>
      <c r="E16">
        <v>44.989872392194229</v>
      </c>
      <c r="F16">
        <v>6055.1396167842904</v>
      </c>
      <c r="G16" t="s">
        <v>33</v>
      </c>
      <c r="H16" t="s">
        <v>25</v>
      </c>
      <c r="I16" t="s">
        <v>124</v>
      </c>
      <c r="J16">
        <v>3842649.0057279998</v>
      </c>
      <c r="K16">
        <v>17.66760135719143</v>
      </c>
    </row>
    <row r="17" spans="1:12" x14ac:dyDescent="0.25">
      <c r="A17" t="s">
        <v>48</v>
      </c>
      <c r="B17">
        <v>14118.66201861612</v>
      </c>
      <c r="C17">
        <v>1264.0852022969191</v>
      </c>
      <c r="D17">
        <v>105.6099669286486</v>
      </c>
      <c r="E17">
        <v>21.44313078657483</v>
      </c>
      <c r="F17">
        <v>45438.639774698771</v>
      </c>
      <c r="G17" t="s">
        <v>33</v>
      </c>
      <c r="H17" t="s">
        <v>25</v>
      </c>
      <c r="I17" t="s">
        <v>125</v>
      </c>
      <c r="J17">
        <v>2911000</v>
      </c>
      <c r="K17">
        <v>8.2519489795918357</v>
      </c>
    </row>
    <row r="18" spans="1:12" x14ac:dyDescent="0.25">
      <c r="A18" t="s">
        <v>49</v>
      </c>
      <c r="B18">
        <v>7244.0451143273003</v>
      </c>
      <c r="C18">
        <v>412.53313587549201</v>
      </c>
      <c r="D18">
        <v>34.465721225860761</v>
      </c>
      <c r="E18">
        <v>24.938190327533899</v>
      </c>
      <c r="F18">
        <v>17008.884916121489</v>
      </c>
      <c r="G18" t="s">
        <v>33</v>
      </c>
      <c r="H18" t="s">
        <v>25</v>
      </c>
      <c r="I18" t="s">
        <v>126</v>
      </c>
      <c r="J18">
        <v>17332900</v>
      </c>
      <c r="K18">
        <v>29.039084533163258</v>
      </c>
    </row>
    <row r="19" spans="1:12" x14ac:dyDescent="0.25">
      <c r="A19" t="s">
        <v>50</v>
      </c>
      <c r="B19">
        <v>12873.56238315094</v>
      </c>
      <c r="C19">
        <v>269.4859136524974</v>
      </c>
      <c r="D19">
        <v>22.51461858691528</v>
      </c>
      <c r="E19">
        <v>28.464452982494091</v>
      </c>
      <c r="F19">
        <v>10022.145811736929</v>
      </c>
      <c r="G19" t="s">
        <v>33</v>
      </c>
      <c r="H19" t="s">
        <v>25</v>
      </c>
      <c r="I19" t="s">
        <v>127</v>
      </c>
      <c r="J19">
        <v>25434853.502416398</v>
      </c>
      <c r="K19">
        <v>24.008283837755101</v>
      </c>
    </row>
    <row r="20" spans="1:12" x14ac:dyDescent="0.25">
      <c r="A20" t="s">
        <v>51</v>
      </c>
      <c r="B20">
        <v>3508.1142376370321</v>
      </c>
      <c r="C20">
        <v>1772.9969544852061</v>
      </c>
      <c r="D20">
        <v>148.1277700045612</v>
      </c>
      <c r="E20">
        <v>8.0122640554815605E-2</v>
      </c>
      <c r="F20">
        <v>2571.6756250925828</v>
      </c>
      <c r="G20" t="s">
        <v>33</v>
      </c>
      <c r="H20" t="s">
        <v>25</v>
      </c>
      <c r="I20" t="s">
        <v>128</v>
      </c>
      <c r="J20">
        <v>191148</v>
      </c>
      <c r="K20">
        <v>1.220177609693877</v>
      </c>
    </row>
    <row r="21" spans="1:12" x14ac:dyDescent="0.25">
      <c r="A21" t="s">
        <v>52</v>
      </c>
      <c r="B21">
        <v>30316.59667558223</v>
      </c>
      <c r="C21">
        <v>0</v>
      </c>
      <c r="D21">
        <v>0</v>
      </c>
      <c r="E21">
        <v>16.872789632647251</v>
      </c>
      <c r="F21">
        <v>0</v>
      </c>
      <c r="G21" t="s">
        <v>33</v>
      </c>
      <c r="H21" t="s">
        <v>25</v>
      </c>
      <c r="I21" t="s">
        <v>129</v>
      </c>
      <c r="J21">
        <v>166000</v>
      </c>
      <c r="K21">
        <v>0.92040969387755101</v>
      </c>
    </row>
    <row r="22" spans="1:12" x14ac:dyDescent="0.25">
      <c r="A22" t="s">
        <v>53</v>
      </c>
      <c r="B22">
        <v>4686.729531069479</v>
      </c>
      <c r="C22">
        <v>80.027176649123248</v>
      </c>
      <c r="D22">
        <v>6.6859944010823256</v>
      </c>
      <c r="E22">
        <v>26.957186428641631</v>
      </c>
      <c r="F22">
        <v>403.87228551679442</v>
      </c>
      <c r="G22" t="s">
        <v>33</v>
      </c>
      <c r="H22" t="s">
        <v>25</v>
      </c>
      <c r="I22" t="s">
        <v>130</v>
      </c>
      <c r="J22">
        <v>222627</v>
      </c>
      <c r="K22">
        <v>2.7760508515306119</v>
      </c>
    </row>
    <row r="23" spans="1:12" x14ac:dyDescent="0.25">
      <c r="A23" t="s">
        <v>54</v>
      </c>
      <c r="B23">
        <v>4936.242121920548</v>
      </c>
      <c r="C23">
        <v>117.589532704028</v>
      </c>
      <c r="D23">
        <v>9.8242000479676808</v>
      </c>
      <c r="E23">
        <v>200.3825165471944</v>
      </c>
      <c r="F23">
        <v>4967.9154617692111</v>
      </c>
      <c r="G23" t="s">
        <v>33</v>
      </c>
      <c r="H23" t="s">
        <v>25</v>
      </c>
      <c r="I23" t="s">
        <v>131</v>
      </c>
      <c r="J23">
        <v>1661000</v>
      </c>
      <c r="K23">
        <v>7.7388999209183664</v>
      </c>
    </row>
    <row r="24" spans="1:12" x14ac:dyDescent="0.25">
      <c r="A24" t="s">
        <v>93</v>
      </c>
      <c r="B24">
        <v>3253.479520495373</v>
      </c>
      <c r="C24">
        <v>188.06305964431891</v>
      </c>
      <c r="D24">
        <v>15.71202085655886</v>
      </c>
      <c r="E24">
        <v>0.58076732998880232</v>
      </c>
      <c r="F24">
        <v>6487.0987623743713</v>
      </c>
      <c r="G24" t="s">
        <v>33</v>
      </c>
      <c r="H24" t="s">
        <v>25</v>
      </c>
      <c r="I24" t="s">
        <v>115</v>
      </c>
      <c r="J24">
        <v>2886927.3287240001</v>
      </c>
      <c r="K24">
        <v>4.4745421183166938</v>
      </c>
      <c r="L24">
        <v>130.12252666666669</v>
      </c>
    </row>
    <row r="25" spans="1:12" x14ac:dyDescent="0.25">
      <c r="A25" t="s">
        <v>56</v>
      </c>
      <c r="B25">
        <v>5423.1980410267261</v>
      </c>
      <c r="C25">
        <v>0</v>
      </c>
      <c r="D25">
        <v>0</v>
      </c>
      <c r="E25">
        <v>81.320447849411195</v>
      </c>
      <c r="F25">
        <v>0</v>
      </c>
      <c r="G25" t="s">
        <v>33</v>
      </c>
      <c r="H25" t="s">
        <v>25</v>
      </c>
      <c r="I25" t="s">
        <v>132</v>
      </c>
      <c r="J25">
        <v>439008</v>
      </c>
      <c r="K25">
        <v>4.1704080612244896</v>
      </c>
    </row>
    <row r="26" spans="1:12" x14ac:dyDescent="0.25">
      <c r="A26" t="s">
        <v>94</v>
      </c>
      <c r="B26">
        <v>4299.6347619460093</v>
      </c>
      <c r="C26">
        <v>299.56737220360992</v>
      </c>
      <c r="D26">
        <v>25.027820336750661</v>
      </c>
      <c r="E26">
        <v>3.2425199508088842</v>
      </c>
      <c r="F26">
        <v>3308.2138523883482</v>
      </c>
      <c r="G26" t="s">
        <v>33</v>
      </c>
      <c r="H26" t="s">
        <v>25</v>
      </c>
      <c r="I26" t="s">
        <v>117</v>
      </c>
      <c r="J26">
        <v>1501500</v>
      </c>
      <c r="K26">
        <v>9.8029027903061134</v>
      </c>
      <c r="L26">
        <v>23998.078283999999</v>
      </c>
    </row>
    <row r="27" spans="1:12" x14ac:dyDescent="0.25">
      <c r="A27" t="s">
        <v>58</v>
      </c>
      <c r="B27">
        <v>3852.318930636276</v>
      </c>
      <c r="C27">
        <v>503.83513657874568</v>
      </c>
      <c r="D27">
        <v>42.09368700066625</v>
      </c>
      <c r="E27">
        <v>18.097070222650331</v>
      </c>
      <c r="F27">
        <v>16164.579564786171</v>
      </c>
      <c r="G27" t="s">
        <v>33</v>
      </c>
      <c r="H27" t="s">
        <v>25</v>
      </c>
      <c r="I27" t="s">
        <v>133</v>
      </c>
      <c r="J27">
        <v>441588</v>
      </c>
      <c r="K27">
        <v>7.253304461734694</v>
      </c>
    </row>
    <row r="28" spans="1:12" x14ac:dyDescent="0.25">
      <c r="A28" t="s">
        <v>59</v>
      </c>
      <c r="B28">
        <v>6764.6194802500422</v>
      </c>
      <c r="C28">
        <v>170.84707024434459</v>
      </c>
      <c r="D28">
        <v>14.273683895892191</v>
      </c>
      <c r="E28">
        <v>35.862084091231388</v>
      </c>
      <c r="F28">
        <v>3758.9538684096769</v>
      </c>
      <c r="G28" t="s">
        <v>33</v>
      </c>
      <c r="H28" t="s">
        <v>25</v>
      </c>
      <c r="I28" t="s">
        <v>134</v>
      </c>
      <c r="J28">
        <v>1028000</v>
      </c>
      <c r="K28">
        <v>5.7128877551020407</v>
      </c>
    </row>
    <row r="29" spans="1:12" x14ac:dyDescent="0.25">
      <c r="A29" t="s">
        <v>60</v>
      </c>
      <c r="B29">
        <v>10839.4813193764</v>
      </c>
      <c r="C29">
        <v>1080.5616171488509</v>
      </c>
      <c r="D29">
        <v>90.277197697054362</v>
      </c>
      <c r="E29">
        <v>158.60194796515091</v>
      </c>
      <c r="F29">
        <v>27393.254587631909</v>
      </c>
      <c r="G29" t="s">
        <v>33</v>
      </c>
      <c r="H29" t="s">
        <v>25</v>
      </c>
      <c r="I29" t="s">
        <v>135</v>
      </c>
      <c r="J29">
        <v>841000</v>
      </c>
      <c r="K29">
        <v>3.5769025000000001</v>
      </c>
    </row>
    <row r="30" spans="1:12" x14ac:dyDescent="0.25">
      <c r="A30" t="s">
        <v>61</v>
      </c>
      <c r="B30">
        <v>22766</v>
      </c>
      <c r="C30">
        <v>264.60178737745991</v>
      </c>
      <c r="D30">
        <v>22.106567879322029</v>
      </c>
      <c r="E30">
        <v>8.2779468573548911</v>
      </c>
      <c r="F30">
        <v>9168.8949127375963</v>
      </c>
      <c r="G30" t="s">
        <v>33</v>
      </c>
      <c r="H30" t="s">
        <v>25</v>
      </c>
      <c r="I30" t="s">
        <v>136</v>
      </c>
      <c r="J30">
        <v>122000</v>
      </c>
      <c r="K30">
        <v>1.2300799484693881</v>
      </c>
    </row>
    <row r="31" spans="1:12" x14ac:dyDescent="0.25">
      <c r="A31" t="s">
        <v>95</v>
      </c>
      <c r="B31">
        <v>558.9001290717498</v>
      </c>
      <c r="C31">
        <v>46.722002055814762</v>
      </c>
      <c r="D31">
        <v>3.9034622400578201</v>
      </c>
      <c r="E31">
        <v>2.822975635528564</v>
      </c>
      <c r="F31">
        <v>0</v>
      </c>
      <c r="G31" t="s">
        <v>33</v>
      </c>
      <c r="H31" t="s">
        <v>25</v>
      </c>
      <c r="I31" t="s">
        <v>119</v>
      </c>
      <c r="J31">
        <v>2123641</v>
      </c>
      <c r="K31">
        <v>32.978787143877547</v>
      </c>
      <c r="L31">
        <v>109797.3333333333</v>
      </c>
    </row>
    <row r="32" spans="1:12" x14ac:dyDescent="0.25">
      <c r="A32" t="s">
        <v>96</v>
      </c>
      <c r="B32">
        <v>26527.92223370009</v>
      </c>
      <c r="C32">
        <v>218.57935311985781</v>
      </c>
      <c r="D32">
        <v>18.261551765805962</v>
      </c>
      <c r="E32">
        <v>10.76135724333267</v>
      </c>
      <c r="F32">
        <v>13576.570315099791</v>
      </c>
      <c r="G32" t="s">
        <v>33</v>
      </c>
      <c r="H32" t="s">
        <v>25</v>
      </c>
      <c r="I32" t="s">
        <v>137</v>
      </c>
      <c r="J32">
        <v>1574000</v>
      </c>
      <c r="K32">
        <v>4.2180154591836736</v>
      </c>
    </row>
    <row r="33" spans="1:12" x14ac:dyDescent="0.25">
      <c r="A33" t="s">
        <v>63</v>
      </c>
      <c r="B33">
        <v>4710.9389423432021</v>
      </c>
      <c r="C33">
        <v>1108.1924726373841</v>
      </c>
      <c r="D33">
        <v>92.585658806023275</v>
      </c>
      <c r="E33">
        <v>6.869487666360298</v>
      </c>
      <c r="F33">
        <v>0</v>
      </c>
      <c r="G33" t="s">
        <v>33</v>
      </c>
      <c r="H33" t="s">
        <v>25</v>
      </c>
      <c r="I33" t="s">
        <v>138</v>
      </c>
      <c r="J33">
        <v>1034000</v>
      </c>
      <c r="K33">
        <v>4.1181668765306121</v>
      </c>
    </row>
    <row r="34" spans="1:12" x14ac:dyDescent="0.25">
      <c r="A34" t="s">
        <v>64</v>
      </c>
      <c r="B34">
        <v>0.37987386314122401</v>
      </c>
      <c r="C34">
        <v>0</v>
      </c>
      <c r="D34">
        <v>0</v>
      </c>
      <c r="E34">
        <v>1.0766099331489E-3</v>
      </c>
      <c r="F34">
        <v>0</v>
      </c>
      <c r="G34" t="s">
        <v>33</v>
      </c>
      <c r="H34" t="s">
        <v>28</v>
      </c>
      <c r="I34" t="s">
        <v>139</v>
      </c>
      <c r="J34">
        <v>6835294.1176470499</v>
      </c>
      <c r="L34">
        <v>363125</v>
      </c>
    </row>
    <row r="35" spans="1:12" x14ac:dyDescent="0.25">
      <c r="A35" t="s">
        <v>65</v>
      </c>
      <c r="B35">
        <v>0.4787638716775735</v>
      </c>
      <c r="C35">
        <v>9.5398757475155804E-2</v>
      </c>
      <c r="D35">
        <v>7.9702375778888997E-3</v>
      </c>
      <c r="E35">
        <v>1.2981365638228999E-3</v>
      </c>
      <c r="F35">
        <v>0</v>
      </c>
      <c r="G35" t="s">
        <v>33</v>
      </c>
      <c r="H35" t="s">
        <v>28</v>
      </c>
      <c r="I35" t="s">
        <v>140</v>
      </c>
      <c r="J35">
        <v>464705.88235294097</v>
      </c>
      <c r="L35">
        <v>49375</v>
      </c>
    </row>
    <row r="36" spans="1:12" x14ac:dyDescent="0.25">
      <c r="A36" t="s">
        <v>66</v>
      </c>
      <c r="B36">
        <v>2.098657144112916</v>
      </c>
      <c r="C36">
        <v>3.5732593637812698E-2</v>
      </c>
      <c r="D36">
        <v>2.9853351513391998E-3</v>
      </c>
      <c r="E36">
        <v>5.0079554196788998E-3</v>
      </c>
      <c r="F36">
        <v>0</v>
      </c>
      <c r="G36" t="s">
        <v>33</v>
      </c>
      <c r="H36" t="s">
        <v>28</v>
      </c>
      <c r="I36" t="s">
        <v>141</v>
      </c>
      <c r="J36">
        <v>794117.64705882303</v>
      </c>
      <c r="L36">
        <v>84375</v>
      </c>
    </row>
    <row r="37" spans="1:12" x14ac:dyDescent="0.25">
      <c r="A37" t="s">
        <v>67</v>
      </c>
      <c r="B37">
        <v>1.0816848818132649</v>
      </c>
      <c r="C37">
        <v>1.02912874339572E-2</v>
      </c>
      <c r="D37">
        <v>8.5980157193739999E-4</v>
      </c>
      <c r="E37">
        <v>3.0924029535981E-3</v>
      </c>
      <c r="F37">
        <v>0</v>
      </c>
      <c r="G37" t="s">
        <v>33</v>
      </c>
      <c r="H37" t="s">
        <v>28</v>
      </c>
      <c r="I37" t="s">
        <v>142</v>
      </c>
      <c r="J37">
        <v>1500000</v>
      </c>
      <c r="L37">
        <v>151450</v>
      </c>
    </row>
    <row r="38" spans="1:12" x14ac:dyDescent="0.25">
      <c r="A38" t="s">
        <v>91</v>
      </c>
      <c r="B38">
        <v>3.5162978850793358</v>
      </c>
      <c r="C38">
        <v>0.31649161004956738</v>
      </c>
      <c r="D38">
        <v>2.6441781686590199E-2</v>
      </c>
      <c r="E38">
        <v>1.12814351451092E-2</v>
      </c>
      <c r="F38">
        <v>5.2340647491110994</v>
      </c>
      <c r="G38" t="s">
        <v>33</v>
      </c>
      <c r="H38" t="s">
        <v>69</v>
      </c>
      <c r="I38" t="s">
        <v>111</v>
      </c>
      <c r="J38">
        <v>30000000</v>
      </c>
      <c r="L38">
        <v>186436.98475294121</v>
      </c>
    </row>
    <row r="39" spans="1:12" x14ac:dyDescent="0.25">
      <c r="A39" t="s">
        <v>92</v>
      </c>
      <c r="B39">
        <v>2.9768477490368679</v>
      </c>
      <c r="C39">
        <v>0.48891720144711209</v>
      </c>
      <c r="D39">
        <v>4.0847344206342798E-2</v>
      </c>
      <c r="E39">
        <v>8.0633963854740101E-2</v>
      </c>
      <c r="F39">
        <v>10.78599804724195</v>
      </c>
      <c r="G39" t="s">
        <v>33</v>
      </c>
      <c r="H39" t="s">
        <v>69</v>
      </c>
      <c r="I39" t="s">
        <v>112</v>
      </c>
      <c r="J39">
        <v>17408000</v>
      </c>
      <c r="L39">
        <v>343098.03921568632</v>
      </c>
    </row>
    <row r="40" spans="1:12" x14ac:dyDescent="0.25">
      <c r="A40" t="s">
        <v>98</v>
      </c>
      <c r="B40">
        <v>0.12354273112031749</v>
      </c>
      <c r="C40">
        <v>9.4915331041686007E-3</v>
      </c>
      <c r="D40">
        <v>7.9298484272330005E-4</v>
      </c>
      <c r="E40">
        <v>4.1450713485619999E-4</v>
      </c>
      <c r="F40">
        <v>0</v>
      </c>
      <c r="G40" t="s">
        <v>33</v>
      </c>
      <c r="H40" t="s">
        <v>27</v>
      </c>
      <c r="I40" t="s">
        <v>116</v>
      </c>
      <c r="J40">
        <v>1340000</v>
      </c>
      <c r="L40">
        <v>152533.33333333331</v>
      </c>
    </row>
    <row r="41" spans="1:12" x14ac:dyDescent="0.25">
      <c r="A41" t="s">
        <v>94</v>
      </c>
      <c r="B41">
        <v>0.2141231711516301</v>
      </c>
      <c r="C41">
        <v>1.4918550267106701E-2</v>
      </c>
      <c r="D41">
        <v>1.2463934406357E-3</v>
      </c>
      <c r="E41">
        <v>1.614785224217E-4</v>
      </c>
      <c r="F41">
        <v>0.1647500932524632</v>
      </c>
      <c r="G41" t="s">
        <v>33</v>
      </c>
      <c r="H41" t="s">
        <v>27</v>
      </c>
      <c r="I41" t="s">
        <v>117</v>
      </c>
      <c r="J41">
        <v>1501500</v>
      </c>
      <c r="K41">
        <v>9.8029027903061134</v>
      </c>
      <c r="L41">
        <v>23998.078283999999</v>
      </c>
    </row>
    <row r="42" spans="1:12" x14ac:dyDescent="0.25">
      <c r="A42" t="s">
        <v>95</v>
      </c>
      <c r="B42">
        <v>2.7833402219476201E-2</v>
      </c>
      <c r="C42">
        <v>2.3267704835411998E-3</v>
      </c>
      <c r="D42">
        <v>1.943936519719E-4</v>
      </c>
      <c r="E42">
        <v>1.405850925948E-4</v>
      </c>
      <c r="F42">
        <v>0</v>
      </c>
      <c r="G42" t="s">
        <v>33</v>
      </c>
      <c r="H42" t="s">
        <v>27</v>
      </c>
      <c r="I42" t="s">
        <v>119</v>
      </c>
      <c r="J42">
        <v>2123641</v>
      </c>
      <c r="K42">
        <v>32.978787143877547</v>
      </c>
      <c r="L42">
        <v>109797.3333333333</v>
      </c>
    </row>
    <row r="43" spans="1:12" x14ac:dyDescent="0.25">
      <c r="A43" t="s">
        <v>74</v>
      </c>
      <c r="B43">
        <v>8.6306756146162957</v>
      </c>
      <c r="C43">
        <v>1.066967769359799</v>
      </c>
      <c r="D43">
        <v>8.91414754463042E-2</v>
      </c>
      <c r="E43">
        <v>5.4263695883935998E-3</v>
      </c>
      <c r="F43">
        <v>0</v>
      </c>
      <c r="G43" t="s">
        <v>33</v>
      </c>
      <c r="H43" t="s">
        <v>30</v>
      </c>
      <c r="I43" t="s">
        <v>143</v>
      </c>
      <c r="J43">
        <v>98408.871032543204</v>
      </c>
      <c r="L43">
        <v>7204.1082352941175</v>
      </c>
    </row>
    <row r="44" spans="1:12" x14ac:dyDescent="0.25">
      <c r="A44" t="s">
        <v>75</v>
      </c>
      <c r="B44">
        <v>4.5551050591072588</v>
      </c>
      <c r="C44">
        <v>0.39412952682321029</v>
      </c>
      <c r="D44">
        <v>3.2928163922798903E-2</v>
      </c>
      <c r="E44">
        <v>4.3034810273888998E-3</v>
      </c>
      <c r="F44">
        <v>0</v>
      </c>
      <c r="G44" t="s">
        <v>33</v>
      </c>
      <c r="H44" t="s">
        <v>30</v>
      </c>
      <c r="I44" t="s">
        <v>144</v>
      </c>
      <c r="J44">
        <v>43726.856187782003</v>
      </c>
      <c r="L44">
        <v>9605.477647058824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L44"/>
  <sheetViews>
    <sheetView workbookViewId="0"/>
  </sheetViews>
  <sheetFormatPr baseColWidth="10" defaultColWidth="9.140625" defaultRowHeight="15" x14ac:dyDescent="0.25"/>
  <sheetData>
    <row r="1" spans="1:12" x14ac:dyDescent="0.25">
      <c r="A1" s="1" t="s">
        <v>1</v>
      </c>
      <c r="B1" s="1" t="s">
        <v>81</v>
      </c>
      <c r="C1" s="1" t="s">
        <v>82</v>
      </c>
      <c r="D1" s="1" t="s">
        <v>83</v>
      </c>
      <c r="E1" s="1" t="s">
        <v>84</v>
      </c>
      <c r="F1" s="1" t="s">
        <v>85</v>
      </c>
      <c r="G1" s="1" t="s">
        <v>18</v>
      </c>
      <c r="H1" s="1" t="s">
        <v>19</v>
      </c>
      <c r="I1" s="1" t="s">
        <v>106</v>
      </c>
      <c r="J1" s="1" t="s">
        <v>107</v>
      </c>
      <c r="K1" s="1" t="s">
        <v>108</v>
      </c>
      <c r="L1" s="1" t="s">
        <v>109</v>
      </c>
    </row>
    <row r="2" spans="1:12" x14ac:dyDescent="0.25">
      <c r="A2" t="s">
        <v>32</v>
      </c>
      <c r="B2">
        <v>0.8599203142922297</v>
      </c>
      <c r="C2">
        <v>8.7145432844901297E-2</v>
      </c>
      <c r="D2">
        <v>7.2016150090330004E-4</v>
      </c>
      <c r="E2">
        <v>4.9430166064539998E-4</v>
      </c>
      <c r="F2">
        <v>1.9164560771478141</v>
      </c>
      <c r="G2" t="s">
        <v>33</v>
      </c>
      <c r="H2" t="s">
        <v>22</v>
      </c>
      <c r="I2" t="s">
        <v>110</v>
      </c>
      <c r="J2">
        <v>6862152</v>
      </c>
      <c r="L2">
        <v>63500</v>
      </c>
    </row>
    <row r="3" spans="1:12" x14ac:dyDescent="0.25">
      <c r="A3" t="s">
        <v>91</v>
      </c>
      <c r="B3">
        <v>1.078154528367383</v>
      </c>
      <c r="C3">
        <v>0.1249784401466353</v>
      </c>
      <c r="D3">
        <v>9.7344710757479999E-4</v>
      </c>
      <c r="E3">
        <v>6.6684936043650005E-4</v>
      </c>
      <c r="F3">
        <v>2.579959742283449</v>
      </c>
      <c r="G3" t="s">
        <v>33</v>
      </c>
      <c r="H3" t="s">
        <v>22</v>
      </c>
      <c r="I3" t="s">
        <v>111</v>
      </c>
      <c r="J3">
        <v>30000000</v>
      </c>
      <c r="L3">
        <v>186436.98475294121</v>
      </c>
    </row>
    <row r="4" spans="1:12" x14ac:dyDescent="0.25">
      <c r="A4" t="s">
        <v>92</v>
      </c>
      <c r="B4">
        <v>0.41776712565750551</v>
      </c>
      <c r="C4">
        <v>4.0115925866561798E-2</v>
      </c>
      <c r="D4">
        <v>3.3246674218469999E-4</v>
      </c>
      <c r="E4">
        <v>2.3963781227689999E-4</v>
      </c>
      <c r="F4">
        <v>0.88034522842525575</v>
      </c>
      <c r="G4" t="s">
        <v>33</v>
      </c>
      <c r="H4" t="s">
        <v>22</v>
      </c>
      <c r="I4" t="s">
        <v>112</v>
      </c>
      <c r="J4">
        <v>17408000</v>
      </c>
      <c r="L4">
        <v>343098.03921568632</v>
      </c>
    </row>
    <row r="5" spans="1:12" x14ac:dyDescent="0.25">
      <c r="A5" t="s">
        <v>36</v>
      </c>
      <c r="B5">
        <v>1.071995177730876</v>
      </c>
      <c r="C5">
        <v>0.1645688638711888</v>
      </c>
      <c r="D5">
        <v>1.3621088892967999E-3</v>
      </c>
      <c r="E5">
        <v>7.2361689620479999E-4</v>
      </c>
      <c r="F5">
        <v>1.283358597586471</v>
      </c>
      <c r="G5" t="s">
        <v>33</v>
      </c>
      <c r="H5" t="s">
        <v>22</v>
      </c>
      <c r="I5" t="s">
        <v>113</v>
      </c>
      <c r="J5">
        <v>21680000</v>
      </c>
      <c r="L5">
        <v>93533.694346666671</v>
      </c>
    </row>
    <row r="6" spans="1:12" x14ac:dyDescent="0.25">
      <c r="A6" t="s">
        <v>37</v>
      </c>
      <c r="B6">
        <v>0.92808668119432081</v>
      </c>
      <c r="C6">
        <v>0.10205880217881939</v>
      </c>
      <c r="D6">
        <v>8.391085942206E-4</v>
      </c>
      <c r="E6">
        <v>5.5314151938129995E-4</v>
      </c>
      <c r="F6">
        <v>1.8615330736994899</v>
      </c>
      <c r="G6" t="s">
        <v>33</v>
      </c>
      <c r="H6" t="s">
        <v>22</v>
      </c>
      <c r="I6" t="s">
        <v>114</v>
      </c>
      <c r="J6">
        <v>5948239</v>
      </c>
      <c r="L6">
        <v>45578.436133333344</v>
      </c>
    </row>
    <row r="7" spans="1:12" x14ac:dyDescent="0.25">
      <c r="A7" t="s">
        <v>93</v>
      </c>
      <c r="B7">
        <v>1.9395271686075699</v>
      </c>
      <c r="C7">
        <v>0.28874510225316252</v>
      </c>
      <c r="D7">
        <v>7.3639237870360005E-4</v>
      </c>
      <c r="E7">
        <v>1.2783446092860999E-3</v>
      </c>
      <c r="F7">
        <v>4.5010951160613786</v>
      </c>
      <c r="G7" t="s">
        <v>33</v>
      </c>
      <c r="H7" t="s">
        <v>22</v>
      </c>
      <c r="I7" t="s">
        <v>115</v>
      </c>
      <c r="J7">
        <v>2886927.3287240001</v>
      </c>
      <c r="K7">
        <v>4.4745421183166938</v>
      </c>
      <c r="L7">
        <v>130.12252666666669</v>
      </c>
    </row>
    <row r="8" spans="1:12" x14ac:dyDescent="0.25">
      <c r="A8" t="s">
        <v>39</v>
      </c>
      <c r="B8">
        <v>8.5043738036799293E-2</v>
      </c>
      <c r="C8">
        <v>8.2581800236983006E-3</v>
      </c>
      <c r="D8">
        <v>6.6243836917706398E-5</v>
      </c>
      <c r="E8">
        <v>4.9523456326780507E-5</v>
      </c>
      <c r="F8">
        <v>2.0143101759504799E-2</v>
      </c>
      <c r="G8" t="s">
        <v>33</v>
      </c>
      <c r="H8" t="s">
        <v>22</v>
      </c>
      <c r="I8" t="s">
        <v>116</v>
      </c>
      <c r="J8">
        <v>1340000</v>
      </c>
      <c r="L8">
        <v>152533.33333333331</v>
      </c>
    </row>
    <row r="9" spans="1:12" x14ac:dyDescent="0.25">
      <c r="A9" t="s">
        <v>94</v>
      </c>
      <c r="B9">
        <v>0.61809755911728237</v>
      </c>
      <c r="C9">
        <v>0.2242996799423273</v>
      </c>
      <c r="D9">
        <v>2.716763814976E-4</v>
      </c>
      <c r="E9">
        <v>3.3092838341950001E-4</v>
      </c>
      <c r="F9">
        <v>4.1259525275208944</v>
      </c>
      <c r="G9" t="s">
        <v>33</v>
      </c>
      <c r="H9" t="s">
        <v>22</v>
      </c>
      <c r="I9" t="s">
        <v>117</v>
      </c>
      <c r="J9">
        <v>1501500</v>
      </c>
      <c r="K9">
        <v>9.8029027903061134</v>
      </c>
      <c r="L9">
        <v>23998.078283999999</v>
      </c>
    </row>
    <row r="10" spans="1:12" x14ac:dyDescent="0.25">
      <c r="A10" t="s">
        <v>41</v>
      </c>
      <c r="B10">
        <v>0.35529686961084311</v>
      </c>
      <c r="C10">
        <v>3.35524387557301E-2</v>
      </c>
      <c r="D10">
        <v>2.6440780812790003E-4</v>
      </c>
      <c r="E10">
        <v>1.7089721278999999E-4</v>
      </c>
      <c r="F10">
        <v>0.68686792236218253</v>
      </c>
      <c r="G10" t="s">
        <v>33</v>
      </c>
      <c r="H10" t="s">
        <v>22</v>
      </c>
      <c r="I10" t="s">
        <v>118</v>
      </c>
      <c r="J10">
        <v>3065000</v>
      </c>
      <c r="L10">
        <v>71667.536000000007</v>
      </c>
    </row>
    <row r="11" spans="1:12" x14ac:dyDescent="0.25">
      <c r="A11" t="s">
        <v>95</v>
      </c>
      <c r="B11">
        <v>1.6918440471104981</v>
      </c>
      <c r="C11">
        <v>0.1495397294486249</v>
      </c>
      <c r="D11">
        <v>1.6233374469400001E-4</v>
      </c>
      <c r="E11">
        <v>9.236704554091E-4</v>
      </c>
      <c r="F11">
        <v>14.49971101404844</v>
      </c>
      <c r="G11" t="s">
        <v>33</v>
      </c>
      <c r="H11" t="s">
        <v>22</v>
      </c>
      <c r="I11" t="s">
        <v>119</v>
      </c>
      <c r="J11">
        <v>2123641</v>
      </c>
      <c r="K11">
        <v>32.978787143877547</v>
      </c>
      <c r="L11">
        <v>109797.3333333333</v>
      </c>
    </row>
    <row r="12" spans="1:12" x14ac:dyDescent="0.25">
      <c r="A12" t="s">
        <v>43</v>
      </c>
      <c r="B12">
        <v>8167.7135163932426</v>
      </c>
      <c r="C12">
        <v>1872.547814205373</v>
      </c>
      <c r="D12">
        <v>4.0587089346018992</v>
      </c>
      <c r="E12">
        <v>3.7647819963997629</v>
      </c>
      <c r="F12">
        <v>31009.565257558599</v>
      </c>
      <c r="G12" t="s">
        <v>33</v>
      </c>
      <c r="H12" t="s">
        <v>25</v>
      </c>
      <c r="I12" t="s">
        <v>120</v>
      </c>
      <c r="J12">
        <v>1361450</v>
      </c>
      <c r="K12">
        <v>3.5165997959183581</v>
      </c>
    </row>
    <row r="13" spans="1:12" x14ac:dyDescent="0.25">
      <c r="A13" t="s">
        <v>44</v>
      </c>
      <c r="B13">
        <v>6650.5692867970674</v>
      </c>
      <c r="C13">
        <v>364.13229287394199</v>
      </c>
      <c r="D13">
        <v>2.4546056349609722</v>
      </c>
      <c r="E13">
        <v>3.8677368371474028</v>
      </c>
      <c r="F13">
        <v>20121.241679118011</v>
      </c>
      <c r="G13" t="s">
        <v>33</v>
      </c>
      <c r="H13" t="s">
        <v>25</v>
      </c>
      <c r="I13" t="s">
        <v>121</v>
      </c>
      <c r="J13">
        <v>1266009</v>
      </c>
      <c r="K13">
        <v>4.476523630102041</v>
      </c>
    </row>
    <row r="14" spans="1:12" x14ac:dyDescent="0.25">
      <c r="A14" t="s">
        <v>45</v>
      </c>
      <c r="B14">
        <v>4996.0386119357636</v>
      </c>
      <c r="C14">
        <v>191.52459806145319</v>
      </c>
      <c r="D14">
        <v>1.2238941733044471</v>
      </c>
      <c r="E14">
        <v>3.3011356339943299</v>
      </c>
      <c r="F14">
        <v>1600.665265614982</v>
      </c>
      <c r="G14" t="s">
        <v>33</v>
      </c>
      <c r="H14" t="s">
        <v>25</v>
      </c>
      <c r="I14" t="s">
        <v>122</v>
      </c>
      <c r="J14">
        <v>1918143</v>
      </c>
      <c r="K14">
        <v>12.41413683010194</v>
      </c>
    </row>
    <row r="15" spans="1:12" x14ac:dyDescent="0.25">
      <c r="A15" t="s">
        <v>46</v>
      </c>
      <c r="B15">
        <v>36081.211405962073</v>
      </c>
      <c r="C15">
        <v>1836.7741360993821</v>
      </c>
      <c r="D15">
        <v>10.71866503703351</v>
      </c>
      <c r="E15">
        <v>17.577836827718802</v>
      </c>
      <c r="F15">
        <v>119973.4143702313</v>
      </c>
      <c r="G15" t="s">
        <v>33</v>
      </c>
      <c r="H15" t="s">
        <v>25</v>
      </c>
      <c r="I15" t="s">
        <v>123</v>
      </c>
      <c r="J15">
        <v>8764000</v>
      </c>
      <c r="K15">
        <v>8.0534261301020305</v>
      </c>
    </row>
    <row r="16" spans="1:12" x14ac:dyDescent="0.25">
      <c r="A16" t="s">
        <v>47</v>
      </c>
      <c r="B16">
        <v>12897.83802602291</v>
      </c>
      <c r="C16">
        <v>339.81655908674418</v>
      </c>
      <c r="D16">
        <v>3.6179634272611181</v>
      </c>
      <c r="E16">
        <v>7.0291054642415878</v>
      </c>
      <c r="F16">
        <v>2983.0055704980618</v>
      </c>
      <c r="G16" t="s">
        <v>33</v>
      </c>
      <c r="H16" t="s">
        <v>25</v>
      </c>
      <c r="I16" t="s">
        <v>124</v>
      </c>
      <c r="J16">
        <v>3842649.0057279998</v>
      </c>
      <c r="K16">
        <v>17.66760135719143</v>
      </c>
    </row>
    <row r="17" spans="1:12" x14ac:dyDescent="0.25">
      <c r="A17" t="s">
        <v>48</v>
      </c>
      <c r="B17">
        <v>8920.3029298084384</v>
      </c>
      <c r="C17">
        <v>474.98085818995293</v>
      </c>
      <c r="D17">
        <v>3.3687127394367038</v>
      </c>
      <c r="E17">
        <v>4.0133441723590249</v>
      </c>
      <c r="F17">
        <v>28581.883990322709</v>
      </c>
      <c r="G17" t="s">
        <v>33</v>
      </c>
      <c r="H17" t="s">
        <v>25</v>
      </c>
      <c r="I17" t="s">
        <v>125</v>
      </c>
      <c r="J17">
        <v>2911000</v>
      </c>
      <c r="K17">
        <v>8.2519489795918357</v>
      </c>
    </row>
    <row r="18" spans="1:12" x14ac:dyDescent="0.25">
      <c r="A18" t="s">
        <v>49</v>
      </c>
      <c r="B18">
        <v>10085.736214606741</v>
      </c>
      <c r="C18">
        <v>1421.377942675015</v>
      </c>
      <c r="D18">
        <v>4.9656426674819558</v>
      </c>
      <c r="E18">
        <v>7.1841029239134926</v>
      </c>
      <c r="F18">
        <v>20006.031496598389</v>
      </c>
      <c r="G18" t="s">
        <v>33</v>
      </c>
      <c r="H18" t="s">
        <v>25</v>
      </c>
      <c r="I18" t="s">
        <v>126</v>
      </c>
      <c r="J18">
        <v>17332900</v>
      </c>
      <c r="K18">
        <v>29.039084533163258</v>
      </c>
    </row>
    <row r="19" spans="1:12" x14ac:dyDescent="0.25">
      <c r="A19" t="s">
        <v>50</v>
      </c>
      <c r="B19">
        <v>21464.96231855997</v>
      </c>
      <c r="C19">
        <v>1193.2665304473451</v>
      </c>
      <c r="D19">
        <v>8.7216257664076124</v>
      </c>
      <c r="E19">
        <v>14.20075085682978</v>
      </c>
      <c r="F19">
        <v>43665.508915117942</v>
      </c>
      <c r="G19" t="s">
        <v>33</v>
      </c>
      <c r="H19" t="s">
        <v>25</v>
      </c>
      <c r="I19" t="s">
        <v>127</v>
      </c>
      <c r="J19">
        <v>25434853.502416398</v>
      </c>
      <c r="K19">
        <v>24.008283837755101</v>
      </c>
    </row>
    <row r="20" spans="1:12" x14ac:dyDescent="0.25">
      <c r="A20" t="s">
        <v>51</v>
      </c>
      <c r="B20">
        <v>5761.1040319068852</v>
      </c>
      <c r="C20">
        <v>1210.340668071256</v>
      </c>
      <c r="D20">
        <v>2.1741007175939142</v>
      </c>
      <c r="E20">
        <v>2.9132547880475061</v>
      </c>
      <c r="F20">
        <v>21170.596171808429</v>
      </c>
      <c r="G20" t="s">
        <v>33</v>
      </c>
      <c r="H20" t="s">
        <v>25</v>
      </c>
      <c r="I20" t="s">
        <v>128</v>
      </c>
      <c r="J20">
        <v>191148</v>
      </c>
      <c r="K20">
        <v>1.220177609693877</v>
      </c>
    </row>
    <row r="21" spans="1:12" x14ac:dyDescent="0.25">
      <c r="A21" t="s">
        <v>52</v>
      </c>
      <c r="B21">
        <v>26446.963493480911</v>
      </c>
      <c r="C21">
        <v>1206.5379102373049</v>
      </c>
      <c r="D21">
        <v>6.2809207523668942</v>
      </c>
      <c r="E21">
        <v>12.263684863990139</v>
      </c>
      <c r="F21">
        <v>163387.77775911611</v>
      </c>
      <c r="G21" t="s">
        <v>33</v>
      </c>
      <c r="H21" t="s">
        <v>25</v>
      </c>
      <c r="I21" t="s">
        <v>129</v>
      </c>
      <c r="J21">
        <v>166000</v>
      </c>
      <c r="K21">
        <v>0.92040969387755101</v>
      </c>
    </row>
    <row r="22" spans="1:12" x14ac:dyDescent="0.25">
      <c r="A22" t="s">
        <v>53</v>
      </c>
      <c r="B22">
        <v>6564.7933601965724</v>
      </c>
      <c r="C22">
        <v>252.92222852740059</v>
      </c>
      <c r="D22">
        <v>1.43209486950779</v>
      </c>
      <c r="E22">
        <v>3.119135838149973</v>
      </c>
      <c r="F22">
        <v>19003.165373941421</v>
      </c>
      <c r="G22" t="s">
        <v>33</v>
      </c>
      <c r="H22" t="s">
        <v>25</v>
      </c>
      <c r="I22" t="s">
        <v>130</v>
      </c>
      <c r="J22">
        <v>222627</v>
      </c>
      <c r="K22">
        <v>2.7760508515306119</v>
      </c>
    </row>
    <row r="23" spans="1:12" x14ac:dyDescent="0.25">
      <c r="A23" t="s">
        <v>54</v>
      </c>
      <c r="B23">
        <v>8943.6927106425937</v>
      </c>
      <c r="C23">
        <v>1474.123916835498</v>
      </c>
      <c r="D23">
        <v>2.7525316511493538</v>
      </c>
      <c r="E23">
        <v>4.301511857594293</v>
      </c>
      <c r="F23">
        <v>25452.32137014344</v>
      </c>
      <c r="G23" t="s">
        <v>33</v>
      </c>
      <c r="H23" t="s">
        <v>25</v>
      </c>
      <c r="I23" t="s">
        <v>131</v>
      </c>
      <c r="J23">
        <v>1661000</v>
      </c>
      <c r="K23">
        <v>7.7388999209183664</v>
      </c>
    </row>
    <row r="24" spans="1:12" x14ac:dyDescent="0.25">
      <c r="A24" t="s">
        <v>93</v>
      </c>
      <c r="B24">
        <v>14558.57864111567</v>
      </c>
      <c r="C24">
        <v>2167.393356655773</v>
      </c>
      <c r="D24">
        <v>5.5275465520506799</v>
      </c>
      <c r="E24">
        <v>9.5955760213422998</v>
      </c>
      <c r="F24">
        <v>33786.351516978822</v>
      </c>
      <c r="G24" t="s">
        <v>33</v>
      </c>
      <c r="H24" t="s">
        <v>25</v>
      </c>
      <c r="I24" t="s">
        <v>115</v>
      </c>
      <c r="J24">
        <v>2886927.3287240001</v>
      </c>
      <c r="K24">
        <v>4.4745421183166938</v>
      </c>
      <c r="L24">
        <v>130.12252666666669</v>
      </c>
    </row>
    <row r="25" spans="1:12" x14ac:dyDescent="0.25">
      <c r="A25" t="s">
        <v>56</v>
      </c>
      <c r="B25">
        <v>4486.138995857078</v>
      </c>
      <c r="C25">
        <v>247.54541117412921</v>
      </c>
      <c r="D25">
        <v>1.468945642317173</v>
      </c>
      <c r="E25">
        <v>1.7024557025298299</v>
      </c>
      <c r="F25">
        <v>25240.141601437241</v>
      </c>
      <c r="G25" t="s">
        <v>33</v>
      </c>
      <c r="H25" t="s">
        <v>25</v>
      </c>
      <c r="I25" t="s">
        <v>132</v>
      </c>
      <c r="J25">
        <v>439008</v>
      </c>
      <c r="K25">
        <v>4.1704080612244896</v>
      </c>
    </row>
    <row r="26" spans="1:12" x14ac:dyDescent="0.25">
      <c r="A26" t="s">
        <v>94</v>
      </c>
      <c r="B26">
        <v>4639.5956229126232</v>
      </c>
      <c r="C26">
        <v>1683.649735225285</v>
      </c>
      <c r="D26">
        <v>2.0392712262000958</v>
      </c>
      <c r="E26">
        <v>2.484031603915982</v>
      </c>
      <c r="F26">
        <v>30970.435872469101</v>
      </c>
      <c r="G26" t="s">
        <v>33</v>
      </c>
      <c r="H26" t="s">
        <v>25</v>
      </c>
      <c r="I26" t="s">
        <v>117</v>
      </c>
      <c r="J26">
        <v>1501500</v>
      </c>
      <c r="K26">
        <v>9.8029027903061134</v>
      </c>
      <c r="L26">
        <v>23998.078283999999</v>
      </c>
    </row>
    <row r="27" spans="1:12" x14ac:dyDescent="0.25">
      <c r="A27" t="s">
        <v>58</v>
      </c>
      <c r="B27">
        <v>28400.159200025169</v>
      </c>
      <c r="C27">
        <v>695.92887928985795</v>
      </c>
      <c r="D27">
        <v>3.0465567036098098</v>
      </c>
      <c r="E27">
        <v>16.281081898985239</v>
      </c>
      <c r="F27">
        <v>21464.295209356122</v>
      </c>
      <c r="G27" t="s">
        <v>33</v>
      </c>
      <c r="H27" t="s">
        <v>25</v>
      </c>
      <c r="I27" t="s">
        <v>133</v>
      </c>
      <c r="J27">
        <v>441588</v>
      </c>
      <c r="K27">
        <v>7.253304461734694</v>
      </c>
    </row>
    <row r="28" spans="1:12" x14ac:dyDescent="0.25">
      <c r="A28" t="s">
        <v>59</v>
      </c>
      <c r="B28">
        <v>7604.6131402003193</v>
      </c>
      <c r="C28">
        <v>348.44748117996721</v>
      </c>
      <c r="D28">
        <v>2.2102192583716418</v>
      </c>
      <c r="E28">
        <v>3.1865818543267039</v>
      </c>
      <c r="F28">
        <v>28610.795518970121</v>
      </c>
      <c r="G28" t="s">
        <v>33</v>
      </c>
      <c r="H28" t="s">
        <v>25</v>
      </c>
      <c r="I28" t="s">
        <v>134</v>
      </c>
      <c r="J28">
        <v>1028000</v>
      </c>
      <c r="K28">
        <v>5.7128877551020407</v>
      </c>
    </row>
    <row r="29" spans="1:12" x14ac:dyDescent="0.25">
      <c r="A29" t="s">
        <v>60</v>
      </c>
      <c r="B29">
        <v>7360.3866081252963</v>
      </c>
      <c r="C29">
        <v>375.33133427288237</v>
      </c>
      <c r="D29">
        <v>2.576984692067946</v>
      </c>
      <c r="E29">
        <v>3.8299990528854528</v>
      </c>
      <c r="F29">
        <v>27256.835181703791</v>
      </c>
      <c r="G29" t="s">
        <v>33</v>
      </c>
      <c r="H29" t="s">
        <v>25</v>
      </c>
      <c r="I29" t="s">
        <v>135</v>
      </c>
      <c r="J29">
        <v>841000</v>
      </c>
      <c r="K29">
        <v>3.5769025000000001</v>
      </c>
    </row>
    <row r="30" spans="1:12" x14ac:dyDescent="0.25">
      <c r="A30" t="s">
        <v>61</v>
      </c>
      <c r="B30">
        <v>38928.880048260959</v>
      </c>
      <c r="C30">
        <v>234.92679269493189</v>
      </c>
      <c r="D30">
        <v>3.0271240641345791</v>
      </c>
      <c r="E30">
        <v>7.9694090398450692</v>
      </c>
      <c r="F30">
        <v>9955.1606295430101</v>
      </c>
      <c r="G30" t="s">
        <v>33</v>
      </c>
      <c r="H30" t="s">
        <v>25</v>
      </c>
      <c r="I30" t="s">
        <v>136</v>
      </c>
      <c r="J30">
        <v>122000</v>
      </c>
      <c r="K30">
        <v>1.2300799484693881</v>
      </c>
    </row>
    <row r="31" spans="1:12" x14ac:dyDescent="0.25">
      <c r="A31" t="s">
        <v>95</v>
      </c>
      <c r="B31">
        <v>12699.406736335841</v>
      </c>
      <c r="C31">
        <v>1122.482800374205</v>
      </c>
      <c r="D31">
        <v>1.2185179018349319</v>
      </c>
      <c r="E31">
        <v>6.9333026420823671</v>
      </c>
      <c r="F31">
        <v>108838.4757243097</v>
      </c>
      <c r="G31" t="s">
        <v>33</v>
      </c>
      <c r="H31" t="s">
        <v>25</v>
      </c>
      <c r="I31" t="s">
        <v>119</v>
      </c>
      <c r="J31">
        <v>2123641</v>
      </c>
      <c r="K31">
        <v>32.978787143877547</v>
      </c>
      <c r="L31">
        <v>109797.3333333333</v>
      </c>
    </row>
    <row r="32" spans="1:12" x14ac:dyDescent="0.25">
      <c r="A32" t="s">
        <v>96</v>
      </c>
      <c r="B32">
        <v>14981.86772579738</v>
      </c>
      <c r="C32">
        <v>702.54905646333043</v>
      </c>
      <c r="D32">
        <v>4.9013626452799244</v>
      </c>
      <c r="E32">
        <v>7.2619531722303998</v>
      </c>
      <c r="F32">
        <v>56392.787735844962</v>
      </c>
      <c r="G32" t="s">
        <v>33</v>
      </c>
      <c r="H32" t="s">
        <v>25</v>
      </c>
      <c r="I32" t="s">
        <v>137</v>
      </c>
      <c r="J32">
        <v>1574000</v>
      </c>
      <c r="K32">
        <v>4.2180154591836736</v>
      </c>
    </row>
    <row r="33" spans="1:12" x14ac:dyDescent="0.25">
      <c r="A33" t="s">
        <v>63</v>
      </c>
      <c r="B33">
        <v>9341.8590328304035</v>
      </c>
      <c r="C33">
        <v>1682.781544386984</v>
      </c>
      <c r="D33">
        <v>3.0648985729669178</v>
      </c>
      <c r="E33">
        <v>5.2740957543548408</v>
      </c>
      <c r="F33">
        <v>29170.903169514611</v>
      </c>
      <c r="G33" t="s">
        <v>33</v>
      </c>
      <c r="H33" t="s">
        <v>25</v>
      </c>
      <c r="I33" t="s">
        <v>138</v>
      </c>
      <c r="J33">
        <v>1034000</v>
      </c>
      <c r="K33">
        <v>4.1181668765306121</v>
      </c>
    </row>
    <row r="34" spans="1:12" x14ac:dyDescent="0.25">
      <c r="A34" t="s">
        <v>64</v>
      </c>
      <c r="B34">
        <v>0.81931190901010997</v>
      </c>
      <c r="C34">
        <v>6.3424323390264797E-2</v>
      </c>
      <c r="D34">
        <v>2.162928200113E-4</v>
      </c>
      <c r="E34">
        <v>6.2107488632770003E-4</v>
      </c>
      <c r="F34">
        <v>0.97842610020882159</v>
      </c>
      <c r="G34" t="s">
        <v>33</v>
      </c>
      <c r="H34" t="s">
        <v>28</v>
      </c>
      <c r="I34" t="s">
        <v>139</v>
      </c>
      <c r="J34">
        <v>6835294.1176470499</v>
      </c>
      <c r="L34">
        <v>363125</v>
      </c>
    </row>
    <row r="35" spans="1:12" x14ac:dyDescent="0.25">
      <c r="A35" t="s">
        <v>65</v>
      </c>
      <c r="B35">
        <v>0.59954986843708713</v>
      </c>
      <c r="C35">
        <v>2.6840716324891101E-2</v>
      </c>
      <c r="D35">
        <v>1.229566240412E-4</v>
      </c>
      <c r="E35">
        <v>4.0502114761949999E-4</v>
      </c>
      <c r="F35">
        <v>1.5852043520413299</v>
      </c>
      <c r="G35" t="s">
        <v>33</v>
      </c>
      <c r="H35" t="s">
        <v>28</v>
      </c>
      <c r="I35" t="s">
        <v>140</v>
      </c>
      <c r="J35">
        <v>464705.88235294097</v>
      </c>
      <c r="L35">
        <v>49375</v>
      </c>
    </row>
    <row r="36" spans="1:12" x14ac:dyDescent="0.25">
      <c r="A36" t="s">
        <v>66</v>
      </c>
      <c r="B36">
        <v>1.249592929200074</v>
      </c>
      <c r="C36">
        <v>7.2063772600467493E-2</v>
      </c>
      <c r="D36">
        <v>2.569715868745E-4</v>
      </c>
      <c r="E36">
        <v>5.5983151477939999E-4</v>
      </c>
      <c r="F36">
        <v>6.1928987418962151</v>
      </c>
      <c r="G36" t="s">
        <v>33</v>
      </c>
      <c r="H36" t="s">
        <v>28</v>
      </c>
      <c r="I36" t="s">
        <v>141</v>
      </c>
      <c r="J36">
        <v>794117.64705882303</v>
      </c>
      <c r="L36">
        <v>84375</v>
      </c>
    </row>
    <row r="37" spans="1:12" x14ac:dyDescent="0.25">
      <c r="A37" t="s">
        <v>67</v>
      </c>
      <c r="B37">
        <v>0.69991330881027547</v>
      </c>
      <c r="C37">
        <v>0.1307013885286116</v>
      </c>
      <c r="D37">
        <v>2.381771501844E-4</v>
      </c>
      <c r="E37">
        <v>4.1865434764050001E-4</v>
      </c>
      <c r="F37">
        <v>2.3870205097377948</v>
      </c>
      <c r="G37" t="s">
        <v>33</v>
      </c>
      <c r="H37" t="s">
        <v>28</v>
      </c>
      <c r="I37" t="s">
        <v>142</v>
      </c>
      <c r="J37">
        <v>1500000</v>
      </c>
      <c r="L37">
        <v>151450</v>
      </c>
    </row>
    <row r="38" spans="1:12" x14ac:dyDescent="0.25">
      <c r="A38" t="s">
        <v>91</v>
      </c>
      <c r="B38">
        <v>4.5688750497103001</v>
      </c>
      <c r="C38">
        <v>0.52961878026474418</v>
      </c>
      <c r="D38">
        <v>4.1251584797025002E-3</v>
      </c>
      <c r="E38">
        <v>2.8258948917633002E-3</v>
      </c>
      <c r="F38">
        <v>10.93304650170967</v>
      </c>
      <c r="G38" t="s">
        <v>33</v>
      </c>
      <c r="H38" t="s">
        <v>69</v>
      </c>
      <c r="I38" t="s">
        <v>111</v>
      </c>
      <c r="J38">
        <v>30000000</v>
      </c>
      <c r="L38">
        <v>186436.98475294121</v>
      </c>
    </row>
    <row r="39" spans="1:12" x14ac:dyDescent="0.25">
      <c r="A39" t="s">
        <v>92</v>
      </c>
      <c r="B39">
        <v>1.770363864480645</v>
      </c>
      <c r="C39">
        <v>0.16999850036925929</v>
      </c>
      <c r="D39">
        <v>1.4088880393525001E-3</v>
      </c>
      <c r="E39">
        <v>1.0155086242028999E-3</v>
      </c>
      <c r="F39">
        <v>3.7306222520687702</v>
      </c>
      <c r="G39" t="s">
        <v>33</v>
      </c>
      <c r="H39" t="s">
        <v>69</v>
      </c>
      <c r="I39" t="s">
        <v>112</v>
      </c>
      <c r="J39">
        <v>17408000</v>
      </c>
      <c r="L39">
        <v>343098.03921568632</v>
      </c>
    </row>
    <row r="40" spans="1:12" x14ac:dyDescent="0.25">
      <c r="A40" t="s">
        <v>98</v>
      </c>
      <c r="B40">
        <v>3.1790514711151803E-2</v>
      </c>
      <c r="C40">
        <v>3.0870208743146001E-3</v>
      </c>
      <c r="D40">
        <v>2.4762854145615359E-5</v>
      </c>
      <c r="E40">
        <v>1.8512546675548659E-5</v>
      </c>
      <c r="F40">
        <v>7.5297674994434004E-3</v>
      </c>
      <c r="G40" t="s">
        <v>33</v>
      </c>
      <c r="H40" t="s">
        <v>27</v>
      </c>
      <c r="I40" t="s">
        <v>116</v>
      </c>
      <c r="J40">
        <v>1340000</v>
      </c>
      <c r="L40">
        <v>152533.33333333331</v>
      </c>
    </row>
    <row r="41" spans="1:12" x14ac:dyDescent="0.25">
      <c r="A41" t="s">
        <v>94</v>
      </c>
      <c r="B41">
        <v>0.23105333877813691</v>
      </c>
      <c r="C41">
        <v>8.3846292447223206E-2</v>
      </c>
      <c r="D41">
        <v>1.015563552969E-4</v>
      </c>
      <c r="E41">
        <v>1.237055652054E-4</v>
      </c>
      <c r="F41">
        <v>1.542337560151509</v>
      </c>
      <c r="G41" t="s">
        <v>33</v>
      </c>
      <c r="H41" t="s">
        <v>27</v>
      </c>
      <c r="I41" t="s">
        <v>117</v>
      </c>
      <c r="J41">
        <v>1501500</v>
      </c>
      <c r="K41">
        <v>9.8029027903061134</v>
      </c>
      <c r="L41">
        <v>23998.078283999999</v>
      </c>
    </row>
    <row r="42" spans="1:12" x14ac:dyDescent="0.25">
      <c r="A42" t="s">
        <v>95</v>
      </c>
      <c r="B42">
        <v>0.63243446829341843</v>
      </c>
      <c r="C42">
        <v>5.5899998165329201E-2</v>
      </c>
      <c r="D42">
        <v>6.0682577295862318E-5</v>
      </c>
      <c r="E42">
        <v>3.4528066267420002E-4</v>
      </c>
      <c r="F42">
        <v>5.4201904716676381</v>
      </c>
      <c r="G42" t="s">
        <v>33</v>
      </c>
      <c r="H42" t="s">
        <v>27</v>
      </c>
      <c r="I42" t="s">
        <v>119</v>
      </c>
      <c r="J42">
        <v>2123641</v>
      </c>
      <c r="K42">
        <v>32.978787143877547</v>
      </c>
      <c r="L42">
        <v>109797.3333333333</v>
      </c>
    </row>
    <row r="43" spans="1:12" x14ac:dyDescent="0.25">
      <c r="A43" t="s">
        <v>74</v>
      </c>
      <c r="B43">
        <v>20.03808717231329</v>
      </c>
      <c r="C43">
        <v>8.5627810395348794E-2</v>
      </c>
      <c r="D43">
        <v>1.4758590246774E-3</v>
      </c>
      <c r="E43">
        <v>3.6115437844047001E-3</v>
      </c>
      <c r="F43">
        <v>5.0504310088685997</v>
      </c>
      <c r="G43" t="s">
        <v>33</v>
      </c>
      <c r="H43" t="s">
        <v>30</v>
      </c>
      <c r="I43" t="s">
        <v>143</v>
      </c>
      <c r="J43">
        <v>98408.871032543204</v>
      </c>
      <c r="L43">
        <v>7204.1082352941175</v>
      </c>
    </row>
    <row r="44" spans="1:12" x14ac:dyDescent="0.25">
      <c r="A44" t="s">
        <v>75</v>
      </c>
      <c r="B44">
        <v>11.15535397719491</v>
      </c>
      <c r="C44">
        <v>4.5400528181491401E-2</v>
      </c>
      <c r="D44">
        <v>7.9753997249739999E-4</v>
      </c>
      <c r="E44">
        <v>2.0080127862316002E-3</v>
      </c>
      <c r="F44">
        <v>2.8166222064531889</v>
      </c>
      <c r="G44" t="s">
        <v>33</v>
      </c>
      <c r="H44" t="s">
        <v>30</v>
      </c>
      <c r="I44" t="s">
        <v>144</v>
      </c>
      <c r="J44">
        <v>43726.856187782003</v>
      </c>
      <c r="L44">
        <v>9605.477647058824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L44"/>
  <sheetViews>
    <sheetView workbookViewId="0"/>
  </sheetViews>
  <sheetFormatPr baseColWidth="10" defaultColWidth="9.140625" defaultRowHeight="15" x14ac:dyDescent="0.25"/>
  <sheetData>
    <row r="1" spans="1:12" x14ac:dyDescent="0.25">
      <c r="A1" s="1" t="s">
        <v>1</v>
      </c>
      <c r="B1" s="1" t="s">
        <v>81</v>
      </c>
      <c r="C1" s="1" t="s">
        <v>82</v>
      </c>
      <c r="D1" s="1" t="s">
        <v>83</v>
      </c>
      <c r="E1" s="1" t="s">
        <v>84</v>
      </c>
      <c r="F1" s="1" t="s">
        <v>85</v>
      </c>
      <c r="G1" s="1" t="s">
        <v>18</v>
      </c>
      <c r="H1" s="1" t="s">
        <v>19</v>
      </c>
      <c r="I1" s="1" t="s">
        <v>106</v>
      </c>
      <c r="J1" s="1" t="s">
        <v>107</v>
      </c>
      <c r="K1" s="1" t="s">
        <v>108</v>
      </c>
      <c r="L1" s="1" t="s">
        <v>109</v>
      </c>
    </row>
    <row r="2" spans="1:12" x14ac:dyDescent="0.25">
      <c r="A2" t="s">
        <v>32</v>
      </c>
      <c r="B2">
        <v>1.3329820311124081</v>
      </c>
      <c r="C2">
        <v>0.13119694589446501</v>
      </c>
      <c r="D2">
        <v>1.09610519183935E-2</v>
      </c>
      <c r="E2">
        <v>3.1884871508485201E-2</v>
      </c>
      <c r="F2">
        <v>0</v>
      </c>
      <c r="G2" t="s">
        <v>33</v>
      </c>
      <c r="H2" t="s">
        <v>22</v>
      </c>
      <c r="I2" t="s">
        <v>110</v>
      </c>
      <c r="J2">
        <v>6862152</v>
      </c>
      <c r="L2">
        <v>63500</v>
      </c>
    </row>
    <row r="3" spans="1:12" x14ac:dyDescent="0.25">
      <c r="A3" t="s">
        <v>91</v>
      </c>
      <c r="B3">
        <v>0.82976936364802345</v>
      </c>
      <c r="C3">
        <v>7.4685089200208193E-2</v>
      </c>
      <c r="D3">
        <v>6.2396818113913998E-3</v>
      </c>
      <c r="E3">
        <v>2.6621718855841E-3</v>
      </c>
      <c r="F3">
        <v>1.2351246663250779</v>
      </c>
      <c r="G3" t="s">
        <v>33</v>
      </c>
      <c r="H3" t="s">
        <v>22</v>
      </c>
      <c r="I3" t="s">
        <v>111</v>
      </c>
      <c r="J3">
        <v>30000000</v>
      </c>
      <c r="L3">
        <v>186436.98475294121</v>
      </c>
    </row>
    <row r="4" spans="1:12" x14ac:dyDescent="0.25">
      <c r="A4" t="s">
        <v>92</v>
      </c>
      <c r="B4">
        <v>0.70247092290933577</v>
      </c>
      <c r="C4">
        <v>0.1153737556664502</v>
      </c>
      <c r="D4">
        <v>9.6390789279204997E-3</v>
      </c>
      <c r="E4">
        <v>1.9027851400668799E-2</v>
      </c>
      <c r="F4">
        <v>2.5452594430960289</v>
      </c>
      <c r="G4" t="s">
        <v>33</v>
      </c>
      <c r="H4" t="s">
        <v>22</v>
      </c>
      <c r="I4" t="s">
        <v>112</v>
      </c>
      <c r="J4">
        <v>17408000</v>
      </c>
      <c r="L4">
        <v>343098.03921568632</v>
      </c>
    </row>
    <row r="5" spans="1:12" x14ac:dyDescent="0.25">
      <c r="A5" t="s">
        <v>36</v>
      </c>
      <c r="B5">
        <v>0.8766181260187994</v>
      </c>
      <c r="C5">
        <v>8.4853262999167095E-2</v>
      </c>
      <c r="D5">
        <v>7.0891973819170997E-3</v>
      </c>
      <c r="E5">
        <v>2.0433362841799999E-4</v>
      </c>
      <c r="F5">
        <v>3.7206058738645988</v>
      </c>
      <c r="G5" t="s">
        <v>33</v>
      </c>
      <c r="H5" t="s">
        <v>22</v>
      </c>
      <c r="I5" t="s">
        <v>113</v>
      </c>
      <c r="J5">
        <v>21680000</v>
      </c>
      <c r="L5">
        <v>93533.694346666671</v>
      </c>
    </row>
    <row r="6" spans="1:12" x14ac:dyDescent="0.25">
      <c r="A6" t="s">
        <v>37</v>
      </c>
      <c r="B6">
        <v>1.3048362100299451</v>
      </c>
      <c r="C6">
        <v>0.11005584327052891</v>
      </c>
      <c r="D6">
        <v>9.1947862694449992E-3</v>
      </c>
      <c r="E6">
        <v>1.23627703629064E-2</v>
      </c>
      <c r="F6">
        <v>0</v>
      </c>
      <c r="G6" t="s">
        <v>33</v>
      </c>
      <c r="H6" t="s">
        <v>22</v>
      </c>
      <c r="I6" t="s">
        <v>114</v>
      </c>
      <c r="J6">
        <v>5948239</v>
      </c>
      <c r="L6">
        <v>45578.436133333344</v>
      </c>
    </row>
    <row r="7" spans="1:12" x14ac:dyDescent="0.25">
      <c r="A7" t="s">
        <v>93</v>
      </c>
      <c r="B7">
        <v>0.43343599046474612</v>
      </c>
      <c r="C7">
        <v>2.50541928631575E-2</v>
      </c>
      <c r="D7">
        <v>2.0931913372541E-3</v>
      </c>
      <c r="E7">
        <v>7.7371151047254472E-5</v>
      </c>
      <c r="F7">
        <v>0.8642261077960498</v>
      </c>
      <c r="G7" t="s">
        <v>33</v>
      </c>
      <c r="H7" t="s">
        <v>22</v>
      </c>
      <c r="I7" t="s">
        <v>115</v>
      </c>
      <c r="J7">
        <v>2886927.3287240001</v>
      </c>
      <c r="K7">
        <v>4.4745421183166938</v>
      </c>
      <c r="L7">
        <v>130.12252666666669</v>
      </c>
    </row>
    <row r="8" spans="1:12" x14ac:dyDescent="0.25">
      <c r="A8" t="s">
        <v>39</v>
      </c>
      <c r="B8">
        <v>0.33049280312234758</v>
      </c>
      <c r="C8">
        <v>2.53910787864319E-2</v>
      </c>
      <c r="D8">
        <v>2.1213369946735E-3</v>
      </c>
      <c r="E8">
        <v>1.1088602703415999E-3</v>
      </c>
      <c r="F8">
        <v>0</v>
      </c>
      <c r="G8" t="s">
        <v>33</v>
      </c>
      <c r="H8" t="s">
        <v>22</v>
      </c>
      <c r="I8" t="s">
        <v>116</v>
      </c>
      <c r="J8">
        <v>1340000</v>
      </c>
      <c r="L8">
        <v>152533.33333333331</v>
      </c>
    </row>
    <row r="9" spans="1:12" x14ac:dyDescent="0.25">
      <c r="A9" t="s">
        <v>94</v>
      </c>
      <c r="B9">
        <v>0.57280719728590634</v>
      </c>
      <c r="C9">
        <v>3.9909052705826502E-2</v>
      </c>
      <c r="D9">
        <v>3.3342635645418998E-3</v>
      </c>
      <c r="E9">
        <v>4.3197592765769997E-4</v>
      </c>
      <c r="F9">
        <v>0.44072780222764152</v>
      </c>
      <c r="G9" t="s">
        <v>33</v>
      </c>
      <c r="H9" t="s">
        <v>22</v>
      </c>
      <c r="I9" t="s">
        <v>117</v>
      </c>
      <c r="J9">
        <v>1501500</v>
      </c>
      <c r="K9">
        <v>9.8029027903061134</v>
      </c>
      <c r="L9">
        <v>23998.078283999999</v>
      </c>
    </row>
    <row r="10" spans="1:12" x14ac:dyDescent="0.25">
      <c r="A10" t="s">
        <v>41</v>
      </c>
      <c r="B10">
        <v>0.24730120971798891</v>
      </c>
      <c r="C10">
        <v>4.3486584443073101E-2</v>
      </c>
      <c r="D10">
        <v>3.6331543009622E-3</v>
      </c>
      <c r="E10">
        <v>3.7646054988720002E-4</v>
      </c>
      <c r="F10">
        <v>1.6583858187907621</v>
      </c>
      <c r="G10" t="s">
        <v>33</v>
      </c>
      <c r="H10" t="s">
        <v>22</v>
      </c>
      <c r="I10" t="s">
        <v>118</v>
      </c>
      <c r="J10">
        <v>3065000</v>
      </c>
      <c r="L10">
        <v>71667.536000000007</v>
      </c>
    </row>
    <row r="11" spans="1:12" x14ac:dyDescent="0.25">
      <c r="A11" t="s">
        <v>95</v>
      </c>
      <c r="B11">
        <v>7.4457953759949194E-2</v>
      </c>
      <c r="C11">
        <v>6.2244121538089997E-3</v>
      </c>
      <c r="D11">
        <v>5.2002816350930003E-4</v>
      </c>
      <c r="E11">
        <v>3.7608327693300001E-4</v>
      </c>
      <c r="F11">
        <v>0</v>
      </c>
      <c r="G11" t="s">
        <v>33</v>
      </c>
      <c r="H11" t="s">
        <v>22</v>
      </c>
      <c r="I11" t="s">
        <v>119</v>
      </c>
      <c r="J11">
        <v>2123641</v>
      </c>
      <c r="K11">
        <v>32.978787143877547</v>
      </c>
      <c r="L11">
        <v>109797.3333333333</v>
      </c>
    </row>
    <row r="12" spans="1:12" x14ac:dyDescent="0.25">
      <c r="A12" t="s">
        <v>43</v>
      </c>
      <c r="B12">
        <v>10496.43699157933</v>
      </c>
      <c r="C12">
        <v>1110.4623827973769</v>
      </c>
      <c r="D12">
        <v>92.775305184262834</v>
      </c>
      <c r="E12">
        <v>0.76920896768569946</v>
      </c>
      <c r="F12">
        <v>0</v>
      </c>
      <c r="G12" t="s">
        <v>33</v>
      </c>
      <c r="H12" t="s">
        <v>25</v>
      </c>
      <c r="I12" t="s">
        <v>120</v>
      </c>
      <c r="J12">
        <v>1361450</v>
      </c>
      <c r="K12">
        <v>3.5165997959183581</v>
      </c>
    </row>
    <row r="13" spans="1:12" x14ac:dyDescent="0.25">
      <c r="A13" t="s">
        <v>44</v>
      </c>
      <c r="B13">
        <v>6303.7826455882196</v>
      </c>
      <c r="C13">
        <v>492.65204227085633</v>
      </c>
      <c r="D13">
        <v>41.159379631950287</v>
      </c>
      <c r="E13">
        <v>4.3536159180641789</v>
      </c>
      <c r="F13">
        <v>338.46907948337321</v>
      </c>
      <c r="G13" t="s">
        <v>33</v>
      </c>
      <c r="H13" t="s">
        <v>25</v>
      </c>
      <c r="I13" t="s">
        <v>121</v>
      </c>
      <c r="J13">
        <v>1266009</v>
      </c>
      <c r="K13">
        <v>4.476523630102041</v>
      </c>
    </row>
    <row r="14" spans="1:12" x14ac:dyDescent="0.25">
      <c r="A14" t="s">
        <v>45</v>
      </c>
      <c r="B14">
        <v>11492.476151133171</v>
      </c>
      <c r="C14">
        <v>0</v>
      </c>
      <c r="D14">
        <v>0</v>
      </c>
      <c r="E14">
        <v>33.054980205759421</v>
      </c>
      <c r="F14">
        <v>1400.0758427819819</v>
      </c>
      <c r="G14" t="s">
        <v>33</v>
      </c>
      <c r="H14" t="s">
        <v>25</v>
      </c>
      <c r="I14" t="s">
        <v>122</v>
      </c>
      <c r="J14">
        <v>1918143</v>
      </c>
      <c r="K14">
        <v>12.41413683010194</v>
      </c>
    </row>
    <row r="15" spans="1:12" x14ac:dyDescent="0.25">
      <c r="A15" t="s">
        <v>46</v>
      </c>
      <c r="B15">
        <v>18111.74393092623</v>
      </c>
      <c r="C15">
        <v>1781.519588359442</v>
      </c>
      <c r="D15">
        <v>148.83982273287981</v>
      </c>
      <c r="E15">
        <v>30.392670551697499</v>
      </c>
      <c r="F15">
        <v>30057.033156458521</v>
      </c>
      <c r="G15" t="s">
        <v>33</v>
      </c>
      <c r="H15" t="s">
        <v>25</v>
      </c>
      <c r="I15" t="s">
        <v>123</v>
      </c>
      <c r="J15">
        <v>8764000</v>
      </c>
      <c r="K15">
        <v>8.0534261301020305</v>
      </c>
    </row>
    <row r="16" spans="1:12" x14ac:dyDescent="0.25">
      <c r="A16" t="s">
        <v>47</v>
      </c>
      <c r="B16">
        <v>14748.34978907989</v>
      </c>
      <c r="C16">
        <v>272.39035273260919</v>
      </c>
      <c r="D16">
        <v>22.757274458522261</v>
      </c>
      <c r="E16">
        <v>44.989872392194229</v>
      </c>
      <c r="F16">
        <v>6055.1396167842904</v>
      </c>
      <c r="G16" t="s">
        <v>33</v>
      </c>
      <c r="H16" t="s">
        <v>25</v>
      </c>
      <c r="I16" t="s">
        <v>124</v>
      </c>
      <c r="J16">
        <v>3842649.0057279998</v>
      </c>
      <c r="K16">
        <v>17.66760135719143</v>
      </c>
    </row>
    <row r="17" spans="1:12" x14ac:dyDescent="0.25">
      <c r="A17" t="s">
        <v>48</v>
      </c>
      <c r="B17">
        <v>14118.66201861612</v>
      </c>
      <c r="C17">
        <v>1264.0852022969191</v>
      </c>
      <c r="D17">
        <v>105.6099669286486</v>
      </c>
      <c r="E17">
        <v>21.44313078657483</v>
      </c>
      <c r="F17">
        <v>45438.639774698771</v>
      </c>
      <c r="G17" t="s">
        <v>33</v>
      </c>
      <c r="H17" t="s">
        <v>25</v>
      </c>
      <c r="I17" t="s">
        <v>125</v>
      </c>
      <c r="J17">
        <v>2911000</v>
      </c>
      <c r="K17">
        <v>8.2519489795918357</v>
      </c>
    </row>
    <row r="18" spans="1:12" x14ac:dyDescent="0.25">
      <c r="A18" t="s">
        <v>49</v>
      </c>
      <c r="B18">
        <v>7244.0451143273003</v>
      </c>
      <c r="C18">
        <v>412.53313587549201</v>
      </c>
      <c r="D18">
        <v>34.465721225860761</v>
      </c>
      <c r="E18">
        <v>24.938190327533899</v>
      </c>
      <c r="F18">
        <v>17008.884916121489</v>
      </c>
      <c r="G18" t="s">
        <v>33</v>
      </c>
      <c r="H18" t="s">
        <v>25</v>
      </c>
      <c r="I18" t="s">
        <v>126</v>
      </c>
      <c r="J18">
        <v>17332900</v>
      </c>
      <c r="K18">
        <v>29.039084533163258</v>
      </c>
    </row>
    <row r="19" spans="1:12" x14ac:dyDescent="0.25">
      <c r="A19" t="s">
        <v>50</v>
      </c>
      <c r="B19">
        <v>12873.56238315094</v>
      </c>
      <c r="C19">
        <v>269.4859136524974</v>
      </c>
      <c r="D19">
        <v>22.51461858691528</v>
      </c>
      <c r="E19">
        <v>28.464452982494091</v>
      </c>
      <c r="F19">
        <v>10022.145811736929</v>
      </c>
      <c r="G19" t="s">
        <v>33</v>
      </c>
      <c r="H19" t="s">
        <v>25</v>
      </c>
      <c r="I19" t="s">
        <v>127</v>
      </c>
      <c r="J19">
        <v>25434853.502416398</v>
      </c>
      <c r="K19">
        <v>24.008283837755101</v>
      </c>
    </row>
    <row r="20" spans="1:12" x14ac:dyDescent="0.25">
      <c r="A20" t="s">
        <v>51</v>
      </c>
      <c r="B20">
        <v>3508.1142376370321</v>
      </c>
      <c r="C20">
        <v>1772.9969544852061</v>
      </c>
      <c r="D20">
        <v>148.1277700045612</v>
      </c>
      <c r="E20">
        <v>8.0122640554815605E-2</v>
      </c>
      <c r="F20">
        <v>2571.6756250925828</v>
      </c>
      <c r="G20" t="s">
        <v>33</v>
      </c>
      <c r="H20" t="s">
        <v>25</v>
      </c>
      <c r="I20" t="s">
        <v>128</v>
      </c>
      <c r="J20">
        <v>191148</v>
      </c>
      <c r="K20">
        <v>1.220177609693877</v>
      </c>
    </row>
    <row r="21" spans="1:12" x14ac:dyDescent="0.25">
      <c r="A21" t="s">
        <v>52</v>
      </c>
      <c r="B21">
        <v>30316.59667558223</v>
      </c>
      <c r="C21">
        <v>0</v>
      </c>
      <c r="D21">
        <v>0</v>
      </c>
      <c r="E21">
        <v>16.872789632647251</v>
      </c>
      <c r="F21">
        <v>0</v>
      </c>
      <c r="G21" t="s">
        <v>33</v>
      </c>
      <c r="H21" t="s">
        <v>25</v>
      </c>
      <c r="I21" t="s">
        <v>129</v>
      </c>
      <c r="J21">
        <v>166000</v>
      </c>
      <c r="K21">
        <v>0.92040969387755101</v>
      </c>
    </row>
    <row r="22" spans="1:12" x14ac:dyDescent="0.25">
      <c r="A22" t="s">
        <v>53</v>
      </c>
      <c r="B22">
        <v>4686.729531069479</v>
      </c>
      <c r="C22">
        <v>80.027176649123248</v>
      </c>
      <c r="D22">
        <v>6.6859944010823256</v>
      </c>
      <c r="E22">
        <v>26.957186428641631</v>
      </c>
      <c r="F22">
        <v>403.87228551679442</v>
      </c>
      <c r="G22" t="s">
        <v>33</v>
      </c>
      <c r="H22" t="s">
        <v>25</v>
      </c>
      <c r="I22" t="s">
        <v>130</v>
      </c>
      <c r="J22">
        <v>222627</v>
      </c>
      <c r="K22">
        <v>2.7760508515306119</v>
      </c>
    </row>
    <row r="23" spans="1:12" x14ac:dyDescent="0.25">
      <c r="A23" t="s">
        <v>54</v>
      </c>
      <c r="B23">
        <v>4936.242121920548</v>
      </c>
      <c r="C23">
        <v>117.589532704028</v>
      </c>
      <c r="D23">
        <v>9.8242000479676808</v>
      </c>
      <c r="E23">
        <v>200.3825165471944</v>
      </c>
      <c r="F23">
        <v>4967.9154617692111</v>
      </c>
      <c r="G23" t="s">
        <v>33</v>
      </c>
      <c r="H23" t="s">
        <v>25</v>
      </c>
      <c r="I23" t="s">
        <v>131</v>
      </c>
      <c r="J23">
        <v>1661000</v>
      </c>
      <c r="K23">
        <v>7.7388999209183664</v>
      </c>
    </row>
    <row r="24" spans="1:12" x14ac:dyDescent="0.25">
      <c r="A24" t="s">
        <v>93</v>
      </c>
      <c r="B24">
        <v>3253.479520495373</v>
      </c>
      <c r="C24">
        <v>188.06305964431891</v>
      </c>
      <c r="D24">
        <v>15.71202085655886</v>
      </c>
      <c r="E24">
        <v>0.58076732998880232</v>
      </c>
      <c r="F24">
        <v>6487.0987623743713</v>
      </c>
      <c r="G24" t="s">
        <v>33</v>
      </c>
      <c r="H24" t="s">
        <v>25</v>
      </c>
      <c r="I24" t="s">
        <v>115</v>
      </c>
      <c r="J24">
        <v>2886927.3287240001</v>
      </c>
      <c r="K24">
        <v>4.4745421183166938</v>
      </c>
      <c r="L24">
        <v>130.12252666666669</v>
      </c>
    </row>
    <row r="25" spans="1:12" x14ac:dyDescent="0.25">
      <c r="A25" t="s">
        <v>56</v>
      </c>
      <c r="B25">
        <v>5423.1980410267261</v>
      </c>
      <c r="C25">
        <v>0</v>
      </c>
      <c r="D25">
        <v>0</v>
      </c>
      <c r="E25">
        <v>81.320447849411195</v>
      </c>
      <c r="F25">
        <v>0</v>
      </c>
      <c r="G25" t="s">
        <v>33</v>
      </c>
      <c r="H25" t="s">
        <v>25</v>
      </c>
      <c r="I25" t="s">
        <v>132</v>
      </c>
      <c r="J25">
        <v>439008</v>
      </c>
      <c r="K25">
        <v>4.1704080612244896</v>
      </c>
    </row>
    <row r="26" spans="1:12" x14ac:dyDescent="0.25">
      <c r="A26" t="s">
        <v>94</v>
      </c>
      <c r="B26">
        <v>4299.6347619460093</v>
      </c>
      <c r="C26">
        <v>299.56737220360992</v>
      </c>
      <c r="D26">
        <v>25.027820336750661</v>
      </c>
      <c r="E26">
        <v>3.2425199508088842</v>
      </c>
      <c r="F26">
        <v>3308.2138523883482</v>
      </c>
      <c r="G26" t="s">
        <v>33</v>
      </c>
      <c r="H26" t="s">
        <v>25</v>
      </c>
      <c r="I26" t="s">
        <v>117</v>
      </c>
      <c r="J26">
        <v>1501500</v>
      </c>
      <c r="K26">
        <v>9.8029027903061134</v>
      </c>
      <c r="L26">
        <v>23998.078283999999</v>
      </c>
    </row>
    <row r="27" spans="1:12" x14ac:dyDescent="0.25">
      <c r="A27" t="s">
        <v>58</v>
      </c>
      <c r="B27">
        <v>3852.318930636276</v>
      </c>
      <c r="C27">
        <v>503.83513657874568</v>
      </c>
      <c r="D27">
        <v>42.09368700066625</v>
      </c>
      <c r="E27">
        <v>18.097070222650331</v>
      </c>
      <c r="F27">
        <v>16164.579564786171</v>
      </c>
      <c r="G27" t="s">
        <v>33</v>
      </c>
      <c r="H27" t="s">
        <v>25</v>
      </c>
      <c r="I27" t="s">
        <v>133</v>
      </c>
      <c r="J27">
        <v>441588</v>
      </c>
      <c r="K27">
        <v>7.253304461734694</v>
      </c>
    </row>
    <row r="28" spans="1:12" x14ac:dyDescent="0.25">
      <c r="A28" t="s">
        <v>59</v>
      </c>
      <c r="B28">
        <v>6764.6194802500422</v>
      </c>
      <c r="C28">
        <v>170.84707024434459</v>
      </c>
      <c r="D28">
        <v>14.273683895892191</v>
      </c>
      <c r="E28">
        <v>35.862084091231388</v>
      </c>
      <c r="F28">
        <v>3758.9538684096769</v>
      </c>
      <c r="G28" t="s">
        <v>33</v>
      </c>
      <c r="H28" t="s">
        <v>25</v>
      </c>
      <c r="I28" t="s">
        <v>134</v>
      </c>
      <c r="J28">
        <v>1028000</v>
      </c>
      <c r="K28">
        <v>5.7128877551020407</v>
      </c>
    </row>
    <row r="29" spans="1:12" x14ac:dyDescent="0.25">
      <c r="A29" t="s">
        <v>60</v>
      </c>
      <c r="B29">
        <v>10839.4813193764</v>
      </c>
      <c r="C29">
        <v>1080.5616171488509</v>
      </c>
      <c r="D29">
        <v>90.277197697054362</v>
      </c>
      <c r="E29">
        <v>158.60194796515091</v>
      </c>
      <c r="F29">
        <v>27393.254587631909</v>
      </c>
      <c r="G29" t="s">
        <v>33</v>
      </c>
      <c r="H29" t="s">
        <v>25</v>
      </c>
      <c r="I29" t="s">
        <v>135</v>
      </c>
      <c r="J29">
        <v>841000</v>
      </c>
      <c r="K29">
        <v>3.5769025000000001</v>
      </c>
    </row>
    <row r="30" spans="1:12" x14ac:dyDescent="0.25">
      <c r="A30" t="s">
        <v>61</v>
      </c>
      <c r="B30">
        <v>22766</v>
      </c>
      <c r="C30">
        <v>264.60178737745991</v>
      </c>
      <c r="D30">
        <v>22.106567879322029</v>
      </c>
      <c r="E30">
        <v>8.2779468573548911</v>
      </c>
      <c r="F30">
        <v>9168.8949127375963</v>
      </c>
      <c r="G30" t="s">
        <v>33</v>
      </c>
      <c r="H30" t="s">
        <v>25</v>
      </c>
      <c r="I30" t="s">
        <v>136</v>
      </c>
      <c r="J30">
        <v>122000</v>
      </c>
      <c r="K30">
        <v>1.2300799484693881</v>
      </c>
    </row>
    <row r="31" spans="1:12" x14ac:dyDescent="0.25">
      <c r="A31" t="s">
        <v>95</v>
      </c>
      <c r="B31">
        <v>558.9001290717498</v>
      </c>
      <c r="C31">
        <v>46.722002055814762</v>
      </c>
      <c r="D31">
        <v>3.9034622400578201</v>
      </c>
      <c r="E31">
        <v>2.822975635528564</v>
      </c>
      <c r="F31">
        <v>0</v>
      </c>
      <c r="G31" t="s">
        <v>33</v>
      </c>
      <c r="H31" t="s">
        <v>25</v>
      </c>
      <c r="I31" t="s">
        <v>119</v>
      </c>
      <c r="J31">
        <v>2123641</v>
      </c>
      <c r="K31">
        <v>32.978787143877547</v>
      </c>
      <c r="L31">
        <v>109797.3333333333</v>
      </c>
    </row>
    <row r="32" spans="1:12" x14ac:dyDescent="0.25">
      <c r="A32" t="s">
        <v>96</v>
      </c>
      <c r="B32">
        <v>26527.92223370009</v>
      </c>
      <c r="C32">
        <v>218.57935311985781</v>
      </c>
      <c r="D32">
        <v>18.261551765805962</v>
      </c>
      <c r="E32">
        <v>10.76135724333267</v>
      </c>
      <c r="F32">
        <v>13576.570315099791</v>
      </c>
      <c r="G32" t="s">
        <v>33</v>
      </c>
      <c r="H32" t="s">
        <v>25</v>
      </c>
      <c r="I32" t="s">
        <v>137</v>
      </c>
      <c r="J32">
        <v>1574000</v>
      </c>
      <c r="K32">
        <v>4.2180154591836736</v>
      </c>
    </row>
    <row r="33" spans="1:12" x14ac:dyDescent="0.25">
      <c r="A33" t="s">
        <v>63</v>
      </c>
      <c r="B33">
        <v>4710.9389423432021</v>
      </c>
      <c r="C33">
        <v>1108.1924726373841</v>
      </c>
      <c r="D33">
        <v>92.585658806023275</v>
      </c>
      <c r="E33">
        <v>6.869487666360298</v>
      </c>
      <c r="F33">
        <v>0</v>
      </c>
      <c r="G33" t="s">
        <v>33</v>
      </c>
      <c r="H33" t="s">
        <v>25</v>
      </c>
      <c r="I33" t="s">
        <v>138</v>
      </c>
      <c r="J33">
        <v>1034000</v>
      </c>
      <c r="K33">
        <v>4.1181668765306121</v>
      </c>
    </row>
    <row r="34" spans="1:12" x14ac:dyDescent="0.25">
      <c r="A34" t="s">
        <v>64</v>
      </c>
      <c r="B34">
        <v>0.37987386314122401</v>
      </c>
      <c r="C34">
        <v>0</v>
      </c>
      <c r="D34">
        <v>0</v>
      </c>
      <c r="E34">
        <v>1.0766099331489E-3</v>
      </c>
      <c r="F34">
        <v>0</v>
      </c>
      <c r="G34" t="s">
        <v>33</v>
      </c>
      <c r="H34" t="s">
        <v>28</v>
      </c>
      <c r="I34" t="s">
        <v>139</v>
      </c>
      <c r="J34">
        <v>6835294.1176470499</v>
      </c>
      <c r="L34">
        <v>363125</v>
      </c>
    </row>
    <row r="35" spans="1:12" x14ac:dyDescent="0.25">
      <c r="A35" t="s">
        <v>65</v>
      </c>
      <c r="B35">
        <v>0.4787638716775735</v>
      </c>
      <c r="C35">
        <v>9.5398757475155804E-2</v>
      </c>
      <c r="D35">
        <v>7.9702375778888997E-3</v>
      </c>
      <c r="E35">
        <v>1.2981365638228999E-3</v>
      </c>
      <c r="F35">
        <v>0</v>
      </c>
      <c r="G35" t="s">
        <v>33</v>
      </c>
      <c r="H35" t="s">
        <v>28</v>
      </c>
      <c r="I35" t="s">
        <v>140</v>
      </c>
      <c r="J35">
        <v>464705.88235294097</v>
      </c>
      <c r="L35">
        <v>49375</v>
      </c>
    </row>
    <row r="36" spans="1:12" x14ac:dyDescent="0.25">
      <c r="A36" t="s">
        <v>66</v>
      </c>
      <c r="B36">
        <v>2.098657144112916</v>
      </c>
      <c r="C36">
        <v>3.5732593637812698E-2</v>
      </c>
      <c r="D36">
        <v>2.9853351513391998E-3</v>
      </c>
      <c r="E36">
        <v>5.0079554196788998E-3</v>
      </c>
      <c r="F36">
        <v>0</v>
      </c>
      <c r="G36" t="s">
        <v>33</v>
      </c>
      <c r="H36" t="s">
        <v>28</v>
      </c>
      <c r="I36" t="s">
        <v>141</v>
      </c>
      <c r="J36">
        <v>794117.64705882303</v>
      </c>
      <c r="L36">
        <v>84375</v>
      </c>
    </row>
    <row r="37" spans="1:12" x14ac:dyDescent="0.25">
      <c r="A37" t="s">
        <v>67</v>
      </c>
      <c r="B37">
        <v>1.0816848818132649</v>
      </c>
      <c r="C37">
        <v>1.02912874339572E-2</v>
      </c>
      <c r="D37">
        <v>8.5980157193739999E-4</v>
      </c>
      <c r="E37">
        <v>3.0924029535981E-3</v>
      </c>
      <c r="F37">
        <v>0</v>
      </c>
      <c r="G37" t="s">
        <v>33</v>
      </c>
      <c r="H37" t="s">
        <v>28</v>
      </c>
      <c r="I37" t="s">
        <v>142</v>
      </c>
      <c r="J37">
        <v>1500000</v>
      </c>
      <c r="L37">
        <v>151450</v>
      </c>
    </row>
    <row r="38" spans="1:12" x14ac:dyDescent="0.25">
      <c r="A38" t="s">
        <v>91</v>
      </c>
      <c r="B38">
        <v>3.5162978850793358</v>
      </c>
      <c r="C38">
        <v>0.31649161004956738</v>
      </c>
      <c r="D38">
        <v>2.6441781686590199E-2</v>
      </c>
      <c r="E38">
        <v>1.12814351451092E-2</v>
      </c>
      <c r="F38">
        <v>5.2340647491110994</v>
      </c>
      <c r="G38" t="s">
        <v>33</v>
      </c>
      <c r="H38" t="s">
        <v>69</v>
      </c>
      <c r="I38" t="s">
        <v>111</v>
      </c>
      <c r="J38">
        <v>30000000</v>
      </c>
      <c r="L38">
        <v>186436.98475294121</v>
      </c>
    </row>
    <row r="39" spans="1:12" x14ac:dyDescent="0.25">
      <c r="A39" t="s">
        <v>92</v>
      </c>
      <c r="B39">
        <v>2.9768477490368679</v>
      </c>
      <c r="C39">
        <v>0.48891720144711209</v>
      </c>
      <c r="D39">
        <v>4.0847344206342798E-2</v>
      </c>
      <c r="E39">
        <v>8.0633963854740101E-2</v>
      </c>
      <c r="F39">
        <v>10.78599804724195</v>
      </c>
      <c r="G39" t="s">
        <v>33</v>
      </c>
      <c r="H39" t="s">
        <v>69</v>
      </c>
      <c r="I39" t="s">
        <v>112</v>
      </c>
      <c r="J39">
        <v>17408000</v>
      </c>
      <c r="L39">
        <v>343098.03921568632</v>
      </c>
    </row>
    <row r="40" spans="1:12" x14ac:dyDescent="0.25">
      <c r="A40" t="s">
        <v>98</v>
      </c>
      <c r="B40">
        <v>0.12354273112031749</v>
      </c>
      <c r="C40">
        <v>9.4915331041686007E-3</v>
      </c>
      <c r="D40">
        <v>7.9298484272330005E-4</v>
      </c>
      <c r="E40">
        <v>4.1450713485619999E-4</v>
      </c>
      <c r="F40">
        <v>0</v>
      </c>
      <c r="G40" t="s">
        <v>33</v>
      </c>
      <c r="H40" t="s">
        <v>27</v>
      </c>
      <c r="I40" t="s">
        <v>116</v>
      </c>
      <c r="J40">
        <v>1340000</v>
      </c>
      <c r="L40">
        <v>152533.33333333331</v>
      </c>
    </row>
    <row r="41" spans="1:12" x14ac:dyDescent="0.25">
      <c r="A41" t="s">
        <v>94</v>
      </c>
      <c r="B41">
        <v>0.2141231711516301</v>
      </c>
      <c r="C41">
        <v>1.4918550267106701E-2</v>
      </c>
      <c r="D41">
        <v>1.2463934406357E-3</v>
      </c>
      <c r="E41">
        <v>1.614785224217E-4</v>
      </c>
      <c r="F41">
        <v>0.1647500932524632</v>
      </c>
      <c r="G41" t="s">
        <v>33</v>
      </c>
      <c r="H41" t="s">
        <v>27</v>
      </c>
      <c r="I41" t="s">
        <v>117</v>
      </c>
      <c r="J41">
        <v>1501500</v>
      </c>
      <c r="K41">
        <v>9.8029027903061134</v>
      </c>
      <c r="L41">
        <v>23998.078283999999</v>
      </c>
    </row>
    <row r="42" spans="1:12" x14ac:dyDescent="0.25">
      <c r="A42" t="s">
        <v>95</v>
      </c>
      <c r="B42">
        <v>2.7833402219476201E-2</v>
      </c>
      <c r="C42">
        <v>2.3267704835411998E-3</v>
      </c>
      <c r="D42">
        <v>1.943936519719E-4</v>
      </c>
      <c r="E42">
        <v>1.405850925948E-4</v>
      </c>
      <c r="F42">
        <v>0</v>
      </c>
      <c r="G42" t="s">
        <v>33</v>
      </c>
      <c r="H42" t="s">
        <v>27</v>
      </c>
      <c r="I42" t="s">
        <v>119</v>
      </c>
      <c r="J42">
        <v>2123641</v>
      </c>
      <c r="K42">
        <v>32.978787143877547</v>
      </c>
      <c r="L42">
        <v>109797.3333333333</v>
      </c>
    </row>
    <row r="43" spans="1:12" x14ac:dyDescent="0.25">
      <c r="A43" t="s">
        <v>74</v>
      </c>
      <c r="B43">
        <v>8.6306756146162957</v>
      </c>
      <c r="C43">
        <v>1.066967769359799</v>
      </c>
      <c r="D43">
        <v>8.91414754463042E-2</v>
      </c>
      <c r="E43">
        <v>5.4263695883935998E-3</v>
      </c>
      <c r="F43">
        <v>0</v>
      </c>
      <c r="G43" t="s">
        <v>33</v>
      </c>
      <c r="H43" t="s">
        <v>30</v>
      </c>
      <c r="I43" t="s">
        <v>143</v>
      </c>
      <c r="J43">
        <v>98408.871032543204</v>
      </c>
      <c r="L43">
        <v>7204.1082352941175</v>
      </c>
    </row>
    <row r="44" spans="1:12" x14ac:dyDescent="0.25">
      <c r="A44" t="s">
        <v>75</v>
      </c>
      <c r="B44">
        <v>4.5551050591072588</v>
      </c>
      <c r="C44">
        <v>0.39412952682321029</v>
      </c>
      <c r="D44">
        <v>3.2928163922798903E-2</v>
      </c>
      <c r="E44">
        <v>4.3034810273888998E-3</v>
      </c>
      <c r="F44">
        <v>0</v>
      </c>
      <c r="G44" t="s">
        <v>33</v>
      </c>
      <c r="H44" t="s">
        <v>30</v>
      </c>
      <c r="I44" t="s">
        <v>144</v>
      </c>
      <c r="J44">
        <v>43726.856187782003</v>
      </c>
      <c r="L44">
        <v>9605.477647058824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12</vt:i4>
      </vt:variant>
    </vt:vector>
  </HeadingPairs>
  <TitlesOfParts>
    <vt:vector size="12" baseType="lpstr">
      <vt:lpstr>README</vt:lpstr>
      <vt:lpstr>recap</vt:lpstr>
      <vt:lpstr>EQ_damages_regioinvent</vt:lpstr>
      <vt:lpstr>HH_damages_regioinvent</vt:lpstr>
      <vt:lpstr>EQ_damages_ecoinvent</vt:lpstr>
      <vt:lpstr>HH_damages_ecoinvent</vt:lpstr>
      <vt:lpstr>MP_results</vt:lpstr>
      <vt:lpstr>CA_GWP_results</vt:lpstr>
      <vt:lpstr>bgf_tech</vt:lpstr>
      <vt:lpstr>bgf_bio</vt:lpstr>
      <vt:lpstr>agf_tech</vt:lpstr>
      <vt:lpstr>agf_bio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Marin Pellan</cp:lastModifiedBy>
  <dcterms:created xsi:type="dcterms:W3CDTF">2026-01-30T11:25:42Z</dcterms:created>
  <dcterms:modified xsi:type="dcterms:W3CDTF">2026-01-30T12:17:14Z</dcterms:modified>
</cp:coreProperties>
</file>