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SI/"/>
    </mc:Choice>
  </mc:AlternateContent>
  <xr:revisionPtr revIDLastSave="1293" documentId="11_AD4D9D64A577C15A4A5418A680D85C6E5BDEDD8E" xr6:coauthVersionLast="47" xr6:coauthVersionMax="47" xr10:uidLastSave="{EC38CFB6-2730-498E-991B-BD9DC0B8FF4D}"/>
  <bookViews>
    <workbookView xWindow="28680" yWindow="-120" windowWidth="29040" windowHeight="15720" activeTab="2" xr2:uid="{00000000-000D-0000-FFFF-FFFF00000000}"/>
  </bookViews>
  <sheets>
    <sheet name="README" sheetId="3" r:id="rId1"/>
    <sheet name="Sources" sheetId="1" r:id="rId2"/>
    <sheet name="REF" sheetId="17" r:id="rId3"/>
    <sheet name="PARAMETRIZATION" sheetId="8" r:id="rId4"/>
    <sheet name="Material_MetalliCan" sheetId="18" state="hidden" r:id="rId5"/>
    <sheet name="Material" sheetId="19" r:id="rId6"/>
    <sheet name="EI" sheetId="12" r:id="rId7"/>
    <sheet name="DATA" sheetId="15" r:id="rId8"/>
  </sheets>
  <definedNames>
    <definedName name="_xlnm._FilterDatabase" localSheetId="7" hidden="1">DATA!$A$1:$O$1</definedName>
    <definedName name="_xlnm._FilterDatabase" localSheetId="6" hidden="1">EI!$A$1:$K$1</definedName>
    <definedName name="_xlnm._FilterDatabase" localSheetId="5" hidden="1">Material!$B$1:$I$38</definedName>
    <definedName name="_xlnm._FilterDatabase" localSheetId="4" hidden="1">Material_MetalliCan!$A$1:$Q$60</definedName>
    <definedName name="_xlnm._FilterDatabase" localSheetId="3" hidden="1">PARAMETRIZATION!$A$1:$N$1</definedName>
    <definedName name="_xlnm._FilterDatabase" localSheetId="2" hidden="1">REF!$A$1:$B$1</definedName>
    <definedName name="_xlnm._FilterDatabase" localSheetId="1" hidden="1">Sources!$A$1:$M$109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19" l="1"/>
  <c r="L34" i="19"/>
  <c r="L36" i="19"/>
  <c r="L35" i="19"/>
  <c r="L33" i="19"/>
  <c r="L32" i="19"/>
  <c r="J3" i="19"/>
  <c r="K3" i="19"/>
  <c r="L3" i="19"/>
  <c r="M3" i="19"/>
  <c r="J4" i="19"/>
  <c r="K4" i="19"/>
  <c r="L4" i="19"/>
  <c r="M4" i="19"/>
  <c r="J5" i="19"/>
  <c r="K5" i="19"/>
  <c r="L5" i="19"/>
  <c r="M5" i="19"/>
  <c r="J6" i="19"/>
  <c r="K6" i="19"/>
  <c r="L6" i="19"/>
  <c r="M6" i="19"/>
  <c r="J7" i="19"/>
  <c r="K7" i="19"/>
  <c r="L7" i="19"/>
  <c r="M7" i="19"/>
  <c r="J8" i="19"/>
  <c r="K8" i="19"/>
  <c r="L8" i="19"/>
  <c r="M8" i="19"/>
  <c r="J9" i="19"/>
  <c r="K9" i="19"/>
  <c r="L9" i="19"/>
  <c r="M9" i="19"/>
  <c r="J10" i="19"/>
  <c r="K10" i="19"/>
  <c r="L10" i="19"/>
  <c r="M10" i="19"/>
  <c r="J11" i="19"/>
  <c r="K11" i="19"/>
  <c r="L11" i="19"/>
  <c r="M11" i="19"/>
  <c r="J12" i="19"/>
  <c r="K12" i="19"/>
  <c r="L12" i="19"/>
  <c r="M12" i="19"/>
  <c r="J13" i="19"/>
  <c r="K13" i="19"/>
  <c r="L13" i="19"/>
  <c r="M13" i="19"/>
  <c r="J14" i="19"/>
  <c r="K14" i="19"/>
  <c r="L14" i="19"/>
  <c r="M14" i="19"/>
  <c r="J15" i="19"/>
  <c r="K15" i="19"/>
  <c r="L15" i="19"/>
  <c r="M15" i="19"/>
  <c r="J16" i="19"/>
  <c r="K16" i="19"/>
  <c r="L16" i="19"/>
  <c r="M16" i="19"/>
  <c r="J17" i="19"/>
  <c r="K17" i="19"/>
  <c r="L17" i="19"/>
  <c r="M17" i="19"/>
  <c r="J18" i="19"/>
  <c r="K18" i="19"/>
  <c r="L18" i="19"/>
  <c r="M18" i="19"/>
  <c r="J19" i="19"/>
  <c r="K19" i="19"/>
  <c r="L19" i="19"/>
  <c r="M19" i="19"/>
  <c r="J20" i="19"/>
  <c r="K20" i="19"/>
  <c r="L20" i="19"/>
  <c r="M20" i="19"/>
  <c r="J21" i="19"/>
  <c r="K21" i="19"/>
  <c r="L21" i="19"/>
  <c r="M21" i="19"/>
  <c r="J22" i="19"/>
  <c r="K22" i="19"/>
  <c r="L22" i="19"/>
  <c r="M22" i="19"/>
  <c r="J23" i="19"/>
  <c r="K23" i="19"/>
  <c r="L23" i="19"/>
  <c r="M23" i="19"/>
  <c r="J24" i="19"/>
  <c r="K24" i="19"/>
  <c r="L24" i="19"/>
  <c r="M24" i="19"/>
  <c r="J25" i="19"/>
  <c r="K25" i="19"/>
  <c r="L25" i="19"/>
  <c r="M25" i="19"/>
  <c r="J26" i="19"/>
  <c r="K26" i="19"/>
  <c r="L26" i="19"/>
  <c r="M26" i="19"/>
  <c r="J27" i="19"/>
  <c r="K27" i="19"/>
  <c r="L27" i="19"/>
  <c r="M27" i="19"/>
  <c r="J28" i="19"/>
  <c r="K28" i="19"/>
  <c r="L28" i="19"/>
  <c r="M28" i="19"/>
  <c r="J29" i="19"/>
  <c r="K29" i="19"/>
  <c r="L29" i="19"/>
  <c r="M29" i="19"/>
  <c r="J30" i="19"/>
  <c r="K30" i="19"/>
  <c r="L30" i="19"/>
  <c r="M30" i="19"/>
  <c r="J31" i="19"/>
  <c r="K31" i="19"/>
  <c r="L31" i="19"/>
  <c r="M31" i="19"/>
  <c r="K2" i="19"/>
  <c r="L2" i="19"/>
  <c r="M2" i="19"/>
  <c r="J2" i="19"/>
  <c r="L180" i="15"/>
  <c r="L179" i="15"/>
  <c r="L178" i="15"/>
  <c r="L177" i="15"/>
  <c r="L176" i="15"/>
  <c r="L175" i="15"/>
  <c r="L174" i="15"/>
  <c r="L173" i="15"/>
  <c r="L172" i="15"/>
  <c r="L171" i="15"/>
  <c r="L170" i="15"/>
  <c r="L169" i="15"/>
  <c r="L168" i="15"/>
  <c r="L167" i="15"/>
  <c r="L166" i="15"/>
  <c r="L165" i="15"/>
  <c r="L164" i="15"/>
  <c r="L163" i="15"/>
  <c r="L162" i="15"/>
  <c r="L161" i="15"/>
  <c r="L160" i="15"/>
  <c r="L159" i="15"/>
  <c r="L158" i="15"/>
  <c r="L157" i="15"/>
  <c r="L156" i="15"/>
  <c r="L155" i="15"/>
  <c r="L154" i="15"/>
  <c r="L153" i="15"/>
  <c r="L152" i="15"/>
  <c r="L151" i="15"/>
  <c r="L150" i="15"/>
  <c r="L149" i="15"/>
  <c r="L148" i="15"/>
  <c r="L147" i="15"/>
  <c r="L146" i="15"/>
  <c r="L145" i="15"/>
  <c r="L144" i="15"/>
  <c r="L143" i="15"/>
  <c r="L142" i="15"/>
  <c r="L141" i="15"/>
  <c r="L140" i="15"/>
  <c r="L139" i="15"/>
  <c r="L138" i="15"/>
  <c r="L137" i="15"/>
  <c r="L136" i="15"/>
  <c r="L135" i="15"/>
  <c r="L134" i="15"/>
  <c r="L133" i="15"/>
  <c r="L132" i="15"/>
  <c r="L131" i="15"/>
  <c r="L130" i="15"/>
  <c r="L129" i="15"/>
  <c r="L128" i="15"/>
  <c r="L127" i="15"/>
  <c r="L126" i="15"/>
  <c r="L125" i="15"/>
  <c r="L59" i="15"/>
  <c r="L40" i="15"/>
  <c r="L39" i="15"/>
  <c r="L38" i="15"/>
  <c r="L37" i="15"/>
</calcChain>
</file>

<file path=xl/sharedStrings.xml><?xml version="1.0" encoding="utf-8"?>
<sst xmlns="http://schemas.openxmlformats.org/spreadsheetml/2006/main" count="5591" uniqueCount="1003">
  <si>
    <t>IMPORTED_FROM</t>
  </si>
  <si>
    <t>MINERAL</t>
  </si>
  <si>
    <t>SOURCE</t>
  </si>
  <si>
    <t>NAME</t>
  </si>
  <si>
    <t>REFERENCE_PRODUCT</t>
  </si>
  <si>
    <t>LOCATION</t>
  </si>
  <si>
    <t>SYSTEM_BOUNDARY</t>
  </si>
  <si>
    <t>ALLOCATION</t>
  </si>
  <si>
    <t>UNIT</t>
  </si>
  <si>
    <t>DESCRIPTION</t>
  </si>
  <si>
    <t>EI</t>
  </si>
  <si>
    <t>Neodymium</t>
  </si>
  <si>
    <t>Arshi et al (2018)</t>
  </si>
  <si>
    <t>rare earth oxides production, from rare earth carbonate concentrate</t>
  </si>
  <si>
    <t>neodymium oxide</t>
  </si>
  <si>
    <t>ROW</t>
  </si>
  <si>
    <t>Extraction (calcination) and refining (solvent extraction) of individual rare earth oxides, obtained from mined rare earth carbonates.</t>
  </si>
  <si>
    <t>kilogram</t>
  </si>
  <si>
    <t>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
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
Modelling approach: This dataset was created using the critical materials life cycle assessment tool (CMLCAT) of Arshi et al. (2018).
Geography:  This dataset is valid for the whole corresponding region.
Technology:  This dataset refers to the extraction (calcination) and refining (solvent extraction) of individual rare earth oxides, obtained from mined rare earth carbonates. ""After drying and calcination, 90−92% mixed REOs are produced. The REO mixture from the leaching process undergoes a combined solvent extraction process at a facility in Southern China. The process inventory includes conversion to RE chlorides, repeated SX using organic solvents such as P204 and P507 and precipitation using oxalic acid. The high purity individual RE precipitate is further roasted to obtain separated pure oxides."" Source: Arshi, P. S., Vahidi, E., &amp; Zhao, F. (2018). Behind the Scenes of Clean Energy: The Environmental Footprint of Rare Earth Products. ACS Sustainable Chemistry &amp; Engineering, 6(3), 3311-3320. doi:10.1021/acssuschemeng.7b03484
Time period:  Data are considered representative of current production practices.</t>
  </si>
  <si>
    <t>Copper</t>
  </si>
  <si>
    <t>copper concentrate, sulfide ore</t>
  </si>
  <si>
    <t>CA</t>
  </si>
  <si>
    <t>Mining and beneficiation</t>
  </si>
  <si>
    <t>GLO</t>
  </si>
  <si>
    <t>Istrate et al (2024)</t>
  </si>
  <si>
    <t>CN</t>
  </si>
  <si>
    <t>Nickel</t>
  </si>
  <si>
    <t>treatment of wastewater from nickel matte production</t>
  </si>
  <si>
    <t>wastewater from nickel matte production</t>
  </si>
  <si>
    <t>None</t>
  </si>
  <si>
    <t>Graphite</t>
  </si>
  <si>
    <t>Engels et al (2022)</t>
  </si>
  <si>
    <t>graphite ore mining</t>
  </si>
  <si>
    <t>graphite ore, mined</t>
  </si>
  <si>
    <t>Mining</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</si>
  <si>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</si>
  <si>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t>
  </si>
  <si>
    <t>natural graphite spheronization</t>
  </si>
  <si>
    <t>natural graphite, spherical</t>
  </si>
  <si>
    <t>Cobalt</t>
  </si>
  <si>
    <t>Arvidsson et al (2022), originally from Dai et al (2018)</t>
  </si>
  <si>
    <t>cobalt hydroxide, hydrometallurigcal procesing of copper-cobalt ore, economic allocation</t>
  </si>
  <si>
    <t>cobalt hydroxide</t>
  </si>
  <si>
    <t>CD</t>
  </si>
  <si>
    <t>Mining and processing</t>
  </si>
  <si>
    <t>Economic</t>
  </si>
  <si>
    <t>Cobalt hydroxide from hydrometallurgical ore processing, in the Democratic Republic of the Congo.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</si>
  <si>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cobalt sulfate production, from copper-cobalt ore, economic allocation</t>
  </si>
  <si>
    <t>cobalt sulfate</t>
  </si>
  <si>
    <t>Mining and processing (one additional step compared to cobalt hydroxide)</t>
  </si>
  <si>
    <t>Cobalt sulfate production, in China, from cobalt hydroxide. Adapted in Arvidsson, R., Chordia, M. &amp; NordelÃ¶f, A. Quantifying the life-cycle health impacts of a cobalt-containing lithium-ion battery. Int J Life Cycle Assess (2022). https://doi.org/10.1007/s11367-022-02084-3, originally from Cobalt Life Cycle Analysis Update for the GREET Model, Dai et al. 2018.</t>
  </si>
  <si>
    <t>Carrere et al (2024)</t>
  </si>
  <si>
    <t>calcined coke milling</t>
  </si>
  <si>
    <t>calcined coke powder</t>
  </si>
  <si>
    <t>No allocation</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</si>
  <si>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</si>
  <si>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graphite powder coating</t>
  </si>
  <si>
    <t>synthetic graphite, battery grade</t>
  </si>
  <si>
    <t>Mining and processing, transport?</t>
  </si>
  <si>
    <t>Including unit processes coating (kneading and thermal treatment) and packaging.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</si>
  <si>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graphitization of calcined coke powder</t>
  </si>
  <si>
    <t>graphite powder</t>
  </si>
  <si>
    <t>Graphitization of calcined coke powder using an Acheson electrical furnace. No allocation has been considered, which however have a negligible impact on the final results.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</si>
  <si>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micronization of graphite powder</t>
  </si>
  <si>
    <t>micronized graphite powder</t>
  </si>
  <si>
    <t>"Graphite powder is reduced to its final size suitable for battery anode application (around 10â€“20 Î¼m) in the subsequent process called micronizing using multiple classifier mills". The process has an overall efficiency of 60%, with 40% being a by-product of graphite fines which however have a negligible economic value. Therefore, no allocation was conisdered.Source: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</si>
  <si>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natural graphite concentration</t>
  </si>
  <si>
    <t>graphite ore, concentrated</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</si>
  <si>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</si>
  <si>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natural graphite production, battery grade, from Heilongjiang</t>
  </si>
  <si>
    <t>natural graphite, battery grade</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</si>
  <si>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</si>
  <si>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natural graphite purification</t>
  </si>
  <si>
    <t>natural graphite, purified</t>
  </si>
  <si>
    <t>Engels P, Cerdas F, Dettmer T, Frey C, Hentschel J, Herrmann C, et al. Life cycle assessment of natural graphite production for lithium-ion battery anodes based on industrial primary data. J Clean Prod 2022;336:130474. https://doi.org/10.1016/J.JCLEPRO.2022.130474.</t>
  </si>
  <si>
    <t>Synthetic Graphite</t>
  </si>
  <si>
    <t>Iyer and Kelly (2022) from Argone</t>
  </si>
  <si>
    <t>synthetic graphite block production</t>
  </si>
  <si>
    <t>synthetic graphite block</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</si>
  <si>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</si>
  <si>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Mistry et al (2016), Nickel Institute?</t>
  </si>
  <si>
    <t>nickel concentration, average excluding China</t>
  </si>
  <si>
    <t>nickel concentrate</t>
  </si>
  <si>
    <t>The Nickel Institute, 2020. Life cycle assessment of nickel products. Nickel Inst. 21, 1559â€“1572. https://doi.org/10.1007/s11367-016-1085-x. Pedigree scores assessed in this study; see "Pedigree scores" sheet</t>
  </si>
  <si>
    <t>nickel matte production, nickel-cobalt sulphite and nickel sub materials, mass allocation</t>
  </si>
  <si>
    <t>nickel matte</t>
  </si>
  <si>
    <t>nickel ore mining, average excluding China</t>
  </si>
  <si>
    <t>nickel ore, mined</t>
  </si>
  <si>
    <t>nickel sulfate production, average excluding China, economic allocation</t>
  </si>
  <si>
    <t>nickel sulfate</t>
  </si>
  <si>
    <t>Lithium</t>
  </si>
  <si>
    <t>Schenker et al (2022)</t>
  </si>
  <si>
    <t>lithium brine production, from evaporation pond, Salar de Atacama</t>
  </si>
  <si>
    <t>lithium brine, from evaporation pond</t>
  </si>
  <si>
    <t>CL</t>
  </si>
  <si>
    <r>
      <t>Cradle to gate ("</t>
    </r>
    <r>
      <rPr>
        <i/>
        <sz val="11"/>
        <color theme="1"/>
        <rFont val="Calibri"/>
        <family val="2"/>
        <scheme val="minor"/>
      </rPr>
      <t>from pumping the brines to the surface until the final product (Li2CO3, battery grade) leaves the processing plant</t>
    </r>
    <r>
      <rPr>
        <sz val="11"/>
        <color theme="1"/>
        <rFont val="Calibri"/>
        <family val="2"/>
        <scheme val="minor"/>
      </rPr>
      <t>")</t>
    </r>
  </si>
  <si>
    <t>Source: Regionalized life cycle assessment of present and future lithium production for Li-ion batteries. Vanessa Schenker, Christopher Oberschelp, Stephan Pfister. Includes transport to purification.</t>
  </si>
  <si>
    <t>lithium brine purification, Salar de Atacama</t>
  </si>
  <si>
    <t>purified lithium brine</t>
  </si>
  <si>
    <t>Removal of lime, boron and manganese. Source: Regionalized life cycle assessment of present and future lithium production for Li-ion batteries. Vanessa Schenker, Christopher Oberschelp, Stephan Pfister.</t>
  </si>
  <si>
    <t>lithium carbonate production, Salar de Atacama</t>
  </si>
  <si>
    <t>lithium carbonate, battery grade</t>
  </si>
  <si>
    <t>Source: Regionalized life cycle assessment of present and future lithium production for Li-ion batteries. Vanessa Schenker, Christopher Oberschelp, Stephan Pfister. Includes washing, centrifugation and drying.</t>
  </si>
  <si>
    <t>calcined petroleum coke production</t>
  </si>
  <si>
    <t>calcined petroleum coke</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</si>
  <si>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</si>
  <si>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copper-cobalt mining, industrial</t>
  </si>
  <si>
    <t>copper-cobalt ore</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</si>
  <si>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</si>
  <si>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Kelly et al (2021)</t>
  </si>
  <si>
    <t>lithium hydroxide production, from Australian spodumene</t>
  </si>
  <si>
    <t>lithium hydroxide, battery grade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</si>
  <si>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</si>
  <si>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lithium hydroxide production, Salar de Atacama</t>
  </si>
  <si>
    <t>spodumene concentrate production</t>
  </si>
  <si>
    <t>spodumene concentrate</t>
  </si>
  <si>
    <t>AU</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</si>
  <si>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</si>
  <si>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Kelly et al (2021), Jiang et al (2020)</t>
  </si>
  <si>
    <t>lithium carbonate production, from Australian spodumene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</si>
  <si>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</si>
  <si>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Word format</t>
  </si>
  <si>
    <t>POX leaching of 19% Ni concentrate and refining to nickel metal</t>
  </si>
  <si>
    <t>Mass allocation</t>
  </si>
  <si>
    <t>Bioheap leaching processing of sulfide ores</t>
  </si>
  <si>
    <t>Bioleaching of sulfidic tailings</t>
  </si>
  <si>
    <t>Pyrometallurgical treatment of sulfide ores</t>
  </si>
  <si>
    <t>premise</t>
  </si>
  <si>
    <t>disodium disulphite</t>
  </si>
  <si>
    <t>cobalt sulfate production, from copper mining, economic allocation</t>
  </si>
  <si>
    <t>cobalt sulfate production, from copper mining, mass allocation</t>
  </si>
  <si>
    <t>copper-cobalt mining, industrial, mass allocation</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</si>
  <si>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t>
  </si>
  <si>
    <t>cobalt hydroxide, via hydrometallurigcal ore procesing, mass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</si>
  <si>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hydroxide\n(43,000 USD/ton).</t>
  </si>
  <si>
    <t>copper-cobalt mining, industrial, economic allocation</t>
  </si>
  <si>
    <t>copper-cobalt mining, artisanal</t>
  </si>
  <si>
    <t>Copper-cobalt artisanal mining, in the Democratic Republic of the Congo. It does not have any inputs from the technosphere. Arvidsson, R., Chordia, M. &amp; NordelÃ¶f, A. Quantifying the life-cycle health impacts of a cobalt-containing lithium-ion battery. Int J Life Cycle Assess (2022). https://doi.org/10.1007/s11367-022-02084-3. Originally from Cobalt Life Cycle Analysis Update for the GREET Model, Dai et al. 2018.</t>
  </si>
  <si>
    <t>cobalt hydroxide, via hydrometallurigcal ore procesing, economic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</si>
  <si>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 (43,000 USD/ton).</t>
  </si>
  <si>
    <t>Dai et al (2018)</t>
  </si>
  <si>
    <t>cobalt metal production, from copper mining, via electrolysis, economic allocation</t>
  </si>
  <si>
    <t>cobalt</t>
  </si>
  <si>
    <t>Cobalt metal refining in China, via electrolysis, from cobalt sulfate, from Dai et al., 2018. Refined metallic cobalt is produced from electrolysis of CoSO4 or CoCl2 solutions in\nelectrowinning cells (Donaldson 2005). The estimated electricity requirements for metallic\ncobalt production via electrowinning range from 5,000 kWh to 6,500 kWh per t of cobalt metal\nproduced for plants based in Zambia and the DRC, and range from 3,100 kWh to 3,700 kWh per\nt of cobalt metal produced for plants based in the rest of the world (Bleiwas 2011).</t>
  </si>
  <si>
    <t>cobalt metal production, from copper mining, via electrolysis, mass allocation</t>
  </si>
  <si>
    <t>graphite purification</t>
  </si>
  <si>
    <t>graphite, purified</t>
  </si>
  <si>
    <t>Purification process for natural graphite. Source: Engels P, Cerdas F, Dettmer T, Frey C, Hentschel J, Herrmann C, et al. Life cycle assessment of natural graphite production for lithium-ion battery anodes based on industrial primary data. J Clean Prod 2022;336:130474. https://doi.org/10.1016/J.JCLEPRO.2022.130474.</t>
  </si>
  <si>
    <t>graphite, spherical</t>
  </si>
  <si>
    <t>natural graphite production, coated</t>
  </si>
  <si>
    <t>natural graphite, coated</t>
  </si>
  <si>
    <t>Kelly et al (2022)</t>
  </si>
  <si>
    <t>lithium hydroxide production,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</si>
  <si>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</si>
  <si>
    <t>market for lithium hydroxide,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</si>
  <si>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https://doi.org/10.1016/j.resconrec.2021.105762.\nThe market LCI dataset was not part of the publication. Inventories covers a production volume of 88'100t + 12'000tt + 40'000t + 5'000t + 8'000 = 153'100t. Further assumes 20'400 km of shipping from Argentina/Chile to China. Uses lithium carbonate as input from Schenker et al. Further considers 16'000 km of shipping from Argentina/Chile to China (Kelly et al.).</t>
  </si>
  <si>
    <t>dearomatized hydrocarbon fluid production</t>
  </si>
  <si>
    <t>dearomatized hydrocarbon fluid</t>
  </si>
  <si>
    <t>Source: Regionalized life cycle assessment of present and future lithium production for Li-ion batteries. Vanessa Schenker, Christopher Oberschelp, Stephan Pfister. Commercial name: Exxon's ESCAID.</t>
  </si>
  <si>
    <t>filtering, through water ion exchanger</t>
  </si>
  <si>
    <t>Source: Regionalized life cycle assessment of present and future lithium production for Li-ion batteries. Vanessa Schenker, Christopher Oberschelp, Stephan Pfister.</t>
  </si>
  <si>
    <t>lithium brine filtering, via ion exchanger</t>
  </si>
  <si>
    <t>lithium brine, filtered</t>
  </si>
  <si>
    <t>lithium brine production, boron removal</t>
  </si>
  <si>
    <t>lithium brine, boron-free</t>
  </si>
  <si>
    <t>lithium brine production, boron removal, from Salar de Cauchari-Olaroz</t>
  </si>
  <si>
    <t>AR</t>
  </si>
  <si>
    <t>lithium brine production, boron removal, from Salar del Hombre Muerto</t>
  </si>
  <si>
    <t>lithium brine production, from evaporation pond</t>
  </si>
  <si>
    <t>Source: Regionalized life cycle assessment of present and future lithium production for Li-ion batteries. Vanessa Schenker, Christopher Oberschelp, Stephan Pfister. Includes transport to boron removal step.</t>
  </si>
  <si>
    <t>lithium brine production, from evaporation pond, from Salar de Cauchari-Olaroz</t>
  </si>
  <si>
    <t>lithium brine production, from evaporation pond, from Salar de Olaroz</t>
  </si>
  <si>
    <t>lithium brine production, from evaporation pond, from Salar del Hombre Muerto</t>
  </si>
  <si>
    <t>lithium brine production, from Li-ion selective adsorption</t>
  </si>
  <si>
    <t>lithium brine, from Li-ion selective adsorption</t>
  </si>
  <si>
    <t>lithium brine production, lime removal</t>
  </si>
  <si>
    <t>lithium brine, lime-free</t>
  </si>
  <si>
    <t>lithium brine production, lime removal, from Salar de Cauchari-Olaroz</t>
  </si>
  <si>
    <t>lithium brine production, manganese removal</t>
  </si>
  <si>
    <t>lithium brine, manganese-free</t>
  </si>
  <si>
    <t>Source: Regionalized life cycle assessment of present and future lithium production for Li-ion batteries. Vanessa Schenker, Christopher Oberschelp, Stephan Pfister. Includes centrifugation step.</t>
  </si>
  <si>
    <t>lithium brine production, manganese removal, from Salar de Cauchari-Olaroz</t>
  </si>
  <si>
    <t>lithium brine production, manganese removal, from Salar del Hombre Muerto</t>
  </si>
  <si>
    <t>lithium brine production, sulfate removal, from Salar de Cauchari-Olaroz</t>
  </si>
  <si>
    <t>lithium brine, sulfate-free</t>
  </si>
  <si>
    <t>lithium brine purifying, via membrane separation</t>
  </si>
  <si>
    <t>lithium brine, purified</t>
  </si>
  <si>
    <t>lithium carbonate precipitation 1</t>
  </si>
  <si>
    <t>lithium carbonate, precipitated</t>
  </si>
  <si>
    <t>Source: Regionalized life cycle assessment of present and future lithium production for Li-ion batteries. Vanessa Schenker, Christopher Oberschelp, Stephan Pfister. First precipitation. Includes centrifugation.</t>
  </si>
  <si>
    <t>lithium carbonate precipitation 1, from Salar de Cauchari-Olaroz</t>
  </si>
  <si>
    <t>lithium carbonate precipitation 1, from Salar de Olaroz</t>
  </si>
  <si>
    <t>lithium carbonate precipitation 1, from Salar del Hombre Muerto</t>
  </si>
  <si>
    <t>lithium carbonate precipitation 2</t>
  </si>
  <si>
    <t>lithium carbonate precipitation 2, from Salar de Cauchari-Olaroz</t>
  </si>
  <si>
    <t>lithium carbonate precipitation 2, from Salar de Olaroz</t>
  </si>
  <si>
    <t>Source: Regionalized life cycle assessment of present and future lithium production for Li-ion batteries. Vanessa Schenker, Christopher Oberschelp, Stephan Pfister. Includes centriguation, washing and filtering.</t>
  </si>
  <si>
    <t>lithium carbonate precipitation 2, from Salar del Hombre Muerto</t>
  </si>
  <si>
    <t>lithium carbonate production, from Chaerhan salt lake</t>
  </si>
  <si>
    <t>lithium carbonate production, from Salar de Atacama</t>
  </si>
  <si>
    <t>lithium carbonate production, from Salar de Cauchari-Olaroz</t>
  </si>
  <si>
    <t>lithium carbonate production, from Salar de Olaroz</t>
  </si>
  <si>
    <t>lithium carbonate production, from Salar del Hombre Muerto</t>
  </si>
  <si>
    <t>lithium carbonate washing</t>
  </si>
  <si>
    <t>lithium carbonate, washed</t>
  </si>
  <si>
    <t>Source: Regionalized life cycle assessment of present and future lithium production for Li-ion batteries. Vanessa Schenker, Christopher Oberschelp, Stephan Pfister. Includes centrifugation.</t>
  </si>
  <si>
    <t>market for lithium carbonate, battery grade</t>
  </si>
  <si>
    <t>Source: Regionalized life cycle assessment of present and future lithium production for Li-ion batteries. Vanessa Schenker, Christopher Oberschelp, Stephan Pfister.\nMarket shares based on respective production volumes of the different mines. The market LCI dataset was not part of the publication. Inventories covers a production volume of 88'100t + 12'000tt + 40'000t + 5'000t + 8'000 = 153'100t. Further considers 16'000 km of shipping from Argentina/Chile to China (Kelly et al.).</t>
  </si>
  <si>
    <t>water, pure, via reverse osmosis</t>
  </si>
  <si>
    <t>water, pure</t>
  </si>
  <si>
    <t>Surovtseva et al (2022)</t>
  </si>
  <si>
    <t>needle coke production</t>
  </si>
  <si>
    <t>needle coke</t>
  </si>
  <si>
    <t>Surovtseva, D, Crossin, E, Pell, R, Stamford, L. Toward a life cycle inventory for graphite production. J Ind Ecol. 2022; 26: 964â€“ 979. https://doi.org/10.1111/jiec.13234. Green coke is further calcined to produce needle coke, and in this work composition of calcined coke was calculated based on compositions of green coke and volatiles. Relevant dataset covers operation of calcination unit / plant.</t>
  </si>
  <si>
    <t>market for graphite, battery grade</t>
  </si>
  <si>
    <t>graphite, battery grade</t>
  </si>
  <si>
    <t>20-80% natural graphite. Share based on Surovtseva, D, Crossin, E, Pell, R, Stamford, L. Toward a life cycle inventory for graphite production. J Ind Ecol. 2022; 26: 964â€“ 979. https://doi.org/10.1111/jiec.13234</t>
  </si>
  <si>
    <t>synthetic graphite production</t>
  </si>
  <si>
    <t>synthetic graphite, 99% pure</t>
  </si>
  <si>
    <t>Surovtseva, D, Crossin, E, Pell, R, Stamford, L. Toward a life cycle inventory for graphite production. J Ind Ecol. 2022; 26: 964â€“ 979. https://doi.org/10.1111/jiec.13234. The graphite is &gt; 99.9% pure and is in powder form, further purification is not required. However, micronization, shaping, and coating are required to upgrade to battery-grade</t>
  </si>
  <si>
    <t>crude oil extraction</t>
  </si>
  <si>
    <t>crude oil</t>
  </si>
  <si>
    <t>Surovtseva, D, Crossin, E, Pell, R, Stamford, L. Toward a life cycle inventory for graphite production. J Ind Ecol. 2022; 26: 964â€“ 979. https://doi.org/10.1111/jiec.13234</t>
  </si>
  <si>
    <t>coal coking, for coal tar pitch production</t>
  </si>
  <si>
    <t>tar pitch</t>
  </si>
  <si>
    <t>Surovtseva, D, Crossin, E, Pell, R, Stamford, L. Toward a life cycle inventory for graphite production. J Ind Ecol. 2022; 26: 964â€“ 979. https://doi.org/10.1111/jiec.13234. Coal is a common precursor for the tar pitch which is used for the preparation of graphitization precursor and also for coating of the final spherical graphite. Relevant data include coal mining, coking to produce tar and distillation of tar to produce pitch. It is understood that the distillation of tar to pitch is generally integrated with the coal coking, and the authors were not able to identify a reputable source containing dedicated dataset for distillation. Allocation is based on physical yield of tar pitch.</t>
  </si>
  <si>
    <t>graphite precursor production</t>
  </si>
  <si>
    <t>grahite precursor</t>
  </si>
  <si>
    <t>Surovtseva, D, Crossin, E, Pell, R, Stamford, L. Toward a life cycle inventory for graphite production. J Ind Ecol. 2022; 26: 964â€“ 979. https://doi.org/10.1111/jiec.13234. Calcined coke is then mixed with tar pitch, baked to reduce volatiles and graphitized. Emissions from baking and graphitization are calculated as 0.4% and 2% mass loss in the respective processes. Transportation from calcining plant to graphitization plant is omitted. Crushing of needle coke and mixing of pitch with needle coke is not included.</t>
  </si>
  <si>
    <t>PDF</t>
  </si>
  <si>
    <t>Unallocated</t>
  </si>
  <si>
    <t>Copper mine operation and beneficiation, sulfide ore</t>
  </si>
  <si>
    <t>Gold-silver mine operation and beneficiation</t>
  </si>
  <si>
    <t>CA-QC</t>
  </si>
  <si>
    <t>gold-silver, ingot</t>
  </si>
  <si>
    <t>Iron ore mine operation and beneficiation</t>
  </si>
  <si>
    <t>iron ore concentrate</t>
  </si>
  <si>
    <t>Nickel mine operation and beneficiation to 16% Ni</t>
  </si>
  <si>
    <t>nickel concentrate, 16% Ni</t>
  </si>
  <si>
    <t>Ecoinvent</t>
  </si>
  <si>
    <t>Copper (molybdenite)</t>
  </si>
  <si>
    <t>Gold-silver ingot (copper concentrate sulfide ore, zinc concentrate, lead concentrate)</t>
  </si>
  <si>
    <t>Iron ore concentrate</t>
  </si>
  <si>
    <t>Nickel concentrate, 16% Ni</t>
  </si>
  <si>
    <t>All exchanges to the environment and from the technosphere calculated using the life
cycle inventory model presented in Classen et al. (2009) for "copper, molybdenum &amp;
telluride and silver containing byproducts" (ecoinvent v.2.1). All exchange values are
calculated as a function of the mass of ore processed, which is itself a function of ore
grade. To increase the temporal and geographical representativeness of the
inventory, ore grades have been updated here (since v2.1) based on data from
Northey et al. (2014). The estimated average copper ore grade in Canada is 0.31%.
The amounts and composition (exchange properties) of "copper concentrate, sulfide
ore", "molybdenute concentrate" and "treatment of sulfidic tailings, from copper mine
operation, tailings impoundment" were estimated based on a global material flow
analysis of copper production. Key input data to the model include: production
volumes of each metal, taken from the USGS Minerals Yearbook 2015; concentration
yields (i.e. transfer coefficients for each element from Earth"s crust to each product
via mining and beneficiation), taken as the arithmetic mean of values reported in the
literature; anode slime composition, from which the amounts of silver, gold, tellerium
and selenium that are extracted from the Earth"s crust during this activity are
estimated, taken as the arithmetic mean of values reported in the literature; "copper
concentrate,sulfide ore" grade (26.7% Cu), taken from Delbeke &amp; Rodriguez (2014);
"molybdenite concentrate" composition, taken as the arithmetic mean of values
reported in the literature (48% Mo; 3.5% Cu).</t>
  </si>
  <si>
    <t>Technology</t>
  </si>
  <si>
    <t>Based on typical current technology. Mining is done 70% open pit and 30%
underground, followed by joint beneficiation of copper and molybdenite trough
flotation, where considerable amounts of agents are added. Overburden is disposed
separate to sulfidic tailings near the mining site. No dewatering (or other
pre-treatment) of the tailings of is assumed as this is considered a treatment activity
that occurs only at selective sites and is therefore modelled separately.</t>
  </si>
  <si>
    <t>Concentrate</t>
  </si>
  <si>
    <t>Ingots, concentrate</t>
  </si>
  <si>
    <t>The ore is mined in an underground mine and transported by trucks to the mill for
further processing. The ore is then fed into a series of grinding mills where steel balls
grind the ore. Then follows the steps of flotation of copper and zinc, concentrate
handling, cyanide destruction and backfilling of the tailings, refining of gold by
electro-winning and melting in furnace to produce the gold and silver ingots. 20% of
the tailings produce are sent underground to be used as backfill; sulfidic tailing is
managed on site in tailings ponds.</t>
  </si>
  <si>
    <t>Inputs and outputs relate to Quebec production. The dataset represents the activity in 2012</t>
  </si>
  <si>
    <t>Concentrate containing 66.15% Fe (dry basis), produced at 4% humidity</t>
  </si>
  <si>
    <t>This dataset represents the production of 1 kg of iron concentrate containing 66.15%
of Fe (dry basis) in Quebec in 2011. The concentrate is produced at 4% humidity.
Specific data were collected for one compagny which represents nearly 65% of the
Québec's production for the year 2011. The iron ore is extracted in two open pit mine;
the main pit, where 92% of the ore is extracted, is located on the same site as the
concentrator and the extra pit, used only when needed, is located 60 km from the
concentrator. The ore is then transported by train. 65% of the 2011 production have
been used in the production of iron pellet in Québec, the rest has been sold to other
part of Canada, United States, Europe and China.</t>
  </si>
  <si>
    <t>Milling and mechanical sorting. Average iron yield is 75%.</t>
  </si>
  <si>
    <t>TIME PERIOD</t>
  </si>
  <si>
    <t>2009, 2020 OG update</t>
  </si>
  <si>
    <t>Nickel ore beneficiated to 16% Ni</t>
  </si>
  <si>
    <t>The concentrate produced is composed of 16% Ni; 4% Cu; 0.24% Co; 0.61 g/t Au; 10.84
g/t Ag; 2.8 g/t Pt; 9.68 g/t Pd; 0.95 g/t Rh. The sulfidic nickel ore is extracted in an
underground mine, where 7.21 kg of ore are extracted per kg of concentrate
produced. The recovery rate (metal in ore/metal in the concentrate) is 90% for Ni and
82% for Cu. The concentrate produced is sent to a smelter located in Ontario
(Canada) and to a refinery located in Norway (both excluded). No specific data were
available except for some emissions to water and air publicly available.</t>
  </si>
  <si>
    <t>Mining is done underground, followed by beneficiation. Overburden (2.67 kg/kg
concentrate) and tailings (6.99 kg/kg concentrate) are disposed on the mining site.</t>
  </si>
  <si>
    <t>Mining and beneficiation, first refining of gold</t>
  </si>
  <si>
    <t>Ecoinvent. Orinally Classen et al (2009) and updated in Turner &amp; Hischier (2020). Average ore grade per regions from Northey et al (2014)</t>
  </si>
  <si>
    <t>Lai et al (2025)</t>
  </si>
  <si>
    <t>Ni class 1</t>
  </si>
  <si>
    <t>[M+C] Nickel (Ni) ore mining and concentration (for Ni Class 1)</t>
  </si>
  <si>
    <t>[P+R] Nickel (Ni) class 1 production - Flash Smelting</t>
  </si>
  <si>
    <t>Nickel (Ni) global market</t>
  </si>
  <si>
    <t>Ni commodities</t>
  </si>
  <si>
    <t>Mining to refining</t>
  </si>
  <si>
    <t>Smelting and refining</t>
  </si>
  <si>
    <t>Ni concentrate</t>
  </si>
  <si>
    <t>Wei et al., 2020</t>
  </si>
  <si>
    <t>Lai et al., 2025</t>
  </si>
  <si>
    <t>Roy et al (2025)</t>
  </si>
  <si>
    <t>COMMENT</t>
  </si>
  <si>
    <t>Analogue conceptuelle de Long Harbour: sulfide concentrate 19% -&gt; lixiviation POX -&gt; hydrometallurgy -&gt; Ni metal</t>
  </si>
  <si>
    <t>Mass allocation, 89% Ni, 7%Cu, 4%Co</t>
  </si>
  <si>
    <t>Analogue de Sudbury/Thompson/Raglan: sulfide concentrate 19% -&gt; flash smelter -&gt; matte -&gt; affinage (ammoniacal) -&gt; Ni metal</t>
  </si>
  <si>
    <t>Not used in Canada, for low-grade sulfate ore 0.27%</t>
  </si>
  <si>
    <t>Retraitement des rejets sulfureux -&gt; bioleach -&gt; hydromet -&gt; NiSO4</t>
  </si>
  <si>
    <t>nickel production from sulfide ores</t>
  </si>
  <si>
    <t>Mining, beneficiation, primary extraction, refining</t>
  </si>
  <si>
    <t>https://publications.anl.gov/anlpubs/2022/12/178670.pdf</t>
  </si>
  <si>
    <t>Ore grade energy relationship</t>
  </si>
  <si>
    <t>GREET model (2022), mainly from Wei et al (2020)</t>
  </si>
  <si>
    <t>GREET model (2022), mainly from Sanjuan-Delmás et al (2022)</t>
  </si>
  <si>
    <t>copper</t>
  </si>
  <si>
    <t>copper production from sulfide ore</t>
  </si>
  <si>
    <t>PO</t>
  </si>
  <si>
    <t>[P+R] Copper (Cu) cathode production - Flash Furnace (Pyrometallurgy)</t>
  </si>
  <si>
    <t>[P+R] Copper (Cu) cathode production - Shaft Furnace (Pyrometallurgy)</t>
  </si>
  <si>
    <t>Cu cathode</t>
  </si>
  <si>
    <t>Kulczycka et al., 2015</t>
  </si>
  <si>
    <t xml:space="preserve">Sanjuan-Delmás et al., 2022 </t>
  </si>
  <si>
    <t>[M+C] Copper (Cu) ore mining and concentration (Sweden)</t>
  </si>
  <si>
    <t>[P+R] Cu cathode production - Pyrometallurgy (Sweden)</t>
  </si>
  <si>
    <t>Cu concentrate</t>
  </si>
  <si>
    <t>SE</t>
  </si>
  <si>
    <t>[P+R] Cu cathode production - Pyrometallurgy</t>
  </si>
  <si>
    <t>USA</t>
  </si>
  <si>
    <t xml:space="preserve">Fthenakis et al., 2009 </t>
  </si>
  <si>
    <t xml:space="preserve">Norgate and Haque, 2010 </t>
  </si>
  <si>
    <t>[M+C] Copper (Cu) ore mining and concentration (Australia)</t>
  </si>
  <si>
    <t>Nickel equivalent</t>
  </si>
  <si>
    <t>Nickel metal</t>
  </si>
  <si>
    <t>Tailings</t>
  </si>
  <si>
    <t>CA-NL</t>
  </si>
  <si>
    <t>FIN</t>
  </si>
  <si>
    <t>CA-ON</t>
  </si>
  <si>
    <t>Smelting</t>
  </si>
  <si>
    <t>Beneficiation</t>
  </si>
  <si>
    <t>Not mentionned</t>
  </si>
  <si>
    <t>Operation data from 2015</t>
  </si>
  <si>
    <t>Economic allocation for smelting part</t>
  </si>
  <si>
    <t>Fritz et al (2023)</t>
  </si>
  <si>
    <t>Copper, cobalt, nickel</t>
  </si>
  <si>
    <t>OG: Cu (0.34%), Co (0.01%), NI (0.24%), Au (0.07g/t), Pd (0.12g/t), Pt (0.17g/t). Strip ratio: 4.5/1</t>
  </si>
  <si>
    <t>Supplementary Information for ''</t>
  </si>
  <si>
    <t>Marin Pellan, Guillaume Majeau-Bettez, Titouan Greffe, Anne de Bortoli</t>
  </si>
  <si>
    <t>Contact</t>
  </si>
  <si>
    <t>Title of the article</t>
  </si>
  <si>
    <t>Authors</t>
  </si>
  <si>
    <t>Affiliations</t>
  </si>
  <si>
    <t>marin.pellan@polymlt.ca; pellan.marin@gmail.com</t>
  </si>
  <si>
    <t>Region</t>
  </si>
  <si>
    <t>Unit</t>
  </si>
  <si>
    <t>Mined rock (ore + overburden)</t>
  </si>
  <si>
    <t>Explosives</t>
  </si>
  <si>
    <t>Energy from diesel combustion</t>
  </si>
  <si>
    <t>Blasting</t>
  </si>
  <si>
    <t>Diesel, burned in building machine</t>
  </si>
  <si>
    <t>Mt</t>
  </si>
  <si>
    <t>kt</t>
  </si>
  <si>
    <t>PJ</t>
  </si>
  <si>
    <t>Ore for processing</t>
  </si>
  <si>
    <t>Product</t>
  </si>
  <si>
    <t>Tailings, sulfidic</t>
  </si>
  <si>
    <t>Market for sulfidic tailings, from copper mine operation</t>
  </si>
  <si>
    <t>Comminution</t>
  </si>
  <si>
    <t>Electricity</t>
  </si>
  <si>
    <t>Water</t>
  </si>
  <si>
    <t>Market for tap water</t>
  </si>
  <si>
    <t>Market for electricity, medium voltage</t>
  </si>
  <si>
    <t>Cu-flotation</t>
  </si>
  <si>
    <t>Crushed ore</t>
  </si>
  <si>
    <t>Intermediate product</t>
  </si>
  <si>
    <t>TJ</t>
  </si>
  <si>
    <t>From upstream process</t>
  </si>
  <si>
    <t>Limestone</t>
  </si>
  <si>
    <t>Organic chemicals</t>
  </si>
  <si>
    <t>Inorganic chemicals</t>
  </si>
  <si>
    <t>lime production, milled, packed</t>
  </si>
  <si>
    <t>market for chemical, organic</t>
  </si>
  <si>
    <t>market for chemical, inorganic</t>
  </si>
  <si>
    <t>t</t>
  </si>
  <si>
    <t>Flotation product, Ni-containing</t>
  </si>
  <si>
    <t>Carbon dioxide, fossil (air/unspecified)</t>
  </si>
  <si>
    <t>Carbon dioxide (lime neutralization)</t>
  </si>
  <si>
    <t>Copper concentrate</t>
  </si>
  <si>
    <t>Ni-flotation</t>
  </si>
  <si>
    <t>Nickel concentrate</t>
  </si>
  <si>
    <t>Tailings, to tailings plant</t>
  </si>
  <si>
    <t>Tailings flotation</t>
  </si>
  <si>
    <t>kg</t>
  </si>
  <si>
    <t>Waste</t>
  </si>
  <si>
    <t>Comment</t>
  </si>
  <si>
    <t>From Kevitsa mine</t>
  </si>
  <si>
    <t>Metallurgy</t>
  </si>
  <si>
    <t>Energy from heavy fuel oil combustion</t>
  </si>
  <si>
    <t>Silicate sand</t>
  </si>
  <si>
    <t>Sulfuric acid</t>
  </si>
  <si>
    <t>Lime</t>
  </si>
  <si>
    <t>Quicklime</t>
  </si>
  <si>
    <t>Hydrogen sulfide</t>
  </si>
  <si>
    <t>Ammonia</t>
  </si>
  <si>
    <t>heavy fuel oil, burned in refinery furnace</t>
  </si>
  <si>
    <t>market for electricity, medium voltage</t>
  </si>
  <si>
    <t>market for silica sand</t>
  </si>
  <si>
    <t>market for graphite</t>
  </si>
  <si>
    <t>Market for sulfuric acid</t>
  </si>
  <si>
    <t>quicklime production, milled, packed</t>
  </si>
  <si>
    <t>market for hydrogen sulfide</t>
  </si>
  <si>
    <t>market for ammonia, liquid</t>
  </si>
  <si>
    <t>Palladium</t>
  </si>
  <si>
    <t>Gold</t>
  </si>
  <si>
    <t>Platinum</t>
  </si>
  <si>
    <t>Slags, to landfill</t>
  </si>
  <si>
    <t>Slags, for treatment</t>
  </si>
  <si>
    <t>AF: 7 %</t>
  </si>
  <si>
    <t>AF: 15 %</t>
  </si>
  <si>
    <t>AF: 6 %</t>
  </si>
  <si>
    <t>AF: 34 %</t>
  </si>
  <si>
    <t>AF: 31 %</t>
  </si>
  <si>
    <t>Waste gypsum landfill</t>
  </si>
  <si>
    <t>market for hazardous waste, for incineration</t>
  </si>
  <si>
    <t>treatment of nickel smelter slag, residual material landfill</t>
  </si>
  <si>
    <t>Carbon dioxide, fossil [air/non-urban air or from high stacks]</t>
  </si>
  <si>
    <t>Carbon dioxide from electrode burn-off</t>
  </si>
  <si>
    <t>From Harjavakta smelter</t>
  </si>
  <si>
    <t>Roy2025</t>
  </si>
  <si>
    <t>Sulfidic</t>
  </si>
  <si>
    <t>Refinery</t>
  </si>
  <si>
    <t>1kg Ni-equivalent</t>
  </si>
  <si>
    <t>Extracted value</t>
  </si>
  <si>
    <t>Nickel concentrate, 19% Ni</t>
  </si>
  <si>
    <t>Mass allocation factor of 89% to Ni, co-production of Cu (7%) and Co (4%)</t>
  </si>
  <si>
    <t>Extracted from Supplementary Table 2.</t>
  </si>
  <si>
    <t>boric acid, anhydrous, powder</t>
  </si>
  <si>
    <t>cationic resin</t>
  </si>
  <si>
    <t>chemical, organic (proxy for Cyanex 272)</t>
  </si>
  <si>
    <t>chemical, organic (proxy for sodium laurel sulphate)</t>
  </si>
  <si>
    <t>chemical, organic (proxy for DEPHA)</t>
  </si>
  <si>
    <t>chemical, organic (proxy for LIX 84)</t>
  </si>
  <si>
    <t>chemical, organic (proxy for sodium lignosulphonate)</t>
  </si>
  <si>
    <t>electricity, high voltage</t>
  </si>
  <si>
    <t>kWh</t>
  </si>
  <si>
    <t>heat, district or industrial, other than natural gas (light fuel oil)</t>
  </si>
  <si>
    <t>MJ</t>
  </si>
  <si>
    <t>heat, district or industrial, other than natural gas (diesel)</t>
  </si>
  <si>
    <t>hydrochloric acid, without water, in 30% solution state</t>
  </si>
  <si>
    <t>kerosene</t>
  </si>
  <si>
    <t>limestone, crushed, washed</t>
  </si>
  <si>
    <t>oxygen, liquid</t>
  </si>
  <si>
    <t>Polyacrylamide (proxy for flocculants)</t>
  </si>
  <si>
    <t>soda ash, dense</t>
  </si>
  <si>
    <t>sodium chloride, powder</t>
  </si>
  <si>
    <t>sodium hydrogen sulfite (proxy for sodium metabusulphite)</t>
  </si>
  <si>
    <t>sodium hydrosulfide</t>
  </si>
  <si>
    <t>sodium hydroxide, without water, in 50% solution state</t>
  </si>
  <si>
    <t>sulfuric acid</t>
  </si>
  <si>
    <t>Water, unspecified natural origin, CA</t>
  </si>
  <si>
    <t>mm3</t>
  </si>
  <si>
    <t>1kg Ni metal</t>
  </si>
  <si>
    <t>scaled material inventory for nickel mine operation and beneficiation to nickel concentrate, 16% Ni</t>
  </si>
  <si>
    <t>No information</t>
  </si>
  <si>
    <t>Extracted from Supplementary Table 19.</t>
  </si>
  <si>
    <t>diesel, burned in building machine</t>
  </si>
  <si>
    <t>electricity, medium voltage (mine operation)</t>
  </si>
  <si>
    <t>Concentrate processing</t>
  </si>
  <si>
    <t>transport, freight, lorry &gt;32 metric ton, EURO4</t>
  </si>
  <si>
    <t>t*km</t>
  </si>
  <si>
    <t>Flash smelting</t>
  </si>
  <si>
    <t>heat, district or industrial, natural gas</t>
  </si>
  <si>
    <t>heat, district or industrial, other than natural gas</t>
  </si>
  <si>
    <t>silica sand</t>
  </si>
  <si>
    <t>Settling furnace</t>
  </si>
  <si>
    <t>Converter</t>
  </si>
  <si>
    <t>Hydrogen reduction to nickel metal</t>
  </si>
  <si>
    <t>ammonia, anhydrous, liquid</t>
  </si>
  <si>
    <t>hydrogen, liquid</t>
  </si>
  <si>
    <t>Source</t>
  </si>
  <si>
    <t>Metal</t>
  </si>
  <si>
    <t>Reference point</t>
  </si>
  <si>
    <t>Reference flow</t>
  </si>
  <si>
    <t>Value_type</t>
  </si>
  <si>
    <t>Type</t>
  </si>
  <si>
    <t>Value</t>
  </si>
  <si>
    <t>Allocation</t>
  </si>
  <si>
    <t>Argon</t>
  </si>
  <si>
    <t>Not specified</t>
  </si>
  <si>
    <t>Ammonium nitrate</t>
  </si>
  <si>
    <t>t/t Cu</t>
  </si>
  <si>
    <t>No information; assumed 100% to main metal</t>
  </si>
  <si>
    <t>Extracted from Table 15 (originally in US t)</t>
  </si>
  <si>
    <t>Road salt</t>
  </si>
  <si>
    <t>Salt solution</t>
  </si>
  <si>
    <t>Energy</t>
  </si>
  <si>
    <t>Residual oil</t>
  </si>
  <si>
    <t>MJ/t Cu</t>
  </si>
  <si>
    <t>Extracted from Table 14 (originally in mmBtu/t).</t>
  </si>
  <si>
    <t>Diesel</t>
  </si>
  <si>
    <t>Gasoline</t>
  </si>
  <si>
    <t>LPG</t>
  </si>
  <si>
    <t>Silica</t>
  </si>
  <si>
    <t>Oxygen</t>
  </si>
  <si>
    <t>Soda</t>
  </si>
  <si>
    <t>Baryte</t>
  </si>
  <si>
    <t>Liquid caustic soda (50% NaOH)</t>
  </si>
  <si>
    <t>Sodium hydroxide (99% NaOH)</t>
  </si>
  <si>
    <t>Ammonia (99.9%), compressed gas</t>
  </si>
  <si>
    <t>Caustia ammonia (25% aqueous solution)</t>
  </si>
  <si>
    <t>Graphite electrodes</t>
  </si>
  <si>
    <t>Iron powder</t>
  </si>
  <si>
    <t>Chlorine</t>
  </si>
  <si>
    <t>Copper powder</t>
  </si>
  <si>
    <t>Nitric acid (65% HNO3)</t>
  </si>
  <si>
    <t>Hydrochloric acid (37% HCl)</t>
  </si>
  <si>
    <t>Hydrogen peroxide (50% H2O2)</t>
  </si>
  <si>
    <t>t/t Ni</t>
  </si>
  <si>
    <t>Extracted from Table 5 (originally in US t)</t>
  </si>
  <si>
    <t>Steel</t>
  </si>
  <si>
    <t>Soda ash</t>
  </si>
  <si>
    <t>Primary extraction extraction</t>
  </si>
  <si>
    <t>Sulfur</t>
  </si>
  <si>
    <t>Coke</t>
  </si>
  <si>
    <t>Sodium hydroxide</t>
  </si>
  <si>
    <t>Sand</t>
  </si>
  <si>
    <t>Refining</t>
  </si>
  <si>
    <t>Hydrogen</t>
  </si>
  <si>
    <t>MJ/t Ni</t>
  </si>
  <si>
    <t>Extracted from Table 6 (originally in mmBtu)</t>
  </si>
  <si>
    <t>Natural gas</t>
  </si>
  <si>
    <t>Coal</t>
  </si>
  <si>
    <t>metal</t>
  </si>
  <si>
    <t>parameter_name</t>
  </si>
  <si>
    <t>description</t>
  </si>
  <si>
    <t>default</t>
  </si>
  <si>
    <t>min</t>
  </si>
  <si>
    <t>max</t>
  </si>
  <si>
    <t>std</t>
  </si>
  <si>
    <t>distribution</t>
  </si>
  <si>
    <t>unit</t>
  </si>
  <si>
    <t>formula_type</t>
  </si>
  <si>
    <t>formula</t>
  </si>
  <si>
    <t>source</t>
  </si>
  <si>
    <t>comment</t>
  </si>
  <si>
    <t>Ni</t>
  </si>
  <si>
    <t>ore_grade_energy</t>
  </si>
  <si>
    <t>Total energy as a function of ore grade</t>
  </si>
  <si>
    <t>MJ / t metal</t>
  </si>
  <si>
    <t>Power law (E = a * G**-b)</t>
  </si>
  <si>
    <t>E = 106.71 * (G ** -1.032)</t>
  </si>
  <si>
    <t>Argonne GREET 2022 from Wei et al. 2020</t>
  </si>
  <si>
    <t>mining_beneficiation_share</t>
  </si>
  <si>
    <t>Fraction of total energy from mining vs beneficiation</t>
  </si>
  <si>
    <t>Mining 0.517 / Benef 0.483</t>
  </si>
  <si>
    <t>fraction</t>
  </si>
  <si>
    <t>E_mining=E*0.517; E_benef=E*0.483</t>
  </si>
  <si>
    <t>energy_mix_mining</t>
  </si>
  <si>
    <t>Energy mix mining</t>
  </si>
  <si>
    <t>Elec 0.696 / Diesel 0.304</t>
  </si>
  <si>
    <t>E_elec=E_m*0.696; E_diesel=E_m*0.304</t>
  </si>
  <si>
    <t>energy_mix_beneficiation</t>
  </si>
  <si>
    <t>Energy mix beneficiation</t>
  </si>
  <si>
    <t>Elec: 1</t>
  </si>
  <si>
    <t>Cu</t>
  </si>
  <si>
    <t>E = 15.697 * (G ** -0.573)</t>
  </si>
  <si>
    <t>Originally from Northey et al (2013), used in Argonne GREET 2022, Kuipers et al. 2018, in Van der Voet. 2019, Harpeccht et al 2021</t>
  </si>
  <si>
    <t>Mining: 0.367; Beneficiation: 0.633</t>
  </si>
  <si>
    <t>Argonne GREET 2022 from Sanjuan-Delmás et al., 2022</t>
  </si>
  <si>
    <t>Diesel: 0.8099; Elec: 0.1846 Natural gas: 0.055</t>
  </si>
  <si>
    <t xml:space="preserve">Electricity: 0.9965; Natural gas: 0.035 </t>
  </si>
  <si>
    <t>GJ/t</t>
  </si>
  <si>
    <t>E = 25.65*G^-0.366</t>
  </si>
  <si>
    <t>Calvo et al. 2016, extracted from Figure 3</t>
  </si>
  <si>
    <t>Au</t>
  </si>
  <si>
    <t>E = 169.63*G^-0.275</t>
  </si>
  <si>
    <t>Zn</t>
  </si>
  <si>
    <t>E = 47.15*G^-0.786</t>
  </si>
  <si>
    <t>E = 15.63*G^-0.53</t>
  </si>
  <si>
    <t>VanDerVoet2019</t>
  </si>
  <si>
    <t>Pb</t>
  </si>
  <si>
    <t>E=75.42*G^-1</t>
  </si>
  <si>
    <t>E = 198.22*G^-0.406 (sulfides); E = 194.9*G^-0.494 (laterites)</t>
  </si>
  <si>
    <t>E=77.65*G^-1</t>
  </si>
  <si>
    <t>3.5g/t</t>
  </si>
  <si>
    <t>0.5g/t</t>
  </si>
  <si>
    <t>5g/t</t>
  </si>
  <si>
    <t>Need to extract from figures</t>
  </si>
  <si>
    <t>Norgate &amp; Haque. 2012</t>
  </si>
  <si>
    <t>ore_grade_water</t>
  </si>
  <si>
    <t>Total water consumption as a function of ore grade</t>
  </si>
  <si>
    <t>Calvo et al 2022</t>
  </si>
  <si>
    <t>grind_size_energy</t>
  </si>
  <si>
    <t>Bond's formula</t>
  </si>
  <si>
    <t>MetalliCan</t>
  </si>
  <si>
    <t>E = 4.26E+05*G^-0.43</t>
  </si>
  <si>
    <t>Water consumption as a function of ore grade</t>
  </si>
  <si>
    <t>R2 = 0.35</t>
  </si>
  <si>
    <t>E = 4.98E+05*G^-0.61</t>
  </si>
  <si>
    <t>R2 = 0.25</t>
  </si>
  <si>
    <t>raw_material</t>
  </si>
  <si>
    <t>activity_name</t>
  </si>
  <si>
    <t>reference_product</t>
  </si>
  <si>
    <t>location</t>
  </si>
  <si>
    <t>exchange_type</t>
  </si>
  <si>
    <t>input_name</t>
  </si>
  <si>
    <t>input_database</t>
  </si>
  <si>
    <t>input_code</t>
  </si>
  <si>
    <t>amount</t>
  </si>
  <si>
    <t>copper mine operation and beneficiation, sulfide ore</t>
  </si>
  <si>
    <t>technosphere</t>
  </si>
  <si>
    <t>market for aluminium hydroxide factory</t>
  </si>
  <si>
    <t>ecoinvent-3.10-cutoff</t>
  </si>
  <si>
    <t>24c23664742d1d7bfbd3d646634f2720</t>
  </si>
  <si>
    <t>Original amount reported in Classen et al. (2009) regionalised based on geography-specific ore grade (see Sampling Procedure and Turner &amp; Hischier, 2020 for details).
References: 
Classen, M., Althaus, H.-J., Blaser, S., Scharnhost, W., Tuchschmid, M., Jungbluth, N., &amp; Emmenegger, M. F. (2009). Life cycle inventories of metals. Final report, ecoinvent data v2.1, No. 10. DÃ¼bendorf, Switzerland.
Turner, D. A. &amp; Hischier, R. (2020). Life cycle inventories of pyrometallurgical copper production and anode slime processing. Empa, St. Gallen, Switzerland.</t>
  </si>
  <si>
    <t>market for aluminium sulfate, powder</t>
  </si>
  <si>
    <t>c0d478928e7cc93227d2f8ac093def1b</t>
  </si>
  <si>
    <t>market for blasting</t>
  </si>
  <si>
    <t>5eb7e0955908056726c78b884572c7ff</t>
  </si>
  <si>
    <t>market for carbon disulfide</t>
  </si>
  <si>
    <t>d07349537afbc1554f4fe0fca62aefd3</t>
  </si>
  <si>
    <t>8b11c93221742fd1a07a536070dbf623</t>
  </si>
  <si>
    <t>9bf65567f5b88135f3232b06d5bafd00</t>
  </si>
  <si>
    <t>market for conveyor belt</t>
  </si>
  <si>
    <t>8afb9125c7f9943fdc8b13c01501f63f</t>
  </si>
  <si>
    <t>meter</t>
  </si>
  <si>
    <t>market for copper sulfate</t>
  </si>
  <si>
    <t>f2c84d9349e7675fe098a1decc1ac167</t>
  </si>
  <si>
    <t>market for diesel</t>
  </si>
  <si>
    <t>ead9bea3a525e304841425cdd0052655</t>
  </si>
  <si>
    <t>market for diesel, burned in building machine</t>
  </si>
  <si>
    <t>7b503114dd17d341a5d418812fc977be</t>
  </si>
  <si>
    <t>megajoule</t>
  </si>
  <si>
    <t>market for dithiocarbamate-compound</t>
  </si>
  <si>
    <t>0db781197d64d1e1b03de35d12fdc14d</t>
  </si>
  <si>
    <t>market group for electricity, high voltage</t>
  </si>
  <si>
    <t>21b008dfb9916900afa45909a5c30c12</t>
  </si>
  <si>
    <t>kilowatt hour</t>
  </si>
  <si>
    <t>market group for electricity, medium voltage</t>
  </si>
  <si>
    <t>f8d2524d0d4bda1254c2d1ba0a831cb4</t>
  </si>
  <si>
    <t>market for iron pellet</t>
  </si>
  <si>
    <t>c1fab15fe1a0d83a988b5942bdf2d432</t>
  </si>
  <si>
    <t>market for lime, packed</t>
  </si>
  <si>
    <t>dd106810cfd07a7cb5a4cd7e9989fd60</t>
  </si>
  <si>
    <t>market for mine infrastructure, open cast, non-ferrous metal</t>
  </si>
  <si>
    <t>c68a65fc9240bf16b34dde1a1ef1fb43</t>
  </si>
  <si>
    <t>market for mine infrastructure, underground, non-ferrous metal</t>
  </si>
  <si>
    <t>dd6f5faf45e8356588e0efdfa9ef9097</t>
  </si>
  <si>
    <t>market for non-sulfidic tailing, off-site</t>
  </si>
  <si>
    <t>09ac8e11347e6624a98a1ca138424332</t>
  </si>
  <si>
    <t>Original amount reported in Classen et al. (2009) regionalised based on geography-specific ore grade (see Sampling Procedure and Turner &amp; Hischier, 2020 for details).
References: 
Classen, M., Althaus, H.-J., Blaser, S., Scharnhost, W., Tuchschmid, M., Jungbluth, N., &amp; Emmenegger, M. F. (2009). Life cycle inventories of metals. Final report, ecoinvent data v2.1, No. 10. DÃ¼bendorf, Switzerland.
Turner &amp; Hischier (2020). Life cycle inventories of pyrometallurgical copper production and anode slime processing. Empa, St. Gallen, Switzerland.</t>
  </si>
  <si>
    <t>market for potassium carbonate</t>
  </si>
  <si>
    <t>0cd1b1ff755bbdd51904639e34c7527f</t>
  </si>
  <si>
    <t>market for sodium cyanide</t>
  </si>
  <si>
    <t>0beed1f26798d4273323ec10b5eac139</t>
  </si>
  <si>
    <t>market for steel, chromium steel 18/8, hot rolled</t>
  </si>
  <si>
    <t>75af37d43bba95faeb80752e810959ba</t>
  </si>
  <si>
    <t>market for sulfidic tailings, from copper mine operation</t>
  </si>
  <si>
    <t>34a0f6e1fa2090f68692c3b413b7cc09</t>
  </si>
  <si>
    <t>Amount calculated through mass balance of the copper production chain. Source: Turner &amp; Hischier (2020). Life cycle inventories of pyrometallurgical copper production and anode slime processing. Empa, St. Gallen, Switzerland.</t>
  </si>
  <si>
    <t>market for synthetic rubber</t>
  </si>
  <si>
    <t>67e715e9a99ff1fe421b32b1b9c037bd</t>
  </si>
  <si>
    <t>Fe concentrate</t>
  </si>
  <si>
    <t>iron ore mine operation and beneficiation</t>
  </si>
  <si>
    <t>market for ammonium nitrate</t>
  </si>
  <si>
    <t>4936a0f0500ea80bf274e1cf09d139ff</t>
  </si>
  <si>
    <t>The exchange has been updated from 'ammonium nitrate, as N' into 'ammonium nitrate' and therefore its amount has been scaled (multiplied) from 0.0009 kg by 2.8573 kg of 'ammonium nitrate' per kg of 'ammonium nitrate, as N'. Original comment of the exchange is: Calculated Value. Use as an explosive (Anfor).</t>
  </si>
  <si>
    <t>Calculated Value using the total consumption of the plant and substract the amount used for the explosive. Reported in mÂ³.</t>
  </si>
  <si>
    <t>market for diesel, low-sulfur</t>
  </si>
  <si>
    <t>a3f8685f5022cd35a0ebaee5ae5a989d</t>
  </si>
  <si>
    <t>Calculated Value based on this estimation : the explosive Anfo is made of about 94 percent of ammonium nitrate and 6 percent of diesel.
Assumption : diesel low sulfur.</t>
  </si>
  <si>
    <t>market for electricity, high voltage</t>
  </si>
  <si>
    <t>d0d7d353b8ca27cc0effb56c12a47119</t>
  </si>
  <si>
    <t>Measured Value given by data provider (source : questionnaire). Reported as 161 kV mainly and 44 kV. The high voltage is between 44 kV and 315 kV in Quebec
Souce: http://www.hydroquebec.com/transenergie/fr/commerce/pdf/characteristics-and-target-values-of-voltage.pdf</t>
  </si>
  <si>
    <t>78aba9726eeea373a2cd9e5367092904</t>
  </si>
  <si>
    <t>Measured Value given by data provider (source : questionnaire). Reported as diesel sent to incineration.</t>
  </si>
  <si>
    <t>heat production, heavy fuel oil, at industrial furnace 1MW</t>
  </si>
  <si>
    <t>2ff001b4c88fbd227eda77bd2ad48e53</t>
  </si>
  <si>
    <t>Calculated Value. Calculation is based on reported fuel input (in m3), the Net Heating Value of the fuel and efficiency (1/Fuel_use).</t>
  </si>
  <si>
    <t>market for lubricating oil</t>
  </si>
  <si>
    <t>edc11964b6464c188c757f82f869c77b</t>
  </si>
  <si>
    <t>Estimation based on the amount of lubricant burned on site and with the amount of used oil sent to incineration plant.</t>
  </si>
  <si>
    <t>market for mine infrastructure, iron</t>
  </si>
  <si>
    <t>d0a29ce6082ddf9d9cbb3b8ff52b9e7f</t>
  </si>
  <si>
    <t>Estimation based on the ecoinvent iron mine operation, crude ore, 46%, GLO dataset (ecoinvent v3).</t>
  </si>
  <si>
    <t>market for solvent, organic</t>
  </si>
  <si>
    <t>4ca2e594b18dbf86d1034ecbabfdbd06</t>
  </si>
  <si>
    <t>Estimation based on the amount of waste solvent.</t>
  </si>
  <si>
    <t>market for spent solvent mixture</t>
  </si>
  <si>
    <t>087f21c3f228206c6c9c559860d34868</t>
  </si>
  <si>
    <t>Measured Value given by data provider (source : questionnaire). Reported as non-halogenated organic solvents sent to incineration.</t>
  </si>
  <si>
    <t>transport, freight train, diesel</t>
  </si>
  <si>
    <t>34fb4c90cc376739874eac1f4a731605</t>
  </si>
  <si>
    <t>ton kilometer</t>
  </si>
  <si>
    <t>Calculated Value.Transport of the ore from the extra pit to the concentrator.</t>
  </si>
  <si>
    <t>market for waste mineral oil</t>
  </si>
  <si>
    <t>7e3380e62e98e926c429fcf085e2ba3a</t>
  </si>
  <si>
    <t>Measured Value given by data provider (source : questionnaire). Reported as waste oil with BPC concentration less or equal to 3 mg/kg and waste grease sent to incineration.</t>
  </si>
  <si>
    <t>nickel mine operation and benefication to nickel concentrate, 16% Ni</t>
  </si>
  <si>
    <t>The exchange has been updated from 'ammonium nitrate, as N' into 'ammonium nitrate' and therefore its amount has been scaled (multiplied) from 0.002 kg by 2.8573 kg of 'ammonium nitrate' per kg of 'ammonium nitrate, as N'. Original comment of the exchange is: Estimation based on ''iron mine operation and iron ore benefication to 65% Fe, QuÃ©bec 2011'' dataset (based on the extracted ore). 
Assumption : use of explosive Anfo.</t>
  </si>
  <si>
    <t>market for carboxymethyl cellulose, powder</t>
  </si>
  <si>
    <t>a3281f997290a9f8953b895fd70877c6</t>
  </si>
  <si>
    <t>Calculated Values based on the Environmental Impact Assessment and a conversion factor (ore mined in 2010/expected amount of ore according to ElA).
Used as a dispersant.</t>
  </si>
  <si>
    <t>market for cement, CEM II/B</t>
  </si>
  <si>
    <t>1760c90f66850195630efbfd50c4a86c</t>
  </si>
  <si>
    <t>Extrapolation of the dataset 'nickel mine operation, sulfidic ore' based on the amount of extracted ore.</t>
  </si>
  <si>
    <t>Calculated Values based on the Environmental Impact Assessment and a conversion factor (ore mined in 2010/expected amount of ore according to ElA).
Proxy for collector AX350 (79%) and coagulant Percol 368 (cationic polydiallyldimethyl ammonium chloride) (21%).</t>
  </si>
  <si>
    <t>Calculated Value: Stands for the diesel consumption of the mobile equipment used for exploitation like drilling machines, scoop trams and underground trucks. Also, the infrastructure of the machines is included. See exchanges properties for details.</t>
  </si>
  <si>
    <t>market for diesel, burned in diesel-electric generating set, 10MW</t>
  </si>
  <si>
    <t>a872f94efc3b49aecba6218df7e9b8a7</t>
  </si>
  <si>
    <t>Calculated Value. See exchanges properties for details.</t>
  </si>
  <si>
    <t>market for ethylene glycol</t>
  </si>
  <si>
    <t>582656515ee64934d9a0a7643eaea104</t>
  </si>
  <si>
    <t>Calculated Values based on the Environmental Impact Assessment and a conversion factor (ore mined in 2010/expected amount of ore according to ElA).
Reported as anti-freeze. 
Raw data gives the amount of anti-freeze. It was assume a 60% ethylene glycol solution (% by volume), as its freezing point is -55 C (dilution water is neglected as it is marginal compared to the global amount of water consumed on site) (source :  http://www.engineeringtoolbox.com/ethylene-glycol-d_146.html).</t>
  </si>
  <si>
    <t>market for foaming agent</t>
  </si>
  <si>
    <t>e8290bc0826741c263df4a926f958f95</t>
  </si>
  <si>
    <t>Calculated Values based on the Environmental Impact Assessment and a conversion factor (ore mined in 2010/expected amount of ore according to ElA).
Proxy for foaming agent MIBC.</t>
  </si>
  <si>
    <t>market for lime, hydrated, packed</t>
  </si>
  <si>
    <t>0697f9e5c20583b2bb8ca68f0512a267</t>
  </si>
  <si>
    <t>Calculated Value based on the Environmental Impact Assessment and a conversion factor (ore mined in 2010/expected amount of ore according to ElA).</t>
  </si>
  <si>
    <t>Calculated Value. See exchange properties for details.</t>
  </si>
  <si>
    <t>Extrapolation based on mine life time of the underground mine dataset which is 50 years.</t>
  </si>
  <si>
    <t>market for polyacrylamide</t>
  </si>
  <si>
    <t>227e656f165b27c63bc8f69557dda1db</t>
  </si>
  <si>
    <t>Calculated Values based on the Environmental Impact Assessment and a conversion factor (ore mined in 2010/expected amount of ore according to ElA).
Reported as Floculant Percol 155.</t>
  </si>
  <si>
    <t>market for sand</t>
  </si>
  <si>
    <t>5fffa78b1627cf557fd850fb6412289a</t>
  </si>
  <si>
    <t>Calculated value based on nickel, 99.5% dataset (ecoinvent v2).
ecoinvent v2 dataset:
extracted mineral: 110t
sand required: 45,6t
sand required per extracted mineral: 416kg/t
extracted mineral in Quebec mine:1279778 t
total required sand: 416*1279778=532387648kg</t>
  </si>
  <si>
    <t>market for soda ash, dense</t>
  </si>
  <si>
    <t>42efec49aea849cf472f104cc2b76443</t>
  </si>
  <si>
    <t>Calculated Value based on the Environmental Impact Assessment and a conversion factor (ore mined in 2010/expected amount of ore according to ElA).
Used as a ph regulator .</t>
  </si>
  <si>
    <t>market for sulfidic tailings, from nickel mine operation</t>
  </si>
  <si>
    <t>d1f92ee4695761dcf06ecdd1357ce92a</t>
  </si>
  <si>
    <t>Calculated Value based on the Environmental Impact Assessment and a conversion factor (ore mined in 2010/expected amount of ore according to ElA).  
The sulfidic tailings, off-site dataset is used as a proxy, composition of leachage to water may not fully correspond. For the modelled mine, sulfidic tailings remain on site. The landuse in the tailing dataset is much smaller than the one of the modelled mine. Landuse is hence directly added in this mine operation dataset.</t>
  </si>
  <si>
    <t>Au-Ag ingot</t>
  </si>
  <si>
    <t>gold-silver mine operation and beneficiation</t>
  </si>
  <si>
    <t>Measured Value. Used for wastewater treatment.</t>
  </si>
  <si>
    <t>The exchange has been updated from "ammonium nitrate, as N" into "ammonium nitrate" and therefore its amount has been scaled (multiplied) from 22.3965 kg by 2.8573 kg of "ammonium nitrate" per kg of "ammonium nitrate, as N". Original comment of the exchange is: Calculated value. See parameters exchanges properties for details.</t>
  </si>
  <si>
    <t>market for borax, anhydrous, powder</t>
  </si>
  <si>
    <t>9c828f2ab7283a02f144463d5b6779c3</t>
  </si>
  <si>
    <t>Measured Value. Used as Fluxing agent.</t>
  </si>
  <si>
    <t>market for carbon dioxide, liquid</t>
  </si>
  <si>
    <t>4e6b47103213c5f043e6e0b63420c088</t>
  </si>
  <si>
    <t>Measured Value. Used for wastewater treatment. The given amount represent the active agent only, used in a 60-100%  solution.</t>
  </si>
  <si>
    <t>Measured Value. Used for the Merill-Crowe process (gold recovery).</t>
  </si>
  <si>
    <t>market for cement, Portland</t>
  </si>
  <si>
    <t>a21330ea54a20d86434dedad38c15620</t>
  </si>
  <si>
    <t>Measured Value. Extrapolation for ciment type10 (60%) and ciment type 50 (40%).</t>
  </si>
  <si>
    <t>Measured Value. Stands for Collector (3418-A) - aÃ©rophine (91%); Collector (KAX-51) - xantate (3%); lead nitrate (6%, for Merill-Crowe process).</t>
  </si>
  <si>
    <t>market for chromium</t>
  </si>
  <si>
    <t>04eb60a45923068c1bfecca832734111</t>
  </si>
  <si>
    <t>Calculated Value. Different types of steel balls are used. The only available composition contains 15% chromium. We hence assume a composition of 15% chromium and 85% steel for all balls.</t>
  </si>
  <si>
    <t>Measured Value.</t>
  </si>
  <si>
    <t>Calculated value. See parameters exchanges properties for details.</t>
  </si>
  <si>
    <t>Calculated Value. It is assume that the given amount represented the complecte explosive, i.e. 94% ammonium nitrate and 6% petrol.
Assumption : diesel low sulfur.</t>
  </si>
  <si>
    <t>electronics scrap, Recycled Content cut-off</t>
  </si>
  <si>
    <t>2aff8641ed51f091644ddd8a5a5140aa</t>
  </si>
  <si>
    <t>Measured Value. Reported as computer equipement sent to recovery.</t>
  </si>
  <si>
    <t>market for fatty alcohol</t>
  </si>
  <si>
    <t>2a8d2e8f8789704d825a101ec94169cd</t>
  </si>
  <si>
    <t>Measured Value. Reported as Oil-based anti-foaming agent. Stands for CC-5428 (77%), Nalco 7810 (7%) and CC-7425/76 (16% ; for wastewater treatment).</t>
  </si>
  <si>
    <t>market for heat, district or industrial, natural gas</t>
  </si>
  <si>
    <t>56cdf5a6b14bd4aa7c352aa7faaaba45</t>
  </si>
  <si>
    <t>Calculated value based on reported fuel input (in mÂ³), the Net Heating Value of the fuel and assumed efficiency (1/Fuel_use).
See parameters exchanges properties for details.</t>
  </si>
  <si>
    <t>market for hydrogen peroxide, without water, in 50% solution state</t>
  </si>
  <si>
    <t>a8e2902dac4244beb7e3bf9d8d780786</t>
  </si>
  <si>
    <t>Measured Value. For wastewater treatment - Amount is active agent only, to be used in a 70% solution (around 1/3) and a 50% solution.</t>
  </si>
  <si>
    <t>iron scrap, sorted, pressed, Recycled Content cut-off</t>
  </si>
  <si>
    <t>2caf7c89279154622d31aba9048ae432</t>
  </si>
  <si>
    <t>Measured Value. Reported as ferrous metal sent to recovery.</t>
  </si>
  <si>
    <t>market for iron sulfate</t>
  </si>
  <si>
    <t>da626f82cc8f04823a5624fda1c5865e</t>
  </si>
  <si>
    <t>Measured Value used for wastewater treatment.</t>
  </si>
  <si>
    <t>market for lime, hydrated, loose weight</t>
  </si>
  <si>
    <t>d3f885366b87382ac886f9129acf53a1</t>
  </si>
  <si>
    <t>Calculated value. Reported as "grease and oils". See parameters exchanges properties for details.</t>
  </si>
  <si>
    <t>market for manganese dioxide</t>
  </si>
  <si>
    <t>bb8e321698d0549c7911e1f9f0b2556e</t>
  </si>
  <si>
    <t>Calculated Value. Used as oxydising agent. The amount is given for all 4 agents together  (silica sand, manganese dioxide, soda ash, sodium nitrate - we assume 25% of each).</t>
  </si>
  <si>
    <t>Extrapolation based on mine life time of the underground mine dataset which is 50 years. This extrapolation is validated based on the area of buildings. The dataset for the "lead-copper-zinc-silver-gold" mine infrastructure is based on an open-pit mine, hence not representative for this underground mine</t>
  </si>
  <si>
    <t>treatment of municipal solid waste, sanitary landfill</t>
  </si>
  <si>
    <t>31c5e830ab02369451b5691c683f8862</t>
  </si>
  <si>
    <t>Measured Value. Reported as domestic waste sent to landfill.</t>
  </si>
  <si>
    <t>market for oxygen, liquid</t>
  </si>
  <si>
    <t>a2b83f2e17ac21655d847c810cb0e261</t>
  </si>
  <si>
    <t>market for phosphoric acid, industrial grade, without water, in 85% solution state</t>
  </si>
  <si>
    <t>aed3e0b67976e3d8ef24cd5c764688e7</t>
  </si>
  <si>
    <t>Measured Value. Used for wastewater treatment. The amount is the active agent only. It is used in a 85% solution.</t>
  </si>
  <si>
    <t>Measured Value reported as Floculant (Flomin 905MC). Sum of three uses : 1) 9% of total for concentrate handling, 2) 69% of total for backfilling and 3) 22% of total for wastewater treatment.</t>
  </si>
  <si>
    <t>market for polycarboxylates, 40% active substance</t>
  </si>
  <si>
    <t>0755bc039c0cd052cba8f207111ad38d</t>
  </si>
  <si>
    <t>Measured Value. Sum of sodium cyanide (96%, of which 97% is for cyanidation ) and cyanure (4%, proxy,  used for the Merill-Crowe process)</t>
  </si>
  <si>
    <t>market for quicklime, milled, loose</t>
  </si>
  <si>
    <t>e7611df05529447728415707ac70d7ac</t>
  </si>
  <si>
    <t>Measured Value. Reported as quicklime, loose. Assumption : milled. 
Sum of three uses : 1) 56% of total for the Merill-Crowe process (gold recovery), 2) 4% of total for backfilling and 3) 40% of total for wastewater treatment.</t>
  </si>
  <si>
    <t>market for scrap aluminium</t>
  </si>
  <si>
    <t>3e8b740fea6ce3b18d72c763118cc920</t>
  </si>
  <si>
    <t>Measured Value. Reported as non-ferrous metal sent to recovery.</t>
  </si>
  <si>
    <t>f9ca4074c33feff4b874a2a9d1ed5ed2</t>
  </si>
  <si>
    <t>market for soap</t>
  </si>
  <si>
    <t>7aeecd019425971501ff3a3edb26c075</t>
  </si>
  <si>
    <t>Measured Value reported as Foaming agent MIBC.</t>
  </si>
  <si>
    <t>Calculated Value for the first use and Measured Value for the second use. Sum of two uses : 1) 4% of total for oxydising agent - the amount is given for all 4 agents together (silica sand, manganese dioxide, soda ash, sodium nitrate - we assume 25% of each), 2) 96% of total for wastewater treatment.</t>
  </si>
  <si>
    <t>Measured Value. Sum of sodium cyanide (96%, of which 97% is for cyanidation), used in a 30% solution and cyanure (4%, proxy,  used for the Merill-Crowe process).
Proxy: "sodium cyanide" is used as a proxy for Cyanide.</t>
  </si>
  <si>
    <t>market for sodium nitrate</t>
  </si>
  <si>
    <t>7cd9802dc4c8b63e30b839d10780fe13</t>
  </si>
  <si>
    <t>market for sodium silicate, spray powder, 80%</t>
  </si>
  <si>
    <t>ff87e61f3dac0f62892bae9d8178e98c</t>
  </si>
  <si>
    <t>market for steel, unalloyed</t>
  </si>
  <si>
    <t>e14b111cf75357be1123984d55a47665</t>
  </si>
  <si>
    <t>market for sulfidic tailings, generic</t>
  </si>
  <si>
    <t>c0dfa2a032bfe4b3265ad098d5ca3ee5</t>
  </si>
  <si>
    <t>Measured Value. 20% is sent underground to be used as backfill (excluded from the amount); sulfidic tailing is managed on site.</t>
  </si>
  <si>
    <t>market for sulfur dioxide, liquid</t>
  </si>
  <si>
    <t>6108115992cdc8221417bfd7d3e01cbd</t>
  </si>
  <si>
    <t>Measured Value. Reported as rubber protective coating for pumps (amount for grinders not known).</t>
  </si>
  <si>
    <t>market for transport, passenger car, large size, petrol, EURO 3</t>
  </si>
  <si>
    <t>861fb9e384688b60263b851cebabce0d</t>
  </si>
  <si>
    <t>kilometer</t>
  </si>
  <si>
    <t>Calculated value. Reported as liters of petrol used in pickup trucks (5.571E+0 liters/kg). Conversion using : 0.081237 kg/km (taken directly from ecoinvent v3.0 dataset "transport, passenger car, large size, petrol, EURO 3, GLO") and 0.75 kg/l (taken from Table 5.1 of the data quality guideline).</t>
  </si>
  <si>
    <t>Calculated Value. See parameters exchanges properties for details.</t>
  </si>
  <si>
    <t>market for waste plastic, mixture</t>
  </si>
  <si>
    <t>25b28e0089992f4201da4910e268e432</t>
  </si>
  <si>
    <t>Measured Value. Reported as rigid plastic sent to recovery.</t>
  </si>
  <si>
    <t>market for waste wood, untreated</t>
  </si>
  <si>
    <t>ac3aad15ab51101bea0dcdbb1efc5abe</t>
  </si>
  <si>
    <t>Measured Value. Reported as wood sent to recovery.</t>
  </si>
  <si>
    <t>market for zinc</t>
  </si>
  <si>
    <t>644bf8839e5f022ba2efe30bc07ff5f6</t>
  </si>
  <si>
    <t>market for zinc monosulfate</t>
  </si>
  <si>
    <t>b85a8b56c426f894eb6175946e17689a</t>
  </si>
  <si>
    <t>Cu concentrate from AU (Norgate)</t>
  </si>
  <si>
    <t>market for explosive, tovex</t>
  </si>
  <si>
    <t>4039be70f92cb41f235cdc157a5ea398</t>
  </si>
  <si>
    <t>5c11846265475a1ef9369ce4cb55f9be</t>
  </si>
  <si>
    <t>market for sodium ethyl xanthate</t>
  </si>
  <si>
    <t>c81784b557c28b0f0bebe4c292efdf83</t>
  </si>
  <si>
    <t>market for steel, low-alloyed</t>
  </si>
  <si>
    <t>e63f80ed363e1310942b5a66f3f24056</t>
  </si>
  <si>
    <t>e93d5e15fe46c589f383cb9326f8500c</t>
  </si>
  <si>
    <t>Cu concentrate from SE (Sanjuan-DelmÃ¡s)</t>
  </si>
  <si>
    <t>551c407d4bf94e7a4c97e0555e494d94</t>
  </si>
  <si>
    <t>heat production, wood pellet, at furnace 25kW, state-of-the-art 2014</t>
  </si>
  <si>
    <t>1730088585977eb2670072e6f7c528ae</t>
  </si>
  <si>
    <t>d01b9513e63e0d81699426729e398744</t>
  </si>
  <si>
    <t>market for sodium chloride, powder</t>
  </si>
  <si>
    <t>249476105f2d30c8363c97a1907d231a</t>
  </si>
  <si>
    <t>market for sodium chloride, brine solution</t>
  </si>
  <si>
    <t>ddcc250a65bde5006b0ed6943f07f1eb</t>
  </si>
  <si>
    <t>market for aluminium hydroxide</t>
  </si>
  <si>
    <t>c82738661bbd847d85e52126d9216e5d</t>
  </si>
  <si>
    <t>market for light fuel oil</t>
  </si>
  <si>
    <t>f3e9de70f1b2e3c1c499a7a654bbadeb</t>
  </si>
  <si>
    <t>transport, freight train, electricity</t>
  </si>
  <si>
    <t>5e117e366009e1506b4cdf652e7ff40f</t>
  </si>
  <si>
    <t>market for non-sulfidic overburden, off-site</t>
  </si>
  <si>
    <t>f8b5b222d63b923d1d5372f5c4fb9b50</t>
  </si>
  <si>
    <t>treatment of hazardous waste, underground deposit</t>
  </si>
  <si>
    <t>d7462e385ca5f00a80327c56aee3a921</t>
  </si>
  <si>
    <t>a07d0f53c8c04e5a0dcec92ee24a543c</t>
  </si>
  <si>
    <t>market for sewage sludge</t>
  </si>
  <si>
    <t>ec427934f7d12bf537b765a5d81308a1</t>
  </si>
  <si>
    <t>cubic meter</t>
  </si>
  <si>
    <t>treatment of hazardous waste, hazardous waste incineration</t>
  </si>
  <si>
    <t>371b8f7ab3b5940f54efba1ea9e89af9</t>
  </si>
  <si>
    <t>Ni concentrate from AU (Wei)</t>
  </si>
  <si>
    <t>market for natural gas, high pressure</t>
  </si>
  <si>
    <t>168124822c7af05dd85d4e82cedfb116</t>
  </si>
  <si>
    <t>t Cu (not clear)</t>
  </si>
  <si>
    <t>t Ni (not clear)</t>
  </si>
  <si>
    <t>flow_type</t>
  </si>
  <si>
    <t>subflow_type</t>
  </si>
  <si>
    <t>mass_t</t>
  </si>
  <si>
    <t>Material use</t>
  </si>
  <si>
    <t>2'' balls</t>
  </si>
  <si>
    <t>BC-MAIN-aa76f6f2</t>
  </si>
  <si>
    <t>3/4'' balls</t>
  </si>
  <si>
    <t>Anti-scalant</t>
  </si>
  <si>
    <t>Flocculant</t>
  </si>
  <si>
    <t>Polyfroth h57</t>
  </si>
  <si>
    <t>S60 SAG Balls</t>
  </si>
  <si>
    <t>2.5'' balls</t>
  </si>
  <si>
    <t>ON-MAIN-0aadf28f</t>
  </si>
  <si>
    <t>5.5'' balls</t>
  </si>
  <si>
    <t>Caustic soda</t>
  </si>
  <si>
    <t>Cyanide</t>
  </si>
  <si>
    <t>Total blasting agents used e.g. ANFO</t>
  </si>
  <si>
    <t>ON-MAIN-687b8c8d</t>
  </si>
  <si>
    <t>Total sodium cyanide used</t>
  </si>
  <si>
    <t>ON-MAIN-7607a50e</t>
  </si>
  <si>
    <t>ON-MAIN-cb85213a</t>
  </si>
  <si>
    <t>Cement</t>
  </si>
  <si>
    <t>ON-MAIN-fefeaee4</t>
  </si>
  <si>
    <t>Grinding media</t>
  </si>
  <si>
    <t>Hydrochloric acid (HCL)</t>
  </si>
  <si>
    <t>Lubricants</t>
  </si>
  <si>
    <t>Sodium cyanide (NaCN)</t>
  </si>
  <si>
    <t>Tires</t>
  </si>
  <si>
    <t>QC-MAIN-02884fb5</t>
  </si>
  <si>
    <t>Carbon</t>
  </si>
  <si>
    <t>Compressor oil</t>
  </si>
  <si>
    <t>Grease</t>
  </si>
  <si>
    <t>Hydraulic oil</t>
  </si>
  <si>
    <t>Motor/drill oil</t>
  </si>
  <si>
    <t>Sulfur dioxide</t>
  </si>
  <si>
    <t>Transmission oil</t>
  </si>
  <si>
    <t>QC-MAIN-6dc537e6</t>
  </si>
  <si>
    <t>Nitric acid (HNO3)</t>
  </si>
  <si>
    <t>Sulfuric acid (H2SO4)</t>
  </si>
  <si>
    <t>QC-MAIN-9de9bb0d</t>
  </si>
  <si>
    <t>Surface/underground emulsion &amp; ANFO</t>
  </si>
  <si>
    <t>QC-MAIN-b86f7d07</t>
  </si>
  <si>
    <t>YT-MAIN-44857446</t>
  </si>
  <si>
    <t>GRP-0d911886</t>
  </si>
  <si>
    <t>associated_material_category</t>
  </si>
  <si>
    <t>grinding media</t>
  </si>
  <si>
    <t>anti scalant</t>
  </si>
  <si>
    <t>activated carbon</t>
  </si>
  <si>
    <t>ph modifier</t>
  </si>
  <si>
    <t>cement</t>
  </si>
  <si>
    <t>cyanide</t>
  </si>
  <si>
    <t>explosives</t>
  </si>
  <si>
    <t>lubricant</t>
  </si>
  <si>
    <t>floculant</t>
  </si>
  <si>
    <t>acid</t>
  </si>
  <si>
    <t>frother</t>
  </si>
  <si>
    <t>consuming equipment</t>
  </si>
  <si>
    <t>Norgate &amp; Haque 2012</t>
  </si>
  <si>
    <t>1kg refined Au</t>
  </si>
  <si>
    <t>Diesel fuel</t>
  </si>
  <si>
    <t>kg/t ore</t>
  </si>
  <si>
    <t>Economic allocation factor, Au/Ag 45</t>
  </si>
  <si>
    <t>Extracted from Table 2</t>
  </si>
  <si>
    <t>Waste rock</t>
  </si>
  <si>
    <t>t/t ore</t>
  </si>
  <si>
    <t>kWh/t ore</t>
  </si>
  <si>
    <t>Steel balls</t>
  </si>
  <si>
    <t>Extraction and recovery - Flotation</t>
  </si>
  <si>
    <t>Reagents</t>
  </si>
  <si>
    <t>g/t ore</t>
  </si>
  <si>
    <t>Extraction and recovery - Pressure oxidation</t>
  </si>
  <si>
    <t>kWh/t concentrate</t>
  </si>
  <si>
    <t>t/t concentrate</t>
  </si>
  <si>
    <t>MJ/t concentrate</t>
  </si>
  <si>
    <t>Sulphuric acid</t>
  </si>
  <si>
    <t>g/t concentrate</t>
  </si>
  <si>
    <t>Extraction and recovery - Cyanidation</t>
  </si>
  <si>
    <t>Sodium cyanide</t>
  </si>
  <si>
    <t>Tailings (non-refractory ore)</t>
  </si>
  <si>
    <t>Tailings (refractory ore)</t>
  </si>
  <si>
    <t>Extraction and recovery - CIP</t>
  </si>
  <si>
    <t>Hydrochloric acid</t>
  </si>
  <si>
    <t>Extraction and recovery - Electrowinning</t>
  </si>
  <si>
    <t>kWh/t Au</t>
  </si>
  <si>
    <t>Steel wool cathodes</t>
  </si>
  <si>
    <t>t/t Au</t>
  </si>
  <si>
    <t>Extraction and recovery - Smelting</t>
  </si>
  <si>
    <t>GJ/t Au</t>
  </si>
  <si>
    <t>Extraction and recovery - Miscellaneous</t>
  </si>
  <si>
    <t>Fuel</t>
  </si>
  <si>
    <t>kWh/t dore</t>
  </si>
  <si>
    <t>Gold refining (Chlorination process)</t>
  </si>
  <si>
    <t>t/t dore</t>
  </si>
  <si>
    <t>Gold refining (Electrolytic process)</t>
  </si>
  <si>
    <t>Silver refining (Electrolytic process)</t>
  </si>
  <si>
    <t>kWh/t Ag</t>
  </si>
  <si>
    <t>Associated_material_category</t>
  </si>
  <si>
    <t>Reagants</t>
  </si>
  <si>
    <t>Product stream</t>
  </si>
  <si>
    <t>Acid</t>
  </si>
  <si>
    <t>PH modifier</t>
  </si>
  <si>
    <t>Activated carbon</t>
  </si>
  <si>
    <t>Consumable</t>
  </si>
  <si>
    <t>Sulfidic ore</t>
  </si>
  <si>
    <t>OP mining, OG = 3.5g/t, mix of refractory (needs flotation and pressure-oxidation) and non-refractory</t>
  </si>
  <si>
    <t>Process</t>
  </si>
  <si>
    <t>Process detailed</t>
  </si>
  <si>
    <t>Cu-Ni</t>
  </si>
  <si>
    <t>Fritz2022</t>
  </si>
  <si>
    <t>Article</t>
  </si>
  <si>
    <t>Norgate and Haque, 2012</t>
  </si>
  <si>
    <t>Unknown</t>
  </si>
  <si>
    <t>CA?</t>
  </si>
  <si>
    <t>1 kg Cu concentrate</t>
  </si>
  <si>
    <t>Norgate and Haque, 2010</t>
  </si>
  <si>
    <t>Imported from Lai et al (2025)</t>
  </si>
  <si>
    <t>site_id</t>
  </si>
  <si>
    <t>ore_processed_t</t>
  </si>
  <si>
    <t>value_normalized</t>
  </si>
  <si>
    <t>functional_unit</t>
  </si>
  <si>
    <t>allocation_factor</t>
  </si>
  <si>
    <t>normalization_key</t>
  </si>
  <si>
    <t>Au and Cu, Underground mining and beneficiation at New Afton</t>
  </si>
  <si>
    <t>Ore processed</t>
  </si>
  <si>
    <t>ore</t>
  </si>
  <si>
    <t>Au, Open-pit and underground mining and beneficiation at Rainy River</t>
  </si>
  <si>
    <t>Au, Underground mining and beneficiation at Island</t>
  </si>
  <si>
    <t>Au, Underground mining and beneficiation at Young-Davidson</t>
  </si>
  <si>
    <t>Au, Underground mining and beneficiation at Eagle River</t>
  </si>
  <si>
    <t>Au, Underground mining and beneficiation at Musselwhite</t>
  </si>
  <si>
    <t>Au and Ag, Underground mining and beneficiation at Westwood-Doyon</t>
  </si>
  <si>
    <t>Au and Ag, Open-pit mining and beneficiation at Kiena</t>
  </si>
  <si>
    <t>Au and Ag, Open-pit and underground mining and beneficiation at Casa Berardi</t>
  </si>
  <si>
    <t>Ag and Zn and Pb, Underground mining and beneficiation at Keno Hill Silver District</t>
  </si>
  <si>
    <t>Au, Open-pit and underground mining at Porcupine complex</t>
  </si>
  <si>
    <t>mining_method</t>
  </si>
  <si>
    <t>archetype</t>
  </si>
  <si>
    <t>Underground, concentrator</t>
  </si>
  <si>
    <t>Cu-Au Porphyry sulfide, flotation-based</t>
  </si>
  <si>
    <t>Open-pit, underground</t>
  </si>
  <si>
    <t>Open-pit, underground, concentrator</t>
  </si>
  <si>
    <t>Open-pit, concentrator</t>
  </si>
  <si>
    <t>Free-milling</t>
  </si>
  <si>
    <t>Au and Ag, Underground mining and beneficiation at Eleonore</t>
  </si>
  <si>
    <t>mean</t>
  </si>
  <si>
    <t>consuming_equipment</t>
  </si>
  <si>
    <t>grinding_media</t>
  </si>
  <si>
    <t>ph_modifier</t>
  </si>
  <si>
    <t>anti_scalant</t>
  </si>
  <si>
    <t>activated_carbon</t>
  </si>
  <si>
    <t>nb_of_sites</t>
  </si>
  <si>
    <t>min_kg_tore</t>
  </si>
  <si>
    <t>max_kg_tore</t>
  </si>
  <si>
    <t>mean_kg_tore</t>
  </si>
  <si>
    <t>Norgate and Haque</t>
  </si>
  <si>
    <t>Underground</t>
  </si>
  <si>
    <t>Hybrid</t>
  </si>
  <si>
    <t>AUTHORS</t>
  </si>
  <si>
    <t>LINK</t>
  </si>
  <si>
    <t>Argonne National Laboratory. 2022. “Life-Cycle Inventory of Critical Materials: Nickel, Copper, Titanium and Rare-Earth Elements.” https://publications.anl.gov/anlpubs/2022/12/178670.pdf.</t>
  </si>
  <si>
    <t>Norgate, Terry, and Nawshad Haque. 2012. “Using Life Cycle Assessment to Evaluate Some Environmental Impacts of Gold Production.” Journal of Cleaner Production 29–30 (July):53–63. https://doi.org/10.1016/j.jclepro.2012.01.042.</t>
  </si>
  <si>
    <t>Northey, S., N. Haque, and G. Mudd. 2013. “Using Sustainability Reporting to Assess the Environmental Footprint of Copper Mining.” Journal of Cleaner Production 40 (February):118–28. https://doi.org/10.1016/j.jclepro.2012.09.027.</t>
  </si>
  <si>
    <t>Sanjuan-Delmás, D., R. A. F. Alvarenga, M. Lindblom, T. C. Kampmann, Lauran Van Oers, Jeroen B. Guinée, and J. Dewulf. 2022. “Environmental Assessment of Copper Production in Europe: An LCA Case Study from Sweden Conducted Using Two Conventional Software-Database Setups.” The International Journal of Life Cycle Assessment 27 (2): 255–66. https://doi.org/10.1007/s11367-021-02018-5.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</si>
</sst>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000"/>
    <numFmt numFmtId="169" formatCode="0.000"/>
  </numFmts>
  <fonts count="12">
    <font>
      <sz val="11"/>
      <color theme="1"/>
      <name val="Calibri"/>
      <family val="2"/>
      <scheme val="minor"/>
    </font>
    <font>
      <b/>
      <sz val="11"/>
      <color theme="1"/>
      <name val="Calibri"/>
      <family val="2"/>
      <scheme val="minor"/>
    </font>
    <font>
      <sz val="11"/>
      <name val="Calibri"/>
      <family val="2"/>
      <scheme val="minor"/>
    </font>
    <font>
      <sz val="9.8000000000000007"/>
      <name val="Calibri"/>
      <family val="2"/>
      <scheme val="minor"/>
    </font>
    <font>
      <i/>
      <sz val="11"/>
      <color theme="1"/>
      <name val="Calibri"/>
      <family val="2"/>
      <scheme val="minor"/>
    </font>
    <font>
      <b/>
      <sz val="11"/>
      <color theme="1"/>
      <name val="Aptos Narrow"/>
      <family val="2"/>
    </font>
    <font>
      <sz val="11"/>
      <color theme="1"/>
      <name val="Calibri"/>
      <family val="2"/>
      <scheme val="minor"/>
    </font>
    <font>
      <sz val="11"/>
      <color rgb="FF000000"/>
      <name val="Calibri"/>
      <family val="2"/>
      <scheme val="minor"/>
    </font>
    <font>
      <b/>
      <sz val="11"/>
      <color rgb="FF000000"/>
      <name val="Arial"/>
      <family val="2"/>
    </font>
    <font>
      <sz val="11"/>
      <color rgb="FF000000"/>
      <name val="Arial"/>
      <family val="2"/>
    </font>
    <font>
      <sz val="10"/>
      <color theme="1"/>
      <name val="Arial Unicode MS"/>
    </font>
    <font>
      <u/>
      <sz val="11"/>
      <color theme="10"/>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9" tint="0.79998168889431442"/>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s>
  <cellStyleXfs count="2">
    <xf numFmtId="0" fontId="0" fillId="0" borderId="0"/>
    <xf numFmtId="0" fontId="11" fillId="0" borderId="0" applyNumberFormat="0" applyFill="0" applyBorder="0" applyAlignment="0" applyProtection="0"/>
  </cellStyleXfs>
  <cellXfs count="38">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vertical="center"/>
    </xf>
    <xf numFmtId="0" fontId="3" fillId="0" borderId="0" xfId="0" applyFont="1" applyAlignment="1">
      <alignment vertical="center"/>
    </xf>
    <xf numFmtId="0" fontId="0" fillId="0" borderId="0" xfId="0" applyAlignment="1">
      <alignment wrapText="1"/>
    </xf>
    <xf numFmtId="0" fontId="0" fillId="2" borderId="0" xfId="0" applyFill="1"/>
    <xf numFmtId="0" fontId="0" fillId="2" borderId="0" xfId="0" applyFill="1" applyAlignment="1">
      <alignment wrapText="1"/>
    </xf>
    <xf numFmtId="0" fontId="5" fillId="0" borderId="0" xfId="0" applyFont="1"/>
    <xf numFmtId="0" fontId="8" fillId="0" borderId="0" xfId="0" applyFont="1"/>
    <xf numFmtId="0" fontId="9" fillId="0" borderId="0" xfId="0" applyFont="1"/>
    <xf numFmtId="0" fontId="6" fillId="0" borderId="0" xfId="0" applyFont="1"/>
    <xf numFmtId="0" fontId="1" fillId="0" borderId="0" xfId="0" applyFont="1" applyAlignment="1">
      <alignment horizontal="center" vertical="center"/>
    </xf>
    <xf numFmtId="0" fontId="6" fillId="0" borderId="0" xfId="0" applyFont="1" applyAlignment="1">
      <alignment vertical="center"/>
    </xf>
    <xf numFmtId="0" fontId="10" fillId="0" borderId="0" xfId="0" applyFont="1" applyAlignment="1">
      <alignment vertical="center"/>
    </xf>
    <xf numFmtId="0" fontId="1" fillId="0" borderId="1" xfId="0" applyFont="1" applyBorder="1" applyAlignment="1">
      <alignment horizontal="center" vertical="top"/>
    </xf>
    <xf numFmtId="0" fontId="1" fillId="0" borderId="2" xfId="0" applyFont="1" applyBorder="1" applyAlignment="1">
      <alignment horizontal="center" vertical="top"/>
    </xf>
    <xf numFmtId="3" fontId="0" fillId="0" borderId="0" xfId="0" applyNumberFormat="1"/>
    <xf numFmtId="0" fontId="6" fillId="3" borderId="0" xfId="0" applyFont="1" applyFill="1" applyAlignment="1">
      <alignment vertical="center"/>
    </xf>
    <xf numFmtId="164" fontId="6" fillId="3" borderId="0" xfId="0" applyNumberFormat="1" applyFont="1" applyFill="1" applyAlignment="1">
      <alignment vertical="center"/>
    </xf>
    <xf numFmtId="165" fontId="6" fillId="3" borderId="0" xfId="0" applyNumberFormat="1" applyFont="1" applyFill="1" applyAlignment="1">
      <alignment vertical="center"/>
    </xf>
    <xf numFmtId="3" fontId="6" fillId="3" borderId="0" xfId="0" applyNumberFormat="1" applyFont="1" applyFill="1" applyAlignment="1">
      <alignment vertical="center"/>
    </xf>
    <xf numFmtId="0" fontId="10" fillId="3" borderId="0" xfId="0" applyFont="1" applyFill="1"/>
    <xf numFmtId="0" fontId="0" fillId="3" borderId="0" xfId="0" applyFill="1"/>
    <xf numFmtId="166" fontId="6" fillId="3" borderId="0" xfId="0" applyNumberFormat="1" applyFont="1" applyFill="1" applyAlignment="1">
      <alignment vertical="center"/>
    </xf>
    <xf numFmtId="4" fontId="6" fillId="3" borderId="0" xfId="0" applyNumberFormat="1" applyFont="1" applyFill="1" applyAlignment="1">
      <alignment vertical="center"/>
    </xf>
    <xf numFmtId="0" fontId="0" fillId="0" borderId="0" xfId="0" applyAlignment="1">
      <alignment horizontal="left" vertical="top"/>
    </xf>
    <xf numFmtId="0" fontId="0" fillId="0" borderId="0" xfId="0" applyAlignment="1">
      <alignment horizontal="center" vertical="center"/>
    </xf>
    <xf numFmtId="11" fontId="0" fillId="0" borderId="0" xfId="0" applyNumberFormat="1"/>
    <xf numFmtId="0" fontId="7" fillId="0" borderId="0" xfId="0" applyFont="1" applyAlignment="1">
      <alignment horizontal="left" vertical="center"/>
    </xf>
    <xf numFmtId="0" fontId="0" fillId="4" borderId="0" xfId="0" applyFill="1"/>
    <xf numFmtId="0" fontId="0" fillId="0" borderId="0" xfId="0" applyAlignment="1">
      <alignment horizontal="left" vertical="center"/>
    </xf>
    <xf numFmtId="0" fontId="0" fillId="0" borderId="0" xfId="0" applyAlignment="1">
      <alignment horizontal="right"/>
    </xf>
    <xf numFmtId="0" fontId="7" fillId="0" borderId="0" xfId="0" applyFont="1"/>
    <xf numFmtId="0" fontId="0" fillId="0" borderId="3" xfId="0" applyBorder="1"/>
    <xf numFmtId="169" fontId="0" fillId="0" borderId="0" xfId="0" applyNumberFormat="1"/>
    <xf numFmtId="0" fontId="11"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doi.org/10.1016/j.jclepro.2012.09.027" TargetMode="External"/><Relationship Id="rId2" Type="http://schemas.openxmlformats.org/officeDocument/2006/relationships/hyperlink" Target="https://doi.org/10.1016/j.jclepro.2012.01.042" TargetMode="External"/><Relationship Id="rId1" Type="http://schemas.openxmlformats.org/officeDocument/2006/relationships/hyperlink" Target="https://publications.anl.gov/anlpubs/2022/12/178670.pdf" TargetMode="External"/><Relationship Id="rId4" Type="http://schemas.openxmlformats.org/officeDocument/2006/relationships/hyperlink" Target="https://doi.org/10.1007/s11367-021-02018-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78E7-FB13-4EB3-85B8-70F6C4AC1D7C}">
  <sheetPr>
    <tabColor rgb="FFC00000"/>
  </sheetPr>
  <dimension ref="A1:B4"/>
  <sheetViews>
    <sheetView workbookViewId="0">
      <selection activeCell="F30" sqref="F30"/>
    </sheetView>
  </sheetViews>
  <sheetFormatPr baseColWidth="10" defaultRowHeight="14.5"/>
  <cols>
    <col min="1" max="1" width="16.7265625" bestFit="1" customWidth="1"/>
    <col min="2" max="2" width="62.81640625" bestFit="1" customWidth="1"/>
  </cols>
  <sheetData>
    <row r="1" spans="1:2" ht="14.25" customHeight="1">
      <c r="A1" s="9" t="s">
        <v>319</v>
      </c>
      <c r="B1" t="s">
        <v>316</v>
      </c>
    </row>
    <row r="2" spans="1:2" ht="14.25" customHeight="1">
      <c r="A2" s="9" t="s">
        <v>320</v>
      </c>
      <c r="B2" t="s">
        <v>317</v>
      </c>
    </row>
    <row r="3" spans="1:2" ht="14.25" customHeight="1">
      <c r="A3" s="9" t="s">
        <v>321</v>
      </c>
    </row>
    <row r="4" spans="1:2" ht="14.25" customHeight="1">
      <c r="A4" s="9" t="s">
        <v>318</v>
      </c>
      <c r="B4" t="s">
        <v>322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10"/>
  <sheetViews>
    <sheetView topLeftCell="A86" zoomScaleNormal="100" workbookViewId="0">
      <selection activeCell="C104" sqref="C104"/>
    </sheetView>
  </sheetViews>
  <sheetFormatPr baseColWidth="10" defaultColWidth="8.7265625" defaultRowHeight="14.5"/>
  <cols>
    <col min="1" max="1" width="18.54296875" bestFit="1" customWidth="1"/>
    <col min="2" max="2" width="74.26953125" customWidth="1"/>
    <col min="3" max="3" width="53.54296875" bestFit="1" customWidth="1"/>
    <col min="4" max="4" width="73.36328125" customWidth="1"/>
    <col min="5" max="5" width="35.1796875" customWidth="1"/>
    <col min="6" max="6" width="12" bestFit="1" customWidth="1"/>
    <col min="7" max="7" width="41.6328125" style="6" customWidth="1"/>
    <col min="8" max="8" width="23.26953125" bestFit="1" customWidth="1"/>
    <col min="9" max="9" width="12.26953125" bestFit="1" customWidth="1"/>
    <col min="10" max="10" width="22.6328125" bestFit="1" customWidth="1"/>
    <col min="11" max="11" width="19.26953125" customWidth="1"/>
    <col min="12" max="12" width="255.81640625" bestFit="1" customWidth="1"/>
    <col min="13" max="13" width="255.6328125" bestFit="1" customWidth="1"/>
  </cols>
  <sheetData>
    <row r="1" spans="1:13" s="1" customFormat="1">
      <c r="A1" s="1" t="s">
        <v>0</v>
      </c>
      <c r="B1" s="1" t="s">
        <v>1</v>
      </c>
      <c r="C1" s="1" t="s">
        <v>2</v>
      </c>
      <c r="D1" s="1" t="s">
        <v>3</v>
      </c>
      <c r="E1" s="1" t="s">
        <v>4</v>
      </c>
      <c r="F1" s="1" t="s">
        <v>5</v>
      </c>
      <c r="G1" s="2" t="s">
        <v>6</v>
      </c>
      <c r="H1" s="1" t="s">
        <v>7</v>
      </c>
      <c r="I1" s="1" t="s">
        <v>8</v>
      </c>
      <c r="J1" s="1" t="s">
        <v>254</v>
      </c>
      <c r="K1" s="1" t="s">
        <v>273</v>
      </c>
      <c r="L1" s="1" t="s">
        <v>9</v>
      </c>
      <c r="M1" s="1" t="s">
        <v>245</v>
      </c>
    </row>
    <row r="2" spans="1:13">
      <c r="A2" t="s">
        <v>24</v>
      </c>
      <c r="B2" t="s">
        <v>39</v>
      </c>
      <c r="C2" t="s">
        <v>40</v>
      </c>
      <c r="D2" t="s">
        <v>41</v>
      </c>
      <c r="E2" t="s">
        <v>42</v>
      </c>
      <c r="F2" t="s">
        <v>43</v>
      </c>
      <c r="G2" s="6" t="s">
        <v>44</v>
      </c>
      <c r="H2" t="s">
        <v>45</v>
      </c>
      <c r="I2" t="s">
        <v>17</v>
      </c>
      <c r="L2" t="s">
        <v>46</v>
      </c>
    </row>
    <row r="3" spans="1:13" s="1" customFormat="1" ht="29">
      <c r="A3" t="s">
        <v>24</v>
      </c>
      <c r="B3" t="s">
        <v>39</v>
      </c>
      <c r="C3" t="s">
        <v>40</v>
      </c>
      <c r="D3" t="s">
        <v>47</v>
      </c>
      <c r="E3" t="s">
        <v>48</v>
      </c>
      <c r="F3" t="s">
        <v>25</v>
      </c>
      <c r="G3" s="6" t="s">
        <v>49</v>
      </c>
      <c r="H3" t="s">
        <v>45</v>
      </c>
      <c r="I3" t="s">
        <v>17</v>
      </c>
      <c r="J3"/>
      <c r="K3"/>
      <c r="L3" t="s">
        <v>50</v>
      </c>
      <c r="M3"/>
    </row>
    <row r="4" spans="1:13" s="1" customFormat="1">
      <c r="A4" t="s">
        <v>24</v>
      </c>
      <c r="B4" t="s">
        <v>39</v>
      </c>
      <c r="C4"/>
      <c r="D4" t="s">
        <v>106</v>
      </c>
      <c r="E4" t="s">
        <v>107</v>
      </c>
      <c r="F4" t="s">
        <v>43</v>
      </c>
      <c r="G4" s="6" t="s">
        <v>34</v>
      </c>
      <c r="H4"/>
      <c r="I4" t="s">
        <v>17</v>
      </c>
      <c r="J4"/>
      <c r="K4"/>
      <c r="L4" t="s">
        <v>108</v>
      </c>
      <c r="M4"/>
    </row>
    <row r="5" spans="1:13" s="1" customFormat="1">
      <c r="A5" t="s">
        <v>127</v>
      </c>
      <c r="B5" t="s">
        <v>39</v>
      </c>
      <c r="C5"/>
      <c r="D5" t="s">
        <v>128</v>
      </c>
      <c r="E5" t="s">
        <v>128</v>
      </c>
      <c r="F5" t="s">
        <v>23</v>
      </c>
      <c r="G5" s="6"/>
      <c r="H5"/>
      <c r="I5" t="s">
        <v>17</v>
      </c>
      <c r="J5"/>
      <c r="K5"/>
      <c r="L5"/>
      <c r="M5"/>
    </row>
    <row r="6" spans="1:13">
      <c r="A6" t="s">
        <v>127</v>
      </c>
      <c r="B6" t="s">
        <v>39</v>
      </c>
      <c r="D6" t="s">
        <v>129</v>
      </c>
      <c r="E6" t="s">
        <v>48</v>
      </c>
      <c r="F6" t="s">
        <v>25</v>
      </c>
      <c r="I6" t="s">
        <v>17</v>
      </c>
    </row>
    <row r="7" spans="1:13">
      <c r="A7" t="s">
        <v>127</v>
      </c>
      <c r="B7" t="s">
        <v>39</v>
      </c>
      <c r="D7" t="s">
        <v>130</v>
      </c>
      <c r="E7" t="s">
        <v>48</v>
      </c>
      <c r="F7" t="s">
        <v>25</v>
      </c>
      <c r="I7" t="s">
        <v>17</v>
      </c>
    </row>
    <row r="8" spans="1:13">
      <c r="A8" t="s">
        <v>127</v>
      </c>
      <c r="B8" t="s">
        <v>39</v>
      </c>
      <c r="C8" t="s">
        <v>40</v>
      </c>
      <c r="D8" t="s">
        <v>131</v>
      </c>
      <c r="E8" t="s">
        <v>107</v>
      </c>
      <c r="F8" t="s">
        <v>43</v>
      </c>
      <c r="I8" t="s">
        <v>17</v>
      </c>
      <c r="L8" t="s">
        <v>132</v>
      </c>
    </row>
    <row r="9" spans="1:13">
      <c r="A9" t="s">
        <v>127</v>
      </c>
      <c r="B9" t="s">
        <v>39</v>
      </c>
      <c r="C9" t="s">
        <v>40</v>
      </c>
      <c r="D9" t="s">
        <v>133</v>
      </c>
      <c r="E9" t="s">
        <v>42</v>
      </c>
      <c r="F9" t="s">
        <v>43</v>
      </c>
      <c r="I9" t="s">
        <v>17</v>
      </c>
      <c r="L9" t="s">
        <v>134</v>
      </c>
    </row>
    <row r="10" spans="1:13">
      <c r="A10" t="s">
        <v>127</v>
      </c>
      <c r="B10" t="s">
        <v>39</v>
      </c>
      <c r="C10" t="s">
        <v>40</v>
      </c>
      <c r="D10" t="s">
        <v>135</v>
      </c>
      <c r="E10" t="s">
        <v>107</v>
      </c>
      <c r="F10" t="s">
        <v>43</v>
      </c>
      <c r="I10" t="s">
        <v>17</v>
      </c>
      <c r="L10" t="s">
        <v>132</v>
      </c>
    </row>
    <row r="11" spans="1:13">
      <c r="A11" t="s">
        <v>127</v>
      </c>
      <c r="B11" t="s">
        <v>39</v>
      </c>
      <c r="C11" t="s">
        <v>40</v>
      </c>
      <c r="D11" t="s">
        <v>136</v>
      </c>
      <c r="E11" t="s">
        <v>107</v>
      </c>
      <c r="F11" t="s">
        <v>43</v>
      </c>
      <c r="I11" t="s">
        <v>17</v>
      </c>
      <c r="L11" t="s">
        <v>137</v>
      </c>
    </row>
    <row r="12" spans="1:13">
      <c r="A12" t="s">
        <v>127</v>
      </c>
      <c r="B12" t="s">
        <v>39</v>
      </c>
      <c r="C12" t="s">
        <v>40</v>
      </c>
      <c r="D12" t="s">
        <v>138</v>
      </c>
      <c r="E12" t="s">
        <v>42</v>
      </c>
      <c r="F12" t="s">
        <v>43</v>
      </c>
      <c r="I12" t="s">
        <v>17</v>
      </c>
      <c r="L12" t="s">
        <v>139</v>
      </c>
    </row>
    <row r="13" spans="1:13">
      <c r="A13" t="s">
        <v>127</v>
      </c>
      <c r="B13" t="s">
        <v>39</v>
      </c>
      <c r="C13" t="s">
        <v>140</v>
      </c>
      <c r="D13" t="s">
        <v>141</v>
      </c>
      <c r="E13" t="s">
        <v>142</v>
      </c>
      <c r="F13" t="s">
        <v>25</v>
      </c>
      <c r="I13" t="s">
        <v>17</v>
      </c>
      <c r="L13" t="s">
        <v>143</v>
      </c>
    </row>
    <row r="14" spans="1:13">
      <c r="A14" t="s">
        <v>127</v>
      </c>
      <c r="B14" t="s">
        <v>39</v>
      </c>
      <c r="C14" t="s">
        <v>140</v>
      </c>
      <c r="D14" t="s">
        <v>144</v>
      </c>
      <c r="E14" t="s">
        <v>142</v>
      </c>
      <c r="F14" t="s">
        <v>25</v>
      </c>
      <c r="I14" t="s">
        <v>17</v>
      </c>
      <c r="L14" t="s">
        <v>143</v>
      </c>
    </row>
    <row r="15" spans="1:13" ht="29">
      <c r="A15" t="s">
        <v>229</v>
      </c>
      <c r="B15" t="s">
        <v>19</v>
      </c>
      <c r="C15" t="s">
        <v>284</v>
      </c>
      <c r="D15" t="s">
        <v>286</v>
      </c>
      <c r="E15" t="s">
        <v>285</v>
      </c>
      <c r="G15" s="6" t="s">
        <v>280</v>
      </c>
      <c r="H15" t="s">
        <v>310</v>
      </c>
      <c r="I15" t="s">
        <v>17</v>
      </c>
      <c r="K15" t="s">
        <v>282</v>
      </c>
      <c r="L15" t="s">
        <v>281</v>
      </c>
    </row>
    <row r="16" spans="1:13" ht="43.5">
      <c r="A16" t="s">
        <v>10</v>
      </c>
      <c r="B16" t="s">
        <v>240</v>
      </c>
      <c r="C16" s="6" t="s">
        <v>260</v>
      </c>
      <c r="D16" t="s">
        <v>231</v>
      </c>
      <c r="E16" t="s">
        <v>20</v>
      </c>
      <c r="F16" t="s">
        <v>21</v>
      </c>
      <c r="G16" s="6" t="s">
        <v>22</v>
      </c>
      <c r="H16" t="s">
        <v>230</v>
      </c>
      <c r="I16" t="s">
        <v>17</v>
      </c>
      <c r="J16" t="s">
        <v>255</v>
      </c>
      <c r="K16" t="s">
        <v>247</v>
      </c>
      <c r="L16" t="s">
        <v>244</v>
      </c>
      <c r="M16" t="s">
        <v>246</v>
      </c>
    </row>
    <row r="17" spans="1:13">
      <c r="A17" t="s">
        <v>10</v>
      </c>
      <c r="B17" t="s">
        <v>241</v>
      </c>
      <c r="C17" t="s">
        <v>239</v>
      </c>
      <c r="D17" t="s">
        <v>232</v>
      </c>
      <c r="E17" t="s">
        <v>234</v>
      </c>
      <c r="F17" t="s">
        <v>233</v>
      </c>
      <c r="G17" s="6" t="s">
        <v>259</v>
      </c>
      <c r="H17" t="s">
        <v>230</v>
      </c>
      <c r="I17" t="s">
        <v>17</v>
      </c>
      <c r="J17">
        <v>2012</v>
      </c>
      <c r="K17" t="s">
        <v>248</v>
      </c>
      <c r="L17" t="s">
        <v>250</v>
      </c>
      <c r="M17" t="s">
        <v>249</v>
      </c>
    </row>
    <row r="18" spans="1:13" hidden="1">
      <c r="A18" t="s">
        <v>24</v>
      </c>
      <c r="B18" t="s">
        <v>30</v>
      </c>
      <c r="C18" t="s">
        <v>31</v>
      </c>
      <c r="D18" t="s">
        <v>32</v>
      </c>
      <c r="E18" t="s">
        <v>33</v>
      </c>
      <c r="F18" t="s">
        <v>25</v>
      </c>
      <c r="G18" s="6" t="s">
        <v>34</v>
      </c>
      <c r="I18" t="s">
        <v>17</v>
      </c>
      <c r="K18" t="s">
        <v>251</v>
      </c>
      <c r="L18" t="s">
        <v>35</v>
      </c>
    </row>
    <row r="19" spans="1:13" hidden="1">
      <c r="A19" t="s">
        <v>24</v>
      </c>
      <c r="B19" t="s">
        <v>30</v>
      </c>
      <c r="D19" t="s">
        <v>37</v>
      </c>
      <c r="E19" t="s">
        <v>38</v>
      </c>
      <c r="F19" t="s">
        <v>25</v>
      </c>
      <c r="I19" t="s">
        <v>17</v>
      </c>
      <c r="L19" t="s">
        <v>29</v>
      </c>
    </row>
    <row r="20" spans="1:13" hidden="1">
      <c r="A20" t="s">
        <v>24</v>
      </c>
      <c r="B20" t="s">
        <v>30</v>
      </c>
      <c r="C20" t="s">
        <v>51</v>
      </c>
      <c r="D20" t="s">
        <v>52</v>
      </c>
      <c r="E20" t="s">
        <v>53</v>
      </c>
      <c r="F20" t="s">
        <v>25</v>
      </c>
      <c r="G20" s="6" t="s">
        <v>36</v>
      </c>
      <c r="H20" t="s">
        <v>54</v>
      </c>
      <c r="I20" t="s">
        <v>17</v>
      </c>
      <c r="L20" t="s">
        <v>55</v>
      </c>
    </row>
    <row r="21" spans="1:13" ht="29" hidden="1">
      <c r="A21" t="s">
        <v>24</v>
      </c>
      <c r="B21" t="s">
        <v>30</v>
      </c>
      <c r="C21" t="s">
        <v>51</v>
      </c>
      <c r="D21" t="s">
        <v>56</v>
      </c>
      <c r="E21" t="s">
        <v>57</v>
      </c>
      <c r="F21" t="s">
        <v>25</v>
      </c>
      <c r="G21" s="6" t="s">
        <v>58</v>
      </c>
      <c r="I21" t="s">
        <v>17</v>
      </c>
      <c r="L21" s="6" t="s">
        <v>59</v>
      </c>
    </row>
    <row r="22" spans="1:13" hidden="1">
      <c r="A22" t="s">
        <v>24</v>
      </c>
      <c r="B22" t="s">
        <v>30</v>
      </c>
      <c r="C22" t="s">
        <v>51</v>
      </c>
      <c r="D22" t="s">
        <v>60</v>
      </c>
      <c r="E22" t="s">
        <v>61</v>
      </c>
      <c r="F22" t="s">
        <v>25</v>
      </c>
      <c r="G22" s="6" t="s">
        <v>36</v>
      </c>
      <c r="I22" t="s">
        <v>17</v>
      </c>
      <c r="L22" t="s">
        <v>62</v>
      </c>
    </row>
    <row r="23" spans="1:13" hidden="1">
      <c r="A23" t="s">
        <v>24</v>
      </c>
      <c r="B23" t="s">
        <v>30</v>
      </c>
      <c r="C23" t="s">
        <v>51</v>
      </c>
      <c r="D23" t="s">
        <v>63</v>
      </c>
      <c r="E23" t="s">
        <v>64</v>
      </c>
      <c r="F23" t="s">
        <v>25</v>
      </c>
      <c r="I23" t="s">
        <v>17</v>
      </c>
      <c r="L23" t="s">
        <v>65</v>
      </c>
    </row>
    <row r="24" spans="1:13" hidden="1">
      <c r="A24" t="s">
        <v>24</v>
      </c>
      <c r="B24" t="s">
        <v>30</v>
      </c>
      <c r="C24" t="s">
        <v>31</v>
      </c>
      <c r="D24" t="s">
        <v>66</v>
      </c>
      <c r="E24" t="s">
        <v>67</v>
      </c>
      <c r="F24" t="s">
        <v>25</v>
      </c>
      <c r="I24" t="s">
        <v>17</v>
      </c>
      <c r="L24" t="s">
        <v>68</v>
      </c>
    </row>
    <row r="25" spans="1:13" hidden="1">
      <c r="A25" t="s">
        <v>24</v>
      </c>
      <c r="B25" t="s">
        <v>30</v>
      </c>
      <c r="C25" t="s">
        <v>31</v>
      </c>
      <c r="D25" t="s">
        <v>69</v>
      </c>
      <c r="E25" t="s">
        <v>70</v>
      </c>
      <c r="F25" t="s">
        <v>25</v>
      </c>
      <c r="I25" t="s">
        <v>17</v>
      </c>
      <c r="L25" t="s">
        <v>71</v>
      </c>
    </row>
    <row r="26" spans="1:13" hidden="1">
      <c r="A26" t="s">
        <v>24</v>
      </c>
      <c r="B26" t="s">
        <v>30</v>
      </c>
      <c r="C26" t="s">
        <v>31</v>
      </c>
      <c r="D26" t="s">
        <v>72</v>
      </c>
      <c r="E26" t="s">
        <v>73</v>
      </c>
      <c r="F26" t="s">
        <v>25</v>
      </c>
      <c r="I26" t="s">
        <v>17</v>
      </c>
      <c r="L26" t="s">
        <v>74</v>
      </c>
    </row>
    <row r="27" spans="1:13" hidden="1">
      <c r="A27" t="s">
        <v>24</v>
      </c>
      <c r="B27" t="s">
        <v>30</v>
      </c>
      <c r="D27" t="s">
        <v>103</v>
      </c>
      <c r="E27" t="s">
        <v>104</v>
      </c>
      <c r="F27" t="s">
        <v>25</v>
      </c>
      <c r="I27" t="s">
        <v>17</v>
      </c>
      <c r="L27" t="s">
        <v>105</v>
      </c>
    </row>
    <row r="28" spans="1:13" hidden="1">
      <c r="A28" t="s">
        <v>127</v>
      </c>
      <c r="B28" t="s">
        <v>30</v>
      </c>
      <c r="C28" t="s">
        <v>31</v>
      </c>
      <c r="D28" t="s">
        <v>145</v>
      </c>
      <c r="E28" t="s">
        <v>146</v>
      </c>
      <c r="F28" t="s">
        <v>25</v>
      </c>
      <c r="I28" t="s">
        <v>17</v>
      </c>
      <c r="L28" t="s">
        <v>147</v>
      </c>
    </row>
    <row r="29" spans="1:13" hidden="1">
      <c r="A29" t="s">
        <v>127</v>
      </c>
      <c r="B29" t="s">
        <v>30</v>
      </c>
      <c r="C29" t="s">
        <v>31</v>
      </c>
      <c r="D29" t="s">
        <v>32</v>
      </c>
      <c r="E29" t="s">
        <v>33</v>
      </c>
      <c r="F29" t="s">
        <v>25</v>
      </c>
      <c r="I29" t="s">
        <v>17</v>
      </c>
      <c r="L29" t="s">
        <v>35</v>
      </c>
    </row>
    <row r="30" spans="1:13" hidden="1">
      <c r="A30" t="s">
        <v>127</v>
      </c>
      <c r="B30" t="s">
        <v>30</v>
      </c>
      <c r="C30" t="s">
        <v>31</v>
      </c>
      <c r="D30" t="s">
        <v>37</v>
      </c>
      <c r="E30" t="s">
        <v>148</v>
      </c>
      <c r="F30" t="s">
        <v>25</v>
      </c>
      <c r="I30" t="s">
        <v>17</v>
      </c>
      <c r="L30" t="s">
        <v>147</v>
      </c>
    </row>
    <row r="31" spans="1:13" hidden="1">
      <c r="A31" t="s">
        <v>127</v>
      </c>
      <c r="B31" t="s">
        <v>30</v>
      </c>
      <c r="C31" t="s">
        <v>31</v>
      </c>
      <c r="D31" t="s">
        <v>149</v>
      </c>
      <c r="E31" t="s">
        <v>150</v>
      </c>
      <c r="F31" t="s">
        <v>25</v>
      </c>
      <c r="I31" t="s">
        <v>17</v>
      </c>
      <c r="L31" t="s">
        <v>71</v>
      </c>
    </row>
    <row r="32" spans="1:13" hidden="1">
      <c r="A32" t="s">
        <v>127</v>
      </c>
      <c r="B32" t="s">
        <v>30</v>
      </c>
      <c r="C32" t="s">
        <v>31</v>
      </c>
      <c r="D32" t="s">
        <v>66</v>
      </c>
      <c r="E32" t="s">
        <v>67</v>
      </c>
      <c r="F32" t="s">
        <v>25</v>
      </c>
      <c r="I32" t="s">
        <v>17</v>
      </c>
      <c r="L32" t="s">
        <v>68</v>
      </c>
    </row>
    <row r="33" spans="1:13" hidden="1">
      <c r="A33" t="s">
        <v>127</v>
      </c>
      <c r="B33" t="s">
        <v>30</v>
      </c>
      <c r="C33" t="s">
        <v>210</v>
      </c>
      <c r="D33" t="s">
        <v>211</v>
      </c>
      <c r="E33" t="s">
        <v>212</v>
      </c>
      <c r="F33" t="s">
        <v>25</v>
      </c>
      <c r="I33" t="s">
        <v>17</v>
      </c>
      <c r="L33" t="s">
        <v>213</v>
      </c>
    </row>
    <row r="34" spans="1:13" hidden="1">
      <c r="A34" t="s">
        <v>127</v>
      </c>
      <c r="B34" t="s">
        <v>30</v>
      </c>
      <c r="C34" t="s">
        <v>210</v>
      </c>
      <c r="D34" t="s">
        <v>214</v>
      </c>
      <c r="E34" t="s">
        <v>215</v>
      </c>
      <c r="F34" t="s">
        <v>25</v>
      </c>
      <c r="I34" t="s">
        <v>17</v>
      </c>
      <c r="L34" t="s">
        <v>216</v>
      </c>
    </row>
    <row r="35" spans="1:13" hidden="1">
      <c r="A35" t="s">
        <v>127</v>
      </c>
      <c r="B35" t="s">
        <v>30</v>
      </c>
      <c r="C35" t="s">
        <v>210</v>
      </c>
      <c r="D35" t="s">
        <v>220</v>
      </c>
      <c r="E35" t="s">
        <v>221</v>
      </c>
      <c r="F35" t="s">
        <v>25</v>
      </c>
      <c r="I35" t="s">
        <v>17</v>
      </c>
      <c r="L35" t="s">
        <v>222</v>
      </c>
    </row>
    <row r="36" spans="1:13" hidden="1">
      <c r="A36" t="s">
        <v>127</v>
      </c>
      <c r="B36" t="s">
        <v>30</v>
      </c>
      <c r="C36" t="s">
        <v>210</v>
      </c>
      <c r="D36" t="s">
        <v>223</v>
      </c>
      <c r="E36" t="s">
        <v>224</v>
      </c>
      <c r="F36" t="s">
        <v>25</v>
      </c>
      <c r="I36" t="s">
        <v>17</v>
      </c>
      <c r="L36" t="s">
        <v>225</v>
      </c>
    </row>
    <row r="37" spans="1:13" hidden="1">
      <c r="A37" t="s">
        <v>127</v>
      </c>
      <c r="B37" t="s">
        <v>30</v>
      </c>
      <c r="C37" t="s">
        <v>210</v>
      </c>
      <c r="D37" t="s">
        <v>226</v>
      </c>
      <c r="E37" t="s">
        <v>227</v>
      </c>
      <c r="F37" t="s">
        <v>25</v>
      </c>
      <c r="I37" t="s">
        <v>17</v>
      </c>
      <c r="L37" t="s">
        <v>228</v>
      </c>
    </row>
    <row r="38" spans="1:13">
      <c r="A38" t="s">
        <v>10</v>
      </c>
      <c r="B38" t="s">
        <v>242</v>
      </c>
      <c r="C38" t="s">
        <v>239</v>
      </c>
      <c r="D38" t="s">
        <v>235</v>
      </c>
      <c r="E38" t="s">
        <v>236</v>
      </c>
      <c r="F38" t="s">
        <v>233</v>
      </c>
      <c r="G38" s="6" t="s">
        <v>22</v>
      </c>
      <c r="H38" t="s">
        <v>230</v>
      </c>
      <c r="I38" t="s">
        <v>17</v>
      </c>
      <c r="J38">
        <v>2011</v>
      </c>
      <c r="L38" t="s">
        <v>252</v>
      </c>
      <c r="M38" t="s">
        <v>253</v>
      </c>
    </row>
    <row r="39" spans="1:13" hidden="1">
      <c r="A39" t="s">
        <v>24</v>
      </c>
      <c r="B39" t="s">
        <v>90</v>
      </c>
      <c r="C39" t="s">
        <v>91</v>
      </c>
      <c r="D39" t="s">
        <v>92</v>
      </c>
      <c r="E39" t="s">
        <v>93</v>
      </c>
      <c r="F39" t="s">
        <v>94</v>
      </c>
      <c r="G39" t="s">
        <v>95</v>
      </c>
      <c r="I39" t="s">
        <v>17</v>
      </c>
      <c r="L39" t="s">
        <v>96</v>
      </c>
    </row>
    <row r="40" spans="1:13" hidden="1">
      <c r="A40" t="s">
        <v>24</v>
      </c>
      <c r="B40" t="s">
        <v>90</v>
      </c>
      <c r="C40" t="s">
        <v>91</v>
      </c>
      <c r="D40" t="s">
        <v>97</v>
      </c>
      <c r="E40" t="s">
        <v>98</v>
      </c>
      <c r="F40" t="s">
        <v>94</v>
      </c>
      <c r="G40" t="s">
        <v>95</v>
      </c>
      <c r="I40" t="s">
        <v>17</v>
      </c>
      <c r="L40" t="s">
        <v>99</v>
      </c>
    </row>
    <row r="41" spans="1:13" hidden="1">
      <c r="A41" t="s">
        <v>24</v>
      </c>
      <c r="B41" t="s">
        <v>90</v>
      </c>
      <c r="C41" t="s">
        <v>91</v>
      </c>
      <c r="D41" t="s">
        <v>100</v>
      </c>
      <c r="E41" t="s">
        <v>101</v>
      </c>
      <c r="F41" t="s">
        <v>94</v>
      </c>
      <c r="G41" t="s">
        <v>95</v>
      </c>
      <c r="I41" t="s">
        <v>17</v>
      </c>
      <c r="L41" t="s">
        <v>102</v>
      </c>
    </row>
    <row r="42" spans="1:13" hidden="1">
      <c r="A42" t="s">
        <v>24</v>
      </c>
      <c r="B42" t="s">
        <v>90</v>
      </c>
      <c r="C42" t="s">
        <v>109</v>
      </c>
      <c r="D42" t="s">
        <v>110</v>
      </c>
      <c r="E42" t="s">
        <v>111</v>
      </c>
      <c r="F42" t="s">
        <v>25</v>
      </c>
      <c r="I42" t="s">
        <v>17</v>
      </c>
      <c r="L42" t="s">
        <v>112</v>
      </c>
    </row>
    <row r="43" spans="1:13" hidden="1">
      <c r="A43" t="s">
        <v>24</v>
      </c>
      <c r="B43" t="s">
        <v>90</v>
      </c>
      <c r="C43" t="s">
        <v>109</v>
      </c>
      <c r="D43" t="s">
        <v>113</v>
      </c>
      <c r="E43" t="s">
        <v>111</v>
      </c>
      <c r="F43" t="s">
        <v>94</v>
      </c>
      <c r="I43" t="s">
        <v>17</v>
      </c>
      <c r="L43" t="s">
        <v>112</v>
      </c>
    </row>
    <row r="44" spans="1:13" hidden="1">
      <c r="A44" t="s">
        <v>24</v>
      </c>
      <c r="B44" t="s">
        <v>90</v>
      </c>
      <c r="C44" t="s">
        <v>109</v>
      </c>
      <c r="D44" t="s">
        <v>114</v>
      </c>
      <c r="E44" t="s">
        <v>115</v>
      </c>
      <c r="F44" t="s">
        <v>116</v>
      </c>
      <c r="I44" t="s">
        <v>17</v>
      </c>
      <c r="L44" t="s">
        <v>117</v>
      </c>
    </row>
    <row r="45" spans="1:13" hidden="1">
      <c r="A45" t="s">
        <v>24</v>
      </c>
      <c r="B45" t="s">
        <v>90</v>
      </c>
      <c r="C45" t="s">
        <v>118</v>
      </c>
      <c r="D45" t="s">
        <v>119</v>
      </c>
      <c r="E45" t="s">
        <v>101</v>
      </c>
      <c r="F45" t="s">
        <v>25</v>
      </c>
      <c r="I45" t="s">
        <v>17</v>
      </c>
      <c r="L45" t="s">
        <v>120</v>
      </c>
    </row>
    <row r="46" spans="1:13" hidden="1">
      <c r="A46" t="s">
        <v>127</v>
      </c>
      <c r="B46" t="s">
        <v>90</v>
      </c>
      <c r="C46" t="s">
        <v>151</v>
      </c>
      <c r="D46" t="s">
        <v>152</v>
      </c>
      <c r="E46" t="s">
        <v>111</v>
      </c>
      <c r="F46" t="s">
        <v>23</v>
      </c>
      <c r="I46" t="s">
        <v>17</v>
      </c>
      <c r="L46" t="s">
        <v>153</v>
      </c>
    </row>
    <row r="47" spans="1:13" hidden="1">
      <c r="A47" t="s">
        <v>127</v>
      </c>
      <c r="B47" t="s">
        <v>90</v>
      </c>
      <c r="C47" t="s">
        <v>151</v>
      </c>
      <c r="D47" t="s">
        <v>154</v>
      </c>
      <c r="E47" t="s">
        <v>111</v>
      </c>
      <c r="F47" t="s">
        <v>23</v>
      </c>
      <c r="I47" t="s">
        <v>17</v>
      </c>
      <c r="L47" t="s">
        <v>155</v>
      </c>
    </row>
    <row r="48" spans="1:13" hidden="1">
      <c r="A48" t="s">
        <v>127</v>
      </c>
      <c r="B48" t="s">
        <v>90</v>
      </c>
      <c r="C48" t="s">
        <v>91</v>
      </c>
      <c r="D48" t="s">
        <v>156</v>
      </c>
      <c r="E48" t="s">
        <v>157</v>
      </c>
      <c r="F48" t="s">
        <v>23</v>
      </c>
      <c r="G48" t="s">
        <v>95</v>
      </c>
      <c r="I48" t="s">
        <v>17</v>
      </c>
      <c r="L48" t="s">
        <v>158</v>
      </c>
    </row>
    <row r="49" spans="1:12" hidden="1">
      <c r="A49" t="s">
        <v>127</v>
      </c>
      <c r="B49" t="s">
        <v>90</v>
      </c>
      <c r="C49" t="s">
        <v>91</v>
      </c>
      <c r="D49" t="s">
        <v>159</v>
      </c>
      <c r="E49" t="s">
        <v>159</v>
      </c>
      <c r="F49" t="s">
        <v>94</v>
      </c>
      <c r="G49" t="s">
        <v>95</v>
      </c>
      <c r="I49" t="s">
        <v>17</v>
      </c>
      <c r="L49" t="s">
        <v>160</v>
      </c>
    </row>
    <row r="50" spans="1:12" hidden="1">
      <c r="A50" t="s">
        <v>127</v>
      </c>
      <c r="B50" t="s">
        <v>90</v>
      </c>
      <c r="C50" t="s">
        <v>91</v>
      </c>
      <c r="D50" t="s">
        <v>161</v>
      </c>
      <c r="E50" t="s">
        <v>162</v>
      </c>
      <c r="F50" t="s">
        <v>25</v>
      </c>
      <c r="G50" t="s">
        <v>95</v>
      </c>
      <c r="I50" t="s">
        <v>17</v>
      </c>
      <c r="L50" t="s">
        <v>160</v>
      </c>
    </row>
    <row r="51" spans="1:12" hidden="1">
      <c r="A51" t="s">
        <v>127</v>
      </c>
      <c r="B51" t="s">
        <v>90</v>
      </c>
      <c r="C51" t="s">
        <v>91</v>
      </c>
      <c r="D51" t="s">
        <v>163</v>
      </c>
      <c r="E51" t="s">
        <v>164</v>
      </c>
      <c r="F51" t="s">
        <v>94</v>
      </c>
      <c r="G51" t="s">
        <v>95</v>
      </c>
      <c r="I51" t="s">
        <v>17</v>
      </c>
      <c r="L51" t="s">
        <v>160</v>
      </c>
    </row>
    <row r="52" spans="1:12" hidden="1">
      <c r="A52" t="s">
        <v>127</v>
      </c>
      <c r="B52" t="s">
        <v>90</v>
      </c>
      <c r="C52" t="s">
        <v>91</v>
      </c>
      <c r="D52" t="s">
        <v>165</v>
      </c>
      <c r="E52" t="s">
        <v>164</v>
      </c>
      <c r="F52" t="s">
        <v>166</v>
      </c>
      <c r="G52" t="s">
        <v>95</v>
      </c>
      <c r="I52" t="s">
        <v>17</v>
      </c>
      <c r="L52" t="s">
        <v>160</v>
      </c>
    </row>
    <row r="53" spans="1:12" hidden="1">
      <c r="A53" t="s">
        <v>127</v>
      </c>
      <c r="B53" t="s">
        <v>90</v>
      </c>
      <c r="C53" t="s">
        <v>91</v>
      </c>
      <c r="D53" t="s">
        <v>167</v>
      </c>
      <c r="E53" t="s">
        <v>164</v>
      </c>
      <c r="F53" t="s">
        <v>166</v>
      </c>
      <c r="G53" t="s">
        <v>95</v>
      </c>
      <c r="I53" t="s">
        <v>17</v>
      </c>
      <c r="L53" t="s">
        <v>160</v>
      </c>
    </row>
    <row r="54" spans="1:12" hidden="1">
      <c r="A54" t="s">
        <v>127</v>
      </c>
      <c r="B54" t="s">
        <v>90</v>
      </c>
      <c r="C54" t="s">
        <v>91</v>
      </c>
      <c r="D54" t="s">
        <v>168</v>
      </c>
      <c r="E54" t="s">
        <v>93</v>
      </c>
      <c r="F54" t="s">
        <v>94</v>
      </c>
      <c r="G54" t="s">
        <v>95</v>
      </c>
      <c r="I54" t="s">
        <v>17</v>
      </c>
      <c r="L54" t="s">
        <v>169</v>
      </c>
    </row>
    <row r="55" spans="1:12" hidden="1">
      <c r="A55" t="s">
        <v>127</v>
      </c>
      <c r="B55" t="s">
        <v>90</v>
      </c>
      <c r="C55" t="s">
        <v>91</v>
      </c>
      <c r="D55" t="s">
        <v>170</v>
      </c>
      <c r="E55" t="s">
        <v>93</v>
      </c>
      <c r="F55" t="s">
        <v>166</v>
      </c>
      <c r="G55" t="s">
        <v>95</v>
      </c>
      <c r="I55" t="s">
        <v>17</v>
      </c>
      <c r="L55" t="s">
        <v>160</v>
      </c>
    </row>
    <row r="56" spans="1:12" hidden="1">
      <c r="A56" t="s">
        <v>127</v>
      </c>
      <c r="B56" t="s">
        <v>90</v>
      </c>
      <c r="C56" t="s">
        <v>91</v>
      </c>
      <c r="D56" t="s">
        <v>171</v>
      </c>
      <c r="E56" t="s">
        <v>93</v>
      </c>
      <c r="F56" t="s">
        <v>166</v>
      </c>
      <c r="G56" t="s">
        <v>95</v>
      </c>
      <c r="I56" t="s">
        <v>17</v>
      </c>
      <c r="L56" t="s">
        <v>160</v>
      </c>
    </row>
    <row r="57" spans="1:12" hidden="1">
      <c r="A57" t="s">
        <v>127</v>
      </c>
      <c r="B57" t="s">
        <v>90</v>
      </c>
      <c r="C57" t="s">
        <v>91</v>
      </c>
      <c r="D57" t="s">
        <v>172</v>
      </c>
      <c r="E57" t="s">
        <v>93</v>
      </c>
      <c r="F57" t="s">
        <v>166</v>
      </c>
      <c r="G57" t="s">
        <v>95</v>
      </c>
      <c r="I57" t="s">
        <v>17</v>
      </c>
      <c r="L57" t="s">
        <v>160</v>
      </c>
    </row>
    <row r="58" spans="1:12" hidden="1">
      <c r="A58" t="s">
        <v>127</v>
      </c>
      <c r="B58" t="s">
        <v>90</v>
      </c>
      <c r="C58" t="s">
        <v>91</v>
      </c>
      <c r="D58" t="s">
        <v>173</v>
      </c>
      <c r="E58" t="s">
        <v>174</v>
      </c>
      <c r="F58" t="s">
        <v>25</v>
      </c>
      <c r="G58" t="s">
        <v>95</v>
      </c>
      <c r="I58" t="s">
        <v>17</v>
      </c>
      <c r="L58" t="s">
        <v>160</v>
      </c>
    </row>
    <row r="59" spans="1:12" hidden="1">
      <c r="A59" t="s">
        <v>127</v>
      </c>
      <c r="B59" t="s">
        <v>90</v>
      </c>
      <c r="C59" t="s">
        <v>91</v>
      </c>
      <c r="D59" t="s">
        <v>175</v>
      </c>
      <c r="E59" t="s">
        <v>176</v>
      </c>
      <c r="F59" t="s">
        <v>94</v>
      </c>
      <c r="G59" t="s">
        <v>95</v>
      </c>
      <c r="I59" t="s">
        <v>17</v>
      </c>
      <c r="L59" t="s">
        <v>160</v>
      </c>
    </row>
    <row r="60" spans="1:12" hidden="1">
      <c r="A60" t="s">
        <v>127</v>
      </c>
      <c r="B60" t="s">
        <v>90</v>
      </c>
      <c r="C60" t="s">
        <v>91</v>
      </c>
      <c r="D60" t="s">
        <v>177</v>
      </c>
      <c r="E60" t="s">
        <v>176</v>
      </c>
      <c r="F60" t="s">
        <v>166</v>
      </c>
      <c r="G60" t="s">
        <v>95</v>
      </c>
      <c r="I60" t="s">
        <v>17</v>
      </c>
      <c r="L60" t="s">
        <v>160</v>
      </c>
    </row>
    <row r="61" spans="1:12" hidden="1">
      <c r="A61" t="s">
        <v>127</v>
      </c>
      <c r="B61" t="s">
        <v>90</v>
      </c>
      <c r="C61" t="s">
        <v>91</v>
      </c>
      <c r="D61" t="s">
        <v>178</v>
      </c>
      <c r="E61" t="s">
        <v>179</v>
      </c>
      <c r="F61" t="s">
        <v>94</v>
      </c>
      <c r="G61" t="s">
        <v>95</v>
      </c>
      <c r="I61" t="s">
        <v>17</v>
      </c>
      <c r="L61" t="s">
        <v>180</v>
      </c>
    </row>
    <row r="62" spans="1:12" hidden="1">
      <c r="A62" t="s">
        <v>127</v>
      </c>
      <c r="B62" t="s">
        <v>90</v>
      </c>
      <c r="C62" t="s">
        <v>91</v>
      </c>
      <c r="D62" t="s">
        <v>181</v>
      </c>
      <c r="E62" t="s">
        <v>179</v>
      </c>
      <c r="F62" t="s">
        <v>166</v>
      </c>
      <c r="G62" t="s">
        <v>95</v>
      </c>
      <c r="I62" t="s">
        <v>17</v>
      </c>
      <c r="L62" t="s">
        <v>160</v>
      </c>
    </row>
    <row r="63" spans="1:12" hidden="1">
      <c r="A63" t="s">
        <v>127</v>
      </c>
      <c r="B63" t="s">
        <v>90</v>
      </c>
      <c r="C63" t="s">
        <v>91</v>
      </c>
      <c r="D63" t="s">
        <v>182</v>
      </c>
      <c r="E63" t="s">
        <v>179</v>
      </c>
      <c r="F63" t="s">
        <v>166</v>
      </c>
      <c r="G63" t="s">
        <v>95</v>
      </c>
      <c r="I63" t="s">
        <v>17</v>
      </c>
      <c r="L63" t="s">
        <v>160</v>
      </c>
    </row>
    <row r="64" spans="1:12" hidden="1">
      <c r="A64" t="s">
        <v>127</v>
      </c>
      <c r="B64" t="s">
        <v>90</v>
      </c>
      <c r="C64" t="s">
        <v>91</v>
      </c>
      <c r="D64" t="s">
        <v>183</v>
      </c>
      <c r="E64" t="s">
        <v>184</v>
      </c>
      <c r="F64" t="s">
        <v>166</v>
      </c>
      <c r="G64" t="s">
        <v>95</v>
      </c>
      <c r="I64" t="s">
        <v>17</v>
      </c>
      <c r="L64" t="s">
        <v>160</v>
      </c>
    </row>
    <row r="65" spans="1:12" hidden="1">
      <c r="A65" t="s">
        <v>127</v>
      </c>
      <c r="B65" t="s">
        <v>90</v>
      </c>
      <c r="C65" t="s">
        <v>91</v>
      </c>
      <c r="D65" t="s">
        <v>185</v>
      </c>
      <c r="E65" t="s">
        <v>186</v>
      </c>
      <c r="F65" t="s">
        <v>25</v>
      </c>
      <c r="G65" t="s">
        <v>95</v>
      </c>
      <c r="I65" t="s">
        <v>17</v>
      </c>
      <c r="L65" t="s">
        <v>160</v>
      </c>
    </row>
    <row r="66" spans="1:12" hidden="1">
      <c r="A66" t="s">
        <v>127</v>
      </c>
      <c r="B66" t="s">
        <v>90</v>
      </c>
      <c r="C66" t="s">
        <v>91</v>
      </c>
      <c r="D66" t="s">
        <v>187</v>
      </c>
      <c r="E66" t="s">
        <v>188</v>
      </c>
      <c r="F66" t="s">
        <v>25</v>
      </c>
      <c r="G66" t="s">
        <v>95</v>
      </c>
      <c r="I66" t="s">
        <v>17</v>
      </c>
      <c r="L66" t="s">
        <v>160</v>
      </c>
    </row>
    <row r="67" spans="1:12" hidden="1">
      <c r="A67" t="s">
        <v>127</v>
      </c>
      <c r="B67" t="s">
        <v>90</v>
      </c>
      <c r="C67" t="s">
        <v>91</v>
      </c>
      <c r="D67" t="s">
        <v>187</v>
      </c>
      <c r="E67" t="s">
        <v>188</v>
      </c>
      <c r="F67" t="s">
        <v>94</v>
      </c>
      <c r="G67" t="s">
        <v>95</v>
      </c>
      <c r="I67" t="s">
        <v>17</v>
      </c>
      <c r="L67" t="s">
        <v>189</v>
      </c>
    </row>
    <row r="68" spans="1:12" hidden="1">
      <c r="A68" t="s">
        <v>127</v>
      </c>
      <c r="B68" t="s">
        <v>90</v>
      </c>
      <c r="C68" t="s">
        <v>91</v>
      </c>
      <c r="D68" t="s">
        <v>190</v>
      </c>
      <c r="E68" t="s">
        <v>188</v>
      </c>
      <c r="F68" t="s">
        <v>166</v>
      </c>
      <c r="G68" t="s">
        <v>95</v>
      </c>
      <c r="I68" t="s">
        <v>17</v>
      </c>
      <c r="L68" t="s">
        <v>160</v>
      </c>
    </row>
    <row r="69" spans="1:12" hidden="1">
      <c r="A69" t="s">
        <v>127</v>
      </c>
      <c r="B69" t="s">
        <v>90</v>
      </c>
      <c r="C69" t="s">
        <v>91</v>
      </c>
      <c r="D69" t="s">
        <v>191</v>
      </c>
      <c r="E69" t="s">
        <v>188</v>
      </c>
      <c r="F69" t="s">
        <v>166</v>
      </c>
      <c r="G69" t="s">
        <v>95</v>
      </c>
      <c r="I69" t="s">
        <v>17</v>
      </c>
      <c r="L69" t="s">
        <v>160</v>
      </c>
    </row>
    <row r="70" spans="1:12" hidden="1">
      <c r="A70" t="s">
        <v>127</v>
      </c>
      <c r="B70" t="s">
        <v>90</v>
      </c>
      <c r="C70" t="s">
        <v>91</v>
      </c>
      <c r="D70" t="s">
        <v>192</v>
      </c>
      <c r="E70" t="s">
        <v>188</v>
      </c>
      <c r="F70" t="s">
        <v>166</v>
      </c>
      <c r="G70" t="s">
        <v>95</v>
      </c>
      <c r="I70" t="s">
        <v>17</v>
      </c>
      <c r="L70" t="s">
        <v>160</v>
      </c>
    </row>
    <row r="71" spans="1:12" hidden="1">
      <c r="A71" t="s">
        <v>127</v>
      </c>
      <c r="B71" t="s">
        <v>90</v>
      </c>
      <c r="C71" t="s">
        <v>91</v>
      </c>
      <c r="D71" t="s">
        <v>193</v>
      </c>
      <c r="E71" t="s">
        <v>188</v>
      </c>
      <c r="F71" t="s">
        <v>25</v>
      </c>
      <c r="G71" t="s">
        <v>95</v>
      </c>
      <c r="I71" t="s">
        <v>17</v>
      </c>
      <c r="L71" t="s">
        <v>160</v>
      </c>
    </row>
    <row r="72" spans="1:12" hidden="1">
      <c r="A72" t="s">
        <v>127</v>
      </c>
      <c r="B72" t="s">
        <v>90</v>
      </c>
      <c r="C72" t="s">
        <v>91</v>
      </c>
      <c r="D72" t="s">
        <v>193</v>
      </c>
      <c r="E72" t="s">
        <v>188</v>
      </c>
      <c r="F72" t="s">
        <v>94</v>
      </c>
      <c r="G72" t="s">
        <v>95</v>
      </c>
      <c r="I72" t="s">
        <v>17</v>
      </c>
      <c r="L72" t="s">
        <v>160</v>
      </c>
    </row>
    <row r="73" spans="1:12" hidden="1">
      <c r="A73" t="s">
        <v>127</v>
      </c>
      <c r="B73" t="s">
        <v>90</v>
      </c>
      <c r="C73" t="s">
        <v>91</v>
      </c>
      <c r="D73" t="s">
        <v>194</v>
      </c>
      <c r="E73" t="s">
        <v>188</v>
      </c>
      <c r="F73" t="s">
        <v>166</v>
      </c>
      <c r="G73" t="s">
        <v>95</v>
      </c>
      <c r="I73" t="s">
        <v>17</v>
      </c>
      <c r="L73" t="s">
        <v>160</v>
      </c>
    </row>
    <row r="74" spans="1:12" hidden="1">
      <c r="A74" t="s">
        <v>127</v>
      </c>
      <c r="B74" t="s">
        <v>90</v>
      </c>
      <c r="C74" t="s">
        <v>91</v>
      </c>
      <c r="D74" t="s">
        <v>195</v>
      </c>
      <c r="E74" t="s">
        <v>188</v>
      </c>
      <c r="F74" t="s">
        <v>166</v>
      </c>
      <c r="G74" t="s">
        <v>95</v>
      </c>
      <c r="I74" t="s">
        <v>17</v>
      </c>
      <c r="L74" t="s">
        <v>196</v>
      </c>
    </row>
    <row r="75" spans="1:12" hidden="1">
      <c r="A75" t="s">
        <v>127</v>
      </c>
      <c r="B75" t="s">
        <v>90</v>
      </c>
      <c r="C75" t="s">
        <v>91</v>
      </c>
      <c r="D75" t="s">
        <v>197</v>
      </c>
      <c r="E75" t="s">
        <v>188</v>
      </c>
      <c r="F75" t="s">
        <v>166</v>
      </c>
      <c r="G75" t="s">
        <v>95</v>
      </c>
      <c r="I75" t="s">
        <v>17</v>
      </c>
      <c r="L75" t="s">
        <v>160</v>
      </c>
    </row>
    <row r="76" spans="1:12" hidden="1">
      <c r="A76" t="s">
        <v>127</v>
      </c>
      <c r="B76" t="s">
        <v>90</v>
      </c>
      <c r="C76" t="s">
        <v>91</v>
      </c>
      <c r="D76" t="s">
        <v>198</v>
      </c>
      <c r="E76" t="s">
        <v>101</v>
      </c>
      <c r="F76" t="s">
        <v>25</v>
      </c>
      <c r="G76" t="s">
        <v>95</v>
      </c>
      <c r="I76" t="s">
        <v>17</v>
      </c>
      <c r="L76" t="s">
        <v>160</v>
      </c>
    </row>
    <row r="77" spans="1:12" hidden="1">
      <c r="A77" t="s">
        <v>127</v>
      </c>
      <c r="B77" t="s">
        <v>90</v>
      </c>
      <c r="C77" t="s">
        <v>91</v>
      </c>
      <c r="D77" t="s">
        <v>199</v>
      </c>
      <c r="E77" t="s">
        <v>101</v>
      </c>
      <c r="F77" t="s">
        <v>94</v>
      </c>
      <c r="G77" t="s">
        <v>95</v>
      </c>
      <c r="I77" t="s">
        <v>17</v>
      </c>
      <c r="L77" t="s">
        <v>102</v>
      </c>
    </row>
    <row r="78" spans="1:12" hidden="1">
      <c r="A78" t="s">
        <v>127</v>
      </c>
      <c r="B78" t="s">
        <v>90</v>
      </c>
      <c r="C78" t="s">
        <v>91</v>
      </c>
      <c r="D78" t="s">
        <v>200</v>
      </c>
      <c r="E78" t="s">
        <v>101</v>
      </c>
      <c r="F78" t="s">
        <v>166</v>
      </c>
      <c r="G78" t="s">
        <v>95</v>
      </c>
      <c r="I78" t="s">
        <v>17</v>
      </c>
      <c r="L78" t="s">
        <v>160</v>
      </c>
    </row>
    <row r="79" spans="1:12" hidden="1">
      <c r="A79" t="s">
        <v>127</v>
      </c>
      <c r="B79" t="s">
        <v>90</v>
      </c>
      <c r="C79" t="s">
        <v>91</v>
      </c>
      <c r="D79" t="s">
        <v>201</v>
      </c>
      <c r="E79" t="s">
        <v>101</v>
      </c>
      <c r="F79" t="s">
        <v>166</v>
      </c>
      <c r="G79" t="s">
        <v>95</v>
      </c>
      <c r="I79" t="s">
        <v>17</v>
      </c>
      <c r="L79" t="s">
        <v>160</v>
      </c>
    </row>
    <row r="80" spans="1:12" hidden="1">
      <c r="A80" t="s">
        <v>127</v>
      </c>
      <c r="B80" t="s">
        <v>90</v>
      </c>
      <c r="C80" t="s">
        <v>91</v>
      </c>
      <c r="D80" t="s">
        <v>202</v>
      </c>
      <c r="E80" t="s">
        <v>101</v>
      </c>
      <c r="F80" t="s">
        <v>166</v>
      </c>
      <c r="G80" t="s">
        <v>95</v>
      </c>
      <c r="I80" t="s">
        <v>17</v>
      </c>
      <c r="L80" t="s">
        <v>160</v>
      </c>
    </row>
    <row r="81" spans="1:12" hidden="1">
      <c r="A81" t="s">
        <v>127</v>
      </c>
      <c r="B81" t="s">
        <v>90</v>
      </c>
      <c r="C81" t="s">
        <v>91</v>
      </c>
      <c r="D81" t="s">
        <v>203</v>
      </c>
      <c r="E81" t="s">
        <v>204</v>
      </c>
      <c r="F81" t="s">
        <v>94</v>
      </c>
      <c r="G81" t="s">
        <v>95</v>
      </c>
      <c r="I81" t="s">
        <v>17</v>
      </c>
      <c r="L81" t="s">
        <v>205</v>
      </c>
    </row>
    <row r="82" spans="1:12" hidden="1">
      <c r="A82" t="s">
        <v>127</v>
      </c>
      <c r="B82" t="s">
        <v>90</v>
      </c>
      <c r="C82" t="s">
        <v>91</v>
      </c>
      <c r="D82" t="s">
        <v>206</v>
      </c>
      <c r="E82" t="s">
        <v>101</v>
      </c>
      <c r="F82" t="s">
        <v>23</v>
      </c>
      <c r="G82" t="s">
        <v>95</v>
      </c>
      <c r="I82" t="s">
        <v>17</v>
      </c>
      <c r="L82" t="s">
        <v>207</v>
      </c>
    </row>
    <row r="83" spans="1:12" hidden="1">
      <c r="A83" t="s">
        <v>127</v>
      </c>
      <c r="B83" t="s">
        <v>90</v>
      </c>
      <c r="C83" t="s">
        <v>91</v>
      </c>
      <c r="D83" t="s">
        <v>208</v>
      </c>
      <c r="E83" t="s">
        <v>209</v>
      </c>
      <c r="F83" t="s">
        <v>25</v>
      </c>
      <c r="G83"/>
      <c r="I83" t="s">
        <v>17</v>
      </c>
      <c r="L83" t="s">
        <v>160</v>
      </c>
    </row>
    <row r="84" spans="1:12" hidden="1">
      <c r="A84" t="s">
        <v>127</v>
      </c>
      <c r="B84" t="s">
        <v>90</v>
      </c>
      <c r="C84" t="s">
        <v>91</v>
      </c>
      <c r="D84" t="s">
        <v>208</v>
      </c>
      <c r="E84" t="s">
        <v>209</v>
      </c>
      <c r="F84" t="s">
        <v>94</v>
      </c>
      <c r="G84"/>
      <c r="I84" t="s">
        <v>17</v>
      </c>
      <c r="L84" t="s">
        <v>160</v>
      </c>
    </row>
    <row r="85" spans="1:12" hidden="1">
      <c r="A85" t="s">
        <v>127</v>
      </c>
      <c r="B85" t="s">
        <v>90</v>
      </c>
      <c r="C85" t="s">
        <v>91</v>
      </c>
      <c r="D85" t="s">
        <v>208</v>
      </c>
      <c r="E85" t="s">
        <v>209</v>
      </c>
      <c r="F85" t="s">
        <v>166</v>
      </c>
      <c r="G85"/>
      <c r="I85" t="s">
        <v>17</v>
      </c>
      <c r="L85" t="s">
        <v>160</v>
      </c>
    </row>
    <row r="86" spans="1:12" ht="43.5">
      <c r="A86" t="s">
        <v>10</v>
      </c>
      <c r="B86" s="3" t="s">
        <v>11</v>
      </c>
      <c r="C86" t="s">
        <v>12</v>
      </c>
      <c r="D86" s="4" t="s">
        <v>13</v>
      </c>
      <c r="E86" s="4" t="s">
        <v>14</v>
      </c>
      <c r="F86" s="5" t="s">
        <v>15</v>
      </c>
      <c r="G86" s="6" t="s">
        <v>16</v>
      </c>
      <c r="I86" t="s">
        <v>17</v>
      </c>
      <c r="L86" t="s">
        <v>18</v>
      </c>
    </row>
    <row r="87" spans="1:12" s="7" customFormat="1">
      <c r="A87" s="7" t="s">
        <v>24</v>
      </c>
      <c r="B87" s="7" t="s">
        <v>26</v>
      </c>
      <c r="C87" s="7" t="s">
        <v>24</v>
      </c>
      <c r="D87" s="7" t="s">
        <v>27</v>
      </c>
      <c r="E87" s="7" t="s">
        <v>28</v>
      </c>
      <c r="F87" s="7" t="s">
        <v>23</v>
      </c>
      <c r="G87" s="8"/>
      <c r="I87" s="7" t="s">
        <v>17</v>
      </c>
    </row>
    <row r="88" spans="1:12">
      <c r="A88" t="s">
        <v>24</v>
      </c>
      <c r="B88" t="s">
        <v>26</v>
      </c>
      <c r="C88" t="s">
        <v>80</v>
      </c>
      <c r="D88" t="s">
        <v>81</v>
      </c>
      <c r="E88" t="s">
        <v>82</v>
      </c>
      <c r="F88" t="s">
        <v>23</v>
      </c>
      <c r="G88" s="6" t="s">
        <v>309</v>
      </c>
      <c r="I88" t="s">
        <v>17</v>
      </c>
      <c r="L88" t="s">
        <v>83</v>
      </c>
    </row>
    <row r="89" spans="1:12">
      <c r="A89" t="s">
        <v>24</v>
      </c>
      <c r="B89" t="s">
        <v>26</v>
      </c>
      <c r="C89" t="s">
        <v>80</v>
      </c>
      <c r="D89" t="s">
        <v>84</v>
      </c>
      <c r="E89" t="s">
        <v>85</v>
      </c>
      <c r="F89" t="s">
        <v>23</v>
      </c>
      <c r="G89" s="6" t="s">
        <v>308</v>
      </c>
      <c r="I89" t="s">
        <v>17</v>
      </c>
      <c r="L89" t="s">
        <v>83</v>
      </c>
    </row>
    <row r="90" spans="1:12">
      <c r="A90" t="s">
        <v>24</v>
      </c>
      <c r="B90" t="s">
        <v>26</v>
      </c>
      <c r="C90" t="s">
        <v>80</v>
      </c>
      <c r="D90" t="s">
        <v>86</v>
      </c>
      <c r="E90" t="s">
        <v>87</v>
      </c>
      <c r="F90" t="s">
        <v>23</v>
      </c>
      <c r="G90" s="6" t="s">
        <v>34</v>
      </c>
      <c r="I90" t="s">
        <v>17</v>
      </c>
      <c r="L90" t="s">
        <v>83</v>
      </c>
    </row>
    <row r="91" spans="1:12" s="7" customFormat="1">
      <c r="A91" s="7" t="s">
        <v>24</v>
      </c>
      <c r="B91" s="7" t="s">
        <v>26</v>
      </c>
      <c r="C91" s="7" t="s">
        <v>80</v>
      </c>
      <c r="D91" s="7" t="s">
        <v>88</v>
      </c>
      <c r="E91" s="7" t="s">
        <v>89</v>
      </c>
      <c r="F91" s="7" t="s">
        <v>23</v>
      </c>
      <c r="G91" s="8"/>
      <c r="I91" s="7" t="s">
        <v>17</v>
      </c>
      <c r="L91" s="7" t="s">
        <v>83</v>
      </c>
    </row>
    <row r="92" spans="1:12" ht="29">
      <c r="A92" t="s">
        <v>229</v>
      </c>
      <c r="B92" t="s">
        <v>26</v>
      </c>
      <c r="C92" t="s">
        <v>283</v>
      </c>
      <c r="D92" t="s">
        <v>279</v>
      </c>
      <c r="E92" t="s">
        <v>26</v>
      </c>
      <c r="G92" s="6" t="s">
        <v>280</v>
      </c>
      <c r="H92" t="s">
        <v>310</v>
      </c>
      <c r="I92" t="s">
        <v>17</v>
      </c>
      <c r="K92" t="s">
        <v>282</v>
      </c>
      <c r="L92" t="s">
        <v>281</v>
      </c>
    </row>
    <row r="93" spans="1:12" ht="29">
      <c r="A93" t="s">
        <v>121</v>
      </c>
      <c r="B93" t="s">
        <v>26</v>
      </c>
      <c r="C93" t="s">
        <v>272</v>
      </c>
      <c r="D93" t="s">
        <v>122</v>
      </c>
      <c r="E93" t="s">
        <v>302</v>
      </c>
      <c r="F93" t="s">
        <v>305</v>
      </c>
      <c r="G93" s="6" t="s">
        <v>268</v>
      </c>
      <c r="H93" s="6" t="s">
        <v>275</v>
      </c>
      <c r="I93" t="s">
        <v>17</v>
      </c>
      <c r="K93" t="s">
        <v>274</v>
      </c>
    </row>
    <row r="94" spans="1:12" s="7" customFormat="1">
      <c r="A94" s="7" t="s">
        <v>121</v>
      </c>
      <c r="B94" s="7" t="s">
        <v>26</v>
      </c>
      <c r="C94" s="7" t="s">
        <v>272</v>
      </c>
      <c r="D94" s="7" t="s">
        <v>124</v>
      </c>
      <c r="E94" s="7" t="s">
        <v>302</v>
      </c>
      <c r="F94" s="7" t="s">
        <v>306</v>
      </c>
      <c r="G94" s="8" t="s">
        <v>268</v>
      </c>
      <c r="H94" s="7" t="s">
        <v>123</v>
      </c>
      <c r="I94" s="7" t="s">
        <v>17</v>
      </c>
      <c r="K94" s="7" t="s">
        <v>277</v>
      </c>
    </row>
    <row r="95" spans="1:12" s="7" customFormat="1">
      <c r="A95" s="7" t="s">
        <v>121</v>
      </c>
      <c r="B95" s="7" t="s">
        <v>26</v>
      </c>
      <c r="C95" s="7" t="s">
        <v>272</v>
      </c>
      <c r="D95" s="7" t="s">
        <v>125</v>
      </c>
      <c r="E95" s="7" t="s">
        <v>303</v>
      </c>
      <c r="G95" s="8" t="s">
        <v>304</v>
      </c>
      <c r="H95" s="7" t="s">
        <v>123</v>
      </c>
      <c r="I95" s="7" t="s">
        <v>17</v>
      </c>
      <c r="K95" s="7" t="s">
        <v>278</v>
      </c>
    </row>
    <row r="96" spans="1:12">
      <c r="A96" t="s">
        <v>121</v>
      </c>
      <c r="B96" t="s">
        <v>26</v>
      </c>
      <c r="C96" t="s">
        <v>272</v>
      </c>
      <c r="D96" t="s">
        <v>126</v>
      </c>
      <c r="E96" t="s">
        <v>303</v>
      </c>
      <c r="F96" t="s">
        <v>307</v>
      </c>
      <c r="G96" s="6" t="s">
        <v>268</v>
      </c>
      <c r="H96" t="s">
        <v>310</v>
      </c>
      <c r="I96" t="s">
        <v>17</v>
      </c>
      <c r="K96" t="s">
        <v>276</v>
      </c>
    </row>
    <row r="97" spans="1:13">
      <c r="A97" t="s">
        <v>261</v>
      </c>
      <c r="B97" t="s">
        <v>26</v>
      </c>
      <c r="C97" t="s">
        <v>270</v>
      </c>
      <c r="D97" t="s">
        <v>263</v>
      </c>
      <c r="E97" t="s">
        <v>269</v>
      </c>
      <c r="F97" t="s">
        <v>116</v>
      </c>
      <c r="G97" s="6" t="s">
        <v>22</v>
      </c>
      <c r="I97" t="s">
        <v>17</v>
      </c>
      <c r="L97" t="s">
        <v>270</v>
      </c>
    </row>
    <row r="98" spans="1:13">
      <c r="A98" t="s">
        <v>261</v>
      </c>
      <c r="B98" t="s">
        <v>26</v>
      </c>
      <c r="C98" t="s">
        <v>270</v>
      </c>
      <c r="D98" t="s">
        <v>264</v>
      </c>
      <c r="E98" t="s">
        <v>262</v>
      </c>
      <c r="F98" t="s">
        <v>116</v>
      </c>
      <c r="G98" s="6" t="s">
        <v>268</v>
      </c>
      <c r="I98" t="s">
        <v>17</v>
      </c>
      <c r="L98" t="s">
        <v>270</v>
      </c>
    </row>
    <row r="99" spans="1:13">
      <c r="A99" t="s">
        <v>24</v>
      </c>
      <c r="B99" t="s">
        <v>75</v>
      </c>
      <c r="C99" t="s">
        <v>76</v>
      </c>
      <c r="D99" t="s">
        <v>77</v>
      </c>
      <c r="E99" t="s">
        <v>78</v>
      </c>
      <c r="F99" t="s">
        <v>25</v>
      </c>
      <c r="I99" t="s">
        <v>17</v>
      </c>
      <c r="L99" t="s">
        <v>79</v>
      </c>
    </row>
    <row r="100" spans="1:13">
      <c r="A100" t="s">
        <v>127</v>
      </c>
      <c r="B100" t="s">
        <v>75</v>
      </c>
      <c r="C100" t="s">
        <v>210</v>
      </c>
      <c r="D100" t="s">
        <v>217</v>
      </c>
      <c r="E100" t="s">
        <v>218</v>
      </c>
      <c r="F100" t="s">
        <v>25</v>
      </c>
      <c r="I100" t="s">
        <v>17</v>
      </c>
      <c r="L100" t="s">
        <v>219</v>
      </c>
    </row>
    <row r="101" spans="1:13">
      <c r="A101" t="s">
        <v>261</v>
      </c>
      <c r="B101" t="s">
        <v>26</v>
      </c>
      <c r="C101" t="s">
        <v>271</v>
      </c>
      <c r="D101" t="s">
        <v>265</v>
      </c>
      <c r="E101" t="s">
        <v>266</v>
      </c>
      <c r="F101" t="s">
        <v>23</v>
      </c>
      <c r="G101" s="6" t="s">
        <v>267</v>
      </c>
      <c r="I101" t="s">
        <v>17</v>
      </c>
      <c r="L101" t="s">
        <v>271</v>
      </c>
    </row>
    <row r="102" spans="1:13">
      <c r="A102" t="s">
        <v>10</v>
      </c>
      <c r="B102" t="s">
        <v>243</v>
      </c>
      <c r="C102" t="s">
        <v>239</v>
      </c>
      <c r="D102" t="s">
        <v>237</v>
      </c>
      <c r="E102" t="s">
        <v>238</v>
      </c>
      <c r="F102" t="s">
        <v>233</v>
      </c>
      <c r="G102" s="6" t="s">
        <v>22</v>
      </c>
      <c r="H102" t="s">
        <v>230</v>
      </c>
      <c r="I102" t="s">
        <v>17</v>
      </c>
      <c r="J102">
        <v>2010</v>
      </c>
      <c r="K102" t="s">
        <v>256</v>
      </c>
      <c r="L102" t="s">
        <v>257</v>
      </c>
      <c r="M102" t="s">
        <v>258</v>
      </c>
    </row>
    <row r="103" spans="1:13">
      <c r="A103" t="s">
        <v>261</v>
      </c>
      <c r="B103" t="s">
        <v>19</v>
      </c>
      <c r="C103" t="s">
        <v>291</v>
      </c>
      <c r="D103" t="s">
        <v>288</v>
      </c>
      <c r="E103" t="s">
        <v>290</v>
      </c>
      <c r="F103" t="s">
        <v>287</v>
      </c>
      <c r="G103" s="6" t="s">
        <v>268</v>
      </c>
      <c r="I103" t="s">
        <v>17</v>
      </c>
    </row>
    <row r="104" spans="1:13">
      <c r="A104" t="s">
        <v>261</v>
      </c>
      <c r="B104" t="s">
        <v>19</v>
      </c>
      <c r="C104" t="s">
        <v>291</v>
      </c>
      <c r="D104" t="s">
        <v>289</v>
      </c>
      <c r="E104" t="s">
        <v>290</v>
      </c>
      <c r="F104" t="s">
        <v>287</v>
      </c>
      <c r="G104" s="6" t="s">
        <v>268</v>
      </c>
      <c r="I104" t="s">
        <v>17</v>
      </c>
    </row>
    <row r="105" spans="1:13">
      <c r="A105" t="s">
        <v>261</v>
      </c>
      <c r="B105" t="s">
        <v>19</v>
      </c>
      <c r="C105" t="s">
        <v>292</v>
      </c>
      <c r="D105" t="s">
        <v>293</v>
      </c>
      <c r="E105" t="s">
        <v>295</v>
      </c>
      <c r="F105" t="s">
        <v>296</v>
      </c>
      <c r="G105" s="6" t="s">
        <v>22</v>
      </c>
      <c r="I105" t="s">
        <v>17</v>
      </c>
      <c r="J105" t="s">
        <v>311</v>
      </c>
      <c r="K105" t="s">
        <v>54</v>
      </c>
    </row>
    <row r="106" spans="1:13">
      <c r="A106" t="s">
        <v>261</v>
      </c>
      <c r="B106" t="s">
        <v>19</v>
      </c>
      <c r="C106" t="s">
        <v>292</v>
      </c>
      <c r="D106" t="s">
        <v>294</v>
      </c>
      <c r="E106" t="s">
        <v>290</v>
      </c>
      <c r="F106" t="s">
        <v>296</v>
      </c>
      <c r="G106" s="6" t="s">
        <v>22</v>
      </c>
      <c r="I106" t="s">
        <v>17</v>
      </c>
      <c r="J106" t="s">
        <v>311</v>
      </c>
      <c r="K106" t="s">
        <v>312</v>
      </c>
    </row>
    <row r="107" spans="1:13">
      <c r="A107" t="s">
        <v>261</v>
      </c>
      <c r="B107" t="s">
        <v>19</v>
      </c>
      <c r="C107" t="s">
        <v>299</v>
      </c>
      <c r="D107" t="s">
        <v>297</v>
      </c>
      <c r="E107" t="s">
        <v>290</v>
      </c>
      <c r="F107" t="s">
        <v>298</v>
      </c>
      <c r="G107" s="6" t="s">
        <v>268</v>
      </c>
      <c r="I107" t="s">
        <v>17</v>
      </c>
    </row>
    <row r="108" spans="1:13">
      <c r="A108" t="s">
        <v>261</v>
      </c>
      <c r="B108" t="s">
        <v>19</v>
      </c>
      <c r="C108" t="s">
        <v>300</v>
      </c>
      <c r="D108" t="s">
        <v>301</v>
      </c>
      <c r="E108" t="s">
        <v>295</v>
      </c>
      <c r="F108" t="s">
        <v>116</v>
      </c>
      <c r="G108" s="6" t="s">
        <v>22</v>
      </c>
    </row>
    <row r="109" spans="1:13">
      <c r="A109" t="s">
        <v>121</v>
      </c>
      <c r="B109" t="s">
        <v>314</v>
      </c>
      <c r="C109" t="s">
        <v>313</v>
      </c>
      <c r="I109" t="s">
        <v>17</v>
      </c>
      <c r="J109">
        <v>2020</v>
      </c>
      <c r="L109" t="s">
        <v>315</v>
      </c>
    </row>
    <row r="110" spans="1:13">
      <c r="A110" t="s">
        <v>949</v>
      </c>
      <c r="B110" t="s">
        <v>383</v>
      </c>
      <c r="C110" t="s">
        <v>950</v>
      </c>
      <c r="F110" t="s">
        <v>951</v>
      </c>
      <c r="G110" s="6" t="s">
        <v>267</v>
      </c>
    </row>
  </sheetData>
  <autoFilter ref="A1:M109" xr:uid="{00000000-0001-0000-0000-000000000000}">
    <filterColumn colId="1">
      <filters>
        <filter val="Cobalt"/>
        <filter val="Copper"/>
        <filter val="Copper (molybdenite)"/>
        <filter val="Copper, cobalt, nickel"/>
        <filter val="Gold-silver ingot (copper concentrate sulfide ore, zinc concentrate, lead concentrate)"/>
        <filter val="Iron ore concentrate"/>
        <filter val="Neodymium"/>
        <filter val="Nickel"/>
        <filter val="Nickel concentrate, 16% Ni"/>
        <filter val="Synthetic Graphit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03EB-833B-4B1B-B0BB-3F458119FC69}">
  <dimension ref="A1:B7"/>
  <sheetViews>
    <sheetView tabSelected="1" workbookViewId="0">
      <selection activeCell="B19" sqref="B19"/>
    </sheetView>
  </sheetViews>
  <sheetFormatPr baseColWidth="10" defaultRowHeight="14.5"/>
  <cols>
    <col min="1" max="1" width="11.453125" bestFit="1" customWidth="1"/>
    <col min="2" max="2" width="255.6328125" bestFit="1" customWidth="1"/>
  </cols>
  <sheetData>
    <row r="1" spans="1:2">
      <c r="A1" s="1" t="s">
        <v>997</v>
      </c>
      <c r="B1" s="1" t="s">
        <v>998</v>
      </c>
    </row>
    <row r="2" spans="1:2">
      <c r="B2" s="37" t="s">
        <v>999</v>
      </c>
    </row>
    <row r="3" spans="1:2">
      <c r="B3" s="37" t="s">
        <v>1000</v>
      </c>
    </row>
    <row r="4" spans="1:2">
      <c r="A4" s="37"/>
      <c r="B4" s="37" t="s">
        <v>1001</v>
      </c>
    </row>
    <row r="5" spans="1:2">
      <c r="A5" s="37"/>
      <c r="B5" s="37" t="s">
        <v>1002</v>
      </c>
    </row>
    <row r="6" spans="1:2">
      <c r="A6" s="37"/>
    </row>
    <row r="7" spans="1:2">
      <c r="A7" s="37"/>
    </row>
  </sheetData>
  <autoFilter ref="A1:B1" xr:uid="{AE9A03EB-833B-4B1B-B0BB-3F458119FC69}"/>
  <hyperlinks>
    <hyperlink ref="B2" r:id="rId1" display="https://publications.anl.gov/anlpubs/2022/12/178670.pdf" xr:uid="{981A3FDC-B0B2-4E32-AE0A-7437A7273104}"/>
    <hyperlink ref="B3" r:id="rId2" display="https://doi.org/10.1016/j.jclepro.2012.01.042" xr:uid="{15A16E0D-D4BD-4E77-94D2-D8B83559665B}"/>
    <hyperlink ref="B4" r:id="rId3" display="https://doi.org/10.1016/j.jclepro.2012.09.027" xr:uid="{698FA6B7-EB50-44BE-A24B-029699CB864E}"/>
    <hyperlink ref="B5" r:id="rId4" display="https://doi.org/10.1007/s11367-021-02018-5" xr:uid="{FFF38CF5-FD76-45D9-B517-AC34CE0A5D2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B87F-BEE5-4758-9795-D4CDA3863B29}">
  <dimension ref="A1:N65"/>
  <sheetViews>
    <sheetView workbookViewId="0">
      <selection activeCell="D10" sqref="D10"/>
    </sheetView>
  </sheetViews>
  <sheetFormatPr baseColWidth="10" defaultColWidth="12.6328125" defaultRowHeight="14.5"/>
  <cols>
    <col min="1" max="1" width="10.36328125" bestFit="1" customWidth="1"/>
    <col min="2" max="2" width="24.90625" bestFit="1" customWidth="1"/>
    <col min="3" max="3" width="46.1796875" customWidth="1"/>
    <col min="4" max="4" width="39" bestFit="1" customWidth="1"/>
    <col min="5" max="5" width="8.7265625" bestFit="1" customWidth="1"/>
    <col min="6" max="6" width="9" bestFit="1" customWidth="1"/>
    <col min="7" max="7" width="8" bestFit="1" customWidth="1"/>
    <col min="8" max="8" width="15.36328125" bestFit="1" customWidth="1"/>
    <col min="9" max="9" width="10.90625" bestFit="1" customWidth="1"/>
    <col min="10" max="10" width="22.1796875" bestFit="1" customWidth="1"/>
    <col min="11" max="11" width="56.26953125" bestFit="1" customWidth="1"/>
    <col min="12" max="12" width="110.7265625" bestFit="1" customWidth="1"/>
    <col min="13" max="13" width="13.453125" bestFit="1" customWidth="1"/>
  </cols>
  <sheetData>
    <row r="1" spans="1:13" ht="15" customHeight="1">
      <c r="A1" s="13" t="s">
        <v>502</v>
      </c>
      <c r="B1" s="13" t="s">
        <v>503</v>
      </c>
      <c r="C1" s="13" t="s">
        <v>504</v>
      </c>
      <c r="D1" s="13" t="s">
        <v>505</v>
      </c>
      <c r="E1" s="13" t="s">
        <v>506</v>
      </c>
      <c r="F1" s="13" t="s">
        <v>507</v>
      </c>
      <c r="G1" s="13" t="s">
        <v>508</v>
      </c>
      <c r="H1" s="13" t="s">
        <v>509</v>
      </c>
      <c r="I1" s="13" t="s">
        <v>510</v>
      </c>
      <c r="J1" s="13" t="s">
        <v>511</v>
      </c>
      <c r="K1" s="13" t="s">
        <v>512</v>
      </c>
      <c r="L1" s="13" t="s">
        <v>513</v>
      </c>
      <c r="M1" s="13" t="s">
        <v>514</v>
      </c>
    </row>
    <row r="2" spans="1:13" ht="15" customHeight="1">
      <c r="A2" s="27" t="s">
        <v>544</v>
      </c>
      <c r="B2" s="28" t="s">
        <v>516</v>
      </c>
      <c r="C2" s="19" t="s">
        <v>517</v>
      </c>
      <c r="D2" s="13"/>
      <c r="E2" s="13"/>
      <c r="F2" s="13"/>
      <c r="G2" s="13"/>
      <c r="H2" s="13"/>
      <c r="I2" s="13"/>
      <c r="J2" s="19" t="s">
        <v>519</v>
      </c>
      <c r="K2" s="27" t="s">
        <v>565</v>
      </c>
      <c r="L2" s="27" t="s">
        <v>564</v>
      </c>
      <c r="M2" s="27" t="s">
        <v>567</v>
      </c>
    </row>
    <row r="3" spans="1:13" ht="15" customHeight="1">
      <c r="A3" s="27" t="s">
        <v>544</v>
      </c>
      <c r="B3" s="28" t="s">
        <v>559</v>
      </c>
      <c r="C3" s="19" t="s">
        <v>566</v>
      </c>
      <c r="D3" s="13"/>
      <c r="E3" s="13"/>
      <c r="F3" s="13"/>
      <c r="G3" s="13"/>
      <c r="H3" s="13"/>
      <c r="I3" s="13"/>
      <c r="J3" s="19" t="s">
        <v>519</v>
      </c>
      <c r="K3" s="27" t="s">
        <v>568</v>
      </c>
      <c r="L3" s="27" t="s">
        <v>564</v>
      </c>
      <c r="M3" s="27" t="s">
        <v>569</v>
      </c>
    </row>
    <row r="4" spans="1:13" s="24" customFormat="1" ht="15" customHeight="1">
      <c r="A4" s="19" t="s">
        <v>515</v>
      </c>
      <c r="B4" s="19" t="s">
        <v>516</v>
      </c>
      <c r="C4" s="19" t="s">
        <v>517</v>
      </c>
      <c r="D4" s="20">
        <v>2.0500000000000001E-2</v>
      </c>
      <c r="E4" s="21">
        <v>5.0000000000000001E-3</v>
      </c>
      <c r="F4" s="21">
        <v>0.03</v>
      </c>
      <c r="G4" s="22"/>
      <c r="H4" s="22"/>
      <c r="I4" s="19" t="s">
        <v>518</v>
      </c>
      <c r="J4" s="19" t="s">
        <v>519</v>
      </c>
      <c r="K4" s="23" t="s">
        <v>520</v>
      </c>
      <c r="L4" s="19" t="s">
        <v>521</v>
      </c>
    </row>
    <row r="5" spans="1:13" ht="15" customHeight="1">
      <c r="A5" s="14" t="s">
        <v>515</v>
      </c>
      <c r="B5" s="14" t="s">
        <v>522</v>
      </c>
      <c r="C5" s="14" t="s">
        <v>523</v>
      </c>
      <c r="D5" s="14" t="s">
        <v>524</v>
      </c>
      <c r="E5" s="14"/>
      <c r="F5" s="14"/>
      <c r="G5" s="14"/>
      <c r="H5" s="14"/>
      <c r="I5" s="14" t="s">
        <v>525</v>
      </c>
      <c r="J5" s="14"/>
      <c r="K5" s="15" t="s">
        <v>526</v>
      </c>
      <c r="L5" s="14" t="s">
        <v>521</v>
      </c>
    </row>
    <row r="6" spans="1:13" ht="15" customHeight="1">
      <c r="A6" s="14" t="s">
        <v>515</v>
      </c>
      <c r="B6" s="14" t="s">
        <v>527</v>
      </c>
      <c r="C6" s="14" t="s">
        <v>528</v>
      </c>
      <c r="D6" s="14" t="s">
        <v>529</v>
      </c>
      <c r="E6" s="14"/>
      <c r="F6" s="14"/>
      <c r="G6" s="14"/>
      <c r="H6" s="14"/>
      <c r="I6" s="14" t="s">
        <v>525</v>
      </c>
      <c r="J6" s="14" t="s">
        <v>519</v>
      </c>
      <c r="K6" s="15" t="s">
        <v>530</v>
      </c>
      <c r="L6" s="14" t="s">
        <v>521</v>
      </c>
    </row>
    <row r="7" spans="1:13" ht="15" customHeight="1">
      <c r="A7" s="14" t="s">
        <v>515</v>
      </c>
      <c r="B7" s="14" t="s">
        <v>531</v>
      </c>
      <c r="C7" s="14" t="s">
        <v>532</v>
      </c>
      <c r="D7" s="14" t="s">
        <v>533</v>
      </c>
      <c r="E7" s="14"/>
      <c r="F7" s="14"/>
      <c r="G7" s="14"/>
      <c r="H7" s="14"/>
      <c r="I7" s="14" t="s">
        <v>525</v>
      </c>
      <c r="J7" s="14"/>
      <c r="K7" s="15"/>
      <c r="L7" s="14" t="s">
        <v>521</v>
      </c>
    </row>
    <row r="8" spans="1:13" s="24" customFormat="1" ht="15" customHeight="1">
      <c r="A8" s="19" t="s">
        <v>534</v>
      </c>
      <c r="B8" s="19" t="s">
        <v>516</v>
      </c>
      <c r="C8" s="19" t="s">
        <v>517</v>
      </c>
      <c r="D8" s="20">
        <v>1.8E-3</v>
      </c>
      <c r="E8" s="25">
        <v>1.8E-3</v>
      </c>
      <c r="F8" s="26">
        <v>0.03</v>
      </c>
      <c r="G8" s="22"/>
      <c r="H8" s="22"/>
      <c r="I8" s="19" t="s">
        <v>518</v>
      </c>
      <c r="J8" s="19" t="s">
        <v>519</v>
      </c>
      <c r="K8" s="23" t="s">
        <v>535</v>
      </c>
      <c r="L8" s="19" t="s">
        <v>536</v>
      </c>
    </row>
    <row r="9" spans="1:13" ht="15" customHeight="1">
      <c r="A9" s="14" t="s">
        <v>534</v>
      </c>
      <c r="B9" s="14" t="s">
        <v>522</v>
      </c>
      <c r="C9" s="14" t="s">
        <v>523</v>
      </c>
      <c r="D9" s="14" t="s">
        <v>537</v>
      </c>
      <c r="I9" s="14" t="s">
        <v>525</v>
      </c>
      <c r="J9" s="14"/>
      <c r="K9" s="12"/>
      <c r="L9" s="14" t="s">
        <v>538</v>
      </c>
    </row>
    <row r="10" spans="1:13" ht="15" customHeight="1">
      <c r="A10" s="14" t="s">
        <v>534</v>
      </c>
      <c r="B10" s="14" t="s">
        <v>527</v>
      </c>
      <c r="C10" s="14" t="s">
        <v>528</v>
      </c>
      <c r="D10" s="14" t="s">
        <v>539</v>
      </c>
      <c r="I10" s="14" t="s">
        <v>525</v>
      </c>
      <c r="J10" s="14"/>
      <c r="L10" s="14" t="s">
        <v>538</v>
      </c>
    </row>
    <row r="11" spans="1:13" ht="15" customHeight="1">
      <c r="A11" s="14" t="s">
        <v>534</v>
      </c>
      <c r="B11" s="14" t="s">
        <v>531</v>
      </c>
      <c r="C11" s="14" t="s">
        <v>532</v>
      </c>
      <c r="D11" s="14" t="s">
        <v>540</v>
      </c>
      <c r="I11" s="14" t="s">
        <v>525</v>
      </c>
      <c r="J11" s="14"/>
      <c r="L11" s="14" t="s">
        <v>538</v>
      </c>
    </row>
    <row r="12" spans="1:13" ht="15" customHeight="1">
      <c r="A12" s="14" t="s">
        <v>534</v>
      </c>
      <c r="B12" s="14" t="s">
        <v>516</v>
      </c>
      <c r="C12" s="14" t="s">
        <v>517</v>
      </c>
      <c r="I12" s="14" t="s">
        <v>541</v>
      </c>
      <c r="J12" s="14" t="s">
        <v>519</v>
      </c>
      <c r="K12" s="11" t="s">
        <v>542</v>
      </c>
      <c r="L12" s="14" t="s">
        <v>543</v>
      </c>
    </row>
    <row r="13" spans="1:13" ht="15" customHeight="1">
      <c r="A13" s="14" t="s">
        <v>544</v>
      </c>
      <c r="B13" s="14" t="s">
        <v>516</v>
      </c>
      <c r="C13" s="14" t="s">
        <v>517</v>
      </c>
      <c r="I13" s="14" t="s">
        <v>541</v>
      </c>
      <c r="J13" s="14" t="s">
        <v>519</v>
      </c>
      <c r="K13" s="11" t="s">
        <v>545</v>
      </c>
      <c r="L13" s="14" t="s">
        <v>543</v>
      </c>
    </row>
    <row r="14" spans="1:13" ht="15" customHeight="1">
      <c r="A14" s="14" t="s">
        <v>546</v>
      </c>
      <c r="B14" s="14" t="s">
        <v>516</v>
      </c>
      <c r="C14" s="14" t="s">
        <v>517</v>
      </c>
      <c r="I14" s="14" t="s">
        <v>541</v>
      </c>
      <c r="J14" s="14" t="s">
        <v>519</v>
      </c>
      <c r="K14" s="11" t="s">
        <v>547</v>
      </c>
      <c r="L14" s="14" t="s">
        <v>543</v>
      </c>
    </row>
    <row r="15" spans="1:13" ht="15" customHeight="1">
      <c r="A15" s="14" t="s">
        <v>534</v>
      </c>
      <c r="B15" s="14" t="s">
        <v>516</v>
      </c>
      <c r="C15" s="14" t="s">
        <v>517</v>
      </c>
      <c r="J15" s="14" t="s">
        <v>519</v>
      </c>
      <c r="K15" s="11" t="s">
        <v>548</v>
      </c>
      <c r="L15" s="11" t="s">
        <v>549</v>
      </c>
    </row>
    <row r="16" spans="1:13" ht="15" customHeight="1">
      <c r="A16" s="14" t="s">
        <v>550</v>
      </c>
      <c r="B16" s="14" t="s">
        <v>516</v>
      </c>
      <c r="C16" s="14" t="s">
        <v>517</v>
      </c>
      <c r="J16" s="14" t="s">
        <v>519</v>
      </c>
      <c r="K16" s="11" t="s">
        <v>551</v>
      </c>
      <c r="L16" s="11" t="s">
        <v>549</v>
      </c>
    </row>
    <row r="17" spans="1:14" ht="15" customHeight="1">
      <c r="A17" s="14" t="s">
        <v>515</v>
      </c>
      <c r="B17" s="14" t="s">
        <v>516</v>
      </c>
      <c r="C17" s="14" t="s">
        <v>517</v>
      </c>
      <c r="J17" s="14" t="s">
        <v>519</v>
      </c>
      <c r="K17" s="11" t="s">
        <v>552</v>
      </c>
      <c r="L17" s="11" t="s">
        <v>549</v>
      </c>
    </row>
    <row r="18" spans="1:14" ht="15" customHeight="1">
      <c r="A18" s="14" t="s">
        <v>546</v>
      </c>
      <c r="B18" s="14" t="s">
        <v>516</v>
      </c>
      <c r="C18" s="14" t="s">
        <v>517</v>
      </c>
      <c r="J18" s="14" t="s">
        <v>519</v>
      </c>
      <c r="K18" s="11" t="s">
        <v>553</v>
      </c>
      <c r="L18" s="11" t="s">
        <v>549</v>
      </c>
    </row>
    <row r="19" spans="1:14" ht="15" customHeight="1">
      <c r="A19" s="14" t="s">
        <v>544</v>
      </c>
      <c r="B19" s="11" t="s">
        <v>516</v>
      </c>
      <c r="C19" s="14" t="s">
        <v>517</v>
      </c>
      <c r="D19" s="11" t="s">
        <v>554</v>
      </c>
      <c r="E19" s="11" t="s">
        <v>555</v>
      </c>
      <c r="F19" s="11" t="s">
        <v>556</v>
      </c>
      <c r="G19" s="11"/>
      <c r="H19" s="11"/>
      <c r="I19" s="11"/>
      <c r="J19" s="14" t="s">
        <v>519</v>
      </c>
      <c r="K19" s="11" t="s">
        <v>557</v>
      </c>
      <c r="L19" s="11" t="s">
        <v>558</v>
      </c>
      <c r="M19" s="11"/>
      <c r="N19" s="11"/>
    </row>
    <row r="20" spans="1:14" ht="15" customHeight="1">
      <c r="A20" s="14" t="s">
        <v>544</v>
      </c>
      <c r="B20" s="11" t="s">
        <v>559</v>
      </c>
      <c r="C20" s="14" t="s">
        <v>560</v>
      </c>
      <c r="D20" s="11" t="s">
        <v>554</v>
      </c>
      <c r="E20" s="11" t="s">
        <v>555</v>
      </c>
      <c r="F20" s="11" t="s">
        <v>556</v>
      </c>
      <c r="G20" s="11"/>
      <c r="H20" s="11"/>
      <c r="I20" s="11"/>
      <c r="J20" s="14" t="s">
        <v>519</v>
      </c>
      <c r="K20" s="11" t="s">
        <v>557</v>
      </c>
      <c r="L20" s="11" t="s">
        <v>558</v>
      </c>
      <c r="M20" s="11"/>
      <c r="N20" s="11"/>
    </row>
    <row r="21" spans="1:14" ht="15" customHeight="1">
      <c r="A21" s="14" t="s">
        <v>544</v>
      </c>
      <c r="B21" s="11" t="s">
        <v>516</v>
      </c>
      <c r="C21" s="14" t="s">
        <v>517</v>
      </c>
      <c r="D21" s="11"/>
      <c r="E21" s="11"/>
      <c r="F21" s="11"/>
      <c r="G21" s="11"/>
      <c r="H21" s="11"/>
      <c r="I21" s="11"/>
      <c r="J21" s="14" t="s">
        <v>519</v>
      </c>
      <c r="K21" s="11" t="s">
        <v>557</v>
      </c>
      <c r="L21" s="11" t="s">
        <v>561</v>
      </c>
      <c r="M21" s="11"/>
      <c r="N21" s="11"/>
    </row>
    <row r="22" spans="1:14" ht="15" customHeight="1">
      <c r="A22" s="14" t="s">
        <v>544</v>
      </c>
      <c r="B22" s="11" t="s">
        <v>562</v>
      </c>
      <c r="C22" s="11" t="s">
        <v>563</v>
      </c>
      <c r="D22" s="11"/>
      <c r="E22" s="11"/>
      <c r="F22" s="11"/>
      <c r="G22" s="11"/>
      <c r="H22" s="11"/>
      <c r="I22" s="11"/>
      <c r="J22" s="14" t="s">
        <v>519</v>
      </c>
      <c r="K22" s="11" t="s">
        <v>557</v>
      </c>
      <c r="L22" s="11" t="s">
        <v>561</v>
      </c>
      <c r="M22" s="11"/>
      <c r="N22" s="11"/>
    </row>
    <row r="23" spans="1:14" ht="15" customHeight="1">
      <c r="L23" s="11"/>
    </row>
    <row r="29" spans="1:14" ht="15" customHeight="1">
      <c r="A29" s="1"/>
      <c r="B29" s="16"/>
      <c r="C29" s="16"/>
      <c r="D29" s="12"/>
      <c r="E29" s="12"/>
      <c r="F29" s="16"/>
      <c r="G29" s="16"/>
      <c r="H29" s="16"/>
      <c r="I29" s="16"/>
      <c r="J29" s="17"/>
      <c r="K29" s="17"/>
    </row>
    <row r="30" spans="1:14" ht="15" customHeight="1">
      <c r="A30" s="12"/>
      <c r="D30" s="12"/>
      <c r="E30" s="12"/>
      <c r="F30" s="18"/>
      <c r="G30" s="18"/>
      <c r="H30" s="18"/>
    </row>
    <row r="31" spans="1:14" ht="15" customHeight="1">
      <c r="A31" s="12"/>
      <c r="D31" s="12"/>
      <c r="E31" s="12"/>
      <c r="F31" s="18"/>
      <c r="G31" s="18"/>
      <c r="H31" s="18"/>
    </row>
    <row r="32" spans="1:14" ht="15" customHeight="1">
      <c r="A32" s="12"/>
      <c r="D32" s="12"/>
      <c r="E32" s="12"/>
      <c r="F32" s="18"/>
      <c r="G32" s="18"/>
      <c r="H32" s="18"/>
    </row>
    <row r="33" spans="1:11" ht="15" customHeight="1">
      <c r="A33" s="12"/>
      <c r="D33" s="12"/>
      <c r="E33" s="12"/>
      <c r="F33" s="18"/>
      <c r="G33" s="18"/>
      <c r="H33" s="18"/>
    </row>
    <row r="34" spans="1:11" ht="15" customHeight="1">
      <c r="A34" s="12"/>
      <c r="D34" s="12"/>
      <c r="E34" s="12"/>
      <c r="F34" s="18"/>
      <c r="G34" s="18"/>
      <c r="H34" s="18"/>
    </row>
    <row r="35" spans="1:11" ht="15" customHeight="1">
      <c r="A35" s="12"/>
      <c r="D35" s="12"/>
      <c r="E35" s="12"/>
      <c r="F35" s="18"/>
      <c r="G35" s="18"/>
      <c r="H35" s="18"/>
    </row>
    <row r="36" spans="1:11" ht="15" customHeight="1">
      <c r="A36" s="12"/>
      <c r="D36" s="12"/>
      <c r="E36" s="12"/>
      <c r="F36" s="18"/>
      <c r="G36" s="18"/>
      <c r="H36" s="18"/>
    </row>
    <row r="37" spans="1:11" ht="15" customHeight="1">
      <c r="A37" s="12"/>
      <c r="D37" s="12"/>
      <c r="E37" s="12"/>
      <c r="F37" s="18"/>
      <c r="G37" s="18"/>
      <c r="H37" s="18"/>
    </row>
    <row r="38" spans="1:11" ht="15" customHeight="1">
      <c r="A38" s="12"/>
      <c r="D38" s="12"/>
      <c r="E38" s="12"/>
      <c r="F38" s="18"/>
      <c r="G38" s="18"/>
      <c r="H38" s="18"/>
    </row>
    <row r="39" spans="1:11" ht="15" customHeight="1">
      <c r="A39" s="12"/>
      <c r="D39" s="12"/>
      <c r="E39" s="12"/>
      <c r="F39" s="18"/>
      <c r="G39" s="18"/>
      <c r="H39" s="18"/>
    </row>
    <row r="40" spans="1:11" ht="15" customHeight="1">
      <c r="A40" s="12"/>
      <c r="D40" s="12"/>
      <c r="E40" s="12"/>
      <c r="F40" s="18"/>
      <c r="G40" s="18"/>
      <c r="H40" s="18"/>
    </row>
    <row r="41" spans="1:11" ht="15" customHeight="1">
      <c r="A41" s="12"/>
      <c r="D41" s="12"/>
      <c r="E41" s="12"/>
      <c r="F41" s="18"/>
      <c r="G41" s="18"/>
      <c r="H41" s="18"/>
    </row>
    <row r="42" spans="1:11" ht="15" customHeight="1">
      <c r="A42" s="12"/>
      <c r="D42" s="12"/>
      <c r="E42" s="12"/>
      <c r="F42" s="18"/>
      <c r="G42" s="18"/>
      <c r="H42" s="18"/>
    </row>
    <row r="43" spans="1:11" ht="15" customHeight="1">
      <c r="A43" s="12"/>
      <c r="D43" s="12"/>
      <c r="E43" s="12"/>
      <c r="F43" s="18"/>
      <c r="G43" s="18"/>
      <c r="H43" s="18"/>
    </row>
    <row r="44" spans="1:11" ht="15" customHeight="1">
      <c r="A44" s="12"/>
      <c r="B44" s="12"/>
      <c r="D44" s="12"/>
      <c r="E44" s="12"/>
      <c r="J44" s="12"/>
      <c r="K44" s="12"/>
    </row>
    <row r="45" spans="1:11" ht="15" customHeight="1">
      <c r="A45" s="12"/>
      <c r="B45" s="12"/>
      <c r="D45" s="12"/>
      <c r="E45" s="12"/>
    </row>
    <row r="46" spans="1:11" ht="15" customHeight="1">
      <c r="A46" s="12"/>
      <c r="B46" s="12"/>
      <c r="D46" s="12"/>
      <c r="E46" s="12"/>
    </row>
    <row r="47" spans="1:11" ht="15" customHeight="1">
      <c r="A47" s="12"/>
      <c r="B47" s="12"/>
      <c r="D47" s="12"/>
      <c r="E47" s="12"/>
    </row>
    <row r="48" spans="1:11" ht="15" customHeight="1">
      <c r="A48" s="12"/>
      <c r="B48" s="12"/>
      <c r="D48" s="12"/>
      <c r="E48" s="12"/>
    </row>
    <row r="49" spans="1:5" ht="15" customHeight="1">
      <c r="A49" s="12"/>
      <c r="B49" s="12"/>
      <c r="D49" s="12"/>
      <c r="E49" s="12"/>
    </row>
    <row r="50" spans="1:5" ht="15" customHeight="1">
      <c r="A50" s="12"/>
      <c r="B50" s="12"/>
      <c r="D50" s="12"/>
      <c r="E50" s="12"/>
    </row>
    <row r="51" spans="1:5" ht="15" customHeight="1">
      <c r="A51" s="12"/>
      <c r="B51" s="12"/>
      <c r="D51" s="12"/>
      <c r="E51" s="12"/>
    </row>
    <row r="52" spans="1:5" ht="15" customHeight="1">
      <c r="A52" s="12"/>
      <c r="B52" s="12"/>
      <c r="D52" s="12"/>
      <c r="E52" s="12"/>
    </row>
    <row r="53" spans="1:5" ht="15" customHeight="1">
      <c r="A53" s="12"/>
      <c r="B53" s="12"/>
      <c r="D53" s="12"/>
      <c r="E53" s="12"/>
    </row>
    <row r="54" spans="1:5" ht="15" customHeight="1">
      <c r="A54" s="12"/>
      <c r="B54" s="12"/>
      <c r="D54" s="12"/>
      <c r="E54" s="12"/>
    </row>
    <row r="55" spans="1:5" ht="15" customHeight="1">
      <c r="A55" s="12"/>
      <c r="B55" s="12"/>
      <c r="D55" s="12"/>
      <c r="E55" s="12"/>
    </row>
    <row r="56" spans="1:5" ht="15" customHeight="1">
      <c r="A56" s="12"/>
      <c r="B56" s="12"/>
      <c r="D56" s="12"/>
      <c r="E56" s="12"/>
    </row>
    <row r="57" spans="1:5" ht="15" customHeight="1">
      <c r="A57" s="12"/>
      <c r="B57" s="12"/>
      <c r="D57" s="12"/>
      <c r="E57" s="12"/>
    </row>
    <row r="58" spans="1:5" ht="15" customHeight="1">
      <c r="A58" s="12"/>
      <c r="B58" s="12"/>
      <c r="D58" s="12"/>
      <c r="E58" s="12"/>
    </row>
    <row r="59" spans="1:5" ht="15" customHeight="1">
      <c r="A59" s="12"/>
      <c r="B59" s="12"/>
      <c r="D59" s="12"/>
      <c r="E59" s="12"/>
    </row>
    <row r="60" spans="1:5" ht="15" customHeight="1">
      <c r="A60" s="12"/>
      <c r="B60" s="12"/>
      <c r="D60" s="12"/>
      <c r="E60" s="12"/>
    </row>
    <row r="61" spans="1:5" ht="15" customHeight="1">
      <c r="A61" s="12"/>
      <c r="B61" s="12"/>
      <c r="D61" s="12"/>
      <c r="E61" s="12"/>
    </row>
    <row r="62" spans="1:5" ht="15" customHeight="1">
      <c r="A62" s="12"/>
      <c r="B62" s="12"/>
      <c r="D62" s="12"/>
      <c r="E62" s="12"/>
    </row>
    <row r="63" spans="1:5" ht="15" customHeight="1">
      <c r="A63" s="12"/>
      <c r="B63" s="12"/>
      <c r="D63" s="12"/>
      <c r="E63" s="12"/>
    </row>
    <row r="64" spans="1:5" ht="15" customHeight="1">
      <c r="A64" s="12"/>
      <c r="B64" s="12"/>
      <c r="D64" s="12"/>
      <c r="E64" s="12"/>
    </row>
    <row r="65" spans="1:5" ht="15" customHeight="1">
      <c r="A65" s="12"/>
      <c r="B65" s="12"/>
      <c r="D65" s="12"/>
      <c r="E65" s="12"/>
    </row>
  </sheetData>
  <autoFilter ref="A1:N1" xr:uid="{64BEB87F-BEE5-4758-9795-D4CDA3863B29}"/>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33FA4-71D9-42BC-8BAF-D6CA94901908}">
  <sheetPr filterMode="1"/>
  <dimension ref="A1:M60"/>
  <sheetViews>
    <sheetView workbookViewId="0">
      <selection activeCell="B9" sqref="B9"/>
    </sheetView>
  </sheetViews>
  <sheetFormatPr baseColWidth="10" defaultRowHeight="14.5"/>
  <cols>
    <col min="1" max="1" width="18" bestFit="1" customWidth="1"/>
    <col min="2" max="2" width="72.26953125" bestFit="1" customWidth="1"/>
    <col min="3" max="3" width="32.81640625" bestFit="1" customWidth="1"/>
    <col min="4" max="4" width="35.1796875" bestFit="1" customWidth="1"/>
    <col min="5" max="5" width="11.81640625" customWidth="1"/>
    <col min="6" max="6" width="35.1796875" bestFit="1" customWidth="1"/>
    <col min="7" max="7" width="35.1796875" customWidth="1"/>
    <col min="8" max="8" width="11.81640625" customWidth="1"/>
    <col min="9" max="9" width="17.26953125" bestFit="1" customWidth="1"/>
    <col min="10" max="10" width="18.54296875" bestFit="1" customWidth="1"/>
    <col min="11" max="11" width="16.1796875" bestFit="1" customWidth="1"/>
    <col min="12" max="12" width="17.453125" bestFit="1" customWidth="1"/>
    <col min="13" max="13" width="19.08984375" bestFit="1" customWidth="1"/>
  </cols>
  <sheetData>
    <row r="1" spans="1:13" s="1" customFormat="1">
      <c r="A1" s="1" t="s">
        <v>956</v>
      </c>
      <c r="B1" s="1" t="s">
        <v>571</v>
      </c>
      <c r="C1" s="1" t="s">
        <v>975</v>
      </c>
      <c r="D1" s="1" t="s">
        <v>976</v>
      </c>
      <c r="E1" s="1" t="s">
        <v>840</v>
      </c>
      <c r="F1" s="1" t="s">
        <v>841</v>
      </c>
      <c r="G1" s="1" t="s">
        <v>884</v>
      </c>
      <c r="H1" s="1" t="s">
        <v>842</v>
      </c>
      <c r="I1" s="1" t="s">
        <v>957</v>
      </c>
      <c r="J1" s="1" t="s">
        <v>958</v>
      </c>
      <c r="K1" s="1" t="s">
        <v>959</v>
      </c>
      <c r="L1" s="1" t="s">
        <v>960</v>
      </c>
      <c r="M1" s="1" t="s">
        <v>961</v>
      </c>
    </row>
    <row r="2" spans="1:13" hidden="1">
      <c r="A2" t="s">
        <v>845</v>
      </c>
      <c r="B2" t="s">
        <v>962</v>
      </c>
      <c r="C2" s="35" t="s">
        <v>977</v>
      </c>
      <c r="D2" t="s">
        <v>978</v>
      </c>
      <c r="E2" t="s">
        <v>843</v>
      </c>
      <c r="F2" t="s">
        <v>844</v>
      </c>
      <c r="G2" t="s">
        <v>885</v>
      </c>
      <c r="H2">
        <v>980</v>
      </c>
      <c r="I2">
        <v>3065000</v>
      </c>
      <c r="J2">
        <v>3.1973898858075E-4</v>
      </c>
      <c r="K2" t="s">
        <v>963</v>
      </c>
      <c r="L2">
        <v>1</v>
      </c>
      <c r="M2" t="s">
        <v>964</v>
      </c>
    </row>
    <row r="3" spans="1:13" hidden="1">
      <c r="A3" t="s">
        <v>845</v>
      </c>
      <c r="B3" t="s">
        <v>962</v>
      </c>
      <c r="C3" s="35" t="s">
        <v>977</v>
      </c>
      <c r="D3" t="s">
        <v>978</v>
      </c>
      <c r="E3" t="s">
        <v>843</v>
      </c>
      <c r="F3" t="s">
        <v>846</v>
      </c>
      <c r="G3" t="s">
        <v>885</v>
      </c>
      <c r="H3">
        <v>179</v>
      </c>
      <c r="I3">
        <v>3065000</v>
      </c>
      <c r="J3" s="29">
        <v>5.84013050570962E-5</v>
      </c>
      <c r="K3" t="s">
        <v>963</v>
      </c>
      <c r="L3">
        <v>1</v>
      </c>
      <c r="M3" t="s">
        <v>964</v>
      </c>
    </row>
    <row r="4" spans="1:13" hidden="1">
      <c r="A4" t="s">
        <v>845</v>
      </c>
      <c r="B4" t="s">
        <v>962</v>
      </c>
      <c r="C4" s="35" t="s">
        <v>977</v>
      </c>
      <c r="D4" t="s">
        <v>978</v>
      </c>
      <c r="E4" t="s">
        <v>843</v>
      </c>
      <c r="F4" t="s">
        <v>847</v>
      </c>
      <c r="G4" t="s">
        <v>886</v>
      </c>
      <c r="H4">
        <v>38</v>
      </c>
      <c r="I4">
        <v>3065000</v>
      </c>
      <c r="J4" s="29">
        <v>1.2398042414355599E-5</v>
      </c>
      <c r="K4" t="s">
        <v>963</v>
      </c>
      <c r="L4">
        <v>1</v>
      </c>
      <c r="M4" t="s">
        <v>964</v>
      </c>
    </row>
    <row r="5" spans="1:13" hidden="1">
      <c r="A5" t="s">
        <v>845</v>
      </c>
      <c r="B5" t="s">
        <v>962</v>
      </c>
      <c r="C5" s="35" t="s">
        <v>977</v>
      </c>
      <c r="D5" t="s">
        <v>978</v>
      </c>
      <c r="E5" t="s">
        <v>843</v>
      </c>
      <c r="F5" t="s">
        <v>848</v>
      </c>
      <c r="G5" t="s">
        <v>893</v>
      </c>
      <c r="H5">
        <v>192</v>
      </c>
      <c r="I5">
        <v>3065000</v>
      </c>
      <c r="J5" s="29">
        <v>6.2642740619902105E-5</v>
      </c>
      <c r="K5" t="s">
        <v>963</v>
      </c>
      <c r="L5">
        <v>1</v>
      </c>
      <c r="M5" t="s">
        <v>964</v>
      </c>
    </row>
    <row r="6" spans="1:13" hidden="1">
      <c r="A6" t="s">
        <v>845</v>
      </c>
      <c r="B6" t="s">
        <v>962</v>
      </c>
      <c r="C6" s="35" t="s">
        <v>977</v>
      </c>
      <c r="D6" t="s">
        <v>978</v>
      </c>
      <c r="E6" t="s">
        <v>843</v>
      </c>
      <c r="F6" t="s">
        <v>370</v>
      </c>
      <c r="G6" t="s">
        <v>888</v>
      </c>
      <c r="H6">
        <v>2724</v>
      </c>
      <c r="I6">
        <v>3065000</v>
      </c>
      <c r="J6">
        <v>8.8874388254486097E-4</v>
      </c>
      <c r="K6" t="s">
        <v>963</v>
      </c>
      <c r="L6">
        <v>1</v>
      </c>
      <c r="M6" t="s">
        <v>964</v>
      </c>
    </row>
    <row r="7" spans="1:13" hidden="1">
      <c r="A7" t="s">
        <v>845</v>
      </c>
      <c r="B7" t="s">
        <v>962</v>
      </c>
      <c r="C7" s="35" t="s">
        <v>977</v>
      </c>
      <c r="D7" t="s">
        <v>978</v>
      </c>
      <c r="E7" t="s">
        <v>843</v>
      </c>
      <c r="F7" t="s">
        <v>849</v>
      </c>
      <c r="G7" t="s">
        <v>895</v>
      </c>
      <c r="H7">
        <v>55</v>
      </c>
      <c r="I7">
        <v>3065000</v>
      </c>
      <c r="J7" s="29">
        <v>1.7944535073409401E-5</v>
      </c>
      <c r="K7" t="s">
        <v>963</v>
      </c>
      <c r="L7">
        <v>1</v>
      </c>
      <c r="M7" t="s">
        <v>964</v>
      </c>
    </row>
    <row r="8" spans="1:13" hidden="1">
      <c r="A8" t="s">
        <v>845</v>
      </c>
      <c r="B8" t="s">
        <v>962</v>
      </c>
      <c r="C8" s="35" t="s">
        <v>977</v>
      </c>
      <c r="D8" t="s">
        <v>978</v>
      </c>
      <c r="E8" t="s">
        <v>843</v>
      </c>
      <c r="F8" t="s">
        <v>850</v>
      </c>
      <c r="G8" t="s">
        <v>885</v>
      </c>
      <c r="H8">
        <v>583</v>
      </c>
      <c r="I8">
        <v>3065000</v>
      </c>
      <c r="J8">
        <v>1.9021207177814001E-4</v>
      </c>
      <c r="K8" t="s">
        <v>963</v>
      </c>
      <c r="L8">
        <v>1</v>
      </c>
      <c r="M8" t="s">
        <v>964</v>
      </c>
    </row>
    <row r="9" spans="1:13" hidden="1">
      <c r="A9" t="s">
        <v>883</v>
      </c>
      <c r="B9" t="s">
        <v>974</v>
      </c>
      <c r="C9" s="35" t="s">
        <v>979</v>
      </c>
      <c r="D9" t="s">
        <v>982</v>
      </c>
      <c r="E9" t="s">
        <v>843</v>
      </c>
      <c r="F9" t="s">
        <v>861</v>
      </c>
      <c r="G9" t="s">
        <v>889</v>
      </c>
      <c r="H9">
        <v>12578</v>
      </c>
      <c r="I9">
        <v>2911000</v>
      </c>
      <c r="J9">
        <v>4.3208519409137702E-3</v>
      </c>
      <c r="K9" t="s">
        <v>963</v>
      </c>
      <c r="L9">
        <v>1</v>
      </c>
      <c r="M9" t="s">
        <v>964</v>
      </c>
    </row>
    <row r="10" spans="1:13" hidden="1">
      <c r="A10" t="s">
        <v>883</v>
      </c>
      <c r="B10" t="s">
        <v>974</v>
      </c>
      <c r="C10" s="35" t="s">
        <v>979</v>
      </c>
      <c r="D10" t="s">
        <v>982</v>
      </c>
      <c r="E10" t="s">
        <v>843</v>
      </c>
      <c r="F10" t="s">
        <v>863</v>
      </c>
      <c r="G10" t="s">
        <v>885</v>
      </c>
      <c r="H10">
        <v>1932.222</v>
      </c>
      <c r="I10">
        <v>2911000</v>
      </c>
      <c r="J10">
        <v>6.6376571624871103E-4</v>
      </c>
      <c r="K10" t="s">
        <v>963</v>
      </c>
      <c r="L10">
        <v>1</v>
      </c>
      <c r="M10" t="s">
        <v>964</v>
      </c>
    </row>
    <row r="11" spans="1:13" hidden="1">
      <c r="A11" t="s">
        <v>883</v>
      </c>
      <c r="B11" t="s">
        <v>974</v>
      </c>
      <c r="C11" s="35" t="s">
        <v>979</v>
      </c>
      <c r="D11" t="s">
        <v>982</v>
      </c>
      <c r="E11" t="s">
        <v>843</v>
      </c>
      <c r="F11" t="s">
        <v>864</v>
      </c>
      <c r="G11" t="s">
        <v>894</v>
      </c>
      <c r="H11">
        <v>2.6834500000000001</v>
      </c>
      <c r="I11">
        <v>2911000</v>
      </c>
      <c r="J11" s="29">
        <v>9.2183098591549297E-7</v>
      </c>
      <c r="K11" t="s">
        <v>963</v>
      </c>
      <c r="L11">
        <v>1</v>
      </c>
      <c r="M11" t="s">
        <v>964</v>
      </c>
    </row>
    <row r="12" spans="1:13" hidden="1">
      <c r="A12" t="s">
        <v>883</v>
      </c>
      <c r="B12" t="s">
        <v>974</v>
      </c>
      <c r="C12" s="35" t="s">
        <v>979</v>
      </c>
      <c r="D12" t="s">
        <v>982</v>
      </c>
      <c r="E12" t="s">
        <v>843</v>
      </c>
      <c r="F12" t="s">
        <v>370</v>
      </c>
      <c r="G12" t="s">
        <v>888</v>
      </c>
      <c r="H12">
        <v>4346.9210000000003</v>
      </c>
      <c r="I12">
        <v>2911000</v>
      </c>
      <c r="J12">
        <v>1.49327413260048E-3</v>
      </c>
      <c r="K12" t="s">
        <v>963</v>
      </c>
      <c r="L12">
        <v>1</v>
      </c>
      <c r="M12" t="s">
        <v>964</v>
      </c>
    </row>
    <row r="13" spans="1:13" hidden="1">
      <c r="A13" t="s">
        <v>883</v>
      </c>
      <c r="B13" t="s">
        <v>974</v>
      </c>
      <c r="C13" s="35" t="s">
        <v>979</v>
      </c>
      <c r="D13" t="s">
        <v>982</v>
      </c>
      <c r="E13" t="s">
        <v>843</v>
      </c>
      <c r="F13" t="s">
        <v>865</v>
      </c>
      <c r="G13" t="s">
        <v>892</v>
      </c>
      <c r="H13">
        <v>545.04207999999903</v>
      </c>
      <c r="I13">
        <v>2911000</v>
      </c>
      <c r="J13">
        <v>1.8723534180693899E-4</v>
      </c>
      <c r="K13" t="s">
        <v>963</v>
      </c>
      <c r="L13">
        <v>1</v>
      </c>
      <c r="M13" t="s">
        <v>964</v>
      </c>
    </row>
    <row r="14" spans="1:13" hidden="1">
      <c r="A14" t="s">
        <v>883</v>
      </c>
      <c r="B14" t="s">
        <v>974</v>
      </c>
      <c r="C14" s="35" t="s">
        <v>979</v>
      </c>
      <c r="D14" t="s">
        <v>982</v>
      </c>
      <c r="E14" t="s">
        <v>843</v>
      </c>
      <c r="F14" t="s">
        <v>877</v>
      </c>
      <c r="G14" t="s">
        <v>894</v>
      </c>
      <c r="H14">
        <v>0.26424999999999998</v>
      </c>
      <c r="I14">
        <v>2911000</v>
      </c>
      <c r="J14" s="29">
        <v>9.0776365510133896E-8</v>
      </c>
      <c r="K14" t="s">
        <v>963</v>
      </c>
      <c r="L14">
        <v>1</v>
      </c>
      <c r="M14" t="s">
        <v>964</v>
      </c>
    </row>
    <row r="15" spans="1:13" hidden="1">
      <c r="A15" t="s">
        <v>883</v>
      </c>
      <c r="B15" t="s">
        <v>974</v>
      </c>
      <c r="C15" s="35" t="s">
        <v>979</v>
      </c>
      <c r="D15" t="s">
        <v>982</v>
      </c>
      <c r="E15" t="s">
        <v>843</v>
      </c>
      <c r="F15" t="s">
        <v>866</v>
      </c>
      <c r="G15" t="s">
        <v>890</v>
      </c>
      <c r="H15">
        <v>734.52099999999996</v>
      </c>
      <c r="I15">
        <v>2911000</v>
      </c>
      <c r="J15">
        <v>2.5232600480934301E-4</v>
      </c>
      <c r="K15" t="s">
        <v>963</v>
      </c>
      <c r="L15">
        <v>1</v>
      </c>
      <c r="M15" t="s">
        <v>964</v>
      </c>
    </row>
    <row r="16" spans="1:13" hidden="1">
      <c r="A16" t="s">
        <v>883</v>
      </c>
      <c r="B16" t="s">
        <v>974</v>
      </c>
      <c r="C16" s="35" t="s">
        <v>979</v>
      </c>
      <c r="D16" t="s">
        <v>982</v>
      </c>
      <c r="E16" t="s">
        <v>843</v>
      </c>
      <c r="F16" t="s">
        <v>878</v>
      </c>
      <c r="G16" t="s">
        <v>894</v>
      </c>
      <c r="H16">
        <v>9.1999999999999998E-3</v>
      </c>
      <c r="I16">
        <v>2911000</v>
      </c>
      <c r="J16" s="29">
        <v>3.16042597045688E-9</v>
      </c>
      <c r="K16" t="s">
        <v>963</v>
      </c>
      <c r="L16">
        <v>1</v>
      </c>
      <c r="M16" t="s">
        <v>964</v>
      </c>
    </row>
    <row r="17" spans="1:13" hidden="1">
      <c r="A17" t="s">
        <v>883</v>
      </c>
      <c r="B17" t="s">
        <v>974</v>
      </c>
      <c r="C17" s="35" t="s">
        <v>979</v>
      </c>
      <c r="D17" t="s">
        <v>982</v>
      </c>
      <c r="E17" t="s">
        <v>843</v>
      </c>
      <c r="F17" t="s">
        <v>867</v>
      </c>
      <c r="G17" t="s">
        <v>896</v>
      </c>
      <c r="H17">
        <v>626.98357980000003</v>
      </c>
      <c r="I17">
        <v>2911000</v>
      </c>
      <c r="J17">
        <v>2.1538425963586299E-4</v>
      </c>
      <c r="K17" t="s">
        <v>963</v>
      </c>
      <c r="L17">
        <v>1</v>
      </c>
      <c r="M17" t="s">
        <v>964</v>
      </c>
    </row>
    <row r="18" spans="1:13" hidden="1">
      <c r="A18" t="s">
        <v>852</v>
      </c>
      <c r="B18" t="s">
        <v>965</v>
      </c>
      <c r="C18" s="35" t="s">
        <v>980</v>
      </c>
      <c r="D18" t="s">
        <v>982</v>
      </c>
      <c r="E18" t="s">
        <v>843</v>
      </c>
      <c r="F18" t="s">
        <v>851</v>
      </c>
      <c r="G18" t="s">
        <v>885</v>
      </c>
      <c r="H18">
        <v>5977.02</v>
      </c>
      <c r="I18">
        <v>8764000</v>
      </c>
      <c r="J18">
        <v>6.81996805111821E-4</v>
      </c>
      <c r="K18" t="s">
        <v>963</v>
      </c>
      <c r="L18">
        <v>1</v>
      </c>
      <c r="M18" t="s">
        <v>964</v>
      </c>
    </row>
    <row r="19" spans="1:13" hidden="1">
      <c r="A19" t="s">
        <v>852</v>
      </c>
      <c r="B19" t="s">
        <v>965</v>
      </c>
      <c r="C19" s="35" t="s">
        <v>980</v>
      </c>
      <c r="D19" t="s">
        <v>982</v>
      </c>
      <c r="E19" t="s">
        <v>843</v>
      </c>
      <c r="F19" t="s">
        <v>853</v>
      </c>
      <c r="G19" t="s">
        <v>885</v>
      </c>
      <c r="H19">
        <v>2819.39</v>
      </c>
      <c r="I19">
        <v>8764000</v>
      </c>
      <c r="J19">
        <v>3.2170127795527102E-4</v>
      </c>
      <c r="K19" t="s">
        <v>963</v>
      </c>
      <c r="L19">
        <v>1</v>
      </c>
      <c r="M19" t="s">
        <v>964</v>
      </c>
    </row>
    <row r="20" spans="1:13" hidden="1">
      <c r="A20" t="s">
        <v>852</v>
      </c>
      <c r="B20" t="s">
        <v>965</v>
      </c>
      <c r="C20" s="35" t="s">
        <v>980</v>
      </c>
      <c r="D20" t="s">
        <v>982</v>
      </c>
      <c r="E20" t="s">
        <v>843</v>
      </c>
      <c r="F20" t="s">
        <v>847</v>
      </c>
      <c r="G20" t="s">
        <v>886</v>
      </c>
      <c r="H20">
        <v>231.23982000000001</v>
      </c>
      <c r="I20">
        <v>8764000</v>
      </c>
      <c r="J20" s="29">
        <v>2.6385191693290699E-5</v>
      </c>
      <c r="K20" t="s">
        <v>963</v>
      </c>
      <c r="L20">
        <v>1</v>
      </c>
      <c r="M20" t="s">
        <v>964</v>
      </c>
    </row>
    <row r="21" spans="1:13" hidden="1">
      <c r="A21" t="s">
        <v>852</v>
      </c>
      <c r="B21" t="s">
        <v>965</v>
      </c>
      <c r="C21" s="35" t="s">
        <v>980</v>
      </c>
      <c r="D21" t="s">
        <v>982</v>
      </c>
      <c r="E21" t="s">
        <v>843</v>
      </c>
      <c r="F21" t="s">
        <v>854</v>
      </c>
      <c r="G21" t="s">
        <v>888</v>
      </c>
      <c r="H21">
        <v>526.21</v>
      </c>
      <c r="I21">
        <v>8764000</v>
      </c>
      <c r="J21" s="29">
        <v>6.00422181652213E-5</v>
      </c>
      <c r="K21" t="s">
        <v>963</v>
      </c>
      <c r="L21">
        <v>1</v>
      </c>
      <c r="M21" t="s">
        <v>964</v>
      </c>
    </row>
    <row r="22" spans="1:13" hidden="1">
      <c r="A22" t="s">
        <v>852</v>
      </c>
      <c r="B22" t="s">
        <v>965</v>
      </c>
      <c r="C22" s="35" t="s">
        <v>980</v>
      </c>
      <c r="D22" t="s">
        <v>982</v>
      </c>
      <c r="E22" t="s">
        <v>843</v>
      </c>
      <c r="F22" t="s">
        <v>855</v>
      </c>
      <c r="G22" t="s">
        <v>890</v>
      </c>
      <c r="H22">
        <v>2269.5700000000002</v>
      </c>
      <c r="I22">
        <v>8764000</v>
      </c>
      <c r="J22">
        <v>2.5896508443633E-4</v>
      </c>
      <c r="K22" t="s">
        <v>963</v>
      </c>
      <c r="L22">
        <v>1</v>
      </c>
      <c r="M22" t="s">
        <v>964</v>
      </c>
    </row>
    <row r="23" spans="1:13" hidden="1">
      <c r="A23" t="s">
        <v>852</v>
      </c>
      <c r="B23" t="s">
        <v>965</v>
      </c>
      <c r="C23" s="35" t="s">
        <v>980</v>
      </c>
      <c r="D23" t="s">
        <v>982</v>
      </c>
      <c r="E23" t="s">
        <v>843</v>
      </c>
      <c r="F23" t="s">
        <v>848</v>
      </c>
      <c r="G23" t="s">
        <v>893</v>
      </c>
      <c r="H23">
        <v>149.1</v>
      </c>
      <c r="I23">
        <v>8764000</v>
      </c>
      <c r="J23" s="29">
        <v>1.7012779552715598E-5</v>
      </c>
      <c r="K23" t="s">
        <v>963</v>
      </c>
      <c r="L23">
        <v>1</v>
      </c>
      <c r="M23" t="s">
        <v>964</v>
      </c>
    </row>
    <row r="24" spans="1:13" hidden="1">
      <c r="A24" t="s">
        <v>852</v>
      </c>
      <c r="B24" t="s">
        <v>965</v>
      </c>
      <c r="C24" s="35" t="s">
        <v>980</v>
      </c>
      <c r="D24" t="s">
        <v>982</v>
      </c>
      <c r="E24" t="s">
        <v>843</v>
      </c>
      <c r="F24" t="s">
        <v>370</v>
      </c>
      <c r="G24" t="s">
        <v>888</v>
      </c>
      <c r="H24">
        <v>6390.4</v>
      </c>
      <c r="I24">
        <v>8764000</v>
      </c>
      <c r="J24">
        <v>7.2916476494751204E-4</v>
      </c>
      <c r="K24" t="s">
        <v>963</v>
      </c>
      <c r="L24">
        <v>1</v>
      </c>
      <c r="M24" t="s">
        <v>964</v>
      </c>
    </row>
    <row r="25" spans="1:13">
      <c r="A25" t="s">
        <v>882</v>
      </c>
      <c r="B25" t="s">
        <v>973</v>
      </c>
      <c r="C25" t="s">
        <v>977</v>
      </c>
      <c r="D25" t="s">
        <v>982</v>
      </c>
      <c r="E25" t="s">
        <v>843</v>
      </c>
      <c r="F25" t="s">
        <v>880</v>
      </c>
      <c r="G25" t="s">
        <v>891</v>
      </c>
      <c r="H25">
        <v>231.88076631999999</v>
      </c>
      <c r="I25">
        <v>127307</v>
      </c>
      <c r="J25">
        <v>1.8214298217694199E-3</v>
      </c>
      <c r="K25" t="s">
        <v>963</v>
      </c>
      <c r="L25">
        <v>1</v>
      </c>
      <c r="M25" t="s">
        <v>964</v>
      </c>
    </row>
    <row r="26" spans="1:13">
      <c r="A26" t="s">
        <v>876</v>
      </c>
      <c r="B26" t="s">
        <v>983</v>
      </c>
      <c r="C26" t="s">
        <v>977</v>
      </c>
      <c r="D26" t="s">
        <v>982</v>
      </c>
      <c r="E26" t="s">
        <v>843</v>
      </c>
      <c r="F26" t="s">
        <v>861</v>
      </c>
      <c r="G26" t="s">
        <v>889</v>
      </c>
      <c r="H26">
        <v>27374</v>
      </c>
      <c r="I26">
        <v>1661000</v>
      </c>
      <c r="J26">
        <v>1.6480433473810899E-2</v>
      </c>
      <c r="K26" t="s">
        <v>963</v>
      </c>
      <c r="L26">
        <v>1</v>
      </c>
      <c r="M26" t="s">
        <v>964</v>
      </c>
    </row>
    <row r="27" spans="1:13">
      <c r="A27" t="s">
        <v>876</v>
      </c>
      <c r="B27" t="s">
        <v>983</v>
      </c>
      <c r="C27" t="s">
        <v>977</v>
      </c>
      <c r="D27" t="s">
        <v>982</v>
      </c>
      <c r="E27" t="s">
        <v>843</v>
      </c>
      <c r="F27" t="s">
        <v>863</v>
      </c>
      <c r="G27" t="s">
        <v>885</v>
      </c>
      <c r="H27">
        <v>3039.9</v>
      </c>
      <c r="I27">
        <v>1661000</v>
      </c>
      <c r="J27">
        <v>1.8301625526790999E-3</v>
      </c>
      <c r="K27" t="s">
        <v>963</v>
      </c>
      <c r="L27">
        <v>1</v>
      </c>
      <c r="M27" t="s">
        <v>964</v>
      </c>
    </row>
    <row r="28" spans="1:13">
      <c r="A28" t="s">
        <v>876</v>
      </c>
      <c r="B28" t="s">
        <v>983</v>
      </c>
      <c r="C28" t="s">
        <v>977</v>
      </c>
      <c r="D28" t="s">
        <v>982</v>
      </c>
      <c r="E28" t="s">
        <v>843</v>
      </c>
      <c r="F28" t="s">
        <v>370</v>
      </c>
      <c r="G28" t="s">
        <v>888</v>
      </c>
      <c r="H28">
        <v>2229</v>
      </c>
      <c r="I28">
        <v>1661000</v>
      </c>
      <c r="J28">
        <v>1.3419626730885E-3</v>
      </c>
      <c r="K28" t="s">
        <v>963</v>
      </c>
      <c r="L28">
        <v>1</v>
      </c>
      <c r="M28" t="s">
        <v>964</v>
      </c>
    </row>
    <row r="29" spans="1:13">
      <c r="A29" t="s">
        <v>876</v>
      </c>
      <c r="B29" t="s">
        <v>983</v>
      </c>
      <c r="C29" t="s">
        <v>977</v>
      </c>
      <c r="D29" t="s">
        <v>982</v>
      </c>
      <c r="E29" t="s">
        <v>843</v>
      </c>
      <c r="F29" t="s">
        <v>865</v>
      </c>
      <c r="G29" t="s">
        <v>892</v>
      </c>
      <c r="H29">
        <v>335.00456000000003</v>
      </c>
      <c r="I29">
        <v>1661000</v>
      </c>
      <c r="J29">
        <v>2.0168847682119201E-4</v>
      </c>
      <c r="K29" t="s">
        <v>963</v>
      </c>
      <c r="L29">
        <v>1</v>
      </c>
      <c r="M29" t="s">
        <v>964</v>
      </c>
    </row>
    <row r="30" spans="1:13">
      <c r="A30" t="s">
        <v>876</v>
      </c>
      <c r="B30" t="s">
        <v>983</v>
      </c>
      <c r="C30" t="s">
        <v>977</v>
      </c>
      <c r="D30" t="s">
        <v>982</v>
      </c>
      <c r="E30" t="s">
        <v>843</v>
      </c>
      <c r="F30" t="s">
        <v>877</v>
      </c>
      <c r="G30" t="s">
        <v>894</v>
      </c>
      <c r="H30">
        <v>40.128250000000001</v>
      </c>
      <c r="I30">
        <v>1661000</v>
      </c>
      <c r="J30" s="29">
        <v>2.4159090909090901E-5</v>
      </c>
      <c r="K30" t="s">
        <v>963</v>
      </c>
      <c r="L30">
        <v>1</v>
      </c>
      <c r="M30" t="s">
        <v>964</v>
      </c>
    </row>
    <row r="31" spans="1:13">
      <c r="A31" t="s">
        <v>876</v>
      </c>
      <c r="B31" t="s">
        <v>983</v>
      </c>
      <c r="C31" t="s">
        <v>977</v>
      </c>
      <c r="D31" t="s">
        <v>982</v>
      </c>
      <c r="E31" t="s">
        <v>843</v>
      </c>
      <c r="F31" t="s">
        <v>866</v>
      </c>
      <c r="G31" t="s">
        <v>890</v>
      </c>
      <c r="H31">
        <v>838.8</v>
      </c>
      <c r="I31">
        <v>1661000</v>
      </c>
      <c r="J31">
        <v>5.0499698976520097E-4</v>
      </c>
      <c r="K31" t="s">
        <v>963</v>
      </c>
      <c r="L31">
        <v>1</v>
      </c>
      <c r="M31" t="s">
        <v>964</v>
      </c>
    </row>
    <row r="32" spans="1:13">
      <c r="A32" t="s">
        <v>876</v>
      </c>
      <c r="B32" t="s">
        <v>983</v>
      </c>
      <c r="C32" t="s">
        <v>977</v>
      </c>
      <c r="D32" t="s">
        <v>982</v>
      </c>
      <c r="E32" t="s">
        <v>843</v>
      </c>
      <c r="F32" t="s">
        <v>878</v>
      </c>
      <c r="G32" t="s">
        <v>894</v>
      </c>
      <c r="H32">
        <v>0.1360864</v>
      </c>
      <c r="I32">
        <v>1661000</v>
      </c>
      <c r="J32" s="29">
        <v>8.1930403371462897E-8</v>
      </c>
      <c r="K32" t="s">
        <v>963</v>
      </c>
      <c r="L32">
        <v>1</v>
      </c>
      <c r="M32" t="s">
        <v>964</v>
      </c>
    </row>
    <row r="33" spans="1:13">
      <c r="A33" t="s">
        <v>876</v>
      </c>
      <c r="B33" t="s">
        <v>983</v>
      </c>
      <c r="C33" t="s">
        <v>977</v>
      </c>
      <c r="D33" t="s">
        <v>982</v>
      </c>
      <c r="E33" t="s">
        <v>843</v>
      </c>
      <c r="F33" t="s">
        <v>867</v>
      </c>
      <c r="G33" t="s">
        <v>896</v>
      </c>
      <c r="H33">
        <v>241.25056699999999</v>
      </c>
      <c r="I33">
        <v>1661000</v>
      </c>
      <c r="J33">
        <v>1.4524417037928901E-4</v>
      </c>
      <c r="K33" t="s">
        <v>963</v>
      </c>
      <c r="L33">
        <v>1</v>
      </c>
      <c r="M33" t="s">
        <v>964</v>
      </c>
    </row>
    <row r="34" spans="1:13">
      <c r="A34" t="s">
        <v>868</v>
      </c>
      <c r="B34" t="s">
        <v>970</v>
      </c>
      <c r="C34" t="s">
        <v>977</v>
      </c>
      <c r="D34" t="s">
        <v>982</v>
      </c>
      <c r="E34" t="s">
        <v>843</v>
      </c>
      <c r="F34" t="s">
        <v>847</v>
      </c>
      <c r="G34" t="s">
        <v>886</v>
      </c>
      <c r="H34">
        <v>35.4</v>
      </c>
      <c r="I34">
        <v>1034000</v>
      </c>
      <c r="J34" s="29">
        <v>3.42359767891682E-5</v>
      </c>
      <c r="K34" t="s">
        <v>963</v>
      </c>
      <c r="L34">
        <v>1</v>
      </c>
      <c r="M34" t="s">
        <v>964</v>
      </c>
    </row>
    <row r="35" spans="1:13">
      <c r="A35" t="s">
        <v>868</v>
      </c>
      <c r="B35" t="s">
        <v>970</v>
      </c>
      <c r="C35" t="s">
        <v>977</v>
      </c>
      <c r="D35" t="s">
        <v>982</v>
      </c>
      <c r="E35" t="s">
        <v>843</v>
      </c>
      <c r="F35" t="s">
        <v>869</v>
      </c>
      <c r="G35" t="s">
        <v>887</v>
      </c>
      <c r="H35">
        <v>60.4</v>
      </c>
      <c r="I35">
        <v>1034000</v>
      </c>
      <c r="J35" s="29">
        <v>5.8413926499032799E-5</v>
      </c>
      <c r="K35" t="s">
        <v>963</v>
      </c>
      <c r="L35">
        <v>1</v>
      </c>
      <c r="M35" t="s">
        <v>964</v>
      </c>
    </row>
    <row r="36" spans="1:13">
      <c r="A36" t="s">
        <v>868</v>
      </c>
      <c r="B36" t="s">
        <v>970</v>
      </c>
      <c r="C36" t="s">
        <v>977</v>
      </c>
      <c r="D36" t="s">
        <v>982</v>
      </c>
      <c r="E36" t="s">
        <v>843</v>
      </c>
      <c r="F36" t="s">
        <v>854</v>
      </c>
      <c r="G36" t="s">
        <v>888</v>
      </c>
      <c r="H36">
        <v>86.6</v>
      </c>
      <c r="I36">
        <v>1034000</v>
      </c>
      <c r="J36" s="29">
        <v>8.3752417794970895E-5</v>
      </c>
      <c r="K36" t="s">
        <v>963</v>
      </c>
      <c r="L36">
        <v>1</v>
      </c>
      <c r="M36" t="s">
        <v>964</v>
      </c>
    </row>
    <row r="37" spans="1:13">
      <c r="A37" t="s">
        <v>868</v>
      </c>
      <c r="B37" t="s">
        <v>970</v>
      </c>
      <c r="C37" t="s">
        <v>977</v>
      </c>
      <c r="D37" t="s">
        <v>982</v>
      </c>
      <c r="E37" t="s">
        <v>843</v>
      </c>
      <c r="F37" t="s">
        <v>870</v>
      </c>
      <c r="G37" t="s">
        <v>892</v>
      </c>
      <c r="H37">
        <v>1.5</v>
      </c>
      <c r="I37">
        <v>1034000</v>
      </c>
      <c r="J37" s="29">
        <v>1.4506769825918701E-6</v>
      </c>
      <c r="K37" t="s">
        <v>963</v>
      </c>
      <c r="L37">
        <v>1</v>
      </c>
      <c r="M37" t="s">
        <v>964</v>
      </c>
    </row>
    <row r="38" spans="1:13">
      <c r="A38" t="s">
        <v>868</v>
      </c>
      <c r="B38" t="s">
        <v>970</v>
      </c>
      <c r="C38" t="s">
        <v>977</v>
      </c>
      <c r="D38" t="s">
        <v>982</v>
      </c>
      <c r="E38" t="s">
        <v>843</v>
      </c>
      <c r="F38" t="s">
        <v>855</v>
      </c>
      <c r="G38" t="s">
        <v>890</v>
      </c>
      <c r="H38">
        <v>399.3</v>
      </c>
      <c r="I38">
        <v>1034000</v>
      </c>
      <c r="J38">
        <v>3.86170212765957E-4</v>
      </c>
      <c r="K38" t="s">
        <v>963</v>
      </c>
      <c r="L38">
        <v>1</v>
      </c>
      <c r="M38" t="s">
        <v>964</v>
      </c>
    </row>
    <row r="39" spans="1:13">
      <c r="A39" t="s">
        <v>868</v>
      </c>
      <c r="B39" t="s">
        <v>970</v>
      </c>
      <c r="C39" t="s">
        <v>977</v>
      </c>
      <c r="D39" t="s">
        <v>982</v>
      </c>
      <c r="E39" t="s">
        <v>843</v>
      </c>
      <c r="F39" t="s">
        <v>326</v>
      </c>
      <c r="G39" t="s">
        <v>891</v>
      </c>
      <c r="H39">
        <v>1483.4</v>
      </c>
      <c r="I39">
        <v>1034000</v>
      </c>
      <c r="J39">
        <v>1.4346228239845199E-3</v>
      </c>
      <c r="K39" t="s">
        <v>963</v>
      </c>
      <c r="L39">
        <v>1</v>
      </c>
      <c r="M39" t="s">
        <v>964</v>
      </c>
    </row>
    <row r="40" spans="1:13">
      <c r="A40" t="s">
        <v>868</v>
      </c>
      <c r="B40" t="s">
        <v>970</v>
      </c>
      <c r="C40" t="s">
        <v>977</v>
      </c>
      <c r="D40" t="s">
        <v>982</v>
      </c>
      <c r="E40" t="s">
        <v>843</v>
      </c>
      <c r="F40" t="s">
        <v>848</v>
      </c>
      <c r="G40" t="s">
        <v>893</v>
      </c>
      <c r="H40">
        <v>46.2</v>
      </c>
      <c r="I40">
        <v>1034000</v>
      </c>
      <c r="J40" s="29">
        <v>4.46808510638297E-5</v>
      </c>
      <c r="K40" t="s">
        <v>963</v>
      </c>
      <c r="L40">
        <v>1</v>
      </c>
      <c r="M40" t="s">
        <v>964</v>
      </c>
    </row>
    <row r="41" spans="1:13">
      <c r="A41" t="s">
        <v>868</v>
      </c>
      <c r="B41" t="s">
        <v>970</v>
      </c>
      <c r="C41" t="s">
        <v>977</v>
      </c>
      <c r="D41" t="s">
        <v>982</v>
      </c>
      <c r="E41" t="s">
        <v>843</v>
      </c>
      <c r="F41" t="s">
        <v>871</v>
      </c>
      <c r="G41" t="s">
        <v>892</v>
      </c>
      <c r="H41">
        <v>4.5</v>
      </c>
      <c r="I41">
        <v>1034000</v>
      </c>
      <c r="J41" s="29">
        <v>4.3520309477756202E-6</v>
      </c>
      <c r="K41" t="s">
        <v>963</v>
      </c>
      <c r="L41">
        <v>1</v>
      </c>
      <c r="M41" t="s">
        <v>964</v>
      </c>
    </row>
    <row r="42" spans="1:13">
      <c r="A42" t="s">
        <v>868</v>
      </c>
      <c r="B42" t="s">
        <v>970</v>
      </c>
      <c r="C42" t="s">
        <v>977</v>
      </c>
      <c r="D42" t="s">
        <v>982</v>
      </c>
      <c r="E42" t="s">
        <v>843</v>
      </c>
      <c r="F42" t="s">
        <v>872</v>
      </c>
      <c r="G42" t="s">
        <v>892</v>
      </c>
      <c r="H42">
        <v>200.2</v>
      </c>
      <c r="I42">
        <v>1034000</v>
      </c>
      <c r="J42">
        <v>1.93617021276595E-4</v>
      </c>
      <c r="K42" t="s">
        <v>963</v>
      </c>
      <c r="L42">
        <v>1</v>
      </c>
      <c r="M42" t="s">
        <v>964</v>
      </c>
    </row>
    <row r="43" spans="1:13">
      <c r="A43" t="s">
        <v>868</v>
      </c>
      <c r="B43" t="s">
        <v>970</v>
      </c>
      <c r="C43" t="s">
        <v>977</v>
      </c>
      <c r="D43" t="s">
        <v>982</v>
      </c>
      <c r="E43" t="s">
        <v>843</v>
      </c>
      <c r="F43" t="s">
        <v>370</v>
      </c>
      <c r="G43" t="s">
        <v>888</v>
      </c>
      <c r="H43">
        <v>5069.3</v>
      </c>
      <c r="I43">
        <v>1034000</v>
      </c>
      <c r="J43">
        <v>4.90261121856866E-3</v>
      </c>
      <c r="K43" t="s">
        <v>963</v>
      </c>
      <c r="L43">
        <v>1</v>
      </c>
      <c r="M43" t="s">
        <v>964</v>
      </c>
    </row>
    <row r="44" spans="1:13">
      <c r="A44" t="s">
        <v>868</v>
      </c>
      <c r="B44" t="s">
        <v>970</v>
      </c>
      <c r="C44" t="s">
        <v>977</v>
      </c>
      <c r="D44" t="s">
        <v>982</v>
      </c>
      <c r="E44" t="s">
        <v>843</v>
      </c>
      <c r="F44" t="s">
        <v>873</v>
      </c>
      <c r="G44" t="s">
        <v>892</v>
      </c>
      <c r="H44">
        <v>18.899999999999999</v>
      </c>
      <c r="I44">
        <v>1034000</v>
      </c>
      <c r="J44" s="29">
        <v>1.8278529980657599E-5</v>
      </c>
      <c r="K44" t="s">
        <v>963</v>
      </c>
      <c r="L44">
        <v>1</v>
      </c>
      <c r="M44" t="s">
        <v>964</v>
      </c>
    </row>
    <row r="45" spans="1:13">
      <c r="A45" t="s">
        <v>868</v>
      </c>
      <c r="B45" t="s">
        <v>970</v>
      </c>
      <c r="C45" t="s">
        <v>977</v>
      </c>
      <c r="D45" t="s">
        <v>982</v>
      </c>
      <c r="E45" t="s">
        <v>843</v>
      </c>
      <c r="F45" t="s">
        <v>874</v>
      </c>
      <c r="G45" t="s">
        <v>890</v>
      </c>
      <c r="H45">
        <v>539</v>
      </c>
      <c r="I45">
        <v>1034000</v>
      </c>
      <c r="J45">
        <v>5.2127659574468003E-4</v>
      </c>
      <c r="K45" t="s">
        <v>963</v>
      </c>
      <c r="L45">
        <v>1</v>
      </c>
      <c r="M45" t="s">
        <v>964</v>
      </c>
    </row>
    <row r="46" spans="1:13">
      <c r="A46" t="s">
        <v>868</v>
      </c>
      <c r="B46" t="s">
        <v>970</v>
      </c>
      <c r="C46" t="s">
        <v>977</v>
      </c>
      <c r="D46" t="s">
        <v>982</v>
      </c>
      <c r="E46" t="s">
        <v>843</v>
      </c>
      <c r="F46" t="s">
        <v>875</v>
      </c>
      <c r="G46" t="s">
        <v>892</v>
      </c>
      <c r="H46">
        <v>8.1</v>
      </c>
      <c r="I46">
        <v>1034000</v>
      </c>
      <c r="J46" s="29">
        <v>7.83365570599613E-6</v>
      </c>
      <c r="K46" t="s">
        <v>963</v>
      </c>
      <c r="L46">
        <v>1</v>
      </c>
      <c r="M46" t="s">
        <v>964</v>
      </c>
    </row>
    <row r="47" spans="1:13">
      <c r="A47" t="s">
        <v>860</v>
      </c>
      <c r="B47" t="s">
        <v>968</v>
      </c>
      <c r="C47" t="s">
        <v>977</v>
      </c>
      <c r="D47" t="s">
        <v>982</v>
      </c>
      <c r="E47" t="s">
        <v>843</v>
      </c>
      <c r="F47" t="s">
        <v>326</v>
      </c>
      <c r="G47" t="s">
        <v>891</v>
      </c>
      <c r="H47">
        <v>1211</v>
      </c>
      <c r="I47">
        <v>222627</v>
      </c>
      <c r="J47">
        <v>5.4395917835662298E-3</v>
      </c>
      <c r="K47" t="s">
        <v>963</v>
      </c>
      <c r="L47">
        <v>1</v>
      </c>
      <c r="M47" t="s">
        <v>964</v>
      </c>
    </row>
    <row r="48" spans="1:13">
      <c r="A48" t="s">
        <v>857</v>
      </c>
      <c r="B48" t="s">
        <v>966</v>
      </c>
      <c r="C48" t="s">
        <v>977</v>
      </c>
      <c r="D48" t="s">
        <v>982</v>
      </c>
      <c r="E48" t="s">
        <v>843</v>
      </c>
      <c r="F48" t="s">
        <v>856</v>
      </c>
      <c r="G48" t="s">
        <v>891</v>
      </c>
      <c r="H48">
        <v>486.3</v>
      </c>
      <c r="I48">
        <v>439008</v>
      </c>
      <c r="J48">
        <v>1.10772468838836E-3</v>
      </c>
      <c r="K48" t="s">
        <v>963</v>
      </c>
      <c r="L48">
        <v>1</v>
      </c>
      <c r="M48" t="s">
        <v>964</v>
      </c>
    </row>
    <row r="49" spans="1:13">
      <c r="A49" t="s">
        <v>857</v>
      </c>
      <c r="B49" t="s">
        <v>966</v>
      </c>
      <c r="C49" t="s">
        <v>977</v>
      </c>
      <c r="D49" t="s">
        <v>982</v>
      </c>
      <c r="E49" t="s">
        <v>843</v>
      </c>
      <c r="F49" t="s">
        <v>858</v>
      </c>
      <c r="G49" t="s">
        <v>890</v>
      </c>
      <c r="H49">
        <v>245</v>
      </c>
      <c r="I49">
        <v>439008</v>
      </c>
      <c r="J49">
        <v>5.5807639040746397E-4</v>
      </c>
      <c r="K49" t="s">
        <v>963</v>
      </c>
      <c r="L49">
        <v>1</v>
      </c>
      <c r="M49" t="s">
        <v>964</v>
      </c>
    </row>
    <row r="50" spans="1:13">
      <c r="A50" t="s">
        <v>862</v>
      </c>
      <c r="B50" t="s">
        <v>969</v>
      </c>
      <c r="C50" t="s">
        <v>977</v>
      </c>
      <c r="D50" t="s">
        <v>982</v>
      </c>
      <c r="E50" t="s">
        <v>843</v>
      </c>
      <c r="F50" t="s">
        <v>861</v>
      </c>
      <c r="G50" t="s">
        <v>889</v>
      </c>
      <c r="H50">
        <v>9417.6</v>
      </c>
      <c r="I50">
        <v>1028000</v>
      </c>
      <c r="J50">
        <v>9.1610894941634193E-3</v>
      </c>
      <c r="K50" t="s">
        <v>963</v>
      </c>
      <c r="L50">
        <v>1</v>
      </c>
      <c r="M50" t="s">
        <v>964</v>
      </c>
    </row>
    <row r="51" spans="1:13">
      <c r="A51" t="s">
        <v>862</v>
      </c>
      <c r="B51" t="s">
        <v>969</v>
      </c>
      <c r="C51" t="s">
        <v>977</v>
      </c>
      <c r="D51" t="s">
        <v>982</v>
      </c>
      <c r="E51" t="s">
        <v>843</v>
      </c>
      <c r="F51" t="s">
        <v>863</v>
      </c>
      <c r="G51" t="s">
        <v>885</v>
      </c>
      <c r="H51">
        <v>726.07100000000003</v>
      </c>
      <c r="I51">
        <v>1028000</v>
      </c>
      <c r="J51">
        <v>7.0629474708171203E-4</v>
      </c>
      <c r="K51" t="s">
        <v>963</v>
      </c>
      <c r="L51">
        <v>1</v>
      </c>
      <c r="M51" t="s">
        <v>964</v>
      </c>
    </row>
    <row r="52" spans="1:13">
      <c r="A52" t="s">
        <v>862</v>
      </c>
      <c r="B52" t="s">
        <v>969</v>
      </c>
      <c r="C52" t="s">
        <v>977</v>
      </c>
      <c r="D52" t="s">
        <v>982</v>
      </c>
      <c r="E52" t="s">
        <v>843</v>
      </c>
      <c r="F52" t="s">
        <v>864</v>
      </c>
      <c r="G52" t="s">
        <v>894</v>
      </c>
      <c r="H52">
        <v>68.067999999999998</v>
      </c>
      <c r="I52">
        <v>1028000</v>
      </c>
      <c r="J52" s="29">
        <v>6.6214007782101095E-5</v>
      </c>
      <c r="K52" t="s">
        <v>963</v>
      </c>
      <c r="L52">
        <v>1</v>
      </c>
      <c r="M52" t="s">
        <v>964</v>
      </c>
    </row>
    <row r="53" spans="1:13">
      <c r="A53" t="s">
        <v>862</v>
      </c>
      <c r="B53" t="s">
        <v>969</v>
      </c>
      <c r="C53" t="s">
        <v>977</v>
      </c>
      <c r="D53" t="s">
        <v>982</v>
      </c>
      <c r="E53" t="s">
        <v>843</v>
      </c>
      <c r="F53" t="s">
        <v>370</v>
      </c>
      <c r="G53" t="s">
        <v>888</v>
      </c>
      <c r="H53">
        <v>924.08100000000002</v>
      </c>
      <c r="I53">
        <v>1028000</v>
      </c>
      <c r="J53">
        <v>8.9891147859922098E-4</v>
      </c>
      <c r="K53" t="s">
        <v>963</v>
      </c>
      <c r="L53">
        <v>1</v>
      </c>
      <c r="M53" t="s">
        <v>964</v>
      </c>
    </row>
    <row r="54" spans="1:13">
      <c r="A54" t="s">
        <v>862</v>
      </c>
      <c r="B54" t="s">
        <v>969</v>
      </c>
      <c r="C54" t="s">
        <v>977</v>
      </c>
      <c r="D54" t="s">
        <v>982</v>
      </c>
      <c r="E54" t="s">
        <v>843</v>
      </c>
      <c r="F54" t="s">
        <v>865</v>
      </c>
      <c r="G54" t="s">
        <v>892</v>
      </c>
      <c r="H54">
        <v>296.13848000000002</v>
      </c>
      <c r="I54">
        <v>1028000</v>
      </c>
      <c r="J54">
        <v>2.8807245136186699E-4</v>
      </c>
      <c r="K54" t="s">
        <v>963</v>
      </c>
      <c r="L54">
        <v>1</v>
      </c>
      <c r="M54" t="s">
        <v>964</v>
      </c>
    </row>
    <row r="55" spans="1:13">
      <c r="A55" t="s">
        <v>862</v>
      </c>
      <c r="B55" t="s">
        <v>969</v>
      </c>
      <c r="C55" t="s">
        <v>977</v>
      </c>
      <c r="D55" t="s">
        <v>982</v>
      </c>
      <c r="E55" t="s">
        <v>843</v>
      </c>
      <c r="F55" t="s">
        <v>866</v>
      </c>
      <c r="G55" t="s">
        <v>890</v>
      </c>
      <c r="H55">
        <v>390.00299999999999</v>
      </c>
      <c r="I55">
        <v>1028000</v>
      </c>
      <c r="J55">
        <v>3.7938035019455198E-4</v>
      </c>
      <c r="K55" t="s">
        <v>963</v>
      </c>
      <c r="L55">
        <v>1</v>
      </c>
      <c r="M55" t="s">
        <v>964</v>
      </c>
    </row>
    <row r="56" spans="1:13">
      <c r="A56" t="s">
        <v>862</v>
      </c>
      <c r="B56" t="s">
        <v>969</v>
      </c>
      <c r="C56" t="s">
        <v>977</v>
      </c>
      <c r="D56" t="s">
        <v>982</v>
      </c>
      <c r="E56" t="s">
        <v>843</v>
      </c>
      <c r="F56" t="s">
        <v>867</v>
      </c>
      <c r="G56" t="s">
        <v>896</v>
      </c>
      <c r="H56">
        <v>100.7053434</v>
      </c>
      <c r="I56">
        <v>1028000</v>
      </c>
      <c r="J56" s="29">
        <v>9.7962396303501905E-5</v>
      </c>
      <c r="K56" t="s">
        <v>963</v>
      </c>
      <c r="L56">
        <v>1</v>
      </c>
      <c r="M56" t="s">
        <v>964</v>
      </c>
    </row>
    <row r="57" spans="1:13">
      <c r="A57" t="s">
        <v>859</v>
      </c>
      <c r="B57" t="s">
        <v>967</v>
      </c>
      <c r="C57" t="s">
        <v>977</v>
      </c>
      <c r="D57" t="s">
        <v>982</v>
      </c>
      <c r="E57" t="s">
        <v>843</v>
      </c>
      <c r="F57" t="s">
        <v>856</v>
      </c>
      <c r="G57" t="s">
        <v>891</v>
      </c>
      <c r="H57">
        <v>2599.5</v>
      </c>
      <c r="I57">
        <v>2878047</v>
      </c>
      <c r="J57">
        <v>9.0321666046454404E-4</v>
      </c>
      <c r="K57" t="s">
        <v>963</v>
      </c>
      <c r="L57">
        <v>1</v>
      </c>
      <c r="M57" t="s">
        <v>964</v>
      </c>
    </row>
    <row r="58" spans="1:13" hidden="1">
      <c r="A58" t="s">
        <v>879</v>
      </c>
      <c r="B58" t="s">
        <v>971</v>
      </c>
      <c r="C58" t="s">
        <v>981</v>
      </c>
      <c r="D58" t="s">
        <v>982</v>
      </c>
      <c r="E58" t="s">
        <v>843</v>
      </c>
      <c r="F58" t="s">
        <v>326</v>
      </c>
      <c r="G58" t="s">
        <v>891</v>
      </c>
      <c r="H58">
        <v>506</v>
      </c>
      <c r="I58">
        <v>191148</v>
      </c>
      <c r="J58">
        <v>2.64716345449599E-3</v>
      </c>
      <c r="K58" t="s">
        <v>963</v>
      </c>
      <c r="L58">
        <v>1</v>
      </c>
      <c r="M58" t="s">
        <v>964</v>
      </c>
    </row>
    <row r="59" spans="1:13" hidden="1">
      <c r="A59" t="s">
        <v>881</v>
      </c>
      <c r="B59" t="s">
        <v>972</v>
      </c>
      <c r="C59" s="35" t="s">
        <v>980</v>
      </c>
      <c r="D59" t="s">
        <v>982</v>
      </c>
      <c r="E59" t="s">
        <v>843</v>
      </c>
      <c r="F59" t="s">
        <v>880</v>
      </c>
      <c r="G59" t="s">
        <v>891</v>
      </c>
      <c r="H59">
        <v>2968.1237040159999</v>
      </c>
      <c r="I59">
        <v>1361450</v>
      </c>
      <c r="J59">
        <v>2.1801195078893802E-3</v>
      </c>
      <c r="K59" t="s">
        <v>963</v>
      </c>
      <c r="L59">
        <v>1</v>
      </c>
      <c r="M59" t="s">
        <v>964</v>
      </c>
    </row>
    <row r="60" spans="1:13">
      <c r="A60" t="s">
        <v>859</v>
      </c>
      <c r="B60" t="s">
        <v>967</v>
      </c>
      <c r="C60" t="s">
        <v>977</v>
      </c>
      <c r="D60" t="s">
        <v>982</v>
      </c>
      <c r="E60" t="s">
        <v>843</v>
      </c>
      <c r="F60" t="s">
        <v>858</v>
      </c>
      <c r="G60" t="s">
        <v>890</v>
      </c>
      <c r="H60">
        <v>1955.7</v>
      </c>
      <c r="I60">
        <v>2878047</v>
      </c>
      <c r="J60">
        <v>6.7952330173899102E-4</v>
      </c>
      <c r="K60" t="s">
        <v>963</v>
      </c>
      <c r="L60">
        <v>1</v>
      </c>
      <c r="M60" t="s">
        <v>964</v>
      </c>
    </row>
  </sheetData>
  <autoFilter ref="A1:Q60" xr:uid="{A3333FA4-71D9-42BC-8BAF-D6CA94901908}">
    <filterColumn colId="2">
      <filters>
        <filter val="Underground, concentrator"/>
      </filters>
    </filterColumn>
    <filterColumn colId="3">
      <filters>
        <filter val="Free-milling"/>
      </filters>
    </filterColumn>
    <sortState xmlns:xlrd2="http://schemas.microsoft.com/office/spreadsheetml/2017/richdata2" ref="A25:M60">
      <sortCondition ref="B1:B6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708F-4D14-47E8-8972-C29E88103FB2}">
  <dimension ref="A1:M38"/>
  <sheetViews>
    <sheetView topLeftCell="A22" workbookViewId="0">
      <selection activeCell="E6" sqref="E6"/>
    </sheetView>
  </sheetViews>
  <sheetFormatPr baseColWidth="10" defaultRowHeight="14.5"/>
  <cols>
    <col min="2" max="2" width="13.08984375" bestFit="1" customWidth="1"/>
    <col min="3" max="3" width="48.26953125" bestFit="1" customWidth="1"/>
    <col min="4" max="4" width="51.08984375" bestFit="1" customWidth="1"/>
    <col min="5" max="5" width="30.08984375" bestFit="1" customWidth="1"/>
    <col min="6" max="9" width="11.81640625" customWidth="1"/>
    <col min="10" max="10" width="11.54296875" customWidth="1"/>
    <col min="11" max="11" width="11.81640625" bestFit="1" customWidth="1"/>
    <col min="12" max="12" width="13.08984375" bestFit="1" customWidth="1"/>
  </cols>
  <sheetData>
    <row r="1" spans="1:13" s="1" customFormat="1">
      <c r="A1" s="1" t="s">
        <v>449</v>
      </c>
      <c r="B1" s="1" t="s">
        <v>990</v>
      </c>
      <c r="C1" s="1" t="s">
        <v>975</v>
      </c>
      <c r="D1" s="1" t="s">
        <v>976</v>
      </c>
      <c r="E1" s="1" t="s">
        <v>884</v>
      </c>
      <c r="F1" s="1" t="s">
        <v>506</v>
      </c>
      <c r="G1" s="1" t="s">
        <v>507</v>
      </c>
      <c r="H1" s="1" t="s">
        <v>984</v>
      </c>
      <c r="I1" s="1" t="s">
        <v>508</v>
      </c>
      <c r="J1" s="1" t="s">
        <v>991</v>
      </c>
      <c r="K1" s="1" t="s">
        <v>992</v>
      </c>
      <c r="L1" s="1" t="s">
        <v>993</v>
      </c>
      <c r="M1" s="1" t="s">
        <v>508</v>
      </c>
    </row>
    <row r="2" spans="1:13">
      <c r="A2" t="s">
        <v>564</v>
      </c>
      <c r="B2">
        <v>1</v>
      </c>
      <c r="C2" t="s">
        <v>977</v>
      </c>
      <c r="D2" t="s">
        <v>978</v>
      </c>
      <c r="E2" t="s">
        <v>988</v>
      </c>
      <c r="F2" s="29">
        <v>1.2398042414355599E-5</v>
      </c>
      <c r="G2" s="29">
        <v>1.2398042414355599E-5</v>
      </c>
      <c r="H2" s="29">
        <v>1.2398042414355599E-5</v>
      </c>
      <c r="J2" s="36">
        <f>F2*1000</f>
        <v>1.23980424143556E-2</v>
      </c>
      <c r="K2" s="36">
        <f t="shared" ref="K2:M2" si="0">G2*1000</f>
        <v>1.23980424143556E-2</v>
      </c>
      <c r="L2" s="36">
        <f t="shared" si="0"/>
        <v>1.23980424143556E-2</v>
      </c>
      <c r="M2" s="36">
        <f t="shared" si="0"/>
        <v>0</v>
      </c>
    </row>
    <row r="3" spans="1:13">
      <c r="A3" t="s">
        <v>564</v>
      </c>
      <c r="B3">
        <v>1</v>
      </c>
      <c r="C3" t="s">
        <v>977</v>
      </c>
      <c r="D3" t="s">
        <v>978</v>
      </c>
      <c r="E3" t="s">
        <v>893</v>
      </c>
      <c r="F3" s="29">
        <v>6.2642740619902105E-5</v>
      </c>
      <c r="G3" s="29">
        <v>6.2642740619902105E-5</v>
      </c>
      <c r="H3" s="29">
        <v>6.2642740619902105E-5</v>
      </c>
      <c r="J3" s="36">
        <f t="shared" ref="J3:J31" si="1">F3*1000</f>
        <v>6.2642740619902104E-2</v>
      </c>
      <c r="K3" s="36">
        <f t="shared" ref="K3:K31" si="2">G3*1000</f>
        <v>6.2642740619902104E-2</v>
      </c>
      <c r="L3" s="36">
        <f t="shared" ref="L3:L31" si="3">H3*1000</f>
        <v>6.2642740619902104E-2</v>
      </c>
      <c r="M3" s="36">
        <f t="shared" ref="M3:M31" si="4">I3*1000</f>
        <v>0</v>
      </c>
    </row>
    <row r="4" spans="1:13">
      <c r="A4" t="s">
        <v>564</v>
      </c>
      <c r="B4">
        <v>1</v>
      </c>
      <c r="C4" t="s">
        <v>977</v>
      </c>
      <c r="D4" t="s">
        <v>978</v>
      </c>
      <c r="E4" t="s">
        <v>895</v>
      </c>
      <c r="F4" s="29">
        <v>1.7944535073409401E-5</v>
      </c>
      <c r="G4" s="29">
        <v>1.7944535073409401E-5</v>
      </c>
      <c r="H4" s="29">
        <v>1.7944535073409401E-5</v>
      </c>
      <c r="J4" s="36">
        <f t="shared" si="1"/>
        <v>1.7944535073409401E-2</v>
      </c>
      <c r="K4" s="36">
        <f t="shared" si="2"/>
        <v>1.7944535073409401E-2</v>
      </c>
      <c r="L4" s="36">
        <f t="shared" si="3"/>
        <v>1.7944535073409401E-2</v>
      </c>
      <c r="M4" s="36">
        <f t="shared" si="4"/>
        <v>0</v>
      </c>
    </row>
    <row r="5" spans="1:13">
      <c r="A5" t="s">
        <v>564</v>
      </c>
      <c r="B5">
        <v>1</v>
      </c>
      <c r="C5" t="s">
        <v>977</v>
      </c>
      <c r="D5" t="s">
        <v>978</v>
      </c>
      <c r="E5" t="s">
        <v>986</v>
      </c>
      <c r="F5" s="29">
        <v>5.84013050570962E-5</v>
      </c>
      <c r="G5">
        <v>3.1973898858075E-4</v>
      </c>
      <c r="H5">
        <v>1.8945078847199499E-4</v>
      </c>
      <c r="I5">
        <v>1.3067050497943801E-4</v>
      </c>
      <c r="J5" s="36">
        <f t="shared" si="1"/>
        <v>5.8401305057096203E-2</v>
      </c>
      <c r="K5" s="36">
        <f t="shared" si="2"/>
        <v>0.31973898858075001</v>
      </c>
      <c r="L5" s="36">
        <f t="shared" si="3"/>
        <v>0.18945078847199501</v>
      </c>
      <c r="M5" s="36">
        <f t="shared" si="4"/>
        <v>0.130670504979438</v>
      </c>
    </row>
    <row r="6" spans="1:13">
      <c r="A6" t="s">
        <v>564</v>
      </c>
      <c r="B6">
        <v>1</v>
      </c>
      <c r="C6" t="s">
        <v>977</v>
      </c>
      <c r="D6" t="s">
        <v>978</v>
      </c>
      <c r="E6" t="s">
        <v>987</v>
      </c>
      <c r="F6">
        <v>8.8874388254486097E-4</v>
      </c>
      <c r="G6">
        <v>8.8874388254486097E-4</v>
      </c>
      <c r="H6">
        <v>8.8874388254486097E-4</v>
      </c>
      <c r="J6" s="36">
        <f t="shared" si="1"/>
        <v>0.88874388254486103</v>
      </c>
      <c r="K6" s="36">
        <f t="shared" si="2"/>
        <v>0.88874388254486103</v>
      </c>
      <c r="L6" s="36">
        <f t="shared" si="3"/>
        <v>0.88874388254486103</v>
      </c>
      <c r="M6" s="36">
        <f t="shared" si="4"/>
        <v>0</v>
      </c>
    </row>
    <row r="7" spans="1:13">
      <c r="A7" t="s">
        <v>564</v>
      </c>
      <c r="B7">
        <v>1</v>
      </c>
      <c r="C7" t="s">
        <v>981</v>
      </c>
      <c r="D7" t="s">
        <v>982</v>
      </c>
      <c r="E7" t="s">
        <v>891</v>
      </c>
      <c r="F7">
        <v>2.64716345449599E-3</v>
      </c>
      <c r="G7">
        <v>2.64716345449599E-3</v>
      </c>
      <c r="H7">
        <v>2.64716345449599E-3</v>
      </c>
      <c r="J7" s="36">
        <f t="shared" si="1"/>
        <v>2.6471634544959901</v>
      </c>
      <c r="K7" s="36">
        <f t="shared" si="2"/>
        <v>2.6471634544959901</v>
      </c>
      <c r="L7" s="36">
        <f t="shared" si="3"/>
        <v>2.6471634544959901</v>
      </c>
      <c r="M7" s="36">
        <f t="shared" si="4"/>
        <v>0</v>
      </c>
    </row>
    <row r="8" spans="1:13">
      <c r="A8" t="s">
        <v>564</v>
      </c>
      <c r="B8">
        <v>1</v>
      </c>
      <c r="C8" t="s">
        <v>979</v>
      </c>
      <c r="D8" t="s">
        <v>982</v>
      </c>
      <c r="E8" t="s">
        <v>894</v>
      </c>
      <c r="F8" s="29">
        <v>3.16042597045688E-9</v>
      </c>
      <c r="G8" s="29">
        <v>9.2183098591549297E-7</v>
      </c>
      <c r="H8" s="29">
        <v>3.38589259132027E-7</v>
      </c>
      <c r="I8" s="29">
        <v>5.0699834527478798E-7</v>
      </c>
      <c r="J8" s="36">
        <f t="shared" si="1"/>
        <v>3.1604259704568801E-6</v>
      </c>
      <c r="K8" s="36">
        <f t="shared" si="2"/>
        <v>9.2183098591549302E-4</v>
      </c>
      <c r="L8" s="36">
        <f t="shared" si="3"/>
        <v>3.3858925913202701E-4</v>
      </c>
      <c r="M8" s="36">
        <f t="shared" si="4"/>
        <v>5.0699834527478797E-4</v>
      </c>
    </row>
    <row r="9" spans="1:13">
      <c r="A9" t="s">
        <v>564</v>
      </c>
      <c r="B9">
        <v>1</v>
      </c>
      <c r="C9" t="s">
        <v>979</v>
      </c>
      <c r="D9" t="s">
        <v>982</v>
      </c>
      <c r="E9" t="s">
        <v>889</v>
      </c>
      <c r="F9">
        <v>4.3208519409137702E-3</v>
      </c>
      <c r="G9">
        <v>4.3208519409137702E-3</v>
      </c>
      <c r="H9">
        <v>4.3208519409137702E-3</v>
      </c>
      <c r="J9" s="36">
        <f t="shared" si="1"/>
        <v>4.3208519409137702</v>
      </c>
      <c r="K9" s="36">
        <f t="shared" si="2"/>
        <v>4.3208519409137702</v>
      </c>
      <c r="L9" s="36">
        <f t="shared" si="3"/>
        <v>4.3208519409137702</v>
      </c>
      <c r="M9" s="36">
        <f t="shared" si="4"/>
        <v>0</v>
      </c>
    </row>
    <row r="10" spans="1:13">
      <c r="A10" t="s">
        <v>564</v>
      </c>
      <c r="B10">
        <v>1</v>
      </c>
      <c r="C10" t="s">
        <v>979</v>
      </c>
      <c r="D10" t="s">
        <v>982</v>
      </c>
      <c r="E10" t="s">
        <v>985</v>
      </c>
      <c r="F10">
        <v>2.1538425963586299E-4</v>
      </c>
      <c r="G10">
        <v>2.1538425963586299E-4</v>
      </c>
      <c r="H10">
        <v>2.1538425963586299E-4</v>
      </c>
      <c r="J10" s="36">
        <f t="shared" si="1"/>
        <v>0.215384259635863</v>
      </c>
      <c r="K10" s="36">
        <f t="shared" si="2"/>
        <v>0.215384259635863</v>
      </c>
      <c r="L10" s="36">
        <f t="shared" si="3"/>
        <v>0.215384259635863</v>
      </c>
      <c r="M10" s="36">
        <f t="shared" si="4"/>
        <v>0</v>
      </c>
    </row>
    <row r="11" spans="1:13">
      <c r="A11" t="s">
        <v>564</v>
      </c>
      <c r="B11">
        <v>1</v>
      </c>
      <c r="C11" t="s">
        <v>979</v>
      </c>
      <c r="D11" t="s">
        <v>982</v>
      </c>
      <c r="E11" t="s">
        <v>890</v>
      </c>
      <c r="F11">
        <v>2.5232600480934301E-4</v>
      </c>
      <c r="G11">
        <v>2.5232600480934301E-4</v>
      </c>
      <c r="H11">
        <v>2.5232600480934301E-4</v>
      </c>
      <c r="J11" s="36">
        <f t="shared" si="1"/>
        <v>0.25232600480934303</v>
      </c>
      <c r="K11" s="36">
        <f t="shared" si="2"/>
        <v>0.25232600480934303</v>
      </c>
      <c r="L11" s="36">
        <f t="shared" si="3"/>
        <v>0.25232600480934303</v>
      </c>
      <c r="M11" s="36">
        <f t="shared" si="4"/>
        <v>0</v>
      </c>
    </row>
    <row r="12" spans="1:13">
      <c r="A12" t="s">
        <v>564</v>
      </c>
      <c r="B12">
        <v>1</v>
      </c>
      <c r="C12" t="s">
        <v>979</v>
      </c>
      <c r="D12" t="s">
        <v>982</v>
      </c>
      <c r="E12" t="s">
        <v>986</v>
      </c>
      <c r="F12">
        <v>6.6376571624871103E-4</v>
      </c>
      <c r="G12">
        <v>6.6376571624871103E-4</v>
      </c>
      <c r="H12">
        <v>6.6376571624871103E-4</v>
      </c>
      <c r="J12" s="36">
        <f t="shared" si="1"/>
        <v>0.66376571624871106</v>
      </c>
      <c r="K12" s="36">
        <f t="shared" si="2"/>
        <v>0.66376571624871106</v>
      </c>
      <c r="L12" s="36">
        <f t="shared" si="3"/>
        <v>0.66376571624871106</v>
      </c>
      <c r="M12" s="36">
        <f t="shared" si="4"/>
        <v>0</v>
      </c>
    </row>
    <row r="13" spans="1:13">
      <c r="A13" t="s">
        <v>564</v>
      </c>
      <c r="B13">
        <v>1</v>
      </c>
      <c r="C13" t="s">
        <v>979</v>
      </c>
      <c r="D13" t="s">
        <v>982</v>
      </c>
      <c r="E13" t="s">
        <v>892</v>
      </c>
      <c r="F13">
        <v>1.8723534180693899E-4</v>
      </c>
      <c r="G13">
        <v>1.8723534180693899E-4</v>
      </c>
      <c r="H13">
        <v>1.8723534180693899E-4</v>
      </c>
      <c r="J13" s="36">
        <f t="shared" si="1"/>
        <v>0.18723534180693899</v>
      </c>
      <c r="K13" s="36">
        <f t="shared" si="2"/>
        <v>0.18723534180693899</v>
      </c>
      <c r="L13" s="36">
        <f t="shared" si="3"/>
        <v>0.18723534180693899</v>
      </c>
      <c r="M13" s="36">
        <f t="shared" si="4"/>
        <v>0</v>
      </c>
    </row>
    <row r="14" spans="1:13">
      <c r="A14" t="s">
        <v>564</v>
      </c>
      <c r="B14">
        <v>1</v>
      </c>
      <c r="C14" t="s">
        <v>979</v>
      </c>
      <c r="D14" t="s">
        <v>982</v>
      </c>
      <c r="E14" t="s">
        <v>987</v>
      </c>
      <c r="F14">
        <v>1.49327413260048E-3</v>
      </c>
      <c r="G14">
        <v>1.49327413260048E-3</v>
      </c>
      <c r="H14">
        <v>1.49327413260048E-3</v>
      </c>
      <c r="J14" s="36">
        <f t="shared" si="1"/>
        <v>1.4932741326004799</v>
      </c>
      <c r="K14" s="36">
        <f t="shared" si="2"/>
        <v>1.4932741326004799</v>
      </c>
      <c r="L14" s="36">
        <f t="shared" si="3"/>
        <v>1.4932741326004799</v>
      </c>
      <c r="M14" s="36">
        <f t="shared" si="4"/>
        <v>0</v>
      </c>
    </row>
    <row r="15" spans="1:13">
      <c r="A15" t="s">
        <v>564</v>
      </c>
      <c r="B15">
        <v>1</v>
      </c>
      <c r="C15" t="s">
        <v>980</v>
      </c>
      <c r="D15" t="s">
        <v>982</v>
      </c>
      <c r="E15" t="s">
        <v>988</v>
      </c>
      <c r="F15" s="29">
        <v>2.6385191693290699E-5</v>
      </c>
      <c r="G15" s="29">
        <v>2.6385191693290699E-5</v>
      </c>
      <c r="H15" s="29">
        <v>2.6385191693290699E-5</v>
      </c>
      <c r="J15" s="36">
        <f t="shared" si="1"/>
        <v>2.6385191693290698E-2</v>
      </c>
      <c r="K15" s="36">
        <f t="shared" si="2"/>
        <v>2.6385191693290698E-2</v>
      </c>
      <c r="L15" s="36">
        <f t="shared" si="3"/>
        <v>2.6385191693290698E-2</v>
      </c>
      <c r="M15" s="36">
        <f t="shared" si="4"/>
        <v>0</v>
      </c>
    </row>
    <row r="16" spans="1:13">
      <c r="A16" t="s">
        <v>564</v>
      </c>
      <c r="B16">
        <v>1</v>
      </c>
      <c r="C16" t="s">
        <v>980</v>
      </c>
      <c r="D16" t="s">
        <v>982</v>
      </c>
      <c r="E16" t="s">
        <v>890</v>
      </c>
      <c r="F16">
        <v>2.5896508443633E-4</v>
      </c>
      <c r="G16">
        <v>2.5896508443633E-4</v>
      </c>
      <c r="H16">
        <v>2.5896508443633E-4</v>
      </c>
      <c r="J16" s="36">
        <f t="shared" si="1"/>
        <v>0.25896508443632998</v>
      </c>
      <c r="K16" s="36">
        <f t="shared" si="2"/>
        <v>0.25896508443632998</v>
      </c>
      <c r="L16" s="36">
        <f t="shared" si="3"/>
        <v>0.25896508443632998</v>
      </c>
      <c r="M16" s="36">
        <f t="shared" si="4"/>
        <v>0</v>
      </c>
    </row>
    <row r="17" spans="1:13">
      <c r="A17" t="s">
        <v>564</v>
      </c>
      <c r="B17">
        <v>2</v>
      </c>
      <c r="C17" t="s">
        <v>980</v>
      </c>
      <c r="D17" t="s">
        <v>982</v>
      </c>
      <c r="E17" t="s">
        <v>891</v>
      </c>
      <c r="F17">
        <v>2.1801195078893802E-3</v>
      </c>
      <c r="G17">
        <v>2.1801195078893802E-3</v>
      </c>
      <c r="H17">
        <v>2.1801195078893802E-3</v>
      </c>
      <c r="J17" s="36">
        <f t="shared" si="1"/>
        <v>2.1801195078893802</v>
      </c>
      <c r="K17" s="36">
        <f t="shared" si="2"/>
        <v>2.1801195078893802</v>
      </c>
      <c r="L17" s="36">
        <f t="shared" si="3"/>
        <v>2.1801195078893802</v>
      </c>
      <c r="M17" s="36">
        <f t="shared" si="4"/>
        <v>0</v>
      </c>
    </row>
    <row r="18" spans="1:13">
      <c r="A18" t="s">
        <v>564</v>
      </c>
      <c r="B18">
        <v>1</v>
      </c>
      <c r="C18" t="s">
        <v>980</v>
      </c>
      <c r="D18" t="s">
        <v>982</v>
      </c>
      <c r="E18" t="s">
        <v>893</v>
      </c>
      <c r="F18" s="29">
        <v>1.7012779552715598E-5</v>
      </c>
      <c r="G18" s="29">
        <v>1.7012779552715598E-5</v>
      </c>
      <c r="H18" s="29">
        <v>1.7012779552715598E-5</v>
      </c>
      <c r="J18" s="36">
        <f t="shared" si="1"/>
        <v>1.7012779552715598E-2</v>
      </c>
      <c r="K18" s="36">
        <f t="shared" si="2"/>
        <v>1.7012779552715598E-2</v>
      </c>
      <c r="L18" s="36">
        <f t="shared" si="3"/>
        <v>1.7012779552715598E-2</v>
      </c>
      <c r="M18" s="36">
        <f t="shared" si="4"/>
        <v>0</v>
      </c>
    </row>
    <row r="19" spans="1:13">
      <c r="A19" t="s">
        <v>564</v>
      </c>
      <c r="B19">
        <v>1</v>
      </c>
      <c r="C19" t="s">
        <v>980</v>
      </c>
      <c r="D19" t="s">
        <v>982</v>
      </c>
      <c r="E19" t="s">
        <v>986</v>
      </c>
      <c r="F19">
        <v>3.2170127795527102E-4</v>
      </c>
      <c r="G19">
        <v>6.81996805111821E-4</v>
      </c>
      <c r="H19">
        <v>5.0184904153354598E-4</v>
      </c>
      <c r="I19">
        <v>2.5476741048357799E-4</v>
      </c>
      <c r="J19" s="36">
        <f t="shared" si="1"/>
        <v>0.32170127795527104</v>
      </c>
      <c r="K19" s="36">
        <f t="shared" si="2"/>
        <v>0.68199680511182104</v>
      </c>
      <c r="L19" s="36">
        <f t="shared" si="3"/>
        <v>0.50184904153354604</v>
      </c>
      <c r="M19" s="36">
        <f t="shared" si="4"/>
        <v>0.25476741048357798</v>
      </c>
    </row>
    <row r="20" spans="1:13">
      <c r="A20" t="s">
        <v>564</v>
      </c>
      <c r="B20">
        <v>1</v>
      </c>
      <c r="C20" t="s">
        <v>980</v>
      </c>
      <c r="D20" t="s">
        <v>982</v>
      </c>
      <c r="E20" t="s">
        <v>987</v>
      </c>
      <c r="F20" s="29">
        <v>6.00422181652213E-5</v>
      </c>
      <c r="G20">
        <v>7.2916476494751204E-4</v>
      </c>
      <c r="H20">
        <v>3.9460349155636602E-4</v>
      </c>
      <c r="I20">
        <v>4.7314109027456999E-4</v>
      </c>
      <c r="J20" s="36">
        <f t="shared" si="1"/>
        <v>6.0042218165221303E-2</v>
      </c>
      <c r="K20" s="36">
        <f t="shared" si="2"/>
        <v>0.72916476494751203</v>
      </c>
      <c r="L20" s="36">
        <f t="shared" si="3"/>
        <v>0.39460349155636604</v>
      </c>
      <c r="M20" s="36">
        <f t="shared" si="4"/>
        <v>0.47314109027457002</v>
      </c>
    </row>
    <row r="21" spans="1:13">
      <c r="A21" t="s">
        <v>564</v>
      </c>
      <c r="B21">
        <v>7</v>
      </c>
      <c r="C21" t="s">
        <v>977</v>
      </c>
      <c r="D21" t="s">
        <v>982</v>
      </c>
      <c r="E21" t="s">
        <v>894</v>
      </c>
      <c r="F21" s="29">
        <v>8.1930403371462897E-8</v>
      </c>
      <c r="G21" s="29">
        <v>6.6214007782101095E-5</v>
      </c>
      <c r="H21" s="29">
        <v>3.0151676364854399E-5</v>
      </c>
      <c r="I21" s="29">
        <v>3.34708264753059E-5</v>
      </c>
      <c r="J21" s="36">
        <f t="shared" si="1"/>
        <v>8.1930403371462896E-5</v>
      </c>
      <c r="K21" s="36">
        <f t="shared" si="2"/>
        <v>6.6214007782101097E-2</v>
      </c>
      <c r="L21" s="36">
        <f t="shared" si="3"/>
        <v>3.0151676364854399E-2</v>
      </c>
      <c r="M21" s="36">
        <f t="shared" si="4"/>
        <v>3.3470826475305901E-2</v>
      </c>
    </row>
    <row r="22" spans="1:13">
      <c r="A22" t="s">
        <v>564</v>
      </c>
      <c r="B22">
        <v>7</v>
      </c>
      <c r="C22" t="s">
        <v>977</v>
      </c>
      <c r="D22" t="s">
        <v>982</v>
      </c>
      <c r="E22" t="s">
        <v>989</v>
      </c>
      <c r="F22" s="29">
        <v>5.8413926499032799E-5</v>
      </c>
      <c r="G22" s="29">
        <v>5.8413926499032799E-5</v>
      </c>
      <c r="H22" s="29">
        <v>5.8413926499032799E-5</v>
      </c>
      <c r="J22" s="36">
        <f t="shared" si="1"/>
        <v>5.8413926499032799E-2</v>
      </c>
      <c r="K22" s="36">
        <f t="shared" si="2"/>
        <v>5.8413926499032799E-2</v>
      </c>
      <c r="L22" s="36">
        <f t="shared" si="3"/>
        <v>5.8413926499032799E-2</v>
      </c>
      <c r="M22" s="36">
        <f t="shared" si="4"/>
        <v>0</v>
      </c>
    </row>
    <row r="23" spans="1:13">
      <c r="A23" t="s">
        <v>564</v>
      </c>
      <c r="B23">
        <v>7</v>
      </c>
      <c r="C23" t="s">
        <v>977</v>
      </c>
      <c r="D23" t="s">
        <v>982</v>
      </c>
      <c r="E23" t="s">
        <v>988</v>
      </c>
      <c r="F23" s="29">
        <v>3.42359767891682E-5</v>
      </c>
      <c r="G23" s="29">
        <v>3.42359767891682E-5</v>
      </c>
      <c r="H23" s="29">
        <v>3.42359767891682E-5</v>
      </c>
      <c r="J23" s="36">
        <f t="shared" si="1"/>
        <v>3.4235976789168197E-2</v>
      </c>
      <c r="K23" s="36">
        <f t="shared" si="2"/>
        <v>3.4235976789168197E-2</v>
      </c>
      <c r="L23" s="36">
        <f t="shared" si="3"/>
        <v>3.4235976789168197E-2</v>
      </c>
      <c r="M23" s="36">
        <f t="shared" si="4"/>
        <v>0</v>
      </c>
    </row>
    <row r="24" spans="1:13">
      <c r="A24" t="s">
        <v>564</v>
      </c>
      <c r="B24">
        <v>7</v>
      </c>
      <c r="C24" t="s">
        <v>977</v>
      </c>
      <c r="D24" t="s">
        <v>982</v>
      </c>
      <c r="E24" t="s">
        <v>889</v>
      </c>
      <c r="F24">
        <v>9.1610894941634193E-3</v>
      </c>
      <c r="G24">
        <v>1.6480433473810899E-2</v>
      </c>
      <c r="H24">
        <v>1.28207614839871E-2</v>
      </c>
      <c r="I24">
        <v>5.1755577618456602E-3</v>
      </c>
      <c r="J24" s="36">
        <f t="shared" si="1"/>
        <v>9.16108949416342</v>
      </c>
      <c r="K24" s="36">
        <f t="shared" si="2"/>
        <v>16.480433473810898</v>
      </c>
      <c r="L24" s="36">
        <f t="shared" si="3"/>
        <v>12.8207614839871</v>
      </c>
      <c r="M24" s="36">
        <f t="shared" si="4"/>
        <v>5.1755577618456599</v>
      </c>
    </row>
    <row r="25" spans="1:13">
      <c r="A25" t="s">
        <v>564</v>
      </c>
      <c r="B25">
        <v>7</v>
      </c>
      <c r="C25" t="s">
        <v>977</v>
      </c>
      <c r="D25" t="s">
        <v>982</v>
      </c>
      <c r="E25" t="s">
        <v>985</v>
      </c>
      <c r="F25" s="29">
        <v>9.7962396303501905E-5</v>
      </c>
      <c r="G25">
        <v>1.4524417037928901E-4</v>
      </c>
      <c r="H25">
        <v>1.21603283341395E-4</v>
      </c>
      <c r="I25" s="29">
        <v>3.3433263075519299E-5</v>
      </c>
      <c r="J25" s="36">
        <f t="shared" si="1"/>
        <v>9.7962396303501911E-2</v>
      </c>
      <c r="K25" s="36">
        <f t="shared" si="2"/>
        <v>0.14524417037928902</v>
      </c>
      <c r="L25" s="36">
        <f t="shared" si="3"/>
        <v>0.121603283341395</v>
      </c>
      <c r="M25" s="36">
        <f t="shared" si="4"/>
        <v>3.3433263075519297E-2</v>
      </c>
    </row>
    <row r="26" spans="1:13">
      <c r="A26" t="s">
        <v>564</v>
      </c>
      <c r="B26">
        <v>7</v>
      </c>
      <c r="C26" t="s">
        <v>977</v>
      </c>
      <c r="D26" t="s">
        <v>982</v>
      </c>
      <c r="E26" t="s">
        <v>890</v>
      </c>
      <c r="F26">
        <v>3.7938035019455198E-4</v>
      </c>
      <c r="G26">
        <v>6.7952330173899102E-4</v>
      </c>
      <c r="H26">
        <v>5.0490397343613998E-4</v>
      </c>
      <c r="I26">
        <v>1.12642064142474E-4</v>
      </c>
      <c r="J26" s="36">
        <f t="shared" si="1"/>
        <v>0.37938035019455196</v>
      </c>
      <c r="K26" s="36">
        <f t="shared" si="2"/>
        <v>0.679523301738991</v>
      </c>
      <c r="L26" s="36">
        <f t="shared" si="3"/>
        <v>0.50490397343614002</v>
      </c>
      <c r="M26" s="36">
        <f t="shared" si="4"/>
        <v>0.112642064142474</v>
      </c>
    </row>
    <row r="27" spans="1:13">
      <c r="A27" t="s">
        <v>564</v>
      </c>
      <c r="B27">
        <v>7</v>
      </c>
      <c r="C27" t="s">
        <v>977</v>
      </c>
      <c r="D27" t="s">
        <v>982</v>
      </c>
      <c r="E27" t="s">
        <v>891</v>
      </c>
      <c r="F27">
        <v>9.0321666046454404E-4</v>
      </c>
      <c r="G27">
        <v>5.4395917835662298E-3</v>
      </c>
      <c r="H27">
        <v>2.14131715563461E-3</v>
      </c>
      <c r="I27">
        <v>1.87627067147172E-3</v>
      </c>
      <c r="J27" s="36">
        <f t="shared" si="1"/>
        <v>0.90321666046454407</v>
      </c>
      <c r="K27" s="36">
        <f t="shared" si="2"/>
        <v>5.4395917835662297</v>
      </c>
      <c r="L27" s="36">
        <f t="shared" si="3"/>
        <v>2.14131715563461</v>
      </c>
      <c r="M27" s="36">
        <f t="shared" si="4"/>
        <v>1.8762706714717201</v>
      </c>
    </row>
    <row r="28" spans="1:13">
      <c r="A28" t="s">
        <v>564</v>
      </c>
      <c r="B28">
        <v>7</v>
      </c>
      <c r="C28" t="s">
        <v>977</v>
      </c>
      <c r="D28" t="s">
        <v>982</v>
      </c>
      <c r="E28" t="s">
        <v>893</v>
      </c>
      <c r="F28" s="29">
        <v>4.46808510638297E-5</v>
      </c>
      <c r="G28" s="29">
        <v>4.46808510638297E-5</v>
      </c>
      <c r="H28" s="29">
        <v>4.46808510638297E-5</v>
      </c>
      <c r="J28" s="36">
        <f t="shared" si="1"/>
        <v>4.4680851063829699E-2</v>
      </c>
      <c r="K28" s="36">
        <f t="shared" si="2"/>
        <v>4.4680851063829699E-2</v>
      </c>
      <c r="L28" s="36">
        <f t="shared" si="3"/>
        <v>4.4680851063829699E-2</v>
      </c>
      <c r="M28" s="36">
        <f t="shared" si="4"/>
        <v>0</v>
      </c>
    </row>
    <row r="29" spans="1:13">
      <c r="A29" t="s">
        <v>564</v>
      </c>
      <c r="B29">
        <v>7</v>
      </c>
      <c r="C29" t="s">
        <v>977</v>
      </c>
      <c r="D29" t="s">
        <v>982</v>
      </c>
      <c r="E29" t="s">
        <v>986</v>
      </c>
      <c r="F29">
        <v>7.0629474708171203E-4</v>
      </c>
      <c r="G29">
        <v>1.8301625526790999E-3</v>
      </c>
      <c r="H29">
        <v>1.2682286498804001E-3</v>
      </c>
      <c r="I29">
        <v>7.9469454649515705E-4</v>
      </c>
      <c r="J29" s="36">
        <f t="shared" si="1"/>
        <v>0.70629474708171203</v>
      </c>
      <c r="K29" s="36">
        <f t="shared" si="2"/>
        <v>1.8301625526790999</v>
      </c>
      <c r="L29" s="36">
        <f t="shared" si="3"/>
        <v>1.2682286498804001</v>
      </c>
      <c r="M29" s="36">
        <f t="shared" si="4"/>
        <v>0.79469454649515703</v>
      </c>
    </row>
    <row r="30" spans="1:13">
      <c r="A30" t="s">
        <v>564</v>
      </c>
      <c r="B30">
        <v>7</v>
      </c>
      <c r="C30" t="s">
        <v>977</v>
      </c>
      <c r="D30" t="s">
        <v>982</v>
      </c>
      <c r="E30" t="s">
        <v>892</v>
      </c>
      <c r="F30" s="29">
        <v>1.4506769825918701E-6</v>
      </c>
      <c r="G30">
        <v>2.8807245136186699E-4</v>
      </c>
      <c r="H30">
        <v>1.02184691868096E-4</v>
      </c>
      <c r="I30">
        <v>1.21433154819099E-4</v>
      </c>
      <c r="J30" s="36">
        <f t="shared" si="1"/>
        <v>1.45067698259187E-3</v>
      </c>
      <c r="K30" s="36">
        <f t="shared" si="2"/>
        <v>0.28807245136186699</v>
      </c>
      <c r="L30" s="36">
        <f t="shared" si="3"/>
        <v>0.10218469186809601</v>
      </c>
      <c r="M30" s="36">
        <f t="shared" si="4"/>
        <v>0.121433154819099</v>
      </c>
    </row>
    <row r="31" spans="1:13">
      <c r="A31" t="s">
        <v>564</v>
      </c>
      <c r="B31">
        <v>7</v>
      </c>
      <c r="C31" t="s">
        <v>977</v>
      </c>
      <c r="D31" t="s">
        <v>982</v>
      </c>
      <c r="E31" t="s">
        <v>987</v>
      </c>
      <c r="F31" s="29">
        <v>8.3752417794970895E-5</v>
      </c>
      <c r="G31">
        <v>4.90261121856866E-3</v>
      </c>
      <c r="H31">
        <v>1.8068094470128299E-3</v>
      </c>
      <c r="I31">
        <v>2.1286361344753598E-3</v>
      </c>
      <c r="J31" s="36">
        <f t="shared" si="1"/>
        <v>8.375241779497089E-2</v>
      </c>
      <c r="K31" s="36">
        <f t="shared" si="2"/>
        <v>4.9026112185686603</v>
      </c>
      <c r="L31" s="36">
        <f t="shared" si="3"/>
        <v>1.80680944701283</v>
      </c>
      <c r="M31" s="36">
        <f t="shared" si="4"/>
        <v>2.1286361344753599</v>
      </c>
    </row>
    <row r="32" spans="1:13">
      <c r="A32" t="s">
        <v>994</v>
      </c>
      <c r="C32" t="s">
        <v>995</v>
      </c>
      <c r="D32" t="s">
        <v>996</v>
      </c>
      <c r="E32" t="s">
        <v>891</v>
      </c>
      <c r="L32" s="36">
        <f>DATA!L3</f>
        <v>1.7</v>
      </c>
    </row>
    <row r="33" spans="1:12">
      <c r="A33" t="s">
        <v>994</v>
      </c>
      <c r="C33" t="s">
        <v>995</v>
      </c>
      <c r="D33" t="s">
        <v>996</v>
      </c>
      <c r="E33" t="s">
        <v>986</v>
      </c>
      <c r="L33" s="36">
        <f>DATA!L6</f>
        <v>0.71</v>
      </c>
    </row>
    <row r="34" spans="1:12">
      <c r="A34" t="s">
        <v>994</v>
      </c>
      <c r="C34" t="s">
        <v>995</v>
      </c>
      <c r="D34" t="s">
        <v>996</v>
      </c>
      <c r="E34" t="s">
        <v>987</v>
      </c>
      <c r="L34">
        <f>DATA!L16+DATA!L22</f>
        <v>2.3200000000000003</v>
      </c>
    </row>
    <row r="35" spans="1:12">
      <c r="A35" t="s">
        <v>994</v>
      </c>
      <c r="C35" t="s">
        <v>995</v>
      </c>
      <c r="D35" t="s">
        <v>996</v>
      </c>
      <c r="E35" t="s">
        <v>890</v>
      </c>
      <c r="L35">
        <f>DATA!L17</f>
        <v>0.64</v>
      </c>
    </row>
    <row r="36" spans="1:12">
      <c r="A36" t="s">
        <v>994</v>
      </c>
      <c r="C36" t="s">
        <v>995</v>
      </c>
      <c r="D36" t="s">
        <v>996</v>
      </c>
      <c r="E36" t="s">
        <v>989</v>
      </c>
      <c r="L36">
        <f>DATA!L21*1000</f>
        <v>24000</v>
      </c>
    </row>
    <row r="37" spans="1:12">
      <c r="A37" t="s">
        <v>994</v>
      </c>
      <c r="C37" t="s">
        <v>995</v>
      </c>
      <c r="D37" t="s">
        <v>996</v>
      </c>
      <c r="E37" t="s">
        <v>894</v>
      </c>
      <c r="L37">
        <f>(DATA!L23*1000)</f>
        <v>83000</v>
      </c>
    </row>
    <row r="38" spans="1:12">
      <c r="A38" t="s">
        <v>994</v>
      </c>
      <c r="C38" t="s">
        <v>995</v>
      </c>
      <c r="D38" t="s">
        <v>996</v>
      </c>
    </row>
  </sheetData>
  <autoFilter ref="B1:I38" xr:uid="{9789708F-4D14-47E8-8972-C29E88103FB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CF74F-491F-4A30-A5B5-5AB6F49A038D}">
  <dimension ref="A1:K137"/>
  <sheetViews>
    <sheetView topLeftCell="A73" workbookViewId="0">
      <selection activeCell="A137" sqref="A102:XFD137"/>
    </sheetView>
  </sheetViews>
  <sheetFormatPr baseColWidth="10" defaultRowHeight="14.5"/>
  <cols>
    <col min="1" max="1" width="37.453125" bestFit="1" customWidth="1"/>
    <col min="2" max="2" width="39.36328125" customWidth="1"/>
    <col min="3" max="3" width="19.1796875" bestFit="1" customWidth="1"/>
    <col min="4" max="4" width="10.08984375" bestFit="1" customWidth="1"/>
    <col min="5" max="5" width="16.08984375" bestFit="1" customWidth="1"/>
    <col min="6" max="6" width="70.6328125" bestFit="1" customWidth="1"/>
    <col min="7" max="7" width="19.36328125" bestFit="1" customWidth="1"/>
    <col min="8" max="8" width="33.36328125" bestFit="1" customWidth="1"/>
    <col min="9" max="9" width="12.453125" bestFit="1" customWidth="1"/>
    <col min="10" max="10" width="12.26953125" bestFit="1" customWidth="1"/>
    <col min="11" max="11" width="255.6328125" bestFit="1" customWidth="1"/>
  </cols>
  <sheetData>
    <row r="1" spans="1:11" s="1" customFormat="1">
      <c r="A1" s="1" t="s">
        <v>570</v>
      </c>
      <c r="B1" s="1" t="s">
        <v>571</v>
      </c>
      <c r="C1" s="1" t="s">
        <v>572</v>
      </c>
      <c r="D1" s="1" t="s">
        <v>573</v>
      </c>
      <c r="E1" s="1" t="s">
        <v>574</v>
      </c>
      <c r="F1" s="1" t="s">
        <v>575</v>
      </c>
      <c r="G1" s="1" t="s">
        <v>576</v>
      </c>
      <c r="H1" s="1" t="s">
        <v>577</v>
      </c>
      <c r="I1" s="1" t="s">
        <v>578</v>
      </c>
      <c r="J1" s="1" t="s">
        <v>510</v>
      </c>
      <c r="K1" s="1" t="s">
        <v>514</v>
      </c>
    </row>
    <row r="2" spans="1:11">
      <c r="A2" t="s">
        <v>704</v>
      </c>
      <c r="B2" t="s">
        <v>705</v>
      </c>
      <c r="C2" t="s">
        <v>234</v>
      </c>
      <c r="D2" t="s">
        <v>233</v>
      </c>
      <c r="E2" t="s">
        <v>580</v>
      </c>
      <c r="F2" t="s">
        <v>725</v>
      </c>
      <c r="G2" t="s">
        <v>582</v>
      </c>
      <c r="H2" t="s">
        <v>726</v>
      </c>
      <c r="I2">
        <v>-1.11280113787183E-2</v>
      </c>
      <c r="J2" t="s">
        <v>17</v>
      </c>
      <c r="K2" t="s">
        <v>727</v>
      </c>
    </row>
    <row r="3" spans="1:11">
      <c r="A3" t="s">
        <v>704</v>
      </c>
      <c r="B3" t="s">
        <v>705</v>
      </c>
      <c r="C3" t="s">
        <v>234</v>
      </c>
      <c r="D3" t="s">
        <v>233</v>
      </c>
      <c r="E3" t="s">
        <v>580</v>
      </c>
      <c r="F3" t="s">
        <v>737</v>
      </c>
      <c r="G3" t="s">
        <v>582</v>
      </c>
      <c r="H3" t="s">
        <v>738</v>
      </c>
      <c r="I3">
        <v>-20.404833872671698</v>
      </c>
      <c r="J3" t="s">
        <v>17</v>
      </c>
      <c r="K3" t="s">
        <v>739</v>
      </c>
    </row>
    <row r="4" spans="1:11">
      <c r="A4" t="s">
        <v>704</v>
      </c>
      <c r="B4" t="s">
        <v>705</v>
      </c>
      <c r="C4" t="s">
        <v>234</v>
      </c>
      <c r="D4" t="s">
        <v>233</v>
      </c>
      <c r="E4" t="s">
        <v>580</v>
      </c>
      <c r="F4" t="s">
        <v>585</v>
      </c>
      <c r="G4" t="s">
        <v>582</v>
      </c>
      <c r="H4" t="s">
        <v>586</v>
      </c>
      <c r="I4">
        <v>3.69193873446534</v>
      </c>
      <c r="J4" t="s">
        <v>17</v>
      </c>
      <c r="K4" t="s">
        <v>706</v>
      </c>
    </row>
    <row r="5" spans="1:11">
      <c r="A5" t="s">
        <v>704</v>
      </c>
      <c r="B5" t="s">
        <v>705</v>
      </c>
      <c r="C5" t="s">
        <v>234</v>
      </c>
      <c r="D5" t="s">
        <v>233</v>
      </c>
      <c r="E5" t="s">
        <v>580</v>
      </c>
      <c r="F5" t="s">
        <v>634</v>
      </c>
      <c r="G5" t="s">
        <v>582</v>
      </c>
      <c r="H5" t="s">
        <v>635</v>
      </c>
      <c r="I5">
        <v>22.267828935164399</v>
      </c>
      <c r="J5" t="s">
        <v>17</v>
      </c>
      <c r="K5" t="s">
        <v>707</v>
      </c>
    </row>
    <row r="6" spans="1:11">
      <c r="A6" t="s">
        <v>704</v>
      </c>
      <c r="B6" t="s">
        <v>705</v>
      </c>
      <c r="C6" t="s">
        <v>234</v>
      </c>
      <c r="D6" t="s">
        <v>233</v>
      </c>
      <c r="E6" t="s">
        <v>580</v>
      </c>
      <c r="F6" t="s">
        <v>708</v>
      </c>
      <c r="G6" t="s">
        <v>582</v>
      </c>
      <c r="H6" t="s">
        <v>709</v>
      </c>
      <c r="I6">
        <v>3.7650119799165802</v>
      </c>
      <c r="J6" t="s">
        <v>17</v>
      </c>
      <c r="K6" t="s">
        <v>710</v>
      </c>
    </row>
    <row r="7" spans="1:11">
      <c r="A7" t="s">
        <v>704</v>
      </c>
      <c r="B7" t="s">
        <v>705</v>
      </c>
      <c r="C7" t="s">
        <v>234</v>
      </c>
      <c r="D7" t="s">
        <v>233</v>
      </c>
      <c r="E7" t="s">
        <v>580</v>
      </c>
      <c r="F7" t="s">
        <v>711</v>
      </c>
      <c r="G7" t="s">
        <v>582</v>
      </c>
      <c r="H7" t="s">
        <v>712</v>
      </c>
      <c r="I7">
        <v>5.0942491114583</v>
      </c>
      <c r="J7" t="s">
        <v>17</v>
      </c>
      <c r="K7" t="s">
        <v>713</v>
      </c>
    </row>
    <row r="8" spans="1:11">
      <c r="A8" t="s">
        <v>704</v>
      </c>
      <c r="B8" t="s">
        <v>705</v>
      </c>
      <c r="C8" t="s">
        <v>234</v>
      </c>
      <c r="D8" t="s">
        <v>233</v>
      </c>
      <c r="E8" t="s">
        <v>580</v>
      </c>
      <c r="F8" t="s">
        <v>670</v>
      </c>
      <c r="G8" t="s">
        <v>582</v>
      </c>
      <c r="H8" t="s">
        <v>671</v>
      </c>
      <c r="I8">
        <v>11.5768898864902</v>
      </c>
      <c r="J8" t="s">
        <v>17</v>
      </c>
      <c r="K8" t="s">
        <v>714</v>
      </c>
    </row>
    <row r="9" spans="1:11">
      <c r="A9" t="s">
        <v>704</v>
      </c>
      <c r="B9" t="s">
        <v>705</v>
      </c>
      <c r="C9" t="s">
        <v>234</v>
      </c>
      <c r="D9" t="s">
        <v>233</v>
      </c>
      <c r="E9" t="s">
        <v>580</v>
      </c>
      <c r="F9" t="s">
        <v>715</v>
      </c>
      <c r="G9" t="s">
        <v>582</v>
      </c>
      <c r="H9" t="s">
        <v>716</v>
      </c>
      <c r="I9">
        <v>753.002395983317</v>
      </c>
      <c r="J9" t="s">
        <v>17</v>
      </c>
      <c r="K9" t="s">
        <v>717</v>
      </c>
    </row>
    <row r="10" spans="1:11">
      <c r="A10" t="s">
        <v>704</v>
      </c>
      <c r="B10" t="s">
        <v>705</v>
      </c>
      <c r="C10" t="s">
        <v>234</v>
      </c>
      <c r="D10" t="s">
        <v>233</v>
      </c>
      <c r="E10" t="s">
        <v>580</v>
      </c>
      <c r="F10" t="s">
        <v>352</v>
      </c>
      <c r="G10" t="s">
        <v>582</v>
      </c>
      <c r="H10" t="s">
        <v>591</v>
      </c>
      <c r="I10">
        <v>2.6410758713093201</v>
      </c>
      <c r="J10" t="s">
        <v>17</v>
      </c>
      <c r="K10" t="s">
        <v>718</v>
      </c>
    </row>
    <row r="11" spans="1:11">
      <c r="A11" t="s">
        <v>704</v>
      </c>
      <c r="B11" t="s">
        <v>705</v>
      </c>
      <c r="C11" t="s">
        <v>234</v>
      </c>
      <c r="D11" t="s">
        <v>233</v>
      </c>
      <c r="E11" t="s">
        <v>580</v>
      </c>
      <c r="F11" t="s">
        <v>719</v>
      </c>
      <c r="G11" t="s">
        <v>582</v>
      </c>
      <c r="H11" t="s">
        <v>720</v>
      </c>
      <c r="I11">
        <v>12.7843382756132</v>
      </c>
      <c r="J11" t="s">
        <v>17</v>
      </c>
      <c r="K11" t="s">
        <v>721</v>
      </c>
    </row>
    <row r="12" spans="1:11">
      <c r="A12" t="s">
        <v>704</v>
      </c>
      <c r="B12" t="s">
        <v>705</v>
      </c>
      <c r="C12" t="s">
        <v>234</v>
      </c>
      <c r="D12" t="s">
        <v>233</v>
      </c>
      <c r="E12" t="s">
        <v>580</v>
      </c>
      <c r="F12" t="s">
        <v>596</v>
      </c>
      <c r="G12" t="s">
        <v>582</v>
      </c>
      <c r="H12" t="s">
        <v>597</v>
      </c>
      <c r="I12">
        <v>6.6113888741603697</v>
      </c>
      <c r="J12" t="s">
        <v>17</v>
      </c>
      <c r="K12" t="s">
        <v>722</v>
      </c>
    </row>
    <row r="13" spans="1:11">
      <c r="A13" t="s">
        <v>704</v>
      </c>
      <c r="B13" t="s">
        <v>705</v>
      </c>
      <c r="C13" t="s">
        <v>234</v>
      </c>
      <c r="D13" t="s">
        <v>233</v>
      </c>
      <c r="E13" t="s">
        <v>580</v>
      </c>
      <c r="F13" t="s">
        <v>600</v>
      </c>
      <c r="G13" t="s">
        <v>582</v>
      </c>
      <c r="H13" t="s">
        <v>601</v>
      </c>
      <c r="I13">
        <v>4185.8927172713702</v>
      </c>
      <c r="J13" t="s">
        <v>602</v>
      </c>
      <c r="K13" t="s">
        <v>723</v>
      </c>
    </row>
    <row r="14" spans="1:11" ht="29">
      <c r="A14" t="s">
        <v>704</v>
      </c>
      <c r="B14" t="s">
        <v>705</v>
      </c>
      <c r="C14" t="s">
        <v>234</v>
      </c>
      <c r="D14" t="s">
        <v>233</v>
      </c>
      <c r="E14" t="s">
        <v>580</v>
      </c>
      <c r="F14" t="s">
        <v>638</v>
      </c>
      <c r="G14" t="s">
        <v>582</v>
      </c>
      <c r="H14" t="s">
        <v>639</v>
      </c>
      <c r="I14">
        <v>1.4214486079444699</v>
      </c>
      <c r="J14" t="s">
        <v>17</v>
      </c>
      <c r="K14" s="6" t="s">
        <v>724</v>
      </c>
    </row>
    <row r="15" spans="1:11">
      <c r="A15" t="s">
        <v>704</v>
      </c>
      <c r="B15" t="s">
        <v>705</v>
      </c>
      <c r="C15" t="s">
        <v>234</v>
      </c>
      <c r="D15" t="s">
        <v>233</v>
      </c>
      <c r="E15" t="s">
        <v>580</v>
      </c>
      <c r="F15" t="s">
        <v>641</v>
      </c>
      <c r="G15" t="s">
        <v>582</v>
      </c>
      <c r="H15" t="s">
        <v>642</v>
      </c>
      <c r="I15">
        <v>8827.9439861815008</v>
      </c>
      <c r="J15" t="s">
        <v>607</v>
      </c>
      <c r="K15" t="s">
        <v>722</v>
      </c>
    </row>
    <row r="16" spans="1:11">
      <c r="A16" t="s">
        <v>704</v>
      </c>
      <c r="B16" t="s">
        <v>705</v>
      </c>
      <c r="C16" t="s">
        <v>234</v>
      </c>
      <c r="D16" t="s">
        <v>233</v>
      </c>
      <c r="E16" t="s">
        <v>580</v>
      </c>
      <c r="F16" t="s">
        <v>728</v>
      </c>
      <c r="G16" t="s">
        <v>582</v>
      </c>
      <c r="H16" t="s">
        <v>729</v>
      </c>
      <c r="I16">
        <v>0.75822191351554902</v>
      </c>
      <c r="J16" t="s">
        <v>17</v>
      </c>
      <c r="K16" t="s">
        <v>730</v>
      </c>
    </row>
    <row r="17" spans="1:11" ht="29">
      <c r="A17" t="s">
        <v>704</v>
      </c>
      <c r="B17" t="s">
        <v>705</v>
      </c>
      <c r="C17" t="s">
        <v>234</v>
      </c>
      <c r="D17" t="s">
        <v>233</v>
      </c>
      <c r="E17" t="s">
        <v>580</v>
      </c>
      <c r="F17" t="s">
        <v>731</v>
      </c>
      <c r="G17" t="s">
        <v>582</v>
      </c>
      <c r="H17" t="s">
        <v>732</v>
      </c>
      <c r="I17">
        <v>3717.7398654250101</v>
      </c>
      <c r="J17" t="s">
        <v>602</v>
      </c>
      <c r="K17" s="6" t="s">
        <v>733</v>
      </c>
    </row>
    <row r="18" spans="1:11">
      <c r="A18" t="s">
        <v>704</v>
      </c>
      <c r="B18" t="s">
        <v>705</v>
      </c>
      <c r="C18" t="s">
        <v>234</v>
      </c>
      <c r="D18" t="s">
        <v>233</v>
      </c>
      <c r="E18" t="s">
        <v>580</v>
      </c>
      <c r="F18" t="s">
        <v>734</v>
      </c>
      <c r="G18" t="s">
        <v>582</v>
      </c>
      <c r="H18" t="s">
        <v>735</v>
      </c>
      <c r="I18">
        <v>67.818931135466102</v>
      </c>
      <c r="J18" t="s">
        <v>17</v>
      </c>
      <c r="K18" t="s">
        <v>736</v>
      </c>
    </row>
    <row r="19" spans="1:11">
      <c r="A19" t="s">
        <v>704</v>
      </c>
      <c r="B19" t="s">
        <v>705</v>
      </c>
      <c r="C19" t="s">
        <v>234</v>
      </c>
      <c r="D19" t="s">
        <v>233</v>
      </c>
      <c r="E19" t="s">
        <v>580</v>
      </c>
      <c r="F19" t="s">
        <v>740</v>
      </c>
      <c r="G19" t="s">
        <v>582</v>
      </c>
      <c r="H19" t="s">
        <v>741</v>
      </c>
      <c r="I19">
        <v>10.230254363174399</v>
      </c>
      <c r="J19" t="s">
        <v>17</v>
      </c>
      <c r="K19" t="s">
        <v>742</v>
      </c>
    </row>
    <row r="20" spans="1:11">
      <c r="A20" t="s">
        <v>704</v>
      </c>
      <c r="B20" t="s">
        <v>705</v>
      </c>
      <c r="C20" t="s">
        <v>234</v>
      </c>
      <c r="D20" t="s">
        <v>233</v>
      </c>
      <c r="E20" t="s">
        <v>580</v>
      </c>
      <c r="F20" t="s">
        <v>743</v>
      </c>
      <c r="G20" t="s">
        <v>582</v>
      </c>
      <c r="H20" t="s">
        <v>744</v>
      </c>
      <c r="I20">
        <v>42.069311309788802</v>
      </c>
      <c r="J20" t="s">
        <v>17</v>
      </c>
      <c r="K20" t="s">
        <v>706</v>
      </c>
    </row>
    <row r="21" spans="1:11">
      <c r="A21" t="s">
        <v>704</v>
      </c>
      <c r="B21" t="s">
        <v>705</v>
      </c>
      <c r="C21" t="s">
        <v>234</v>
      </c>
      <c r="D21" t="s">
        <v>233</v>
      </c>
      <c r="E21" t="s">
        <v>580</v>
      </c>
      <c r="F21" t="s">
        <v>649</v>
      </c>
      <c r="G21" t="s">
        <v>582</v>
      </c>
      <c r="H21" t="s">
        <v>650</v>
      </c>
      <c r="I21">
        <v>5.2399780409582201E-2</v>
      </c>
      <c r="J21" t="s">
        <v>17</v>
      </c>
      <c r="K21" t="s">
        <v>745</v>
      </c>
    </row>
    <row r="22" spans="1:11">
      <c r="A22" t="s">
        <v>704</v>
      </c>
      <c r="B22" t="s">
        <v>705</v>
      </c>
      <c r="C22" t="s">
        <v>234</v>
      </c>
      <c r="D22" t="s">
        <v>233</v>
      </c>
      <c r="E22" t="s">
        <v>580</v>
      </c>
      <c r="F22" t="s">
        <v>746</v>
      </c>
      <c r="G22" t="s">
        <v>582</v>
      </c>
      <c r="H22" t="s">
        <v>747</v>
      </c>
      <c r="I22">
        <v>1.2899167661322299</v>
      </c>
      <c r="J22" t="s">
        <v>17</v>
      </c>
      <c r="K22" t="s">
        <v>748</v>
      </c>
    </row>
    <row r="23" spans="1:11">
      <c r="A23" t="s">
        <v>704</v>
      </c>
      <c r="B23" t="s">
        <v>705</v>
      </c>
      <c r="C23" t="s">
        <v>234</v>
      </c>
      <c r="D23" t="s">
        <v>233</v>
      </c>
      <c r="E23" t="s">
        <v>580</v>
      </c>
      <c r="F23" t="s">
        <v>616</v>
      </c>
      <c r="G23" t="s">
        <v>582</v>
      </c>
      <c r="H23" t="s">
        <v>617</v>
      </c>
      <c r="I23" s="29">
        <v>4.8054358080081396E-7</v>
      </c>
      <c r="J23" t="s">
        <v>510</v>
      </c>
      <c r="K23" t="s">
        <v>749</v>
      </c>
    </row>
    <row r="24" spans="1:11">
      <c r="A24" t="s">
        <v>704</v>
      </c>
      <c r="B24" t="s">
        <v>705</v>
      </c>
      <c r="C24" t="s">
        <v>234</v>
      </c>
      <c r="D24" t="s">
        <v>233</v>
      </c>
      <c r="E24" t="s">
        <v>580</v>
      </c>
      <c r="F24" t="s">
        <v>753</v>
      </c>
      <c r="G24" t="s">
        <v>582</v>
      </c>
      <c r="H24" t="s">
        <v>754</v>
      </c>
      <c r="I24">
        <v>49.515822989106297</v>
      </c>
      <c r="J24" t="s">
        <v>17</v>
      </c>
      <c r="K24" t="s">
        <v>722</v>
      </c>
    </row>
    <row r="25" spans="1:11">
      <c r="A25" t="s">
        <v>704</v>
      </c>
      <c r="B25" t="s">
        <v>705</v>
      </c>
      <c r="C25" t="s">
        <v>234</v>
      </c>
      <c r="D25" t="s">
        <v>233</v>
      </c>
      <c r="E25" t="s">
        <v>580</v>
      </c>
      <c r="F25" t="s">
        <v>755</v>
      </c>
      <c r="G25" t="s">
        <v>582</v>
      </c>
      <c r="H25" t="s">
        <v>756</v>
      </c>
      <c r="I25">
        <v>0.64965594884512601</v>
      </c>
      <c r="J25" t="s">
        <v>17</v>
      </c>
      <c r="K25" t="s">
        <v>757</v>
      </c>
    </row>
    <row r="26" spans="1:11">
      <c r="A26" t="s">
        <v>704</v>
      </c>
      <c r="B26" t="s">
        <v>705</v>
      </c>
      <c r="C26" t="s">
        <v>234</v>
      </c>
      <c r="D26" t="s">
        <v>233</v>
      </c>
      <c r="E26" t="s">
        <v>580</v>
      </c>
      <c r="F26" t="s">
        <v>692</v>
      </c>
      <c r="G26" t="s">
        <v>582</v>
      </c>
      <c r="H26" s="29" t="s">
        <v>693</v>
      </c>
      <c r="I26">
        <v>0.393899589765765</v>
      </c>
      <c r="J26" t="s">
        <v>17</v>
      </c>
      <c r="K26" t="s">
        <v>758</v>
      </c>
    </row>
    <row r="27" spans="1:11">
      <c r="A27" t="s">
        <v>704</v>
      </c>
      <c r="B27" t="s">
        <v>705</v>
      </c>
      <c r="C27" t="s">
        <v>234</v>
      </c>
      <c r="D27" t="s">
        <v>233</v>
      </c>
      <c r="E27" t="s">
        <v>580</v>
      </c>
      <c r="F27" t="s">
        <v>759</v>
      </c>
      <c r="G27" t="s">
        <v>582</v>
      </c>
      <c r="H27" t="s">
        <v>760</v>
      </c>
      <c r="I27">
        <v>0.79127885788635099</v>
      </c>
      <c r="J27" t="s">
        <v>17</v>
      </c>
      <c r="K27" t="s">
        <v>761</v>
      </c>
    </row>
    <row r="28" spans="1:11" ht="29">
      <c r="A28" t="s">
        <v>704</v>
      </c>
      <c r="B28" t="s">
        <v>705</v>
      </c>
      <c r="C28" t="s">
        <v>234</v>
      </c>
      <c r="D28" t="s">
        <v>233</v>
      </c>
      <c r="E28" t="s">
        <v>580</v>
      </c>
      <c r="F28" t="s">
        <v>762</v>
      </c>
      <c r="G28" t="s">
        <v>582</v>
      </c>
      <c r="H28" t="s">
        <v>763</v>
      </c>
      <c r="I28">
        <v>106.23458017269201</v>
      </c>
      <c r="J28" t="s">
        <v>17</v>
      </c>
      <c r="K28" s="6" t="s">
        <v>764</v>
      </c>
    </row>
    <row r="29" spans="1:11">
      <c r="A29" t="s">
        <v>704</v>
      </c>
      <c r="B29" t="s">
        <v>705</v>
      </c>
      <c r="C29" t="s">
        <v>234</v>
      </c>
      <c r="D29" t="s">
        <v>233</v>
      </c>
      <c r="E29" t="s">
        <v>580</v>
      </c>
      <c r="F29" t="s">
        <v>765</v>
      </c>
      <c r="G29" t="s">
        <v>582</v>
      </c>
      <c r="H29" t="s">
        <v>766</v>
      </c>
      <c r="I29">
        <v>-0.51429646084257996</v>
      </c>
      <c r="J29" t="s">
        <v>17</v>
      </c>
      <c r="K29" t="s">
        <v>767</v>
      </c>
    </row>
    <row r="30" spans="1:11">
      <c r="A30" t="s">
        <v>704</v>
      </c>
      <c r="B30" t="s">
        <v>705</v>
      </c>
      <c r="C30" t="s">
        <v>234</v>
      </c>
      <c r="D30" t="s">
        <v>233</v>
      </c>
      <c r="E30" t="s">
        <v>580</v>
      </c>
      <c r="F30" t="s">
        <v>376</v>
      </c>
      <c r="G30" t="s">
        <v>582</v>
      </c>
      <c r="H30" t="s">
        <v>768</v>
      </c>
      <c r="I30">
        <v>1.2899167661322299</v>
      </c>
      <c r="J30" t="s">
        <v>17</v>
      </c>
      <c r="K30" t="s">
        <v>748</v>
      </c>
    </row>
    <row r="31" spans="1:11">
      <c r="A31" t="s">
        <v>704</v>
      </c>
      <c r="B31" t="s">
        <v>705</v>
      </c>
      <c r="C31" t="s">
        <v>234</v>
      </c>
      <c r="D31" t="s">
        <v>233</v>
      </c>
      <c r="E31" t="s">
        <v>580</v>
      </c>
      <c r="F31" t="s">
        <v>769</v>
      </c>
      <c r="G31" t="s">
        <v>582</v>
      </c>
      <c r="H31" t="s">
        <v>770</v>
      </c>
      <c r="I31">
        <v>0.78710324386056596</v>
      </c>
      <c r="J31" t="s">
        <v>17</v>
      </c>
      <c r="K31" t="s">
        <v>771</v>
      </c>
    </row>
    <row r="32" spans="1:11">
      <c r="A32" t="s">
        <v>704</v>
      </c>
      <c r="B32" t="s">
        <v>705</v>
      </c>
      <c r="C32" t="s">
        <v>234</v>
      </c>
      <c r="D32" t="s">
        <v>233</v>
      </c>
      <c r="E32" t="s">
        <v>580</v>
      </c>
      <c r="F32" t="s">
        <v>698</v>
      </c>
      <c r="G32" t="s">
        <v>582</v>
      </c>
      <c r="H32" t="s">
        <v>699</v>
      </c>
      <c r="I32">
        <v>32.615025219739501</v>
      </c>
      <c r="J32" t="s">
        <v>17</v>
      </c>
      <c r="K32" t="s">
        <v>772</v>
      </c>
    </row>
    <row r="33" spans="1:11" ht="29">
      <c r="A33" t="s">
        <v>704</v>
      </c>
      <c r="B33" t="s">
        <v>705</v>
      </c>
      <c r="C33" t="s">
        <v>234</v>
      </c>
      <c r="D33" t="s">
        <v>233</v>
      </c>
      <c r="E33" t="s">
        <v>580</v>
      </c>
      <c r="F33" t="s">
        <v>623</v>
      </c>
      <c r="G33" t="s">
        <v>582</v>
      </c>
      <c r="H33" t="s">
        <v>624</v>
      </c>
      <c r="I33">
        <v>23.446072754785501</v>
      </c>
      <c r="J33" t="s">
        <v>17</v>
      </c>
      <c r="K33" s="6" t="s">
        <v>773</v>
      </c>
    </row>
    <row r="34" spans="1:11">
      <c r="A34" t="s">
        <v>704</v>
      </c>
      <c r="B34" t="s">
        <v>705</v>
      </c>
      <c r="C34" t="s">
        <v>234</v>
      </c>
      <c r="D34" t="s">
        <v>233</v>
      </c>
      <c r="E34" t="s">
        <v>580</v>
      </c>
      <c r="F34" t="s">
        <v>774</v>
      </c>
      <c r="G34" t="s">
        <v>582</v>
      </c>
      <c r="H34" t="s">
        <v>775</v>
      </c>
      <c r="I34">
        <v>1.2899167661322299</v>
      </c>
      <c r="J34" t="s">
        <v>17</v>
      </c>
      <c r="K34" t="s">
        <v>748</v>
      </c>
    </row>
    <row r="35" spans="1:11">
      <c r="A35" t="s">
        <v>704</v>
      </c>
      <c r="B35" t="s">
        <v>705</v>
      </c>
      <c r="C35" t="s">
        <v>234</v>
      </c>
      <c r="D35" t="s">
        <v>233</v>
      </c>
      <c r="E35" t="s">
        <v>580</v>
      </c>
      <c r="F35" t="s">
        <v>776</v>
      </c>
      <c r="G35" t="s">
        <v>582</v>
      </c>
      <c r="H35" t="s">
        <v>777</v>
      </c>
      <c r="I35">
        <v>31.720747882550398</v>
      </c>
      <c r="J35" t="s">
        <v>17</v>
      </c>
      <c r="K35" t="s">
        <v>742</v>
      </c>
    </row>
    <row r="36" spans="1:11">
      <c r="A36" t="s">
        <v>704</v>
      </c>
      <c r="B36" t="s">
        <v>705</v>
      </c>
      <c r="C36" t="s">
        <v>234</v>
      </c>
      <c r="D36" t="s">
        <v>233</v>
      </c>
      <c r="E36" t="s">
        <v>580</v>
      </c>
      <c r="F36" t="s">
        <v>778</v>
      </c>
      <c r="G36" t="s">
        <v>582</v>
      </c>
      <c r="H36" t="s">
        <v>779</v>
      </c>
      <c r="I36">
        <v>72.446903347378296</v>
      </c>
      <c r="J36" t="s">
        <v>17</v>
      </c>
      <c r="K36" t="s">
        <v>721</v>
      </c>
    </row>
    <row r="37" spans="1:11">
      <c r="A37" t="s">
        <v>704</v>
      </c>
      <c r="B37" t="s">
        <v>705</v>
      </c>
      <c r="C37" t="s">
        <v>234</v>
      </c>
      <c r="D37" t="s">
        <v>233</v>
      </c>
      <c r="E37" t="s">
        <v>580</v>
      </c>
      <c r="F37" t="s">
        <v>780</v>
      </c>
      <c r="G37" t="s">
        <v>582</v>
      </c>
      <c r="H37" t="s">
        <v>781</v>
      </c>
      <c r="I37">
        <v>-41895.327392047802</v>
      </c>
      <c r="J37" t="s">
        <v>17</v>
      </c>
      <c r="K37" t="s">
        <v>782</v>
      </c>
    </row>
    <row r="38" spans="1:11">
      <c r="A38" t="s">
        <v>704</v>
      </c>
      <c r="B38" t="s">
        <v>705</v>
      </c>
      <c r="C38" t="s">
        <v>234</v>
      </c>
      <c r="D38" t="s">
        <v>233</v>
      </c>
      <c r="E38" t="s">
        <v>580</v>
      </c>
      <c r="F38" t="s">
        <v>783</v>
      </c>
      <c r="G38" t="s">
        <v>582</v>
      </c>
      <c r="H38" t="s">
        <v>784</v>
      </c>
      <c r="I38">
        <v>19.9037601895775</v>
      </c>
      <c r="J38" t="s">
        <v>17</v>
      </c>
      <c r="K38" t="s">
        <v>722</v>
      </c>
    </row>
    <row r="39" spans="1:11">
      <c r="A39" t="s">
        <v>704</v>
      </c>
      <c r="B39" t="s">
        <v>705</v>
      </c>
      <c r="C39" t="s">
        <v>234</v>
      </c>
      <c r="D39" t="s">
        <v>233</v>
      </c>
      <c r="E39" t="s">
        <v>580</v>
      </c>
      <c r="F39" t="s">
        <v>630</v>
      </c>
      <c r="G39" t="s">
        <v>582</v>
      </c>
      <c r="H39" s="29" t="s">
        <v>631</v>
      </c>
      <c r="I39">
        <v>2.64385961399318E-2</v>
      </c>
      <c r="J39" t="s">
        <v>17</v>
      </c>
      <c r="K39" t="s">
        <v>785</v>
      </c>
    </row>
    <row r="40" spans="1:11">
      <c r="A40" t="s">
        <v>704</v>
      </c>
      <c r="B40" t="s">
        <v>705</v>
      </c>
      <c r="C40" t="s">
        <v>234</v>
      </c>
      <c r="D40" t="s">
        <v>233</v>
      </c>
      <c r="E40" t="s">
        <v>580</v>
      </c>
      <c r="F40" t="s">
        <v>786</v>
      </c>
      <c r="G40" t="s">
        <v>582</v>
      </c>
      <c r="H40" t="s">
        <v>787</v>
      </c>
      <c r="I40">
        <v>17.895985778845599</v>
      </c>
      <c r="J40" t="s">
        <v>788</v>
      </c>
      <c r="K40" t="s">
        <v>789</v>
      </c>
    </row>
    <row r="41" spans="1:11">
      <c r="A41" t="s">
        <v>704</v>
      </c>
      <c r="B41" t="s">
        <v>705</v>
      </c>
      <c r="C41" t="s">
        <v>234</v>
      </c>
      <c r="D41" t="s">
        <v>233</v>
      </c>
      <c r="E41" t="s">
        <v>580</v>
      </c>
      <c r="F41" t="s">
        <v>665</v>
      </c>
      <c r="G41" t="s">
        <v>582</v>
      </c>
      <c r="H41" s="29" t="s">
        <v>666</v>
      </c>
      <c r="I41">
        <v>-5.1687490250350203</v>
      </c>
      <c r="J41" t="s">
        <v>17</v>
      </c>
      <c r="K41" t="s">
        <v>790</v>
      </c>
    </row>
    <row r="42" spans="1:11">
      <c r="A42" t="s">
        <v>704</v>
      </c>
      <c r="B42" t="s">
        <v>705</v>
      </c>
      <c r="C42" t="s">
        <v>234</v>
      </c>
      <c r="D42" t="s">
        <v>233</v>
      </c>
      <c r="E42" t="s">
        <v>580</v>
      </c>
      <c r="F42" t="s">
        <v>791</v>
      </c>
      <c r="G42" t="s">
        <v>582</v>
      </c>
      <c r="H42" t="s">
        <v>792</v>
      </c>
      <c r="I42">
        <v>-0.12617313714581799</v>
      </c>
      <c r="J42" t="s">
        <v>17</v>
      </c>
      <c r="K42" t="s">
        <v>793</v>
      </c>
    </row>
    <row r="43" spans="1:11">
      <c r="A43" t="s">
        <v>704</v>
      </c>
      <c r="B43" t="s">
        <v>705</v>
      </c>
      <c r="C43" t="s">
        <v>234</v>
      </c>
      <c r="D43" t="s">
        <v>233</v>
      </c>
      <c r="E43" t="s">
        <v>580</v>
      </c>
      <c r="F43" t="s">
        <v>794</v>
      </c>
      <c r="G43" t="s">
        <v>582</v>
      </c>
      <c r="H43" t="s">
        <v>795</v>
      </c>
      <c r="I43">
        <v>-8.7931472026332909</v>
      </c>
      <c r="J43" t="s">
        <v>17</v>
      </c>
      <c r="K43" t="s">
        <v>796</v>
      </c>
    </row>
    <row r="44" spans="1:11">
      <c r="A44" t="s">
        <v>704</v>
      </c>
      <c r="B44" t="s">
        <v>705</v>
      </c>
      <c r="C44" t="s">
        <v>234</v>
      </c>
      <c r="D44" t="s">
        <v>233</v>
      </c>
      <c r="E44" t="s">
        <v>580</v>
      </c>
      <c r="F44" t="s">
        <v>797</v>
      </c>
      <c r="G44" t="s">
        <v>582</v>
      </c>
      <c r="H44" t="s">
        <v>798</v>
      </c>
      <c r="I44">
        <v>9.7117822883061002</v>
      </c>
      <c r="J44" t="s">
        <v>17</v>
      </c>
      <c r="K44" t="s">
        <v>714</v>
      </c>
    </row>
    <row r="45" spans="1:11">
      <c r="A45" t="s">
        <v>704</v>
      </c>
      <c r="B45" t="s">
        <v>705</v>
      </c>
      <c r="C45" t="s">
        <v>234</v>
      </c>
      <c r="D45" t="s">
        <v>233</v>
      </c>
      <c r="E45" t="s">
        <v>580</v>
      </c>
      <c r="F45" t="s">
        <v>799</v>
      </c>
      <c r="G45" t="s">
        <v>582</v>
      </c>
      <c r="H45" t="s">
        <v>800</v>
      </c>
      <c r="I45">
        <v>19.802849517287701</v>
      </c>
      <c r="J45" t="s">
        <v>17</v>
      </c>
      <c r="K45" t="s">
        <v>722</v>
      </c>
    </row>
    <row r="46" spans="1:11">
      <c r="A46" t="s">
        <v>704</v>
      </c>
      <c r="B46" t="s">
        <v>705</v>
      </c>
      <c r="C46" t="s">
        <v>234</v>
      </c>
      <c r="D46" t="s">
        <v>233</v>
      </c>
      <c r="E46" t="s">
        <v>580</v>
      </c>
      <c r="F46" t="s">
        <v>750</v>
      </c>
      <c r="G46" t="s">
        <v>582</v>
      </c>
      <c r="H46" t="s">
        <v>751</v>
      </c>
      <c r="I46">
        <v>-8.8244643078266805</v>
      </c>
      <c r="J46" t="s">
        <v>17</v>
      </c>
      <c r="K46" t="s">
        <v>752</v>
      </c>
    </row>
    <row r="47" spans="1:11" ht="43.5">
      <c r="A47" t="s">
        <v>269</v>
      </c>
      <c r="B47" t="s">
        <v>668</v>
      </c>
      <c r="C47" t="s">
        <v>238</v>
      </c>
      <c r="D47" t="s">
        <v>233</v>
      </c>
      <c r="E47" t="s">
        <v>580</v>
      </c>
      <c r="F47" t="s">
        <v>634</v>
      </c>
      <c r="G47" t="s">
        <v>582</v>
      </c>
      <c r="H47" t="s">
        <v>635</v>
      </c>
      <c r="I47">
        <v>5.5843428530631799E-3</v>
      </c>
      <c r="J47" t="s">
        <v>17</v>
      </c>
      <c r="K47" s="6" t="s">
        <v>669</v>
      </c>
    </row>
    <row r="48" spans="1:11" ht="29">
      <c r="A48" t="s">
        <v>269</v>
      </c>
      <c r="B48" t="s">
        <v>668</v>
      </c>
      <c r="C48" t="s">
        <v>238</v>
      </c>
      <c r="D48" t="s">
        <v>233</v>
      </c>
      <c r="E48" t="s">
        <v>580</v>
      </c>
      <c r="F48" t="s">
        <v>670</v>
      </c>
      <c r="G48" t="s">
        <v>582</v>
      </c>
      <c r="H48" t="s">
        <v>671</v>
      </c>
      <c r="I48">
        <v>2.1280000000000001E-3</v>
      </c>
      <c r="J48" t="s">
        <v>17</v>
      </c>
      <c r="K48" s="6" t="s">
        <v>672</v>
      </c>
    </row>
    <row r="49" spans="1:11">
      <c r="A49" t="s">
        <v>269</v>
      </c>
      <c r="B49" t="s">
        <v>668</v>
      </c>
      <c r="C49" t="s">
        <v>238</v>
      </c>
      <c r="D49" t="s">
        <v>233</v>
      </c>
      <c r="E49" t="s">
        <v>580</v>
      </c>
      <c r="F49" t="s">
        <v>673</v>
      </c>
      <c r="G49" t="s">
        <v>582</v>
      </c>
      <c r="H49" t="s">
        <v>674</v>
      </c>
      <c r="I49">
        <v>0.23799999999999999</v>
      </c>
      <c r="J49" t="s">
        <v>17</v>
      </c>
      <c r="K49" t="s">
        <v>675</v>
      </c>
    </row>
    <row r="50" spans="1:11" ht="29">
      <c r="A50" t="s">
        <v>269</v>
      </c>
      <c r="B50" t="s">
        <v>668</v>
      </c>
      <c r="C50" t="s">
        <v>238</v>
      </c>
      <c r="D50" t="s">
        <v>233</v>
      </c>
      <c r="E50" t="s">
        <v>580</v>
      </c>
      <c r="F50" t="s">
        <v>352</v>
      </c>
      <c r="G50" t="s">
        <v>582</v>
      </c>
      <c r="H50" t="s">
        <v>591</v>
      </c>
      <c r="I50">
        <v>2.1099999999999999E-3</v>
      </c>
      <c r="J50" t="s">
        <v>17</v>
      </c>
      <c r="K50" s="6" t="s">
        <v>676</v>
      </c>
    </row>
    <row r="51" spans="1:11">
      <c r="A51" t="s">
        <v>269</v>
      </c>
      <c r="B51" t="s">
        <v>668</v>
      </c>
      <c r="C51" t="s">
        <v>238</v>
      </c>
      <c r="D51" t="s">
        <v>233</v>
      </c>
      <c r="E51" t="s">
        <v>580</v>
      </c>
      <c r="F51" t="s">
        <v>600</v>
      </c>
      <c r="G51" t="s">
        <v>582</v>
      </c>
      <c r="H51" t="s">
        <v>601</v>
      </c>
      <c r="I51">
        <v>1.9450031999999999</v>
      </c>
      <c r="J51" t="s">
        <v>602</v>
      </c>
      <c r="K51" t="s">
        <v>677</v>
      </c>
    </row>
    <row r="52" spans="1:11">
      <c r="A52" t="s">
        <v>269</v>
      </c>
      <c r="B52" t="s">
        <v>668</v>
      </c>
      <c r="C52" t="s">
        <v>238</v>
      </c>
      <c r="D52" t="s">
        <v>233</v>
      </c>
      <c r="E52" t="s">
        <v>580</v>
      </c>
      <c r="F52" t="s">
        <v>678</v>
      </c>
      <c r="G52" t="s">
        <v>582</v>
      </c>
      <c r="H52" t="s">
        <v>679</v>
      </c>
      <c r="I52">
        <v>0.16573199999999999</v>
      </c>
      <c r="J52" t="s">
        <v>602</v>
      </c>
      <c r="K52" t="s">
        <v>680</v>
      </c>
    </row>
    <row r="53" spans="1:11" ht="29">
      <c r="A53" t="s">
        <v>269</v>
      </c>
      <c r="B53" t="s">
        <v>668</v>
      </c>
      <c r="C53" t="s">
        <v>238</v>
      </c>
      <c r="D53" t="s">
        <v>233</v>
      </c>
      <c r="E53" t="s">
        <v>580</v>
      </c>
      <c r="F53" t="s">
        <v>638</v>
      </c>
      <c r="G53" t="s">
        <v>582</v>
      </c>
      <c r="H53" t="s">
        <v>639</v>
      </c>
      <c r="I53">
        <v>3.5639999999999999E-4</v>
      </c>
      <c r="J53" t="s">
        <v>17</v>
      </c>
      <c r="K53" s="6" t="s">
        <v>640</v>
      </c>
    </row>
    <row r="54" spans="1:11" ht="58">
      <c r="A54" t="s">
        <v>269</v>
      </c>
      <c r="B54" t="s">
        <v>668</v>
      </c>
      <c r="C54" t="s">
        <v>238</v>
      </c>
      <c r="D54" t="s">
        <v>233</v>
      </c>
      <c r="E54" t="s">
        <v>580</v>
      </c>
      <c r="F54" t="s">
        <v>681</v>
      </c>
      <c r="G54" t="s">
        <v>582</v>
      </c>
      <c r="H54" t="s">
        <v>682</v>
      </c>
      <c r="I54" s="29">
        <v>1.5960000000000001E-6</v>
      </c>
      <c r="J54" t="s">
        <v>17</v>
      </c>
      <c r="K54" s="6" t="s">
        <v>683</v>
      </c>
    </row>
    <row r="55" spans="1:11" ht="29">
      <c r="A55" t="s">
        <v>269</v>
      </c>
      <c r="B55" t="s">
        <v>668</v>
      </c>
      <c r="C55" t="s">
        <v>238</v>
      </c>
      <c r="D55" t="s">
        <v>233</v>
      </c>
      <c r="E55" t="s">
        <v>580</v>
      </c>
      <c r="F55" t="s">
        <v>684</v>
      </c>
      <c r="G55" t="s">
        <v>582</v>
      </c>
      <c r="H55" t="s">
        <v>685</v>
      </c>
      <c r="I55">
        <v>3.6069999999999999E-4</v>
      </c>
      <c r="J55" t="s">
        <v>17</v>
      </c>
      <c r="K55" s="6" t="s">
        <v>686</v>
      </c>
    </row>
    <row r="56" spans="1:11">
      <c r="A56" t="s">
        <v>269</v>
      </c>
      <c r="B56" t="s">
        <v>668</v>
      </c>
      <c r="C56" t="s">
        <v>238</v>
      </c>
      <c r="D56" t="s">
        <v>233</v>
      </c>
      <c r="E56" t="s">
        <v>580</v>
      </c>
      <c r="F56" t="s">
        <v>687</v>
      </c>
      <c r="G56" t="s">
        <v>582</v>
      </c>
      <c r="H56" t="s">
        <v>688</v>
      </c>
      <c r="I56">
        <v>4.5080000000000001E-4</v>
      </c>
      <c r="J56" t="s">
        <v>17</v>
      </c>
      <c r="K56" t="s">
        <v>689</v>
      </c>
    </row>
    <row r="57" spans="1:11">
      <c r="A57" t="s">
        <v>269</v>
      </c>
      <c r="B57" t="s">
        <v>668</v>
      </c>
      <c r="C57" t="s">
        <v>238</v>
      </c>
      <c r="D57" t="s">
        <v>233</v>
      </c>
      <c r="E57" t="s">
        <v>580</v>
      </c>
      <c r="F57" t="s">
        <v>649</v>
      </c>
      <c r="G57" t="s">
        <v>582</v>
      </c>
      <c r="H57" t="s">
        <v>650</v>
      </c>
      <c r="I57">
        <v>1.75086E-4</v>
      </c>
      <c r="J57" t="s">
        <v>17</v>
      </c>
      <c r="K57" t="s">
        <v>690</v>
      </c>
    </row>
    <row r="58" spans="1:11">
      <c r="A58" t="s">
        <v>269</v>
      </c>
      <c r="B58" t="s">
        <v>668</v>
      </c>
      <c r="C58" t="s">
        <v>238</v>
      </c>
      <c r="D58" t="s">
        <v>233</v>
      </c>
      <c r="E58" t="s">
        <v>580</v>
      </c>
      <c r="F58" t="s">
        <v>616</v>
      </c>
      <c r="G58" t="s">
        <v>582</v>
      </c>
      <c r="H58" t="s">
        <v>617</v>
      </c>
      <c r="I58" s="29">
        <v>1.127E-10</v>
      </c>
      <c r="J58" t="s">
        <v>510</v>
      </c>
      <c r="K58" t="s">
        <v>691</v>
      </c>
    </row>
    <row r="59" spans="1:11" ht="29">
      <c r="A59" t="s">
        <v>269</v>
      </c>
      <c r="B59" t="s">
        <v>668</v>
      </c>
      <c r="C59" t="s">
        <v>238</v>
      </c>
      <c r="D59" t="s">
        <v>233</v>
      </c>
      <c r="E59" t="s">
        <v>580</v>
      </c>
      <c r="F59" t="s">
        <v>692</v>
      </c>
      <c r="G59" t="s">
        <v>582</v>
      </c>
      <c r="H59" s="29" t="s">
        <v>693</v>
      </c>
      <c r="I59">
        <v>3.6069999999999999E-4</v>
      </c>
      <c r="J59" t="s">
        <v>17</v>
      </c>
      <c r="K59" s="6" t="s">
        <v>694</v>
      </c>
    </row>
    <row r="60" spans="1:11" ht="116">
      <c r="A60" t="s">
        <v>269</v>
      </c>
      <c r="B60" t="s">
        <v>668</v>
      </c>
      <c r="C60" t="s">
        <v>238</v>
      </c>
      <c r="D60" t="s">
        <v>233</v>
      </c>
      <c r="E60" t="s">
        <v>580</v>
      </c>
      <c r="F60" t="s">
        <v>695</v>
      </c>
      <c r="G60" t="s">
        <v>582</v>
      </c>
      <c r="H60" t="s">
        <v>696</v>
      </c>
      <c r="I60">
        <v>3.00079244966419</v>
      </c>
      <c r="J60" t="s">
        <v>17</v>
      </c>
      <c r="K60" s="6" t="s">
        <v>697</v>
      </c>
    </row>
    <row r="61" spans="1:11" ht="29">
      <c r="A61" t="s">
        <v>269</v>
      </c>
      <c r="B61" t="s">
        <v>668</v>
      </c>
      <c r="C61" t="s">
        <v>238</v>
      </c>
      <c r="D61" t="s">
        <v>233</v>
      </c>
      <c r="E61" t="s">
        <v>580</v>
      </c>
      <c r="F61" t="s">
        <v>698</v>
      </c>
      <c r="G61" t="s">
        <v>582</v>
      </c>
      <c r="H61" t="s">
        <v>699</v>
      </c>
      <c r="I61">
        <v>2.7949999999999999E-2</v>
      </c>
      <c r="J61" t="s">
        <v>17</v>
      </c>
      <c r="K61" s="6" t="s">
        <v>700</v>
      </c>
    </row>
    <row r="62" spans="1:11" ht="43.5">
      <c r="A62" t="s">
        <v>269</v>
      </c>
      <c r="B62" t="s">
        <v>668</v>
      </c>
      <c r="C62" t="s">
        <v>238</v>
      </c>
      <c r="D62" t="s">
        <v>233</v>
      </c>
      <c r="E62" t="s">
        <v>580</v>
      </c>
      <c r="F62" t="s">
        <v>701</v>
      </c>
      <c r="G62" t="s">
        <v>582</v>
      </c>
      <c r="H62" t="s">
        <v>702</v>
      </c>
      <c r="I62">
        <v>-6.9880000000000004</v>
      </c>
      <c r="J62" t="s">
        <v>17</v>
      </c>
      <c r="K62" s="6" t="s">
        <v>703</v>
      </c>
    </row>
    <row r="63" spans="1:11">
      <c r="A63" t="s">
        <v>835</v>
      </c>
      <c r="B63" t="s">
        <v>263</v>
      </c>
      <c r="C63" t="s">
        <v>269</v>
      </c>
      <c r="D63" t="s">
        <v>116</v>
      </c>
      <c r="E63" t="s">
        <v>580</v>
      </c>
      <c r="F63" t="s">
        <v>600</v>
      </c>
      <c r="G63" t="s">
        <v>582</v>
      </c>
      <c r="H63" t="s">
        <v>601</v>
      </c>
      <c r="I63">
        <v>3.78</v>
      </c>
      <c r="J63" t="s">
        <v>602</v>
      </c>
    </row>
    <row r="64" spans="1:11">
      <c r="A64" t="s">
        <v>835</v>
      </c>
      <c r="B64" t="s">
        <v>263</v>
      </c>
      <c r="C64" t="s">
        <v>269</v>
      </c>
      <c r="D64" t="s">
        <v>116</v>
      </c>
      <c r="E64" t="s">
        <v>580</v>
      </c>
      <c r="F64" t="s">
        <v>375</v>
      </c>
      <c r="G64" t="s">
        <v>582</v>
      </c>
      <c r="H64" t="s">
        <v>804</v>
      </c>
      <c r="I64">
        <v>2.2829999999999999</v>
      </c>
      <c r="J64" t="s">
        <v>607</v>
      </c>
    </row>
    <row r="65" spans="1:11">
      <c r="A65" t="s">
        <v>835</v>
      </c>
      <c r="B65" t="s">
        <v>263</v>
      </c>
      <c r="C65" t="s">
        <v>269</v>
      </c>
      <c r="D65" t="s">
        <v>116</v>
      </c>
      <c r="E65" t="s">
        <v>580</v>
      </c>
      <c r="F65" t="s">
        <v>375</v>
      </c>
      <c r="G65" t="s">
        <v>582</v>
      </c>
      <c r="H65" t="s">
        <v>804</v>
      </c>
      <c r="I65">
        <v>3.0640000000000001</v>
      </c>
      <c r="J65" t="s">
        <v>607</v>
      </c>
    </row>
    <row r="66" spans="1:11">
      <c r="A66" t="s">
        <v>835</v>
      </c>
      <c r="B66" t="s">
        <v>263</v>
      </c>
      <c r="C66" t="s">
        <v>269</v>
      </c>
      <c r="D66" t="s">
        <v>116</v>
      </c>
      <c r="E66" t="s">
        <v>580</v>
      </c>
      <c r="F66" t="s">
        <v>836</v>
      </c>
      <c r="G66" t="s">
        <v>582</v>
      </c>
      <c r="H66" t="s">
        <v>837</v>
      </c>
      <c r="I66">
        <v>0.22312925170067999</v>
      </c>
      <c r="J66" t="s">
        <v>832</v>
      </c>
    </row>
    <row r="67" spans="1:11">
      <c r="A67" t="s">
        <v>632</v>
      </c>
      <c r="B67" t="s">
        <v>633</v>
      </c>
      <c r="C67" t="s">
        <v>236</v>
      </c>
      <c r="D67" t="s">
        <v>233</v>
      </c>
      <c r="E67" t="s">
        <v>580</v>
      </c>
      <c r="F67" t="s">
        <v>634</v>
      </c>
      <c r="G67" t="s">
        <v>582</v>
      </c>
      <c r="H67" t="s">
        <v>635</v>
      </c>
      <c r="I67">
        <v>2.4911529453761402E-3</v>
      </c>
      <c r="J67" t="s">
        <v>17</v>
      </c>
      <c r="K67" t="s">
        <v>636</v>
      </c>
    </row>
    <row r="68" spans="1:11">
      <c r="A68" t="s">
        <v>632</v>
      </c>
      <c r="B68" t="s">
        <v>633</v>
      </c>
      <c r="C68" t="s">
        <v>236</v>
      </c>
      <c r="D68" t="s">
        <v>233</v>
      </c>
      <c r="E68" t="s">
        <v>580</v>
      </c>
      <c r="F68" t="s">
        <v>600</v>
      </c>
      <c r="G68" t="s">
        <v>582</v>
      </c>
      <c r="H68" t="s">
        <v>601</v>
      </c>
      <c r="I68">
        <v>9.8978423999999995E-2</v>
      </c>
      <c r="J68" t="s">
        <v>602</v>
      </c>
      <c r="K68" t="s">
        <v>637</v>
      </c>
    </row>
    <row r="69" spans="1:11" ht="29">
      <c r="A69" t="s">
        <v>632</v>
      </c>
      <c r="B69" t="s">
        <v>633</v>
      </c>
      <c r="C69" t="s">
        <v>236</v>
      </c>
      <c r="D69" t="s">
        <v>233</v>
      </c>
      <c r="E69" t="s">
        <v>580</v>
      </c>
      <c r="F69" t="s">
        <v>638</v>
      </c>
      <c r="G69" t="s">
        <v>582</v>
      </c>
      <c r="H69" t="s">
        <v>639</v>
      </c>
      <c r="I69">
        <v>1.4946E-4</v>
      </c>
      <c r="J69" t="s">
        <v>17</v>
      </c>
      <c r="K69" s="6" t="s">
        <v>640</v>
      </c>
    </row>
    <row r="70" spans="1:11" ht="29">
      <c r="A70" t="s">
        <v>632</v>
      </c>
      <c r="B70" t="s">
        <v>633</v>
      </c>
      <c r="C70" t="s">
        <v>236</v>
      </c>
      <c r="D70" t="s">
        <v>233</v>
      </c>
      <c r="E70" t="s">
        <v>580</v>
      </c>
      <c r="F70" t="s">
        <v>641</v>
      </c>
      <c r="G70" t="s">
        <v>582</v>
      </c>
      <c r="H70" t="s">
        <v>642</v>
      </c>
      <c r="I70">
        <v>3.9919999999999997E-2</v>
      </c>
      <c r="J70" t="s">
        <v>607</v>
      </c>
      <c r="K70" s="6" t="s">
        <v>643</v>
      </c>
    </row>
    <row r="71" spans="1:11">
      <c r="A71" t="s">
        <v>632</v>
      </c>
      <c r="B71" t="s">
        <v>633</v>
      </c>
      <c r="C71" t="s">
        <v>236</v>
      </c>
      <c r="D71" t="s">
        <v>233</v>
      </c>
      <c r="E71" t="s">
        <v>580</v>
      </c>
      <c r="F71" t="s">
        <v>393</v>
      </c>
      <c r="G71" t="s">
        <v>582</v>
      </c>
      <c r="H71" t="s">
        <v>644</v>
      </c>
      <c r="I71" s="29">
        <v>-8.9530000000000005E-5</v>
      </c>
      <c r="J71" t="s">
        <v>17</v>
      </c>
      <c r="K71" t="s">
        <v>645</v>
      </c>
    </row>
    <row r="72" spans="1:11">
      <c r="A72" t="s">
        <v>632</v>
      </c>
      <c r="B72" t="s">
        <v>633</v>
      </c>
      <c r="C72" t="s">
        <v>236</v>
      </c>
      <c r="D72" t="s">
        <v>233</v>
      </c>
      <c r="E72" t="s">
        <v>580</v>
      </c>
      <c r="F72" t="s">
        <v>646</v>
      </c>
      <c r="G72" t="s">
        <v>582</v>
      </c>
      <c r="H72" t="s">
        <v>647</v>
      </c>
      <c r="I72">
        <v>2.4712727272727299E-2</v>
      </c>
      <c r="J72" t="s">
        <v>602</v>
      </c>
      <c r="K72" t="s">
        <v>648</v>
      </c>
    </row>
    <row r="73" spans="1:11">
      <c r="A73" t="s">
        <v>632</v>
      </c>
      <c r="B73" t="s">
        <v>633</v>
      </c>
      <c r="C73" t="s">
        <v>236</v>
      </c>
      <c r="D73" t="s">
        <v>233</v>
      </c>
      <c r="E73" t="s">
        <v>580</v>
      </c>
      <c r="F73" t="s">
        <v>649</v>
      </c>
      <c r="G73" t="s">
        <v>582</v>
      </c>
      <c r="H73" t="s">
        <v>650</v>
      </c>
      <c r="I73" s="29">
        <v>5.0455999999999999E-5</v>
      </c>
      <c r="J73" t="s">
        <v>17</v>
      </c>
      <c r="K73" t="s">
        <v>651</v>
      </c>
    </row>
    <row r="74" spans="1:11">
      <c r="A74" t="s">
        <v>632</v>
      </c>
      <c r="B74" t="s">
        <v>633</v>
      </c>
      <c r="C74" t="s">
        <v>236</v>
      </c>
      <c r="D74" t="s">
        <v>233</v>
      </c>
      <c r="E74" t="s">
        <v>580</v>
      </c>
      <c r="F74" t="s">
        <v>652</v>
      </c>
      <c r="G74" t="s">
        <v>582</v>
      </c>
      <c r="H74" t="s">
        <v>653</v>
      </c>
      <c r="I74" s="29">
        <v>3.23331462014775E-13</v>
      </c>
      <c r="J74" t="s">
        <v>510</v>
      </c>
      <c r="K74" t="s">
        <v>654</v>
      </c>
    </row>
    <row r="75" spans="1:11">
      <c r="A75" t="s">
        <v>632</v>
      </c>
      <c r="B75" t="s">
        <v>633</v>
      </c>
      <c r="C75" t="s">
        <v>236</v>
      </c>
      <c r="D75" t="s">
        <v>233</v>
      </c>
      <c r="E75" t="s">
        <v>580</v>
      </c>
      <c r="F75" t="s">
        <v>655</v>
      </c>
      <c r="G75" t="s">
        <v>582</v>
      </c>
      <c r="H75" t="s">
        <v>656</v>
      </c>
      <c r="I75" s="29">
        <v>2.1890000000000001E-6</v>
      </c>
      <c r="J75" t="s">
        <v>17</v>
      </c>
      <c r="K75" t="s">
        <v>657</v>
      </c>
    </row>
    <row r="76" spans="1:11">
      <c r="A76" t="s">
        <v>632</v>
      </c>
      <c r="B76" t="s">
        <v>633</v>
      </c>
      <c r="C76" t="s">
        <v>236</v>
      </c>
      <c r="D76" t="s">
        <v>233</v>
      </c>
      <c r="E76" t="s">
        <v>580</v>
      </c>
      <c r="F76" t="s">
        <v>658</v>
      </c>
      <c r="G76" t="s">
        <v>582</v>
      </c>
      <c r="H76" t="s">
        <v>659</v>
      </c>
      <c r="I76" s="29">
        <v>-2.1890000000000001E-6</v>
      </c>
      <c r="J76" t="s">
        <v>17</v>
      </c>
      <c r="K76" t="s">
        <v>660</v>
      </c>
    </row>
    <row r="77" spans="1:11">
      <c r="A77" t="s">
        <v>632</v>
      </c>
      <c r="B77" t="s">
        <v>633</v>
      </c>
      <c r="C77" t="s">
        <v>236</v>
      </c>
      <c r="D77" t="s">
        <v>233</v>
      </c>
      <c r="E77" t="s">
        <v>580</v>
      </c>
      <c r="F77" t="s">
        <v>661</v>
      </c>
      <c r="G77" t="s">
        <v>582</v>
      </c>
      <c r="H77" t="s">
        <v>662</v>
      </c>
      <c r="I77">
        <v>1.5900000000000001E-2</v>
      </c>
      <c r="J77" t="s">
        <v>663</v>
      </c>
      <c r="K77" t="s">
        <v>664</v>
      </c>
    </row>
    <row r="78" spans="1:11">
      <c r="A78" t="s">
        <v>632</v>
      </c>
      <c r="B78" t="s">
        <v>633</v>
      </c>
      <c r="C78" t="s">
        <v>236</v>
      </c>
      <c r="D78" t="s">
        <v>233</v>
      </c>
      <c r="E78" t="s">
        <v>580</v>
      </c>
      <c r="F78" t="s">
        <v>665</v>
      </c>
      <c r="G78" t="s">
        <v>582</v>
      </c>
      <c r="H78" s="29" t="s">
        <v>666</v>
      </c>
      <c r="I78" s="29">
        <v>-4.0249999999999996E-6</v>
      </c>
      <c r="J78" t="s">
        <v>17</v>
      </c>
      <c r="K78" t="s">
        <v>667</v>
      </c>
    </row>
    <row r="79" spans="1:11">
      <c r="A79" t="s">
        <v>295</v>
      </c>
      <c r="B79" t="s">
        <v>579</v>
      </c>
      <c r="C79" t="s">
        <v>20</v>
      </c>
      <c r="D79" t="s">
        <v>21</v>
      </c>
      <c r="E79" t="s">
        <v>580</v>
      </c>
      <c r="F79" t="s">
        <v>581</v>
      </c>
      <c r="G79" t="s">
        <v>582</v>
      </c>
      <c r="H79" t="s">
        <v>583</v>
      </c>
      <c r="I79" s="29">
        <v>7.7185850873150596E-10</v>
      </c>
      <c r="J79" t="s">
        <v>510</v>
      </c>
      <c r="K79" t="s">
        <v>584</v>
      </c>
    </row>
    <row r="80" spans="1:11">
      <c r="A80" t="s">
        <v>295</v>
      </c>
      <c r="B80" t="s">
        <v>579</v>
      </c>
      <c r="C80" t="s">
        <v>20</v>
      </c>
      <c r="D80" t="s">
        <v>21</v>
      </c>
      <c r="E80" t="s">
        <v>580</v>
      </c>
      <c r="F80" t="s">
        <v>585</v>
      </c>
      <c r="G80" t="s">
        <v>582</v>
      </c>
      <c r="H80" t="s">
        <v>586</v>
      </c>
      <c r="I80" s="29">
        <v>2.08474551580376E-7</v>
      </c>
      <c r="J80" t="s">
        <v>17</v>
      </c>
      <c r="K80" t="s">
        <v>584</v>
      </c>
    </row>
    <row r="81" spans="1:11">
      <c r="A81" t="s">
        <v>295</v>
      </c>
      <c r="B81" t="s">
        <v>579</v>
      </c>
      <c r="C81" t="s">
        <v>20</v>
      </c>
      <c r="D81" t="s">
        <v>21</v>
      </c>
      <c r="E81" t="s">
        <v>580</v>
      </c>
      <c r="F81" t="s">
        <v>587</v>
      </c>
      <c r="G81" t="s">
        <v>582</v>
      </c>
      <c r="H81" t="s">
        <v>588</v>
      </c>
      <c r="I81">
        <v>5.0453857310562102E-2</v>
      </c>
      <c r="J81" t="s">
        <v>17</v>
      </c>
      <c r="K81" t="s">
        <v>584</v>
      </c>
    </row>
    <row r="82" spans="1:11">
      <c r="A82" t="s">
        <v>295</v>
      </c>
      <c r="B82" t="s">
        <v>579</v>
      </c>
      <c r="C82" t="s">
        <v>20</v>
      </c>
      <c r="D82" t="s">
        <v>21</v>
      </c>
      <c r="E82" t="s">
        <v>580</v>
      </c>
      <c r="F82" t="s">
        <v>589</v>
      </c>
      <c r="G82" t="s">
        <v>582</v>
      </c>
      <c r="H82" t="s">
        <v>590</v>
      </c>
      <c r="I82" s="29">
        <v>1.04934353470445E-7</v>
      </c>
      <c r="J82" t="s">
        <v>17</v>
      </c>
      <c r="K82" t="s">
        <v>584</v>
      </c>
    </row>
    <row r="83" spans="1:11">
      <c r="A83" t="s">
        <v>295</v>
      </c>
      <c r="B83" t="s">
        <v>579</v>
      </c>
      <c r="C83" t="s">
        <v>20</v>
      </c>
      <c r="D83" t="s">
        <v>21</v>
      </c>
      <c r="E83" t="s">
        <v>580</v>
      </c>
      <c r="F83" t="s">
        <v>352</v>
      </c>
      <c r="G83" t="s">
        <v>582</v>
      </c>
      <c r="H83" t="s">
        <v>591</v>
      </c>
      <c r="I83">
        <v>3.8804601210725702E-2</v>
      </c>
      <c r="J83" t="s">
        <v>17</v>
      </c>
      <c r="K83" t="s">
        <v>584</v>
      </c>
    </row>
    <row r="84" spans="1:11">
      <c r="A84" t="s">
        <v>295</v>
      </c>
      <c r="B84" t="s">
        <v>579</v>
      </c>
      <c r="C84" t="s">
        <v>20</v>
      </c>
      <c r="D84" t="s">
        <v>21</v>
      </c>
      <c r="E84" t="s">
        <v>580</v>
      </c>
      <c r="F84" t="s">
        <v>351</v>
      </c>
      <c r="G84" t="s">
        <v>582</v>
      </c>
      <c r="H84" t="s">
        <v>592</v>
      </c>
      <c r="I84">
        <v>2.07548566318215E-2</v>
      </c>
      <c r="J84" t="s">
        <v>17</v>
      </c>
      <c r="K84" t="s">
        <v>584</v>
      </c>
    </row>
    <row r="85" spans="1:11">
      <c r="A85" t="s">
        <v>295</v>
      </c>
      <c r="B85" t="s">
        <v>579</v>
      </c>
      <c r="C85" t="s">
        <v>20</v>
      </c>
      <c r="D85" t="s">
        <v>21</v>
      </c>
      <c r="E85" t="s">
        <v>580</v>
      </c>
      <c r="F85" t="s">
        <v>593</v>
      </c>
      <c r="G85" t="s">
        <v>582</v>
      </c>
      <c r="H85" t="s">
        <v>594</v>
      </c>
      <c r="I85" s="29">
        <v>6.9511892410943797E-6</v>
      </c>
      <c r="J85" t="s">
        <v>595</v>
      </c>
      <c r="K85" t="s">
        <v>584</v>
      </c>
    </row>
    <row r="86" spans="1:11">
      <c r="A86" t="s">
        <v>295</v>
      </c>
      <c r="B86" t="s">
        <v>579</v>
      </c>
      <c r="C86" t="s">
        <v>20</v>
      </c>
      <c r="D86" t="s">
        <v>21</v>
      </c>
      <c r="E86" t="s">
        <v>580</v>
      </c>
      <c r="F86" t="s">
        <v>596</v>
      </c>
      <c r="G86" t="s">
        <v>582</v>
      </c>
      <c r="H86" t="s">
        <v>597</v>
      </c>
      <c r="I86" s="29">
        <v>4.6652382629958002E-7</v>
      </c>
      <c r="J86" t="s">
        <v>17</v>
      </c>
      <c r="K86" t="s">
        <v>584</v>
      </c>
    </row>
    <row r="87" spans="1:11">
      <c r="A87" t="s">
        <v>295</v>
      </c>
      <c r="B87" t="s">
        <v>579</v>
      </c>
      <c r="C87" t="s">
        <v>20</v>
      </c>
      <c r="D87" t="s">
        <v>21</v>
      </c>
      <c r="E87" t="s">
        <v>580</v>
      </c>
      <c r="F87" t="s">
        <v>598</v>
      </c>
      <c r="G87" t="s">
        <v>582</v>
      </c>
      <c r="H87" t="s">
        <v>599</v>
      </c>
      <c r="I87" s="29">
        <v>2.3180952630289301E-7</v>
      </c>
      <c r="J87" t="s">
        <v>17</v>
      </c>
      <c r="K87" t="s">
        <v>584</v>
      </c>
    </row>
    <row r="88" spans="1:11">
      <c r="A88" t="s">
        <v>295</v>
      </c>
      <c r="B88" t="s">
        <v>579</v>
      </c>
      <c r="C88" t="s">
        <v>20</v>
      </c>
      <c r="D88" t="s">
        <v>21</v>
      </c>
      <c r="E88" t="s">
        <v>580</v>
      </c>
      <c r="F88" t="s">
        <v>600</v>
      </c>
      <c r="G88" t="s">
        <v>582</v>
      </c>
      <c r="H88" t="s">
        <v>601</v>
      </c>
      <c r="I88">
        <v>3.2991975009649399E-3</v>
      </c>
      <c r="J88" t="s">
        <v>602</v>
      </c>
      <c r="K88" t="s">
        <v>584</v>
      </c>
    </row>
    <row r="89" spans="1:11">
      <c r="A89" t="s">
        <v>295</v>
      </c>
      <c r="B89" t="s">
        <v>579</v>
      </c>
      <c r="C89" t="s">
        <v>20</v>
      </c>
      <c r="D89" t="s">
        <v>21</v>
      </c>
      <c r="E89" t="s">
        <v>580</v>
      </c>
      <c r="F89" t="s">
        <v>603</v>
      </c>
      <c r="G89" t="s">
        <v>582</v>
      </c>
      <c r="H89" t="s">
        <v>604</v>
      </c>
      <c r="I89" s="29">
        <v>3.47312872270515E-7</v>
      </c>
      <c r="J89" t="s">
        <v>17</v>
      </c>
      <c r="K89" t="s">
        <v>584</v>
      </c>
    </row>
    <row r="90" spans="1:11">
      <c r="A90" t="s">
        <v>295</v>
      </c>
      <c r="B90" t="s">
        <v>579</v>
      </c>
      <c r="C90" t="s">
        <v>20</v>
      </c>
      <c r="D90" t="s">
        <v>21</v>
      </c>
      <c r="E90" t="s">
        <v>580</v>
      </c>
      <c r="F90" t="s">
        <v>605</v>
      </c>
      <c r="G90" t="s">
        <v>582</v>
      </c>
      <c r="H90" t="s">
        <v>606</v>
      </c>
      <c r="I90">
        <v>1.19099684337501</v>
      </c>
      <c r="J90" t="s">
        <v>607</v>
      </c>
      <c r="K90" t="s">
        <v>584</v>
      </c>
    </row>
    <row r="91" spans="1:11">
      <c r="A91" t="s">
        <v>295</v>
      </c>
      <c r="B91" t="s">
        <v>579</v>
      </c>
      <c r="C91" t="s">
        <v>20</v>
      </c>
      <c r="D91" t="s">
        <v>21</v>
      </c>
      <c r="E91" t="s">
        <v>580</v>
      </c>
      <c r="F91" t="s">
        <v>608</v>
      </c>
      <c r="G91" t="s">
        <v>582</v>
      </c>
      <c r="H91" t="s">
        <v>609</v>
      </c>
      <c r="I91">
        <v>0.436184703470124</v>
      </c>
      <c r="J91" t="s">
        <v>607</v>
      </c>
      <c r="K91" t="s">
        <v>584</v>
      </c>
    </row>
    <row r="92" spans="1:11">
      <c r="A92" t="s">
        <v>295</v>
      </c>
      <c r="B92" t="s">
        <v>579</v>
      </c>
      <c r="C92" t="s">
        <v>20</v>
      </c>
      <c r="D92" t="s">
        <v>21</v>
      </c>
      <c r="E92" t="s">
        <v>580</v>
      </c>
      <c r="F92" t="s">
        <v>610</v>
      </c>
      <c r="G92" t="s">
        <v>582</v>
      </c>
      <c r="H92" t="s">
        <v>611</v>
      </c>
      <c r="I92" s="29">
        <v>1.91728466769286E-6</v>
      </c>
      <c r="J92" t="s">
        <v>17</v>
      </c>
      <c r="K92" t="s">
        <v>584</v>
      </c>
    </row>
    <row r="93" spans="1:11">
      <c r="A93" t="s">
        <v>295</v>
      </c>
      <c r="B93" t="s">
        <v>579</v>
      </c>
      <c r="C93" t="s">
        <v>20</v>
      </c>
      <c r="D93" t="s">
        <v>21</v>
      </c>
      <c r="E93" t="s">
        <v>580</v>
      </c>
      <c r="F93" t="s">
        <v>612</v>
      </c>
      <c r="G93" t="s">
        <v>582</v>
      </c>
      <c r="H93" t="s">
        <v>613</v>
      </c>
      <c r="I93">
        <v>6.5475960238307804E-2</v>
      </c>
      <c r="J93" t="s">
        <v>17</v>
      </c>
      <c r="K93" t="s">
        <v>584</v>
      </c>
    </row>
    <row r="94" spans="1:11">
      <c r="A94" t="s">
        <v>295</v>
      </c>
      <c r="B94" t="s">
        <v>579</v>
      </c>
      <c r="C94" t="s">
        <v>20</v>
      </c>
      <c r="D94" t="s">
        <v>21</v>
      </c>
      <c r="E94" t="s">
        <v>580</v>
      </c>
      <c r="F94" t="s">
        <v>614</v>
      </c>
      <c r="G94" t="s">
        <v>582</v>
      </c>
      <c r="H94" t="s">
        <v>615</v>
      </c>
      <c r="I94" s="29">
        <v>8.6687775995499502E-10</v>
      </c>
      <c r="J94" t="s">
        <v>510</v>
      </c>
      <c r="K94" t="s">
        <v>584</v>
      </c>
    </row>
    <row r="95" spans="1:11">
      <c r="A95" t="s">
        <v>295</v>
      </c>
      <c r="B95" t="s">
        <v>579</v>
      </c>
      <c r="C95" t="s">
        <v>20</v>
      </c>
      <c r="D95" t="s">
        <v>21</v>
      </c>
      <c r="E95" t="s">
        <v>580</v>
      </c>
      <c r="F95" t="s">
        <v>616</v>
      </c>
      <c r="G95" t="s">
        <v>582</v>
      </c>
      <c r="H95" t="s">
        <v>617</v>
      </c>
      <c r="I95" s="29">
        <v>3.7819295121660202E-10</v>
      </c>
      <c r="J95" t="s">
        <v>510</v>
      </c>
      <c r="K95" t="s">
        <v>584</v>
      </c>
    </row>
    <row r="96" spans="1:11">
      <c r="A96" t="s">
        <v>295</v>
      </c>
      <c r="B96" t="s">
        <v>579</v>
      </c>
      <c r="C96" t="s">
        <v>20</v>
      </c>
      <c r="D96" t="s">
        <v>21</v>
      </c>
      <c r="E96" t="s">
        <v>580</v>
      </c>
      <c r="F96" t="s">
        <v>618</v>
      </c>
      <c r="G96" t="s">
        <v>582</v>
      </c>
      <c r="H96" t="s">
        <v>619</v>
      </c>
      <c r="I96">
        <v>-157.76626621153599</v>
      </c>
      <c r="J96" t="s">
        <v>17</v>
      </c>
      <c r="K96" t="s">
        <v>620</v>
      </c>
    </row>
    <row r="97" spans="1:11">
      <c r="A97" t="s">
        <v>295</v>
      </c>
      <c r="B97" t="s">
        <v>579</v>
      </c>
      <c r="C97" t="s">
        <v>20</v>
      </c>
      <c r="D97" t="s">
        <v>21</v>
      </c>
      <c r="E97" t="s">
        <v>580</v>
      </c>
      <c r="F97" t="s">
        <v>621</v>
      </c>
      <c r="G97" t="s">
        <v>582</v>
      </c>
      <c r="H97" t="s">
        <v>622</v>
      </c>
      <c r="I97" s="29">
        <v>2.2227003962376098E-9</v>
      </c>
      <c r="J97" t="s">
        <v>17</v>
      </c>
      <c r="K97" t="s">
        <v>584</v>
      </c>
    </row>
    <row r="98" spans="1:11">
      <c r="A98" t="s">
        <v>295</v>
      </c>
      <c r="B98" t="s">
        <v>579</v>
      </c>
      <c r="C98" t="s">
        <v>20</v>
      </c>
      <c r="D98" t="s">
        <v>21</v>
      </c>
      <c r="E98" t="s">
        <v>580</v>
      </c>
      <c r="F98" t="s">
        <v>623</v>
      </c>
      <c r="G98" t="s">
        <v>582</v>
      </c>
      <c r="H98" t="s">
        <v>624</v>
      </c>
      <c r="I98">
        <v>1.7691566143128101E-3</v>
      </c>
      <c r="J98" t="s">
        <v>17</v>
      </c>
      <c r="K98" t="s">
        <v>584</v>
      </c>
    </row>
    <row r="99" spans="1:11">
      <c r="A99" t="s">
        <v>295</v>
      </c>
      <c r="B99" t="s">
        <v>579</v>
      </c>
      <c r="C99" t="s">
        <v>20</v>
      </c>
      <c r="D99" t="s">
        <v>21</v>
      </c>
      <c r="E99" t="s">
        <v>580</v>
      </c>
      <c r="F99" t="s">
        <v>625</v>
      </c>
      <c r="G99" t="s">
        <v>582</v>
      </c>
      <c r="H99" t="s">
        <v>626</v>
      </c>
      <c r="I99">
        <v>6.6459478314911405E-2</v>
      </c>
      <c r="J99" t="s">
        <v>17</v>
      </c>
      <c r="K99" t="s">
        <v>584</v>
      </c>
    </row>
    <row r="100" spans="1:11">
      <c r="A100" t="s">
        <v>295</v>
      </c>
      <c r="B100" t="s">
        <v>579</v>
      </c>
      <c r="C100" t="s">
        <v>20</v>
      </c>
      <c r="D100" t="s">
        <v>21</v>
      </c>
      <c r="E100" t="s">
        <v>580</v>
      </c>
      <c r="F100" t="s">
        <v>627</v>
      </c>
      <c r="G100" t="s">
        <v>582</v>
      </c>
      <c r="H100" t="s">
        <v>628</v>
      </c>
      <c r="I100">
        <v>-90.216372618989297</v>
      </c>
      <c r="J100" t="s">
        <v>17</v>
      </c>
      <c r="K100" t="s">
        <v>629</v>
      </c>
    </row>
    <row r="101" spans="1:11">
      <c r="A101" t="s">
        <v>295</v>
      </c>
      <c r="B101" t="s">
        <v>579</v>
      </c>
      <c r="C101" t="s">
        <v>20</v>
      </c>
      <c r="D101" t="s">
        <v>21</v>
      </c>
      <c r="E101" t="s">
        <v>580</v>
      </c>
      <c r="F101" t="s">
        <v>630</v>
      </c>
      <c r="G101" t="s">
        <v>582</v>
      </c>
      <c r="H101" s="29" t="s">
        <v>631</v>
      </c>
      <c r="I101" s="29">
        <v>5.1812307941751602E-7</v>
      </c>
      <c r="J101" t="s">
        <v>17</v>
      </c>
      <c r="K101" t="s">
        <v>584</v>
      </c>
    </row>
    <row r="102" spans="1:11">
      <c r="A102" t="s">
        <v>801</v>
      </c>
      <c r="B102" t="s">
        <v>301</v>
      </c>
      <c r="C102" t="s">
        <v>295</v>
      </c>
      <c r="D102" t="s">
        <v>116</v>
      </c>
      <c r="E102" t="s">
        <v>580</v>
      </c>
      <c r="F102" t="s">
        <v>600</v>
      </c>
      <c r="G102" t="s">
        <v>582</v>
      </c>
      <c r="H102" t="s">
        <v>601</v>
      </c>
      <c r="I102">
        <v>3.15E-2</v>
      </c>
      <c r="J102" t="s">
        <v>602</v>
      </c>
    </row>
    <row r="103" spans="1:11">
      <c r="A103" t="s">
        <v>801</v>
      </c>
      <c r="B103" t="s">
        <v>301</v>
      </c>
      <c r="C103" t="s">
        <v>295</v>
      </c>
      <c r="D103" t="s">
        <v>116</v>
      </c>
      <c r="E103" t="s">
        <v>580</v>
      </c>
      <c r="F103" t="s">
        <v>600</v>
      </c>
      <c r="G103" t="s">
        <v>582</v>
      </c>
      <c r="H103" t="s">
        <v>601</v>
      </c>
      <c r="I103">
        <v>4.4999999999999997E-3</v>
      </c>
      <c r="J103" t="s">
        <v>602</v>
      </c>
    </row>
    <row r="104" spans="1:11">
      <c r="A104" t="s">
        <v>801</v>
      </c>
      <c r="B104" t="s">
        <v>301</v>
      </c>
      <c r="C104" t="s">
        <v>295</v>
      </c>
      <c r="D104" t="s">
        <v>116</v>
      </c>
      <c r="E104" t="s">
        <v>580</v>
      </c>
      <c r="F104" t="s">
        <v>802</v>
      </c>
      <c r="G104" t="s">
        <v>582</v>
      </c>
      <c r="H104" t="s">
        <v>803</v>
      </c>
      <c r="I104">
        <v>4.0000000000000002E-4</v>
      </c>
      <c r="J104" t="s">
        <v>17</v>
      </c>
    </row>
    <row r="105" spans="1:11">
      <c r="A105" t="s">
        <v>801</v>
      </c>
      <c r="B105" t="s">
        <v>301</v>
      </c>
      <c r="C105" t="s">
        <v>295</v>
      </c>
      <c r="D105" t="s">
        <v>116</v>
      </c>
      <c r="E105" t="s">
        <v>580</v>
      </c>
      <c r="F105" t="s">
        <v>600</v>
      </c>
      <c r="G105" t="s">
        <v>582</v>
      </c>
      <c r="H105" t="s">
        <v>601</v>
      </c>
      <c r="I105">
        <v>0.09</v>
      </c>
      <c r="J105" t="s">
        <v>602</v>
      </c>
    </row>
    <row r="106" spans="1:11">
      <c r="A106" t="s">
        <v>801</v>
      </c>
      <c r="B106" t="s">
        <v>301</v>
      </c>
      <c r="C106" t="s">
        <v>295</v>
      </c>
      <c r="D106" t="s">
        <v>116</v>
      </c>
      <c r="E106" t="s">
        <v>580</v>
      </c>
      <c r="F106" t="s">
        <v>375</v>
      </c>
      <c r="G106" t="s">
        <v>582</v>
      </c>
      <c r="H106" t="s">
        <v>804</v>
      </c>
      <c r="I106">
        <v>8.0000000000000002E-3</v>
      </c>
      <c r="J106" t="s">
        <v>607</v>
      </c>
    </row>
    <row r="107" spans="1:11">
      <c r="A107" t="s">
        <v>801</v>
      </c>
      <c r="B107" t="s">
        <v>301</v>
      </c>
      <c r="C107" t="s">
        <v>295</v>
      </c>
      <c r="D107" t="s">
        <v>116</v>
      </c>
      <c r="E107" t="s">
        <v>580</v>
      </c>
      <c r="F107" t="s">
        <v>375</v>
      </c>
      <c r="G107" t="s">
        <v>582</v>
      </c>
      <c r="H107" t="s">
        <v>804</v>
      </c>
      <c r="I107">
        <v>3.8E-3</v>
      </c>
      <c r="J107" t="s">
        <v>607</v>
      </c>
    </row>
    <row r="108" spans="1:11">
      <c r="A108" t="s">
        <v>801</v>
      </c>
      <c r="B108" t="s">
        <v>301</v>
      </c>
      <c r="C108" t="s">
        <v>295</v>
      </c>
      <c r="D108" t="s">
        <v>116</v>
      </c>
      <c r="E108" t="s">
        <v>580</v>
      </c>
      <c r="F108" t="s">
        <v>375</v>
      </c>
      <c r="G108" t="s">
        <v>582</v>
      </c>
      <c r="H108" t="s">
        <v>804</v>
      </c>
      <c r="I108">
        <v>1.8499999999999999E-2</v>
      </c>
      <c r="J108" t="s">
        <v>607</v>
      </c>
    </row>
    <row r="109" spans="1:11">
      <c r="A109" t="s">
        <v>801</v>
      </c>
      <c r="B109" t="s">
        <v>301</v>
      </c>
      <c r="C109" t="s">
        <v>295</v>
      </c>
      <c r="D109" t="s">
        <v>116</v>
      </c>
      <c r="E109" t="s">
        <v>580</v>
      </c>
      <c r="F109" t="s">
        <v>375</v>
      </c>
      <c r="G109" t="s">
        <v>582</v>
      </c>
      <c r="H109" t="s">
        <v>804</v>
      </c>
      <c r="I109">
        <v>7.4999999999999997E-3</v>
      </c>
      <c r="J109" t="s">
        <v>607</v>
      </c>
    </row>
    <row r="110" spans="1:11">
      <c r="A110" t="s">
        <v>801</v>
      </c>
      <c r="B110" t="s">
        <v>301</v>
      </c>
      <c r="C110" t="s">
        <v>295</v>
      </c>
      <c r="D110" t="s">
        <v>116</v>
      </c>
      <c r="E110" t="s">
        <v>580</v>
      </c>
      <c r="F110" t="s">
        <v>612</v>
      </c>
      <c r="G110" t="s">
        <v>582</v>
      </c>
      <c r="H110" t="s">
        <v>613</v>
      </c>
      <c r="I110">
        <v>1.3600000000000001E-3</v>
      </c>
      <c r="J110" t="s">
        <v>17</v>
      </c>
    </row>
    <row r="111" spans="1:11">
      <c r="A111" t="s">
        <v>801</v>
      </c>
      <c r="B111" t="s">
        <v>301</v>
      </c>
      <c r="C111" t="s">
        <v>295</v>
      </c>
      <c r="D111" t="s">
        <v>116</v>
      </c>
      <c r="E111" t="s">
        <v>580</v>
      </c>
      <c r="F111" t="s">
        <v>805</v>
      </c>
      <c r="G111" t="s">
        <v>582</v>
      </c>
      <c r="H111" t="s">
        <v>806</v>
      </c>
      <c r="I111">
        <v>2.04E-4</v>
      </c>
      <c r="J111" t="s">
        <v>17</v>
      </c>
    </row>
    <row r="112" spans="1:11">
      <c r="A112" t="s">
        <v>801</v>
      </c>
      <c r="B112" t="s">
        <v>301</v>
      </c>
      <c r="C112" t="s">
        <v>295</v>
      </c>
      <c r="D112" t="s">
        <v>116</v>
      </c>
      <c r="E112" t="s">
        <v>580</v>
      </c>
      <c r="F112" t="s">
        <v>623</v>
      </c>
      <c r="G112" t="s">
        <v>582</v>
      </c>
      <c r="H112" t="s">
        <v>624</v>
      </c>
      <c r="I112">
        <v>1.36E-4</v>
      </c>
      <c r="J112" t="s">
        <v>17</v>
      </c>
    </row>
    <row r="113" spans="1:10">
      <c r="A113" t="s">
        <v>801</v>
      </c>
      <c r="B113" t="s">
        <v>301</v>
      </c>
      <c r="C113" t="s">
        <v>295</v>
      </c>
      <c r="D113" t="s">
        <v>116</v>
      </c>
      <c r="E113" t="s">
        <v>580</v>
      </c>
      <c r="F113" t="s">
        <v>807</v>
      </c>
      <c r="G113" t="s">
        <v>582</v>
      </c>
      <c r="H113" t="s">
        <v>808</v>
      </c>
      <c r="I113">
        <v>1.4E-3</v>
      </c>
      <c r="J113" t="s">
        <v>17</v>
      </c>
    </row>
    <row r="114" spans="1:10">
      <c r="A114" t="s">
        <v>801</v>
      </c>
      <c r="B114" t="s">
        <v>301</v>
      </c>
      <c r="C114" t="s">
        <v>295</v>
      </c>
      <c r="D114" t="s">
        <v>116</v>
      </c>
      <c r="E114" t="s">
        <v>580</v>
      </c>
      <c r="F114" t="s">
        <v>627</v>
      </c>
      <c r="G114" t="s">
        <v>582</v>
      </c>
      <c r="H114" t="s">
        <v>809</v>
      </c>
      <c r="I114">
        <v>-3.6999999999999998E-2</v>
      </c>
      <c r="J114" t="s">
        <v>17</v>
      </c>
    </row>
    <row r="115" spans="1:10">
      <c r="A115" t="s">
        <v>810</v>
      </c>
      <c r="B115" t="s">
        <v>293</v>
      </c>
      <c r="C115" t="s">
        <v>295</v>
      </c>
      <c r="D115" t="s">
        <v>296</v>
      </c>
      <c r="E115" t="s">
        <v>580</v>
      </c>
      <c r="F115" t="s">
        <v>600</v>
      </c>
      <c r="G115" t="s">
        <v>582</v>
      </c>
      <c r="H115" t="s">
        <v>601</v>
      </c>
      <c r="I115">
        <v>4.0289823311874997</v>
      </c>
      <c r="J115" t="s">
        <v>602</v>
      </c>
    </row>
    <row r="116" spans="1:10">
      <c r="A116" t="s">
        <v>810</v>
      </c>
      <c r="B116" t="s">
        <v>293</v>
      </c>
      <c r="C116" t="s">
        <v>295</v>
      </c>
      <c r="D116" t="s">
        <v>296</v>
      </c>
      <c r="E116" t="s">
        <v>580</v>
      </c>
      <c r="F116" t="s">
        <v>641</v>
      </c>
      <c r="G116" t="s">
        <v>582</v>
      </c>
      <c r="H116" t="s">
        <v>811</v>
      </c>
      <c r="I116">
        <v>0.24177705598058899</v>
      </c>
      <c r="J116" t="s">
        <v>607</v>
      </c>
    </row>
    <row r="117" spans="1:10">
      <c r="A117" t="s">
        <v>810</v>
      </c>
      <c r="B117" t="s">
        <v>293</v>
      </c>
      <c r="C117" t="s">
        <v>295</v>
      </c>
      <c r="D117" t="s">
        <v>296</v>
      </c>
      <c r="E117" t="s">
        <v>580</v>
      </c>
      <c r="F117" t="s">
        <v>812</v>
      </c>
      <c r="G117" t="s">
        <v>582</v>
      </c>
      <c r="H117" t="s">
        <v>813</v>
      </c>
      <c r="I117">
        <v>2.5828164439313499E-2</v>
      </c>
      <c r="J117" t="s">
        <v>602</v>
      </c>
    </row>
    <row r="118" spans="1:10">
      <c r="A118" t="s">
        <v>810</v>
      </c>
      <c r="B118" t="s">
        <v>293</v>
      </c>
      <c r="C118" t="s">
        <v>295</v>
      </c>
      <c r="D118" t="s">
        <v>296</v>
      </c>
      <c r="E118" t="s">
        <v>580</v>
      </c>
      <c r="F118" t="s">
        <v>802</v>
      </c>
      <c r="G118" t="s">
        <v>582</v>
      </c>
      <c r="H118" t="s">
        <v>803</v>
      </c>
      <c r="I118">
        <v>8.2326295810749794E-2</v>
      </c>
      <c r="J118" t="s">
        <v>17</v>
      </c>
    </row>
    <row r="119" spans="1:10">
      <c r="A119" t="s">
        <v>810</v>
      </c>
      <c r="B119" t="s">
        <v>293</v>
      </c>
      <c r="C119" t="s">
        <v>295</v>
      </c>
      <c r="D119" t="s">
        <v>296</v>
      </c>
      <c r="E119" t="s">
        <v>580</v>
      </c>
      <c r="F119" t="s">
        <v>612</v>
      </c>
      <c r="G119" t="s">
        <v>582</v>
      </c>
      <c r="H119" t="s">
        <v>814</v>
      </c>
      <c r="I119">
        <v>2.58249033074399E-2</v>
      </c>
      <c r="J119" t="s">
        <v>17</v>
      </c>
    </row>
    <row r="120" spans="1:10">
      <c r="A120" t="s">
        <v>810</v>
      </c>
      <c r="B120" t="s">
        <v>293</v>
      </c>
      <c r="C120" t="s">
        <v>295</v>
      </c>
      <c r="D120" t="s">
        <v>296</v>
      </c>
      <c r="E120" t="s">
        <v>580</v>
      </c>
      <c r="F120" t="s">
        <v>815</v>
      </c>
      <c r="G120" t="s">
        <v>582</v>
      </c>
      <c r="H120" t="s">
        <v>816</v>
      </c>
      <c r="I120">
        <v>4.5916736781001898E-3</v>
      </c>
      <c r="J120" t="s">
        <v>17</v>
      </c>
    </row>
    <row r="121" spans="1:10">
      <c r="A121" t="s">
        <v>810</v>
      </c>
      <c r="B121" t="s">
        <v>293</v>
      </c>
      <c r="C121" t="s">
        <v>295</v>
      </c>
      <c r="D121" t="s">
        <v>296</v>
      </c>
      <c r="E121" t="s">
        <v>580</v>
      </c>
      <c r="F121" t="s">
        <v>817</v>
      </c>
      <c r="G121" t="s">
        <v>582</v>
      </c>
      <c r="H121" t="s">
        <v>818</v>
      </c>
      <c r="I121">
        <v>1.9155888625824199E-4</v>
      </c>
      <c r="J121" t="s">
        <v>17</v>
      </c>
    </row>
    <row r="122" spans="1:10">
      <c r="A122" t="s">
        <v>810</v>
      </c>
      <c r="B122" t="s">
        <v>293</v>
      </c>
      <c r="C122" t="s">
        <v>295</v>
      </c>
      <c r="D122" t="s">
        <v>296</v>
      </c>
      <c r="E122" t="s">
        <v>580</v>
      </c>
      <c r="F122" t="s">
        <v>641</v>
      </c>
      <c r="G122" t="s">
        <v>582</v>
      </c>
      <c r="H122" t="s">
        <v>811</v>
      </c>
      <c r="I122">
        <v>2.2461111002406602</v>
      </c>
      <c r="J122" t="s">
        <v>607</v>
      </c>
    </row>
    <row r="123" spans="1:10">
      <c r="A123" t="s">
        <v>810</v>
      </c>
      <c r="B123" t="s">
        <v>293</v>
      </c>
      <c r="C123" t="s">
        <v>295</v>
      </c>
      <c r="D123" t="s">
        <v>296</v>
      </c>
      <c r="E123" t="s">
        <v>580</v>
      </c>
      <c r="F123" t="s">
        <v>812</v>
      </c>
      <c r="G123" t="s">
        <v>582</v>
      </c>
      <c r="H123" t="s">
        <v>813</v>
      </c>
      <c r="I123">
        <v>2.8657522452892902E-2</v>
      </c>
      <c r="J123" t="s">
        <v>602</v>
      </c>
    </row>
    <row r="124" spans="1:10">
      <c r="A124" t="s">
        <v>810</v>
      </c>
      <c r="B124" t="s">
        <v>293</v>
      </c>
      <c r="C124" t="s">
        <v>295</v>
      </c>
      <c r="D124" t="s">
        <v>296</v>
      </c>
      <c r="E124" t="s">
        <v>580</v>
      </c>
      <c r="F124" t="s">
        <v>819</v>
      </c>
      <c r="G124" t="s">
        <v>582</v>
      </c>
      <c r="H124" t="s">
        <v>820</v>
      </c>
      <c r="I124" s="29">
        <v>2.2827923115554899E-5</v>
      </c>
      <c r="J124" t="s">
        <v>17</v>
      </c>
    </row>
    <row r="125" spans="1:10">
      <c r="A125" t="s">
        <v>810</v>
      </c>
      <c r="B125" t="s">
        <v>293</v>
      </c>
      <c r="C125" t="s">
        <v>295</v>
      </c>
      <c r="D125" t="s">
        <v>296</v>
      </c>
      <c r="E125" t="s">
        <v>580</v>
      </c>
      <c r="F125" t="s">
        <v>352</v>
      </c>
      <c r="G125" t="s">
        <v>582</v>
      </c>
      <c r="H125" t="s">
        <v>591</v>
      </c>
      <c r="I125">
        <v>1.8001447942551799E-3</v>
      </c>
      <c r="J125" t="s">
        <v>17</v>
      </c>
    </row>
    <row r="126" spans="1:10">
      <c r="A126" t="s">
        <v>810</v>
      </c>
      <c r="B126" t="s">
        <v>293</v>
      </c>
      <c r="C126" t="s">
        <v>295</v>
      </c>
      <c r="D126" t="s">
        <v>296</v>
      </c>
      <c r="E126" t="s">
        <v>580</v>
      </c>
      <c r="F126" t="s">
        <v>821</v>
      </c>
      <c r="G126" t="s">
        <v>582</v>
      </c>
      <c r="H126" t="s">
        <v>822</v>
      </c>
      <c r="I126" s="29">
        <v>2.5436828614475399E-6</v>
      </c>
      <c r="J126" t="s">
        <v>17</v>
      </c>
    </row>
    <row r="127" spans="1:10">
      <c r="A127" t="s">
        <v>810</v>
      </c>
      <c r="B127" t="s">
        <v>293</v>
      </c>
      <c r="C127" t="s">
        <v>295</v>
      </c>
      <c r="D127" t="s">
        <v>296</v>
      </c>
      <c r="E127" t="s">
        <v>580</v>
      </c>
      <c r="F127" t="s">
        <v>823</v>
      </c>
      <c r="G127" t="s">
        <v>582</v>
      </c>
      <c r="H127" t="s">
        <v>824</v>
      </c>
      <c r="I127">
        <v>0.40999999999999898</v>
      </c>
      <c r="J127" t="s">
        <v>663</v>
      </c>
    </row>
    <row r="128" spans="1:10">
      <c r="A128" t="s">
        <v>810</v>
      </c>
      <c r="B128" t="s">
        <v>293</v>
      </c>
      <c r="C128" t="s">
        <v>295</v>
      </c>
      <c r="D128" t="s">
        <v>296</v>
      </c>
      <c r="E128" t="s">
        <v>580</v>
      </c>
      <c r="F128" t="s">
        <v>825</v>
      </c>
      <c r="G128" t="s">
        <v>582</v>
      </c>
      <c r="H128" t="s">
        <v>826</v>
      </c>
      <c r="I128">
        <v>-89.257179381819697</v>
      </c>
      <c r="J128" t="s">
        <v>17</v>
      </c>
    </row>
    <row r="129" spans="1:10">
      <c r="A129" t="s">
        <v>810</v>
      </c>
      <c r="B129" t="s">
        <v>293</v>
      </c>
      <c r="C129" t="s">
        <v>295</v>
      </c>
      <c r="D129" t="s">
        <v>296</v>
      </c>
      <c r="E129" t="s">
        <v>580</v>
      </c>
      <c r="F129" t="s">
        <v>827</v>
      </c>
      <c r="G129" t="s">
        <v>582</v>
      </c>
      <c r="H129" t="s">
        <v>828</v>
      </c>
      <c r="I129">
        <v>-1.7355743831569E-3</v>
      </c>
      <c r="J129" t="s">
        <v>17</v>
      </c>
    </row>
    <row r="130" spans="1:10">
      <c r="A130" t="s">
        <v>810</v>
      </c>
      <c r="B130" t="s">
        <v>293</v>
      </c>
      <c r="C130" t="s">
        <v>295</v>
      </c>
      <c r="D130" t="s">
        <v>296</v>
      </c>
      <c r="E130" t="s">
        <v>580</v>
      </c>
      <c r="F130" t="s">
        <v>665</v>
      </c>
      <c r="G130" t="s">
        <v>582</v>
      </c>
      <c r="H130" t="s">
        <v>829</v>
      </c>
      <c r="I130">
        <v>-1.7544889480240701E-3</v>
      </c>
      <c r="J130" t="s">
        <v>17</v>
      </c>
    </row>
    <row r="131" spans="1:10">
      <c r="A131" t="s">
        <v>810</v>
      </c>
      <c r="B131" t="s">
        <v>293</v>
      </c>
      <c r="C131" t="s">
        <v>295</v>
      </c>
      <c r="D131" t="s">
        <v>296</v>
      </c>
      <c r="E131" t="s">
        <v>580</v>
      </c>
      <c r="F131" t="s">
        <v>830</v>
      </c>
      <c r="G131" t="s">
        <v>582</v>
      </c>
      <c r="H131" t="s">
        <v>831</v>
      </c>
      <c r="I131" s="29">
        <v>-6.3298569667560102E-5</v>
      </c>
      <c r="J131" t="s">
        <v>832</v>
      </c>
    </row>
    <row r="132" spans="1:10">
      <c r="A132" t="s">
        <v>810</v>
      </c>
      <c r="B132" t="s">
        <v>293</v>
      </c>
      <c r="C132" t="s">
        <v>295</v>
      </c>
      <c r="D132" t="s">
        <v>296</v>
      </c>
      <c r="E132" t="s">
        <v>580</v>
      </c>
      <c r="F132" t="s">
        <v>833</v>
      </c>
      <c r="G132" t="s">
        <v>582</v>
      </c>
      <c r="H132" t="s">
        <v>834</v>
      </c>
      <c r="I132">
        <v>-1.4022867056698001E-4</v>
      </c>
      <c r="J132" t="s">
        <v>17</v>
      </c>
    </row>
    <row r="133" spans="1:10">
      <c r="A133" t="s">
        <v>810</v>
      </c>
      <c r="B133" t="s">
        <v>293</v>
      </c>
      <c r="C133" t="s">
        <v>295</v>
      </c>
      <c r="D133" t="s">
        <v>296</v>
      </c>
      <c r="E133" t="s">
        <v>580</v>
      </c>
      <c r="F133" t="s">
        <v>833</v>
      </c>
      <c r="G133" t="s">
        <v>582</v>
      </c>
      <c r="H133" t="s">
        <v>834</v>
      </c>
      <c r="I133">
        <v>-1.03703993582092E-4</v>
      </c>
      <c r="J133" t="s">
        <v>17</v>
      </c>
    </row>
    <row r="134" spans="1:10">
      <c r="A134" t="s">
        <v>810</v>
      </c>
      <c r="B134" t="s">
        <v>293</v>
      </c>
      <c r="C134" t="s">
        <v>295</v>
      </c>
      <c r="D134" t="s">
        <v>296</v>
      </c>
      <c r="E134" t="s">
        <v>580</v>
      </c>
      <c r="F134" t="s">
        <v>833</v>
      </c>
      <c r="G134" t="s">
        <v>582</v>
      </c>
      <c r="H134" t="s">
        <v>834</v>
      </c>
      <c r="I134">
        <v>-1.1772686063879E-4</v>
      </c>
      <c r="J134" t="s">
        <v>17</v>
      </c>
    </row>
    <row r="135" spans="1:10">
      <c r="A135" t="s">
        <v>810</v>
      </c>
      <c r="B135" t="s">
        <v>293</v>
      </c>
      <c r="C135" t="s">
        <v>295</v>
      </c>
      <c r="D135" t="s">
        <v>296</v>
      </c>
      <c r="E135" t="s">
        <v>580</v>
      </c>
      <c r="F135" t="s">
        <v>833</v>
      </c>
      <c r="G135" t="s">
        <v>582</v>
      </c>
      <c r="H135" t="s">
        <v>834</v>
      </c>
      <c r="I135" s="29">
        <v>-7.1744901220315398E-5</v>
      </c>
      <c r="J135" t="s">
        <v>17</v>
      </c>
    </row>
    <row r="136" spans="1:10">
      <c r="A136" t="s">
        <v>810</v>
      </c>
      <c r="B136" t="s">
        <v>293</v>
      </c>
      <c r="C136" t="s">
        <v>295</v>
      </c>
      <c r="D136" t="s">
        <v>296</v>
      </c>
      <c r="E136" t="s">
        <v>580</v>
      </c>
      <c r="F136" t="s">
        <v>833</v>
      </c>
      <c r="G136" t="s">
        <v>582</v>
      </c>
      <c r="H136" t="s">
        <v>834</v>
      </c>
      <c r="I136" s="29">
        <v>-3.9133582483808399E-5</v>
      </c>
      <c r="J136" t="s">
        <v>17</v>
      </c>
    </row>
    <row r="137" spans="1:10">
      <c r="A137" t="s">
        <v>810</v>
      </c>
      <c r="B137" t="s">
        <v>293</v>
      </c>
      <c r="C137" t="s">
        <v>295</v>
      </c>
      <c r="D137" t="s">
        <v>296</v>
      </c>
      <c r="E137" t="s">
        <v>580</v>
      </c>
      <c r="F137" t="s">
        <v>833</v>
      </c>
      <c r="G137" t="s">
        <v>582</v>
      </c>
      <c r="H137" t="s">
        <v>834</v>
      </c>
      <c r="I137" s="29">
        <v>-1.81971158549709E-5</v>
      </c>
      <c r="J137" t="s">
        <v>17</v>
      </c>
    </row>
  </sheetData>
  <autoFilter ref="A1:K1" xr:uid="{0FACF74F-491F-4A30-A5B5-5AB6F49A038D}">
    <sortState xmlns:xlrd2="http://schemas.microsoft.com/office/spreadsheetml/2017/richdata2" ref="A2:K46">
      <sortCondition ref="F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2D24E-8DDD-4A8F-9671-F6A84E4E9306}">
  <dimension ref="A1:O216"/>
  <sheetViews>
    <sheetView topLeftCell="E178" workbookViewId="0">
      <selection activeCell="A125" sqref="A125:XFD128"/>
    </sheetView>
  </sheetViews>
  <sheetFormatPr baseColWidth="10" defaultRowHeight="14.5"/>
  <cols>
    <col min="1" max="1" width="24.6328125" bestFit="1" customWidth="1"/>
    <col min="2" max="2" width="8.54296875" bestFit="1" customWidth="1"/>
    <col min="3" max="3" width="19.6328125" bestFit="1" customWidth="1"/>
    <col min="4" max="4" width="58.36328125" bestFit="1" customWidth="1"/>
    <col min="5" max="5" width="88.6328125" bestFit="1" customWidth="1"/>
    <col min="6" max="6" width="18.08984375" bestFit="1" customWidth="1"/>
    <col min="7" max="7" width="12.453125" bestFit="1" customWidth="1"/>
    <col min="8" max="8" width="14.54296875" customWidth="1"/>
    <col min="9" max="9" width="55.6328125" bestFit="1" customWidth="1"/>
    <col min="10" max="10" width="35" bestFit="1" customWidth="1"/>
    <col min="11" max="11" width="16.90625" bestFit="1" customWidth="1"/>
    <col min="12" max="12" width="13.36328125" bestFit="1" customWidth="1"/>
    <col min="13" max="13" width="33.90625" customWidth="1"/>
    <col min="14" max="14" width="37.36328125" bestFit="1" customWidth="1"/>
    <col min="15" max="15" width="52.1796875" bestFit="1" customWidth="1"/>
  </cols>
  <sheetData>
    <row r="1" spans="1:15">
      <c r="A1" s="10" t="s">
        <v>449</v>
      </c>
      <c r="B1" s="10" t="s">
        <v>450</v>
      </c>
      <c r="C1" s="10" t="s">
        <v>451</v>
      </c>
      <c r="D1" s="10" t="s">
        <v>945</v>
      </c>
      <c r="E1" s="10" t="s">
        <v>946</v>
      </c>
      <c r="F1" s="10" t="s">
        <v>452</v>
      </c>
      <c r="G1" s="10" t="s">
        <v>323</v>
      </c>
      <c r="H1" s="10" t="s">
        <v>453</v>
      </c>
      <c r="I1" s="10" t="s">
        <v>454</v>
      </c>
      <c r="J1" s="10" t="s">
        <v>936</v>
      </c>
      <c r="K1" s="10" t="s">
        <v>324</v>
      </c>
      <c r="L1" s="10" t="s">
        <v>455</v>
      </c>
      <c r="M1" s="10" t="s">
        <v>456</v>
      </c>
      <c r="N1" s="10" t="s">
        <v>449</v>
      </c>
      <c r="O1" s="10" t="s">
        <v>364</v>
      </c>
    </row>
    <row r="2" spans="1:15">
      <c r="A2" t="s">
        <v>897</v>
      </c>
      <c r="B2" t="s">
        <v>544</v>
      </c>
      <c r="C2" t="s">
        <v>267</v>
      </c>
      <c r="D2" t="s">
        <v>34</v>
      </c>
      <c r="F2" t="s">
        <v>898</v>
      </c>
      <c r="G2" t="s">
        <v>458</v>
      </c>
      <c r="H2" t="s">
        <v>402</v>
      </c>
      <c r="I2" t="s">
        <v>899</v>
      </c>
      <c r="J2" t="s">
        <v>465</v>
      </c>
      <c r="K2" t="s">
        <v>900</v>
      </c>
      <c r="L2">
        <v>5.3</v>
      </c>
      <c r="M2" t="s">
        <v>901</v>
      </c>
      <c r="N2" t="s">
        <v>902</v>
      </c>
      <c r="O2" t="s">
        <v>944</v>
      </c>
    </row>
    <row r="3" spans="1:15">
      <c r="A3" t="s">
        <v>897</v>
      </c>
      <c r="B3" t="s">
        <v>544</v>
      </c>
      <c r="C3" t="s">
        <v>267</v>
      </c>
      <c r="D3" t="s">
        <v>34</v>
      </c>
      <c r="F3" t="s">
        <v>898</v>
      </c>
      <c r="G3" t="s">
        <v>458</v>
      </c>
      <c r="H3" t="s">
        <v>402</v>
      </c>
      <c r="I3" t="s">
        <v>326</v>
      </c>
      <c r="J3" t="s">
        <v>326</v>
      </c>
      <c r="K3" t="s">
        <v>900</v>
      </c>
      <c r="L3">
        <v>1.7</v>
      </c>
      <c r="M3" t="s">
        <v>901</v>
      </c>
      <c r="N3" t="s">
        <v>902</v>
      </c>
      <c r="O3" t="s">
        <v>944</v>
      </c>
    </row>
    <row r="4" spans="1:15">
      <c r="A4" t="s">
        <v>897</v>
      </c>
      <c r="B4" t="s">
        <v>544</v>
      </c>
      <c r="C4" t="s">
        <v>267</v>
      </c>
      <c r="D4" t="s">
        <v>34</v>
      </c>
      <c r="F4" t="s">
        <v>898</v>
      </c>
      <c r="G4" t="s">
        <v>458</v>
      </c>
      <c r="H4" t="s">
        <v>402</v>
      </c>
      <c r="I4" t="s">
        <v>903</v>
      </c>
      <c r="J4" t="s">
        <v>903</v>
      </c>
      <c r="K4" t="s">
        <v>904</v>
      </c>
      <c r="L4">
        <v>3</v>
      </c>
      <c r="M4" t="s">
        <v>901</v>
      </c>
      <c r="N4" t="s">
        <v>902</v>
      </c>
      <c r="O4" t="s">
        <v>944</v>
      </c>
    </row>
    <row r="5" spans="1:15">
      <c r="A5" t="s">
        <v>897</v>
      </c>
      <c r="B5" t="s">
        <v>544</v>
      </c>
      <c r="C5" t="s">
        <v>267</v>
      </c>
      <c r="D5" t="s">
        <v>337</v>
      </c>
      <c r="F5" t="s">
        <v>898</v>
      </c>
      <c r="G5" t="s">
        <v>458</v>
      </c>
      <c r="H5" t="s">
        <v>402</v>
      </c>
      <c r="I5" t="s">
        <v>338</v>
      </c>
      <c r="J5" t="s">
        <v>465</v>
      </c>
      <c r="K5" t="s">
        <v>905</v>
      </c>
      <c r="L5">
        <v>17.7</v>
      </c>
      <c r="M5" t="s">
        <v>901</v>
      </c>
      <c r="N5" t="s">
        <v>902</v>
      </c>
      <c r="O5" t="s">
        <v>944</v>
      </c>
    </row>
    <row r="6" spans="1:15">
      <c r="A6" t="s">
        <v>897</v>
      </c>
      <c r="B6" t="s">
        <v>544</v>
      </c>
      <c r="C6" t="s">
        <v>267</v>
      </c>
      <c r="D6" t="s">
        <v>337</v>
      </c>
      <c r="F6" t="s">
        <v>898</v>
      </c>
      <c r="G6" t="s">
        <v>458</v>
      </c>
      <c r="H6" t="s">
        <v>402</v>
      </c>
      <c r="I6" t="s">
        <v>906</v>
      </c>
      <c r="J6" t="s">
        <v>863</v>
      </c>
      <c r="K6" t="s">
        <v>900</v>
      </c>
      <c r="L6">
        <v>0.71</v>
      </c>
      <c r="M6" t="s">
        <v>901</v>
      </c>
      <c r="N6" t="s">
        <v>902</v>
      </c>
      <c r="O6" t="s">
        <v>944</v>
      </c>
    </row>
    <row r="7" spans="1:15" s="31" customFormat="1">
      <c r="A7" s="31" t="s">
        <v>897</v>
      </c>
      <c r="B7" s="31" t="s">
        <v>544</v>
      </c>
      <c r="C7" s="31" t="s">
        <v>267</v>
      </c>
      <c r="D7" s="31" t="s">
        <v>907</v>
      </c>
      <c r="F7" s="31" t="s">
        <v>898</v>
      </c>
      <c r="G7" s="31" t="s">
        <v>458</v>
      </c>
      <c r="H7" s="31" t="s">
        <v>402</v>
      </c>
      <c r="I7" s="31" t="s">
        <v>338</v>
      </c>
      <c r="J7" s="31" t="s">
        <v>465</v>
      </c>
      <c r="K7" s="31" t="s">
        <v>905</v>
      </c>
      <c r="L7" s="31">
        <v>3</v>
      </c>
      <c r="M7" s="31" t="s">
        <v>901</v>
      </c>
      <c r="N7" s="31" t="s">
        <v>902</v>
      </c>
      <c r="O7" s="31" t="s">
        <v>944</v>
      </c>
    </row>
    <row r="8" spans="1:15" s="31" customFormat="1">
      <c r="A8" s="31" t="s">
        <v>897</v>
      </c>
      <c r="B8" s="31" t="s">
        <v>544</v>
      </c>
      <c r="C8" s="31" t="s">
        <v>267</v>
      </c>
      <c r="D8" s="31" t="s">
        <v>907</v>
      </c>
      <c r="F8" s="31" t="s">
        <v>898</v>
      </c>
      <c r="G8" s="31" t="s">
        <v>458</v>
      </c>
      <c r="H8" s="31" t="s">
        <v>402</v>
      </c>
      <c r="I8" s="31" t="s">
        <v>908</v>
      </c>
      <c r="J8" s="31" t="s">
        <v>937</v>
      </c>
      <c r="K8" s="31" t="s">
        <v>909</v>
      </c>
      <c r="L8" s="31">
        <v>154</v>
      </c>
      <c r="M8" s="31" t="s">
        <v>901</v>
      </c>
      <c r="N8" s="31" t="s">
        <v>902</v>
      </c>
      <c r="O8" s="31" t="s">
        <v>944</v>
      </c>
    </row>
    <row r="9" spans="1:15" s="31" customFormat="1">
      <c r="A9" s="31" t="s">
        <v>897</v>
      </c>
      <c r="B9" s="31" t="s">
        <v>544</v>
      </c>
      <c r="C9" s="31" t="s">
        <v>267</v>
      </c>
      <c r="D9" s="31" t="s">
        <v>907</v>
      </c>
      <c r="F9" s="31" t="s">
        <v>898</v>
      </c>
      <c r="G9" s="31" t="s">
        <v>458</v>
      </c>
      <c r="H9" s="31" t="s">
        <v>402</v>
      </c>
      <c r="I9" s="31" t="s">
        <v>247</v>
      </c>
      <c r="J9" s="31" t="s">
        <v>938</v>
      </c>
      <c r="K9" s="31" t="s">
        <v>904</v>
      </c>
      <c r="L9" s="31">
        <v>0.1</v>
      </c>
      <c r="M9" s="31" t="s">
        <v>901</v>
      </c>
      <c r="N9" s="31" t="s">
        <v>902</v>
      </c>
      <c r="O9" s="31" t="s">
        <v>944</v>
      </c>
    </row>
    <row r="10" spans="1:15" s="31" customFormat="1">
      <c r="A10" s="31" t="s">
        <v>897</v>
      </c>
      <c r="B10" s="31" t="s">
        <v>544</v>
      </c>
      <c r="C10" s="31" t="s">
        <v>267</v>
      </c>
      <c r="D10" s="31" t="s">
        <v>907</v>
      </c>
      <c r="F10" s="31" t="s">
        <v>898</v>
      </c>
      <c r="G10" s="31" t="s">
        <v>458</v>
      </c>
      <c r="H10" s="31" t="s">
        <v>402</v>
      </c>
      <c r="I10" s="31" t="s">
        <v>304</v>
      </c>
      <c r="J10" s="31" t="s">
        <v>304</v>
      </c>
      <c r="K10" s="31" t="s">
        <v>904</v>
      </c>
      <c r="L10" s="31">
        <v>0.9</v>
      </c>
      <c r="M10" s="31" t="s">
        <v>901</v>
      </c>
      <c r="N10" s="31" t="s">
        <v>902</v>
      </c>
      <c r="O10" s="31" t="s">
        <v>944</v>
      </c>
    </row>
    <row r="11" spans="1:15" s="31" customFormat="1">
      <c r="A11" s="31" t="s">
        <v>897</v>
      </c>
      <c r="B11" s="31" t="s">
        <v>544</v>
      </c>
      <c r="C11" s="31" t="s">
        <v>267</v>
      </c>
      <c r="D11" s="31" t="s">
        <v>910</v>
      </c>
      <c r="F11" s="31" t="s">
        <v>898</v>
      </c>
      <c r="G11" s="31" t="s">
        <v>458</v>
      </c>
      <c r="H11" s="31" t="s">
        <v>402</v>
      </c>
      <c r="I11" s="31" t="s">
        <v>338</v>
      </c>
      <c r="J11" s="31" t="s">
        <v>465</v>
      </c>
      <c r="K11" s="31" t="s">
        <v>911</v>
      </c>
      <c r="L11" s="31">
        <v>121</v>
      </c>
      <c r="M11" s="31" t="s">
        <v>901</v>
      </c>
      <c r="N11" s="31" t="s">
        <v>902</v>
      </c>
      <c r="O11" s="31" t="s">
        <v>944</v>
      </c>
    </row>
    <row r="12" spans="1:15" s="31" customFormat="1">
      <c r="A12" s="31" t="s">
        <v>897</v>
      </c>
      <c r="B12" s="31" t="s">
        <v>544</v>
      </c>
      <c r="C12" s="31" t="s">
        <v>267</v>
      </c>
      <c r="D12" s="31" t="s">
        <v>910</v>
      </c>
      <c r="F12" s="31" t="s">
        <v>898</v>
      </c>
      <c r="G12" s="31" t="s">
        <v>458</v>
      </c>
      <c r="H12" s="31" t="s">
        <v>402</v>
      </c>
      <c r="I12" s="31" t="s">
        <v>473</v>
      </c>
      <c r="J12" s="31" t="s">
        <v>473</v>
      </c>
      <c r="K12" s="31" t="s">
        <v>912</v>
      </c>
      <c r="L12" s="31">
        <v>0.23</v>
      </c>
      <c r="M12" s="31" t="s">
        <v>901</v>
      </c>
      <c r="N12" s="31" t="s">
        <v>902</v>
      </c>
      <c r="O12" s="31" t="s">
        <v>944</v>
      </c>
    </row>
    <row r="13" spans="1:15" s="31" customFormat="1">
      <c r="A13" s="31" t="s">
        <v>897</v>
      </c>
      <c r="B13" s="31" t="s">
        <v>544</v>
      </c>
      <c r="C13" s="31" t="s">
        <v>267</v>
      </c>
      <c r="D13" s="31" t="s">
        <v>910</v>
      </c>
      <c r="F13" s="31" t="s">
        <v>898</v>
      </c>
      <c r="G13" s="31" t="s">
        <v>458</v>
      </c>
      <c r="H13" s="31" t="s">
        <v>402</v>
      </c>
      <c r="I13" s="31" t="s">
        <v>500</v>
      </c>
      <c r="J13" s="31" t="s">
        <v>465</v>
      </c>
      <c r="K13" s="31" t="s">
        <v>913</v>
      </c>
      <c r="L13" s="31">
        <v>68</v>
      </c>
      <c r="M13" s="31" t="s">
        <v>901</v>
      </c>
      <c r="N13" s="31" t="s">
        <v>902</v>
      </c>
      <c r="O13" s="31" t="s">
        <v>944</v>
      </c>
    </row>
    <row r="14" spans="1:15" s="31" customFormat="1">
      <c r="A14" s="31" t="s">
        <v>897</v>
      </c>
      <c r="B14" s="31" t="s">
        <v>544</v>
      </c>
      <c r="C14" s="31" t="s">
        <v>267</v>
      </c>
      <c r="D14" s="31" t="s">
        <v>910</v>
      </c>
      <c r="F14" s="31" t="s">
        <v>898</v>
      </c>
      <c r="G14" s="31" t="s">
        <v>458</v>
      </c>
      <c r="H14" s="31" t="s">
        <v>402</v>
      </c>
      <c r="I14" s="31" t="s">
        <v>914</v>
      </c>
      <c r="J14" s="31" t="s">
        <v>939</v>
      </c>
      <c r="K14" s="31" t="s">
        <v>915</v>
      </c>
      <c r="L14" s="31">
        <v>98</v>
      </c>
      <c r="M14" s="31" t="s">
        <v>901</v>
      </c>
      <c r="N14" s="31" t="s">
        <v>902</v>
      </c>
      <c r="O14" s="31" t="s">
        <v>944</v>
      </c>
    </row>
    <row r="15" spans="1:15">
      <c r="A15" t="s">
        <v>897</v>
      </c>
      <c r="B15" t="s">
        <v>544</v>
      </c>
      <c r="C15" t="s">
        <v>267</v>
      </c>
      <c r="D15" t="s">
        <v>916</v>
      </c>
      <c r="F15" t="s">
        <v>898</v>
      </c>
      <c r="G15" t="s">
        <v>458</v>
      </c>
      <c r="H15" t="s">
        <v>402</v>
      </c>
      <c r="I15" t="s">
        <v>338</v>
      </c>
      <c r="J15" t="s">
        <v>465</v>
      </c>
      <c r="K15" t="s">
        <v>905</v>
      </c>
      <c r="L15">
        <v>1.4</v>
      </c>
      <c r="M15" t="s">
        <v>901</v>
      </c>
      <c r="N15" t="s">
        <v>902</v>
      </c>
      <c r="O15" t="s">
        <v>944</v>
      </c>
    </row>
    <row r="16" spans="1:15">
      <c r="A16" t="s">
        <v>897</v>
      </c>
      <c r="B16" t="s">
        <v>544</v>
      </c>
      <c r="C16" t="s">
        <v>267</v>
      </c>
      <c r="D16" t="s">
        <v>916</v>
      </c>
      <c r="F16" t="s">
        <v>898</v>
      </c>
      <c r="G16" t="s">
        <v>458</v>
      </c>
      <c r="H16" t="s">
        <v>402</v>
      </c>
      <c r="I16" t="s">
        <v>370</v>
      </c>
      <c r="J16" t="s">
        <v>940</v>
      </c>
      <c r="K16" t="s">
        <v>900</v>
      </c>
      <c r="L16">
        <v>2.2000000000000002</v>
      </c>
      <c r="M16" t="s">
        <v>901</v>
      </c>
      <c r="N16" t="s">
        <v>902</v>
      </c>
      <c r="O16" t="s">
        <v>944</v>
      </c>
    </row>
    <row r="17" spans="1:15">
      <c r="A17" t="s">
        <v>897</v>
      </c>
      <c r="B17" t="s">
        <v>544</v>
      </c>
      <c r="C17" t="s">
        <v>267</v>
      </c>
      <c r="D17" t="s">
        <v>916</v>
      </c>
      <c r="F17" t="s">
        <v>898</v>
      </c>
      <c r="G17" t="s">
        <v>458</v>
      </c>
      <c r="H17" t="s">
        <v>402</v>
      </c>
      <c r="I17" t="s">
        <v>917</v>
      </c>
      <c r="J17" t="s">
        <v>855</v>
      </c>
      <c r="K17" t="s">
        <v>900</v>
      </c>
      <c r="L17">
        <v>0.64</v>
      </c>
      <c r="M17" t="s">
        <v>901</v>
      </c>
      <c r="N17" t="s">
        <v>902</v>
      </c>
      <c r="O17" t="s">
        <v>944</v>
      </c>
    </row>
    <row r="18" spans="1:15">
      <c r="A18" t="s">
        <v>897</v>
      </c>
      <c r="B18" t="s">
        <v>544</v>
      </c>
      <c r="C18" t="s">
        <v>267</v>
      </c>
      <c r="D18" t="s">
        <v>916</v>
      </c>
      <c r="F18" t="s">
        <v>898</v>
      </c>
      <c r="G18" t="s">
        <v>458</v>
      </c>
      <c r="H18" t="s">
        <v>402</v>
      </c>
      <c r="I18" t="s">
        <v>918</v>
      </c>
      <c r="J18" t="s">
        <v>304</v>
      </c>
      <c r="K18" t="s">
        <v>904</v>
      </c>
      <c r="L18">
        <v>1</v>
      </c>
      <c r="M18" t="s">
        <v>901</v>
      </c>
      <c r="N18" t="s">
        <v>902</v>
      </c>
      <c r="O18" t="s">
        <v>944</v>
      </c>
    </row>
    <row r="19" spans="1:15">
      <c r="A19" t="s">
        <v>897</v>
      </c>
      <c r="B19" t="s">
        <v>544</v>
      </c>
      <c r="C19" t="s">
        <v>267</v>
      </c>
      <c r="D19" t="s">
        <v>916</v>
      </c>
      <c r="F19" t="s">
        <v>898</v>
      </c>
      <c r="G19" t="s">
        <v>458</v>
      </c>
      <c r="H19" t="s">
        <v>402</v>
      </c>
      <c r="I19" t="s">
        <v>919</v>
      </c>
      <c r="J19" t="s">
        <v>304</v>
      </c>
      <c r="K19" t="s">
        <v>904</v>
      </c>
      <c r="L19">
        <v>0.1</v>
      </c>
      <c r="M19" t="s">
        <v>901</v>
      </c>
      <c r="N19" t="s">
        <v>902</v>
      </c>
      <c r="O19" t="s">
        <v>944</v>
      </c>
    </row>
    <row r="20" spans="1:15">
      <c r="A20" t="s">
        <v>897</v>
      </c>
      <c r="B20" t="s">
        <v>544</v>
      </c>
      <c r="C20" t="s">
        <v>267</v>
      </c>
      <c r="D20" t="s">
        <v>920</v>
      </c>
      <c r="F20" t="s">
        <v>898</v>
      </c>
      <c r="G20" t="s">
        <v>458</v>
      </c>
      <c r="H20" t="s">
        <v>402</v>
      </c>
      <c r="I20" t="s">
        <v>338</v>
      </c>
      <c r="J20" t="s">
        <v>338</v>
      </c>
      <c r="K20" t="s">
        <v>905</v>
      </c>
      <c r="L20">
        <v>5.8</v>
      </c>
      <c r="M20" t="s">
        <v>901</v>
      </c>
      <c r="N20" t="s">
        <v>902</v>
      </c>
      <c r="O20" t="s">
        <v>944</v>
      </c>
    </row>
    <row r="21" spans="1:15">
      <c r="A21" t="s">
        <v>897</v>
      </c>
      <c r="B21" t="s">
        <v>544</v>
      </c>
      <c r="C21" t="s">
        <v>267</v>
      </c>
      <c r="D21" t="s">
        <v>920</v>
      </c>
      <c r="F21" t="s">
        <v>898</v>
      </c>
      <c r="G21" t="s">
        <v>458</v>
      </c>
      <c r="H21" t="s">
        <v>402</v>
      </c>
      <c r="I21" t="s">
        <v>869</v>
      </c>
      <c r="J21" t="s">
        <v>941</v>
      </c>
      <c r="K21" t="s">
        <v>909</v>
      </c>
      <c r="L21">
        <v>24</v>
      </c>
      <c r="M21" t="s">
        <v>901</v>
      </c>
      <c r="N21" t="s">
        <v>902</v>
      </c>
      <c r="O21" t="s">
        <v>944</v>
      </c>
    </row>
    <row r="22" spans="1:15">
      <c r="A22" t="s">
        <v>897</v>
      </c>
      <c r="B22" t="s">
        <v>544</v>
      </c>
      <c r="C22" t="s">
        <v>267</v>
      </c>
      <c r="D22" t="s">
        <v>920</v>
      </c>
      <c r="F22" t="s">
        <v>898</v>
      </c>
      <c r="G22" t="s">
        <v>458</v>
      </c>
      <c r="H22" t="s">
        <v>402</v>
      </c>
      <c r="I22" t="s">
        <v>494</v>
      </c>
      <c r="J22" t="s">
        <v>940</v>
      </c>
      <c r="K22" t="s">
        <v>900</v>
      </c>
      <c r="L22">
        <v>0.12</v>
      </c>
      <c r="M22" t="s">
        <v>901</v>
      </c>
      <c r="N22" t="s">
        <v>902</v>
      </c>
      <c r="O22" t="s">
        <v>944</v>
      </c>
    </row>
    <row r="23" spans="1:15">
      <c r="A23" t="s">
        <v>897</v>
      </c>
      <c r="B23" t="s">
        <v>544</v>
      </c>
      <c r="C23" t="s">
        <v>267</v>
      </c>
      <c r="D23" t="s">
        <v>920</v>
      </c>
      <c r="F23" t="s">
        <v>898</v>
      </c>
      <c r="G23" t="s">
        <v>458</v>
      </c>
      <c r="H23" t="s">
        <v>402</v>
      </c>
      <c r="I23" t="s">
        <v>921</v>
      </c>
      <c r="J23" t="s">
        <v>939</v>
      </c>
      <c r="K23" t="s">
        <v>909</v>
      </c>
      <c r="L23">
        <v>83</v>
      </c>
      <c r="M23" t="s">
        <v>901</v>
      </c>
      <c r="N23" t="s">
        <v>902</v>
      </c>
      <c r="O23" t="s">
        <v>944</v>
      </c>
    </row>
    <row r="24" spans="1:15">
      <c r="A24" t="s">
        <v>897</v>
      </c>
      <c r="B24" t="s">
        <v>544</v>
      </c>
      <c r="C24" t="s">
        <v>267</v>
      </c>
      <c r="D24" t="s">
        <v>922</v>
      </c>
      <c r="F24" t="s">
        <v>898</v>
      </c>
      <c r="G24" t="s">
        <v>458</v>
      </c>
      <c r="H24" t="s">
        <v>402</v>
      </c>
      <c r="I24" t="s">
        <v>338</v>
      </c>
      <c r="J24" t="s">
        <v>465</v>
      </c>
      <c r="K24" t="s">
        <v>923</v>
      </c>
      <c r="L24">
        <v>3100</v>
      </c>
      <c r="M24" t="s">
        <v>901</v>
      </c>
      <c r="N24" t="s">
        <v>902</v>
      </c>
      <c r="O24" t="s">
        <v>944</v>
      </c>
    </row>
    <row r="25" spans="1:15">
      <c r="A25" t="s">
        <v>897</v>
      </c>
      <c r="B25" t="s">
        <v>544</v>
      </c>
      <c r="C25" t="s">
        <v>267</v>
      </c>
      <c r="D25" t="s">
        <v>922</v>
      </c>
      <c r="F25" t="s">
        <v>898</v>
      </c>
      <c r="G25" t="s">
        <v>458</v>
      </c>
      <c r="H25" t="s">
        <v>402</v>
      </c>
      <c r="I25" t="s">
        <v>924</v>
      </c>
      <c r="J25" t="s">
        <v>942</v>
      </c>
      <c r="K25" t="s">
        <v>925</v>
      </c>
      <c r="L25">
        <v>0.25</v>
      </c>
      <c r="M25" t="s">
        <v>901</v>
      </c>
      <c r="N25" t="s">
        <v>902</v>
      </c>
      <c r="O25" t="s">
        <v>944</v>
      </c>
    </row>
    <row r="26" spans="1:15">
      <c r="A26" t="s">
        <v>897</v>
      </c>
      <c r="B26" t="s">
        <v>544</v>
      </c>
      <c r="C26" t="s">
        <v>267</v>
      </c>
      <c r="D26" t="s">
        <v>922</v>
      </c>
      <c r="F26" t="s">
        <v>898</v>
      </c>
      <c r="G26" t="s">
        <v>458</v>
      </c>
      <c r="H26" t="s">
        <v>402</v>
      </c>
      <c r="I26" t="s">
        <v>921</v>
      </c>
      <c r="J26" t="s">
        <v>939</v>
      </c>
      <c r="K26" t="s">
        <v>925</v>
      </c>
      <c r="L26">
        <v>0.49</v>
      </c>
      <c r="M26" t="s">
        <v>901</v>
      </c>
      <c r="N26" t="s">
        <v>902</v>
      </c>
      <c r="O26" t="s">
        <v>944</v>
      </c>
    </row>
    <row r="27" spans="1:15">
      <c r="A27" t="s">
        <v>897</v>
      </c>
      <c r="B27" t="s">
        <v>544</v>
      </c>
      <c r="C27" t="s">
        <v>267</v>
      </c>
      <c r="D27" t="s">
        <v>926</v>
      </c>
      <c r="F27" t="s">
        <v>898</v>
      </c>
      <c r="G27" t="s">
        <v>458</v>
      </c>
      <c r="H27" t="s">
        <v>402</v>
      </c>
      <c r="I27" t="s">
        <v>500</v>
      </c>
      <c r="J27" t="s">
        <v>465</v>
      </c>
      <c r="K27" t="s">
        <v>927</v>
      </c>
      <c r="L27">
        <v>0.35</v>
      </c>
      <c r="M27" t="s">
        <v>901</v>
      </c>
      <c r="N27" t="s">
        <v>902</v>
      </c>
      <c r="O27" t="s">
        <v>944</v>
      </c>
    </row>
    <row r="28" spans="1:15">
      <c r="A28" t="s">
        <v>897</v>
      </c>
      <c r="B28" t="s">
        <v>544</v>
      </c>
      <c r="C28" t="s">
        <v>267</v>
      </c>
      <c r="D28" t="s">
        <v>928</v>
      </c>
      <c r="F28" t="s">
        <v>898</v>
      </c>
      <c r="G28" t="s">
        <v>458</v>
      </c>
      <c r="H28" t="s">
        <v>402</v>
      </c>
      <c r="I28" t="s">
        <v>929</v>
      </c>
      <c r="J28" t="s">
        <v>465</v>
      </c>
      <c r="K28" t="s">
        <v>900</v>
      </c>
      <c r="L28">
        <v>0.3</v>
      </c>
      <c r="M28" t="s">
        <v>901</v>
      </c>
      <c r="N28" t="s">
        <v>902</v>
      </c>
      <c r="O28" t="s">
        <v>944</v>
      </c>
    </row>
    <row r="29" spans="1:15">
      <c r="A29" t="s">
        <v>897</v>
      </c>
      <c r="B29" t="s">
        <v>544</v>
      </c>
      <c r="C29" t="s">
        <v>267</v>
      </c>
      <c r="D29" t="s">
        <v>928</v>
      </c>
      <c r="F29" t="s">
        <v>898</v>
      </c>
      <c r="G29" t="s">
        <v>458</v>
      </c>
      <c r="H29" t="s">
        <v>402</v>
      </c>
      <c r="I29" t="s">
        <v>338</v>
      </c>
      <c r="J29" t="s">
        <v>465</v>
      </c>
      <c r="K29" t="s">
        <v>930</v>
      </c>
      <c r="L29">
        <v>8.6</v>
      </c>
      <c r="M29" t="s">
        <v>901</v>
      </c>
      <c r="N29" t="s">
        <v>902</v>
      </c>
      <c r="O29" t="s">
        <v>944</v>
      </c>
    </row>
    <row r="30" spans="1:15">
      <c r="A30" t="s">
        <v>897</v>
      </c>
      <c r="B30" t="s">
        <v>544</v>
      </c>
      <c r="C30" t="s">
        <v>267</v>
      </c>
      <c r="D30" t="s">
        <v>931</v>
      </c>
      <c r="F30" t="s">
        <v>898</v>
      </c>
      <c r="G30" t="s">
        <v>458</v>
      </c>
      <c r="H30" t="s">
        <v>402</v>
      </c>
      <c r="I30" t="s">
        <v>338</v>
      </c>
      <c r="J30" t="s">
        <v>465</v>
      </c>
      <c r="K30" t="s">
        <v>930</v>
      </c>
      <c r="L30">
        <v>480</v>
      </c>
      <c r="M30" t="s">
        <v>901</v>
      </c>
      <c r="N30" t="s">
        <v>902</v>
      </c>
      <c r="O30" t="s">
        <v>944</v>
      </c>
    </row>
    <row r="31" spans="1:15">
      <c r="A31" t="s">
        <v>897</v>
      </c>
      <c r="B31" t="s">
        <v>544</v>
      </c>
      <c r="C31" t="s">
        <v>267</v>
      </c>
      <c r="D31" t="s">
        <v>931</v>
      </c>
      <c r="F31" t="s">
        <v>898</v>
      </c>
      <c r="G31" t="s">
        <v>458</v>
      </c>
      <c r="H31" t="s">
        <v>402</v>
      </c>
      <c r="I31" t="s">
        <v>482</v>
      </c>
      <c r="J31" t="s">
        <v>937</v>
      </c>
      <c r="K31" t="s">
        <v>932</v>
      </c>
      <c r="L31">
        <v>7.0000000000000007E-2</v>
      </c>
      <c r="M31" t="s">
        <v>901</v>
      </c>
      <c r="N31" t="s">
        <v>902</v>
      </c>
      <c r="O31" t="s">
        <v>944</v>
      </c>
    </row>
    <row r="32" spans="1:15">
      <c r="A32" t="s">
        <v>897</v>
      </c>
      <c r="B32" t="s">
        <v>544</v>
      </c>
      <c r="C32" t="s">
        <v>267</v>
      </c>
      <c r="D32" t="s">
        <v>933</v>
      </c>
      <c r="F32" t="s">
        <v>898</v>
      </c>
      <c r="G32" t="s">
        <v>458</v>
      </c>
      <c r="H32" t="s">
        <v>402</v>
      </c>
      <c r="I32" t="s">
        <v>338</v>
      </c>
      <c r="J32" t="s">
        <v>465</v>
      </c>
      <c r="K32" t="s">
        <v>923</v>
      </c>
      <c r="L32">
        <v>325</v>
      </c>
      <c r="M32" t="s">
        <v>901</v>
      </c>
      <c r="N32" t="s">
        <v>902</v>
      </c>
      <c r="O32" t="s">
        <v>944</v>
      </c>
    </row>
    <row r="33" spans="1:15">
      <c r="A33" t="s">
        <v>897</v>
      </c>
      <c r="B33" t="s">
        <v>544</v>
      </c>
      <c r="C33" t="s">
        <v>267</v>
      </c>
      <c r="D33" t="s">
        <v>934</v>
      </c>
      <c r="F33" t="s">
        <v>898</v>
      </c>
      <c r="G33" t="s">
        <v>458</v>
      </c>
      <c r="H33" t="s">
        <v>402</v>
      </c>
      <c r="I33" t="s">
        <v>338</v>
      </c>
      <c r="J33" t="s">
        <v>465</v>
      </c>
      <c r="K33" t="s">
        <v>935</v>
      </c>
      <c r="L33">
        <v>630</v>
      </c>
      <c r="M33" t="s">
        <v>901</v>
      </c>
      <c r="N33" t="s">
        <v>902</v>
      </c>
      <c r="O33" t="s">
        <v>944</v>
      </c>
    </row>
    <row r="34" spans="1:15">
      <c r="A34" t="s">
        <v>398</v>
      </c>
      <c r="B34" t="s">
        <v>515</v>
      </c>
      <c r="C34" t="s">
        <v>268</v>
      </c>
      <c r="D34" t="s">
        <v>122</v>
      </c>
      <c r="F34" t="s">
        <v>401</v>
      </c>
      <c r="G34" t="s">
        <v>952</v>
      </c>
      <c r="H34" t="s">
        <v>402</v>
      </c>
      <c r="I34" t="s">
        <v>403</v>
      </c>
      <c r="K34" t="s">
        <v>362</v>
      </c>
      <c r="L34" s="33">
        <v>4.79</v>
      </c>
      <c r="M34" s="33" t="s">
        <v>404</v>
      </c>
      <c r="N34" t="s">
        <v>405</v>
      </c>
      <c r="O34" t="s">
        <v>943</v>
      </c>
    </row>
    <row r="35" spans="1:15">
      <c r="A35" t="s">
        <v>398</v>
      </c>
      <c r="B35" t="s">
        <v>515</v>
      </c>
      <c r="C35" t="s">
        <v>268</v>
      </c>
      <c r="D35" t="s">
        <v>122</v>
      </c>
      <c r="F35" t="s">
        <v>401</v>
      </c>
      <c r="G35" t="s">
        <v>952</v>
      </c>
      <c r="H35" t="s">
        <v>402</v>
      </c>
      <c r="I35" t="s">
        <v>406</v>
      </c>
      <c r="K35" t="s">
        <v>362</v>
      </c>
      <c r="L35" s="29">
        <v>4.5999999999999999E-3</v>
      </c>
      <c r="M35" s="33" t="s">
        <v>404</v>
      </c>
      <c r="N35" t="s">
        <v>405</v>
      </c>
      <c r="O35" t="s">
        <v>943</v>
      </c>
    </row>
    <row r="36" spans="1:15">
      <c r="A36" t="s">
        <v>398</v>
      </c>
      <c r="B36" t="s">
        <v>515</v>
      </c>
      <c r="C36" t="s">
        <v>268</v>
      </c>
      <c r="D36" t="s">
        <v>122</v>
      </c>
      <c r="F36" t="s">
        <v>401</v>
      </c>
      <c r="G36" t="s">
        <v>952</v>
      </c>
      <c r="H36" t="s">
        <v>402</v>
      </c>
      <c r="I36" t="s">
        <v>407</v>
      </c>
      <c r="K36" t="s">
        <v>362</v>
      </c>
      <c r="L36" s="29">
        <v>2.2000000000000001E-4</v>
      </c>
      <c r="M36" s="33" t="s">
        <v>404</v>
      </c>
      <c r="N36" t="s">
        <v>405</v>
      </c>
      <c r="O36" t="s">
        <v>943</v>
      </c>
    </row>
    <row r="37" spans="1:15">
      <c r="A37" t="s">
        <v>398</v>
      </c>
      <c r="B37" t="s">
        <v>515</v>
      </c>
      <c r="C37" t="s">
        <v>268</v>
      </c>
      <c r="D37" t="s">
        <v>122</v>
      </c>
      <c r="F37" t="s">
        <v>401</v>
      </c>
      <c r="G37" t="s">
        <v>952</v>
      </c>
      <c r="H37" t="s">
        <v>402</v>
      </c>
      <c r="I37" t="s">
        <v>408</v>
      </c>
      <c r="K37" t="s">
        <v>362</v>
      </c>
      <c r="L37">
        <f>0.00005</f>
        <v>5.0000000000000002E-5</v>
      </c>
      <c r="M37" s="33" t="s">
        <v>404</v>
      </c>
      <c r="N37" t="s">
        <v>405</v>
      </c>
      <c r="O37" t="s">
        <v>943</v>
      </c>
    </row>
    <row r="38" spans="1:15">
      <c r="A38" t="s">
        <v>398</v>
      </c>
      <c r="B38" t="s">
        <v>515</v>
      </c>
      <c r="C38" t="s">
        <v>268</v>
      </c>
      <c r="D38" t="s">
        <v>122</v>
      </c>
      <c r="F38" t="s">
        <v>401</v>
      </c>
      <c r="G38" t="s">
        <v>952</v>
      </c>
      <c r="H38" t="s">
        <v>402</v>
      </c>
      <c r="I38" t="s">
        <v>409</v>
      </c>
      <c r="K38" t="s">
        <v>362</v>
      </c>
      <c r="L38">
        <f>0.00009</f>
        <v>9.0000000000000006E-5</v>
      </c>
      <c r="M38" s="33" t="s">
        <v>404</v>
      </c>
      <c r="N38" t="s">
        <v>405</v>
      </c>
      <c r="O38" t="s">
        <v>943</v>
      </c>
    </row>
    <row r="39" spans="1:15">
      <c r="A39" t="s">
        <v>398</v>
      </c>
      <c r="B39" t="s">
        <v>515</v>
      </c>
      <c r="C39" t="s">
        <v>268</v>
      </c>
      <c r="D39" t="s">
        <v>122</v>
      </c>
      <c r="F39" t="s">
        <v>401</v>
      </c>
      <c r="G39" t="s">
        <v>952</v>
      </c>
      <c r="H39" t="s">
        <v>402</v>
      </c>
      <c r="I39" t="s">
        <v>410</v>
      </c>
      <c r="K39" t="s">
        <v>362</v>
      </c>
      <c r="L39">
        <f>0.0002</f>
        <v>2.0000000000000001E-4</v>
      </c>
      <c r="M39" s="33" t="s">
        <v>404</v>
      </c>
      <c r="N39" t="s">
        <v>405</v>
      </c>
      <c r="O39" t="s">
        <v>943</v>
      </c>
    </row>
    <row r="40" spans="1:15">
      <c r="A40" t="s">
        <v>398</v>
      </c>
      <c r="B40" t="s">
        <v>515</v>
      </c>
      <c r="C40" t="s">
        <v>268</v>
      </c>
      <c r="D40" t="s">
        <v>122</v>
      </c>
      <c r="F40" t="s">
        <v>401</v>
      </c>
      <c r="G40" t="s">
        <v>952</v>
      </c>
      <c r="H40" t="s">
        <v>402</v>
      </c>
      <c r="I40" t="s">
        <v>411</v>
      </c>
      <c r="K40" t="s">
        <v>362</v>
      </c>
      <c r="L40">
        <f>0.0006</f>
        <v>5.9999999999999995E-4</v>
      </c>
      <c r="M40" s="33" t="s">
        <v>404</v>
      </c>
      <c r="N40" t="s">
        <v>405</v>
      </c>
      <c r="O40" t="s">
        <v>943</v>
      </c>
    </row>
    <row r="41" spans="1:15">
      <c r="A41" t="s">
        <v>398</v>
      </c>
      <c r="B41" t="s">
        <v>515</v>
      </c>
      <c r="C41" t="s">
        <v>268</v>
      </c>
      <c r="D41" t="s">
        <v>122</v>
      </c>
      <c r="F41" t="s">
        <v>401</v>
      </c>
      <c r="G41" t="s">
        <v>952</v>
      </c>
      <c r="H41" t="s">
        <v>402</v>
      </c>
      <c r="I41" t="s">
        <v>412</v>
      </c>
      <c r="K41" t="s">
        <v>362</v>
      </c>
      <c r="L41">
        <v>0.12</v>
      </c>
      <c r="M41" s="33" t="s">
        <v>404</v>
      </c>
      <c r="N41" t="s">
        <v>405</v>
      </c>
      <c r="O41" t="s">
        <v>943</v>
      </c>
    </row>
    <row r="42" spans="1:15">
      <c r="A42" t="s">
        <v>398</v>
      </c>
      <c r="B42" t="s">
        <v>515</v>
      </c>
      <c r="C42" t="s">
        <v>268</v>
      </c>
      <c r="D42" t="s">
        <v>122</v>
      </c>
      <c r="F42" t="s">
        <v>401</v>
      </c>
      <c r="G42" t="s">
        <v>952</v>
      </c>
      <c r="H42" t="s">
        <v>402</v>
      </c>
      <c r="I42" t="s">
        <v>413</v>
      </c>
      <c r="K42" t="s">
        <v>414</v>
      </c>
      <c r="L42">
        <v>11.43</v>
      </c>
      <c r="M42" s="33" t="s">
        <v>404</v>
      </c>
      <c r="N42" t="s">
        <v>405</v>
      </c>
      <c r="O42" t="s">
        <v>943</v>
      </c>
    </row>
    <row r="43" spans="1:15">
      <c r="A43" t="s">
        <v>398</v>
      </c>
      <c r="B43" t="s">
        <v>515</v>
      </c>
      <c r="C43" t="s">
        <v>268</v>
      </c>
      <c r="D43" t="s">
        <v>122</v>
      </c>
      <c r="F43" t="s">
        <v>401</v>
      </c>
      <c r="G43" t="s">
        <v>952</v>
      </c>
      <c r="H43" t="s">
        <v>402</v>
      </c>
      <c r="I43" t="s">
        <v>415</v>
      </c>
      <c r="K43" t="s">
        <v>416</v>
      </c>
      <c r="L43">
        <v>0.02</v>
      </c>
      <c r="M43" s="33" t="s">
        <v>404</v>
      </c>
      <c r="N43" t="s">
        <v>405</v>
      </c>
      <c r="O43" t="s">
        <v>943</v>
      </c>
    </row>
    <row r="44" spans="1:15">
      <c r="A44" t="s">
        <v>398</v>
      </c>
      <c r="B44" t="s">
        <v>515</v>
      </c>
      <c r="C44" t="s">
        <v>268</v>
      </c>
      <c r="D44" t="s">
        <v>122</v>
      </c>
      <c r="F44" t="s">
        <v>401</v>
      </c>
      <c r="G44" t="s">
        <v>952</v>
      </c>
      <c r="H44" t="s">
        <v>402</v>
      </c>
      <c r="I44" t="s">
        <v>417</v>
      </c>
      <c r="K44" t="s">
        <v>416</v>
      </c>
      <c r="L44">
        <v>0.32</v>
      </c>
      <c r="M44" s="33" t="s">
        <v>404</v>
      </c>
      <c r="N44" t="s">
        <v>405</v>
      </c>
      <c r="O44" t="s">
        <v>943</v>
      </c>
    </row>
    <row r="45" spans="1:15">
      <c r="A45" t="s">
        <v>398</v>
      </c>
      <c r="B45" t="s">
        <v>515</v>
      </c>
      <c r="C45" t="s">
        <v>268</v>
      </c>
      <c r="D45" t="s">
        <v>122</v>
      </c>
      <c r="F45" t="s">
        <v>401</v>
      </c>
      <c r="G45" t="s">
        <v>952</v>
      </c>
      <c r="H45" t="s">
        <v>402</v>
      </c>
      <c r="I45" t="s">
        <v>418</v>
      </c>
      <c r="K45" t="s">
        <v>362</v>
      </c>
      <c r="L45">
        <v>0.15</v>
      </c>
      <c r="M45" s="33" t="s">
        <v>404</v>
      </c>
      <c r="N45" t="s">
        <v>405</v>
      </c>
      <c r="O45" t="s">
        <v>943</v>
      </c>
    </row>
    <row r="46" spans="1:15">
      <c r="A46" t="s">
        <v>398</v>
      </c>
      <c r="B46" t="s">
        <v>515</v>
      </c>
      <c r="C46" t="s">
        <v>268</v>
      </c>
      <c r="D46" t="s">
        <v>122</v>
      </c>
      <c r="F46" t="s">
        <v>401</v>
      </c>
      <c r="G46" t="s">
        <v>952</v>
      </c>
      <c r="H46" t="s">
        <v>402</v>
      </c>
      <c r="I46" t="s">
        <v>419</v>
      </c>
      <c r="K46" t="s">
        <v>362</v>
      </c>
      <c r="L46" s="29">
        <v>3.82E-3</v>
      </c>
      <c r="M46" s="33" t="s">
        <v>404</v>
      </c>
      <c r="N46" t="s">
        <v>405</v>
      </c>
      <c r="O46" t="s">
        <v>943</v>
      </c>
    </row>
    <row r="47" spans="1:15">
      <c r="A47" t="s">
        <v>398</v>
      </c>
      <c r="B47" t="s">
        <v>515</v>
      </c>
      <c r="C47" t="s">
        <v>268</v>
      </c>
      <c r="D47" t="s">
        <v>122</v>
      </c>
      <c r="F47" t="s">
        <v>401</v>
      </c>
      <c r="G47" t="s">
        <v>952</v>
      </c>
      <c r="H47" t="s">
        <v>402</v>
      </c>
      <c r="I47" t="s">
        <v>420</v>
      </c>
      <c r="K47" t="s">
        <v>362</v>
      </c>
      <c r="L47">
        <v>2.15</v>
      </c>
      <c r="M47" s="33" t="s">
        <v>404</v>
      </c>
      <c r="N47" t="s">
        <v>405</v>
      </c>
      <c r="O47" t="s">
        <v>943</v>
      </c>
    </row>
    <row r="48" spans="1:15">
      <c r="A48" t="s">
        <v>398</v>
      </c>
      <c r="B48" t="s">
        <v>515</v>
      </c>
      <c r="C48" t="s">
        <v>268</v>
      </c>
      <c r="D48" t="s">
        <v>122</v>
      </c>
      <c r="F48" t="s">
        <v>401</v>
      </c>
      <c r="G48" t="s">
        <v>952</v>
      </c>
      <c r="H48" t="s">
        <v>402</v>
      </c>
      <c r="I48" t="s">
        <v>421</v>
      </c>
      <c r="K48" t="s">
        <v>362</v>
      </c>
      <c r="L48">
        <v>2.74</v>
      </c>
      <c r="M48" s="33" t="s">
        <v>404</v>
      </c>
      <c r="N48" t="s">
        <v>405</v>
      </c>
      <c r="O48" t="s">
        <v>943</v>
      </c>
    </row>
    <row r="49" spans="1:15">
      <c r="A49" t="s">
        <v>398</v>
      </c>
      <c r="B49" t="s">
        <v>515</v>
      </c>
      <c r="C49" t="s">
        <v>268</v>
      </c>
      <c r="D49" t="s">
        <v>122</v>
      </c>
      <c r="F49" t="s">
        <v>401</v>
      </c>
      <c r="G49" t="s">
        <v>952</v>
      </c>
      <c r="H49" t="s">
        <v>402</v>
      </c>
      <c r="I49" t="s">
        <v>422</v>
      </c>
      <c r="K49" t="s">
        <v>362</v>
      </c>
      <c r="L49">
        <v>0.01</v>
      </c>
      <c r="M49" s="33" t="s">
        <v>404</v>
      </c>
      <c r="N49" t="s">
        <v>405</v>
      </c>
      <c r="O49" t="s">
        <v>943</v>
      </c>
    </row>
    <row r="50" spans="1:15">
      <c r="A50" t="s">
        <v>398</v>
      </c>
      <c r="B50" t="s">
        <v>515</v>
      </c>
      <c r="C50" t="s">
        <v>268</v>
      </c>
      <c r="D50" t="s">
        <v>122</v>
      </c>
      <c r="F50" t="s">
        <v>401</v>
      </c>
      <c r="G50" t="s">
        <v>952</v>
      </c>
      <c r="H50" t="s">
        <v>402</v>
      </c>
      <c r="I50" t="s">
        <v>423</v>
      </c>
      <c r="K50" t="s">
        <v>362</v>
      </c>
      <c r="L50">
        <v>0.2</v>
      </c>
      <c r="M50" s="33" t="s">
        <v>404</v>
      </c>
      <c r="N50" t="s">
        <v>405</v>
      </c>
      <c r="O50" t="s">
        <v>943</v>
      </c>
    </row>
    <row r="51" spans="1:15">
      <c r="A51" t="s">
        <v>398</v>
      </c>
      <c r="B51" t="s">
        <v>515</v>
      </c>
      <c r="C51" t="s">
        <v>268</v>
      </c>
      <c r="D51" t="s">
        <v>122</v>
      </c>
      <c r="F51" t="s">
        <v>401</v>
      </c>
      <c r="G51" t="s">
        <v>952</v>
      </c>
      <c r="H51" t="s">
        <v>402</v>
      </c>
      <c r="I51" t="s">
        <v>424</v>
      </c>
      <c r="K51" t="s">
        <v>362</v>
      </c>
      <c r="L51">
        <v>0.02</v>
      </c>
      <c r="M51" s="33" t="s">
        <v>404</v>
      </c>
      <c r="N51" t="s">
        <v>405</v>
      </c>
      <c r="O51" t="s">
        <v>943</v>
      </c>
    </row>
    <row r="52" spans="1:15">
      <c r="A52" t="s">
        <v>398</v>
      </c>
      <c r="B52" t="s">
        <v>515</v>
      </c>
      <c r="C52" t="s">
        <v>268</v>
      </c>
      <c r="D52" t="s">
        <v>122</v>
      </c>
      <c r="F52" t="s">
        <v>401</v>
      </c>
      <c r="G52" t="s">
        <v>952</v>
      </c>
      <c r="H52" t="s">
        <v>402</v>
      </c>
      <c r="I52" t="s">
        <v>425</v>
      </c>
      <c r="K52" t="s">
        <v>362</v>
      </c>
      <c r="L52">
        <v>0.02</v>
      </c>
      <c r="M52" s="33" t="s">
        <v>404</v>
      </c>
      <c r="N52" t="s">
        <v>405</v>
      </c>
      <c r="O52" t="s">
        <v>943</v>
      </c>
    </row>
    <row r="53" spans="1:15">
      <c r="A53" t="s">
        <v>398</v>
      </c>
      <c r="B53" t="s">
        <v>515</v>
      </c>
      <c r="C53" t="s">
        <v>268</v>
      </c>
      <c r="D53" t="s">
        <v>122</v>
      </c>
      <c r="F53" t="s">
        <v>401</v>
      </c>
      <c r="G53" t="s">
        <v>952</v>
      </c>
      <c r="H53" t="s">
        <v>402</v>
      </c>
      <c r="I53" t="s">
        <v>426</v>
      </c>
      <c r="K53" t="s">
        <v>362</v>
      </c>
      <c r="L53">
        <v>0.02</v>
      </c>
      <c r="M53" s="33" t="s">
        <v>404</v>
      </c>
      <c r="N53" t="s">
        <v>405</v>
      </c>
      <c r="O53" t="s">
        <v>943</v>
      </c>
    </row>
    <row r="54" spans="1:15">
      <c r="A54" t="s">
        <v>398</v>
      </c>
      <c r="B54" t="s">
        <v>515</v>
      </c>
      <c r="C54" t="s">
        <v>268</v>
      </c>
      <c r="D54" t="s">
        <v>122</v>
      </c>
      <c r="F54" t="s">
        <v>401</v>
      </c>
      <c r="G54" t="s">
        <v>952</v>
      </c>
      <c r="H54" t="s">
        <v>402</v>
      </c>
      <c r="I54" t="s">
        <v>427</v>
      </c>
      <c r="K54" t="s">
        <v>362</v>
      </c>
      <c r="L54">
        <v>0.01</v>
      </c>
      <c r="M54" s="33" t="s">
        <v>404</v>
      </c>
      <c r="N54" t="s">
        <v>405</v>
      </c>
      <c r="O54" t="s">
        <v>943</v>
      </c>
    </row>
    <row r="55" spans="1:15">
      <c r="A55" t="s">
        <v>398</v>
      </c>
      <c r="B55" t="s">
        <v>515</v>
      </c>
      <c r="C55" t="s">
        <v>268</v>
      </c>
      <c r="D55" t="s">
        <v>122</v>
      </c>
      <c r="F55" t="s">
        <v>401</v>
      </c>
      <c r="G55" t="s">
        <v>952</v>
      </c>
      <c r="H55" t="s">
        <v>402</v>
      </c>
      <c r="I55" t="s">
        <v>428</v>
      </c>
      <c r="K55" t="s">
        <v>362</v>
      </c>
      <c r="L55">
        <v>0.62</v>
      </c>
      <c r="M55" s="33" t="s">
        <v>404</v>
      </c>
      <c r="N55" t="s">
        <v>405</v>
      </c>
      <c r="O55" t="s">
        <v>943</v>
      </c>
    </row>
    <row r="56" spans="1:15">
      <c r="A56" t="s">
        <v>398</v>
      </c>
      <c r="B56" t="s">
        <v>515</v>
      </c>
      <c r="C56" t="s">
        <v>268</v>
      </c>
      <c r="D56" t="s">
        <v>122</v>
      </c>
      <c r="F56" t="s">
        <v>401</v>
      </c>
      <c r="G56" t="s">
        <v>952</v>
      </c>
      <c r="H56" t="s">
        <v>402</v>
      </c>
      <c r="I56" t="s">
        <v>429</v>
      </c>
      <c r="K56" t="s">
        <v>430</v>
      </c>
      <c r="L56">
        <v>0.08</v>
      </c>
      <c r="M56" s="33" t="s">
        <v>404</v>
      </c>
      <c r="N56" t="s">
        <v>405</v>
      </c>
      <c r="O56" t="s">
        <v>943</v>
      </c>
    </row>
    <row r="57" spans="1:15">
      <c r="A57" t="s">
        <v>398</v>
      </c>
      <c r="B57" t="s">
        <v>515</v>
      </c>
      <c r="C57" t="s">
        <v>400</v>
      </c>
      <c r="D57" t="s">
        <v>126</v>
      </c>
      <c r="E57" t="s">
        <v>432</v>
      </c>
      <c r="F57" t="s">
        <v>431</v>
      </c>
      <c r="G57" t="s">
        <v>952</v>
      </c>
      <c r="H57" t="s">
        <v>402</v>
      </c>
      <c r="I57" t="s">
        <v>359</v>
      </c>
      <c r="K57" t="s">
        <v>362</v>
      </c>
      <c r="L57">
        <v>7.79</v>
      </c>
      <c r="M57" t="s">
        <v>433</v>
      </c>
      <c r="N57" t="s">
        <v>434</v>
      </c>
      <c r="O57" t="s">
        <v>943</v>
      </c>
    </row>
    <row r="58" spans="1:15">
      <c r="A58" t="s">
        <v>398</v>
      </c>
      <c r="B58" t="s">
        <v>515</v>
      </c>
      <c r="C58" t="s">
        <v>400</v>
      </c>
      <c r="D58" t="s">
        <v>126</v>
      </c>
      <c r="E58" t="s">
        <v>22</v>
      </c>
      <c r="F58" t="s">
        <v>431</v>
      </c>
      <c r="G58" t="s">
        <v>952</v>
      </c>
      <c r="H58" t="s">
        <v>402</v>
      </c>
      <c r="I58" t="s">
        <v>435</v>
      </c>
      <c r="K58" t="s">
        <v>416</v>
      </c>
      <c r="L58">
        <v>3.64</v>
      </c>
      <c r="M58" t="s">
        <v>433</v>
      </c>
      <c r="N58" t="s">
        <v>434</v>
      </c>
      <c r="O58" t="s">
        <v>943</v>
      </c>
    </row>
    <row r="59" spans="1:15">
      <c r="A59" t="s">
        <v>398</v>
      </c>
      <c r="B59" t="s">
        <v>515</v>
      </c>
      <c r="C59" t="s">
        <v>400</v>
      </c>
      <c r="D59" t="s">
        <v>126</v>
      </c>
      <c r="E59" t="s">
        <v>22</v>
      </c>
      <c r="F59" t="s">
        <v>431</v>
      </c>
      <c r="G59" t="s">
        <v>952</v>
      </c>
      <c r="H59" t="s">
        <v>402</v>
      </c>
      <c r="I59" t="s">
        <v>436</v>
      </c>
      <c r="K59" t="s">
        <v>414</v>
      </c>
      <c r="L59">
        <f>2.28+3.06</f>
        <v>5.34</v>
      </c>
      <c r="M59" t="s">
        <v>433</v>
      </c>
      <c r="N59" t="s">
        <v>434</v>
      </c>
      <c r="O59" t="s">
        <v>943</v>
      </c>
    </row>
    <row r="60" spans="1:15">
      <c r="A60" t="s">
        <v>398</v>
      </c>
      <c r="B60" t="s">
        <v>515</v>
      </c>
      <c r="C60" t="s">
        <v>400</v>
      </c>
      <c r="D60" t="s">
        <v>126</v>
      </c>
      <c r="E60" t="s">
        <v>437</v>
      </c>
      <c r="F60" t="s">
        <v>431</v>
      </c>
      <c r="G60" t="s">
        <v>952</v>
      </c>
      <c r="H60" t="s">
        <v>402</v>
      </c>
      <c r="I60" t="s">
        <v>438</v>
      </c>
      <c r="K60" t="s">
        <v>439</v>
      </c>
      <c r="L60">
        <v>3.54</v>
      </c>
      <c r="M60" t="s">
        <v>433</v>
      </c>
      <c r="N60" t="s">
        <v>434</v>
      </c>
      <c r="O60" t="s">
        <v>943</v>
      </c>
    </row>
    <row r="61" spans="1:15">
      <c r="A61" t="s">
        <v>398</v>
      </c>
      <c r="B61" t="s">
        <v>515</v>
      </c>
      <c r="C61" t="s">
        <v>400</v>
      </c>
      <c r="D61" t="s">
        <v>126</v>
      </c>
      <c r="E61" t="s">
        <v>440</v>
      </c>
      <c r="F61" t="s">
        <v>431</v>
      </c>
      <c r="G61" t="s">
        <v>952</v>
      </c>
      <c r="H61" t="s">
        <v>402</v>
      </c>
      <c r="I61" t="s">
        <v>441</v>
      </c>
      <c r="K61" t="s">
        <v>416</v>
      </c>
      <c r="L61">
        <v>8.1999999999999993</v>
      </c>
      <c r="M61" t="s">
        <v>433</v>
      </c>
      <c r="N61" t="s">
        <v>434</v>
      </c>
      <c r="O61" t="s">
        <v>943</v>
      </c>
    </row>
    <row r="62" spans="1:15">
      <c r="A62" t="s">
        <v>398</v>
      </c>
      <c r="B62" t="s">
        <v>515</v>
      </c>
      <c r="C62" t="s">
        <v>400</v>
      </c>
      <c r="D62" t="s">
        <v>126</v>
      </c>
      <c r="E62" t="s">
        <v>440</v>
      </c>
      <c r="F62" t="s">
        <v>431</v>
      </c>
      <c r="G62" t="s">
        <v>952</v>
      </c>
      <c r="H62" t="s">
        <v>402</v>
      </c>
      <c r="I62" t="s">
        <v>442</v>
      </c>
      <c r="K62" t="s">
        <v>416</v>
      </c>
      <c r="L62">
        <v>6.24</v>
      </c>
      <c r="M62" t="s">
        <v>433</v>
      </c>
      <c r="N62" t="s">
        <v>434</v>
      </c>
      <c r="O62" t="s">
        <v>943</v>
      </c>
    </row>
    <row r="63" spans="1:15">
      <c r="A63" t="s">
        <v>398</v>
      </c>
      <c r="B63" t="s">
        <v>515</v>
      </c>
      <c r="C63" t="s">
        <v>400</v>
      </c>
      <c r="D63" t="s">
        <v>126</v>
      </c>
      <c r="E63" t="s">
        <v>440</v>
      </c>
      <c r="F63" t="s">
        <v>431</v>
      </c>
      <c r="G63" t="s">
        <v>952</v>
      </c>
      <c r="H63" t="s">
        <v>402</v>
      </c>
      <c r="I63" t="s">
        <v>442</v>
      </c>
      <c r="K63" t="s">
        <v>416</v>
      </c>
      <c r="L63">
        <v>11.22</v>
      </c>
      <c r="M63" t="s">
        <v>433</v>
      </c>
      <c r="N63" t="s">
        <v>434</v>
      </c>
      <c r="O63" t="s">
        <v>943</v>
      </c>
    </row>
    <row r="64" spans="1:15">
      <c r="A64" t="s">
        <v>398</v>
      </c>
      <c r="B64" t="s">
        <v>515</v>
      </c>
      <c r="C64" t="s">
        <v>400</v>
      </c>
      <c r="D64" t="s">
        <v>126</v>
      </c>
      <c r="E64" t="s">
        <v>440</v>
      </c>
      <c r="F64" t="s">
        <v>431</v>
      </c>
      <c r="G64" t="s">
        <v>952</v>
      </c>
      <c r="H64" t="s">
        <v>402</v>
      </c>
      <c r="I64" t="s">
        <v>421</v>
      </c>
      <c r="K64" t="s">
        <v>362</v>
      </c>
      <c r="L64">
        <v>0.49</v>
      </c>
      <c r="M64" t="s">
        <v>433</v>
      </c>
      <c r="N64" t="s">
        <v>434</v>
      </c>
      <c r="O64" t="s">
        <v>943</v>
      </c>
    </row>
    <row r="65" spans="1:15">
      <c r="A65" t="s">
        <v>398</v>
      </c>
      <c r="B65" t="s">
        <v>515</v>
      </c>
      <c r="C65" t="s">
        <v>400</v>
      </c>
      <c r="D65" t="s">
        <v>126</v>
      </c>
      <c r="E65" t="s">
        <v>440</v>
      </c>
      <c r="F65" t="s">
        <v>431</v>
      </c>
      <c r="G65" t="s">
        <v>952</v>
      </c>
      <c r="H65" t="s">
        <v>402</v>
      </c>
      <c r="I65" t="s">
        <v>443</v>
      </c>
      <c r="K65" t="s">
        <v>362</v>
      </c>
      <c r="L65">
        <v>2.2400000000000002</v>
      </c>
      <c r="M65" t="s">
        <v>433</v>
      </c>
      <c r="N65" t="s">
        <v>434</v>
      </c>
      <c r="O65" t="s">
        <v>943</v>
      </c>
    </row>
    <row r="66" spans="1:15">
      <c r="A66" t="s">
        <v>398</v>
      </c>
      <c r="B66" t="s">
        <v>515</v>
      </c>
      <c r="C66" t="s">
        <v>400</v>
      </c>
      <c r="D66" t="s">
        <v>126</v>
      </c>
      <c r="E66" t="s">
        <v>444</v>
      </c>
      <c r="F66" t="s">
        <v>431</v>
      </c>
      <c r="G66" t="s">
        <v>952</v>
      </c>
      <c r="H66" t="s">
        <v>402</v>
      </c>
      <c r="I66" t="s">
        <v>442</v>
      </c>
      <c r="K66" t="s">
        <v>416</v>
      </c>
      <c r="L66">
        <v>9.01</v>
      </c>
      <c r="M66" t="s">
        <v>433</v>
      </c>
      <c r="N66" t="s">
        <v>434</v>
      </c>
      <c r="O66" t="s">
        <v>943</v>
      </c>
    </row>
    <row r="67" spans="1:15">
      <c r="A67" t="s">
        <v>398</v>
      </c>
      <c r="B67" t="s">
        <v>515</v>
      </c>
      <c r="C67" t="s">
        <v>400</v>
      </c>
      <c r="D67" t="s">
        <v>126</v>
      </c>
      <c r="E67" t="s">
        <v>444</v>
      </c>
      <c r="F67" t="s">
        <v>431</v>
      </c>
      <c r="G67" t="s">
        <v>952</v>
      </c>
      <c r="H67" t="s">
        <v>402</v>
      </c>
      <c r="I67" t="s">
        <v>413</v>
      </c>
      <c r="K67" t="s">
        <v>414</v>
      </c>
      <c r="L67">
        <v>0.7</v>
      </c>
      <c r="M67" t="s">
        <v>433</v>
      </c>
      <c r="N67" t="s">
        <v>434</v>
      </c>
      <c r="O67" t="s">
        <v>943</v>
      </c>
    </row>
    <row r="68" spans="1:15">
      <c r="A68" t="s">
        <v>398</v>
      </c>
      <c r="B68" t="s">
        <v>515</v>
      </c>
      <c r="C68" t="s">
        <v>400</v>
      </c>
      <c r="D68" t="s">
        <v>126</v>
      </c>
      <c r="E68" t="s">
        <v>445</v>
      </c>
      <c r="F68" t="s">
        <v>431</v>
      </c>
      <c r="G68" t="s">
        <v>952</v>
      </c>
      <c r="H68" t="s">
        <v>402</v>
      </c>
      <c r="I68" t="s">
        <v>443</v>
      </c>
      <c r="K68" t="s">
        <v>362</v>
      </c>
      <c r="L68">
        <v>0.28999999999999998</v>
      </c>
      <c r="M68" t="s">
        <v>433</v>
      </c>
      <c r="N68" t="s">
        <v>434</v>
      </c>
      <c r="O68" t="s">
        <v>943</v>
      </c>
    </row>
    <row r="69" spans="1:15">
      <c r="A69" t="s">
        <v>398</v>
      </c>
      <c r="B69" t="s">
        <v>515</v>
      </c>
      <c r="C69" t="s">
        <v>400</v>
      </c>
      <c r="D69" t="s">
        <v>126</v>
      </c>
      <c r="E69" t="s">
        <v>446</v>
      </c>
      <c r="F69" t="s">
        <v>431</v>
      </c>
      <c r="G69" t="s">
        <v>952</v>
      </c>
      <c r="H69" t="s">
        <v>402</v>
      </c>
      <c r="I69" t="s">
        <v>438</v>
      </c>
      <c r="K69" t="s">
        <v>439</v>
      </c>
      <c r="L69">
        <v>0.91</v>
      </c>
      <c r="M69" t="s">
        <v>433</v>
      </c>
      <c r="N69" t="s">
        <v>434</v>
      </c>
      <c r="O69" t="s">
        <v>943</v>
      </c>
    </row>
    <row r="70" spans="1:15">
      <c r="A70" t="s">
        <v>398</v>
      </c>
      <c r="B70" t="s">
        <v>515</v>
      </c>
      <c r="C70" t="s">
        <v>400</v>
      </c>
      <c r="D70" t="s">
        <v>126</v>
      </c>
      <c r="E70" t="s">
        <v>446</v>
      </c>
      <c r="F70" t="s">
        <v>431</v>
      </c>
      <c r="G70" t="s">
        <v>952</v>
      </c>
      <c r="H70" t="s">
        <v>402</v>
      </c>
      <c r="I70" t="s">
        <v>447</v>
      </c>
      <c r="K70" t="s">
        <v>362</v>
      </c>
      <c r="L70">
        <v>0.64</v>
      </c>
      <c r="M70" t="s">
        <v>433</v>
      </c>
      <c r="N70" t="s">
        <v>434</v>
      </c>
      <c r="O70" t="s">
        <v>943</v>
      </c>
    </row>
    <row r="71" spans="1:15">
      <c r="A71" t="s">
        <v>398</v>
      </c>
      <c r="B71" t="s">
        <v>515</v>
      </c>
      <c r="C71" t="s">
        <v>400</v>
      </c>
      <c r="D71" t="s">
        <v>126</v>
      </c>
      <c r="E71" t="s">
        <v>446</v>
      </c>
      <c r="F71" t="s">
        <v>431</v>
      </c>
      <c r="G71" t="s">
        <v>952</v>
      </c>
      <c r="H71" t="s">
        <v>402</v>
      </c>
      <c r="I71" t="s">
        <v>448</v>
      </c>
      <c r="K71" t="s">
        <v>362</v>
      </c>
      <c r="L71">
        <v>7.0000000000000007E-2</v>
      </c>
      <c r="M71" t="s">
        <v>433</v>
      </c>
      <c r="N71" t="s">
        <v>434</v>
      </c>
      <c r="O71" t="s">
        <v>943</v>
      </c>
    </row>
    <row r="72" spans="1:15">
      <c r="A72" t="s">
        <v>398</v>
      </c>
      <c r="B72" t="s">
        <v>515</v>
      </c>
      <c r="C72" t="s">
        <v>400</v>
      </c>
      <c r="D72" t="s">
        <v>126</v>
      </c>
      <c r="E72" t="s">
        <v>446</v>
      </c>
      <c r="F72" t="s">
        <v>431</v>
      </c>
      <c r="G72" t="s">
        <v>952</v>
      </c>
      <c r="H72" t="s">
        <v>402</v>
      </c>
      <c r="I72" t="s">
        <v>413</v>
      </c>
      <c r="K72" t="s">
        <v>414</v>
      </c>
      <c r="L72">
        <v>2.9</v>
      </c>
      <c r="M72" t="s">
        <v>433</v>
      </c>
      <c r="N72" t="s">
        <v>434</v>
      </c>
      <c r="O72" t="s">
        <v>943</v>
      </c>
    </row>
    <row r="73" spans="1:15">
      <c r="A73" t="s">
        <v>398</v>
      </c>
      <c r="B73" t="s">
        <v>515</v>
      </c>
      <c r="C73" t="s">
        <v>400</v>
      </c>
      <c r="D73" t="s">
        <v>126</v>
      </c>
      <c r="E73" t="s">
        <v>446</v>
      </c>
      <c r="F73" t="s">
        <v>431</v>
      </c>
      <c r="G73" t="s">
        <v>952</v>
      </c>
      <c r="H73" t="s">
        <v>402</v>
      </c>
      <c r="I73" t="s">
        <v>441</v>
      </c>
      <c r="K73" t="s">
        <v>416</v>
      </c>
      <c r="L73">
        <v>18.5</v>
      </c>
      <c r="M73" t="s">
        <v>433</v>
      </c>
      <c r="N73" t="s">
        <v>434</v>
      </c>
      <c r="O73" t="s">
        <v>943</v>
      </c>
    </row>
    <row r="74" spans="1:15" s="32" customFormat="1">
      <c r="A74" s="32" t="s">
        <v>948</v>
      </c>
      <c r="B74" s="32" t="s">
        <v>947</v>
      </c>
      <c r="C74" s="32" t="s">
        <v>267</v>
      </c>
      <c r="D74" s="32" t="s">
        <v>34</v>
      </c>
      <c r="G74" s="32" t="s">
        <v>306</v>
      </c>
      <c r="H74" s="32" t="s">
        <v>402</v>
      </c>
      <c r="J74" s="32" t="s">
        <v>325</v>
      </c>
      <c r="K74" s="32" t="s">
        <v>330</v>
      </c>
      <c r="L74" s="32">
        <v>49</v>
      </c>
      <c r="O74" s="32" t="s">
        <v>365</v>
      </c>
    </row>
    <row r="75" spans="1:15" s="32" customFormat="1">
      <c r="A75" s="32" t="s">
        <v>948</v>
      </c>
      <c r="B75" s="32" t="s">
        <v>947</v>
      </c>
      <c r="C75" s="32" t="s">
        <v>267</v>
      </c>
      <c r="D75" s="32" t="s">
        <v>34</v>
      </c>
      <c r="G75" s="32" t="s">
        <v>306</v>
      </c>
      <c r="H75" s="32" t="s">
        <v>402</v>
      </c>
      <c r="I75" s="32" t="s">
        <v>328</v>
      </c>
      <c r="J75" s="32" t="s">
        <v>326</v>
      </c>
      <c r="K75" s="32" t="s">
        <v>331</v>
      </c>
      <c r="L75" s="32">
        <v>8.9</v>
      </c>
      <c r="O75" s="32" t="s">
        <v>365</v>
      </c>
    </row>
    <row r="76" spans="1:15" s="32" customFormat="1">
      <c r="A76" s="32" t="s">
        <v>948</v>
      </c>
      <c r="B76" s="32" t="s">
        <v>947</v>
      </c>
      <c r="C76" s="32" t="s">
        <v>267</v>
      </c>
      <c r="D76" s="32" t="s">
        <v>34</v>
      </c>
      <c r="G76" s="32" t="s">
        <v>306</v>
      </c>
      <c r="H76" s="32" t="s">
        <v>402</v>
      </c>
      <c r="I76" s="32" t="s">
        <v>329</v>
      </c>
      <c r="J76" s="32" t="s">
        <v>327</v>
      </c>
      <c r="K76" s="32" t="s">
        <v>332</v>
      </c>
      <c r="L76" s="32">
        <v>1.36</v>
      </c>
      <c r="O76" s="32" t="s">
        <v>365</v>
      </c>
    </row>
    <row r="77" spans="1:15" s="32" customFormat="1">
      <c r="A77" s="32" t="s">
        <v>948</v>
      </c>
      <c r="B77" s="32" t="s">
        <v>947</v>
      </c>
      <c r="C77" s="32" t="s">
        <v>267</v>
      </c>
      <c r="D77" s="32" t="s">
        <v>34</v>
      </c>
      <c r="G77" s="32" t="s">
        <v>306</v>
      </c>
      <c r="H77" s="32" t="s">
        <v>402</v>
      </c>
      <c r="I77" s="32" t="s">
        <v>334</v>
      </c>
      <c r="J77" s="32" t="s">
        <v>333</v>
      </c>
      <c r="K77" s="32" t="s">
        <v>330</v>
      </c>
      <c r="L77" s="32">
        <v>8.91</v>
      </c>
      <c r="O77" s="32" t="s">
        <v>365</v>
      </c>
    </row>
    <row r="78" spans="1:15" s="32" customFormat="1">
      <c r="A78" s="32" t="s">
        <v>948</v>
      </c>
      <c r="B78" s="32" t="s">
        <v>947</v>
      </c>
      <c r="C78" s="32" t="s">
        <v>267</v>
      </c>
      <c r="D78" s="32" t="s">
        <v>34</v>
      </c>
      <c r="G78" s="32" t="s">
        <v>306</v>
      </c>
      <c r="H78" s="32" t="s">
        <v>402</v>
      </c>
      <c r="I78" s="32" t="s">
        <v>336</v>
      </c>
      <c r="J78" s="32" t="s">
        <v>335</v>
      </c>
      <c r="K78" s="32" t="s">
        <v>330</v>
      </c>
      <c r="L78" s="32">
        <v>40</v>
      </c>
      <c r="O78" s="32" t="s">
        <v>365</v>
      </c>
    </row>
    <row r="79" spans="1:15" s="32" customFormat="1">
      <c r="A79" s="32" t="s">
        <v>948</v>
      </c>
      <c r="B79" s="32" t="s">
        <v>947</v>
      </c>
      <c r="C79" s="32" t="s">
        <v>267</v>
      </c>
      <c r="D79" s="32" t="s">
        <v>337</v>
      </c>
      <c r="G79" s="32" t="s">
        <v>306</v>
      </c>
      <c r="H79" s="32" t="s">
        <v>402</v>
      </c>
      <c r="I79" s="32" t="s">
        <v>346</v>
      </c>
      <c r="J79" s="32" t="s">
        <v>333</v>
      </c>
      <c r="K79" s="32" t="s">
        <v>330</v>
      </c>
      <c r="L79" s="32">
        <v>8.91</v>
      </c>
      <c r="O79" s="32" t="s">
        <v>365</v>
      </c>
    </row>
    <row r="80" spans="1:15" s="32" customFormat="1">
      <c r="A80" s="32" t="s">
        <v>948</v>
      </c>
      <c r="B80" s="32" t="s">
        <v>947</v>
      </c>
      <c r="C80" s="32" t="s">
        <v>267</v>
      </c>
      <c r="D80" s="32" t="s">
        <v>337</v>
      </c>
      <c r="G80" s="32" t="s">
        <v>306</v>
      </c>
      <c r="H80" s="32" t="s">
        <v>402</v>
      </c>
      <c r="I80" s="32" t="s">
        <v>341</v>
      </c>
      <c r="J80" s="32" t="s">
        <v>338</v>
      </c>
      <c r="K80" s="32" t="s">
        <v>345</v>
      </c>
      <c r="L80" s="32">
        <v>676.8</v>
      </c>
      <c r="O80" s="32" t="s">
        <v>365</v>
      </c>
    </row>
    <row r="81" spans="1:15" s="32" customFormat="1">
      <c r="A81" s="32" t="s">
        <v>948</v>
      </c>
      <c r="B81" s="32" t="s">
        <v>947</v>
      </c>
      <c r="C81" s="32" t="s">
        <v>267</v>
      </c>
      <c r="D81" s="32" t="s">
        <v>337</v>
      </c>
      <c r="G81" s="32" t="s">
        <v>306</v>
      </c>
      <c r="H81" s="32" t="s">
        <v>402</v>
      </c>
      <c r="I81" s="32" t="s">
        <v>340</v>
      </c>
      <c r="J81" s="32" t="s">
        <v>339</v>
      </c>
      <c r="K81" s="32" t="s">
        <v>331</v>
      </c>
      <c r="L81" s="32">
        <v>412.5</v>
      </c>
      <c r="O81" s="32" t="s">
        <v>365</v>
      </c>
    </row>
    <row r="82" spans="1:15" s="32" customFormat="1">
      <c r="A82" s="32" t="s">
        <v>948</v>
      </c>
      <c r="B82" s="32" t="s">
        <v>947</v>
      </c>
      <c r="C82" s="32" t="s">
        <v>267</v>
      </c>
      <c r="D82" s="32" t="s">
        <v>337</v>
      </c>
      <c r="G82" s="32" t="s">
        <v>306</v>
      </c>
      <c r="H82" s="32" t="s">
        <v>402</v>
      </c>
      <c r="I82" s="32" t="s">
        <v>344</v>
      </c>
      <c r="J82" s="32" t="s">
        <v>343</v>
      </c>
      <c r="K82" s="32" t="s">
        <v>330</v>
      </c>
      <c r="L82" s="32">
        <v>8.91</v>
      </c>
      <c r="O82" s="32" t="s">
        <v>365</v>
      </c>
    </row>
    <row r="83" spans="1:15" s="32" customFormat="1">
      <c r="A83" s="32" t="s">
        <v>948</v>
      </c>
      <c r="B83" s="32" t="s">
        <v>947</v>
      </c>
      <c r="C83" s="32" t="s">
        <v>267</v>
      </c>
      <c r="D83" s="32" t="s">
        <v>342</v>
      </c>
      <c r="G83" s="32" t="s">
        <v>306</v>
      </c>
      <c r="H83" s="32" t="s">
        <v>402</v>
      </c>
      <c r="I83" s="32" t="s">
        <v>346</v>
      </c>
      <c r="J83" s="32" t="s">
        <v>343</v>
      </c>
      <c r="K83" s="32" t="s">
        <v>330</v>
      </c>
      <c r="L83" s="32">
        <v>8.91</v>
      </c>
      <c r="O83" s="32" t="s">
        <v>365</v>
      </c>
    </row>
    <row r="84" spans="1:15" s="32" customFormat="1">
      <c r="A84" s="32" t="s">
        <v>948</v>
      </c>
      <c r="B84" s="32" t="s">
        <v>947</v>
      </c>
      <c r="C84" s="32" t="s">
        <v>267</v>
      </c>
      <c r="D84" s="32" t="s">
        <v>342</v>
      </c>
      <c r="G84" s="32" t="s">
        <v>306</v>
      </c>
      <c r="H84" s="32" t="s">
        <v>402</v>
      </c>
      <c r="I84" s="32" t="s">
        <v>350</v>
      </c>
      <c r="J84" s="32" t="s">
        <v>347</v>
      </c>
      <c r="K84" s="32" t="s">
        <v>353</v>
      </c>
      <c r="L84" s="32">
        <v>677.16</v>
      </c>
      <c r="O84" s="32" t="s">
        <v>365</v>
      </c>
    </row>
    <row r="85" spans="1:15" s="32" customFormat="1">
      <c r="A85" s="32" t="s">
        <v>948</v>
      </c>
      <c r="B85" s="32" t="s">
        <v>947</v>
      </c>
      <c r="C85" s="32" t="s">
        <v>267</v>
      </c>
      <c r="D85" s="32" t="s">
        <v>342</v>
      </c>
      <c r="G85" s="32" t="s">
        <v>306</v>
      </c>
      <c r="H85" s="32" t="s">
        <v>402</v>
      </c>
      <c r="I85" s="32" t="s">
        <v>351</v>
      </c>
      <c r="J85" s="32" t="s">
        <v>348</v>
      </c>
      <c r="K85" s="32" t="s">
        <v>353</v>
      </c>
      <c r="L85" s="32">
        <v>418.77</v>
      </c>
      <c r="O85" s="32" t="s">
        <v>365</v>
      </c>
    </row>
    <row r="86" spans="1:15" s="32" customFormat="1">
      <c r="A86" s="32" t="s">
        <v>948</v>
      </c>
      <c r="B86" s="32" t="s">
        <v>947</v>
      </c>
      <c r="C86" s="32" t="s">
        <v>267</v>
      </c>
      <c r="D86" s="32" t="s">
        <v>342</v>
      </c>
      <c r="G86" s="32" t="s">
        <v>306</v>
      </c>
      <c r="H86" s="32" t="s">
        <v>402</v>
      </c>
      <c r="I86" s="32" t="s">
        <v>352</v>
      </c>
      <c r="J86" s="32" t="s">
        <v>349</v>
      </c>
      <c r="K86" s="32" t="s">
        <v>353</v>
      </c>
      <c r="L86" s="32">
        <v>106.92</v>
      </c>
      <c r="O86" s="32" t="s">
        <v>365</v>
      </c>
    </row>
    <row r="87" spans="1:15" s="32" customFormat="1">
      <c r="A87" s="32" t="s">
        <v>948</v>
      </c>
      <c r="B87" s="32" t="s">
        <v>947</v>
      </c>
      <c r="C87" s="32" t="s">
        <v>267</v>
      </c>
      <c r="D87" s="32" t="s">
        <v>342</v>
      </c>
      <c r="G87" s="32" t="s">
        <v>306</v>
      </c>
      <c r="H87" s="32" t="s">
        <v>402</v>
      </c>
      <c r="I87" s="32" t="s">
        <v>341</v>
      </c>
      <c r="J87" s="32" t="s">
        <v>338</v>
      </c>
      <c r="K87" s="32" t="s">
        <v>345</v>
      </c>
      <c r="L87" s="32">
        <v>57.24</v>
      </c>
      <c r="O87" s="32" t="s">
        <v>365</v>
      </c>
    </row>
    <row r="88" spans="1:15" s="32" customFormat="1">
      <c r="A88" s="32" t="s">
        <v>948</v>
      </c>
      <c r="B88" s="32" t="s">
        <v>947</v>
      </c>
      <c r="C88" s="32" t="s">
        <v>267</v>
      </c>
      <c r="D88" s="32" t="s">
        <v>342</v>
      </c>
      <c r="G88" s="32" t="s">
        <v>306</v>
      </c>
      <c r="H88" s="32" t="s">
        <v>402</v>
      </c>
      <c r="I88" s="32" t="s">
        <v>340</v>
      </c>
      <c r="J88" s="32" t="s">
        <v>339</v>
      </c>
      <c r="K88" s="32" t="s">
        <v>331</v>
      </c>
      <c r="L88" s="32">
        <v>137.5</v>
      </c>
      <c r="O88" s="32" t="s">
        <v>365</v>
      </c>
    </row>
    <row r="89" spans="1:15" s="32" customFormat="1">
      <c r="A89" s="32" t="s">
        <v>948</v>
      </c>
      <c r="B89" s="32" t="s">
        <v>947</v>
      </c>
      <c r="C89" s="32" t="s">
        <v>267</v>
      </c>
      <c r="D89" s="32" t="s">
        <v>342</v>
      </c>
      <c r="G89" s="32" t="s">
        <v>306</v>
      </c>
      <c r="H89" s="32" t="s">
        <v>402</v>
      </c>
      <c r="I89" s="32" t="s">
        <v>344</v>
      </c>
      <c r="J89" s="32" t="s">
        <v>354</v>
      </c>
      <c r="K89" s="32" t="s">
        <v>330</v>
      </c>
      <c r="L89" s="32">
        <v>8.84</v>
      </c>
      <c r="O89" s="32" t="s">
        <v>365</v>
      </c>
    </row>
    <row r="90" spans="1:15" s="32" customFormat="1">
      <c r="A90" s="32" t="s">
        <v>948</v>
      </c>
      <c r="B90" s="32" t="s">
        <v>947</v>
      </c>
      <c r="C90" s="32" t="s">
        <v>267</v>
      </c>
      <c r="D90" s="32" t="s">
        <v>342</v>
      </c>
      <c r="G90" s="32" t="s">
        <v>306</v>
      </c>
      <c r="H90" s="32" t="s">
        <v>402</v>
      </c>
      <c r="I90" s="32" t="s">
        <v>344</v>
      </c>
      <c r="J90" s="32" t="s">
        <v>357</v>
      </c>
      <c r="K90" s="32" t="s">
        <v>331</v>
      </c>
      <c r="L90" s="32">
        <v>67.39</v>
      </c>
      <c r="O90" s="32" t="s">
        <v>365</v>
      </c>
    </row>
    <row r="91" spans="1:15" s="32" customFormat="1">
      <c r="A91" s="32" t="s">
        <v>948</v>
      </c>
      <c r="B91" s="32" t="s">
        <v>947</v>
      </c>
      <c r="C91" s="32" t="s">
        <v>267</v>
      </c>
      <c r="D91" s="32" t="s">
        <v>342</v>
      </c>
      <c r="G91" s="32" t="s">
        <v>306</v>
      </c>
      <c r="H91" s="32" t="s">
        <v>402</v>
      </c>
      <c r="I91" s="32" t="s">
        <v>355</v>
      </c>
      <c r="J91" s="32" t="s">
        <v>356</v>
      </c>
      <c r="K91" s="32" t="s">
        <v>353</v>
      </c>
      <c r="L91" s="32">
        <v>189.6</v>
      </c>
      <c r="O91" s="32" t="s">
        <v>365</v>
      </c>
    </row>
    <row r="92" spans="1:15" s="32" customFormat="1">
      <c r="A92" s="32" t="s">
        <v>948</v>
      </c>
      <c r="B92" s="32" t="s">
        <v>947</v>
      </c>
      <c r="C92" s="32" t="s">
        <v>267</v>
      </c>
      <c r="D92" s="32" t="s">
        <v>358</v>
      </c>
      <c r="G92" s="32" t="s">
        <v>306</v>
      </c>
      <c r="H92" s="32" t="s">
        <v>402</v>
      </c>
      <c r="I92" s="32" t="s">
        <v>346</v>
      </c>
      <c r="J92" s="32" t="s">
        <v>354</v>
      </c>
      <c r="K92" s="32" t="s">
        <v>330</v>
      </c>
      <c r="L92" s="32">
        <v>8.84</v>
      </c>
      <c r="O92" s="32" t="s">
        <v>365</v>
      </c>
    </row>
    <row r="93" spans="1:15" s="32" customFormat="1">
      <c r="A93" s="32" t="s">
        <v>948</v>
      </c>
      <c r="B93" s="32" t="s">
        <v>947</v>
      </c>
      <c r="C93" s="32" t="s">
        <v>267</v>
      </c>
      <c r="D93" s="32" t="s">
        <v>358</v>
      </c>
      <c r="G93" s="32" t="s">
        <v>306</v>
      </c>
      <c r="H93" s="32" t="s">
        <v>402</v>
      </c>
      <c r="I93" s="32" t="s">
        <v>351</v>
      </c>
      <c r="J93" s="32" t="s">
        <v>348</v>
      </c>
      <c r="K93" s="32" t="s">
        <v>353</v>
      </c>
      <c r="L93" s="32">
        <v>923.97</v>
      </c>
      <c r="O93" s="32" t="s">
        <v>365</v>
      </c>
    </row>
    <row r="94" spans="1:15" s="32" customFormat="1">
      <c r="A94" s="32" t="s">
        <v>948</v>
      </c>
      <c r="B94" s="32" t="s">
        <v>947</v>
      </c>
      <c r="C94" s="32" t="s">
        <v>267</v>
      </c>
      <c r="D94" s="32" t="s">
        <v>358</v>
      </c>
      <c r="G94" s="32" t="s">
        <v>306</v>
      </c>
      <c r="H94" s="32" t="s">
        <v>402</v>
      </c>
      <c r="I94" s="32" t="s">
        <v>340</v>
      </c>
      <c r="J94" s="32" t="s">
        <v>339</v>
      </c>
      <c r="K94" s="32" t="s">
        <v>331</v>
      </c>
      <c r="L94" s="32">
        <v>137.5</v>
      </c>
      <c r="O94" s="32" t="s">
        <v>365</v>
      </c>
    </row>
    <row r="95" spans="1:15" s="32" customFormat="1">
      <c r="A95" s="32" t="s">
        <v>948</v>
      </c>
      <c r="B95" s="32" t="s">
        <v>947</v>
      </c>
      <c r="C95" s="32" t="s">
        <v>267</v>
      </c>
      <c r="D95" s="32" t="s">
        <v>358</v>
      </c>
      <c r="G95" s="32" t="s">
        <v>306</v>
      </c>
      <c r="H95" s="32" t="s">
        <v>402</v>
      </c>
      <c r="I95" s="32" t="s">
        <v>341</v>
      </c>
      <c r="J95" s="32" t="s">
        <v>338</v>
      </c>
      <c r="K95" s="32" t="s">
        <v>345</v>
      </c>
      <c r="L95" s="32">
        <v>142.19999999999999</v>
      </c>
      <c r="O95" s="32" t="s">
        <v>365</v>
      </c>
    </row>
    <row r="96" spans="1:15" s="32" customFormat="1">
      <c r="A96" s="32" t="s">
        <v>948</v>
      </c>
      <c r="B96" s="32" t="s">
        <v>947</v>
      </c>
      <c r="C96" s="32" t="s">
        <v>267</v>
      </c>
      <c r="D96" s="32" t="s">
        <v>358</v>
      </c>
      <c r="G96" s="32" t="s">
        <v>306</v>
      </c>
      <c r="H96" s="32" t="s">
        <v>402</v>
      </c>
      <c r="I96" s="32" t="s">
        <v>344</v>
      </c>
      <c r="J96" s="32" t="s">
        <v>359</v>
      </c>
      <c r="K96" s="32" t="s">
        <v>331</v>
      </c>
      <c r="L96" s="32">
        <v>95.04</v>
      </c>
      <c r="O96" s="32" t="s">
        <v>365</v>
      </c>
    </row>
    <row r="97" spans="1:15" s="32" customFormat="1">
      <c r="A97" s="32" t="s">
        <v>948</v>
      </c>
      <c r="B97" s="32" t="s">
        <v>947</v>
      </c>
      <c r="C97" s="32" t="s">
        <v>267</v>
      </c>
      <c r="D97" s="32" t="s">
        <v>358</v>
      </c>
      <c r="G97" s="32" t="s">
        <v>306</v>
      </c>
      <c r="H97" s="32" t="s">
        <v>402</v>
      </c>
      <c r="I97" s="32" t="s">
        <v>363</v>
      </c>
      <c r="J97" s="32" t="s">
        <v>360</v>
      </c>
      <c r="K97" s="32" t="s">
        <v>330</v>
      </c>
      <c r="L97" s="32">
        <v>8.74</v>
      </c>
      <c r="O97" s="32" t="s">
        <v>365</v>
      </c>
    </row>
    <row r="98" spans="1:15" s="32" customFormat="1">
      <c r="A98" s="32" t="s">
        <v>948</v>
      </c>
      <c r="B98" s="32" t="s">
        <v>947</v>
      </c>
      <c r="C98" s="32" t="s">
        <v>267</v>
      </c>
      <c r="D98" s="32" t="s">
        <v>361</v>
      </c>
      <c r="G98" s="32" t="s">
        <v>306</v>
      </c>
      <c r="H98" s="32" t="s">
        <v>402</v>
      </c>
      <c r="I98" s="32" t="s">
        <v>346</v>
      </c>
      <c r="J98" s="32" t="s">
        <v>361</v>
      </c>
      <c r="K98" s="32" t="s">
        <v>330</v>
      </c>
      <c r="L98" s="32">
        <v>8.74</v>
      </c>
      <c r="O98" s="32" t="s">
        <v>365</v>
      </c>
    </row>
    <row r="99" spans="1:15" s="32" customFormat="1">
      <c r="A99" s="32" t="s">
        <v>948</v>
      </c>
      <c r="B99" s="32" t="s">
        <v>947</v>
      </c>
      <c r="C99" s="32" t="s">
        <v>267</v>
      </c>
      <c r="D99" s="32" t="s">
        <v>361</v>
      </c>
      <c r="G99" s="32" t="s">
        <v>306</v>
      </c>
      <c r="H99" s="32" t="s">
        <v>402</v>
      </c>
      <c r="I99" s="32" t="s">
        <v>341</v>
      </c>
      <c r="J99" s="32" t="s">
        <v>338</v>
      </c>
      <c r="K99" s="32" t="s">
        <v>345</v>
      </c>
      <c r="L99" s="32">
        <v>21.24</v>
      </c>
      <c r="O99" s="32" t="s">
        <v>365</v>
      </c>
    </row>
    <row r="100" spans="1:15" s="32" customFormat="1">
      <c r="A100" s="32" t="s">
        <v>948</v>
      </c>
      <c r="B100" s="32" t="s">
        <v>947</v>
      </c>
      <c r="C100" s="32" t="s">
        <v>267</v>
      </c>
      <c r="D100" s="32" t="s">
        <v>361</v>
      </c>
      <c r="G100" s="32" t="s">
        <v>306</v>
      </c>
      <c r="H100" s="32" t="s">
        <v>402</v>
      </c>
      <c r="I100" s="32" t="s">
        <v>351</v>
      </c>
      <c r="J100" s="32" t="s">
        <v>348</v>
      </c>
      <c r="K100" s="32" t="s">
        <v>353</v>
      </c>
      <c r="L100" s="32">
        <v>356.4</v>
      </c>
      <c r="O100" s="32" t="s">
        <v>365</v>
      </c>
    </row>
    <row r="101" spans="1:15" s="32" customFormat="1">
      <c r="A101" s="32" t="s">
        <v>948</v>
      </c>
      <c r="B101" s="32" t="s">
        <v>947</v>
      </c>
      <c r="C101" s="32" t="s">
        <v>267</v>
      </c>
      <c r="D101" s="32" t="s">
        <v>361</v>
      </c>
      <c r="G101" s="32" t="s">
        <v>306</v>
      </c>
      <c r="H101" s="32" t="s">
        <v>402</v>
      </c>
      <c r="I101" s="32" t="s">
        <v>340</v>
      </c>
      <c r="J101" s="32" t="s">
        <v>339</v>
      </c>
      <c r="K101" s="32" t="s">
        <v>331</v>
      </c>
      <c r="L101" s="32">
        <v>13.5</v>
      </c>
      <c r="O101" s="32" t="s">
        <v>365</v>
      </c>
    </row>
    <row r="102" spans="1:15" s="32" customFormat="1">
      <c r="A102" s="32" t="s">
        <v>948</v>
      </c>
      <c r="B102" s="32" t="s">
        <v>947</v>
      </c>
      <c r="C102" s="32" t="s">
        <v>267</v>
      </c>
      <c r="D102" s="32" t="s">
        <v>361</v>
      </c>
      <c r="G102" s="32" t="s">
        <v>306</v>
      </c>
      <c r="H102" s="32" t="s">
        <v>402</v>
      </c>
      <c r="I102" s="32" t="s">
        <v>336</v>
      </c>
      <c r="J102" s="32" t="s">
        <v>335</v>
      </c>
      <c r="K102" s="32" t="s">
        <v>330</v>
      </c>
      <c r="L102" s="32">
        <v>8.74</v>
      </c>
      <c r="O102" s="32" t="s">
        <v>365</v>
      </c>
    </row>
    <row r="103" spans="1:15" s="32" customFormat="1">
      <c r="A103" s="32" t="s">
        <v>948</v>
      </c>
      <c r="B103" s="32" t="s">
        <v>947</v>
      </c>
      <c r="C103" s="32" t="s">
        <v>267</v>
      </c>
      <c r="D103" s="32" t="s">
        <v>366</v>
      </c>
      <c r="G103" s="32" t="s">
        <v>306</v>
      </c>
      <c r="H103" s="32" t="s">
        <v>402</v>
      </c>
      <c r="I103" s="32" t="s">
        <v>346</v>
      </c>
      <c r="J103" s="32" t="s">
        <v>359</v>
      </c>
      <c r="K103" s="32" t="s">
        <v>331</v>
      </c>
      <c r="L103" s="32">
        <v>95.04</v>
      </c>
      <c r="O103" s="32" t="s">
        <v>397</v>
      </c>
    </row>
    <row r="104" spans="1:15" s="32" customFormat="1">
      <c r="A104" s="32" t="s">
        <v>948</v>
      </c>
      <c r="B104" s="32" t="s">
        <v>947</v>
      </c>
      <c r="C104" s="32" t="s">
        <v>267</v>
      </c>
      <c r="D104" s="32" t="s">
        <v>366</v>
      </c>
      <c r="G104" s="32" t="s">
        <v>306</v>
      </c>
      <c r="H104" s="32" t="s">
        <v>402</v>
      </c>
      <c r="I104" s="32" t="s">
        <v>346</v>
      </c>
      <c r="J104" s="32" t="s">
        <v>357</v>
      </c>
      <c r="K104" s="32" t="s">
        <v>331</v>
      </c>
      <c r="L104" s="32">
        <v>67.39</v>
      </c>
      <c r="O104" s="32" t="s">
        <v>397</v>
      </c>
    </row>
    <row r="105" spans="1:15" s="32" customFormat="1">
      <c r="A105" s="32" t="s">
        <v>948</v>
      </c>
      <c r="B105" s="32" t="s">
        <v>947</v>
      </c>
      <c r="C105" s="32" t="s">
        <v>267</v>
      </c>
      <c r="D105" s="32" t="s">
        <v>366</v>
      </c>
      <c r="G105" s="32" t="s">
        <v>306</v>
      </c>
      <c r="H105" s="32" t="s">
        <v>402</v>
      </c>
      <c r="I105" s="32" t="s">
        <v>374</v>
      </c>
      <c r="J105" s="32" t="s">
        <v>367</v>
      </c>
      <c r="K105" s="32" t="s">
        <v>345</v>
      </c>
      <c r="L105" s="32">
        <v>299.16000000000003</v>
      </c>
      <c r="O105" s="32" t="s">
        <v>397</v>
      </c>
    </row>
    <row r="106" spans="1:15" s="32" customFormat="1">
      <c r="A106" s="32" t="s">
        <v>948</v>
      </c>
      <c r="B106" s="32" t="s">
        <v>947</v>
      </c>
      <c r="C106" s="32" t="s">
        <v>267</v>
      </c>
      <c r="D106" s="32" t="s">
        <v>366</v>
      </c>
      <c r="G106" s="32" t="s">
        <v>306</v>
      </c>
      <c r="H106" s="32" t="s">
        <v>402</v>
      </c>
      <c r="I106" s="32" t="s">
        <v>375</v>
      </c>
      <c r="J106" s="32" t="s">
        <v>338</v>
      </c>
      <c r="K106" s="32" t="s">
        <v>345</v>
      </c>
      <c r="L106" s="32">
        <v>429</v>
      </c>
      <c r="O106" s="32" t="s">
        <v>397</v>
      </c>
    </row>
    <row r="107" spans="1:15" s="32" customFormat="1">
      <c r="A107" s="32" t="s">
        <v>948</v>
      </c>
      <c r="B107" s="32" t="s">
        <v>947</v>
      </c>
      <c r="C107" s="32" t="s">
        <v>267</v>
      </c>
      <c r="D107" s="32" t="s">
        <v>366</v>
      </c>
      <c r="G107" s="32" t="s">
        <v>306</v>
      </c>
      <c r="H107" s="32" t="s">
        <v>402</v>
      </c>
      <c r="I107" s="32" t="s">
        <v>376</v>
      </c>
      <c r="J107" s="32" t="s">
        <v>368</v>
      </c>
      <c r="K107" s="32" t="s">
        <v>353</v>
      </c>
      <c r="L107" s="32">
        <v>188</v>
      </c>
      <c r="O107" s="32" t="s">
        <v>397</v>
      </c>
    </row>
    <row r="108" spans="1:15" s="32" customFormat="1">
      <c r="A108" s="32" t="s">
        <v>948</v>
      </c>
      <c r="B108" s="32" t="s">
        <v>947</v>
      </c>
      <c r="C108" s="32" t="s">
        <v>267</v>
      </c>
      <c r="D108" s="32" t="s">
        <v>366</v>
      </c>
      <c r="G108" s="32" t="s">
        <v>306</v>
      </c>
      <c r="H108" s="32" t="s">
        <v>402</v>
      </c>
      <c r="I108" s="32" t="s">
        <v>377</v>
      </c>
      <c r="J108" s="32" t="s">
        <v>30</v>
      </c>
      <c r="K108" s="32" t="s">
        <v>353</v>
      </c>
      <c r="L108" s="32">
        <v>406</v>
      </c>
      <c r="O108" s="32" t="s">
        <v>397</v>
      </c>
    </row>
    <row r="109" spans="1:15" s="32" customFormat="1">
      <c r="A109" s="32" t="s">
        <v>948</v>
      </c>
      <c r="B109" s="32" t="s">
        <v>947</v>
      </c>
      <c r="C109" s="32" t="s">
        <v>267</v>
      </c>
      <c r="D109" s="32" t="s">
        <v>366</v>
      </c>
      <c r="G109" s="32" t="s">
        <v>306</v>
      </c>
      <c r="H109" s="32" t="s">
        <v>402</v>
      </c>
      <c r="I109" s="32" t="s">
        <v>378</v>
      </c>
      <c r="J109" s="32" t="s">
        <v>369</v>
      </c>
      <c r="K109" s="32" t="s">
        <v>353</v>
      </c>
      <c r="L109" s="32">
        <v>25</v>
      </c>
      <c r="O109" s="32" t="s">
        <v>397</v>
      </c>
    </row>
    <row r="110" spans="1:15" s="32" customFormat="1">
      <c r="A110" s="32" t="s">
        <v>948</v>
      </c>
      <c r="B110" s="32" t="s">
        <v>947</v>
      </c>
      <c r="C110" s="32" t="s">
        <v>267</v>
      </c>
      <c r="D110" s="32" t="s">
        <v>366</v>
      </c>
      <c r="G110" s="32" t="s">
        <v>306</v>
      </c>
      <c r="H110" s="32" t="s">
        <v>402</v>
      </c>
      <c r="I110" s="32" t="s">
        <v>350</v>
      </c>
      <c r="J110" s="32" t="s">
        <v>370</v>
      </c>
      <c r="K110" s="32" t="s">
        <v>353</v>
      </c>
      <c r="L110" s="32">
        <v>19</v>
      </c>
      <c r="O110" s="32" t="s">
        <v>397</v>
      </c>
    </row>
    <row r="111" spans="1:15" s="32" customFormat="1">
      <c r="A111" s="32" t="s">
        <v>948</v>
      </c>
      <c r="B111" s="32" t="s">
        <v>947</v>
      </c>
      <c r="C111" s="32" t="s">
        <v>267</v>
      </c>
      <c r="D111" s="32" t="s">
        <v>366</v>
      </c>
      <c r="G111" s="32" t="s">
        <v>306</v>
      </c>
      <c r="H111" s="32" t="s">
        <v>402</v>
      </c>
      <c r="I111" s="32" t="s">
        <v>379</v>
      </c>
      <c r="J111" s="32" t="s">
        <v>371</v>
      </c>
      <c r="K111" s="32" t="s">
        <v>353</v>
      </c>
      <c r="L111" s="32">
        <v>26</v>
      </c>
      <c r="O111" s="32" t="s">
        <v>397</v>
      </c>
    </row>
    <row r="112" spans="1:15" s="32" customFormat="1">
      <c r="A112" s="32" t="s">
        <v>948</v>
      </c>
      <c r="B112" s="32" t="s">
        <v>947</v>
      </c>
      <c r="C112" s="32" t="s">
        <v>267</v>
      </c>
      <c r="D112" s="32" t="s">
        <v>366</v>
      </c>
      <c r="G112" s="32" t="s">
        <v>306</v>
      </c>
      <c r="H112" s="32" t="s">
        <v>402</v>
      </c>
      <c r="I112" s="32" t="s">
        <v>380</v>
      </c>
      <c r="J112" s="32" t="s">
        <v>372</v>
      </c>
      <c r="K112" s="32" t="s">
        <v>353</v>
      </c>
      <c r="L112" s="32">
        <v>1.1000000000000001</v>
      </c>
      <c r="O112" s="32" t="s">
        <v>397</v>
      </c>
    </row>
    <row r="113" spans="1:15" s="32" customFormat="1">
      <c r="A113" s="32" t="s">
        <v>948</v>
      </c>
      <c r="B113" s="32" t="s">
        <v>947</v>
      </c>
      <c r="C113" s="32" t="s">
        <v>267</v>
      </c>
      <c r="D113" s="32" t="s">
        <v>366</v>
      </c>
      <c r="G113" s="32" t="s">
        <v>306</v>
      </c>
      <c r="H113" s="32" t="s">
        <v>402</v>
      </c>
      <c r="I113" s="32" t="s">
        <v>381</v>
      </c>
      <c r="J113" s="32" t="s">
        <v>373</v>
      </c>
      <c r="K113" s="32" t="s">
        <v>362</v>
      </c>
      <c r="L113" s="32">
        <v>627</v>
      </c>
      <c r="O113" s="32" t="s">
        <v>397</v>
      </c>
    </row>
    <row r="114" spans="1:15" s="32" customFormat="1">
      <c r="A114" s="32" t="s">
        <v>948</v>
      </c>
      <c r="B114" s="32" t="s">
        <v>947</v>
      </c>
      <c r="C114" s="32" t="s">
        <v>267</v>
      </c>
      <c r="D114" s="32" t="s">
        <v>366</v>
      </c>
      <c r="G114" s="32" t="s">
        <v>306</v>
      </c>
      <c r="H114" s="32" t="s">
        <v>402</v>
      </c>
      <c r="I114" s="32" t="s">
        <v>387</v>
      </c>
      <c r="J114" s="32" t="s">
        <v>382</v>
      </c>
      <c r="K114" s="32" t="s">
        <v>353</v>
      </c>
      <c r="L114" s="32">
        <v>1.1000000000000001</v>
      </c>
      <c r="O114" s="32" t="s">
        <v>397</v>
      </c>
    </row>
    <row r="115" spans="1:15" s="32" customFormat="1">
      <c r="A115" s="32" t="s">
        <v>948</v>
      </c>
      <c r="B115" s="32" t="s">
        <v>947</v>
      </c>
      <c r="C115" s="32" t="s">
        <v>267</v>
      </c>
      <c r="D115" s="32" t="s">
        <v>366</v>
      </c>
      <c r="G115" s="32" t="s">
        <v>306</v>
      </c>
      <c r="H115" s="32" t="s">
        <v>402</v>
      </c>
      <c r="I115" s="32" t="s">
        <v>387</v>
      </c>
      <c r="J115" s="32" t="s">
        <v>383</v>
      </c>
      <c r="K115" s="32" t="s">
        <v>362</v>
      </c>
      <c r="L115" s="32">
        <v>646.85</v>
      </c>
      <c r="O115" s="32" t="s">
        <v>397</v>
      </c>
    </row>
    <row r="116" spans="1:15" s="32" customFormat="1">
      <c r="A116" s="32" t="s">
        <v>948</v>
      </c>
      <c r="B116" s="32" t="s">
        <v>947</v>
      </c>
      <c r="C116" s="32" t="s">
        <v>267</v>
      </c>
      <c r="D116" s="32" t="s">
        <v>366</v>
      </c>
      <c r="G116" s="32" t="s">
        <v>306</v>
      </c>
      <c r="H116" s="32" t="s">
        <v>402</v>
      </c>
      <c r="I116" s="32" t="s">
        <v>388</v>
      </c>
      <c r="J116" s="32" t="s">
        <v>384</v>
      </c>
      <c r="K116" s="32" t="s">
        <v>353</v>
      </c>
      <c r="L116" s="32">
        <v>1.48</v>
      </c>
      <c r="O116" s="32" t="s">
        <v>397</v>
      </c>
    </row>
    <row r="117" spans="1:15" s="32" customFormat="1">
      <c r="A117" s="32" t="s">
        <v>948</v>
      </c>
      <c r="B117" s="32" t="s">
        <v>947</v>
      </c>
      <c r="C117" s="32" t="s">
        <v>267</v>
      </c>
      <c r="D117" s="32" t="s">
        <v>366</v>
      </c>
      <c r="G117" s="32" t="s">
        <v>306</v>
      </c>
      <c r="H117" s="32" t="s">
        <v>402</v>
      </c>
      <c r="I117" s="32" t="s">
        <v>389</v>
      </c>
      <c r="J117" s="32" t="s">
        <v>39</v>
      </c>
      <c r="K117" s="32" t="s">
        <v>353</v>
      </c>
      <c r="L117" s="32">
        <v>635.02</v>
      </c>
      <c r="O117" s="32" t="s">
        <v>397</v>
      </c>
    </row>
    <row r="118" spans="1:15" s="32" customFormat="1">
      <c r="A118" s="32" t="s">
        <v>948</v>
      </c>
      <c r="B118" s="32" t="s">
        <v>947</v>
      </c>
      <c r="C118" s="32" t="s">
        <v>267</v>
      </c>
      <c r="D118" s="32" t="s">
        <v>366</v>
      </c>
      <c r="G118" s="32" t="s">
        <v>306</v>
      </c>
      <c r="H118" s="32" t="s">
        <v>402</v>
      </c>
      <c r="I118" s="32" t="s">
        <v>390</v>
      </c>
      <c r="J118" s="32" t="s">
        <v>26</v>
      </c>
      <c r="K118" s="32" t="s">
        <v>331</v>
      </c>
      <c r="L118" s="32">
        <v>10.45</v>
      </c>
      <c r="O118" s="32" t="s">
        <v>397</v>
      </c>
    </row>
    <row r="119" spans="1:15" s="32" customFormat="1">
      <c r="A119" s="32" t="s">
        <v>948</v>
      </c>
      <c r="B119" s="32" t="s">
        <v>947</v>
      </c>
      <c r="C119" s="32" t="s">
        <v>267</v>
      </c>
      <c r="D119" s="32" t="s">
        <v>366</v>
      </c>
      <c r="G119" s="32" t="s">
        <v>306</v>
      </c>
      <c r="H119" s="32" t="s">
        <v>402</v>
      </c>
      <c r="I119" s="32" t="s">
        <v>391</v>
      </c>
      <c r="J119" s="32" t="s">
        <v>19</v>
      </c>
      <c r="K119" s="32" t="s">
        <v>331</v>
      </c>
      <c r="L119" s="32">
        <v>19.22</v>
      </c>
      <c r="O119" s="32" t="s">
        <v>397</v>
      </c>
    </row>
    <row r="120" spans="1:15" s="32" customFormat="1">
      <c r="A120" s="32" t="s">
        <v>948</v>
      </c>
      <c r="B120" s="32" t="s">
        <v>947</v>
      </c>
      <c r="C120" s="32" t="s">
        <v>267</v>
      </c>
      <c r="D120" s="32" t="s">
        <v>366</v>
      </c>
      <c r="E120" s="30"/>
      <c r="G120" s="32" t="s">
        <v>306</v>
      </c>
      <c r="H120" s="32" t="s">
        <v>402</v>
      </c>
      <c r="I120" s="30" t="s">
        <v>392</v>
      </c>
      <c r="J120" s="32" t="s">
        <v>385</v>
      </c>
      <c r="K120" s="32" t="s">
        <v>331</v>
      </c>
      <c r="L120" s="32">
        <v>0.85</v>
      </c>
      <c r="O120" s="32" t="s">
        <v>397</v>
      </c>
    </row>
    <row r="121" spans="1:15" s="32" customFormat="1">
      <c r="A121" s="32" t="s">
        <v>948</v>
      </c>
      <c r="B121" s="32" t="s">
        <v>947</v>
      </c>
      <c r="C121" s="32" t="s">
        <v>267</v>
      </c>
      <c r="D121" s="32" t="s">
        <v>366</v>
      </c>
      <c r="E121" s="30"/>
      <c r="G121" s="32" t="s">
        <v>306</v>
      </c>
      <c r="H121" s="32" t="s">
        <v>402</v>
      </c>
      <c r="I121" s="30" t="s">
        <v>393</v>
      </c>
      <c r="J121" s="30" t="s">
        <v>363</v>
      </c>
      <c r="K121" s="32" t="s">
        <v>353</v>
      </c>
      <c r="L121" s="32">
        <v>95.8</v>
      </c>
      <c r="O121" s="32" t="s">
        <v>397</v>
      </c>
    </row>
    <row r="122" spans="1:15" s="32" customFormat="1">
      <c r="A122" s="32" t="s">
        <v>948</v>
      </c>
      <c r="B122" s="32" t="s">
        <v>947</v>
      </c>
      <c r="C122" s="32" t="s">
        <v>267</v>
      </c>
      <c r="D122" s="32" t="s">
        <v>366</v>
      </c>
      <c r="E122" s="30"/>
      <c r="G122" s="32" t="s">
        <v>306</v>
      </c>
      <c r="H122" s="32" t="s">
        <v>402</v>
      </c>
      <c r="I122" s="30" t="s">
        <v>394</v>
      </c>
      <c r="J122" s="30" t="s">
        <v>386</v>
      </c>
      <c r="K122" s="32" t="s">
        <v>331</v>
      </c>
      <c r="L122" s="32">
        <v>132</v>
      </c>
      <c r="O122" s="32" t="s">
        <v>397</v>
      </c>
    </row>
    <row r="123" spans="1:15" s="32" customFormat="1">
      <c r="A123" s="32" t="s">
        <v>948</v>
      </c>
      <c r="B123" s="32" t="s">
        <v>947</v>
      </c>
      <c r="C123" s="32" t="s">
        <v>267</v>
      </c>
      <c r="D123" s="32" t="s">
        <v>366</v>
      </c>
      <c r="G123" s="32" t="s">
        <v>306</v>
      </c>
      <c r="H123" s="32" t="s">
        <v>402</v>
      </c>
      <c r="I123" s="32" t="s">
        <v>395</v>
      </c>
      <c r="J123" s="32" t="s">
        <v>356</v>
      </c>
      <c r="K123" s="32" t="s">
        <v>353</v>
      </c>
      <c r="L123" s="32">
        <v>5.32</v>
      </c>
      <c r="O123" s="32" t="s">
        <v>397</v>
      </c>
    </row>
    <row r="124" spans="1:15" s="32" customFormat="1">
      <c r="A124" s="32" t="s">
        <v>948</v>
      </c>
      <c r="B124" s="32" t="s">
        <v>947</v>
      </c>
      <c r="C124" s="32" t="s">
        <v>267</v>
      </c>
      <c r="D124" s="32" t="s">
        <v>366</v>
      </c>
      <c r="G124" s="32" t="s">
        <v>306</v>
      </c>
      <c r="H124" s="32" t="s">
        <v>402</v>
      </c>
      <c r="I124" s="32" t="s">
        <v>395</v>
      </c>
      <c r="J124" s="32" t="s">
        <v>396</v>
      </c>
      <c r="K124" s="32" t="s">
        <v>331</v>
      </c>
      <c r="L124" s="32">
        <v>1.49</v>
      </c>
      <c r="O124" s="32" t="s">
        <v>397</v>
      </c>
    </row>
    <row r="125" spans="1:15">
      <c r="A125" s="34" t="s">
        <v>457</v>
      </c>
      <c r="B125" s="34" t="s">
        <v>534</v>
      </c>
      <c r="C125" s="34" t="s">
        <v>267</v>
      </c>
      <c r="D125" s="34" t="s">
        <v>34</v>
      </c>
      <c r="E125" s="34"/>
      <c r="F125" s="34" t="s">
        <v>838</v>
      </c>
      <c r="G125" s="34" t="s">
        <v>458</v>
      </c>
      <c r="H125" s="32" t="s">
        <v>402</v>
      </c>
      <c r="I125" s="34" t="s">
        <v>459</v>
      </c>
      <c r="J125" s="34"/>
      <c r="K125" s="34" t="s">
        <v>460</v>
      </c>
      <c r="L125" s="34">
        <f>0.375*0.907185</f>
        <v>0.34019437499999999</v>
      </c>
      <c r="M125" s="34" t="s">
        <v>461</v>
      </c>
      <c r="N125" s="34" t="s">
        <v>462</v>
      </c>
      <c r="O125" s="34" t="s">
        <v>399</v>
      </c>
    </row>
    <row r="126" spans="1:15">
      <c r="A126" s="34" t="s">
        <v>457</v>
      </c>
      <c r="B126" s="34" t="s">
        <v>534</v>
      </c>
      <c r="C126" s="34" t="s">
        <v>267</v>
      </c>
      <c r="D126" s="34" t="s">
        <v>34</v>
      </c>
      <c r="E126" s="34"/>
      <c r="F126" s="34" t="s">
        <v>838</v>
      </c>
      <c r="G126" s="34" t="s">
        <v>458</v>
      </c>
      <c r="H126" s="32" t="s">
        <v>402</v>
      </c>
      <c r="I126" s="34" t="s">
        <v>370</v>
      </c>
      <c r="J126" s="34"/>
      <c r="K126" s="34" t="s">
        <v>460</v>
      </c>
      <c r="L126" s="34">
        <f>0.118*0.907185</f>
        <v>0.10704783</v>
      </c>
      <c r="M126" s="34" t="s">
        <v>461</v>
      </c>
      <c r="N126" s="34" t="s">
        <v>462</v>
      </c>
      <c r="O126" s="34" t="s">
        <v>399</v>
      </c>
    </row>
    <row r="127" spans="1:15">
      <c r="A127" s="34" t="s">
        <v>457</v>
      </c>
      <c r="B127" s="34" t="s">
        <v>534</v>
      </c>
      <c r="C127" s="34" t="s">
        <v>267</v>
      </c>
      <c r="D127" s="34" t="s">
        <v>34</v>
      </c>
      <c r="E127" s="34"/>
      <c r="F127" s="34" t="s">
        <v>838</v>
      </c>
      <c r="G127" s="34" t="s">
        <v>458</v>
      </c>
      <c r="H127" s="32" t="s">
        <v>402</v>
      </c>
      <c r="I127" s="34" t="s">
        <v>463</v>
      </c>
      <c r="J127" s="34"/>
      <c r="K127" s="34" t="s">
        <v>460</v>
      </c>
      <c r="L127" s="34">
        <f>0.021*0.907185</f>
        <v>1.9050885E-2</v>
      </c>
      <c r="M127" s="34" t="s">
        <v>461</v>
      </c>
      <c r="N127" s="34" t="s">
        <v>462</v>
      </c>
      <c r="O127" s="34" t="s">
        <v>399</v>
      </c>
    </row>
    <row r="128" spans="1:15">
      <c r="A128" s="34" t="s">
        <v>457</v>
      </c>
      <c r="B128" s="34" t="s">
        <v>534</v>
      </c>
      <c r="C128" s="34" t="s">
        <v>267</v>
      </c>
      <c r="D128" s="34" t="s">
        <v>34</v>
      </c>
      <c r="E128" s="34"/>
      <c r="F128" s="34" t="s">
        <v>838</v>
      </c>
      <c r="G128" s="34" t="s">
        <v>458</v>
      </c>
      <c r="H128" s="32" t="s">
        <v>402</v>
      </c>
      <c r="I128" s="34" t="s">
        <v>464</v>
      </c>
      <c r="J128" s="34"/>
      <c r="K128" s="34" t="s">
        <v>460</v>
      </c>
      <c r="L128" s="34">
        <f>0.001*0.907185</f>
        <v>9.0718500000000002E-4</v>
      </c>
      <c r="M128" s="34" t="s">
        <v>461</v>
      </c>
      <c r="N128" s="34" t="s">
        <v>462</v>
      </c>
      <c r="O128" s="34" t="s">
        <v>399</v>
      </c>
    </row>
    <row r="129" spans="1:15">
      <c r="A129" s="34" t="s">
        <v>457</v>
      </c>
      <c r="B129" s="34" t="s">
        <v>534</v>
      </c>
      <c r="C129" s="34" t="s">
        <v>267</v>
      </c>
      <c r="D129" s="34" t="s">
        <v>308</v>
      </c>
      <c r="E129" s="34"/>
      <c r="F129" s="34" t="s">
        <v>838</v>
      </c>
      <c r="G129" s="34" t="s">
        <v>458</v>
      </c>
      <c r="H129" s="32" t="s">
        <v>402</v>
      </c>
      <c r="I129" s="34" t="s">
        <v>370</v>
      </c>
      <c r="J129" s="34"/>
      <c r="K129" s="34" t="s">
        <v>460</v>
      </c>
      <c r="L129" s="34">
        <f>0.0084*0.907185</f>
        <v>7.6203539999999993E-3</v>
      </c>
      <c r="M129" s="34" t="s">
        <v>461</v>
      </c>
      <c r="N129" s="34" t="s">
        <v>462</v>
      </c>
      <c r="O129" s="34" t="s">
        <v>399</v>
      </c>
    </row>
    <row r="130" spans="1:15">
      <c r="A130" s="34" t="s">
        <v>457</v>
      </c>
      <c r="B130" s="34" t="s">
        <v>534</v>
      </c>
      <c r="C130" s="34" t="s">
        <v>267</v>
      </c>
      <c r="D130" s="34" t="s">
        <v>308</v>
      </c>
      <c r="E130" s="34"/>
      <c r="F130" s="34" t="s">
        <v>838</v>
      </c>
      <c r="G130" s="34" t="s">
        <v>458</v>
      </c>
      <c r="H130" s="32" t="s">
        <v>402</v>
      </c>
      <c r="I130" s="34" t="s">
        <v>463</v>
      </c>
      <c r="J130" s="34"/>
      <c r="K130" s="34" t="s">
        <v>460</v>
      </c>
      <c r="L130" s="34">
        <f>3.661*0.001*0.907185</f>
        <v>3.3212042850000001E-3</v>
      </c>
      <c r="M130" s="34" t="s">
        <v>461</v>
      </c>
      <c r="N130" s="34" t="s">
        <v>462</v>
      </c>
      <c r="O130" s="34" t="s">
        <v>399</v>
      </c>
    </row>
    <row r="131" spans="1:15">
      <c r="A131" s="34" t="s">
        <v>457</v>
      </c>
      <c r="B131" s="34" t="s">
        <v>534</v>
      </c>
      <c r="C131" s="34" t="s">
        <v>267</v>
      </c>
      <c r="D131" s="34" t="s">
        <v>308</v>
      </c>
      <c r="E131" s="34"/>
      <c r="F131" s="34" t="s">
        <v>838</v>
      </c>
      <c r="G131" s="34" t="s">
        <v>458</v>
      </c>
      <c r="H131" s="32" t="s">
        <v>402</v>
      </c>
      <c r="I131" s="34" t="s">
        <v>472</v>
      </c>
      <c r="J131" s="34"/>
      <c r="K131" s="34" t="s">
        <v>460</v>
      </c>
      <c r="L131" s="34">
        <f>0.256*0.907185</f>
        <v>0.23223936000000001</v>
      </c>
      <c r="M131" s="34" t="s">
        <v>461</v>
      </c>
      <c r="N131" s="34" t="s">
        <v>462</v>
      </c>
      <c r="O131" s="34" t="s">
        <v>399</v>
      </c>
    </row>
    <row r="132" spans="1:15">
      <c r="A132" s="34" t="s">
        <v>457</v>
      </c>
      <c r="B132" s="34" t="s">
        <v>534</v>
      </c>
      <c r="C132" s="34" t="s">
        <v>267</v>
      </c>
      <c r="D132" s="34" t="s">
        <v>308</v>
      </c>
      <c r="E132" s="34"/>
      <c r="F132" s="34" t="s">
        <v>838</v>
      </c>
      <c r="G132" s="34" t="s">
        <v>458</v>
      </c>
      <c r="H132" s="32" t="s">
        <v>402</v>
      </c>
      <c r="I132" s="34" t="s">
        <v>347</v>
      </c>
      <c r="J132" s="34"/>
      <c r="K132" s="34" t="s">
        <v>460</v>
      </c>
      <c r="L132" s="34">
        <f>0.016*0.907185</f>
        <v>1.451496E-2</v>
      </c>
      <c r="M132" s="34" t="s">
        <v>461</v>
      </c>
      <c r="N132" s="34" t="s">
        <v>462</v>
      </c>
      <c r="O132" s="34" t="s">
        <v>399</v>
      </c>
    </row>
    <row r="133" spans="1:15">
      <c r="A133" s="34" t="s">
        <v>457</v>
      </c>
      <c r="B133" s="34" t="s">
        <v>534</v>
      </c>
      <c r="C133" s="34" t="s">
        <v>267</v>
      </c>
      <c r="D133" s="34" t="s">
        <v>308</v>
      </c>
      <c r="E133" s="34"/>
      <c r="F133" s="34" t="s">
        <v>838</v>
      </c>
      <c r="G133" s="34" t="s">
        <v>458</v>
      </c>
      <c r="H133" s="32" t="s">
        <v>402</v>
      </c>
      <c r="I133" s="34" t="s">
        <v>473</v>
      </c>
      <c r="J133" s="34"/>
      <c r="K133" s="34" t="s">
        <v>460</v>
      </c>
      <c r="L133" s="34">
        <f>0.705*0.907185</f>
        <v>0.63956542500000002</v>
      </c>
      <c r="M133" s="34" t="s">
        <v>461</v>
      </c>
      <c r="N133" s="34" t="s">
        <v>462</v>
      </c>
      <c r="O133" s="34" t="s">
        <v>399</v>
      </c>
    </row>
    <row r="134" spans="1:15">
      <c r="A134" s="34" t="s">
        <v>457</v>
      </c>
      <c r="B134" s="34" t="s">
        <v>534</v>
      </c>
      <c r="C134" s="34" t="s">
        <v>267</v>
      </c>
      <c r="D134" s="34" t="s">
        <v>308</v>
      </c>
      <c r="E134" s="34"/>
      <c r="F134" s="34" t="s">
        <v>838</v>
      </c>
      <c r="G134" s="34" t="s">
        <v>458</v>
      </c>
      <c r="H134" s="32" t="s">
        <v>402</v>
      </c>
      <c r="I134" s="34" t="s">
        <v>474</v>
      </c>
      <c r="J134" s="34"/>
      <c r="K134" s="34" t="s">
        <v>460</v>
      </c>
      <c r="L134" s="34">
        <f>7.189*0.001*0.907185</f>
        <v>6.5217529650000005E-3</v>
      </c>
      <c r="M134" s="34" t="s">
        <v>461</v>
      </c>
      <c r="N134" s="34" t="s">
        <v>462</v>
      </c>
      <c r="O134" s="34" t="s">
        <v>399</v>
      </c>
    </row>
    <row r="135" spans="1:15">
      <c r="A135" s="34" t="s">
        <v>457</v>
      </c>
      <c r="B135" s="34" t="s">
        <v>534</v>
      </c>
      <c r="C135" s="34" t="s">
        <v>267</v>
      </c>
      <c r="D135" s="34" t="s">
        <v>308</v>
      </c>
      <c r="E135" s="34"/>
      <c r="F135" s="34" t="s">
        <v>838</v>
      </c>
      <c r="G135" s="34" t="s">
        <v>458</v>
      </c>
      <c r="H135" s="32" t="s">
        <v>402</v>
      </c>
      <c r="I135" s="34" t="s">
        <v>475</v>
      </c>
      <c r="J135" s="34"/>
      <c r="K135" s="34" t="s">
        <v>460</v>
      </c>
      <c r="L135" s="34">
        <f>0.0015*0.907185</f>
        <v>1.3607775E-3</v>
      </c>
      <c r="M135" s="34" t="s">
        <v>461</v>
      </c>
      <c r="N135" s="34" t="s">
        <v>462</v>
      </c>
      <c r="O135" s="34" t="s">
        <v>399</v>
      </c>
    </row>
    <row r="136" spans="1:15">
      <c r="A136" s="34" t="s">
        <v>457</v>
      </c>
      <c r="B136" s="34" t="s">
        <v>534</v>
      </c>
      <c r="C136" s="34" t="s">
        <v>267</v>
      </c>
      <c r="D136" s="34" t="s">
        <v>308</v>
      </c>
      <c r="E136" s="34"/>
      <c r="F136" s="34" t="s">
        <v>838</v>
      </c>
      <c r="G136" s="34" t="s">
        <v>458</v>
      </c>
      <c r="H136" s="32" t="s">
        <v>402</v>
      </c>
      <c r="I136" s="34" t="s">
        <v>476</v>
      </c>
      <c r="J136" s="34"/>
      <c r="K136" s="34" t="s">
        <v>460</v>
      </c>
      <c r="L136" s="34">
        <f>7.44*0.1*0.907185</f>
        <v>0.67494564000000012</v>
      </c>
      <c r="M136" s="34" t="s">
        <v>461</v>
      </c>
      <c r="N136" s="34" t="s">
        <v>462</v>
      </c>
      <c r="O136" s="34" t="s">
        <v>399</v>
      </c>
    </row>
    <row r="137" spans="1:15">
      <c r="A137" s="34" t="s">
        <v>457</v>
      </c>
      <c r="B137" s="34" t="s">
        <v>534</v>
      </c>
      <c r="C137" s="34" t="s">
        <v>267</v>
      </c>
      <c r="D137" s="34" t="s">
        <v>308</v>
      </c>
      <c r="E137" s="34"/>
      <c r="F137" s="34" t="s">
        <v>838</v>
      </c>
      <c r="G137" s="34" t="s">
        <v>458</v>
      </c>
      <c r="H137" s="32" t="s">
        <v>402</v>
      </c>
      <c r="I137" s="34" t="s">
        <v>477</v>
      </c>
      <c r="J137" s="34"/>
      <c r="K137" s="34" t="s">
        <v>460</v>
      </c>
      <c r="L137" s="34">
        <f>8.049*0.0001*0.907185</f>
        <v>7.3019320650000001E-4</v>
      </c>
      <c r="M137" s="34" t="s">
        <v>461</v>
      </c>
      <c r="N137" s="34" t="s">
        <v>462</v>
      </c>
      <c r="O137" s="34" t="s">
        <v>399</v>
      </c>
    </row>
    <row r="138" spans="1:15">
      <c r="A138" s="34" t="s">
        <v>457</v>
      </c>
      <c r="B138" s="34" t="s">
        <v>534</v>
      </c>
      <c r="C138" s="34" t="s">
        <v>267</v>
      </c>
      <c r="D138" s="34" t="s">
        <v>308</v>
      </c>
      <c r="E138" s="34"/>
      <c r="F138" s="34" t="s">
        <v>838</v>
      </c>
      <c r="G138" s="34" t="s">
        <v>458</v>
      </c>
      <c r="H138" s="32" t="s">
        <v>402</v>
      </c>
      <c r="I138" s="34" t="s">
        <v>478</v>
      </c>
      <c r="J138" s="34"/>
      <c r="K138" s="34" t="s">
        <v>460</v>
      </c>
      <c r="L138" s="34">
        <f>0.0046*0.907185</f>
        <v>4.1730509999999997E-3</v>
      </c>
      <c r="M138" s="34" t="s">
        <v>461</v>
      </c>
      <c r="N138" s="34" t="s">
        <v>462</v>
      </c>
      <c r="O138" s="34" t="s">
        <v>399</v>
      </c>
    </row>
    <row r="139" spans="1:15">
      <c r="A139" s="34" t="s">
        <v>457</v>
      </c>
      <c r="B139" s="34" t="s">
        <v>534</v>
      </c>
      <c r="C139" s="34" t="s">
        <v>267</v>
      </c>
      <c r="D139" s="34" t="s">
        <v>308</v>
      </c>
      <c r="E139" s="34"/>
      <c r="F139" s="34" t="s">
        <v>838</v>
      </c>
      <c r="G139" s="34" t="s">
        <v>458</v>
      </c>
      <c r="H139" s="32" t="s">
        <v>402</v>
      </c>
      <c r="I139" s="34" t="s">
        <v>479</v>
      </c>
      <c r="J139" s="34"/>
      <c r="K139" s="34" t="s">
        <v>460</v>
      </c>
      <c r="L139" s="34">
        <f>1.35*0.0001*0.907185</f>
        <v>1.2246997500000003E-4</v>
      </c>
      <c r="M139" s="34" t="s">
        <v>461</v>
      </c>
      <c r="N139" s="34" t="s">
        <v>462</v>
      </c>
      <c r="O139" s="34" t="s">
        <v>399</v>
      </c>
    </row>
    <row r="140" spans="1:15">
      <c r="A140" s="34" t="s">
        <v>457</v>
      </c>
      <c r="B140" s="34" t="s">
        <v>534</v>
      </c>
      <c r="C140" s="34" t="s">
        <v>267</v>
      </c>
      <c r="D140" s="34" t="s">
        <v>308</v>
      </c>
      <c r="E140" s="34"/>
      <c r="F140" s="34" t="s">
        <v>838</v>
      </c>
      <c r="G140" s="34" t="s">
        <v>458</v>
      </c>
      <c r="H140" s="32" t="s">
        <v>402</v>
      </c>
      <c r="I140" s="34" t="s">
        <v>480</v>
      </c>
      <c r="J140" s="34"/>
      <c r="K140" s="34" t="s">
        <v>460</v>
      </c>
      <c r="L140" s="34">
        <f>2*0.001*0.907185</f>
        <v>1.81437E-3</v>
      </c>
      <c r="M140" s="34" t="s">
        <v>461</v>
      </c>
      <c r="N140" s="34" t="s">
        <v>462</v>
      </c>
      <c r="O140" s="34" t="s">
        <v>399</v>
      </c>
    </row>
    <row r="141" spans="1:15">
      <c r="A141" s="34" t="s">
        <v>457</v>
      </c>
      <c r="B141" s="34" t="s">
        <v>534</v>
      </c>
      <c r="C141" s="34" t="s">
        <v>267</v>
      </c>
      <c r="D141" s="34" t="s">
        <v>308</v>
      </c>
      <c r="E141" s="34"/>
      <c r="F141" s="34" t="s">
        <v>838</v>
      </c>
      <c r="G141" s="34" t="s">
        <v>458</v>
      </c>
      <c r="H141" s="32" t="s">
        <v>402</v>
      </c>
      <c r="I141" s="34" t="s">
        <v>481</v>
      </c>
      <c r="J141" s="34"/>
      <c r="K141" s="34" t="s">
        <v>460</v>
      </c>
      <c r="L141" s="34">
        <f>1.039*0.0001*0.907185</f>
        <v>9.425652149999999E-5</v>
      </c>
      <c r="M141" s="34" t="s">
        <v>461</v>
      </c>
      <c r="N141" s="34" t="s">
        <v>462</v>
      </c>
      <c r="O141" s="34" t="s">
        <v>399</v>
      </c>
    </row>
    <row r="142" spans="1:15">
      <c r="A142" s="34" t="s">
        <v>457</v>
      </c>
      <c r="B142" s="34" t="s">
        <v>534</v>
      </c>
      <c r="C142" s="34" t="s">
        <v>267</v>
      </c>
      <c r="D142" s="34" t="s">
        <v>308</v>
      </c>
      <c r="E142" s="34"/>
      <c r="F142" s="34" t="s">
        <v>838</v>
      </c>
      <c r="G142" s="34" t="s">
        <v>458</v>
      </c>
      <c r="H142" s="32" t="s">
        <v>402</v>
      </c>
      <c r="I142" s="34" t="s">
        <v>482</v>
      </c>
      <c r="J142" s="34"/>
      <c r="K142" s="34" t="s">
        <v>460</v>
      </c>
      <c r="L142" s="34">
        <f>3.635*0.0001*0.907185</f>
        <v>3.2976174750000002E-4</v>
      </c>
      <c r="M142" s="34" t="s">
        <v>461</v>
      </c>
      <c r="N142" s="34" t="s">
        <v>462</v>
      </c>
      <c r="O142" s="34" t="s">
        <v>399</v>
      </c>
    </row>
    <row r="143" spans="1:15">
      <c r="A143" s="34" t="s">
        <v>457</v>
      </c>
      <c r="B143" s="34" t="s">
        <v>534</v>
      </c>
      <c r="C143" s="34" t="s">
        <v>267</v>
      </c>
      <c r="D143" s="34" t="s">
        <v>308</v>
      </c>
      <c r="E143" s="34"/>
      <c r="F143" s="34" t="s">
        <v>838</v>
      </c>
      <c r="G143" s="34" t="s">
        <v>458</v>
      </c>
      <c r="H143" s="32" t="s">
        <v>402</v>
      </c>
      <c r="I143" s="34" t="s">
        <v>483</v>
      </c>
      <c r="J143" s="34"/>
      <c r="K143" s="34" t="s">
        <v>460</v>
      </c>
      <c r="L143" s="34">
        <f>2.648*0.001*0.907185</f>
        <v>2.4022258800000004E-3</v>
      </c>
      <c r="M143" s="34" t="s">
        <v>461</v>
      </c>
      <c r="N143" s="34" t="s">
        <v>462</v>
      </c>
      <c r="O143" s="34" t="s">
        <v>399</v>
      </c>
    </row>
    <row r="144" spans="1:15">
      <c r="A144" s="34" t="s">
        <v>457</v>
      </c>
      <c r="B144" s="34" t="s">
        <v>534</v>
      </c>
      <c r="C144" s="34" t="s">
        <v>267</v>
      </c>
      <c r="D144" s="34" t="s">
        <v>308</v>
      </c>
      <c r="E144" s="34"/>
      <c r="F144" s="34" t="s">
        <v>838</v>
      </c>
      <c r="G144" s="34" t="s">
        <v>458</v>
      </c>
      <c r="H144" s="32" t="s">
        <v>402</v>
      </c>
      <c r="I144" s="34" t="s">
        <v>484</v>
      </c>
      <c r="J144" s="34"/>
      <c r="K144" s="34" t="s">
        <v>460</v>
      </c>
      <c r="L144" s="34">
        <f>1.817*0.001*0.907185</f>
        <v>1.6483551450000001E-3</v>
      </c>
      <c r="M144" s="34" t="s">
        <v>461</v>
      </c>
      <c r="N144" s="34" t="s">
        <v>462</v>
      </c>
      <c r="O144" s="34" t="s">
        <v>399</v>
      </c>
    </row>
    <row r="145" spans="1:15">
      <c r="A145" s="34" t="s">
        <v>457</v>
      </c>
      <c r="B145" s="34" t="s">
        <v>534</v>
      </c>
      <c r="C145" s="34" t="s">
        <v>267</v>
      </c>
      <c r="D145" s="34" t="s">
        <v>308</v>
      </c>
      <c r="E145" s="34"/>
      <c r="F145" s="34" t="s">
        <v>838</v>
      </c>
      <c r="G145" s="34" t="s">
        <v>458</v>
      </c>
      <c r="H145" s="32" t="s">
        <v>402</v>
      </c>
      <c r="I145" s="34" t="s">
        <v>485</v>
      </c>
      <c r="J145" s="34"/>
      <c r="K145" s="34" t="s">
        <v>460</v>
      </c>
      <c r="L145" s="34">
        <f>7.27*0.0001*0.907185</f>
        <v>6.5952349500000005E-4</v>
      </c>
      <c r="M145" s="34" t="s">
        <v>461</v>
      </c>
      <c r="N145" s="34" t="s">
        <v>462</v>
      </c>
      <c r="O145" s="34" t="s">
        <v>399</v>
      </c>
    </row>
    <row r="146" spans="1:15">
      <c r="A146" s="34" t="s">
        <v>457</v>
      </c>
      <c r="B146" s="34" t="s">
        <v>534</v>
      </c>
      <c r="C146" s="34" t="s">
        <v>267</v>
      </c>
      <c r="D146" s="34" t="s">
        <v>308</v>
      </c>
      <c r="E146" s="34"/>
      <c r="F146" s="34" t="s">
        <v>838</v>
      </c>
      <c r="G146" s="34" t="s">
        <v>458</v>
      </c>
      <c r="H146" s="32" t="s">
        <v>402</v>
      </c>
      <c r="I146" s="34" t="s">
        <v>486</v>
      </c>
      <c r="J146" s="34"/>
      <c r="K146" s="34" t="s">
        <v>460</v>
      </c>
      <c r="L146" s="34">
        <f>0.0024*0.907185</f>
        <v>2.1772440000000001E-3</v>
      </c>
      <c r="M146" s="34" t="s">
        <v>461</v>
      </c>
      <c r="N146" s="34" t="s">
        <v>462</v>
      </c>
      <c r="O146" s="34" t="s">
        <v>399</v>
      </c>
    </row>
    <row r="147" spans="1:15">
      <c r="A147" s="34" t="s">
        <v>457</v>
      </c>
      <c r="B147" s="34" t="s">
        <v>534</v>
      </c>
      <c r="C147" s="34" t="s">
        <v>267</v>
      </c>
      <c r="D147" s="34" t="s">
        <v>268</v>
      </c>
      <c r="E147" s="34"/>
      <c r="F147" s="34" t="s">
        <v>838</v>
      </c>
      <c r="G147" s="34" t="s">
        <v>458</v>
      </c>
      <c r="H147" s="32" t="s">
        <v>402</v>
      </c>
      <c r="I147" s="34" t="s">
        <v>466</v>
      </c>
      <c r="J147" s="34"/>
      <c r="K147" s="34" t="s">
        <v>467</v>
      </c>
      <c r="L147">
        <f>1.039*1055.055853</f>
        <v>1096.2030312669999</v>
      </c>
      <c r="M147" s="34" t="s">
        <v>461</v>
      </c>
      <c r="N147" s="34" t="s">
        <v>468</v>
      </c>
      <c r="O147" s="34" t="s">
        <v>399</v>
      </c>
    </row>
    <row r="148" spans="1:15">
      <c r="A148" s="34" t="s">
        <v>457</v>
      </c>
      <c r="B148" s="34" t="s">
        <v>534</v>
      </c>
      <c r="C148" s="34" t="s">
        <v>267</v>
      </c>
      <c r="D148" s="34" t="s">
        <v>268</v>
      </c>
      <c r="E148" s="34"/>
      <c r="F148" s="34" t="s">
        <v>838</v>
      </c>
      <c r="G148" s="34" t="s">
        <v>458</v>
      </c>
      <c r="H148" s="32" t="s">
        <v>402</v>
      </c>
      <c r="I148" s="34" t="s">
        <v>469</v>
      </c>
      <c r="J148" s="34"/>
      <c r="K148" s="34" t="s">
        <v>467</v>
      </c>
      <c r="L148" s="34">
        <f>0.076*1055.055853</f>
        <v>80.184244828000004</v>
      </c>
      <c r="M148" s="34" t="s">
        <v>461</v>
      </c>
      <c r="N148" s="34" t="s">
        <v>468</v>
      </c>
      <c r="O148" s="34" t="s">
        <v>399</v>
      </c>
    </row>
    <row r="149" spans="1:15">
      <c r="A149" s="34" t="s">
        <v>457</v>
      </c>
      <c r="B149" s="34" t="s">
        <v>534</v>
      </c>
      <c r="C149" s="34" t="s">
        <v>267</v>
      </c>
      <c r="D149" s="34" t="s">
        <v>268</v>
      </c>
      <c r="E149" s="34"/>
      <c r="F149" s="34" t="s">
        <v>838</v>
      </c>
      <c r="G149" s="34" t="s">
        <v>458</v>
      </c>
      <c r="H149" s="32" t="s">
        <v>402</v>
      </c>
      <c r="I149" s="34" t="s">
        <v>470</v>
      </c>
      <c r="J149" s="34"/>
      <c r="K149" s="34" t="s">
        <v>467</v>
      </c>
      <c r="L149" s="34">
        <f>0.002*1055.055853</f>
        <v>2.1101117060000001</v>
      </c>
      <c r="M149" s="34" t="s">
        <v>461</v>
      </c>
      <c r="N149" s="34" t="s">
        <v>468</v>
      </c>
      <c r="O149" s="34" t="s">
        <v>399</v>
      </c>
    </row>
    <row r="150" spans="1:15">
      <c r="A150" s="34" t="s">
        <v>457</v>
      </c>
      <c r="B150" s="34" t="s">
        <v>534</v>
      </c>
      <c r="C150" s="34" t="s">
        <v>267</v>
      </c>
      <c r="D150" s="34" t="s">
        <v>268</v>
      </c>
      <c r="E150" s="34"/>
      <c r="F150" s="34" t="s">
        <v>838</v>
      </c>
      <c r="G150" s="34" t="s">
        <v>458</v>
      </c>
      <c r="H150" s="32" t="s">
        <v>402</v>
      </c>
      <c r="I150" s="34" t="s">
        <v>471</v>
      </c>
      <c r="J150" s="34"/>
      <c r="K150" s="34" t="s">
        <v>467</v>
      </c>
      <c r="L150" s="34">
        <f>0.033*1055.055853</f>
        <v>34.816843149000007</v>
      </c>
      <c r="M150" s="34" t="s">
        <v>461</v>
      </c>
      <c r="N150" s="34" t="s">
        <v>468</v>
      </c>
      <c r="O150" s="34" t="s">
        <v>399</v>
      </c>
    </row>
    <row r="151" spans="1:15">
      <c r="A151" s="34" t="s">
        <v>457</v>
      </c>
      <c r="B151" s="34" t="s">
        <v>534</v>
      </c>
      <c r="C151" s="34" t="s">
        <v>267</v>
      </c>
      <c r="D151" s="34" t="s">
        <v>268</v>
      </c>
      <c r="E151" s="34"/>
      <c r="F151" s="34" t="s">
        <v>838</v>
      </c>
      <c r="G151" s="34" t="s">
        <v>458</v>
      </c>
      <c r="H151" s="32" t="s">
        <v>402</v>
      </c>
      <c r="I151" s="34" t="s">
        <v>338</v>
      </c>
      <c r="J151" s="34"/>
      <c r="K151" s="34" t="s">
        <v>467</v>
      </c>
      <c r="L151" s="34">
        <f>5.669*1055.055853</f>
        <v>5981.1116306570002</v>
      </c>
      <c r="M151" s="34" t="s">
        <v>461</v>
      </c>
      <c r="N151" s="34" t="s">
        <v>468</v>
      </c>
      <c r="O151" s="34" t="s">
        <v>399</v>
      </c>
    </row>
    <row r="152" spans="1:15">
      <c r="A152" s="34" t="s">
        <v>457</v>
      </c>
      <c r="B152" s="34" t="s">
        <v>515</v>
      </c>
      <c r="C152" s="34" t="s">
        <v>267</v>
      </c>
      <c r="D152" s="34" t="s">
        <v>309</v>
      </c>
      <c r="E152" s="34"/>
      <c r="F152" s="34" t="s">
        <v>839</v>
      </c>
      <c r="G152" s="34" t="s">
        <v>458</v>
      </c>
      <c r="H152" s="32" t="s">
        <v>402</v>
      </c>
      <c r="I152" s="34" t="s">
        <v>489</v>
      </c>
      <c r="J152" s="34"/>
      <c r="K152" s="34" t="s">
        <v>487</v>
      </c>
      <c r="L152" s="34">
        <f>0.087*0.907185</f>
        <v>7.8925095000000001E-2</v>
      </c>
      <c r="M152" s="34" t="s">
        <v>461</v>
      </c>
      <c r="N152" s="34" t="s">
        <v>488</v>
      </c>
      <c r="O152" s="34" t="s">
        <v>399</v>
      </c>
    </row>
    <row r="153" spans="1:15">
      <c r="A153" s="34" t="s">
        <v>457</v>
      </c>
      <c r="B153" s="34" t="s">
        <v>515</v>
      </c>
      <c r="C153" s="34" t="s">
        <v>267</v>
      </c>
      <c r="D153" s="34" t="s">
        <v>309</v>
      </c>
      <c r="E153" s="34"/>
      <c r="F153" s="34" t="s">
        <v>839</v>
      </c>
      <c r="G153" s="34" t="s">
        <v>458</v>
      </c>
      <c r="H153" s="32" t="s">
        <v>402</v>
      </c>
      <c r="I153" s="34" t="s">
        <v>370</v>
      </c>
      <c r="J153" s="34"/>
      <c r="K153" s="34" t="s">
        <v>487</v>
      </c>
      <c r="L153" s="34">
        <f>0.096*0.907185</f>
        <v>8.7089760000000002E-2</v>
      </c>
      <c r="M153" s="34" t="s">
        <v>461</v>
      </c>
      <c r="N153" s="34" t="s">
        <v>488</v>
      </c>
      <c r="O153" s="34" t="s">
        <v>399</v>
      </c>
    </row>
    <row r="154" spans="1:15">
      <c r="A154" s="34" t="s">
        <v>457</v>
      </c>
      <c r="B154" s="34" t="s">
        <v>515</v>
      </c>
      <c r="C154" s="34" t="s">
        <v>267</v>
      </c>
      <c r="D154" s="34" t="s">
        <v>309</v>
      </c>
      <c r="E154" s="34"/>
      <c r="F154" s="34" t="s">
        <v>839</v>
      </c>
      <c r="G154" s="34" t="s">
        <v>458</v>
      </c>
      <c r="H154" s="32" t="s">
        <v>402</v>
      </c>
      <c r="I154" s="34" t="s">
        <v>369</v>
      </c>
      <c r="J154" s="34"/>
      <c r="K154" s="34" t="s">
        <v>487</v>
      </c>
      <c r="L154" s="34">
        <f>0.002*0.907185</f>
        <v>1.81437E-3</v>
      </c>
      <c r="M154" s="34" t="s">
        <v>461</v>
      </c>
      <c r="N154" s="34" t="s">
        <v>488</v>
      </c>
      <c r="O154" s="34" t="s">
        <v>399</v>
      </c>
    </row>
    <row r="155" spans="1:15">
      <c r="A155" s="34" t="s">
        <v>457</v>
      </c>
      <c r="B155" s="34" t="s">
        <v>515</v>
      </c>
      <c r="C155" s="34" t="s">
        <v>267</v>
      </c>
      <c r="D155" s="34" t="s">
        <v>309</v>
      </c>
      <c r="E155" s="34"/>
      <c r="F155" s="34" t="s">
        <v>839</v>
      </c>
      <c r="G155" s="34" t="s">
        <v>458</v>
      </c>
      <c r="H155" s="32" t="s">
        <v>402</v>
      </c>
      <c r="I155" s="34" t="s">
        <v>490</v>
      </c>
      <c r="J155" s="34"/>
      <c r="K155" s="34" t="s">
        <v>487</v>
      </c>
      <c r="L155" s="34">
        <f>0.021*0.907185</f>
        <v>1.9050885E-2</v>
      </c>
      <c r="M155" s="34" t="s">
        <v>461</v>
      </c>
      <c r="N155" s="34" t="s">
        <v>488</v>
      </c>
      <c r="O155" s="34" t="s">
        <v>399</v>
      </c>
    </row>
    <row r="156" spans="1:15">
      <c r="A156" s="34" t="s">
        <v>457</v>
      </c>
      <c r="B156" s="34" t="s">
        <v>515</v>
      </c>
      <c r="C156" s="34" t="s">
        <v>267</v>
      </c>
      <c r="D156" s="34" t="s">
        <v>34</v>
      </c>
      <c r="E156" s="34"/>
      <c r="F156" s="34" t="s">
        <v>839</v>
      </c>
      <c r="G156" s="34" t="s">
        <v>458</v>
      </c>
      <c r="H156" s="32" t="s">
        <v>402</v>
      </c>
      <c r="I156" s="34" t="s">
        <v>459</v>
      </c>
      <c r="J156" s="34"/>
      <c r="K156" s="34" t="s">
        <v>487</v>
      </c>
      <c r="L156" s="34">
        <f>0.092*0.907185</f>
        <v>8.3461019999999997E-2</v>
      </c>
      <c r="M156" s="34" t="s">
        <v>461</v>
      </c>
      <c r="N156" s="34" t="s">
        <v>488</v>
      </c>
      <c r="O156" s="34" t="s">
        <v>399</v>
      </c>
    </row>
    <row r="157" spans="1:15">
      <c r="A157" s="34" t="s">
        <v>457</v>
      </c>
      <c r="B157" s="34" t="s">
        <v>515</v>
      </c>
      <c r="C157" s="34" t="s">
        <v>267</v>
      </c>
      <c r="D157" s="34" t="s">
        <v>491</v>
      </c>
      <c r="E157" s="34"/>
      <c r="F157" s="34" t="s">
        <v>839</v>
      </c>
      <c r="G157" s="34" t="s">
        <v>458</v>
      </c>
      <c r="H157" s="32" t="s">
        <v>402</v>
      </c>
      <c r="I157" s="34" t="s">
        <v>370</v>
      </c>
      <c r="J157" s="34"/>
      <c r="K157" s="34" t="s">
        <v>487</v>
      </c>
      <c r="L157" s="34">
        <f>0.128*0.907185</f>
        <v>0.11611968</v>
      </c>
      <c r="M157" s="34" t="s">
        <v>461</v>
      </c>
      <c r="N157" s="34" t="s">
        <v>488</v>
      </c>
      <c r="O157" s="34" t="s">
        <v>399</v>
      </c>
    </row>
    <row r="158" spans="1:15">
      <c r="A158" s="34" t="s">
        <v>457</v>
      </c>
      <c r="B158" s="34" t="s">
        <v>515</v>
      </c>
      <c r="C158" s="34" t="s">
        <v>267</v>
      </c>
      <c r="D158" s="34" t="s">
        <v>491</v>
      </c>
      <c r="E158" s="34"/>
      <c r="F158" s="34" t="s">
        <v>839</v>
      </c>
      <c r="G158" s="34" t="s">
        <v>458</v>
      </c>
      <c r="H158" s="32" t="s">
        <v>402</v>
      </c>
      <c r="I158" s="34" t="s">
        <v>347</v>
      </c>
      <c r="J158" s="34"/>
      <c r="K158" s="34" t="s">
        <v>487</v>
      </c>
      <c r="L158" s="34">
        <f>1.745*0.907185</f>
        <v>1.5830378250000001</v>
      </c>
      <c r="M158" s="34" t="s">
        <v>461</v>
      </c>
      <c r="N158" s="34" t="s">
        <v>488</v>
      </c>
      <c r="O158" s="34" t="s">
        <v>399</v>
      </c>
    </row>
    <row r="159" spans="1:15">
      <c r="A159" s="34" t="s">
        <v>457</v>
      </c>
      <c r="B159" s="34" t="s">
        <v>515</v>
      </c>
      <c r="C159" s="34" t="s">
        <v>267</v>
      </c>
      <c r="D159" s="34" t="s">
        <v>491</v>
      </c>
      <c r="E159" s="34"/>
      <c r="F159" s="34" t="s">
        <v>839</v>
      </c>
      <c r="G159" s="34" t="s">
        <v>458</v>
      </c>
      <c r="H159" s="32" t="s">
        <v>402</v>
      </c>
      <c r="I159" s="34" t="s">
        <v>492</v>
      </c>
      <c r="J159" s="34"/>
      <c r="K159" s="34" t="s">
        <v>487</v>
      </c>
      <c r="L159" s="34">
        <f>0.611*0.907185</f>
        <v>0.55429003499999996</v>
      </c>
      <c r="M159" s="34" t="s">
        <v>461</v>
      </c>
      <c r="N159" s="34" t="s">
        <v>488</v>
      </c>
      <c r="O159" s="34" t="s">
        <v>399</v>
      </c>
    </row>
    <row r="160" spans="1:15">
      <c r="A160" s="34" t="s">
        <v>457</v>
      </c>
      <c r="B160" s="34" t="s">
        <v>515</v>
      </c>
      <c r="C160" s="34" t="s">
        <v>267</v>
      </c>
      <c r="D160" s="34" t="s">
        <v>491</v>
      </c>
      <c r="E160" s="34"/>
      <c r="F160" s="34" t="s">
        <v>839</v>
      </c>
      <c r="G160" s="34" t="s">
        <v>458</v>
      </c>
      <c r="H160" s="32" t="s">
        <v>402</v>
      </c>
      <c r="I160" s="34" t="s">
        <v>493</v>
      </c>
      <c r="J160" s="34"/>
      <c r="K160" s="34" t="s">
        <v>487</v>
      </c>
      <c r="L160" s="34">
        <f>0.316*0.907185</f>
        <v>0.28667046000000002</v>
      </c>
      <c r="M160" s="34" t="s">
        <v>461</v>
      </c>
      <c r="N160" s="34" t="s">
        <v>488</v>
      </c>
      <c r="O160" s="34" t="s">
        <v>399</v>
      </c>
    </row>
    <row r="161" spans="1:15">
      <c r="A161" s="34" t="s">
        <v>457</v>
      </c>
      <c r="B161" s="34" t="s">
        <v>515</v>
      </c>
      <c r="C161" s="34" t="s">
        <v>267</v>
      </c>
      <c r="D161" s="34" t="s">
        <v>491</v>
      </c>
      <c r="E161" s="34"/>
      <c r="F161" s="34" t="s">
        <v>839</v>
      </c>
      <c r="G161" s="34" t="s">
        <v>458</v>
      </c>
      <c r="H161" s="32" t="s">
        <v>402</v>
      </c>
      <c r="I161" s="34" t="s">
        <v>494</v>
      </c>
      <c r="J161" s="34"/>
      <c r="K161" s="34" t="s">
        <v>487</v>
      </c>
      <c r="L161" s="34">
        <f>0.007*0.907185</f>
        <v>6.3502950000000006E-3</v>
      </c>
      <c r="M161" s="34" t="s">
        <v>461</v>
      </c>
      <c r="N161" s="34" t="s">
        <v>488</v>
      </c>
      <c r="O161" s="34" t="s">
        <v>399</v>
      </c>
    </row>
    <row r="162" spans="1:15">
      <c r="A162" s="34" t="s">
        <v>457</v>
      </c>
      <c r="B162" s="34" t="s">
        <v>515</v>
      </c>
      <c r="C162" s="34" t="s">
        <v>267</v>
      </c>
      <c r="D162" s="34" t="s">
        <v>491</v>
      </c>
      <c r="E162" s="34"/>
      <c r="F162" s="34" t="s">
        <v>839</v>
      </c>
      <c r="G162" s="34" t="s">
        <v>458</v>
      </c>
      <c r="H162" s="32" t="s">
        <v>402</v>
      </c>
      <c r="I162" s="34" t="s">
        <v>495</v>
      </c>
      <c r="J162" s="34"/>
      <c r="K162" s="34" t="s">
        <v>487</v>
      </c>
      <c r="L162" s="34">
        <f>2.529*0.907185</f>
        <v>2.2942708650000001</v>
      </c>
      <c r="M162" s="34" t="s">
        <v>461</v>
      </c>
      <c r="N162" s="34" t="s">
        <v>488</v>
      </c>
      <c r="O162" s="34" t="s">
        <v>399</v>
      </c>
    </row>
    <row r="163" spans="1:15">
      <c r="A163" s="34" t="s">
        <v>457</v>
      </c>
      <c r="B163" s="34" t="s">
        <v>515</v>
      </c>
      <c r="C163" s="34" t="s">
        <v>267</v>
      </c>
      <c r="D163" s="34" t="s">
        <v>491</v>
      </c>
      <c r="E163" s="34"/>
      <c r="F163" s="34" t="s">
        <v>839</v>
      </c>
      <c r="G163" s="34" t="s">
        <v>458</v>
      </c>
      <c r="H163" s="32" t="s">
        <v>402</v>
      </c>
      <c r="I163" s="34" t="s">
        <v>373</v>
      </c>
      <c r="J163" s="34"/>
      <c r="K163" s="34" t="s">
        <v>487</v>
      </c>
      <c r="L163" s="34">
        <f>0.001*0.907185</f>
        <v>9.0718500000000002E-4</v>
      </c>
      <c r="M163" s="34" t="s">
        <v>461</v>
      </c>
      <c r="N163" s="34" t="s">
        <v>488</v>
      </c>
      <c r="O163" s="34" t="s">
        <v>399</v>
      </c>
    </row>
    <row r="164" spans="1:15">
      <c r="A164" s="34" t="s">
        <v>457</v>
      </c>
      <c r="B164" s="34" t="s">
        <v>515</v>
      </c>
      <c r="C164" s="34" t="s">
        <v>267</v>
      </c>
      <c r="D164" s="34" t="s">
        <v>491</v>
      </c>
      <c r="E164" s="34"/>
      <c r="F164" s="34" t="s">
        <v>839</v>
      </c>
      <c r="G164" s="34" t="s">
        <v>458</v>
      </c>
      <c r="H164" s="32" t="s">
        <v>402</v>
      </c>
      <c r="I164" s="34" t="s">
        <v>473</v>
      </c>
      <c r="J164" s="34"/>
      <c r="K164" s="34" t="s">
        <v>487</v>
      </c>
      <c r="L164" s="34">
        <f>3.093*0.907185</f>
        <v>2.805923205</v>
      </c>
      <c r="M164" s="34" t="s">
        <v>461</v>
      </c>
      <c r="N164" s="34" t="s">
        <v>488</v>
      </c>
      <c r="O164" s="34" t="s">
        <v>399</v>
      </c>
    </row>
    <row r="165" spans="1:15">
      <c r="A165" s="34" t="s">
        <v>457</v>
      </c>
      <c r="B165" s="34" t="s">
        <v>515</v>
      </c>
      <c r="C165" s="34" t="s">
        <v>267</v>
      </c>
      <c r="D165" s="34" t="s">
        <v>491</v>
      </c>
      <c r="E165" s="34"/>
      <c r="F165" s="34" t="s">
        <v>839</v>
      </c>
      <c r="G165" s="34" t="s">
        <v>458</v>
      </c>
      <c r="H165" s="32" t="s">
        <v>402</v>
      </c>
      <c r="I165" s="34" t="s">
        <v>369</v>
      </c>
      <c r="J165" s="34"/>
      <c r="K165" s="34" t="s">
        <v>487</v>
      </c>
      <c r="L165" s="34">
        <f>0.698*0.907185</f>
        <v>0.63321512999999996</v>
      </c>
      <c r="M165" s="34" t="s">
        <v>461</v>
      </c>
      <c r="N165" s="34" t="s">
        <v>488</v>
      </c>
      <c r="O165" s="34" t="s">
        <v>399</v>
      </c>
    </row>
    <row r="166" spans="1:15">
      <c r="A166" s="34" t="s">
        <v>457</v>
      </c>
      <c r="B166" s="34" t="s">
        <v>515</v>
      </c>
      <c r="C166" s="34" t="s">
        <v>267</v>
      </c>
      <c r="D166" s="34" t="s">
        <v>491</v>
      </c>
      <c r="E166" s="34"/>
      <c r="F166" s="34" t="s">
        <v>839</v>
      </c>
      <c r="G166" s="34" t="s">
        <v>458</v>
      </c>
      <c r="H166" s="32" t="s">
        <v>402</v>
      </c>
      <c r="I166" s="34" t="s">
        <v>490</v>
      </c>
      <c r="J166" s="34"/>
      <c r="K166" s="34" t="s">
        <v>487</v>
      </c>
      <c r="L166" s="34">
        <f>0.004*0.907185</f>
        <v>3.6287400000000001E-3</v>
      </c>
      <c r="M166" s="34" t="s">
        <v>461</v>
      </c>
      <c r="N166" s="34" t="s">
        <v>488</v>
      </c>
      <c r="O166" s="34" t="s">
        <v>399</v>
      </c>
    </row>
    <row r="167" spans="1:15">
      <c r="A167" s="34" t="s">
        <v>457</v>
      </c>
      <c r="B167" s="34" t="s">
        <v>515</v>
      </c>
      <c r="C167" s="34" t="s">
        <v>267</v>
      </c>
      <c r="D167" s="34" t="s">
        <v>491</v>
      </c>
      <c r="E167" s="34"/>
      <c r="F167" s="34" t="s">
        <v>839</v>
      </c>
      <c r="G167" s="34" t="s">
        <v>458</v>
      </c>
      <c r="H167" s="32" t="s">
        <v>402</v>
      </c>
      <c r="I167" s="34" t="s">
        <v>469</v>
      </c>
      <c r="J167" s="34"/>
      <c r="K167" s="34" t="s">
        <v>498</v>
      </c>
      <c r="L167" s="34">
        <f>5.299*1055.055853</f>
        <v>5590.7409650470008</v>
      </c>
      <c r="M167" s="34" t="s">
        <v>461</v>
      </c>
      <c r="N167" s="34" t="s">
        <v>499</v>
      </c>
      <c r="O167" s="34" t="s">
        <v>399</v>
      </c>
    </row>
    <row r="168" spans="1:15">
      <c r="A168" s="34" t="s">
        <v>457</v>
      </c>
      <c r="B168" s="34" t="s">
        <v>515</v>
      </c>
      <c r="C168" s="34" t="s">
        <v>267</v>
      </c>
      <c r="D168" s="34" t="s">
        <v>491</v>
      </c>
      <c r="E168" s="34"/>
      <c r="F168" s="34" t="s">
        <v>839</v>
      </c>
      <c r="G168" s="34" t="s">
        <v>458</v>
      </c>
      <c r="H168" s="32" t="s">
        <v>402</v>
      </c>
      <c r="I168" s="34" t="s">
        <v>500</v>
      </c>
      <c r="J168" s="34"/>
      <c r="K168" s="34" t="s">
        <v>498</v>
      </c>
      <c r="L168" s="34">
        <f>6.648*1055.055853</f>
        <v>7014.0113107440002</v>
      </c>
      <c r="M168" s="34" t="s">
        <v>461</v>
      </c>
      <c r="N168" s="34" t="s">
        <v>499</v>
      </c>
      <c r="O168" s="34" t="s">
        <v>399</v>
      </c>
    </row>
    <row r="169" spans="1:15">
      <c r="A169" s="34" t="s">
        <v>457</v>
      </c>
      <c r="B169" s="34" t="s">
        <v>515</v>
      </c>
      <c r="C169" s="34" t="s">
        <v>267</v>
      </c>
      <c r="D169" s="34" t="s">
        <v>491</v>
      </c>
      <c r="E169" s="34"/>
      <c r="F169" s="34" t="s">
        <v>839</v>
      </c>
      <c r="G169" s="34" t="s">
        <v>458</v>
      </c>
      <c r="H169" s="32" t="s">
        <v>402</v>
      </c>
      <c r="I169" s="34" t="s">
        <v>501</v>
      </c>
      <c r="J169" s="34"/>
      <c r="K169" s="34" t="s">
        <v>498</v>
      </c>
      <c r="L169" s="34">
        <f>9.238*1055.055853</f>
        <v>9746.6059700139995</v>
      </c>
      <c r="M169" s="34" t="s">
        <v>461</v>
      </c>
      <c r="N169" s="34" t="s">
        <v>499</v>
      </c>
      <c r="O169" s="34" t="s">
        <v>399</v>
      </c>
    </row>
    <row r="170" spans="1:15">
      <c r="A170" s="34" t="s">
        <v>457</v>
      </c>
      <c r="B170" s="34" t="s">
        <v>515</v>
      </c>
      <c r="C170" s="34" t="s">
        <v>267</v>
      </c>
      <c r="D170" s="34" t="s">
        <v>491</v>
      </c>
      <c r="E170" s="34"/>
      <c r="F170" s="34" t="s">
        <v>839</v>
      </c>
      <c r="G170" s="34" t="s">
        <v>458</v>
      </c>
      <c r="H170" s="32" t="s">
        <v>402</v>
      </c>
      <c r="I170" s="34" t="s">
        <v>338</v>
      </c>
      <c r="J170" s="34"/>
      <c r="K170" s="34" t="s">
        <v>498</v>
      </c>
      <c r="L170" s="34">
        <f>2.149*1055.055853</f>
        <v>2267.3150280970003</v>
      </c>
      <c r="M170" s="34" t="s">
        <v>461</v>
      </c>
      <c r="N170" s="34" t="s">
        <v>499</v>
      </c>
      <c r="O170" s="34" t="s">
        <v>399</v>
      </c>
    </row>
    <row r="171" spans="1:15">
      <c r="A171" s="34" t="s">
        <v>457</v>
      </c>
      <c r="B171" s="34" t="s">
        <v>515</v>
      </c>
      <c r="C171" s="34" t="s">
        <v>267</v>
      </c>
      <c r="D171" s="34" t="s">
        <v>496</v>
      </c>
      <c r="E171" s="34"/>
      <c r="F171" s="34" t="s">
        <v>839</v>
      </c>
      <c r="G171" s="34" t="s">
        <v>458</v>
      </c>
      <c r="H171" s="32" t="s">
        <v>402</v>
      </c>
      <c r="I171" s="34" t="s">
        <v>370</v>
      </c>
      <c r="J171" s="34"/>
      <c r="K171" s="34" t="s">
        <v>487</v>
      </c>
      <c r="L171" s="34">
        <f>0.021*0.907185</f>
        <v>1.9050885E-2</v>
      </c>
      <c r="M171" s="34" t="s">
        <v>461</v>
      </c>
      <c r="N171" s="34" t="s">
        <v>488</v>
      </c>
      <c r="O171" s="34" t="s">
        <v>399</v>
      </c>
    </row>
    <row r="172" spans="1:15">
      <c r="A172" s="34" t="s">
        <v>457</v>
      </c>
      <c r="B172" s="34" t="s">
        <v>515</v>
      </c>
      <c r="C172" s="34" t="s">
        <v>267</v>
      </c>
      <c r="D172" s="34" t="s">
        <v>496</v>
      </c>
      <c r="E172" s="34"/>
      <c r="F172" s="34" t="s">
        <v>839</v>
      </c>
      <c r="G172" s="34" t="s">
        <v>458</v>
      </c>
      <c r="H172" s="32" t="s">
        <v>402</v>
      </c>
      <c r="I172" s="34" t="s">
        <v>494</v>
      </c>
      <c r="J172" s="34"/>
      <c r="K172" s="34" t="s">
        <v>487</v>
      </c>
      <c r="L172" s="34">
        <f>0.111*0.907185</f>
        <v>0.100697535</v>
      </c>
      <c r="M172" s="34" t="s">
        <v>461</v>
      </c>
      <c r="N172" s="34" t="s">
        <v>488</v>
      </c>
      <c r="O172" s="34" t="s">
        <v>399</v>
      </c>
    </row>
    <row r="173" spans="1:15">
      <c r="A173" s="34" t="s">
        <v>457</v>
      </c>
      <c r="B173" s="34" t="s">
        <v>515</v>
      </c>
      <c r="C173" s="34" t="s">
        <v>267</v>
      </c>
      <c r="D173" s="34" t="s">
        <v>496</v>
      </c>
      <c r="E173" s="34"/>
      <c r="F173" s="34" t="s">
        <v>839</v>
      </c>
      <c r="G173" s="34" t="s">
        <v>458</v>
      </c>
      <c r="H173" s="32" t="s">
        <v>402</v>
      </c>
      <c r="I173" s="34" t="s">
        <v>495</v>
      </c>
      <c r="J173" s="34"/>
      <c r="K173" s="34" t="s">
        <v>487</v>
      </c>
      <c r="L173" s="34">
        <f>0.001*0.907185</f>
        <v>9.0718500000000002E-4</v>
      </c>
      <c r="M173" s="34" t="s">
        <v>461</v>
      </c>
      <c r="N173" s="34" t="s">
        <v>488</v>
      </c>
      <c r="O173" s="34" t="s">
        <v>399</v>
      </c>
    </row>
    <row r="174" spans="1:15">
      <c r="A174" s="34" t="s">
        <v>457</v>
      </c>
      <c r="B174" s="34" t="s">
        <v>515</v>
      </c>
      <c r="C174" s="34" t="s">
        <v>267</v>
      </c>
      <c r="D174" s="34" t="s">
        <v>496</v>
      </c>
      <c r="E174" s="34"/>
      <c r="F174" s="34" t="s">
        <v>839</v>
      </c>
      <c r="G174" s="34" t="s">
        <v>458</v>
      </c>
      <c r="H174" s="32" t="s">
        <v>402</v>
      </c>
      <c r="I174" s="34" t="s">
        <v>373</v>
      </c>
      <c r="J174" s="34"/>
      <c r="K174" s="34" t="s">
        <v>487</v>
      </c>
      <c r="L174" s="34">
        <f>0.637*0.907185</f>
        <v>0.57787684500000003</v>
      </c>
      <c r="M174" s="34" t="s">
        <v>461</v>
      </c>
      <c r="N174" s="34" t="s">
        <v>488</v>
      </c>
      <c r="O174" s="34" t="s">
        <v>399</v>
      </c>
    </row>
    <row r="175" spans="1:15">
      <c r="A175" s="34" t="s">
        <v>457</v>
      </c>
      <c r="B175" s="34" t="s">
        <v>515</v>
      </c>
      <c r="C175" s="34" t="s">
        <v>267</v>
      </c>
      <c r="D175" s="34" t="s">
        <v>496</v>
      </c>
      <c r="E175" s="34"/>
      <c r="F175" s="34" t="s">
        <v>839</v>
      </c>
      <c r="G175" s="34" t="s">
        <v>458</v>
      </c>
      <c r="H175" s="32" t="s">
        <v>402</v>
      </c>
      <c r="I175" s="34" t="s">
        <v>473</v>
      </c>
      <c r="J175" s="34"/>
      <c r="K175" s="34" t="s">
        <v>487</v>
      </c>
      <c r="L175" s="34">
        <f>0.333*0.907185</f>
        <v>0.30209260500000001</v>
      </c>
      <c r="M175" s="34" t="s">
        <v>461</v>
      </c>
      <c r="N175" s="34" t="s">
        <v>488</v>
      </c>
      <c r="O175" s="34" t="s">
        <v>399</v>
      </c>
    </row>
    <row r="176" spans="1:15">
      <c r="A176" s="34" t="s">
        <v>457</v>
      </c>
      <c r="B176" s="34" t="s">
        <v>515</v>
      </c>
      <c r="C176" s="34" t="s">
        <v>267</v>
      </c>
      <c r="D176" s="34" t="s">
        <v>496</v>
      </c>
      <c r="E176" s="34"/>
      <c r="F176" s="34" t="s">
        <v>839</v>
      </c>
      <c r="G176" s="34" t="s">
        <v>458</v>
      </c>
      <c r="H176" s="32" t="s">
        <v>402</v>
      </c>
      <c r="I176" s="34" t="s">
        <v>369</v>
      </c>
      <c r="J176" s="34"/>
      <c r="K176" s="34" t="s">
        <v>487</v>
      </c>
      <c r="L176" s="34">
        <f>0.159*0.907185</f>
        <v>0.14424241500000001</v>
      </c>
      <c r="M176" s="34" t="s">
        <v>461</v>
      </c>
      <c r="N176" s="34" t="s">
        <v>488</v>
      </c>
      <c r="O176" s="34" t="s">
        <v>399</v>
      </c>
    </row>
    <row r="177" spans="1:15">
      <c r="A177" s="34" t="s">
        <v>457</v>
      </c>
      <c r="B177" s="34" t="s">
        <v>515</v>
      </c>
      <c r="C177" s="34" t="s">
        <v>267</v>
      </c>
      <c r="D177" s="34" t="s">
        <v>496</v>
      </c>
      <c r="E177" s="34"/>
      <c r="F177" s="34" t="s">
        <v>839</v>
      </c>
      <c r="G177" s="34" t="s">
        <v>458</v>
      </c>
      <c r="H177" s="32" t="s">
        <v>402</v>
      </c>
      <c r="I177" s="34" t="s">
        <v>490</v>
      </c>
      <c r="J177" s="34"/>
      <c r="K177" s="34" t="s">
        <v>487</v>
      </c>
      <c r="L177" s="34">
        <f>0.19*0.907185</f>
        <v>0.17236514999999999</v>
      </c>
      <c r="M177" s="34" t="s">
        <v>461</v>
      </c>
      <c r="N177" s="34" t="s">
        <v>488</v>
      </c>
      <c r="O177" s="34" t="s">
        <v>399</v>
      </c>
    </row>
    <row r="178" spans="1:15">
      <c r="A178" s="34" t="s">
        <v>457</v>
      </c>
      <c r="B178" s="34" t="s">
        <v>515</v>
      </c>
      <c r="C178" s="34" t="s">
        <v>267</v>
      </c>
      <c r="D178" s="34" t="s">
        <v>496</v>
      </c>
      <c r="E178" s="34"/>
      <c r="F178" s="34" t="s">
        <v>839</v>
      </c>
      <c r="G178" s="34" t="s">
        <v>458</v>
      </c>
      <c r="H178" s="32" t="s">
        <v>402</v>
      </c>
      <c r="I178" s="34" t="s">
        <v>497</v>
      </c>
      <c r="J178" s="34"/>
      <c r="K178" s="34" t="s">
        <v>487</v>
      </c>
      <c r="L178" s="34">
        <f>0.07*0.907185</f>
        <v>6.3502950000000002E-2</v>
      </c>
      <c r="M178" s="34" t="s">
        <v>461</v>
      </c>
      <c r="N178" s="34" t="s">
        <v>488</v>
      </c>
      <c r="O178" s="34" t="s">
        <v>399</v>
      </c>
    </row>
    <row r="179" spans="1:15">
      <c r="A179" s="34" t="s">
        <v>457</v>
      </c>
      <c r="B179" s="34" t="s">
        <v>515</v>
      </c>
      <c r="C179" s="34" t="s">
        <v>267</v>
      </c>
      <c r="D179" s="34" t="s">
        <v>496</v>
      </c>
      <c r="E179" s="34"/>
      <c r="F179" s="34" t="s">
        <v>839</v>
      </c>
      <c r="G179" s="34" t="s">
        <v>458</v>
      </c>
      <c r="H179" s="32" t="s">
        <v>402</v>
      </c>
      <c r="I179" s="34" t="s">
        <v>500</v>
      </c>
      <c r="J179" s="34"/>
      <c r="K179" s="34" t="s">
        <v>498</v>
      </c>
      <c r="L179" s="34">
        <f>14.999*1055.055853</f>
        <v>15824.782739147002</v>
      </c>
      <c r="M179" s="34" t="s">
        <v>461</v>
      </c>
      <c r="N179" s="34" t="s">
        <v>499</v>
      </c>
      <c r="O179" s="34" t="s">
        <v>399</v>
      </c>
    </row>
    <row r="180" spans="1:15">
      <c r="A180" s="34" t="s">
        <v>457</v>
      </c>
      <c r="B180" s="34" t="s">
        <v>515</v>
      </c>
      <c r="C180" s="34" t="s">
        <v>267</v>
      </c>
      <c r="D180" s="34" t="s">
        <v>496</v>
      </c>
      <c r="E180" s="34"/>
      <c r="F180" s="34" t="s">
        <v>839</v>
      </c>
      <c r="G180" s="34" t="s">
        <v>458</v>
      </c>
      <c r="H180" s="32" t="s">
        <v>402</v>
      </c>
      <c r="I180" s="34" t="s">
        <v>338</v>
      </c>
      <c r="J180" s="34"/>
      <c r="K180" s="34" t="s">
        <v>498</v>
      </c>
      <c r="L180" s="34">
        <f>8.969*1055.055853</f>
        <v>9462.7959455569999</v>
      </c>
      <c r="M180" s="34" t="s">
        <v>461</v>
      </c>
      <c r="N180" s="34" t="s">
        <v>499</v>
      </c>
      <c r="O180" s="34" t="s">
        <v>399</v>
      </c>
    </row>
    <row r="181" spans="1:15">
      <c r="A181" t="s">
        <v>954</v>
      </c>
      <c r="B181" t="s">
        <v>534</v>
      </c>
      <c r="C181" t="s">
        <v>22</v>
      </c>
      <c r="F181" t="s">
        <v>953</v>
      </c>
      <c r="G181" t="s">
        <v>116</v>
      </c>
      <c r="H181" t="s">
        <v>955</v>
      </c>
      <c r="I181" t="s">
        <v>600</v>
      </c>
      <c r="K181" t="s">
        <v>602</v>
      </c>
      <c r="L181">
        <v>3.15E-2</v>
      </c>
      <c r="N181" t="s">
        <v>955</v>
      </c>
    </row>
    <row r="182" spans="1:15">
      <c r="A182" t="s">
        <v>954</v>
      </c>
      <c r="B182" t="s">
        <v>534</v>
      </c>
      <c r="C182" t="s">
        <v>22</v>
      </c>
      <c r="F182" t="s">
        <v>953</v>
      </c>
      <c r="G182" t="s">
        <v>116</v>
      </c>
      <c r="H182" t="s">
        <v>955</v>
      </c>
      <c r="I182" t="s">
        <v>600</v>
      </c>
      <c r="K182" t="s">
        <v>602</v>
      </c>
      <c r="L182">
        <v>4.4999999999999997E-3</v>
      </c>
      <c r="N182" t="s">
        <v>955</v>
      </c>
    </row>
    <row r="183" spans="1:15">
      <c r="A183" t="s">
        <v>954</v>
      </c>
      <c r="B183" t="s">
        <v>534</v>
      </c>
      <c r="C183" t="s">
        <v>22</v>
      </c>
      <c r="F183" t="s">
        <v>953</v>
      </c>
      <c r="G183" t="s">
        <v>116</v>
      </c>
      <c r="H183" t="s">
        <v>955</v>
      </c>
      <c r="I183" t="s">
        <v>802</v>
      </c>
      <c r="K183" t="s">
        <v>17</v>
      </c>
      <c r="L183">
        <v>4.0000000000000002E-4</v>
      </c>
      <c r="N183" t="s">
        <v>955</v>
      </c>
    </row>
    <row r="184" spans="1:15">
      <c r="A184" t="s">
        <v>954</v>
      </c>
      <c r="B184" t="s">
        <v>534</v>
      </c>
      <c r="C184" t="s">
        <v>22</v>
      </c>
      <c r="F184" t="s">
        <v>953</v>
      </c>
      <c r="G184" t="s">
        <v>116</v>
      </c>
      <c r="H184" t="s">
        <v>955</v>
      </c>
      <c r="I184" t="s">
        <v>600</v>
      </c>
      <c r="K184" t="s">
        <v>602</v>
      </c>
      <c r="L184">
        <v>0.09</v>
      </c>
      <c r="N184" t="s">
        <v>955</v>
      </c>
    </row>
    <row r="185" spans="1:15">
      <c r="A185" t="s">
        <v>954</v>
      </c>
      <c r="B185" t="s">
        <v>534</v>
      </c>
      <c r="C185" t="s">
        <v>22</v>
      </c>
      <c r="F185" t="s">
        <v>953</v>
      </c>
      <c r="G185" t="s">
        <v>116</v>
      </c>
      <c r="H185" t="s">
        <v>955</v>
      </c>
      <c r="I185" t="s">
        <v>375</v>
      </c>
      <c r="K185" t="s">
        <v>607</v>
      </c>
      <c r="L185">
        <v>8.0000000000000002E-3</v>
      </c>
      <c r="N185" t="s">
        <v>955</v>
      </c>
    </row>
    <row r="186" spans="1:15">
      <c r="A186" t="s">
        <v>954</v>
      </c>
      <c r="B186" t="s">
        <v>534</v>
      </c>
      <c r="C186" t="s">
        <v>22</v>
      </c>
      <c r="F186" t="s">
        <v>953</v>
      </c>
      <c r="G186" t="s">
        <v>116</v>
      </c>
      <c r="H186" t="s">
        <v>955</v>
      </c>
      <c r="I186" t="s">
        <v>375</v>
      </c>
      <c r="K186" t="s">
        <v>607</v>
      </c>
      <c r="L186">
        <v>3.8E-3</v>
      </c>
      <c r="N186" t="s">
        <v>955</v>
      </c>
    </row>
    <row r="187" spans="1:15">
      <c r="A187" t="s">
        <v>954</v>
      </c>
      <c r="B187" t="s">
        <v>534</v>
      </c>
      <c r="C187" t="s">
        <v>22</v>
      </c>
      <c r="F187" t="s">
        <v>953</v>
      </c>
      <c r="G187" t="s">
        <v>116</v>
      </c>
      <c r="H187" t="s">
        <v>955</v>
      </c>
      <c r="I187" t="s">
        <v>375</v>
      </c>
      <c r="K187" t="s">
        <v>607</v>
      </c>
      <c r="L187">
        <v>1.8499999999999999E-2</v>
      </c>
      <c r="N187" t="s">
        <v>955</v>
      </c>
    </row>
    <row r="188" spans="1:15">
      <c r="A188" t="s">
        <v>954</v>
      </c>
      <c r="B188" t="s">
        <v>534</v>
      </c>
      <c r="C188" t="s">
        <v>22</v>
      </c>
      <c r="F188" t="s">
        <v>953</v>
      </c>
      <c r="G188" t="s">
        <v>116</v>
      </c>
      <c r="H188" t="s">
        <v>955</v>
      </c>
      <c r="I188" t="s">
        <v>375</v>
      </c>
      <c r="K188" t="s">
        <v>607</v>
      </c>
      <c r="L188">
        <v>7.4999999999999997E-3</v>
      </c>
      <c r="N188" t="s">
        <v>955</v>
      </c>
    </row>
    <row r="189" spans="1:15">
      <c r="A189" t="s">
        <v>954</v>
      </c>
      <c r="B189" t="s">
        <v>534</v>
      </c>
      <c r="C189" t="s">
        <v>22</v>
      </c>
      <c r="F189" t="s">
        <v>953</v>
      </c>
      <c r="G189" t="s">
        <v>116</v>
      </c>
      <c r="H189" t="s">
        <v>955</v>
      </c>
      <c r="I189" t="s">
        <v>612</v>
      </c>
      <c r="K189" t="s">
        <v>17</v>
      </c>
      <c r="L189">
        <v>1.3600000000000001E-3</v>
      </c>
      <c r="N189" t="s">
        <v>955</v>
      </c>
    </row>
    <row r="190" spans="1:15">
      <c r="A190" t="s">
        <v>954</v>
      </c>
      <c r="B190" t="s">
        <v>534</v>
      </c>
      <c r="C190" t="s">
        <v>22</v>
      </c>
      <c r="F190" t="s">
        <v>953</v>
      </c>
      <c r="G190" t="s">
        <v>116</v>
      </c>
      <c r="H190" t="s">
        <v>955</v>
      </c>
      <c r="I190" t="s">
        <v>805</v>
      </c>
      <c r="K190" t="s">
        <v>17</v>
      </c>
      <c r="L190">
        <v>2.04E-4</v>
      </c>
      <c r="N190" t="s">
        <v>955</v>
      </c>
    </row>
    <row r="191" spans="1:15">
      <c r="A191" t="s">
        <v>954</v>
      </c>
      <c r="B191" t="s">
        <v>534</v>
      </c>
      <c r="C191" t="s">
        <v>22</v>
      </c>
      <c r="F191" t="s">
        <v>953</v>
      </c>
      <c r="G191" t="s">
        <v>116</v>
      </c>
      <c r="H191" t="s">
        <v>955</v>
      </c>
      <c r="I191" t="s">
        <v>623</v>
      </c>
      <c r="K191" t="s">
        <v>17</v>
      </c>
      <c r="L191">
        <v>1.36E-4</v>
      </c>
      <c r="N191" t="s">
        <v>955</v>
      </c>
    </row>
    <row r="192" spans="1:15">
      <c r="A192" t="s">
        <v>954</v>
      </c>
      <c r="B192" t="s">
        <v>534</v>
      </c>
      <c r="C192" t="s">
        <v>22</v>
      </c>
      <c r="F192" t="s">
        <v>953</v>
      </c>
      <c r="G192" t="s">
        <v>116</v>
      </c>
      <c r="H192" t="s">
        <v>955</v>
      </c>
      <c r="I192" t="s">
        <v>807</v>
      </c>
      <c r="K192" t="s">
        <v>17</v>
      </c>
      <c r="L192">
        <v>1.4E-3</v>
      </c>
      <c r="N192" t="s">
        <v>955</v>
      </c>
    </row>
    <row r="193" spans="1:14">
      <c r="A193" t="s">
        <v>954</v>
      </c>
      <c r="B193" t="s">
        <v>534</v>
      </c>
      <c r="C193" t="s">
        <v>22</v>
      </c>
      <c r="F193" t="s">
        <v>953</v>
      </c>
      <c r="G193" t="s">
        <v>116</v>
      </c>
      <c r="H193" t="s">
        <v>955</v>
      </c>
      <c r="I193" t="s">
        <v>627</v>
      </c>
      <c r="K193" t="s">
        <v>17</v>
      </c>
      <c r="L193">
        <v>-3.6999999999999998E-2</v>
      </c>
      <c r="N193" t="s">
        <v>955</v>
      </c>
    </row>
    <row r="194" spans="1:14">
      <c r="A194" t="s">
        <v>292</v>
      </c>
      <c r="B194" t="s">
        <v>534</v>
      </c>
      <c r="C194" t="s">
        <v>22</v>
      </c>
      <c r="F194" t="s">
        <v>953</v>
      </c>
      <c r="G194" t="s">
        <v>296</v>
      </c>
      <c r="H194" t="s">
        <v>955</v>
      </c>
      <c r="I194" t="s">
        <v>600</v>
      </c>
      <c r="K194" t="s">
        <v>602</v>
      </c>
      <c r="L194">
        <v>4.0289823311874997</v>
      </c>
      <c r="N194" t="s">
        <v>955</v>
      </c>
    </row>
    <row r="195" spans="1:14">
      <c r="A195" t="s">
        <v>292</v>
      </c>
      <c r="B195" t="s">
        <v>534</v>
      </c>
      <c r="C195" t="s">
        <v>22</v>
      </c>
      <c r="F195" t="s">
        <v>953</v>
      </c>
      <c r="G195" t="s">
        <v>296</v>
      </c>
      <c r="H195" t="s">
        <v>955</v>
      </c>
      <c r="I195" t="s">
        <v>641</v>
      </c>
      <c r="K195" t="s">
        <v>607</v>
      </c>
      <c r="L195">
        <v>0.24177705598058899</v>
      </c>
      <c r="N195" t="s">
        <v>955</v>
      </c>
    </row>
    <row r="196" spans="1:14">
      <c r="A196" t="s">
        <v>292</v>
      </c>
      <c r="B196" t="s">
        <v>534</v>
      </c>
      <c r="C196" t="s">
        <v>22</v>
      </c>
      <c r="F196" t="s">
        <v>953</v>
      </c>
      <c r="G196" t="s">
        <v>296</v>
      </c>
      <c r="H196" t="s">
        <v>955</v>
      </c>
      <c r="I196" t="s">
        <v>812</v>
      </c>
      <c r="K196" t="s">
        <v>602</v>
      </c>
      <c r="L196">
        <v>2.5828164439313499E-2</v>
      </c>
      <c r="N196" t="s">
        <v>955</v>
      </c>
    </row>
    <row r="197" spans="1:14">
      <c r="A197" t="s">
        <v>292</v>
      </c>
      <c r="B197" t="s">
        <v>534</v>
      </c>
      <c r="C197" t="s">
        <v>22</v>
      </c>
      <c r="F197" t="s">
        <v>953</v>
      </c>
      <c r="G197" t="s">
        <v>296</v>
      </c>
      <c r="H197" t="s">
        <v>955</v>
      </c>
      <c r="I197" t="s">
        <v>802</v>
      </c>
      <c r="K197" t="s">
        <v>17</v>
      </c>
      <c r="L197">
        <v>8.2326295810749794E-2</v>
      </c>
      <c r="N197" t="s">
        <v>955</v>
      </c>
    </row>
    <row r="198" spans="1:14">
      <c r="A198" t="s">
        <v>292</v>
      </c>
      <c r="B198" t="s">
        <v>534</v>
      </c>
      <c r="C198" t="s">
        <v>22</v>
      </c>
      <c r="F198" t="s">
        <v>953</v>
      </c>
      <c r="G198" t="s">
        <v>296</v>
      </c>
      <c r="H198" t="s">
        <v>955</v>
      </c>
      <c r="I198" t="s">
        <v>612</v>
      </c>
      <c r="K198" t="s">
        <v>17</v>
      </c>
      <c r="L198">
        <v>2.58249033074399E-2</v>
      </c>
      <c r="N198" t="s">
        <v>955</v>
      </c>
    </row>
    <row r="199" spans="1:14">
      <c r="A199" t="s">
        <v>292</v>
      </c>
      <c r="B199" t="s">
        <v>534</v>
      </c>
      <c r="C199" t="s">
        <v>22</v>
      </c>
      <c r="F199" t="s">
        <v>953</v>
      </c>
      <c r="G199" t="s">
        <v>296</v>
      </c>
      <c r="H199" t="s">
        <v>955</v>
      </c>
      <c r="I199" t="s">
        <v>815</v>
      </c>
      <c r="K199" t="s">
        <v>17</v>
      </c>
      <c r="L199">
        <v>4.5916736781001898E-3</v>
      </c>
      <c r="N199" t="s">
        <v>955</v>
      </c>
    </row>
    <row r="200" spans="1:14">
      <c r="A200" t="s">
        <v>292</v>
      </c>
      <c r="B200" t="s">
        <v>534</v>
      </c>
      <c r="C200" t="s">
        <v>22</v>
      </c>
      <c r="F200" t="s">
        <v>953</v>
      </c>
      <c r="G200" t="s">
        <v>296</v>
      </c>
      <c r="H200" t="s">
        <v>955</v>
      </c>
      <c r="I200" t="s">
        <v>817</v>
      </c>
      <c r="K200" t="s">
        <v>17</v>
      </c>
      <c r="L200">
        <v>1.9155888625824199E-4</v>
      </c>
      <c r="N200" t="s">
        <v>955</v>
      </c>
    </row>
    <row r="201" spans="1:14">
      <c r="A201" t="s">
        <v>292</v>
      </c>
      <c r="B201" t="s">
        <v>534</v>
      </c>
      <c r="C201" t="s">
        <v>22</v>
      </c>
      <c r="F201" t="s">
        <v>953</v>
      </c>
      <c r="G201" t="s">
        <v>296</v>
      </c>
      <c r="H201" t="s">
        <v>955</v>
      </c>
      <c r="I201" t="s">
        <v>641</v>
      </c>
      <c r="K201" t="s">
        <v>607</v>
      </c>
      <c r="L201">
        <v>2.2461111002406602</v>
      </c>
      <c r="N201" t="s">
        <v>955</v>
      </c>
    </row>
    <row r="202" spans="1:14">
      <c r="A202" t="s">
        <v>292</v>
      </c>
      <c r="B202" t="s">
        <v>534</v>
      </c>
      <c r="C202" t="s">
        <v>22</v>
      </c>
      <c r="F202" t="s">
        <v>953</v>
      </c>
      <c r="G202" t="s">
        <v>296</v>
      </c>
      <c r="H202" t="s">
        <v>955</v>
      </c>
      <c r="I202" t="s">
        <v>812</v>
      </c>
      <c r="K202" t="s">
        <v>602</v>
      </c>
      <c r="L202">
        <v>2.8657522452892902E-2</v>
      </c>
      <c r="N202" t="s">
        <v>955</v>
      </c>
    </row>
    <row r="203" spans="1:14">
      <c r="A203" t="s">
        <v>292</v>
      </c>
      <c r="B203" t="s">
        <v>534</v>
      </c>
      <c r="C203" t="s">
        <v>22</v>
      </c>
      <c r="F203" t="s">
        <v>953</v>
      </c>
      <c r="G203" t="s">
        <v>296</v>
      </c>
      <c r="H203" t="s">
        <v>955</v>
      </c>
      <c r="I203" t="s">
        <v>819</v>
      </c>
      <c r="K203" t="s">
        <v>17</v>
      </c>
      <c r="L203" s="29">
        <v>2.2827923115554899E-5</v>
      </c>
      <c r="N203" t="s">
        <v>955</v>
      </c>
    </row>
    <row r="204" spans="1:14">
      <c r="A204" t="s">
        <v>292</v>
      </c>
      <c r="B204" t="s">
        <v>534</v>
      </c>
      <c r="C204" t="s">
        <v>22</v>
      </c>
      <c r="F204" t="s">
        <v>953</v>
      </c>
      <c r="G204" t="s">
        <v>296</v>
      </c>
      <c r="H204" t="s">
        <v>955</v>
      </c>
      <c r="I204" t="s">
        <v>352</v>
      </c>
      <c r="K204" t="s">
        <v>17</v>
      </c>
      <c r="L204">
        <v>1.8001447942551799E-3</v>
      </c>
      <c r="N204" t="s">
        <v>955</v>
      </c>
    </row>
    <row r="205" spans="1:14">
      <c r="A205" t="s">
        <v>292</v>
      </c>
      <c r="B205" t="s">
        <v>534</v>
      </c>
      <c r="C205" t="s">
        <v>22</v>
      </c>
      <c r="F205" t="s">
        <v>953</v>
      </c>
      <c r="G205" t="s">
        <v>296</v>
      </c>
      <c r="H205" t="s">
        <v>955</v>
      </c>
      <c r="I205" t="s">
        <v>821</v>
      </c>
      <c r="K205" t="s">
        <v>17</v>
      </c>
      <c r="L205" s="29">
        <v>2.5436828614475399E-6</v>
      </c>
      <c r="N205" t="s">
        <v>955</v>
      </c>
    </row>
    <row r="206" spans="1:14">
      <c r="A206" t="s">
        <v>292</v>
      </c>
      <c r="B206" t="s">
        <v>534</v>
      </c>
      <c r="C206" t="s">
        <v>22</v>
      </c>
      <c r="F206" t="s">
        <v>953</v>
      </c>
      <c r="G206" t="s">
        <v>296</v>
      </c>
      <c r="H206" t="s">
        <v>955</v>
      </c>
      <c r="I206" t="s">
        <v>823</v>
      </c>
      <c r="K206" t="s">
        <v>663</v>
      </c>
      <c r="L206">
        <v>0.40999999999999898</v>
      </c>
      <c r="N206" t="s">
        <v>955</v>
      </c>
    </row>
    <row r="207" spans="1:14">
      <c r="A207" t="s">
        <v>292</v>
      </c>
      <c r="B207" t="s">
        <v>534</v>
      </c>
      <c r="C207" t="s">
        <v>22</v>
      </c>
      <c r="F207" t="s">
        <v>953</v>
      </c>
      <c r="G207" t="s">
        <v>296</v>
      </c>
      <c r="H207" t="s">
        <v>955</v>
      </c>
      <c r="I207" t="s">
        <v>825</v>
      </c>
      <c r="K207" t="s">
        <v>17</v>
      </c>
      <c r="L207">
        <v>-89.257179381819697</v>
      </c>
      <c r="N207" t="s">
        <v>955</v>
      </c>
    </row>
    <row r="208" spans="1:14">
      <c r="A208" t="s">
        <v>292</v>
      </c>
      <c r="B208" t="s">
        <v>534</v>
      </c>
      <c r="C208" t="s">
        <v>22</v>
      </c>
      <c r="F208" t="s">
        <v>953</v>
      </c>
      <c r="G208" t="s">
        <v>296</v>
      </c>
      <c r="H208" t="s">
        <v>955</v>
      </c>
      <c r="I208" t="s">
        <v>827</v>
      </c>
      <c r="K208" t="s">
        <v>17</v>
      </c>
      <c r="L208">
        <v>-1.7355743831569E-3</v>
      </c>
      <c r="N208" t="s">
        <v>955</v>
      </c>
    </row>
    <row r="209" spans="1:14">
      <c r="A209" t="s">
        <v>292</v>
      </c>
      <c r="B209" t="s">
        <v>534</v>
      </c>
      <c r="C209" t="s">
        <v>22</v>
      </c>
      <c r="F209" t="s">
        <v>953</v>
      </c>
      <c r="G209" t="s">
        <v>296</v>
      </c>
      <c r="H209" t="s">
        <v>955</v>
      </c>
      <c r="I209" t="s">
        <v>665</v>
      </c>
      <c r="K209" t="s">
        <v>17</v>
      </c>
      <c r="L209">
        <v>-1.7544889480240701E-3</v>
      </c>
      <c r="N209" t="s">
        <v>955</v>
      </c>
    </row>
    <row r="210" spans="1:14">
      <c r="A210" t="s">
        <v>292</v>
      </c>
      <c r="B210" t="s">
        <v>534</v>
      </c>
      <c r="C210" t="s">
        <v>22</v>
      </c>
      <c r="F210" t="s">
        <v>953</v>
      </c>
      <c r="G210" t="s">
        <v>296</v>
      </c>
      <c r="H210" t="s">
        <v>955</v>
      </c>
      <c r="I210" t="s">
        <v>830</v>
      </c>
      <c r="K210" t="s">
        <v>832</v>
      </c>
      <c r="L210" s="29">
        <v>-6.3298569667560102E-5</v>
      </c>
      <c r="N210" t="s">
        <v>955</v>
      </c>
    </row>
    <row r="211" spans="1:14">
      <c r="A211" t="s">
        <v>292</v>
      </c>
      <c r="B211" t="s">
        <v>534</v>
      </c>
      <c r="C211" t="s">
        <v>22</v>
      </c>
      <c r="F211" t="s">
        <v>953</v>
      </c>
      <c r="G211" t="s">
        <v>296</v>
      </c>
      <c r="H211" t="s">
        <v>955</v>
      </c>
      <c r="I211" t="s">
        <v>833</v>
      </c>
      <c r="K211" t="s">
        <v>17</v>
      </c>
      <c r="L211">
        <v>-1.4022867056698001E-4</v>
      </c>
      <c r="N211" t="s">
        <v>955</v>
      </c>
    </row>
    <row r="212" spans="1:14">
      <c r="A212" t="s">
        <v>292</v>
      </c>
      <c r="B212" t="s">
        <v>534</v>
      </c>
      <c r="C212" t="s">
        <v>22</v>
      </c>
      <c r="F212" t="s">
        <v>953</v>
      </c>
      <c r="G212" t="s">
        <v>296</v>
      </c>
      <c r="H212" t="s">
        <v>955</v>
      </c>
      <c r="I212" t="s">
        <v>833</v>
      </c>
      <c r="K212" t="s">
        <v>17</v>
      </c>
      <c r="L212">
        <v>-1.03703993582092E-4</v>
      </c>
      <c r="N212" t="s">
        <v>955</v>
      </c>
    </row>
    <row r="213" spans="1:14">
      <c r="A213" t="s">
        <v>292</v>
      </c>
      <c r="B213" t="s">
        <v>534</v>
      </c>
      <c r="C213" t="s">
        <v>22</v>
      </c>
      <c r="F213" t="s">
        <v>953</v>
      </c>
      <c r="G213" t="s">
        <v>296</v>
      </c>
      <c r="H213" t="s">
        <v>955</v>
      </c>
      <c r="I213" t="s">
        <v>833</v>
      </c>
      <c r="K213" t="s">
        <v>17</v>
      </c>
      <c r="L213">
        <v>-1.1772686063879E-4</v>
      </c>
      <c r="N213" t="s">
        <v>955</v>
      </c>
    </row>
    <row r="214" spans="1:14">
      <c r="A214" t="s">
        <v>292</v>
      </c>
      <c r="B214" t="s">
        <v>534</v>
      </c>
      <c r="C214" t="s">
        <v>22</v>
      </c>
      <c r="F214" t="s">
        <v>953</v>
      </c>
      <c r="G214" t="s">
        <v>296</v>
      </c>
      <c r="H214" t="s">
        <v>955</v>
      </c>
      <c r="I214" t="s">
        <v>833</v>
      </c>
      <c r="K214" t="s">
        <v>17</v>
      </c>
      <c r="L214" s="29">
        <v>-7.1744901220315398E-5</v>
      </c>
      <c r="N214" t="s">
        <v>955</v>
      </c>
    </row>
    <row r="215" spans="1:14">
      <c r="A215" t="s">
        <v>292</v>
      </c>
      <c r="B215" t="s">
        <v>534</v>
      </c>
      <c r="C215" t="s">
        <v>22</v>
      </c>
      <c r="F215" t="s">
        <v>953</v>
      </c>
      <c r="G215" t="s">
        <v>296</v>
      </c>
      <c r="H215" t="s">
        <v>955</v>
      </c>
      <c r="I215" t="s">
        <v>833</v>
      </c>
      <c r="K215" t="s">
        <v>17</v>
      </c>
      <c r="L215" s="29">
        <v>-3.9133582483808399E-5</v>
      </c>
      <c r="N215" t="s">
        <v>955</v>
      </c>
    </row>
    <row r="216" spans="1:14">
      <c r="A216" t="s">
        <v>292</v>
      </c>
      <c r="B216" t="s">
        <v>534</v>
      </c>
      <c r="C216" t="s">
        <v>22</v>
      </c>
      <c r="F216" t="s">
        <v>953</v>
      </c>
      <c r="G216" t="s">
        <v>296</v>
      </c>
      <c r="H216" t="s">
        <v>955</v>
      </c>
      <c r="I216" t="s">
        <v>833</v>
      </c>
      <c r="K216" t="s">
        <v>17</v>
      </c>
      <c r="L216" s="29">
        <v>-1.81971158549709E-5</v>
      </c>
      <c r="N216" t="s">
        <v>955</v>
      </c>
    </row>
  </sheetData>
  <autoFilter ref="A1:O1" xr:uid="{8792D24E-8DDD-4A8F-9671-F6A84E4E930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README</vt:lpstr>
      <vt:lpstr>Sources</vt:lpstr>
      <vt:lpstr>REF</vt:lpstr>
      <vt:lpstr>PARAMETRIZATION</vt:lpstr>
      <vt:lpstr>Material_MetalliCan</vt:lpstr>
      <vt:lpstr>Material</vt:lpstr>
      <vt:lpstr>EI</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2025-12-03T20:40:29Z</dcterms:modified>
</cp:coreProperties>
</file>