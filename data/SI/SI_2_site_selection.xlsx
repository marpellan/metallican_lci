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SI/"/>
    </mc:Choice>
  </mc:AlternateContent>
  <xr:revisionPtr revIDLastSave="371" documentId="8_{EF4B609D-3C32-4D85-B6D7-614095F206BA}" xr6:coauthVersionLast="47" xr6:coauthVersionMax="47" xr10:uidLastSave="{02ACB667-0E23-47D2-BBC6-8C0A7056C65F}"/>
  <bookViews>
    <workbookView xWindow="-120" yWindow="-120" windowWidth="29040" windowHeight="15720" xr2:uid="{B09C33A3-69AE-4EDE-B293-E9623AD2B114}"/>
  </bookViews>
  <sheets>
    <sheet name="README" sheetId="4" r:id="rId1"/>
    <sheet name="site_selection" sheetId="2" r:id="rId2"/>
    <sheet name="market_shares" sheetId="7" r:id="rId3"/>
    <sheet name="market_shares_calc" sheetId="6" state="hidden" r:id="rId4"/>
    <sheet name="prices" sheetId="3" r:id="rId5"/>
  </sheets>
  <externalReferences>
    <externalReference r:id="rId6"/>
  </externalReferences>
  <definedNames>
    <definedName name="_xlnm._FilterDatabase" localSheetId="2" hidden="1">market_shares!$A$1:$H$49</definedName>
    <definedName name="_xlnm._FilterDatabase" localSheetId="3" hidden="1">market_shares_calc!$A$1:$S$54</definedName>
    <definedName name="_xlnm._FilterDatabase" localSheetId="1" hidden="1">site_selection!$A$1:$DR$66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7" l="1"/>
  <c r="D40" i="7" l="1"/>
  <c r="D45" i="7"/>
  <c r="D27" i="7"/>
  <c r="D22" i="7"/>
  <c r="D5" i="7"/>
  <c r="D20" i="7"/>
  <c r="D38" i="7"/>
  <c r="D48" i="7"/>
  <c r="D46" i="7"/>
  <c r="D36" i="7"/>
  <c r="D18" i="7"/>
  <c r="D13" i="7"/>
  <c r="D49" i="7"/>
  <c r="D47" i="7"/>
  <c r="D44" i="7"/>
  <c r="D42" i="7"/>
  <c r="D41" i="7"/>
  <c r="D34" i="7"/>
  <c r="D28" i="7"/>
  <c r="D24" i="7"/>
  <c r="D26" i="7"/>
  <c r="D19" i="7"/>
  <c r="D15" i="7"/>
  <c r="D9" i="7"/>
  <c r="D8" i="7"/>
  <c r="D2" i="7"/>
  <c r="D10" i="7"/>
  <c r="D29" i="7"/>
  <c r="D7" i="7"/>
  <c r="D3" i="7"/>
  <c r="D37" i="7"/>
  <c r="D30" i="7"/>
  <c r="D39" i="7"/>
  <c r="D31" i="7"/>
  <c r="D16" i="7"/>
  <c r="D11" i="7"/>
  <c r="D4" i="7"/>
  <c r="D43" i="7"/>
  <c r="D35" i="7"/>
  <c r="D25" i="7"/>
  <c r="D21" i="7"/>
  <c r="D14" i="7"/>
  <c r="D33" i="7"/>
  <c r="D32" i="7"/>
  <c r="D17" i="7"/>
  <c r="D12" i="7"/>
  <c r="D6" i="7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A2" i="6"/>
  <c r="B2" i="6"/>
  <c r="A3" i="6"/>
  <c r="B3" i="6"/>
  <c r="A4" i="6"/>
  <c r="B4" i="6"/>
  <c r="A5" i="6"/>
  <c r="B5" i="6"/>
  <c r="A6" i="6"/>
  <c r="B6" i="6"/>
  <c r="A7" i="6"/>
  <c r="B7" i="6"/>
  <c r="A8" i="6"/>
  <c r="B8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C10" i="3" l="1"/>
  <c r="C9" i="3"/>
  <c r="AJ68" i="2"/>
  <c r="AI68" i="2"/>
  <c r="Y68" i="2"/>
  <c r="AH66" i="2"/>
  <c r="AF66" i="2"/>
  <c r="AE66" i="2"/>
  <c r="W66" i="2"/>
  <c r="S66" i="2"/>
  <c r="AD66" i="2" s="1"/>
  <c r="R66" i="2"/>
  <c r="Q66" i="2"/>
  <c r="M66" i="2"/>
  <c r="AH65" i="2"/>
  <c r="AG65" i="2"/>
  <c r="AF65" i="2"/>
  <c r="AE65" i="2"/>
  <c r="AD65" i="2"/>
  <c r="Q65" i="2"/>
  <c r="N65" i="2" s="1"/>
  <c r="M65" i="2"/>
  <c r="AH64" i="2"/>
  <c r="AG64" i="2"/>
  <c r="AF64" i="2"/>
  <c r="AE64" i="2"/>
  <c r="AD64" i="2"/>
  <c r="Q64" i="2"/>
  <c r="N64" i="2" s="1"/>
  <c r="M64" i="2"/>
  <c r="AH63" i="2"/>
  <c r="AG63" i="2"/>
  <c r="AF63" i="2"/>
  <c r="AE63" i="2"/>
  <c r="AD63" i="2"/>
  <c r="Q63" i="2"/>
  <c r="N63" i="2" s="1"/>
  <c r="M63" i="2"/>
  <c r="AH62" i="2"/>
  <c r="AG62" i="2"/>
  <c r="AF62" i="2"/>
  <c r="AE62" i="2"/>
  <c r="AD62" i="2"/>
  <c r="R62" i="2"/>
  <c r="Q62" i="2"/>
  <c r="M62" i="2"/>
  <c r="AL61" i="2"/>
  <c r="AH61" i="2"/>
  <c r="AG61" i="2"/>
  <c r="AF61" i="2"/>
  <c r="AE61" i="2"/>
  <c r="AD61" i="2"/>
  <c r="AB61" i="2"/>
  <c r="AK61" i="2" s="1"/>
  <c r="M61" i="2"/>
  <c r="AL60" i="2"/>
  <c r="AH60" i="2"/>
  <c r="AG60" i="2"/>
  <c r="AF60" i="2"/>
  <c r="AE60" i="2"/>
  <c r="AD60" i="2"/>
  <c r="AB60" i="2"/>
  <c r="AK60" i="2" s="1"/>
  <c r="M60" i="2"/>
  <c r="AH59" i="2"/>
  <c r="AG59" i="2"/>
  <c r="AF59" i="2"/>
  <c r="AE59" i="2"/>
  <c r="AD59" i="2"/>
  <c r="Q59" i="2"/>
  <c r="N59" i="2" s="1"/>
  <c r="M59" i="2"/>
  <c r="AH58" i="2"/>
  <c r="AG58" i="2"/>
  <c r="AF58" i="2"/>
  <c r="AE58" i="2"/>
  <c r="AD58" i="2"/>
  <c r="R58" i="2"/>
  <c r="Q58" i="2"/>
  <c r="M58" i="2"/>
  <c r="AL57" i="2"/>
  <c r="AH57" i="2"/>
  <c r="AG57" i="2"/>
  <c r="AF57" i="2"/>
  <c r="T57" i="2"/>
  <c r="AE57" i="2" s="1"/>
  <c r="S57" i="2"/>
  <c r="M57" i="2"/>
  <c r="AL56" i="2"/>
  <c r="AE56" i="2"/>
  <c r="AD56" i="2"/>
  <c r="W56" i="2"/>
  <c r="P56" i="2"/>
  <c r="AL55" i="2"/>
  <c r="AH55" i="2"/>
  <c r="AG55" i="2"/>
  <c r="AF55" i="2"/>
  <c r="T55" i="2"/>
  <c r="AE55" i="2" s="1"/>
  <c r="S55" i="2"/>
  <c r="M55" i="2"/>
  <c r="AL54" i="2"/>
  <c r="AH54" i="2"/>
  <c r="AG54" i="2"/>
  <c r="AF54" i="2"/>
  <c r="T54" i="2"/>
  <c r="AE54" i="2" s="1"/>
  <c r="S54" i="2"/>
  <c r="M54" i="2"/>
  <c r="AL53" i="2"/>
  <c r="AD53" i="2"/>
  <c r="U53" i="2"/>
  <c r="T53" i="2"/>
  <c r="P53" i="2"/>
  <c r="AH52" i="2"/>
  <c r="AG52" i="2"/>
  <c r="AF52" i="2"/>
  <c r="AE52" i="2"/>
  <c r="AD52" i="2"/>
  <c r="Q52" i="2"/>
  <c r="N52" i="2" s="1"/>
  <c r="M52" i="2"/>
  <c r="AL51" i="2"/>
  <c r="AH51" i="2"/>
  <c r="AF51" i="2"/>
  <c r="T51" i="2"/>
  <c r="S51" i="2"/>
  <c r="P51" i="2"/>
  <c r="AL50" i="2"/>
  <c r="AH50" i="2"/>
  <c r="AG50" i="2"/>
  <c r="AF50" i="2"/>
  <c r="T50" i="2"/>
  <c r="AE50" i="2" s="1"/>
  <c r="S50" i="2"/>
  <c r="M50" i="2"/>
  <c r="AL49" i="2"/>
  <c r="AH49" i="2"/>
  <c r="AG49" i="2"/>
  <c r="AF49" i="2"/>
  <c r="AE49" i="2"/>
  <c r="AD49" i="2"/>
  <c r="M49" i="2"/>
  <c r="P49" i="2" s="1"/>
  <c r="AH48" i="2"/>
  <c r="AG48" i="2"/>
  <c r="AF48" i="2"/>
  <c r="AE48" i="2"/>
  <c r="AD48" i="2"/>
  <c r="Q48" i="2"/>
  <c r="N48" i="2" s="1"/>
  <c r="M48" i="2"/>
  <c r="AH47" i="2"/>
  <c r="AG47" i="2"/>
  <c r="AF47" i="2"/>
  <c r="AE47" i="2"/>
  <c r="S47" i="2"/>
  <c r="AD47" i="2" s="1"/>
  <c r="Q47" i="2"/>
  <c r="N47" i="2" s="1"/>
  <c r="M47" i="2"/>
  <c r="AH46" i="2"/>
  <c r="AG46" i="2"/>
  <c r="AF46" i="2"/>
  <c r="AE46" i="2"/>
  <c r="AD46" i="2"/>
  <c r="Q46" i="2"/>
  <c r="N46" i="2" s="1"/>
  <c r="M46" i="2"/>
  <c r="AL45" i="2"/>
  <c r="AH45" i="2"/>
  <c r="AG45" i="2"/>
  <c r="AF45" i="2"/>
  <c r="Z45" i="2"/>
  <c r="U45" i="2"/>
  <c r="T45" i="2"/>
  <c r="AE45" i="2" s="1"/>
  <c r="S45" i="2"/>
  <c r="M45" i="2"/>
  <c r="AL44" i="2"/>
  <c r="AH44" i="2"/>
  <c r="AG44" i="2"/>
  <c r="AF44" i="2"/>
  <c r="T44" i="2"/>
  <c r="O44" i="2" s="1"/>
  <c r="S44" i="2"/>
  <c r="M44" i="2"/>
  <c r="AL43" i="2"/>
  <c r="AH43" i="2"/>
  <c r="AF43" i="2"/>
  <c r="AE43" i="2"/>
  <c r="AD43" i="2"/>
  <c r="AC43" i="2"/>
  <c r="P43" i="2"/>
  <c r="AL42" i="2"/>
  <c r="AH42" i="2"/>
  <c r="AG42" i="2"/>
  <c r="AF42" i="2"/>
  <c r="AE42" i="2"/>
  <c r="AD42" i="2"/>
  <c r="AC42" i="2"/>
  <c r="M42" i="2"/>
  <c r="AL41" i="2"/>
  <c r="AH41" i="2"/>
  <c r="AG41" i="2"/>
  <c r="AF41" i="2"/>
  <c r="AE41" i="2"/>
  <c r="O41" i="2"/>
  <c r="M41" i="2"/>
  <c r="AL40" i="2"/>
  <c r="AH40" i="2"/>
  <c r="AG40" i="2"/>
  <c r="AF40" i="2"/>
  <c r="AE40" i="2"/>
  <c r="S40" i="2"/>
  <c r="AD40" i="2" s="1"/>
  <c r="Q40" i="2"/>
  <c r="M40" i="2"/>
  <c r="AH39" i="2"/>
  <c r="AG39" i="2"/>
  <c r="AF39" i="2"/>
  <c r="AE39" i="2"/>
  <c r="AD39" i="2"/>
  <c r="Q39" i="2"/>
  <c r="N39" i="2" s="1"/>
  <c r="M39" i="2"/>
  <c r="AL38" i="2"/>
  <c r="AH38" i="2"/>
  <c r="AG38" i="2"/>
  <c r="AF38" i="2"/>
  <c r="AE38" i="2"/>
  <c r="S38" i="2"/>
  <c r="AD38" i="2" s="1"/>
  <c r="Q38" i="2"/>
  <c r="M38" i="2"/>
  <c r="AL37" i="2"/>
  <c r="AH37" i="2"/>
  <c r="AG37" i="2"/>
  <c r="AF37" i="2"/>
  <c r="AE37" i="2"/>
  <c r="S37" i="2"/>
  <c r="O37" i="2" s="1"/>
  <c r="Q37" i="2"/>
  <c r="M37" i="2"/>
  <c r="AH36" i="2"/>
  <c r="AG36" i="2"/>
  <c r="AF36" i="2"/>
  <c r="AE36" i="2"/>
  <c r="AD36" i="2"/>
  <c r="R36" i="2"/>
  <c r="Q36" i="2"/>
  <c r="M36" i="2"/>
  <c r="AL35" i="2"/>
  <c r="AH35" i="2"/>
  <c r="AG35" i="2"/>
  <c r="AF35" i="2"/>
  <c r="AE35" i="2"/>
  <c r="AD35" i="2"/>
  <c r="M35" i="2"/>
  <c r="P35" i="2" s="1"/>
  <c r="AL34" i="2"/>
  <c r="AH34" i="2"/>
  <c r="AG34" i="2"/>
  <c r="AF34" i="2"/>
  <c r="AE34" i="2"/>
  <c r="AD34" i="2"/>
  <c r="M34" i="2"/>
  <c r="P34" i="2" s="1"/>
  <c r="AH33" i="2"/>
  <c r="AG33" i="2"/>
  <c r="AF33" i="2"/>
  <c r="AE33" i="2"/>
  <c r="AD33" i="2"/>
  <c r="Q33" i="2"/>
  <c r="N33" i="2" s="1"/>
  <c r="M33" i="2"/>
  <c r="AH32" i="2"/>
  <c r="AG32" i="2"/>
  <c r="AF32" i="2"/>
  <c r="AE32" i="2"/>
  <c r="AD32" i="2"/>
  <c r="Q32" i="2"/>
  <c r="N32" i="2" s="1"/>
  <c r="M32" i="2"/>
  <c r="AL31" i="2"/>
  <c r="AH31" i="2"/>
  <c r="AF31" i="2"/>
  <c r="AD31" i="2"/>
  <c r="T31" i="2"/>
  <c r="P31" i="2"/>
  <c r="AH30" i="2"/>
  <c r="AF30" i="2"/>
  <c r="AE30" i="2"/>
  <c r="W30" i="2"/>
  <c r="S30" i="2"/>
  <c r="AD30" i="2" s="1"/>
  <c r="R30" i="2"/>
  <c r="Q30" i="2"/>
  <c r="M30" i="2"/>
  <c r="AH29" i="2"/>
  <c r="AG29" i="2"/>
  <c r="AF29" i="2"/>
  <c r="AE29" i="2"/>
  <c r="AD29" i="2"/>
  <c r="R29" i="2"/>
  <c r="Q29" i="2"/>
  <c r="M29" i="2"/>
  <c r="AL28" i="2"/>
  <c r="AH28" i="2"/>
  <c r="AG28" i="2"/>
  <c r="AF28" i="2"/>
  <c r="AE28" i="2"/>
  <c r="AD28" i="2"/>
  <c r="AA28" i="2"/>
  <c r="AA68" i="2" s="1"/>
  <c r="Z28" i="2"/>
  <c r="Q28" i="2"/>
  <c r="M28" i="2"/>
  <c r="P28" i="2" s="1"/>
  <c r="AH27" i="2"/>
  <c r="AG27" i="2"/>
  <c r="AF27" i="2"/>
  <c r="AE27" i="2"/>
  <c r="AD27" i="2"/>
  <c r="R27" i="2"/>
  <c r="Q27" i="2"/>
  <c r="M27" i="2"/>
  <c r="AL26" i="2"/>
  <c r="AH26" i="2"/>
  <c r="AF26" i="2"/>
  <c r="AE26" i="2"/>
  <c r="W26" i="2"/>
  <c r="S26" i="2"/>
  <c r="AD26" i="2" s="1"/>
  <c r="R26" i="2"/>
  <c r="M26" i="2"/>
  <c r="AL25" i="2"/>
  <c r="AF25" i="2"/>
  <c r="AE25" i="2"/>
  <c r="AD25" i="2"/>
  <c r="X25" i="2"/>
  <c r="AH25" i="2" s="1"/>
  <c r="W25" i="2"/>
  <c r="AG25" i="2" s="1"/>
  <c r="R25" i="2"/>
  <c r="M25" i="2"/>
  <c r="AH24" i="2"/>
  <c r="AG24" i="2"/>
  <c r="AF24" i="2"/>
  <c r="AE24" i="2"/>
  <c r="AD24" i="2"/>
  <c r="Q24" i="2"/>
  <c r="N24" i="2" s="1"/>
  <c r="M24" i="2"/>
  <c r="AL23" i="2"/>
  <c r="AH23" i="2"/>
  <c r="AF23" i="2"/>
  <c r="AE23" i="2"/>
  <c r="AD23" i="2"/>
  <c r="P23" i="2"/>
  <c r="AL22" i="2"/>
  <c r="AH22" i="2"/>
  <c r="AG22" i="2"/>
  <c r="AE22" i="2"/>
  <c r="V22" i="2"/>
  <c r="AF22" i="2" s="1"/>
  <c r="S22" i="2"/>
  <c r="AD22" i="2" s="1"/>
  <c r="M22" i="2"/>
  <c r="AH21" i="2"/>
  <c r="AG21" i="2"/>
  <c r="AF21" i="2"/>
  <c r="AE21" i="2"/>
  <c r="AD21" i="2"/>
  <c r="Q21" i="2"/>
  <c r="N21" i="2" s="1"/>
  <c r="M21" i="2"/>
  <c r="AH20" i="2"/>
  <c r="AG20" i="2"/>
  <c r="AF20" i="2"/>
  <c r="AE20" i="2"/>
  <c r="S20" i="2"/>
  <c r="AD20" i="2" s="1"/>
  <c r="Q20" i="2"/>
  <c r="N20" i="2" s="1"/>
  <c r="M20" i="2"/>
  <c r="AL19" i="2"/>
  <c r="AH19" i="2"/>
  <c r="AG19" i="2"/>
  <c r="AE19" i="2"/>
  <c r="V19" i="2"/>
  <c r="S19" i="2"/>
  <c r="M19" i="2"/>
  <c r="AL18" i="2"/>
  <c r="AH18" i="2"/>
  <c r="AG18" i="2"/>
  <c r="AF18" i="2"/>
  <c r="T18" i="2"/>
  <c r="O18" i="2" s="1"/>
  <c r="S18" i="2"/>
  <c r="M18" i="2"/>
  <c r="AL17" i="2"/>
  <c r="AH17" i="2"/>
  <c r="AG17" i="2"/>
  <c r="AF17" i="2"/>
  <c r="AE17" i="2"/>
  <c r="O17" i="2"/>
  <c r="M17" i="2"/>
  <c r="AH16" i="2"/>
  <c r="AG16" i="2"/>
  <c r="AF16" i="2"/>
  <c r="AE16" i="2"/>
  <c r="AD16" i="2"/>
  <c r="R16" i="2"/>
  <c r="Q16" i="2"/>
  <c r="M16" i="2"/>
  <c r="AH15" i="2"/>
  <c r="AG15" i="2"/>
  <c r="AF15" i="2"/>
  <c r="AE15" i="2"/>
  <c r="AD15" i="2"/>
  <c r="Q15" i="2"/>
  <c r="N15" i="2" s="1"/>
  <c r="M15" i="2"/>
  <c r="AH14" i="2"/>
  <c r="AG14" i="2"/>
  <c r="AF14" i="2"/>
  <c r="AE14" i="2"/>
  <c r="AD14" i="2"/>
  <c r="R14" i="2"/>
  <c r="Q14" i="2"/>
  <c r="M14" i="2"/>
  <c r="AH13" i="2"/>
  <c r="AG13" i="2"/>
  <c r="AF13" i="2"/>
  <c r="AE13" i="2"/>
  <c r="AD13" i="2"/>
  <c r="Q13" i="2"/>
  <c r="N13" i="2" s="1"/>
  <c r="M13" i="2"/>
  <c r="AH12" i="2"/>
  <c r="AG12" i="2"/>
  <c r="AF12" i="2"/>
  <c r="AE12" i="2"/>
  <c r="AD12" i="2"/>
  <c r="R12" i="2"/>
  <c r="Q12" i="2"/>
  <c r="M12" i="2"/>
  <c r="AL11" i="2"/>
  <c r="AH11" i="2"/>
  <c r="AG11" i="2"/>
  <c r="AF11" i="2"/>
  <c r="T11" i="2"/>
  <c r="AE11" i="2" s="1"/>
  <c r="S11" i="2"/>
  <c r="M11" i="2"/>
  <c r="AL10" i="2"/>
  <c r="AH10" i="2"/>
  <c r="AG10" i="2"/>
  <c r="AF10" i="2"/>
  <c r="AE10" i="2"/>
  <c r="S10" i="2"/>
  <c r="AD10" i="2" s="1"/>
  <c r="R10" i="2"/>
  <c r="Q10" i="2"/>
  <c r="M10" i="2"/>
  <c r="AL9" i="2"/>
  <c r="AH9" i="2"/>
  <c r="AF9" i="2"/>
  <c r="T9" i="2"/>
  <c r="S9" i="2"/>
  <c r="P9" i="2"/>
  <c r="AL8" i="2"/>
  <c r="AH8" i="2"/>
  <c r="AG8" i="2"/>
  <c r="AF8" i="2"/>
  <c r="T8" i="2"/>
  <c r="O8" i="2" s="1"/>
  <c r="S8" i="2"/>
  <c r="M8" i="2"/>
  <c r="AH7" i="2"/>
  <c r="AG7" i="2"/>
  <c r="AF7" i="2"/>
  <c r="AE7" i="2"/>
  <c r="AD7" i="2"/>
  <c r="R7" i="2"/>
  <c r="Q7" i="2"/>
  <c r="M7" i="2"/>
  <c r="AL6" i="2"/>
  <c r="AH6" i="2"/>
  <c r="AG6" i="2"/>
  <c r="AF6" i="2"/>
  <c r="AE6" i="2"/>
  <c r="AD6" i="2"/>
  <c r="M6" i="2"/>
  <c r="P6" i="2" s="1"/>
  <c r="AH5" i="2"/>
  <c r="AG5" i="2"/>
  <c r="AF5" i="2"/>
  <c r="AE5" i="2"/>
  <c r="AD5" i="2"/>
  <c r="R5" i="2"/>
  <c r="Q5" i="2"/>
  <c r="M5" i="2"/>
  <c r="AL4" i="2"/>
  <c r="AF4" i="2"/>
  <c r="AE4" i="2"/>
  <c r="AD4" i="2"/>
  <c r="X4" i="2"/>
  <c r="W4" i="2"/>
  <c r="P4" i="2"/>
  <c r="AH3" i="2"/>
  <c r="AG3" i="2"/>
  <c r="AF3" i="2"/>
  <c r="AE3" i="2"/>
  <c r="AD3" i="2"/>
  <c r="Q3" i="2"/>
  <c r="N3" i="2" s="1"/>
  <c r="M3" i="2"/>
  <c r="AL2" i="2"/>
  <c r="AH2" i="2"/>
  <c r="AG2" i="2"/>
  <c r="AF2" i="2"/>
  <c r="AE2" i="2"/>
  <c r="AD2" i="2"/>
  <c r="M2" i="2"/>
  <c r="P2" i="2" s="1"/>
  <c r="N58" i="2" l="1"/>
  <c r="AL58" i="2" s="1"/>
  <c r="O30" i="2"/>
  <c r="N12" i="2"/>
  <c r="N7" i="2"/>
  <c r="P7" i="2" s="1"/>
  <c r="O47" i="2"/>
  <c r="P47" i="2" s="1"/>
  <c r="N62" i="2"/>
  <c r="AL62" i="2" s="1"/>
  <c r="Z68" i="2"/>
  <c r="U68" i="2"/>
  <c r="O45" i="2"/>
  <c r="P45" i="2" s="1"/>
  <c r="P59" i="2"/>
  <c r="N29" i="2"/>
  <c r="AL29" i="2" s="1"/>
  <c r="N30" i="2"/>
  <c r="P30" i="2" s="1"/>
  <c r="X68" i="2"/>
  <c r="V68" i="2"/>
  <c r="AD37" i="2"/>
  <c r="O10" i="2"/>
  <c r="P10" i="2" s="1"/>
  <c r="N27" i="2"/>
  <c r="AL27" i="2" s="1"/>
  <c r="AL46" i="2"/>
  <c r="AL24" i="2"/>
  <c r="AL39" i="2"/>
  <c r="N66" i="2"/>
  <c r="P15" i="2"/>
  <c r="AL48" i="2"/>
  <c r="N16" i="2"/>
  <c r="P16" i="2" s="1"/>
  <c r="O61" i="2"/>
  <c r="P61" i="2" s="1"/>
  <c r="AL64" i="2"/>
  <c r="AL13" i="2"/>
  <c r="N14" i="2"/>
  <c r="P14" i="2" s="1"/>
  <c r="AE18" i="2"/>
  <c r="R68" i="2"/>
  <c r="AL52" i="2"/>
  <c r="O57" i="2"/>
  <c r="O55" i="2"/>
  <c r="P55" i="2" s="1"/>
  <c r="O19" i="2"/>
  <c r="P19" i="2" s="1"/>
  <c r="P41" i="2"/>
  <c r="P48" i="2"/>
  <c r="P8" i="2"/>
  <c r="P13" i="2"/>
  <c r="P52" i="2"/>
  <c r="T68" i="2"/>
  <c r="AE8" i="2"/>
  <c r="O11" i="2"/>
  <c r="P11" i="2" s="1"/>
  <c r="AD19" i="2"/>
  <c r="P46" i="2"/>
  <c r="O50" i="2"/>
  <c r="O66" i="2"/>
  <c r="AB68" i="2"/>
  <c r="P17" i="2"/>
  <c r="O26" i="2"/>
  <c r="P26" i="2" s="1"/>
  <c r="P64" i="2"/>
  <c r="P39" i="2"/>
  <c r="AH4" i="2"/>
  <c r="AH68" i="2" s="1"/>
  <c r="P24" i="2"/>
  <c r="P33" i="2"/>
  <c r="O42" i="2"/>
  <c r="P42" i="2" s="1"/>
  <c r="AG30" i="2"/>
  <c r="AC68" i="2"/>
  <c r="W68" i="2"/>
  <c r="N5" i="2"/>
  <c r="S68" i="2"/>
  <c r="P21" i="2"/>
  <c r="N36" i="2"/>
  <c r="AL36" i="2" s="1"/>
  <c r="AE44" i="2"/>
  <c r="P18" i="2"/>
  <c r="AL32" i="2"/>
  <c r="P32" i="2"/>
  <c r="AK68" i="2"/>
  <c r="H48" i="6" s="1"/>
  <c r="F5" i="7" s="1"/>
  <c r="O60" i="2"/>
  <c r="AL20" i="2"/>
  <c r="AL21" i="2"/>
  <c r="AL12" i="2"/>
  <c r="P44" i="2"/>
  <c r="P3" i="2"/>
  <c r="AL3" i="2"/>
  <c r="AL65" i="2"/>
  <c r="AL33" i="2"/>
  <c r="AL59" i="2"/>
  <c r="P37" i="2"/>
  <c r="P63" i="2"/>
  <c r="P12" i="2"/>
  <c r="AL47" i="2"/>
  <c r="AL63" i="2"/>
  <c r="P65" i="2"/>
  <c r="M68" i="2"/>
  <c r="AG26" i="2"/>
  <c r="O20" i="2"/>
  <c r="P20" i="2" s="1"/>
  <c r="O25" i="2"/>
  <c r="P25" i="2" s="1"/>
  <c r="O40" i="2"/>
  <c r="Q68" i="2"/>
  <c r="AL7" i="2"/>
  <c r="O54" i="2"/>
  <c r="P54" i="2" s="1"/>
  <c r="AF19" i="2"/>
  <c r="O22" i="2"/>
  <c r="O38" i="2"/>
  <c r="P38" i="2" s="1"/>
  <c r="AG66" i="2"/>
  <c r="AL15" i="2"/>
  <c r="P58" i="2" l="1"/>
  <c r="P62" i="2"/>
  <c r="AL16" i="2"/>
  <c r="P27" i="2"/>
  <c r="AL30" i="2"/>
  <c r="P66" i="2"/>
  <c r="N68" i="2"/>
  <c r="E23" i="6" s="1"/>
  <c r="F24" i="7" s="1"/>
  <c r="P29" i="2"/>
  <c r="P57" i="2"/>
  <c r="AD68" i="2"/>
  <c r="F15" i="6" s="1"/>
  <c r="F12" i="7" s="1"/>
  <c r="AL66" i="2"/>
  <c r="P5" i="2"/>
  <c r="AE68" i="2"/>
  <c r="G14" i="6" s="1"/>
  <c r="H8" i="6"/>
  <c r="H16" i="6"/>
  <c r="H24" i="6"/>
  <c r="H32" i="6"/>
  <c r="H40" i="6"/>
  <c r="H9" i="6"/>
  <c r="H17" i="6"/>
  <c r="H25" i="6"/>
  <c r="H33" i="6"/>
  <c r="H41" i="6"/>
  <c r="H2" i="6"/>
  <c r="H10" i="6"/>
  <c r="H18" i="6"/>
  <c r="H26" i="6"/>
  <c r="H34" i="6"/>
  <c r="H42" i="6"/>
  <c r="H50" i="6"/>
  <c r="H21" i="6"/>
  <c r="H45" i="6"/>
  <c r="H3" i="6"/>
  <c r="H11" i="6"/>
  <c r="H19" i="6"/>
  <c r="H27" i="6"/>
  <c r="H35" i="6"/>
  <c r="H43" i="6"/>
  <c r="H51" i="6"/>
  <c r="H5" i="6"/>
  <c r="H29" i="6"/>
  <c r="H53" i="6"/>
  <c r="H4" i="6"/>
  <c r="H12" i="6"/>
  <c r="H20" i="6"/>
  <c r="H28" i="6"/>
  <c r="H36" i="6"/>
  <c r="H44" i="6"/>
  <c r="H52" i="6"/>
  <c r="H13" i="6"/>
  <c r="H37" i="6"/>
  <c r="H6" i="6"/>
  <c r="H14" i="6"/>
  <c r="H22" i="6"/>
  <c r="H30" i="6"/>
  <c r="H38" i="6"/>
  <c r="H46" i="6"/>
  <c r="H54" i="6"/>
  <c r="H7" i="6"/>
  <c r="H15" i="6"/>
  <c r="H23" i="6"/>
  <c r="H31" i="6"/>
  <c r="H39" i="6"/>
  <c r="H47" i="6"/>
  <c r="P36" i="2"/>
  <c r="H49" i="6"/>
  <c r="F20" i="7" s="1"/>
  <c r="AF68" i="2"/>
  <c r="J15" i="6" s="1"/>
  <c r="F13" i="7" s="1"/>
  <c r="AL14" i="2"/>
  <c r="AL5" i="2"/>
  <c r="AG68" i="2"/>
  <c r="I24" i="6" s="1"/>
  <c r="F27" i="7" s="1"/>
  <c r="P50" i="2"/>
  <c r="P40" i="2"/>
  <c r="P60" i="2"/>
  <c r="O68" i="2"/>
  <c r="P22" i="2"/>
  <c r="E15" i="6" l="1"/>
  <c r="E6" i="6"/>
  <c r="E42" i="6"/>
  <c r="E25" i="6"/>
  <c r="F28" i="7" s="1"/>
  <c r="E44" i="6"/>
  <c r="E37" i="6"/>
  <c r="F39" i="7" s="1"/>
  <c r="E46" i="6"/>
  <c r="F49" i="7" s="1"/>
  <c r="E2" i="6"/>
  <c r="F2" i="7" s="1"/>
  <c r="E31" i="6"/>
  <c r="F34" i="7" s="1"/>
  <c r="E14" i="6"/>
  <c r="E20" i="6"/>
  <c r="F19" i="7" s="1"/>
  <c r="E12" i="6"/>
  <c r="F11" i="7" s="1"/>
  <c r="E53" i="6"/>
  <c r="F42" i="7" s="1"/>
  <c r="E26" i="6"/>
  <c r="F29" i="7" s="1"/>
  <c r="E17" i="6"/>
  <c r="F16" i="7" s="1"/>
  <c r="E52" i="6"/>
  <c r="F47" i="7" s="1"/>
  <c r="E21" i="6"/>
  <c r="E43" i="6"/>
  <c r="E33" i="6"/>
  <c r="E9" i="6"/>
  <c r="F8" i="7" s="1"/>
  <c r="E50" i="6"/>
  <c r="F30" i="7" s="1"/>
  <c r="E10" i="6"/>
  <c r="E45" i="6"/>
  <c r="E36" i="6"/>
  <c r="E18" i="6"/>
  <c r="E39" i="6"/>
  <c r="F41" i="7" s="1"/>
  <c r="E29" i="6"/>
  <c r="E49" i="6"/>
  <c r="E16" i="6"/>
  <c r="F15" i="7" s="1"/>
  <c r="E13" i="6"/>
  <c r="E24" i="6"/>
  <c r="F26" i="7" s="1"/>
  <c r="E40" i="6"/>
  <c r="E5" i="6"/>
  <c r="E27" i="6"/>
  <c r="E28" i="6"/>
  <c r="F31" i="7" s="1"/>
  <c r="E8" i="6"/>
  <c r="F7" i="7" s="1"/>
  <c r="E4" i="6"/>
  <c r="F4" i="7" s="1"/>
  <c r="E3" i="6"/>
  <c r="F3" i="7" s="1"/>
  <c r="E54" i="6"/>
  <c r="F44" i="7" s="1"/>
  <c r="E7" i="6"/>
  <c r="E34" i="6"/>
  <c r="E11" i="6"/>
  <c r="F10" i="7" s="1"/>
  <c r="E51" i="6"/>
  <c r="F37" i="7" s="1"/>
  <c r="E48" i="6"/>
  <c r="E35" i="6"/>
  <c r="E47" i="6"/>
  <c r="E38" i="6"/>
  <c r="E32" i="6"/>
  <c r="E30" i="6"/>
  <c r="E19" i="6"/>
  <c r="E41" i="6"/>
  <c r="E22" i="6"/>
  <c r="F23" i="7" s="1"/>
  <c r="AL68" i="2"/>
  <c r="I21" i="6"/>
  <c r="F22" i="7" s="1"/>
  <c r="I54" i="6"/>
  <c r="F45" i="7" s="1"/>
  <c r="G35" i="6"/>
  <c r="F36" i="7" s="1"/>
  <c r="I34" i="6"/>
  <c r="I19" i="6"/>
  <c r="I44" i="6"/>
  <c r="I17" i="6"/>
  <c r="I32" i="6"/>
  <c r="I30" i="6"/>
  <c r="I23" i="6"/>
  <c r="I5" i="6"/>
  <c r="I35" i="6"/>
  <c r="I4" i="6"/>
  <c r="I46" i="6"/>
  <c r="I31" i="6"/>
  <c r="I3" i="6"/>
  <c r="I45" i="6"/>
  <c r="I43" i="6"/>
  <c r="I51" i="6"/>
  <c r="I15" i="6"/>
  <c r="I37" i="6"/>
  <c r="I38" i="6"/>
  <c r="I53" i="6"/>
  <c r="I25" i="6"/>
  <c r="I7" i="6"/>
  <c r="I48" i="6"/>
  <c r="I16" i="6"/>
  <c r="I50" i="6"/>
  <c r="I2" i="6"/>
  <c r="I27" i="6"/>
  <c r="I20" i="6"/>
  <c r="I47" i="6"/>
  <c r="I9" i="6"/>
  <c r="I40" i="6"/>
  <c r="I42" i="6"/>
  <c r="I33" i="6"/>
  <c r="I39" i="6"/>
  <c r="I36" i="6"/>
  <c r="I13" i="6"/>
  <c r="I10" i="6"/>
  <c r="I28" i="6"/>
  <c r="I6" i="6"/>
  <c r="I49" i="6"/>
  <c r="I11" i="6"/>
  <c r="I18" i="6"/>
  <c r="I52" i="6"/>
  <c r="I14" i="6"/>
  <c r="I12" i="6"/>
  <c r="I29" i="6"/>
  <c r="I8" i="6"/>
  <c r="I26" i="6"/>
  <c r="I22" i="6"/>
  <c r="I41" i="6"/>
  <c r="G34" i="6"/>
  <c r="G3" i="6"/>
  <c r="G42" i="6"/>
  <c r="F46" i="7" s="1"/>
  <c r="G27" i="6"/>
  <c r="G16" i="6"/>
  <c r="G29" i="6"/>
  <c r="G13" i="6"/>
  <c r="G8" i="6"/>
  <c r="G49" i="6"/>
  <c r="G32" i="6"/>
  <c r="G12" i="6"/>
  <c r="G37" i="6"/>
  <c r="G30" i="6"/>
  <c r="G21" i="6"/>
  <c r="G24" i="6"/>
  <c r="G43" i="6"/>
  <c r="G7" i="6"/>
  <c r="G31" i="6"/>
  <c r="G10" i="6"/>
  <c r="G26" i="6"/>
  <c r="G22" i="6"/>
  <c r="G51" i="6"/>
  <c r="G2" i="6"/>
  <c r="G18" i="6"/>
  <c r="G39" i="6"/>
  <c r="G11" i="6"/>
  <c r="G53" i="6"/>
  <c r="G41" i="6"/>
  <c r="G52" i="6"/>
  <c r="G46" i="6"/>
  <c r="G23" i="6"/>
  <c r="G9" i="6"/>
  <c r="G25" i="6"/>
  <c r="G45" i="6"/>
  <c r="F48" i="7" s="1"/>
  <c r="G4" i="6"/>
  <c r="G36" i="6"/>
  <c r="F38" i="7" s="1"/>
  <c r="G54" i="6"/>
  <c r="G17" i="6"/>
  <c r="G15" i="6"/>
  <c r="G6" i="6"/>
  <c r="G19" i="6"/>
  <c r="G47" i="6"/>
  <c r="G40" i="6"/>
  <c r="G33" i="6"/>
  <c r="G28" i="6"/>
  <c r="G38" i="6"/>
  <c r="G44" i="6"/>
  <c r="G20" i="6"/>
  <c r="G48" i="6"/>
  <c r="G50" i="6"/>
  <c r="J44" i="6"/>
  <c r="J13" i="6"/>
  <c r="J36" i="6"/>
  <c r="J39" i="6"/>
  <c r="J18" i="6"/>
  <c r="F18" i="7" s="1"/>
  <c r="J49" i="6"/>
  <c r="J41" i="6"/>
  <c r="J51" i="6"/>
  <c r="J2" i="6"/>
  <c r="J23" i="6"/>
  <c r="J14" i="6"/>
  <c r="J40" i="6"/>
  <c r="J9" i="6"/>
  <c r="J20" i="6"/>
  <c r="J52" i="6"/>
  <c r="J26" i="6"/>
  <c r="J22" i="6"/>
  <c r="J10" i="6"/>
  <c r="J45" i="6"/>
  <c r="J4" i="6"/>
  <c r="J46" i="6"/>
  <c r="J35" i="6"/>
  <c r="J32" i="6"/>
  <c r="J11" i="6"/>
  <c r="J38" i="6"/>
  <c r="J3" i="6"/>
  <c r="J54" i="6"/>
  <c r="J17" i="6"/>
  <c r="J12" i="6"/>
  <c r="J28" i="6"/>
  <c r="J53" i="6"/>
  <c r="J21" i="6"/>
  <c r="J47" i="6"/>
  <c r="J5" i="6"/>
  <c r="J50" i="6"/>
  <c r="J42" i="6"/>
  <c r="J29" i="6"/>
  <c r="J43" i="6"/>
  <c r="J24" i="6"/>
  <c r="J33" i="6"/>
  <c r="J27" i="6"/>
  <c r="J37" i="6"/>
  <c r="J30" i="6"/>
  <c r="J6" i="6"/>
  <c r="J25" i="6"/>
  <c r="J16" i="6"/>
  <c r="J34" i="6"/>
  <c r="J7" i="6"/>
  <c r="J31" i="6"/>
  <c r="J48" i="6"/>
  <c r="J8" i="6"/>
  <c r="J19" i="6"/>
  <c r="G5" i="6"/>
  <c r="F14" i="6"/>
  <c r="F7" i="6"/>
  <c r="F40" i="6"/>
  <c r="F43" i="6"/>
  <c r="F33" i="6"/>
  <c r="F35" i="6"/>
  <c r="F42" i="6"/>
  <c r="F36" i="6"/>
  <c r="F5" i="6"/>
  <c r="F13" i="6"/>
  <c r="F45" i="6"/>
  <c r="F11" i="6"/>
  <c r="F19" i="6"/>
  <c r="F22" i="6"/>
  <c r="F23" i="6"/>
  <c r="F44" i="6"/>
  <c r="F24" i="6"/>
  <c r="F25" i="7" s="1"/>
  <c r="F34" i="6"/>
  <c r="F41" i="6"/>
  <c r="F28" i="6"/>
  <c r="F20" i="6"/>
  <c r="F53" i="6"/>
  <c r="F6" i="6"/>
  <c r="F6" i="7" s="1"/>
  <c r="F25" i="6"/>
  <c r="F51" i="6"/>
  <c r="F50" i="6"/>
  <c r="F17" i="6"/>
  <c r="F18" i="6"/>
  <c r="F17" i="7" s="1"/>
  <c r="F37" i="6"/>
  <c r="F29" i="6"/>
  <c r="F32" i="7" s="1"/>
  <c r="F38" i="6"/>
  <c r="F40" i="7" s="1"/>
  <c r="F21" i="6"/>
  <c r="F21" i="7" s="1"/>
  <c r="F54" i="6"/>
  <c r="F43" i="7" s="1"/>
  <c r="F52" i="6"/>
  <c r="F27" i="6"/>
  <c r="F39" i="6"/>
  <c r="F30" i="6"/>
  <c r="F33" i="7" s="1"/>
  <c r="F8" i="6"/>
  <c r="F9" i="6"/>
  <c r="F26" i="6"/>
  <c r="F3" i="6"/>
  <c r="F46" i="6"/>
  <c r="F31" i="6"/>
  <c r="F2" i="6"/>
  <c r="F16" i="6"/>
  <c r="F14" i="7" s="1"/>
  <c r="F32" i="6"/>
  <c r="F35" i="7" s="1"/>
  <c r="F10" i="6"/>
  <c r="F48" i="6"/>
  <c r="F47" i="6"/>
  <c r="F12" i="6"/>
  <c r="F4" i="6"/>
  <c r="F49" i="6"/>
  <c r="P68" i="2"/>
  <c r="F9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tc={082B9CDD-79D9-4CAC-B68F-758ABFE7D0C0}</author>
  </authors>
  <commentList>
    <comment ref="L35" authorId="0" shapeId="0" xr:uid="{082B9CDD-79D9-4CAC-B68F-758ABFE7D0C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Cu-PGM sent to Glencore, Ni-Cu sent to Vale</t>
      </text>
    </comment>
  </commentList>
</comments>
</file>

<file path=xl/sharedStrings.xml><?xml version="1.0" encoding="utf-8"?>
<sst xmlns="http://schemas.openxmlformats.org/spreadsheetml/2006/main" count="990" uniqueCount="416">
  <si>
    <t>Cu</t>
  </si>
  <si>
    <t>Doré</t>
  </si>
  <si>
    <t>Ni</t>
  </si>
  <si>
    <t>Mo</t>
  </si>
  <si>
    <t>Zn</t>
  </si>
  <si>
    <t>U</t>
  </si>
  <si>
    <t>Nb</t>
  </si>
  <si>
    <t>main_id</t>
  </si>
  <si>
    <t>facility_group_id</t>
  </si>
  <si>
    <t>facility_name</t>
  </si>
  <si>
    <t>facility_group_name</t>
  </si>
  <si>
    <t>province</t>
  </si>
  <si>
    <t>facility_type</t>
  </si>
  <si>
    <t>mining_processing_type</t>
  </si>
  <si>
    <t>archetypes</t>
  </si>
  <si>
    <t>commodities</t>
  </si>
  <si>
    <t>Create_LCI?</t>
  </si>
  <si>
    <t>Main_product</t>
  </si>
  <si>
    <t>Stream</t>
  </si>
  <si>
    <t>ore_processed_t</t>
  </si>
  <si>
    <t>dore_t_mass</t>
  </si>
  <si>
    <t>conc_t_mass</t>
  </si>
  <si>
    <t>tailings_t_mass</t>
  </si>
  <si>
    <t>Au_t</t>
  </si>
  <si>
    <t>Ag_t</t>
  </si>
  <si>
    <t>Cu_t</t>
  </si>
  <si>
    <t>Ni_t</t>
  </si>
  <si>
    <t>Co_t</t>
  </si>
  <si>
    <t>Mo_t</t>
  </si>
  <si>
    <t>Zn_t</t>
  </si>
  <si>
    <t>Pb_t</t>
  </si>
  <si>
    <t>Fe_t</t>
  </si>
  <si>
    <t>Pt_t</t>
  </si>
  <si>
    <t>Pd_t</t>
  </si>
  <si>
    <t>U_t</t>
  </si>
  <si>
    <t>Nb_t</t>
  </si>
  <si>
    <t>Cu_conc</t>
  </si>
  <si>
    <t>Ni_conc</t>
  </si>
  <si>
    <t>Mo_conc</t>
  </si>
  <si>
    <t>Zn_conc</t>
  </si>
  <si>
    <t>Pb_conc</t>
  </si>
  <si>
    <t>Pt_conc</t>
  </si>
  <si>
    <t>Pd_conc</t>
  </si>
  <si>
    <t>U_conc</t>
  </si>
  <si>
    <t>Au_conc</t>
  </si>
  <si>
    <t>QC-MAIN-089f3c60</t>
  </si>
  <si>
    <t>Bloom Lake</t>
  </si>
  <si>
    <t>Quebec</t>
  </si>
  <si>
    <t>mining</t>
  </si>
  <si>
    <t>Open-pit</t>
  </si>
  <si>
    <t>Magnetite concentrator</t>
  </si>
  <si>
    <t>Yes</t>
  </si>
  <si>
    <t>Iron</t>
  </si>
  <si>
    <t>No (iron)</t>
  </si>
  <si>
    <t>Fe</t>
  </si>
  <si>
    <t>Fe conc.</t>
  </si>
  <si>
    <t>BC-MAIN-857b7b89</t>
  </si>
  <si>
    <t>Brucejack</t>
  </si>
  <si>
    <t>British Columbia</t>
  </si>
  <si>
    <t>Underground, concentrator</t>
  </si>
  <si>
    <t>Au–Ag free-milling</t>
  </si>
  <si>
    <t>No</t>
  </si>
  <si>
    <t>Gold, silver</t>
  </si>
  <si>
    <t>Au</t>
  </si>
  <si>
    <t>Au-Ag doré</t>
  </si>
  <si>
    <t>QC-MAIN-de3d8b7b</t>
  </si>
  <si>
    <t>Canadian Electrolytic Zinc Limited (CEZinc)</t>
  </si>
  <si>
    <t>manufacturing</t>
  </si>
  <si>
    <t>Refinery</t>
  </si>
  <si>
    <t>Zn refinery</t>
  </si>
  <si>
    <t>Lead, zinc</t>
  </si>
  <si>
    <t>Zn (Pb)</t>
  </si>
  <si>
    <t>QC-MAIN-e7e6a960</t>
  </si>
  <si>
    <t>Canadian Malartic</t>
  </si>
  <si>
    <t>Open-pit, concentrator</t>
  </si>
  <si>
    <t>Au (Ag)</t>
  </si>
  <si>
    <t>NL-MAIN-dd723db4</t>
  </si>
  <si>
    <t>Carol Lake</t>
  </si>
  <si>
    <t>Newfoundland and Labrador</t>
  </si>
  <si>
    <t>Fe concentrator + pellet plant</t>
  </si>
  <si>
    <t>Fe conc., Fe pellets</t>
  </si>
  <si>
    <t>QC-MAIN-b86f7d07</t>
  </si>
  <si>
    <t>Casa Berardi</t>
  </si>
  <si>
    <t>Open-pit, underground, concentrator</t>
  </si>
  <si>
    <t>ON-MAIN-f080c409</t>
  </si>
  <si>
    <t>GRP-dc07540b</t>
  </si>
  <si>
    <t>Copper Cliff Complex (mine)</t>
  </si>
  <si>
    <t>Sudbury Operation</t>
  </si>
  <si>
    <t>Ontario</t>
  </si>
  <si>
    <t>Underground</t>
  </si>
  <si>
    <t>Ni–Cu sulfide</t>
  </si>
  <si>
    <t>Nickel, copper, platinum group metals, gold, silver, cobalt, selenium, tellurium</t>
  </si>
  <si>
    <t>Not sure (Vale Sudbury)</t>
  </si>
  <si>
    <t>Ni+Cu</t>
  </si>
  <si>
    <t>Ni-Cu bulk conc.</t>
  </si>
  <si>
    <t>ON-MAIN-63b394c3</t>
  </si>
  <si>
    <t>Copper Cliff Complex (refinery)</t>
  </si>
  <si>
    <t>Smelter, refinery, plant</t>
  </si>
  <si>
    <t>Cu-Ni smelter and refinery</t>
  </si>
  <si>
    <t>Nickel (oxide sinter, pellets, powder, sulfide), copper cathodes, gold, silver, selenium cake, tellurium dioxide cake, platinum group metals (in residues), liquid sulfur dioxide, sulfuric acid</t>
  </si>
  <si>
    <t>Refined Ni+Cu</t>
  </si>
  <si>
    <t>BC-MAIN-599152a0</t>
  </si>
  <si>
    <t>Copper Mountain</t>
  </si>
  <si>
    <t>Cu Porphyry</t>
  </si>
  <si>
    <t>Copper, gold, silver</t>
  </si>
  <si>
    <t>Cu (Au, Ag)</t>
  </si>
  <si>
    <t>Cu conc.</t>
  </si>
  <si>
    <t>ON-MAIN-52224e1e</t>
  </si>
  <si>
    <t>Creighton</t>
  </si>
  <si>
    <t>ON-MAIN-aeafbb59</t>
  </si>
  <si>
    <t>Detour Lake</t>
  </si>
  <si>
    <t>Gold</t>
  </si>
  <si>
    <t>ON-MAIN-cb85213a</t>
  </si>
  <si>
    <t>Eagle River</t>
  </si>
  <si>
    <t>QC-MAIN-6dc537e6</t>
  </si>
  <si>
    <t>Éléonore</t>
  </si>
  <si>
    <t>BC-MAIN-4724f4ba</t>
  </si>
  <si>
    <t>Elk</t>
  </si>
  <si>
    <t>Not sure (no NPRI)</t>
  </si>
  <si>
    <t>ON-MAIN-4e0734b5</t>
  </si>
  <si>
    <t>Fox Complex</t>
  </si>
  <si>
    <t>Not sure (no technosphere)</t>
  </si>
  <si>
    <t>ON-MAIN-206041d1</t>
  </si>
  <si>
    <t>GRP-de097f20</t>
  </si>
  <si>
    <t>Fraser</t>
  </si>
  <si>
    <t>Integrated Nickel Operations</t>
  </si>
  <si>
    <t>Nickel, copper, platinum group metals, gold, cobalt, silver</t>
  </si>
  <si>
    <t>ON-MAIN-48fe2205</t>
  </si>
  <si>
    <t>Garson</t>
  </si>
  <si>
    <t>BC-MAIN-6b4800fe</t>
  </si>
  <si>
    <t>Gibraltar</t>
  </si>
  <si>
    <t>Cu polymetallic</t>
  </si>
  <si>
    <t>Copper, molybdenum, silver</t>
  </si>
  <si>
    <t>Cu+Mo</t>
  </si>
  <si>
    <t>Cu and Mo conc.</t>
  </si>
  <si>
    <t>QC-MAIN-c0660aec</t>
  </si>
  <si>
    <t>Goldex</t>
  </si>
  <si>
    <t>Au–Ag polymetallic</t>
  </si>
  <si>
    <t>Au-Ag+Cu</t>
  </si>
  <si>
    <t>Au-Ag doré, Cu conc.</t>
  </si>
  <si>
    <t>ON-MAIN-6e9be24e</t>
  </si>
  <si>
    <t>Hemlo (Williams)</t>
  </si>
  <si>
    <t>BC-MAIN-bf503b6b</t>
  </si>
  <si>
    <t>Highland Valley</t>
  </si>
  <si>
    <t>Copper, silver, molybdenum</t>
  </si>
  <si>
    <t>QC-MAIN-30c1828c</t>
  </si>
  <si>
    <t>GRP-b48ec279</t>
  </si>
  <si>
    <t>Horne</t>
  </si>
  <si>
    <t>CCR</t>
  </si>
  <si>
    <t>Smelter</t>
  </si>
  <si>
    <t>Cu smelter</t>
  </si>
  <si>
    <t>Copper anodes, precious metals, sulfuric acid</t>
  </si>
  <si>
    <t>Manufacturing</t>
  </si>
  <si>
    <t>ON-MAIN-687b8c8d</t>
  </si>
  <si>
    <t>Island</t>
  </si>
  <si>
    <t>YT-MAIN-44857446</t>
  </si>
  <si>
    <t>Keno Hill Silver District</t>
  </si>
  <si>
    <t>Key Lake + McArthur River</t>
  </si>
  <si>
    <t>Yukon</t>
  </si>
  <si>
    <t>Ag polymetallic</t>
  </si>
  <si>
    <t>Silver, zinc, lead</t>
  </si>
  <si>
    <t>Not sure (no NPRI) but technosphere</t>
  </si>
  <si>
    <t>Ag (Zn, Pb)</t>
  </si>
  <si>
    <t>Pb and Zn conc.</t>
  </si>
  <si>
    <t>ON-MAIN-f8313ebd</t>
  </si>
  <si>
    <t>Kidd Creek</t>
  </si>
  <si>
    <t>Copper, zinc, silver, selenium, indium</t>
  </si>
  <si>
    <t>Cu+Zn (Ag)</t>
  </si>
  <si>
    <t>Cu and Zn conc.</t>
  </si>
  <si>
    <t>QC-MAIN-9de9bb0d</t>
  </si>
  <si>
    <t>Kiena</t>
  </si>
  <si>
    <t>ON-MAIN-a3c56a83</t>
  </si>
  <si>
    <t>Lac des Iles</t>
  </si>
  <si>
    <t>Platinum group metals, gold, nickel, copper, cobalt</t>
  </si>
  <si>
    <t>Pt</t>
  </si>
  <si>
    <t>PGM bulk conc.</t>
  </si>
  <si>
    <t>QC-MAIN-f9e41c2a</t>
  </si>
  <si>
    <t>Lamaque</t>
  </si>
  <si>
    <t>QC-MAIN-e51eda66</t>
  </si>
  <si>
    <t>LaRonde</t>
  </si>
  <si>
    <t>Gold, zinc, copper, silver, cadmium</t>
  </si>
  <si>
    <t>Au-Ag+Cu+Zn</t>
  </si>
  <si>
    <t>Au-Ag doré, Cu and Zn conc.</t>
  </si>
  <si>
    <t>NL-MAIN-d9036091</t>
  </si>
  <si>
    <t>Long Harbour</t>
  </si>
  <si>
    <t>Ni hydrometallurgical refinery</t>
  </si>
  <si>
    <t>Nickel</t>
  </si>
  <si>
    <t>Yes (manufacturing)</t>
  </si>
  <si>
    <t>Refined Ni</t>
  </si>
  <si>
    <t>ON-MAIN-1f126a43</t>
  </si>
  <si>
    <t>Macassa</t>
  </si>
  <si>
    <t>ON-MAIN-8825d90d</t>
  </si>
  <si>
    <t>Magino</t>
  </si>
  <si>
    <t>NU-MAIN-5154702a</t>
  </si>
  <si>
    <t>Mary River</t>
  </si>
  <si>
    <t>Nunavut</t>
  </si>
  <si>
    <t>Direct Shipping Ore</t>
  </si>
  <si>
    <t>Iron ore</t>
  </si>
  <si>
    <t>DSO</t>
  </si>
  <si>
    <t>ON-MAIN-7001a391</t>
  </si>
  <si>
    <t>McCreedy West</t>
  </si>
  <si>
    <t>Copper, nickel, platinum group metals, gold, silver, cobalt</t>
  </si>
  <si>
    <t>Not sure (no technosphere and no GHG)</t>
  </si>
  <si>
    <t>PGMs+Cu+Ni</t>
  </si>
  <si>
    <t>Cu-PGM conc. and Ni-Cu conc.</t>
  </si>
  <si>
    <t>NU-MAIN-8b0264c9</t>
  </si>
  <si>
    <t>Meliadine</t>
  </si>
  <si>
    <t>BC-MAIN-ed23117f</t>
  </si>
  <si>
    <t>Mount Milligan</t>
  </si>
  <si>
    <t>Cu (Au)</t>
  </si>
  <si>
    <t>BC-MAIN-3f490561</t>
  </si>
  <si>
    <t>Mount Polley</t>
  </si>
  <si>
    <t>Gold, copper, silver</t>
  </si>
  <si>
    <t>ON-MAIN-fefeaee4</t>
  </si>
  <si>
    <t>Musselwhite</t>
  </si>
  <si>
    <t>BC-MAIN-aa76f6f2</t>
  </si>
  <si>
    <t>New Afton</t>
  </si>
  <si>
    <t>ON-MAIN-fcb287a4</t>
  </si>
  <si>
    <t>Nickel Rim South</t>
  </si>
  <si>
    <t>Nickel, copper, cobalt, platinum group metals, gold</t>
  </si>
  <si>
    <t>QC-MAIN-a555d9b9</t>
  </si>
  <si>
    <t>Niobec</t>
  </si>
  <si>
    <t>Nb mine</t>
  </si>
  <si>
    <t>Niobium</t>
  </si>
  <si>
    <t>Not sure</t>
  </si>
  <si>
    <t>Nb conc.</t>
  </si>
  <si>
    <t>QC-MAIN-649d2873</t>
  </si>
  <si>
    <t>Niobec Converter</t>
  </si>
  <si>
    <t>Convertor</t>
  </si>
  <si>
    <t>Nb smelter</t>
  </si>
  <si>
    <t>Ferroniobium</t>
  </si>
  <si>
    <t>QC-MAIN-5ce331b8</t>
  </si>
  <si>
    <t>Nunavik Nickel</t>
  </si>
  <si>
    <t>Nickel, copper, platinum group metals, cobalt</t>
  </si>
  <si>
    <t>QC-MAIN-a97821c0</t>
  </si>
  <si>
    <t>Raglan</t>
  </si>
  <si>
    <t>Nickel, platinum group metals, copper, cobalt, gold, silver</t>
  </si>
  <si>
    <t>Ni+PGM+Cu (Co)</t>
  </si>
  <si>
    <t>ON-MAIN-0aadf28f</t>
  </si>
  <si>
    <t>Rainy River</t>
  </si>
  <si>
    <t>BC-MAIN-8eb8be0d</t>
  </si>
  <si>
    <t>Red Chris</t>
  </si>
  <si>
    <t>Au+Cu</t>
  </si>
  <si>
    <t>ON-MAIN-7f050560</t>
  </si>
  <si>
    <t>Red Lake</t>
  </si>
  <si>
    <t>Au–Ag refractory</t>
  </si>
  <si>
    <t>NL-MAIN-b64bae7a</t>
  </si>
  <si>
    <t>Scully</t>
  </si>
  <si>
    <t>Fe concentrator</t>
  </si>
  <si>
    <t>ON-MAIN-ed85ac94</t>
  </si>
  <si>
    <t>Strathcona</t>
  </si>
  <si>
    <t>Concentrator</t>
  </si>
  <si>
    <t>ON-MAIN-40ce0593</t>
  </si>
  <si>
    <t>Sudbury</t>
  </si>
  <si>
    <t>Smelter, plant</t>
  </si>
  <si>
    <t>Ni-Cu smelter</t>
  </si>
  <si>
    <t>Nickel-copper matte containing cobalt, gold, silver, platinum group metals</t>
  </si>
  <si>
    <t>ON-MAIN-f4fc3276</t>
  </si>
  <si>
    <t>Sugar Zone</t>
  </si>
  <si>
    <t>AB-MAIN-d3a4aba9</t>
  </si>
  <si>
    <t>The Cobalt Refinery Company Inc.</t>
  </si>
  <si>
    <t>Alberta</t>
  </si>
  <si>
    <t>Co hydrometallurgical refinery</t>
  </si>
  <si>
    <t>Nickel, cobalt, copper sulfide, ammonium sulfate</t>
  </si>
  <si>
    <t>Ni+Co</t>
  </si>
  <si>
    <t>Refined Co+Ni</t>
  </si>
  <si>
    <t>MB-MAIN-e0a6250e</t>
  </si>
  <si>
    <t>Thompson (T-1 and T-3)</t>
  </si>
  <si>
    <t>Manitoba</t>
  </si>
  <si>
    <t>Nickel, cobalt, copper, platinum group metals, gold, silver</t>
  </si>
  <si>
    <t>ON-MAIN-28f3f0fc</t>
  </si>
  <si>
    <t>Totten</t>
  </si>
  <si>
    <t>Nickel, copper, platinum group metals, gold, silver, cobalt</t>
  </si>
  <si>
    <t>BC-MAIN-3bb6b7cd</t>
  </si>
  <si>
    <t>Trail</t>
  </si>
  <si>
    <t>Zinc, lead, bismuth, cadmium, indium, germanium, precious metals, liquid sulfur dioxide, sulfuric acid</t>
  </si>
  <si>
    <t>NL-MAIN-2d8801d6</t>
  </si>
  <si>
    <t>Voisey’s Bay</t>
  </si>
  <si>
    <t>Nickel, copper, cobalt</t>
  </si>
  <si>
    <t>QC-MAIN-02884fb5</t>
  </si>
  <si>
    <t>Westwood-Doyon</t>
  </si>
  <si>
    <t>ON-MAIN-7607a50e</t>
  </si>
  <si>
    <t>Young-Davidson</t>
  </si>
  <si>
    <t>GRP-91aaa60b</t>
  </si>
  <si>
    <t>Cigar Lake + McClean Lake</t>
  </si>
  <si>
    <t>Saskatchewan</t>
  </si>
  <si>
    <t>High-grade U mine + mill</t>
  </si>
  <si>
    <t>Uranium</t>
  </si>
  <si>
    <t>Yellowcake</t>
  </si>
  <si>
    <t>GRP-21eee27d</t>
  </si>
  <si>
    <t>GRP-0a2c0d69</t>
  </si>
  <si>
    <t>Meadowbank complex</t>
  </si>
  <si>
    <t>Open-pit, underground</t>
  </si>
  <si>
    <t>GRP-0d911886</t>
  </si>
  <si>
    <t>Porcupine complex</t>
  </si>
  <si>
    <t>GRP-147b3123</t>
  </si>
  <si>
    <t>Timmins Operation</t>
  </si>
  <si>
    <t>GRP-14bfbb82</t>
  </si>
  <si>
    <t>Seabee Gold Operation</t>
  </si>
  <si>
    <t>GRP-a13779f8</t>
  </si>
  <si>
    <t>Snow Lake</t>
  </si>
  <si>
    <t>Gold, zinc, copper, silver</t>
  </si>
  <si>
    <t>Not sure (no GHG)</t>
  </si>
  <si>
    <t>HS code</t>
  </si>
  <si>
    <t>Commodity</t>
  </si>
  <si>
    <t>Price (USD/kg)</t>
  </si>
  <si>
    <t>Source</t>
  </si>
  <si>
    <t>(CoSO4) Cobalt; mattes and other intermediate products of cobalt metallurgy, unwrought cobalt, powders</t>
  </si>
  <si>
    <t>Co</t>
  </si>
  <si>
    <t>Lai et al. 2025</t>
  </si>
  <si>
    <t>Copper; refined, unwrought</t>
  </si>
  <si>
    <t>Metals; gold, non-monetary, unwrought (but not powder)</t>
  </si>
  <si>
    <t>Iron or steel, pig iron, spiegeleisen; granules thereof</t>
  </si>
  <si>
    <t>Lead; unwrought, refined</t>
  </si>
  <si>
    <t>Pb</t>
  </si>
  <si>
    <t>Molybdenum oxides and hydroxides</t>
  </si>
  <si>
    <t>Nickel; unwrought, not alloyed</t>
  </si>
  <si>
    <t>MAC 2025 + taux de change 0.71</t>
  </si>
  <si>
    <t>Pd</t>
  </si>
  <si>
    <t>Metals; silver powder / unwrought, (but not powder)</t>
  </si>
  <si>
    <t>Ag</t>
  </si>
  <si>
    <t>Zinc; unwrought, (not alloyed)</t>
  </si>
  <si>
    <t>Gallium, germanium, hafnium, indium, niobium (columbium), rhenium and vanadium; articles thereof, other than unwrought including waste and scrap and powders</t>
  </si>
  <si>
    <t>N</t>
  </si>
  <si>
    <t>reference_product</t>
  </si>
  <si>
    <t>site_id</t>
  </si>
  <si>
    <t>activity_name</t>
  </si>
  <si>
    <t>market_share</t>
  </si>
  <si>
    <t>stream</t>
  </si>
  <si>
    <t>Au-Ag</t>
  </si>
  <si>
    <t>Open-pit mining and beneficiation at Copper Mountain</t>
  </si>
  <si>
    <t>Cu concentrate</t>
  </si>
  <si>
    <t>Open-pit mining and beneficiation at Gibraltar</t>
  </si>
  <si>
    <t>Open-pit mining and beneficiation at Highland Valley</t>
  </si>
  <si>
    <t>Open-pit mining and beneficiation at Mount Milligan</t>
  </si>
  <si>
    <t>Open-pit mining and beneficiation at Mount Polley</t>
  </si>
  <si>
    <t>Open-pit mining and beneficiation at Red Chris</t>
  </si>
  <si>
    <t>Underground mining and beneficiation at Goldex</t>
  </si>
  <si>
    <t>Underground mining and beneficiation at Kidd Creek</t>
  </si>
  <si>
    <t>Underground mining and beneficiation at LaRonde</t>
  </si>
  <si>
    <t>Underground mining and beneficiation at New Afton</t>
  </si>
  <si>
    <t>Underground mining and beneficiation at Snow Lake</t>
  </si>
  <si>
    <t>Open-pit and underground mining and beneficiation at Casa Berardi</t>
  </si>
  <si>
    <t>Open-pit and underground mining and beneficiation at Fox Complex</t>
  </si>
  <si>
    <t>Hemlo</t>
  </si>
  <si>
    <t>Open-pit and underground mining and beneficiation at Hemlo (Williams)</t>
  </si>
  <si>
    <t>Open-pit and underground mining and beneficiation at Meliadine</t>
  </si>
  <si>
    <t>Open-pit and underground mining and beneficiation at Rainy River</t>
  </si>
  <si>
    <t>Open-pit and underground mining at Meadowbank complex</t>
  </si>
  <si>
    <t>Open-pit and underground mining at Porcupine complex</t>
  </si>
  <si>
    <t>Open-pit mining and beneficiation at Canadian Malartic</t>
  </si>
  <si>
    <t>Open-pit mining and beneficiation at Detour Lake</t>
  </si>
  <si>
    <t>Open-pit mining and beneficiation at Kiena</t>
  </si>
  <si>
    <t>Open-pit mining and beneficiation at Magino</t>
  </si>
  <si>
    <t>Open-pit mining at Elk</t>
  </si>
  <si>
    <t>Underground mining and beneficiation at Brucejack</t>
  </si>
  <si>
    <t>Underground mining and beneficiation at Eagle River</t>
  </si>
  <si>
    <t>Underground mining and beneficiation at Éléonore</t>
  </si>
  <si>
    <t>Underground mining and beneficiation at Island</t>
  </si>
  <si>
    <t>Underground mining and beneficiation at Lamaque</t>
  </si>
  <si>
    <t>Underground mining and beneficiation at Macassa</t>
  </si>
  <si>
    <t>Underground mining and beneficiation at Musselwhite</t>
  </si>
  <si>
    <t>Underground mining and beneficiation at Red Lake</t>
  </si>
  <si>
    <t>Underground mining and beneficiation at Seabee Gold Operation</t>
  </si>
  <si>
    <t>Underground mining and beneficiation at Timmins Operation</t>
  </si>
  <si>
    <t>Underground mining and beneficiation at Westwood-Doyon</t>
  </si>
  <si>
    <t>Open-pit and underground mining and beneficiation at Nunavik Nickel</t>
  </si>
  <si>
    <t>Ni concentrate</t>
  </si>
  <si>
    <t>Thompson</t>
  </si>
  <si>
    <t>Open-pit and underground mining and beneficiation at Thompson (T-1 and T-3)</t>
  </si>
  <si>
    <t>Open-pit and underground mining and beneficiation at Voisey’s Bay</t>
  </si>
  <si>
    <t>Underground mining and beneficiation at Raglan</t>
  </si>
  <si>
    <t>Mo concentrate</t>
  </si>
  <si>
    <t>Kidd Creek (Zn)</t>
  </si>
  <si>
    <t>Zn concentrate</t>
  </si>
  <si>
    <t>Underground mining and beneficiation at Key Lake + McArthur River</t>
  </si>
  <si>
    <t>U concentrate</t>
  </si>
  <si>
    <t>Underground mining and beneficiation at Cigar Lake + McClean Lake</t>
  </si>
  <si>
    <t>site</t>
  </si>
  <si>
    <t>lci_name</t>
  </si>
  <si>
    <t>LaRonde (Doré)</t>
  </si>
  <si>
    <t>Gibraltar (Cu)</t>
  </si>
  <si>
    <t>Gibraltar (Mo)</t>
  </si>
  <si>
    <t>Highland Valley (Cu)</t>
  </si>
  <si>
    <t>Highland Valley (Mo)</t>
  </si>
  <si>
    <t>Kidd Creek (Cu)</t>
  </si>
  <si>
    <t>LaRonde (Cu)</t>
  </si>
  <si>
    <t>LaRonde (Zn)</t>
  </si>
  <si>
    <t>Snow Lake (Cu)</t>
  </si>
  <si>
    <t>Snow Lake (Doré)</t>
  </si>
  <si>
    <t>Snow Lake (Zn)</t>
  </si>
  <si>
    <t>Goldex (Cu)</t>
  </si>
  <si>
    <t>Goldex (Doré)</t>
  </si>
  <si>
    <t>info</t>
  </si>
  <si>
    <t>CO2 fossil</t>
  </si>
  <si>
    <t>CO2 biomass</t>
  </si>
  <si>
    <t>CO2 fossil and biomass</t>
  </si>
  <si>
    <t>Lots of missing flows</t>
  </si>
  <si>
    <t>details</t>
  </si>
  <si>
    <t>No GHG</t>
  </si>
  <si>
    <t>Should have GHG (extracted so only scope 1)+Land</t>
  </si>
  <si>
    <t>Should have GHG (extracted so only scope 1)</t>
  </si>
  <si>
    <t>Outliers</t>
  </si>
  <si>
    <t>Title of the article</t>
  </si>
  <si>
    <t>Authors</t>
  </si>
  <si>
    <t>Affiliations</t>
  </si>
  <si>
    <t>marin.pellan@polymlt.ca; pellan.marin@gmail.com</t>
  </si>
  <si>
    <r>
      <t>Supplementary Information for ''</t>
    </r>
    <r>
      <rPr>
        <i/>
        <sz val="11"/>
        <color theme="1"/>
        <rFont val="Aptos Narrow"/>
        <family val="2"/>
        <scheme val="minor"/>
      </rPr>
      <t>Towards site-specific life cycle inventories for metals: methodological framework and application to 35 sites in Canada</t>
    </r>
    <r>
      <rPr>
        <sz val="11"/>
        <color theme="1"/>
        <rFont val="Aptos Narrow"/>
        <family val="2"/>
        <scheme val="minor"/>
      </rPr>
      <t>"</t>
    </r>
  </si>
  <si>
    <r>
      <t>Marin Pellan¹, Titouan Greffe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, Guillaume Majeau-Bettez¹, Anne de Bortoli</t>
    </r>
    <r>
      <rPr>
        <vertAlign val="superscript"/>
        <sz val="11"/>
        <color theme="1"/>
        <rFont val="Aptos Narrow"/>
        <family val="2"/>
        <scheme val="minor"/>
      </rPr>
      <t>1,3,4</t>
    </r>
  </si>
  <si>
    <r>
      <t xml:space="preserve">¹CIRAIG, Ecole Polytechnique de Montréal, P.O. Box 6079, Montréal, H3C 3A7, Québec, Canada
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CIRAIG, Institute of Environmental Sciences, UQAM, Montreal, Quebec H2X 3Y7, Canada
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CIRAIG, Université du Québec à Montréal, C.P. 8888, succ. Centre-ville. Montréal (Québec) H3C 3P8, Québec, Canada
</t>
    </r>
    <r>
      <rPr>
        <vertAlign val="super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LVMT, Ecole des Ponts ParisTech, Cité Descartes, 6-8 Avenue Blaise Pascal, Champs-sur-Marne, 77420, France</t>
    </r>
  </si>
  <si>
    <t>Corresponding author</t>
  </si>
  <si>
    <t>Journal</t>
  </si>
  <si>
    <t>Environmental Science &amp; Technology</t>
  </si>
  <si>
    <t>Date</t>
  </si>
  <si>
    <t>Purpose and scope</t>
  </si>
  <si>
    <t>This spreadsheet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</si>
</sst>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2" borderId="4" xfId="0" applyFill="1" applyBorder="1"/>
    <xf numFmtId="0" fontId="1" fillId="2" borderId="0" xfId="0" applyFont="1" applyFill="1"/>
    <xf numFmtId="0" fontId="0" fillId="2" borderId="0" xfId="0" applyFill="1"/>
    <xf numFmtId="0" fontId="0" fillId="2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2" fontId="0" fillId="3" borderId="0" xfId="0" applyNumberFormat="1" applyFill="1"/>
    <xf numFmtId="2" fontId="0" fillId="2" borderId="0" xfId="0" applyNumberFormat="1" applyFill="1"/>
    <xf numFmtId="0" fontId="0" fillId="0" borderId="4" xfId="0" applyBorder="1"/>
    <xf numFmtId="0" fontId="0" fillId="0" borderId="5" xfId="0" applyBorder="1"/>
    <xf numFmtId="2" fontId="0" fillId="0" borderId="0" xfId="0" applyNumberFormat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2" fontId="0" fillId="4" borderId="0" xfId="0" applyNumberFormat="1" applyFill="1"/>
    <xf numFmtId="0" fontId="0" fillId="0" borderId="0" xfId="0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7" xfId="0" applyNumberFormat="1" applyBorder="1"/>
    <xf numFmtId="0" fontId="0" fillId="5" borderId="0" xfId="0" applyFill="1"/>
    <xf numFmtId="0" fontId="0" fillId="6" borderId="0" xfId="0" applyFill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1" fillId="0" borderId="0" xfId="0" applyFont="1" applyAlignment="1">
      <alignment horizontal="center" vertical="center"/>
    </xf>
    <xf numFmtId="164" fontId="0" fillId="0" borderId="0" xfId="1" applyNumberFormat="1" applyFont="1"/>
    <xf numFmtId="0" fontId="0" fillId="7" borderId="0" xfId="0" applyFill="1" applyAlignment="1">
      <alignment vertical="center"/>
    </xf>
    <xf numFmtId="0" fontId="0" fillId="7" borderId="0" xfId="0" applyFill="1"/>
    <xf numFmtId="164" fontId="0" fillId="0" borderId="0" xfId="1" applyNumberFormat="1" applyFont="1" applyAlignment="1">
      <alignment vertical="center"/>
    </xf>
    <xf numFmtId="164" fontId="0" fillId="7" borderId="0" xfId="1" applyNumberFormat="1" applyFont="1" applyFill="1"/>
    <xf numFmtId="0" fontId="0" fillId="8" borderId="0" xfId="0" applyFill="1" applyAlignment="1">
      <alignment vertical="center"/>
    </xf>
    <xf numFmtId="0" fontId="0" fillId="8" borderId="0" xfId="0" applyFill="1"/>
    <xf numFmtId="164" fontId="0" fillId="8" borderId="0" xfId="1" applyNumberFormat="1" applyFont="1" applyFill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17" fontId="0" fillId="0" borderId="0" xfId="0" applyNumberFormat="1" applyAlignment="1">
      <alignment horizontal="left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ymtlca-my.sharepoint.com/personal/marin_pellan_polymtl_ca/Documents/POST_DOC/CODE/regionalized_lci_mineral/data/MetalliCan/sites_for_lci.xlsx" TargetMode="External"/><Relationship Id="rId1" Type="http://schemas.openxmlformats.org/officeDocument/2006/relationships/externalLinkPath" Target="/personal/marin_pellan_polymtl_ca/Documents/POST_DOC/CODE/regionalized_lci_mineral/data/MetalliCan/sites_for_lc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_$_data"/>
      <sheetName val="README"/>
      <sheetName val="site_selection"/>
      <sheetName val="prod_data"/>
      <sheetName val="market_shares"/>
      <sheetName val="concentrate_grade"/>
      <sheetName val="prod_table_raw"/>
      <sheetName val="site_selection_1"/>
      <sheetName val="ms_benchmark"/>
      <sheetName val="Arch_refineries"/>
      <sheetName val="archetypes"/>
      <sheetName val="prices"/>
      <sheetName val="ta_data"/>
    </sheetNames>
    <sheetDataSet>
      <sheetData sheetId="0"/>
      <sheetData sheetId="1"/>
      <sheetData sheetId="2"/>
      <sheetData sheetId="3"/>
      <sheetData sheetId="4"/>
      <sheetData sheetId="5">
        <row r="4">
          <cell r="F4">
            <v>30</v>
          </cell>
        </row>
        <row r="5">
          <cell r="F5">
            <v>51</v>
          </cell>
        </row>
        <row r="6">
          <cell r="F6">
            <v>16</v>
          </cell>
        </row>
        <row r="8">
          <cell r="F8">
            <v>60</v>
          </cell>
        </row>
        <row r="9">
          <cell r="F9">
            <v>50</v>
          </cell>
        </row>
        <row r="10">
          <cell r="F10">
            <v>85</v>
          </cell>
        </row>
      </sheetData>
      <sheetData sheetId="6">
        <row r="11">
          <cell r="N11">
            <v>11187000</v>
          </cell>
        </row>
        <row r="13">
          <cell r="N13">
            <v>166000</v>
          </cell>
        </row>
        <row r="14">
          <cell r="N14">
            <v>0.90200150000000001</v>
          </cell>
        </row>
        <row r="15">
          <cell r="N15">
            <v>244600</v>
          </cell>
        </row>
        <row r="16">
          <cell r="N16">
            <v>752600</v>
          </cell>
        </row>
        <row r="17">
          <cell r="N17">
            <v>17332900</v>
          </cell>
        </row>
        <row r="18">
          <cell r="N18">
            <v>18.785114342499998</v>
          </cell>
        </row>
        <row r="19">
          <cell r="N19">
            <v>9.6731885000000002</v>
          </cell>
        </row>
        <row r="21">
          <cell r="N21">
            <v>16478000</v>
          </cell>
        </row>
        <row r="22">
          <cell r="N22">
            <v>2.6935630999999902</v>
          </cell>
        </row>
        <row r="23">
          <cell r="N23">
            <v>0.7527047</v>
          </cell>
        </row>
        <row r="24">
          <cell r="N24">
            <v>1361450</v>
          </cell>
        </row>
        <row r="28">
          <cell r="N28">
            <v>8751</v>
          </cell>
        </row>
        <row r="29">
          <cell r="N29">
            <v>10098</v>
          </cell>
        </row>
        <row r="30">
          <cell r="N30">
            <v>748000</v>
          </cell>
        </row>
        <row r="31">
          <cell r="N31">
            <v>57900</v>
          </cell>
        </row>
        <row r="32">
          <cell r="N32">
            <v>38200</v>
          </cell>
        </row>
        <row r="35">
          <cell r="N35">
            <v>0.27520376799999902</v>
          </cell>
        </row>
        <row r="36">
          <cell r="N36">
            <v>6862152</v>
          </cell>
        </row>
        <row r="38">
          <cell r="N38">
            <v>6.7893341869999997</v>
          </cell>
        </row>
        <row r="39">
          <cell r="N39">
            <v>19050</v>
          </cell>
        </row>
        <row r="42">
          <cell r="N42">
            <v>11344</v>
          </cell>
        </row>
        <row r="43">
          <cell r="N43">
            <v>9396</v>
          </cell>
        </row>
        <row r="44">
          <cell r="N44">
            <v>433000</v>
          </cell>
        </row>
        <row r="48">
          <cell r="N48">
            <v>25434853.502416398</v>
          </cell>
        </row>
        <row r="49">
          <cell r="N49">
            <v>21.070941660999999</v>
          </cell>
        </row>
        <row r="50">
          <cell r="N50">
            <v>2.4571765000000001</v>
          </cell>
        </row>
        <row r="54">
          <cell r="N54">
            <v>2.7205298345000002</v>
          </cell>
        </row>
        <row r="55">
          <cell r="N55">
            <v>222627</v>
          </cell>
        </row>
        <row r="59">
          <cell r="N59">
            <v>7.2160120000000001</v>
          </cell>
        </row>
        <row r="60">
          <cell r="N60">
            <v>0.36810992249999902</v>
          </cell>
        </row>
        <row r="62">
          <cell r="N62">
            <v>1661000</v>
          </cell>
        </row>
        <row r="64">
          <cell r="N64">
            <v>33245</v>
          </cell>
        </row>
        <row r="65">
          <cell r="N65">
            <v>0.121801306</v>
          </cell>
        </row>
        <row r="70">
          <cell r="N70">
            <v>457000</v>
          </cell>
        </row>
        <row r="71">
          <cell r="N71">
            <v>1.3809954</v>
          </cell>
        </row>
        <row r="72">
          <cell r="N72">
            <v>4.3544899999999997E-2</v>
          </cell>
        </row>
        <row r="73">
          <cell r="N73">
            <v>553033</v>
          </cell>
        </row>
        <row r="74">
          <cell r="N74">
            <v>7946</v>
          </cell>
        </row>
        <row r="75">
          <cell r="N75">
            <v>7453</v>
          </cell>
        </row>
        <row r="76">
          <cell r="N76">
            <v>616000</v>
          </cell>
        </row>
        <row r="80">
          <cell r="N80">
            <v>30000000</v>
          </cell>
        </row>
        <row r="81">
          <cell r="N81">
            <v>545.21758399999999</v>
          </cell>
        </row>
        <row r="82">
          <cell r="N82">
            <v>55610.379200000003</v>
          </cell>
        </row>
        <row r="85">
          <cell r="N85">
            <v>39.036757999999999</v>
          </cell>
        </row>
        <row r="86">
          <cell r="N86">
            <v>2886927.3287240001</v>
          </cell>
        </row>
        <row r="87">
          <cell r="N87">
            <v>4.3850512759503602</v>
          </cell>
        </row>
        <row r="91">
          <cell r="N91">
            <v>1266009</v>
          </cell>
        </row>
        <row r="92">
          <cell r="N92">
            <v>4.3869931575000001</v>
          </cell>
        </row>
        <row r="93">
          <cell r="N93">
            <v>17408000</v>
          </cell>
        </row>
        <row r="94">
          <cell r="N94">
            <v>900</v>
          </cell>
        </row>
        <row r="95">
          <cell r="N95">
            <v>102400</v>
          </cell>
        </row>
        <row r="100">
          <cell r="N100">
            <v>8.0869099999999996</v>
          </cell>
        </row>
        <row r="101">
          <cell r="N101">
            <v>2911000</v>
          </cell>
        </row>
        <row r="103">
          <cell r="N103">
            <v>4.0869999000000004</v>
          </cell>
        </row>
        <row r="105">
          <cell r="N105">
            <v>439008</v>
          </cell>
        </row>
        <row r="109">
          <cell r="N109">
            <v>46.735403719499999</v>
          </cell>
        </row>
        <row r="110">
          <cell r="N110">
            <v>127307</v>
          </cell>
        </row>
        <row r="111">
          <cell r="N111">
            <v>1225</v>
          </cell>
        </row>
        <row r="112">
          <cell r="N112">
            <v>1339</v>
          </cell>
        </row>
        <row r="113">
          <cell r="N113">
            <v>22600</v>
          </cell>
        </row>
        <row r="114">
          <cell r="N114">
            <v>38600</v>
          </cell>
        </row>
        <row r="115">
          <cell r="N115">
            <v>42.860622999999997</v>
          </cell>
        </row>
        <row r="116">
          <cell r="N116">
            <v>1340000</v>
          </cell>
        </row>
        <row r="119">
          <cell r="N119">
            <v>1.1053250795</v>
          </cell>
        </row>
        <row r="120">
          <cell r="N120">
            <v>191148</v>
          </cell>
        </row>
        <row r="121">
          <cell r="N121">
            <v>9.0448977999999999E-2</v>
          </cell>
        </row>
        <row r="124">
          <cell r="N124">
            <v>3798000</v>
          </cell>
        </row>
        <row r="125">
          <cell r="N125">
            <v>0.59407684999999999</v>
          </cell>
        </row>
        <row r="126">
          <cell r="N126">
            <v>0.77758749999999999</v>
          </cell>
        </row>
        <row r="127">
          <cell r="N127">
            <v>0.67805629999999995</v>
          </cell>
        </row>
        <row r="130">
          <cell r="N130">
            <v>1526729</v>
          </cell>
        </row>
        <row r="133">
          <cell r="N133">
            <v>5.5074656414999996</v>
          </cell>
        </row>
        <row r="134">
          <cell r="N134">
            <v>838419</v>
          </cell>
        </row>
        <row r="135">
          <cell r="N135">
            <v>2.2666986659999999</v>
          </cell>
        </row>
        <row r="136">
          <cell r="N136">
            <v>7702.4385169999996</v>
          </cell>
        </row>
        <row r="137">
          <cell r="N137">
            <v>2577.9603750000001</v>
          </cell>
        </row>
        <row r="138">
          <cell r="N138">
            <v>7.3401460684999904</v>
          </cell>
        </row>
        <row r="139">
          <cell r="N139">
            <v>1501500</v>
          </cell>
        </row>
        <row r="145">
          <cell r="N145">
            <v>27700</v>
          </cell>
        </row>
        <row r="146">
          <cell r="N146">
            <v>441588</v>
          </cell>
        </row>
        <row r="147">
          <cell r="N147">
            <v>7.1082383724999998</v>
          </cell>
        </row>
        <row r="148">
          <cell r="N148">
            <v>1.0264154999999999</v>
          </cell>
        </row>
        <row r="150">
          <cell r="N150">
            <v>1165551</v>
          </cell>
        </row>
        <row r="151">
          <cell r="N151">
            <v>5600000</v>
          </cell>
        </row>
        <row r="152">
          <cell r="N152">
            <v>6123.4920000000002</v>
          </cell>
        </row>
        <row r="153">
          <cell r="N153">
            <v>98408.871032543204</v>
          </cell>
        </row>
        <row r="154">
          <cell r="N154">
            <v>43726.856187782003</v>
          </cell>
        </row>
        <row r="155">
          <cell r="N155">
            <v>8164.6559999999999</v>
          </cell>
        </row>
        <row r="157">
          <cell r="N157">
            <v>317660</v>
          </cell>
        </row>
        <row r="160">
          <cell r="N160">
            <v>3842649.0057279998</v>
          </cell>
        </row>
        <row r="161">
          <cell r="N161">
            <v>13.426311830047601</v>
          </cell>
        </row>
        <row r="162">
          <cell r="N162">
            <v>3.8879375</v>
          </cell>
        </row>
        <row r="163">
          <cell r="N163">
            <v>1918143</v>
          </cell>
        </row>
        <row r="164">
          <cell r="N164">
            <v>11.326059593499901</v>
          </cell>
        </row>
        <row r="165">
          <cell r="N165">
            <v>0.8397945</v>
          </cell>
        </row>
        <row r="171">
          <cell r="N171">
            <v>28060.108304000001</v>
          </cell>
        </row>
        <row r="173">
          <cell r="N173">
            <v>4.8021004684999999</v>
          </cell>
        </row>
        <row r="175">
          <cell r="N175">
            <v>21680000</v>
          </cell>
        </row>
        <row r="178">
          <cell r="N178">
            <v>1.301183819</v>
          </cell>
        </row>
        <row r="179">
          <cell r="N179">
            <v>5948239</v>
          </cell>
        </row>
        <row r="180">
          <cell r="N180">
            <v>13673.530839999999</v>
          </cell>
        </row>
        <row r="183">
          <cell r="N183">
            <v>1028000</v>
          </cell>
        </row>
        <row r="184">
          <cell r="N184">
            <v>5.59863</v>
          </cell>
        </row>
        <row r="187">
          <cell r="N187">
            <v>2.0974023155000001</v>
          </cell>
        </row>
        <row r="189">
          <cell r="N189">
            <v>3065000</v>
          </cell>
        </row>
        <row r="190">
          <cell r="N190">
            <v>21500.2608</v>
          </cell>
        </row>
        <row r="193">
          <cell r="N193">
            <v>596912</v>
          </cell>
        </row>
        <row r="194">
          <cell r="N194">
            <v>320160</v>
          </cell>
        </row>
        <row r="195">
          <cell r="N195">
            <v>2200000</v>
          </cell>
        </row>
        <row r="196">
          <cell r="N196">
            <v>6568.95</v>
          </cell>
        </row>
        <row r="197">
          <cell r="N197">
            <v>11700</v>
          </cell>
        </row>
        <row r="200">
          <cell r="N200">
            <v>40926</v>
          </cell>
        </row>
        <row r="201">
          <cell r="N201">
            <v>58100</v>
          </cell>
        </row>
        <row r="202">
          <cell r="N202">
            <v>6835294.1176470499</v>
          </cell>
        </row>
        <row r="203">
          <cell r="N203">
            <v>5488</v>
          </cell>
        </row>
        <row r="204">
          <cell r="N204">
            <v>24232</v>
          </cell>
        </row>
        <row r="205">
          <cell r="N205">
            <v>498</v>
          </cell>
        </row>
        <row r="206">
          <cell r="N206">
            <v>4.4160749299999997</v>
          </cell>
        </row>
        <row r="207">
          <cell r="N207">
            <v>1500000</v>
          </cell>
        </row>
        <row r="211">
          <cell r="N211">
            <v>8764000</v>
          </cell>
        </row>
        <row r="212">
          <cell r="N212">
            <v>7.8923576074999904</v>
          </cell>
        </row>
        <row r="214">
          <cell r="N214">
            <v>0.1555175</v>
          </cell>
        </row>
        <row r="215">
          <cell r="N215">
            <v>1139000</v>
          </cell>
        </row>
        <row r="217">
          <cell r="N217">
            <v>4000</v>
          </cell>
        </row>
        <row r="222">
          <cell r="N222">
            <v>841000</v>
          </cell>
        </row>
        <row r="223">
          <cell r="N223">
            <v>3.5053644500000001</v>
          </cell>
        </row>
        <row r="226">
          <cell r="N226">
            <v>3560000</v>
          </cell>
        </row>
        <row r="229">
          <cell r="N229">
            <v>122000</v>
          </cell>
        </row>
        <row r="231">
          <cell r="N231">
            <v>1.2054783495000001</v>
          </cell>
        </row>
        <row r="232">
          <cell r="N232">
            <v>5.8276450705</v>
          </cell>
        </row>
        <row r="233">
          <cell r="N233">
            <v>26.4915663305</v>
          </cell>
        </row>
        <row r="234">
          <cell r="N234">
            <v>34642</v>
          </cell>
        </row>
        <row r="235">
          <cell r="N235">
            <v>12154</v>
          </cell>
        </row>
        <row r="237">
          <cell r="N237">
            <v>7154</v>
          </cell>
        </row>
        <row r="238">
          <cell r="N238">
            <v>7530</v>
          </cell>
        </row>
        <row r="239">
          <cell r="N239">
            <v>1025997</v>
          </cell>
        </row>
        <row r="240">
          <cell r="N240">
            <v>62251</v>
          </cell>
        </row>
        <row r="241">
          <cell r="N241">
            <v>13720</v>
          </cell>
        </row>
        <row r="244">
          <cell r="N244">
            <v>234671</v>
          </cell>
        </row>
        <row r="245">
          <cell r="N245">
            <v>1.2024302065000001</v>
          </cell>
        </row>
        <row r="246">
          <cell r="N246">
            <v>3368</v>
          </cell>
        </row>
        <row r="247">
          <cell r="N247">
            <v>32268</v>
          </cell>
        </row>
        <row r="248">
          <cell r="N248">
            <v>4700</v>
          </cell>
        </row>
        <row r="249">
          <cell r="N249">
            <v>7900</v>
          </cell>
        </row>
        <row r="250">
          <cell r="N250">
            <v>464705.88235294097</v>
          </cell>
        </row>
        <row r="254">
          <cell r="N254">
            <v>1574000</v>
          </cell>
        </row>
        <row r="255">
          <cell r="N255">
            <v>4.1336551500000001</v>
          </cell>
        </row>
        <row r="257">
          <cell r="N257">
            <v>6334</v>
          </cell>
        </row>
        <row r="258">
          <cell r="N258">
            <v>7783</v>
          </cell>
        </row>
        <row r="259">
          <cell r="N259">
            <v>414000</v>
          </cell>
        </row>
        <row r="262">
          <cell r="N262">
            <v>256000</v>
          </cell>
        </row>
        <row r="266">
          <cell r="N266">
            <v>9600</v>
          </cell>
        </row>
        <row r="267">
          <cell r="N267">
            <v>13500</v>
          </cell>
        </row>
        <row r="268">
          <cell r="N268">
            <v>794117.64705882303</v>
          </cell>
        </row>
        <row r="271">
          <cell r="N271">
            <v>1034000</v>
          </cell>
        </row>
        <row r="273">
          <cell r="N273">
            <v>2.8926254999999998</v>
          </cell>
        </row>
        <row r="274">
          <cell r="N274">
            <v>1.1431780389999999</v>
          </cell>
        </row>
        <row r="275">
          <cell r="N275">
            <v>5.7572578499999896</v>
          </cell>
        </row>
        <row r="277">
          <cell r="N277">
            <v>2878047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in Pellan" id="{6181ACFA-18AD-48AE-8FBC-D51C625C72F5}" userId="S::marin.pellan@polymtl.ca::3f7c0edb-e8ec-4a37-8825-7980f4e34b60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5" dT="2025-11-27T19:41:05.63" personId="{6181ACFA-18AD-48AE-8FBC-D51C625C72F5}" id="{082B9CDD-79D9-4CAC-B68F-758ABFE7D0C0}">
    <text>Cu-PGM sent to Glencore, Ni-Cu sent to Vale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529A-450A-4FA4-9C91-381D7C8AD79B}">
  <sheetPr>
    <tabColor rgb="FFC00000"/>
  </sheetPr>
  <dimension ref="A1:B7"/>
  <sheetViews>
    <sheetView tabSelected="1" workbookViewId="0">
      <selection sqref="A1:XFD1048576"/>
    </sheetView>
  </sheetViews>
  <sheetFormatPr baseColWidth="10" defaultRowHeight="15" x14ac:dyDescent="0.25"/>
  <cols>
    <col min="1" max="1" width="20.85546875" bestFit="1" customWidth="1"/>
    <col min="2" max="2" width="138.28515625" bestFit="1" customWidth="1"/>
  </cols>
  <sheetData>
    <row r="1" spans="1:2" ht="14.25" customHeight="1" x14ac:dyDescent="0.25">
      <c r="A1" s="40" t="s">
        <v>403</v>
      </c>
      <c r="B1" t="s">
        <v>407</v>
      </c>
    </row>
    <row r="2" spans="1:2" ht="16.5" x14ac:dyDescent="0.25">
      <c r="A2" s="40" t="s">
        <v>404</v>
      </c>
      <c r="B2" t="s">
        <v>408</v>
      </c>
    </row>
    <row r="3" spans="1:2" ht="64.5" x14ac:dyDescent="0.25">
      <c r="A3" s="40" t="s">
        <v>405</v>
      </c>
      <c r="B3" s="41" t="s">
        <v>409</v>
      </c>
    </row>
    <row r="4" spans="1:2" ht="14.25" customHeight="1" x14ac:dyDescent="0.25">
      <c r="A4" s="40" t="s">
        <v>410</v>
      </c>
      <c r="B4" t="s">
        <v>406</v>
      </c>
    </row>
    <row r="5" spans="1:2" x14ac:dyDescent="0.25">
      <c r="A5" s="40" t="s">
        <v>411</v>
      </c>
      <c r="B5" s="42" t="s">
        <v>412</v>
      </c>
    </row>
    <row r="6" spans="1:2" x14ac:dyDescent="0.25">
      <c r="A6" s="40" t="s">
        <v>413</v>
      </c>
      <c r="B6" s="43">
        <v>46023</v>
      </c>
    </row>
    <row r="7" spans="1:2" x14ac:dyDescent="0.25">
      <c r="A7" s="40" t="s">
        <v>414</v>
      </c>
      <c r="B7" t="s">
        <v>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D443-D3C4-4EF0-BDC9-8F5B03D7CAA5}">
  <dimension ref="A1:DR68"/>
  <sheetViews>
    <sheetView topLeftCell="A40" workbookViewId="0">
      <selection activeCell="A8" sqref="A8"/>
    </sheetView>
  </sheetViews>
  <sheetFormatPr baseColWidth="10" defaultRowHeight="15" x14ac:dyDescent="0.25"/>
  <cols>
    <col min="1" max="1" width="18.140625" customWidth="1"/>
    <col min="2" max="2" width="18" bestFit="1" customWidth="1"/>
    <col min="3" max="3" width="39" bestFit="1" customWidth="1"/>
    <col min="4" max="4" width="27" bestFit="1" customWidth="1"/>
    <col min="5" max="5" width="26.7109375" bestFit="1" customWidth="1"/>
    <col min="6" max="6" width="14.28515625" bestFit="1" customWidth="1"/>
    <col min="7" max="7" width="32.85546875" customWidth="1"/>
    <col min="8" max="8" width="35.5703125" bestFit="1" customWidth="1"/>
    <col min="9" max="9" width="50.5703125" bestFit="1" customWidth="1"/>
    <col min="10" max="10" width="32.5703125" customWidth="1"/>
    <col min="11" max="11" width="15.7109375" bestFit="1" customWidth="1"/>
    <col min="12" max="12" width="27.7109375" bestFit="1" customWidth="1"/>
    <col min="13" max="13" width="18" style="26" bestFit="1" customWidth="1"/>
    <col min="14" max="14" width="14.5703125" style="26" bestFit="1" customWidth="1"/>
    <col min="15" max="15" width="14.42578125" style="26" bestFit="1" customWidth="1"/>
    <col min="16" max="16" width="16.85546875" style="26" bestFit="1" customWidth="1"/>
    <col min="17" max="19" width="11.85546875" style="18" customWidth="1"/>
    <col min="20" max="20" width="8.42578125" style="18" bestFit="1" customWidth="1"/>
    <col min="21" max="21" width="8.42578125" style="18" customWidth="1"/>
    <col min="22" max="22" width="10.85546875" style="18" bestFit="1" customWidth="1"/>
    <col min="23" max="23" width="12.42578125" style="18" bestFit="1" customWidth="1"/>
    <col min="24" max="24" width="11.42578125" style="18" bestFit="1"/>
    <col min="25" max="25" width="14.42578125" style="18" bestFit="1" customWidth="1"/>
    <col min="26" max="26" width="9.85546875" style="18" bestFit="1" customWidth="1"/>
    <col min="27" max="29" width="9.85546875" style="18" customWidth="1"/>
    <col min="30" max="30" width="11.85546875" style="27" customWidth="1"/>
    <col min="31" max="31" width="11.5703125" style="27" customWidth="1"/>
    <col min="32" max="32" width="12.5703125" style="27" bestFit="1" customWidth="1"/>
    <col min="33" max="33" width="11.85546875" style="27" bestFit="1" customWidth="1"/>
    <col min="34" max="34" width="11.85546875" style="27" customWidth="1"/>
    <col min="35" max="35" width="11.42578125" style="27" bestFit="1"/>
    <col min="36" max="36" width="11.85546875" style="27" customWidth="1"/>
    <col min="37" max="37" width="11" style="27" customWidth="1"/>
  </cols>
  <sheetData>
    <row r="1" spans="1:38" x14ac:dyDescent="0.25">
      <c r="A1" s="2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4" t="s">
        <v>12</v>
      </c>
      <c r="G1" s="2" t="s">
        <v>13</v>
      </c>
      <c r="H1" s="3" t="s">
        <v>14</v>
      </c>
      <c r="I1" s="4" t="s">
        <v>15</v>
      </c>
      <c r="J1" s="1" t="s">
        <v>16</v>
      </c>
      <c r="K1" s="1" t="s">
        <v>17</v>
      </c>
      <c r="L1" s="1" t="s">
        <v>18</v>
      </c>
      <c r="M1" s="2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  <c r="AK1" s="3" t="s">
        <v>43</v>
      </c>
      <c r="AL1" s="1" t="s">
        <v>44</v>
      </c>
    </row>
    <row r="2" spans="1:38" s="7" customFormat="1" x14ac:dyDescent="0.25">
      <c r="A2" s="5" t="s">
        <v>45</v>
      </c>
      <c r="B2" s="6"/>
      <c r="C2" s="7" t="s">
        <v>46</v>
      </c>
      <c r="D2" s="6"/>
      <c r="E2" s="7" t="s">
        <v>47</v>
      </c>
      <c r="F2" s="8" t="s">
        <v>48</v>
      </c>
      <c r="G2" s="5" t="s">
        <v>49</v>
      </c>
      <c r="H2" s="7" t="s">
        <v>50</v>
      </c>
      <c r="I2" s="8" t="s">
        <v>52</v>
      </c>
      <c r="J2" s="7" t="s">
        <v>53</v>
      </c>
      <c r="K2" s="6" t="s">
        <v>54</v>
      </c>
      <c r="L2" s="7" t="s">
        <v>55</v>
      </c>
      <c r="M2" s="5">
        <f>[1]prod_table_raw!N11</f>
        <v>11187000</v>
      </c>
      <c r="P2" s="7">
        <f t="shared" ref="P2:P65" si="0">M2-N2-O2</f>
        <v>11187000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>
        <f>S2/([1]concentrate_grade!$F$4/100)</f>
        <v>0</v>
      </c>
      <c r="AE2" s="7">
        <f>T2/([1]concentrate_grade!$F$6/100)</f>
        <v>0</v>
      </c>
      <c r="AF2" s="7">
        <f>V2/([1]concentrate_grade!$F$5/100)</f>
        <v>0</v>
      </c>
      <c r="AG2" s="7">
        <f>W2/([1]concentrate_grade!$F$9/100)</f>
        <v>0</v>
      </c>
      <c r="AH2" s="7">
        <f>X2/([1]concentrate_grade!$F$8/100)</f>
        <v>0</v>
      </c>
      <c r="AL2" s="7">
        <f t="shared" ref="AL2:AL33" si="1">N2</f>
        <v>0</v>
      </c>
    </row>
    <row r="3" spans="1:38" s="10" customFormat="1" x14ac:dyDescent="0.25">
      <c r="A3" s="9" t="s">
        <v>56</v>
      </c>
      <c r="C3" s="10" t="s">
        <v>57</v>
      </c>
      <c r="E3" s="10" t="s">
        <v>58</v>
      </c>
      <c r="F3" s="11" t="s">
        <v>48</v>
      </c>
      <c r="G3" s="9" t="s">
        <v>59</v>
      </c>
      <c r="H3" s="10" t="s">
        <v>60</v>
      </c>
      <c r="I3" s="11" t="s">
        <v>62</v>
      </c>
      <c r="J3" s="10" t="s">
        <v>51</v>
      </c>
      <c r="K3" s="10" t="s">
        <v>63</v>
      </c>
      <c r="L3" s="10" t="s">
        <v>64</v>
      </c>
      <c r="M3" s="9">
        <f>[1]prod_table_raw!N13</f>
        <v>166000</v>
      </c>
      <c r="N3" s="10">
        <f>(Q3+R3)/0.98</f>
        <v>0.92040969387755101</v>
      </c>
      <c r="P3" s="10">
        <f t="shared" si="0"/>
        <v>165999.07959030612</v>
      </c>
      <c r="Q3" s="12">
        <f>[1]prod_table_raw!N14</f>
        <v>0.90200150000000001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0">
        <f>S3/([1]concentrate_grade!$F$4/100)</f>
        <v>0</v>
      </c>
      <c r="AE3" s="10">
        <f>T3/([1]concentrate_grade!$F$6/100)</f>
        <v>0</v>
      </c>
      <c r="AF3" s="10">
        <f>V3/([1]concentrate_grade!$F$5/100)</f>
        <v>0</v>
      </c>
      <c r="AG3" s="10">
        <f>W3/([1]concentrate_grade!$F$9/100)</f>
        <v>0</v>
      </c>
      <c r="AH3" s="10">
        <f>X3/([1]concentrate_grade!$F$8/100)</f>
        <v>0</v>
      </c>
      <c r="AI3" s="12"/>
      <c r="AJ3" s="12"/>
      <c r="AK3" s="12"/>
      <c r="AL3" s="10">
        <f t="shared" si="1"/>
        <v>0.92040969387755101</v>
      </c>
    </row>
    <row r="4" spans="1:38" s="7" customFormat="1" x14ac:dyDescent="0.25">
      <c r="A4" s="5" t="s">
        <v>65</v>
      </c>
      <c r="C4" s="7" t="s">
        <v>66</v>
      </c>
      <c r="E4" s="7" t="s">
        <v>47</v>
      </c>
      <c r="F4" s="8" t="s">
        <v>67</v>
      </c>
      <c r="G4" s="5" t="s">
        <v>68</v>
      </c>
      <c r="H4" s="7" t="s">
        <v>69</v>
      </c>
      <c r="I4" s="8" t="s">
        <v>70</v>
      </c>
      <c r="J4" s="7" t="s">
        <v>61</v>
      </c>
      <c r="K4" s="7" t="s">
        <v>71</v>
      </c>
      <c r="M4" s="5"/>
      <c r="P4" s="7">
        <f t="shared" si="0"/>
        <v>0</v>
      </c>
      <c r="Q4" s="13"/>
      <c r="R4" s="13"/>
      <c r="S4" s="13"/>
      <c r="T4" s="13"/>
      <c r="U4" s="13"/>
      <c r="V4" s="13"/>
      <c r="W4" s="13">
        <f>[1]prod_table_raw!N16</f>
        <v>752600</v>
      </c>
      <c r="X4" s="13">
        <f>[1]prod_table_raw!N15</f>
        <v>244600</v>
      </c>
      <c r="Y4" s="13"/>
      <c r="Z4" s="13"/>
      <c r="AA4" s="13"/>
      <c r="AB4" s="13"/>
      <c r="AC4" s="13"/>
      <c r="AD4" s="6">
        <f>S4/([1]concentrate_grade!$F$4/100)</f>
        <v>0</v>
      </c>
      <c r="AE4" s="6">
        <f>T4/([1]concentrate_grade!$F$6/100)</f>
        <v>0</v>
      </c>
      <c r="AF4" s="7">
        <f>V4/([1]concentrate_grade!$F$5/100)</f>
        <v>0</v>
      </c>
      <c r="AG4" s="13"/>
      <c r="AH4" s="7">
        <f>X4/([1]concentrate_grade!$F$8/100)</f>
        <v>407666.66666666669</v>
      </c>
      <c r="AI4" s="13"/>
      <c r="AJ4" s="13"/>
      <c r="AK4" s="13"/>
      <c r="AL4" s="7">
        <f t="shared" si="1"/>
        <v>0</v>
      </c>
    </row>
    <row r="5" spans="1:38" x14ac:dyDescent="0.25">
      <c r="A5" s="14" t="s">
        <v>72</v>
      </c>
      <c r="C5" t="s">
        <v>73</v>
      </c>
      <c r="E5" t="s">
        <v>47</v>
      </c>
      <c r="F5" s="15" t="s">
        <v>48</v>
      </c>
      <c r="G5" s="14" t="s">
        <v>74</v>
      </c>
      <c r="H5" t="s">
        <v>60</v>
      </c>
      <c r="I5" s="15" t="s">
        <v>62</v>
      </c>
      <c r="J5" t="s">
        <v>51</v>
      </c>
      <c r="K5" t="s">
        <v>75</v>
      </c>
      <c r="L5" t="s">
        <v>64</v>
      </c>
      <c r="M5" s="14">
        <f>[1]prod_table_raw!N17</f>
        <v>17332900</v>
      </c>
      <c r="N5">
        <f>(Q5+R5)/0.98</f>
        <v>29.039084533163262</v>
      </c>
      <c r="O5"/>
      <c r="P5">
        <f t="shared" si="0"/>
        <v>17332870.960915469</v>
      </c>
      <c r="Q5" s="16">
        <f>[1]prod_table_raw!N18</f>
        <v>18.785114342499998</v>
      </c>
      <c r="R5" s="16">
        <f>[1]prod_table_raw!N19</f>
        <v>9.6731885000000002</v>
      </c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>
        <f>S5/([1]concentrate_grade!$F$4/100)</f>
        <v>0</v>
      </c>
      <c r="AE5">
        <f>T5/([1]concentrate_grade!$F$6/100)</f>
        <v>0</v>
      </c>
      <c r="AF5">
        <f>V5/([1]concentrate_grade!$F$5/100)</f>
        <v>0</v>
      </c>
      <c r="AG5">
        <f>W5/([1]concentrate_grade!$F$9/100)</f>
        <v>0</v>
      </c>
      <c r="AH5">
        <f>X5/([1]concentrate_grade!$F$8/100)</f>
        <v>0</v>
      </c>
      <c r="AI5" s="16"/>
      <c r="AJ5" s="16"/>
      <c r="AK5" s="16"/>
      <c r="AL5">
        <f t="shared" si="1"/>
        <v>29.039084533163262</v>
      </c>
    </row>
    <row r="6" spans="1:38" s="7" customFormat="1" x14ac:dyDescent="0.25">
      <c r="A6" s="5" t="s">
        <v>76</v>
      </c>
      <c r="C6" s="7" t="s">
        <v>77</v>
      </c>
      <c r="E6" s="7" t="s">
        <v>78</v>
      </c>
      <c r="F6" s="8" t="s">
        <v>48</v>
      </c>
      <c r="G6" s="5" t="s">
        <v>74</v>
      </c>
      <c r="H6" s="7" t="s">
        <v>79</v>
      </c>
      <c r="I6" s="8" t="s">
        <v>52</v>
      </c>
      <c r="J6" s="7" t="s">
        <v>53</v>
      </c>
      <c r="K6" s="7" t="s">
        <v>54</v>
      </c>
      <c r="L6" s="7" t="s">
        <v>80</v>
      </c>
      <c r="M6" s="5">
        <f>[1]prod_table_raw!N21</f>
        <v>16478000</v>
      </c>
      <c r="P6" s="7">
        <f t="shared" si="0"/>
        <v>16478000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7">
        <f>S6/([1]concentrate_grade!$F$4/100)</f>
        <v>0</v>
      </c>
      <c r="AE6" s="7">
        <f>T6/([1]concentrate_grade!$F$6/100)</f>
        <v>0</v>
      </c>
      <c r="AF6" s="7">
        <f>V6/([1]concentrate_grade!$F$5/100)</f>
        <v>0</v>
      </c>
      <c r="AG6" s="7">
        <f>W6/([1]concentrate_grade!$F$9/100)</f>
        <v>0</v>
      </c>
      <c r="AH6" s="7">
        <f>X6/([1]concentrate_grade!$F$8/100)</f>
        <v>0</v>
      </c>
      <c r="AI6" s="13"/>
      <c r="AJ6" s="13"/>
      <c r="AK6" s="13"/>
      <c r="AL6" s="7">
        <f t="shared" si="1"/>
        <v>0</v>
      </c>
    </row>
    <row r="7" spans="1:38" x14ac:dyDescent="0.25">
      <c r="A7" s="14" t="s">
        <v>81</v>
      </c>
      <c r="C7" t="s">
        <v>82</v>
      </c>
      <c r="E7" t="s">
        <v>47</v>
      </c>
      <c r="F7" s="15" t="s">
        <v>48</v>
      </c>
      <c r="G7" s="14" t="s">
        <v>83</v>
      </c>
      <c r="H7" t="s">
        <v>60</v>
      </c>
      <c r="I7" s="15" t="s">
        <v>62</v>
      </c>
      <c r="J7" t="s">
        <v>51</v>
      </c>
      <c r="K7" t="s">
        <v>63</v>
      </c>
      <c r="L7" t="s">
        <v>64</v>
      </c>
      <c r="M7" s="14">
        <f>[1]prod_table_raw!N24</f>
        <v>1361450</v>
      </c>
      <c r="N7">
        <f>(Q7+R7)/0.98</f>
        <v>3.5165997959183577</v>
      </c>
      <c r="O7"/>
      <c r="P7">
        <f t="shared" si="0"/>
        <v>1361446.483400204</v>
      </c>
      <c r="Q7" s="16">
        <f>[1]prod_table_raw!N22</f>
        <v>2.6935630999999902</v>
      </c>
      <c r="R7" s="16">
        <f>[1]prod_table_raw!N23</f>
        <v>0.7527047</v>
      </c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>
        <f>S7/([1]concentrate_grade!$F$4/100)</f>
        <v>0</v>
      </c>
      <c r="AE7">
        <f>T7/([1]concentrate_grade!$F$6/100)</f>
        <v>0</v>
      </c>
      <c r="AF7">
        <f>V7/([1]concentrate_grade!$F$5/100)</f>
        <v>0</v>
      </c>
      <c r="AG7">
        <f>W7/([1]concentrate_grade!$F$9/100)</f>
        <v>0</v>
      </c>
      <c r="AH7">
        <f>X7/([1]concentrate_grade!$F$8/100)</f>
        <v>0</v>
      </c>
      <c r="AI7" s="16"/>
      <c r="AJ7" s="16"/>
      <c r="AK7" s="16"/>
      <c r="AL7">
        <f t="shared" si="1"/>
        <v>3.5165997959183577</v>
      </c>
    </row>
    <row r="8" spans="1:38" x14ac:dyDescent="0.25">
      <c r="A8" s="14" t="s">
        <v>84</v>
      </c>
      <c r="B8" t="s">
        <v>85</v>
      </c>
      <c r="C8" t="s">
        <v>86</v>
      </c>
      <c r="D8" t="s">
        <v>87</v>
      </c>
      <c r="E8" t="s">
        <v>88</v>
      </c>
      <c r="F8" s="15" t="s">
        <v>48</v>
      </c>
      <c r="G8" s="14" t="s">
        <v>89</v>
      </c>
      <c r="H8" t="s">
        <v>90</v>
      </c>
      <c r="I8" s="15" t="s">
        <v>91</v>
      </c>
      <c r="J8" t="s">
        <v>92</v>
      </c>
      <c r="K8" t="s">
        <v>93</v>
      </c>
      <c r="L8" t="s">
        <v>94</v>
      </c>
      <c r="M8" s="14">
        <f>[1]prod_table_raw!N30</f>
        <v>748000</v>
      </c>
      <c r="N8"/>
      <c r="O8">
        <f>T8/([1]concentrate_grade!$F$6/100)</f>
        <v>54693.75</v>
      </c>
      <c r="P8">
        <f t="shared" si="0"/>
        <v>693306.25</v>
      </c>
      <c r="Q8" s="16"/>
      <c r="R8" s="16"/>
      <c r="S8" s="16">
        <f>[1]prod_table_raw!N29</f>
        <v>10098</v>
      </c>
      <c r="T8" s="16">
        <f>[1]prod_table_raw!N28</f>
        <v>8751</v>
      </c>
      <c r="U8" s="16"/>
      <c r="V8" s="16"/>
      <c r="W8" s="16"/>
      <c r="X8" s="16"/>
      <c r="Y8" s="16"/>
      <c r="Z8" s="16"/>
      <c r="AA8" s="16"/>
      <c r="AB8" s="16"/>
      <c r="AC8" s="16"/>
      <c r="AD8"/>
      <c r="AE8">
        <f>T8/([1]concentrate_grade!$F$6/100)</f>
        <v>54693.75</v>
      </c>
      <c r="AF8">
        <f>V8/([1]concentrate_grade!$F$5/100)</f>
        <v>0</v>
      </c>
      <c r="AG8">
        <f>W8/([1]concentrate_grade!$F$9/100)</f>
        <v>0</v>
      </c>
      <c r="AH8">
        <f>X8/([1]concentrate_grade!$F$8/100)</f>
        <v>0</v>
      </c>
      <c r="AI8" s="16"/>
      <c r="AJ8" s="16"/>
      <c r="AK8" s="16"/>
      <c r="AL8">
        <f t="shared" si="1"/>
        <v>0</v>
      </c>
    </row>
    <row r="9" spans="1:38" s="7" customFormat="1" x14ac:dyDescent="0.25">
      <c r="A9" s="5" t="s">
        <v>95</v>
      </c>
      <c r="B9" s="7" t="s">
        <v>85</v>
      </c>
      <c r="C9" s="7" t="s">
        <v>96</v>
      </c>
      <c r="D9" s="7" t="s">
        <v>87</v>
      </c>
      <c r="E9" s="7" t="s">
        <v>88</v>
      </c>
      <c r="F9" s="8" t="s">
        <v>67</v>
      </c>
      <c r="G9" s="5" t="s">
        <v>97</v>
      </c>
      <c r="H9" s="7" t="s">
        <v>98</v>
      </c>
      <c r="I9" s="8" t="s">
        <v>99</v>
      </c>
      <c r="J9" s="7" t="s">
        <v>92</v>
      </c>
      <c r="K9" s="7" t="s">
        <v>93</v>
      </c>
      <c r="L9" s="7" t="s">
        <v>100</v>
      </c>
      <c r="M9" s="5"/>
      <c r="P9" s="7">
        <f t="shared" si="0"/>
        <v>0</v>
      </c>
      <c r="Q9" s="13"/>
      <c r="R9" s="13"/>
      <c r="S9" s="13">
        <f>[1]prod_table_raw!N31</f>
        <v>57900</v>
      </c>
      <c r="T9" s="13">
        <f>[1]prod_table_raw!N32</f>
        <v>38200</v>
      </c>
      <c r="U9" s="13"/>
      <c r="V9" s="13"/>
      <c r="W9" s="13"/>
      <c r="X9" s="13"/>
      <c r="Y9" s="13"/>
      <c r="Z9" s="13"/>
      <c r="AA9" s="13"/>
      <c r="AB9" s="13"/>
      <c r="AC9" s="13"/>
      <c r="AD9" s="6"/>
      <c r="AE9" s="6"/>
      <c r="AF9" s="7">
        <f>V9/([1]concentrate_grade!$F$5/100)</f>
        <v>0</v>
      </c>
      <c r="AG9" s="13"/>
      <c r="AH9" s="7">
        <f>X9/([1]concentrate_grade!$F$8/100)</f>
        <v>0</v>
      </c>
      <c r="AI9" s="13"/>
      <c r="AJ9" s="13"/>
      <c r="AK9" s="13"/>
      <c r="AL9" s="7">
        <f t="shared" si="1"/>
        <v>0</v>
      </c>
    </row>
    <row r="10" spans="1:38" x14ac:dyDescent="0.25">
      <c r="A10" s="14" t="s">
        <v>101</v>
      </c>
      <c r="C10" t="s">
        <v>102</v>
      </c>
      <c r="E10" t="s">
        <v>58</v>
      </c>
      <c r="F10" s="15" t="s">
        <v>48</v>
      </c>
      <c r="G10" s="14" t="s">
        <v>74</v>
      </c>
      <c r="H10" t="s">
        <v>103</v>
      </c>
      <c r="I10" s="15" t="s">
        <v>104</v>
      </c>
      <c r="J10" t="s">
        <v>51</v>
      </c>
      <c r="K10" t="s">
        <v>105</v>
      </c>
      <c r="L10" t="s">
        <v>106</v>
      </c>
      <c r="M10" s="14">
        <f>[1]prod_table_raw!N36</f>
        <v>6862152</v>
      </c>
      <c r="N10"/>
      <c r="O10">
        <f>S10/([1]concentrate_grade!$F$4/100)</f>
        <v>63500</v>
      </c>
      <c r="P10">
        <f t="shared" si="0"/>
        <v>6798652</v>
      </c>
      <c r="Q10" s="16">
        <f>[1]prod_table_raw!N35</f>
        <v>0.27520376799999902</v>
      </c>
      <c r="R10" s="16">
        <f>[1]prod_table_raw!N38</f>
        <v>6.7893341869999997</v>
      </c>
      <c r="S10" s="16">
        <f>[1]prod_table_raw!N39</f>
        <v>19050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>
        <f>S10/([1]concentrate_grade!$F$4/100)</f>
        <v>63500</v>
      </c>
      <c r="AE10">
        <f>T10/([1]concentrate_grade!$F$6/100)</f>
        <v>0</v>
      </c>
      <c r="AF10">
        <f>V10/([1]concentrate_grade!$F$5/100)</f>
        <v>0</v>
      </c>
      <c r="AG10">
        <f>W10/([1]concentrate_grade!$F$9/100)</f>
        <v>0</v>
      </c>
      <c r="AH10">
        <f>X10/([1]concentrate_grade!$F$8/100)</f>
        <v>0</v>
      </c>
      <c r="AI10" s="16"/>
      <c r="AJ10" s="16"/>
      <c r="AK10" s="16"/>
      <c r="AL10">
        <f t="shared" si="1"/>
        <v>0</v>
      </c>
    </row>
    <row r="11" spans="1:38" x14ac:dyDescent="0.25">
      <c r="A11" s="14" t="s">
        <v>107</v>
      </c>
      <c r="B11" t="s">
        <v>85</v>
      </c>
      <c r="C11" t="s">
        <v>108</v>
      </c>
      <c r="D11" t="s">
        <v>87</v>
      </c>
      <c r="E11" t="s">
        <v>88</v>
      </c>
      <c r="F11" s="15" t="s">
        <v>48</v>
      </c>
      <c r="G11" s="14" t="s">
        <v>89</v>
      </c>
      <c r="H11" t="s">
        <v>90</v>
      </c>
      <c r="I11" s="15" t="s">
        <v>91</v>
      </c>
      <c r="J11" t="s">
        <v>92</v>
      </c>
      <c r="K11" t="s">
        <v>93</v>
      </c>
      <c r="L11" t="s">
        <v>94</v>
      </c>
      <c r="M11" s="14">
        <f>[1]prod_table_raw!N44</f>
        <v>433000</v>
      </c>
      <c r="N11"/>
      <c r="O11">
        <f>T11/([1]concentrate_grade!$F$6/100)</f>
        <v>70900</v>
      </c>
      <c r="P11">
        <f t="shared" si="0"/>
        <v>362100</v>
      </c>
      <c r="Q11" s="16"/>
      <c r="R11" s="16"/>
      <c r="S11" s="16">
        <f>[1]prod_table_raw!N43</f>
        <v>9396</v>
      </c>
      <c r="T11" s="16">
        <f>[1]prod_table_raw!N42</f>
        <v>11344</v>
      </c>
      <c r="U11" s="16"/>
      <c r="V11" s="16"/>
      <c r="W11" s="16"/>
      <c r="X11" s="16"/>
      <c r="Y11" s="16"/>
      <c r="Z11" s="16"/>
      <c r="AA11" s="16"/>
      <c r="AB11" s="16"/>
      <c r="AC11" s="16"/>
      <c r="AD11"/>
      <c r="AE11">
        <f>T11/([1]concentrate_grade!$F$6/100)</f>
        <v>70900</v>
      </c>
      <c r="AF11">
        <f>V11/([1]concentrate_grade!$F$5/100)</f>
        <v>0</v>
      </c>
      <c r="AG11">
        <f>W11/([1]concentrate_grade!$F$9/100)</f>
        <v>0</v>
      </c>
      <c r="AH11">
        <f>X11/([1]concentrate_grade!$F$8/100)</f>
        <v>0</v>
      </c>
      <c r="AI11" s="16"/>
      <c r="AJ11" s="16"/>
      <c r="AK11" s="16"/>
      <c r="AL11">
        <f t="shared" si="1"/>
        <v>0</v>
      </c>
    </row>
    <row r="12" spans="1:38" x14ac:dyDescent="0.25">
      <c r="A12" s="14" t="s">
        <v>109</v>
      </c>
      <c r="C12" t="s">
        <v>110</v>
      </c>
      <c r="E12" t="s">
        <v>88</v>
      </c>
      <c r="F12" s="15" t="s">
        <v>48</v>
      </c>
      <c r="G12" s="14" t="s">
        <v>74</v>
      </c>
      <c r="H12" t="s">
        <v>60</v>
      </c>
      <c r="I12" s="15" t="s">
        <v>111</v>
      </c>
      <c r="J12" t="s">
        <v>51</v>
      </c>
      <c r="K12" t="s">
        <v>75</v>
      </c>
      <c r="L12" t="s">
        <v>64</v>
      </c>
      <c r="M12" s="14">
        <f>[1]prod_table_raw!N48</f>
        <v>25434853.502416398</v>
      </c>
      <c r="N12">
        <f>(Q12+R12)/0.98</f>
        <v>24.008283837755101</v>
      </c>
      <c r="O12"/>
      <c r="P12">
        <f t="shared" si="0"/>
        <v>25434829.49413256</v>
      </c>
      <c r="Q12" s="16">
        <f>[1]prod_table_raw!N49</f>
        <v>21.070941660999999</v>
      </c>
      <c r="R12" s="16">
        <f>[1]prod_table_raw!N50</f>
        <v>2.4571765000000001</v>
      </c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>
        <f>S12/([1]concentrate_grade!$F$4/100)</f>
        <v>0</v>
      </c>
      <c r="AE12">
        <f>T12/([1]concentrate_grade!$F$6/100)</f>
        <v>0</v>
      </c>
      <c r="AF12">
        <f>V12/([1]concentrate_grade!$F$5/100)</f>
        <v>0</v>
      </c>
      <c r="AG12">
        <f>W12/([1]concentrate_grade!$F$9/100)</f>
        <v>0</v>
      </c>
      <c r="AH12">
        <f>X12/([1]concentrate_grade!$F$8/100)</f>
        <v>0</v>
      </c>
      <c r="AI12" s="16"/>
      <c r="AJ12" s="16"/>
      <c r="AK12" s="16"/>
      <c r="AL12">
        <f t="shared" si="1"/>
        <v>24.008283837755101</v>
      </c>
    </row>
    <row r="13" spans="1:38" x14ac:dyDescent="0.25">
      <c r="A13" s="14" t="s">
        <v>112</v>
      </c>
      <c r="C13" t="s">
        <v>113</v>
      </c>
      <c r="E13" t="s">
        <v>88</v>
      </c>
      <c r="F13" s="15" t="s">
        <v>48</v>
      </c>
      <c r="G13" s="14" t="s">
        <v>59</v>
      </c>
      <c r="H13" t="s">
        <v>60</v>
      </c>
      <c r="I13" s="15" t="s">
        <v>111</v>
      </c>
      <c r="J13" t="s">
        <v>51</v>
      </c>
      <c r="K13" t="s">
        <v>63</v>
      </c>
      <c r="L13" t="s">
        <v>64</v>
      </c>
      <c r="M13" s="14">
        <f>[1]prod_table_raw!N55</f>
        <v>222627</v>
      </c>
      <c r="N13">
        <f>(Q13+R13)/0.98</f>
        <v>2.7760508515306124</v>
      </c>
      <c r="O13"/>
      <c r="P13">
        <f t="shared" si="0"/>
        <v>222624.22394914847</v>
      </c>
      <c r="Q13" s="16">
        <f>[1]prod_table_raw!N54</f>
        <v>2.7205298345000002</v>
      </c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>
        <f>S13/([1]concentrate_grade!$F$4/100)</f>
        <v>0</v>
      </c>
      <c r="AE13">
        <f>T13/([1]concentrate_grade!$F$6/100)</f>
        <v>0</v>
      </c>
      <c r="AF13">
        <f>V13/([1]concentrate_grade!$F$5/100)</f>
        <v>0</v>
      </c>
      <c r="AG13">
        <f>W13/([1]concentrate_grade!$F$9/100)</f>
        <v>0</v>
      </c>
      <c r="AH13">
        <f>X13/([1]concentrate_grade!$F$8/100)</f>
        <v>0</v>
      </c>
      <c r="AI13" s="16"/>
      <c r="AJ13" s="16"/>
      <c r="AK13" s="16"/>
      <c r="AL13">
        <f t="shared" si="1"/>
        <v>2.7760508515306124</v>
      </c>
    </row>
    <row r="14" spans="1:38" x14ac:dyDescent="0.25">
      <c r="A14" s="14" t="s">
        <v>114</v>
      </c>
      <c r="C14" t="s">
        <v>115</v>
      </c>
      <c r="E14" t="s">
        <v>47</v>
      </c>
      <c r="F14" s="15" t="s">
        <v>48</v>
      </c>
      <c r="G14" s="14" t="s">
        <v>59</v>
      </c>
      <c r="H14" t="s">
        <v>60</v>
      </c>
      <c r="I14" s="15" t="s">
        <v>62</v>
      </c>
      <c r="J14" t="s">
        <v>51</v>
      </c>
      <c r="K14" t="s">
        <v>75</v>
      </c>
      <c r="L14" t="s">
        <v>64</v>
      </c>
      <c r="M14" s="14">
        <f>[1]prod_table_raw!N62</f>
        <v>1661000</v>
      </c>
      <c r="N14">
        <f>(Q14+R14)/0.98</f>
        <v>7.7388999209183664</v>
      </c>
      <c r="O14"/>
      <c r="P14">
        <f t="shared" si="0"/>
        <v>1660992.2611000792</v>
      </c>
      <c r="Q14" s="16">
        <f>[1]prod_table_raw!N59</f>
        <v>7.2160120000000001</v>
      </c>
      <c r="R14" s="16">
        <f>[1]prod_table_raw!N60</f>
        <v>0.36810992249999902</v>
      </c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>
        <f>S14/([1]concentrate_grade!$F$4/100)</f>
        <v>0</v>
      </c>
      <c r="AE14">
        <f>T14/([1]concentrate_grade!$F$6/100)</f>
        <v>0</v>
      </c>
      <c r="AF14">
        <f>V14/([1]concentrate_grade!$F$5/100)</f>
        <v>0</v>
      </c>
      <c r="AG14">
        <f>W14/([1]concentrate_grade!$F$9/100)</f>
        <v>0</v>
      </c>
      <c r="AH14">
        <f>X14/([1]concentrate_grade!$F$8/100)</f>
        <v>0</v>
      </c>
      <c r="AI14" s="16"/>
      <c r="AJ14" s="16"/>
      <c r="AK14" s="16"/>
      <c r="AL14">
        <f t="shared" si="1"/>
        <v>7.7388999209183664</v>
      </c>
    </row>
    <row r="15" spans="1:38" x14ac:dyDescent="0.25">
      <c r="A15" s="14" t="s">
        <v>116</v>
      </c>
      <c r="C15" t="s">
        <v>117</v>
      </c>
      <c r="E15" t="s">
        <v>58</v>
      </c>
      <c r="F15" s="15" t="s">
        <v>48</v>
      </c>
      <c r="G15" s="14" t="s">
        <v>49</v>
      </c>
      <c r="H15" t="s">
        <v>60</v>
      </c>
      <c r="I15" s="15" t="s">
        <v>111</v>
      </c>
      <c r="J15" t="s">
        <v>118</v>
      </c>
      <c r="K15" t="s">
        <v>63</v>
      </c>
      <c r="L15" t="s">
        <v>64</v>
      </c>
      <c r="M15" s="14">
        <f>[1]prod_table_raw!N64</f>
        <v>33245</v>
      </c>
      <c r="N15">
        <f>(Q15+R15)/0.98</f>
        <v>0.12428704693877551</v>
      </c>
      <c r="O15"/>
      <c r="P15">
        <f t="shared" si="0"/>
        <v>33244.875712953064</v>
      </c>
      <c r="Q15" s="16">
        <f>[1]prod_table_raw!N65</f>
        <v>0.121801306</v>
      </c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>
        <f>S15/([1]concentrate_grade!$F$4/100)</f>
        <v>0</v>
      </c>
      <c r="AE15">
        <f>T15/([1]concentrate_grade!$F$6/100)</f>
        <v>0</v>
      </c>
      <c r="AF15">
        <f>V15/([1]concentrate_grade!$F$5/100)</f>
        <v>0</v>
      </c>
      <c r="AG15">
        <f>W15/([1]concentrate_grade!$F$9/100)</f>
        <v>0</v>
      </c>
      <c r="AH15">
        <f>X15/([1]concentrate_grade!$F$8/100)</f>
        <v>0</v>
      </c>
      <c r="AI15" s="16"/>
      <c r="AJ15" s="16"/>
      <c r="AK15" s="16"/>
      <c r="AL15">
        <f t="shared" si="1"/>
        <v>0.12428704693877551</v>
      </c>
    </row>
    <row r="16" spans="1:38" s="18" customFormat="1" x14ac:dyDescent="0.25">
      <c r="A16" s="17" t="s">
        <v>119</v>
      </c>
      <c r="C16" s="18" t="s">
        <v>120</v>
      </c>
      <c r="E16" s="18" t="s">
        <v>88</v>
      </c>
      <c r="F16" s="19" t="s">
        <v>48</v>
      </c>
      <c r="G16" s="17" t="s">
        <v>83</v>
      </c>
      <c r="H16" s="18" t="s">
        <v>60</v>
      </c>
      <c r="I16" s="19" t="s">
        <v>111</v>
      </c>
      <c r="J16" s="18" t="s">
        <v>121</v>
      </c>
      <c r="K16" s="18" t="s">
        <v>63</v>
      </c>
      <c r="L16" s="18" t="s">
        <v>64</v>
      </c>
      <c r="M16" s="17">
        <f>[1]prod_table_raw!N70</f>
        <v>457000</v>
      </c>
      <c r="N16" s="18">
        <f>(Q16+R16)/0.98</f>
        <v>1.4536125510204081</v>
      </c>
      <c r="P16" s="18">
        <f t="shared" si="0"/>
        <v>456998.54638744897</v>
      </c>
      <c r="Q16" s="20">
        <f>[1]prod_table_raw!N71</f>
        <v>1.3809954</v>
      </c>
      <c r="R16" s="20">
        <f>[1]prod_table_raw!N72</f>
        <v>4.3544899999999997E-2</v>
      </c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18">
        <f>S16/([1]concentrate_grade!$F$4/100)</f>
        <v>0</v>
      </c>
      <c r="AE16" s="18">
        <f>T16/([1]concentrate_grade!$F$6/100)</f>
        <v>0</v>
      </c>
      <c r="AF16" s="18">
        <f>V16/([1]concentrate_grade!$F$5/100)</f>
        <v>0</v>
      </c>
      <c r="AG16" s="18">
        <f>W16/([1]concentrate_grade!$F$9/100)</f>
        <v>0</v>
      </c>
      <c r="AH16" s="18">
        <f>X16/([1]concentrate_grade!$F$8/100)</f>
        <v>0</v>
      </c>
      <c r="AI16" s="20"/>
      <c r="AJ16" s="20"/>
      <c r="AK16" s="20"/>
      <c r="AL16" s="18">
        <f t="shared" si="1"/>
        <v>1.4536125510204081</v>
      </c>
    </row>
    <row r="17" spans="1:38" x14ac:dyDescent="0.25">
      <c r="A17" s="14" t="s">
        <v>122</v>
      </c>
      <c r="B17" t="s">
        <v>123</v>
      </c>
      <c r="C17" t="s">
        <v>124</v>
      </c>
      <c r="D17" t="s">
        <v>125</v>
      </c>
      <c r="E17" t="s">
        <v>88</v>
      </c>
      <c r="F17" s="15" t="s">
        <v>48</v>
      </c>
      <c r="G17" s="14" t="s">
        <v>89</v>
      </c>
      <c r="H17" t="s">
        <v>90</v>
      </c>
      <c r="I17" s="15" t="s">
        <v>126</v>
      </c>
      <c r="J17" t="s">
        <v>61</v>
      </c>
      <c r="K17" t="s">
        <v>93</v>
      </c>
      <c r="L17" t="s">
        <v>94</v>
      </c>
      <c r="M17" s="14">
        <f>[1]prod_table_raw!N73</f>
        <v>553033</v>
      </c>
      <c r="N17"/>
      <c r="O17">
        <f>T17/([1]concentrate_grade!$F$6/100)</f>
        <v>0</v>
      </c>
      <c r="P17">
        <f t="shared" si="0"/>
        <v>553033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/>
      <c r="AE17">
        <f>T17/([1]concentrate_grade!$F$6/100)</f>
        <v>0</v>
      </c>
      <c r="AF17">
        <f>V17/([1]concentrate_grade!$F$5/100)</f>
        <v>0</v>
      </c>
      <c r="AG17">
        <f>W17/([1]concentrate_grade!$F$9/100)</f>
        <v>0</v>
      </c>
      <c r="AH17">
        <f>X17/([1]concentrate_grade!$F$8/100)</f>
        <v>0</v>
      </c>
      <c r="AI17" s="16"/>
      <c r="AJ17" s="16"/>
      <c r="AK17" s="16"/>
      <c r="AL17">
        <f t="shared" si="1"/>
        <v>0</v>
      </c>
    </row>
    <row r="18" spans="1:38" x14ac:dyDescent="0.25">
      <c r="A18" s="14" t="s">
        <v>127</v>
      </c>
      <c r="B18" t="s">
        <v>85</v>
      </c>
      <c r="C18" t="s">
        <v>128</v>
      </c>
      <c r="D18" t="s">
        <v>87</v>
      </c>
      <c r="E18" t="s">
        <v>88</v>
      </c>
      <c r="F18" s="15" t="s">
        <v>48</v>
      </c>
      <c r="G18" s="14" t="s">
        <v>89</v>
      </c>
      <c r="H18" t="s">
        <v>90</v>
      </c>
      <c r="I18" s="15" t="s">
        <v>91</v>
      </c>
      <c r="J18" t="s">
        <v>92</v>
      </c>
      <c r="K18" t="s">
        <v>93</v>
      </c>
      <c r="L18" t="s">
        <v>94</v>
      </c>
      <c r="M18" s="14">
        <f>[1]prod_table_raw!N76</f>
        <v>616000</v>
      </c>
      <c r="N18"/>
      <c r="O18">
        <f>T18/([1]concentrate_grade!$F$6/100)</f>
        <v>49662.5</v>
      </c>
      <c r="P18">
        <f t="shared" si="0"/>
        <v>566337.5</v>
      </c>
      <c r="Q18" s="16"/>
      <c r="R18" s="16"/>
      <c r="S18" s="16">
        <f>[1]prod_table_raw!N75</f>
        <v>7453</v>
      </c>
      <c r="T18" s="16">
        <f>[1]prod_table_raw!N74</f>
        <v>7946</v>
      </c>
      <c r="U18" s="16"/>
      <c r="V18" s="16"/>
      <c r="W18" s="16"/>
      <c r="X18" s="16"/>
      <c r="Y18" s="16"/>
      <c r="Z18" s="16"/>
      <c r="AA18" s="16"/>
      <c r="AB18" s="16"/>
      <c r="AC18" s="16"/>
      <c r="AD18"/>
      <c r="AE18">
        <f>T18/([1]concentrate_grade!$F$6/100)</f>
        <v>49662.5</v>
      </c>
      <c r="AF18">
        <f>V18/([1]concentrate_grade!$F$5/100)</f>
        <v>0</v>
      </c>
      <c r="AG18">
        <f>W18/([1]concentrate_grade!$F$9/100)</f>
        <v>0</v>
      </c>
      <c r="AH18">
        <f>X18/([1]concentrate_grade!$F$8/100)</f>
        <v>0</v>
      </c>
      <c r="AI18" s="16"/>
      <c r="AJ18" s="16"/>
      <c r="AK18" s="16"/>
      <c r="AL18">
        <f t="shared" si="1"/>
        <v>0</v>
      </c>
    </row>
    <row r="19" spans="1:38" x14ac:dyDescent="0.25">
      <c r="A19" s="14" t="s">
        <v>129</v>
      </c>
      <c r="C19" t="s">
        <v>130</v>
      </c>
      <c r="E19" t="s">
        <v>58</v>
      </c>
      <c r="F19" s="15" t="s">
        <v>48</v>
      </c>
      <c r="G19" s="14" t="s">
        <v>74</v>
      </c>
      <c r="H19" t="s">
        <v>131</v>
      </c>
      <c r="I19" s="15" t="s">
        <v>132</v>
      </c>
      <c r="J19" t="s">
        <v>51</v>
      </c>
      <c r="K19" t="s">
        <v>133</v>
      </c>
      <c r="L19" t="s">
        <v>134</v>
      </c>
      <c r="M19" s="14">
        <f>[1]prod_table_raw!N80</f>
        <v>30000000</v>
      </c>
      <c r="N19"/>
      <c r="O19">
        <f>S19/([1]concentrate_grade!$F$4/100)+V19/([1]concentrate_grade!$F$5/100)</f>
        <v>186436.98475294118</v>
      </c>
      <c r="P19">
        <f t="shared" si="0"/>
        <v>29813563.015247058</v>
      </c>
      <c r="Q19" s="16"/>
      <c r="R19" s="16"/>
      <c r="S19" s="16">
        <f>[1]prod_table_raw!N82</f>
        <v>55610.379200000003</v>
      </c>
      <c r="T19" s="16"/>
      <c r="U19" s="16"/>
      <c r="V19" s="16">
        <f>[1]prod_table_raw!N81</f>
        <v>545.21758399999999</v>
      </c>
      <c r="W19" s="16"/>
      <c r="X19" s="16"/>
      <c r="Y19" s="16"/>
      <c r="Z19" s="16"/>
      <c r="AA19" s="16"/>
      <c r="AB19" s="16"/>
      <c r="AC19" s="16"/>
      <c r="AD19">
        <f>S19/([1]concentrate_grade!$F$4/100)</f>
        <v>185367.93066666668</v>
      </c>
      <c r="AE19">
        <f>T19/([1]concentrate_grade!$F$6/100)</f>
        <v>0</v>
      </c>
      <c r="AF19">
        <f>V19/([1]concentrate_grade!$F$5/100)</f>
        <v>1069.0540862745097</v>
      </c>
      <c r="AG19">
        <f>W19/([1]concentrate_grade!$F$9/100)</f>
        <v>0</v>
      </c>
      <c r="AH19">
        <f>X19/([1]concentrate_grade!$F$8/100)</f>
        <v>0</v>
      </c>
      <c r="AI19" s="16"/>
      <c r="AJ19" s="16"/>
      <c r="AK19" s="16"/>
      <c r="AL19">
        <f t="shared" si="1"/>
        <v>0</v>
      </c>
    </row>
    <row r="20" spans="1:38" x14ac:dyDescent="0.25">
      <c r="A20" s="14" t="s">
        <v>135</v>
      </c>
      <c r="C20" t="s">
        <v>136</v>
      </c>
      <c r="E20" t="s">
        <v>47</v>
      </c>
      <c r="F20" s="15" t="s">
        <v>48</v>
      </c>
      <c r="G20" s="14" t="s">
        <v>59</v>
      </c>
      <c r="H20" s="21" t="s">
        <v>137</v>
      </c>
      <c r="I20" s="15" t="s">
        <v>62</v>
      </c>
      <c r="J20" t="s">
        <v>51</v>
      </c>
      <c r="K20" t="s">
        <v>138</v>
      </c>
      <c r="L20" t="s">
        <v>139</v>
      </c>
      <c r="M20" s="14">
        <f>[1]prod_table_raw!N86</f>
        <v>2886927.3287240001</v>
      </c>
      <c r="N20">
        <f>(Q20+R20)/0.98</f>
        <v>4.4745421183166938</v>
      </c>
      <c r="O20">
        <f>S20/([1]concentrate_grade!$F$4/100)</f>
        <v>130.12252666666666</v>
      </c>
      <c r="P20">
        <f t="shared" si="0"/>
        <v>2886792.7316552154</v>
      </c>
      <c r="Q20" s="16">
        <f>[1]prod_table_raw!N87</f>
        <v>4.3850512759503602</v>
      </c>
      <c r="R20" s="16"/>
      <c r="S20" s="16">
        <f>[1]prod_table_raw!N85</f>
        <v>39.036757999999999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>
        <f>S20/([1]concentrate_grade!$F$4/100)</f>
        <v>130.12252666666666</v>
      </c>
      <c r="AE20">
        <f>T20/([1]concentrate_grade!$F$6/100)</f>
        <v>0</v>
      </c>
      <c r="AF20">
        <f>V20/([1]concentrate_grade!$F$5/100)</f>
        <v>0</v>
      </c>
      <c r="AG20">
        <f>W20/([1]concentrate_grade!$F$9/100)</f>
        <v>0</v>
      </c>
      <c r="AH20">
        <f>X20/([1]concentrate_grade!$F$8/100)</f>
        <v>0</v>
      </c>
      <c r="AI20" s="16"/>
      <c r="AJ20" s="16"/>
      <c r="AK20" s="16"/>
      <c r="AL20">
        <f t="shared" si="1"/>
        <v>4.4745421183166938</v>
      </c>
    </row>
    <row r="21" spans="1:38" x14ac:dyDescent="0.25">
      <c r="A21" s="14" t="s">
        <v>140</v>
      </c>
      <c r="C21" t="s">
        <v>141</v>
      </c>
      <c r="E21" t="s">
        <v>88</v>
      </c>
      <c r="F21" s="15" t="s">
        <v>48</v>
      </c>
      <c r="G21" s="14" t="s">
        <v>83</v>
      </c>
      <c r="H21" t="s">
        <v>60</v>
      </c>
      <c r="I21" s="15" t="s">
        <v>111</v>
      </c>
      <c r="J21" t="s">
        <v>51</v>
      </c>
      <c r="K21" t="s">
        <v>63</v>
      </c>
      <c r="L21" t="s">
        <v>64</v>
      </c>
      <c r="M21" s="14">
        <f>[1]prod_table_raw!N91</f>
        <v>1266009</v>
      </c>
      <c r="N21">
        <f>(Q21+R21)/0.98</f>
        <v>4.476523630102041</v>
      </c>
      <c r="O21"/>
      <c r="P21">
        <f t="shared" si="0"/>
        <v>1266004.5234763699</v>
      </c>
      <c r="Q21" s="16">
        <f>[1]prod_table_raw!N92</f>
        <v>4.3869931575000001</v>
      </c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>
        <f>S21/([1]concentrate_grade!$F$4/100)</f>
        <v>0</v>
      </c>
      <c r="AE21">
        <f>T21/([1]concentrate_grade!$F$6/100)</f>
        <v>0</v>
      </c>
      <c r="AF21">
        <f>V21/([1]concentrate_grade!$F$5/100)</f>
        <v>0</v>
      </c>
      <c r="AG21">
        <f>W21/([1]concentrate_grade!$F$9/100)</f>
        <v>0</v>
      </c>
      <c r="AH21">
        <f>X21/([1]concentrate_grade!$F$8/100)</f>
        <v>0</v>
      </c>
      <c r="AI21" s="16"/>
      <c r="AJ21" s="16"/>
      <c r="AK21" s="16"/>
      <c r="AL21">
        <f t="shared" si="1"/>
        <v>4.476523630102041</v>
      </c>
    </row>
    <row r="22" spans="1:38" x14ac:dyDescent="0.25">
      <c r="A22" s="14" t="s">
        <v>142</v>
      </c>
      <c r="C22" t="s">
        <v>143</v>
      </c>
      <c r="E22" t="s">
        <v>58</v>
      </c>
      <c r="F22" s="15" t="s">
        <v>48</v>
      </c>
      <c r="G22" s="14" t="s">
        <v>74</v>
      </c>
      <c r="H22" t="s">
        <v>131</v>
      </c>
      <c r="I22" s="15" t="s">
        <v>144</v>
      </c>
      <c r="J22" t="s">
        <v>51</v>
      </c>
      <c r="K22" t="s">
        <v>133</v>
      </c>
      <c r="L22" t="s">
        <v>134</v>
      </c>
      <c r="M22" s="14">
        <f>[1]prod_table_raw!N93</f>
        <v>17408000</v>
      </c>
      <c r="N22"/>
      <c r="O22">
        <f>S22/([1]concentrate_grade!$F$4/100)+V22/([1]concentrate_grade!$F$5/100)</f>
        <v>343098.03921568632</v>
      </c>
      <c r="P22">
        <f t="shared" si="0"/>
        <v>17064901.960784312</v>
      </c>
      <c r="Q22" s="16"/>
      <c r="R22" s="16"/>
      <c r="S22" s="16">
        <f>[1]prod_table_raw!N95</f>
        <v>102400</v>
      </c>
      <c r="T22" s="16"/>
      <c r="U22" s="16"/>
      <c r="V22" s="16">
        <f>[1]prod_table_raw!N94</f>
        <v>900</v>
      </c>
      <c r="W22" s="16"/>
      <c r="X22" s="16"/>
      <c r="Y22" s="16"/>
      <c r="Z22" s="16"/>
      <c r="AA22" s="16"/>
      <c r="AB22" s="16"/>
      <c r="AC22" s="16"/>
      <c r="AD22">
        <f>S22/([1]concentrate_grade!$F$4/100)</f>
        <v>341333.33333333337</v>
      </c>
      <c r="AE22">
        <f>T22/([1]concentrate_grade!$F$6/100)</f>
        <v>0</v>
      </c>
      <c r="AF22">
        <f>V22/([1]concentrate_grade!$F$5/100)</f>
        <v>1764.7058823529412</v>
      </c>
      <c r="AG22">
        <f>W22/([1]concentrate_grade!$F$9/100)</f>
        <v>0</v>
      </c>
      <c r="AH22">
        <f>X22/([1]concentrate_grade!$F$8/100)</f>
        <v>0</v>
      </c>
      <c r="AI22" s="16"/>
      <c r="AJ22" s="16"/>
      <c r="AK22" s="16"/>
      <c r="AL22">
        <f t="shared" si="1"/>
        <v>0</v>
      </c>
    </row>
    <row r="23" spans="1:38" s="7" customFormat="1" x14ac:dyDescent="0.25">
      <c r="A23" s="5" t="s">
        <v>145</v>
      </c>
      <c r="B23" s="7" t="s">
        <v>146</v>
      </c>
      <c r="C23" s="7" t="s">
        <v>147</v>
      </c>
      <c r="D23" s="7" t="s">
        <v>148</v>
      </c>
      <c r="E23" s="7" t="s">
        <v>47</v>
      </c>
      <c r="F23" s="8" t="s">
        <v>67</v>
      </c>
      <c r="G23" s="5" t="s">
        <v>149</v>
      </c>
      <c r="H23" s="7" t="s">
        <v>150</v>
      </c>
      <c r="I23" s="8" t="s">
        <v>151</v>
      </c>
      <c r="J23" s="7" t="s">
        <v>152</v>
      </c>
      <c r="K23" s="7" t="s">
        <v>0</v>
      </c>
      <c r="M23" s="5"/>
      <c r="P23" s="7">
        <f t="shared" si="0"/>
        <v>0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6">
        <f>S23/([1]concentrate_grade!$F$4/100)</f>
        <v>0</v>
      </c>
      <c r="AE23" s="6">
        <f>T23/([1]concentrate_grade!$F$6/100)</f>
        <v>0</v>
      </c>
      <c r="AF23" s="7">
        <f>V23/([1]concentrate_grade!$F$5/100)</f>
        <v>0</v>
      </c>
      <c r="AG23" s="13"/>
      <c r="AH23" s="7">
        <f>X23/([1]concentrate_grade!$F$8/100)</f>
        <v>0</v>
      </c>
      <c r="AI23" s="13"/>
      <c r="AJ23" s="13"/>
      <c r="AK23" s="13"/>
      <c r="AL23" s="7">
        <f t="shared" si="1"/>
        <v>0</v>
      </c>
    </row>
    <row r="24" spans="1:38" x14ac:dyDescent="0.25">
      <c r="A24" s="14" t="s">
        <v>153</v>
      </c>
      <c r="C24" t="s">
        <v>154</v>
      </c>
      <c r="E24" t="s">
        <v>88</v>
      </c>
      <c r="F24" s="15" t="s">
        <v>48</v>
      </c>
      <c r="G24" s="14" t="s">
        <v>59</v>
      </c>
      <c r="H24" t="s">
        <v>60</v>
      </c>
      <c r="I24" s="15" t="s">
        <v>111</v>
      </c>
      <c r="J24" t="s">
        <v>51</v>
      </c>
      <c r="K24" t="s">
        <v>63</v>
      </c>
      <c r="L24" t="s">
        <v>64</v>
      </c>
      <c r="M24" s="14">
        <f>[1]prod_table_raw!N105</f>
        <v>439008</v>
      </c>
      <c r="N24">
        <f>(Q24+R24)/0.98</f>
        <v>4.1704080612244905</v>
      </c>
      <c r="O24"/>
      <c r="P24">
        <f t="shared" si="0"/>
        <v>439003.82959193876</v>
      </c>
      <c r="Q24" s="16">
        <f>[1]prod_table_raw!N103</f>
        <v>4.0869999000000004</v>
      </c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>
        <f>S24/([1]concentrate_grade!$F$4/100)</f>
        <v>0</v>
      </c>
      <c r="AE24">
        <f>T24/([1]concentrate_grade!$F$6/100)</f>
        <v>0</v>
      </c>
      <c r="AF24">
        <f>V24/([1]concentrate_grade!$F$5/100)</f>
        <v>0</v>
      </c>
      <c r="AG24">
        <f>W24/([1]concentrate_grade!$F$9/100)</f>
        <v>0</v>
      </c>
      <c r="AH24">
        <f>X24/([1]concentrate_grade!$F$8/100)</f>
        <v>0</v>
      </c>
      <c r="AI24" s="16"/>
      <c r="AJ24" s="16"/>
      <c r="AK24" s="16"/>
      <c r="AL24">
        <f t="shared" si="1"/>
        <v>4.1704080612244905</v>
      </c>
    </row>
    <row r="25" spans="1:38" x14ac:dyDescent="0.25">
      <c r="A25" s="14" t="s">
        <v>155</v>
      </c>
      <c r="C25" t="s">
        <v>156</v>
      </c>
      <c r="D25" t="s">
        <v>157</v>
      </c>
      <c r="E25" t="s">
        <v>158</v>
      </c>
      <c r="F25" s="15" t="s">
        <v>48</v>
      </c>
      <c r="G25" s="14" t="s">
        <v>59</v>
      </c>
      <c r="H25" t="s">
        <v>159</v>
      </c>
      <c r="I25" s="15" t="s">
        <v>160</v>
      </c>
      <c r="J25" t="s">
        <v>161</v>
      </c>
      <c r="K25" t="s">
        <v>162</v>
      </c>
      <c r="L25" t="s">
        <v>163</v>
      </c>
      <c r="M25" s="14">
        <f>[1]prod_table_raw!N110</f>
        <v>127307</v>
      </c>
      <c r="N25"/>
      <c r="O25">
        <f>W25/([1]concentrate_grade!F9/100)+X25/([1]concentrate_grade!F8/100)</f>
        <v>4719.666666666667</v>
      </c>
      <c r="P25">
        <f t="shared" si="0"/>
        <v>122587.33333333333</v>
      </c>
      <c r="Q25" s="16"/>
      <c r="R25" s="16">
        <f>[1]prod_table_raw!N109</f>
        <v>46.735403719499999</v>
      </c>
      <c r="S25" s="16"/>
      <c r="T25" s="16"/>
      <c r="U25" s="16"/>
      <c r="V25" s="16"/>
      <c r="W25" s="16">
        <f>[1]prod_table_raw!N112</f>
        <v>1339</v>
      </c>
      <c r="X25" s="16">
        <f>[1]prod_table_raw!N111</f>
        <v>1225</v>
      </c>
      <c r="Y25" s="16"/>
      <c r="Z25" s="16"/>
      <c r="AA25" s="16"/>
      <c r="AB25" s="16"/>
      <c r="AC25" s="16"/>
      <c r="AD25">
        <f>S25/([1]concentrate_grade!$F$4/100)</f>
        <v>0</v>
      </c>
      <c r="AE25">
        <f>T25/([1]concentrate_grade!$F$6/100)</f>
        <v>0</v>
      </c>
      <c r="AF25">
        <f>V25/([1]concentrate_grade!$F$5/100)</f>
        <v>0</v>
      </c>
      <c r="AG25">
        <f>W25/([1]concentrate_grade!$F$9/100)</f>
        <v>2678</v>
      </c>
      <c r="AH25">
        <f>X25/([1]concentrate_grade!$F$8/100)</f>
        <v>2041.6666666666667</v>
      </c>
      <c r="AI25" s="16"/>
      <c r="AJ25" s="16"/>
      <c r="AK25" s="16"/>
      <c r="AL25">
        <f t="shared" si="1"/>
        <v>0</v>
      </c>
    </row>
    <row r="26" spans="1:38" x14ac:dyDescent="0.25">
      <c r="A26" s="14" t="s">
        <v>164</v>
      </c>
      <c r="C26" t="s">
        <v>165</v>
      </c>
      <c r="E26" t="s">
        <v>88</v>
      </c>
      <c r="F26" s="15" t="s">
        <v>48</v>
      </c>
      <c r="G26" s="14" t="s">
        <v>59</v>
      </c>
      <c r="H26" t="s">
        <v>131</v>
      </c>
      <c r="I26" s="15" t="s">
        <v>166</v>
      </c>
      <c r="J26" t="s">
        <v>121</v>
      </c>
      <c r="K26" t="s">
        <v>167</v>
      </c>
      <c r="L26" t="s">
        <v>168</v>
      </c>
      <c r="M26" s="14">
        <f>[1]prod_table_raw!N116</f>
        <v>1340000</v>
      </c>
      <c r="N26"/>
      <c r="O26">
        <f>S26/([1]concentrate_grade!$F$4/100)+W26/([1]concentrate_grade!$F$9/100)</f>
        <v>152533.33333333334</v>
      </c>
      <c r="P26">
        <f t="shared" si="0"/>
        <v>1187466.6666666667</v>
      </c>
      <c r="Q26" s="16"/>
      <c r="R26" s="16">
        <f>[1]prod_table_raw!N115</f>
        <v>42.860622999999997</v>
      </c>
      <c r="S26" s="16">
        <f>[1]prod_table_raw!N113</f>
        <v>22600</v>
      </c>
      <c r="T26" s="16"/>
      <c r="U26" s="16"/>
      <c r="V26" s="16"/>
      <c r="W26" s="16">
        <f>[1]prod_table_raw!N114</f>
        <v>38600</v>
      </c>
      <c r="X26" s="16"/>
      <c r="Y26" s="16"/>
      <c r="Z26" s="16"/>
      <c r="AA26" s="16"/>
      <c r="AB26" s="16"/>
      <c r="AC26" s="16"/>
      <c r="AD26">
        <f>S26/([1]concentrate_grade!$F$4/100)</f>
        <v>75333.333333333343</v>
      </c>
      <c r="AE26">
        <f>T26/([1]concentrate_grade!$F$6/100)</f>
        <v>0</v>
      </c>
      <c r="AF26">
        <f>V26/([1]concentrate_grade!$F$5/100)</f>
        <v>0</v>
      </c>
      <c r="AG26">
        <f>W26/([1]concentrate_grade!$F$9/100)</f>
        <v>77200</v>
      </c>
      <c r="AH26">
        <f>X26/([1]concentrate_grade!$F$8/100)</f>
        <v>0</v>
      </c>
      <c r="AI26" s="16"/>
      <c r="AJ26" s="16"/>
      <c r="AK26" s="16"/>
      <c r="AL26">
        <f t="shared" si="1"/>
        <v>0</v>
      </c>
    </row>
    <row r="27" spans="1:38" x14ac:dyDescent="0.25">
      <c r="A27" s="14" t="s">
        <v>169</v>
      </c>
      <c r="C27" t="s">
        <v>170</v>
      </c>
      <c r="E27" t="s">
        <v>47</v>
      </c>
      <c r="F27" s="15" t="s">
        <v>48</v>
      </c>
      <c r="G27" s="14" t="s">
        <v>74</v>
      </c>
      <c r="H27" t="s">
        <v>60</v>
      </c>
      <c r="I27" s="15" t="s">
        <v>62</v>
      </c>
      <c r="J27" t="s">
        <v>161</v>
      </c>
      <c r="K27" t="s">
        <v>75</v>
      </c>
      <c r="L27" t="s">
        <v>64</v>
      </c>
      <c r="M27" s="14">
        <f>[1]prod_table_raw!N120</f>
        <v>191148</v>
      </c>
      <c r="N27">
        <f>(Q27+R27)/0.98</f>
        <v>1.2201776096938775</v>
      </c>
      <c r="O27"/>
      <c r="P27">
        <f t="shared" si="0"/>
        <v>191146.77982239029</v>
      </c>
      <c r="Q27" s="16">
        <f>[1]prod_table_raw!N119</f>
        <v>1.1053250795</v>
      </c>
      <c r="R27" s="16">
        <f>[1]prod_table_raw!N121</f>
        <v>9.0448977999999999E-2</v>
      </c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>
        <f>S27/([1]concentrate_grade!$F$4/100)</f>
        <v>0</v>
      </c>
      <c r="AE27">
        <f>T27/([1]concentrate_grade!$F$6/100)</f>
        <v>0</v>
      </c>
      <c r="AF27">
        <f>V27/([1]concentrate_grade!$F$5/100)</f>
        <v>0</v>
      </c>
      <c r="AG27">
        <f>W27/([1]concentrate_grade!$F$9/100)</f>
        <v>0</v>
      </c>
      <c r="AH27">
        <f>X27/([1]concentrate_grade!$F$8/100)</f>
        <v>0</v>
      </c>
      <c r="AI27" s="16"/>
      <c r="AJ27" s="16"/>
      <c r="AK27" s="16"/>
      <c r="AL27">
        <f t="shared" si="1"/>
        <v>1.2201776096938775</v>
      </c>
    </row>
    <row r="28" spans="1:38" x14ac:dyDescent="0.25">
      <c r="A28" s="14" t="s">
        <v>171</v>
      </c>
      <c r="C28" t="s">
        <v>172</v>
      </c>
      <c r="E28" t="s">
        <v>88</v>
      </c>
      <c r="F28" s="15" t="s">
        <v>48</v>
      </c>
      <c r="G28" s="14" t="s">
        <v>83</v>
      </c>
      <c r="H28" t="s">
        <v>90</v>
      </c>
      <c r="I28" s="15" t="s">
        <v>173</v>
      </c>
      <c r="J28" t="s">
        <v>161</v>
      </c>
      <c r="K28" t="s">
        <v>174</v>
      </c>
      <c r="L28" t="s">
        <v>175</v>
      </c>
      <c r="M28" s="14">
        <f>[1]prod_table_raw!N124</f>
        <v>3798000</v>
      </c>
      <c r="N28"/>
      <c r="O28"/>
      <c r="P28">
        <f t="shared" si="0"/>
        <v>3798000</v>
      </c>
      <c r="Q28" s="16">
        <f>[1]prod_table_raw!N125</f>
        <v>0.59407684999999999</v>
      </c>
      <c r="R28" s="16"/>
      <c r="S28" s="16"/>
      <c r="T28" s="16"/>
      <c r="U28" s="16"/>
      <c r="V28" s="16"/>
      <c r="W28" s="16"/>
      <c r="X28" s="16"/>
      <c r="Y28" s="16"/>
      <c r="Z28" s="16">
        <f>[1]prod_table_raw!N127</f>
        <v>0.67805629999999995</v>
      </c>
      <c r="AA28" s="16">
        <f>[1]prod_table_raw!N126</f>
        <v>0.77758749999999999</v>
      </c>
      <c r="AB28" s="16"/>
      <c r="AC28" s="16"/>
      <c r="AD28">
        <f>S28/([1]concentrate_grade!$F$4/100)</f>
        <v>0</v>
      </c>
      <c r="AE28">
        <f>T28/([1]concentrate_grade!$F$6/100)</f>
        <v>0</v>
      </c>
      <c r="AF28">
        <f>V28/([1]concentrate_grade!$F$5/100)</f>
        <v>0</v>
      </c>
      <c r="AG28">
        <f>W28/([1]concentrate_grade!$F$9/100)</f>
        <v>0</v>
      </c>
      <c r="AH28">
        <f>X28/([1]concentrate_grade!$F$8/100)</f>
        <v>0</v>
      </c>
      <c r="AI28" s="16"/>
      <c r="AJ28" s="16"/>
      <c r="AK28" s="16"/>
      <c r="AL28">
        <f t="shared" si="1"/>
        <v>0</v>
      </c>
    </row>
    <row r="29" spans="1:38" ht="14.25" customHeight="1" x14ac:dyDescent="0.25">
      <c r="A29" s="14" t="s">
        <v>176</v>
      </c>
      <c r="C29" t="s">
        <v>177</v>
      </c>
      <c r="E29" t="s">
        <v>47</v>
      </c>
      <c r="F29" s="15" t="s">
        <v>48</v>
      </c>
      <c r="G29" s="14" t="s">
        <v>59</v>
      </c>
      <c r="H29" t="s">
        <v>60</v>
      </c>
      <c r="I29" s="15" t="s">
        <v>62</v>
      </c>
      <c r="J29" t="s">
        <v>161</v>
      </c>
      <c r="K29" t="s">
        <v>75</v>
      </c>
      <c r="L29" t="s">
        <v>64</v>
      </c>
      <c r="M29" s="14">
        <f>[1]prod_table_raw!N134</f>
        <v>838419</v>
      </c>
      <c r="N29">
        <f>(Q29+R29)/0.98</f>
        <v>7.932820721938775</v>
      </c>
      <c r="O29"/>
      <c r="P29">
        <f t="shared" si="0"/>
        <v>838411.067179278</v>
      </c>
      <c r="Q29" s="16">
        <f>[1]prod_table_raw!N133</f>
        <v>5.5074656414999996</v>
      </c>
      <c r="R29" s="16">
        <f>[1]prod_table_raw!N135</f>
        <v>2.2666986659999999</v>
      </c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>
        <f>S29/([1]concentrate_grade!$F$4/100)</f>
        <v>0</v>
      </c>
      <c r="AE29">
        <f>T29/([1]concentrate_grade!$F$6/100)</f>
        <v>0</v>
      </c>
      <c r="AF29">
        <f>V29/([1]concentrate_grade!$F$5/100)</f>
        <v>0</v>
      </c>
      <c r="AG29">
        <f>W29/([1]concentrate_grade!$F$9/100)</f>
        <v>0</v>
      </c>
      <c r="AH29">
        <f>X29/([1]concentrate_grade!$F$8/100)</f>
        <v>0</v>
      </c>
      <c r="AI29" s="16"/>
      <c r="AJ29" s="16"/>
      <c r="AK29" s="16"/>
      <c r="AL29">
        <f t="shared" si="1"/>
        <v>7.932820721938775</v>
      </c>
    </row>
    <row r="30" spans="1:38" x14ac:dyDescent="0.25">
      <c r="A30" s="14" t="s">
        <v>178</v>
      </c>
      <c r="C30" t="s">
        <v>179</v>
      </c>
      <c r="E30" t="s">
        <v>47</v>
      </c>
      <c r="F30" s="15" t="s">
        <v>48</v>
      </c>
      <c r="G30" s="14" t="s">
        <v>59</v>
      </c>
      <c r="H30" s="21" t="s">
        <v>137</v>
      </c>
      <c r="I30" s="15" t="s">
        <v>180</v>
      </c>
      <c r="J30" t="s">
        <v>51</v>
      </c>
      <c r="K30" t="s">
        <v>181</v>
      </c>
      <c r="L30" t="s">
        <v>182</v>
      </c>
      <c r="M30" s="14">
        <f>[1]prod_table_raw!N139</f>
        <v>1501500</v>
      </c>
      <c r="N30">
        <f>(Q30+R30)/0.98</f>
        <v>9.8029027903061134</v>
      </c>
      <c r="O30">
        <f>S30/([1]concentrate_grade!$F$4/100)+W30/([1]concentrate_grade!$F$9/100)</f>
        <v>23998.078283999999</v>
      </c>
      <c r="P30">
        <f t="shared" si="0"/>
        <v>1477492.1188132097</v>
      </c>
      <c r="Q30" s="16">
        <f>[1]prod_table_raw!N138</f>
        <v>7.3401460684999904</v>
      </c>
      <c r="R30" s="16">
        <f>[1]prod_table_raw!N135</f>
        <v>2.2666986659999999</v>
      </c>
      <c r="S30" s="16">
        <f>[1]prod_table_raw!N137</f>
        <v>2577.9603750000001</v>
      </c>
      <c r="T30" s="16"/>
      <c r="U30" s="16"/>
      <c r="V30" s="16"/>
      <c r="W30" s="16">
        <f>[1]prod_table_raw!N136</f>
        <v>7702.4385169999996</v>
      </c>
      <c r="X30" s="16"/>
      <c r="Y30" s="16"/>
      <c r="Z30" s="16"/>
      <c r="AA30" s="16"/>
      <c r="AB30" s="16"/>
      <c r="AC30" s="16"/>
      <c r="AD30">
        <f>S30/([1]concentrate_grade!$F$4/100)</f>
        <v>8593.2012500000001</v>
      </c>
      <c r="AE30">
        <f>T30/([1]concentrate_grade!$F$6/100)</f>
        <v>0</v>
      </c>
      <c r="AF30">
        <f>V30/([1]concentrate_grade!$F$5/100)</f>
        <v>0</v>
      </c>
      <c r="AG30">
        <f>W30/([1]concentrate_grade!$F$9/100)</f>
        <v>15404.877033999999</v>
      </c>
      <c r="AH30">
        <f>X30/([1]concentrate_grade!$F$8/100)</f>
        <v>0</v>
      </c>
      <c r="AI30" s="16"/>
      <c r="AJ30" s="16"/>
      <c r="AK30" s="16"/>
      <c r="AL30">
        <f t="shared" si="1"/>
        <v>9.8029027903061134</v>
      </c>
    </row>
    <row r="31" spans="1:38" s="7" customFormat="1" x14ac:dyDescent="0.25">
      <c r="A31" s="5" t="s">
        <v>183</v>
      </c>
      <c r="C31" s="7" t="s">
        <v>184</v>
      </c>
      <c r="E31" s="7" t="s">
        <v>78</v>
      </c>
      <c r="F31" s="8" t="s">
        <v>67</v>
      </c>
      <c r="G31" s="5" t="s">
        <v>68</v>
      </c>
      <c r="H31" s="7" t="s">
        <v>185</v>
      </c>
      <c r="I31" s="8" t="s">
        <v>186</v>
      </c>
      <c r="J31" s="7" t="s">
        <v>187</v>
      </c>
      <c r="K31" s="7" t="s">
        <v>2</v>
      </c>
      <c r="L31" s="7" t="s">
        <v>188</v>
      </c>
      <c r="M31" s="5"/>
      <c r="P31" s="7">
        <f t="shared" si="0"/>
        <v>0</v>
      </c>
      <c r="Q31" s="13"/>
      <c r="R31" s="13"/>
      <c r="S31" s="13"/>
      <c r="T31" s="13">
        <f>[1]prod_table_raw!N145</f>
        <v>27700</v>
      </c>
      <c r="U31" s="13"/>
      <c r="V31" s="13"/>
      <c r="W31" s="13"/>
      <c r="X31" s="13"/>
      <c r="Y31" s="13"/>
      <c r="Z31" s="13"/>
      <c r="AA31" s="13"/>
      <c r="AB31" s="13"/>
      <c r="AC31" s="13"/>
      <c r="AD31" s="6">
        <f>S31/([1]concentrate_grade!$F$4/100)</f>
        <v>0</v>
      </c>
      <c r="AE31" s="6"/>
      <c r="AF31" s="7">
        <f>V31/([1]concentrate_grade!$F$5/100)</f>
        <v>0</v>
      </c>
      <c r="AG31" s="13"/>
      <c r="AH31" s="7">
        <f>X31/([1]concentrate_grade!$F$8/100)</f>
        <v>0</v>
      </c>
      <c r="AI31" s="13"/>
      <c r="AJ31" s="13"/>
      <c r="AK31" s="13"/>
      <c r="AL31" s="7">
        <f t="shared" si="1"/>
        <v>0</v>
      </c>
    </row>
    <row r="32" spans="1:38" x14ac:dyDescent="0.25">
      <c r="A32" s="14" t="s">
        <v>189</v>
      </c>
      <c r="C32" t="s">
        <v>190</v>
      </c>
      <c r="E32" t="s">
        <v>88</v>
      </c>
      <c r="F32" s="15" t="s">
        <v>48</v>
      </c>
      <c r="G32" s="14" t="s">
        <v>59</v>
      </c>
      <c r="H32" t="s">
        <v>60</v>
      </c>
      <c r="I32" s="15" t="s">
        <v>62</v>
      </c>
      <c r="J32" t="s">
        <v>51</v>
      </c>
      <c r="K32" t="s">
        <v>63</v>
      </c>
      <c r="L32" t="s">
        <v>64</v>
      </c>
      <c r="M32" s="14">
        <f>[1]prod_table_raw!N146</f>
        <v>441588</v>
      </c>
      <c r="N32">
        <f>(Q32+R32)/0.98</f>
        <v>7.253304461734694</v>
      </c>
      <c r="O32"/>
      <c r="P32">
        <f t="shared" si="0"/>
        <v>441580.74669553828</v>
      </c>
      <c r="Q32" s="16">
        <f>[1]prod_table_raw!N147</f>
        <v>7.1082383724999998</v>
      </c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>
        <f>S32/([1]concentrate_grade!$F$4/100)</f>
        <v>0</v>
      </c>
      <c r="AE32">
        <f>T32/([1]concentrate_grade!$F$6/100)</f>
        <v>0</v>
      </c>
      <c r="AF32">
        <f>V32/([1]concentrate_grade!$F$5/100)</f>
        <v>0</v>
      </c>
      <c r="AG32">
        <f>W32/([1]concentrate_grade!$F$9/100)</f>
        <v>0</v>
      </c>
      <c r="AH32">
        <f>X32/([1]concentrate_grade!$F$8/100)</f>
        <v>0</v>
      </c>
      <c r="AI32" s="16"/>
      <c r="AJ32" s="16"/>
      <c r="AK32" s="16"/>
      <c r="AL32">
        <f t="shared" si="1"/>
        <v>7.253304461734694</v>
      </c>
    </row>
    <row r="33" spans="1:38" x14ac:dyDescent="0.25">
      <c r="A33" s="14" t="s">
        <v>191</v>
      </c>
      <c r="C33" t="s">
        <v>192</v>
      </c>
      <c r="E33" t="s">
        <v>88</v>
      </c>
      <c r="F33" s="15" t="s">
        <v>48</v>
      </c>
      <c r="G33" s="14" t="s">
        <v>74</v>
      </c>
      <c r="H33" t="s">
        <v>60</v>
      </c>
      <c r="I33" s="15" t="s">
        <v>62</v>
      </c>
      <c r="J33" t="s">
        <v>121</v>
      </c>
      <c r="K33" t="s">
        <v>63</v>
      </c>
      <c r="L33" t="s">
        <v>64</v>
      </c>
      <c r="M33" s="14">
        <f>[1]prod_table_raw!N150</f>
        <v>1165551</v>
      </c>
      <c r="N33">
        <f>(Q33+R33)/0.98</f>
        <v>1.0473627551020408</v>
      </c>
      <c r="O33"/>
      <c r="P33">
        <f t="shared" si="0"/>
        <v>1165549.9526372449</v>
      </c>
      <c r="Q33" s="16">
        <f>[1]prod_table_raw!N148</f>
        <v>1.0264154999999999</v>
      </c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>
        <f>S33/([1]concentrate_grade!$F$4/100)</f>
        <v>0</v>
      </c>
      <c r="AE33">
        <f>T33/([1]concentrate_grade!$F$6/100)</f>
        <v>0</v>
      </c>
      <c r="AF33">
        <f>V33/([1]concentrate_grade!$F$5/100)</f>
        <v>0</v>
      </c>
      <c r="AG33">
        <f>W33/([1]concentrate_grade!$F$9/100)</f>
        <v>0</v>
      </c>
      <c r="AH33">
        <f>X33/([1]concentrate_grade!$F$8/100)</f>
        <v>0</v>
      </c>
      <c r="AI33" s="16"/>
      <c r="AJ33" s="16"/>
      <c r="AK33" s="16"/>
      <c r="AL33">
        <f t="shared" si="1"/>
        <v>1.0473627551020408</v>
      </c>
    </row>
    <row r="34" spans="1:38" s="7" customFormat="1" x14ac:dyDescent="0.25">
      <c r="A34" s="5" t="s">
        <v>193</v>
      </c>
      <c r="C34" s="7" t="s">
        <v>194</v>
      </c>
      <c r="E34" s="7" t="s">
        <v>195</v>
      </c>
      <c r="F34" s="8" t="s">
        <v>48</v>
      </c>
      <c r="G34" s="5" t="s">
        <v>49</v>
      </c>
      <c r="H34" s="7" t="s">
        <v>196</v>
      </c>
      <c r="I34" s="8" t="s">
        <v>197</v>
      </c>
      <c r="J34" s="7" t="s">
        <v>53</v>
      </c>
      <c r="K34" s="7" t="s">
        <v>54</v>
      </c>
      <c r="L34" s="7" t="s">
        <v>198</v>
      </c>
      <c r="M34" s="5">
        <f>[1]prod_table_raw!N151</f>
        <v>5600000</v>
      </c>
      <c r="P34" s="7">
        <f t="shared" si="0"/>
        <v>5600000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7">
        <f>S34/([1]concentrate_grade!$F$4/100)</f>
        <v>0</v>
      </c>
      <c r="AE34" s="7">
        <f>T34/([1]concentrate_grade!$F$6/100)</f>
        <v>0</v>
      </c>
      <c r="AF34" s="7">
        <f>V34/([1]concentrate_grade!$F$5/100)</f>
        <v>0</v>
      </c>
      <c r="AG34" s="7">
        <f>W34/([1]concentrate_grade!$F$9/100)</f>
        <v>0</v>
      </c>
      <c r="AH34" s="7">
        <f>X34/([1]concentrate_grade!$F$8/100)</f>
        <v>0</v>
      </c>
      <c r="AI34" s="13"/>
      <c r="AJ34" s="13"/>
      <c r="AK34" s="13"/>
      <c r="AL34" s="7">
        <f t="shared" ref="AL34:AL66" si="2">N34</f>
        <v>0</v>
      </c>
    </row>
    <row r="35" spans="1:38" x14ac:dyDescent="0.25">
      <c r="A35" s="14" t="s">
        <v>199</v>
      </c>
      <c r="C35" t="s">
        <v>200</v>
      </c>
      <c r="E35" t="s">
        <v>88</v>
      </c>
      <c r="F35" s="15" t="s">
        <v>48</v>
      </c>
      <c r="G35" s="14" t="s">
        <v>89</v>
      </c>
      <c r="H35" t="s">
        <v>90</v>
      </c>
      <c r="I35" s="15" t="s">
        <v>201</v>
      </c>
      <c r="J35" t="s">
        <v>202</v>
      </c>
      <c r="K35" t="s">
        <v>203</v>
      </c>
      <c r="L35" t="s">
        <v>204</v>
      </c>
      <c r="M35" s="14">
        <f>[1]prod_table_raw!N157</f>
        <v>317660</v>
      </c>
      <c r="N35"/>
      <c r="O35"/>
      <c r="P35">
        <f t="shared" si="0"/>
        <v>317660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>
        <f>S35/([1]concentrate_grade!$F$4/100)</f>
        <v>0</v>
      </c>
      <c r="AE35">
        <f>T35/([1]concentrate_grade!$F$6/100)</f>
        <v>0</v>
      </c>
      <c r="AF35">
        <f>V35/([1]concentrate_grade!$F$5/100)</f>
        <v>0</v>
      </c>
      <c r="AG35">
        <f>W35/([1]concentrate_grade!$F$9/100)</f>
        <v>0</v>
      </c>
      <c r="AH35">
        <f>X35/([1]concentrate_grade!$F$8/100)</f>
        <v>0</v>
      </c>
      <c r="AI35" s="16"/>
      <c r="AJ35" s="16"/>
      <c r="AK35" s="16"/>
      <c r="AL35">
        <f t="shared" si="2"/>
        <v>0</v>
      </c>
    </row>
    <row r="36" spans="1:38" x14ac:dyDescent="0.25">
      <c r="A36" s="14" t="s">
        <v>205</v>
      </c>
      <c r="C36" t="s">
        <v>206</v>
      </c>
      <c r="E36" t="s">
        <v>195</v>
      </c>
      <c r="F36" s="15" t="s">
        <v>48</v>
      </c>
      <c r="G36" s="14" t="s">
        <v>83</v>
      </c>
      <c r="H36" t="s">
        <v>60</v>
      </c>
      <c r="I36" s="15" t="s">
        <v>111</v>
      </c>
      <c r="J36" t="s">
        <v>51</v>
      </c>
      <c r="K36" t="s">
        <v>75</v>
      </c>
      <c r="L36" t="s">
        <v>64</v>
      </c>
      <c r="M36" s="14">
        <f>[1]prod_table_raw!N163</f>
        <v>1918143</v>
      </c>
      <c r="N36">
        <f>(Q36+R36)/0.98</f>
        <v>12.41413683010194</v>
      </c>
      <c r="O36"/>
      <c r="P36">
        <f t="shared" si="0"/>
        <v>1918130.58586317</v>
      </c>
      <c r="Q36" s="16">
        <f>[1]prod_table_raw!N164</f>
        <v>11.326059593499901</v>
      </c>
      <c r="R36" s="16">
        <f>[1]prod_table_raw!N165</f>
        <v>0.8397945</v>
      </c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>
        <f>S36/([1]concentrate_grade!$F$4/100)</f>
        <v>0</v>
      </c>
      <c r="AE36">
        <f>T36/([1]concentrate_grade!$F$6/100)</f>
        <v>0</v>
      </c>
      <c r="AF36">
        <f>V36/([1]concentrate_grade!$F$5/100)</f>
        <v>0</v>
      </c>
      <c r="AG36">
        <f>W36/([1]concentrate_grade!$F$9/100)</f>
        <v>0</v>
      </c>
      <c r="AH36">
        <f>X36/([1]concentrate_grade!$F$8/100)</f>
        <v>0</v>
      </c>
      <c r="AI36" s="16"/>
      <c r="AJ36" s="16"/>
      <c r="AK36" s="16"/>
      <c r="AL36">
        <f t="shared" si="2"/>
        <v>12.41413683010194</v>
      </c>
    </row>
    <row r="37" spans="1:38" x14ac:dyDescent="0.25">
      <c r="A37" s="14" t="s">
        <v>207</v>
      </c>
      <c r="C37" t="s">
        <v>208</v>
      </c>
      <c r="E37" t="s">
        <v>58</v>
      </c>
      <c r="F37" s="15" t="s">
        <v>48</v>
      </c>
      <c r="G37" s="14" t="s">
        <v>74</v>
      </c>
      <c r="H37" t="s">
        <v>103</v>
      </c>
      <c r="I37" s="15" t="s">
        <v>104</v>
      </c>
      <c r="J37" t="s">
        <v>51</v>
      </c>
      <c r="K37" t="s">
        <v>209</v>
      </c>
      <c r="L37" t="s">
        <v>106</v>
      </c>
      <c r="M37" s="14">
        <f>[1]prod_table_raw!N175</f>
        <v>21680000</v>
      </c>
      <c r="N37"/>
      <c r="O37">
        <f>S37/([1]concentrate_grade!$F$4/100)</f>
        <v>93533.694346666671</v>
      </c>
      <c r="P37">
        <f t="shared" si="0"/>
        <v>21586466.305653334</v>
      </c>
      <c r="Q37" s="16">
        <f>[1]prod_table_raw!N173</f>
        <v>4.8021004684999999</v>
      </c>
      <c r="R37" s="16"/>
      <c r="S37" s="16">
        <f>[1]prod_table_raw!N171</f>
        <v>28060.108304000001</v>
      </c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>
        <f>S37/([1]concentrate_grade!$F$4/100)</f>
        <v>93533.694346666671</v>
      </c>
      <c r="AE37">
        <f>T37/([1]concentrate_grade!$F$6/100)</f>
        <v>0</v>
      </c>
      <c r="AF37">
        <f>V37/([1]concentrate_grade!$F$5/100)</f>
        <v>0</v>
      </c>
      <c r="AG37">
        <f>W37/([1]concentrate_grade!$F$9/100)</f>
        <v>0</v>
      </c>
      <c r="AH37">
        <f>X37/([1]concentrate_grade!$F$8/100)</f>
        <v>0</v>
      </c>
      <c r="AI37" s="16"/>
      <c r="AJ37" s="16"/>
      <c r="AK37" s="16"/>
      <c r="AL37">
        <f t="shared" si="2"/>
        <v>0</v>
      </c>
    </row>
    <row r="38" spans="1:38" x14ac:dyDescent="0.25">
      <c r="A38" s="14" t="s">
        <v>210</v>
      </c>
      <c r="C38" t="s">
        <v>211</v>
      </c>
      <c r="E38" t="s">
        <v>58</v>
      </c>
      <c r="F38" s="15" t="s">
        <v>48</v>
      </c>
      <c r="G38" s="14" t="s">
        <v>74</v>
      </c>
      <c r="H38" t="s">
        <v>103</v>
      </c>
      <c r="I38" s="15" t="s">
        <v>212</v>
      </c>
      <c r="J38" t="s">
        <v>51</v>
      </c>
      <c r="K38" t="s">
        <v>209</v>
      </c>
      <c r="L38" t="s">
        <v>106</v>
      </c>
      <c r="M38" s="14">
        <f>[1]prod_table_raw!N179</f>
        <v>5948239</v>
      </c>
      <c r="N38"/>
      <c r="O38">
        <f>S38/([1]concentrate_grade!$F$4/100)</f>
        <v>45578.436133333336</v>
      </c>
      <c r="P38">
        <f t="shared" si="0"/>
        <v>5902660.5638666665</v>
      </c>
      <c r="Q38" s="16">
        <f>[1]prod_table_raw!N178</f>
        <v>1.301183819</v>
      </c>
      <c r="R38" s="16"/>
      <c r="S38" s="16">
        <f>[1]prod_table_raw!N180</f>
        <v>13673.530839999999</v>
      </c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>
        <f>S38/([1]concentrate_grade!$F$4/100)</f>
        <v>45578.436133333336</v>
      </c>
      <c r="AE38">
        <f>T38/([1]concentrate_grade!$F$6/100)</f>
        <v>0</v>
      </c>
      <c r="AF38">
        <f>V38/([1]concentrate_grade!$F$5/100)</f>
        <v>0</v>
      </c>
      <c r="AG38">
        <f>W38/([1]concentrate_grade!$F$9/100)</f>
        <v>0</v>
      </c>
      <c r="AH38">
        <f>X38/([1]concentrate_grade!$F$8/100)</f>
        <v>0</v>
      </c>
      <c r="AI38" s="16"/>
      <c r="AJ38" s="16"/>
      <c r="AK38" s="16"/>
      <c r="AL38">
        <f t="shared" si="2"/>
        <v>0</v>
      </c>
    </row>
    <row r="39" spans="1:38" x14ac:dyDescent="0.25">
      <c r="A39" s="14" t="s">
        <v>213</v>
      </c>
      <c r="C39" t="s">
        <v>214</v>
      </c>
      <c r="E39" t="s">
        <v>88</v>
      </c>
      <c r="F39" s="15" t="s">
        <v>48</v>
      </c>
      <c r="G39" s="14" t="s">
        <v>59</v>
      </c>
      <c r="H39" t="s">
        <v>60</v>
      </c>
      <c r="I39" s="15" t="s">
        <v>62</v>
      </c>
      <c r="J39" t="s">
        <v>51</v>
      </c>
      <c r="K39" t="s">
        <v>63</v>
      </c>
      <c r="L39" t="s">
        <v>64</v>
      </c>
      <c r="M39" s="14">
        <f>[1]prod_table_raw!N183</f>
        <v>1028000</v>
      </c>
      <c r="N39">
        <f>(Q39+R39)/0.98</f>
        <v>5.7128877551020407</v>
      </c>
      <c r="O39"/>
      <c r="P39">
        <f t="shared" si="0"/>
        <v>1027994.2871122449</v>
      </c>
      <c r="Q39" s="16">
        <f>[1]prod_table_raw!N184</f>
        <v>5.59863</v>
      </c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>
        <f>S39/([1]concentrate_grade!$F$4/100)</f>
        <v>0</v>
      </c>
      <c r="AE39">
        <f>T39/([1]concentrate_grade!$F$6/100)</f>
        <v>0</v>
      </c>
      <c r="AF39">
        <f>V39/([1]concentrate_grade!$F$5/100)</f>
        <v>0</v>
      </c>
      <c r="AG39">
        <f>W39/([1]concentrate_grade!$F$9/100)</f>
        <v>0</v>
      </c>
      <c r="AH39">
        <f>X39/([1]concentrate_grade!$F$8/100)</f>
        <v>0</v>
      </c>
      <c r="AI39" s="16"/>
      <c r="AJ39" s="16"/>
      <c r="AK39" s="16"/>
      <c r="AL39">
        <f t="shared" si="2"/>
        <v>5.7128877551020407</v>
      </c>
    </row>
    <row r="40" spans="1:38" x14ac:dyDescent="0.25">
      <c r="A40" s="14" t="s">
        <v>215</v>
      </c>
      <c r="C40" t="s">
        <v>216</v>
      </c>
      <c r="E40" t="s">
        <v>58</v>
      </c>
      <c r="F40" s="15" t="s">
        <v>48</v>
      </c>
      <c r="G40" s="14" t="s">
        <v>59</v>
      </c>
      <c r="H40" t="s">
        <v>103</v>
      </c>
      <c r="I40" s="15" t="s">
        <v>212</v>
      </c>
      <c r="J40" t="s">
        <v>51</v>
      </c>
      <c r="K40" t="s">
        <v>209</v>
      </c>
      <c r="L40" t="s">
        <v>106</v>
      </c>
      <c r="M40" s="14">
        <f>[1]prod_table_raw!N189</f>
        <v>3065000</v>
      </c>
      <c r="N40"/>
      <c r="O40">
        <f>S40/([1]concentrate_grade!$F$4/100)</f>
        <v>71667.536000000007</v>
      </c>
      <c r="P40">
        <f t="shared" si="0"/>
        <v>2993332.4640000002</v>
      </c>
      <c r="Q40" s="16">
        <f>[1]prod_table_raw!N187</f>
        <v>2.0974023155000001</v>
      </c>
      <c r="R40" s="16"/>
      <c r="S40" s="16">
        <f>[1]prod_table_raw!N190</f>
        <v>21500.2608</v>
      </c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>
        <f>S40/([1]concentrate_grade!$F$4/100)</f>
        <v>71667.536000000007</v>
      </c>
      <c r="AE40">
        <f>T40/([1]concentrate_grade!$F$6/100)</f>
        <v>0</v>
      </c>
      <c r="AF40">
        <f>V40/([1]concentrate_grade!$F$5/100)</f>
        <v>0</v>
      </c>
      <c r="AG40">
        <f>W40/([1]concentrate_grade!$F$9/100)</f>
        <v>0</v>
      </c>
      <c r="AH40">
        <f>X40/([1]concentrate_grade!$F$8/100)</f>
        <v>0</v>
      </c>
      <c r="AI40" s="16"/>
      <c r="AJ40" s="16"/>
      <c r="AK40" s="16"/>
      <c r="AL40">
        <f t="shared" si="2"/>
        <v>0</v>
      </c>
    </row>
    <row r="41" spans="1:38" x14ac:dyDescent="0.25">
      <c r="A41" s="14" t="s">
        <v>217</v>
      </c>
      <c r="B41" t="s">
        <v>123</v>
      </c>
      <c r="C41" t="s">
        <v>218</v>
      </c>
      <c r="D41" t="s">
        <v>125</v>
      </c>
      <c r="E41" t="s">
        <v>88</v>
      </c>
      <c r="F41" s="15" t="s">
        <v>48</v>
      </c>
      <c r="G41" s="14" t="s">
        <v>89</v>
      </c>
      <c r="H41" t="s">
        <v>90</v>
      </c>
      <c r="I41" s="15" t="s">
        <v>219</v>
      </c>
      <c r="J41" t="s">
        <v>61</v>
      </c>
      <c r="K41" t="s">
        <v>93</v>
      </c>
      <c r="L41" t="s">
        <v>94</v>
      </c>
      <c r="M41" s="14">
        <f>[1]prod_table_raw!N194</f>
        <v>320160</v>
      </c>
      <c r="N41"/>
      <c r="O41">
        <f>T41/([1]concentrate_grade!$F$6/100)</f>
        <v>0</v>
      </c>
      <c r="P41">
        <f t="shared" si="0"/>
        <v>320160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/>
      <c r="AE41">
        <f>T41/([1]concentrate_grade!$F$6/100)</f>
        <v>0</v>
      </c>
      <c r="AF41">
        <f>V41/([1]concentrate_grade!$F$5/100)</f>
        <v>0</v>
      </c>
      <c r="AG41">
        <f>W41/([1]concentrate_grade!$F$9/100)</f>
        <v>0</v>
      </c>
      <c r="AH41">
        <f>X41/([1]concentrate_grade!$F$8/100)</f>
        <v>0</v>
      </c>
      <c r="AI41" s="16"/>
      <c r="AJ41" s="16"/>
      <c r="AK41" s="16"/>
      <c r="AL41">
        <f t="shared" si="2"/>
        <v>0</v>
      </c>
    </row>
    <row r="42" spans="1:38" s="7" customFormat="1" x14ac:dyDescent="0.25">
      <c r="A42" s="5" t="s">
        <v>220</v>
      </c>
      <c r="C42" s="7" t="s">
        <v>221</v>
      </c>
      <c r="E42" s="7" t="s">
        <v>47</v>
      </c>
      <c r="F42" s="8" t="s">
        <v>48</v>
      </c>
      <c r="G42" s="5" t="s">
        <v>59</v>
      </c>
      <c r="H42" s="7" t="s">
        <v>222</v>
      </c>
      <c r="I42" s="8" t="s">
        <v>223</v>
      </c>
      <c r="J42" s="7" t="s">
        <v>224</v>
      </c>
      <c r="K42" s="7" t="s">
        <v>6</v>
      </c>
      <c r="L42" s="7" t="s">
        <v>225</v>
      </c>
      <c r="M42" s="5">
        <f>[1]prod_table_raw!N195</f>
        <v>2200000</v>
      </c>
      <c r="O42" s="7" t="e">
        <f>AC42/([1]concentrate_grade!#REF!/100)</f>
        <v>#REF!</v>
      </c>
      <c r="P42" s="7" t="e">
        <f t="shared" si="0"/>
        <v>#REF!</v>
      </c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>
        <f>[1]prod_table_raw!N196</f>
        <v>6568.95</v>
      </c>
      <c r="AD42" s="7">
        <f>S42/([1]concentrate_grade!$F$4/100)</f>
        <v>0</v>
      </c>
      <c r="AE42" s="7">
        <f>T42/([1]concentrate_grade!$F$6/100)</f>
        <v>0</v>
      </c>
      <c r="AF42" s="7">
        <f>V42/([1]concentrate_grade!$F$5/100)</f>
        <v>0</v>
      </c>
      <c r="AG42" s="7">
        <f>W42/([1]concentrate_grade!$F$9/100)</f>
        <v>0</v>
      </c>
      <c r="AH42" s="7">
        <f>X42/([1]concentrate_grade!$F$8/100)</f>
        <v>0</v>
      </c>
      <c r="AI42" s="13"/>
      <c r="AJ42" s="13"/>
      <c r="AK42" s="13"/>
      <c r="AL42" s="7">
        <f t="shared" si="2"/>
        <v>0</v>
      </c>
    </row>
    <row r="43" spans="1:38" s="7" customFormat="1" x14ac:dyDescent="0.25">
      <c r="A43" s="5" t="s">
        <v>226</v>
      </c>
      <c r="C43" s="7" t="s">
        <v>227</v>
      </c>
      <c r="E43" s="7" t="s">
        <v>47</v>
      </c>
      <c r="F43" s="8" t="s">
        <v>67</v>
      </c>
      <c r="G43" s="5" t="s">
        <v>228</v>
      </c>
      <c r="H43" s="7" t="s">
        <v>229</v>
      </c>
      <c r="I43" s="8" t="s">
        <v>230</v>
      </c>
      <c r="J43" s="7" t="s">
        <v>152</v>
      </c>
      <c r="K43" s="7" t="s">
        <v>6</v>
      </c>
      <c r="M43" s="5"/>
      <c r="P43" s="7">
        <f t="shared" si="0"/>
        <v>0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>
        <f>[1]prod_table_raw!N197</f>
        <v>11700</v>
      </c>
      <c r="AD43" s="6">
        <f>S43/([1]concentrate_grade!$F$4/100)</f>
        <v>0</v>
      </c>
      <c r="AE43" s="6">
        <f>T43/([1]concentrate_grade!$F$6/100)</f>
        <v>0</v>
      </c>
      <c r="AF43" s="7">
        <f>V43/([1]concentrate_grade!$F$5/100)</f>
        <v>0</v>
      </c>
      <c r="AG43" s="13"/>
      <c r="AH43" s="7">
        <f>X43/([1]concentrate_grade!$F$8/100)</f>
        <v>0</v>
      </c>
      <c r="AI43" s="13"/>
      <c r="AJ43" s="13"/>
      <c r="AK43" s="13"/>
      <c r="AL43" s="7">
        <f t="shared" si="2"/>
        <v>0</v>
      </c>
    </row>
    <row r="44" spans="1:38" x14ac:dyDescent="0.25">
      <c r="A44" s="14" t="s">
        <v>231</v>
      </c>
      <c r="C44" t="s">
        <v>232</v>
      </c>
      <c r="E44" t="s">
        <v>47</v>
      </c>
      <c r="F44" s="15" t="s">
        <v>48</v>
      </c>
      <c r="G44" s="14" t="s">
        <v>83</v>
      </c>
      <c r="H44" t="s">
        <v>90</v>
      </c>
      <c r="I44" s="15" t="s">
        <v>233</v>
      </c>
      <c r="J44" t="s">
        <v>51</v>
      </c>
      <c r="K44" t="s">
        <v>93</v>
      </c>
      <c r="L44" t="s">
        <v>94</v>
      </c>
      <c r="M44" s="14">
        <f>[1]prod_table_raw!N202</f>
        <v>6835294.1176470499</v>
      </c>
      <c r="N44"/>
      <c r="O44">
        <f>T44/([1]concentrate_grade!$F$6/100)</f>
        <v>363125</v>
      </c>
      <c r="P44">
        <f t="shared" si="0"/>
        <v>6472169.1176470499</v>
      </c>
      <c r="Q44" s="16"/>
      <c r="R44" s="16"/>
      <c r="S44" s="16">
        <f>[1]prod_table_raw!N200</f>
        <v>40926</v>
      </c>
      <c r="T44" s="16">
        <f>[1]prod_table_raw!N201</f>
        <v>58100</v>
      </c>
      <c r="U44" s="16"/>
      <c r="V44" s="16"/>
      <c r="W44" s="16"/>
      <c r="X44" s="16"/>
      <c r="Y44" s="16"/>
      <c r="Z44" s="16"/>
      <c r="AA44" s="16"/>
      <c r="AB44" s="16"/>
      <c r="AC44" s="16"/>
      <c r="AD44"/>
      <c r="AE44">
        <f>T44/([1]concentrate_grade!$F$6/100)</f>
        <v>363125</v>
      </c>
      <c r="AF44">
        <f>V44/([1]concentrate_grade!$F$5/100)</f>
        <v>0</v>
      </c>
      <c r="AG44">
        <f>W44/([1]concentrate_grade!$F$9/100)</f>
        <v>0</v>
      </c>
      <c r="AH44">
        <f>X44/([1]concentrate_grade!$F$8/100)</f>
        <v>0</v>
      </c>
      <c r="AI44" s="16"/>
      <c r="AJ44" s="16"/>
      <c r="AK44" s="16"/>
      <c r="AL44">
        <f t="shared" si="2"/>
        <v>0</v>
      </c>
    </row>
    <row r="45" spans="1:38" x14ac:dyDescent="0.25">
      <c r="A45" s="14" t="s">
        <v>234</v>
      </c>
      <c r="C45" t="s">
        <v>235</v>
      </c>
      <c r="E45" t="s">
        <v>47</v>
      </c>
      <c r="F45" s="15" t="s">
        <v>48</v>
      </c>
      <c r="G45" s="14" t="s">
        <v>59</v>
      </c>
      <c r="H45" t="s">
        <v>90</v>
      </c>
      <c r="I45" s="15" t="s">
        <v>236</v>
      </c>
      <c r="J45" t="s">
        <v>51</v>
      </c>
      <c r="K45" t="s">
        <v>237</v>
      </c>
      <c r="L45" t="s">
        <v>94</v>
      </c>
      <c r="M45" s="14">
        <f>[1]prod_table_raw!N207</f>
        <v>1500000</v>
      </c>
      <c r="N45"/>
      <c r="O45">
        <f>T45/([1]concentrate_grade!$F$6/100)</f>
        <v>151450</v>
      </c>
      <c r="P45">
        <f t="shared" si="0"/>
        <v>1348550</v>
      </c>
      <c r="Q45" s="16"/>
      <c r="R45" s="16"/>
      <c r="S45" s="16">
        <f>[1]prod_table_raw!N203</f>
        <v>5488</v>
      </c>
      <c r="T45" s="16">
        <f>[1]prod_table_raw!N204</f>
        <v>24232</v>
      </c>
      <c r="U45" s="16">
        <f>[1]prod_table_raw!N205</f>
        <v>498</v>
      </c>
      <c r="V45" s="16"/>
      <c r="W45" s="16"/>
      <c r="X45" s="16"/>
      <c r="Y45" s="16"/>
      <c r="Z45" s="16">
        <f>[1]prod_table_raw!N206</f>
        <v>4.4160749299999997</v>
      </c>
      <c r="AA45" s="16"/>
      <c r="AB45" s="16"/>
      <c r="AC45" s="16"/>
      <c r="AD45"/>
      <c r="AE45">
        <f>T45/([1]concentrate_grade!$F$6/100)</f>
        <v>151450</v>
      </c>
      <c r="AF45">
        <f>V45/([1]concentrate_grade!$F$5/100)</f>
        <v>0</v>
      </c>
      <c r="AG45">
        <f>W45/([1]concentrate_grade!$F$9/100)</f>
        <v>0</v>
      </c>
      <c r="AH45">
        <f>X45/([1]concentrate_grade!$F$8/100)</f>
        <v>0</v>
      </c>
      <c r="AI45" s="16"/>
      <c r="AJ45" s="16"/>
      <c r="AK45" s="16"/>
      <c r="AL45">
        <f t="shared" si="2"/>
        <v>0</v>
      </c>
    </row>
    <row r="46" spans="1:38" x14ac:dyDescent="0.25">
      <c r="A46" s="14" t="s">
        <v>238</v>
      </c>
      <c r="C46" t="s">
        <v>239</v>
      </c>
      <c r="E46" t="s">
        <v>88</v>
      </c>
      <c r="F46" s="15" t="s">
        <v>48</v>
      </c>
      <c r="G46" s="14" t="s">
        <v>83</v>
      </c>
      <c r="H46" t="s">
        <v>60</v>
      </c>
      <c r="I46" s="15" t="s">
        <v>62</v>
      </c>
      <c r="J46" t="s">
        <v>51</v>
      </c>
      <c r="K46" t="s">
        <v>63</v>
      </c>
      <c r="L46" t="s">
        <v>64</v>
      </c>
      <c r="M46" s="14">
        <f>[1]prod_table_raw!N211</f>
        <v>8764000</v>
      </c>
      <c r="N46">
        <f>(Q46+R46)/0.98</f>
        <v>8.0534261301020305</v>
      </c>
      <c r="O46"/>
      <c r="P46">
        <f t="shared" si="0"/>
        <v>8763991.9465738703</v>
      </c>
      <c r="Q46" s="16">
        <f>[1]prod_table_raw!N212</f>
        <v>7.8923576074999904</v>
      </c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>
        <f>S46/([1]concentrate_grade!$F$4/100)</f>
        <v>0</v>
      </c>
      <c r="AE46">
        <f>T46/([1]concentrate_grade!$F$6/100)</f>
        <v>0</v>
      </c>
      <c r="AF46">
        <f>V46/([1]concentrate_grade!$F$5/100)</f>
        <v>0</v>
      </c>
      <c r="AG46">
        <f>W46/([1]concentrate_grade!$F$9/100)</f>
        <v>0</v>
      </c>
      <c r="AH46">
        <f>X46/([1]concentrate_grade!$F$8/100)</f>
        <v>0</v>
      </c>
      <c r="AI46" s="16"/>
      <c r="AJ46" s="16"/>
      <c r="AK46" s="16"/>
      <c r="AL46">
        <f t="shared" si="2"/>
        <v>8.0534261301020305</v>
      </c>
    </row>
    <row r="47" spans="1:38" x14ac:dyDescent="0.25">
      <c r="A47" s="14" t="s">
        <v>240</v>
      </c>
      <c r="C47" t="s">
        <v>241</v>
      </c>
      <c r="E47" t="s">
        <v>58</v>
      </c>
      <c r="F47" s="15" t="s">
        <v>48</v>
      </c>
      <c r="G47" s="14" t="s">
        <v>74</v>
      </c>
      <c r="H47" t="s">
        <v>137</v>
      </c>
      <c r="I47" s="15" t="s">
        <v>212</v>
      </c>
      <c r="J47" t="s">
        <v>51</v>
      </c>
      <c r="K47" t="s">
        <v>242</v>
      </c>
      <c r="L47" t="s">
        <v>106</v>
      </c>
      <c r="M47" s="14">
        <f>[1]prod_table_raw!N215</f>
        <v>1139000</v>
      </c>
      <c r="N47">
        <f>(Q47+R47)/0.98</f>
        <v>0.15869132653061224</v>
      </c>
      <c r="O47">
        <f>S47/([1]concentrate_grade!$F$4/100)</f>
        <v>13333.333333333334</v>
      </c>
      <c r="P47">
        <f t="shared" si="0"/>
        <v>1125666.5079753401</v>
      </c>
      <c r="Q47" s="16">
        <f>[1]prod_table_raw!N214</f>
        <v>0.1555175</v>
      </c>
      <c r="R47" s="16"/>
      <c r="S47" s="16">
        <f>[1]prod_table_raw!N217</f>
        <v>4000</v>
      </c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>
        <f>S47/([1]concentrate_grade!$F$4/100)</f>
        <v>13333.333333333334</v>
      </c>
      <c r="AE47">
        <f>T47/([1]concentrate_grade!$F$6/100)</f>
        <v>0</v>
      </c>
      <c r="AF47">
        <f>V47/([1]concentrate_grade!$F$5/100)</f>
        <v>0</v>
      </c>
      <c r="AG47">
        <f>W47/([1]concentrate_grade!$F$9/100)</f>
        <v>0</v>
      </c>
      <c r="AH47">
        <f>X47/([1]concentrate_grade!$F$8/100)</f>
        <v>0</v>
      </c>
      <c r="AI47" s="16"/>
      <c r="AJ47" s="16"/>
      <c r="AK47" s="16"/>
      <c r="AL47">
        <f t="shared" si="2"/>
        <v>0.15869132653061224</v>
      </c>
    </row>
    <row r="48" spans="1:38" s="10" customFormat="1" x14ac:dyDescent="0.25">
      <c r="A48" s="9" t="s">
        <v>243</v>
      </c>
      <c r="C48" s="10" t="s">
        <v>244</v>
      </c>
      <c r="E48" s="10" t="s">
        <v>88</v>
      </c>
      <c r="F48" s="11" t="s">
        <v>48</v>
      </c>
      <c r="G48" s="9" t="s">
        <v>59</v>
      </c>
      <c r="H48" s="10" t="s">
        <v>245</v>
      </c>
      <c r="I48" s="11" t="s">
        <v>62</v>
      </c>
      <c r="J48" s="10" t="s">
        <v>51</v>
      </c>
      <c r="K48" s="10" t="s">
        <v>63</v>
      </c>
      <c r="L48" s="10" t="s">
        <v>64</v>
      </c>
      <c r="M48" s="9">
        <f>[1]prod_table_raw!N222</f>
        <v>841000</v>
      </c>
      <c r="N48" s="10">
        <f>(Q48+R48)/0.98</f>
        <v>3.5769025000000001</v>
      </c>
      <c r="P48" s="10">
        <f t="shared" si="0"/>
        <v>840996.4230975</v>
      </c>
      <c r="Q48" s="12">
        <f>[1]prod_table_raw!N223</f>
        <v>3.5053644500000001</v>
      </c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0">
        <f>S48/([1]concentrate_grade!$F$4/100)</f>
        <v>0</v>
      </c>
      <c r="AE48" s="10">
        <f>T48/([1]concentrate_grade!$F$6/100)</f>
        <v>0</v>
      </c>
      <c r="AF48" s="10">
        <f>V48/([1]concentrate_grade!$F$5/100)</f>
        <v>0</v>
      </c>
      <c r="AG48" s="10">
        <f>W48/([1]concentrate_grade!$F$9/100)</f>
        <v>0</v>
      </c>
      <c r="AH48" s="10">
        <f>X48/([1]concentrate_grade!$F$8/100)</f>
        <v>0</v>
      </c>
      <c r="AI48" s="12"/>
      <c r="AJ48" s="12"/>
      <c r="AK48" s="12"/>
      <c r="AL48" s="10">
        <f t="shared" si="2"/>
        <v>3.5769025000000001</v>
      </c>
    </row>
    <row r="49" spans="1:38" s="7" customFormat="1" x14ac:dyDescent="0.25">
      <c r="A49" s="5" t="s">
        <v>246</v>
      </c>
      <c r="C49" s="7" t="s">
        <v>247</v>
      </c>
      <c r="E49" s="7" t="s">
        <v>78</v>
      </c>
      <c r="F49" s="8" t="s">
        <v>48</v>
      </c>
      <c r="G49" s="5" t="s">
        <v>74</v>
      </c>
      <c r="H49" s="7" t="s">
        <v>248</v>
      </c>
      <c r="I49" s="8" t="s">
        <v>52</v>
      </c>
      <c r="J49" s="7" t="s">
        <v>53</v>
      </c>
      <c r="K49" s="7" t="s">
        <v>54</v>
      </c>
      <c r="L49" s="7" t="s">
        <v>55</v>
      </c>
      <c r="M49" s="5">
        <f>[1]prod_table_raw!N226</f>
        <v>3560000</v>
      </c>
      <c r="P49" s="7">
        <f t="shared" si="0"/>
        <v>3560000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7">
        <f>S49/([1]concentrate_grade!$F$4/100)</f>
        <v>0</v>
      </c>
      <c r="AE49" s="7">
        <f>T49/([1]concentrate_grade!$F$6/100)</f>
        <v>0</v>
      </c>
      <c r="AF49" s="7">
        <f>V49/([1]concentrate_grade!$F$5/100)</f>
        <v>0</v>
      </c>
      <c r="AG49" s="7">
        <f>W49/([1]concentrate_grade!$F$9/100)</f>
        <v>0</v>
      </c>
      <c r="AH49" s="7">
        <f>X49/([1]concentrate_grade!$F$8/100)</f>
        <v>0</v>
      </c>
      <c r="AI49" s="13"/>
      <c r="AJ49" s="13"/>
      <c r="AK49" s="13"/>
      <c r="AL49" s="7">
        <f t="shared" si="2"/>
        <v>0</v>
      </c>
    </row>
    <row r="50" spans="1:38" x14ac:dyDescent="0.25">
      <c r="A50" s="14" t="s">
        <v>249</v>
      </c>
      <c r="B50" t="s">
        <v>123</v>
      </c>
      <c r="C50" t="s">
        <v>250</v>
      </c>
      <c r="D50" t="s">
        <v>125</v>
      </c>
      <c r="E50" t="s">
        <v>88</v>
      </c>
      <c r="F50" s="15" t="s">
        <v>48</v>
      </c>
      <c r="G50" s="14" t="s">
        <v>251</v>
      </c>
      <c r="H50" t="s">
        <v>90</v>
      </c>
      <c r="I50" s="15" t="s">
        <v>91</v>
      </c>
      <c r="J50" t="s">
        <v>51</v>
      </c>
      <c r="K50" t="s">
        <v>93</v>
      </c>
      <c r="L50" t="s">
        <v>94</v>
      </c>
      <c r="M50" s="14">
        <f>[1]prod_table_raw!N239</f>
        <v>1025997</v>
      </c>
      <c r="N50"/>
      <c r="O50">
        <f>T50/([1]concentrate_grade!$F$6/100)</f>
        <v>47062.5</v>
      </c>
      <c r="P50">
        <f t="shared" si="0"/>
        <v>978934.5</v>
      </c>
      <c r="Q50" s="16"/>
      <c r="R50" s="16"/>
      <c r="S50" s="16">
        <f>[1]prod_table_raw!N237</f>
        <v>7154</v>
      </c>
      <c r="T50" s="16">
        <f>[1]prod_table_raw!N238</f>
        <v>7530</v>
      </c>
      <c r="U50" s="16"/>
      <c r="V50" s="16"/>
      <c r="W50" s="16"/>
      <c r="X50" s="16"/>
      <c r="Y50" s="16"/>
      <c r="Z50" s="16"/>
      <c r="AA50" s="16"/>
      <c r="AB50" s="16"/>
      <c r="AC50" s="16"/>
      <c r="AD50"/>
      <c r="AE50">
        <f>T50/([1]concentrate_grade!$F$6/100)</f>
        <v>47062.5</v>
      </c>
      <c r="AF50">
        <f>V50/([1]concentrate_grade!$F$5/100)</f>
        <v>0</v>
      </c>
      <c r="AG50">
        <f>W50/([1]concentrate_grade!$F$9/100)</f>
        <v>0</v>
      </c>
      <c r="AH50">
        <f>X50/([1]concentrate_grade!$F$8/100)</f>
        <v>0</v>
      </c>
      <c r="AI50" s="16"/>
      <c r="AJ50" s="16"/>
      <c r="AK50" s="16"/>
      <c r="AL50">
        <f t="shared" si="2"/>
        <v>0</v>
      </c>
    </row>
    <row r="51" spans="1:38" s="7" customFormat="1" x14ac:dyDescent="0.25">
      <c r="A51" s="5" t="s">
        <v>252</v>
      </c>
      <c r="B51" s="7" t="s">
        <v>123</v>
      </c>
      <c r="C51" s="7" t="s">
        <v>253</v>
      </c>
      <c r="D51" s="7" t="s">
        <v>125</v>
      </c>
      <c r="E51" s="7" t="s">
        <v>88</v>
      </c>
      <c r="F51" s="8" t="s">
        <v>67</v>
      </c>
      <c r="G51" s="5" t="s">
        <v>254</v>
      </c>
      <c r="H51" s="7" t="s">
        <v>255</v>
      </c>
      <c r="I51" s="8" t="s">
        <v>256</v>
      </c>
      <c r="J51" s="7" t="s">
        <v>187</v>
      </c>
      <c r="K51" s="7" t="s">
        <v>93</v>
      </c>
      <c r="L51" s="7" t="s">
        <v>100</v>
      </c>
      <c r="M51" s="5"/>
      <c r="P51" s="7">
        <f t="shared" si="0"/>
        <v>0</v>
      </c>
      <c r="Q51" s="13"/>
      <c r="R51" s="13"/>
      <c r="S51" s="13">
        <f>[1]prod_table_raw!N241</f>
        <v>13720</v>
      </c>
      <c r="T51" s="13">
        <f>[1]prod_table_raw!N240</f>
        <v>62251</v>
      </c>
      <c r="U51" s="13"/>
      <c r="V51" s="13"/>
      <c r="W51" s="13"/>
      <c r="X51" s="13"/>
      <c r="Y51" s="13"/>
      <c r="Z51" s="13"/>
      <c r="AA51" s="13"/>
      <c r="AB51" s="13"/>
      <c r="AC51" s="13"/>
      <c r="AD51" s="6"/>
      <c r="AE51" s="6"/>
      <c r="AF51" s="7">
        <f>V51/([1]concentrate_grade!$F$5/100)</f>
        <v>0</v>
      </c>
      <c r="AG51" s="13"/>
      <c r="AH51" s="7">
        <f>X51/([1]concentrate_grade!$F$8/100)</f>
        <v>0</v>
      </c>
      <c r="AI51" s="13"/>
      <c r="AJ51" s="13"/>
      <c r="AK51" s="13"/>
      <c r="AL51" s="7">
        <f t="shared" si="2"/>
        <v>0</v>
      </c>
    </row>
    <row r="52" spans="1:38" x14ac:dyDescent="0.25">
      <c r="A52" s="14" t="s">
        <v>257</v>
      </c>
      <c r="C52" t="s">
        <v>258</v>
      </c>
      <c r="E52" t="s">
        <v>88</v>
      </c>
      <c r="F52" s="15" t="s">
        <v>48</v>
      </c>
      <c r="G52" s="14" t="s">
        <v>59</v>
      </c>
      <c r="H52" t="s">
        <v>60</v>
      </c>
      <c r="I52" s="15" t="s">
        <v>111</v>
      </c>
      <c r="J52" t="s">
        <v>118</v>
      </c>
      <c r="K52" t="s">
        <v>63</v>
      </c>
      <c r="L52" t="s">
        <v>64</v>
      </c>
      <c r="M52" s="14">
        <f>[1]prod_table_raw!N244</f>
        <v>234671</v>
      </c>
      <c r="N52">
        <f>(Q52+R52)/0.98</f>
        <v>1.2269695984693878</v>
      </c>
      <c r="O52"/>
      <c r="P52">
        <f t="shared" si="0"/>
        <v>234669.77303040153</v>
      </c>
      <c r="Q52" s="16">
        <f>[1]prod_table_raw!N245</f>
        <v>1.2024302065000001</v>
      </c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>
        <f>S52/([1]concentrate_grade!$F$4/100)</f>
        <v>0</v>
      </c>
      <c r="AE52">
        <f>T52/([1]concentrate_grade!$F$6/100)</f>
        <v>0</v>
      </c>
      <c r="AF52">
        <f>V52/([1]concentrate_grade!$F$5/100)</f>
        <v>0</v>
      </c>
      <c r="AG52">
        <f>W52/([1]concentrate_grade!$F$9/100)</f>
        <v>0</v>
      </c>
      <c r="AH52">
        <f>X52/([1]concentrate_grade!$F$8/100)</f>
        <v>0</v>
      </c>
      <c r="AI52" s="16"/>
      <c r="AJ52" s="16"/>
      <c r="AK52" s="16"/>
      <c r="AL52">
        <f t="shared" si="2"/>
        <v>1.2269695984693878</v>
      </c>
    </row>
    <row r="53" spans="1:38" s="7" customFormat="1" x14ac:dyDescent="0.25">
      <c r="A53" s="5" t="s">
        <v>259</v>
      </c>
      <c r="C53" s="7" t="s">
        <v>260</v>
      </c>
      <c r="E53" s="7" t="s">
        <v>261</v>
      </c>
      <c r="F53" s="8" t="s">
        <v>67</v>
      </c>
      <c r="G53" s="5" t="s">
        <v>68</v>
      </c>
      <c r="H53" s="7" t="s">
        <v>262</v>
      </c>
      <c r="I53" s="8" t="s">
        <v>263</v>
      </c>
      <c r="J53" s="7" t="s">
        <v>187</v>
      </c>
      <c r="K53" s="7" t="s">
        <v>264</v>
      </c>
      <c r="L53" s="7" t="s">
        <v>265</v>
      </c>
      <c r="M53" s="5"/>
      <c r="P53" s="7">
        <f t="shared" si="0"/>
        <v>0</v>
      </c>
      <c r="Q53" s="13"/>
      <c r="R53" s="13"/>
      <c r="S53" s="13"/>
      <c r="T53" s="13">
        <f>[1]prod_table_raw!N247</f>
        <v>32268</v>
      </c>
      <c r="U53" s="13">
        <f>[1]prod_table_raw!N246</f>
        <v>3368</v>
      </c>
      <c r="V53" s="13"/>
      <c r="W53" s="13"/>
      <c r="X53" s="13"/>
      <c r="Y53" s="13"/>
      <c r="Z53" s="13"/>
      <c r="AA53" s="13"/>
      <c r="AB53" s="13"/>
      <c r="AC53" s="13"/>
      <c r="AD53" s="6">
        <f>S53/([1]concentrate_grade!$F$4/100)</f>
        <v>0</v>
      </c>
      <c r="AE53" s="6"/>
      <c r="AF53" s="13"/>
      <c r="AG53" s="13"/>
      <c r="AH53" s="13"/>
      <c r="AI53" s="13"/>
      <c r="AJ53" s="13"/>
      <c r="AK53" s="13"/>
      <c r="AL53" s="7">
        <f t="shared" si="2"/>
        <v>0</v>
      </c>
    </row>
    <row r="54" spans="1:38" x14ac:dyDescent="0.25">
      <c r="A54" s="14" t="s">
        <v>266</v>
      </c>
      <c r="C54" t="s">
        <v>267</v>
      </c>
      <c r="E54" t="s">
        <v>268</v>
      </c>
      <c r="F54" s="15" t="s">
        <v>48</v>
      </c>
      <c r="G54" s="14" t="s">
        <v>83</v>
      </c>
      <c r="H54" t="s">
        <v>90</v>
      </c>
      <c r="I54" s="15" t="s">
        <v>269</v>
      </c>
      <c r="J54" t="s">
        <v>51</v>
      </c>
      <c r="K54" t="s">
        <v>93</v>
      </c>
      <c r="L54" t="s">
        <v>94</v>
      </c>
      <c r="M54" s="14">
        <f>[1]prod_table_raw!N250</f>
        <v>464705.88235294097</v>
      </c>
      <c r="N54"/>
      <c r="O54">
        <f>T54/([1]concentrate_grade!$F$6/100)</f>
        <v>49375</v>
      </c>
      <c r="P54">
        <f t="shared" si="0"/>
        <v>415330.88235294097</v>
      </c>
      <c r="Q54" s="16"/>
      <c r="R54" s="16"/>
      <c r="S54" s="16">
        <f>[1]prod_table_raw!N248</f>
        <v>4700</v>
      </c>
      <c r="T54" s="16">
        <f>[1]prod_table_raw!N249</f>
        <v>7900</v>
      </c>
      <c r="U54" s="16"/>
      <c r="V54" s="16"/>
      <c r="W54" s="16"/>
      <c r="X54" s="16"/>
      <c r="Y54" s="16"/>
      <c r="Z54" s="16"/>
      <c r="AA54" s="16"/>
      <c r="AB54" s="16"/>
      <c r="AC54" s="16"/>
      <c r="AD54"/>
      <c r="AE54">
        <f>T54/([1]concentrate_grade!$F$6/100)</f>
        <v>49375</v>
      </c>
      <c r="AF54">
        <f>V54/([1]concentrate_grade!$F$5/100)</f>
        <v>0</v>
      </c>
      <c r="AG54">
        <f>W54/([1]concentrate_grade!$F$9/100)</f>
        <v>0</v>
      </c>
      <c r="AH54">
        <f>X54/([1]concentrate_grade!$F$8/100)</f>
        <v>0</v>
      </c>
      <c r="AI54" s="16"/>
      <c r="AJ54" s="16"/>
      <c r="AK54" s="16"/>
      <c r="AL54">
        <f t="shared" si="2"/>
        <v>0</v>
      </c>
    </row>
    <row r="55" spans="1:38" x14ac:dyDescent="0.25">
      <c r="A55" s="14" t="s">
        <v>270</v>
      </c>
      <c r="B55" t="s">
        <v>85</v>
      </c>
      <c r="C55" t="s">
        <v>271</v>
      </c>
      <c r="D55" t="s">
        <v>87</v>
      </c>
      <c r="E55" t="s">
        <v>88</v>
      </c>
      <c r="F55" s="15" t="s">
        <v>48</v>
      </c>
      <c r="G55" s="14" t="s">
        <v>89</v>
      </c>
      <c r="H55" t="s">
        <v>90</v>
      </c>
      <c r="I55" s="15" t="s">
        <v>272</v>
      </c>
      <c r="J55" t="s">
        <v>92</v>
      </c>
      <c r="K55" t="s">
        <v>93</v>
      </c>
      <c r="L55" t="s">
        <v>94</v>
      </c>
      <c r="M55" s="14">
        <f>[1]prod_table_raw!N259</f>
        <v>414000</v>
      </c>
      <c r="N55"/>
      <c r="O55">
        <f>T55/([1]concentrate_grade!$F$6/100)</f>
        <v>39587.5</v>
      </c>
      <c r="P55">
        <f t="shared" si="0"/>
        <v>374412.5</v>
      </c>
      <c r="Q55" s="16"/>
      <c r="R55" s="16"/>
      <c r="S55" s="16">
        <f>[1]prod_table_raw!N258</f>
        <v>7783</v>
      </c>
      <c r="T55" s="16">
        <f>[1]prod_table_raw!N257</f>
        <v>6334</v>
      </c>
      <c r="U55" s="16"/>
      <c r="V55" s="16"/>
      <c r="W55" s="16"/>
      <c r="X55" s="16"/>
      <c r="Y55" s="16"/>
      <c r="Z55" s="16"/>
      <c r="AA55" s="16"/>
      <c r="AB55" s="16"/>
      <c r="AC55" s="16"/>
      <c r="AD55"/>
      <c r="AE55">
        <f>T55/([1]concentrate_grade!$F$6/100)</f>
        <v>39587.5</v>
      </c>
      <c r="AF55">
        <f>V55/([1]concentrate_grade!$F$5/100)</f>
        <v>0</v>
      </c>
      <c r="AG55">
        <f>W55/([1]concentrate_grade!$F$9/100)</f>
        <v>0</v>
      </c>
      <c r="AH55">
        <f>X55/([1]concentrate_grade!$F$8/100)</f>
        <v>0</v>
      </c>
      <c r="AI55" s="16"/>
      <c r="AJ55" s="16"/>
      <c r="AK55" s="16"/>
      <c r="AL55">
        <f t="shared" si="2"/>
        <v>0</v>
      </c>
    </row>
    <row r="56" spans="1:38" s="7" customFormat="1" x14ac:dyDescent="0.25">
      <c r="A56" s="5" t="s">
        <v>273</v>
      </c>
      <c r="C56" s="7" t="s">
        <v>274</v>
      </c>
      <c r="E56" s="7" t="s">
        <v>58</v>
      </c>
      <c r="F56" s="8" t="s">
        <v>67</v>
      </c>
      <c r="G56" s="5" t="s">
        <v>68</v>
      </c>
      <c r="H56" s="7" t="s">
        <v>69</v>
      </c>
      <c r="I56" s="8" t="s">
        <v>275</v>
      </c>
      <c r="J56" s="7" t="s">
        <v>61</v>
      </c>
      <c r="K56" s="7" t="s">
        <v>71</v>
      </c>
      <c r="M56" s="5"/>
      <c r="P56" s="7">
        <f t="shared" si="0"/>
        <v>0</v>
      </c>
      <c r="Q56" s="13"/>
      <c r="R56" s="13"/>
      <c r="S56" s="13"/>
      <c r="T56" s="13"/>
      <c r="U56" s="13"/>
      <c r="V56" s="13"/>
      <c r="W56" s="13">
        <f>[1]prod_table_raw!N262</f>
        <v>256000</v>
      </c>
      <c r="X56" s="13"/>
      <c r="Y56" s="13"/>
      <c r="Z56" s="13"/>
      <c r="AA56" s="13"/>
      <c r="AB56" s="13"/>
      <c r="AC56" s="13"/>
      <c r="AD56" s="6">
        <f>S56/([1]concentrate_grade!$F$4/100)</f>
        <v>0</v>
      </c>
      <c r="AE56" s="6">
        <f>T56/([1]concentrate_grade!$F$6/100)</f>
        <v>0</v>
      </c>
      <c r="AF56" s="13"/>
      <c r="AG56" s="13"/>
      <c r="AH56" s="13"/>
      <c r="AI56" s="13"/>
      <c r="AJ56" s="13"/>
      <c r="AK56" s="13"/>
      <c r="AL56" s="7">
        <f t="shared" si="2"/>
        <v>0</v>
      </c>
    </row>
    <row r="57" spans="1:38" x14ac:dyDescent="0.25">
      <c r="A57" s="14" t="s">
        <v>276</v>
      </c>
      <c r="C57" t="s">
        <v>277</v>
      </c>
      <c r="E57" t="s">
        <v>78</v>
      </c>
      <c r="F57" s="15" t="s">
        <v>48</v>
      </c>
      <c r="G57" s="14" t="s">
        <v>83</v>
      </c>
      <c r="H57" t="s">
        <v>90</v>
      </c>
      <c r="I57" s="15" t="s">
        <v>278</v>
      </c>
      <c r="J57" t="s">
        <v>51</v>
      </c>
      <c r="K57" t="s">
        <v>93</v>
      </c>
      <c r="L57" t="s">
        <v>94</v>
      </c>
      <c r="M57" s="14">
        <f>[1]prod_table_raw!N268</f>
        <v>794117.64705882303</v>
      </c>
      <c r="N57"/>
      <c r="O57">
        <f>T57/([1]concentrate_grade!$F$6/100)</f>
        <v>84375</v>
      </c>
      <c r="P57">
        <f t="shared" si="0"/>
        <v>709742.64705882303</v>
      </c>
      <c r="Q57" s="16"/>
      <c r="R57" s="16"/>
      <c r="S57" s="16">
        <f>[1]prod_table_raw!N266</f>
        <v>9600</v>
      </c>
      <c r="T57" s="16">
        <f>[1]prod_table_raw!N267</f>
        <v>13500</v>
      </c>
      <c r="U57" s="16"/>
      <c r="V57" s="16"/>
      <c r="W57" s="16"/>
      <c r="X57" s="16"/>
      <c r="Y57" s="16"/>
      <c r="Z57" s="16"/>
      <c r="AA57" s="16"/>
      <c r="AB57" s="16"/>
      <c r="AC57" s="16"/>
      <c r="AD57"/>
      <c r="AE57">
        <f>T57/([1]concentrate_grade!$F$6/100)</f>
        <v>84375</v>
      </c>
      <c r="AF57">
        <f>V57/([1]concentrate_grade!$F$5/100)</f>
        <v>0</v>
      </c>
      <c r="AG57">
        <f>W57/([1]concentrate_grade!$F$9/100)</f>
        <v>0</v>
      </c>
      <c r="AH57">
        <f>X57/([1]concentrate_grade!$F$8/100)</f>
        <v>0</v>
      </c>
      <c r="AI57" s="16"/>
      <c r="AJ57" s="16"/>
      <c r="AK57" s="16"/>
      <c r="AL57">
        <f t="shared" si="2"/>
        <v>0</v>
      </c>
    </row>
    <row r="58" spans="1:38" x14ac:dyDescent="0.25">
      <c r="A58" s="14" t="s">
        <v>279</v>
      </c>
      <c r="C58" t="s">
        <v>280</v>
      </c>
      <c r="E58" t="s">
        <v>47</v>
      </c>
      <c r="F58" s="15" t="s">
        <v>48</v>
      </c>
      <c r="G58" s="14" t="s">
        <v>59</v>
      </c>
      <c r="H58" t="s">
        <v>60</v>
      </c>
      <c r="I58" s="15" t="s">
        <v>62</v>
      </c>
      <c r="J58" t="s">
        <v>161</v>
      </c>
      <c r="K58" t="s">
        <v>75</v>
      </c>
      <c r="L58" t="s">
        <v>64</v>
      </c>
      <c r="M58" s="14">
        <f>[1]prod_table_raw!N271</f>
        <v>1034000</v>
      </c>
      <c r="N58">
        <f>(Q58+R58)/0.98</f>
        <v>4.1181668765306121</v>
      </c>
      <c r="O58"/>
      <c r="P58">
        <f t="shared" si="0"/>
        <v>1033995.8818331235</v>
      </c>
      <c r="Q58" s="16">
        <f>[1]prod_table_raw!N273</f>
        <v>2.8926254999999998</v>
      </c>
      <c r="R58" s="16">
        <f>[1]prod_table_raw!N274</f>
        <v>1.1431780389999999</v>
      </c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>
        <f>S58/([1]concentrate_grade!$F$4/100)</f>
        <v>0</v>
      </c>
      <c r="AE58">
        <f>T58/([1]concentrate_grade!$F$6/100)</f>
        <v>0</v>
      </c>
      <c r="AF58">
        <f>V58/([1]concentrate_grade!$F$5/100)</f>
        <v>0</v>
      </c>
      <c r="AG58">
        <f>W58/([1]concentrate_grade!$F$9/100)</f>
        <v>0</v>
      </c>
      <c r="AH58">
        <f>X58/([1]concentrate_grade!$F$8/100)</f>
        <v>0</v>
      </c>
      <c r="AI58" s="16"/>
      <c r="AJ58" s="16"/>
      <c r="AK58" s="16"/>
      <c r="AL58">
        <f t="shared" si="2"/>
        <v>4.1181668765306121</v>
      </c>
    </row>
    <row r="59" spans="1:38" x14ac:dyDescent="0.25">
      <c r="A59" s="14" t="s">
        <v>281</v>
      </c>
      <c r="C59" t="s">
        <v>282</v>
      </c>
      <c r="E59" t="s">
        <v>88</v>
      </c>
      <c r="F59" s="15" t="s">
        <v>48</v>
      </c>
      <c r="G59" s="14" t="s">
        <v>59</v>
      </c>
      <c r="H59" t="s">
        <v>60</v>
      </c>
      <c r="I59" s="15" t="s">
        <v>111</v>
      </c>
      <c r="J59" t="s">
        <v>51</v>
      </c>
      <c r="K59" t="s">
        <v>63</v>
      </c>
      <c r="L59" t="s">
        <v>64</v>
      </c>
      <c r="M59" s="14">
        <f>[1]prod_table_raw!N277</f>
        <v>2878047</v>
      </c>
      <c r="N59">
        <f>(Q59+R59)/0.98</f>
        <v>5.8747529081632548</v>
      </c>
      <c r="O59"/>
      <c r="P59">
        <f t="shared" si="0"/>
        <v>2878041.125247092</v>
      </c>
      <c r="Q59" s="16">
        <f>[1]prod_table_raw!N275</f>
        <v>5.7572578499999896</v>
      </c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>
        <f>S59/([1]concentrate_grade!$F$4/100)</f>
        <v>0</v>
      </c>
      <c r="AE59">
        <f>T59/([1]concentrate_grade!$F$6/100)</f>
        <v>0</v>
      </c>
      <c r="AF59">
        <f>V59/([1]concentrate_grade!$F$5/100)</f>
        <v>0</v>
      </c>
      <c r="AG59">
        <f>W59/([1]concentrate_grade!$F$9/100)</f>
        <v>0</v>
      </c>
      <c r="AH59">
        <f>X59/([1]concentrate_grade!$F$8/100)</f>
        <v>0</v>
      </c>
      <c r="AI59" s="16"/>
      <c r="AJ59" s="16"/>
      <c r="AK59" s="16"/>
      <c r="AL59">
        <f t="shared" si="2"/>
        <v>5.8747529081632548</v>
      </c>
    </row>
    <row r="60" spans="1:38" x14ac:dyDescent="0.25">
      <c r="A60" s="14"/>
      <c r="B60" t="s">
        <v>283</v>
      </c>
      <c r="D60" t="s">
        <v>284</v>
      </c>
      <c r="E60" t="s">
        <v>285</v>
      </c>
      <c r="F60" s="15" t="s">
        <v>48</v>
      </c>
      <c r="G60" s="14" t="s">
        <v>59</v>
      </c>
      <c r="H60" t="s">
        <v>286</v>
      </c>
      <c r="I60" s="15" t="s">
        <v>287</v>
      </c>
      <c r="J60" t="s">
        <v>51</v>
      </c>
      <c r="K60" t="s">
        <v>5</v>
      </c>
      <c r="L60" t="s">
        <v>288</v>
      </c>
      <c r="M60" s="14">
        <f>[1]prod_table_raw!N154</f>
        <v>43726.856187782003</v>
      </c>
      <c r="N60"/>
      <c r="O60" s="16">
        <f>AK60</f>
        <v>9605.477647058824</v>
      </c>
      <c r="P60">
        <f t="shared" si="0"/>
        <v>34121.378540723177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>
        <f>[1]prod_table_raw!N155</f>
        <v>8164.6559999999999</v>
      </c>
      <c r="AC60" s="16"/>
      <c r="AD60">
        <f>S60/([1]concentrate_grade!$F$4/100)</f>
        <v>0</v>
      </c>
      <c r="AE60">
        <f>T60/([1]concentrate_grade!$F$6/100)</f>
        <v>0</v>
      </c>
      <c r="AF60">
        <f>V60/([1]concentrate_grade!$F$5/100)</f>
        <v>0</v>
      </c>
      <c r="AG60">
        <f>W60/([1]concentrate_grade!$F$9/100)</f>
        <v>0</v>
      </c>
      <c r="AH60">
        <f>X60/([1]concentrate_grade!$F$8/100)</f>
        <v>0</v>
      </c>
      <c r="AI60" s="16"/>
      <c r="AJ60" s="16"/>
      <c r="AK60" s="16">
        <f>AB60/([1]concentrate_grade!$F$10/100)</f>
        <v>9605.477647058824</v>
      </c>
      <c r="AL60">
        <f t="shared" si="2"/>
        <v>0</v>
      </c>
    </row>
    <row r="61" spans="1:38" x14ac:dyDescent="0.25">
      <c r="A61" s="14"/>
      <c r="B61" t="s">
        <v>289</v>
      </c>
      <c r="D61" t="s">
        <v>157</v>
      </c>
      <c r="E61" t="s">
        <v>285</v>
      </c>
      <c r="F61" s="15" t="s">
        <v>48</v>
      </c>
      <c r="G61" s="14" t="s">
        <v>59</v>
      </c>
      <c r="H61" t="s">
        <v>286</v>
      </c>
      <c r="I61" s="15" t="s">
        <v>287</v>
      </c>
      <c r="J61" t="s">
        <v>51</v>
      </c>
      <c r="K61" t="s">
        <v>5</v>
      </c>
      <c r="L61" t="s">
        <v>288</v>
      </c>
      <c r="M61" s="14">
        <f>[1]prod_table_raw!N153</f>
        <v>98408.871032543204</v>
      </c>
      <c r="N61"/>
      <c r="O61" s="16">
        <f>AK61</f>
        <v>7204.1082352941185</v>
      </c>
      <c r="P61">
        <f t="shared" si="0"/>
        <v>91204.762797249088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>
        <f>[1]prod_table_raw!N152</f>
        <v>6123.4920000000002</v>
      </c>
      <c r="AC61" s="16"/>
      <c r="AD61">
        <f>S61/([1]concentrate_grade!$F$4/100)</f>
        <v>0</v>
      </c>
      <c r="AE61">
        <f>T61/([1]concentrate_grade!$F$6/100)</f>
        <v>0</v>
      </c>
      <c r="AF61">
        <f>V61/([1]concentrate_grade!$F$5/100)</f>
        <v>0</v>
      </c>
      <c r="AG61">
        <f>W61/([1]concentrate_grade!$F$9/100)</f>
        <v>0</v>
      </c>
      <c r="AH61">
        <f>X61/([1]concentrate_grade!$F$8/100)</f>
        <v>0</v>
      </c>
      <c r="AI61" s="16"/>
      <c r="AJ61" s="16"/>
      <c r="AK61" s="16">
        <f>AB61/([1]concentrate_grade!$F$10/100)</f>
        <v>7204.1082352941185</v>
      </c>
      <c r="AL61">
        <f t="shared" si="2"/>
        <v>0</v>
      </c>
    </row>
    <row r="62" spans="1:38" x14ac:dyDescent="0.25">
      <c r="A62" s="14"/>
      <c r="B62" t="s">
        <v>290</v>
      </c>
      <c r="D62" t="s">
        <v>291</v>
      </c>
      <c r="E62" t="s">
        <v>195</v>
      </c>
      <c r="F62" s="15" t="s">
        <v>48</v>
      </c>
      <c r="G62" s="14" t="s">
        <v>292</v>
      </c>
      <c r="H62" t="s">
        <v>60</v>
      </c>
      <c r="I62" s="15" t="s">
        <v>111</v>
      </c>
      <c r="J62" t="s">
        <v>51</v>
      </c>
      <c r="K62" t="s">
        <v>75</v>
      </c>
      <c r="L62" t="s">
        <v>64</v>
      </c>
      <c r="M62" s="14">
        <f>[1]prod_table_raw!N160</f>
        <v>3842649.0057279998</v>
      </c>
      <c r="N62">
        <f>(Q62+R62)/0.98</f>
        <v>17.66760135719143</v>
      </c>
      <c r="O62"/>
      <c r="P62">
        <f t="shared" si="0"/>
        <v>3842631.3381266426</v>
      </c>
      <c r="Q62" s="16">
        <f>[1]prod_table_raw!N161</f>
        <v>13.426311830047601</v>
      </c>
      <c r="R62" s="16">
        <f>[1]prod_table_raw!N162</f>
        <v>3.8879375</v>
      </c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>
        <f>S62/([1]concentrate_grade!$F$4/100)</f>
        <v>0</v>
      </c>
      <c r="AE62">
        <f>T62/([1]concentrate_grade!$F$6/100)</f>
        <v>0</v>
      </c>
      <c r="AF62">
        <f>V62/([1]concentrate_grade!$F$5/100)</f>
        <v>0</v>
      </c>
      <c r="AG62">
        <f>W62/([1]concentrate_grade!$F$9/100)</f>
        <v>0</v>
      </c>
      <c r="AH62">
        <f>X62/([1]concentrate_grade!$F$8/100)</f>
        <v>0</v>
      </c>
      <c r="AI62" s="16"/>
      <c r="AJ62" s="16"/>
      <c r="AK62" s="16"/>
      <c r="AL62">
        <f t="shared" si="2"/>
        <v>17.66760135719143</v>
      </c>
    </row>
    <row r="63" spans="1:38" x14ac:dyDescent="0.25">
      <c r="A63" s="14"/>
      <c r="B63" t="s">
        <v>293</v>
      </c>
      <c r="D63" t="s">
        <v>294</v>
      </c>
      <c r="E63" t="s">
        <v>88</v>
      </c>
      <c r="F63" s="15" t="s">
        <v>48</v>
      </c>
      <c r="G63" s="14" t="s">
        <v>292</v>
      </c>
      <c r="H63" t="s">
        <v>60</v>
      </c>
      <c r="I63" s="15" t="s">
        <v>111</v>
      </c>
      <c r="J63" t="s">
        <v>51</v>
      </c>
      <c r="K63" t="s">
        <v>63</v>
      </c>
      <c r="L63" t="s">
        <v>64</v>
      </c>
      <c r="M63" s="14">
        <f>[1]prod_table_raw!N101</f>
        <v>2911000</v>
      </c>
      <c r="N63">
        <f>(Q63+R63)/0.98</f>
        <v>8.2519489795918357</v>
      </c>
      <c r="O63"/>
      <c r="P63">
        <f t="shared" si="0"/>
        <v>2910991.7480510203</v>
      </c>
      <c r="Q63" s="16">
        <f>[1]prod_table_raw!N100</f>
        <v>8.0869099999999996</v>
      </c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>
        <f>S63/([1]concentrate_grade!$F$4/100)</f>
        <v>0</v>
      </c>
      <c r="AE63">
        <f>T63/([1]concentrate_grade!$F$6/100)</f>
        <v>0</v>
      </c>
      <c r="AF63">
        <f>V63/([1]concentrate_grade!$F$5/100)</f>
        <v>0</v>
      </c>
      <c r="AG63">
        <f>W63/([1]concentrate_grade!$F$9/100)</f>
        <v>0</v>
      </c>
      <c r="AH63">
        <f>X63/([1]concentrate_grade!$F$8/100)</f>
        <v>0</v>
      </c>
      <c r="AI63" s="16"/>
      <c r="AJ63" s="16"/>
      <c r="AK63" s="16"/>
      <c r="AL63">
        <f t="shared" si="2"/>
        <v>8.2519489795918357</v>
      </c>
    </row>
    <row r="64" spans="1:38" x14ac:dyDescent="0.25">
      <c r="A64" s="14"/>
      <c r="B64" t="s">
        <v>295</v>
      </c>
      <c r="D64" t="s">
        <v>296</v>
      </c>
      <c r="E64" t="s">
        <v>88</v>
      </c>
      <c r="F64" s="15" t="s">
        <v>48</v>
      </c>
      <c r="G64" s="14" t="s">
        <v>59</v>
      </c>
      <c r="H64" t="s">
        <v>60</v>
      </c>
      <c r="I64" s="15" t="s">
        <v>111</v>
      </c>
      <c r="J64" t="s">
        <v>51</v>
      </c>
      <c r="K64" t="s">
        <v>63</v>
      </c>
      <c r="L64" t="s">
        <v>64</v>
      </c>
      <c r="M64" s="14">
        <f>[1]prod_table_raw!N254</f>
        <v>1574000</v>
      </c>
      <c r="N64">
        <f>(Q64+R64)/0.98</f>
        <v>4.2180154591836736</v>
      </c>
      <c r="O64"/>
      <c r="P64">
        <f t="shared" si="0"/>
        <v>1573995.7819845409</v>
      </c>
      <c r="Q64" s="16">
        <f>[1]prod_table_raw!N255</f>
        <v>4.1336551500000001</v>
      </c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>
        <f>S64/([1]concentrate_grade!$F$4/100)</f>
        <v>0</v>
      </c>
      <c r="AE64">
        <f>T64/([1]concentrate_grade!$F$6/100)</f>
        <v>0</v>
      </c>
      <c r="AF64">
        <f>V64/([1]concentrate_grade!$F$5/100)</f>
        <v>0</v>
      </c>
      <c r="AG64">
        <f>W64/([1]concentrate_grade!$F$9/100)</f>
        <v>0</v>
      </c>
      <c r="AH64">
        <f>X64/([1]concentrate_grade!$F$8/100)</f>
        <v>0</v>
      </c>
      <c r="AI64" s="16"/>
      <c r="AJ64" s="16"/>
      <c r="AK64" s="16"/>
      <c r="AL64">
        <f t="shared" si="2"/>
        <v>4.2180154591836736</v>
      </c>
    </row>
    <row r="65" spans="1:122" x14ac:dyDescent="0.25">
      <c r="A65" s="14"/>
      <c r="B65" t="s">
        <v>297</v>
      </c>
      <c r="D65" t="s">
        <v>298</v>
      </c>
      <c r="E65" t="s">
        <v>285</v>
      </c>
      <c r="F65" s="15" t="s">
        <v>48</v>
      </c>
      <c r="G65" s="14" t="s">
        <v>59</v>
      </c>
      <c r="H65" t="s">
        <v>60</v>
      </c>
      <c r="I65" s="15" t="s">
        <v>111</v>
      </c>
      <c r="J65" t="s">
        <v>51</v>
      </c>
      <c r="K65" t="s">
        <v>63</v>
      </c>
      <c r="L65" t="s">
        <v>64</v>
      </c>
      <c r="M65" s="14">
        <f>[1]prod_table_raw!N229</f>
        <v>122000</v>
      </c>
      <c r="N65">
        <f>(Q65+R65)/0.98</f>
        <v>1.2300799484693878</v>
      </c>
      <c r="O65"/>
      <c r="P65">
        <f t="shared" si="0"/>
        <v>121998.76992005153</v>
      </c>
      <c r="Q65" s="16">
        <f>[1]prod_table_raw!N231</f>
        <v>1.2054783495000001</v>
      </c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>
        <f>S65/([1]concentrate_grade!$F$4/100)</f>
        <v>0</v>
      </c>
      <c r="AE65">
        <f>T65/([1]concentrate_grade!$F$6/100)</f>
        <v>0</v>
      </c>
      <c r="AF65">
        <f>V65/([1]concentrate_grade!$F$5/100)</f>
        <v>0</v>
      </c>
      <c r="AG65">
        <f>W65/([1]concentrate_grade!$F$9/100)</f>
        <v>0</v>
      </c>
      <c r="AH65">
        <f>X65/([1]concentrate_grade!$F$8/100)</f>
        <v>0</v>
      </c>
      <c r="AI65" s="16"/>
      <c r="AJ65" s="16"/>
      <c r="AK65" s="16"/>
      <c r="AL65">
        <f t="shared" si="2"/>
        <v>1.2300799484693878</v>
      </c>
    </row>
    <row r="66" spans="1:122" ht="15.75" thickBot="1" x14ac:dyDescent="0.3">
      <c r="A66" s="22"/>
      <c r="B66" s="23" t="s">
        <v>299</v>
      </c>
      <c r="C66" s="23"/>
      <c r="D66" s="23" t="s">
        <v>300</v>
      </c>
      <c r="E66" s="23" t="s">
        <v>268</v>
      </c>
      <c r="F66" s="24" t="s">
        <v>48</v>
      </c>
      <c r="G66" s="22" t="s">
        <v>59</v>
      </c>
      <c r="H66" s="21" t="s">
        <v>137</v>
      </c>
      <c r="I66" s="24" t="s">
        <v>301</v>
      </c>
      <c r="J66" t="s">
        <v>302</v>
      </c>
      <c r="K66" t="s">
        <v>181</v>
      </c>
      <c r="L66" t="s">
        <v>182</v>
      </c>
      <c r="M66" s="22">
        <f>[1]prod_table_raw!N193+[1]prod_table_raw!N130</f>
        <v>2123641</v>
      </c>
      <c r="N66">
        <f>(Q66+R66)/0.98</f>
        <v>32.978787143877547</v>
      </c>
      <c r="O66">
        <f>S66/([1]concentrate_grade!$F$4/100)+W66/([1]concentrate_grade!$F$9/100)</f>
        <v>109797.33333333334</v>
      </c>
      <c r="P66">
        <f t="shared" ref="P66" si="3">M66-N66-O66</f>
        <v>2013810.687879523</v>
      </c>
      <c r="Q66" s="25">
        <f>[1]prod_table_raw!N232</f>
        <v>5.8276450705</v>
      </c>
      <c r="R66" s="25">
        <f>[1]prod_table_raw!N233</f>
        <v>26.4915663305</v>
      </c>
      <c r="S66" s="25">
        <f>[1]prod_table_raw!N235</f>
        <v>12154</v>
      </c>
      <c r="T66" s="25"/>
      <c r="U66" s="25"/>
      <c r="V66" s="25"/>
      <c r="W66" s="25">
        <f>[1]prod_table_raw!N234</f>
        <v>34642</v>
      </c>
      <c r="X66" s="25"/>
      <c r="Y66" s="25"/>
      <c r="Z66" s="25"/>
      <c r="AA66" s="25"/>
      <c r="AB66" s="25"/>
      <c r="AC66" s="25"/>
      <c r="AD66">
        <f>S66/([1]concentrate_grade!$F$4/100)</f>
        <v>40513.333333333336</v>
      </c>
      <c r="AE66">
        <f>T66/([1]concentrate_grade!$F$6/100)</f>
        <v>0</v>
      </c>
      <c r="AF66">
        <f>V66/([1]concentrate_grade!$F$5/100)</f>
        <v>0</v>
      </c>
      <c r="AG66">
        <f>W66/([1]concentrate_grade!$F$9/100)</f>
        <v>69284</v>
      </c>
      <c r="AH66">
        <f>X66/([1]concentrate_grade!$F$8/100)</f>
        <v>0</v>
      </c>
      <c r="AI66" s="25"/>
      <c r="AJ66" s="25"/>
      <c r="AK66" s="25"/>
      <c r="AL66">
        <f t="shared" si="2"/>
        <v>32.978787143877547</v>
      </c>
    </row>
    <row r="67" spans="1:122" ht="15.75" thickBot="1" x14ac:dyDescent="0.3"/>
    <row r="68" spans="1:122" ht="15.75" thickBot="1" x14ac:dyDescent="0.3">
      <c r="M68" s="28">
        <f>SUM(M2:M66)</f>
        <v>227227178.21114755</v>
      </c>
      <c r="N68" s="29">
        <f t="shared" ref="N68:AL68" si="4">SUM(N2:N66)</f>
        <v>215.43763719285494</v>
      </c>
      <c r="O68" s="29" t="e">
        <f t="shared" si="4"/>
        <v>#REF!</v>
      </c>
      <c r="P68" s="29" t="e">
        <f t="shared" si="4"/>
        <v>#REF!</v>
      </c>
      <c r="Q68" s="29">
        <f t="shared" si="4"/>
        <v>169.91780446799788</v>
      </c>
      <c r="R68" s="29">
        <f t="shared" si="4"/>
        <v>146.66640810850001</v>
      </c>
      <c r="S68" s="29">
        <f t="shared" si="4"/>
        <v>455883.27627700003</v>
      </c>
      <c r="T68" s="29">
        <f t="shared" si="4"/>
        <v>306056</v>
      </c>
      <c r="U68" s="29">
        <f t="shared" si="4"/>
        <v>3866</v>
      </c>
      <c r="V68" s="29">
        <f t="shared" si="4"/>
        <v>1445.217584</v>
      </c>
      <c r="W68" s="29">
        <f t="shared" si="4"/>
        <v>1090883.4385170001</v>
      </c>
      <c r="X68" s="29">
        <f t="shared" si="4"/>
        <v>245825</v>
      </c>
      <c r="Y68" s="29">
        <f t="shared" si="4"/>
        <v>0</v>
      </c>
      <c r="Z68" s="29">
        <f t="shared" si="4"/>
        <v>5.0941312299999995</v>
      </c>
      <c r="AA68" s="29">
        <f t="shared" si="4"/>
        <v>0.77758749999999999</v>
      </c>
      <c r="AB68" s="29">
        <f t="shared" si="4"/>
        <v>14288.148000000001</v>
      </c>
      <c r="AC68" s="29">
        <f t="shared" si="4"/>
        <v>18268.95</v>
      </c>
      <c r="AD68" s="29">
        <f t="shared" si="4"/>
        <v>938884.25425666687</v>
      </c>
      <c r="AE68" s="29">
        <f t="shared" si="4"/>
        <v>910231.25</v>
      </c>
      <c r="AF68" s="29">
        <f t="shared" si="4"/>
        <v>2833.7599686274507</v>
      </c>
      <c r="AG68" s="29">
        <f t="shared" si="4"/>
        <v>164566.877034</v>
      </c>
      <c r="AH68" s="29">
        <f t="shared" si="4"/>
        <v>409708.33333333337</v>
      </c>
      <c r="AI68" s="29">
        <f t="shared" si="4"/>
        <v>0</v>
      </c>
      <c r="AJ68" s="29">
        <f t="shared" si="4"/>
        <v>0</v>
      </c>
      <c r="AK68" s="29">
        <f t="shared" si="4"/>
        <v>16809.585882352942</v>
      </c>
      <c r="AL68" s="30">
        <f t="shared" si="4"/>
        <v>215.43763719285494</v>
      </c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</row>
  </sheetData>
  <autoFilter ref="A1:DR66" xr:uid="{B231D443-D3C4-4EF0-BDC9-8F5B03D7CAA5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853C-0E0A-459D-8C54-D8929ADDDD8D}">
  <dimension ref="A1:H52"/>
  <sheetViews>
    <sheetView topLeftCell="A19" workbookViewId="0">
      <selection activeCell="H41" sqref="H41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24.140625" bestFit="1" customWidth="1"/>
    <col min="4" max="4" width="18.42578125" bestFit="1" customWidth="1"/>
    <col min="5" max="5" width="72" bestFit="1" customWidth="1"/>
    <col min="6" max="6" width="17.7109375" bestFit="1" customWidth="1"/>
    <col min="7" max="7" width="22.140625" bestFit="1" customWidth="1"/>
  </cols>
  <sheetData>
    <row r="1" spans="1:8" x14ac:dyDescent="0.25">
      <c r="A1" s="1" t="s">
        <v>379</v>
      </c>
      <c r="B1" s="31" t="s">
        <v>324</v>
      </c>
      <c r="C1" s="31" t="s">
        <v>378</v>
      </c>
      <c r="D1" s="31" t="s">
        <v>325</v>
      </c>
      <c r="E1" s="31" t="s">
        <v>326</v>
      </c>
      <c r="F1" s="31" t="s">
        <v>327</v>
      </c>
      <c r="G1" s="31" t="s">
        <v>393</v>
      </c>
      <c r="H1" s="31" t="s">
        <v>398</v>
      </c>
    </row>
    <row r="2" spans="1:8" x14ac:dyDescent="0.25">
      <c r="A2" s="21" t="s">
        <v>57</v>
      </c>
      <c r="B2" s="21" t="s">
        <v>1</v>
      </c>
      <c r="C2" s="21" t="s">
        <v>57</v>
      </c>
      <c r="D2" t="str">
        <f>site_selection!A3</f>
        <v>BC-MAIN-857b7b89</v>
      </c>
      <c r="E2" s="21" t="s">
        <v>355</v>
      </c>
      <c r="F2" s="32">
        <f>market_shares_calc!E2</f>
        <v>4.2722790031976673E-3</v>
      </c>
    </row>
    <row r="3" spans="1:8" x14ac:dyDescent="0.25">
      <c r="A3" s="21" t="s">
        <v>73</v>
      </c>
      <c r="B3" s="21" t="s">
        <v>1</v>
      </c>
      <c r="C3" s="21" t="s">
        <v>73</v>
      </c>
      <c r="D3" t="str">
        <f>site_selection!A5</f>
        <v>QC-MAIN-e7e6a960</v>
      </c>
      <c r="E3" s="21" t="s">
        <v>350</v>
      </c>
      <c r="F3" s="32">
        <f>market_shares_calc!E3</f>
        <v>0.13479113915071453</v>
      </c>
    </row>
    <row r="4" spans="1:8" x14ac:dyDescent="0.25">
      <c r="A4" s="21" t="s">
        <v>82</v>
      </c>
      <c r="B4" s="21" t="s">
        <v>1</v>
      </c>
      <c r="C4" s="21" t="s">
        <v>82</v>
      </c>
      <c r="D4" t="str">
        <f>site_selection!A7</f>
        <v>QC-MAIN-b86f7d07</v>
      </c>
      <c r="E4" s="21" t="s">
        <v>342</v>
      </c>
      <c r="F4" s="32">
        <f>market_shares_calc!E4</f>
        <v>1.6323052191527593E-2</v>
      </c>
    </row>
    <row r="5" spans="1:8" x14ac:dyDescent="0.25">
      <c r="A5" s="21" t="s">
        <v>284</v>
      </c>
      <c r="B5" s="21" t="s">
        <v>376</v>
      </c>
      <c r="C5" s="21" t="s">
        <v>284</v>
      </c>
      <c r="D5" t="str">
        <f>site_selection!B60</f>
        <v>GRP-91aaa60b</v>
      </c>
      <c r="E5" s="21" t="s">
        <v>377</v>
      </c>
      <c r="F5" s="32">
        <f>market_shares_calc!H48</f>
        <v>0.5714285714285714</v>
      </c>
    </row>
    <row r="6" spans="1:8" x14ac:dyDescent="0.25">
      <c r="A6" s="21" t="s">
        <v>102</v>
      </c>
      <c r="B6" s="21" t="s">
        <v>331</v>
      </c>
      <c r="C6" s="21" t="s">
        <v>102</v>
      </c>
      <c r="D6" s="21" t="str">
        <f>site_selection!A10</f>
        <v>BC-MAIN-599152a0</v>
      </c>
      <c r="E6" s="21" t="s">
        <v>330</v>
      </c>
      <c r="F6" s="35">
        <f>market_shares_calc!F6</f>
        <v>6.7633469953412101E-2</v>
      </c>
    </row>
    <row r="7" spans="1:8" x14ac:dyDescent="0.25">
      <c r="A7" s="21" t="s">
        <v>110</v>
      </c>
      <c r="B7" s="21" t="s">
        <v>1</v>
      </c>
      <c r="C7" s="21" t="s">
        <v>110</v>
      </c>
      <c r="D7" t="str">
        <f>site_selection!A12</f>
        <v>ON-MAIN-aeafbb59</v>
      </c>
      <c r="E7" s="21" t="s">
        <v>351</v>
      </c>
      <c r="F7" s="32">
        <f>market_shares_calc!E8</f>
        <v>0.11143959871906423</v>
      </c>
    </row>
    <row r="8" spans="1:8" x14ac:dyDescent="0.25">
      <c r="A8" s="21" t="s">
        <v>113</v>
      </c>
      <c r="B8" s="21" t="s">
        <v>1</v>
      </c>
      <c r="C8" s="21" t="s">
        <v>113</v>
      </c>
      <c r="D8" t="str">
        <f>site_selection!A13</f>
        <v>ON-MAIN-cb85213a</v>
      </c>
      <c r="E8" s="21" t="s">
        <v>356</v>
      </c>
      <c r="F8" s="32">
        <f>market_shares_calc!E9</f>
        <v>1.2885635433541048E-2</v>
      </c>
    </row>
    <row r="9" spans="1:8" x14ac:dyDescent="0.25">
      <c r="A9" s="21" t="s">
        <v>115</v>
      </c>
      <c r="B9" s="21" t="s">
        <v>1</v>
      </c>
      <c r="C9" s="21" t="s">
        <v>115</v>
      </c>
      <c r="D9" t="str">
        <f>site_selection!A14</f>
        <v>QC-MAIN-6dc537e6</v>
      </c>
      <c r="E9" s="21" t="s">
        <v>357</v>
      </c>
      <c r="F9" s="32">
        <f>market_shares_calc!E10</f>
        <v>3.5921763818782863E-2</v>
      </c>
    </row>
    <row r="10" spans="1:8" x14ac:dyDescent="0.25">
      <c r="A10" s="33" t="s">
        <v>117</v>
      </c>
      <c r="B10" s="33" t="s">
        <v>1</v>
      </c>
      <c r="C10" s="33" t="s">
        <v>117</v>
      </c>
      <c r="D10" s="34" t="str">
        <f>site_selection!A15</f>
        <v>BC-MAIN-4724f4ba</v>
      </c>
      <c r="E10" s="33" t="s">
        <v>354</v>
      </c>
      <c r="F10" s="36">
        <f>market_shares_calc!E11</f>
        <v>5.7690498539731262E-4</v>
      </c>
      <c r="G10" s="33" t="s">
        <v>397</v>
      </c>
    </row>
    <row r="11" spans="1:8" s="38" customFormat="1" x14ac:dyDescent="0.25">
      <c r="A11" s="37" t="s">
        <v>120</v>
      </c>
      <c r="B11" s="37" t="s">
        <v>1</v>
      </c>
      <c r="C11" s="37" t="s">
        <v>120</v>
      </c>
      <c r="D11" s="38" t="str">
        <f>site_selection!A16</f>
        <v>ON-MAIN-4e0734b5</v>
      </c>
      <c r="E11" s="37" t="s">
        <v>343</v>
      </c>
      <c r="F11" s="39">
        <f>market_shares_calc!E12</f>
        <v>6.747254425739764E-3</v>
      </c>
      <c r="G11" s="37" t="s">
        <v>394</v>
      </c>
      <c r="H11" s="37" t="s">
        <v>399</v>
      </c>
    </row>
    <row r="12" spans="1:8" x14ac:dyDescent="0.25">
      <c r="A12" s="21" t="s">
        <v>381</v>
      </c>
      <c r="B12" s="21" t="s">
        <v>331</v>
      </c>
      <c r="C12" s="21" t="s">
        <v>130</v>
      </c>
      <c r="D12" s="21" t="str">
        <f>site_selection!A19</f>
        <v>BC-MAIN-6b4800fe</v>
      </c>
      <c r="E12" s="21" t="s">
        <v>332</v>
      </c>
      <c r="F12" s="35">
        <f>market_shares_calc!F15</f>
        <v>0.19743427352866422</v>
      </c>
    </row>
    <row r="13" spans="1:8" x14ac:dyDescent="0.25">
      <c r="A13" s="21" t="s">
        <v>382</v>
      </c>
      <c r="B13" s="21" t="s">
        <v>372</v>
      </c>
      <c r="C13" s="21" t="s">
        <v>130</v>
      </c>
      <c r="D13" t="str">
        <f>site_selection!A19</f>
        <v>BC-MAIN-6b4800fe</v>
      </c>
      <c r="E13" s="21" t="s">
        <v>332</v>
      </c>
      <c r="F13" s="32">
        <f>market_shares_calc!J15</f>
        <v>0.37725640072201061</v>
      </c>
    </row>
    <row r="14" spans="1:8" x14ac:dyDescent="0.25">
      <c r="A14" s="21" t="s">
        <v>391</v>
      </c>
      <c r="B14" s="21" t="s">
        <v>331</v>
      </c>
      <c r="C14" s="21" t="s">
        <v>136</v>
      </c>
      <c r="D14" t="str">
        <f>site_selection!A20</f>
        <v>QC-MAIN-c0660aec</v>
      </c>
      <c r="E14" s="21" t="s">
        <v>337</v>
      </c>
      <c r="F14" s="35">
        <f>market_shares_calc!F16</f>
        <v>1.3859272437121361E-4</v>
      </c>
    </row>
    <row r="15" spans="1:8" x14ac:dyDescent="0.25">
      <c r="A15" s="21" t="s">
        <v>392</v>
      </c>
      <c r="B15" s="21" t="s">
        <v>1</v>
      </c>
      <c r="C15" s="21" t="s">
        <v>136</v>
      </c>
      <c r="D15" t="str">
        <f>site_selection!A20</f>
        <v>QC-MAIN-c0660aec</v>
      </c>
      <c r="E15" s="21" t="s">
        <v>337</v>
      </c>
      <c r="F15" s="32">
        <f>market_shares_calc!E16</f>
        <v>2.0769546939986089E-2</v>
      </c>
    </row>
    <row r="16" spans="1:8" x14ac:dyDescent="0.25">
      <c r="A16" s="21" t="s">
        <v>344</v>
      </c>
      <c r="B16" s="21" t="s">
        <v>1</v>
      </c>
      <c r="C16" s="21" t="s">
        <v>344</v>
      </c>
      <c r="D16" t="str">
        <f>site_selection!A21</f>
        <v>ON-MAIN-6e9be24e</v>
      </c>
      <c r="E16" s="21" t="s">
        <v>345</v>
      </c>
      <c r="F16" s="32">
        <f>market_shares_calc!E17</f>
        <v>2.0778744551931554E-2</v>
      </c>
    </row>
    <row r="17" spans="1:8" x14ac:dyDescent="0.25">
      <c r="A17" s="21" t="s">
        <v>383</v>
      </c>
      <c r="B17" s="21" t="s">
        <v>331</v>
      </c>
      <c r="C17" s="21" t="s">
        <v>143</v>
      </c>
      <c r="D17" s="21" t="str">
        <f>site_selection!A22</f>
        <v>BC-MAIN-bf503b6b</v>
      </c>
      <c r="E17" s="21" t="s">
        <v>333</v>
      </c>
      <c r="F17" s="35">
        <f>market_shares_calc!F18</f>
        <v>0.36355209045823617</v>
      </c>
    </row>
    <row r="18" spans="1:8" x14ac:dyDescent="0.25">
      <c r="A18" s="21" t="s">
        <v>384</v>
      </c>
      <c r="B18" s="21" t="s">
        <v>372</v>
      </c>
      <c r="C18" s="21" t="s">
        <v>143</v>
      </c>
      <c r="D18" t="str">
        <f>site_selection!A22</f>
        <v>BC-MAIN-bf503b6b</v>
      </c>
      <c r="E18" s="21" t="s">
        <v>333</v>
      </c>
      <c r="F18" s="32">
        <f>market_shares_calc!J18</f>
        <v>0.6227435992779895</v>
      </c>
    </row>
    <row r="19" spans="1:8" x14ac:dyDescent="0.25">
      <c r="A19" s="21" t="s">
        <v>154</v>
      </c>
      <c r="B19" s="21" t="s">
        <v>1</v>
      </c>
      <c r="C19" s="21" t="s">
        <v>154</v>
      </c>
      <c r="D19" t="str">
        <f>site_selection!A24</f>
        <v>ON-MAIN-687b8c8d</v>
      </c>
      <c r="E19" s="21" t="s">
        <v>358</v>
      </c>
      <c r="F19" s="32">
        <f>market_shares_calc!E20</f>
        <v>1.9357843483454262E-2</v>
      </c>
    </row>
    <row r="20" spans="1:8" x14ac:dyDescent="0.25">
      <c r="A20" s="21" t="s">
        <v>157</v>
      </c>
      <c r="B20" s="21" t="s">
        <v>376</v>
      </c>
      <c r="C20" s="21" t="s">
        <v>157</v>
      </c>
      <c r="D20" t="str">
        <f>site_selection!B61</f>
        <v>GRP-21eee27d</v>
      </c>
      <c r="E20" s="21" t="s">
        <v>375</v>
      </c>
      <c r="F20" s="32">
        <f>market_shares_calc!H49</f>
        <v>0.4285714285714286</v>
      </c>
    </row>
    <row r="21" spans="1:8" x14ac:dyDescent="0.25">
      <c r="A21" s="21" t="s">
        <v>385</v>
      </c>
      <c r="B21" s="21" t="s">
        <v>331</v>
      </c>
      <c r="C21" s="21" t="s">
        <v>165</v>
      </c>
      <c r="D21" t="str">
        <f>site_selection!A26</f>
        <v>ON-MAIN-f8313ebd</v>
      </c>
      <c r="E21" s="21" t="s">
        <v>338</v>
      </c>
      <c r="F21" s="35">
        <f>market_shares_calc!F21</f>
        <v>8.023708246441541E-2</v>
      </c>
    </row>
    <row r="22" spans="1:8" x14ac:dyDescent="0.25">
      <c r="A22" s="21" t="s">
        <v>373</v>
      </c>
      <c r="B22" s="21" t="s">
        <v>374</v>
      </c>
      <c r="C22" s="21" t="s">
        <v>373</v>
      </c>
      <c r="D22" t="str">
        <f>site_selection!A26</f>
        <v>ON-MAIN-f8313ebd</v>
      </c>
      <c r="E22" s="21" t="s">
        <v>338</v>
      </c>
      <c r="F22" s="32">
        <f>market_shares_calc!I21</f>
        <v>0.46911019636138718</v>
      </c>
    </row>
    <row r="23" spans="1:8" x14ac:dyDescent="0.25">
      <c r="A23" s="21" t="s">
        <v>170</v>
      </c>
      <c r="B23" s="21" t="s">
        <v>1</v>
      </c>
      <c r="C23" s="21" t="s">
        <v>170</v>
      </c>
      <c r="D23" t="str">
        <f>site_selection!A27</f>
        <v>QC-MAIN-9de9bb0d</v>
      </c>
      <c r="E23" s="21" t="s">
        <v>352</v>
      </c>
      <c r="F23" s="32">
        <f>market_shares_calc!E22</f>
        <v>5.6637160785494587E-3</v>
      </c>
      <c r="G23" s="21" t="s">
        <v>394</v>
      </c>
      <c r="H23" s="21" t="s">
        <v>400</v>
      </c>
    </row>
    <row r="24" spans="1:8" x14ac:dyDescent="0.25">
      <c r="A24" s="33" t="s">
        <v>177</v>
      </c>
      <c r="B24" s="33" t="s">
        <v>1</v>
      </c>
      <c r="C24" s="33" t="s">
        <v>177</v>
      </c>
      <c r="D24" s="34" t="str">
        <f>site_selection!A29</f>
        <v>QC-MAIN-f9e41c2a</v>
      </c>
      <c r="E24" s="33" t="s">
        <v>359</v>
      </c>
      <c r="F24" s="36">
        <f>market_shares_calc!E23</f>
        <v>3.6821888808766925E-2</v>
      </c>
      <c r="G24" s="33" t="s">
        <v>397</v>
      </c>
    </row>
    <row r="25" spans="1:8" x14ac:dyDescent="0.25">
      <c r="A25" s="21" t="s">
        <v>386</v>
      </c>
      <c r="B25" s="21" t="s">
        <v>331</v>
      </c>
      <c r="C25" s="21" t="s">
        <v>179</v>
      </c>
      <c r="D25" t="str">
        <f>site_selection!A30</f>
        <v>QC-MAIN-e51eda66</v>
      </c>
      <c r="E25" s="21" t="s">
        <v>339</v>
      </c>
      <c r="F25" s="35">
        <f>market_shares_calc!F24</f>
        <v>9.1525672211889494E-3</v>
      </c>
    </row>
    <row r="26" spans="1:8" x14ac:dyDescent="0.25">
      <c r="A26" s="21" t="s">
        <v>380</v>
      </c>
      <c r="B26" s="21" t="s">
        <v>1</v>
      </c>
      <c r="C26" s="21" t="s">
        <v>179</v>
      </c>
      <c r="D26" t="str">
        <f>site_selection!A30</f>
        <v>QC-MAIN-e51eda66</v>
      </c>
      <c r="E26" s="21" t="s">
        <v>339</v>
      </c>
      <c r="F26" s="32">
        <f>market_shares_calc!E24</f>
        <v>4.5502275823470786E-2</v>
      </c>
    </row>
    <row r="27" spans="1:8" x14ac:dyDescent="0.25">
      <c r="A27" s="21" t="s">
        <v>387</v>
      </c>
      <c r="B27" s="21" t="s">
        <v>374</v>
      </c>
      <c r="C27" s="21" t="s">
        <v>179</v>
      </c>
      <c r="D27" t="str">
        <f>site_selection!A30</f>
        <v>QC-MAIN-e51eda66</v>
      </c>
      <c r="E27" s="21" t="s">
        <v>339</v>
      </c>
      <c r="F27" s="32">
        <f>market_shares_calc!I24</f>
        <v>9.3608612569206773E-2</v>
      </c>
    </row>
    <row r="28" spans="1:8" x14ac:dyDescent="0.25">
      <c r="A28" s="21" t="s">
        <v>190</v>
      </c>
      <c r="B28" s="21" t="s">
        <v>1</v>
      </c>
      <c r="C28" s="21" t="s">
        <v>190</v>
      </c>
      <c r="D28" t="str">
        <f>site_selection!A32</f>
        <v>ON-MAIN-1f126a43</v>
      </c>
      <c r="E28" s="21" t="s">
        <v>360</v>
      </c>
      <c r="F28" s="32">
        <f>market_shares_calc!E25</f>
        <v>3.3667768344682034E-2</v>
      </c>
    </row>
    <row r="29" spans="1:8" s="38" customFormat="1" x14ac:dyDescent="0.25">
      <c r="A29" s="37" t="s">
        <v>192</v>
      </c>
      <c r="B29" s="37" t="s">
        <v>1</v>
      </c>
      <c r="C29" s="37" t="s">
        <v>192</v>
      </c>
      <c r="D29" s="38" t="str">
        <f>site_selection!A33</f>
        <v>ON-MAIN-8825d90d</v>
      </c>
      <c r="E29" s="37" t="s">
        <v>353</v>
      </c>
      <c r="F29" s="39">
        <f>market_shares_calc!E26</f>
        <v>4.8615588657076906E-3</v>
      </c>
      <c r="G29" s="37" t="s">
        <v>394</v>
      </c>
      <c r="H29" s="37" t="s">
        <v>399</v>
      </c>
    </row>
    <row r="30" spans="1:8" x14ac:dyDescent="0.25">
      <c r="A30" s="21" t="s">
        <v>291</v>
      </c>
      <c r="B30" s="21" t="s">
        <v>1</v>
      </c>
      <c r="C30" s="21" t="s">
        <v>291</v>
      </c>
      <c r="D30" t="str">
        <f>site_selection!B62</f>
        <v>GRP-0a2c0d69</v>
      </c>
      <c r="E30" s="21" t="s">
        <v>348</v>
      </c>
      <c r="F30" s="32">
        <f>market_shares_calc!E50</f>
        <v>8.2007961038747329E-2</v>
      </c>
      <c r="G30" s="21" t="s">
        <v>395</v>
      </c>
    </row>
    <row r="31" spans="1:8" x14ac:dyDescent="0.25">
      <c r="A31" s="21" t="s">
        <v>206</v>
      </c>
      <c r="B31" s="21" t="s">
        <v>1</v>
      </c>
      <c r="C31" s="21" t="s">
        <v>206</v>
      </c>
      <c r="D31" t="str">
        <f>site_selection!A36</f>
        <v>NU-MAIN-8b0264c9</v>
      </c>
      <c r="E31" s="21" t="s">
        <v>346</v>
      </c>
      <c r="F31" s="32">
        <f>market_shares_calc!E28</f>
        <v>5.762287867550777E-2</v>
      </c>
    </row>
    <row r="32" spans="1:8" x14ac:dyDescent="0.25">
      <c r="A32" s="21" t="s">
        <v>208</v>
      </c>
      <c r="B32" s="21" t="s">
        <v>331</v>
      </c>
      <c r="C32" s="21" t="s">
        <v>208</v>
      </c>
      <c r="D32" t="str">
        <f>site_selection!A37</f>
        <v>BC-MAIN-ed23117f</v>
      </c>
      <c r="E32" s="21" t="s">
        <v>334</v>
      </c>
      <c r="F32" s="35">
        <f>market_shares_calc!F29</f>
        <v>9.9622178050817495E-2</v>
      </c>
      <c r="G32" s="21" t="s">
        <v>394</v>
      </c>
      <c r="H32" s="21" t="s">
        <v>401</v>
      </c>
    </row>
    <row r="33" spans="1:8" x14ac:dyDescent="0.25">
      <c r="A33" s="21" t="s">
        <v>211</v>
      </c>
      <c r="B33" s="21" t="s">
        <v>331</v>
      </c>
      <c r="C33" s="21" t="s">
        <v>211</v>
      </c>
      <c r="D33" t="str">
        <f>site_selection!A38</f>
        <v>BC-MAIN-3f490561</v>
      </c>
      <c r="E33" s="21" t="s">
        <v>335</v>
      </c>
      <c r="F33" s="35">
        <f>market_shares_calc!F30</f>
        <v>4.8545319539327753E-2</v>
      </c>
    </row>
    <row r="34" spans="1:8" x14ac:dyDescent="0.25">
      <c r="A34" s="21" t="s">
        <v>214</v>
      </c>
      <c r="B34" s="21" t="s">
        <v>1</v>
      </c>
      <c r="C34" s="21" t="s">
        <v>214</v>
      </c>
      <c r="D34" t="str">
        <f>site_selection!A39</f>
        <v>ON-MAIN-fefeaee4</v>
      </c>
      <c r="E34" s="21" t="s">
        <v>361</v>
      </c>
      <c r="F34" s="32">
        <f>market_shares_calc!E31</f>
        <v>2.6517593812951039E-2</v>
      </c>
    </row>
    <row r="35" spans="1:8" x14ac:dyDescent="0.25">
      <c r="A35" s="21" t="s">
        <v>216</v>
      </c>
      <c r="B35" s="21" t="s">
        <v>331</v>
      </c>
      <c r="C35" s="21" t="s">
        <v>216</v>
      </c>
      <c r="D35" t="str">
        <f>site_selection!A40</f>
        <v>BC-MAIN-aa76f6f2</v>
      </c>
      <c r="E35" s="21" t="s">
        <v>340</v>
      </c>
      <c r="F35" s="35">
        <f>market_shares_calc!F32</f>
        <v>7.6332663664426453E-2</v>
      </c>
      <c r="G35" s="21" t="s">
        <v>394</v>
      </c>
      <c r="H35" s="21" t="s">
        <v>401</v>
      </c>
    </row>
    <row r="36" spans="1:8" x14ac:dyDescent="0.25">
      <c r="A36" s="21" t="s">
        <v>232</v>
      </c>
      <c r="B36" s="21" t="s">
        <v>367</v>
      </c>
      <c r="C36" s="21" t="s">
        <v>232</v>
      </c>
      <c r="D36" t="str">
        <f>site_selection!A44</f>
        <v>QC-MAIN-5ce331b8</v>
      </c>
      <c r="E36" s="21" t="s">
        <v>366</v>
      </c>
      <c r="F36" s="32">
        <f>market_shares_calc!G35</f>
        <v>0.39893708329614042</v>
      </c>
    </row>
    <row r="37" spans="1:8" x14ac:dyDescent="0.25">
      <c r="A37" s="21" t="s">
        <v>294</v>
      </c>
      <c r="B37" s="21" t="s">
        <v>1</v>
      </c>
      <c r="C37" s="21" t="s">
        <v>294</v>
      </c>
      <c r="D37" t="str">
        <f>site_selection!B63</f>
        <v>GRP-0d911886</v>
      </c>
      <c r="E37" s="21" t="s">
        <v>349</v>
      </c>
      <c r="F37" s="32">
        <f>market_shares_calc!E51</f>
        <v>3.8303191063151498E-2</v>
      </c>
      <c r="G37" s="21" t="s">
        <v>396</v>
      </c>
      <c r="H37" s="21" t="s">
        <v>400</v>
      </c>
    </row>
    <row r="38" spans="1:8" x14ac:dyDescent="0.25">
      <c r="A38" s="21" t="s">
        <v>235</v>
      </c>
      <c r="B38" s="21" t="s">
        <v>367</v>
      </c>
      <c r="C38" s="21" t="s">
        <v>235</v>
      </c>
      <c r="D38" t="str">
        <f>site_selection!A45</f>
        <v>QC-MAIN-a97821c0</v>
      </c>
      <c r="E38" s="21" t="s">
        <v>371</v>
      </c>
      <c r="F38" s="32">
        <f>market_shares_calc!G36</f>
        <v>0.16638628919848664</v>
      </c>
    </row>
    <row r="39" spans="1:8" x14ac:dyDescent="0.25">
      <c r="A39" s="21" t="s">
        <v>239</v>
      </c>
      <c r="B39" s="21" t="s">
        <v>1</v>
      </c>
      <c r="C39" s="21" t="s">
        <v>239</v>
      </c>
      <c r="D39" t="str">
        <f>site_selection!A46</f>
        <v>ON-MAIN-0aadf28f</v>
      </c>
      <c r="E39" s="21" t="s">
        <v>347</v>
      </c>
      <c r="F39" s="32">
        <f>market_shares_calc!E37</f>
        <v>3.7381704678151405E-2</v>
      </c>
    </row>
    <row r="40" spans="1:8" x14ac:dyDescent="0.25">
      <c r="A40" s="21" t="s">
        <v>241</v>
      </c>
      <c r="B40" s="21" t="s">
        <v>331</v>
      </c>
      <c r="C40" s="21" t="s">
        <v>241</v>
      </c>
      <c r="D40" t="str">
        <f>site_selection!A47</f>
        <v>BC-MAIN-8eb8be0d</v>
      </c>
      <c r="E40" s="21" t="s">
        <v>336</v>
      </c>
      <c r="F40" s="35">
        <f>market_shares_calc!F38</f>
        <v>1.420125353352485E-2</v>
      </c>
      <c r="H40" t="s">
        <v>402</v>
      </c>
    </row>
    <row r="41" spans="1:8" x14ac:dyDescent="0.25">
      <c r="A41" s="21" t="s">
        <v>244</v>
      </c>
      <c r="B41" s="21" t="s">
        <v>1</v>
      </c>
      <c r="C41" s="21" t="s">
        <v>244</v>
      </c>
      <c r="D41" t="str">
        <f>site_selection!A48</f>
        <v>ON-MAIN-7f050560</v>
      </c>
      <c r="E41" s="21" t="s">
        <v>362</v>
      </c>
      <c r="F41" s="32">
        <f>market_shares_calc!E39</f>
        <v>1.6602960126219903E-2</v>
      </c>
    </row>
    <row r="42" spans="1:8" x14ac:dyDescent="0.25">
      <c r="A42" s="21" t="s">
        <v>298</v>
      </c>
      <c r="B42" s="21" t="s">
        <v>1</v>
      </c>
      <c r="C42" s="21" t="s">
        <v>298</v>
      </c>
      <c r="D42" t="str">
        <f>site_selection!B65</f>
        <v>GRP-14bfbb82</v>
      </c>
      <c r="E42" s="21" t="s">
        <v>363</v>
      </c>
      <c r="F42" s="32">
        <f>market_shares_calc!E53</f>
        <v>5.7096799078252417E-3</v>
      </c>
      <c r="G42" s="21" t="s">
        <v>396</v>
      </c>
      <c r="H42" s="21" t="s">
        <v>400</v>
      </c>
    </row>
    <row r="43" spans="1:8" x14ac:dyDescent="0.25">
      <c r="A43" s="21" t="s">
        <v>388</v>
      </c>
      <c r="B43" s="21" t="s">
        <v>331</v>
      </c>
      <c r="C43" s="21" t="s">
        <v>300</v>
      </c>
      <c r="D43" t="str">
        <f>site_selection!B66</f>
        <v>GRP-a13779f8</v>
      </c>
      <c r="E43" s="21" t="s">
        <v>341</v>
      </c>
      <c r="F43" s="35">
        <f>market_shares_calc!F54</f>
        <v>4.3150508861615255E-2</v>
      </c>
      <c r="G43" s="21" t="s">
        <v>395</v>
      </c>
    </row>
    <row r="44" spans="1:8" x14ac:dyDescent="0.25">
      <c r="A44" s="21" t="s">
        <v>389</v>
      </c>
      <c r="B44" s="21" t="s">
        <v>1</v>
      </c>
      <c r="C44" s="21" t="s">
        <v>300</v>
      </c>
      <c r="D44" t="str">
        <f>site_selection!B66</f>
        <v>GRP-a13779f8</v>
      </c>
      <c r="E44" s="21" t="s">
        <v>341</v>
      </c>
      <c r="F44" s="32">
        <f>market_shares_calc!E54</f>
        <v>0.15307811380402245</v>
      </c>
      <c r="G44" s="21" t="s">
        <v>395</v>
      </c>
    </row>
    <row r="45" spans="1:8" x14ac:dyDescent="0.25">
      <c r="A45" s="21" t="s">
        <v>390</v>
      </c>
      <c r="B45" s="21" t="s">
        <v>374</v>
      </c>
      <c r="C45" s="21" t="s">
        <v>300</v>
      </c>
      <c r="D45" t="str">
        <f>site_selection!B66</f>
        <v>GRP-a13779f8</v>
      </c>
      <c r="E45" s="21" t="s">
        <v>341</v>
      </c>
      <c r="F45" s="32">
        <f>market_shares_calc!I54</f>
        <v>0.42100817156350195</v>
      </c>
      <c r="G45" s="21" t="s">
        <v>395</v>
      </c>
    </row>
    <row r="46" spans="1:8" x14ac:dyDescent="0.25">
      <c r="A46" s="21" t="s">
        <v>368</v>
      </c>
      <c r="B46" s="21" t="s">
        <v>367</v>
      </c>
      <c r="C46" s="21" t="s">
        <v>368</v>
      </c>
      <c r="D46" t="str">
        <f>site_selection!A54</f>
        <v>MB-MAIN-e0a6250e</v>
      </c>
      <c r="E46" s="21" t="s">
        <v>369</v>
      </c>
      <c r="F46" s="32">
        <f>market_shares_calc!G42</f>
        <v>5.4244457109113756E-2</v>
      </c>
    </row>
    <row r="47" spans="1:8" x14ac:dyDescent="0.25">
      <c r="A47" s="21" t="s">
        <v>296</v>
      </c>
      <c r="B47" s="21" t="s">
        <v>1</v>
      </c>
      <c r="C47" s="21" t="s">
        <v>296</v>
      </c>
      <c r="D47" t="str">
        <f>site_selection!B64</f>
        <v>GRP-147b3123</v>
      </c>
      <c r="E47" s="21" t="s">
        <v>364</v>
      </c>
      <c r="F47" s="32">
        <f>market_shares_calc!E52</f>
        <v>1.9578823431895518E-2</v>
      </c>
      <c r="G47" s="21" t="s">
        <v>395</v>
      </c>
    </row>
    <row r="48" spans="1:8" x14ac:dyDescent="0.25">
      <c r="A48" s="21" t="s">
        <v>277</v>
      </c>
      <c r="B48" s="21" t="s">
        <v>367</v>
      </c>
      <c r="C48" s="21" t="s">
        <v>277</v>
      </c>
      <c r="D48" t="str">
        <f>site_selection!A57</f>
        <v>NL-MAIN-2d8801d6</v>
      </c>
      <c r="E48" s="21" t="s">
        <v>370</v>
      </c>
      <c r="F48" s="32">
        <f>market_shares_calc!G45</f>
        <v>9.269622417380198E-2</v>
      </c>
    </row>
    <row r="49" spans="1:6" x14ac:dyDescent="0.25">
      <c r="A49" s="21" t="s">
        <v>280</v>
      </c>
      <c r="B49" s="21" t="s">
        <v>1</v>
      </c>
      <c r="C49" s="21" t="s">
        <v>280</v>
      </c>
      <c r="D49" t="str">
        <f>site_selection!A58</f>
        <v>QC-MAIN-02884fb5</v>
      </c>
      <c r="E49" s="21" t="s">
        <v>365</v>
      </c>
      <c r="F49" s="32">
        <f>market_shares_calc!E46</f>
        <v>1.9115354820031384E-2</v>
      </c>
    </row>
    <row r="50" spans="1:6" x14ac:dyDescent="0.25">
      <c r="B50" s="21"/>
      <c r="C50" s="21"/>
    </row>
    <row r="51" spans="1:6" x14ac:dyDescent="0.25">
      <c r="B51" s="21"/>
      <c r="C51" s="21"/>
    </row>
    <row r="52" spans="1:6" x14ac:dyDescent="0.25">
      <c r="B52" s="21"/>
      <c r="C52" s="21"/>
    </row>
  </sheetData>
  <autoFilter ref="A1:H49" xr:uid="{130C853C-0E0A-459D-8C54-D8929ADDDD8D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255D-77F9-4269-B2CE-74E3D78C471C}">
  <dimension ref="A1:S54"/>
  <sheetViews>
    <sheetView topLeftCell="A28" workbookViewId="0">
      <selection activeCell="F16" sqref="F16"/>
    </sheetView>
  </sheetViews>
  <sheetFormatPr baseColWidth="10" defaultRowHeight="15" x14ac:dyDescent="0.25"/>
  <cols>
    <col min="1" max="1" width="39" bestFit="1" customWidth="1"/>
    <col min="2" max="2" width="26.5703125" bestFit="1" customWidth="1"/>
    <col min="3" max="3" width="70.28515625" customWidth="1"/>
    <col min="4" max="4" width="28.28515625" bestFit="1" customWidth="1"/>
  </cols>
  <sheetData>
    <row r="1" spans="1:19" x14ac:dyDescent="0.25">
      <c r="A1" s="1" t="s">
        <v>9</v>
      </c>
      <c r="B1" s="1" t="s">
        <v>10</v>
      </c>
      <c r="C1" s="1" t="s">
        <v>15</v>
      </c>
      <c r="D1" s="1" t="s">
        <v>328</v>
      </c>
      <c r="E1" s="1" t="s">
        <v>329</v>
      </c>
      <c r="F1" s="1" t="s">
        <v>0</v>
      </c>
      <c r="G1" s="1" t="s">
        <v>2</v>
      </c>
      <c r="H1" s="1" t="s">
        <v>5</v>
      </c>
      <c r="I1" s="1" t="s">
        <v>4</v>
      </c>
      <c r="J1" s="1" t="s">
        <v>3</v>
      </c>
      <c r="Q1" s="1"/>
      <c r="R1" s="1"/>
      <c r="S1" s="1"/>
    </row>
    <row r="2" spans="1:19" x14ac:dyDescent="0.25">
      <c r="A2" t="str">
        <f>site_selection!C3</f>
        <v>Brucejack</v>
      </c>
      <c r="B2">
        <f>site_selection!D3</f>
        <v>0</v>
      </c>
      <c r="C2" t="str">
        <f>site_selection!I3</f>
        <v>Gold, silver</v>
      </c>
      <c r="D2" t="str">
        <f>site_selection!L3</f>
        <v>Au-Ag doré</v>
      </c>
      <c r="E2" s="32">
        <f>site_selection!N3/site_selection!$N$68</f>
        <v>4.2722790031976673E-3</v>
      </c>
      <c r="F2" s="32">
        <f>site_selection!AD3/site_selection!$AD$68</f>
        <v>0</v>
      </c>
      <c r="G2" s="32">
        <f>site_selection!AE3/site_selection!$AE$68</f>
        <v>0</v>
      </c>
      <c r="H2" s="32">
        <f>site_selection!AK3/site_selection!$AK$68</f>
        <v>0</v>
      </c>
      <c r="I2" s="32">
        <f>site_selection!AG3/site_selection!$AG$68</f>
        <v>0</v>
      </c>
      <c r="J2" s="32">
        <f>site_selection!AF3/site_selection!$AF$68</f>
        <v>0</v>
      </c>
    </row>
    <row r="3" spans="1:19" x14ac:dyDescent="0.25">
      <c r="A3" t="str">
        <f>site_selection!C5</f>
        <v>Canadian Malartic</v>
      </c>
      <c r="B3">
        <f>site_selection!D5</f>
        <v>0</v>
      </c>
      <c r="C3" t="str">
        <f>site_selection!I5</f>
        <v>Gold, silver</v>
      </c>
      <c r="D3" t="str">
        <f>site_selection!L5</f>
        <v>Au-Ag doré</v>
      </c>
      <c r="E3" s="32">
        <f>site_selection!N5/site_selection!$N$68</f>
        <v>0.13479113915071453</v>
      </c>
      <c r="F3" s="32">
        <f>site_selection!AD5/site_selection!$AD$68</f>
        <v>0</v>
      </c>
      <c r="G3" s="32">
        <f>site_selection!AE5/site_selection!$AE$68</f>
        <v>0</v>
      </c>
      <c r="H3" s="32">
        <f>site_selection!AK5/site_selection!$AK$68</f>
        <v>0</v>
      </c>
      <c r="I3" s="32">
        <f>site_selection!AG5/site_selection!$AG$68</f>
        <v>0</v>
      </c>
      <c r="J3" s="32">
        <f>site_selection!AF5/site_selection!$AF$68</f>
        <v>0</v>
      </c>
    </row>
    <row r="4" spans="1:19" x14ac:dyDescent="0.25">
      <c r="A4" t="str">
        <f>site_selection!C7</f>
        <v>Casa Berardi</v>
      </c>
      <c r="B4">
        <f>site_selection!D7</f>
        <v>0</v>
      </c>
      <c r="C4" t="str">
        <f>site_selection!I7</f>
        <v>Gold, silver</v>
      </c>
      <c r="D4" t="str">
        <f>site_selection!L7</f>
        <v>Au-Ag doré</v>
      </c>
      <c r="E4" s="32">
        <f>site_selection!N7/site_selection!$N$68</f>
        <v>1.6323052191527593E-2</v>
      </c>
      <c r="F4" s="32">
        <f>site_selection!AD7/site_selection!$AD$68</f>
        <v>0</v>
      </c>
      <c r="G4" s="32">
        <f>site_selection!AE7/site_selection!$AE$68</f>
        <v>0</v>
      </c>
      <c r="H4" s="32">
        <f>site_selection!AK7/site_selection!$AK$68</f>
        <v>0</v>
      </c>
      <c r="I4" s="32">
        <f>site_selection!AG7/site_selection!$AG$68</f>
        <v>0</v>
      </c>
      <c r="J4" s="32">
        <f>site_selection!AF7/site_selection!$AF$68</f>
        <v>0</v>
      </c>
    </row>
    <row r="5" spans="1:19" x14ac:dyDescent="0.25">
      <c r="A5" t="str">
        <f>site_selection!C8</f>
        <v>Copper Cliff Complex (mine)</v>
      </c>
      <c r="B5" t="str">
        <f>site_selection!D8</f>
        <v>Sudbury Operation</v>
      </c>
      <c r="C5" t="str">
        <f>site_selection!I8</f>
        <v>Nickel, copper, platinum group metals, gold, silver, cobalt, selenium, tellurium</v>
      </c>
      <c r="D5" t="str">
        <f>site_selection!L8</f>
        <v>Ni-Cu bulk conc.</v>
      </c>
      <c r="E5" s="32">
        <f>site_selection!N8/site_selection!$N$68</f>
        <v>0</v>
      </c>
      <c r="F5" s="32">
        <f>site_selection!AD8/site_selection!$AD$68</f>
        <v>0</v>
      </c>
      <c r="G5" s="32">
        <f>site_selection!AE8/site_selection!$AE$68</f>
        <v>6.00877524255512E-2</v>
      </c>
      <c r="H5" s="32">
        <f>site_selection!AK8/site_selection!$AK$68</f>
        <v>0</v>
      </c>
      <c r="I5" s="32">
        <f>site_selection!AG8/site_selection!$AG$68</f>
        <v>0</v>
      </c>
      <c r="J5" s="32">
        <f>site_selection!AF8/site_selection!$AF$68</f>
        <v>0</v>
      </c>
    </row>
    <row r="6" spans="1:19" x14ac:dyDescent="0.25">
      <c r="A6" t="str">
        <f>site_selection!C10</f>
        <v>Copper Mountain</v>
      </c>
      <c r="B6">
        <f>site_selection!D10</f>
        <v>0</v>
      </c>
      <c r="C6" t="str">
        <f>site_selection!I10</f>
        <v>Copper, gold, silver</v>
      </c>
      <c r="D6" t="str">
        <f>site_selection!L10</f>
        <v>Cu conc.</v>
      </c>
      <c r="E6" s="32">
        <f>site_selection!N10/site_selection!$N$68</f>
        <v>0</v>
      </c>
      <c r="F6" s="32">
        <f>site_selection!AD10/site_selection!$AD$68</f>
        <v>6.7633469953412101E-2</v>
      </c>
      <c r="G6" s="32">
        <f>site_selection!AE10/site_selection!$AE$68</f>
        <v>0</v>
      </c>
      <c r="H6" s="32">
        <f>site_selection!AK10/site_selection!$AK$68</f>
        <v>0</v>
      </c>
      <c r="I6" s="32">
        <f>site_selection!AG10/site_selection!$AG$68</f>
        <v>0</v>
      </c>
      <c r="J6" s="32">
        <f>site_selection!AF10/site_selection!$AF$68</f>
        <v>0</v>
      </c>
    </row>
    <row r="7" spans="1:19" x14ac:dyDescent="0.25">
      <c r="A7" t="str">
        <f>site_selection!C11</f>
        <v>Creighton</v>
      </c>
      <c r="B7" t="str">
        <f>site_selection!D11</f>
        <v>Sudbury Operation</v>
      </c>
      <c r="C7" t="str">
        <f>site_selection!I11</f>
        <v>Nickel, copper, platinum group metals, gold, silver, cobalt, selenium, tellurium</v>
      </c>
      <c r="D7" t="str">
        <f>site_selection!L11</f>
        <v>Ni-Cu bulk conc.</v>
      </c>
      <c r="E7" s="32">
        <f>site_selection!N11/site_selection!$N$68</f>
        <v>0</v>
      </c>
      <c r="F7" s="32">
        <f>site_selection!AD11/site_selection!$AD$68</f>
        <v>0</v>
      </c>
      <c r="G7" s="32">
        <f>site_selection!AE11/site_selection!$AE$68</f>
        <v>7.7892293853897024E-2</v>
      </c>
      <c r="H7" s="32">
        <f>site_selection!AK11/site_selection!$AK$68</f>
        <v>0</v>
      </c>
      <c r="I7" s="32">
        <f>site_selection!AG11/site_selection!$AG$68</f>
        <v>0</v>
      </c>
      <c r="J7" s="32">
        <f>site_selection!AF11/site_selection!$AF$68</f>
        <v>0</v>
      </c>
    </row>
    <row r="8" spans="1:19" x14ac:dyDescent="0.25">
      <c r="A8" t="str">
        <f>site_selection!C12</f>
        <v>Detour Lake</v>
      </c>
      <c r="B8">
        <f>site_selection!D12</f>
        <v>0</v>
      </c>
      <c r="C8" t="str">
        <f>site_selection!I12</f>
        <v>Gold</v>
      </c>
      <c r="D8" t="str">
        <f>site_selection!L12</f>
        <v>Au-Ag doré</v>
      </c>
      <c r="E8" s="32">
        <f>site_selection!N12/site_selection!$N$68</f>
        <v>0.11143959871906423</v>
      </c>
      <c r="F8" s="32">
        <f>site_selection!AD12/site_selection!$AD$68</f>
        <v>0</v>
      </c>
      <c r="G8" s="32">
        <f>site_selection!AE12/site_selection!$AE$68</f>
        <v>0</v>
      </c>
      <c r="H8" s="32">
        <f>site_selection!AK12/site_selection!$AK$68</f>
        <v>0</v>
      </c>
      <c r="I8" s="32">
        <f>site_selection!AG12/site_selection!$AG$68</f>
        <v>0</v>
      </c>
      <c r="J8" s="32">
        <f>site_selection!AF12/site_selection!$AF$68</f>
        <v>0</v>
      </c>
    </row>
    <row r="9" spans="1:19" x14ac:dyDescent="0.25">
      <c r="A9" t="str">
        <f>site_selection!C13</f>
        <v>Eagle River</v>
      </c>
      <c r="B9">
        <f>site_selection!D13</f>
        <v>0</v>
      </c>
      <c r="C9" t="str">
        <f>site_selection!I13</f>
        <v>Gold</v>
      </c>
      <c r="D9" t="str">
        <f>site_selection!L13</f>
        <v>Au-Ag doré</v>
      </c>
      <c r="E9" s="32">
        <f>site_selection!N13/site_selection!$N$68</f>
        <v>1.2885635433541048E-2</v>
      </c>
      <c r="F9" s="32">
        <f>site_selection!AD13/site_selection!$AD$68</f>
        <v>0</v>
      </c>
      <c r="G9" s="32">
        <f>site_selection!AE13/site_selection!$AE$68</f>
        <v>0</v>
      </c>
      <c r="H9" s="32">
        <f>site_selection!AK13/site_selection!$AK$68</f>
        <v>0</v>
      </c>
      <c r="I9" s="32">
        <f>site_selection!AG13/site_selection!$AG$68</f>
        <v>0</v>
      </c>
      <c r="J9" s="32">
        <f>site_selection!AF13/site_selection!$AF$68</f>
        <v>0</v>
      </c>
    </row>
    <row r="10" spans="1:19" x14ac:dyDescent="0.25">
      <c r="A10" t="str">
        <f>site_selection!C14</f>
        <v>Éléonore</v>
      </c>
      <c r="B10">
        <f>site_selection!D14</f>
        <v>0</v>
      </c>
      <c r="C10" t="str">
        <f>site_selection!I14</f>
        <v>Gold, silver</v>
      </c>
      <c r="D10" t="str">
        <f>site_selection!L14</f>
        <v>Au-Ag doré</v>
      </c>
      <c r="E10" s="32">
        <f>site_selection!N14/site_selection!$N$68</f>
        <v>3.5921763818782863E-2</v>
      </c>
      <c r="F10" s="32">
        <f>site_selection!AD14/site_selection!$AD$68</f>
        <v>0</v>
      </c>
      <c r="G10" s="32">
        <f>site_selection!AE14/site_selection!$AE$68</f>
        <v>0</v>
      </c>
      <c r="H10" s="32">
        <f>site_selection!AK14/site_selection!$AK$68</f>
        <v>0</v>
      </c>
      <c r="I10" s="32">
        <f>site_selection!AG14/site_selection!$AG$68</f>
        <v>0</v>
      </c>
      <c r="J10" s="32">
        <f>site_selection!AF14/site_selection!$AF$68</f>
        <v>0</v>
      </c>
    </row>
    <row r="11" spans="1:19" x14ac:dyDescent="0.25">
      <c r="A11" t="str">
        <f>site_selection!C15</f>
        <v>Elk</v>
      </c>
      <c r="B11">
        <f>site_selection!D15</f>
        <v>0</v>
      </c>
      <c r="C11" t="str">
        <f>site_selection!I15</f>
        <v>Gold</v>
      </c>
      <c r="D11" t="str">
        <f>site_selection!L15</f>
        <v>Au-Ag doré</v>
      </c>
      <c r="E11" s="32">
        <f>site_selection!N15/site_selection!$N$68</f>
        <v>5.7690498539731262E-4</v>
      </c>
      <c r="F11" s="32">
        <f>site_selection!AD15/site_selection!$AD$68</f>
        <v>0</v>
      </c>
      <c r="G11" s="32">
        <f>site_selection!AE15/site_selection!$AE$68</f>
        <v>0</v>
      </c>
      <c r="H11" s="32">
        <f>site_selection!AK15/site_selection!$AK$68</f>
        <v>0</v>
      </c>
      <c r="I11" s="32">
        <f>site_selection!AG15/site_selection!$AG$68</f>
        <v>0</v>
      </c>
      <c r="J11" s="32">
        <f>site_selection!AF15/site_selection!$AF$68</f>
        <v>0</v>
      </c>
    </row>
    <row r="12" spans="1:19" x14ac:dyDescent="0.25">
      <c r="A12" t="str">
        <f>site_selection!C16</f>
        <v>Fox Complex</v>
      </c>
      <c r="B12">
        <f>site_selection!D16</f>
        <v>0</v>
      </c>
      <c r="C12" t="str">
        <f>site_selection!I16</f>
        <v>Gold</v>
      </c>
      <c r="D12" t="str">
        <f>site_selection!L16</f>
        <v>Au-Ag doré</v>
      </c>
      <c r="E12" s="32">
        <f>site_selection!N16/site_selection!$N$68</f>
        <v>6.747254425739764E-3</v>
      </c>
      <c r="F12" s="32">
        <f>site_selection!AD16/site_selection!$AD$68</f>
        <v>0</v>
      </c>
      <c r="G12" s="32">
        <f>site_selection!AE16/site_selection!$AE$68</f>
        <v>0</v>
      </c>
      <c r="H12" s="32">
        <f>site_selection!AK16/site_selection!$AK$68</f>
        <v>0</v>
      </c>
      <c r="I12" s="32">
        <f>site_selection!AG16/site_selection!$AG$68</f>
        <v>0</v>
      </c>
      <c r="J12" s="32">
        <f>site_selection!AF16/site_selection!$AF$68</f>
        <v>0</v>
      </c>
    </row>
    <row r="13" spans="1:19" x14ac:dyDescent="0.25">
      <c r="A13" t="str">
        <f>site_selection!C17</f>
        <v>Fraser</v>
      </c>
      <c r="B13" t="str">
        <f>site_selection!D17</f>
        <v>Integrated Nickel Operations</v>
      </c>
      <c r="C13" t="str">
        <f>site_selection!I17</f>
        <v>Nickel, copper, platinum group metals, gold, cobalt, silver</v>
      </c>
      <c r="D13" t="str">
        <f>site_selection!L17</f>
        <v>Ni-Cu bulk conc.</v>
      </c>
      <c r="E13" s="32">
        <f>site_selection!N17/site_selection!$N$68</f>
        <v>0</v>
      </c>
      <c r="F13" s="32">
        <f>site_selection!AD17/site_selection!$AD$68</f>
        <v>0</v>
      </c>
      <c r="G13" s="32">
        <f>site_selection!AE17/site_selection!$AE$68</f>
        <v>0</v>
      </c>
      <c r="H13" s="32">
        <f>site_selection!AK17/site_selection!$AK$68</f>
        <v>0</v>
      </c>
      <c r="I13" s="32">
        <f>site_selection!AG17/site_selection!$AG$68</f>
        <v>0</v>
      </c>
      <c r="J13" s="32">
        <f>site_selection!AF17/site_selection!$AF$68</f>
        <v>0</v>
      </c>
    </row>
    <row r="14" spans="1:19" x14ac:dyDescent="0.25">
      <c r="A14" t="str">
        <f>site_selection!C18</f>
        <v>Garson</v>
      </c>
      <c r="B14" t="str">
        <f>site_selection!D18</f>
        <v>Sudbury Operation</v>
      </c>
      <c r="C14" t="str">
        <f>site_selection!I18</f>
        <v>Nickel, copper, platinum group metals, gold, silver, cobalt, selenium, tellurium</v>
      </c>
      <c r="D14" t="str">
        <f>site_selection!L18</f>
        <v>Ni-Cu bulk conc.</v>
      </c>
      <c r="E14" s="32">
        <f>site_selection!N18/site_selection!$N$68</f>
        <v>0</v>
      </c>
      <c r="F14" s="32">
        <f>site_selection!AD18/site_selection!$AD$68</f>
        <v>0</v>
      </c>
      <c r="G14" s="32">
        <f>site_selection!AE18/site_selection!$AE$68</f>
        <v>5.4560310910002269E-2</v>
      </c>
      <c r="H14" s="32">
        <f>site_selection!AK18/site_selection!$AK$68</f>
        <v>0</v>
      </c>
      <c r="I14" s="32">
        <f>site_selection!AG18/site_selection!$AG$68</f>
        <v>0</v>
      </c>
      <c r="J14" s="32">
        <f>site_selection!AF18/site_selection!$AF$68</f>
        <v>0</v>
      </c>
    </row>
    <row r="15" spans="1:19" x14ac:dyDescent="0.25">
      <c r="A15" t="str">
        <f>site_selection!C19</f>
        <v>Gibraltar</v>
      </c>
      <c r="B15">
        <f>site_selection!D19</f>
        <v>0</v>
      </c>
      <c r="C15" t="str">
        <f>site_selection!I19</f>
        <v>Copper, molybdenum, silver</v>
      </c>
      <c r="D15" t="str">
        <f>site_selection!L19</f>
        <v>Cu and Mo conc.</v>
      </c>
      <c r="E15" s="32">
        <f>site_selection!N19/site_selection!$N$68</f>
        <v>0</v>
      </c>
      <c r="F15" s="32">
        <f>site_selection!AD19/site_selection!$AD$68</f>
        <v>0.19743427352866422</v>
      </c>
      <c r="G15" s="32">
        <f>site_selection!AE19/site_selection!$AE$68</f>
        <v>0</v>
      </c>
      <c r="H15" s="32">
        <f>site_selection!AK19/site_selection!$AK$68</f>
        <v>0</v>
      </c>
      <c r="I15" s="32">
        <f>site_selection!AG19/site_selection!$AG$68</f>
        <v>0</v>
      </c>
      <c r="J15" s="32">
        <f>site_selection!AF19/site_selection!$AF$68</f>
        <v>0.37725640072201061</v>
      </c>
    </row>
    <row r="16" spans="1:19" x14ac:dyDescent="0.25">
      <c r="A16" t="str">
        <f>site_selection!C20</f>
        <v>Goldex</v>
      </c>
      <c r="B16">
        <f>site_selection!D20</f>
        <v>0</v>
      </c>
      <c r="C16" t="str">
        <f>site_selection!I20</f>
        <v>Gold, silver</v>
      </c>
      <c r="D16" t="str">
        <f>site_selection!L20</f>
        <v>Au-Ag doré, Cu conc.</v>
      </c>
      <c r="E16" s="32">
        <f>site_selection!N20/site_selection!$N$68</f>
        <v>2.0769546939986089E-2</v>
      </c>
      <c r="F16" s="32">
        <f>site_selection!AD20/site_selection!$AD$68</f>
        <v>1.3859272437121361E-4</v>
      </c>
      <c r="G16" s="32">
        <f>site_selection!AE20/site_selection!$AE$68</f>
        <v>0</v>
      </c>
      <c r="H16" s="32">
        <f>site_selection!AK20/site_selection!$AK$68</f>
        <v>0</v>
      </c>
      <c r="I16" s="32">
        <f>site_selection!AG20/site_selection!$AG$68</f>
        <v>0</v>
      </c>
      <c r="J16" s="32">
        <f>site_selection!AF20/site_selection!$AF$68</f>
        <v>0</v>
      </c>
    </row>
    <row r="17" spans="1:10" x14ac:dyDescent="0.25">
      <c r="A17" t="str">
        <f>site_selection!C21</f>
        <v>Hemlo (Williams)</v>
      </c>
      <c r="B17">
        <f>site_selection!D21</f>
        <v>0</v>
      </c>
      <c r="C17" t="str">
        <f>site_selection!I21</f>
        <v>Gold</v>
      </c>
      <c r="D17" t="str">
        <f>site_selection!L21</f>
        <v>Au-Ag doré</v>
      </c>
      <c r="E17" s="32">
        <f>site_selection!N21/site_selection!$N$68</f>
        <v>2.0778744551931554E-2</v>
      </c>
      <c r="F17" s="32">
        <f>site_selection!AD21/site_selection!$AD$68</f>
        <v>0</v>
      </c>
      <c r="G17" s="32">
        <f>site_selection!AE21/site_selection!$AE$68</f>
        <v>0</v>
      </c>
      <c r="H17" s="32">
        <f>site_selection!AK21/site_selection!$AK$68</f>
        <v>0</v>
      </c>
      <c r="I17" s="32">
        <f>site_selection!AG21/site_selection!$AG$68</f>
        <v>0</v>
      </c>
      <c r="J17" s="32">
        <f>site_selection!AF21/site_selection!$AF$68</f>
        <v>0</v>
      </c>
    </row>
    <row r="18" spans="1:10" x14ac:dyDescent="0.25">
      <c r="A18" t="str">
        <f>site_selection!C22</f>
        <v>Highland Valley</v>
      </c>
      <c r="B18">
        <f>site_selection!D22</f>
        <v>0</v>
      </c>
      <c r="C18" t="str">
        <f>site_selection!I22</f>
        <v>Copper, silver, molybdenum</v>
      </c>
      <c r="D18" t="str">
        <f>site_selection!L22</f>
        <v>Cu and Mo conc.</v>
      </c>
      <c r="E18" s="32">
        <f>site_selection!N22/site_selection!$N$68</f>
        <v>0</v>
      </c>
      <c r="F18" s="32">
        <f>site_selection!AD22/site_selection!$AD$68</f>
        <v>0.36355209045823617</v>
      </c>
      <c r="G18" s="32">
        <f>site_selection!AE22/site_selection!$AE$68</f>
        <v>0</v>
      </c>
      <c r="H18" s="32">
        <f>site_selection!AK22/site_selection!$AK$68</f>
        <v>0</v>
      </c>
      <c r="I18" s="32">
        <f>site_selection!AG22/site_selection!$AG$68</f>
        <v>0</v>
      </c>
      <c r="J18" s="32">
        <f>site_selection!AF22/site_selection!$AF$68</f>
        <v>0.6227435992779895</v>
      </c>
    </row>
    <row r="19" spans="1:10" x14ac:dyDescent="0.25">
      <c r="A19" t="str">
        <f>site_selection!C23</f>
        <v>Horne</v>
      </c>
      <c r="B19" t="str">
        <f>site_selection!D23</f>
        <v>CCR</v>
      </c>
      <c r="C19" t="str">
        <f>site_selection!I23</f>
        <v>Copper anodes, precious metals, sulfuric acid</v>
      </c>
      <c r="D19">
        <f>site_selection!L23</f>
        <v>0</v>
      </c>
      <c r="E19" s="32">
        <f>site_selection!N23/site_selection!$N$68</f>
        <v>0</v>
      </c>
      <c r="F19" s="32">
        <f>site_selection!AD23/site_selection!$AD$68</f>
        <v>0</v>
      </c>
      <c r="G19" s="32">
        <f>site_selection!AE23/site_selection!$AE$68</f>
        <v>0</v>
      </c>
      <c r="H19" s="32">
        <f>site_selection!AK23/site_selection!$AK$68</f>
        <v>0</v>
      </c>
      <c r="I19" s="32">
        <f>site_selection!AG23/site_selection!$AG$68</f>
        <v>0</v>
      </c>
      <c r="J19" s="32">
        <f>site_selection!AF23/site_selection!$AF$68</f>
        <v>0</v>
      </c>
    </row>
    <row r="20" spans="1:10" x14ac:dyDescent="0.25">
      <c r="A20" t="str">
        <f>site_selection!C24</f>
        <v>Island</v>
      </c>
      <c r="B20">
        <f>site_selection!D24</f>
        <v>0</v>
      </c>
      <c r="C20" t="str">
        <f>site_selection!I24</f>
        <v>Gold</v>
      </c>
      <c r="D20" t="str">
        <f>site_selection!L24</f>
        <v>Au-Ag doré</v>
      </c>
      <c r="E20" s="32">
        <f>site_selection!N24/site_selection!$N$68</f>
        <v>1.9357843483454262E-2</v>
      </c>
      <c r="F20" s="32">
        <f>site_selection!AD24/site_selection!$AD$68</f>
        <v>0</v>
      </c>
      <c r="G20" s="32">
        <f>site_selection!AE24/site_selection!$AE$68</f>
        <v>0</v>
      </c>
      <c r="H20" s="32">
        <f>site_selection!AK24/site_selection!$AK$68</f>
        <v>0</v>
      </c>
      <c r="I20" s="32">
        <f>site_selection!AG24/site_selection!$AG$68</f>
        <v>0</v>
      </c>
      <c r="J20" s="32">
        <f>site_selection!AF24/site_selection!$AF$68</f>
        <v>0</v>
      </c>
    </row>
    <row r="21" spans="1:10" x14ac:dyDescent="0.25">
      <c r="A21" t="str">
        <f>site_selection!C26</f>
        <v>Kidd Creek</v>
      </c>
      <c r="B21">
        <f>site_selection!D26</f>
        <v>0</v>
      </c>
      <c r="C21" t="str">
        <f>site_selection!I26</f>
        <v>Copper, zinc, silver, selenium, indium</v>
      </c>
      <c r="D21" t="str">
        <f>site_selection!L26</f>
        <v>Cu and Zn conc.</v>
      </c>
      <c r="E21" s="32">
        <f>site_selection!N26/site_selection!$N$68</f>
        <v>0</v>
      </c>
      <c r="F21" s="32">
        <f>site_selection!AD26/site_selection!$AD$68</f>
        <v>8.023708246441541E-2</v>
      </c>
      <c r="G21" s="32">
        <f>site_selection!AE26/site_selection!$AE$68</f>
        <v>0</v>
      </c>
      <c r="H21" s="32">
        <f>site_selection!AK26/site_selection!$AK$68</f>
        <v>0</v>
      </c>
      <c r="I21" s="32">
        <f>site_selection!AG26/site_selection!$AG$68</f>
        <v>0.46911019636138718</v>
      </c>
      <c r="J21" s="32">
        <f>site_selection!AF26/site_selection!$AF$68</f>
        <v>0</v>
      </c>
    </row>
    <row r="22" spans="1:10" x14ac:dyDescent="0.25">
      <c r="A22" t="str">
        <f>site_selection!C27</f>
        <v>Kiena</v>
      </c>
      <c r="B22">
        <f>site_selection!D27</f>
        <v>0</v>
      </c>
      <c r="C22" t="str">
        <f>site_selection!I27</f>
        <v>Gold, silver</v>
      </c>
      <c r="D22" t="str">
        <f>site_selection!L27</f>
        <v>Au-Ag doré</v>
      </c>
      <c r="E22" s="32">
        <f>site_selection!N27/site_selection!$N$68</f>
        <v>5.6637160785494587E-3</v>
      </c>
      <c r="F22" s="32">
        <f>site_selection!AD27/site_selection!$AD$68</f>
        <v>0</v>
      </c>
      <c r="G22" s="32">
        <f>site_selection!AE27/site_selection!$AE$68</f>
        <v>0</v>
      </c>
      <c r="H22" s="32">
        <f>site_selection!AK27/site_selection!$AK$68</f>
        <v>0</v>
      </c>
      <c r="I22" s="32">
        <f>site_selection!AG27/site_selection!$AG$68</f>
        <v>0</v>
      </c>
      <c r="J22" s="32">
        <f>site_selection!AF27/site_selection!$AF$68</f>
        <v>0</v>
      </c>
    </row>
    <row r="23" spans="1:10" x14ac:dyDescent="0.25">
      <c r="A23" t="str">
        <f>site_selection!C29</f>
        <v>Lamaque</v>
      </c>
      <c r="B23">
        <f>site_selection!D29</f>
        <v>0</v>
      </c>
      <c r="C23" t="str">
        <f>site_selection!I29</f>
        <v>Gold, silver</v>
      </c>
      <c r="D23" t="str">
        <f>site_selection!L29</f>
        <v>Au-Ag doré</v>
      </c>
      <c r="E23" s="32">
        <f>site_selection!N29/site_selection!$N$68</f>
        <v>3.6821888808766925E-2</v>
      </c>
      <c r="F23" s="32">
        <f>site_selection!AD29/site_selection!$AD$68</f>
        <v>0</v>
      </c>
      <c r="G23" s="32">
        <f>site_selection!AE29/site_selection!$AE$68</f>
        <v>0</v>
      </c>
      <c r="H23" s="32">
        <f>site_selection!AK29/site_selection!$AK$68</f>
        <v>0</v>
      </c>
      <c r="I23" s="32">
        <f>site_selection!AG29/site_selection!$AG$68</f>
        <v>0</v>
      </c>
      <c r="J23" s="32">
        <f>site_selection!AF29/site_selection!$AF$68</f>
        <v>0</v>
      </c>
    </row>
    <row r="24" spans="1:10" x14ac:dyDescent="0.25">
      <c r="A24" t="str">
        <f>site_selection!C30</f>
        <v>LaRonde</v>
      </c>
      <c r="B24">
        <f>site_selection!D30</f>
        <v>0</v>
      </c>
      <c r="C24" t="str">
        <f>site_selection!I30</f>
        <v>Gold, zinc, copper, silver, cadmium</v>
      </c>
      <c r="D24" t="str">
        <f>site_selection!L30</f>
        <v>Au-Ag doré, Cu and Zn conc.</v>
      </c>
      <c r="E24" s="32">
        <f>site_selection!N30/site_selection!$N$68</f>
        <v>4.5502275823470786E-2</v>
      </c>
      <c r="F24" s="32">
        <f>site_selection!AD30/site_selection!$AD$68</f>
        <v>9.1525672211889494E-3</v>
      </c>
      <c r="G24" s="32">
        <f>site_selection!AE30/site_selection!$AE$68</f>
        <v>0</v>
      </c>
      <c r="H24" s="32">
        <f>site_selection!AK30/site_selection!$AK$68</f>
        <v>0</v>
      </c>
      <c r="I24" s="32">
        <f>site_selection!AG30/site_selection!$AG$68</f>
        <v>9.3608612569206773E-2</v>
      </c>
      <c r="J24" s="32">
        <f>site_selection!AF30/site_selection!$AF$68</f>
        <v>0</v>
      </c>
    </row>
    <row r="25" spans="1:10" x14ac:dyDescent="0.25">
      <c r="A25" t="str">
        <f>site_selection!C32</f>
        <v>Macassa</v>
      </c>
      <c r="B25">
        <f>site_selection!D32</f>
        <v>0</v>
      </c>
      <c r="C25" t="str">
        <f>site_selection!I32</f>
        <v>Gold, silver</v>
      </c>
      <c r="D25" t="str">
        <f>site_selection!L32</f>
        <v>Au-Ag doré</v>
      </c>
      <c r="E25" s="32">
        <f>site_selection!N32/site_selection!$N$68</f>
        <v>3.3667768344682034E-2</v>
      </c>
      <c r="F25" s="32">
        <f>site_selection!AD32/site_selection!$AD$68</f>
        <v>0</v>
      </c>
      <c r="G25" s="32">
        <f>site_selection!AE32/site_selection!$AE$68</f>
        <v>0</v>
      </c>
      <c r="H25" s="32">
        <f>site_selection!AK32/site_selection!$AK$68</f>
        <v>0</v>
      </c>
      <c r="I25" s="32">
        <f>site_selection!AG32/site_selection!$AG$68</f>
        <v>0</v>
      </c>
      <c r="J25" s="32">
        <f>site_selection!AF32/site_selection!$AF$68</f>
        <v>0</v>
      </c>
    </row>
    <row r="26" spans="1:10" x14ac:dyDescent="0.25">
      <c r="A26" t="str">
        <f>site_selection!C33</f>
        <v>Magino</v>
      </c>
      <c r="B26">
        <f>site_selection!D33</f>
        <v>0</v>
      </c>
      <c r="C26" t="str">
        <f>site_selection!I33</f>
        <v>Gold, silver</v>
      </c>
      <c r="D26" t="str">
        <f>site_selection!L33</f>
        <v>Au-Ag doré</v>
      </c>
      <c r="E26" s="32">
        <f>site_selection!N33/site_selection!$N$68</f>
        <v>4.8615588657076906E-3</v>
      </c>
      <c r="F26" s="32">
        <f>site_selection!AD33/site_selection!$AD$68</f>
        <v>0</v>
      </c>
      <c r="G26" s="32">
        <f>site_selection!AE33/site_selection!$AE$68</f>
        <v>0</v>
      </c>
      <c r="H26" s="32">
        <f>site_selection!AK33/site_selection!$AK$68</f>
        <v>0</v>
      </c>
      <c r="I26" s="32">
        <f>site_selection!AG33/site_selection!$AG$68</f>
        <v>0</v>
      </c>
      <c r="J26" s="32">
        <f>site_selection!AF33/site_selection!$AF$68</f>
        <v>0</v>
      </c>
    </row>
    <row r="27" spans="1:10" x14ac:dyDescent="0.25">
      <c r="A27" t="str">
        <f>site_selection!C35</f>
        <v>McCreedy West</v>
      </c>
      <c r="B27">
        <f>site_selection!D35</f>
        <v>0</v>
      </c>
      <c r="C27" t="str">
        <f>site_selection!I35</f>
        <v>Copper, nickel, platinum group metals, gold, silver, cobalt</v>
      </c>
      <c r="D27" t="str">
        <f>site_selection!L35</f>
        <v>Cu-PGM conc. and Ni-Cu conc.</v>
      </c>
      <c r="E27" s="32">
        <f>site_selection!N35/site_selection!$N$68</f>
        <v>0</v>
      </c>
      <c r="F27" s="32">
        <f>site_selection!AD35/site_selection!$AD$68</f>
        <v>0</v>
      </c>
      <c r="G27" s="32">
        <f>site_selection!AE35/site_selection!$AE$68</f>
        <v>0</v>
      </c>
      <c r="H27" s="32">
        <f>site_selection!AK35/site_selection!$AK$68</f>
        <v>0</v>
      </c>
      <c r="I27" s="32">
        <f>site_selection!AG35/site_selection!$AG$68</f>
        <v>0</v>
      </c>
      <c r="J27" s="32">
        <f>site_selection!AF35/site_selection!$AF$68</f>
        <v>0</v>
      </c>
    </row>
    <row r="28" spans="1:10" x14ac:dyDescent="0.25">
      <c r="A28" t="str">
        <f>site_selection!C36</f>
        <v>Meliadine</v>
      </c>
      <c r="B28">
        <f>site_selection!D36</f>
        <v>0</v>
      </c>
      <c r="C28" t="str">
        <f>site_selection!I36</f>
        <v>Gold</v>
      </c>
      <c r="D28" t="str">
        <f>site_selection!L36</f>
        <v>Au-Ag doré</v>
      </c>
      <c r="E28" s="32">
        <f>site_selection!N36/site_selection!$N$68</f>
        <v>5.762287867550777E-2</v>
      </c>
      <c r="F28" s="32">
        <f>site_selection!AD36/site_selection!$AD$68</f>
        <v>0</v>
      </c>
      <c r="G28" s="32">
        <f>site_selection!AE36/site_selection!$AE$68</f>
        <v>0</v>
      </c>
      <c r="H28" s="32">
        <f>site_selection!AK36/site_selection!$AK$68</f>
        <v>0</v>
      </c>
      <c r="I28" s="32">
        <f>site_selection!AG36/site_selection!$AG$68</f>
        <v>0</v>
      </c>
      <c r="J28" s="32">
        <f>site_selection!AF36/site_selection!$AF$68</f>
        <v>0</v>
      </c>
    </row>
    <row r="29" spans="1:10" x14ac:dyDescent="0.25">
      <c r="A29" t="str">
        <f>site_selection!C37</f>
        <v>Mount Milligan</v>
      </c>
      <c r="B29">
        <f>site_selection!D37</f>
        <v>0</v>
      </c>
      <c r="C29" t="str">
        <f>site_selection!I37</f>
        <v>Copper, gold, silver</v>
      </c>
      <c r="D29" t="str">
        <f>site_selection!L37</f>
        <v>Cu conc.</v>
      </c>
      <c r="E29" s="32">
        <f>site_selection!N37/site_selection!$N$68</f>
        <v>0</v>
      </c>
      <c r="F29" s="32">
        <f>site_selection!AD37/site_selection!$AD$68</f>
        <v>9.9622178050817495E-2</v>
      </c>
      <c r="G29" s="32">
        <f>site_selection!AE37/site_selection!$AE$68</f>
        <v>0</v>
      </c>
      <c r="H29" s="32">
        <f>site_selection!AK37/site_selection!$AK$68</f>
        <v>0</v>
      </c>
      <c r="I29" s="32">
        <f>site_selection!AG37/site_selection!$AG$68</f>
        <v>0</v>
      </c>
      <c r="J29" s="32">
        <f>site_selection!AF37/site_selection!$AF$68</f>
        <v>0</v>
      </c>
    </row>
    <row r="30" spans="1:10" x14ac:dyDescent="0.25">
      <c r="A30" t="str">
        <f>site_selection!C38</f>
        <v>Mount Polley</v>
      </c>
      <c r="B30">
        <f>site_selection!D38</f>
        <v>0</v>
      </c>
      <c r="C30" t="str">
        <f>site_selection!I38</f>
        <v>Gold, copper, silver</v>
      </c>
      <c r="D30" t="str">
        <f>site_selection!L38</f>
        <v>Cu conc.</v>
      </c>
      <c r="E30" s="32">
        <f>site_selection!N38/site_selection!$N$68</f>
        <v>0</v>
      </c>
      <c r="F30" s="32">
        <f>site_selection!AD38/site_selection!$AD$68</f>
        <v>4.8545319539327753E-2</v>
      </c>
      <c r="G30" s="32">
        <f>site_selection!AE38/site_selection!$AE$68</f>
        <v>0</v>
      </c>
      <c r="H30" s="32">
        <f>site_selection!AK38/site_selection!$AK$68</f>
        <v>0</v>
      </c>
      <c r="I30" s="32">
        <f>site_selection!AG38/site_selection!$AG$68</f>
        <v>0</v>
      </c>
      <c r="J30" s="32">
        <f>site_selection!AF38/site_selection!$AF$68</f>
        <v>0</v>
      </c>
    </row>
    <row r="31" spans="1:10" x14ac:dyDescent="0.25">
      <c r="A31" t="str">
        <f>site_selection!C39</f>
        <v>Musselwhite</v>
      </c>
      <c r="B31">
        <f>site_selection!D39</f>
        <v>0</v>
      </c>
      <c r="C31" t="str">
        <f>site_selection!I39</f>
        <v>Gold, silver</v>
      </c>
      <c r="D31" t="str">
        <f>site_selection!L39</f>
        <v>Au-Ag doré</v>
      </c>
      <c r="E31" s="32">
        <f>site_selection!N39/site_selection!$N$68</f>
        <v>2.6517593812951039E-2</v>
      </c>
      <c r="F31" s="32">
        <f>site_selection!AD39/site_selection!$AD$68</f>
        <v>0</v>
      </c>
      <c r="G31" s="32">
        <f>site_selection!AE39/site_selection!$AE$68</f>
        <v>0</v>
      </c>
      <c r="H31" s="32">
        <f>site_selection!AK39/site_selection!$AK$68</f>
        <v>0</v>
      </c>
      <c r="I31" s="32">
        <f>site_selection!AG39/site_selection!$AG$68</f>
        <v>0</v>
      </c>
      <c r="J31" s="32">
        <f>site_selection!AF39/site_selection!$AF$68</f>
        <v>0</v>
      </c>
    </row>
    <row r="32" spans="1:10" x14ac:dyDescent="0.25">
      <c r="A32" t="str">
        <f>site_selection!C40</f>
        <v>New Afton</v>
      </c>
      <c r="B32">
        <f>site_selection!D40</f>
        <v>0</v>
      </c>
      <c r="C32" t="str">
        <f>site_selection!I40</f>
        <v>Gold, copper, silver</v>
      </c>
      <c r="D32" t="str">
        <f>site_selection!L40</f>
        <v>Cu conc.</v>
      </c>
      <c r="E32" s="32">
        <f>site_selection!N40/site_selection!$N$68</f>
        <v>0</v>
      </c>
      <c r="F32" s="32">
        <f>site_selection!AD40/site_selection!$AD$68</f>
        <v>7.6332663664426453E-2</v>
      </c>
      <c r="G32" s="32">
        <f>site_selection!AE40/site_selection!$AE$68</f>
        <v>0</v>
      </c>
      <c r="H32" s="32">
        <f>site_selection!AK40/site_selection!$AK$68</f>
        <v>0</v>
      </c>
      <c r="I32" s="32">
        <f>site_selection!AG40/site_selection!$AG$68</f>
        <v>0</v>
      </c>
      <c r="J32" s="32">
        <f>site_selection!AF40/site_selection!$AF$68</f>
        <v>0</v>
      </c>
    </row>
    <row r="33" spans="1:10" x14ac:dyDescent="0.25">
      <c r="A33" t="str">
        <f>site_selection!C41</f>
        <v>Nickel Rim South</v>
      </c>
      <c r="B33" t="str">
        <f>site_selection!D41</f>
        <v>Integrated Nickel Operations</v>
      </c>
      <c r="C33" t="str">
        <f>site_selection!I41</f>
        <v>Nickel, copper, cobalt, platinum group metals, gold</v>
      </c>
      <c r="D33" t="str">
        <f>site_selection!L41</f>
        <v>Ni-Cu bulk conc.</v>
      </c>
      <c r="E33" s="32">
        <f>site_selection!N41/site_selection!$N$68</f>
        <v>0</v>
      </c>
      <c r="F33" s="32">
        <f>site_selection!AD41/site_selection!$AD$68</f>
        <v>0</v>
      </c>
      <c r="G33" s="32">
        <f>site_selection!AE41/site_selection!$AE$68</f>
        <v>0</v>
      </c>
      <c r="H33" s="32">
        <f>site_selection!AK41/site_selection!$AK$68</f>
        <v>0</v>
      </c>
      <c r="I33" s="32">
        <f>site_selection!AG41/site_selection!$AG$68</f>
        <v>0</v>
      </c>
      <c r="J33" s="32">
        <f>site_selection!AF41/site_selection!$AF$68</f>
        <v>0</v>
      </c>
    </row>
    <row r="34" spans="1:10" x14ac:dyDescent="0.25">
      <c r="A34" t="str">
        <f>site_selection!C43</f>
        <v>Niobec Converter</v>
      </c>
      <c r="B34">
        <f>site_selection!D43</f>
        <v>0</v>
      </c>
      <c r="C34" t="str">
        <f>site_selection!I43</f>
        <v>Ferroniobium</v>
      </c>
      <c r="D34">
        <f>site_selection!L43</f>
        <v>0</v>
      </c>
      <c r="E34" s="32">
        <f>site_selection!N43/site_selection!$N$68</f>
        <v>0</v>
      </c>
      <c r="F34" s="32">
        <f>site_selection!AD43/site_selection!$AD$68</f>
        <v>0</v>
      </c>
      <c r="G34" s="32">
        <f>site_selection!AE43/site_selection!$AE$68</f>
        <v>0</v>
      </c>
      <c r="H34" s="32">
        <f>site_selection!AK43/site_selection!$AK$68</f>
        <v>0</v>
      </c>
      <c r="I34" s="32">
        <f>site_selection!AG43/site_selection!$AG$68</f>
        <v>0</v>
      </c>
      <c r="J34" s="32">
        <f>site_selection!AF43/site_selection!$AF$68</f>
        <v>0</v>
      </c>
    </row>
    <row r="35" spans="1:10" x14ac:dyDescent="0.25">
      <c r="A35" t="str">
        <f>site_selection!C44</f>
        <v>Nunavik Nickel</v>
      </c>
      <c r="B35">
        <f>site_selection!D44</f>
        <v>0</v>
      </c>
      <c r="C35" t="str">
        <f>site_selection!I44</f>
        <v>Nickel, copper, platinum group metals, cobalt</v>
      </c>
      <c r="D35" t="str">
        <f>site_selection!L44</f>
        <v>Ni-Cu bulk conc.</v>
      </c>
      <c r="E35" s="32">
        <f>site_selection!N44/site_selection!$N$68</f>
        <v>0</v>
      </c>
      <c r="F35" s="32">
        <f>site_selection!AD44/site_selection!$AD$68</f>
        <v>0</v>
      </c>
      <c r="G35" s="32">
        <f>site_selection!AE44/site_selection!$AE$68</f>
        <v>0.39893708329614042</v>
      </c>
      <c r="H35" s="32">
        <f>site_selection!AK44/site_selection!$AK$68</f>
        <v>0</v>
      </c>
      <c r="I35" s="32">
        <f>site_selection!AG44/site_selection!$AG$68</f>
        <v>0</v>
      </c>
      <c r="J35" s="32">
        <f>site_selection!AF44/site_selection!$AF$68</f>
        <v>0</v>
      </c>
    </row>
    <row r="36" spans="1:10" x14ac:dyDescent="0.25">
      <c r="A36" t="str">
        <f>site_selection!C45</f>
        <v>Raglan</v>
      </c>
      <c r="B36">
        <f>site_selection!D45</f>
        <v>0</v>
      </c>
      <c r="C36" t="str">
        <f>site_selection!I45</f>
        <v>Nickel, platinum group metals, copper, cobalt, gold, silver</v>
      </c>
      <c r="D36" t="str">
        <f>site_selection!L45</f>
        <v>Ni-Cu bulk conc.</v>
      </c>
      <c r="E36" s="32">
        <f>site_selection!N45/site_selection!$N$68</f>
        <v>0</v>
      </c>
      <c r="F36" s="32">
        <f>site_selection!AD45/site_selection!$AD$68</f>
        <v>0</v>
      </c>
      <c r="G36" s="32">
        <f>site_selection!AE45/site_selection!$AE$68</f>
        <v>0.16638628919848664</v>
      </c>
      <c r="H36" s="32">
        <f>site_selection!AK45/site_selection!$AK$68</f>
        <v>0</v>
      </c>
      <c r="I36" s="32">
        <f>site_selection!AG45/site_selection!$AG$68</f>
        <v>0</v>
      </c>
      <c r="J36" s="32">
        <f>site_selection!AF45/site_selection!$AF$68</f>
        <v>0</v>
      </c>
    </row>
    <row r="37" spans="1:10" x14ac:dyDescent="0.25">
      <c r="A37" t="str">
        <f>site_selection!C46</f>
        <v>Rainy River</v>
      </c>
      <c r="B37">
        <f>site_selection!D46</f>
        <v>0</v>
      </c>
      <c r="C37" t="str">
        <f>site_selection!I46</f>
        <v>Gold, silver</v>
      </c>
      <c r="D37" t="str">
        <f>site_selection!L46</f>
        <v>Au-Ag doré</v>
      </c>
      <c r="E37" s="32">
        <f>site_selection!N46/site_selection!$N$68</f>
        <v>3.7381704678151405E-2</v>
      </c>
      <c r="F37" s="32">
        <f>site_selection!AD46/site_selection!$AD$68</f>
        <v>0</v>
      </c>
      <c r="G37" s="32">
        <f>site_selection!AE46/site_selection!$AE$68</f>
        <v>0</v>
      </c>
      <c r="H37" s="32">
        <f>site_selection!AK46/site_selection!$AK$68</f>
        <v>0</v>
      </c>
      <c r="I37" s="32">
        <f>site_selection!AG46/site_selection!$AG$68</f>
        <v>0</v>
      </c>
      <c r="J37" s="32">
        <f>site_selection!AF46/site_selection!$AF$68</f>
        <v>0</v>
      </c>
    </row>
    <row r="38" spans="1:10" x14ac:dyDescent="0.25">
      <c r="A38" t="str">
        <f>site_selection!C47</f>
        <v>Red Chris</v>
      </c>
      <c r="B38">
        <f>site_selection!D47</f>
        <v>0</v>
      </c>
      <c r="C38" t="str">
        <f>site_selection!I47</f>
        <v>Gold, copper, silver</v>
      </c>
      <c r="D38" t="str">
        <f>site_selection!L47</f>
        <v>Cu conc.</v>
      </c>
      <c r="E38" s="32">
        <f>site_selection!N47/site_selection!$N$68</f>
        <v>7.3659982813752882E-4</v>
      </c>
      <c r="F38" s="32">
        <f>site_selection!AD47/site_selection!$AD$68</f>
        <v>1.420125353352485E-2</v>
      </c>
      <c r="G38" s="32">
        <f>site_selection!AE47/site_selection!$AE$68</f>
        <v>0</v>
      </c>
      <c r="H38" s="32">
        <f>site_selection!AK47/site_selection!$AK$68</f>
        <v>0</v>
      </c>
      <c r="I38" s="32">
        <f>site_selection!AG47/site_selection!$AG$68</f>
        <v>0</v>
      </c>
      <c r="J38" s="32">
        <f>site_selection!AF47/site_selection!$AF$68</f>
        <v>0</v>
      </c>
    </row>
    <row r="39" spans="1:10" x14ac:dyDescent="0.25">
      <c r="A39" t="str">
        <f>site_selection!C48</f>
        <v>Red Lake</v>
      </c>
      <c r="B39">
        <f>site_selection!D48</f>
        <v>0</v>
      </c>
      <c r="C39" t="str">
        <f>site_selection!I48</f>
        <v>Gold, silver</v>
      </c>
      <c r="D39" t="str">
        <f>site_selection!L48</f>
        <v>Au-Ag doré</v>
      </c>
      <c r="E39" s="32">
        <f>site_selection!N48/site_selection!$N$68</f>
        <v>1.6602960126219903E-2</v>
      </c>
      <c r="F39" s="32">
        <f>site_selection!AD48/site_selection!$AD$68</f>
        <v>0</v>
      </c>
      <c r="G39" s="32">
        <f>site_selection!AE48/site_selection!$AE$68</f>
        <v>0</v>
      </c>
      <c r="H39" s="32">
        <f>site_selection!AK48/site_selection!$AK$68</f>
        <v>0</v>
      </c>
      <c r="I39" s="32">
        <f>site_selection!AG48/site_selection!$AG$68</f>
        <v>0</v>
      </c>
      <c r="J39" s="32">
        <f>site_selection!AF48/site_selection!$AF$68</f>
        <v>0</v>
      </c>
    </row>
    <row r="40" spans="1:10" x14ac:dyDescent="0.25">
      <c r="A40" t="str">
        <f>site_selection!C50</f>
        <v>Strathcona</v>
      </c>
      <c r="B40" t="str">
        <f>site_selection!D50</f>
        <v>Integrated Nickel Operations</v>
      </c>
      <c r="C40" t="str">
        <f>site_selection!I50</f>
        <v>Nickel, copper, platinum group metals, gold, silver, cobalt, selenium, tellurium</v>
      </c>
      <c r="D40" t="str">
        <f>site_selection!L50</f>
        <v>Ni-Cu bulk conc.</v>
      </c>
      <c r="E40" s="32">
        <f>site_selection!N50/site_selection!$N$68</f>
        <v>0</v>
      </c>
      <c r="F40" s="32">
        <f>site_selection!AD50/site_selection!$AD$68</f>
        <v>0</v>
      </c>
      <c r="G40" s="32">
        <f>site_selection!AE50/site_selection!$AE$68</f>
        <v>5.1703893928053996E-2</v>
      </c>
      <c r="H40" s="32">
        <f>site_selection!AK50/site_selection!$AK$68</f>
        <v>0</v>
      </c>
      <c r="I40" s="32">
        <f>site_selection!AG50/site_selection!$AG$68</f>
        <v>0</v>
      </c>
      <c r="J40" s="32">
        <f>site_selection!AF50/site_selection!$AF$68</f>
        <v>0</v>
      </c>
    </row>
    <row r="41" spans="1:10" x14ac:dyDescent="0.25">
      <c r="A41" t="str">
        <f>site_selection!C52</f>
        <v>Sugar Zone</v>
      </c>
      <c r="B41">
        <f>site_selection!D52</f>
        <v>0</v>
      </c>
      <c r="C41" t="str">
        <f>site_selection!I52</f>
        <v>Gold</v>
      </c>
      <c r="D41" t="str">
        <f>site_selection!L52</f>
        <v>Au-Ag doré</v>
      </c>
      <c r="E41" s="32">
        <f>site_selection!N52/site_selection!$N$68</f>
        <v>5.6952425511937457E-3</v>
      </c>
      <c r="F41" s="32">
        <f>site_selection!AD52/site_selection!$AD$68</f>
        <v>0</v>
      </c>
      <c r="G41" s="32">
        <f>site_selection!AE52/site_selection!$AE$68</f>
        <v>0</v>
      </c>
      <c r="H41" s="32">
        <f>site_selection!AK52/site_selection!$AK$68</f>
        <v>0</v>
      </c>
      <c r="I41" s="32">
        <f>site_selection!AG52/site_selection!$AG$68</f>
        <v>0</v>
      </c>
      <c r="J41" s="32">
        <f>site_selection!AF52/site_selection!$AF$68</f>
        <v>0</v>
      </c>
    </row>
    <row r="42" spans="1:10" x14ac:dyDescent="0.25">
      <c r="A42" t="str">
        <f>site_selection!C54</f>
        <v>Thompson (T-1 and T-3)</v>
      </c>
      <c r="B42">
        <f>site_selection!D54</f>
        <v>0</v>
      </c>
      <c r="C42" t="str">
        <f>site_selection!I54</f>
        <v>Nickel, cobalt, copper, platinum group metals, gold, silver</v>
      </c>
      <c r="D42" t="str">
        <f>site_selection!L54</f>
        <v>Ni-Cu bulk conc.</v>
      </c>
      <c r="E42" s="32">
        <f>site_selection!N54/site_selection!$N$68</f>
        <v>0</v>
      </c>
      <c r="F42" s="32">
        <f>site_selection!AD54/site_selection!$AD$68</f>
        <v>0</v>
      </c>
      <c r="G42" s="32">
        <f>site_selection!AE54/site_selection!$AE$68</f>
        <v>5.4244457109113756E-2</v>
      </c>
      <c r="H42" s="32">
        <f>site_selection!AK54/site_selection!$AK$68</f>
        <v>0</v>
      </c>
      <c r="I42" s="32">
        <f>site_selection!AG54/site_selection!$AG$68</f>
        <v>0</v>
      </c>
      <c r="J42" s="32">
        <f>site_selection!AF54/site_selection!$AF$68</f>
        <v>0</v>
      </c>
    </row>
    <row r="43" spans="1:10" x14ac:dyDescent="0.25">
      <c r="A43" t="str">
        <f>site_selection!C55</f>
        <v>Totten</v>
      </c>
      <c r="B43" t="str">
        <f>site_selection!D55</f>
        <v>Sudbury Operation</v>
      </c>
      <c r="C43" t="str">
        <f>site_selection!I55</f>
        <v>Nickel, copper, platinum group metals, gold, silver, cobalt</v>
      </c>
      <c r="D43" t="str">
        <f>site_selection!L55</f>
        <v>Ni-Cu bulk conc.</v>
      </c>
      <c r="E43" s="32">
        <f>site_selection!N55/site_selection!$N$68</f>
        <v>0</v>
      </c>
      <c r="F43" s="32">
        <f>site_selection!AD55/site_selection!$AD$68</f>
        <v>0</v>
      </c>
      <c r="G43" s="32">
        <f>site_selection!AE55/site_selection!$AE$68</f>
        <v>4.3491695104952724E-2</v>
      </c>
      <c r="H43" s="32">
        <f>site_selection!AK55/site_selection!$AK$68</f>
        <v>0</v>
      </c>
      <c r="I43" s="32">
        <f>site_selection!AG55/site_selection!$AG$68</f>
        <v>0</v>
      </c>
      <c r="J43" s="32">
        <f>site_selection!AF55/site_selection!$AF$68</f>
        <v>0</v>
      </c>
    </row>
    <row r="44" spans="1:10" x14ac:dyDescent="0.25">
      <c r="A44" t="str">
        <f>site_selection!C56</f>
        <v>Trail</v>
      </c>
      <c r="B44">
        <f>site_selection!D56</f>
        <v>0</v>
      </c>
      <c r="C44" t="str">
        <f>site_selection!I56</f>
        <v>Zinc, lead, bismuth, cadmium, indium, germanium, precious metals, liquid sulfur dioxide, sulfuric acid</v>
      </c>
      <c r="D44">
        <f>site_selection!L56</f>
        <v>0</v>
      </c>
      <c r="E44" s="32">
        <f>site_selection!N56/site_selection!$N$68</f>
        <v>0</v>
      </c>
      <c r="F44" s="32">
        <f>site_selection!AD56/site_selection!$AD$68</f>
        <v>0</v>
      </c>
      <c r="G44" s="32">
        <f>site_selection!AE56/site_selection!$AE$68</f>
        <v>0</v>
      </c>
      <c r="H44" s="32">
        <f>site_selection!AK56/site_selection!$AK$68</f>
        <v>0</v>
      </c>
      <c r="I44" s="32">
        <f>site_selection!AG56/site_selection!$AG$68</f>
        <v>0</v>
      </c>
      <c r="J44" s="32">
        <f>site_selection!AF56/site_selection!$AF$68</f>
        <v>0</v>
      </c>
    </row>
    <row r="45" spans="1:10" x14ac:dyDescent="0.25">
      <c r="A45" t="str">
        <f>site_selection!C57</f>
        <v>Voisey’s Bay</v>
      </c>
      <c r="B45">
        <f>site_selection!D57</f>
        <v>0</v>
      </c>
      <c r="C45" t="str">
        <f>site_selection!I57</f>
        <v>Nickel, copper, cobalt</v>
      </c>
      <c r="D45" t="str">
        <f>site_selection!L57</f>
        <v>Ni-Cu bulk conc.</v>
      </c>
      <c r="E45" s="32">
        <f>site_selection!N57/site_selection!$N$68</f>
        <v>0</v>
      </c>
      <c r="F45" s="32">
        <f>site_selection!AD57/site_selection!$AD$68</f>
        <v>0</v>
      </c>
      <c r="G45" s="32">
        <f>site_selection!AE57/site_selection!$AE$68</f>
        <v>9.269622417380198E-2</v>
      </c>
      <c r="H45" s="32">
        <f>site_selection!AK57/site_selection!$AK$68</f>
        <v>0</v>
      </c>
      <c r="I45" s="32">
        <f>site_selection!AG57/site_selection!$AG$68</f>
        <v>0</v>
      </c>
      <c r="J45" s="32">
        <f>site_selection!AF57/site_selection!$AF$68</f>
        <v>0</v>
      </c>
    </row>
    <row r="46" spans="1:10" x14ac:dyDescent="0.25">
      <c r="A46" t="str">
        <f>site_selection!C58</f>
        <v>Westwood-Doyon</v>
      </c>
      <c r="B46">
        <f>site_selection!D58</f>
        <v>0</v>
      </c>
      <c r="C46" t="str">
        <f>site_selection!I58</f>
        <v>Gold, silver</v>
      </c>
      <c r="D46" t="str">
        <f>site_selection!L58</f>
        <v>Au-Ag doré</v>
      </c>
      <c r="E46" s="32">
        <f>site_selection!N58/site_selection!$N$68</f>
        <v>1.9115354820031384E-2</v>
      </c>
      <c r="F46" s="32">
        <f>site_selection!AD58/site_selection!$AD$68</f>
        <v>0</v>
      </c>
      <c r="G46" s="32">
        <f>site_selection!AE58/site_selection!$AE$68</f>
        <v>0</v>
      </c>
      <c r="H46" s="32">
        <f>site_selection!AK58/site_selection!$AK$68</f>
        <v>0</v>
      </c>
      <c r="I46" s="32">
        <f>site_selection!AG58/site_selection!$AG$68</f>
        <v>0</v>
      </c>
      <c r="J46" s="32">
        <f>site_selection!AF58/site_selection!$AF$68</f>
        <v>0</v>
      </c>
    </row>
    <row r="47" spans="1:10" x14ac:dyDescent="0.25">
      <c r="A47" t="str">
        <f>site_selection!C59</f>
        <v>Young-Davidson</v>
      </c>
      <c r="B47">
        <f>site_selection!D59</f>
        <v>0</v>
      </c>
      <c r="C47" t="str">
        <f>site_selection!I59</f>
        <v>Gold</v>
      </c>
      <c r="D47" t="str">
        <f>site_selection!L59</f>
        <v>Au-Ag doré</v>
      </c>
      <c r="E47" s="32">
        <f>site_selection!N59/site_selection!$N$68</f>
        <v>2.7268925637651271E-2</v>
      </c>
      <c r="F47" s="32">
        <f>site_selection!AD59/site_selection!$AD$68</f>
        <v>0</v>
      </c>
      <c r="G47" s="32">
        <f>site_selection!AE59/site_selection!$AE$68</f>
        <v>0</v>
      </c>
      <c r="H47" s="32">
        <f>site_selection!AK59/site_selection!$AK$68</f>
        <v>0</v>
      </c>
      <c r="I47" s="32">
        <f>site_selection!AG59/site_selection!$AG$68</f>
        <v>0</v>
      </c>
      <c r="J47" s="32">
        <f>site_selection!AF59/site_selection!$AF$68</f>
        <v>0</v>
      </c>
    </row>
    <row r="48" spans="1:10" x14ac:dyDescent="0.25">
      <c r="A48">
        <f>site_selection!C60</f>
        <v>0</v>
      </c>
      <c r="B48" t="str">
        <f>site_selection!D60</f>
        <v>Cigar Lake + McClean Lake</v>
      </c>
      <c r="C48" t="str">
        <f>site_selection!I60</f>
        <v>Uranium</v>
      </c>
      <c r="D48" t="str">
        <f>site_selection!L60</f>
        <v>Yellowcake</v>
      </c>
      <c r="E48" s="32">
        <f>site_selection!N60/site_selection!$N$68</f>
        <v>0</v>
      </c>
      <c r="F48" s="32">
        <f>site_selection!AD60/site_selection!$AD$68</f>
        <v>0</v>
      </c>
      <c r="G48" s="32">
        <f>site_selection!AE60/site_selection!$AE$68</f>
        <v>0</v>
      </c>
      <c r="H48" s="32">
        <f>site_selection!AK60/site_selection!$AK$68</f>
        <v>0.5714285714285714</v>
      </c>
      <c r="I48" s="32">
        <f>site_selection!AG60/site_selection!$AG$68</f>
        <v>0</v>
      </c>
      <c r="J48" s="32">
        <f>site_selection!AF60/site_selection!$AF$68</f>
        <v>0</v>
      </c>
    </row>
    <row r="49" spans="1:10" x14ac:dyDescent="0.25">
      <c r="A49">
        <f>site_selection!C61</f>
        <v>0</v>
      </c>
      <c r="B49" t="str">
        <f>site_selection!D61</f>
        <v>Key Lake + McArthur River</v>
      </c>
      <c r="C49" t="str">
        <f>site_selection!I61</f>
        <v>Uranium</v>
      </c>
      <c r="D49" t="str">
        <f>site_selection!L61</f>
        <v>Yellowcake</v>
      </c>
      <c r="E49" s="32">
        <f>site_selection!N61/site_selection!$N$68</f>
        <v>0</v>
      </c>
      <c r="F49" s="32">
        <f>site_selection!AD61/site_selection!$AD$68</f>
        <v>0</v>
      </c>
      <c r="G49" s="32">
        <f>site_selection!AE61/site_selection!$AE$68</f>
        <v>0</v>
      </c>
      <c r="H49" s="32">
        <f>site_selection!AK61/site_selection!$AK$68</f>
        <v>0.4285714285714286</v>
      </c>
      <c r="I49" s="32">
        <f>site_selection!AG61/site_selection!$AG$68</f>
        <v>0</v>
      </c>
      <c r="J49" s="32">
        <f>site_selection!AF61/site_selection!$AF$68</f>
        <v>0</v>
      </c>
    </row>
    <row r="50" spans="1:10" x14ac:dyDescent="0.25">
      <c r="A50">
        <f>site_selection!C62</f>
        <v>0</v>
      </c>
      <c r="B50" t="str">
        <f>site_selection!D62</f>
        <v>Meadowbank complex</v>
      </c>
      <c r="C50" t="str">
        <f>site_selection!I62</f>
        <v>Gold</v>
      </c>
      <c r="D50" t="str">
        <f>site_selection!L62</f>
        <v>Au-Ag doré</v>
      </c>
      <c r="E50" s="32">
        <f>site_selection!N62/site_selection!$N$68</f>
        <v>8.2007961038747329E-2</v>
      </c>
      <c r="F50" s="32">
        <f>site_selection!AD62/site_selection!$AD$68</f>
        <v>0</v>
      </c>
      <c r="G50" s="32">
        <f>site_selection!AE62/site_selection!$AE$68</f>
        <v>0</v>
      </c>
      <c r="H50" s="32">
        <f>site_selection!AK62/site_selection!$AK$68</f>
        <v>0</v>
      </c>
      <c r="I50" s="32">
        <f>site_selection!AG62/site_selection!$AG$68</f>
        <v>0</v>
      </c>
      <c r="J50" s="32">
        <f>site_selection!AF62/site_selection!$AF$68</f>
        <v>0</v>
      </c>
    </row>
    <row r="51" spans="1:10" x14ac:dyDescent="0.25">
      <c r="A51">
        <f>site_selection!C63</f>
        <v>0</v>
      </c>
      <c r="B51" t="str">
        <f>site_selection!D63</f>
        <v>Porcupine complex</v>
      </c>
      <c r="C51" t="str">
        <f>site_selection!I63</f>
        <v>Gold</v>
      </c>
      <c r="D51" t="str">
        <f>site_selection!L63</f>
        <v>Au-Ag doré</v>
      </c>
      <c r="E51" s="32">
        <f>site_selection!N63/site_selection!$N$68</f>
        <v>3.8303191063151498E-2</v>
      </c>
      <c r="F51" s="32">
        <f>site_selection!AD63/site_selection!$AD$68</f>
        <v>0</v>
      </c>
      <c r="G51" s="32">
        <f>site_selection!AE63/site_selection!$AE$68</f>
        <v>0</v>
      </c>
      <c r="H51" s="32">
        <f>site_selection!AK63/site_selection!$AK$68</f>
        <v>0</v>
      </c>
      <c r="I51" s="32">
        <f>site_selection!AG63/site_selection!$AG$68</f>
        <v>0</v>
      </c>
      <c r="J51" s="32">
        <f>site_selection!AF63/site_selection!$AF$68</f>
        <v>0</v>
      </c>
    </row>
    <row r="52" spans="1:10" x14ac:dyDescent="0.25">
      <c r="A52">
        <f>site_selection!C64</f>
        <v>0</v>
      </c>
      <c r="B52" t="str">
        <f>site_selection!D64</f>
        <v>Timmins Operation</v>
      </c>
      <c r="C52" t="str">
        <f>site_selection!I64</f>
        <v>Gold</v>
      </c>
      <c r="D52" t="str">
        <f>site_selection!L64</f>
        <v>Au-Ag doré</v>
      </c>
      <c r="E52" s="32">
        <f>site_selection!N64/site_selection!$N$68</f>
        <v>1.9578823431895518E-2</v>
      </c>
      <c r="F52" s="32">
        <f>site_selection!AD64/site_selection!$AD$68</f>
        <v>0</v>
      </c>
      <c r="G52" s="32">
        <f>site_selection!AE64/site_selection!$AE$68</f>
        <v>0</v>
      </c>
      <c r="H52" s="32">
        <f>site_selection!AK64/site_selection!$AK$68</f>
        <v>0</v>
      </c>
      <c r="I52" s="32">
        <f>site_selection!AG64/site_selection!$AG$68</f>
        <v>0</v>
      </c>
      <c r="J52" s="32">
        <f>site_selection!AF64/site_selection!$AF$68</f>
        <v>0</v>
      </c>
    </row>
    <row r="53" spans="1:10" x14ac:dyDescent="0.25">
      <c r="A53">
        <f>site_selection!C65</f>
        <v>0</v>
      </c>
      <c r="B53" t="str">
        <f>site_selection!D65</f>
        <v>Seabee Gold Operation</v>
      </c>
      <c r="C53" t="str">
        <f>site_selection!I65</f>
        <v>Gold</v>
      </c>
      <c r="D53" t="str">
        <f>site_selection!L65</f>
        <v>Au-Ag doré</v>
      </c>
      <c r="E53" s="32">
        <f>site_selection!N65/site_selection!$N$68</f>
        <v>5.7096799078252417E-3</v>
      </c>
      <c r="F53" s="32">
        <f>site_selection!AD65/site_selection!$AD$68</f>
        <v>0</v>
      </c>
      <c r="G53" s="32">
        <f>site_selection!AE65/site_selection!$AE$68</f>
        <v>0</v>
      </c>
      <c r="H53" s="32">
        <f>site_selection!AK65/site_selection!$AK$68</f>
        <v>0</v>
      </c>
      <c r="I53" s="32">
        <f>site_selection!AG65/site_selection!$AG$68</f>
        <v>0</v>
      </c>
      <c r="J53" s="32">
        <f>site_selection!AF65/site_selection!$AF$68</f>
        <v>0</v>
      </c>
    </row>
    <row r="54" spans="1:10" x14ac:dyDescent="0.25">
      <c r="A54">
        <f>site_selection!C66</f>
        <v>0</v>
      </c>
      <c r="B54" t="str">
        <f>site_selection!D66</f>
        <v>Snow Lake</v>
      </c>
      <c r="C54" t="str">
        <f>site_selection!I66</f>
        <v>Gold, zinc, copper, silver</v>
      </c>
      <c r="D54" t="str">
        <f>site_selection!L66</f>
        <v>Au-Ag doré, Cu and Zn conc.</v>
      </c>
      <c r="E54" s="32">
        <f>site_selection!N66/site_selection!$N$68</f>
        <v>0.15307811380402245</v>
      </c>
      <c r="F54" s="32">
        <f>site_selection!AD66/site_selection!$AD$68</f>
        <v>4.3150508861615255E-2</v>
      </c>
      <c r="G54" s="32">
        <f>site_selection!AE66/site_selection!$AE$68</f>
        <v>0</v>
      </c>
      <c r="H54" s="32">
        <f>site_selection!AK66/site_selection!$AK$68</f>
        <v>0</v>
      </c>
      <c r="I54" s="32">
        <f>site_selection!AG66/site_selection!$AG$68</f>
        <v>0.42100817156350195</v>
      </c>
      <c r="J54" s="32">
        <f>site_selection!AF66/site_selection!$AF$68</f>
        <v>0</v>
      </c>
    </row>
  </sheetData>
  <autoFilter ref="A1:S54" xr:uid="{FAA6255D-77F9-4269-B2CE-74E3D78C471C}"/>
  <conditionalFormatting sqref="E2:J5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684C-05D3-4E6D-AF51-2A5AC845A568}">
  <dimension ref="A1:D14"/>
  <sheetViews>
    <sheetView workbookViewId="0">
      <selection activeCell="A2" sqref="A2"/>
    </sheetView>
  </sheetViews>
  <sheetFormatPr baseColWidth="10" defaultRowHeight="15" x14ac:dyDescent="0.25"/>
  <cols>
    <col min="1" max="1" width="92" bestFit="1" customWidth="1"/>
    <col min="2" max="2" width="13.5703125" bestFit="1" customWidth="1"/>
    <col min="3" max="3" width="16.140625" bestFit="1" customWidth="1"/>
    <col min="4" max="4" width="29.140625" bestFit="1" customWidth="1"/>
  </cols>
  <sheetData>
    <row r="1" spans="1:4" x14ac:dyDescent="0.25">
      <c r="A1" s="1" t="s">
        <v>303</v>
      </c>
      <c r="B1" s="1" t="s">
        <v>304</v>
      </c>
      <c r="C1" s="1" t="s">
        <v>305</v>
      </c>
      <c r="D1" s="1" t="s">
        <v>306</v>
      </c>
    </row>
    <row r="2" spans="1:4" x14ac:dyDescent="0.25">
      <c r="A2" t="s">
        <v>307</v>
      </c>
      <c r="B2" t="s">
        <v>308</v>
      </c>
      <c r="C2">
        <v>9.3391084359322303</v>
      </c>
      <c r="D2" t="s">
        <v>309</v>
      </c>
    </row>
    <row r="3" spans="1:4" x14ac:dyDescent="0.25">
      <c r="A3" t="s">
        <v>310</v>
      </c>
      <c r="B3" t="s">
        <v>0</v>
      </c>
      <c r="C3">
        <v>6.9</v>
      </c>
      <c r="D3" t="s">
        <v>309</v>
      </c>
    </row>
    <row r="4" spans="1:4" x14ac:dyDescent="0.25">
      <c r="A4" t="s">
        <v>311</v>
      </c>
      <c r="B4" t="s">
        <v>63</v>
      </c>
      <c r="C4">
        <v>51793.135000000002</v>
      </c>
      <c r="D4" t="s">
        <v>309</v>
      </c>
    </row>
    <row r="5" spans="1:4" x14ac:dyDescent="0.25">
      <c r="A5" t="s">
        <v>312</v>
      </c>
      <c r="B5" t="s">
        <v>54</v>
      </c>
      <c r="C5">
        <v>15.31</v>
      </c>
      <c r="D5" t="s">
        <v>309</v>
      </c>
    </row>
    <row r="6" spans="1:4" x14ac:dyDescent="0.25">
      <c r="A6" t="s">
        <v>313</v>
      </c>
      <c r="B6" t="s">
        <v>314</v>
      </c>
      <c r="C6">
        <v>2.0625835737454548</v>
      </c>
      <c r="D6" t="s">
        <v>309</v>
      </c>
    </row>
    <row r="7" spans="1:4" x14ac:dyDescent="0.25">
      <c r="A7" t="s">
        <v>315</v>
      </c>
      <c r="B7" t="s">
        <v>3</v>
      </c>
      <c r="C7">
        <v>29.24</v>
      </c>
      <c r="D7" t="s">
        <v>309</v>
      </c>
    </row>
    <row r="8" spans="1:4" x14ac:dyDescent="0.25">
      <c r="A8" t="s">
        <v>316</v>
      </c>
      <c r="B8" t="s">
        <v>2</v>
      </c>
      <c r="C8">
        <v>15.59</v>
      </c>
      <c r="D8" t="s">
        <v>309</v>
      </c>
    </row>
    <row r="9" spans="1:4" x14ac:dyDescent="0.25">
      <c r="B9" t="s">
        <v>174</v>
      </c>
      <c r="C9">
        <f>72449*0.71</f>
        <v>51438.79</v>
      </c>
      <c r="D9" t="s">
        <v>317</v>
      </c>
    </row>
    <row r="10" spans="1:4" x14ac:dyDescent="0.25">
      <c r="B10" t="s">
        <v>318</v>
      </c>
      <c r="C10">
        <f>72449*0.71</f>
        <v>51438.79</v>
      </c>
      <c r="D10" t="s">
        <v>317</v>
      </c>
    </row>
    <row r="11" spans="1:4" x14ac:dyDescent="0.25">
      <c r="A11" t="s">
        <v>319</v>
      </c>
      <c r="B11" t="s">
        <v>320</v>
      </c>
      <c r="C11">
        <v>672.13</v>
      </c>
      <c r="D11" t="s">
        <v>309</v>
      </c>
    </row>
    <row r="12" spans="1:4" x14ac:dyDescent="0.25">
      <c r="B12" t="s">
        <v>5</v>
      </c>
      <c r="C12">
        <v>0.17169999999999999</v>
      </c>
      <c r="D12" t="s">
        <v>317</v>
      </c>
    </row>
    <row r="13" spans="1:4" x14ac:dyDescent="0.25">
      <c r="A13" t="s">
        <v>321</v>
      </c>
      <c r="B13" t="s">
        <v>4</v>
      </c>
      <c r="C13">
        <v>2.5793145391818189</v>
      </c>
      <c r="D13" t="s">
        <v>309</v>
      </c>
    </row>
    <row r="14" spans="1:4" x14ac:dyDescent="0.25">
      <c r="A14" t="s">
        <v>322</v>
      </c>
      <c r="B14" t="s">
        <v>323</v>
      </c>
      <c r="C14">
        <v>78.78</v>
      </c>
      <c r="D14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README</vt:lpstr>
      <vt:lpstr>site_selection</vt:lpstr>
      <vt:lpstr>market_shares</vt:lpstr>
      <vt:lpstr>market_shares_calc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2025-12-17T08:57:57Z</dcterms:created>
  <dcterms:modified xsi:type="dcterms:W3CDTF">2026-01-13T14:11:58Z</dcterms:modified>
</cp:coreProperties>
</file>