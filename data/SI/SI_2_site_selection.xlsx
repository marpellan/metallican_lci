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regionalized_lci_mineral/data/SI/"/>
    </mc:Choice>
  </mc:AlternateContent>
  <xr:revisionPtr revIDLastSave="575" documentId="8_{EF4B609D-3C32-4D85-B6D7-614095F206BA}" xr6:coauthVersionLast="47" xr6:coauthVersionMax="47" xr10:uidLastSave="{3B3B1800-A1C0-4A57-8EE1-C08F8357BB09}"/>
  <bookViews>
    <workbookView xWindow="-110" yWindow="-110" windowWidth="19420" windowHeight="10300" activeTab="1" xr2:uid="{B09C33A3-69AE-4EDE-B293-E9623AD2B114}"/>
  </bookViews>
  <sheets>
    <sheet name="README" sheetId="4" r:id="rId1"/>
    <sheet name="site_selection" sheetId="2" r:id="rId2"/>
    <sheet name="market_shares" sheetId="7" r:id="rId3"/>
    <sheet name="market_shares_calc" sheetId="6" r:id="rId4"/>
    <sheet name="concentrate_grade" sheetId="8" r:id="rId5"/>
    <sheet name="prices" sheetId="3" r:id="rId6"/>
  </sheets>
  <definedNames>
    <definedName name="_xlnm._FilterDatabase" localSheetId="4" hidden="1">concentrate_grade!$A$1:$G$1</definedName>
    <definedName name="_xlnm._FilterDatabase" localSheetId="2" hidden="1">market_shares!$A$1:$F$44</definedName>
    <definedName name="_xlnm._FilterDatabase" localSheetId="3" hidden="1">market_shares_calc!$A$1:$S$38</definedName>
    <definedName name="_xlnm._FilterDatabase" localSheetId="1" hidden="1">site_selection!$A$1:$DR$38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6" l="1"/>
  <c r="C27" i="6"/>
  <c r="P27" i="2"/>
  <c r="D21" i="7" l="1"/>
  <c r="D40" i="7" l="1"/>
  <c r="D24" i="7"/>
  <c r="D20" i="7"/>
  <c r="D5" i="7"/>
  <c r="D18" i="7"/>
  <c r="D34" i="7"/>
  <c r="D43" i="7"/>
  <c r="D41" i="7"/>
  <c r="D32" i="7"/>
  <c r="D16" i="7"/>
  <c r="D11" i="7"/>
  <c r="D44" i="7"/>
  <c r="D42" i="7"/>
  <c r="D39" i="7"/>
  <c r="D37" i="7"/>
  <c r="D30" i="7"/>
  <c r="D25" i="7"/>
  <c r="D23" i="7"/>
  <c r="D17" i="7"/>
  <c r="D13" i="7"/>
  <c r="D9" i="7"/>
  <c r="D8" i="7"/>
  <c r="D2" i="7"/>
  <c r="D7" i="7"/>
  <c r="D3" i="7"/>
  <c r="D33" i="7"/>
  <c r="D26" i="7"/>
  <c r="D35" i="7"/>
  <c r="D27" i="7"/>
  <c r="D14" i="7"/>
  <c r="D4" i="7"/>
  <c r="D38" i="7"/>
  <c r="D31" i="7"/>
  <c r="D22" i="7"/>
  <c r="D19" i="7"/>
  <c r="D12" i="7"/>
  <c r="D29" i="7"/>
  <c r="D28" i="7"/>
  <c r="D15" i="7"/>
  <c r="D10" i="7"/>
  <c r="D6" i="7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8" i="6"/>
  <c r="D29" i="6"/>
  <c r="D30" i="6"/>
  <c r="D31" i="6"/>
  <c r="D32" i="6"/>
  <c r="D33" i="6"/>
  <c r="D34" i="6"/>
  <c r="D35" i="6"/>
  <c r="D36" i="6"/>
  <c r="D37" i="6"/>
  <c r="D38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8" i="6"/>
  <c r="C29" i="6"/>
  <c r="C30" i="6"/>
  <c r="C31" i="6"/>
  <c r="C32" i="6"/>
  <c r="C33" i="6"/>
  <c r="C34" i="6"/>
  <c r="C35" i="6"/>
  <c r="C36" i="6"/>
  <c r="C37" i="6"/>
  <c r="C38" i="6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8" i="6"/>
  <c r="A29" i="6"/>
  <c r="A30" i="6"/>
  <c r="A31" i="6"/>
  <c r="B32" i="6"/>
  <c r="B33" i="6"/>
  <c r="B34" i="6"/>
  <c r="B35" i="6"/>
  <c r="B36" i="6"/>
  <c r="B37" i="6"/>
  <c r="B38" i="6"/>
  <c r="C10" i="3" l="1"/>
  <c r="C9" i="3"/>
  <c r="AJ40" i="2"/>
  <c r="AI40" i="2"/>
  <c r="Y40" i="2"/>
  <c r="N37" i="2"/>
  <c r="N36" i="2"/>
  <c r="N35" i="2"/>
  <c r="AL33" i="2"/>
  <c r="AL32" i="2"/>
  <c r="N31" i="2"/>
  <c r="AL29" i="2"/>
  <c r="AL28" i="2"/>
  <c r="N26" i="2"/>
  <c r="AL25" i="2"/>
  <c r="AL24" i="2"/>
  <c r="AL23" i="2"/>
  <c r="N22" i="2"/>
  <c r="AL21" i="2"/>
  <c r="AL20" i="2"/>
  <c r="N18" i="2"/>
  <c r="N17" i="2"/>
  <c r="AL14" i="2"/>
  <c r="N13" i="2"/>
  <c r="AL12" i="2"/>
  <c r="N11" i="2"/>
  <c r="N10" i="2"/>
  <c r="AL9" i="2"/>
  <c r="N7" i="2"/>
  <c r="AL5" i="2"/>
  <c r="M40" i="2"/>
  <c r="AA40" i="2" l="1"/>
  <c r="N2" i="2"/>
  <c r="AL2" i="2" s="1"/>
  <c r="N30" i="2"/>
  <c r="AL30" i="2" s="1"/>
  <c r="N6" i="2"/>
  <c r="AL6" i="2" s="1"/>
  <c r="N4" i="2"/>
  <c r="P4" i="2" s="1"/>
  <c r="N34" i="2"/>
  <c r="AL34" i="2" s="1"/>
  <c r="Z40" i="2"/>
  <c r="U40" i="2"/>
  <c r="P25" i="2"/>
  <c r="P31" i="2"/>
  <c r="N16" i="2"/>
  <c r="X40" i="2"/>
  <c r="V40" i="2"/>
  <c r="P5" i="2"/>
  <c r="N15" i="2"/>
  <c r="AL15" i="2" s="1"/>
  <c r="AL26" i="2"/>
  <c r="AL13" i="2"/>
  <c r="AL22" i="2"/>
  <c r="N38" i="2"/>
  <c r="O33" i="2"/>
  <c r="P33" i="2" s="1"/>
  <c r="AL36" i="2"/>
  <c r="AL7" i="2"/>
  <c r="N8" i="2"/>
  <c r="P8" i="2" s="1"/>
  <c r="R40" i="2"/>
  <c r="P9" i="2"/>
  <c r="P7" i="2"/>
  <c r="T40" i="2"/>
  <c r="P26" i="2"/>
  <c r="AB40" i="2"/>
  <c r="P14" i="2"/>
  <c r="P36" i="2"/>
  <c r="P22" i="2"/>
  <c r="P13" i="2"/>
  <c r="P18" i="2"/>
  <c r="AC40" i="2"/>
  <c r="W40" i="2"/>
  <c r="N3" i="2"/>
  <c r="S40" i="2"/>
  <c r="P11" i="2"/>
  <c r="N19" i="2"/>
  <c r="AL19" i="2" s="1"/>
  <c r="AL17" i="2"/>
  <c r="P17" i="2"/>
  <c r="AL10" i="2"/>
  <c r="AL11" i="2"/>
  <c r="P24" i="2"/>
  <c r="AL37" i="2"/>
  <c r="AL18" i="2"/>
  <c r="AL31" i="2"/>
  <c r="P20" i="2"/>
  <c r="P35" i="2"/>
  <c r="AL35" i="2"/>
  <c r="P37" i="2"/>
  <c r="P10" i="2"/>
  <c r="Q40" i="2"/>
  <c r="P28" i="2"/>
  <c r="P21" i="2"/>
  <c r="P16" i="2" l="1"/>
  <c r="P2" i="2"/>
  <c r="AH40" i="2"/>
  <c r="O32" i="2"/>
  <c r="AK40" i="2"/>
  <c r="H32" i="6" s="1"/>
  <c r="F5" i="7" s="1"/>
  <c r="P6" i="2"/>
  <c r="AL4" i="2"/>
  <c r="P30" i="2"/>
  <c r="P34" i="2"/>
  <c r="P15" i="2"/>
  <c r="AL16" i="2"/>
  <c r="P38" i="2"/>
  <c r="N40" i="2"/>
  <c r="E27" i="6" s="1"/>
  <c r="F36" i="7" s="1"/>
  <c r="P29" i="2"/>
  <c r="AD40" i="2"/>
  <c r="F9" i="6" s="1"/>
  <c r="F10" i="7" s="1"/>
  <c r="AL38" i="2"/>
  <c r="P3" i="2"/>
  <c r="AE40" i="2"/>
  <c r="P19" i="2"/>
  <c r="AF40" i="2"/>
  <c r="J9" i="6" s="1"/>
  <c r="F11" i="7" s="1"/>
  <c r="AL8" i="2"/>
  <c r="AL3" i="2"/>
  <c r="AG40" i="2"/>
  <c r="I16" i="6" s="1"/>
  <c r="F24" i="7" s="1"/>
  <c r="P23" i="2"/>
  <c r="P12" i="2"/>
  <c r="O40" i="2" l="1"/>
  <c r="P32" i="2"/>
  <c r="H25" i="6"/>
  <c r="H30" i="6"/>
  <c r="H34" i="6"/>
  <c r="H12" i="6"/>
  <c r="H31" i="6"/>
  <c r="H19" i="6"/>
  <c r="H28" i="6"/>
  <c r="H35" i="6"/>
  <c r="H17" i="6"/>
  <c r="H21" i="6"/>
  <c r="H11" i="6"/>
  <c r="H36" i="6"/>
  <c r="H14" i="6"/>
  <c r="H6" i="6"/>
  <c r="H22" i="6"/>
  <c r="H15" i="6"/>
  <c r="H13" i="6"/>
  <c r="H24" i="6"/>
  <c r="H18" i="6"/>
  <c r="H7" i="6"/>
  <c r="H9" i="6"/>
  <c r="H5" i="6"/>
  <c r="H4" i="6"/>
  <c r="H8" i="6"/>
  <c r="H23" i="6"/>
  <c r="H26" i="6"/>
  <c r="H37" i="6"/>
  <c r="H3" i="6"/>
  <c r="H2" i="6"/>
  <c r="H16" i="6"/>
  <c r="H33" i="6"/>
  <c r="F18" i="7" s="1"/>
  <c r="H38" i="6"/>
  <c r="H20" i="6"/>
  <c r="H29" i="6"/>
  <c r="H10" i="6"/>
  <c r="E9" i="6"/>
  <c r="E5" i="6"/>
  <c r="E28" i="6"/>
  <c r="E17" i="6"/>
  <c r="F25" i="7" s="1"/>
  <c r="E26" i="6"/>
  <c r="F35" i="7" s="1"/>
  <c r="E30" i="6"/>
  <c r="F44" i="7" s="1"/>
  <c r="E2" i="6"/>
  <c r="E22" i="6"/>
  <c r="F30" i="7" s="1"/>
  <c r="E13" i="6"/>
  <c r="F17" i="7" s="1"/>
  <c r="E37" i="6"/>
  <c r="F37" i="7" s="1"/>
  <c r="E18" i="6"/>
  <c r="E11" i="6"/>
  <c r="F14" i="7" s="1"/>
  <c r="E36" i="6"/>
  <c r="F42" i="7" s="1"/>
  <c r="E14" i="6"/>
  <c r="E7" i="6"/>
  <c r="F8" i="7" s="1"/>
  <c r="E34" i="6"/>
  <c r="F26" i="7" s="1"/>
  <c r="E8" i="6"/>
  <c r="E29" i="6"/>
  <c r="E25" i="6"/>
  <c r="E12" i="6"/>
  <c r="E20" i="6"/>
  <c r="E33" i="6"/>
  <c r="E10" i="6"/>
  <c r="F13" i="7" s="1"/>
  <c r="E16" i="6"/>
  <c r="F23" i="7" s="1"/>
  <c r="E19" i="6"/>
  <c r="F27" i="7" s="1"/>
  <c r="E6" i="6"/>
  <c r="F7" i="7" s="1"/>
  <c r="E4" i="6"/>
  <c r="F4" i="7" s="1"/>
  <c r="E3" i="6"/>
  <c r="F3" i="7" s="1"/>
  <c r="E38" i="6"/>
  <c r="F39" i="7" s="1"/>
  <c r="E35" i="6"/>
  <c r="F33" i="7" s="1"/>
  <c r="E32" i="6"/>
  <c r="E24" i="6"/>
  <c r="E31" i="6"/>
  <c r="E23" i="6"/>
  <c r="E21" i="6"/>
  <c r="E15" i="6"/>
  <c r="F21" i="7" s="1"/>
  <c r="AL40" i="2"/>
  <c r="I14" i="6"/>
  <c r="F20" i="7" s="1"/>
  <c r="I38" i="6"/>
  <c r="F40" i="7" s="1"/>
  <c r="G24" i="6"/>
  <c r="F32" i="7" s="1"/>
  <c r="I11" i="6"/>
  <c r="I23" i="6"/>
  <c r="I21" i="6"/>
  <c r="I24" i="6"/>
  <c r="I4" i="6"/>
  <c r="I30" i="6"/>
  <c r="I22" i="6"/>
  <c r="I3" i="6"/>
  <c r="I29" i="6"/>
  <c r="I35" i="6"/>
  <c r="I9" i="6"/>
  <c r="I26" i="6"/>
  <c r="I37" i="6"/>
  <c r="I17" i="6"/>
  <c r="I32" i="6"/>
  <c r="I10" i="6"/>
  <c r="I34" i="6"/>
  <c r="I2" i="6"/>
  <c r="I13" i="6"/>
  <c r="I31" i="6"/>
  <c r="I7" i="6"/>
  <c r="I28" i="6"/>
  <c r="I25" i="6"/>
  <c r="I8" i="6"/>
  <c r="I19" i="6"/>
  <c r="I5" i="6"/>
  <c r="I33" i="6"/>
  <c r="I12" i="6"/>
  <c r="I36" i="6"/>
  <c r="I20" i="6"/>
  <c r="I6" i="6"/>
  <c r="I18" i="6"/>
  <c r="I15" i="6"/>
  <c r="G3" i="6"/>
  <c r="G28" i="6"/>
  <c r="F41" i="7" s="1"/>
  <c r="G10" i="6"/>
  <c r="G20" i="6"/>
  <c r="G6" i="6"/>
  <c r="G33" i="6"/>
  <c r="G23" i="6"/>
  <c r="G26" i="6"/>
  <c r="G21" i="6"/>
  <c r="G14" i="6"/>
  <c r="G16" i="6"/>
  <c r="G22" i="6"/>
  <c r="G8" i="6"/>
  <c r="G18" i="6"/>
  <c r="G15" i="6"/>
  <c r="G35" i="6"/>
  <c r="G2" i="6"/>
  <c r="G12" i="6"/>
  <c r="G37" i="6"/>
  <c r="G36" i="6"/>
  <c r="G30" i="6"/>
  <c r="G7" i="6"/>
  <c r="G17" i="6"/>
  <c r="G29" i="6"/>
  <c r="F43" i="7" s="1"/>
  <c r="G4" i="6"/>
  <c r="G25" i="6"/>
  <c r="F34" i="7" s="1"/>
  <c r="G38" i="6"/>
  <c r="G11" i="6"/>
  <c r="G9" i="6"/>
  <c r="G5" i="6"/>
  <c r="G31" i="6"/>
  <c r="G19" i="6"/>
  <c r="G13" i="6"/>
  <c r="G32" i="6"/>
  <c r="G34" i="6"/>
  <c r="J25" i="6"/>
  <c r="J12" i="6"/>
  <c r="F16" i="7" s="1"/>
  <c r="J33" i="6"/>
  <c r="J35" i="6"/>
  <c r="J2" i="6"/>
  <c r="J7" i="6"/>
  <c r="J13" i="6"/>
  <c r="J36" i="6"/>
  <c r="J18" i="6"/>
  <c r="J15" i="6"/>
  <c r="J8" i="6"/>
  <c r="J29" i="6"/>
  <c r="J4" i="6"/>
  <c r="J30" i="6"/>
  <c r="J24" i="6"/>
  <c r="J23" i="6"/>
  <c r="J3" i="6"/>
  <c r="J38" i="6"/>
  <c r="J11" i="6"/>
  <c r="J19" i="6"/>
  <c r="J37" i="6"/>
  <c r="J14" i="6"/>
  <c r="J31" i="6"/>
  <c r="J34" i="6"/>
  <c r="J28" i="6"/>
  <c r="J20" i="6"/>
  <c r="J16" i="6"/>
  <c r="J26" i="6"/>
  <c r="J21" i="6"/>
  <c r="J5" i="6"/>
  <c r="J17" i="6"/>
  <c r="J10" i="6"/>
  <c r="J22" i="6"/>
  <c r="J32" i="6"/>
  <c r="J6" i="6"/>
  <c r="F24" i="6"/>
  <c r="F28" i="6"/>
  <c r="F25" i="6"/>
  <c r="F29" i="6"/>
  <c r="F15" i="6"/>
  <c r="F16" i="6"/>
  <c r="F22" i="7" s="1"/>
  <c r="F19" i="6"/>
  <c r="F13" i="6"/>
  <c r="F37" i="6"/>
  <c r="F5" i="6"/>
  <c r="F6" i="7" s="1"/>
  <c r="F17" i="6"/>
  <c r="F35" i="6"/>
  <c r="F34" i="6"/>
  <c r="F11" i="6"/>
  <c r="F12" i="6"/>
  <c r="F15" i="7" s="1"/>
  <c r="F26" i="6"/>
  <c r="F20" i="6"/>
  <c r="F28" i="7" s="1"/>
  <c r="F14" i="6"/>
  <c r="F19" i="7" s="1"/>
  <c r="F38" i="6"/>
  <c r="F38" i="7" s="1"/>
  <c r="F36" i="6"/>
  <c r="F21" i="6"/>
  <c r="F29" i="7" s="1"/>
  <c r="F6" i="6"/>
  <c r="F7" i="6"/>
  <c r="F18" i="6"/>
  <c r="F3" i="6"/>
  <c r="F30" i="6"/>
  <c r="F22" i="6"/>
  <c r="F2" i="6"/>
  <c r="F10" i="6"/>
  <c r="F12" i="7" s="1"/>
  <c r="F23" i="6"/>
  <c r="F31" i="7" s="1"/>
  <c r="F8" i="6"/>
  <c r="F32" i="6"/>
  <c r="F31" i="6"/>
  <c r="F4" i="6"/>
  <c r="F33" i="6"/>
  <c r="F40" i="6" l="1"/>
  <c r="G40" i="6"/>
  <c r="I40" i="6"/>
  <c r="H40" i="6"/>
  <c r="J40" i="6"/>
  <c r="F2" i="7"/>
  <c r="E40" i="6"/>
  <c r="P40" i="2"/>
  <c r="F9" i="7"/>
</calcChain>
</file>

<file path=xl/sharedStrings.xml><?xml version="1.0" encoding="utf-8"?>
<sst xmlns="http://schemas.openxmlformats.org/spreadsheetml/2006/main" count="688" uniqueCount="287">
  <si>
    <t>Cu</t>
  </si>
  <si>
    <t>Doré</t>
  </si>
  <si>
    <t>Ni</t>
  </si>
  <si>
    <t>Mo</t>
  </si>
  <si>
    <t>Zn</t>
  </si>
  <si>
    <t>U</t>
  </si>
  <si>
    <t>main_id</t>
  </si>
  <si>
    <t>facility_group_id</t>
  </si>
  <si>
    <t>facility_name</t>
  </si>
  <si>
    <t>facility_group_name</t>
  </si>
  <si>
    <t>province</t>
  </si>
  <si>
    <t>facility_type</t>
  </si>
  <si>
    <t>mining_processing_type</t>
  </si>
  <si>
    <t>archetypes</t>
  </si>
  <si>
    <t>commodities</t>
  </si>
  <si>
    <t>Create_LCI?</t>
  </si>
  <si>
    <t>Main_product</t>
  </si>
  <si>
    <t>Stream</t>
  </si>
  <si>
    <t>ore_processed_t</t>
  </si>
  <si>
    <t>dore_t_mass</t>
  </si>
  <si>
    <t>conc_t_mass</t>
  </si>
  <si>
    <t>tailings_t_mass</t>
  </si>
  <si>
    <t>Au_t</t>
  </si>
  <si>
    <t>Ag_t</t>
  </si>
  <si>
    <t>Cu_t</t>
  </si>
  <si>
    <t>Ni_t</t>
  </si>
  <si>
    <t>Co_t</t>
  </si>
  <si>
    <t>Mo_t</t>
  </si>
  <si>
    <t>Zn_t</t>
  </si>
  <si>
    <t>Pb_t</t>
  </si>
  <si>
    <t>Fe_t</t>
  </si>
  <si>
    <t>Pt_t</t>
  </si>
  <si>
    <t>Pd_t</t>
  </si>
  <si>
    <t>U_t</t>
  </si>
  <si>
    <t>Nb_t</t>
  </si>
  <si>
    <t>Cu_conc</t>
  </si>
  <si>
    <t>Ni_conc</t>
  </si>
  <si>
    <t>Mo_conc</t>
  </si>
  <si>
    <t>Zn_conc</t>
  </si>
  <si>
    <t>Pb_conc</t>
  </si>
  <si>
    <t>Pt_conc</t>
  </si>
  <si>
    <t>Pd_conc</t>
  </si>
  <si>
    <t>U_conc</t>
  </si>
  <si>
    <t>Au_conc</t>
  </si>
  <si>
    <t>Quebec</t>
  </si>
  <si>
    <t>mining</t>
  </si>
  <si>
    <t>Yes</t>
  </si>
  <si>
    <t>Fe</t>
  </si>
  <si>
    <t>BC-MAIN-857b7b89</t>
  </si>
  <si>
    <t>Brucejack</t>
  </si>
  <si>
    <t>British Columbia</t>
  </si>
  <si>
    <t>Underground, concentrator</t>
  </si>
  <si>
    <t>Au–Ag free-milling</t>
  </si>
  <si>
    <t>Gold, silver</t>
  </si>
  <si>
    <t>Au</t>
  </si>
  <si>
    <t>Au-Ag doré</t>
  </si>
  <si>
    <t>QC-MAIN-e7e6a960</t>
  </si>
  <si>
    <t>Canadian Malartic</t>
  </si>
  <si>
    <t>Open-pit, concentrator</t>
  </si>
  <si>
    <t>Au (Ag)</t>
  </si>
  <si>
    <t>Newfoundland and Labrador</t>
  </si>
  <si>
    <t>QC-MAIN-b86f7d07</t>
  </si>
  <si>
    <t>Casa Berardi</t>
  </si>
  <si>
    <t>Open-pit, underground, concentrator</t>
  </si>
  <si>
    <t>Ontario</t>
  </si>
  <si>
    <t>Ni–Cu sulfide</t>
  </si>
  <si>
    <t>Ni+Cu</t>
  </si>
  <si>
    <t>Ni-Cu bulk conc.</t>
  </si>
  <si>
    <t>BC-MAIN-599152a0</t>
  </si>
  <si>
    <t>Copper Mountain</t>
  </si>
  <si>
    <t>Cu Porphyry</t>
  </si>
  <si>
    <t>Copper, gold, silver</t>
  </si>
  <si>
    <t>Cu (Au, Ag)</t>
  </si>
  <si>
    <t>Cu conc.</t>
  </si>
  <si>
    <t>ON-MAIN-aeafbb59</t>
  </si>
  <si>
    <t>Detour Lake</t>
  </si>
  <si>
    <t>Gold</t>
  </si>
  <si>
    <t>ON-MAIN-cb85213a</t>
  </si>
  <si>
    <t>Eagle River</t>
  </si>
  <si>
    <t>QC-MAIN-6dc537e6</t>
  </si>
  <si>
    <t>Éléonore</t>
  </si>
  <si>
    <t>Not sure (no technosphere)</t>
  </si>
  <si>
    <t>BC-MAIN-6b4800fe</t>
  </si>
  <si>
    <t>Gibraltar</t>
  </si>
  <si>
    <t>Cu polymetallic</t>
  </si>
  <si>
    <t>Copper, molybdenum, silver</t>
  </si>
  <si>
    <t>Cu+Mo</t>
  </si>
  <si>
    <t>Cu and Mo conc.</t>
  </si>
  <si>
    <t>QC-MAIN-c0660aec</t>
  </si>
  <si>
    <t>Goldex</t>
  </si>
  <si>
    <t>Au–Ag polymetallic</t>
  </si>
  <si>
    <t>Au-Ag+Cu</t>
  </si>
  <si>
    <t>Au-Ag doré, Cu conc.</t>
  </si>
  <si>
    <t>ON-MAIN-6e9be24e</t>
  </si>
  <si>
    <t>Hemlo (Williams)</t>
  </si>
  <si>
    <t>BC-MAIN-bf503b6b</t>
  </si>
  <si>
    <t>Highland Valley</t>
  </si>
  <si>
    <t>Copper, silver, molybdenum</t>
  </si>
  <si>
    <t>ON-MAIN-687b8c8d</t>
  </si>
  <si>
    <t>Island</t>
  </si>
  <si>
    <t>Key Lake + McArthur River</t>
  </si>
  <si>
    <t>Not sure (no NPRI) but technosphere</t>
  </si>
  <si>
    <t>ON-MAIN-f8313ebd</t>
  </si>
  <si>
    <t>Kidd Creek</t>
  </si>
  <si>
    <t>Copper, zinc, silver, selenium, indium</t>
  </si>
  <si>
    <t>Cu+Zn (Ag)</t>
  </si>
  <si>
    <t>Cu and Zn conc.</t>
  </si>
  <si>
    <t>QC-MAIN-9de9bb0d</t>
  </si>
  <si>
    <t>Kiena</t>
  </si>
  <si>
    <t>Pt</t>
  </si>
  <si>
    <t>QC-MAIN-e51eda66</t>
  </si>
  <si>
    <t>LaRonde</t>
  </si>
  <si>
    <t>Gold, zinc, copper, silver, cadmium</t>
  </si>
  <si>
    <t>Au-Ag+Cu+Zn</t>
  </si>
  <si>
    <t>Au-Ag doré, Cu and Zn conc.</t>
  </si>
  <si>
    <t>ON-MAIN-1f126a43</t>
  </si>
  <si>
    <t>Macassa</t>
  </si>
  <si>
    <t>ON-MAIN-8825d90d</t>
  </si>
  <si>
    <t>Magino</t>
  </si>
  <si>
    <t>Nunavut</t>
  </si>
  <si>
    <t>NU-MAIN-8b0264c9</t>
  </si>
  <si>
    <t>Meliadine</t>
  </si>
  <si>
    <t>BC-MAIN-ed23117f</t>
  </si>
  <si>
    <t>Mount Milligan</t>
  </si>
  <si>
    <t>Cu (Au)</t>
  </si>
  <si>
    <t>BC-MAIN-3f490561</t>
  </si>
  <si>
    <t>Mount Polley</t>
  </si>
  <si>
    <t>Gold, copper, silver</t>
  </si>
  <si>
    <t>ON-MAIN-fefeaee4</t>
  </si>
  <si>
    <t>Musselwhite</t>
  </si>
  <si>
    <t>BC-MAIN-aa76f6f2</t>
  </si>
  <si>
    <t>New Afton</t>
  </si>
  <si>
    <t>QC-MAIN-5ce331b8</t>
  </si>
  <si>
    <t>Nunavik Nickel</t>
  </si>
  <si>
    <t>Nickel, copper, platinum group metals, cobalt</t>
  </si>
  <si>
    <t>QC-MAIN-a97821c0</t>
  </si>
  <si>
    <t>Raglan</t>
  </si>
  <si>
    <t>Nickel, platinum group metals, copper, cobalt, gold, silver</t>
  </si>
  <si>
    <t>Ni+PGM+Cu (Co)</t>
  </si>
  <si>
    <t>ON-MAIN-0aadf28f</t>
  </si>
  <si>
    <t>Rainy River</t>
  </si>
  <si>
    <t>MB-MAIN-e0a6250e</t>
  </si>
  <si>
    <t>Thompson (T-1 and T-3)</t>
  </si>
  <si>
    <t>Manitoba</t>
  </si>
  <si>
    <t>Nickel, cobalt, copper, platinum group metals, gold, silver</t>
  </si>
  <si>
    <t>NL-MAIN-2d8801d6</t>
  </si>
  <si>
    <t>Voisey’s Bay</t>
  </si>
  <si>
    <t>Nickel, copper, cobalt</t>
  </si>
  <si>
    <t>QC-MAIN-02884fb5</t>
  </si>
  <si>
    <t>Westwood-Doyon</t>
  </si>
  <si>
    <t>ON-MAIN-7607a50e</t>
  </si>
  <si>
    <t>Young-Davidson</t>
  </si>
  <si>
    <t>GRP-91aaa60b</t>
  </si>
  <si>
    <t>Cigar Lake + McClean Lake</t>
  </si>
  <si>
    <t>Saskatchewan</t>
  </si>
  <si>
    <t>High-grade U mine + mill</t>
  </si>
  <si>
    <t>Uranium</t>
  </si>
  <si>
    <t>Yellowcake</t>
  </si>
  <si>
    <t>GRP-21eee27d</t>
  </si>
  <si>
    <t>GRP-0a2c0d69</t>
  </si>
  <si>
    <t>Meadowbank complex</t>
  </si>
  <si>
    <t>Open-pit, underground</t>
  </si>
  <si>
    <t>GRP-0d911886</t>
  </si>
  <si>
    <t>Porcupine complex</t>
  </si>
  <si>
    <t>GRP-147b3123</t>
  </si>
  <si>
    <t>Timmins Operation</t>
  </si>
  <si>
    <t>GRP-14bfbb82</t>
  </si>
  <si>
    <t>Seabee Gold Operation</t>
  </si>
  <si>
    <t>GRP-a13779f8</t>
  </si>
  <si>
    <t>Snow Lake</t>
  </si>
  <si>
    <t>Gold, zinc, copper, silver</t>
  </si>
  <si>
    <t>Not sure (no GHG)</t>
  </si>
  <si>
    <t>Commodity</t>
  </si>
  <si>
    <t>Price (USD/kg)</t>
  </si>
  <si>
    <t>Source</t>
  </si>
  <si>
    <t>(CoSO4) Cobalt; mattes and other intermediate products of cobalt metallurgy, unwrought cobalt, powders</t>
  </si>
  <si>
    <t>Co</t>
  </si>
  <si>
    <t>Lai et al. 2025</t>
  </si>
  <si>
    <t>Copper; refined, unwrought</t>
  </si>
  <si>
    <t>Metals; gold, non-monetary, unwrought (but not powder)</t>
  </si>
  <si>
    <t>Iron or steel, pig iron, spiegeleisen; granules thereof</t>
  </si>
  <si>
    <t>Lead; unwrought, refined</t>
  </si>
  <si>
    <t>Pb</t>
  </si>
  <si>
    <t>Molybdenum oxides and hydroxides</t>
  </si>
  <si>
    <t>Nickel; unwrought, not alloyed</t>
  </si>
  <si>
    <t>MAC 2025 + taux de change 0.71</t>
  </si>
  <si>
    <t>Pd</t>
  </si>
  <si>
    <t>Metals; silver powder / unwrought, (but not powder)</t>
  </si>
  <si>
    <t>Ag</t>
  </si>
  <si>
    <t>Zinc; unwrought, (not alloyed)</t>
  </si>
  <si>
    <t>Gallium, germanium, hafnium, indium, niobium (columbium), rhenium and vanadium; articles thereof, other than unwrought including waste and scrap and powders</t>
  </si>
  <si>
    <t>N</t>
  </si>
  <si>
    <t>reference_product</t>
  </si>
  <si>
    <t>site_id</t>
  </si>
  <si>
    <t>activity_name</t>
  </si>
  <si>
    <t>market_share</t>
  </si>
  <si>
    <t>stream</t>
  </si>
  <si>
    <t>Au-Ag</t>
  </si>
  <si>
    <t>Open-pit mining and beneficiation at Copper Mountain</t>
  </si>
  <si>
    <t>Cu concentrate</t>
  </si>
  <si>
    <t>Open-pit mining and beneficiation at Gibraltar</t>
  </si>
  <si>
    <t>Open-pit mining and beneficiation at Highland Valley</t>
  </si>
  <si>
    <t>Open-pit mining and beneficiation at Mount Milligan</t>
  </si>
  <si>
    <t>Open-pit mining and beneficiation at Mount Polley</t>
  </si>
  <si>
    <t>Underground mining and beneficiation at Goldex</t>
  </si>
  <si>
    <t>Underground mining and beneficiation at Kidd Creek</t>
  </si>
  <si>
    <t>Underground mining and beneficiation at LaRonde</t>
  </si>
  <si>
    <t>Underground mining and beneficiation at New Afton</t>
  </si>
  <si>
    <t>Underground mining and beneficiation at Snow Lake</t>
  </si>
  <si>
    <t>Open-pit and underground mining and beneficiation at Casa Berardi</t>
  </si>
  <si>
    <t>Hemlo</t>
  </si>
  <si>
    <t>Open-pit and underground mining and beneficiation at Hemlo (Williams)</t>
  </si>
  <si>
    <t>Open-pit and underground mining and beneficiation at Meliadine</t>
  </si>
  <si>
    <t>Open-pit and underground mining and beneficiation at Rainy River</t>
  </si>
  <si>
    <t>Open-pit and underground mining at Meadowbank complex</t>
  </si>
  <si>
    <t>Open-pit and underground mining at Porcupine complex</t>
  </si>
  <si>
    <t>Open-pit mining and beneficiation at Canadian Malartic</t>
  </si>
  <si>
    <t>Open-pit mining and beneficiation at Detour Lake</t>
  </si>
  <si>
    <t>Open-pit mining and beneficiation at Kiena</t>
  </si>
  <si>
    <t>Underground mining and beneficiation at Brucejack</t>
  </si>
  <si>
    <t>Underground mining and beneficiation at Eagle River</t>
  </si>
  <si>
    <t>Underground mining and beneficiation at Éléonore</t>
  </si>
  <si>
    <t>Underground mining and beneficiation at Island</t>
  </si>
  <si>
    <t>Underground mining and beneficiation at Macassa</t>
  </si>
  <si>
    <t>Underground mining and beneficiation at Musselwhite</t>
  </si>
  <si>
    <t>Underground mining and beneficiation at Seabee Gold Operation</t>
  </si>
  <si>
    <t>Underground mining and beneficiation at Timmins Operation</t>
  </si>
  <si>
    <t>Underground mining and beneficiation at Westwood-Doyon</t>
  </si>
  <si>
    <t>Open-pit and underground mining and beneficiation at Nunavik Nickel</t>
  </si>
  <si>
    <t>Ni concentrate</t>
  </si>
  <si>
    <t>Thompson</t>
  </si>
  <si>
    <t>Open-pit and underground mining and beneficiation at Thompson (T-1 and T-3)</t>
  </si>
  <si>
    <t>Open-pit and underground mining and beneficiation at Voisey’s Bay</t>
  </si>
  <si>
    <t>Underground mining and beneficiation at Raglan</t>
  </si>
  <si>
    <t>Mo concentrate</t>
  </si>
  <si>
    <t>Kidd Creek (Zn)</t>
  </si>
  <si>
    <t>Zn concentrate</t>
  </si>
  <si>
    <t>Underground mining and beneficiation at Key Lake + McArthur River</t>
  </si>
  <si>
    <t>U concentrate</t>
  </si>
  <si>
    <t>Underground mining and beneficiation at Cigar Lake + McClean Lake</t>
  </si>
  <si>
    <t>site</t>
  </si>
  <si>
    <t>lci_name</t>
  </si>
  <si>
    <t>LaRonde (Doré)</t>
  </si>
  <si>
    <t>Gibraltar (Cu)</t>
  </si>
  <si>
    <t>Gibraltar (Mo)</t>
  </si>
  <si>
    <t>Highland Valley (Cu)</t>
  </si>
  <si>
    <t>Highland Valley (Mo)</t>
  </si>
  <si>
    <t>Kidd Creek (Cu)</t>
  </si>
  <si>
    <t>LaRonde (Cu)</t>
  </si>
  <si>
    <t>LaRonde (Zn)</t>
  </si>
  <si>
    <t>Snow Lake (Cu)</t>
  </si>
  <si>
    <t>Snow Lake (Doré)</t>
  </si>
  <si>
    <t>Snow Lake (Zn)</t>
  </si>
  <si>
    <t>Goldex (Cu)</t>
  </si>
  <si>
    <t>Goldex (Doré)</t>
  </si>
  <si>
    <t>Title of the article</t>
  </si>
  <si>
    <t>Authors</t>
  </si>
  <si>
    <t>Affiliations</t>
  </si>
  <si>
    <t>marin.pellan@polymlt.ca; pellan.marin@gmail.com</t>
  </si>
  <si>
    <r>
      <t>Supplementary Information for ''</t>
    </r>
    <r>
      <rPr>
        <i/>
        <sz val="11"/>
        <color theme="1"/>
        <rFont val="Aptos Narrow"/>
        <family val="2"/>
        <scheme val="minor"/>
      </rPr>
      <t>Towards site-specific life cycle inventories for metals: methodological framework and application to 35 sites in Canada</t>
    </r>
    <r>
      <rPr>
        <sz val="11"/>
        <color theme="1"/>
        <rFont val="Aptos Narrow"/>
        <family val="2"/>
        <scheme val="minor"/>
      </rPr>
      <t>"</t>
    </r>
  </si>
  <si>
    <r>
      <t>Marin Pellan¹, Titouan Greffe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, Guillaume Majeau-Bettez¹, Anne de Bortoli</t>
    </r>
    <r>
      <rPr>
        <vertAlign val="superscript"/>
        <sz val="11"/>
        <color theme="1"/>
        <rFont val="Aptos Narrow"/>
        <family val="2"/>
        <scheme val="minor"/>
      </rPr>
      <t>1,3,4</t>
    </r>
  </si>
  <si>
    <r>
      <t xml:space="preserve">¹CIRAIG, Ecole Polytechnique de Montréal, P.O. Box 6079, Montréal, H3C 3A7, Québec, Canada
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CIRAIG, Institute of Environmental Sciences, UQAM, Montreal, Quebec H2X 3Y7, Canada
</t>
    </r>
    <r>
      <rPr>
        <vertAlign val="super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scheme val="minor"/>
      </rPr>
      <t xml:space="preserve">CIRAIG, Université du Québec à Montréal, C.P. 8888, succ. Centre-ville. Montréal (Québec) H3C 3P8, Québec, Canada
</t>
    </r>
    <r>
      <rPr>
        <vertAlign val="superscript"/>
        <sz val="11"/>
        <color theme="1"/>
        <rFont val="Aptos Narrow"/>
        <family val="2"/>
        <scheme val="minor"/>
      </rPr>
      <t>4</t>
    </r>
    <r>
      <rPr>
        <sz val="11"/>
        <color theme="1"/>
        <rFont val="Aptos Narrow"/>
        <family val="2"/>
        <scheme val="minor"/>
      </rPr>
      <t>LVMT, Ecole des Ponts ParisTech, Cité Descartes, 6-8 Avenue Blaise Pascal, Champs-sur-Marne, 77420, France</t>
    </r>
  </si>
  <si>
    <t>Corresponding author</t>
  </si>
  <si>
    <t>Journal</t>
  </si>
  <si>
    <t>Environmental Science &amp; Technology</t>
  </si>
  <si>
    <t>Date</t>
  </si>
  <si>
    <t>Purpose and scope</t>
  </si>
  <si>
    <t>This spreadsheet ….</t>
  </si>
  <si>
    <t>Type</t>
  </si>
  <si>
    <t>Unit</t>
  </si>
  <si>
    <t>Min</t>
  </si>
  <si>
    <t>Max</t>
  </si>
  <si>
    <t>Value</t>
  </si>
  <si>
    <t>Dore</t>
  </si>
  <si>
    <t>%</t>
  </si>
  <si>
    <t>Concentrate</t>
  </si>
  <si>
    <t>https://internationalcopper.org/wp-content/uploads/2021/11/copper-concentrates-2014.pdf#:~:text=The%20concentrates%20from%20primary%20sulfides,concentrations%20of%20up%20to%2040; https://www.teck.com/media/2006_Teck_Sustainability_Report_Highland_Valley_Copper.PDF?utm_source=chatgpt.com</t>
  </si>
  <si>
    <t>https://www.chemetalusa.com/dual-track-analysis-of-molybdenum-concentrate-prices-in-april-2025-domestic-mine-transactions-vs-international-fob-benchmarks/#:~:text=Dual,premium%20over%20domestic%20Chinese</t>
  </si>
  <si>
    <t>https://www.newswire.ca/news-releases/royal-nickel-completes-dumont-bulk-test-and-successfully-produces-worlds-highest-grade-nickel-sulphide-concentrate-562307091.html#:~:text=as%20the%20basis%20of%20the,performed%20well%20with%20pilot%20plant</t>
  </si>
  <si>
    <t>https://www.orano.group/en/unpacking-nuclear/mining-recipe-for-yellowcake</t>
  </si>
  <si>
    <t>Dore bars = 70-90% Au, 5-20% Ag, 0-10% impurities</t>
  </si>
  <si>
    <t>Dore mass = mass Au in dore + mass Ag in dore + impurities</t>
  </si>
  <si>
    <t>ON-MAIN-7f050560</t>
  </si>
  <si>
    <t>Red Lake</t>
  </si>
  <si>
    <t>Au–Ag refractory</t>
  </si>
  <si>
    <t>Underground mining and beneficiation at Red Lake</t>
  </si>
  <si>
    <t>Commodity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</si>
</sst>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i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2" fontId="0" fillId="0" borderId="0" xfId="0" applyNumberFormat="1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64" fontId="0" fillId="0" borderId="0" xfId="1" applyNumberFormat="1" applyFont="1"/>
    <xf numFmtId="164" fontId="0" fillId="0" borderId="0" xfId="1" applyNumberFormat="1" applyFont="1" applyAlignment="1">
      <alignment vertical="center"/>
    </xf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/>
    <xf numFmtId="17" fontId="0" fillId="0" borderId="0" xfId="0" applyNumberFormat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vertical="center"/>
    </xf>
    <xf numFmtId="164" fontId="0" fillId="2" borderId="0" xfId="1" applyNumberFormat="1" applyFont="1" applyFill="1"/>
    <xf numFmtId="0" fontId="2" fillId="0" borderId="0" xfId="0" applyFont="1"/>
    <xf numFmtId="2" fontId="2" fillId="0" borderId="0" xfId="0" applyNumberFormat="1" applyFont="1"/>
    <xf numFmtId="0" fontId="6" fillId="0" borderId="0" xfId="2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2" fontId="0" fillId="0" borderId="7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4" fontId="0" fillId="0" borderId="0" xfId="0" applyNumberFormat="1"/>
  </cellXfs>
  <cellStyles count="3">
    <cellStyle name="Lien hypertexte" xfId="2" builtinId="8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internationalcopper.org/wp-content/uploads/2021/11/copper-concentrates-201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529A-450A-4FA4-9C91-381D7C8AD79B}">
  <sheetPr>
    <tabColor rgb="FFC00000"/>
  </sheetPr>
  <dimension ref="A1:B7"/>
  <sheetViews>
    <sheetView workbookViewId="0">
      <selection activeCell="B9" sqref="B9"/>
    </sheetView>
  </sheetViews>
  <sheetFormatPr baseColWidth="10" defaultRowHeight="14.5" x14ac:dyDescent="0.35"/>
  <cols>
    <col min="1" max="1" width="20.81640625" bestFit="1" customWidth="1"/>
    <col min="2" max="2" width="138.26953125" bestFit="1" customWidth="1"/>
  </cols>
  <sheetData>
    <row r="1" spans="1:2" ht="14.25" customHeight="1" x14ac:dyDescent="0.35">
      <c r="A1" s="7" t="s">
        <v>255</v>
      </c>
      <c r="B1" t="s">
        <v>259</v>
      </c>
    </row>
    <row r="2" spans="1:2" ht="16.5" x14ac:dyDescent="0.35">
      <c r="A2" s="7" t="s">
        <v>256</v>
      </c>
      <c r="B2" t="s">
        <v>260</v>
      </c>
    </row>
    <row r="3" spans="1:2" ht="64" x14ac:dyDescent="0.35">
      <c r="A3" s="7" t="s">
        <v>257</v>
      </c>
      <c r="B3" s="8" t="s">
        <v>261</v>
      </c>
    </row>
    <row r="4" spans="1:2" ht="14.25" customHeight="1" x14ac:dyDescent="0.35">
      <c r="A4" s="7" t="s">
        <v>262</v>
      </c>
      <c r="B4" t="s">
        <v>258</v>
      </c>
    </row>
    <row r="5" spans="1:2" x14ac:dyDescent="0.35">
      <c r="A5" s="7" t="s">
        <v>263</v>
      </c>
      <c r="B5" s="9" t="s">
        <v>264</v>
      </c>
    </row>
    <row r="6" spans="1:2" x14ac:dyDescent="0.35">
      <c r="A6" s="7" t="s">
        <v>265</v>
      </c>
      <c r="B6" s="10">
        <v>46023</v>
      </c>
    </row>
    <row r="7" spans="1:2" x14ac:dyDescent="0.35">
      <c r="A7" s="7" t="s">
        <v>266</v>
      </c>
      <c r="B7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1D443-D3C4-4EF0-BDC9-8F5B03D7CAA5}">
  <dimension ref="A1:AL40"/>
  <sheetViews>
    <sheetView tabSelected="1" workbookViewId="0">
      <selection activeCell="C9" sqref="C9"/>
    </sheetView>
  </sheetViews>
  <sheetFormatPr baseColWidth="10" defaultRowHeight="14.5" x14ac:dyDescent="0.35"/>
  <cols>
    <col min="1" max="1" width="18.453125" bestFit="1" customWidth="1"/>
    <col min="2" max="2" width="18" bestFit="1" customWidth="1"/>
    <col min="3" max="3" width="25.7265625" bestFit="1" customWidth="1"/>
    <col min="4" max="4" width="27" bestFit="1" customWidth="1"/>
    <col min="5" max="5" width="26.7265625" bestFit="1" customWidth="1"/>
    <col min="6" max="6" width="14.26953125" bestFit="1" customWidth="1"/>
    <col min="7" max="7" width="32.81640625" customWidth="1"/>
    <col min="8" max="8" width="35.54296875" bestFit="1" customWidth="1"/>
    <col min="9" max="9" width="50.54296875" bestFit="1" customWidth="1"/>
    <col min="10" max="10" width="32.54296875" customWidth="1"/>
    <col min="11" max="11" width="15.7265625" bestFit="1" customWidth="1"/>
    <col min="12" max="12" width="27.7265625" bestFit="1" customWidth="1"/>
    <col min="13" max="13" width="18" bestFit="1" customWidth="1"/>
    <col min="14" max="14" width="14.54296875" bestFit="1" customWidth="1"/>
    <col min="15" max="15" width="14.453125" bestFit="1" customWidth="1"/>
    <col min="16" max="16" width="16.81640625" bestFit="1" customWidth="1"/>
    <col min="17" max="19" width="11.81640625" customWidth="1"/>
    <col min="20" max="20" width="8.453125" bestFit="1" customWidth="1"/>
    <col min="21" max="21" width="8.453125" customWidth="1"/>
    <col min="22" max="22" width="10.81640625" bestFit="1" customWidth="1"/>
    <col min="23" max="23" width="12.453125" bestFit="1" customWidth="1"/>
    <col min="25" max="25" width="14.453125" bestFit="1" customWidth="1"/>
    <col min="26" max="26" width="9.81640625" bestFit="1" customWidth="1"/>
    <col min="27" max="29" width="9.81640625" customWidth="1"/>
    <col min="30" max="30" width="11.81640625" customWidth="1"/>
    <col min="31" max="31" width="11.54296875" customWidth="1"/>
    <col min="32" max="32" width="12.54296875" bestFit="1" customWidth="1"/>
    <col min="33" max="33" width="11.81640625" bestFit="1" customWidth="1"/>
    <col min="34" max="34" width="11.81640625" customWidth="1"/>
    <col min="36" max="36" width="11.81640625" customWidth="1"/>
    <col min="37" max="37" width="11" customWidth="1"/>
  </cols>
  <sheetData>
    <row r="1" spans="1:38" x14ac:dyDescent="0.35">
      <c r="A1" s="17" t="s">
        <v>6</v>
      </c>
      <c r="B1" s="18" t="s">
        <v>7</v>
      </c>
      <c r="C1" s="18" t="s">
        <v>8</v>
      </c>
      <c r="D1" s="18" t="s">
        <v>9</v>
      </c>
      <c r="E1" s="18" t="s">
        <v>10</v>
      </c>
      <c r="F1" s="19" t="s">
        <v>11</v>
      </c>
      <c r="G1" s="17" t="s">
        <v>12</v>
      </c>
      <c r="H1" s="18" t="s">
        <v>13</v>
      </c>
      <c r="I1" s="19" t="s">
        <v>14</v>
      </c>
      <c r="J1" s="1" t="s">
        <v>15</v>
      </c>
      <c r="K1" s="1" t="s">
        <v>16</v>
      </c>
      <c r="L1" s="1" t="s">
        <v>17</v>
      </c>
      <c r="M1" s="17" t="s">
        <v>18</v>
      </c>
      <c r="N1" s="18" t="s">
        <v>19</v>
      </c>
      <c r="O1" s="18" t="s">
        <v>20</v>
      </c>
      <c r="P1" s="18" t="s">
        <v>21</v>
      </c>
      <c r="Q1" s="18" t="s">
        <v>22</v>
      </c>
      <c r="R1" s="18" t="s">
        <v>23</v>
      </c>
      <c r="S1" s="18" t="s">
        <v>24</v>
      </c>
      <c r="T1" s="18" t="s">
        <v>25</v>
      </c>
      <c r="U1" s="18" t="s">
        <v>26</v>
      </c>
      <c r="V1" s="18" t="s">
        <v>27</v>
      </c>
      <c r="W1" s="18" t="s">
        <v>28</v>
      </c>
      <c r="X1" s="18" t="s">
        <v>29</v>
      </c>
      <c r="Y1" s="18" t="s">
        <v>30</v>
      </c>
      <c r="Z1" s="18" t="s">
        <v>31</v>
      </c>
      <c r="AA1" s="18" t="s">
        <v>32</v>
      </c>
      <c r="AB1" s="18" t="s">
        <v>33</v>
      </c>
      <c r="AC1" s="18" t="s">
        <v>34</v>
      </c>
      <c r="AD1" s="18" t="s">
        <v>35</v>
      </c>
      <c r="AE1" s="18" t="s">
        <v>36</v>
      </c>
      <c r="AF1" s="18" t="s">
        <v>37</v>
      </c>
      <c r="AG1" s="18" t="s">
        <v>38</v>
      </c>
      <c r="AH1" s="18" t="s">
        <v>39</v>
      </c>
      <c r="AI1" s="18" t="s">
        <v>40</v>
      </c>
      <c r="AJ1" s="18" t="s">
        <v>41</v>
      </c>
      <c r="AK1" s="18" t="s">
        <v>42</v>
      </c>
      <c r="AL1" s="1" t="s">
        <v>43</v>
      </c>
    </row>
    <row r="2" spans="1:38" x14ac:dyDescent="0.35">
      <c r="A2" s="20" t="s">
        <v>48</v>
      </c>
      <c r="C2" t="s">
        <v>49</v>
      </c>
      <c r="E2" t="s">
        <v>50</v>
      </c>
      <c r="F2" s="21" t="s">
        <v>45</v>
      </c>
      <c r="G2" s="20" t="s">
        <v>51</v>
      </c>
      <c r="H2" t="s">
        <v>52</v>
      </c>
      <c r="I2" s="21" t="s">
        <v>53</v>
      </c>
      <c r="J2" t="s">
        <v>46</v>
      </c>
      <c r="K2" t="s">
        <v>54</v>
      </c>
      <c r="L2" t="s">
        <v>55</v>
      </c>
      <c r="M2" s="20">
        <v>166000</v>
      </c>
      <c r="N2">
        <f>(Q2+R2)/0.98</f>
        <v>0.92040969387755101</v>
      </c>
      <c r="P2">
        <f t="shared" ref="P2:P37" si="0">M2-N2-O2</f>
        <v>165999.07959030612</v>
      </c>
      <c r="Q2" s="2">
        <v>0.90200150000000001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>
        <v>0</v>
      </c>
      <c r="AE2">
        <v>0</v>
      </c>
      <c r="AF2">
        <v>0</v>
      </c>
      <c r="AG2">
        <v>0</v>
      </c>
      <c r="AH2">
        <v>0</v>
      </c>
      <c r="AI2" s="2"/>
      <c r="AJ2" s="2"/>
      <c r="AK2" s="2"/>
      <c r="AL2">
        <f t="shared" ref="AL2:AL18" si="1">N2</f>
        <v>0.92040969387755101</v>
      </c>
    </row>
    <row r="3" spans="1:38" x14ac:dyDescent="0.35">
      <c r="A3" s="20" t="s">
        <v>56</v>
      </c>
      <c r="C3" t="s">
        <v>57</v>
      </c>
      <c r="E3" t="s">
        <v>44</v>
      </c>
      <c r="F3" s="21" t="s">
        <v>45</v>
      </c>
      <c r="G3" s="20" t="s">
        <v>58</v>
      </c>
      <c r="H3" t="s">
        <v>52</v>
      </c>
      <c r="I3" s="21" t="s">
        <v>53</v>
      </c>
      <c r="J3" t="s">
        <v>46</v>
      </c>
      <c r="K3" t="s">
        <v>59</v>
      </c>
      <c r="L3" t="s">
        <v>55</v>
      </c>
      <c r="M3" s="20">
        <v>17332900</v>
      </c>
      <c r="N3">
        <f>(Q3+R3)/0.98</f>
        <v>29.039084533163262</v>
      </c>
      <c r="P3">
        <f t="shared" si="0"/>
        <v>17332870.960915469</v>
      </c>
      <c r="Q3" s="2">
        <v>18.785114342499998</v>
      </c>
      <c r="R3" s="2">
        <v>9.6731885000000002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>
        <v>0</v>
      </c>
      <c r="AE3">
        <v>0</v>
      </c>
      <c r="AF3">
        <v>0</v>
      </c>
      <c r="AG3">
        <v>0</v>
      </c>
      <c r="AH3">
        <v>0</v>
      </c>
      <c r="AI3" s="2"/>
      <c r="AJ3" s="2"/>
      <c r="AK3" s="2"/>
      <c r="AL3">
        <f t="shared" si="1"/>
        <v>29.039084533163262</v>
      </c>
    </row>
    <row r="4" spans="1:38" x14ac:dyDescent="0.35">
      <c r="A4" s="20" t="s">
        <v>61</v>
      </c>
      <c r="C4" t="s">
        <v>62</v>
      </c>
      <c r="E4" t="s">
        <v>44</v>
      </c>
      <c r="F4" s="21" t="s">
        <v>45</v>
      </c>
      <c r="G4" s="20" t="s">
        <v>63</v>
      </c>
      <c r="H4" t="s">
        <v>52</v>
      </c>
      <c r="I4" s="21" t="s">
        <v>53</v>
      </c>
      <c r="J4" t="s">
        <v>46</v>
      </c>
      <c r="K4" t="s">
        <v>54</v>
      </c>
      <c r="L4" t="s">
        <v>55</v>
      </c>
      <c r="M4" s="20">
        <v>1361450</v>
      </c>
      <c r="N4">
        <f>(Q4+R4)/0.98</f>
        <v>3.5165997959183577</v>
      </c>
      <c r="P4">
        <f t="shared" si="0"/>
        <v>1361446.483400204</v>
      </c>
      <c r="Q4" s="2">
        <v>2.6935630999999902</v>
      </c>
      <c r="R4" s="2">
        <v>0.7527047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>
        <v>0</v>
      </c>
      <c r="AE4">
        <v>0</v>
      </c>
      <c r="AF4">
        <v>0</v>
      </c>
      <c r="AG4">
        <v>0</v>
      </c>
      <c r="AH4">
        <v>0</v>
      </c>
      <c r="AI4" s="2"/>
      <c r="AJ4" s="2"/>
      <c r="AK4" s="2"/>
      <c r="AL4">
        <f t="shared" si="1"/>
        <v>3.5165997959183577</v>
      </c>
    </row>
    <row r="5" spans="1:38" x14ac:dyDescent="0.35">
      <c r="A5" s="20" t="s">
        <v>68</v>
      </c>
      <c r="C5" t="s">
        <v>69</v>
      </c>
      <c r="E5" t="s">
        <v>50</v>
      </c>
      <c r="F5" s="21" t="s">
        <v>45</v>
      </c>
      <c r="G5" s="20" t="s">
        <v>58</v>
      </c>
      <c r="H5" t="s">
        <v>70</v>
      </c>
      <c r="I5" s="21" t="s">
        <v>71</v>
      </c>
      <c r="J5" t="s">
        <v>46</v>
      </c>
      <c r="K5" t="s">
        <v>72</v>
      </c>
      <c r="L5" t="s">
        <v>73</v>
      </c>
      <c r="M5" s="20">
        <v>6862152</v>
      </c>
      <c r="O5">
        <v>63500</v>
      </c>
      <c r="P5">
        <f t="shared" si="0"/>
        <v>6798652</v>
      </c>
      <c r="Q5" s="2">
        <v>0.27520376799999902</v>
      </c>
      <c r="R5" s="2">
        <v>6.7893341869999997</v>
      </c>
      <c r="S5" s="2">
        <v>19050</v>
      </c>
      <c r="T5" s="2"/>
      <c r="U5" s="2"/>
      <c r="V5" s="2"/>
      <c r="W5" s="2"/>
      <c r="X5" s="2"/>
      <c r="Y5" s="2"/>
      <c r="Z5" s="2"/>
      <c r="AA5" s="2"/>
      <c r="AB5" s="2"/>
      <c r="AC5" s="2"/>
      <c r="AD5">
        <v>63500</v>
      </c>
      <c r="AE5">
        <v>0</v>
      </c>
      <c r="AF5">
        <v>0</v>
      </c>
      <c r="AG5">
        <v>0</v>
      </c>
      <c r="AH5">
        <v>0</v>
      </c>
      <c r="AI5" s="2"/>
      <c r="AJ5" s="2"/>
      <c r="AK5" s="2"/>
      <c r="AL5">
        <f t="shared" si="1"/>
        <v>0</v>
      </c>
    </row>
    <row r="6" spans="1:38" x14ac:dyDescent="0.35">
      <c r="A6" s="20" t="s">
        <v>74</v>
      </c>
      <c r="C6" t="s">
        <v>75</v>
      </c>
      <c r="E6" t="s">
        <v>64</v>
      </c>
      <c r="F6" s="21" t="s">
        <v>45</v>
      </c>
      <c r="G6" s="20" t="s">
        <v>58</v>
      </c>
      <c r="H6" t="s">
        <v>52</v>
      </c>
      <c r="I6" s="21" t="s">
        <v>76</v>
      </c>
      <c r="J6" t="s">
        <v>46</v>
      </c>
      <c r="K6" t="s">
        <v>59</v>
      </c>
      <c r="L6" t="s">
        <v>55</v>
      </c>
      <c r="M6" s="20">
        <v>25434853.502416398</v>
      </c>
      <c r="N6">
        <f>(Q6+R6)/0.98</f>
        <v>24.008283837755101</v>
      </c>
      <c r="P6">
        <f t="shared" si="0"/>
        <v>25434829.49413256</v>
      </c>
      <c r="Q6" s="2">
        <v>21.070941660999999</v>
      </c>
      <c r="R6" s="2">
        <v>2.4571765000000001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>
        <v>0</v>
      </c>
      <c r="AE6">
        <v>0</v>
      </c>
      <c r="AF6">
        <v>0</v>
      </c>
      <c r="AG6">
        <v>0</v>
      </c>
      <c r="AH6">
        <v>0</v>
      </c>
      <c r="AI6" s="2"/>
      <c r="AJ6" s="2"/>
      <c r="AK6" s="2"/>
      <c r="AL6">
        <f t="shared" si="1"/>
        <v>24.008283837755101</v>
      </c>
    </row>
    <row r="7" spans="1:38" x14ac:dyDescent="0.35">
      <c r="A7" s="20" t="s">
        <v>77</v>
      </c>
      <c r="C7" t="s">
        <v>78</v>
      </c>
      <c r="E7" t="s">
        <v>64</v>
      </c>
      <c r="F7" s="21" t="s">
        <v>45</v>
      </c>
      <c r="G7" s="20" t="s">
        <v>51</v>
      </c>
      <c r="H7" t="s">
        <v>52</v>
      </c>
      <c r="I7" s="21" t="s">
        <v>76</v>
      </c>
      <c r="J7" t="s">
        <v>46</v>
      </c>
      <c r="K7" t="s">
        <v>54</v>
      </c>
      <c r="L7" t="s">
        <v>55</v>
      </c>
      <c r="M7" s="20">
        <v>222627</v>
      </c>
      <c r="N7">
        <f>(Q7+R7)/0.98</f>
        <v>2.7760508515306124</v>
      </c>
      <c r="P7">
        <f t="shared" si="0"/>
        <v>222624.22394914847</v>
      </c>
      <c r="Q7" s="2">
        <v>2.7205298345000002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>
        <v>0</v>
      </c>
      <c r="AE7">
        <v>0</v>
      </c>
      <c r="AF7">
        <v>0</v>
      </c>
      <c r="AG7">
        <v>0</v>
      </c>
      <c r="AH7">
        <v>0</v>
      </c>
      <c r="AI7" s="2"/>
      <c r="AJ7" s="2"/>
      <c r="AK7" s="2"/>
      <c r="AL7">
        <f t="shared" si="1"/>
        <v>2.7760508515306124</v>
      </c>
    </row>
    <row r="8" spans="1:38" x14ac:dyDescent="0.35">
      <c r="A8" s="20" t="s">
        <v>79</v>
      </c>
      <c r="C8" t="s">
        <v>80</v>
      </c>
      <c r="E8" t="s">
        <v>44</v>
      </c>
      <c r="F8" s="21" t="s">
        <v>45</v>
      </c>
      <c r="G8" s="20" t="s">
        <v>51</v>
      </c>
      <c r="H8" t="s">
        <v>52</v>
      </c>
      <c r="I8" s="21" t="s">
        <v>53</v>
      </c>
      <c r="J8" t="s">
        <v>46</v>
      </c>
      <c r="K8" t="s">
        <v>59</v>
      </c>
      <c r="L8" t="s">
        <v>55</v>
      </c>
      <c r="M8" s="20">
        <v>1661000</v>
      </c>
      <c r="N8">
        <f>(Q8+R8)/0.98</f>
        <v>7.7388999209183664</v>
      </c>
      <c r="P8">
        <f t="shared" si="0"/>
        <v>1660992.2611000792</v>
      </c>
      <c r="Q8" s="2">
        <v>7.2160120000000001</v>
      </c>
      <c r="R8" s="2">
        <v>0.36810992249999902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>
        <v>0</v>
      </c>
      <c r="AE8">
        <v>0</v>
      </c>
      <c r="AF8">
        <v>0</v>
      </c>
      <c r="AG8">
        <v>0</v>
      </c>
      <c r="AH8">
        <v>0</v>
      </c>
      <c r="AI8" s="2"/>
      <c r="AJ8" s="2"/>
      <c r="AK8" s="2"/>
      <c r="AL8">
        <f t="shared" si="1"/>
        <v>7.7388999209183664</v>
      </c>
    </row>
    <row r="9" spans="1:38" x14ac:dyDescent="0.35">
      <c r="A9" s="20" t="s">
        <v>82</v>
      </c>
      <c r="C9" t="s">
        <v>83</v>
      </c>
      <c r="E9" t="s">
        <v>50</v>
      </c>
      <c r="F9" s="21" t="s">
        <v>45</v>
      </c>
      <c r="G9" s="20" t="s">
        <v>58</v>
      </c>
      <c r="H9" t="s">
        <v>84</v>
      </c>
      <c r="I9" s="21" t="s">
        <v>85</v>
      </c>
      <c r="J9" t="s">
        <v>46</v>
      </c>
      <c r="K9" t="s">
        <v>86</v>
      </c>
      <c r="L9" t="s">
        <v>87</v>
      </c>
      <c r="M9" s="20">
        <v>30000000</v>
      </c>
      <c r="O9">
        <v>186436.98475294118</v>
      </c>
      <c r="P9">
        <f t="shared" si="0"/>
        <v>29813563.015247058</v>
      </c>
      <c r="Q9" s="2"/>
      <c r="R9" s="2"/>
      <c r="S9" s="2">
        <v>55610.379200000003</v>
      </c>
      <c r="T9" s="2"/>
      <c r="U9" s="2"/>
      <c r="V9" s="2">
        <v>545.21758399999999</v>
      </c>
      <c r="W9" s="2"/>
      <c r="X9" s="2"/>
      <c r="Y9" s="2"/>
      <c r="Z9" s="2"/>
      <c r="AA9" s="2"/>
      <c r="AB9" s="2"/>
      <c r="AC9" s="2"/>
      <c r="AD9">
        <v>185367.93066666668</v>
      </c>
      <c r="AE9">
        <v>0</v>
      </c>
      <c r="AF9">
        <v>1069.0540862745097</v>
      </c>
      <c r="AG9">
        <v>0</v>
      </c>
      <c r="AH9">
        <v>0</v>
      </c>
      <c r="AI9" s="2"/>
      <c r="AJ9" s="2"/>
      <c r="AK9" s="2"/>
      <c r="AL9">
        <f t="shared" si="1"/>
        <v>0</v>
      </c>
    </row>
    <row r="10" spans="1:38" x14ac:dyDescent="0.35">
      <c r="A10" s="20" t="s">
        <v>88</v>
      </c>
      <c r="C10" t="s">
        <v>89</v>
      </c>
      <c r="E10" t="s">
        <v>44</v>
      </c>
      <c r="F10" s="21" t="s">
        <v>45</v>
      </c>
      <c r="G10" s="20" t="s">
        <v>51</v>
      </c>
      <c r="H10" s="3" t="s">
        <v>90</v>
      </c>
      <c r="I10" s="21" t="s">
        <v>53</v>
      </c>
      <c r="J10" t="s">
        <v>46</v>
      </c>
      <c r="K10" t="s">
        <v>91</v>
      </c>
      <c r="L10" t="s">
        <v>92</v>
      </c>
      <c r="M10" s="20">
        <v>2886927.3287240001</v>
      </c>
      <c r="N10">
        <f>(Q10+R10)/0.98</f>
        <v>4.4745421183166938</v>
      </c>
      <c r="O10">
        <v>130.12252666666666</v>
      </c>
      <c r="P10">
        <f t="shared" si="0"/>
        <v>2886792.7316552154</v>
      </c>
      <c r="Q10" s="2">
        <v>4.3850512759503602</v>
      </c>
      <c r="R10" s="2"/>
      <c r="S10" s="2">
        <v>39.036757999999999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>
        <v>130.12252666666666</v>
      </c>
      <c r="AE10">
        <v>0</v>
      </c>
      <c r="AF10">
        <v>0</v>
      </c>
      <c r="AG10">
        <v>0</v>
      </c>
      <c r="AH10">
        <v>0</v>
      </c>
      <c r="AI10" s="2"/>
      <c r="AJ10" s="2"/>
      <c r="AK10" s="2"/>
      <c r="AL10">
        <f t="shared" si="1"/>
        <v>4.4745421183166938</v>
      </c>
    </row>
    <row r="11" spans="1:38" x14ac:dyDescent="0.35">
      <c r="A11" s="20" t="s">
        <v>93</v>
      </c>
      <c r="C11" t="s">
        <v>94</v>
      </c>
      <c r="E11" t="s">
        <v>64</v>
      </c>
      <c r="F11" s="21" t="s">
        <v>45</v>
      </c>
      <c r="G11" s="20" t="s">
        <v>63</v>
      </c>
      <c r="H11" t="s">
        <v>52</v>
      </c>
      <c r="I11" s="21" t="s">
        <v>76</v>
      </c>
      <c r="J11" t="s">
        <v>46</v>
      </c>
      <c r="K11" t="s">
        <v>54</v>
      </c>
      <c r="L11" t="s">
        <v>55</v>
      </c>
      <c r="M11" s="20">
        <v>1266009</v>
      </c>
      <c r="N11">
        <f>(Q11+R11)/0.98</f>
        <v>4.476523630102041</v>
      </c>
      <c r="P11">
        <f t="shared" si="0"/>
        <v>1266004.5234763699</v>
      </c>
      <c r="Q11" s="2">
        <v>4.3869931575000001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>
        <v>0</v>
      </c>
      <c r="AE11">
        <v>0</v>
      </c>
      <c r="AF11">
        <v>0</v>
      </c>
      <c r="AG11">
        <v>0</v>
      </c>
      <c r="AH11">
        <v>0</v>
      </c>
      <c r="AI11" s="2"/>
      <c r="AJ11" s="2"/>
      <c r="AK11" s="2"/>
      <c r="AL11">
        <f t="shared" si="1"/>
        <v>4.476523630102041</v>
      </c>
    </row>
    <row r="12" spans="1:38" x14ac:dyDescent="0.35">
      <c r="A12" s="20" t="s">
        <v>95</v>
      </c>
      <c r="C12" t="s">
        <v>96</v>
      </c>
      <c r="E12" t="s">
        <v>50</v>
      </c>
      <c r="F12" s="21" t="s">
        <v>45</v>
      </c>
      <c r="G12" s="20" t="s">
        <v>58</v>
      </c>
      <c r="H12" t="s">
        <v>84</v>
      </c>
      <c r="I12" s="21" t="s">
        <v>97</v>
      </c>
      <c r="J12" t="s">
        <v>46</v>
      </c>
      <c r="K12" t="s">
        <v>86</v>
      </c>
      <c r="L12" t="s">
        <v>87</v>
      </c>
      <c r="M12" s="20">
        <v>17408000</v>
      </c>
      <c r="O12">
        <v>343098.03921568632</v>
      </c>
      <c r="P12">
        <f t="shared" si="0"/>
        <v>17064901.960784312</v>
      </c>
      <c r="Q12" s="2"/>
      <c r="R12" s="2"/>
      <c r="S12" s="2">
        <v>102400</v>
      </c>
      <c r="T12" s="2"/>
      <c r="U12" s="2"/>
      <c r="V12" s="2">
        <v>900</v>
      </c>
      <c r="W12" s="2"/>
      <c r="X12" s="2"/>
      <c r="Y12" s="2"/>
      <c r="Z12" s="2"/>
      <c r="AA12" s="2"/>
      <c r="AB12" s="2"/>
      <c r="AC12" s="2"/>
      <c r="AD12">
        <v>341333.33333333337</v>
      </c>
      <c r="AE12">
        <v>0</v>
      </c>
      <c r="AF12">
        <v>1764.7058823529412</v>
      </c>
      <c r="AG12">
        <v>0</v>
      </c>
      <c r="AH12">
        <v>0</v>
      </c>
      <c r="AI12" s="2"/>
      <c r="AJ12" s="2"/>
      <c r="AK12" s="2"/>
      <c r="AL12">
        <f t="shared" si="1"/>
        <v>0</v>
      </c>
    </row>
    <row r="13" spans="1:38" x14ac:dyDescent="0.35">
      <c r="A13" s="20" t="s">
        <v>98</v>
      </c>
      <c r="C13" t="s">
        <v>99</v>
      </c>
      <c r="E13" t="s">
        <v>64</v>
      </c>
      <c r="F13" s="21" t="s">
        <v>45</v>
      </c>
      <c r="G13" s="20" t="s">
        <v>51</v>
      </c>
      <c r="H13" t="s">
        <v>52</v>
      </c>
      <c r="I13" s="21" t="s">
        <v>76</v>
      </c>
      <c r="J13" t="s">
        <v>46</v>
      </c>
      <c r="K13" t="s">
        <v>54</v>
      </c>
      <c r="L13" t="s">
        <v>55</v>
      </c>
      <c r="M13" s="20">
        <v>439008</v>
      </c>
      <c r="N13">
        <f>(Q13+R13)/0.98</f>
        <v>4.1704080612244905</v>
      </c>
      <c r="P13">
        <f t="shared" si="0"/>
        <v>439003.82959193876</v>
      </c>
      <c r="Q13" s="2">
        <v>4.0869999000000004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>
        <v>0</v>
      </c>
      <c r="AE13">
        <v>0</v>
      </c>
      <c r="AF13">
        <v>0</v>
      </c>
      <c r="AG13">
        <v>0</v>
      </c>
      <c r="AH13">
        <v>0</v>
      </c>
      <c r="AI13" s="2"/>
      <c r="AJ13" s="2"/>
      <c r="AK13" s="2"/>
      <c r="AL13">
        <f t="shared" si="1"/>
        <v>4.1704080612244905</v>
      </c>
    </row>
    <row r="14" spans="1:38" x14ac:dyDescent="0.35">
      <c r="A14" s="20" t="s">
        <v>102</v>
      </c>
      <c r="C14" t="s">
        <v>103</v>
      </c>
      <c r="E14" t="s">
        <v>64</v>
      </c>
      <c r="F14" s="21" t="s">
        <v>45</v>
      </c>
      <c r="G14" s="20" t="s">
        <v>51</v>
      </c>
      <c r="H14" t="s">
        <v>84</v>
      </c>
      <c r="I14" s="21" t="s">
        <v>104</v>
      </c>
      <c r="J14" t="s">
        <v>81</v>
      </c>
      <c r="K14" t="s">
        <v>105</v>
      </c>
      <c r="L14" t="s">
        <v>106</v>
      </c>
      <c r="M14" s="20">
        <v>1340000</v>
      </c>
      <c r="O14">
        <v>152533.33333333334</v>
      </c>
      <c r="P14">
        <f t="shared" si="0"/>
        <v>1187466.6666666667</v>
      </c>
      <c r="Q14" s="2"/>
      <c r="R14" s="2">
        <v>42.860622999999997</v>
      </c>
      <c r="S14" s="2">
        <v>22600</v>
      </c>
      <c r="T14" s="2"/>
      <c r="U14" s="2"/>
      <c r="V14" s="2"/>
      <c r="W14" s="2">
        <v>38600</v>
      </c>
      <c r="X14" s="2"/>
      <c r="Y14" s="2"/>
      <c r="Z14" s="2"/>
      <c r="AA14" s="2"/>
      <c r="AB14" s="2"/>
      <c r="AC14" s="2"/>
      <c r="AD14">
        <v>75333.333333333343</v>
      </c>
      <c r="AE14">
        <v>0</v>
      </c>
      <c r="AF14">
        <v>0</v>
      </c>
      <c r="AG14">
        <v>77200</v>
      </c>
      <c r="AH14">
        <v>0</v>
      </c>
      <c r="AI14" s="2"/>
      <c r="AJ14" s="2"/>
      <c r="AK14" s="2"/>
      <c r="AL14">
        <f t="shared" si="1"/>
        <v>0</v>
      </c>
    </row>
    <row r="15" spans="1:38" x14ac:dyDescent="0.35">
      <c r="A15" s="20" t="s">
        <v>107</v>
      </c>
      <c r="C15" t="s">
        <v>108</v>
      </c>
      <c r="E15" t="s">
        <v>44</v>
      </c>
      <c r="F15" s="21" t="s">
        <v>45</v>
      </c>
      <c r="G15" s="20" t="s">
        <v>58</v>
      </c>
      <c r="H15" t="s">
        <v>52</v>
      </c>
      <c r="I15" s="21" t="s">
        <v>53</v>
      </c>
      <c r="J15" t="s">
        <v>101</v>
      </c>
      <c r="K15" t="s">
        <v>59</v>
      </c>
      <c r="L15" t="s">
        <v>55</v>
      </c>
      <c r="M15" s="20">
        <v>191148</v>
      </c>
      <c r="N15">
        <f>(Q15+R15)/0.98</f>
        <v>1.2201776096938775</v>
      </c>
      <c r="P15">
        <f t="shared" si="0"/>
        <v>191146.77982239029</v>
      </c>
      <c r="Q15" s="2">
        <v>1.1053250795</v>
      </c>
      <c r="R15" s="2">
        <v>9.0448977999999999E-2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>
        <v>0</v>
      </c>
      <c r="AE15">
        <v>0</v>
      </c>
      <c r="AF15">
        <v>0</v>
      </c>
      <c r="AG15">
        <v>0</v>
      </c>
      <c r="AH15">
        <v>0</v>
      </c>
      <c r="AI15" s="2"/>
      <c r="AJ15" s="2"/>
      <c r="AK15" s="2"/>
      <c r="AL15">
        <f t="shared" si="1"/>
        <v>1.2201776096938775</v>
      </c>
    </row>
    <row r="16" spans="1:38" x14ac:dyDescent="0.35">
      <c r="A16" s="20" t="s">
        <v>110</v>
      </c>
      <c r="C16" t="s">
        <v>111</v>
      </c>
      <c r="E16" t="s">
        <v>44</v>
      </c>
      <c r="F16" s="21" t="s">
        <v>45</v>
      </c>
      <c r="G16" s="20" t="s">
        <v>51</v>
      </c>
      <c r="H16" s="3" t="s">
        <v>90</v>
      </c>
      <c r="I16" s="21" t="s">
        <v>112</v>
      </c>
      <c r="J16" t="s">
        <v>46</v>
      </c>
      <c r="K16" t="s">
        <v>113</v>
      </c>
      <c r="L16" t="s">
        <v>114</v>
      </c>
      <c r="M16" s="20">
        <v>1501500</v>
      </c>
      <c r="N16">
        <f>(Q16+R16)/0.98</f>
        <v>9.8029027903061134</v>
      </c>
      <c r="O16">
        <v>23998.078283999999</v>
      </c>
      <c r="P16">
        <f t="shared" si="0"/>
        <v>1477492.1188132097</v>
      </c>
      <c r="Q16" s="2">
        <v>7.3401460684999904</v>
      </c>
      <c r="R16" s="2">
        <v>2.2666986659999999</v>
      </c>
      <c r="S16" s="2">
        <v>2577.9603750000001</v>
      </c>
      <c r="T16" s="2"/>
      <c r="U16" s="2"/>
      <c r="V16" s="2"/>
      <c r="W16" s="2">
        <v>7702.4385169999996</v>
      </c>
      <c r="X16" s="2"/>
      <c r="Y16" s="2"/>
      <c r="Z16" s="2"/>
      <c r="AA16" s="2"/>
      <c r="AB16" s="2"/>
      <c r="AC16" s="2"/>
      <c r="AD16">
        <v>8593.2012500000001</v>
      </c>
      <c r="AE16">
        <v>0</v>
      </c>
      <c r="AF16">
        <v>0</v>
      </c>
      <c r="AG16">
        <v>15404.877033999999</v>
      </c>
      <c r="AH16">
        <v>0</v>
      </c>
      <c r="AI16" s="2"/>
      <c r="AJ16" s="2"/>
      <c r="AK16" s="2"/>
      <c r="AL16">
        <f t="shared" si="1"/>
        <v>9.8029027903061134</v>
      </c>
    </row>
    <row r="17" spans="1:38" x14ac:dyDescent="0.35">
      <c r="A17" s="20" t="s">
        <v>115</v>
      </c>
      <c r="C17" t="s">
        <v>116</v>
      </c>
      <c r="E17" t="s">
        <v>64</v>
      </c>
      <c r="F17" s="21" t="s">
        <v>45</v>
      </c>
      <c r="G17" s="20" t="s">
        <v>51</v>
      </c>
      <c r="H17" t="s">
        <v>52</v>
      </c>
      <c r="I17" s="21" t="s">
        <v>53</v>
      </c>
      <c r="J17" t="s">
        <v>46</v>
      </c>
      <c r="K17" t="s">
        <v>54</v>
      </c>
      <c r="L17" t="s">
        <v>55</v>
      </c>
      <c r="M17" s="20">
        <v>441588</v>
      </c>
      <c r="N17">
        <f>(Q17+R17)/0.98</f>
        <v>7.253304461734694</v>
      </c>
      <c r="P17">
        <f t="shared" si="0"/>
        <v>441580.74669553828</v>
      </c>
      <c r="Q17" s="2">
        <v>7.1082383724999998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>
        <v>0</v>
      </c>
      <c r="AE17">
        <v>0</v>
      </c>
      <c r="AF17">
        <v>0</v>
      </c>
      <c r="AG17">
        <v>0</v>
      </c>
      <c r="AH17">
        <v>0</v>
      </c>
      <c r="AI17" s="2"/>
      <c r="AJ17" s="2"/>
      <c r="AK17" s="2"/>
      <c r="AL17">
        <f t="shared" si="1"/>
        <v>7.253304461734694</v>
      </c>
    </row>
    <row r="18" spans="1:38" x14ac:dyDescent="0.35">
      <c r="A18" s="20" t="s">
        <v>117</v>
      </c>
      <c r="C18" t="s">
        <v>118</v>
      </c>
      <c r="E18" t="s">
        <v>64</v>
      </c>
      <c r="F18" s="21" t="s">
        <v>45</v>
      </c>
      <c r="G18" s="20" t="s">
        <v>58</v>
      </c>
      <c r="H18" t="s">
        <v>52</v>
      </c>
      <c r="I18" s="21" t="s">
        <v>53</v>
      </c>
      <c r="J18" t="s">
        <v>81</v>
      </c>
      <c r="K18" t="s">
        <v>54</v>
      </c>
      <c r="L18" t="s">
        <v>55</v>
      </c>
      <c r="M18" s="20">
        <v>1165551</v>
      </c>
      <c r="N18">
        <f>(Q18+R18)/0.98</f>
        <v>1.0473627551020408</v>
      </c>
      <c r="P18">
        <f t="shared" si="0"/>
        <v>1165549.9526372449</v>
      </c>
      <c r="Q18" s="2">
        <v>1.0264154999999999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>
        <v>0</v>
      </c>
      <c r="AE18">
        <v>0</v>
      </c>
      <c r="AF18">
        <v>0</v>
      </c>
      <c r="AG18">
        <v>0</v>
      </c>
      <c r="AH18">
        <v>0</v>
      </c>
      <c r="AI18" s="2"/>
      <c r="AJ18" s="2"/>
      <c r="AK18" s="2"/>
      <c r="AL18">
        <f t="shared" si="1"/>
        <v>1.0473627551020408</v>
      </c>
    </row>
    <row r="19" spans="1:38" x14ac:dyDescent="0.35">
      <c r="A19" s="20" t="s">
        <v>120</v>
      </c>
      <c r="C19" t="s">
        <v>121</v>
      </c>
      <c r="E19" t="s">
        <v>119</v>
      </c>
      <c r="F19" s="21" t="s">
        <v>45</v>
      </c>
      <c r="G19" s="20" t="s">
        <v>63</v>
      </c>
      <c r="H19" t="s">
        <v>52</v>
      </c>
      <c r="I19" s="21" t="s">
        <v>76</v>
      </c>
      <c r="J19" t="s">
        <v>46</v>
      </c>
      <c r="K19" t="s">
        <v>59</v>
      </c>
      <c r="L19" t="s">
        <v>55</v>
      </c>
      <c r="M19" s="20">
        <v>1918143</v>
      </c>
      <c r="N19">
        <f>(Q19+R19)/0.98</f>
        <v>12.41413683010194</v>
      </c>
      <c r="P19">
        <f t="shared" si="0"/>
        <v>1918130.58586317</v>
      </c>
      <c r="Q19" s="2">
        <v>11.326059593499901</v>
      </c>
      <c r="R19" s="2">
        <v>0.8397945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>
        <v>0</v>
      </c>
      <c r="AE19">
        <v>0</v>
      </c>
      <c r="AF19">
        <v>0</v>
      </c>
      <c r="AG19">
        <v>0</v>
      </c>
      <c r="AH19">
        <v>0</v>
      </c>
      <c r="AI19" s="2"/>
      <c r="AJ19" s="2"/>
      <c r="AK19" s="2"/>
      <c r="AL19">
        <f t="shared" ref="AL19:AL38" si="2">N19</f>
        <v>12.41413683010194</v>
      </c>
    </row>
    <row r="20" spans="1:38" x14ac:dyDescent="0.35">
      <c r="A20" s="20" t="s">
        <v>122</v>
      </c>
      <c r="C20" t="s">
        <v>123</v>
      </c>
      <c r="E20" t="s">
        <v>50</v>
      </c>
      <c r="F20" s="21" t="s">
        <v>45</v>
      </c>
      <c r="G20" s="20" t="s">
        <v>58</v>
      </c>
      <c r="H20" t="s">
        <v>70</v>
      </c>
      <c r="I20" s="21" t="s">
        <v>71</v>
      </c>
      <c r="J20" t="s">
        <v>46</v>
      </c>
      <c r="K20" t="s">
        <v>124</v>
      </c>
      <c r="L20" t="s">
        <v>73</v>
      </c>
      <c r="M20" s="20">
        <v>21680000</v>
      </c>
      <c r="O20">
        <v>93533.694346666671</v>
      </c>
      <c r="P20">
        <f t="shared" si="0"/>
        <v>21586466.305653334</v>
      </c>
      <c r="Q20" s="2">
        <v>4.8021004684999999</v>
      </c>
      <c r="R20" s="2"/>
      <c r="S20" s="2">
        <v>28060.108304000001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>
        <v>93533.694346666671</v>
      </c>
      <c r="AE20">
        <v>0</v>
      </c>
      <c r="AF20">
        <v>0</v>
      </c>
      <c r="AG20">
        <v>0</v>
      </c>
      <c r="AH20">
        <v>0</v>
      </c>
      <c r="AI20" s="2"/>
      <c r="AJ20" s="2"/>
      <c r="AK20" s="2"/>
      <c r="AL20">
        <f t="shared" si="2"/>
        <v>0</v>
      </c>
    </row>
    <row r="21" spans="1:38" x14ac:dyDescent="0.35">
      <c r="A21" s="20" t="s">
        <v>125</v>
      </c>
      <c r="C21" t="s">
        <v>126</v>
      </c>
      <c r="E21" t="s">
        <v>50</v>
      </c>
      <c r="F21" s="21" t="s">
        <v>45</v>
      </c>
      <c r="G21" s="20" t="s">
        <v>58</v>
      </c>
      <c r="H21" t="s">
        <v>70</v>
      </c>
      <c r="I21" s="21" t="s">
        <v>127</v>
      </c>
      <c r="J21" t="s">
        <v>46</v>
      </c>
      <c r="K21" t="s">
        <v>124</v>
      </c>
      <c r="L21" t="s">
        <v>73</v>
      </c>
      <c r="M21" s="20">
        <v>5948239</v>
      </c>
      <c r="O21">
        <v>45578.436133333336</v>
      </c>
      <c r="P21">
        <f t="shared" si="0"/>
        <v>5902660.5638666665</v>
      </c>
      <c r="Q21" s="2">
        <v>1.301183819</v>
      </c>
      <c r="R21" s="2"/>
      <c r="S21" s="2">
        <v>13673.530839999999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>
        <v>45578.436133333336</v>
      </c>
      <c r="AE21">
        <v>0</v>
      </c>
      <c r="AF21">
        <v>0</v>
      </c>
      <c r="AG21">
        <v>0</v>
      </c>
      <c r="AH21">
        <v>0</v>
      </c>
      <c r="AI21" s="2"/>
      <c r="AJ21" s="2"/>
      <c r="AK21" s="2"/>
      <c r="AL21">
        <f t="shared" si="2"/>
        <v>0</v>
      </c>
    </row>
    <row r="22" spans="1:38" x14ac:dyDescent="0.35">
      <c r="A22" s="20" t="s">
        <v>128</v>
      </c>
      <c r="C22" t="s">
        <v>129</v>
      </c>
      <c r="E22" t="s">
        <v>64</v>
      </c>
      <c r="F22" s="21" t="s">
        <v>45</v>
      </c>
      <c r="G22" s="20" t="s">
        <v>51</v>
      </c>
      <c r="H22" t="s">
        <v>52</v>
      </c>
      <c r="I22" s="21" t="s">
        <v>53</v>
      </c>
      <c r="J22" t="s">
        <v>46</v>
      </c>
      <c r="K22" t="s">
        <v>54</v>
      </c>
      <c r="L22" t="s">
        <v>55</v>
      </c>
      <c r="M22" s="20">
        <v>1028000</v>
      </c>
      <c r="N22">
        <f>(Q22+R22)/0.98</f>
        <v>5.7128877551020407</v>
      </c>
      <c r="P22">
        <f t="shared" si="0"/>
        <v>1027994.2871122449</v>
      </c>
      <c r="Q22" s="2">
        <v>5.59863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>
        <v>0</v>
      </c>
      <c r="AE22">
        <v>0</v>
      </c>
      <c r="AF22">
        <v>0</v>
      </c>
      <c r="AG22">
        <v>0</v>
      </c>
      <c r="AH22">
        <v>0</v>
      </c>
      <c r="AI22" s="2"/>
      <c r="AJ22" s="2"/>
      <c r="AK22" s="2"/>
      <c r="AL22">
        <f t="shared" si="2"/>
        <v>5.7128877551020407</v>
      </c>
    </row>
    <row r="23" spans="1:38" x14ac:dyDescent="0.35">
      <c r="A23" s="20" t="s">
        <v>130</v>
      </c>
      <c r="C23" t="s">
        <v>131</v>
      </c>
      <c r="E23" t="s">
        <v>50</v>
      </c>
      <c r="F23" s="21" t="s">
        <v>45</v>
      </c>
      <c r="G23" s="20" t="s">
        <v>51</v>
      </c>
      <c r="H23" t="s">
        <v>70</v>
      </c>
      <c r="I23" s="21" t="s">
        <v>127</v>
      </c>
      <c r="J23" t="s">
        <v>46</v>
      </c>
      <c r="K23" t="s">
        <v>124</v>
      </c>
      <c r="L23" t="s">
        <v>73</v>
      </c>
      <c r="M23" s="20">
        <v>3065000</v>
      </c>
      <c r="O23">
        <v>71667.536000000007</v>
      </c>
      <c r="P23">
        <f t="shared" si="0"/>
        <v>2993332.4640000002</v>
      </c>
      <c r="Q23" s="2">
        <v>2.0974023155000001</v>
      </c>
      <c r="R23" s="2"/>
      <c r="S23" s="2">
        <v>21500.2608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>
        <v>71667.536000000007</v>
      </c>
      <c r="AE23">
        <v>0</v>
      </c>
      <c r="AF23">
        <v>0</v>
      </c>
      <c r="AG23">
        <v>0</v>
      </c>
      <c r="AH23">
        <v>0</v>
      </c>
      <c r="AI23" s="2"/>
      <c r="AJ23" s="2"/>
      <c r="AK23" s="2"/>
      <c r="AL23">
        <f t="shared" si="2"/>
        <v>0</v>
      </c>
    </row>
    <row r="24" spans="1:38" x14ac:dyDescent="0.35">
      <c r="A24" s="20" t="s">
        <v>132</v>
      </c>
      <c r="C24" t="s">
        <v>133</v>
      </c>
      <c r="E24" t="s">
        <v>44</v>
      </c>
      <c r="F24" s="21" t="s">
        <v>45</v>
      </c>
      <c r="G24" s="20" t="s">
        <v>63</v>
      </c>
      <c r="H24" t="s">
        <v>65</v>
      </c>
      <c r="I24" s="21" t="s">
        <v>134</v>
      </c>
      <c r="J24" t="s">
        <v>46</v>
      </c>
      <c r="K24" t="s">
        <v>66</v>
      </c>
      <c r="L24" t="s">
        <v>67</v>
      </c>
      <c r="M24" s="20">
        <v>6835294.1176470499</v>
      </c>
      <c r="O24">
        <v>363125</v>
      </c>
      <c r="P24">
        <f t="shared" si="0"/>
        <v>6472169.1176470499</v>
      </c>
      <c r="Q24" s="2"/>
      <c r="R24" s="2"/>
      <c r="S24" s="2">
        <v>40926</v>
      </c>
      <c r="T24" s="2">
        <v>58100</v>
      </c>
      <c r="U24" s="2"/>
      <c r="V24" s="2"/>
      <c r="W24" s="2"/>
      <c r="X24" s="2"/>
      <c r="Y24" s="2"/>
      <c r="Z24" s="2"/>
      <c r="AA24" s="2"/>
      <c r="AB24" s="2"/>
      <c r="AC24" s="2"/>
      <c r="AE24">
        <v>363125</v>
      </c>
      <c r="AF24">
        <v>0</v>
      </c>
      <c r="AG24">
        <v>0</v>
      </c>
      <c r="AH24">
        <v>0</v>
      </c>
      <c r="AI24" s="2"/>
      <c r="AJ24" s="2"/>
      <c r="AK24" s="2"/>
      <c r="AL24">
        <f t="shared" si="2"/>
        <v>0</v>
      </c>
    </row>
    <row r="25" spans="1:38" x14ac:dyDescent="0.35">
      <c r="A25" s="20" t="s">
        <v>135</v>
      </c>
      <c r="C25" t="s">
        <v>136</v>
      </c>
      <c r="E25" t="s">
        <v>44</v>
      </c>
      <c r="F25" s="21" t="s">
        <v>45</v>
      </c>
      <c r="G25" s="20" t="s">
        <v>51</v>
      </c>
      <c r="H25" t="s">
        <v>65</v>
      </c>
      <c r="I25" s="21" t="s">
        <v>137</v>
      </c>
      <c r="J25" t="s">
        <v>46</v>
      </c>
      <c r="K25" t="s">
        <v>138</v>
      </c>
      <c r="L25" t="s">
        <v>67</v>
      </c>
      <c r="M25" s="20">
        <v>1500000</v>
      </c>
      <c r="O25">
        <v>151450</v>
      </c>
      <c r="P25">
        <f t="shared" si="0"/>
        <v>1348550</v>
      </c>
      <c r="Q25" s="2"/>
      <c r="R25" s="2"/>
      <c r="S25" s="2">
        <v>5488</v>
      </c>
      <c r="T25" s="2">
        <v>24232</v>
      </c>
      <c r="U25" s="2">
        <v>498</v>
      </c>
      <c r="V25" s="2"/>
      <c r="W25" s="2"/>
      <c r="X25" s="2"/>
      <c r="Y25" s="2"/>
      <c r="Z25" s="2">
        <v>4.4160749299999997</v>
      </c>
      <c r="AA25" s="2"/>
      <c r="AB25" s="2"/>
      <c r="AC25" s="2"/>
      <c r="AE25">
        <v>151450</v>
      </c>
      <c r="AF25">
        <v>0</v>
      </c>
      <c r="AG25">
        <v>0</v>
      </c>
      <c r="AH25">
        <v>0</v>
      </c>
      <c r="AI25" s="2"/>
      <c r="AJ25" s="2"/>
      <c r="AK25" s="2"/>
      <c r="AL25">
        <f t="shared" si="2"/>
        <v>0</v>
      </c>
    </row>
    <row r="26" spans="1:38" x14ac:dyDescent="0.35">
      <c r="A26" s="20" t="s">
        <v>139</v>
      </c>
      <c r="C26" t="s">
        <v>140</v>
      </c>
      <c r="E26" t="s">
        <v>64</v>
      </c>
      <c r="F26" s="21" t="s">
        <v>45</v>
      </c>
      <c r="G26" s="20" t="s">
        <v>63</v>
      </c>
      <c r="H26" t="s">
        <v>52</v>
      </c>
      <c r="I26" s="21" t="s">
        <v>53</v>
      </c>
      <c r="J26" t="s">
        <v>46</v>
      </c>
      <c r="K26" t="s">
        <v>54</v>
      </c>
      <c r="L26" t="s">
        <v>55</v>
      </c>
      <c r="M26" s="20">
        <v>8764000</v>
      </c>
      <c r="N26">
        <f>(Q26+R26)/0.98</f>
        <v>8.0534261301020305</v>
      </c>
      <c r="P26">
        <f t="shared" si="0"/>
        <v>8763991.9465738703</v>
      </c>
      <c r="Q26" s="2">
        <v>7.8923576074999904</v>
      </c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>
        <v>0</v>
      </c>
      <c r="AE26">
        <v>0</v>
      </c>
      <c r="AF26">
        <v>0</v>
      </c>
      <c r="AG26">
        <v>0</v>
      </c>
      <c r="AH26">
        <v>0</v>
      </c>
      <c r="AI26" s="2"/>
      <c r="AJ26" s="2"/>
      <c r="AK26" s="2"/>
      <c r="AL26">
        <f t="shared" si="2"/>
        <v>8.0534261301020305</v>
      </c>
    </row>
    <row r="27" spans="1:38" x14ac:dyDescent="0.35">
      <c r="A27" s="20" t="s">
        <v>282</v>
      </c>
      <c r="C27" t="s">
        <v>283</v>
      </c>
      <c r="E27" t="s">
        <v>64</v>
      </c>
      <c r="F27" s="21" t="s">
        <v>45</v>
      </c>
      <c r="G27" s="20" t="s">
        <v>51</v>
      </c>
      <c r="H27" t="s">
        <v>284</v>
      </c>
      <c r="I27" s="21" t="s">
        <v>53</v>
      </c>
      <c r="J27" t="s">
        <v>46</v>
      </c>
      <c r="K27" t="s">
        <v>54</v>
      </c>
      <c r="L27" t="s">
        <v>55</v>
      </c>
      <c r="M27" s="20">
        <v>841000</v>
      </c>
      <c r="N27">
        <v>3.5769025000000001</v>
      </c>
      <c r="P27">
        <f t="shared" si="0"/>
        <v>840996.4230975</v>
      </c>
      <c r="Q27" s="2">
        <v>3.5053644500000001</v>
      </c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I27" s="2"/>
      <c r="AJ27" s="2"/>
      <c r="AK27" s="2"/>
    </row>
    <row r="28" spans="1:38" x14ac:dyDescent="0.35">
      <c r="A28" s="20" t="s">
        <v>141</v>
      </c>
      <c r="C28" t="s">
        <v>142</v>
      </c>
      <c r="E28" t="s">
        <v>143</v>
      </c>
      <c r="F28" s="21" t="s">
        <v>45</v>
      </c>
      <c r="G28" s="20" t="s">
        <v>63</v>
      </c>
      <c r="H28" t="s">
        <v>65</v>
      </c>
      <c r="I28" s="21" t="s">
        <v>144</v>
      </c>
      <c r="J28" t="s">
        <v>46</v>
      </c>
      <c r="K28" t="s">
        <v>66</v>
      </c>
      <c r="L28" t="s">
        <v>67</v>
      </c>
      <c r="M28" s="20">
        <v>464705.88235294097</v>
      </c>
      <c r="O28">
        <v>49375</v>
      </c>
      <c r="P28">
        <f t="shared" si="0"/>
        <v>415330.88235294097</v>
      </c>
      <c r="Q28" s="2"/>
      <c r="R28" s="2"/>
      <c r="S28" s="2">
        <v>4700</v>
      </c>
      <c r="T28" s="2">
        <v>7900</v>
      </c>
      <c r="U28" s="2"/>
      <c r="V28" s="2"/>
      <c r="W28" s="2"/>
      <c r="X28" s="2"/>
      <c r="Y28" s="2"/>
      <c r="Z28" s="2"/>
      <c r="AA28" s="2"/>
      <c r="AB28" s="2"/>
      <c r="AC28" s="2"/>
      <c r="AE28">
        <v>49375</v>
      </c>
      <c r="AF28">
        <v>0</v>
      </c>
      <c r="AG28">
        <v>0</v>
      </c>
      <c r="AH28">
        <v>0</v>
      </c>
      <c r="AI28" s="2"/>
      <c r="AJ28" s="2"/>
      <c r="AK28" s="2"/>
      <c r="AL28">
        <f t="shared" si="2"/>
        <v>0</v>
      </c>
    </row>
    <row r="29" spans="1:38" x14ac:dyDescent="0.35">
      <c r="A29" s="20" t="s">
        <v>145</v>
      </c>
      <c r="C29" t="s">
        <v>146</v>
      </c>
      <c r="E29" t="s">
        <v>60</v>
      </c>
      <c r="F29" s="21" t="s">
        <v>45</v>
      </c>
      <c r="G29" s="20" t="s">
        <v>63</v>
      </c>
      <c r="H29" t="s">
        <v>65</v>
      </c>
      <c r="I29" s="21" t="s">
        <v>147</v>
      </c>
      <c r="J29" t="s">
        <v>46</v>
      </c>
      <c r="K29" t="s">
        <v>66</v>
      </c>
      <c r="L29" t="s">
        <v>67</v>
      </c>
      <c r="M29" s="20">
        <v>794117.64705882303</v>
      </c>
      <c r="O29">
        <v>84375</v>
      </c>
      <c r="P29">
        <f t="shared" si="0"/>
        <v>709742.64705882303</v>
      </c>
      <c r="Q29" s="2"/>
      <c r="R29" s="2"/>
      <c r="S29" s="2">
        <v>9600</v>
      </c>
      <c r="T29" s="2">
        <v>13500</v>
      </c>
      <c r="U29" s="2"/>
      <c r="V29" s="2"/>
      <c r="W29" s="2"/>
      <c r="X29" s="2"/>
      <c r="Y29" s="2"/>
      <c r="Z29" s="2"/>
      <c r="AA29" s="2"/>
      <c r="AB29" s="2"/>
      <c r="AC29" s="2"/>
      <c r="AE29">
        <v>84375</v>
      </c>
      <c r="AF29">
        <v>0</v>
      </c>
      <c r="AG29">
        <v>0</v>
      </c>
      <c r="AH29">
        <v>0</v>
      </c>
      <c r="AI29" s="2"/>
      <c r="AJ29" s="2"/>
      <c r="AK29" s="2"/>
      <c r="AL29">
        <f t="shared" si="2"/>
        <v>0</v>
      </c>
    </row>
    <row r="30" spans="1:38" x14ac:dyDescent="0.35">
      <c r="A30" s="20" t="s">
        <v>148</v>
      </c>
      <c r="C30" t="s">
        <v>149</v>
      </c>
      <c r="E30" t="s">
        <v>44</v>
      </c>
      <c r="F30" s="21" t="s">
        <v>45</v>
      </c>
      <c r="G30" s="20" t="s">
        <v>51</v>
      </c>
      <c r="H30" t="s">
        <v>52</v>
      </c>
      <c r="I30" s="21" t="s">
        <v>53</v>
      </c>
      <c r="J30" t="s">
        <v>101</v>
      </c>
      <c r="K30" t="s">
        <v>59</v>
      </c>
      <c r="L30" t="s">
        <v>55</v>
      </c>
      <c r="M30" s="20">
        <v>1034000</v>
      </c>
      <c r="N30">
        <f>(Q30+R30)/0.98</f>
        <v>4.1181668765306121</v>
      </c>
      <c r="P30">
        <f t="shared" si="0"/>
        <v>1033995.8818331235</v>
      </c>
      <c r="Q30" s="2">
        <v>2.8926254999999998</v>
      </c>
      <c r="R30" s="2">
        <v>1.1431780389999999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>
        <v>0</v>
      </c>
      <c r="AE30">
        <v>0</v>
      </c>
      <c r="AF30">
        <v>0</v>
      </c>
      <c r="AG30">
        <v>0</v>
      </c>
      <c r="AH30">
        <v>0</v>
      </c>
      <c r="AI30" s="2"/>
      <c r="AJ30" s="2"/>
      <c r="AK30" s="2"/>
      <c r="AL30">
        <f t="shared" si="2"/>
        <v>4.1181668765306121</v>
      </c>
    </row>
    <row r="31" spans="1:38" x14ac:dyDescent="0.35">
      <c r="A31" s="20" t="s">
        <v>150</v>
      </c>
      <c r="C31" t="s">
        <v>151</v>
      </c>
      <c r="E31" t="s">
        <v>64</v>
      </c>
      <c r="F31" s="21" t="s">
        <v>45</v>
      </c>
      <c r="G31" s="20" t="s">
        <v>51</v>
      </c>
      <c r="H31" t="s">
        <v>52</v>
      </c>
      <c r="I31" s="21" t="s">
        <v>76</v>
      </c>
      <c r="J31" t="s">
        <v>46</v>
      </c>
      <c r="K31" t="s">
        <v>54</v>
      </c>
      <c r="L31" t="s">
        <v>55</v>
      </c>
      <c r="M31" s="20">
        <v>2878047</v>
      </c>
      <c r="N31">
        <f>(Q31+R31)/0.98</f>
        <v>5.8747529081632548</v>
      </c>
      <c r="P31">
        <f t="shared" si="0"/>
        <v>2878041.125247092</v>
      </c>
      <c r="Q31" s="2">
        <v>5.7572578499999896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>
        <v>0</v>
      </c>
      <c r="AE31">
        <v>0</v>
      </c>
      <c r="AF31">
        <v>0</v>
      </c>
      <c r="AG31">
        <v>0</v>
      </c>
      <c r="AH31">
        <v>0</v>
      </c>
      <c r="AI31" s="2"/>
      <c r="AJ31" s="2"/>
      <c r="AK31" s="2"/>
      <c r="AL31">
        <f t="shared" si="2"/>
        <v>5.8747529081632548</v>
      </c>
    </row>
    <row r="32" spans="1:38" x14ac:dyDescent="0.35">
      <c r="A32" s="20"/>
      <c r="B32" t="s">
        <v>152</v>
      </c>
      <c r="D32" t="s">
        <v>153</v>
      </c>
      <c r="E32" t="s">
        <v>154</v>
      </c>
      <c r="F32" s="21" t="s">
        <v>45</v>
      </c>
      <c r="G32" s="20" t="s">
        <v>51</v>
      </c>
      <c r="H32" t="s">
        <v>155</v>
      </c>
      <c r="I32" s="21" t="s">
        <v>156</v>
      </c>
      <c r="J32" t="s">
        <v>46</v>
      </c>
      <c r="K32" t="s">
        <v>5</v>
      </c>
      <c r="L32" t="s">
        <v>157</v>
      </c>
      <c r="M32" s="20">
        <v>43726.856187782003</v>
      </c>
      <c r="O32" s="2">
        <f>AK32</f>
        <v>9605.477647058824</v>
      </c>
      <c r="P32">
        <f t="shared" si="0"/>
        <v>34121.378540723177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>
        <v>8164.6559999999999</v>
      </c>
      <c r="AC32" s="2"/>
      <c r="AD32">
        <v>0</v>
      </c>
      <c r="AE32">
        <v>0</v>
      </c>
      <c r="AF32">
        <v>0</v>
      </c>
      <c r="AG32">
        <v>0</v>
      </c>
      <c r="AH32">
        <v>0</v>
      </c>
      <c r="AI32" s="2"/>
      <c r="AJ32" s="2"/>
      <c r="AK32" s="2">
        <v>9605.477647058824</v>
      </c>
      <c r="AL32">
        <f t="shared" si="2"/>
        <v>0</v>
      </c>
    </row>
    <row r="33" spans="1:38" x14ac:dyDescent="0.35">
      <c r="A33" s="20"/>
      <c r="B33" t="s">
        <v>158</v>
      </c>
      <c r="D33" t="s">
        <v>100</v>
      </c>
      <c r="E33" t="s">
        <v>154</v>
      </c>
      <c r="F33" s="21" t="s">
        <v>45</v>
      </c>
      <c r="G33" s="20" t="s">
        <v>51</v>
      </c>
      <c r="H33" t="s">
        <v>155</v>
      </c>
      <c r="I33" s="21" t="s">
        <v>156</v>
      </c>
      <c r="J33" t="s">
        <v>46</v>
      </c>
      <c r="K33" t="s">
        <v>5</v>
      </c>
      <c r="L33" t="s">
        <v>157</v>
      </c>
      <c r="M33" s="20">
        <v>98408.871032543204</v>
      </c>
      <c r="O33" s="2">
        <f>AK33</f>
        <v>7204.1082352941185</v>
      </c>
      <c r="P33">
        <f t="shared" si="0"/>
        <v>91204.762797249088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>
        <v>6123.4920000000002</v>
      </c>
      <c r="AC33" s="2"/>
      <c r="AD33">
        <v>0</v>
      </c>
      <c r="AE33">
        <v>0</v>
      </c>
      <c r="AF33">
        <v>0</v>
      </c>
      <c r="AG33">
        <v>0</v>
      </c>
      <c r="AH33">
        <v>0</v>
      </c>
      <c r="AI33" s="2"/>
      <c r="AJ33" s="2"/>
      <c r="AK33" s="2">
        <v>7204.1082352941185</v>
      </c>
      <c r="AL33">
        <f t="shared" si="2"/>
        <v>0</v>
      </c>
    </row>
    <row r="34" spans="1:38" x14ac:dyDescent="0.35">
      <c r="A34" s="20"/>
      <c r="B34" t="s">
        <v>159</v>
      </c>
      <c r="D34" t="s">
        <v>160</v>
      </c>
      <c r="E34" t="s">
        <v>119</v>
      </c>
      <c r="F34" s="21" t="s">
        <v>45</v>
      </c>
      <c r="G34" s="20" t="s">
        <v>161</v>
      </c>
      <c r="H34" t="s">
        <v>52</v>
      </c>
      <c r="I34" s="21" t="s">
        <v>76</v>
      </c>
      <c r="J34" t="s">
        <v>46</v>
      </c>
      <c r="K34" t="s">
        <v>59</v>
      </c>
      <c r="L34" t="s">
        <v>55</v>
      </c>
      <c r="M34" s="20">
        <v>3842649.0057279998</v>
      </c>
      <c r="N34">
        <f>(Q34+R34)/0.98</f>
        <v>17.66760135719143</v>
      </c>
      <c r="P34">
        <f t="shared" si="0"/>
        <v>3842631.3381266426</v>
      </c>
      <c r="Q34" s="2">
        <v>13.426311830047601</v>
      </c>
      <c r="R34" s="2">
        <v>3.8879375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>
        <v>0</v>
      </c>
      <c r="AE34">
        <v>0</v>
      </c>
      <c r="AF34">
        <v>0</v>
      </c>
      <c r="AG34">
        <v>0</v>
      </c>
      <c r="AH34">
        <v>0</v>
      </c>
      <c r="AI34" s="2"/>
      <c r="AJ34" s="2"/>
      <c r="AK34" s="2"/>
      <c r="AL34">
        <f t="shared" si="2"/>
        <v>17.66760135719143</v>
      </c>
    </row>
    <row r="35" spans="1:38" x14ac:dyDescent="0.35">
      <c r="A35" s="20"/>
      <c r="B35" t="s">
        <v>162</v>
      </c>
      <c r="D35" t="s">
        <v>163</v>
      </c>
      <c r="E35" t="s">
        <v>64</v>
      </c>
      <c r="F35" s="21" t="s">
        <v>45</v>
      </c>
      <c r="G35" s="20" t="s">
        <v>161</v>
      </c>
      <c r="H35" t="s">
        <v>52</v>
      </c>
      <c r="I35" s="21" t="s">
        <v>76</v>
      </c>
      <c r="J35" t="s">
        <v>46</v>
      </c>
      <c r="K35" t="s">
        <v>54</v>
      </c>
      <c r="L35" t="s">
        <v>55</v>
      </c>
      <c r="M35" s="20">
        <v>2911000</v>
      </c>
      <c r="N35">
        <f>(Q35+R35)/0.98</f>
        <v>8.2519489795918357</v>
      </c>
      <c r="P35">
        <f t="shared" si="0"/>
        <v>2910991.7480510203</v>
      </c>
      <c r="Q35" s="2">
        <v>8.0869099999999996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>
        <v>0</v>
      </c>
      <c r="AE35">
        <v>0</v>
      </c>
      <c r="AF35">
        <v>0</v>
      </c>
      <c r="AG35">
        <v>0</v>
      </c>
      <c r="AH35">
        <v>0</v>
      </c>
      <c r="AI35" s="2"/>
      <c r="AJ35" s="2"/>
      <c r="AK35" s="2"/>
      <c r="AL35">
        <f t="shared" si="2"/>
        <v>8.2519489795918357</v>
      </c>
    </row>
    <row r="36" spans="1:38" x14ac:dyDescent="0.35">
      <c r="A36" s="20"/>
      <c r="B36" t="s">
        <v>164</v>
      </c>
      <c r="D36" t="s">
        <v>165</v>
      </c>
      <c r="E36" t="s">
        <v>64</v>
      </c>
      <c r="F36" s="21" t="s">
        <v>45</v>
      </c>
      <c r="G36" s="20" t="s">
        <v>51</v>
      </c>
      <c r="H36" t="s">
        <v>52</v>
      </c>
      <c r="I36" s="21" t="s">
        <v>76</v>
      </c>
      <c r="J36" t="s">
        <v>46</v>
      </c>
      <c r="K36" t="s">
        <v>54</v>
      </c>
      <c r="L36" t="s">
        <v>55</v>
      </c>
      <c r="M36" s="20">
        <v>1574000</v>
      </c>
      <c r="N36">
        <f>(Q36+R36)/0.98</f>
        <v>4.2180154591836736</v>
      </c>
      <c r="P36">
        <f t="shared" si="0"/>
        <v>1573995.7819845409</v>
      </c>
      <c r="Q36" s="2">
        <v>4.1336551500000001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>
        <v>0</v>
      </c>
      <c r="AE36">
        <v>0</v>
      </c>
      <c r="AF36">
        <v>0</v>
      </c>
      <c r="AG36">
        <v>0</v>
      </c>
      <c r="AH36">
        <v>0</v>
      </c>
      <c r="AI36" s="2"/>
      <c r="AJ36" s="2"/>
      <c r="AK36" s="2"/>
      <c r="AL36">
        <f t="shared" si="2"/>
        <v>4.2180154591836736</v>
      </c>
    </row>
    <row r="37" spans="1:38" x14ac:dyDescent="0.35">
      <c r="A37" s="20"/>
      <c r="B37" t="s">
        <v>166</v>
      </c>
      <c r="D37" t="s">
        <v>167</v>
      </c>
      <c r="E37" t="s">
        <v>154</v>
      </c>
      <c r="F37" s="21" t="s">
        <v>45</v>
      </c>
      <c r="G37" s="20" t="s">
        <v>51</v>
      </c>
      <c r="H37" t="s">
        <v>52</v>
      </c>
      <c r="I37" s="21" t="s">
        <v>76</v>
      </c>
      <c r="J37" t="s">
        <v>46</v>
      </c>
      <c r="K37" t="s">
        <v>54</v>
      </c>
      <c r="L37" t="s">
        <v>55</v>
      </c>
      <c r="M37" s="20">
        <v>122000</v>
      </c>
      <c r="N37">
        <f>(Q37+R37)/0.98</f>
        <v>1.2300799484693878</v>
      </c>
      <c r="P37">
        <f t="shared" si="0"/>
        <v>121998.76992005153</v>
      </c>
      <c r="Q37" s="2">
        <v>1.2054783495000001</v>
      </c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>
        <v>0</v>
      </c>
      <c r="AE37">
        <v>0</v>
      </c>
      <c r="AF37">
        <v>0</v>
      </c>
      <c r="AG37">
        <v>0</v>
      </c>
      <c r="AH37">
        <v>0</v>
      </c>
      <c r="AI37" s="2"/>
      <c r="AJ37" s="2"/>
      <c r="AK37" s="2"/>
      <c r="AL37">
        <f t="shared" si="2"/>
        <v>1.2300799484693878</v>
      </c>
    </row>
    <row r="38" spans="1:38" ht="15" thickBot="1" x14ac:dyDescent="0.4">
      <c r="A38" s="22"/>
      <c r="B38" s="23" t="s">
        <v>168</v>
      </c>
      <c r="C38" s="23"/>
      <c r="D38" s="23" t="s">
        <v>169</v>
      </c>
      <c r="E38" s="23" t="s">
        <v>143</v>
      </c>
      <c r="F38" s="24" t="s">
        <v>45</v>
      </c>
      <c r="G38" s="22" t="s">
        <v>51</v>
      </c>
      <c r="H38" s="3" t="s">
        <v>90</v>
      </c>
      <c r="I38" s="24" t="s">
        <v>170</v>
      </c>
      <c r="J38" t="s">
        <v>171</v>
      </c>
      <c r="K38" t="s">
        <v>113</v>
      </c>
      <c r="L38" t="s">
        <v>114</v>
      </c>
      <c r="M38" s="22">
        <v>2123641</v>
      </c>
      <c r="N38">
        <f>(Q38+R38)/0.98</f>
        <v>32.978787143877547</v>
      </c>
      <c r="O38">
        <v>109797.33333333334</v>
      </c>
      <c r="P38">
        <f t="shared" ref="P38" si="3">M38-N38-O38</f>
        <v>2013810.687879523</v>
      </c>
      <c r="Q38" s="25">
        <v>5.8276450705</v>
      </c>
      <c r="R38" s="25">
        <v>26.4915663305</v>
      </c>
      <c r="S38" s="25">
        <v>12154</v>
      </c>
      <c r="T38" s="25"/>
      <c r="U38" s="25"/>
      <c r="V38" s="25"/>
      <c r="W38" s="25">
        <v>34642</v>
      </c>
      <c r="X38" s="25"/>
      <c r="Y38" s="25"/>
      <c r="Z38" s="25"/>
      <c r="AA38" s="25"/>
      <c r="AB38" s="25"/>
      <c r="AC38" s="25"/>
      <c r="AD38">
        <v>40513.333333333336</v>
      </c>
      <c r="AE38">
        <v>0</v>
      </c>
      <c r="AF38">
        <v>0</v>
      </c>
      <c r="AG38">
        <v>69284</v>
      </c>
      <c r="AH38">
        <v>0</v>
      </c>
      <c r="AI38" s="25"/>
      <c r="AJ38" s="25"/>
      <c r="AK38" s="25"/>
      <c r="AL38">
        <f t="shared" si="2"/>
        <v>32.978787143877547</v>
      </c>
    </row>
    <row r="39" spans="1:38" ht="15" thickBot="1" x14ac:dyDescent="0.4"/>
    <row r="40" spans="1:38" ht="15" thickBot="1" x14ac:dyDescent="0.4">
      <c r="M40" s="26">
        <f>SUM(M2:M38)</f>
        <v>177146686.21114755</v>
      </c>
      <c r="N40" s="27">
        <f t="shared" ref="N40:AL40" si="4">SUM(N2:N38)</f>
        <v>204.54125594795698</v>
      </c>
      <c r="O40" s="27">
        <f t="shared" si="4"/>
        <v>1755408.1438083139</v>
      </c>
      <c r="P40" s="27">
        <f t="shared" si="4"/>
        <v>175391073.52608326</v>
      </c>
      <c r="Q40" s="27">
        <f t="shared" si="4"/>
        <v>160.95551756399786</v>
      </c>
      <c r="R40" s="27">
        <f t="shared" si="4"/>
        <v>97.620760823000012</v>
      </c>
      <c r="S40" s="27">
        <f t="shared" si="4"/>
        <v>338379.27627699997</v>
      </c>
      <c r="T40" s="27">
        <f t="shared" si="4"/>
        <v>103732</v>
      </c>
      <c r="U40" s="27">
        <f t="shared" si="4"/>
        <v>498</v>
      </c>
      <c r="V40" s="27">
        <f t="shared" si="4"/>
        <v>1445.217584</v>
      </c>
      <c r="W40" s="27">
        <f t="shared" si="4"/>
        <v>80944.438517000002</v>
      </c>
      <c r="X40" s="27">
        <f t="shared" si="4"/>
        <v>0</v>
      </c>
      <c r="Y40" s="27">
        <f t="shared" si="4"/>
        <v>0</v>
      </c>
      <c r="Z40" s="27">
        <f t="shared" si="4"/>
        <v>4.4160749299999997</v>
      </c>
      <c r="AA40" s="27">
        <f t="shared" si="4"/>
        <v>0</v>
      </c>
      <c r="AB40" s="27">
        <f t="shared" si="4"/>
        <v>14288.148000000001</v>
      </c>
      <c r="AC40" s="27">
        <f t="shared" si="4"/>
        <v>0</v>
      </c>
      <c r="AD40" s="27">
        <f t="shared" si="4"/>
        <v>925550.9209233335</v>
      </c>
      <c r="AE40" s="27">
        <f t="shared" si="4"/>
        <v>648325</v>
      </c>
      <c r="AF40" s="27">
        <f t="shared" si="4"/>
        <v>2833.7599686274507</v>
      </c>
      <c r="AG40" s="27">
        <f t="shared" si="4"/>
        <v>161888.877034</v>
      </c>
      <c r="AH40" s="27">
        <f t="shared" si="4"/>
        <v>0</v>
      </c>
      <c r="AI40" s="27">
        <f t="shared" si="4"/>
        <v>0</v>
      </c>
      <c r="AJ40" s="27">
        <f t="shared" si="4"/>
        <v>0</v>
      </c>
      <c r="AK40" s="27">
        <f t="shared" si="4"/>
        <v>16809.585882352942</v>
      </c>
      <c r="AL40" s="28">
        <f t="shared" si="4"/>
        <v>200.96435344795697</v>
      </c>
    </row>
  </sheetData>
  <autoFilter ref="A1:DR38" xr:uid="{B231D443-D3C4-4EF0-BDC9-8F5B03D7CAA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853C-0E0A-459D-8C54-D8929ADDDD8D}">
  <dimension ref="A1:F47"/>
  <sheetViews>
    <sheetView topLeftCell="C1" workbookViewId="0">
      <selection activeCell="F1" sqref="F1"/>
    </sheetView>
  </sheetViews>
  <sheetFormatPr baseColWidth="10" defaultRowHeight="14.5" x14ac:dyDescent="0.35"/>
  <cols>
    <col min="1" max="1" width="24.1796875" bestFit="1" customWidth="1"/>
    <col min="2" max="2" width="22.453125" bestFit="1" customWidth="1"/>
    <col min="3" max="3" width="24.1796875" bestFit="1" customWidth="1"/>
    <col min="4" max="4" width="18.453125" bestFit="1" customWidth="1"/>
    <col min="5" max="5" width="72" bestFit="1" customWidth="1"/>
    <col min="6" max="6" width="17.7265625" bestFit="1" customWidth="1"/>
  </cols>
  <sheetData>
    <row r="1" spans="1:6" x14ac:dyDescent="0.35">
      <c r="A1" s="1" t="s">
        <v>241</v>
      </c>
      <c r="B1" s="4" t="s">
        <v>192</v>
      </c>
      <c r="C1" s="4" t="s">
        <v>240</v>
      </c>
      <c r="D1" s="4" t="s">
        <v>193</v>
      </c>
      <c r="E1" s="4" t="s">
        <v>194</v>
      </c>
      <c r="F1" s="4" t="s">
        <v>195</v>
      </c>
    </row>
    <row r="2" spans="1:6" x14ac:dyDescent="0.35">
      <c r="A2" s="3" t="s">
        <v>49</v>
      </c>
      <c r="B2" s="3" t="s">
        <v>1</v>
      </c>
      <c r="C2" s="3" t="s">
        <v>49</v>
      </c>
      <c r="D2" t="str">
        <f>site_selection!A2</f>
        <v>BC-MAIN-857b7b89</v>
      </c>
      <c r="E2" s="3" t="s">
        <v>219</v>
      </c>
      <c r="F2" s="5">
        <f>market_shares_calc!E2</f>
        <v>4.4998730921635586E-3</v>
      </c>
    </row>
    <row r="3" spans="1:6" x14ac:dyDescent="0.35">
      <c r="A3" s="3" t="s">
        <v>57</v>
      </c>
      <c r="B3" s="3" t="s">
        <v>1</v>
      </c>
      <c r="C3" s="3" t="s">
        <v>57</v>
      </c>
      <c r="D3" t="str">
        <f>site_selection!A3</f>
        <v>QC-MAIN-e7e6a960</v>
      </c>
      <c r="E3" s="3" t="s">
        <v>216</v>
      </c>
      <c r="F3" s="5">
        <f>market_shares_calc!E3</f>
        <v>0.14197177189794855</v>
      </c>
    </row>
    <row r="4" spans="1:6" x14ac:dyDescent="0.35">
      <c r="A4" s="3" t="s">
        <v>62</v>
      </c>
      <c r="B4" s="3" t="s">
        <v>1</v>
      </c>
      <c r="C4" s="3" t="s">
        <v>62</v>
      </c>
      <c r="D4" t="str">
        <f>site_selection!A4</f>
        <v>QC-MAIN-b86f7d07</v>
      </c>
      <c r="E4" s="3" t="s">
        <v>209</v>
      </c>
      <c r="F4" s="5">
        <f>market_shares_calc!E4</f>
        <v>1.7192618572817963E-2</v>
      </c>
    </row>
    <row r="5" spans="1:6" x14ac:dyDescent="0.35">
      <c r="A5" s="3" t="s">
        <v>153</v>
      </c>
      <c r="B5" s="3" t="s">
        <v>238</v>
      </c>
      <c r="C5" s="3" t="s">
        <v>153</v>
      </c>
      <c r="D5" t="str">
        <f>site_selection!B32</f>
        <v>GRP-91aaa60b</v>
      </c>
      <c r="E5" s="3" t="s">
        <v>239</v>
      </c>
      <c r="F5" s="5">
        <f>market_shares_calc!H32</f>
        <v>0.5714285714285714</v>
      </c>
    </row>
    <row r="6" spans="1:6" x14ac:dyDescent="0.35">
      <c r="A6" s="3" t="s">
        <v>69</v>
      </c>
      <c r="B6" s="3" t="s">
        <v>199</v>
      </c>
      <c r="C6" s="3" t="s">
        <v>69</v>
      </c>
      <c r="D6" s="3" t="str">
        <f>site_selection!A5</f>
        <v>BC-MAIN-599152a0</v>
      </c>
      <c r="E6" s="3" t="s">
        <v>198</v>
      </c>
      <c r="F6" s="6">
        <f>market_shares_calc!F5</f>
        <v>6.8607786524216438E-2</v>
      </c>
    </row>
    <row r="7" spans="1:6" x14ac:dyDescent="0.35">
      <c r="A7" s="3" t="s">
        <v>75</v>
      </c>
      <c r="B7" s="3" t="s">
        <v>1</v>
      </c>
      <c r="C7" s="3" t="s">
        <v>75</v>
      </c>
      <c r="D7" t="str">
        <f>site_selection!A6</f>
        <v>ON-MAIN-aeafbb59</v>
      </c>
      <c r="E7" s="3" t="s">
        <v>217</v>
      </c>
      <c r="F7" s="5">
        <f>market_shares_calc!E6</f>
        <v>0.11737624141637086</v>
      </c>
    </row>
    <row r="8" spans="1:6" x14ac:dyDescent="0.35">
      <c r="A8" s="3" t="s">
        <v>78</v>
      </c>
      <c r="B8" s="3" t="s">
        <v>1</v>
      </c>
      <c r="C8" s="3" t="s">
        <v>78</v>
      </c>
      <c r="D8" t="str">
        <f>site_selection!A7</f>
        <v>ON-MAIN-cb85213a</v>
      </c>
      <c r="E8" s="3" t="s">
        <v>220</v>
      </c>
      <c r="F8" s="5">
        <f>market_shares_calc!E7</f>
        <v>1.3572082750078275E-2</v>
      </c>
    </row>
    <row r="9" spans="1:6" x14ac:dyDescent="0.35">
      <c r="A9" s="3" t="s">
        <v>80</v>
      </c>
      <c r="B9" s="3" t="s">
        <v>1</v>
      </c>
      <c r="C9" s="3" t="s">
        <v>80</v>
      </c>
      <c r="D9" t="str">
        <f>site_selection!A8</f>
        <v>QC-MAIN-6dc537e6</v>
      </c>
      <c r="E9" s="3" t="s">
        <v>221</v>
      </c>
      <c r="F9" s="5">
        <f>market_shares_calc!E8</f>
        <v>3.7835398463024174E-2</v>
      </c>
    </row>
    <row r="10" spans="1:6" x14ac:dyDescent="0.35">
      <c r="A10" s="3" t="s">
        <v>243</v>
      </c>
      <c r="B10" s="3" t="s">
        <v>199</v>
      </c>
      <c r="C10" s="3" t="s">
        <v>83</v>
      </c>
      <c r="D10" s="3" t="str">
        <f>site_selection!A9</f>
        <v>BC-MAIN-6b4800fe</v>
      </c>
      <c r="E10" s="3" t="s">
        <v>200</v>
      </c>
      <c r="F10" s="6">
        <f>market_shares_calc!F9</f>
        <v>0.20027847898605389</v>
      </c>
    </row>
    <row r="11" spans="1:6" x14ac:dyDescent="0.35">
      <c r="A11" s="3" t="s">
        <v>244</v>
      </c>
      <c r="B11" s="3" t="s">
        <v>234</v>
      </c>
      <c r="C11" s="3" t="s">
        <v>83</v>
      </c>
      <c r="D11" t="str">
        <f>site_selection!A9</f>
        <v>BC-MAIN-6b4800fe</v>
      </c>
      <c r="E11" s="3" t="s">
        <v>200</v>
      </c>
      <c r="F11" s="5">
        <f>market_shares_calc!J9</f>
        <v>0.37725640072201061</v>
      </c>
    </row>
    <row r="12" spans="1:6" x14ac:dyDescent="0.35">
      <c r="A12" s="3" t="s">
        <v>253</v>
      </c>
      <c r="B12" s="3" t="s">
        <v>199</v>
      </c>
      <c r="C12" s="3" t="s">
        <v>89</v>
      </c>
      <c r="D12" t="str">
        <f>site_selection!A10</f>
        <v>QC-MAIN-c0660aec</v>
      </c>
      <c r="E12" s="3" t="s">
        <v>204</v>
      </c>
      <c r="F12" s="6">
        <f>market_shares_calc!F10</f>
        <v>1.4058926821320202E-4</v>
      </c>
    </row>
    <row r="13" spans="1:6" x14ac:dyDescent="0.35">
      <c r="A13" s="3" t="s">
        <v>254</v>
      </c>
      <c r="B13" s="3" t="s">
        <v>1</v>
      </c>
      <c r="C13" s="3" t="s">
        <v>89</v>
      </c>
      <c r="D13" t="str">
        <f>site_selection!A10</f>
        <v>QC-MAIN-c0660aec</v>
      </c>
      <c r="E13" s="3" t="s">
        <v>204</v>
      </c>
      <c r="F13" s="5">
        <f>market_shares_calc!E10</f>
        <v>2.1875988282066609E-2</v>
      </c>
    </row>
    <row r="14" spans="1:6" x14ac:dyDescent="0.35">
      <c r="A14" s="3" t="s">
        <v>210</v>
      </c>
      <c r="B14" s="3" t="s">
        <v>1</v>
      </c>
      <c r="C14" s="3" t="s">
        <v>210</v>
      </c>
      <c r="D14" t="str">
        <f>site_selection!A11</f>
        <v>ON-MAIN-6e9be24e</v>
      </c>
      <c r="E14" s="3" t="s">
        <v>211</v>
      </c>
      <c r="F14" s="5">
        <f>market_shares_calc!E11</f>
        <v>2.1885675871869278E-2</v>
      </c>
    </row>
    <row r="15" spans="1:6" x14ac:dyDescent="0.35">
      <c r="A15" s="3" t="s">
        <v>245</v>
      </c>
      <c r="B15" s="3" t="s">
        <v>199</v>
      </c>
      <c r="C15" s="3" t="s">
        <v>96</v>
      </c>
      <c r="D15" s="3" t="str">
        <f>site_selection!A12</f>
        <v>BC-MAIN-bf503b6b</v>
      </c>
      <c r="E15" s="3" t="s">
        <v>201</v>
      </c>
      <c r="F15" s="6">
        <f>market_shares_calc!F12</f>
        <v>0.36878936168397713</v>
      </c>
    </row>
    <row r="16" spans="1:6" x14ac:dyDescent="0.35">
      <c r="A16" s="3" t="s">
        <v>246</v>
      </c>
      <c r="B16" s="3" t="s">
        <v>234</v>
      </c>
      <c r="C16" s="3" t="s">
        <v>96</v>
      </c>
      <c r="D16" t="str">
        <f>site_selection!A12</f>
        <v>BC-MAIN-bf503b6b</v>
      </c>
      <c r="E16" s="3" t="s">
        <v>201</v>
      </c>
      <c r="F16" s="5">
        <f>market_shares_calc!J12</f>
        <v>0.6227435992779895</v>
      </c>
    </row>
    <row r="17" spans="1:6" x14ac:dyDescent="0.35">
      <c r="A17" s="3" t="s">
        <v>99</v>
      </c>
      <c r="B17" s="3" t="s">
        <v>1</v>
      </c>
      <c r="C17" s="3" t="s">
        <v>99</v>
      </c>
      <c r="D17" t="str">
        <f>site_selection!A13</f>
        <v>ON-MAIN-687b8c8d</v>
      </c>
      <c r="E17" s="3" t="s">
        <v>222</v>
      </c>
      <c r="F17" s="5">
        <f>market_shares_calc!E13</f>
        <v>2.0389080148630747E-2</v>
      </c>
    </row>
    <row r="18" spans="1:6" x14ac:dyDescent="0.35">
      <c r="A18" s="3" t="s">
        <v>100</v>
      </c>
      <c r="B18" s="3" t="s">
        <v>238</v>
      </c>
      <c r="C18" s="3" t="s">
        <v>100</v>
      </c>
      <c r="D18" t="str">
        <f>site_selection!B33</f>
        <v>GRP-21eee27d</v>
      </c>
      <c r="E18" s="3" t="s">
        <v>237</v>
      </c>
      <c r="F18" s="5">
        <f>market_shares_calc!H33</f>
        <v>0.4285714285714286</v>
      </c>
    </row>
    <row r="19" spans="1:6" x14ac:dyDescent="0.35">
      <c r="A19" s="3" t="s">
        <v>247</v>
      </c>
      <c r="B19" s="3" t="s">
        <v>199</v>
      </c>
      <c r="C19" s="3" t="s">
        <v>103</v>
      </c>
      <c r="D19" t="str">
        <f>site_selection!A14</f>
        <v>ON-MAIN-f8313ebd</v>
      </c>
      <c r="E19" s="3" t="s">
        <v>205</v>
      </c>
      <c r="F19" s="6">
        <f>market_shares_calc!F14</f>
        <v>8.1392964590409025E-2</v>
      </c>
    </row>
    <row r="20" spans="1:6" x14ac:dyDescent="0.35">
      <c r="A20" s="3" t="s">
        <v>235</v>
      </c>
      <c r="B20" s="3" t="s">
        <v>236</v>
      </c>
      <c r="C20" s="3" t="s">
        <v>235</v>
      </c>
      <c r="D20" t="str">
        <f>site_selection!A14</f>
        <v>ON-MAIN-f8313ebd</v>
      </c>
      <c r="E20" s="3" t="s">
        <v>205</v>
      </c>
      <c r="F20" s="5">
        <f>market_shares_calc!I14</f>
        <v>0.4768703163206599</v>
      </c>
    </row>
    <row r="21" spans="1:6" x14ac:dyDescent="0.35">
      <c r="A21" s="3" t="s">
        <v>108</v>
      </c>
      <c r="B21" s="3" t="s">
        <v>1</v>
      </c>
      <c r="C21" s="3" t="s">
        <v>108</v>
      </c>
      <c r="D21" t="str">
        <f>site_selection!A15</f>
        <v>QC-MAIN-9de9bb0d</v>
      </c>
      <c r="E21" s="3" t="s">
        <v>218</v>
      </c>
      <c r="F21" s="5">
        <f>market_shares_calc!E15</f>
        <v>5.9654352078699303E-3</v>
      </c>
    </row>
    <row r="22" spans="1:6" x14ac:dyDescent="0.35">
      <c r="A22" s="3" t="s">
        <v>248</v>
      </c>
      <c r="B22" s="3" t="s">
        <v>199</v>
      </c>
      <c r="C22" s="3" t="s">
        <v>111</v>
      </c>
      <c r="D22" t="str">
        <f>site_selection!A16</f>
        <v>QC-MAIN-e51eda66</v>
      </c>
      <c r="E22" s="3" t="s">
        <v>206</v>
      </c>
      <c r="F22" s="6">
        <f>market_shares_calc!F16</f>
        <v>9.2844175892855107E-3</v>
      </c>
    </row>
    <row r="23" spans="1:6" x14ac:dyDescent="0.35">
      <c r="A23" s="3" t="s">
        <v>242</v>
      </c>
      <c r="B23" s="3" t="s">
        <v>1</v>
      </c>
      <c r="C23" s="3" t="s">
        <v>111</v>
      </c>
      <c r="D23" t="str">
        <f>site_selection!A16</f>
        <v>QC-MAIN-e51eda66</v>
      </c>
      <c r="E23" s="3" t="s">
        <v>206</v>
      </c>
      <c r="F23" s="5">
        <f>market_shares_calc!E16</f>
        <v>4.7926286288182088E-2</v>
      </c>
    </row>
    <row r="24" spans="1:6" x14ac:dyDescent="0.35">
      <c r="A24" s="3" t="s">
        <v>249</v>
      </c>
      <c r="B24" s="3" t="s">
        <v>236</v>
      </c>
      <c r="C24" s="3" t="s">
        <v>111</v>
      </c>
      <c r="D24" t="str">
        <f>site_selection!A16</f>
        <v>QC-MAIN-e51eda66</v>
      </c>
      <c r="E24" s="3" t="s">
        <v>206</v>
      </c>
      <c r="F24" s="5">
        <f>market_shares_calc!I16</f>
        <v>9.5157106011456591E-2</v>
      </c>
    </row>
    <row r="25" spans="1:6" x14ac:dyDescent="0.35">
      <c r="A25" s="3" t="s">
        <v>116</v>
      </c>
      <c r="B25" s="3" t="s">
        <v>1</v>
      </c>
      <c r="C25" s="3" t="s">
        <v>116</v>
      </c>
      <c r="D25" t="str">
        <f>site_selection!A17</f>
        <v>ON-MAIN-1f126a43</v>
      </c>
      <c r="E25" s="3" t="s">
        <v>223</v>
      </c>
      <c r="F25" s="5">
        <f>market_shares_calc!E17</f>
        <v>3.546132748681375E-2</v>
      </c>
    </row>
    <row r="26" spans="1:6" x14ac:dyDescent="0.35">
      <c r="A26" s="3" t="s">
        <v>160</v>
      </c>
      <c r="B26" s="3" t="s">
        <v>1</v>
      </c>
      <c r="C26" s="3" t="s">
        <v>160</v>
      </c>
      <c r="D26" t="str">
        <f>site_selection!B34</f>
        <v>GRP-0a2c0d69</v>
      </c>
      <c r="E26" s="3" t="s">
        <v>214</v>
      </c>
      <c r="F26" s="5">
        <f>market_shares_calc!E34</f>
        <v>8.6376712978073894E-2</v>
      </c>
    </row>
    <row r="27" spans="1:6" x14ac:dyDescent="0.35">
      <c r="A27" s="3" t="s">
        <v>121</v>
      </c>
      <c r="B27" s="3" t="s">
        <v>1</v>
      </c>
      <c r="C27" s="3" t="s">
        <v>121</v>
      </c>
      <c r="D27" t="str">
        <f>site_selection!A19</f>
        <v>NU-MAIN-8b0264c9</v>
      </c>
      <c r="E27" s="3" t="s">
        <v>212</v>
      </c>
      <c r="F27" s="5">
        <f>market_shares_calc!E19</f>
        <v>6.0692581418687316E-2</v>
      </c>
    </row>
    <row r="28" spans="1:6" x14ac:dyDescent="0.35">
      <c r="A28" s="3" t="s">
        <v>123</v>
      </c>
      <c r="B28" s="3" t="s">
        <v>199</v>
      </c>
      <c r="C28" s="3" t="s">
        <v>123</v>
      </c>
      <c r="D28" t="str">
        <f>site_selection!A20</f>
        <v>BC-MAIN-ed23117f</v>
      </c>
      <c r="E28" s="3" t="s">
        <v>202</v>
      </c>
      <c r="F28" s="6">
        <f>market_shares_calc!F20</f>
        <v>0.10105731865444752</v>
      </c>
    </row>
    <row r="29" spans="1:6" x14ac:dyDescent="0.35">
      <c r="A29" s="3" t="s">
        <v>126</v>
      </c>
      <c r="B29" s="3" t="s">
        <v>199</v>
      </c>
      <c r="C29" s="3" t="s">
        <v>126</v>
      </c>
      <c r="D29" t="str">
        <f>site_selection!A21</f>
        <v>BC-MAIN-3f490561</v>
      </c>
      <c r="E29" s="3" t="s">
        <v>203</v>
      </c>
      <c r="F29" s="6">
        <f>market_shares_calc!F21</f>
        <v>4.9244655375486092E-2</v>
      </c>
    </row>
    <row r="30" spans="1:6" x14ac:dyDescent="0.35">
      <c r="A30" s="3" t="s">
        <v>129</v>
      </c>
      <c r="B30" s="3" t="s">
        <v>1</v>
      </c>
      <c r="C30" s="3" t="s">
        <v>129</v>
      </c>
      <c r="D30" t="str">
        <f>site_selection!A22</f>
        <v>ON-MAIN-fefeaee4</v>
      </c>
      <c r="E30" s="3" t="s">
        <v>224</v>
      </c>
      <c r="F30" s="5">
        <f>market_shares_calc!E22</f>
        <v>2.7930246778946222E-2</v>
      </c>
    </row>
    <row r="31" spans="1:6" x14ac:dyDescent="0.35">
      <c r="A31" s="3" t="s">
        <v>131</v>
      </c>
      <c r="B31" s="3" t="s">
        <v>199</v>
      </c>
      <c r="C31" s="3" t="s">
        <v>131</v>
      </c>
      <c r="D31" t="str">
        <f>site_selection!A23</f>
        <v>BC-MAIN-aa76f6f2</v>
      </c>
      <c r="E31" s="3" t="s">
        <v>207</v>
      </c>
      <c r="F31" s="6">
        <f>market_shares_calc!F23</f>
        <v>7.7432299379599959E-2</v>
      </c>
    </row>
    <row r="32" spans="1:6" x14ac:dyDescent="0.35">
      <c r="A32" s="3" t="s">
        <v>133</v>
      </c>
      <c r="B32" s="3" t="s">
        <v>229</v>
      </c>
      <c r="C32" s="3" t="s">
        <v>133</v>
      </c>
      <c r="D32" t="str">
        <f>site_selection!A24</f>
        <v>QC-MAIN-5ce331b8</v>
      </c>
      <c r="E32" s="3" t="s">
        <v>228</v>
      </c>
      <c r="F32" s="5">
        <f>market_shares_calc!G24</f>
        <v>0.56009717348552035</v>
      </c>
    </row>
    <row r="33" spans="1:6" x14ac:dyDescent="0.35">
      <c r="A33" s="3" t="s">
        <v>163</v>
      </c>
      <c r="B33" s="3" t="s">
        <v>1</v>
      </c>
      <c r="C33" s="3" t="s">
        <v>163</v>
      </c>
      <c r="D33" t="str">
        <f>site_selection!B35</f>
        <v>GRP-0d911886</v>
      </c>
      <c r="E33" s="3" t="s">
        <v>215</v>
      </c>
      <c r="F33" s="5">
        <f>market_shares_calc!E35</f>
        <v>4.0343689791811209E-2</v>
      </c>
    </row>
    <row r="34" spans="1:6" x14ac:dyDescent="0.35">
      <c r="A34" s="3" t="s">
        <v>136</v>
      </c>
      <c r="B34" s="3" t="s">
        <v>229</v>
      </c>
      <c r="C34" s="3" t="s">
        <v>136</v>
      </c>
      <c r="D34" t="str">
        <f>site_selection!A25</f>
        <v>QC-MAIN-a97821c0</v>
      </c>
      <c r="E34" s="3" t="s">
        <v>233</v>
      </c>
      <c r="F34" s="5">
        <f>market_shares_calc!G25</f>
        <v>0.23360197431843596</v>
      </c>
    </row>
    <row r="35" spans="1:6" x14ac:dyDescent="0.35">
      <c r="A35" s="3" t="s">
        <v>140</v>
      </c>
      <c r="B35" s="3" t="s">
        <v>1</v>
      </c>
      <c r="C35" s="3" t="s">
        <v>140</v>
      </c>
      <c r="D35" t="str">
        <f>site_selection!A26</f>
        <v>ON-MAIN-0aadf28f</v>
      </c>
      <c r="E35" s="3" t="s">
        <v>213</v>
      </c>
      <c r="F35" s="5">
        <f>market_shares_calc!E26</f>
        <v>3.9373113716242782E-2</v>
      </c>
    </row>
    <row r="36" spans="1:6" x14ac:dyDescent="0.35">
      <c r="A36" s="3" t="s">
        <v>283</v>
      </c>
      <c r="B36" s="3" t="s">
        <v>1</v>
      </c>
      <c r="C36" s="3" t="s">
        <v>283</v>
      </c>
      <c r="D36" s="20" t="s">
        <v>282</v>
      </c>
      <c r="E36" s="3" t="s">
        <v>285</v>
      </c>
      <c r="F36" s="5">
        <f>market_shares_calc!E27</f>
        <v>1.7487437844373552E-2</v>
      </c>
    </row>
    <row r="37" spans="1:6" x14ac:dyDescent="0.35">
      <c r="A37" s="3" t="s">
        <v>167</v>
      </c>
      <c r="B37" s="3" t="s">
        <v>1</v>
      </c>
      <c r="C37" s="3" t="s">
        <v>167</v>
      </c>
      <c r="D37" t="str">
        <f>site_selection!B37</f>
        <v>GRP-14bfbb82</v>
      </c>
      <c r="E37" s="3" t="s">
        <v>225</v>
      </c>
      <c r="F37" s="5">
        <f>market_shares_calc!E37</f>
        <v>6.0138476356201053E-3</v>
      </c>
    </row>
    <row r="38" spans="1:6" x14ac:dyDescent="0.35">
      <c r="A38" s="3" t="s">
        <v>250</v>
      </c>
      <c r="B38" s="3" t="s">
        <v>199</v>
      </c>
      <c r="C38" s="3" t="s">
        <v>169</v>
      </c>
      <c r="D38" t="str">
        <f>site_selection!B38</f>
        <v>GRP-a13779f8</v>
      </c>
      <c r="E38" s="3" t="s">
        <v>208</v>
      </c>
      <c r="F38" s="6">
        <f>market_shares_calc!F38</f>
        <v>4.3772127948311111E-2</v>
      </c>
    </row>
    <row r="39" spans="1:6" x14ac:dyDescent="0.35">
      <c r="A39" s="3" t="s">
        <v>251</v>
      </c>
      <c r="B39" s="3" t="s">
        <v>1</v>
      </c>
      <c r="C39" s="3" t="s">
        <v>169</v>
      </c>
      <c r="D39" t="str">
        <f>site_selection!B38</f>
        <v>GRP-a13779f8</v>
      </c>
      <c r="E39" s="3" t="s">
        <v>208</v>
      </c>
      <c r="F39" s="5">
        <f>market_shares_calc!E38</f>
        <v>0.16123293558082286</v>
      </c>
    </row>
    <row r="40" spans="1:6" x14ac:dyDescent="0.35">
      <c r="A40" s="3" t="s">
        <v>252</v>
      </c>
      <c r="B40" s="3" t="s">
        <v>236</v>
      </c>
      <c r="C40" s="3" t="s">
        <v>169</v>
      </c>
      <c r="D40" t="str">
        <f>site_selection!B38</f>
        <v>GRP-a13779f8</v>
      </c>
      <c r="E40" s="3" t="s">
        <v>208</v>
      </c>
      <c r="F40" s="5">
        <f>market_shares_calc!I38</f>
        <v>0.42797257766788344</v>
      </c>
    </row>
    <row r="41" spans="1:6" x14ac:dyDescent="0.35">
      <c r="A41" s="3" t="s">
        <v>230</v>
      </c>
      <c r="B41" s="3" t="s">
        <v>229</v>
      </c>
      <c r="C41" s="3" t="s">
        <v>230</v>
      </c>
      <c r="D41" t="str">
        <f>site_selection!A28</f>
        <v>MB-MAIN-e0a6250e</v>
      </c>
      <c r="E41" s="3" t="s">
        <v>231</v>
      </c>
      <c r="F41" s="5">
        <f>market_shares_calc!G28</f>
        <v>7.6157791231249758E-2</v>
      </c>
    </row>
    <row r="42" spans="1:6" s="11" customFormat="1" x14ac:dyDescent="0.35">
      <c r="A42" s="12" t="s">
        <v>165</v>
      </c>
      <c r="B42" s="12" t="s">
        <v>1</v>
      </c>
      <c r="C42" s="12" t="s">
        <v>165</v>
      </c>
      <c r="D42" s="11" t="str">
        <f>site_selection!B36</f>
        <v>GRP-147b3123</v>
      </c>
      <c r="E42" s="12" t="s">
        <v>226</v>
      </c>
      <c r="F42" s="13">
        <f>market_shares_calc!E36</f>
        <v>2.0621832205121964E-2</v>
      </c>
    </row>
    <row r="43" spans="1:6" x14ac:dyDescent="0.35">
      <c r="A43" s="3" t="s">
        <v>146</v>
      </c>
      <c r="B43" s="3" t="s">
        <v>229</v>
      </c>
      <c r="C43" s="3" t="s">
        <v>146</v>
      </c>
      <c r="D43" t="str">
        <f>site_selection!A29</f>
        <v>NL-MAIN-2d8801d6</v>
      </c>
      <c r="E43" s="3" t="s">
        <v>232</v>
      </c>
      <c r="F43" s="5">
        <f>market_shares_calc!G29</f>
        <v>0.13014306096479389</v>
      </c>
    </row>
    <row r="44" spans="1:6" x14ac:dyDescent="0.35">
      <c r="A44" s="3" t="s">
        <v>149</v>
      </c>
      <c r="B44" s="3" t="s">
        <v>1</v>
      </c>
      <c r="C44" s="3" t="s">
        <v>149</v>
      </c>
      <c r="D44" t="str">
        <f>site_selection!A30</f>
        <v>QC-MAIN-02884fb5</v>
      </c>
      <c r="E44" s="3" t="s">
        <v>227</v>
      </c>
      <c r="F44" s="5">
        <f>market_shares_calc!E30</f>
        <v>2.0133673558641044E-2</v>
      </c>
    </row>
    <row r="45" spans="1:6" x14ac:dyDescent="0.35">
      <c r="B45" s="3"/>
      <c r="C45" s="3"/>
    </row>
    <row r="46" spans="1:6" x14ac:dyDescent="0.35">
      <c r="B46" s="3"/>
      <c r="C46" s="3"/>
    </row>
    <row r="47" spans="1:6" x14ac:dyDescent="0.35">
      <c r="B47" s="3"/>
      <c r="C47" s="3"/>
    </row>
  </sheetData>
  <autoFilter ref="A1:F44" xr:uid="{130C853C-0E0A-459D-8C54-D8929ADDDD8D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6255D-77F9-4269-B2CE-74E3D78C471C}">
  <dimension ref="A1:S40"/>
  <sheetViews>
    <sheetView workbookViewId="0">
      <selection activeCell="L24" sqref="L24"/>
    </sheetView>
  </sheetViews>
  <sheetFormatPr baseColWidth="10" defaultRowHeight="14.5" x14ac:dyDescent="0.35"/>
  <cols>
    <col min="1" max="1" width="22.26953125" bestFit="1" customWidth="1"/>
    <col min="2" max="2" width="24.1796875" bestFit="1" customWidth="1"/>
    <col min="3" max="3" width="70.26953125" customWidth="1"/>
    <col min="4" max="4" width="28.26953125" bestFit="1" customWidth="1"/>
  </cols>
  <sheetData>
    <row r="1" spans="1:19" x14ac:dyDescent="0.35">
      <c r="A1" s="1" t="s">
        <v>8</v>
      </c>
      <c r="B1" s="1" t="s">
        <v>9</v>
      </c>
      <c r="C1" s="1" t="s">
        <v>14</v>
      </c>
      <c r="D1" s="1" t="s">
        <v>196</v>
      </c>
      <c r="E1" s="1" t="s">
        <v>197</v>
      </c>
      <c r="F1" s="1" t="s">
        <v>0</v>
      </c>
      <c r="G1" s="1" t="s">
        <v>2</v>
      </c>
      <c r="H1" s="1" t="s">
        <v>5</v>
      </c>
      <c r="I1" s="1" t="s">
        <v>4</v>
      </c>
      <c r="J1" s="1" t="s">
        <v>3</v>
      </c>
      <c r="Q1" s="1"/>
      <c r="R1" s="1"/>
      <c r="S1" s="1"/>
    </row>
    <row r="2" spans="1:19" x14ac:dyDescent="0.35">
      <c r="A2" t="str">
        <f>site_selection!C2</f>
        <v>Brucejack</v>
      </c>
      <c r="C2" t="str">
        <f>site_selection!I2</f>
        <v>Gold, silver</v>
      </c>
      <c r="D2" t="str">
        <f>site_selection!L2</f>
        <v>Au-Ag doré</v>
      </c>
      <c r="E2" s="5">
        <f>site_selection!N2/site_selection!$N$40</f>
        <v>4.4998730921635586E-3</v>
      </c>
      <c r="F2" s="5">
        <f>site_selection!AD2/site_selection!$AD$40</f>
        <v>0</v>
      </c>
      <c r="G2" s="5">
        <f>site_selection!AE2/site_selection!$AE$40</f>
        <v>0</v>
      </c>
      <c r="H2" s="5">
        <f>site_selection!AK2/site_selection!$AK$40</f>
        <v>0</v>
      </c>
      <c r="I2" s="5">
        <f>site_selection!AG2/site_selection!$AG$40</f>
        <v>0</v>
      </c>
      <c r="J2" s="5">
        <f>site_selection!AF2/site_selection!$AF$40</f>
        <v>0</v>
      </c>
    </row>
    <row r="3" spans="1:19" x14ac:dyDescent="0.35">
      <c r="A3" t="str">
        <f>site_selection!C3</f>
        <v>Canadian Malartic</v>
      </c>
      <c r="C3" t="str">
        <f>site_selection!I3</f>
        <v>Gold, silver</v>
      </c>
      <c r="D3" t="str">
        <f>site_selection!L3</f>
        <v>Au-Ag doré</v>
      </c>
      <c r="E3" s="5">
        <f>site_selection!N3/site_selection!$N$40</f>
        <v>0.14197177189794855</v>
      </c>
      <c r="F3" s="5">
        <f>site_selection!AD3/site_selection!$AD$40</f>
        <v>0</v>
      </c>
      <c r="G3" s="5">
        <f>site_selection!AE3/site_selection!$AE$40</f>
        <v>0</v>
      </c>
      <c r="H3" s="5">
        <f>site_selection!AK3/site_selection!$AK$40</f>
        <v>0</v>
      </c>
      <c r="I3" s="5">
        <f>site_selection!AG3/site_selection!$AG$40</f>
        <v>0</v>
      </c>
      <c r="J3" s="5">
        <f>site_selection!AF3/site_selection!$AF$40</f>
        <v>0</v>
      </c>
    </row>
    <row r="4" spans="1:19" x14ac:dyDescent="0.35">
      <c r="A4" t="str">
        <f>site_selection!C4</f>
        <v>Casa Berardi</v>
      </c>
      <c r="C4" t="str">
        <f>site_selection!I4</f>
        <v>Gold, silver</v>
      </c>
      <c r="D4" t="str">
        <f>site_selection!L4</f>
        <v>Au-Ag doré</v>
      </c>
      <c r="E4" s="5">
        <f>site_selection!N4/site_selection!$N$40</f>
        <v>1.7192618572817963E-2</v>
      </c>
      <c r="F4" s="5">
        <f>site_selection!AD4/site_selection!$AD$40</f>
        <v>0</v>
      </c>
      <c r="G4" s="5">
        <f>site_selection!AE4/site_selection!$AE$40</f>
        <v>0</v>
      </c>
      <c r="H4" s="5">
        <f>site_selection!AK4/site_selection!$AK$40</f>
        <v>0</v>
      </c>
      <c r="I4" s="5">
        <f>site_selection!AG4/site_selection!$AG$40</f>
        <v>0</v>
      </c>
      <c r="J4" s="5">
        <f>site_selection!AF4/site_selection!$AF$40</f>
        <v>0</v>
      </c>
    </row>
    <row r="5" spans="1:19" x14ac:dyDescent="0.35">
      <c r="A5" t="str">
        <f>site_selection!C5</f>
        <v>Copper Mountain</v>
      </c>
      <c r="C5" t="str">
        <f>site_selection!I5</f>
        <v>Copper, gold, silver</v>
      </c>
      <c r="D5" t="str">
        <f>site_selection!L5</f>
        <v>Cu conc.</v>
      </c>
      <c r="E5" s="5">
        <f>site_selection!N5/site_selection!$N$40</f>
        <v>0</v>
      </c>
      <c r="F5" s="5">
        <f>site_selection!AD5/site_selection!$AD$40</f>
        <v>6.8607786524216438E-2</v>
      </c>
      <c r="G5" s="5">
        <f>site_selection!AE5/site_selection!$AE$40</f>
        <v>0</v>
      </c>
      <c r="H5" s="5">
        <f>site_selection!AK5/site_selection!$AK$40</f>
        <v>0</v>
      </c>
      <c r="I5" s="5">
        <f>site_selection!AG5/site_selection!$AG$40</f>
        <v>0</v>
      </c>
      <c r="J5" s="5">
        <f>site_selection!AF5/site_selection!$AF$40</f>
        <v>0</v>
      </c>
    </row>
    <row r="6" spans="1:19" x14ac:dyDescent="0.35">
      <c r="A6" t="str">
        <f>site_selection!C6</f>
        <v>Detour Lake</v>
      </c>
      <c r="C6" t="str">
        <f>site_selection!I6</f>
        <v>Gold</v>
      </c>
      <c r="D6" t="str">
        <f>site_selection!L6</f>
        <v>Au-Ag doré</v>
      </c>
      <c r="E6" s="5">
        <f>site_selection!N6/site_selection!$N$40</f>
        <v>0.11737624141637086</v>
      </c>
      <c r="F6" s="5">
        <f>site_selection!AD6/site_selection!$AD$40</f>
        <v>0</v>
      </c>
      <c r="G6" s="5">
        <f>site_selection!AE6/site_selection!$AE$40</f>
        <v>0</v>
      </c>
      <c r="H6" s="5">
        <f>site_selection!AK6/site_selection!$AK$40</f>
        <v>0</v>
      </c>
      <c r="I6" s="5">
        <f>site_selection!AG6/site_selection!$AG$40</f>
        <v>0</v>
      </c>
      <c r="J6" s="5">
        <f>site_selection!AF6/site_selection!$AF$40</f>
        <v>0</v>
      </c>
    </row>
    <row r="7" spans="1:19" x14ac:dyDescent="0.35">
      <c r="A7" t="str">
        <f>site_selection!C7</f>
        <v>Eagle River</v>
      </c>
      <c r="C7" t="str">
        <f>site_selection!I7</f>
        <v>Gold</v>
      </c>
      <c r="D7" t="str">
        <f>site_selection!L7</f>
        <v>Au-Ag doré</v>
      </c>
      <c r="E7" s="5">
        <f>site_selection!N7/site_selection!$N$40</f>
        <v>1.3572082750078275E-2</v>
      </c>
      <c r="F7" s="5">
        <f>site_selection!AD7/site_selection!$AD$40</f>
        <v>0</v>
      </c>
      <c r="G7" s="5">
        <f>site_selection!AE7/site_selection!$AE$40</f>
        <v>0</v>
      </c>
      <c r="H7" s="5">
        <f>site_selection!AK7/site_selection!$AK$40</f>
        <v>0</v>
      </c>
      <c r="I7" s="5">
        <f>site_selection!AG7/site_selection!$AG$40</f>
        <v>0</v>
      </c>
      <c r="J7" s="5">
        <f>site_selection!AF7/site_selection!$AF$40</f>
        <v>0</v>
      </c>
    </row>
    <row r="8" spans="1:19" x14ac:dyDescent="0.35">
      <c r="A8" t="str">
        <f>site_selection!C8</f>
        <v>Éléonore</v>
      </c>
      <c r="C8" t="str">
        <f>site_selection!I8</f>
        <v>Gold, silver</v>
      </c>
      <c r="D8" t="str">
        <f>site_selection!L8</f>
        <v>Au-Ag doré</v>
      </c>
      <c r="E8" s="5">
        <f>site_selection!N8/site_selection!$N$40</f>
        <v>3.7835398463024174E-2</v>
      </c>
      <c r="F8" s="5">
        <f>site_selection!AD8/site_selection!$AD$40</f>
        <v>0</v>
      </c>
      <c r="G8" s="5">
        <f>site_selection!AE8/site_selection!$AE$40</f>
        <v>0</v>
      </c>
      <c r="H8" s="5">
        <f>site_selection!AK8/site_selection!$AK$40</f>
        <v>0</v>
      </c>
      <c r="I8" s="5">
        <f>site_selection!AG8/site_selection!$AG$40</f>
        <v>0</v>
      </c>
      <c r="J8" s="5">
        <f>site_selection!AF8/site_selection!$AF$40</f>
        <v>0</v>
      </c>
    </row>
    <row r="9" spans="1:19" x14ac:dyDescent="0.35">
      <c r="A9" t="str">
        <f>site_selection!C9</f>
        <v>Gibraltar</v>
      </c>
      <c r="C9" t="str">
        <f>site_selection!I9</f>
        <v>Copper, molybdenum, silver</v>
      </c>
      <c r="D9" t="str">
        <f>site_selection!L9</f>
        <v>Cu and Mo conc.</v>
      </c>
      <c r="E9" s="5">
        <f>site_selection!N9/site_selection!$N$40</f>
        <v>0</v>
      </c>
      <c r="F9" s="5">
        <f>site_selection!AD9/site_selection!$AD$40</f>
        <v>0.20027847898605389</v>
      </c>
      <c r="G9" s="5">
        <f>site_selection!AE9/site_selection!$AE$40</f>
        <v>0</v>
      </c>
      <c r="H9" s="5">
        <f>site_selection!AK9/site_selection!$AK$40</f>
        <v>0</v>
      </c>
      <c r="I9" s="5">
        <f>site_selection!AG9/site_selection!$AG$40</f>
        <v>0</v>
      </c>
      <c r="J9" s="5">
        <f>site_selection!AF9/site_selection!$AF$40</f>
        <v>0.37725640072201061</v>
      </c>
    </row>
    <row r="10" spans="1:19" x14ac:dyDescent="0.35">
      <c r="A10" t="str">
        <f>site_selection!C10</f>
        <v>Goldex</v>
      </c>
      <c r="C10" t="str">
        <f>site_selection!I10</f>
        <v>Gold, silver</v>
      </c>
      <c r="D10" t="str">
        <f>site_selection!L10</f>
        <v>Au-Ag doré, Cu conc.</v>
      </c>
      <c r="E10" s="5">
        <f>site_selection!N10/site_selection!$N$40</f>
        <v>2.1875988282066609E-2</v>
      </c>
      <c r="F10" s="5">
        <f>site_selection!AD10/site_selection!$AD$40</f>
        <v>1.4058926821320202E-4</v>
      </c>
      <c r="G10" s="5">
        <f>site_selection!AE10/site_selection!$AE$40</f>
        <v>0</v>
      </c>
      <c r="H10" s="5">
        <f>site_selection!AK10/site_selection!$AK$40</f>
        <v>0</v>
      </c>
      <c r="I10" s="5">
        <f>site_selection!AG10/site_selection!$AG$40</f>
        <v>0</v>
      </c>
      <c r="J10" s="5">
        <f>site_selection!AF10/site_selection!$AF$40</f>
        <v>0</v>
      </c>
    </row>
    <row r="11" spans="1:19" x14ac:dyDescent="0.35">
      <c r="A11" t="str">
        <f>site_selection!C11</f>
        <v>Hemlo (Williams)</v>
      </c>
      <c r="C11" t="str">
        <f>site_selection!I11</f>
        <v>Gold</v>
      </c>
      <c r="D11" t="str">
        <f>site_selection!L11</f>
        <v>Au-Ag doré</v>
      </c>
      <c r="E11" s="5">
        <f>site_selection!N11/site_selection!$N$40</f>
        <v>2.1885675871869278E-2</v>
      </c>
      <c r="F11" s="5">
        <f>site_selection!AD11/site_selection!$AD$40</f>
        <v>0</v>
      </c>
      <c r="G11" s="5">
        <f>site_selection!AE11/site_selection!$AE$40</f>
        <v>0</v>
      </c>
      <c r="H11" s="5">
        <f>site_selection!AK11/site_selection!$AK$40</f>
        <v>0</v>
      </c>
      <c r="I11" s="5">
        <f>site_selection!AG11/site_selection!$AG$40</f>
        <v>0</v>
      </c>
      <c r="J11" s="5">
        <f>site_selection!AF11/site_selection!$AF$40</f>
        <v>0</v>
      </c>
    </row>
    <row r="12" spans="1:19" x14ac:dyDescent="0.35">
      <c r="A12" t="str">
        <f>site_selection!C12</f>
        <v>Highland Valley</v>
      </c>
      <c r="C12" t="str">
        <f>site_selection!I12</f>
        <v>Copper, silver, molybdenum</v>
      </c>
      <c r="D12" t="str">
        <f>site_selection!L12</f>
        <v>Cu and Mo conc.</v>
      </c>
      <c r="E12" s="5">
        <f>site_selection!N12/site_selection!$N$40</f>
        <v>0</v>
      </c>
      <c r="F12" s="5">
        <f>site_selection!AD12/site_selection!$AD$40</f>
        <v>0.36878936168397713</v>
      </c>
      <c r="G12" s="5">
        <f>site_selection!AE12/site_selection!$AE$40</f>
        <v>0</v>
      </c>
      <c r="H12" s="5">
        <f>site_selection!AK12/site_selection!$AK$40</f>
        <v>0</v>
      </c>
      <c r="I12" s="5">
        <f>site_selection!AG12/site_selection!$AG$40</f>
        <v>0</v>
      </c>
      <c r="J12" s="5">
        <f>site_selection!AF12/site_selection!$AF$40</f>
        <v>0.6227435992779895</v>
      </c>
    </row>
    <row r="13" spans="1:19" x14ac:dyDescent="0.35">
      <c r="A13" t="str">
        <f>site_selection!C13</f>
        <v>Island</v>
      </c>
      <c r="C13" t="str">
        <f>site_selection!I13</f>
        <v>Gold</v>
      </c>
      <c r="D13" t="str">
        <f>site_selection!L13</f>
        <v>Au-Ag doré</v>
      </c>
      <c r="E13" s="5">
        <f>site_selection!N13/site_selection!$N$40</f>
        <v>2.0389080148630747E-2</v>
      </c>
      <c r="F13" s="5">
        <f>site_selection!AD13/site_selection!$AD$40</f>
        <v>0</v>
      </c>
      <c r="G13" s="5">
        <f>site_selection!AE13/site_selection!$AE$40</f>
        <v>0</v>
      </c>
      <c r="H13" s="5">
        <f>site_selection!AK13/site_selection!$AK$40</f>
        <v>0</v>
      </c>
      <c r="I13" s="5">
        <f>site_selection!AG13/site_selection!$AG$40</f>
        <v>0</v>
      </c>
      <c r="J13" s="5">
        <f>site_selection!AF13/site_selection!$AF$40</f>
        <v>0</v>
      </c>
    </row>
    <row r="14" spans="1:19" x14ac:dyDescent="0.35">
      <c r="A14" t="str">
        <f>site_selection!C14</f>
        <v>Kidd Creek</v>
      </c>
      <c r="C14" t="str">
        <f>site_selection!I14</f>
        <v>Copper, zinc, silver, selenium, indium</v>
      </c>
      <c r="D14" t="str">
        <f>site_selection!L14</f>
        <v>Cu and Zn conc.</v>
      </c>
      <c r="E14" s="5">
        <f>site_selection!N14/site_selection!$N$40</f>
        <v>0</v>
      </c>
      <c r="F14" s="5">
        <f>site_selection!AD14/site_selection!$AD$40</f>
        <v>8.1392964590409025E-2</v>
      </c>
      <c r="G14" s="5">
        <f>site_selection!AE14/site_selection!$AE$40</f>
        <v>0</v>
      </c>
      <c r="H14" s="5">
        <f>site_selection!AK14/site_selection!$AK$40</f>
        <v>0</v>
      </c>
      <c r="I14" s="5">
        <f>site_selection!AG14/site_selection!$AG$40</f>
        <v>0.4768703163206599</v>
      </c>
      <c r="J14" s="5">
        <f>site_selection!AF14/site_selection!$AF$40</f>
        <v>0</v>
      </c>
    </row>
    <row r="15" spans="1:19" x14ac:dyDescent="0.35">
      <c r="A15" t="str">
        <f>site_selection!C15</f>
        <v>Kiena</v>
      </c>
      <c r="C15" t="str">
        <f>site_selection!I15</f>
        <v>Gold, silver</v>
      </c>
      <c r="D15" t="str">
        <f>site_selection!L15</f>
        <v>Au-Ag doré</v>
      </c>
      <c r="E15" s="5">
        <f>site_selection!N15/site_selection!$N$40</f>
        <v>5.9654352078699303E-3</v>
      </c>
      <c r="F15" s="5">
        <f>site_selection!AD15/site_selection!$AD$40</f>
        <v>0</v>
      </c>
      <c r="G15" s="5">
        <f>site_selection!AE15/site_selection!$AE$40</f>
        <v>0</v>
      </c>
      <c r="H15" s="5">
        <f>site_selection!AK15/site_selection!$AK$40</f>
        <v>0</v>
      </c>
      <c r="I15" s="5">
        <f>site_selection!AG15/site_selection!$AG$40</f>
        <v>0</v>
      </c>
      <c r="J15" s="5">
        <f>site_selection!AF15/site_selection!$AF$40</f>
        <v>0</v>
      </c>
    </row>
    <row r="16" spans="1:19" x14ac:dyDescent="0.35">
      <c r="A16" t="str">
        <f>site_selection!C16</f>
        <v>LaRonde</v>
      </c>
      <c r="C16" t="str">
        <f>site_selection!I16</f>
        <v>Gold, zinc, copper, silver, cadmium</v>
      </c>
      <c r="D16" t="str">
        <f>site_selection!L16</f>
        <v>Au-Ag doré, Cu and Zn conc.</v>
      </c>
      <c r="E16" s="5">
        <f>site_selection!N16/site_selection!$N$40</f>
        <v>4.7926286288182088E-2</v>
      </c>
      <c r="F16" s="5">
        <f>site_selection!AD16/site_selection!$AD$40</f>
        <v>9.2844175892855107E-3</v>
      </c>
      <c r="G16" s="5">
        <f>site_selection!AE16/site_selection!$AE$40</f>
        <v>0</v>
      </c>
      <c r="H16" s="5">
        <f>site_selection!AK16/site_selection!$AK$40</f>
        <v>0</v>
      </c>
      <c r="I16" s="5">
        <f>site_selection!AG16/site_selection!$AG$40</f>
        <v>9.5157106011456591E-2</v>
      </c>
      <c r="J16" s="5">
        <f>site_selection!AF16/site_selection!$AF$40</f>
        <v>0</v>
      </c>
    </row>
    <row r="17" spans="1:10" x14ac:dyDescent="0.35">
      <c r="A17" t="str">
        <f>site_selection!C17</f>
        <v>Macassa</v>
      </c>
      <c r="C17" t="str">
        <f>site_selection!I17</f>
        <v>Gold, silver</v>
      </c>
      <c r="D17" t="str">
        <f>site_selection!L17</f>
        <v>Au-Ag doré</v>
      </c>
      <c r="E17" s="5">
        <f>site_selection!N17/site_selection!$N$40</f>
        <v>3.546132748681375E-2</v>
      </c>
      <c r="F17" s="5">
        <f>site_selection!AD17/site_selection!$AD$40</f>
        <v>0</v>
      </c>
      <c r="G17" s="5">
        <f>site_selection!AE17/site_selection!$AE$40</f>
        <v>0</v>
      </c>
      <c r="H17" s="5">
        <f>site_selection!AK17/site_selection!$AK$40</f>
        <v>0</v>
      </c>
      <c r="I17" s="5">
        <f>site_selection!AG17/site_selection!$AG$40</f>
        <v>0</v>
      </c>
      <c r="J17" s="5">
        <f>site_selection!AF17/site_selection!$AF$40</f>
        <v>0</v>
      </c>
    </row>
    <row r="18" spans="1:10" x14ac:dyDescent="0.35">
      <c r="A18" t="str">
        <f>site_selection!C18</f>
        <v>Magino</v>
      </c>
      <c r="C18" t="str">
        <f>site_selection!I18</f>
        <v>Gold, silver</v>
      </c>
      <c r="D18" t="str">
        <f>site_selection!L18</f>
        <v>Au-Ag doré</v>
      </c>
      <c r="E18" s="5">
        <f>site_selection!N18/site_selection!$N$40</f>
        <v>5.1205452428068074E-3</v>
      </c>
      <c r="F18" s="5">
        <f>site_selection!AD18/site_selection!$AD$40</f>
        <v>0</v>
      </c>
      <c r="G18" s="5">
        <f>site_selection!AE18/site_selection!$AE$40</f>
        <v>0</v>
      </c>
      <c r="H18" s="5">
        <f>site_selection!AK18/site_selection!$AK$40</f>
        <v>0</v>
      </c>
      <c r="I18" s="5">
        <f>site_selection!AG18/site_selection!$AG$40</f>
        <v>0</v>
      </c>
      <c r="J18" s="5">
        <f>site_selection!AF18/site_selection!$AF$40</f>
        <v>0</v>
      </c>
    </row>
    <row r="19" spans="1:10" x14ac:dyDescent="0.35">
      <c r="A19" t="str">
        <f>site_selection!C19</f>
        <v>Meliadine</v>
      </c>
      <c r="C19" t="str">
        <f>site_selection!I19</f>
        <v>Gold</v>
      </c>
      <c r="D19" t="str">
        <f>site_selection!L19</f>
        <v>Au-Ag doré</v>
      </c>
      <c r="E19" s="5">
        <f>site_selection!N19/site_selection!$N$40</f>
        <v>6.0692581418687316E-2</v>
      </c>
      <c r="F19" s="5">
        <f>site_selection!AD19/site_selection!$AD$40</f>
        <v>0</v>
      </c>
      <c r="G19" s="5">
        <f>site_selection!AE19/site_selection!$AE$40</f>
        <v>0</v>
      </c>
      <c r="H19" s="5">
        <f>site_selection!AK19/site_selection!$AK$40</f>
        <v>0</v>
      </c>
      <c r="I19" s="5">
        <f>site_selection!AG19/site_selection!$AG$40</f>
        <v>0</v>
      </c>
      <c r="J19" s="5">
        <f>site_selection!AF19/site_selection!$AF$40</f>
        <v>0</v>
      </c>
    </row>
    <row r="20" spans="1:10" x14ac:dyDescent="0.35">
      <c r="A20" t="str">
        <f>site_selection!C20</f>
        <v>Mount Milligan</v>
      </c>
      <c r="C20" t="str">
        <f>site_selection!I20</f>
        <v>Copper, gold, silver</v>
      </c>
      <c r="D20" t="str">
        <f>site_selection!L20</f>
        <v>Cu conc.</v>
      </c>
      <c r="E20" s="5">
        <f>site_selection!N20/site_selection!$N$40</f>
        <v>0</v>
      </c>
      <c r="F20" s="5">
        <f>site_selection!AD20/site_selection!$AD$40</f>
        <v>0.10105731865444752</v>
      </c>
      <c r="G20" s="5">
        <f>site_selection!AE20/site_selection!$AE$40</f>
        <v>0</v>
      </c>
      <c r="H20" s="5">
        <f>site_selection!AK20/site_selection!$AK$40</f>
        <v>0</v>
      </c>
      <c r="I20" s="5">
        <f>site_selection!AG20/site_selection!$AG$40</f>
        <v>0</v>
      </c>
      <c r="J20" s="5">
        <f>site_selection!AF20/site_selection!$AF$40</f>
        <v>0</v>
      </c>
    </row>
    <row r="21" spans="1:10" x14ac:dyDescent="0.35">
      <c r="A21" t="str">
        <f>site_selection!C21</f>
        <v>Mount Polley</v>
      </c>
      <c r="C21" t="str">
        <f>site_selection!I21</f>
        <v>Gold, copper, silver</v>
      </c>
      <c r="D21" t="str">
        <f>site_selection!L21</f>
        <v>Cu conc.</v>
      </c>
      <c r="E21" s="5">
        <f>site_selection!N21/site_selection!$N$40</f>
        <v>0</v>
      </c>
      <c r="F21" s="5">
        <f>site_selection!AD21/site_selection!$AD$40</f>
        <v>4.9244655375486092E-2</v>
      </c>
      <c r="G21" s="5">
        <f>site_selection!AE21/site_selection!$AE$40</f>
        <v>0</v>
      </c>
      <c r="H21" s="5">
        <f>site_selection!AK21/site_selection!$AK$40</f>
        <v>0</v>
      </c>
      <c r="I21" s="5">
        <f>site_selection!AG21/site_selection!$AG$40</f>
        <v>0</v>
      </c>
      <c r="J21" s="5">
        <f>site_selection!AF21/site_selection!$AF$40</f>
        <v>0</v>
      </c>
    </row>
    <row r="22" spans="1:10" x14ac:dyDescent="0.35">
      <c r="A22" t="str">
        <f>site_selection!C22</f>
        <v>Musselwhite</v>
      </c>
      <c r="C22" t="str">
        <f>site_selection!I22</f>
        <v>Gold, silver</v>
      </c>
      <c r="D22" t="str">
        <f>site_selection!L22</f>
        <v>Au-Ag doré</v>
      </c>
      <c r="E22" s="5">
        <f>site_selection!N22/site_selection!$N$40</f>
        <v>2.7930246778946222E-2</v>
      </c>
      <c r="F22" s="5">
        <f>site_selection!AD22/site_selection!$AD$40</f>
        <v>0</v>
      </c>
      <c r="G22" s="5">
        <f>site_selection!AE22/site_selection!$AE$40</f>
        <v>0</v>
      </c>
      <c r="H22" s="5">
        <f>site_selection!AK22/site_selection!$AK$40</f>
        <v>0</v>
      </c>
      <c r="I22" s="5">
        <f>site_selection!AG22/site_selection!$AG$40</f>
        <v>0</v>
      </c>
      <c r="J22" s="5">
        <f>site_selection!AF22/site_selection!$AF$40</f>
        <v>0</v>
      </c>
    </row>
    <row r="23" spans="1:10" x14ac:dyDescent="0.35">
      <c r="A23" t="str">
        <f>site_selection!C23</f>
        <v>New Afton</v>
      </c>
      <c r="C23" t="str">
        <f>site_selection!I23</f>
        <v>Gold, copper, silver</v>
      </c>
      <c r="D23" t="str">
        <f>site_selection!L23</f>
        <v>Cu conc.</v>
      </c>
      <c r="E23" s="5">
        <f>site_selection!N23/site_selection!$N$40</f>
        <v>0</v>
      </c>
      <c r="F23" s="5">
        <f>site_selection!AD23/site_selection!$AD$40</f>
        <v>7.7432299379599959E-2</v>
      </c>
      <c r="G23" s="5">
        <f>site_selection!AE23/site_selection!$AE$40</f>
        <v>0</v>
      </c>
      <c r="H23" s="5">
        <f>site_selection!AK23/site_selection!$AK$40</f>
        <v>0</v>
      </c>
      <c r="I23" s="5">
        <f>site_selection!AG23/site_selection!$AG$40</f>
        <v>0</v>
      </c>
      <c r="J23" s="5">
        <f>site_selection!AF23/site_selection!$AF$40</f>
        <v>0</v>
      </c>
    </row>
    <row r="24" spans="1:10" x14ac:dyDescent="0.35">
      <c r="A24" t="str">
        <f>site_selection!C24</f>
        <v>Nunavik Nickel</v>
      </c>
      <c r="C24" t="str">
        <f>site_selection!I24</f>
        <v>Nickel, copper, platinum group metals, cobalt</v>
      </c>
      <c r="D24" t="str">
        <f>site_selection!L24</f>
        <v>Ni-Cu bulk conc.</v>
      </c>
      <c r="E24" s="5">
        <f>site_selection!N24/site_selection!$N$40</f>
        <v>0</v>
      </c>
      <c r="F24" s="5">
        <f>site_selection!AD24/site_selection!$AD$40</f>
        <v>0</v>
      </c>
      <c r="G24" s="5">
        <f>site_selection!AE24/site_selection!$AE$40</f>
        <v>0.56009717348552035</v>
      </c>
      <c r="H24" s="5">
        <f>site_selection!AK24/site_selection!$AK$40</f>
        <v>0</v>
      </c>
      <c r="I24" s="5">
        <f>site_selection!AG24/site_selection!$AG$40</f>
        <v>0</v>
      </c>
      <c r="J24" s="5">
        <f>site_selection!AF24/site_selection!$AF$40</f>
        <v>0</v>
      </c>
    </row>
    <row r="25" spans="1:10" x14ac:dyDescent="0.35">
      <c r="A25" t="str">
        <f>site_selection!C25</f>
        <v>Raglan</v>
      </c>
      <c r="C25" t="str">
        <f>site_selection!I25</f>
        <v>Nickel, platinum group metals, copper, cobalt, gold, silver</v>
      </c>
      <c r="D25" t="str">
        <f>site_selection!L25</f>
        <v>Ni-Cu bulk conc.</v>
      </c>
      <c r="E25" s="5">
        <f>site_selection!N25/site_selection!$N$40</f>
        <v>0</v>
      </c>
      <c r="F25" s="5">
        <f>site_selection!AD25/site_selection!$AD$40</f>
        <v>0</v>
      </c>
      <c r="G25" s="5">
        <f>site_selection!AE25/site_selection!$AE$40</f>
        <v>0.23360197431843596</v>
      </c>
      <c r="H25" s="5">
        <f>site_selection!AK25/site_selection!$AK$40</f>
        <v>0</v>
      </c>
      <c r="I25" s="5">
        <f>site_selection!AG25/site_selection!$AG$40</f>
        <v>0</v>
      </c>
      <c r="J25" s="5">
        <f>site_selection!AF25/site_selection!$AF$40</f>
        <v>0</v>
      </c>
    </row>
    <row r="26" spans="1:10" x14ac:dyDescent="0.35">
      <c r="A26" t="str">
        <f>site_selection!C26</f>
        <v>Rainy River</v>
      </c>
      <c r="C26" t="str">
        <f>site_selection!I26</f>
        <v>Gold, silver</v>
      </c>
      <c r="D26" t="str">
        <f>site_selection!L26</f>
        <v>Au-Ag doré</v>
      </c>
      <c r="E26" s="5">
        <f>site_selection!N26/site_selection!$N$40</f>
        <v>3.9373113716242782E-2</v>
      </c>
      <c r="F26" s="5">
        <f>site_selection!AD26/site_selection!$AD$40</f>
        <v>0</v>
      </c>
      <c r="G26" s="5">
        <f>site_selection!AE26/site_selection!$AE$40</f>
        <v>0</v>
      </c>
      <c r="H26" s="5">
        <f>site_selection!AK26/site_selection!$AK$40</f>
        <v>0</v>
      </c>
      <c r="I26" s="5">
        <f>site_selection!AG26/site_selection!$AG$40</f>
        <v>0</v>
      </c>
      <c r="J26" s="5">
        <f>site_selection!AF26/site_selection!$AF$40</f>
        <v>0</v>
      </c>
    </row>
    <row r="27" spans="1:10" x14ac:dyDescent="0.35">
      <c r="A27" t="s">
        <v>283</v>
      </c>
      <c r="C27" t="str">
        <f>site_selection!I27</f>
        <v>Gold, silver</v>
      </c>
      <c r="D27" t="str">
        <f>site_selection!L27</f>
        <v>Au-Ag doré</v>
      </c>
      <c r="E27" s="5">
        <f>site_selection!N27/site_selection!$N$40</f>
        <v>1.7487437844373552E-2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</row>
    <row r="28" spans="1:10" x14ac:dyDescent="0.35">
      <c r="A28" t="str">
        <f>site_selection!C28</f>
        <v>Thompson (T-1 and T-3)</v>
      </c>
      <c r="C28" t="str">
        <f>site_selection!I28</f>
        <v>Nickel, cobalt, copper, platinum group metals, gold, silver</v>
      </c>
      <c r="D28" t="str">
        <f>site_selection!L28</f>
        <v>Ni-Cu bulk conc.</v>
      </c>
      <c r="E28" s="5">
        <f>site_selection!N28/site_selection!$N$40</f>
        <v>0</v>
      </c>
      <c r="F28" s="5">
        <f>site_selection!AD28/site_selection!$AD$40</f>
        <v>0</v>
      </c>
      <c r="G28" s="5">
        <f>site_selection!AE28/site_selection!$AE$40</f>
        <v>7.6157791231249758E-2</v>
      </c>
      <c r="H28" s="5">
        <f>site_selection!AK28/site_selection!$AK$40</f>
        <v>0</v>
      </c>
      <c r="I28" s="5">
        <f>site_selection!AG28/site_selection!$AG$40</f>
        <v>0</v>
      </c>
      <c r="J28" s="5">
        <f>site_selection!AF28/site_selection!$AF$40</f>
        <v>0</v>
      </c>
    </row>
    <row r="29" spans="1:10" x14ac:dyDescent="0.35">
      <c r="A29" t="str">
        <f>site_selection!C29</f>
        <v>Voisey’s Bay</v>
      </c>
      <c r="C29" t="str">
        <f>site_selection!I29</f>
        <v>Nickel, copper, cobalt</v>
      </c>
      <c r="D29" t="str">
        <f>site_selection!L29</f>
        <v>Ni-Cu bulk conc.</v>
      </c>
      <c r="E29" s="5">
        <f>site_selection!N29/site_selection!$N$40</f>
        <v>0</v>
      </c>
      <c r="F29" s="5">
        <f>site_selection!AD29/site_selection!$AD$40</f>
        <v>0</v>
      </c>
      <c r="G29" s="5">
        <f>site_selection!AE29/site_selection!$AE$40</f>
        <v>0.13014306096479389</v>
      </c>
      <c r="H29" s="5">
        <f>site_selection!AK29/site_selection!$AK$40</f>
        <v>0</v>
      </c>
      <c r="I29" s="5">
        <f>site_selection!AG29/site_selection!$AG$40</f>
        <v>0</v>
      </c>
      <c r="J29" s="5">
        <f>site_selection!AF29/site_selection!$AF$40</f>
        <v>0</v>
      </c>
    </row>
    <row r="30" spans="1:10" x14ac:dyDescent="0.35">
      <c r="A30" t="str">
        <f>site_selection!C30</f>
        <v>Westwood-Doyon</v>
      </c>
      <c r="C30" t="str">
        <f>site_selection!I30</f>
        <v>Gold, silver</v>
      </c>
      <c r="D30" t="str">
        <f>site_selection!L30</f>
        <v>Au-Ag doré</v>
      </c>
      <c r="E30" s="5">
        <f>site_selection!N30/site_selection!$N$40</f>
        <v>2.0133673558641044E-2</v>
      </c>
      <c r="F30" s="5">
        <f>site_selection!AD30/site_selection!$AD$40</f>
        <v>0</v>
      </c>
      <c r="G30" s="5">
        <f>site_selection!AE30/site_selection!$AE$40</f>
        <v>0</v>
      </c>
      <c r="H30" s="5">
        <f>site_selection!AK30/site_selection!$AK$40</f>
        <v>0</v>
      </c>
      <c r="I30" s="5">
        <f>site_selection!AG30/site_selection!$AG$40</f>
        <v>0</v>
      </c>
      <c r="J30" s="5">
        <f>site_selection!AF30/site_selection!$AF$40</f>
        <v>0</v>
      </c>
    </row>
    <row r="31" spans="1:10" x14ac:dyDescent="0.35">
      <c r="A31" t="str">
        <f>site_selection!C31</f>
        <v>Young-Davidson</v>
      </c>
      <c r="C31" t="str">
        <f>site_selection!I31</f>
        <v>Gold</v>
      </c>
      <c r="D31" t="str">
        <f>site_selection!L31</f>
        <v>Au-Ag doré</v>
      </c>
      <c r="E31" s="5">
        <f>site_selection!N31/site_selection!$N$40</f>
        <v>2.8721603771016315E-2</v>
      </c>
      <c r="F31" s="5">
        <f>site_selection!AD31/site_selection!$AD$40</f>
        <v>0</v>
      </c>
      <c r="G31" s="5">
        <f>site_selection!AE31/site_selection!$AE$40</f>
        <v>0</v>
      </c>
      <c r="H31" s="5">
        <f>site_selection!AK31/site_selection!$AK$40</f>
        <v>0</v>
      </c>
      <c r="I31" s="5">
        <f>site_selection!AG31/site_selection!$AG$40</f>
        <v>0</v>
      </c>
      <c r="J31" s="5">
        <f>site_selection!AF31/site_selection!$AF$40</f>
        <v>0</v>
      </c>
    </row>
    <row r="32" spans="1:10" x14ac:dyDescent="0.35">
      <c r="B32" t="str">
        <f>site_selection!D32</f>
        <v>Cigar Lake + McClean Lake</v>
      </c>
      <c r="C32" t="str">
        <f>site_selection!I32</f>
        <v>Uranium</v>
      </c>
      <c r="D32" t="str">
        <f>site_selection!L32</f>
        <v>Yellowcake</v>
      </c>
      <c r="E32" s="5">
        <f>site_selection!N32/site_selection!$N$40</f>
        <v>0</v>
      </c>
      <c r="F32" s="5">
        <f>site_selection!AD32/site_selection!$AD$40</f>
        <v>0</v>
      </c>
      <c r="G32" s="5">
        <f>site_selection!AE32/site_selection!$AE$40</f>
        <v>0</v>
      </c>
      <c r="H32" s="5">
        <f>site_selection!AK32/site_selection!$AK$40</f>
        <v>0.5714285714285714</v>
      </c>
      <c r="I32" s="5">
        <f>site_selection!AG32/site_selection!$AG$40</f>
        <v>0</v>
      </c>
      <c r="J32" s="5">
        <f>site_selection!AF32/site_selection!$AF$40</f>
        <v>0</v>
      </c>
    </row>
    <row r="33" spans="1:10" x14ac:dyDescent="0.35">
      <c r="B33" t="str">
        <f>site_selection!D33</f>
        <v>Key Lake + McArthur River</v>
      </c>
      <c r="C33" t="str">
        <f>site_selection!I33</f>
        <v>Uranium</v>
      </c>
      <c r="D33" t="str">
        <f>site_selection!L33</f>
        <v>Yellowcake</v>
      </c>
      <c r="E33" s="5">
        <f>site_selection!N33/site_selection!$N$40</f>
        <v>0</v>
      </c>
      <c r="F33" s="5">
        <f>site_selection!AD33/site_selection!$AD$40</f>
        <v>0</v>
      </c>
      <c r="G33" s="5">
        <f>site_selection!AE33/site_selection!$AE$40</f>
        <v>0</v>
      </c>
      <c r="H33" s="5">
        <f>site_selection!AK33/site_selection!$AK$40</f>
        <v>0.4285714285714286</v>
      </c>
      <c r="I33" s="5">
        <f>site_selection!AG33/site_selection!$AG$40</f>
        <v>0</v>
      </c>
      <c r="J33" s="5">
        <f>site_selection!AF33/site_selection!$AF$40</f>
        <v>0</v>
      </c>
    </row>
    <row r="34" spans="1:10" x14ac:dyDescent="0.35">
      <c r="B34" t="str">
        <f>site_selection!D34</f>
        <v>Meadowbank complex</v>
      </c>
      <c r="C34" t="str">
        <f>site_selection!I34</f>
        <v>Gold</v>
      </c>
      <c r="D34" t="str">
        <f>site_selection!L34</f>
        <v>Au-Ag doré</v>
      </c>
      <c r="E34" s="5">
        <f>site_selection!N34/site_selection!$N$40</f>
        <v>8.6376712978073894E-2</v>
      </c>
      <c r="F34" s="5">
        <f>site_selection!AD34/site_selection!$AD$40</f>
        <v>0</v>
      </c>
      <c r="G34" s="5">
        <f>site_selection!AE34/site_selection!$AE$40</f>
        <v>0</v>
      </c>
      <c r="H34" s="5">
        <f>site_selection!AK34/site_selection!$AK$40</f>
        <v>0</v>
      </c>
      <c r="I34" s="5">
        <f>site_selection!AG34/site_selection!$AG$40</f>
        <v>0</v>
      </c>
      <c r="J34" s="5">
        <f>site_selection!AF34/site_selection!$AF$40</f>
        <v>0</v>
      </c>
    </row>
    <row r="35" spans="1:10" x14ac:dyDescent="0.35">
      <c r="B35" t="str">
        <f>site_selection!D35</f>
        <v>Porcupine complex</v>
      </c>
      <c r="C35" t="str">
        <f>site_selection!I35</f>
        <v>Gold</v>
      </c>
      <c r="D35" t="str">
        <f>site_selection!L35</f>
        <v>Au-Ag doré</v>
      </c>
      <c r="E35" s="5">
        <f>site_selection!N35/site_selection!$N$40</f>
        <v>4.0343689791811209E-2</v>
      </c>
      <c r="F35" s="5">
        <f>site_selection!AD35/site_selection!$AD$40</f>
        <v>0</v>
      </c>
      <c r="G35" s="5">
        <f>site_selection!AE35/site_selection!$AE$40</f>
        <v>0</v>
      </c>
      <c r="H35" s="5">
        <f>site_selection!AK35/site_selection!$AK$40</f>
        <v>0</v>
      </c>
      <c r="I35" s="5">
        <f>site_selection!AG35/site_selection!$AG$40</f>
        <v>0</v>
      </c>
      <c r="J35" s="5">
        <f>site_selection!AF35/site_selection!$AF$40</f>
        <v>0</v>
      </c>
    </row>
    <row r="36" spans="1:10" x14ac:dyDescent="0.35">
      <c r="A36" s="11"/>
      <c r="B36" s="11" t="str">
        <f>site_selection!D36</f>
        <v>Timmins Operation</v>
      </c>
      <c r="C36" t="str">
        <f>site_selection!I36</f>
        <v>Gold</v>
      </c>
      <c r="D36" t="str">
        <f>site_selection!L36</f>
        <v>Au-Ag doré</v>
      </c>
      <c r="E36" s="5">
        <f>site_selection!N36/site_selection!$N$40</f>
        <v>2.0621832205121964E-2</v>
      </c>
      <c r="F36" s="5">
        <f>site_selection!AD36/site_selection!$AD$40</f>
        <v>0</v>
      </c>
      <c r="G36" s="5">
        <f>site_selection!AE36/site_selection!$AE$40</f>
        <v>0</v>
      </c>
      <c r="H36" s="5">
        <f>site_selection!AK36/site_selection!$AK$40</f>
        <v>0</v>
      </c>
      <c r="I36" s="5">
        <f>site_selection!AG36/site_selection!$AG$40</f>
        <v>0</v>
      </c>
      <c r="J36" s="5">
        <f>site_selection!AF36/site_selection!$AF$40</f>
        <v>0</v>
      </c>
    </row>
    <row r="37" spans="1:10" x14ac:dyDescent="0.35">
      <c r="B37" t="str">
        <f>site_selection!D37</f>
        <v>Seabee Gold Operation</v>
      </c>
      <c r="C37" t="str">
        <f>site_selection!I37</f>
        <v>Gold</v>
      </c>
      <c r="D37" t="str">
        <f>site_selection!L37</f>
        <v>Au-Ag doré</v>
      </c>
      <c r="E37" s="5">
        <f>site_selection!N37/site_selection!$N$40</f>
        <v>6.0138476356201053E-3</v>
      </c>
      <c r="F37" s="5">
        <f>site_selection!AD37/site_selection!$AD$40</f>
        <v>0</v>
      </c>
      <c r="G37" s="5">
        <f>site_selection!AE37/site_selection!$AE$40</f>
        <v>0</v>
      </c>
      <c r="H37" s="5">
        <f>site_selection!AK37/site_selection!$AK$40</f>
        <v>0</v>
      </c>
      <c r="I37" s="5">
        <f>site_selection!AG37/site_selection!$AG$40</f>
        <v>0</v>
      </c>
      <c r="J37" s="5">
        <f>site_selection!AF37/site_selection!$AF$40</f>
        <v>0</v>
      </c>
    </row>
    <row r="38" spans="1:10" x14ac:dyDescent="0.35">
      <c r="B38" t="str">
        <f>site_selection!D38</f>
        <v>Snow Lake</v>
      </c>
      <c r="C38" t="str">
        <f>site_selection!I38</f>
        <v>Gold, zinc, copper, silver</v>
      </c>
      <c r="D38" t="str">
        <f>site_selection!L38</f>
        <v>Au-Ag doré, Cu and Zn conc.</v>
      </c>
      <c r="E38" s="5">
        <f>site_selection!N38/site_selection!$N$40</f>
        <v>0.16123293558082286</v>
      </c>
      <c r="F38" s="5">
        <f>site_selection!AD38/site_selection!$AD$40</f>
        <v>4.3772127948311111E-2</v>
      </c>
      <c r="G38" s="5">
        <f>site_selection!AE38/site_selection!$AE$40</f>
        <v>0</v>
      </c>
      <c r="H38" s="5">
        <f>site_selection!AK38/site_selection!$AK$40</f>
        <v>0</v>
      </c>
      <c r="I38" s="5">
        <f>site_selection!AG38/site_selection!$AG$40</f>
        <v>0.42797257766788344</v>
      </c>
      <c r="J38" s="5">
        <f>site_selection!AF38/site_selection!$AF$40</f>
        <v>0</v>
      </c>
    </row>
    <row r="40" spans="1:10" x14ac:dyDescent="0.35">
      <c r="E40" s="29">
        <f>SUM(E2:E38)</f>
        <v>0.99999999999999967</v>
      </c>
      <c r="F40" s="29">
        <f t="shared" ref="F40:J40" si="0">SUM(F2:F38)</f>
        <v>0.99999999999999989</v>
      </c>
      <c r="G40" s="29">
        <f t="shared" si="0"/>
        <v>1</v>
      </c>
      <c r="H40" s="29">
        <f t="shared" si="0"/>
        <v>1</v>
      </c>
      <c r="I40" s="29">
        <f t="shared" si="0"/>
        <v>0.99999999999999989</v>
      </c>
      <c r="J40" s="29">
        <f t="shared" si="0"/>
        <v>1</v>
      </c>
    </row>
  </sheetData>
  <autoFilter ref="A1:S38" xr:uid="{FAA6255D-77F9-4269-B2CE-74E3D78C471C}"/>
  <conditionalFormatting sqref="E2:J3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E7A8F-47FB-4B9C-94EC-15BDC8617CF8}">
  <dimension ref="A1:G14"/>
  <sheetViews>
    <sheetView workbookViewId="0">
      <selection activeCell="G15" sqref="G15"/>
    </sheetView>
  </sheetViews>
  <sheetFormatPr baseColWidth="10" defaultRowHeight="14.5" x14ac:dyDescent="0.35"/>
  <cols>
    <col min="1" max="1" width="54.26953125" bestFit="1" customWidth="1"/>
    <col min="2" max="2" width="11.81640625" bestFit="1" customWidth="1"/>
    <col min="3" max="3" width="4.81640625" bestFit="1" customWidth="1"/>
    <col min="4" max="4" width="4.54296875" bestFit="1" customWidth="1"/>
    <col min="5" max="5" width="4.81640625" bestFit="1" customWidth="1"/>
    <col min="6" max="6" width="6.1796875" bestFit="1" customWidth="1"/>
    <col min="7" max="7" width="255.54296875" bestFit="1" customWidth="1"/>
  </cols>
  <sheetData>
    <row r="1" spans="1:7" x14ac:dyDescent="0.35">
      <c r="A1" s="1" t="s">
        <v>172</v>
      </c>
      <c r="B1" s="1" t="s">
        <v>268</v>
      </c>
      <c r="C1" s="1" t="s">
        <v>269</v>
      </c>
      <c r="D1" s="1" t="s">
        <v>270</v>
      </c>
      <c r="E1" s="1" t="s">
        <v>271</v>
      </c>
      <c r="F1" s="1" t="s">
        <v>272</v>
      </c>
      <c r="G1" s="1" t="s">
        <v>174</v>
      </c>
    </row>
    <row r="2" spans="1:7" x14ac:dyDescent="0.35">
      <c r="A2" s="14" t="s">
        <v>54</v>
      </c>
      <c r="B2" s="14" t="s">
        <v>273</v>
      </c>
      <c r="C2" s="14" t="s">
        <v>274</v>
      </c>
      <c r="D2" s="14">
        <v>80</v>
      </c>
      <c r="E2" s="14">
        <v>95</v>
      </c>
      <c r="F2" s="15">
        <v>88</v>
      </c>
    </row>
    <row r="3" spans="1:7" x14ac:dyDescent="0.35">
      <c r="A3" s="14" t="s">
        <v>188</v>
      </c>
      <c r="B3" s="14" t="s">
        <v>273</v>
      </c>
      <c r="C3" s="14" t="s">
        <v>274</v>
      </c>
      <c r="D3" s="14">
        <v>5</v>
      </c>
      <c r="E3" s="14">
        <v>15</v>
      </c>
      <c r="F3" s="15">
        <v>10</v>
      </c>
    </row>
    <row r="4" spans="1:7" x14ac:dyDescent="0.35">
      <c r="A4" s="14" t="s">
        <v>0</v>
      </c>
      <c r="B4" s="14" t="s">
        <v>275</v>
      </c>
      <c r="C4" s="14" t="s">
        <v>274</v>
      </c>
      <c r="D4" s="14">
        <v>20</v>
      </c>
      <c r="E4" s="14">
        <v>40</v>
      </c>
      <c r="F4" s="15">
        <v>30</v>
      </c>
      <c r="G4" s="16" t="s">
        <v>276</v>
      </c>
    </row>
    <row r="5" spans="1:7" x14ac:dyDescent="0.35">
      <c r="A5" t="s">
        <v>3</v>
      </c>
      <c r="B5" t="s">
        <v>275</v>
      </c>
      <c r="C5" s="14" t="s">
        <v>274</v>
      </c>
      <c r="D5" s="14">
        <v>50</v>
      </c>
      <c r="E5" s="14">
        <v>52</v>
      </c>
      <c r="F5" s="15">
        <v>51</v>
      </c>
      <c r="G5" t="s">
        <v>277</v>
      </c>
    </row>
    <row r="6" spans="1:7" x14ac:dyDescent="0.35">
      <c r="A6" s="14" t="s">
        <v>2</v>
      </c>
      <c r="B6" s="14" t="s">
        <v>275</v>
      </c>
      <c r="C6" s="14" t="s">
        <v>274</v>
      </c>
      <c r="D6">
        <v>10</v>
      </c>
      <c r="E6">
        <v>20</v>
      </c>
      <c r="F6" s="15">
        <v>16</v>
      </c>
      <c r="G6" t="s">
        <v>278</v>
      </c>
    </row>
    <row r="7" spans="1:7" x14ac:dyDescent="0.35">
      <c r="A7" s="14" t="s">
        <v>182</v>
      </c>
      <c r="B7" s="14" t="s">
        <v>275</v>
      </c>
      <c r="C7" t="s">
        <v>274</v>
      </c>
      <c r="D7">
        <v>50</v>
      </c>
      <c r="E7">
        <v>70</v>
      </c>
      <c r="F7" s="15">
        <v>60</v>
      </c>
    </row>
    <row r="8" spans="1:7" x14ac:dyDescent="0.35">
      <c r="A8" s="14" t="s">
        <v>4</v>
      </c>
      <c r="B8" s="14" t="s">
        <v>275</v>
      </c>
      <c r="C8" t="s">
        <v>274</v>
      </c>
      <c r="D8">
        <v>45</v>
      </c>
      <c r="E8">
        <v>55</v>
      </c>
      <c r="F8" s="15">
        <v>50</v>
      </c>
    </row>
    <row r="9" spans="1:7" x14ac:dyDescent="0.35">
      <c r="A9" t="s">
        <v>5</v>
      </c>
      <c r="B9" t="s">
        <v>275</v>
      </c>
      <c r="C9" t="s">
        <v>274</v>
      </c>
      <c r="F9" s="2">
        <v>85</v>
      </c>
      <c r="G9" t="s">
        <v>279</v>
      </c>
    </row>
    <row r="13" spans="1:7" x14ac:dyDescent="0.35">
      <c r="A13" t="s">
        <v>280</v>
      </c>
    </row>
    <row r="14" spans="1:7" x14ac:dyDescent="0.35">
      <c r="A14" t="s">
        <v>281</v>
      </c>
    </row>
  </sheetData>
  <autoFilter ref="A1:G1" xr:uid="{44BE7A8F-47FB-4B9C-94EC-15BDC8617CF8}"/>
  <hyperlinks>
    <hyperlink ref="G4" r:id="rId1" location=":~:text=The%20concentrates%20from%20primary%20sulfides,concentrations%20of%20up%20to%2040; " display="https://internationalcopper.org/wp-content/uploads/2021/11/copper-concentrates-2014.pdf#:~:text=The%20concentrates%20from%20primary%20sulfides,concentrations%20of%20up%20to%2040; " xr:uid="{58A7A00D-7B35-421D-B671-8CAD7717F9C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5684C-05D3-4E6D-AF51-2A5AC845A568}">
  <dimension ref="A1:D14"/>
  <sheetViews>
    <sheetView topLeftCell="B1" workbookViewId="0">
      <selection activeCell="C10" sqref="C10"/>
    </sheetView>
  </sheetViews>
  <sheetFormatPr baseColWidth="10" defaultRowHeight="14.5" x14ac:dyDescent="0.35"/>
  <cols>
    <col min="1" max="1" width="150.1796875" bestFit="1" customWidth="1"/>
    <col min="2" max="2" width="13.54296875" bestFit="1" customWidth="1"/>
    <col min="3" max="3" width="16.1796875" bestFit="1" customWidth="1"/>
    <col min="4" max="4" width="29.1796875" bestFit="1" customWidth="1"/>
  </cols>
  <sheetData>
    <row r="1" spans="1:4" x14ac:dyDescent="0.35">
      <c r="A1" s="1" t="s">
        <v>286</v>
      </c>
      <c r="B1" s="1" t="s">
        <v>172</v>
      </c>
      <c r="C1" s="1" t="s">
        <v>173</v>
      </c>
      <c r="D1" s="1" t="s">
        <v>174</v>
      </c>
    </row>
    <row r="2" spans="1:4" x14ac:dyDescent="0.35">
      <c r="A2" t="s">
        <v>175</v>
      </c>
      <c r="B2" t="s">
        <v>176</v>
      </c>
      <c r="C2">
        <v>9.3391084359322303</v>
      </c>
      <c r="D2" t="s">
        <v>177</v>
      </c>
    </row>
    <row r="3" spans="1:4" x14ac:dyDescent="0.35">
      <c r="A3" t="s">
        <v>178</v>
      </c>
      <c r="B3" t="s">
        <v>0</v>
      </c>
      <c r="C3">
        <v>6.9</v>
      </c>
      <c r="D3" t="s">
        <v>177</v>
      </c>
    </row>
    <row r="4" spans="1:4" x14ac:dyDescent="0.35">
      <c r="A4" t="s">
        <v>179</v>
      </c>
      <c r="B4" t="s">
        <v>54</v>
      </c>
      <c r="C4">
        <v>51793.135000000002</v>
      </c>
      <c r="D4" t="s">
        <v>177</v>
      </c>
    </row>
    <row r="5" spans="1:4" x14ac:dyDescent="0.35">
      <c r="A5" t="s">
        <v>180</v>
      </c>
      <c r="B5" t="s">
        <v>47</v>
      </c>
      <c r="C5">
        <v>15.31</v>
      </c>
      <c r="D5" t="s">
        <v>177</v>
      </c>
    </row>
    <row r="6" spans="1:4" x14ac:dyDescent="0.35">
      <c r="A6" t="s">
        <v>181</v>
      </c>
      <c r="B6" t="s">
        <v>182</v>
      </c>
      <c r="C6">
        <v>2.0625835737454548</v>
      </c>
      <c r="D6" t="s">
        <v>177</v>
      </c>
    </row>
    <row r="7" spans="1:4" x14ac:dyDescent="0.35">
      <c r="A7" t="s">
        <v>183</v>
      </c>
      <c r="B7" t="s">
        <v>3</v>
      </c>
      <c r="C7">
        <v>29.24</v>
      </c>
      <c r="D7" t="s">
        <v>177</v>
      </c>
    </row>
    <row r="8" spans="1:4" x14ac:dyDescent="0.35">
      <c r="A8" t="s">
        <v>184</v>
      </c>
      <c r="B8" t="s">
        <v>2</v>
      </c>
      <c r="C8">
        <v>15.59</v>
      </c>
      <c r="D8" t="s">
        <v>177</v>
      </c>
    </row>
    <row r="9" spans="1:4" x14ac:dyDescent="0.35">
      <c r="B9" t="s">
        <v>109</v>
      </c>
      <c r="C9">
        <f>72449*0.71</f>
        <v>51438.79</v>
      </c>
      <c r="D9" t="s">
        <v>185</v>
      </c>
    </row>
    <row r="10" spans="1:4" x14ac:dyDescent="0.35">
      <c r="B10" t="s">
        <v>186</v>
      </c>
      <c r="C10">
        <f>72449*0.71</f>
        <v>51438.79</v>
      </c>
      <c r="D10" t="s">
        <v>185</v>
      </c>
    </row>
    <row r="11" spans="1:4" x14ac:dyDescent="0.35">
      <c r="A11" t="s">
        <v>187</v>
      </c>
      <c r="B11" t="s">
        <v>188</v>
      </c>
      <c r="C11">
        <v>672.13</v>
      </c>
      <c r="D11" t="s">
        <v>177</v>
      </c>
    </row>
    <row r="12" spans="1:4" x14ac:dyDescent="0.35">
      <c r="B12" t="s">
        <v>5</v>
      </c>
      <c r="C12">
        <v>0.17169999999999999</v>
      </c>
      <c r="D12" t="s">
        <v>185</v>
      </c>
    </row>
    <row r="13" spans="1:4" x14ac:dyDescent="0.35">
      <c r="A13" t="s">
        <v>189</v>
      </c>
      <c r="B13" t="s">
        <v>4</v>
      </c>
      <c r="C13">
        <v>2.5793145391818189</v>
      </c>
      <c r="D13" t="s">
        <v>177</v>
      </c>
    </row>
    <row r="14" spans="1:4" x14ac:dyDescent="0.35">
      <c r="A14" t="s">
        <v>190</v>
      </c>
      <c r="B14" t="s">
        <v>191</v>
      </c>
      <c r="C14">
        <v>78.78</v>
      </c>
      <c r="D14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README</vt:lpstr>
      <vt:lpstr>site_selection</vt:lpstr>
      <vt:lpstr>market_shares</vt:lpstr>
      <vt:lpstr>market_shares_calc</vt:lpstr>
      <vt:lpstr>concentrate_grade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2025-12-17T08:57:57Z</dcterms:created>
  <dcterms:modified xsi:type="dcterms:W3CDTF">2026-05-07T07:15:41Z</dcterms:modified>
</cp:coreProperties>
</file>