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"/>
    </mc:Choice>
  </mc:AlternateContent>
  <xr:revisionPtr revIDLastSave="0" documentId="8_{5CF295EF-864B-4BC6-B671-2E10B2B25C34}" xr6:coauthVersionLast="47" xr6:coauthVersionMax="47" xr10:uidLastSave="{00000000-0000-0000-0000-000000000000}"/>
  <bookViews>
    <workbookView xWindow="-108" yWindow="-108" windowWidth="23256" windowHeight="12456" activeTab="3" xr2:uid="{F00F310B-3E1F-2D48-8B4C-CC07FB8CE2AE}"/>
  </bookViews>
  <sheets>
    <sheet name="CoverSheet" sheetId="7" r:id="rId1"/>
    <sheet name="Definitions" sheetId="3" r:id="rId2"/>
    <sheet name="heatmap" sheetId="6" r:id="rId3"/>
    <sheet name="input&amp;output of each metho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6" l="1"/>
  <c r="N17" i="6"/>
  <c r="M17" i="6"/>
  <c r="L17" i="6"/>
  <c r="K17" i="6"/>
  <c r="J17" i="6"/>
  <c r="I17" i="6"/>
  <c r="O16" i="6"/>
  <c r="N16" i="6"/>
  <c r="M16" i="6"/>
  <c r="L16" i="6"/>
  <c r="K16" i="6"/>
  <c r="J16" i="6"/>
  <c r="I16" i="6"/>
  <c r="O14" i="6"/>
  <c r="N14" i="6"/>
  <c r="M14" i="6"/>
  <c r="L14" i="6"/>
  <c r="K14" i="6"/>
  <c r="J14" i="6"/>
  <c r="I14" i="6"/>
  <c r="O13" i="6"/>
  <c r="N13" i="6"/>
  <c r="M13" i="6"/>
  <c r="L13" i="6"/>
  <c r="K13" i="6"/>
  <c r="J13" i="6"/>
  <c r="O12" i="6"/>
  <c r="N12" i="6"/>
  <c r="M12" i="6"/>
  <c r="L12" i="6"/>
  <c r="K12" i="6"/>
  <c r="J12" i="6"/>
  <c r="I12" i="6"/>
  <c r="O10" i="6"/>
  <c r="N10" i="6"/>
  <c r="M10" i="6"/>
  <c r="L10" i="6"/>
  <c r="K10" i="6"/>
  <c r="J10" i="6"/>
  <c r="I10" i="6"/>
  <c r="O9" i="6"/>
  <c r="N9" i="6"/>
  <c r="M9" i="6"/>
  <c r="L9" i="6"/>
  <c r="K9" i="6"/>
  <c r="J9" i="6"/>
  <c r="I9" i="6"/>
  <c r="O8" i="6"/>
  <c r="N8" i="6"/>
  <c r="M8" i="6"/>
  <c r="L8" i="6"/>
  <c r="K8" i="6"/>
  <c r="J8" i="6"/>
  <c r="I8" i="6"/>
  <c r="O7" i="6"/>
  <c r="N7" i="6"/>
  <c r="M7" i="6"/>
  <c r="L7" i="6"/>
  <c r="K7" i="6"/>
  <c r="J7" i="6"/>
  <c r="I7" i="6"/>
  <c r="O6" i="6"/>
  <c r="N6" i="6"/>
  <c r="M6" i="6"/>
  <c r="L6" i="6"/>
  <c r="K6" i="6"/>
  <c r="J6" i="6"/>
  <c r="I6" i="6"/>
  <c r="O5" i="6"/>
  <c r="N5" i="6"/>
  <c r="M5" i="6"/>
  <c r="L5" i="6"/>
  <c r="K5" i="6"/>
  <c r="J5" i="6"/>
  <c r="I5" i="6"/>
  <c r="O4" i="6"/>
  <c r="N4" i="6"/>
  <c r="M4" i="6"/>
  <c r="L4" i="6"/>
  <c r="K4" i="6"/>
  <c r="J4" i="6"/>
  <c r="I4" i="6"/>
  <c r="O2" i="6"/>
  <c r="N2" i="6"/>
  <c r="M2" i="6"/>
  <c r="L2" i="6"/>
  <c r="K2" i="6"/>
  <c r="J2" i="6"/>
  <c r="I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Tu, Qingshi</author>
  </authors>
  <commentList>
    <comment ref="C4" authorId="0" shapeId="0" xr:uid="{671AC8BB-7F67-408E-A616-6C72528DED11}">
      <text>
        <r>
          <rPr>
            <b/>
            <sz val="9"/>
            <color indexed="81"/>
            <rFont val="Tahoma"/>
            <family val="2"/>
          </rPr>
          <t>Tu, Qingshi:</t>
        </r>
        <r>
          <rPr>
            <sz val="9"/>
            <color indexed="81"/>
            <rFont val="Tahoma"/>
            <family val="2"/>
          </rPr>
          <t xml:space="preserve">
The authors refers to "kg CO2-eq" as LCI, which is not accurate...</t>
        </r>
      </text>
    </comment>
  </commentList>
</comments>
</file>

<file path=xl/sharedStrings.xml><?xml version="1.0" encoding="utf-8"?>
<sst xmlns="http://schemas.openxmlformats.org/spreadsheetml/2006/main" count="143" uniqueCount="102">
  <si>
    <t>Post-treatment requirement</t>
  </si>
  <si>
    <t>Data-driven</t>
  </si>
  <si>
    <t>Extreme gradient boosting (XGBoost)</t>
  </si>
  <si>
    <t>Artificial neural network</t>
  </si>
  <si>
    <t>Probability density functions</t>
  </si>
  <si>
    <t>Classification trees</t>
  </si>
  <si>
    <t>Data mining</t>
  </si>
  <si>
    <t>Mechanistic</t>
  </si>
  <si>
    <t>Process simulation</t>
  </si>
  <si>
    <t>Theoretical method</t>
  </si>
  <si>
    <t xml:space="preserve">Lineage and Process ontologies  </t>
  </si>
  <si>
    <t>Future inventory data</t>
  </si>
  <si>
    <t>Learning curve</t>
  </si>
  <si>
    <t>Domain knowledge requirement (User)</t>
  </si>
  <si>
    <t>Domain knowledge requirement (Developer)</t>
  </si>
  <si>
    <t>Low</t>
  </si>
  <si>
    <t>Medium</t>
  </si>
  <si>
    <t>High</t>
  </si>
  <si>
    <t>value</t>
  </si>
  <si>
    <t>Output can be used directly for inventory modeling</t>
  </si>
  <si>
    <t>Output needs to be further processed by another method before being used for inventory modeling</t>
  </si>
  <si>
    <t>Challenge in assessing data quality uncertainty</t>
  </si>
  <si>
    <t>Challenge in automation</t>
  </si>
  <si>
    <t>Minimal/no user input during setup or execution</t>
  </si>
  <si>
    <t>Manual setup and/or execution</t>
  </si>
  <si>
    <t>Semi-automatic setup and/or execution</t>
  </si>
  <si>
    <t xml:space="preserve">Both subject-specific knowledge AND method-specific knowledge are required
*e.g., creating an ANN model to predict the yield of a chemical reaction based on operational conditions 
</t>
  </si>
  <si>
    <t>Challenge in generalizability</t>
  </si>
  <si>
    <t>Information for assessing data quality uncertainty of the resulting data can be used as-is
*e.g., pedigree matrix of a selected proxy</t>
  </si>
  <si>
    <t>Hou et al. 2018</t>
  </si>
  <si>
    <t>Zhao et al. 2021</t>
  </si>
  <si>
    <t>Meron et al. 2020</t>
  </si>
  <si>
    <t>Input Data</t>
  </si>
  <si>
    <t>Output</t>
  </si>
  <si>
    <t>Issue addressed</t>
  </si>
  <si>
    <t>Proxy selection</t>
  </si>
  <si>
    <t>New data creation</t>
  </si>
  <si>
    <t>- a LCA databae (e.g., ecoinvent)
- a unit process with missing flow data of interest</t>
  </si>
  <si>
    <t>a unit process with new flow data</t>
  </si>
  <si>
    <t>- encoded pool of unit processes/inventory data (e.g., kg CO2 emission)
- encoded process of interest</t>
  </si>
  <si>
    <t>a proxy unit process/inventory data from the pool</t>
  </si>
  <si>
    <t>Pereira et al. 2018</t>
  </si>
  <si>
    <t>Liao et al. 2020</t>
  </si>
  <si>
    <t>data points for variable of interest</t>
  </si>
  <si>
    <t>- an array of input variables (e.g., experimental conditions) and a target variable (e.g., product yield)
- a dataset for training
- an ANN architecture</t>
  </si>
  <si>
    <t>a PDF of the values for the variable of interest</t>
  </si>
  <si>
    <t>a range of the values for the variable of interest</t>
  </si>
  <si>
    <t>Meyer et al. 2020</t>
  </si>
  <si>
    <t>- databases of industrial processes and reported emissions
- a process of interest</t>
  </si>
  <si>
    <t>elementary flows from the process of interest</t>
  </si>
  <si>
    <t>- knowledge of the process</t>
  </si>
  <si>
    <t>material and energy data from process simulation</t>
  </si>
  <si>
    <t>- ontology model architecture
- subject-specific knowledge (e.g., process input/output, operation conditions)</t>
  </si>
  <si>
    <t>NA</t>
  </si>
  <si>
    <t>&lt;- not addressing LCI modeling directly</t>
  </si>
  <si>
    <t>what process (e.g., detailed steps involved in caprolactam synthesis) to model</t>
  </si>
  <si>
    <t>flow data of interest</t>
  </si>
  <si>
    <t>a unit process with new flow data (e.g., grid mix in 2050)</t>
  </si>
  <si>
    <t>Alternation based on scenario model results</t>
  </si>
  <si>
    <t>Beltran et al. 2020; Pehl et al. 2017; Gibon et al. 2015</t>
  </si>
  <si>
    <t>- IAM or other scenario model results
- a database of interest</t>
  </si>
  <si>
    <t>Similarity-based model for proxy selection</t>
  </si>
  <si>
    <t>Similarity-based model for data creation</t>
  </si>
  <si>
    <t>Approach
(Methods)</t>
  </si>
  <si>
    <t>Output needs to be further modified
* e.g., proxy unit process seleted, then foreground electricity provider needs to be manually changed</t>
  </si>
  <si>
    <t>Information for assessing data quality uncertainty is not available
*e.g., data created by weighted average of selected data points</t>
  </si>
  <si>
    <t>Applicable to a wide range of databases (if applicable) AND subjects</t>
  </si>
  <si>
    <t>Applicable to a wide range of databases  (if applicable) OR subjects</t>
  </si>
  <si>
    <t>Only applicable to a specific database  (if applicable) or subject</t>
  </si>
  <si>
    <t>&lt;- similarity-based, rely on flows from other unit processes (i.e., use both trained model and the entire database)</t>
  </si>
  <si>
    <t>&lt;- prediction based on flows within the unit process (i.e., using trained model but not the entire database)</t>
  </si>
  <si>
    <t>An ANN model for predicting the value of the target variable</t>
  </si>
  <si>
    <t>Subject-specific knowledge only
*e.g., choose from pre-set/default configurations, based on the understanding of the problem, when applying the method
OR method-specific knowledge only
*e.g., how to train a XGBoost model</t>
  </si>
  <si>
    <t>Subject-specific knowledge only
*e.g., understand the stoichiometry of the reaction for chemical synthesis
OR method-specific knowledge only
*e.g., how to train a XGBoost model</t>
  </si>
  <si>
    <r>
      <t xml:space="preserve">Subject-specific knowledge AND 
knowledge needed to </t>
    </r>
    <r>
      <rPr>
        <u/>
        <sz val="12"/>
        <color theme="1"/>
        <rFont val="Calibri"/>
        <family val="2"/>
        <scheme val="minor"/>
      </rPr>
      <t>customize</t>
    </r>
    <r>
      <rPr>
        <sz val="12"/>
        <color theme="1"/>
        <rFont val="Calibri"/>
        <family val="2"/>
        <scheme val="minor"/>
      </rPr>
      <t xml:space="preserve"> the method setup and/or execution (guidence provided by the method)</t>
    </r>
  </si>
  <si>
    <r>
      <t xml:space="preserve">Both subject-specific knowledge AND knowledge for implementing the method </t>
    </r>
    <r>
      <rPr>
        <u/>
        <sz val="12"/>
        <color theme="1"/>
        <rFont val="Calibri"/>
        <family val="2"/>
        <scheme val="minor"/>
      </rPr>
      <t>from scratch</t>
    </r>
    <r>
      <rPr>
        <sz val="12"/>
        <color theme="1"/>
        <rFont val="Calibri"/>
        <family val="2"/>
        <scheme val="minor"/>
      </rPr>
      <t xml:space="preserve"> are required
*e.g., encoding (based on subject knowledge) a database and creating a similarity-based machine learning model from scratch</t>
    </r>
  </si>
  <si>
    <t>heat map --&gt;</t>
  </si>
  <si>
    <t>- attributes of interest (e.g., process yield)
- advancement trajectory of similar technologies
- expert knowledge to set boundary conditions (e.g., theoretical maximum yield)</t>
  </si>
  <si>
    <t>Performance metric(s)</t>
  </si>
  <si>
    <t>mean percentage error (MPE)
*conclusion: MPE increases when the percentage of missing data increases during method application (&lt;5% missing data in one process is recommended)</t>
  </si>
  <si>
    <t>- r2 for model accuracy
- "proxy selection error" for meauring the % difference between the value of the selected proxy and the "true value"
*conclusion: the efficacy of this method is sensitive to the choice of characterisitics and their value ranges</t>
  </si>
  <si>
    <t>-r2 for model accuracy
*conclusion: the hight r2 value (0.971) indicated a high accuracy of the ANN model</t>
  </si>
  <si>
    <t>Note</t>
  </si>
  <si>
    <t>"goodness of the fit (for PDF parameters determined from the maximum likelihood method) was evaluated using standard statistical tests and the Akaike information criteria"
*conclusion (specific to chemical synthesis): "The PDF models can be used for benchmarking production processes on the basis of the reaction type and facilitate rigorous uncertainty analysis and fast predictions for screening"</t>
  </si>
  <si>
    <t>"sensitivity, specificity, and accuracy, are calculated to assess the classification performance for each output class and the overall performance of the classification tree."
*conclusion (specific to chemical synthesis): "The classification trees can be used for a finer categorization of the steam consumption, when not only reaction type but also additional process information is available."</t>
  </si>
  <si>
    <t>Not mentioned</t>
  </si>
  <si>
    <t>Manually check the lineage results (e.g., are the steps for chemical synthesis correctly identified?)
*conclusion (specific to chemical synthesis): "it will enable a modeling system to be able to generate supply chains for chemicals in the inventory, provided enough reaction instances are available to enable the chemical map to be completed."</t>
  </si>
  <si>
    <t>Tsoy et al. 2020</t>
  </si>
  <si>
    <t>Mittal et al. 2018; Barrett et al. 2019</t>
  </si>
  <si>
    <t>Cuéllar-Franca et al. 2016; Righi et al. 2020; Tsoy et al. 2020</t>
  </si>
  <si>
    <t>Parvatker and Eckelman 2019; Montazeri and Eckelman 2016; Morales-Mendoza and Azzaro-Pantel 2017; Tu et al. 2021; Meyer et al. 2019</t>
  </si>
  <si>
    <t>Reference</t>
  </si>
  <si>
    <t>Information for assessing data quality uncertainty can be derived based attributes of the resulting data
*e.g., propose (new) indicator values of pedigree matrix for a selected proxy</t>
  </si>
  <si>
    <t>meas percent age error (MPE)
*onclusion: MPE increases when the percentage of missing data increases during method application (&lt;5% missing data in one process is recommenbud)</t>
  </si>
  <si>
    <t>Ontology modeling</t>
  </si>
  <si>
    <t>- knowledge of the process
'- chemical and physical properties data of components</t>
  </si>
  <si>
    <t>Table S1: Definitions of three levels of individual criterion</t>
  </si>
  <si>
    <t>Table S3: Summary of the input, output and performance metric(s) of reviewed methods</t>
  </si>
  <si>
    <t>Table S2: Three levels of characteristic descriptions of reviewed methods and the corresponding table of scores and a heatmap</t>
  </si>
  <si>
    <r>
      <t xml:space="preserve">           </t>
    </r>
    <r>
      <rPr>
        <sz val="10.5"/>
        <color rgb="FF000000"/>
        <rFont val="Arial Rounded MT Bold"/>
        <family val="2"/>
      </rPr>
      <t>SUPPORTING INFORMATION FOR:</t>
    </r>
  </si>
  <si>
    <t xml:space="preserve">Zargar, S., Yao, Y. &amp; Tu, Q. (2022). A review of inventory modelling methods for missing data in life cycle assessment. Journal of Industrial Ecology. </t>
  </si>
  <si>
    <t>This supporting information provides three sheets: 1. Sheet named “Definitions” contains the definitions of the three levels of individual criterion; 2. Sheet named “heatmap” contains (1) a table of scores (against the criteria in “Definitions” sheet) for each method, and (2) a corresponding heatmap to visualize the scores; 3. Sheet named “input&amp;output of each method” contains a summary of the input, output and performance metric(s) of reviewed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</si>
</sst>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4"/>
      <color rgb="FF000000"/>
      <name val="Arial"/>
      <family val="2"/>
    </font>
    <font>
      <sz val="10.5"/>
      <color rgb="FF000000"/>
      <name val="Arial Rounded MT Bold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164" fontId="0" fillId="4" borderId="11" xfId="0" applyNumberFormat="1" applyFill="1" applyBorder="1" applyAlignment="1">
      <alignment vertical="center" wrapText="1"/>
    </xf>
    <xf numFmtId="164" fontId="0" fillId="4" borderId="5" xfId="0" applyNumberFormat="1" applyFill="1" applyBorder="1" applyAlignment="1">
      <alignment vertical="center" wrapText="1"/>
    </xf>
    <xf numFmtId="164" fontId="0" fillId="4" borderId="6" xfId="0" applyNumberFormat="1" applyFill="1" applyBorder="1" applyAlignment="1">
      <alignment vertical="center" wrapText="1"/>
    </xf>
    <xf numFmtId="164" fontId="0" fillId="4" borderId="12" xfId="0" applyNumberFormat="1" applyFill="1" applyBorder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64" fontId="0" fillId="4" borderId="10" xfId="0" applyNumberFormat="1" applyFill="1" applyBorder="1" applyAlignment="1">
      <alignment vertical="center" wrapText="1"/>
    </xf>
    <xf numFmtId="164" fontId="0" fillId="4" borderId="9" xfId="0" applyNumberFormat="1" applyFill="1" applyBorder="1" applyAlignment="1">
      <alignment vertical="center" wrapText="1"/>
    </xf>
    <xf numFmtId="164" fontId="0" fillId="4" borderId="7" xfId="0" applyNumberFormat="1" applyFill="1" applyBorder="1" applyAlignment="1">
      <alignment vertical="center" wrapText="1"/>
    </xf>
    <xf numFmtId="164" fontId="0" fillId="4" borderId="8" xfId="0" applyNumberForma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quotePrefix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center" wrapText="1"/>
    </xf>
    <xf numFmtId="0" fontId="0" fillId="4" borderId="0" xfId="0" applyFill="1"/>
    <xf numFmtId="0" fontId="0" fillId="4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 indent="9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6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7</xdr:col>
      <xdr:colOff>254000</xdr:colOff>
      <xdr:row>3</xdr:row>
      <xdr:rowOff>171450</xdr:rowOff>
    </xdr:to>
    <xdr:pic>
      <xdr:nvPicPr>
        <xdr:cNvPr id="2" name="Picture 1" descr="esupp new graphic">
          <a:extLst>
            <a:ext uri="{FF2B5EF4-FFF2-40B4-BE49-F238E27FC236}">
              <a16:creationId xmlns:a16="http://schemas.microsoft.com/office/drawing/2014/main" id="{91B68C7C-48B7-41B0-A7A2-336BFEE5E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050"/>
          <a:ext cx="48768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215900</xdr:colOff>
      <xdr:row>12</xdr:row>
      <xdr:rowOff>25400</xdr:rowOff>
    </xdr:from>
    <xdr:to>
      <xdr:col>9</xdr:col>
      <xdr:colOff>50800</xdr:colOff>
      <xdr:row>13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FC4BBB-FA99-4CAC-8AF0-176AD6036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2482850"/>
          <a:ext cx="313690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80F8-A8A9-4998-9A3D-C2FDD0A42A7A}">
  <sheetPr>
    <tabColor rgb="FF0070C0"/>
  </sheetPr>
  <dimension ref="A3:K16"/>
  <sheetViews>
    <sheetView workbookViewId="0">
      <selection activeCell="A8" sqref="A8:I13"/>
    </sheetView>
  </sheetViews>
  <sheetFormatPr defaultRowHeight="15.6" x14ac:dyDescent="0.3"/>
  <sheetData>
    <row r="3" spans="1:11" ht="17.399999999999999" x14ac:dyDescent="0.3">
      <c r="A3" s="38" t="s">
        <v>99</v>
      </c>
    </row>
    <row r="5" spans="1:11" ht="21" customHeight="1" x14ac:dyDescent="0.3">
      <c r="A5" s="40" t="s">
        <v>100</v>
      </c>
      <c r="B5" s="40"/>
      <c r="C5" s="40"/>
      <c r="D5" s="40"/>
      <c r="E5" s="40"/>
      <c r="F5" s="40"/>
      <c r="G5" s="40"/>
      <c r="H5" s="40"/>
      <c r="I5" s="40"/>
      <c r="J5" s="39"/>
      <c r="K5" s="39"/>
    </row>
    <row r="6" spans="1:11" ht="15.45" customHeight="1" x14ac:dyDescent="0.3">
      <c r="A6" s="40"/>
      <c r="B6" s="40"/>
      <c r="C6" s="40"/>
      <c r="D6" s="40"/>
      <c r="E6" s="40"/>
      <c r="F6" s="40"/>
      <c r="G6" s="40"/>
      <c r="H6" s="40"/>
      <c r="I6" s="40"/>
      <c r="J6" s="39"/>
      <c r="K6" s="39"/>
    </row>
    <row r="7" spans="1:11" ht="15.45" customHeight="1" x14ac:dyDescent="0.3">
      <c r="A7" s="40"/>
      <c r="B7" s="40"/>
      <c r="C7" s="40"/>
      <c r="D7" s="40"/>
      <c r="E7" s="40"/>
      <c r="F7" s="40"/>
      <c r="G7" s="40"/>
      <c r="H7" s="40"/>
      <c r="I7" s="40"/>
      <c r="J7" s="39"/>
      <c r="K7" s="39"/>
    </row>
    <row r="8" spans="1:11" x14ac:dyDescent="0.3">
      <c r="A8" s="41" t="s">
        <v>101</v>
      </c>
      <c r="B8" s="42"/>
      <c r="C8" s="42"/>
      <c r="D8" s="42"/>
      <c r="E8" s="42"/>
      <c r="F8" s="42"/>
      <c r="G8" s="42"/>
      <c r="H8" s="42"/>
      <c r="I8" s="42"/>
    </row>
    <row r="9" spans="1:11" x14ac:dyDescent="0.3">
      <c r="A9" s="42"/>
      <c r="B9" s="42"/>
      <c r="C9" s="42"/>
      <c r="D9" s="42"/>
      <c r="E9" s="42"/>
      <c r="F9" s="42"/>
      <c r="G9" s="42"/>
      <c r="H9" s="42"/>
      <c r="I9" s="42"/>
    </row>
    <row r="10" spans="1:11" x14ac:dyDescent="0.3">
      <c r="A10" s="42"/>
      <c r="B10" s="42"/>
      <c r="C10" s="42"/>
      <c r="D10" s="42"/>
      <c r="E10" s="42"/>
      <c r="F10" s="42"/>
      <c r="G10" s="42"/>
      <c r="H10" s="42"/>
      <c r="I10" s="42"/>
    </row>
    <row r="11" spans="1:11" x14ac:dyDescent="0.3">
      <c r="A11" s="42"/>
      <c r="B11" s="42"/>
      <c r="C11" s="42"/>
      <c r="D11" s="42"/>
      <c r="E11" s="42"/>
      <c r="F11" s="42"/>
      <c r="G11" s="42"/>
      <c r="H11" s="42"/>
      <c r="I11" s="42"/>
    </row>
    <row r="12" spans="1:11" x14ac:dyDescent="0.3">
      <c r="A12" s="42"/>
      <c r="B12" s="42"/>
      <c r="C12" s="42"/>
      <c r="D12" s="42"/>
      <c r="E12" s="42"/>
      <c r="F12" s="42"/>
      <c r="G12" s="42"/>
      <c r="H12" s="42"/>
      <c r="I12" s="42"/>
    </row>
    <row r="13" spans="1:11" x14ac:dyDescent="0.3">
      <c r="A13" s="42"/>
      <c r="B13" s="42"/>
      <c r="C13" s="42"/>
      <c r="D13" s="42"/>
      <c r="E13" s="42"/>
      <c r="F13" s="42"/>
      <c r="G13" s="42"/>
      <c r="H13" s="42"/>
      <c r="I13" s="42"/>
    </row>
    <row r="14" spans="1:11" x14ac:dyDescent="0.3">
      <c r="A14" s="37"/>
    </row>
    <row r="15" spans="1:11" x14ac:dyDescent="0.3">
      <c r="A15" s="37"/>
    </row>
    <row r="16" spans="1:11" x14ac:dyDescent="0.3">
      <c r="A16" s="37"/>
    </row>
  </sheetData>
  <mergeCells count="2">
    <mergeCell ref="A5:I7"/>
    <mergeCell ref="A8:I1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33FE-A8EA-40EB-90E5-5321E1615854}">
  <sheetPr>
    <tabColor rgb="FF0070C0"/>
  </sheetPr>
  <dimension ref="A1:H9"/>
  <sheetViews>
    <sheetView zoomScale="59" zoomScaleNormal="80" workbookViewId="0">
      <pane xSplit="2" ySplit="2" topLeftCell="C3" activePane="bottomRight" state="frozen"/>
      <selection pane="topRight" activeCell="C1" sqref="C1"/>
      <selection pane="bottomLeft" activeCell="A2" sqref="A2"/>
      <selection pane="bottomRight" sqref="A1:H1"/>
    </sheetView>
  </sheetViews>
  <sheetFormatPr defaultColWidth="8.796875" defaultRowHeight="15.6" x14ac:dyDescent="0.3"/>
  <cols>
    <col min="1" max="1" width="13.796875" style="22" customWidth="1"/>
    <col min="2" max="2" width="6.8984375" style="27" customWidth="1"/>
    <col min="3" max="4" width="33.19921875" style="22" customWidth="1"/>
    <col min="5" max="5" width="30.3984375" style="22" customWidth="1"/>
    <col min="6" max="6" width="32.09765625" style="22" customWidth="1"/>
    <col min="7" max="7" width="30.19921875" style="22" customWidth="1"/>
    <col min="8" max="8" width="31.8984375" style="22" customWidth="1"/>
    <col min="9" max="16384" width="8.796875" style="22"/>
  </cols>
  <sheetData>
    <row r="1" spans="1:8" ht="31.05" customHeight="1" x14ac:dyDescent="0.3">
      <c r="A1" s="43" t="s">
        <v>96</v>
      </c>
      <c r="B1" s="43"/>
      <c r="C1" s="43"/>
      <c r="D1" s="43"/>
      <c r="E1" s="43"/>
      <c r="F1" s="43"/>
      <c r="G1" s="43"/>
      <c r="H1" s="43"/>
    </row>
    <row r="2" spans="1:8" s="21" customFormat="1" ht="41.55" customHeight="1" x14ac:dyDescent="0.3">
      <c r="A2" s="28"/>
      <c r="B2" s="29" t="s">
        <v>18</v>
      </c>
      <c r="C2" s="30" t="s">
        <v>14</v>
      </c>
      <c r="D2" s="30" t="s">
        <v>13</v>
      </c>
      <c r="E2" s="30" t="s">
        <v>0</v>
      </c>
      <c r="F2" s="30" t="s">
        <v>21</v>
      </c>
      <c r="G2" s="30" t="s">
        <v>27</v>
      </c>
      <c r="H2" s="30" t="s">
        <v>22</v>
      </c>
    </row>
    <row r="3" spans="1:8" s="8" customFormat="1" ht="129" customHeight="1" x14ac:dyDescent="0.3">
      <c r="A3" s="28" t="s">
        <v>15</v>
      </c>
      <c r="B3" s="31">
        <v>1</v>
      </c>
      <c r="C3" s="32" t="s">
        <v>73</v>
      </c>
      <c r="D3" s="32" t="s">
        <v>72</v>
      </c>
      <c r="E3" s="32" t="s">
        <v>19</v>
      </c>
      <c r="F3" s="32" t="s">
        <v>28</v>
      </c>
      <c r="G3" s="32" t="s">
        <v>66</v>
      </c>
      <c r="H3" s="32" t="s">
        <v>23</v>
      </c>
    </row>
    <row r="4" spans="1:8" s="8" customFormat="1" ht="126" customHeight="1" x14ac:dyDescent="0.3">
      <c r="A4" s="28" t="s">
        <v>16</v>
      </c>
      <c r="B4" s="31">
        <v>2</v>
      </c>
      <c r="C4" s="32"/>
      <c r="D4" s="32" t="s">
        <v>74</v>
      </c>
      <c r="E4" s="32" t="s">
        <v>64</v>
      </c>
      <c r="F4" s="32" t="s">
        <v>92</v>
      </c>
      <c r="G4" s="32" t="s">
        <v>67</v>
      </c>
      <c r="H4" s="32" t="s">
        <v>25</v>
      </c>
    </row>
    <row r="5" spans="1:8" s="8" customFormat="1" ht="140.4" x14ac:dyDescent="0.3">
      <c r="A5" s="28" t="s">
        <v>17</v>
      </c>
      <c r="B5" s="31">
        <v>3</v>
      </c>
      <c r="C5" s="32" t="s">
        <v>26</v>
      </c>
      <c r="D5" s="32" t="s">
        <v>75</v>
      </c>
      <c r="E5" s="32" t="s">
        <v>20</v>
      </c>
      <c r="F5" s="32" t="s">
        <v>65</v>
      </c>
      <c r="G5" s="32" t="s">
        <v>68</v>
      </c>
      <c r="H5" s="32" t="s">
        <v>24</v>
      </c>
    </row>
    <row r="9" spans="1:8" x14ac:dyDescent="0.3">
      <c r="G9" s="8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A804-D162-4238-A9C7-0B5FBC67161B}">
  <sheetPr>
    <tabColor rgb="FF0070C0"/>
  </sheetPr>
  <dimension ref="A1:R17"/>
  <sheetViews>
    <sheetView zoomScale="70" zoomScaleNormal="70" workbookViewId="0">
      <selection sqref="A1:G1"/>
    </sheetView>
  </sheetViews>
  <sheetFormatPr defaultColWidth="8.69921875" defaultRowHeight="15.6" x14ac:dyDescent="0.3"/>
  <cols>
    <col min="1" max="1" width="29.296875" style="34" customWidth="1"/>
    <col min="2" max="2" width="20.19921875" style="34" customWidth="1"/>
    <col min="3" max="3" width="19.8984375" style="34" customWidth="1"/>
    <col min="4" max="4" width="15.3984375" style="34" customWidth="1"/>
    <col min="5" max="5" width="17.59765625" style="34" customWidth="1"/>
    <col min="6" max="6" width="15.796875" style="34" customWidth="1"/>
    <col min="7" max="7" width="15.69921875" style="34" customWidth="1"/>
    <col min="8" max="8" width="17.59765625" style="34" customWidth="1"/>
    <col min="9" max="15" width="17.296875" style="34" customWidth="1"/>
    <col min="16" max="16384" width="8.69921875" style="34"/>
  </cols>
  <sheetData>
    <row r="1" spans="1:18" s="8" customFormat="1" ht="31.05" customHeight="1" x14ac:dyDescent="0.3">
      <c r="A1" s="43" t="s">
        <v>98</v>
      </c>
      <c r="B1" s="43"/>
      <c r="C1" s="43"/>
      <c r="D1" s="43"/>
      <c r="E1" s="43"/>
      <c r="F1" s="43"/>
      <c r="G1" s="43"/>
    </row>
    <row r="2" spans="1:18" s="1" customFormat="1" ht="62.4" x14ac:dyDescent="0.3">
      <c r="A2" s="2" t="s">
        <v>63</v>
      </c>
      <c r="B2" s="4" t="s">
        <v>14</v>
      </c>
      <c r="C2" s="4" t="s">
        <v>13</v>
      </c>
      <c r="D2" s="4" t="s">
        <v>0</v>
      </c>
      <c r="E2" s="4" t="s">
        <v>21</v>
      </c>
      <c r="F2" s="4" t="s">
        <v>27</v>
      </c>
      <c r="G2" s="4" t="s">
        <v>22</v>
      </c>
      <c r="H2" s="7" t="s">
        <v>76</v>
      </c>
      <c r="I2" s="4" t="str">
        <f t="shared" ref="I2:O2" si="0">A2</f>
        <v>Approach
(Methods)</v>
      </c>
      <c r="J2" s="4" t="str">
        <f t="shared" si="0"/>
        <v>Domain knowledge requirement (Developer)</v>
      </c>
      <c r="K2" s="4" t="str">
        <f t="shared" si="0"/>
        <v>Domain knowledge requirement (User)</v>
      </c>
      <c r="L2" s="4" t="str">
        <f t="shared" si="0"/>
        <v>Post-treatment requirement</v>
      </c>
      <c r="M2" s="4" t="str">
        <f t="shared" si="0"/>
        <v>Challenge in assessing data quality uncertainty</v>
      </c>
      <c r="N2" s="4" t="str">
        <f t="shared" si="0"/>
        <v>Challenge in generalizability</v>
      </c>
      <c r="O2" s="4" t="str">
        <f t="shared" si="0"/>
        <v>Challenge in automation</v>
      </c>
      <c r="Q2" s="8"/>
      <c r="R2" s="8"/>
    </row>
    <row r="3" spans="1:18" s="1" customFormat="1" x14ac:dyDescent="0.3">
      <c r="A3" s="5" t="s">
        <v>1</v>
      </c>
      <c r="B3" s="6"/>
      <c r="C3" s="6"/>
      <c r="D3" s="6"/>
      <c r="E3" s="6"/>
      <c r="F3" s="6"/>
      <c r="G3" s="6"/>
      <c r="H3" s="8"/>
      <c r="I3" s="44" t="s">
        <v>1</v>
      </c>
      <c r="J3" s="45"/>
      <c r="K3" s="45"/>
      <c r="L3" s="45"/>
      <c r="M3" s="45"/>
      <c r="N3" s="45"/>
      <c r="O3" s="46"/>
      <c r="P3" s="8"/>
      <c r="Q3" s="8"/>
      <c r="R3" s="8"/>
    </row>
    <row r="4" spans="1:18" s="1" customFormat="1" ht="46.8" x14ac:dyDescent="0.3">
      <c r="A4" s="3" t="s">
        <v>61</v>
      </c>
      <c r="B4" s="3">
        <v>3</v>
      </c>
      <c r="C4" s="3">
        <v>3</v>
      </c>
      <c r="D4" s="3">
        <v>1</v>
      </c>
      <c r="E4" s="3">
        <v>2</v>
      </c>
      <c r="F4" s="3">
        <v>1</v>
      </c>
      <c r="G4" s="3">
        <v>2</v>
      </c>
      <c r="H4" s="8"/>
      <c r="I4" s="11" t="str">
        <f t="shared" ref="I4:O10" si="1">A4</f>
        <v>Similarity-based model for proxy selection</v>
      </c>
      <c r="J4" s="12">
        <f t="shared" si="1"/>
        <v>3</v>
      </c>
      <c r="K4" s="13">
        <f t="shared" si="1"/>
        <v>3</v>
      </c>
      <c r="L4" s="13">
        <f t="shared" si="1"/>
        <v>1</v>
      </c>
      <c r="M4" s="13">
        <f t="shared" si="1"/>
        <v>2</v>
      </c>
      <c r="N4" s="13">
        <f t="shared" si="1"/>
        <v>1</v>
      </c>
      <c r="O4" s="14">
        <f t="shared" si="1"/>
        <v>2</v>
      </c>
      <c r="P4" s="8"/>
      <c r="Q4" s="8"/>
      <c r="R4" s="8"/>
    </row>
    <row r="5" spans="1:18" s="1" customFormat="1" ht="46.8" x14ac:dyDescent="0.3">
      <c r="A5" s="3" t="s">
        <v>62</v>
      </c>
      <c r="B5" s="3">
        <v>3</v>
      </c>
      <c r="C5" s="3">
        <v>3</v>
      </c>
      <c r="D5" s="3">
        <v>1</v>
      </c>
      <c r="E5" s="3">
        <v>3</v>
      </c>
      <c r="F5" s="3">
        <v>2</v>
      </c>
      <c r="G5" s="3">
        <v>2</v>
      </c>
      <c r="H5" s="8"/>
      <c r="I5" s="11" t="str">
        <f t="shared" si="1"/>
        <v>Similarity-based model for data creation</v>
      </c>
      <c r="J5" s="15">
        <f t="shared" si="1"/>
        <v>3</v>
      </c>
      <c r="K5" s="16">
        <f t="shared" si="1"/>
        <v>3</v>
      </c>
      <c r="L5" s="16">
        <f t="shared" si="1"/>
        <v>1</v>
      </c>
      <c r="M5" s="16">
        <f t="shared" si="1"/>
        <v>3</v>
      </c>
      <c r="N5" s="16">
        <f t="shared" si="1"/>
        <v>2</v>
      </c>
      <c r="O5" s="17">
        <f t="shared" si="1"/>
        <v>2</v>
      </c>
      <c r="P5" s="8"/>
      <c r="Q5" s="8"/>
      <c r="R5" s="8"/>
    </row>
    <row r="6" spans="1:18" s="1" customFormat="1" ht="31.2" x14ac:dyDescent="0.3">
      <c r="A6" s="3" t="s">
        <v>2</v>
      </c>
      <c r="B6" s="3">
        <v>3</v>
      </c>
      <c r="C6" s="3">
        <v>3</v>
      </c>
      <c r="D6" s="3">
        <v>1</v>
      </c>
      <c r="E6" s="3">
        <v>3</v>
      </c>
      <c r="F6" s="3">
        <v>2</v>
      </c>
      <c r="G6" s="3">
        <v>2</v>
      </c>
      <c r="H6" s="8"/>
      <c r="I6" s="11" t="str">
        <f t="shared" si="1"/>
        <v>Extreme gradient boosting (XGBoost)</v>
      </c>
      <c r="J6" s="15">
        <f t="shared" si="1"/>
        <v>3</v>
      </c>
      <c r="K6" s="16">
        <f t="shared" si="1"/>
        <v>3</v>
      </c>
      <c r="L6" s="16">
        <f t="shared" si="1"/>
        <v>1</v>
      </c>
      <c r="M6" s="16">
        <f t="shared" si="1"/>
        <v>3</v>
      </c>
      <c r="N6" s="16">
        <f t="shared" si="1"/>
        <v>2</v>
      </c>
      <c r="O6" s="17">
        <f t="shared" si="1"/>
        <v>2</v>
      </c>
      <c r="P6" s="8"/>
      <c r="Q6" s="8"/>
      <c r="R6" s="8"/>
    </row>
    <row r="7" spans="1:18" s="1" customFormat="1" ht="31.2" x14ac:dyDescent="0.3">
      <c r="A7" s="3" t="s">
        <v>3</v>
      </c>
      <c r="B7" s="3">
        <v>3</v>
      </c>
      <c r="C7" s="3">
        <v>3</v>
      </c>
      <c r="D7" s="3">
        <v>1</v>
      </c>
      <c r="E7" s="3">
        <v>3</v>
      </c>
      <c r="F7" s="3">
        <v>1</v>
      </c>
      <c r="G7" s="3">
        <v>1</v>
      </c>
      <c r="H7" s="8"/>
      <c r="I7" s="9" t="str">
        <f t="shared" si="1"/>
        <v>Artificial neural network</v>
      </c>
      <c r="J7" s="15">
        <f t="shared" si="1"/>
        <v>3</v>
      </c>
      <c r="K7" s="16">
        <f t="shared" si="1"/>
        <v>3</v>
      </c>
      <c r="L7" s="16">
        <f t="shared" si="1"/>
        <v>1</v>
      </c>
      <c r="M7" s="16">
        <f t="shared" si="1"/>
        <v>3</v>
      </c>
      <c r="N7" s="16">
        <f t="shared" si="1"/>
        <v>1</v>
      </c>
      <c r="O7" s="17">
        <f t="shared" si="1"/>
        <v>1</v>
      </c>
      <c r="P7" s="8"/>
      <c r="Q7" s="8"/>
      <c r="R7" s="8"/>
    </row>
    <row r="8" spans="1:18" s="1" customFormat="1" ht="31.2" x14ac:dyDescent="0.3">
      <c r="A8" s="3" t="s">
        <v>4</v>
      </c>
      <c r="B8" s="3">
        <v>3</v>
      </c>
      <c r="C8" s="3">
        <v>3</v>
      </c>
      <c r="D8" s="3">
        <v>1</v>
      </c>
      <c r="E8" s="3">
        <v>3</v>
      </c>
      <c r="F8" s="3">
        <v>2</v>
      </c>
      <c r="G8" s="3">
        <v>3</v>
      </c>
      <c r="H8" s="8"/>
      <c r="I8" s="9" t="str">
        <f t="shared" si="1"/>
        <v>Probability density functions</v>
      </c>
      <c r="J8" s="15">
        <f t="shared" si="1"/>
        <v>3</v>
      </c>
      <c r="K8" s="16">
        <f t="shared" si="1"/>
        <v>3</v>
      </c>
      <c r="L8" s="16">
        <f t="shared" si="1"/>
        <v>1</v>
      </c>
      <c r="M8" s="16">
        <f t="shared" si="1"/>
        <v>3</v>
      </c>
      <c r="N8" s="16">
        <f t="shared" si="1"/>
        <v>2</v>
      </c>
      <c r="O8" s="17">
        <f t="shared" si="1"/>
        <v>3</v>
      </c>
      <c r="P8" s="8"/>
      <c r="Q8" s="8"/>
      <c r="R8" s="8"/>
    </row>
    <row r="9" spans="1:18" s="1" customFormat="1" x14ac:dyDescent="0.3">
      <c r="A9" s="3" t="s">
        <v>5</v>
      </c>
      <c r="B9" s="3">
        <v>3</v>
      </c>
      <c r="C9" s="3">
        <v>3</v>
      </c>
      <c r="D9" s="3">
        <v>1</v>
      </c>
      <c r="E9" s="3">
        <v>3</v>
      </c>
      <c r="F9" s="3">
        <v>2</v>
      </c>
      <c r="G9" s="3">
        <v>3</v>
      </c>
      <c r="H9" s="8"/>
      <c r="I9" s="9" t="str">
        <f t="shared" si="1"/>
        <v>Classification trees</v>
      </c>
      <c r="J9" s="15">
        <f t="shared" si="1"/>
        <v>3</v>
      </c>
      <c r="K9" s="16">
        <f t="shared" si="1"/>
        <v>3</v>
      </c>
      <c r="L9" s="16">
        <f t="shared" si="1"/>
        <v>1</v>
      </c>
      <c r="M9" s="16">
        <f t="shared" si="1"/>
        <v>3</v>
      </c>
      <c r="N9" s="16">
        <f t="shared" si="1"/>
        <v>2</v>
      </c>
      <c r="O9" s="17">
        <f t="shared" si="1"/>
        <v>3</v>
      </c>
      <c r="P9" s="8"/>
      <c r="Q9" s="8"/>
      <c r="R9" s="8"/>
    </row>
    <row r="10" spans="1:18" s="1" customFormat="1" x14ac:dyDescent="0.3">
      <c r="A10" s="3" t="s">
        <v>6</v>
      </c>
      <c r="B10" s="3">
        <v>3</v>
      </c>
      <c r="C10" s="3">
        <v>3</v>
      </c>
      <c r="D10" s="3">
        <v>1</v>
      </c>
      <c r="E10" s="3">
        <v>2</v>
      </c>
      <c r="F10" s="3">
        <v>2</v>
      </c>
      <c r="G10" s="3">
        <v>3</v>
      </c>
      <c r="H10" s="8"/>
      <c r="I10" s="9" t="str">
        <f t="shared" si="1"/>
        <v>Data mining</v>
      </c>
      <c r="J10" s="18">
        <f t="shared" si="1"/>
        <v>3</v>
      </c>
      <c r="K10" s="19">
        <f t="shared" si="1"/>
        <v>3</v>
      </c>
      <c r="L10" s="19">
        <f t="shared" si="1"/>
        <v>1</v>
      </c>
      <c r="M10" s="19">
        <f t="shared" si="1"/>
        <v>2</v>
      </c>
      <c r="N10" s="19">
        <f t="shared" si="1"/>
        <v>2</v>
      </c>
      <c r="O10" s="20">
        <f t="shared" si="1"/>
        <v>3</v>
      </c>
      <c r="P10" s="8"/>
      <c r="Q10" s="8"/>
      <c r="R10" s="8"/>
    </row>
    <row r="11" spans="1:18" s="1" customFormat="1" x14ac:dyDescent="0.3">
      <c r="A11" s="5" t="s">
        <v>7</v>
      </c>
      <c r="B11" s="6"/>
      <c r="C11" s="6"/>
      <c r="D11" s="6"/>
      <c r="E11" s="6"/>
      <c r="F11" s="6"/>
      <c r="G11" s="6"/>
      <c r="H11" s="8"/>
      <c r="I11" s="44" t="s">
        <v>7</v>
      </c>
      <c r="J11" s="45"/>
      <c r="K11" s="45"/>
      <c r="L11" s="45"/>
      <c r="M11" s="45"/>
      <c r="N11" s="45"/>
      <c r="O11" s="46"/>
      <c r="P11" s="8"/>
      <c r="Q11" s="8"/>
      <c r="R11" s="8"/>
    </row>
    <row r="12" spans="1:18" s="1" customFormat="1" x14ac:dyDescent="0.3">
      <c r="A12" s="3" t="s">
        <v>8</v>
      </c>
      <c r="B12" s="3">
        <v>3</v>
      </c>
      <c r="C12" s="3">
        <v>3</v>
      </c>
      <c r="D12" s="3">
        <v>1</v>
      </c>
      <c r="E12" s="3">
        <v>2</v>
      </c>
      <c r="F12" s="3">
        <v>3</v>
      </c>
      <c r="G12" s="3">
        <v>3</v>
      </c>
      <c r="H12" s="8"/>
      <c r="I12" s="11" t="str">
        <f t="shared" ref="I12:O14" si="2">A12</f>
        <v>Process simulation</v>
      </c>
      <c r="J12" s="12">
        <f t="shared" si="2"/>
        <v>3</v>
      </c>
      <c r="K12" s="13">
        <f t="shared" si="2"/>
        <v>3</v>
      </c>
      <c r="L12" s="13">
        <f t="shared" si="2"/>
        <v>1</v>
      </c>
      <c r="M12" s="13">
        <f t="shared" si="2"/>
        <v>2</v>
      </c>
      <c r="N12" s="13">
        <f t="shared" si="2"/>
        <v>3</v>
      </c>
      <c r="O12" s="14">
        <f t="shared" si="2"/>
        <v>3</v>
      </c>
      <c r="P12" s="8"/>
      <c r="Q12" s="8"/>
      <c r="R12" s="8"/>
    </row>
    <row r="13" spans="1:18" s="1" customFormat="1" ht="31.2" x14ac:dyDescent="0.3">
      <c r="A13" s="3" t="s">
        <v>9</v>
      </c>
      <c r="B13" s="3">
        <v>1</v>
      </c>
      <c r="C13" s="3">
        <v>1</v>
      </c>
      <c r="D13" s="3">
        <v>1</v>
      </c>
      <c r="E13" s="3">
        <v>2</v>
      </c>
      <c r="F13" s="3">
        <v>3</v>
      </c>
      <c r="G13" s="3">
        <v>2</v>
      </c>
      <c r="H13" s="8"/>
      <c r="I13" s="9" t="s">
        <v>9</v>
      </c>
      <c r="J13" s="15">
        <f t="shared" si="2"/>
        <v>1</v>
      </c>
      <c r="K13" s="16">
        <f t="shared" si="2"/>
        <v>1</v>
      </c>
      <c r="L13" s="16">
        <f t="shared" si="2"/>
        <v>1</v>
      </c>
      <c r="M13" s="16">
        <f t="shared" si="2"/>
        <v>2</v>
      </c>
      <c r="N13" s="16">
        <f t="shared" si="2"/>
        <v>3</v>
      </c>
      <c r="O13" s="17">
        <f t="shared" si="2"/>
        <v>2</v>
      </c>
      <c r="P13" s="8"/>
      <c r="Q13" s="8"/>
      <c r="R13" s="8"/>
    </row>
    <row r="14" spans="1:18" s="1" customFormat="1" ht="31.2" x14ac:dyDescent="0.3">
      <c r="A14" s="3" t="s">
        <v>10</v>
      </c>
      <c r="B14" s="3">
        <v>3</v>
      </c>
      <c r="C14" s="3">
        <v>3</v>
      </c>
      <c r="D14" s="3">
        <v>3</v>
      </c>
      <c r="E14" s="3">
        <v>3</v>
      </c>
      <c r="F14" s="3">
        <v>1</v>
      </c>
      <c r="G14" s="3">
        <v>3</v>
      </c>
      <c r="H14" s="8"/>
      <c r="I14" s="10" t="str">
        <f>A14</f>
        <v xml:space="preserve">Lineage and Process ontologies  </v>
      </c>
      <c r="J14" s="18">
        <f t="shared" si="2"/>
        <v>3</v>
      </c>
      <c r="K14" s="19">
        <f t="shared" si="2"/>
        <v>3</v>
      </c>
      <c r="L14" s="19">
        <f t="shared" si="2"/>
        <v>3</v>
      </c>
      <c r="M14" s="19">
        <f t="shared" si="2"/>
        <v>3</v>
      </c>
      <c r="N14" s="19">
        <f t="shared" si="2"/>
        <v>1</v>
      </c>
      <c r="O14" s="20">
        <f t="shared" si="2"/>
        <v>3</v>
      </c>
      <c r="P14" s="8"/>
      <c r="Q14" s="8"/>
      <c r="R14" s="8"/>
    </row>
    <row r="15" spans="1:18" s="1" customFormat="1" x14ac:dyDescent="0.3">
      <c r="A15" s="5" t="s">
        <v>11</v>
      </c>
      <c r="B15" s="6"/>
      <c r="C15" s="6"/>
      <c r="D15" s="6"/>
      <c r="E15" s="6"/>
      <c r="F15" s="6"/>
      <c r="G15" s="6"/>
      <c r="H15" s="8"/>
      <c r="I15" s="44" t="s">
        <v>11</v>
      </c>
      <c r="J15" s="45"/>
      <c r="K15" s="45"/>
      <c r="L15" s="45"/>
      <c r="M15" s="45"/>
      <c r="N15" s="45"/>
      <c r="O15" s="46"/>
      <c r="P15" s="8"/>
      <c r="Q15" s="8"/>
      <c r="R15" s="8"/>
    </row>
    <row r="16" spans="1:18" s="1" customFormat="1" x14ac:dyDescent="0.3">
      <c r="A16" s="3" t="s">
        <v>12</v>
      </c>
      <c r="B16" s="3">
        <v>1</v>
      </c>
      <c r="C16" s="3">
        <v>1</v>
      </c>
      <c r="D16" s="3">
        <v>1</v>
      </c>
      <c r="E16" s="3">
        <v>2</v>
      </c>
      <c r="F16" s="3">
        <v>1</v>
      </c>
      <c r="G16" s="3">
        <v>3</v>
      </c>
      <c r="H16" s="8"/>
      <c r="I16" s="11" t="str">
        <f t="shared" ref="I16:O17" si="3">A16</f>
        <v>Learning curve</v>
      </c>
      <c r="J16" s="12">
        <f t="shared" si="3"/>
        <v>1</v>
      </c>
      <c r="K16" s="13">
        <f t="shared" si="3"/>
        <v>1</v>
      </c>
      <c r="L16" s="13">
        <f t="shared" si="3"/>
        <v>1</v>
      </c>
      <c r="M16" s="13">
        <f t="shared" si="3"/>
        <v>2</v>
      </c>
      <c r="N16" s="13">
        <f t="shared" si="3"/>
        <v>1</v>
      </c>
      <c r="O16" s="14">
        <f t="shared" si="3"/>
        <v>3</v>
      </c>
      <c r="P16" s="8"/>
      <c r="Q16" s="8"/>
      <c r="R16" s="8"/>
    </row>
    <row r="17" spans="1:18" s="1" customFormat="1" ht="46.8" x14ac:dyDescent="0.3">
      <c r="A17" s="3" t="s">
        <v>58</v>
      </c>
      <c r="B17" s="3">
        <v>3</v>
      </c>
      <c r="C17" s="3">
        <v>3</v>
      </c>
      <c r="D17" s="3">
        <v>1</v>
      </c>
      <c r="E17" s="3">
        <v>2</v>
      </c>
      <c r="F17" s="3">
        <v>3</v>
      </c>
      <c r="G17" s="3">
        <v>1</v>
      </c>
      <c r="H17" s="8"/>
      <c r="I17" s="11" t="str">
        <f t="shared" si="3"/>
        <v>Alternation based on scenario model results</v>
      </c>
      <c r="J17" s="18">
        <f t="shared" si="3"/>
        <v>3</v>
      </c>
      <c r="K17" s="19">
        <f t="shared" si="3"/>
        <v>3</v>
      </c>
      <c r="L17" s="19">
        <f t="shared" si="3"/>
        <v>1</v>
      </c>
      <c r="M17" s="19">
        <f t="shared" si="3"/>
        <v>2</v>
      </c>
      <c r="N17" s="19">
        <f t="shared" si="3"/>
        <v>3</v>
      </c>
      <c r="O17" s="20">
        <f t="shared" si="3"/>
        <v>1</v>
      </c>
      <c r="P17" s="8"/>
      <c r="Q17" s="8"/>
      <c r="R17" s="8"/>
    </row>
  </sheetData>
  <mergeCells count="4">
    <mergeCell ref="A1:G1"/>
    <mergeCell ref="I3:O3"/>
    <mergeCell ref="I11:O11"/>
    <mergeCell ref="I15:O15"/>
  </mergeCells>
  <conditionalFormatting sqref="I4:O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O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O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J12:O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O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00D1-6962-224A-B5EC-F1F0A2708110}">
  <sheetPr>
    <tabColor rgb="FF0070C0"/>
  </sheetPr>
  <dimension ref="A1:G32"/>
  <sheetViews>
    <sheetView tabSelected="1" topLeftCell="A12" zoomScale="70" zoomScaleNormal="70" workbookViewId="0">
      <selection activeCell="D55" sqref="D55"/>
    </sheetView>
  </sheetViews>
  <sheetFormatPr defaultColWidth="11.19921875" defaultRowHeight="15.6" x14ac:dyDescent="0.3"/>
  <cols>
    <col min="1" max="1" width="22.19921875" style="22" customWidth="1"/>
    <col min="2" max="2" width="18" style="22" customWidth="1"/>
    <col min="3" max="3" width="36.09765625" style="22" customWidth="1"/>
    <col min="4" max="4" width="35.3984375" style="22" customWidth="1"/>
    <col min="5" max="5" width="24.796875" style="22" customWidth="1"/>
    <col min="6" max="6" width="44.296875" style="22" customWidth="1"/>
    <col min="7" max="7" width="99" style="22" bestFit="1" customWidth="1"/>
    <col min="8" max="16384" width="11.19921875" style="22"/>
  </cols>
  <sheetData>
    <row r="1" spans="1:7" ht="31.05" customHeight="1" x14ac:dyDescent="0.3">
      <c r="A1" s="47" t="s">
        <v>97</v>
      </c>
      <c r="B1" s="47"/>
      <c r="C1" s="47"/>
      <c r="D1" s="47"/>
      <c r="E1" s="47"/>
      <c r="F1" s="47"/>
      <c r="G1" s="48"/>
    </row>
    <row r="2" spans="1:7" ht="43.5" customHeight="1" x14ac:dyDescent="0.3">
      <c r="A2" s="36" t="s">
        <v>63</v>
      </c>
      <c r="B2" s="26" t="s">
        <v>91</v>
      </c>
      <c r="C2" s="26" t="s">
        <v>32</v>
      </c>
      <c r="D2" s="26" t="s">
        <v>33</v>
      </c>
      <c r="E2" s="26" t="s">
        <v>34</v>
      </c>
      <c r="F2" s="26" t="s">
        <v>78</v>
      </c>
      <c r="G2" s="26" t="s">
        <v>82</v>
      </c>
    </row>
    <row r="3" spans="1:7" ht="43.5" customHeight="1" x14ac:dyDescent="0.3">
      <c r="A3" s="49" t="s">
        <v>1</v>
      </c>
      <c r="B3" s="50"/>
      <c r="C3" s="50"/>
      <c r="D3" s="50"/>
      <c r="E3" s="50"/>
      <c r="F3" s="50"/>
      <c r="G3" s="51"/>
    </row>
    <row r="4" spans="1:7" ht="130.94999999999999" customHeight="1" x14ac:dyDescent="0.3">
      <c r="A4" s="33" t="s">
        <v>61</v>
      </c>
      <c r="B4" s="23" t="s">
        <v>31</v>
      </c>
      <c r="C4" s="24" t="s">
        <v>39</v>
      </c>
      <c r="D4" s="25" t="s">
        <v>40</v>
      </c>
      <c r="E4" s="25" t="s">
        <v>35</v>
      </c>
      <c r="F4" s="24" t="s">
        <v>80</v>
      </c>
      <c r="G4" s="23"/>
    </row>
    <row r="5" spans="1:7" ht="79.5" customHeight="1" x14ac:dyDescent="0.3">
      <c r="A5" s="33" t="s">
        <v>62</v>
      </c>
      <c r="B5" s="23" t="s">
        <v>29</v>
      </c>
      <c r="C5" s="24" t="s">
        <v>37</v>
      </c>
      <c r="D5" s="25" t="s">
        <v>38</v>
      </c>
      <c r="E5" s="25" t="s">
        <v>36</v>
      </c>
      <c r="F5" s="25" t="s">
        <v>79</v>
      </c>
      <c r="G5" s="23" t="s">
        <v>69</v>
      </c>
    </row>
    <row r="6" spans="1:7" ht="84.45" customHeight="1" x14ac:dyDescent="0.3">
      <c r="A6" s="33" t="s">
        <v>2</v>
      </c>
      <c r="B6" s="23" t="s">
        <v>30</v>
      </c>
      <c r="C6" s="24" t="s">
        <v>37</v>
      </c>
      <c r="D6" s="25" t="s">
        <v>38</v>
      </c>
      <c r="E6" s="25" t="s">
        <v>36</v>
      </c>
      <c r="F6" s="25" t="s">
        <v>93</v>
      </c>
      <c r="G6" s="23" t="s">
        <v>70</v>
      </c>
    </row>
    <row r="7" spans="1:7" ht="78" x14ac:dyDescent="0.3">
      <c r="A7" s="33" t="s">
        <v>3</v>
      </c>
      <c r="B7" s="23" t="s">
        <v>42</v>
      </c>
      <c r="C7" s="24" t="s">
        <v>44</v>
      </c>
      <c r="D7" s="25" t="s">
        <v>71</v>
      </c>
      <c r="E7" s="25" t="s">
        <v>36</v>
      </c>
      <c r="F7" s="24" t="s">
        <v>81</v>
      </c>
      <c r="G7" s="23"/>
    </row>
    <row r="8" spans="1:7" ht="159" customHeight="1" x14ac:dyDescent="0.3">
      <c r="A8" s="33" t="s">
        <v>4</v>
      </c>
      <c r="B8" s="23" t="s">
        <v>41</v>
      </c>
      <c r="C8" s="25" t="s">
        <v>43</v>
      </c>
      <c r="D8" s="25" t="s">
        <v>45</v>
      </c>
      <c r="E8" s="25" t="s">
        <v>36</v>
      </c>
      <c r="F8" s="25" t="s">
        <v>83</v>
      </c>
      <c r="G8" s="23"/>
    </row>
    <row r="9" spans="1:7" ht="140.4" x14ac:dyDescent="0.3">
      <c r="A9" s="33" t="s">
        <v>5</v>
      </c>
      <c r="B9" s="23" t="s">
        <v>41</v>
      </c>
      <c r="C9" s="25" t="s">
        <v>43</v>
      </c>
      <c r="D9" s="25" t="s">
        <v>46</v>
      </c>
      <c r="E9" s="25" t="s">
        <v>36</v>
      </c>
      <c r="F9" s="25" t="s">
        <v>84</v>
      </c>
      <c r="G9" s="23"/>
    </row>
    <row r="10" spans="1:7" ht="46.8" x14ac:dyDescent="0.3">
      <c r="A10" s="33" t="s">
        <v>6</v>
      </c>
      <c r="B10" s="23" t="s">
        <v>47</v>
      </c>
      <c r="C10" s="24" t="s">
        <v>48</v>
      </c>
      <c r="D10" s="25" t="s">
        <v>49</v>
      </c>
      <c r="E10" s="25" t="s">
        <v>36</v>
      </c>
      <c r="F10" s="25" t="s">
        <v>85</v>
      </c>
      <c r="G10" s="23"/>
    </row>
    <row r="11" spans="1:7" ht="42" customHeight="1" x14ac:dyDescent="0.3">
      <c r="A11" s="49" t="s">
        <v>7</v>
      </c>
      <c r="B11" s="50"/>
      <c r="C11" s="50"/>
      <c r="D11" s="50"/>
      <c r="E11" s="50"/>
      <c r="F11" s="50"/>
      <c r="G11" s="51"/>
    </row>
    <row r="12" spans="1:7" ht="124.8" x14ac:dyDescent="0.3">
      <c r="A12" s="33" t="s">
        <v>8</v>
      </c>
      <c r="B12" s="35" t="s">
        <v>90</v>
      </c>
      <c r="C12" s="24" t="s">
        <v>50</v>
      </c>
      <c r="D12" s="25" t="s">
        <v>51</v>
      </c>
      <c r="E12" s="25" t="s">
        <v>36</v>
      </c>
      <c r="F12" s="25" t="s">
        <v>85</v>
      </c>
      <c r="G12" s="23"/>
    </row>
    <row r="13" spans="1:7" ht="70.5" customHeight="1" x14ac:dyDescent="0.3">
      <c r="A13" s="33" t="s">
        <v>9</v>
      </c>
      <c r="B13" s="35" t="s">
        <v>89</v>
      </c>
      <c r="C13" s="24" t="s">
        <v>95</v>
      </c>
      <c r="D13" s="25"/>
      <c r="E13" s="25" t="s">
        <v>36</v>
      </c>
      <c r="F13" s="25"/>
      <c r="G13" s="23"/>
    </row>
    <row r="14" spans="1:7" ht="133.94999999999999" customHeight="1" x14ac:dyDescent="0.3">
      <c r="A14" s="33" t="s">
        <v>94</v>
      </c>
      <c r="B14" s="25" t="s">
        <v>88</v>
      </c>
      <c r="C14" s="24" t="s">
        <v>52</v>
      </c>
      <c r="D14" s="25" t="s">
        <v>55</v>
      </c>
      <c r="E14" s="25" t="s">
        <v>53</v>
      </c>
      <c r="F14" s="25" t="s">
        <v>86</v>
      </c>
      <c r="G14" s="23" t="s">
        <v>54</v>
      </c>
    </row>
    <row r="15" spans="1:7" ht="43.05" customHeight="1" x14ac:dyDescent="0.3">
      <c r="A15" s="49" t="s">
        <v>11</v>
      </c>
      <c r="B15" s="50"/>
      <c r="C15" s="50"/>
      <c r="D15" s="50"/>
      <c r="E15" s="50"/>
      <c r="F15" s="50"/>
      <c r="G15" s="51"/>
    </row>
    <row r="16" spans="1:7" ht="109.2" x14ac:dyDescent="0.3">
      <c r="A16" s="22" t="s">
        <v>12</v>
      </c>
      <c r="B16" s="23" t="s">
        <v>87</v>
      </c>
      <c r="C16" s="24" t="s">
        <v>77</v>
      </c>
      <c r="D16" s="25" t="s">
        <v>56</v>
      </c>
      <c r="E16" s="25" t="s">
        <v>36</v>
      </c>
      <c r="F16" s="25" t="s">
        <v>85</v>
      </c>
      <c r="G16" s="23"/>
    </row>
    <row r="17" spans="1:7" ht="65.55" customHeight="1" x14ac:dyDescent="0.3">
      <c r="A17" s="33" t="s">
        <v>58</v>
      </c>
      <c r="B17" s="35" t="s">
        <v>59</v>
      </c>
      <c r="C17" s="24" t="s">
        <v>60</v>
      </c>
      <c r="D17" s="25" t="s">
        <v>57</v>
      </c>
      <c r="E17" s="25" t="s">
        <v>36</v>
      </c>
      <c r="F17" s="25" t="s">
        <v>85</v>
      </c>
      <c r="G17" s="23"/>
    </row>
    <row r="18" spans="1:7" x14ac:dyDescent="0.3">
      <c r="C18" s="8"/>
      <c r="D18" s="8"/>
      <c r="E18" s="8"/>
      <c r="F18" s="8"/>
    </row>
    <row r="19" spans="1:7" x14ac:dyDescent="0.3">
      <c r="C19" s="8"/>
      <c r="D19" s="8"/>
      <c r="E19" s="8"/>
      <c r="F19" s="8"/>
    </row>
    <row r="20" spans="1:7" x14ac:dyDescent="0.3">
      <c r="C20" s="8"/>
      <c r="D20" s="8"/>
      <c r="E20" s="8"/>
      <c r="F20" s="8"/>
    </row>
    <row r="21" spans="1:7" x14ac:dyDescent="0.3">
      <c r="C21" s="8"/>
      <c r="D21" s="8"/>
      <c r="E21" s="8"/>
      <c r="F21" s="8"/>
    </row>
    <row r="22" spans="1:7" x14ac:dyDescent="0.3">
      <c r="C22" s="8"/>
      <c r="D22" s="8"/>
      <c r="E22" s="8"/>
      <c r="F22" s="8"/>
    </row>
    <row r="23" spans="1:7" x14ac:dyDescent="0.3">
      <c r="C23" s="8"/>
      <c r="D23" s="8"/>
      <c r="E23" s="8"/>
      <c r="F23" s="8"/>
    </row>
    <row r="24" spans="1:7" x14ac:dyDescent="0.3">
      <c r="C24" s="8"/>
      <c r="D24" s="8"/>
      <c r="E24" s="8"/>
      <c r="F24" s="8"/>
    </row>
    <row r="25" spans="1:7" x14ac:dyDescent="0.3">
      <c r="C25" s="8"/>
      <c r="D25" s="8"/>
      <c r="E25" s="8"/>
      <c r="F25" s="8"/>
    </row>
    <row r="26" spans="1:7" x14ac:dyDescent="0.3">
      <c r="C26" s="8"/>
      <c r="D26" s="8"/>
      <c r="E26" s="8"/>
      <c r="F26" s="8"/>
    </row>
    <row r="27" spans="1:7" x14ac:dyDescent="0.3">
      <c r="C27" s="8"/>
      <c r="D27" s="8"/>
      <c r="E27" s="8"/>
      <c r="F27" s="8"/>
    </row>
    <row r="28" spans="1:7" x14ac:dyDescent="0.3">
      <c r="C28" s="8"/>
      <c r="D28" s="8"/>
      <c r="E28" s="8"/>
      <c r="F28" s="8"/>
    </row>
    <row r="29" spans="1:7" x14ac:dyDescent="0.3">
      <c r="C29" s="8"/>
      <c r="D29" s="8"/>
      <c r="E29" s="8"/>
      <c r="F29" s="8"/>
    </row>
    <row r="30" spans="1:7" x14ac:dyDescent="0.3">
      <c r="C30" s="8"/>
      <c r="D30" s="8"/>
      <c r="E30" s="8"/>
      <c r="F30" s="8"/>
    </row>
    <row r="31" spans="1:7" x14ac:dyDescent="0.3">
      <c r="C31" s="8"/>
      <c r="D31" s="8"/>
      <c r="E31" s="8"/>
      <c r="F31" s="8"/>
    </row>
    <row r="32" spans="1:7" x14ac:dyDescent="0.3">
      <c r="C32" s="8"/>
      <c r="D32" s="8"/>
      <c r="E32" s="8"/>
      <c r="F32" s="8"/>
    </row>
  </sheetData>
  <mergeCells count="4">
    <mergeCell ref="A1:G1"/>
    <mergeCell ref="A3:G3"/>
    <mergeCell ref="A15:G15"/>
    <mergeCell ref="A11:G11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CoverSheet</vt:lpstr>
      <vt:lpstr>Definitions</vt:lpstr>
      <vt:lpstr>heatmap</vt:lpstr>
      <vt:lpstr>input&amp;output of each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Tu, Qingshi</dc:creator>
  <cp:lastModifiedBy>Marin PELLAN</cp:lastModifiedBy>
  <dcterms:created xsi:type="dcterms:W3CDTF">2022-03-11T03:50:09Z</dcterms:created>
  <dcterms:modified xsi:type="dcterms:W3CDTF">2025-02-13T22:05:33Z</dcterms:modified>
</cp:coreProperties>
</file>