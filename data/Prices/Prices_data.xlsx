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Prices/"/>
    </mc:Choice>
  </mc:AlternateContent>
  <xr:revisionPtr revIDLastSave="458" documentId="13_ncr:9_{F62047AF-F3A2-4C22-8968-B3120DE95FF2}" xr6:coauthVersionLast="47" xr6:coauthVersionMax="47" xr10:uidLastSave="{F97160AD-C6FC-4667-9F7F-97D34292217A}"/>
  <bookViews>
    <workbookView xWindow="-28920" yWindow="-705" windowWidth="29040" windowHeight="15720" activeTab="1" xr2:uid="{EC527E92-74B5-47BF-A0A5-1376B6EBFE76}"/>
  </bookViews>
  <sheets>
    <sheet name="README" sheetId="2" r:id="rId1"/>
    <sheet name="data" sheetId="5" r:id="rId2"/>
    <sheet name="Can_export_2013_2023" sheetId="4" r:id="rId3"/>
    <sheet name="Lai2025_SI2" sheetId="3" r:id="rId4"/>
    <sheet name="MAC" sheetId="6" r:id="rId5"/>
  </sheets>
  <definedNames>
    <definedName name="_xlnm._FilterDatabase" localSheetId="2" hidden="1">Can_export_2013_2023!$A$1:$G$1</definedName>
    <definedName name="_xlnm._FilterDatabase" localSheetId="1" hidden="1">data!$A$1:$D$1</definedName>
    <definedName name="_xlnm._FilterDatabase" localSheetId="3" hidden="1">Lai2025_SI2!$A$1:$D$1</definedName>
    <definedName name="_xlnm._FilterDatabase" localSheetId="4" hidden="1">MAC!$A$1:$G$1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6" l="1"/>
  <c r="F19" i="6"/>
  <c r="F20" i="6"/>
  <c r="F21" i="6"/>
  <c r="F22" i="6"/>
  <c r="F18" i="6"/>
  <c r="F17" i="6"/>
  <c r="F16" i="6"/>
  <c r="F15" i="6"/>
  <c r="F14" i="6"/>
  <c r="F13" i="6"/>
  <c r="F10" i="6"/>
  <c r="F11" i="6"/>
  <c r="F12" i="6"/>
  <c r="F9" i="6"/>
  <c r="F8" i="6"/>
  <c r="F2" i="6"/>
  <c r="F3" i="6"/>
  <c r="F4" i="6"/>
  <c r="F5" i="6"/>
  <c r="F6" i="6"/>
  <c r="F7" i="6"/>
  <c r="C11" i="5"/>
  <c r="C10" i="5"/>
  <c r="C9" i="5"/>
  <c r="C8" i="5"/>
  <c r="C7" i="5"/>
  <c r="C6" i="5"/>
  <c r="C5" i="5"/>
  <c r="C4" i="5"/>
  <c r="C3" i="5"/>
  <c r="C2" i="5"/>
</calcChain>
</file>

<file path=xl/sharedStrings.xml><?xml version="1.0" encoding="utf-8"?>
<sst xmlns="http://schemas.openxmlformats.org/spreadsheetml/2006/main" count="325" uniqueCount="158">
  <si>
    <t>Commodity</t>
  </si>
  <si>
    <t>Associated_commodity</t>
  </si>
  <si>
    <t>Iron</t>
  </si>
  <si>
    <t>Manganese</t>
  </si>
  <si>
    <t>Copper</t>
  </si>
  <si>
    <t>Nickel</t>
  </si>
  <si>
    <t>Aluminium</t>
  </si>
  <si>
    <t>Lead</t>
  </si>
  <si>
    <t>Zinc</t>
  </si>
  <si>
    <t>Chromium</t>
  </si>
  <si>
    <t>Tungsten</t>
  </si>
  <si>
    <t>Uranium</t>
  </si>
  <si>
    <t>Molybdenum</t>
  </si>
  <si>
    <t>Titanium</t>
  </si>
  <si>
    <t>Zirconium</t>
  </si>
  <si>
    <t>Niobium</t>
  </si>
  <si>
    <t>Silver</t>
  </si>
  <si>
    <t>Commodity (as defined in HS code)</t>
  </si>
  <si>
    <t>Aluminium; unwrought, (not alloyed)</t>
  </si>
  <si>
    <t>Price_reference_period</t>
  </si>
  <si>
    <t>Price_(USD/kg)</t>
  </si>
  <si>
    <t>Ferro-alloys; ferro-nickel</t>
  </si>
  <si>
    <t>Nickel; unwrought, not alloyed</t>
  </si>
  <si>
    <t>Sulphates; of nickel</t>
  </si>
  <si>
    <t>2014-2023 (9 years)</t>
  </si>
  <si>
    <t>2013-2023 (10 years)</t>
  </si>
  <si>
    <t>2018-2023 (5 years)</t>
  </si>
  <si>
    <t>Iron or steel, pig iron, spiegeleisen; granules thereof</t>
  </si>
  <si>
    <t>Data_sources</t>
  </si>
  <si>
    <t>Argus Media, 2024</t>
  </si>
  <si>
    <t>Trading Economics, 2024</t>
  </si>
  <si>
    <t>Cobalt oxides and hydroxides; commercial cobalt oxides</t>
  </si>
  <si>
    <t>(CoSO4) Cobalt; mattes and other intermediate products of cobalt metallurgy, unwrought cobalt, powders</t>
  </si>
  <si>
    <t>(Co metal) Cobalt; mattes and other intermediate products of cobalt metallurgy, unwrought cobalt, powders</t>
  </si>
  <si>
    <t>Cobalt</t>
  </si>
  <si>
    <t>2016-2023 (7 years)</t>
  </si>
  <si>
    <t>LME, 2024</t>
  </si>
  <si>
    <t>Copper; refined, unwrought</t>
  </si>
  <si>
    <t>Zinc; unwrought, (not alloyed)</t>
  </si>
  <si>
    <t>Zinc; oxide and peroxide</t>
  </si>
  <si>
    <t>2019-2023 (4 years)</t>
  </si>
  <si>
    <t>SMM, 2024</t>
  </si>
  <si>
    <t>Molybdenum oxides and hydroxides</t>
  </si>
  <si>
    <t>Salts; molybdates</t>
  </si>
  <si>
    <t>Molybdenum; unwrought, including bars and rods obtained simply by sintering</t>
  </si>
  <si>
    <t>2023 (1 year)</t>
  </si>
  <si>
    <t>2017-2023 (6 years)</t>
  </si>
  <si>
    <t>Merck, 2024</t>
  </si>
  <si>
    <t>Metals; silver powder / unwrought, (but not powder)</t>
  </si>
  <si>
    <t>LMBA, 2024</t>
  </si>
  <si>
    <t>Ferro-alloys; ferro-niobium</t>
  </si>
  <si>
    <t>Gallium, germanium, hafnium, indium, niobium (columbium), rhenium and vanadium; articles thereof, other than unwrought including waste and scrap and powders</t>
  </si>
  <si>
    <t>Cadmium</t>
  </si>
  <si>
    <t>Cadmium; unwrought, powders</t>
  </si>
  <si>
    <t>Metals; gold, non-monetary, unwrought (but not powder)</t>
  </si>
  <si>
    <t>Gold</t>
  </si>
  <si>
    <t>Lead; unwrought, refined</t>
  </si>
  <si>
    <t>Lead LME cash in warehouse</t>
  </si>
  <si>
    <t>Boron; tellurium</t>
  </si>
  <si>
    <t>Tellurium</t>
  </si>
  <si>
    <t>mean_price_per_kg</t>
  </si>
  <si>
    <t>std_price_per_kg</t>
  </si>
  <si>
    <t>n_records</t>
  </si>
  <si>
    <t>start_date</t>
  </si>
  <si>
    <t>end_date</t>
  </si>
  <si>
    <t>2601.11.10 - Iron ores concentrated, non-agglomerated, other than roasted iron pyrites</t>
  </si>
  <si>
    <t>2601.11.90 - Iron ores not concentrated, non-agglomerated, other than roasted iron pyrites</t>
  </si>
  <si>
    <t>2601.12.00 - Iron ores and concentrates, o/t roasted iron pyrites, agglomerated</t>
  </si>
  <si>
    <t>2601.20.00 - Roasted iron pyrites (pyrites cinders)</t>
  </si>
  <si>
    <t>2602.00.00 - Manganese ores and conc etc</t>
  </si>
  <si>
    <t>2603.00.10 - Copper ores and concentrates, copper content</t>
  </si>
  <si>
    <t>2603.00.40 - Copper ores and concentrates, silver content</t>
  </si>
  <si>
    <t>2603.00.50 - Copper ores and concentrates, gold content</t>
  </si>
  <si>
    <t>2603.00.90 - Copper ores and concentrates, nes</t>
  </si>
  <si>
    <t>2604.00.40 - Nickel ores and concentrates, nickel content</t>
  </si>
  <si>
    <t>2604.00.90 - Nickel ores and concentrates, nes</t>
  </si>
  <si>
    <t>2605.00.00 - Cobalt ores and concentrates</t>
  </si>
  <si>
    <t>2606.00.00 - Aluminium ores and concentrates</t>
  </si>
  <si>
    <t>2607.00.20 - Lead ores and concentrates, lead content</t>
  </si>
  <si>
    <t>2607.00.40 - Lead ores and concentrates, silver content</t>
  </si>
  <si>
    <t>2607.00.50 - Lead ores and concentrates, gold content</t>
  </si>
  <si>
    <t>2607.00.90 - Lead ores and concentrates, nes</t>
  </si>
  <si>
    <t>2608.00.20 - Zinc ores and concentrates, lead content</t>
  </si>
  <si>
    <t>2608.00.30 - Zinc ores and concentrates, zinc content</t>
  </si>
  <si>
    <t>2608.00.40 - Zinc ores and concentrates, silver content</t>
  </si>
  <si>
    <t>2608.00.90 - Zinc ores and concentrates, nes</t>
  </si>
  <si>
    <t>2609.00.00 - Tin ores and concentrates</t>
  </si>
  <si>
    <t>2610.00.00 - Chromium ores and concentrates</t>
  </si>
  <si>
    <t>2611.00.00 - Tungsten ores and concentrates</t>
  </si>
  <si>
    <t>2612.10.00 - Uranium ores and concentrates</t>
  </si>
  <si>
    <t>2612.20.00 - Thorium ores and concentrates</t>
  </si>
  <si>
    <t>2613.10.00 - Molybdenum concentrates, roasted</t>
  </si>
  <si>
    <t>2613.90.00 - Molybdenum ores and concentrates nes</t>
  </si>
  <si>
    <t>2614.00.00 - Titanium ores and concentrates</t>
  </si>
  <si>
    <t>2615.10.00 - Zirconium ores and concentrates</t>
  </si>
  <si>
    <t>2615.90.00 - Niobium, tantalum and vanadium ores and concentrates</t>
  </si>
  <si>
    <t>2616.10.40 - Silver ores and concentrates, silver content</t>
  </si>
  <si>
    <t>2616.10.90 - Silver ores and concentrates, nes</t>
  </si>
  <si>
    <t>2616.90.10 - Precious metal ores and concentrates, nes, gold content</t>
  </si>
  <si>
    <t>2616.90.90 - Precious metal ores and concentrates, nes</t>
  </si>
  <si>
    <t>2616.90.90 - Precious metal ores and concentrates, other metals content, nes</t>
  </si>
  <si>
    <t>2617.10.00 - Antimony ores and concentrates</t>
  </si>
  <si>
    <t>2617.90.00 - Ores and concentrates, nes</t>
  </si>
  <si>
    <t>2618.00.00 - Granulated slag (slag sand) from the manufacture of iron or steel</t>
  </si>
  <si>
    <t>2619.00.00 - Slag, dross, o/t granulated slag,scalings and other waste from mfr of iron/steel</t>
  </si>
  <si>
    <t>2620.11.00 - Ash and residues containing hard zinc spelter</t>
  </si>
  <si>
    <t>2620.19.00 - Ash and residues containing mainly zinc nes</t>
  </si>
  <si>
    <t>2620.21.00 - Lead gasoline sludges &amp; lead anti-knock compound sludges, cont mainly lead</t>
  </si>
  <si>
    <t>2620.29.00 - Ash &amp; residues, containing mainly lead, o/t gas sludges, nes</t>
  </si>
  <si>
    <t>2620.30.00 - Ash and residues containing mainly copper</t>
  </si>
  <si>
    <t>2620.40.00 - Ash and residues containing mainly aluminium</t>
  </si>
  <si>
    <t>2620.60.00 - Ash &amp; residues cont arsenic,mercury, thallium/mixt,f extr of arsenic/mfr compds</t>
  </si>
  <si>
    <t>2620.91.00 - Ash &amp; residues cont antimony, beryllium, cadmium, chromium or their mixtures</t>
  </si>
  <si>
    <t>2620.99.10 - Ash and residues containing mainly vanadium</t>
  </si>
  <si>
    <t>2620.99.90 - Ash and residues containing metals or metallic compounds nes</t>
  </si>
  <si>
    <t>2621.10.00 - Ash and residues from the incineration of municipal waste</t>
  </si>
  <si>
    <t>2621.90.00 - Other ash and slag, including seaweed ash (kelp), nes</t>
  </si>
  <si>
    <t>Tin</t>
  </si>
  <si>
    <t>Thorium</t>
  </si>
  <si>
    <t>Precious</t>
  </si>
  <si>
    <t>Antimony</t>
  </si>
  <si>
    <t>Ores</t>
  </si>
  <si>
    <t>Granulated</t>
  </si>
  <si>
    <t>Slag</t>
  </si>
  <si>
    <t>Ash</t>
  </si>
  <si>
    <t>Other</t>
  </si>
  <si>
    <t>Price</t>
  </si>
  <si>
    <t>Source</t>
  </si>
  <si>
    <t>Reference point</t>
  </si>
  <si>
    <t>Usable ore</t>
  </si>
  <si>
    <t>Cu</t>
  </si>
  <si>
    <t>Au</t>
  </si>
  <si>
    <t>Fe</t>
  </si>
  <si>
    <t>Pb</t>
  </si>
  <si>
    <t>Mo</t>
  </si>
  <si>
    <t>Ni</t>
  </si>
  <si>
    <t>Pt</t>
  </si>
  <si>
    <t>U</t>
  </si>
  <si>
    <t>Zn</t>
  </si>
  <si>
    <t>Ag</t>
  </si>
  <si>
    <t>Province</t>
  </si>
  <si>
    <t>kg</t>
  </si>
  <si>
    <t>$000</t>
  </si>
  <si>
    <t>QC</t>
  </si>
  <si>
    <t>ON</t>
  </si>
  <si>
    <t>MB</t>
  </si>
  <si>
    <t>BC</t>
  </si>
  <si>
    <t>Nunavut</t>
  </si>
  <si>
    <t>$/kg</t>
  </si>
  <si>
    <t>Canada</t>
  </si>
  <si>
    <t>Iron ore</t>
  </si>
  <si>
    <t>Unit</t>
  </si>
  <si>
    <t>kt</t>
  </si>
  <si>
    <t>Value</t>
  </si>
  <si>
    <t>t</t>
  </si>
  <si>
    <t>Newfoundland</t>
  </si>
  <si>
    <t>PGMs</t>
  </si>
  <si>
    <t>MAC - The Mining Story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</si>
</sst>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33" borderId="0" xfId="0" applyFill="1"/>
    <xf numFmtId="14" fontId="0" fillId="33" borderId="0" xfId="0" applyNumberFormat="1" applyFill="1"/>
    <xf numFmtId="3" fontId="0" fillId="0" borderId="0" xfId="0" applyNumberFormat="1"/>
    <xf numFmtId="16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7477-A0C3-4719-9752-B259599B9024}">
  <sheetPr>
    <tabColor rgb="FFC00000"/>
  </sheetPr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9CEE-7A62-4AAF-9582-E64513CF4A80}">
  <dimension ref="A1:D11"/>
  <sheetViews>
    <sheetView tabSelected="1" workbookViewId="0">
      <selection activeCell="E17" sqref="E17"/>
    </sheetView>
  </sheetViews>
  <sheetFormatPr baseColWidth="10" defaultRowHeight="14.5" x14ac:dyDescent="0.35"/>
  <cols>
    <col min="1" max="1" width="17.1796875" bestFit="1" customWidth="1"/>
    <col min="2" max="2" width="13.36328125" bestFit="1" customWidth="1"/>
    <col min="3" max="3" width="11.81640625" customWidth="1"/>
    <col min="4" max="4" width="9.26953125" bestFit="1" customWidth="1"/>
  </cols>
  <sheetData>
    <row r="1" spans="1:4" x14ac:dyDescent="0.35">
      <c r="A1" s="2" t="s">
        <v>128</v>
      </c>
      <c r="B1" s="2" t="s">
        <v>0</v>
      </c>
      <c r="C1" s="2" t="s">
        <v>126</v>
      </c>
      <c r="D1" s="2" t="s">
        <v>127</v>
      </c>
    </row>
    <row r="2" spans="1:4" x14ac:dyDescent="0.35">
      <c r="A2" t="s">
        <v>129</v>
      </c>
      <c r="B2" t="s">
        <v>130</v>
      </c>
      <c r="C2">
        <f>Lai2025_SI2!D7</f>
        <v>6.9</v>
      </c>
    </row>
    <row r="3" spans="1:4" x14ac:dyDescent="0.35">
      <c r="A3" t="s">
        <v>129</v>
      </c>
      <c r="B3" t="s">
        <v>131</v>
      </c>
      <c r="C3">
        <f>Lai2025_SI2!D8</f>
        <v>51793.135000000002</v>
      </c>
    </row>
    <row r="4" spans="1:4" x14ac:dyDescent="0.35">
      <c r="A4" t="s">
        <v>129</v>
      </c>
      <c r="B4" t="s">
        <v>132</v>
      </c>
      <c r="C4">
        <f>Lai2025_SI2!D9</f>
        <v>15.31</v>
      </c>
    </row>
    <row r="5" spans="1:4" x14ac:dyDescent="0.35">
      <c r="A5" t="s">
        <v>129</v>
      </c>
      <c r="B5" t="s">
        <v>133</v>
      </c>
      <c r="C5">
        <f>Lai2025_SI2!D11</f>
        <v>2.0625835737454548</v>
      </c>
    </row>
    <row r="6" spans="1:4" x14ac:dyDescent="0.35">
      <c r="A6" t="s">
        <v>129</v>
      </c>
      <c r="B6" t="s">
        <v>134</v>
      </c>
      <c r="C6">
        <f>Lai2025_SI2!D12</f>
        <v>29.24</v>
      </c>
    </row>
    <row r="7" spans="1:4" x14ac:dyDescent="0.35">
      <c r="A7" t="s">
        <v>129</v>
      </c>
      <c r="B7" t="s">
        <v>135</v>
      </c>
      <c r="C7">
        <f>Lai2025_SI2!D17</f>
        <v>4.01</v>
      </c>
    </row>
    <row r="8" spans="1:4" x14ac:dyDescent="0.35">
      <c r="A8" t="s">
        <v>129</v>
      </c>
      <c r="B8" t="s">
        <v>136</v>
      </c>
      <c r="C8">
        <f>Lai2025_SI2!D8</f>
        <v>51793.135000000002</v>
      </c>
    </row>
    <row r="9" spans="1:4" x14ac:dyDescent="0.35">
      <c r="A9" t="s">
        <v>129</v>
      </c>
      <c r="B9" t="s">
        <v>139</v>
      </c>
      <c r="C9">
        <f>Lai2025_SI2!D20</f>
        <v>672.13</v>
      </c>
    </row>
    <row r="10" spans="1:4" x14ac:dyDescent="0.35">
      <c r="A10" t="s">
        <v>129</v>
      </c>
      <c r="B10" t="s">
        <v>137</v>
      </c>
      <c r="C10">
        <f>Lai2025_SI2!D2</f>
        <v>2</v>
      </c>
    </row>
    <row r="11" spans="1:4" x14ac:dyDescent="0.35">
      <c r="A11" t="s">
        <v>129</v>
      </c>
      <c r="B11" t="s">
        <v>138</v>
      </c>
      <c r="C11">
        <f>Lai2025_SI2!D22</f>
        <v>2.5793145391818189</v>
      </c>
    </row>
  </sheetData>
  <autoFilter ref="A1:D1" xr:uid="{7E159CEE-7A62-4AAF-9582-E64513CF4A80}">
    <sortState xmlns:xlrd2="http://schemas.microsoft.com/office/spreadsheetml/2017/richdata2" ref="A2:D11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E840-13CB-45DD-817C-280619F1AE0C}">
  <dimension ref="A1:G53"/>
  <sheetViews>
    <sheetView workbookViewId="0">
      <selection activeCell="B7" sqref="B7"/>
    </sheetView>
  </sheetViews>
  <sheetFormatPr baseColWidth="10" defaultRowHeight="14.5" x14ac:dyDescent="0.35"/>
  <cols>
    <col min="1" max="1" width="79.90625" bestFit="1" customWidth="1"/>
    <col min="2" max="2" width="79.90625" customWidth="1"/>
    <col min="3" max="3" width="19.453125" bestFit="1" customWidth="1"/>
    <col min="4" max="4" width="17.7265625" bestFit="1" customWidth="1"/>
    <col min="5" max="6" width="11.54296875" bestFit="1" customWidth="1"/>
    <col min="7" max="7" width="10.90625" bestFit="1" customWidth="1"/>
  </cols>
  <sheetData>
    <row r="1" spans="1:7" x14ac:dyDescent="0.35">
      <c r="A1" s="2" t="s">
        <v>0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</row>
    <row r="2" spans="1:7" x14ac:dyDescent="0.35">
      <c r="A2" t="s">
        <v>77</v>
      </c>
      <c r="B2" t="s">
        <v>6</v>
      </c>
      <c r="C2">
        <v>0.60970000000000002</v>
      </c>
      <c r="D2">
        <v>0.57050000000000001</v>
      </c>
      <c r="E2">
        <v>41</v>
      </c>
      <c r="F2" s="1">
        <v>41275</v>
      </c>
      <c r="G2" s="1">
        <v>45292</v>
      </c>
    </row>
    <row r="3" spans="1:7" x14ac:dyDescent="0.35">
      <c r="A3" t="s">
        <v>101</v>
      </c>
      <c r="B3" t="s">
        <v>120</v>
      </c>
      <c r="C3">
        <v>4.899</v>
      </c>
      <c r="D3">
        <v>5.4191000000000003</v>
      </c>
      <c r="E3">
        <v>22</v>
      </c>
      <c r="F3" s="1">
        <v>41275</v>
      </c>
      <c r="G3" s="1">
        <v>44927</v>
      </c>
    </row>
    <row r="4" spans="1:7" x14ac:dyDescent="0.35">
      <c r="A4" t="s">
        <v>105</v>
      </c>
      <c r="B4" t="s">
        <v>124</v>
      </c>
      <c r="C4">
        <v>2.5667</v>
      </c>
      <c r="D4">
        <v>0.63460000000000005</v>
      </c>
      <c r="E4">
        <v>54</v>
      </c>
      <c r="F4" s="1">
        <v>41275</v>
      </c>
      <c r="G4" s="1">
        <v>45292</v>
      </c>
    </row>
    <row r="5" spans="1:7" x14ac:dyDescent="0.35">
      <c r="A5" t="s">
        <v>106</v>
      </c>
      <c r="B5" t="s">
        <v>124</v>
      </c>
      <c r="C5">
        <v>645.452</v>
      </c>
      <c r="D5">
        <v>3494.4142999999999</v>
      </c>
      <c r="E5">
        <v>181</v>
      </c>
      <c r="F5" s="1">
        <v>41275</v>
      </c>
      <c r="G5" s="1">
        <v>45292</v>
      </c>
    </row>
    <row r="6" spans="1:7" x14ac:dyDescent="0.35">
      <c r="A6" t="s">
        <v>108</v>
      </c>
      <c r="B6" t="s">
        <v>124</v>
      </c>
      <c r="C6">
        <v>109.13</v>
      </c>
      <c r="D6">
        <v>757.88630000000001</v>
      </c>
      <c r="E6">
        <v>50</v>
      </c>
      <c r="F6" s="1">
        <v>41275</v>
      </c>
      <c r="G6" s="1">
        <v>45292</v>
      </c>
    </row>
    <row r="7" spans="1:7" x14ac:dyDescent="0.35">
      <c r="A7" t="s">
        <v>109</v>
      </c>
      <c r="B7" t="s">
        <v>124</v>
      </c>
      <c r="C7">
        <v>5.7150999999999996</v>
      </c>
      <c r="D7">
        <v>3.9102000000000001</v>
      </c>
      <c r="E7">
        <v>100</v>
      </c>
      <c r="F7" s="1">
        <v>41275</v>
      </c>
      <c r="G7" s="1">
        <v>45292</v>
      </c>
    </row>
    <row r="8" spans="1:7" x14ac:dyDescent="0.35">
      <c r="A8" t="s">
        <v>110</v>
      </c>
      <c r="B8" t="s">
        <v>124</v>
      </c>
      <c r="C8">
        <v>29.2743</v>
      </c>
      <c r="D8">
        <v>225.9691</v>
      </c>
      <c r="E8">
        <v>139</v>
      </c>
      <c r="F8" s="1">
        <v>41275</v>
      </c>
      <c r="G8" s="1">
        <v>45292</v>
      </c>
    </row>
    <row r="9" spans="1:7" x14ac:dyDescent="0.35">
      <c r="A9" t="s">
        <v>111</v>
      </c>
      <c r="B9" t="s">
        <v>124</v>
      </c>
      <c r="C9">
        <v>3.1646000000000001</v>
      </c>
      <c r="E9">
        <v>1</v>
      </c>
      <c r="F9" s="1">
        <v>43466</v>
      </c>
      <c r="G9" s="1">
        <v>43466</v>
      </c>
    </row>
    <row r="10" spans="1:7" x14ac:dyDescent="0.35">
      <c r="A10" t="s">
        <v>112</v>
      </c>
      <c r="B10" t="s">
        <v>124</v>
      </c>
      <c r="C10">
        <v>193.0624</v>
      </c>
      <c r="D10">
        <v>382.01510000000002</v>
      </c>
      <c r="E10">
        <v>15</v>
      </c>
      <c r="F10" s="1">
        <v>41275</v>
      </c>
      <c r="G10" s="1">
        <v>44927</v>
      </c>
    </row>
    <row r="11" spans="1:7" x14ac:dyDescent="0.35">
      <c r="A11" t="s">
        <v>113</v>
      </c>
      <c r="B11" t="s">
        <v>124</v>
      </c>
      <c r="C11">
        <v>3.3130999999999999</v>
      </c>
      <c r="D11">
        <v>3.9660000000000002</v>
      </c>
      <c r="E11">
        <v>17</v>
      </c>
      <c r="F11" s="1">
        <v>41275</v>
      </c>
      <c r="G11" s="1">
        <v>44197</v>
      </c>
    </row>
    <row r="12" spans="1:7" x14ac:dyDescent="0.35">
      <c r="A12" t="s">
        <v>114</v>
      </c>
      <c r="B12" t="s">
        <v>124</v>
      </c>
      <c r="C12">
        <v>730.90840000000003</v>
      </c>
      <c r="D12">
        <v>7417.0727999999999</v>
      </c>
      <c r="E12">
        <v>220</v>
      </c>
      <c r="F12" s="1">
        <v>41275</v>
      </c>
      <c r="G12" s="1">
        <v>45292</v>
      </c>
    </row>
    <row r="13" spans="1:7" x14ac:dyDescent="0.35">
      <c r="A13" t="s">
        <v>115</v>
      </c>
      <c r="B13" t="s">
        <v>124</v>
      </c>
      <c r="C13">
        <v>0.46800000000000003</v>
      </c>
      <c r="D13">
        <v>0.53210000000000002</v>
      </c>
      <c r="E13">
        <v>5</v>
      </c>
      <c r="F13" s="1">
        <v>41640</v>
      </c>
      <c r="G13" s="1">
        <v>44197</v>
      </c>
    </row>
    <row r="14" spans="1:7" x14ac:dyDescent="0.35">
      <c r="A14" t="s">
        <v>87</v>
      </c>
      <c r="B14" t="s">
        <v>9</v>
      </c>
      <c r="C14">
        <v>1.4352</v>
      </c>
      <c r="D14">
        <v>2.0562</v>
      </c>
      <c r="E14">
        <v>24</v>
      </c>
      <c r="F14" s="1">
        <v>41275</v>
      </c>
      <c r="G14" s="1">
        <v>44927</v>
      </c>
    </row>
    <row r="15" spans="1:7" x14ac:dyDescent="0.35">
      <c r="A15" t="s">
        <v>76</v>
      </c>
      <c r="B15" t="s">
        <v>34</v>
      </c>
      <c r="C15">
        <v>236.57820000000001</v>
      </c>
      <c r="D15">
        <v>571.4579</v>
      </c>
      <c r="E15">
        <v>12</v>
      </c>
      <c r="F15" s="1">
        <v>41640</v>
      </c>
      <c r="G15" s="1">
        <v>45292</v>
      </c>
    </row>
    <row r="16" spans="1:7" s="3" customFormat="1" x14ac:dyDescent="0.35">
      <c r="A16" s="3" t="s">
        <v>70</v>
      </c>
      <c r="B16" s="3" t="s">
        <v>4</v>
      </c>
      <c r="C16" s="3">
        <v>29.670500000000001</v>
      </c>
      <c r="D16" s="3">
        <v>300.33569999999997</v>
      </c>
      <c r="E16" s="3">
        <v>217</v>
      </c>
      <c r="F16" s="4">
        <v>41275</v>
      </c>
      <c r="G16" s="4">
        <v>45292</v>
      </c>
    </row>
    <row r="17" spans="1:7" x14ac:dyDescent="0.35">
      <c r="A17" t="s">
        <v>71</v>
      </c>
      <c r="B17" t="s">
        <v>4</v>
      </c>
      <c r="C17">
        <v>797.34100000000001</v>
      </c>
      <c r="D17">
        <v>208.92660000000001</v>
      </c>
      <c r="E17">
        <v>83</v>
      </c>
      <c r="F17" s="1">
        <v>42736</v>
      </c>
      <c r="G17" s="1">
        <v>45292</v>
      </c>
    </row>
    <row r="18" spans="1:7" x14ac:dyDescent="0.35">
      <c r="A18" t="s">
        <v>72</v>
      </c>
      <c r="B18" t="s">
        <v>4</v>
      </c>
      <c r="C18">
        <v>62894.626199999999</v>
      </c>
      <c r="D18">
        <v>18776.402699999999</v>
      </c>
      <c r="E18">
        <v>83</v>
      </c>
      <c r="F18" s="1">
        <v>42736</v>
      </c>
      <c r="G18" s="1">
        <v>45292</v>
      </c>
    </row>
    <row r="19" spans="1:7" x14ac:dyDescent="0.35">
      <c r="A19" t="s">
        <v>73</v>
      </c>
      <c r="B19" t="s">
        <v>4</v>
      </c>
      <c r="C19">
        <v>25.096499999999999</v>
      </c>
      <c r="D19">
        <v>22.805299999999999</v>
      </c>
      <c r="E19">
        <v>62</v>
      </c>
      <c r="F19" s="1">
        <v>41275</v>
      </c>
      <c r="G19" s="1">
        <v>45292</v>
      </c>
    </row>
    <row r="20" spans="1:7" x14ac:dyDescent="0.35">
      <c r="A20" t="s">
        <v>103</v>
      </c>
      <c r="B20" t="s">
        <v>122</v>
      </c>
      <c r="C20">
        <v>0.51100000000000001</v>
      </c>
      <c r="D20">
        <v>0.72550000000000003</v>
      </c>
      <c r="E20">
        <v>114</v>
      </c>
      <c r="F20" s="1">
        <v>41275</v>
      </c>
      <c r="G20" s="1">
        <v>45292</v>
      </c>
    </row>
    <row r="21" spans="1:7" x14ac:dyDescent="0.35">
      <c r="A21" t="s">
        <v>65</v>
      </c>
      <c r="B21" t="s">
        <v>2</v>
      </c>
      <c r="C21">
        <v>0.1351</v>
      </c>
      <c r="D21">
        <v>9.7000000000000003E-2</v>
      </c>
      <c r="E21">
        <v>194</v>
      </c>
      <c r="F21" s="1">
        <v>41275</v>
      </c>
      <c r="G21" s="1">
        <v>45292</v>
      </c>
    </row>
    <row r="22" spans="1:7" x14ac:dyDescent="0.35">
      <c r="A22" t="s">
        <v>66</v>
      </c>
      <c r="B22" t="s">
        <v>2</v>
      </c>
      <c r="C22">
        <v>0.17499999999999999</v>
      </c>
      <c r="D22">
        <v>0.1348</v>
      </c>
      <c r="E22">
        <v>95</v>
      </c>
      <c r="F22" s="1">
        <v>41275</v>
      </c>
      <c r="G22" s="1">
        <v>45292</v>
      </c>
    </row>
    <row r="23" spans="1:7" x14ac:dyDescent="0.35">
      <c r="A23" t="s">
        <v>67</v>
      </c>
      <c r="B23" t="s">
        <v>2</v>
      </c>
      <c r="C23">
        <v>0.1573</v>
      </c>
      <c r="D23">
        <v>5.1900000000000002E-2</v>
      </c>
      <c r="E23">
        <v>250</v>
      </c>
      <c r="F23" s="1">
        <v>41275</v>
      </c>
      <c r="G23" s="1">
        <v>45292</v>
      </c>
    </row>
    <row r="24" spans="1:7" x14ac:dyDescent="0.35">
      <c r="A24" t="s">
        <v>68</v>
      </c>
      <c r="B24" t="s">
        <v>2</v>
      </c>
      <c r="C24">
        <v>0.25090000000000001</v>
      </c>
      <c r="D24">
        <v>0.4451</v>
      </c>
      <c r="E24">
        <v>6</v>
      </c>
      <c r="F24" s="1">
        <v>41275</v>
      </c>
      <c r="G24" s="1">
        <v>43466</v>
      </c>
    </row>
    <row r="25" spans="1:7" x14ac:dyDescent="0.35">
      <c r="A25" t="s">
        <v>78</v>
      </c>
      <c r="B25" t="s">
        <v>7</v>
      </c>
      <c r="C25">
        <v>12.408200000000001</v>
      </c>
      <c r="D25">
        <v>42.609900000000003</v>
      </c>
      <c r="E25">
        <v>50</v>
      </c>
      <c r="F25" s="1">
        <v>41275</v>
      </c>
      <c r="G25" s="1">
        <v>45292</v>
      </c>
    </row>
    <row r="26" spans="1:7" x14ac:dyDescent="0.35">
      <c r="A26" t="s">
        <v>79</v>
      </c>
      <c r="B26" t="s">
        <v>7</v>
      </c>
      <c r="C26">
        <v>974.11249999999995</v>
      </c>
      <c r="D26">
        <v>230.38929999999999</v>
      </c>
      <c r="E26">
        <v>15</v>
      </c>
      <c r="F26" s="1">
        <v>42736</v>
      </c>
      <c r="G26" s="1">
        <v>45292</v>
      </c>
    </row>
    <row r="27" spans="1:7" x14ac:dyDescent="0.35">
      <c r="A27" t="s">
        <v>80</v>
      </c>
      <c r="B27" t="s">
        <v>7</v>
      </c>
      <c r="C27">
        <v>86728.0527</v>
      </c>
      <c r="D27">
        <v>15103.772300000001</v>
      </c>
      <c r="E27">
        <v>6</v>
      </c>
      <c r="F27" s="1">
        <v>44197</v>
      </c>
      <c r="G27" s="1">
        <v>45292</v>
      </c>
    </row>
    <row r="28" spans="1:7" x14ac:dyDescent="0.35">
      <c r="A28" t="s">
        <v>107</v>
      </c>
      <c r="B28" t="s">
        <v>7</v>
      </c>
      <c r="C28">
        <v>0.27579999999999999</v>
      </c>
      <c r="E28">
        <v>1</v>
      </c>
      <c r="F28" s="1">
        <v>45292</v>
      </c>
      <c r="G28" s="1">
        <v>45292</v>
      </c>
    </row>
    <row r="29" spans="1:7" x14ac:dyDescent="0.35">
      <c r="A29" t="s">
        <v>69</v>
      </c>
      <c r="B29" t="s">
        <v>3</v>
      </c>
      <c r="C29">
        <v>6.2380000000000004</v>
      </c>
      <c r="D29">
        <v>12.3893</v>
      </c>
      <c r="E29">
        <v>15</v>
      </c>
      <c r="F29" s="1">
        <v>41640</v>
      </c>
      <c r="G29" s="1">
        <v>45292</v>
      </c>
    </row>
    <row r="30" spans="1:7" x14ac:dyDescent="0.35">
      <c r="A30" t="s">
        <v>91</v>
      </c>
      <c r="B30" t="s">
        <v>12</v>
      </c>
      <c r="C30">
        <v>194.52350000000001</v>
      </c>
      <c r="D30">
        <v>606.37519999999995</v>
      </c>
      <c r="E30">
        <v>13</v>
      </c>
      <c r="F30" s="1">
        <v>41275</v>
      </c>
      <c r="G30" s="1">
        <v>44927</v>
      </c>
    </row>
    <row r="31" spans="1:7" x14ac:dyDescent="0.35">
      <c r="A31" t="s">
        <v>92</v>
      </c>
      <c r="B31" t="s">
        <v>12</v>
      </c>
      <c r="C31">
        <v>19.101199999999999</v>
      </c>
      <c r="D31">
        <v>11.3949</v>
      </c>
      <c r="E31">
        <v>101</v>
      </c>
      <c r="F31" s="1">
        <v>41275</v>
      </c>
      <c r="G31" s="1">
        <v>45292</v>
      </c>
    </row>
    <row r="32" spans="1:7" x14ac:dyDescent="0.35">
      <c r="A32" t="s">
        <v>74</v>
      </c>
      <c r="B32" t="s">
        <v>5</v>
      </c>
      <c r="C32">
        <v>19.633500000000002</v>
      </c>
      <c r="D32">
        <v>8.2157999999999998</v>
      </c>
      <c r="E32">
        <v>46</v>
      </c>
      <c r="F32" s="1">
        <v>41640</v>
      </c>
      <c r="G32" s="1">
        <v>45292</v>
      </c>
    </row>
    <row r="33" spans="1:7" x14ac:dyDescent="0.35">
      <c r="A33" t="s">
        <v>75</v>
      </c>
      <c r="B33" t="s">
        <v>5</v>
      </c>
      <c r="C33">
        <v>6062.4070000000002</v>
      </c>
      <c r="D33">
        <v>10575.3619</v>
      </c>
      <c r="E33">
        <v>22</v>
      </c>
      <c r="F33" s="1">
        <v>41275</v>
      </c>
      <c r="G33" s="1">
        <v>45292</v>
      </c>
    </row>
    <row r="34" spans="1:7" x14ac:dyDescent="0.35">
      <c r="A34" t="s">
        <v>95</v>
      </c>
      <c r="B34" t="s">
        <v>15</v>
      </c>
      <c r="C34">
        <v>89.033799999999999</v>
      </c>
      <c r="D34">
        <v>328.27659999999997</v>
      </c>
      <c r="E34">
        <v>62</v>
      </c>
      <c r="F34" s="1">
        <v>41275</v>
      </c>
      <c r="G34" s="1">
        <v>45292</v>
      </c>
    </row>
    <row r="35" spans="1:7" x14ac:dyDescent="0.35">
      <c r="A35" t="s">
        <v>102</v>
      </c>
      <c r="B35" t="s">
        <v>121</v>
      </c>
      <c r="C35">
        <v>49.226100000000002</v>
      </c>
      <c r="D35">
        <v>311.04469999999998</v>
      </c>
      <c r="E35">
        <v>332</v>
      </c>
      <c r="F35" s="1">
        <v>41275</v>
      </c>
      <c r="G35" s="1">
        <v>45292</v>
      </c>
    </row>
    <row r="36" spans="1:7" x14ac:dyDescent="0.35">
      <c r="A36" t="s">
        <v>116</v>
      </c>
      <c r="B36" t="s">
        <v>125</v>
      </c>
      <c r="C36">
        <v>0.2646</v>
      </c>
      <c r="D36">
        <v>0.33429999999999999</v>
      </c>
      <c r="E36">
        <v>351</v>
      </c>
      <c r="F36" s="1">
        <v>41275</v>
      </c>
      <c r="G36" s="1">
        <v>45292</v>
      </c>
    </row>
    <row r="37" spans="1:7" x14ac:dyDescent="0.35">
      <c r="A37" t="s">
        <v>98</v>
      </c>
      <c r="B37" t="s">
        <v>119</v>
      </c>
      <c r="C37">
        <v>161540.9037</v>
      </c>
      <c r="D37">
        <v>959359.73880000005</v>
      </c>
      <c r="E37">
        <v>75</v>
      </c>
      <c r="F37" s="1">
        <v>42736</v>
      </c>
      <c r="G37" s="1">
        <v>45292</v>
      </c>
    </row>
    <row r="38" spans="1:7" x14ac:dyDescent="0.35">
      <c r="A38" t="s">
        <v>99</v>
      </c>
      <c r="B38" t="s">
        <v>119</v>
      </c>
      <c r="C38">
        <v>25481.256000000001</v>
      </c>
      <c r="D38">
        <v>35165.731800000001</v>
      </c>
      <c r="E38">
        <v>95</v>
      </c>
      <c r="F38" s="1">
        <v>42736</v>
      </c>
      <c r="G38" s="1">
        <v>45292</v>
      </c>
    </row>
    <row r="39" spans="1:7" x14ac:dyDescent="0.35">
      <c r="A39" t="s">
        <v>100</v>
      </c>
      <c r="B39" t="s">
        <v>119</v>
      </c>
      <c r="C39">
        <v>142.4863</v>
      </c>
      <c r="D39">
        <v>552.76080000000002</v>
      </c>
      <c r="E39">
        <v>24</v>
      </c>
      <c r="F39" s="1">
        <v>41275</v>
      </c>
      <c r="G39" s="1">
        <v>42370</v>
      </c>
    </row>
    <row r="40" spans="1:7" x14ac:dyDescent="0.35">
      <c r="A40" t="s">
        <v>96</v>
      </c>
      <c r="B40" t="s">
        <v>16</v>
      </c>
      <c r="C40">
        <v>523.48220000000003</v>
      </c>
      <c r="D40">
        <v>266.89960000000002</v>
      </c>
      <c r="E40">
        <v>7</v>
      </c>
      <c r="F40" s="1">
        <v>42736</v>
      </c>
      <c r="G40" s="1">
        <v>44927</v>
      </c>
    </row>
    <row r="41" spans="1:7" x14ac:dyDescent="0.35">
      <c r="A41" t="s">
        <v>97</v>
      </c>
      <c r="B41" t="s">
        <v>16</v>
      </c>
      <c r="C41">
        <v>1315.5658000000001</v>
      </c>
      <c r="D41">
        <v>5879.9531999999999</v>
      </c>
      <c r="E41">
        <v>27</v>
      </c>
      <c r="F41" s="1">
        <v>41275</v>
      </c>
      <c r="G41" s="1">
        <v>45292</v>
      </c>
    </row>
    <row r="42" spans="1:7" x14ac:dyDescent="0.35">
      <c r="A42" t="s">
        <v>104</v>
      </c>
      <c r="B42" t="s">
        <v>123</v>
      </c>
      <c r="C42">
        <v>6.4169</v>
      </c>
      <c r="D42">
        <v>23.351600000000001</v>
      </c>
      <c r="E42">
        <v>144</v>
      </c>
      <c r="F42" s="1">
        <v>41275</v>
      </c>
      <c r="G42" s="1">
        <v>45292</v>
      </c>
    </row>
    <row r="43" spans="1:7" x14ac:dyDescent="0.35">
      <c r="A43" t="s">
        <v>90</v>
      </c>
      <c r="B43" t="s">
        <v>118</v>
      </c>
      <c r="C43">
        <v>11.484500000000001</v>
      </c>
      <c r="D43">
        <v>10.064399999999999</v>
      </c>
      <c r="E43">
        <v>4</v>
      </c>
      <c r="F43" s="1">
        <v>41640</v>
      </c>
      <c r="G43" s="1">
        <v>43101</v>
      </c>
    </row>
    <row r="44" spans="1:7" x14ac:dyDescent="0.35">
      <c r="A44" t="s">
        <v>86</v>
      </c>
      <c r="B44" t="s">
        <v>117</v>
      </c>
      <c r="C44">
        <v>1.4217</v>
      </c>
      <c r="D44">
        <v>4.5999999999999999E-3</v>
      </c>
      <c r="E44">
        <v>7</v>
      </c>
      <c r="F44" s="1">
        <v>41275</v>
      </c>
      <c r="G44" s="1">
        <v>45292</v>
      </c>
    </row>
    <row r="45" spans="1:7" x14ac:dyDescent="0.35">
      <c r="A45" t="s">
        <v>93</v>
      </c>
      <c r="B45" t="s">
        <v>13</v>
      </c>
      <c r="C45">
        <v>14.904299999999999</v>
      </c>
      <c r="D45">
        <v>61.967199999999998</v>
      </c>
      <c r="E45">
        <v>43</v>
      </c>
      <c r="F45" s="1">
        <v>41275</v>
      </c>
      <c r="G45" s="1">
        <v>45292</v>
      </c>
    </row>
    <row r="46" spans="1:7" x14ac:dyDescent="0.35">
      <c r="A46" t="s">
        <v>88</v>
      </c>
      <c r="B46" t="s">
        <v>10</v>
      </c>
      <c r="C46">
        <v>218.3194</v>
      </c>
      <c r="D46">
        <v>865.90160000000003</v>
      </c>
      <c r="E46">
        <v>38</v>
      </c>
      <c r="F46" s="1">
        <v>41275</v>
      </c>
      <c r="G46" s="1">
        <v>45292</v>
      </c>
    </row>
    <row r="47" spans="1:7" x14ac:dyDescent="0.35">
      <c r="A47" t="s">
        <v>89</v>
      </c>
      <c r="B47" t="s">
        <v>11</v>
      </c>
      <c r="C47">
        <v>118.9593</v>
      </c>
      <c r="D47">
        <v>160.72069999999999</v>
      </c>
      <c r="E47">
        <v>17</v>
      </c>
      <c r="F47" s="1">
        <v>41275</v>
      </c>
      <c r="G47" s="1">
        <v>45292</v>
      </c>
    </row>
    <row r="48" spans="1:7" x14ac:dyDescent="0.35">
      <c r="A48" t="s">
        <v>81</v>
      </c>
      <c r="B48" t="s">
        <v>8</v>
      </c>
      <c r="C48">
        <v>202.15700000000001</v>
      </c>
      <c r="D48">
        <v>737.75729999999999</v>
      </c>
      <c r="E48">
        <v>29</v>
      </c>
      <c r="F48" s="1">
        <v>41275</v>
      </c>
      <c r="G48" s="1">
        <v>45292</v>
      </c>
    </row>
    <row r="49" spans="1:7" x14ac:dyDescent="0.35">
      <c r="A49" t="s">
        <v>82</v>
      </c>
      <c r="B49" t="s">
        <v>8</v>
      </c>
      <c r="C49">
        <v>2.0299</v>
      </c>
      <c r="D49">
        <v>0.75819999999999999</v>
      </c>
      <c r="E49">
        <v>15</v>
      </c>
      <c r="F49" s="1">
        <v>41275</v>
      </c>
      <c r="G49" s="1">
        <v>45292</v>
      </c>
    </row>
    <row r="50" spans="1:7" x14ac:dyDescent="0.35">
      <c r="A50" t="s">
        <v>83</v>
      </c>
      <c r="B50" t="s">
        <v>8</v>
      </c>
      <c r="C50">
        <v>3.5510000000000002</v>
      </c>
      <c r="D50">
        <v>16.447500000000002</v>
      </c>
      <c r="E50">
        <v>65</v>
      </c>
      <c r="F50" s="1">
        <v>41275</v>
      </c>
      <c r="G50" s="1">
        <v>45292</v>
      </c>
    </row>
    <row r="51" spans="1:7" x14ac:dyDescent="0.35">
      <c r="A51" t="s">
        <v>84</v>
      </c>
      <c r="B51" t="s">
        <v>8</v>
      </c>
      <c r="C51">
        <v>1003.9428</v>
      </c>
      <c r="D51">
        <v>475.62540000000001</v>
      </c>
      <c r="E51">
        <v>19</v>
      </c>
      <c r="F51" s="1">
        <v>43101</v>
      </c>
      <c r="G51" s="1">
        <v>45292</v>
      </c>
    </row>
    <row r="52" spans="1:7" x14ac:dyDescent="0.35">
      <c r="A52" t="s">
        <v>85</v>
      </c>
      <c r="B52" t="s">
        <v>8</v>
      </c>
      <c r="C52">
        <v>3386.4625999999998</v>
      </c>
      <c r="D52">
        <v>9316.0951000000005</v>
      </c>
      <c r="E52">
        <v>25</v>
      </c>
      <c r="F52" s="1">
        <v>41640</v>
      </c>
      <c r="G52" s="1">
        <v>45292</v>
      </c>
    </row>
    <row r="53" spans="1:7" x14ac:dyDescent="0.35">
      <c r="A53" t="s">
        <v>94</v>
      </c>
      <c r="B53" t="s">
        <v>14</v>
      </c>
      <c r="C53">
        <v>7.3554000000000004</v>
      </c>
      <c r="D53">
        <v>9.2791999999999994</v>
      </c>
      <c r="E53">
        <v>65</v>
      </c>
      <c r="F53" s="1">
        <v>41275</v>
      </c>
      <c r="G53" s="1">
        <v>45292</v>
      </c>
    </row>
  </sheetData>
  <autoFilter ref="A1:G1" xr:uid="{875EE840-13CB-45DD-817C-280619F1AE0C}">
    <sortState xmlns:xlrd2="http://schemas.microsoft.com/office/spreadsheetml/2017/richdata2" ref="A2:G53">
      <sortCondition ref="B1"/>
    </sortState>
  </autoFilter>
  <conditionalFormatting sqref="E1:E1048576">
    <cfRule type="cellIs" dxfId="0" priority="1" operator="greaterThan">
      <formula>100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8DA1-998B-481D-86CA-30A2BF44F2CF}">
  <dimension ref="A1:G23"/>
  <sheetViews>
    <sheetView topLeftCell="A7" workbookViewId="0">
      <selection activeCell="C24" sqref="C24"/>
    </sheetView>
  </sheetViews>
  <sheetFormatPr baseColWidth="10" defaultRowHeight="14.5" x14ac:dyDescent="0.35"/>
  <cols>
    <col min="1" max="1" width="47.1796875" customWidth="1"/>
    <col min="2" max="2" width="23.453125" bestFit="1" customWidth="1"/>
    <col min="3" max="3" width="23.54296875" bestFit="1" customWidth="1"/>
    <col min="4" max="4" width="16.08984375" bestFit="1" customWidth="1"/>
    <col min="5" max="5" width="23.90625" bestFit="1" customWidth="1"/>
  </cols>
  <sheetData>
    <row r="1" spans="1:5" s="2" customFormat="1" x14ac:dyDescent="0.35">
      <c r="A1" s="2" t="s">
        <v>17</v>
      </c>
      <c r="B1" s="2" t="s">
        <v>1</v>
      </c>
      <c r="C1" s="2" t="s">
        <v>19</v>
      </c>
      <c r="D1" s="2" t="s">
        <v>20</v>
      </c>
      <c r="E1" s="2" t="s">
        <v>28</v>
      </c>
    </row>
    <row r="2" spans="1:5" x14ac:dyDescent="0.35">
      <c r="A2" t="s">
        <v>18</v>
      </c>
      <c r="B2" t="s">
        <v>6</v>
      </c>
      <c r="C2" t="s">
        <v>25</v>
      </c>
      <c r="D2">
        <v>2</v>
      </c>
      <c r="E2" t="s">
        <v>29</v>
      </c>
    </row>
    <row r="3" spans="1:5" x14ac:dyDescent="0.35">
      <c r="A3" t="s">
        <v>53</v>
      </c>
      <c r="B3" t="s">
        <v>52</v>
      </c>
      <c r="C3" t="s">
        <v>25</v>
      </c>
      <c r="D3">
        <v>2.4</v>
      </c>
      <c r="E3" t="s">
        <v>29</v>
      </c>
    </row>
    <row r="4" spans="1:5" x14ac:dyDescent="0.35">
      <c r="A4" t="s">
        <v>31</v>
      </c>
      <c r="B4" t="s">
        <v>34</v>
      </c>
      <c r="C4" t="s">
        <v>26</v>
      </c>
      <c r="D4">
        <v>33.9287798464227</v>
      </c>
      <c r="E4" t="s">
        <v>29</v>
      </c>
    </row>
    <row r="5" spans="1:5" x14ac:dyDescent="0.35">
      <c r="A5" t="s">
        <v>32</v>
      </c>
      <c r="B5" t="s">
        <v>34</v>
      </c>
      <c r="C5" t="s">
        <v>35</v>
      </c>
      <c r="D5">
        <v>9.3391084359322303</v>
      </c>
      <c r="E5" t="s">
        <v>29</v>
      </c>
    </row>
    <row r="6" spans="1:5" x14ac:dyDescent="0.35">
      <c r="A6" t="s">
        <v>33</v>
      </c>
      <c r="B6" t="s">
        <v>34</v>
      </c>
      <c r="C6" t="s">
        <v>25</v>
      </c>
      <c r="D6">
        <v>42.539775200000179</v>
      </c>
      <c r="E6" t="s">
        <v>29</v>
      </c>
    </row>
    <row r="7" spans="1:5" x14ac:dyDescent="0.35">
      <c r="A7" t="s">
        <v>37</v>
      </c>
      <c r="B7" t="s">
        <v>4</v>
      </c>
      <c r="C7" t="s">
        <v>25</v>
      </c>
      <c r="D7">
        <v>6.9</v>
      </c>
      <c r="E7" t="s">
        <v>30</v>
      </c>
    </row>
    <row r="8" spans="1:5" x14ac:dyDescent="0.35">
      <c r="A8" t="s">
        <v>54</v>
      </c>
      <c r="B8" t="s">
        <v>55</v>
      </c>
      <c r="C8" t="s">
        <v>25</v>
      </c>
      <c r="D8">
        <v>51793.135000000002</v>
      </c>
      <c r="E8" t="s">
        <v>29</v>
      </c>
    </row>
    <row r="9" spans="1:5" x14ac:dyDescent="0.35">
      <c r="A9" t="s">
        <v>27</v>
      </c>
      <c r="B9" t="s">
        <v>2</v>
      </c>
      <c r="C9" t="s">
        <v>24</v>
      </c>
      <c r="D9">
        <v>15.31</v>
      </c>
      <c r="E9" t="s">
        <v>29</v>
      </c>
    </row>
    <row r="10" spans="1:5" x14ac:dyDescent="0.35">
      <c r="A10" t="s">
        <v>27</v>
      </c>
      <c r="B10" t="s">
        <v>2</v>
      </c>
      <c r="C10" t="s">
        <v>25</v>
      </c>
      <c r="D10">
        <v>77.5</v>
      </c>
      <c r="E10" t="s">
        <v>36</v>
      </c>
    </row>
    <row r="11" spans="1:5" x14ac:dyDescent="0.35">
      <c r="A11" t="s">
        <v>56</v>
      </c>
      <c r="B11" t="s">
        <v>7</v>
      </c>
      <c r="C11" t="s">
        <v>25</v>
      </c>
      <c r="D11">
        <v>2.0625835737454548</v>
      </c>
      <c r="E11" t="s">
        <v>29</v>
      </c>
    </row>
    <row r="12" spans="1:5" x14ac:dyDescent="0.35">
      <c r="A12" t="s">
        <v>42</v>
      </c>
      <c r="B12" t="s">
        <v>12</v>
      </c>
      <c r="C12" t="s">
        <v>25</v>
      </c>
      <c r="D12">
        <v>29.24</v>
      </c>
      <c r="E12" t="s">
        <v>36</v>
      </c>
    </row>
    <row r="13" spans="1:5" x14ac:dyDescent="0.35">
      <c r="A13" t="s">
        <v>43</v>
      </c>
      <c r="B13" t="s">
        <v>12</v>
      </c>
      <c r="C13" t="s">
        <v>45</v>
      </c>
      <c r="D13">
        <v>455</v>
      </c>
      <c r="E13" t="s">
        <v>41</v>
      </c>
    </row>
    <row r="14" spans="1:5" x14ac:dyDescent="0.35">
      <c r="A14" t="s">
        <v>44</v>
      </c>
      <c r="B14" t="s">
        <v>12</v>
      </c>
      <c r="C14" t="s">
        <v>46</v>
      </c>
      <c r="D14">
        <v>49.86</v>
      </c>
      <c r="E14" t="s">
        <v>29</v>
      </c>
    </row>
    <row r="15" spans="1:5" x14ac:dyDescent="0.35">
      <c r="A15" t="s">
        <v>21</v>
      </c>
      <c r="B15" t="s">
        <v>5</v>
      </c>
      <c r="C15" t="s">
        <v>24</v>
      </c>
      <c r="D15">
        <v>14.9</v>
      </c>
      <c r="E15" t="s">
        <v>47</v>
      </c>
    </row>
    <row r="16" spans="1:5" x14ac:dyDescent="0.35">
      <c r="A16" t="s">
        <v>22</v>
      </c>
      <c r="B16" t="s">
        <v>5</v>
      </c>
      <c r="C16" t="s">
        <v>25</v>
      </c>
      <c r="D16">
        <v>15.59</v>
      </c>
      <c r="E16" t="s">
        <v>29</v>
      </c>
    </row>
    <row r="17" spans="1:7" x14ac:dyDescent="0.35">
      <c r="A17" t="s">
        <v>23</v>
      </c>
      <c r="B17" t="s">
        <v>5</v>
      </c>
      <c r="C17" t="s">
        <v>26</v>
      </c>
      <c r="D17">
        <v>4.01</v>
      </c>
      <c r="E17" t="s">
        <v>49</v>
      </c>
    </row>
    <row r="18" spans="1:7" x14ac:dyDescent="0.35">
      <c r="A18" t="s">
        <v>50</v>
      </c>
      <c r="B18" t="s">
        <v>15</v>
      </c>
      <c r="C18" t="s">
        <v>25</v>
      </c>
      <c r="D18">
        <v>42.84</v>
      </c>
      <c r="E18" t="s">
        <v>29</v>
      </c>
    </row>
    <row r="19" spans="1:7" x14ac:dyDescent="0.35">
      <c r="A19" t="s">
        <v>51</v>
      </c>
      <c r="B19" t="s">
        <v>15</v>
      </c>
      <c r="C19" t="s">
        <v>46</v>
      </c>
      <c r="D19">
        <v>78.78</v>
      </c>
      <c r="E19" t="s">
        <v>29</v>
      </c>
    </row>
    <row r="20" spans="1:7" x14ac:dyDescent="0.35">
      <c r="A20" t="s">
        <v>48</v>
      </c>
      <c r="B20" t="s">
        <v>16</v>
      </c>
      <c r="C20" t="s">
        <v>25</v>
      </c>
      <c r="D20">
        <v>672.13</v>
      </c>
      <c r="E20" t="s">
        <v>29</v>
      </c>
    </row>
    <row r="21" spans="1:7" x14ac:dyDescent="0.35">
      <c r="A21" t="s">
        <v>58</v>
      </c>
      <c r="B21" t="s">
        <v>59</v>
      </c>
      <c r="C21" t="s">
        <v>25</v>
      </c>
      <c r="D21">
        <v>67.28</v>
      </c>
      <c r="E21" t="s">
        <v>49</v>
      </c>
    </row>
    <row r="22" spans="1:7" x14ac:dyDescent="0.35">
      <c r="A22" t="s">
        <v>38</v>
      </c>
      <c r="B22" t="s">
        <v>8</v>
      </c>
      <c r="C22" t="s">
        <v>25</v>
      </c>
      <c r="D22">
        <v>2.5793145391818189</v>
      </c>
      <c r="E22" t="s">
        <v>57</v>
      </c>
      <c r="F22" t="s">
        <v>25</v>
      </c>
      <c r="G22" t="s">
        <v>36</v>
      </c>
    </row>
    <row r="23" spans="1:7" x14ac:dyDescent="0.35">
      <c r="A23" t="s">
        <v>39</v>
      </c>
      <c r="B23" t="s">
        <v>8</v>
      </c>
      <c r="C23" t="s">
        <v>40</v>
      </c>
      <c r="D23">
        <v>2.6554000000000002</v>
      </c>
      <c r="E23" t="s">
        <v>29</v>
      </c>
    </row>
  </sheetData>
  <autoFilter ref="A1:D1" xr:uid="{F0B28DA1-998B-481D-86CA-30A2BF44F2CF}">
    <sortState xmlns:xlrd2="http://schemas.microsoft.com/office/spreadsheetml/2017/richdata2" ref="A2:D23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C5C6D-65F6-485E-9AA5-45CED2729404}">
  <dimension ref="A1:G23"/>
  <sheetViews>
    <sheetView workbookViewId="0">
      <selection activeCell="I17" sqref="I17"/>
    </sheetView>
  </sheetViews>
  <sheetFormatPr baseColWidth="10" defaultRowHeight="14.5" x14ac:dyDescent="0.35"/>
  <cols>
    <col min="1" max="2" width="13.36328125" bestFit="1" customWidth="1"/>
    <col min="3" max="3" width="6.81640625" bestFit="1" customWidth="1"/>
    <col min="4" max="4" width="8" customWidth="1"/>
    <col min="5" max="5" width="8.81640625" customWidth="1"/>
    <col min="6" max="6" width="6.81640625" bestFit="1" customWidth="1"/>
    <col min="7" max="7" width="24.26953125" bestFit="1" customWidth="1"/>
  </cols>
  <sheetData>
    <row r="1" spans="1:7" s="2" customFormat="1" x14ac:dyDescent="0.35">
      <c r="A1" s="2" t="s">
        <v>0</v>
      </c>
      <c r="B1" s="2" t="s">
        <v>140</v>
      </c>
      <c r="C1" s="2" t="s">
        <v>151</v>
      </c>
      <c r="D1" s="2" t="s">
        <v>153</v>
      </c>
      <c r="E1" s="2" t="s">
        <v>142</v>
      </c>
      <c r="F1" s="2" t="s">
        <v>148</v>
      </c>
      <c r="G1" s="2" t="s">
        <v>127</v>
      </c>
    </row>
    <row r="2" spans="1:7" x14ac:dyDescent="0.35">
      <c r="A2" t="s">
        <v>55</v>
      </c>
      <c r="B2" t="s">
        <v>143</v>
      </c>
      <c r="C2" t="s">
        <v>141</v>
      </c>
      <c r="D2">
        <v>50808</v>
      </c>
      <c r="E2">
        <v>4112214</v>
      </c>
      <c r="F2" s="5">
        <f t="shared" ref="F2:F7" si="0">(E2*1000)/D2</f>
        <v>80936.348606518659</v>
      </c>
      <c r="G2" t="s">
        <v>157</v>
      </c>
    </row>
    <row r="3" spans="1:7" x14ac:dyDescent="0.35">
      <c r="A3" t="s">
        <v>55</v>
      </c>
      <c r="B3" t="s">
        <v>144</v>
      </c>
      <c r="C3" t="s">
        <v>141</v>
      </c>
      <c r="D3">
        <v>88557</v>
      </c>
      <c r="E3">
        <v>6495628</v>
      </c>
      <c r="F3" s="5">
        <f t="shared" si="0"/>
        <v>73349.684384069013</v>
      </c>
      <c r="G3" t="s">
        <v>157</v>
      </c>
    </row>
    <row r="4" spans="1:7" x14ac:dyDescent="0.35">
      <c r="A4" t="s">
        <v>55</v>
      </c>
      <c r="B4" t="s">
        <v>145</v>
      </c>
      <c r="C4" t="s">
        <v>141</v>
      </c>
      <c r="D4">
        <v>4085</v>
      </c>
      <c r="E4">
        <v>308262</v>
      </c>
      <c r="F4" s="5">
        <f t="shared" si="0"/>
        <v>75461.933904528763</v>
      </c>
      <c r="G4" t="s">
        <v>157</v>
      </c>
    </row>
    <row r="5" spans="1:7" x14ac:dyDescent="0.35">
      <c r="A5" t="s">
        <v>55</v>
      </c>
      <c r="B5" t="s">
        <v>146</v>
      </c>
      <c r="C5" t="s">
        <v>141</v>
      </c>
      <c r="D5">
        <v>18476</v>
      </c>
      <c r="E5">
        <v>1525896</v>
      </c>
      <c r="F5" s="5">
        <f t="shared" si="0"/>
        <v>82588.00606191816</v>
      </c>
      <c r="G5" t="s">
        <v>157</v>
      </c>
    </row>
    <row r="6" spans="1:7" x14ac:dyDescent="0.35">
      <c r="A6" t="s">
        <v>55</v>
      </c>
      <c r="B6" t="s">
        <v>147</v>
      </c>
      <c r="C6" t="s">
        <v>141</v>
      </c>
      <c r="D6">
        <v>25199</v>
      </c>
      <c r="E6">
        <v>1928389</v>
      </c>
      <c r="F6" s="5">
        <f t="shared" si="0"/>
        <v>76526.409778165806</v>
      </c>
      <c r="G6" t="s">
        <v>157</v>
      </c>
    </row>
    <row r="7" spans="1:7" x14ac:dyDescent="0.35">
      <c r="A7" t="s">
        <v>55</v>
      </c>
      <c r="B7" t="s">
        <v>149</v>
      </c>
      <c r="C7" t="s">
        <v>141</v>
      </c>
      <c r="D7">
        <v>198567</v>
      </c>
      <c r="E7">
        <v>15143920</v>
      </c>
      <c r="F7" s="5">
        <f t="shared" si="0"/>
        <v>76266.046221174722</v>
      </c>
      <c r="G7" t="s">
        <v>157</v>
      </c>
    </row>
    <row r="8" spans="1:7" x14ac:dyDescent="0.35">
      <c r="A8" t="s">
        <v>150</v>
      </c>
      <c r="B8" t="s">
        <v>149</v>
      </c>
      <c r="C8" t="s">
        <v>152</v>
      </c>
      <c r="D8">
        <v>48043</v>
      </c>
      <c r="E8">
        <v>6053875</v>
      </c>
      <c r="F8" s="5">
        <f>(E8*1000)/(D8*1000000)</f>
        <v>0.12600951231188726</v>
      </c>
      <c r="G8" t="s">
        <v>157</v>
      </c>
    </row>
    <row r="9" spans="1:7" x14ac:dyDescent="0.35">
      <c r="A9" t="s">
        <v>4</v>
      </c>
      <c r="B9" t="s">
        <v>143</v>
      </c>
      <c r="C9" t="s">
        <v>154</v>
      </c>
      <c r="D9">
        <v>17876</v>
      </c>
      <c r="E9">
        <v>130404</v>
      </c>
      <c r="F9" s="5">
        <f>(E9*1000)/(D9*1000)</f>
        <v>7.2949205638845376</v>
      </c>
      <c r="G9" t="s">
        <v>157</v>
      </c>
    </row>
    <row r="10" spans="1:7" x14ac:dyDescent="0.35">
      <c r="A10" t="s">
        <v>4</v>
      </c>
      <c r="B10" t="s">
        <v>144</v>
      </c>
      <c r="C10" t="s">
        <v>154</v>
      </c>
      <c r="D10">
        <v>221803</v>
      </c>
      <c r="E10">
        <v>2226060</v>
      </c>
      <c r="F10" s="5">
        <f t="shared" ref="F10:F17" si="1">(E10*1000)/(D10*1000)</f>
        <v>10.036203297520773</v>
      </c>
      <c r="G10" t="s">
        <v>157</v>
      </c>
    </row>
    <row r="11" spans="1:7" x14ac:dyDescent="0.35">
      <c r="A11" t="s">
        <v>4</v>
      </c>
      <c r="B11" t="s">
        <v>146</v>
      </c>
      <c r="C11" t="s">
        <v>154</v>
      </c>
      <c r="D11">
        <v>266540</v>
      </c>
      <c r="E11">
        <v>2509187</v>
      </c>
      <c r="F11" s="5">
        <f t="shared" si="1"/>
        <v>9.4139228633600958</v>
      </c>
      <c r="G11" t="s">
        <v>157</v>
      </c>
    </row>
    <row r="12" spans="1:7" x14ac:dyDescent="0.35">
      <c r="A12" t="s">
        <v>4</v>
      </c>
      <c r="B12" t="s">
        <v>149</v>
      </c>
      <c r="C12" t="s">
        <v>154</v>
      </c>
      <c r="D12">
        <v>537321</v>
      </c>
      <c r="E12">
        <v>5176493</v>
      </c>
      <c r="F12" s="5">
        <f t="shared" si="1"/>
        <v>9.6338929615630136</v>
      </c>
      <c r="G12" t="s">
        <v>157</v>
      </c>
    </row>
    <row r="13" spans="1:7" x14ac:dyDescent="0.35">
      <c r="A13" t="s">
        <v>5</v>
      </c>
      <c r="B13" t="s">
        <v>155</v>
      </c>
      <c r="C13" t="s">
        <v>154</v>
      </c>
      <c r="D13">
        <v>25711</v>
      </c>
      <c r="E13">
        <v>597528</v>
      </c>
      <c r="F13" s="5">
        <f t="shared" si="1"/>
        <v>23.240169577223757</v>
      </c>
      <c r="G13" t="s">
        <v>157</v>
      </c>
    </row>
    <row r="14" spans="1:7" x14ac:dyDescent="0.35">
      <c r="A14" t="s">
        <v>5</v>
      </c>
      <c r="B14" t="s">
        <v>143</v>
      </c>
      <c r="C14" t="s">
        <v>154</v>
      </c>
      <c r="D14">
        <v>42391</v>
      </c>
      <c r="E14">
        <v>717492</v>
      </c>
      <c r="F14" s="5">
        <f t="shared" si="1"/>
        <v>16.925573824632586</v>
      </c>
      <c r="G14" t="s">
        <v>157</v>
      </c>
    </row>
    <row r="15" spans="1:7" x14ac:dyDescent="0.35">
      <c r="A15" t="s">
        <v>5</v>
      </c>
      <c r="B15" t="s">
        <v>144</v>
      </c>
      <c r="C15" t="s">
        <v>154</v>
      </c>
      <c r="D15">
        <v>62501</v>
      </c>
      <c r="E15">
        <v>2547076</v>
      </c>
      <c r="F15" s="5">
        <f t="shared" si="1"/>
        <v>40.752563958976658</v>
      </c>
      <c r="G15" t="s">
        <v>157</v>
      </c>
    </row>
    <row r="16" spans="1:7" x14ac:dyDescent="0.35">
      <c r="A16" t="s">
        <v>5</v>
      </c>
      <c r="B16" t="s">
        <v>145</v>
      </c>
      <c r="C16" t="s">
        <v>154</v>
      </c>
      <c r="D16">
        <v>10779</v>
      </c>
      <c r="E16">
        <v>463669</v>
      </c>
      <c r="F16" s="5">
        <f t="shared" si="1"/>
        <v>43.015956953335191</v>
      </c>
      <c r="G16" t="s">
        <v>157</v>
      </c>
    </row>
    <row r="17" spans="1:7" x14ac:dyDescent="0.35">
      <c r="A17" t="s">
        <v>5</v>
      </c>
      <c r="B17" t="s">
        <v>149</v>
      </c>
      <c r="C17" t="s">
        <v>154</v>
      </c>
      <c r="D17">
        <v>141381</v>
      </c>
      <c r="E17">
        <v>4325765</v>
      </c>
      <c r="F17" s="5">
        <f t="shared" si="1"/>
        <v>30.596508724651827</v>
      </c>
      <c r="G17" t="s">
        <v>157</v>
      </c>
    </row>
    <row r="18" spans="1:7" x14ac:dyDescent="0.35">
      <c r="A18" t="s">
        <v>156</v>
      </c>
      <c r="B18" t="s">
        <v>155</v>
      </c>
      <c r="C18" t="s">
        <v>141</v>
      </c>
      <c r="D18">
        <v>18</v>
      </c>
      <c r="E18">
        <v>1276</v>
      </c>
      <c r="F18" s="5">
        <f t="shared" ref="F18:F22" si="2">(E18*1000)/D18</f>
        <v>70888.888888888891</v>
      </c>
      <c r="G18" t="s">
        <v>157</v>
      </c>
    </row>
    <row r="19" spans="1:7" x14ac:dyDescent="0.35">
      <c r="A19" t="s">
        <v>156</v>
      </c>
      <c r="B19" t="s">
        <v>143</v>
      </c>
      <c r="C19" t="s">
        <v>141</v>
      </c>
      <c r="D19">
        <v>4941</v>
      </c>
      <c r="E19">
        <v>287552</v>
      </c>
      <c r="F19" s="5">
        <f t="shared" si="2"/>
        <v>58197.12608783647</v>
      </c>
      <c r="G19" t="s">
        <v>157</v>
      </c>
    </row>
    <row r="20" spans="1:7" x14ac:dyDescent="0.35">
      <c r="A20" t="s">
        <v>156</v>
      </c>
      <c r="B20" t="s">
        <v>144</v>
      </c>
      <c r="C20" t="s">
        <v>141</v>
      </c>
      <c r="D20">
        <v>16549</v>
      </c>
      <c r="E20">
        <v>1269872</v>
      </c>
      <c r="F20" s="5">
        <f t="shared" si="2"/>
        <v>76734.062481116678</v>
      </c>
      <c r="G20" t="s">
        <v>157</v>
      </c>
    </row>
    <row r="21" spans="1:7" x14ac:dyDescent="0.35">
      <c r="A21" t="s">
        <v>156</v>
      </c>
      <c r="B21" t="s">
        <v>145</v>
      </c>
      <c r="C21" t="s">
        <v>141</v>
      </c>
      <c r="D21">
        <v>153</v>
      </c>
      <c r="E21">
        <v>10553</v>
      </c>
      <c r="F21" s="5">
        <f t="shared" si="2"/>
        <v>68973.856209150326</v>
      </c>
      <c r="G21" t="s">
        <v>157</v>
      </c>
    </row>
    <row r="22" spans="1:7" x14ac:dyDescent="0.35">
      <c r="A22" t="s">
        <v>156</v>
      </c>
      <c r="B22" t="s">
        <v>149</v>
      </c>
      <c r="C22" t="s">
        <v>141</v>
      </c>
      <c r="D22">
        <v>21660</v>
      </c>
      <c r="E22">
        <v>1569254</v>
      </c>
      <c r="F22" s="5">
        <f t="shared" si="2"/>
        <v>72449.399815327793</v>
      </c>
      <c r="G22" t="s">
        <v>157</v>
      </c>
    </row>
    <row r="23" spans="1:7" x14ac:dyDescent="0.35">
      <c r="A23" t="s">
        <v>11</v>
      </c>
      <c r="B23" t="s">
        <v>149</v>
      </c>
      <c r="C23" t="s">
        <v>152</v>
      </c>
      <c r="D23">
        <v>9515</v>
      </c>
      <c r="E23">
        <v>1633456</v>
      </c>
      <c r="F23" s="6">
        <f>(E23*1000)/(D23*1000000)</f>
        <v>0.17167167630057803</v>
      </c>
      <c r="G23" t="s">
        <v>157</v>
      </c>
    </row>
  </sheetData>
  <autoFilter ref="A1:G1" xr:uid="{740C5C6D-65F6-485E-9AA5-45CED272940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README</vt:lpstr>
      <vt:lpstr>data</vt:lpstr>
      <vt:lpstr>Can_export_2013_2023</vt:lpstr>
      <vt:lpstr>Lai2025_SI2</vt:lpstr>
      <vt:lpstr>MAC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Titouan_Greffe</dc:creator>
  <cp:lastModifiedBy>Marin Pellan</cp:lastModifiedBy>
  <dcterms:created xsi:type="dcterms:W3CDTF">2025-10-29T13:47:28Z</dcterms:created>
  <dcterms:modified xsi:type="dcterms:W3CDTF">2025-11-28T21:00:11Z</dcterms:modified>
</cp:coreProperties>
</file>