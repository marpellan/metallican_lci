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.sanjuan\Desktop\SUPRIM_SECOND SUBMISSION\"/>
    </mc:Choice>
  </mc:AlternateContent>
  <xr:revisionPtr revIDLastSave="0" documentId="13_ncr:1_{D4D5F0F6-0FF6-4233-928F-CE992BAA5290}" xr6:coauthVersionLast="47" xr6:coauthVersionMax="47" xr10:uidLastSave="{00000000-0000-0000-0000-000000000000}"/>
  <bookViews>
    <workbookView xWindow="-120" yWindow="-120" windowWidth="29040" windowHeight="15840" tabRatio="578" activeTab="1" xr2:uid="{542BD73C-3477-4534-8AA0-DB35C39B0248}"/>
  </bookViews>
  <sheets>
    <sheet name="Front page" sheetId="8" r:id="rId1"/>
    <sheet name="SM-A" sheetId="4" r:id="rId2"/>
    <sheet name="SM-B" sheetId="3" r:id="rId3"/>
    <sheet name="SM-C" sheetId="5" r:id="rId4"/>
    <sheet name="SM-D" sheetId="7" r:id="rId5"/>
    <sheet name="SM-E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" i="7" l="1"/>
  <c r="J11" i="7"/>
  <c r="J13" i="7"/>
  <c r="J16" i="7"/>
  <c r="J18" i="7"/>
  <c r="J21" i="7"/>
  <c r="J23" i="7"/>
  <c r="J26" i="7"/>
  <c r="J28" i="7"/>
  <c r="J31" i="7"/>
  <c r="J33" i="7"/>
  <c r="J36" i="7"/>
  <c r="J38" i="7"/>
  <c r="J41" i="7"/>
  <c r="J43" i="7"/>
  <c r="J46" i="7"/>
  <c r="J48" i="7"/>
  <c r="J51" i="7"/>
  <c r="J53" i="7"/>
  <c r="J56" i="7"/>
  <c r="J58" i="7"/>
  <c r="J61" i="7"/>
  <c r="J63" i="7"/>
  <c r="J6" i="7"/>
</calcChain>
</file>

<file path=xl/sharedStrings.xml><?xml version="1.0" encoding="utf-8"?>
<sst xmlns="http://schemas.openxmlformats.org/spreadsheetml/2006/main" count="903" uniqueCount="373">
  <si>
    <t>Flow</t>
  </si>
  <si>
    <t>Unit</t>
  </si>
  <si>
    <t>Dataset Used from ecoinvent v3.3 (cut-off)</t>
  </si>
  <si>
    <t>Outputs</t>
  </si>
  <si>
    <t>Product</t>
  </si>
  <si>
    <t>Copper Concentrate</t>
  </si>
  <si>
    <t>-</t>
  </si>
  <si>
    <t>ton</t>
  </si>
  <si>
    <t>Emissions to Water</t>
  </si>
  <si>
    <t>Cu</t>
  </si>
  <si>
    <t>kg</t>
  </si>
  <si>
    <t>Al</t>
  </si>
  <si>
    <t>As</t>
  </si>
  <si>
    <t>Pb</t>
  </si>
  <si>
    <t>Cd</t>
  </si>
  <si>
    <t>Co</t>
  </si>
  <si>
    <t>Cr</t>
  </si>
  <si>
    <t>Hg</t>
  </si>
  <si>
    <t>Ni</t>
  </si>
  <si>
    <t>Zn</t>
  </si>
  <si>
    <t>Sb</t>
  </si>
  <si>
    <t>N</t>
  </si>
  <si>
    <t>Emissions to Air</t>
  </si>
  <si>
    <t>Emissions from pellets (heat)</t>
  </si>
  <si>
    <t>Secondary data</t>
  </si>
  <si>
    <t>Emissions from diesel</t>
  </si>
  <si>
    <t>Emissions from gasoline</t>
  </si>
  <si>
    <t>Emissions only, based on "Transport, passenger car, medium size, petrol, EURO 5 {RER}"</t>
  </si>
  <si>
    <t>Waste flows and by-products</t>
  </si>
  <si>
    <t>Contaminated soil/masses</t>
  </si>
  <si>
    <t>Hazardous waste, for underground deposit {RoW}| treatment of hazardous waste, underground deposit</t>
  </si>
  <si>
    <t>Waste oil</t>
  </si>
  <si>
    <t>Waste mineral oil {Europe without Switzerland}| market for waste mineral oil</t>
  </si>
  <si>
    <t>Waste sludge</t>
  </si>
  <si>
    <t>Sewage sludge {GLO}| market for</t>
  </si>
  <si>
    <t>Oil contaminated water</t>
  </si>
  <si>
    <t>Hazardous waste, for incineration {Europe without Switzerland}| treatment of hazardous waste, hazardous waste incineration</t>
  </si>
  <si>
    <t>Oil filters, aborbers, filters, etc</t>
  </si>
  <si>
    <t>Glycol</t>
  </si>
  <si>
    <t>Waste grease</t>
  </si>
  <si>
    <t>Hydraulic hose waste</t>
  </si>
  <si>
    <t>Other dangerous waste</t>
  </si>
  <si>
    <t>Inputs</t>
  </si>
  <si>
    <t>Energy</t>
  </si>
  <si>
    <t>Diesel</t>
  </si>
  <si>
    <t>m3</t>
  </si>
  <si>
    <t>Gasoline</t>
  </si>
  <si>
    <t>Electricity</t>
  </si>
  <si>
    <t>MWh</t>
  </si>
  <si>
    <t>Heat (local on-site supplier)</t>
  </si>
  <si>
    <r>
      <t xml:space="preserve">Heat, central or small-scale, other than natural gas {CH}| heat production, wood pallet, at furnace 25kW, state-of-the-art 2014 </t>
    </r>
    <r>
      <rPr>
        <i/>
        <sz val="11"/>
        <color theme="1"/>
        <rFont val="Calibri"/>
        <family val="2"/>
        <scheme val="minor"/>
      </rPr>
      <t>(adapted: excluding electricity consumption, to avoid double counting with other flows)</t>
    </r>
  </si>
  <si>
    <t>Water</t>
  </si>
  <si>
    <t>Water, from river</t>
  </si>
  <si>
    <t>Water, from groundwater</t>
  </si>
  <si>
    <t xml:space="preserve">Other </t>
  </si>
  <si>
    <t>Ore</t>
  </si>
  <si>
    <t>Copper ore</t>
  </si>
  <si>
    <t>Land occupation</t>
  </si>
  <si>
    <t>ha.year</t>
  </si>
  <si>
    <t>Occupation, mineral extraction site</t>
  </si>
  <si>
    <t>Transport to Smelter</t>
  </si>
  <si>
    <t>tkm</t>
  </si>
  <si>
    <t>Transport, freight train {Sweden only Hydro}| electricity | Alloc Rec, U</t>
  </si>
  <si>
    <t>Materials</t>
  </si>
  <si>
    <t>Explosives - Total</t>
  </si>
  <si>
    <t>Explosive, tovex {GLO}| market for</t>
  </si>
  <si>
    <t>Lime</t>
  </si>
  <si>
    <t>Lime {GLO}| market for</t>
  </si>
  <si>
    <t>Road salt</t>
  </si>
  <si>
    <t>Sodium chloride, powder {GLO}| market for</t>
  </si>
  <si>
    <t>Salt solution (brine)</t>
  </si>
  <si>
    <t>Sodium chloride, brine solution {GLO}| market for</t>
  </si>
  <si>
    <t>PAX (Polyaluminiumchloridehydroxide)</t>
  </si>
  <si>
    <t>Aluminium hydroxide {GLO}| market for</t>
  </si>
  <si>
    <t>Other chemicals</t>
  </si>
  <si>
    <t>Chemical, inorganic {GLO}| market for</t>
  </si>
  <si>
    <t>Co-products</t>
  </si>
  <si>
    <t>Cu_Cathode_Aitik</t>
  </si>
  <si>
    <t>Emissions to water</t>
  </si>
  <si>
    <t>Emissions to air</t>
  </si>
  <si>
    <t>Dioxin</t>
  </si>
  <si>
    <t>Air emissions - from Diesel</t>
  </si>
  <si>
    <t>Air emissions - from Gasoline</t>
  </si>
  <si>
    <t>Air emissions - from LPG</t>
  </si>
  <si>
    <t>Emissions only, based on "Heat, district or industrial, other than natural gas {Europe without Switzerland}| heat production, propane, at industrial furnace &gt;100kW""</t>
  </si>
  <si>
    <t>Air emissions - from Fuel Oil</t>
  </si>
  <si>
    <t>Emissions only, based on "Heat, district or industrial, other than natural gas {Europe without Switzerland}| heat production, heavy fuel oil, at industrial furnace 1MW""</t>
  </si>
  <si>
    <t>Cu in dust</t>
  </si>
  <si>
    <t>Zn in dust</t>
  </si>
  <si>
    <t>Cd in dust</t>
  </si>
  <si>
    <t>As in dust</t>
  </si>
  <si>
    <t>Hg in dust</t>
  </si>
  <si>
    <t>Pb in dust</t>
  </si>
  <si>
    <t>Waste flows</t>
  </si>
  <si>
    <t>Mixed Demolition Waste</t>
  </si>
  <si>
    <t>Inert waste {Europe without Switzerland}| market for inert waste</t>
  </si>
  <si>
    <t>Paper and Corrugated paper</t>
  </si>
  <si>
    <t>Paper (waste treatment) {GLO}| recycling of paper</t>
  </si>
  <si>
    <t>Metal scrap</t>
  </si>
  <si>
    <t>Steel and iron (waste treatment) {GLO}| recycling of steel and iron</t>
  </si>
  <si>
    <t>Wood waste</t>
  </si>
  <si>
    <t>Waste wood, untreated {RoW}| treatment of waste wood, untreated, municipal incineration</t>
  </si>
  <si>
    <t>Other combustible waste</t>
  </si>
  <si>
    <t>Municipal solid waste {SE}| treatment of, incineration</t>
  </si>
  <si>
    <t>Plastic waste</t>
  </si>
  <si>
    <t>Waste plastic, mixture {RoW}| market for waste plastic, mixture</t>
  </si>
  <si>
    <t>Batteries, mixed (incl. lead batteries)</t>
  </si>
  <si>
    <t>Used Li-ion battery {GLO}| market for</t>
  </si>
  <si>
    <t>Waste paint</t>
  </si>
  <si>
    <t>Waste emulsion paint {RoW}| market for waste emulsion paint</t>
  </si>
  <si>
    <t>Waste lamps</t>
  </si>
  <si>
    <t>Used fluorescent lamp {GLO}| market for</t>
  </si>
  <si>
    <t>Sludge limestone</t>
  </si>
  <si>
    <t>Refinery sludge {RoW}| market for refinery sludge</t>
  </si>
  <si>
    <t>Waste oils</t>
  </si>
  <si>
    <t>Waste mineral oil {Europe without Switzerland}| treatment of waste mineral oil, hazardous waste incinneration</t>
  </si>
  <si>
    <t>Other waste flows</t>
  </si>
  <si>
    <t>Other dangerous waste flows</t>
  </si>
  <si>
    <t>Hazardous waste, for underground deposit {GLO}| market for</t>
  </si>
  <si>
    <t>Fuel Oil</t>
  </si>
  <si>
    <t>LPG/Gasol</t>
  </si>
  <si>
    <t>Liquefied petroleum gas {RoW}| market for</t>
  </si>
  <si>
    <t>Eletricity</t>
  </si>
  <si>
    <t>Electricity, high voltage {SE}| market for</t>
  </si>
  <si>
    <t>Water, from sea</t>
  </si>
  <si>
    <t>Water, from municipal drinking water</t>
  </si>
  <si>
    <t>Tap water {RER}| market group for</t>
  </si>
  <si>
    <t>Sand (silica sand)</t>
  </si>
  <si>
    <t>Lime  (CaO)</t>
  </si>
  <si>
    <t>Limestone</t>
  </si>
  <si>
    <t>Oxygen (gas)</t>
  </si>
  <si>
    <t>Soda (Sodium carbonate)</t>
  </si>
  <si>
    <t>Soda ash, dense {GLO}| market for</t>
  </si>
  <si>
    <t>Borax</t>
  </si>
  <si>
    <t>Borax, anhydrous, powder {GLO}| market for</t>
  </si>
  <si>
    <t>Baryt (BaSO4)</t>
  </si>
  <si>
    <t>Barite {GLO}| market for</t>
  </si>
  <si>
    <t>Liquid caustic soda (50% NaOH)</t>
  </si>
  <si>
    <t>Sodium hydroxide, without water, in 50% solution state {GLO}| market for</t>
  </si>
  <si>
    <t>Sodium hydroxide (99% NaOH)</t>
  </si>
  <si>
    <t>Green liquor (grönlut)</t>
  </si>
  <si>
    <t>Ammonia (99.9%) (Compressed gas)</t>
  </si>
  <si>
    <t>Ammonia, liquid {RER}| market for</t>
  </si>
  <si>
    <t>Caustic ammonia (25% aqueous solution)</t>
  </si>
  <si>
    <t>Bone glue</t>
  </si>
  <si>
    <t>Chemical, organic {GLO}| market for</t>
  </si>
  <si>
    <t>Lead oxide (Flux)</t>
  </si>
  <si>
    <t>Chemical, inorganic {GLO}| production</t>
  </si>
  <si>
    <t>Ecofloc 91 (Polyaluminium chloride)</t>
  </si>
  <si>
    <t>Pastes for electrodes (elektrodmassa)</t>
  </si>
  <si>
    <t>Paraffin {GLO}| market for</t>
  </si>
  <si>
    <t>Graphite electrodes</t>
  </si>
  <si>
    <t>Graphite {GLO}| market for</t>
  </si>
  <si>
    <t>Iron powder</t>
  </si>
  <si>
    <t>Iron sulfate</t>
  </si>
  <si>
    <t>Iron sulfate {GLO}| market for</t>
  </si>
  <si>
    <t>Chlorine</t>
  </si>
  <si>
    <t>Chlorine, gaseous {RER}| market for</t>
  </si>
  <si>
    <t>Copper powder</t>
  </si>
  <si>
    <t>Polyacrylamide {GLO}| market for</t>
  </si>
  <si>
    <t>Magnaflock 20/25</t>
  </si>
  <si>
    <t>Magnaflock 919</t>
  </si>
  <si>
    <t>Sodiumdisulfite (Na2SO3)</t>
  </si>
  <si>
    <t>Sodium sulfite {GLO}| market for</t>
  </si>
  <si>
    <t>Sodium formiate, Na(HCOO)</t>
  </si>
  <si>
    <t>Sodium formate {GLO}| market for</t>
  </si>
  <si>
    <t>Natrium chloride</t>
  </si>
  <si>
    <t>Sodium chloride, powder {GLO}|market for</t>
  </si>
  <si>
    <t>Nitric acid (65% HNO3)</t>
  </si>
  <si>
    <t>Nitric acid, without water, in 50% solution state {GLO}| market for</t>
  </si>
  <si>
    <t>Hydrochloric acid (37% HCl)</t>
  </si>
  <si>
    <t>Hydrochloric acide, without water, in 30% solution state {RER}| market for</t>
  </si>
  <si>
    <t>Pyrite (FeS2)</t>
  </si>
  <si>
    <t>Thiocarbamide (Urea based )</t>
  </si>
  <si>
    <t>Dithiocarbamate-compound {GLO}| market for</t>
  </si>
  <si>
    <t>Trisodium phosphate (Na3PO4)</t>
  </si>
  <si>
    <t>Sodium phosphate {GLO}| market for</t>
  </si>
  <si>
    <t>Wax</t>
  </si>
  <si>
    <t>Wax, lost-wax casting {GLO}| market for</t>
  </si>
  <si>
    <t>Hydrogen peroxide (50% H2O2)</t>
  </si>
  <si>
    <t>Hydrogen peroxide, without water, in 50% solution state {GLO}| market for</t>
  </si>
  <si>
    <t>Process Gabi</t>
  </si>
  <si>
    <t>EU-28: Glass/inert waste on landfill ts</t>
  </si>
  <si>
    <t>Not found</t>
  </si>
  <si>
    <t>CN Recycling potential copper sheet</t>
  </si>
  <si>
    <t>EU-28: Waste incineration of wood products (OSB, particle board) ELCD/CEWEP</t>
  </si>
  <si>
    <t>EU-28: Waste incineration of municipal solid waste (MSW)</t>
  </si>
  <si>
    <t>EU-28: Waste incineration of plastics (unspecified) fraction in municial solid waste (MSW) ELCD/CEWEP &lt;p-agg&gt;</t>
  </si>
  <si>
    <t>EU-28: Hazardous waste (statistic average) (C rich, worst case scenario incl. landfill)</t>
  </si>
  <si>
    <t>GLO: Truck, Euro 6, more than 32t gross weight / 24,7t payload capacity ts &lt;u-so&gt; + EU-28: Diesel mix at refinery ts</t>
  </si>
  <si>
    <t>EU-28: Car petrol EURO 4 (EN 15804 A4)</t>
  </si>
  <si>
    <t>SE: Thermal energy from heavy fuel oil (HFO) ts</t>
  </si>
  <si>
    <t>Heavy fuel oil {RER}| market group for</t>
  </si>
  <si>
    <t>SE: Thermal energy from natural gas ts</t>
  </si>
  <si>
    <t>SE: Electricity grid mix ts</t>
  </si>
  <si>
    <t>DE: Drinking water mix ts</t>
  </si>
  <si>
    <t>EU-28: Sand (grain size 0/2) (EN15804 A1-A3) (dried) ts</t>
  </si>
  <si>
    <t>DE: Lime (CaO; finelime) (EN 15804 A1-A3) ts</t>
  </si>
  <si>
    <t>EU-28: Limestone, crushed stone fines (Grain size 0/2) (EN15804 A1-A3) ts</t>
  </si>
  <si>
    <t>EU-28: Oxygen (gaseous) ts</t>
  </si>
  <si>
    <t>EU-28: Soda (Na2CO3) ts</t>
  </si>
  <si>
    <t>DE: Sodium hydroxide mix (50%) ts</t>
  </si>
  <si>
    <t>DE: Sodium hydroxide (from chlorine-alkali electrolysis, diaphragm) ts</t>
  </si>
  <si>
    <t>DE: Sodium hydroxide (from chlorine-alkali electrolysis, diaphragm) ts; DE: Lime (CaO; finelime) (EN15804 A1-A3) ts</t>
  </si>
  <si>
    <t>EU-28: Ammonia (NH3) production mix, without CO2 recovery (carbon dioxide emissions to air) ts</t>
  </si>
  <si>
    <t>EU-28: Glue for gyspsum boards (EN 15804 A1-A3) ts</t>
  </si>
  <si>
    <t>DE: Lead ts &lt;p-agg&gt;</t>
  </si>
  <si>
    <t>EU-28: Wax / Paraffins at refinery ts</t>
  </si>
  <si>
    <t>EU-28: Iron (II) sulphate ts</t>
  </si>
  <si>
    <t>EU-28: Chlorine mix (chlorine production countries) ts</t>
  </si>
  <si>
    <t>EU-28: Sodium chloride (rock salt) ts</t>
  </si>
  <si>
    <t>DE: Nitric acid (60%) ts</t>
  </si>
  <si>
    <t>DE: Hydrochloric acid (32%) ts</t>
  </si>
  <si>
    <t>DE: Hydrogen peroxide ts</t>
  </si>
  <si>
    <t>Sludge (worst case scenario-thermoplast) agg ts Sludge (high moisture) treatment through microencapsulation (thermoplast) and macroencapsulation | production mix (region specific plants), at plant | Inert material ...</t>
  </si>
  <si>
    <t>Pellet boiler 20-120 kW (EN 15804 B6)</t>
  </si>
  <si>
    <t>GLO: Rail transport cargo - Electric, extra large train, gross tonne weight 2000t / 1452t payload cap: ts &lt;u-so&gt;; SE: Electric grid mix (production mix) ts &lt;LC&gt;</t>
  </si>
  <si>
    <t>EU-28: Explosives (ANFO) ts</t>
  </si>
  <si>
    <t>EU-28: Lime (CaO; quicklime lumpy)</t>
  </si>
  <si>
    <t>Not purchased (Borax dehydrated / Borax pentahydrate)</t>
  </si>
  <si>
    <t>Not purchased (IN-Polyaluminium chloride (estimation))</t>
  </si>
  <si>
    <t>Not purchased (Natural Graphite (estimation))</t>
  </si>
  <si>
    <t>Not purchased (DE-Polyacrylamide (cationic), powder)</t>
  </si>
  <si>
    <t>Not purchased (Sodium formate)</t>
  </si>
  <si>
    <t>Not purchased (DE-Diethyldithiocarbamate)</t>
  </si>
  <si>
    <t>Not purchased (Barium sulphate (BaSO4))</t>
  </si>
  <si>
    <t>Allocation factors (economic)</t>
  </si>
  <si>
    <t>For Generic Flows</t>
  </si>
  <si>
    <t>For Primary Cu-related flows</t>
  </si>
  <si>
    <t>Cu cathode - from Aitik</t>
  </si>
  <si>
    <t>USD</t>
  </si>
  <si>
    <t>Cu cathode - from other Mines (Primary)</t>
  </si>
  <si>
    <t>Cu cathode - from Secondary</t>
  </si>
  <si>
    <t>USD/MWh</t>
  </si>
  <si>
    <t>USD/tonne</t>
  </si>
  <si>
    <t>Total cost - Generic Flows</t>
  </si>
  <si>
    <t>Total cost - Primary Cu-Related Flows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</si>
  <si>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from explosives</t>
    </r>
  </si>
  <si>
    <r>
      <t>NO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- from explosives</t>
    </r>
  </si>
  <si>
    <t/>
  </si>
  <si>
    <r>
      <t>SO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process emissions</t>
    </r>
  </si>
  <si>
    <t>Silica sand {GLO}| market for</t>
  </si>
  <si>
    <t>Limestone, crushed, washed {GLO}| market for | Cut-off, U</t>
  </si>
  <si>
    <t>Transport, passenger car, small size, petrol, EURO 5 {GLO}| market for</t>
  </si>
  <si>
    <t>Transport, freight, lorry &gt;32 metric ton, EURO6 {GLO}| market for</t>
  </si>
  <si>
    <t>Not purchased (Al. Hydroxide from bauxite/aluminium sulphate)</t>
  </si>
  <si>
    <t>MJ</t>
  </si>
  <si>
    <t>Emissions only, based on "Transport, freight, lorry &gt;32 metric ton, EURO6 {GLO}| market for"</t>
  </si>
  <si>
    <t>Transport, passenger car, small size, petrol, EURO 5 {GLO} market for</t>
  </si>
  <si>
    <t>Already accounted through the dataset "Heat, central or small-scale, other than natural gas {CH}| heat production, wood pallet, at furnace 25kW, state-of-the-art 2014"</t>
  </si>
  <si>
    <t>Already accounted through the dataset "Pellet boiler 20-120 kW (EN 15804 B6) "</t>
  </si>
  <si>
    <t>Already accounted through the dataset  "GLO: Truck, Euro 6, more than 32t gross weight / 24,7t payload capacity ts &lt;u-so&gt;"</t>
  </si>
  <si>
    <t>Already accounted through the dataset "EU-28: Car petrol EURO 4 (EN 15804 A4)"</t>
  </si>
  <si>
    <t>Already accounted through the dataset "Transport, passenger car, small size, petrol, EURO 5 {GLO} market for"</t>
  </si>
  <si>
    <t>Already accounted through the dataset "Transport, freight, lorry &gt;32 metric ton, EURO6 {GLO}| market for"</t>
  </si>
  <si>
    <r>
      <t>Mine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</si>
  <si>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>Concentrator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</si>
  <si>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>Mine or concentrator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</si>
  <si>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>Primary Cu-related flows</t>
    </r>
    <r>
      <rPr>
        <b/>
        <vertAlign val="superscript"/>
        <sz val="10"/>
        <color theme="1"/>
        <rFont val="Calibri"/>
        <family val="2"/>
        <scheme val="minor"/>
      </rPr>
      <t>1,2</t>
    </r>
  </si>
  <si>
    <r>
      <t>Generic Flows</t>
    </r>
    <r>
      <rPr>
        <b/>
        <vertAlign val="superscript"/>
        <sz val="10"/>
        <color theme="1"/>
        <rFont val="Calibri"/>
        <family val="2"/>
        <scheme val="minor"/>
      </rPr>
      <t>1,2</t>
    </r>
  </si>
  <si>
    <r>
      <rPr>
        <i/>
        <vertAlign val="superscript"/>
        <sz val="11"/>
        <color theme="1"/>
        <rFont val="Calibri"/>
        <family val="2"/>
        <scheme val="minor"/>
      </rPr>
      <t>2</t>
    </r>
    <r>
      <rPr>
        <i/>
        <sz val="11"/>
        <color theme="1"/>
        <rFont val="Calibri"/>
        <family val="2"/>
        <scheme val="minor"/>
      </rPr>
      <t>All the elements of the inventory were separated into Generic, Primary Cu-related and non-Cu-related flows, according to the information from the staff at Rönskär</t>
    </r>
  </si>
  <si>
    <t>Impact category</t>
  </si>
  <si>
    <t>GW</t>
  </si>
  <si>
    <t>S&amp;E</t>
  </si>
  <si>
    <t>GS&amp;GD</t>
  </si>
  <si>
    <t>kg CFC-11 eq</t>
  </si>
  <si>
    <t>PHO</t>
  </si>
  <si>
    <t>AC</t>
  </si>
  <si>
    <t>EU</t>
  </si>
  <si>
    <t>CED</t>
  </si>
  <si>
    <t>Mine &amp; Concentrator</t>
  </si>
  <si>
    <t>Explosives - Mine</t>
  </si>
  <si>
    <t>Smelter</t>
  </si>
  <si>
    <r>
      <rPr>
        <i/>
        <vertAlign val="superscript"/>
        <sz val="11"/>
        <color theme="1"/>
        <rFont val="Calibri"/>
        <family val="2"/>
        <scheme val="minor"/>
      </rPr>
      <t>1</t>
    </r>
    <r>
      <rPr>
        <i/>
        <sz val="11"/>
        <color theme="1"/>
        <rFont val="Calibri"/>
        <family val="2"/>
        <scheme val="minor"/>
      </rPr>
      <t>Based on data for 2015 and adapted to the functional unit of the study (1 tonne of copper cathode)</t>
    </r>
  </si>
  <si>
    <t>Dataset used from GaBi database</t>
  </si>
  <si>
    <t>Emissions only, based on "GLO: Truck, Euro 6, more than 32t gross weight / 24,7t payload capacity ts &lt;u-so&gt; + EU-28: Diesel mix at refinery ts"</t>
  </si>
  <si>
    <t>Emissions only, based on "EU-28: Car petrol EURO 4 (EN 15804 A4)"</t>
  </si>
  <si>
    <t>Emissions only, based on "SE: Thermal energy from heavy fuel oil (HFO) ts"</t>
  </si>
  <si>
    <t>Emissions only, based on "SE: Thermal energy from natural gas ts"</t>
  </si>
  <si>
    <t>Price</t>
  </si>
  <si>
    <t>CuSO4</t>
  </si>
  <si>
    <t>NiSO4</t>
  </si>
  <si>
    <t>Gold metal</t>
  </si>
  <si>
    <t>Silver metal</t>
  </si>
  <si>
    <t>Copper Telluried</t>
  </si>
  <si>
    <t>Shall be Palladium sludge</t>
  </si>
  <si>
    <t>Selenium/Se-salts</t>
  </si>
  <si>
    <t>Sb-slag</t>
  </si>
  <si>
    <t>Flash slag</t>
  </si>
  <si>
    <t>Zinc-clinker (ZnO2)</t>
  </si>
  <si>
    <t>Lead metal</t>
  </si>
  <si>
    <t>Cu Bottom alloy / CBA</t>
  </si>
  <si>
    <t>Pb dross rich in Sb</t>
  </si>
  <si>
    <t>Iron sand</t>
  </si>
  <si>
    <t>H2SO4  (generally 96%)</t>
  </si>
  <si>
    <t>SO2</t>
  </si>
  <si>
    <t>Electricity co-produced</t>
  </si>
  <si>
    <t>Heat co-produced</t>
  </si>
  <si>
    <t>Cu cathode (Total)</t>
  </si>
  <si>
    <r>
      <t>Generic Flows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</si>
  <si>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>Primary Cu-Related Flows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</si>
  <si>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i/>
        <sz val="11"/>
        <color theme="1"/>
        <rFont val="Calibri"/>
        <family val="2"/>
        <scheme val="minor"/>
      </rPr>
      <t>Data regarding the total production for 2015 (it is not adapted to the functional unit)</t>
    </r>
  </si>
  <si>
    <r>
      <t>1</t>
    </r>
    <r>
      <rPr>
        <i/>
        <sz val="11"/>
        <color theme="1"/>
        <rFont val="Calibri"/>
        <family val="2"/>
        <scheme val="minor"/>
      </rPr>
      <t>The results of this impact category were not included in the study as they were not reasonale (different orders of magnitude)</t>
    </r>
  </si>
  <si>
    <r>
      <t>kg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eq</t>
    </r>
  </si>
  <si>
    <r>
      <t>kg 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eq</t>
    </r>
  </si>
  <si>
    <r>
      <t>kg SO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eq</t>
    </r>
  </si>
  <si>
    <r>
      <t>kg PO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--- eq</t>
    </r>
  </si>
  <si>
    <t>Software&amp;Database</t>
  </si>
  <si>
    <t>Total</t>
  </si>
  <si>
    <t>Transport - Mine</t>
  </si>
  <si>
    <t>AD</t>
  </si>
  <si>
    <t>%</t>
  </si>
  <si>
    <t>Ratio (highest/lowest)</t>
  </si>
  <si>
    <t>FD</t>
  </si>
  <si>
    <t>ODP</t>
  </si>
  <si>
    <t>HT</t>
  </si>
  <si>
    <t>FE</t>
  </si>
  <si>
    <t>ME</t>
  </si>
  <si>
    <t>TE</t>
  </si>
  <si>
    <t>kg Sb eq</t>
  </si>
  <si>
    <t>kg 1,4-DB eq</t>
  </si>
  <si>
    <r>
      <rPr>
        <i/>
        <vertAlign val="superscript"/>
        <sz val="11"/>
        <color theme="1"/>
        <rFont val="Calibri"/>
        <family val="2"/>
        <scheme val="minor"/>
      </rPr>
      <t>1</t>
    </r>
    <r>
      <rPr>
        <i/>
        <sz val="11"/>
        <color theme="1"/>
        <rFont val="Calibri"/>
        <family val="2"/>
        <scheme val="minor"/>
      </rPr>
      <t>Based on data for 2015 and adapted to the functional unit of the study (1 tonne of copper produced),  economic allocation has been applied already (see details in tab "SM-C")</t>
    </r>
  </si>
  <si>
    <t>Waste rock (inert, not considered)</t>
  </si>
  <si>
    <t>Environmental assessment of copper production in Europe: a life cycle assessment case study from Sweden</t>
  </si>
  <si>
    <t>Corresponding author: David Sanjuan-Delmás, e-mail address: David.sanjuandelmas@gmail.com, telephone: +32 9 264 59 98</t>
  </si>
  <si>
    <r>
      <t>D. Sanjuan-Delmás</t>
    </r>
    <r>
      <rPr>
        <vertAlign val="superscript"/>
        <sz val="12"/>
        <color theme="1"/>
        <rFont val="Times New Roman"/>
        <family val="1"/>
      </rPr>
      <t>(1,2)</t>
    </r>
    <r>
      <rPr>
        <sz val="12"/>
        <color theme="1"/>
        <rFont val="Times New Roman"/>
        <family val="1"/>
      </rPr>
      <t>, R.A.F. Alvarenga</t>
    </r>
    <r>
      <rPr>
        <vertAlign val="superscript"/>
        <sz val="12"/>
        <color theme="1"/>
        <rFont val="Times New Roman"/>
        <family val="1"/>
      </rPr>
      <t>(1)</t>
    </r>
    <r>
      <rPr>
        <sz val="12"/>
        <color theme="1"/>
        <rFont val="Times New Roman"/>
        <family val="1"/>
      </rPr>
      <t>, M. Lindblom</t>
    </r>
    <r>
      <rPr>
        <vertAlign val="superscript"/>
        <sz val="12"/>
        <color theme="1"/>
        <rFont val="Times New Roman"/>
        <family val="1"/>
      </rPr>
      <t>(3)</t>
    </r>
    <r>
      <rPr>
        <sz val="12"/>
        <color theme="1"/>
        <rFont val="Times New Roman"/>
        <family val="1"/>
      </rPr>
      <t>, T.C. Kampmann</t>
    </r>
    <r>
      <rPr>
        <vertAlign val="superscript"/>
        <sz val="12"/>
        <color theme="1"/>
        <rFont val="Times New Roman"/>
        <family val="1"/>
      </rPr>
      <t>(4)</t>
    </r>
    <r>
      <rPr>
        <sz val="12"/>
        <color theme="1"/>
        <rFont val="Times New Roman"/>
        <family val="1"/>
      </rPr>
      <t>, Lauran van Oers</t>
    </r>
    <r>
      <rPr>
        <vertAlign val="superscript"/>
        <sz val="12"/>
        <color theme="1"/>
        <rFont val="Times New Roman"/>
        <family val="1"/>
      </rPr>
      <t>(5)</t>
    </r>
    <r>
      <rPr>
        <sz val="12"/>
        <color theme="1"/>
        <rFont val="Times New Roman"/>
        <family val="1"/>
      </rPr>
      <t>, Jeroen B. Guinée</t>
    </r>
    <r>
      <rPr>
        <vertAlign val="superscript"/>
        <sz val="12"/>
        <color theme="1"/>
        <rFont val="Times New Roman"/>
        <family val="1"/>
      </rPr>
      <t>(5)</t>
    </r>
    <r>
      <rPr>
        <sz val="12"/>
        <color theme="1"/>
        <rFont val="Times New Roman"/>
        <family val="1"/>
      </rPr>
      <t>, J. Dewulf</t>
    </r>
    <r>
      <rPr>
        <vertAlign val="superscript"/>
        <sz val="12"/>
        <color theme="1"/>
        <rFont val="Times New Roman"/>
        <family val="1"/>
      </rPr>
      <t>(1)</t>
    </r>
  </si>
  <si>
    <r>
      <t>(1)</t>
    </r>
    <r>
      <rPr>
        <i/>
        <sz val="11"/>
        <color theme="1"/>
        <rFont val="Times New Roman"/>
        <family val="1"/>
      </rPr>
      <t>Ghent University, Faculty of Bioscience Engineering, Department of Green Chemistry and Technology, Sustainable Systems Engineering Group (STEN), Coupure Links 653, Ghent, Belgium</t>
    </r>
  </si>
  <si>
    <r>
      <t xml:space="preserve"> (3)</t>
    </r>
    <r>
      <rPr>
        <i/>
        <sz val="11"/>
        <color theme="1"/>
        <rFont val="Times New Roman"/>
        <family val="1"/>
      </rPr>
      <t>Boliden Mineral AB, Kontorsvägen 1, SE-936 81 Boliden, Sweden</t>
    </r>
  </si>
  <si>
    <r>
      <t>(4)</t>
    </r>
    <r>
      <rPr>
        <i/>
        <sz val="11"/>
        <color theme="1"/>
        <rFont val="Times New Roman"/>
        <family val="1"/>
      </rPr>
      <t>Department of Civil, Environmental and Natural Resources Engineering, Luleå University of Technology, SE-971 87 Luleå, Sweden</t>
    </r>
  </si>
  <si>
    <r>
      <t xml:space="preserve">(5) </t>
    </r>
    <r>
      <rPr>
        <i/>
        <sz val="11"/>
        <color theme="1"/>
        <rFont val="Times New Roman"/>
        <family val="1"/>
      </rPr>
      <t>Institute of Environmental Sciences (CML), Leiden University, Einsteinweg 2, Leiden 2333 CC, The Netherlands</t>
    </r>
  </si>
  <si>
    <t>Supplementary information A – Life cycle inventory of copper production by Boliden: Mine and concentrator at Aitik (SM-A)</t>
  </si>
  <si>
    <t>Supplementary information B – Life cycle inventory of copper production by Boliden: Smelter at Rönskär (SM-B)</t>
  </si>
  <si>
    <t>Supplementary information C – Economic allocation for the environmental impacts of general flows in the Smelter at Rönskär (SM-C)</t>
  </si>
  <si>
    <t>Supplementary information D – Environmental impacts of the production of copper cathode from the mining at Aitik (SM-D)</t>
  </si>
  <si>
    <t>Supplementary Information A – Life cycle inventory of copper production by Boliden: Mine and concentrator at Aitik</t>
  </si>
  <si>
    <t>Supplementary Information B – Life cycle inventory of copper production by Boliden: Smelter at Rönskär</t>
  </si>
  <si>
    <t>Supplementary Information C – Economic allocation for the environmental impacts of general flows in the Smelter at Rönskär</t>
  </si>
  <si>
    <t>Supplementary Information D – Environmental impacts of the production of copper cathode from the mining at Aitik</t>
  </si>
  <si>
    <t>Supplementary information E – Assessment of the influence of using datasets with different system models in ecoinvent: allocation at point of substitution (APOS) vs. cut-off by classification (Cut-off)</t>
  </si>
  <si>
    <t>Impact Cut-off/Impact APOS</t>
  </si>
  <si>
    <t>Completeness</t>
  </si>
  <si>
    <t>Transport, freight, lorry &gt;32 metric ton, EURO6 {GLO}</t>
  </si>
  <si>
    <t>Explosive, tovex {GLO}</t>
  </si>
  <si>
    <t>Electricity, high voltage {SE}</t>
  </si>
  <si>
    <t xml:space="preserve">Refinery sludge {RoW}| treatment of, sanitary landfill </t>
  </si>
  <si>
    <t>Abiotic depletion</t>
  </si>
  <si>
    <t>Abiotic depletion (fossil fuels)</t>
  </si>
  <si>
    <t>Global warming (GWP100a)</t>
  </si>
  <si>
    <t>Ozone layer depletion (ODP)</t>
  </si>
  <si>
    <t>Human toxicity</t>
  </si>
  <si>
    <t>Fresh water aquatic ecotox.</t>
  </si>
  <si>
    <t>Marine aquatic ecotoxicity</t>
  </si>
  <si>
    <t>Terrestrial ecotoxicity</t>
  </si>
  <si>
    <t>Photochemical oxidation</t>
  </si>
  <si>
    <t>Acidification</t>
  </si>
  <si>
    <t>Eutrophication</t>
  </si>
  <si>
    <t>% of impact covered by the assessment*</t>
  </si>
  <si>
    <r>
      <t>28.9%</t>
    </r>
    <r>
      <rPr>
        <vertAlign val="superscript"/>
        <sz val="9"/>
        <color rgb="FF000000"/>
        <rFont val="Calibri"/>
        <family val="2"/>
      </rPr>
      <t>1</t>
    </r>
  </si>
  <si>
    <r>
      <t>6.1%</t>
    </r>
    <r>
      <rPr>
        <vertAlign val="superscript"/>
        <sz val="9"/>
        <color rgb="FF000000"/>
        <rFont val="Calibri"/>
        <family val="2"/>
      </rPr>
      <t>2</t>
    </r>
  </si>
  <si>
    <t>*% of the total impact calculated from ecoinvent datasets excluding th impact generated through direct emissions to nature</t>
  </si>
  <si>
    <r>
      <t xml:space="preserve"> </t>
    </r>
    <r>
      <rPr>
        <vertAlign val="superscript"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 xml:space="preserve">Reduces the indicator by 42%, </t>
    </r>
    <r>
      <rPr>
        <vertAlign val="superscript"/>
        <sz val="9"/>
        <color rgb="FF000000"/>
        <rFont val="Calibri"/>
        <family val="2"/>
        <scheme val="minor"/>
      </rPr>
      <t>2</t>
    </r>
    <r>
      <rPr>
        <sz val="9"/>
        <color rgb="FF000000"/>
        <rFont val="Calibri"/>
        <family val="2"/>
        <scheme val="minor"/>
      </rPr>
      <t>Reduces the indicator y 22%</t>
    </r>
  </si>
  <si>
    <t>Supplementary Information E – Assessment of the influence of using datasets with different system models in ecoinvent: allocation at point of substitution (APOS) vs. cut-off by classification (Cut-off)</t>
  </si>
  <si>
    <r>
      <t xml:space="preserve">(2) </t>
    </r>
    <r>
      <rPr>
        <i/>
        <sz val="11"/>
        <color theme="1"/>
        <rFont val="Times New Roman"/>
        <family val="1"/>
      </rPr>
      <t>Eurecat, Centre Tecnològic de Catalunya, Waste, Energy and Environmental Impact Unit, 08243 Manresa, Spain, Plaça de la Ciència, 2, 08243 Manresa, Spain</t>
    </r>
  </si>
  <si>
    <t>Changes final result &lt;5%</t>
  </si>
  <si>
    <t>Changes final result &gt;5%</t>
  </si>
  <si>
    <r>
      <t>Data quality index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</si>
  <si>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 xml:space="preserve"> </t>
  </si>
  <si>
    <t>(1,1,2,1,1)</t>
  </si>
  <si>
    <r>
      <t>Data quality index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</si>
  <si>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rPr>
        <i/>
        <vertAlign val="superscript"/>
        <sz val="11"/>
        <color theme="1"/>
        <rFont val="Calibri"/>
        <family val="2"/>
        <scheme val="minor"/>
      </rPr>
      <t>3</t>
    </r>
    <r>
      <rPr>
        <i/>
        <sz val="11"/>
        <color theme="1"/>
        <rFont val="Calibri"/>
        <family val="2"/>
        <scheme val="minor"/>
      </rPr>
      <t>Application of the pedigree matrix in accordance with Weidema, B. P. &amp; Wesnaes, M. S. (1996)</t>
    </r>
  </si>
  <si>
    <r>
      <t>2</t>
    </r>
    <r>
      <rPr>
        <i/>
        <sz val="11"/>
        <color theme="1"/>
        <rFont val="Calibri"/>
        <family val="2"/>
        <scheme val="minor"/>
      </rPr>
      <t>Application of the pedigree matrix in accordance with Weidema, B. P. &amp; Wesnaes, M. S. (1996)</t>
    </r>
  </si>
  <si>
    <t>References</t>
  </si>
  <si>
    <t>Weidema BP, Wesnæs MS (1996) Data quality management for life cycle inventories—an example of using data quality indicators. J Clean Prod 4:167–174. https://doi.org/10.1016/S0959-6526(96)00043-1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</si>
</sst>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#,##0.000"/>
    <numFmt numFmtId="166" formatCode="0.0"/>
    <numFmt numFmtId="167" formatCode="#,##0.0000"/>
    <numFmt numFmtId="168" formatCode="0.0%"/>
  </numFmts>
  <fonts count="3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i/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i/>
      <vertAlign val="superscript"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0"/>
      <color theme="1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vertAlign val="superscript"/>
      <sz val="9"/>
      <color rgb="FF000000"/>
      <name val="Calibri"/>
      <family val="2"/>
    </font>
    <font>
      <sz val="9"/>
      <color rgb="FF000000"/>
      <name val="Calibri"/>
      <family val="2"/>
      <scheme val="minor"/>
    </font>
    <font>
      <vertAlign val="superscript"/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4D79B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256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2" fillId="0" borderId="0" xfId="0" applyFont="1" applyFill="1"/>
    <xf numFmtId="0" fontId="0" fillId="0" borderId="0" xfId="0" applyFill="1"/>
    <xf numFmtId="0" fontId="3" fillId="0" borderId="0" xfId="0" applyFont="1" applyFill="1"/>
    <xf numFmtId="164" fontId="0" fillId="2" borderId="0" xfId="0" applyNumberFormat="1" applyFill="1"/>
    <xf numFmtId="164" fontId="0" fillId="2" borderId="10" xfId="0" applyNumberFormat="1" applyFill="1" applyBorder="1" applyAlignment="1">
      <alignment horizontal="right"/>
    </xf>
    <xf numFmtId="164" fontId="5" fillId="2" borderId="10" xfId="0" applyNumberFormat="1" applyFont="1" applyFill="1" applyBorder="1" applyAlignment="1">
      <alignment horizontal="right"/>
    </xf>
    <xf numFmtId="0" fontId="0" fillId="2" borderId="10" xfId="0" applyFill="1" applyBorder="1"/>
    <xf numFmtId="2" fontId="0" fillId="2" borderId="0" xfId="0" applyNumberFormat="1" applyFill="1"/>
    <xf numFmtId="164" fontId="4" fillId="2" borderId="10" xfId="0" applyNumberFormat="1" applyFont="1" applyFill="1" applyBorder="1" applyAlignment="1">
      <alignment horizontal="right"/>
    </xf>
    <xf numFmtId="10" fontId="0" fillId="2" borderId="0" xfId="0" applyNumberFormat="1" applyFill="1"/>
    <xf numFmtId="4" fontId="0" fillId="2" borderId="0" xfId="0" applyNumberFormat="1" applyFill="1"/>
    <xf numFmtId="164" fontId="0" fillId="2" borderId="10" xfId="0" applyNumberFormat="1" applyFill="1" applyBorder="1"/>
    <xf numFmtId="164" fontId="11" fillId="2" borderId="10" xfId="0" applyNumberFormat="1" applyFont="1" applyFill="1" applyBorder="1" applyAlignment="1">
      <alignment horizontal="right"/>
    </xf>
    <xf numFmtId="0" fontId="11" fillId="2" borderId="7" xfId="0" applyFont="1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2" borderId="14" xfId="0" applyFill="1" applyBorder="1" applyAlignment="1">
      <alignment horizontal="left" vertical="top"/>
    </xf>
    <xf numFmtId="164" fontId="4" fillId="2" borderId="15" xfId="0" applyNumberFormat="1" applyFont="1" applyFill="1" applyBorder="1" applyAlignment="1">
      <alignment horizontal="right"/>
    </xf>
    <xf numFmtId="164" fontId="5" fillId="2" borderId="15" xfId="0" applyNumberFormat="1" applyFont="1" applyFill="1" applyBorder="1" applyAlignment="1">
      <alignment horizontal="right"/>
    </xf>
    <xf numFmtId="0" fontId="2" fillId="2" borderId="13" xfId="0" applyFont="1" applyFill="1" applyBorder="1"/>
    <xf numFmtId="164" fontId="0" fillId="2" borderId="7" xfId="0" applyNumberFormat="1" applyFill="1" applyBorder="1"/>
    <xf numFmtId="164" fontId="0" fillId="2" borderId="14" xfId="0" applyNumberFormat="1" applyFill="1" applyBorder="1"/>
    <xf numFmtId="164" fontId="0" fillId="2" borderId="15" xfId="0" applyNumberFormat="1" applyFill="1" applyBorder="1"/>
    <xf numFmtId="0" fontId="2" fillId="2" borderId="8" xfId="0" applyFont="1" applyFill="1" applyBorder="1"/>
    <xf numFmtId="0" fontId="0" fillId="2" borderId="8" xfId="0" applyFill="1" applyBorder="1"/>
    <xf numFmtId="10" fontId="5" fillId="0" borderId="7" xfId="0" applyNumberFormat="1" applyFont="1" applyFill="1" applyBorder="1" applyAlignment="1">
      <alignment horizontal="center"/>
    </xf>
    <xf numFmtId="10" fontId="5" fillId="0" borderId="13" xfId="0" applyNumberFormat="1" applyFont="1" applyFill="1" applyBorder="1" applyAlignment="1">
      <alignment horizontal="center"/>
    </xf>
    <xf numFmtId="10" fontId="4" fillId="0" borderId="7" xfId="0" applyNumberFormat="1" applyFont="1" applyFill="1" applyBorder="1" applyAlignment="1">
      <alignment horizontal="center"/>
    </xf>
    <xf numFmtId="10" fontId="4" fillId="0" borderId="13" xfId="0" applyNumberFormat="1" applyFont="1" applyFill="1" applyBorder="1" applyAlignment="1">
      <alignment horizontal="center"/>
    </xf>
    <xf numFmtId="10" fontId="4" fillId="0" borderId="14" xfId="0" applyNumberFormat="1" applyFont="1" applyFill="1" applyBorder="1" applyAlignment="1">
      <alignment horizontal="center"/>
    </xf>
    <xf numFmtId="10" fontId="4" fillId="0" borderId="16" xfId="0" applyNumberFormat="1" applyFont="1" applyFill="1" applyBorder="1" applyAlignment="1">
      <alignment horizontal="center"/>
    </xf>
    <xf numFmtId="4" fontId="4" fillId="2" borderId="7" xfId="0" applyNumberFormat="1" applyFont="1" applyFill="1" applyBorder="1"/>
    <xf numFmtId="164" fontId="4" fillId="2" borderId="10" xfId="0" applyNumberFormat="1" applyFont="1" applyFill="1" applyBorder="1"/>
    <xf numFmtId="0" fontId="4" fillId="2" borderId="10" xfId="0" applyFont="1" applyFill="1" applyBorder="1"/>
    <xf numFmtId="0" fontId="4" fillId="2" borderId="7" xfId="0" applyFont="1" applyFill="1" applyBorder="1"/>
    <xf numFmtId="0" fontId="4" fillId="2" borderId="14" xfId="0" applyFont="1" applyFill="1" applyBorder="1"/>
    <xf numFmtId="0" fontId="4" fillId="2" borderId="15" xfId="0" applyFont="1" applyFill="1" applyBorder="1"/>
    <xf numFmtId="0" fontId="7" fillId="2" borderId="0" xfId="0" applyFont="1" applyFill="1"/>
    <xf numFmtId="164" fontId="9" fillId="2" borderId="19" xfId="0" applyNumberFormat="1" applyFont="1" applyFill="1" applyBorder="1" applyAlignment="1"/>
    <xf numFmtId="0" fontId="2" fillId="2" borderId="8" xfId="0" applyFont="1" applyFill="1" applyBorder="1" applyAlignment="1"/>
    <xf numFmtId="0" fontId="2" fillId="2" borderId="0" xfId="0" applyFont="1" applyFill="1" applyAlignment="1"/>
    <xf numFmtId="0" fontId="5" fillId="2" borderId="8" xfId="0" applyFont="1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4" fontId="0" fillId="2" borderId="4" xfId="0" applyNumberFormat="1" applyFill="1" applyBorder="1" applyAlignment="1">
      <alignment horizontal="right" vertical="top"/>
    </xf>
    <xf numFmtId="4" fontId="0" fillId="2" borderId="12" xfId="0" applyNumberFormat="1" applyFill="1" applyBorder="1" applyAlignment="1">
      <alignment horizontal="right" vertical="top"/>
    </xf>
    <xf numFmtId="4" fontId="0" fillId="2" borderId="7" xfId="0" applyNumberFormat="1" applyFill="1" applyBorder="1" applyAlignment="1">
      <alignment horizontal="right" vertical="top"/>
    </xf>
    <xf numFmtId="165" fontId="0" fillId="2" borderId="7" xfId="0" applyNumberFormat="1" applyFill="1" applyBorder="1" applyAlignment="1">
      <alignment horizontal="right" vertical="top"/>
    </xf>
    <xf numFmtId="0" fontId="0" fillId="2" borderId="22" xfId="0" applyFill="1" applyBorder="1" applyAlignment="1">
      <alignment horizontal="left" vertical="top"/>
    </xf>
    <xf numFmtId="4" fontId="0" fillId="2" borderId="14" xfId="0" applyNumberFormat="1" applyFill="1" applyBorder="1" applyAlignment="1">
      <alignment horizontal="right" vertical="top"/>
    </xf>
    <xf numFmtId="4" fontId="0" fillId="2" borderId="16" xfId="0" applyNumberFormat="1" applyFill="1" applyBorder="1" applyAlignment="1">
      <alignment horizontal="right" vertical="top"/>
    </xf>
    <xf numFmtId="0" fontId="0" fillId="2" borderId="4" xfId="0" applyFill="1" applyBorder="1" applyAlignment="1">
      <alignment horizontal="right"/>
    </xf>
    <xf numFmtId="0" fontId="0" fillId="2" borderId="22" xfId="0" applyFill="1" applyBorder="1" applyAlignment="1">
      <alignment horizontal="left"/>
    </xf>
    <xf numFmtId="166" fontId="0" fillId="2" borderId="12" xfId="0" applyNumberFormat="1" applyFill="1" applyBorder="1" applyAlignment="1">
      <alignment horizontal="right"/>
    </xf>
    <xf numFmtId="0" fontId="0" fillId="2" borderId="10" xfId="0" applyFill="1" applyBorder="1" applyAlignment="1">
      <alignment horizontal="left"/>
    </xf>
    <xf numFmtId="166" fontId="0" fillId="2" borderId="13" xfId="0" applyNumberFormat="1" applyFill="1" applyBorder="1" applyAlignment="1">
      <alignment horizontal="right"/>
    </xf>
    <xf numFmtId="2" fontId="0" fillId="2" borderId="13" xfId="0" applyNumberFormat="1" applyFill="1" applyBorder="1" applyAlignment="1">
      <alignment horizontal="right"/>
    </xf>
    <xf numFmtId="166" fontId="0" fillId="2" borderId="16" xfId="0" applyNumberFormat="1" applyFill="1" applyBorder="1" applyAlignment="1">
      <alignment horizontal="right"/>
    </xf>
    <xf numFmtId="164" fontId="0" fillId="2" borderId="12" xfId="0" applyNumberFormat="1" applyFill="1" applyBorder="1" applyAlignment="1">
      <alignment horizontal="right" vertical="top"/>
    </xf>
    <xf numFmtId="164" fontId="0" fillId="2" borderId="13" xfId="0" applyNumberFormat="1" applyFill="1" applyBorder="1" applyAlignment="1">
      <alignment horizontal="right" vertical="top"/>
    </xf>
    <xf numFmtId="0" fontId="0" fillId="2" borderId="22" xfId="0" applyFill="1" applyBorder="1"/>
    <xf numFmtId="0" fontId="0" fillId="2" borderId="10" xfId="0" applyFill="1" applyBorder="1" applyAlignment="1">
      <alignment horizontal="left" vertical="top"/>
    </xf>
    <xf numFmtId="4" fontId="0" fillId="2" borderId="0" xfId="0" applyNumberFormat="1" applyFill="1" applyAlignment="1">
      <alignment horizontal="right" vertical="top"/>
    </xf>
    <xf numFmtId="0" fontId="8" fillId="2" borderId="31" xfId="0" applyFont="1" applyFill="1" applyBorder="1" applyAlignment="1"/>
    <xf numFmtId="0" fontId="0" fillId="2" borderId="0" xfId="0" applyFill="1" applyBorder="1"/>
    <xf numFmtId="164" fontId="9" fillId="2" borderId="3" xfId="0" applyNumberFormat="1" applyFont="1" applyFill="1" applyBorder="1" applyAlignment="1"/>
    <xf numFmtId="167" fontId="0" fillId="2" borderId="13" xfId="0" applyNumberFormat="1" applyFill="1" applyBorder="1" applyAlignment="1">
      <alignment horizontal="right" vertical="top"/>
    </xf>
    <xf numFmtId="164" fontId="0" fillId="2" borderId="0" xfId="0" applyNumberFormat="1" applyFill="1" applyAlignment="1"/>
    <xf numFmtId="0" fontId="0" fillId="2" borderId="0" xfId="0" applyFill="1" applyAlignment="1">
      <alignment horizontal="left"/>
    </xf>
    <xf numFmtId="0" fontId="3" fillId="2" borderId="0" xfId="0" applyFont="1" applyFill="1" applyAlignment="1"/>
    <xf numFmtId="0" fontId="3" fillId="2" borderId="0" xfId="0" applyFont="1" applyFill="1" applyAlignment="1">
      <alignment horizontal="left"/>
    </xf>
    <xf numFmtId="0" fontId="2" fillId="2" borderId="10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" fontId="0" fillId="2" borderId="1" xfId="0" applyNumberFormat="1" applyFill="1" applyBorder="1" applyAlignment="1"/>
    <xf numFmtId="4" fontId="0" fillId="2" borderId="3" xfId="0" applyNumberFormat="1" applyFill="1" applyBorder="1" applyAlignment="1"/>
    <xf numFmtId="4" fontId="2" fillId="2" borderId="0" xfId="0" applyNumberFormat="1" applyFont="1" applyFill="1" applyAlignment="1"/>
    <xf numFmtId="4" fontId="0" fillId="2" borderId="4" xfId="0" applyNumberFormat="1" applyFill="1" applyBorder="1" applyAlignment="1"/>
    <xf numFmtId="11" fontId="0" fillId="2" borderId="5" xfId="0" applyNumberFormat="1" applyFill="1" applyBorder="1" applyAlignment="1"/>
    <xf numFmtId="4" fontId="0" fillId="2" borderId="12" xfId="0" applyNumberFormat="1" applyFill="1" applyBorder="1" applyAlignment="1"/>
    <xf numFmtId="4" fontId="0" fillId="2" borderId="7" xfId="0" applyNumberFormat="1" applyFill="1" applyBorder="1" applyAlignment="1"/>
    <xf numFmtId="11" fontId="0" fillId="2" borderId="10" xfId="0" applyNumberFormat="1" applyFill="1" applyBorder="1" applyAlignment="1"/>
    <xf numFmtId="4" fontId="0" fillId="2" borderId="13" xfId="0" applyNumberFormat="1" applyFill="1" applyBorder="1" applyAlignment="1"/>
    <xf numFmtId="0" fontId="4" fillId="2" borderId="8" xfId="0" applyFont="1" applyFill="1" applyBorder="1"/>
    <xf numFmtId="4" fontId="0" fillId="2" borderId="14" xfId="0" applyNumberFormat="1" applyFill="1" applyBorder="1" applyAlignment="1"/>
    <xf numFmtId="11" fontId="0" fillId="2" borderId="15" xfId="0" applyNumberFormat="1" applyFill="1" applyBorder="1" applyAlignment="1"/>
    <xf numFmtId="4" fontId="0" fillId="2" borderId="16" xfId="0" applyNumberFormat="1" applyFill="1" applyBorder="1" applyAlignment="1"/>
    <xf numFmtId="4" fontId="2" fillId="2" borderId="17" xfId="0" applyNumberFormat="1" applyFont="1" applyFill="1" applyBorder="1" applyAlignment="1"/>
    <xf numFmtId="11" fontId="4" fillId="2" borderId="4" xfId="0" applyNumberFormat="1" applyFont="1" applyFill="1" applyBorder="1" applyAlignment="1"/>
    <xf numFmtId="4" fontId="4" fillId="2" borderId="5" xfId="0" applyNumberFormat="1" applyFont="1" applyFill="1" applyBorder="1" applyAlignment="1"/>
    <xf numFmtId="4" fontId="4" fillId="2" borderId="12" xfId="0" applyNumberFormat="1" applyFont="1" applyFill="1" applyBorder="1" applyAlignment="1"/>
    <xf numFmtId="11" fontId="4" fillId="2" borderId="7" xfId="0" applyNumberFormat="1" applyFont="1" applyFill="1" applyBorder="1" applyAlignment="1"/>
    <xf numFmtId="4" fontId="4" fillId="2" borderId="10" xfId="0" applyNumberFormat="1" applyFont="1" applyFill="1" applyBorder="1" applyAlignment="1"/>
    <xf numFmtId="4" fontId="4" fillId="2" borderId="13" xfId="0" applyNumberFormat="1" applyFont="1" applyFill="1" applyBorder="1" applyAlignment="1"/>
    <xf numFmtId="0" fontId="5" fillId="2" borderId="8" xfId="0" applyFont="1" applyFill="1" applyBorder="1"/>
    <xf numFmtId="11" fontId="0" fillId="2" borderId="4" xfId="0" applyNumberFormat="1" applyFill="1" applyBorder="1" applyAlignment="1"/>
    <xf numFmtId="11" fontId="0" fillId="2" borderId="12" xfId="0" applyNumberFormat="1" applyFill="1" applyBorder="1" applyAlignment="1"/>
    <xf numFmtId="11" fontId="0" fillId="2" borderId="7" xfId="0" applyNumberFormat="1" applyFill="1" applyBorder="1" applyAlignment="1"/>
    <xf numFmtId="11" fontId="0" fillId="2" borderId="11" xfId="0" applyNumberFormat="1" applyFill="1" applyBorder="1" applyAlignment="1"/>
    <xf numFmtId="11" fontId="0" fillId="2" borderId="13" xfId="0" applyNumberFormat="1" applyFill="1" applyBorder="1" applyAlignment="1"/>
    <xf numFmtId="11" fontId="0" fillId="2" borderId="14" xfId="0" applyNumberFormat="1" applyFill="1" applyBorder="1" applyAlignment="1"/>
    <xf numFmtId="11" fontId="0" fillId="2" borderId="16" xfId="0" applyNumberFormat="1" applyFill="1" applyBorder="1" applyAlignment="1"/>
    <xf numFmtId="0" fontId="2" fillId="2" borderId="20" xfId="0" applyFont="1" applyFill="1" applyBorder="1"/>
    <xf numFmtId="11" fontId="2" fillId="2" borderId="0" xfId="0" applyNumberFormat="1" applyFont="1" applyFill="1" applyAlignment="1"/>
    <xf numFmtId="11" fontId="4" fillId="2" borderId="13" xfId="0" applyNumberFormat="1" applyFont="1" applyFill="1" applyBorder="1" applyAlignment="1"/>
    <xf numFmtId="0" fontId="6" fillId="2" borderId="0" xfId="0" applyFont="1" applyFill="1"/>
    <xf numFmtId="0" fontId="0" fillId="2" borderId="8" xfId="0" applyFill="1" applyBorder="1" applyAlignment="1">
      <alignment horizontal="left"/>
    </xf>
    <xf numFmtId="11" fontId="4" fillId="2" borderId="24" xfId="0" applyNumberFormat="1" applyFont="1" applyFill="1" applyBorder="1" applyAlignment="1"/>
    <xf numFmtId="11" fontId="4" fillId="2" borderId="10" xfId="0" applyNumberFormat="1" applyFont="1" applyFill="1" applyBorder="1" applyAlignment="1"/>
    <xf numFmtId="11" fontId="4" fillId="2" borderId="14" xfId="0" applyNumberFormat="1" applyFont="1" applyFill="1" applyBorder="1" applyAlignment="1"/>
    <xf numFmtId="11" fontId="4" fillId="2" borderId="15" xfId="0" applyNumberFormat="1" applyFont="1" applyFill="1" applyBorder="1" applyAlignment="1"/>
    <xf numFmtId="11" fontId="4" fillId="2" borderId="16" xfId="0" applyNumberFormat="1" applyFont="1" applyFill="1" applyBorder="1" applyAlignment="1"/>
    <xf numFmtId="0" fontId="0" fillId="2" borderId="30" xfId="0" applyFill="1" applyBorder="1"/>
    <xf numFmtId="11" fontId="0" fillId="2" borderId="0" xfId="0" applyNumberFormat="1" applyFill="1" applyAlignment="1"/>
    <xf numFmtId="11" fontId="0" fillId="2" borderId="4" xfId="0" applyNumberFormat="1" applyFill="1" applyBorder="1" applyAlignment="1">
      <alignment horizontal="right"/>
    </xf>
    <xf numFmtId="11" fontId="0" fillId="2" borderId="7" xfId="0" applyNumberFormat="1" applyFill="1" applyBorder="1" applyAlignment="1">
      <alignment horizontal="right"/>
    </xf>
    <xf numFmtId="11" fontId="0" fillId="2" borderId="14" xfId="0" applyNumberFormat="1" applyFill="1" applyBorder="1" applyAlignment="1">
      <alignment horizontal="right"/>
    </xf>
    <xf numFmtId="11" fontId="0" fillId="2" borderId="4" xfId="0" applyNumberFormat="1" applyFill="1" applyBorder="1" applyAlignment="1">
      <alignment horizontal="right" vertical="top"/>
    </xf>
    <xf numFmtId="11" fontId="0" fillId="2" borderId="7" xfId="0" applyNumberFormat="1" applyFill="1" applyBorder="1" applyAlignment="1">
      <alignment horizontal="right" vertical="top"/>
    </xf>
    <xf numFmtId="11" fontId="0" fillId="2" borderId="26" xfId="0" applyNumberFormat="1" applyFill="1" applyBorder="1" applyAlignment="1">
      <alignment horizontal="right" vertical="top"/>
    </xf>
    <xf numFmtId="11" fontId="0" fillId="2" borderId="14" xfId="0" applyNumberFormat="1" applyFill="1" applyBorder="1" applyAlignment="1">
      <alignment horizontal="right" vertical="top"/>
    </xf>
    <xf numFmtId="11" fontId="4" fillId="2" borderId="7" xfId="0" applyNumberFormat="1" applyFont="1" applyFill="1" applyBorder="1" applyAlignment="1">
      <alignment horizontal="right" vertical="top"/>
    </xf>
    <xf numFmtId="11" fontId="0" fillId="2" borderId="12" xfId="0" applyNumberFormat="1" applyFill="1" applyBorder="1" applyAlignment="1">
      <alignment horizontal="right" vertical="top"/>
    </xf>
    <xf numFmtId="11" fontId="0" fillId="2" borderId="13" xfId="0" applyNumberFormat="1" applyFill="1" applyBorder="1" applyAlignment="1">
      <alignment horizontal="right" vertical="top"/>
    </xf>
    <xf numFmtId="11" fontId="0" fillId="2" borderId="16" xfId="0" applyNumberFormat="1" applyFill="1" applyBorder="1" applyAlignment="1">
      <alignment horizontal="right" vertical="top"/>
    </xf>
    <xf numFmtId="11" fontId="0" fillId="2" borderId="28" xfId="0" applyNumberFormat="1" applyFill="1" applyBorder="1" applyAlignment="1">
      <alignment horizontal="right"/>
    </xf>
    <xf numFmtId="11" fontId="0" fillId="2" borderId="13" xfId="0" applyNumberFormat="1" applyFill="1" applyBorder="1" applyAlignment="1">
      <alignment horizontal="right"/>
    </xf>
    <xf numFmtId="11" fontId="4" fillId="2" borderId="13" xfId="0" applyNumberFormat="1" applyFont="1" applyFill="1" applyBorder="1" applyAlignment="1">
      <alignment horizontal="right" vertical="top"/>
    </xf>
    <xf numFmtId="0" fontId="13" fillId="2" borderId="24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3" fillId="2" borderId="26" xfId="0" applyFont="1" applyFill="1" applyBorder="1" applyAlignment="1">
      <alignment horizontal="center"/>
    </xf>
    <xf numFmtId="0" fontId="13" fillId="2" borderId="25" xfId="0" applyFont="1" applyFill="1" applyBorder="1" applyAlignment="1">
      <alignment horizontal="center" vertical="center"/>
    </xf>
    <xf numFmtId="0" fontId="2" fillId="2" borderId="10" xfId="0" applyFont="1" applyFill="1" applyBorder="1"/>
    <xf numFmtId="0" fontId="2" fillId="2" borderId="10" xfId="0" applyFont="1" applyFill="1" applyBorder="1" applyAlignment="1"/>
    <xf numFmtId="0" fontId="0" fillId="2" borderId="10" xfId="0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14" fillId="2" borderId="0" xfId="0" applyFont="1" applyFill="1"/>
    <xf numFmtId="0" fontId="5" fillId="2" borderId="10" xfId="0" applyFont="1" applyFill="1" applyBorder="1" applyAlignment="1">
      <alignment horizontal="left"/>
    </xf>
    <xf numFmtId="0" fontId="0" fillId="0" borderId="10" xfId="0" applyBorder="1"/>
    <xf numFmtId="0" fontId="0" fillId="2" borderId="10" xfId="0" applyFill="1" applyBorder="1" applyAlignment="1">
      <alignment horizontal="left" vertical="center"/>
    </xf>
    <xf numFmtId="0" fontId="2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11" fontId="0" fillId="2" borderId="10" xfId="0" applyNumberFormat="1" applyFill="1" applyBorder="1"/>
    <xf numFmtId="2" fontId="0" fillId="2" borderId="10" xfId="0" applyNumberFormat="1" applyFill="1" applyBorder="1"/>
    <xf numFmtId="9" fontId="0" fillId="2" borderId="10" xfId="1" applyFont="1" applyFill="1" applyBorder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11" fontId="0" fillId="2" borderId="0" xfId="0" applyNumberFormat="1" applyFill="1"/>
    <xf numFmtId="11" fontId="0" fillId="0" borderId="2" xfId="0" applyNumberFormat="1" applyFill="1" applyBorder="1" applyAlignment="1"/>
    <xf numFmtId="0" fontId="0" fillId="2" borderId="17" xfId="0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8" fillId="2" borderId="0" xfId="0" applyFont="1" applyFill="1" applyBorder="1" applyAlignment="1"/>
    <xf numFmtId="11" fontId="0" fillId="2" borderId="21" xfId="0" applyNumberFormat="1" applyFill="1" applyBorder="1" applyAlignment="1">
      <alignment horizontal="right" vertical="top"/>
    </xf>
    <xf numFmtId="11" fontId="0" fillId="2" borderId="25" xfId="0" applyNumberFormat="1" applyFill="1" applyBorder="1" applyAlignment="1">
      <alignment horizontal="right" vertical="center"/>
    </xf>
    <xf numFmtId="164" fontId="0" fillId="2" borderId="7" xfId="0" applyNumberFormat="1" applyFill="1" applyBorder="1" applyAlignment="1">
      <alignment horizontal="center"/>
    </xf>
    <xf numFmtId="0" fontId="17" fillId="2" borderId="0" xfId="0" applyFont="1" applyFill="1" applyAlignment="1">
      <alignment horizontal="left"/>
    </xf>
    <xf numFmtId="0" fontId="5" fillId="2" borderId="7" xfId="0" applyFont="1" applyFill="1" applyBorder="1" applyAlignment="1">
      <alignment horizontal="left" vertical="top"/>
    </xf>
    <xf numFmtId="0" fontId="5" fillId="2" borderId="13" xfId="0" applyFont="1" applyFill="1" applyBorder="1" applyAlignment="1">
      <alignment horizontal="center" vertical="center"/>
    </xf>
    <xf numFmtId="164" fontId="4" fillId="2" borderId="7" xfId="0" applyNumberFormat="1" applyFont="1" applyFill="1" applyBorder="1"/>
    <xf numFmtId="0" fontId="4" fillId="2" borderId="8" xfId="0" applyFont="1" applyFill="1" applyBorder="1" applyAlignment="1">
      <alignment horizontal="center"/>
    </xf>
    <xf numFmtId="0" fontId="4" fillId="2" borderId="0" xfId="0" applyFont="1" applyFill="1"/>
    <xf numFmtId="0" fontId="19" fillId="2" borderId="7" xfId="0" applyFont="1" applyFill="1" applyBorder="1"/>
    <xf numFmtId="164" fontId="19" fillId="2" borderId="10" xfId="0" applyNumberFormat="1" applyFont="1" applyFill="1" applyBorder="1"/>
    <xf numFmtId="164" fontId="19" fillId="2" borderId="7" xfId="0" applyNumberFormat="1" applyFont="1" applyFill="1" applyBorder="1"/>
    <xf numFmtId="0" fontId="19" fillId="2" borderId="8" xfId="0" applyFont="1" applyFill="1" applyBorder="1" applyAlignment="1">
      <alignment horizontal="center"/>
    </xf>
    <xf numFmtId="10" fontId="11" fillId="0" borderId="7" xfId="0" applyNumberFormat="1" applyFont="1" applyFill="1" applyBorder="1" applyAlignment="1">
      <alignment horizontal="center"/>
    </xf>
    <xf numFmtId="10" fontId="11" fillId="0" borderId="13" xfId="0" applyNumberFormat="1" applyFont="1" applyFill="1" applyBorder="1" applyAlignment="1">
      <alignment horizontal="center"/>
    </xf>
    <xf numFmtId="0" fontId="0" fillId="2" borderId="10" xfId="0" applyFont="1" applyFill="1" applyBorder="1"/>
    <xf numFmtId="11" fontId="0" fillId="2" borderId="10" xfId="0" applyNumberFormat="1" applyFont="1" applyFill="1" applyBorder="1"/>
    <xf numFmtId="9" fontId="18" fillId="2" borderId="10" xfId="1" applyFont="1" applyFill="1" applyBorder="1"/>
    <xf numFmtId="2" fontId="0" fillId="2" borderId="10" xfId="0" applyNumberFormat="1" applyFont="1" applyFill="1" applyBorder="1"/>
    <xf numFmtId="11" fontId="2" fillId="2" borderId="10" xfId="0" applyNumberFormat="1" applyFont="1" applyFill="1" applyBorder="1"/>
    <xf numFmtId="0" fontId="2" fillId="2" borderId="22" xfId="0" applyFont="1" applyFill="1" applyBorder="1"/>
    <xf numFmtId="0" fontId="2" fillId="2" borderId="30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left"/>
    </xf>
    <xf numFmtId="0" fontId="0" fillId="2" borderId="36" xfId="0" applyFill="1" applyBorder="1"/>
    <xf numFmtId="11" fontId="0" fillId="2" borderId="37" xfId="0" applyNumberFormat="1" applyFill="1" applyBorder="1" applyAlignment="1"/>
    <xf numFmtId="11" fontId="0" fillId="2" borderId="38" xfId="0" applyNumberFormat="1" applyFill="1" applyBorder="1" applyAlignment="1"/>
    <xf numFmtId="11" fontId="0" fillId="2" borderId="21" xfId="0" applyNumberFormat="1" applyFill="1" applyBorder="1" applyAlignment="1"/>
    <xf numFmtId="0" fontId="0" fillId="2" borderId="17" xfId="0" applyFill="1" applyBorder="1" applyAlignment="1">
      <alignment horizontal="center"/>
    </xf>
    <xf numFmtId="0" fontId="0" fillId="2" borderId="39" xfId="0" applyFill="1" applyBorder="1" applyAlignment="1">
      <alignment horizontal="left"/>
    </xf>
    <xf numFmtId="0" fontId="0" fillId="2" borderId="8" xfId="0" applyFont="1" applyFill="1" applyBorder="1"/>
    <xf numFmtId="0" fontId="0" fillId="2" borderId="5" xfId="0" applyFont="1" applyFill="1" applyBorder="1" applyAlignment="1"/>
    <xf numFmtId="0" fontId="0" fillId="2" borderId="12" xfId="0" applyFont="1" applyFill="1" applyBorder="1" applyAlignment="1"/>
    <xf numFmtId="11" fontId="0" fillId="2" borderId="4" xfId="0" applyNumberFormat="1" applyFont="1" applyFill="1" applyBorder="1" applyAlignment="1"/>
    <xf numFmtId="9" fontId="0" fillId="2" borderId="0" xfId="1" applyFont="1" applyFill="1" applyAlignment="1"/>
    <xf numFmtId="168" fontId="0" fillId="2" borderId="0" xfId="1" applyNumberFormat="1" applyFont="1" applyFill="1" applyAlignment="1"/>
    <xf numFmtId="0" fontId="20" fillId="2" borderId="0" xfId="0" applyFont="1" applyFill="1" applyAlignment="1">
      <alignment horizontal="justify" vertical="center"/>
    </xf>
    <xf numFmtId="0" fontId="24" fillId="2" borderId="0" xfId="0" applyFont="1" applyFill="1" applyAlignment="1">
      <alignment horizontal="justify" vertical="center"/>
    </xf>
    <xf numFmtId="0" fontId="23" fillId="2" borderId="0" xfId="0" applyFont="1" applyFill="1" applyAlignment="1">
      <alignment horizontal="justify" vertical="center"/>
    </xf>
    <xf numFmtId="0" fontId="22" fillId="2" borderId="0" xfId="0" applyFont="1" applyFill="1"/>
    <xf numFmtId="0" fontId="20" fillId="2" borderId="0" xfId="0" applyFont="1" applyFill="1"/>
    <xf numFmtId="0" fontId="26" fillId="2" borderId="0" xfId="0" applyFont="1" applyFill="1" applyAlignment="1">
      <alignment vertical="center"/>
    </xf>
    <xf numFmtId="0" fontId="27" fillId="0" borderId="0" xfId="0" applyFont="1"/>
    <xf numFmtId="0" fontId="27" fillId="0" borderId="0" xfId="0" applyFont="1" applyAlignment="1">
      <alignment vertical="center"/>
    </xf>
    <xf numFmtId="0" fontId="28" fillId="0" borderId="3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 wrapText="1"/>
    </xf>
    <xf numFmtId="0" fontId="29" fillId="0" borderId="43" xfId="0" applyFont="1" applyBorder="1" applyAlignment="1">
      <alignment vertical="center"/>
    </xf>
    <xf numFmtId="0" fontId="29" fillId="0" borderId="42" xfId="0" applyFont="1" applyBorder="1" applyAlignment="1">
      <alignment horizontal="center" vertical="center"/>
    </xf>
    <xf numFmtId="0" fontId="29" fillId="5" borderId="0" xfId="0" applyFont="1" applyFill="1" applyAlignment="1">
      <alignment vertical="center"/>
    </xf>
    <xf numFmtId="0" fontId="29" fillId="3" borderId="0" xfId="0" applyFont="1" applyFill="1" applyAlignment="1">
      <alignment vertical="center"/>
    </xf>
    <xf numFmtId="0" fontId="31" fillId="2" borderId="0" xfId="0" applyFont="1" applyFill="1"/>
    <xf numFmtId="0" fontId="27" fillId="2" borderId="0" xfId="0" applyFont="1" applyFill="1"/>
    <xf numFmtId="0" fontId="22" fillId="2" borderId="0" xfId="0" applyFont="1" applyFill="1" applyAlignment="1">
      <alignment vertical="center"/>
    </xf>
    <xf numFmtId="168" fontId="29" fillId="4" borderId="42" xfId="0" applyNumberFormat="1" applyFont="1" applyFill="1" applyBorder="1" applyAlignment="1">
      <alignment horizontal="center" vertical="center"/>
    </xf>
    <xf numFmtId="168" fontId="29" fillId="3" borderId="42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9" xfId="0" applyNumberFormat="1" applyFont="1" applyFill="1" applyBorder="1" applyAlignment="1">
      <alignment horizontal="center"/>
    </xf>
    <xf numFmtId="164" fontId="5" fillId="2" borderId="23" xfId="0" applyNumberFormat="1" applyFont="1" applyFill="1" applyBorder="1" applyAlignment="1">
      <alignment horizontal="center"/>
    </xf>
    <xf numFmtId="164" fontId="5" fillId="2" borderId="32" xfId="0" applyNumberFormat="1" applyFont="1" applyFill="1" applyBorder="1" applyAlignment="1">
      <alignment horizontal="center"/>
    </xf>
    <xf numFmtId="164" fontId="5" fillId="2" borderId="29" xfId="0" applyNumberFormat="1" applyFont="1" applyFill="1" applyBorder="1" applyAlignment="1">
      <alignment horizontal="center"/>
    </xf>
    <xf numFmtId="164" fontId="5" fillId="2" borderId="33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 textRotation="90"/>
    </xf>
    <xf numFmtId="11" fontId="5" fillId="2" borderId="19" xfId="0" applyNumberFormat="1" applyFont="1" applyFill="1" applyBorder="1" applyAlignment="1">
      <alignment horizontal="center"/>
    </xf>
    <xf numFmtId="11" fontId="5" fillId="2" borderId="34" xfId="0" applyNumberFormat="1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 vertical="center"/>
    </xf>
    <xf numFmtId="0" fontId="10" fillId="0" borderId="28" xfId="0" applyFont="1" applyFill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9" fillId="2" borderId="0" xfId="0" applyFont="1" applyFill="1" applyAlignment="1">
      <alignment vertical="center"/>
    </xf>
    <xf numFmtId="0" fontId="14" fillId="2" borderId="0" xfId="0" applyFont="1" applyFill="1" applyAlignment="1">
      <alignment horizontal="left" wrapText="1"/>
    </xf>
    <xf numFmtId="0" fontId="0" fillId="2" borderId="0" xfId="0" applyFill="1" applyBorder="1" applyAlignment="1">
      <alignment horizontal="center" vertical="center"/>
    </xf>
    <xf numFmtId="0" fontId="17" fillId="2" borderId="0" xfId="0" applyFont="1" applyFill="1" applyBorder="1"/>
    <xf numFmtId="0" fontId="6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6294-A781-4237-8320-FF3B09E47109}">
  <dimension ref="B3:B24"/>
  <sheetViews>
    <sheetView workbookViewId="0">
      <selection activeCell="M7" sqref="M7"/>
    </sheetView>
  </sheetViews>
  <sheetFormatPr defaultColWidth="8.85546875" defaultRowHeight="15.75" x14ac:dyDescent="0.25"/>
  <cols>
    <col min="1" max="1" width="8.85546875" style="219"/>
    <col min="2" max="2" width="122.28515625" style="219" bestFit="1" customWidth="1"/>
    <col min="3" max="16384" width="8.85546875" style="219"/>
  </cols>
  <sheetData>
    <row r="3" spans="2:2" ht="25.5" x14ac:dyDescent="0.25">
      <c r="B3" s="220" t="s">
        <v>323</v>
      </c>
    </row>
    <row r="5" spans="2:2" ht="37.5" x14ac:dyDescent="0.25">
      <c r="B5" s="215" t="s">
        <v>325</v>
      </c>
    </row>
    <row r="7" spans="2:2" s="218" customFormat="1" ht="33" x14ac:dyDescent="0.25">
      <c r="B7" s="216" t="s">
        <v>326</v>
      </c>
    </row>
    <row r="8" spans="2:2" s="218" customFormat="1" ht="33" x14ac:dyDescent="0.25">
      <c r="B8" s="216" t="s">
        <v>362</v>
      </c>
    </row>
    <row r="9" spans="2:2" s="218" customFormat="1" ht="18" x14ac:dyDescent="0.25">
      <c r="B9" s="216" t="s">
        <v>327</v>
      </c>
    </row>
    <row r="10" spans="2:2" s="218" customFormat="1" ht="33" x14ac:dyDescent="0.25">
      <c r="B10" s="216" t="s">
        <v>328</v>
      </c>
    </row>
    <row r="11" spans="2:2" s="218" customFormat="1" ht="18" x14ac:dyDescent="0.25">
      <c r="B11" s="217" t="s">
        <v>329</v>
      </c>
    </row>
    <row r="13" spans="2:2" x14ac:dyDescent="0.25">
      <c r="B13" s="219" t="s">
        <v>324</v>
      </c>
    </row>
    <row r="16" spans="2:2" x14ac:dyDescent="0.25">
      <c r="B16" s="219" t="s">
        <v>330</v>
      </c>
    </row>
    <row r="17" spans="2:2" x14ac:dyDescent="0.25">
      <c r="B17" s="219" t="s">
        <v>331</v>
      </c>
    </row>
    <row r="18" spans="2:2" x14ac:dyDescent="0.25">
      <c r="B18" s="219" t="s">
        <v>332</v>
      </c>
    </row>
    <row r="19" spans="2:2" x14ac:dyDescent="0.25">
      <c r="B19" s="219" t="s">
        <v>333</v>
      </c>
    </row>
    <row r="20" spans="2:2" x14ac:dyDescent="0.25">
      <c r="B20" s="219" t="s">
        <v>338</v>
      </c>
    </row>
    <row r="23" spans="2:2" x14ac:dyDescent="0.25">
      <c r="B23" s="219" t="s">
        <v>371</v>
      </c>
    </row>
    <row r="24" spans="2:2" x14ac:dyDescent="0.25">
      <c r="B24" s="255" t="s">
        <v>372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F8C8-721E-402A-B6AD-62029FF79662}">
  <dimension ref="A2:BE62"/>
  <sheetViews>
    <sheetView tabSelected="1" topLeftCell="B1" zoomScaleNormal="100" workbookViewId="0">
      <selection activeCell="C59" sqref="C59"/>
    </sheetView>
  </sheetViews>
  <sheetFormatPr defaultColWidth="9.140625" defaultRowHeight="15" x14ac:dyDescent="0.25"/>
  <cols>
    <col min="1" max="1" width="2.28515625" style="2" customWidth="1"/>
    <col min="2" max="2" width="3.7109375" style="2" bestFit="1" customWidth="1"/>
    <col min="3" max="3" width="38.28515625" style="2" bestFit="1" customWidth="1"/>
    <col min="4" max="5" width="20.7109375" style="70" customWidth="1"/>
    <col min="6" max="6" width="20.85546875" style="70" customWidth="1"/>
    <col min="7" max="7" width="7.140625" style="151" customWidth="1"/>
    <col min="8" max="8" width="31.140625" style="151" customWidth="1"/>
    <col min="9" max="10" width="40.7109375" style="71" customWidth="1"/>
    <col min="11" max="57" width="9.140625" style="2"/>
    <col min="58" max="16384" width="9.140625" style="6"/>
  </cols>
  <sheetData>
    <row r="2" spans="1:57" ht="21" x14ac:dyDescent="0.35">
      <c r="C2" s="142" t="s">
        <v>334</v>
      </c>
    </row>
    <row r="3" spans="1:57" s="7" customFormat="1" ht="15.75" thickBot="1" x14ac:dyDescent="0.3">
      <c r="A3" s="3"/>
      <c r="B3" s="3"/>
      <c r="C3" s="3"/>
      <c r="D3" s="72"/>
      <c r="E3" s="72"/>
      <c r="F3" s="72"/>
      <c r="G3" s="152"/>
      <c r="H3" s="152"/>
      <c r="I3" s="73"/>
      <c r="J3" s="7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 s="5" customFormat="1" ht="18" thickBot="1" x14ac:dyDescent="0.3">
      <c r="A4" s="1"/>
      <c r="B4" s="74"/>
      <c r="C4" s="23" t="s">
        <v>0</v>
      </c>
      <c r="D4" s="75" t="s">
        <v>255</v>
      </c>
      <c r="E4" s="76" t="s">
        <v>256</v>
      </c>
      <c r="F4" s="77" t="s">
        <v>257</v>
      </c>
      <c r="G4" s="140" t="s">
        <v>1</v>
      </c>
      <c r="H4" s="74" t="s">
        <v>365</v>
      </c>
      <c r="I4" s="74" t="s">
        <v>274</v>
      </c>
      <c r="J4" s="74" t="s">
        <v>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s="5" customFormat="1" ht="15" customHeight="1" thickBot="1" x14ac:dyDescent="0.3">
      <c r="A5" s="1"/>
      <c r="B5" s="243" t="s">
        <v>3</v>
      </c>
      <c r="C5" s="27" t="s">
        <v>4</v>
      </c>
      <c r="D5" s="44"/>
      <c r="E5" s="44"/>
      <c r="F5" s="44"/>
      <c r="G5" s="153"/>
      <c r="H5" s="74"/>
      <c r="I5" s="141"/>
      <c r="J5" s="14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ht="15" customHeight="1" thickBot="1" x14ac:dyDescent="0.3">
      <c r="B6" s="243"/>
      <c r="C6" s="28" t="s">
        <v>5</v>
      </c>
      <c r="D6" s="78" t="s">
        <v>239</v>
      </c>
      <c r="E6" s="174">
        <v>4559.2577724251796</v>
      </c>
      <c r="F6" s="79" t="s">
        <v>239</v>
      </c>
      <c r="G6" s="154" t="s">
        <v>10</v>
      </c>
      <c r="H6" s="139" t="s">
        <v>367</v>
      </c>
      <c r="I6" s="57"/>
      <c r="J6" s="57"/>
    </row>
    <row r="7" spans="1:57" ht="15.75" thickBot="1" x14ac:dyDescent="0.3">
      <c r="B7" s="243"/>
      <c r="C7" s="27" t="s">
        <v>8</v>
      </c>
      <c r="D7" s="80" t="s">
        <v>239</v>
      </c>
      <c r="E7" s="80" t="s">
        <v>239</v>
      </c>
      <c r="F7" s="80" t="s">
        <v>239</v>
      </c>
      <c r="G7" s="153"/>
      <c r="H7" s="74"/>
      <c r="I7" s="141"/>
      <c r="J7" s="141"/>
    </row>
    <row r="8" spans="1:57" x14ac:dyDescent="0.25">
      <c r="B8" s="243"/>
      <c r="C8" s="28" t="s">
        <v>9</v>
      </c>
      <c r="D8" s="81" t="s">
        <v>239</v>
      </c>
      <c r="E8" s="82">
        <v>1.2950324873247394E-3</v>
      </c>
      <c r="F8" s="83" t="s">
        <v>239</v>
      </c>
      <c r="G8" s="154" t="s">
        <v>10</v>
      </c>
      <c r="H8" s="139" t="s">
        <v>367</v>
      </c>
      <c r="I8" s="57"/>
      <c r="J8" s="57"/>
    </row>
    <row r="9" spans="1:57" x14ac:dyDescent="0.25">
      <c r="B9" s="243"/>
      <c r="C9" s="28" t="s">
        <v>11</v>
      </c>
      <c r="D9" s="84" t="s">
        <v>239</v>
      </c>
      <c r="E9" s="85">
        <v>3.4464814071397773E-2</v>
      </c>
      <c r="F9" s="86" t="s">
        <v>239</v>
      </c>
      <c r="G9" s="154" t="s">
        <v>10</v>
      </c>
      <c r="H9" s="139" t="s">
        <v>367</v>
      </c>
      <c r="I9" s="57"/>
      <c r="J9" s="57"/>
    </row>
    <row r="10" spans="1:57" x14ac:dyDescent="0.25">
      <c r="B10" s="243"/>
      <c r="C10" s="28" t="s">
        <v>12</v>
      </c>
      <c r="D10" s="84" t="s">
        <v>239</v>
      </c>
      <c r="E10" s="85">
        <v>1.1597305856639458E-5</v>
      </c>
      <c r="F10" s="86" t="s">
        <v>239</v>
      </c>
      <c r="G10" s="154" t="s">
        <v>10</v>
      </c>
      <c r="H10" s="139" t="s">
        <v>367</v>
      </c>
      <c r="I10" s="57"/>
      <c r="J10" s="57"/>
    </row>
    <row r="11" spans="1:57" x14ac:dyDescent="0.25">
      <c r="B11" s="243"/>
      <c r="C11" s="28" t="s">
        <v>13</v>
      </c>
      <c r="D11" s="84" t="s">
        <v>239</v>
      </c>
      <c r="E11" s="85">
        <v>4.4605022525536379E-5</v>
      </c>
      <c r="F11" s="86" t="s">
        <v>239</v>
      </c>
      <c r="G11" s="154" t="s">
        <v>10</v>
      </c>
      <c r="H11" s="139" t="s">
        <v>367</v>
      </c>
      <c r="I11" s="57"/>
      <c r="J11" s="57"/>
    </row>
    <row r="12" spans="1:57" x14ac:dyDescent="0.25">
      <c r="B12" s="243"/>
      <c r="C12" s="28" t="s">
        <v>14</v>
      </c>
      <c r="D12" s="84" t="s">
        <v>239</v>
      </c>
      <c r="E12" s="85">
        <v>1.4868340841845459E-5</v>
      </c>
      <c r="F12" s="86" t="s">
        <v>239</v>
      </c>
      <c r="G12" s="154" t="s">
        <v>10</v>
      </c>
      <c r="H12" s="139" t="s">
        <v>367</v>
      </c>
      <c r="I12" s="57"/>
      <c r="J12" s="57"/>
    </row>
    <row r="13" spans="1:57" x14ac:dyDescent="0.25">
      <c r="B13" s="243"/>
      <c r="C13" s="28" t="s">
        <v>15</v>
      </c>
      <c r="D13" s="84" t="s">
        <v>239</v>
      </c>
      <c r="E13" s="85">
        <v>1.1225597335593322E-3</v>
      </c>
      <c r="F13" s="86" t="s">
        <v>239</v>
      </c>
      <c r="G13" s="154" t="s">
        <v>10</v>
      </c>
      <c r="H13" s="139" t="s">
        <v>367</v>
      </c>
      <c r="I13" s="57"/>
      <c r="J13" s="57"/>
    </row>
    <row r="14" spans="1:57" x14ac:dyDescent="0.25">
      <c r="B14" s="243"/>
      <c r="C14" s="28" t="s">
        <v>16</v>
      </c>
      <c r="D14" s="84" t="s">
        <v>239</v>
      </c>
      <c r="E14" s="85">
        <v>3.9103736414053552E-5</v>
      </c>
      <c r="F14" s="86" t="s">
        <v>239</v>
      </c>
      <c r="G14" s="154" t="s">
        <v>10</v>
      </c>
      <c r="H14" s="139" t="s">
        <v>367</v>
      </c>
      <c r="I14" s="57"/>
      <c r="J14" s="57"/>
    </row>
    <row r="15" spans="1:57" x14ac:dyDescent="0.25">
      <c r="B15" s="243"/>
      <c r="C15" s="28" t="s">
        <v>17</v>
      </c>
      <c r="D15" s="84" t="s">
        <v>239</v>
      </c>
      <c r="E15" s="85">
        <v>8.9210045051072745E-7</v>
      </c>
      <c r="F15" s="86" t="s">
        <v>239</v>
      </c>
      <c r="G15" s="154" t="s">
        <v>10</v>
      </c>
      <c r="H15" s="139" t="s">
        <v>367</v>
      </c>
      <c r="I15" s="57"/>
      <c r="J15" s="57"/>
    </row>
    <row r="16" spans="1:57" x14ac:dyDescent="0.25">
      <c r="B16" s="243"/>
      <c r="C16" s="28" t="s">
        <v>18</v>
      </c>
      <c r="D16" s="84" t="s">
        <v>239</v>
      </c>
      <c r="E16" s="85">
        <v>5.5012861114828193E-4</v>
      </c>
      <c r="F16" s="86" t="s">
        <v>239</v>
      </c>
      <c r="G16" s="154" t="s">
        <v>10</v>
      </c>
      <c r="H16" s="139" t="s">
        <v>367</v>
      </c>
      <c r="I16" s="57"/>
      <c r="J16" s="57"/>
    </row>
    <row r="17" spans="2:10" x14ac:dyDescent="0.25">
      <c r="B17" s="243"/>
      <c r="C17" s="28" t="s">
        <v>19</v>
      </c>
      <c r="D17" s="84" t="s">
        <v>239</v>
      </c>
      <c r="E17" s="85">
        <v>1.1448622448221003E-3</v>
      </c>
      <c r="F17" s="86" t="s">
        <v>239</v>
      </c>
      <c r="G17" s="154" t="s">
        <v>10</v>
      </c>
      <c r="H17" s="139" t="s">
        <v>367</v>
      </c>
      <c r="I17" s="57"/>
      <c r="J17" s="57"/>
    </row>
    <row r="18" spans="2:10" x14ac:dyDescent="0.25">
      <c r="B18" s="243"/>
      <c r="C18" s="87" t="s">
        <v>20</v>
      </c>
      <c r="D18" s="84" t="s">
        <v>239</v>
      </c>
      <c r="E18" s="85">
        <v>1.5165707658682367E-3</v>
      </c>
      <c r="F18" s="86" t="s">
        <v>239</v>
      </c>
      <c r="G18" s="154" t="s">
        <v>10</v>
      </c>
      <c r="H18" s="139" t="s">
        <v>367</v>
      </c>
      <c r="I18" s="57"/>
      <c r="J18" s="57"/>
    </row>
    <row r="19" spans="2:10" ht="15.75" thickBot="1" x14ac:dyDescent="0.3">
      <c r="B19" s="243"/>
      <c r="C19" s="28" t="s">
        <v>21</v>
      </c>
      <c r="D19" s="88" t="s">
        <v>239</v>
      </c>
      <c r="E19" s="89">
        <v>0.75053897735551689</v>
      </c>
      <c r="F19" s="90" t="s">
        <v>239</v>
      </c>
      <c r="G19" s="154" t="s">
        <v>10</v>
      </c>
      <c r="H19" s="139" t="s">
        <v>367</v>
      </c>
      <c r="I19" s="57"/>
      <c r="J19" s="57"/>
    </row>
    <row r="20" spans="2:10" ht="15.75" thickBot="1" x14ac:dyDescent="0.3">
      <c r="B20" s="243"/>
      <c r="C20" s="27" t="s">
        <v>22</v>
      </c>
      <c r="D20" s="91" t="s">
        <v>239</v>
      </c>
      <c r="E20" s="91" t="s">
        <v>239</v>
      </c>
      <c r="F20" s="91" t="s">
        <v>239</v>
      </c>
      <c r="G20" s="153"/>
      <c r="H20" s="139"/>
      <c r="I20" s="141"/>
      <c r="J20" s="141"/>
    </row>
    <row r="21" spans="2:10" ht="18" x14ac:dyDescent="0.35">
      <c r="B21" s="243"/>
      <c r="C21" s="28" t="s">
        <v>238</v>
      </c>
      <c r="D21" s="92">
        <v>0.53308949254352711</v>
      </c>
      <c r="E21" s="93" t="s">
        <v>239</v>
      </c>
      <c r="F21" s="94" t="s">
        <v>239</v>
      </c>
      <c r="G21" s="155" t="s">
        <v>10</v>
      </c>
      <c r="H21" s="139" t="s">
        <v>367</v>
      </c>
      <c r="I21" s="57"/>
      <c r="J21" s="57"/>
    </row>
    <row r="22" spans="2:10" ht="18" x14ac:dyDescent="0.35">
      <c r="B22" s="243"/>
      <c r="C22" s="28" t="s">
        <v>237</v>
      </c>
      <c r="D22" s="95">
        <v>5.6499695199012745</v>
      </c>
      <c r="E22" s="96" t="s">
        <v>239</v>
      </c>
      <c r="F22" s="97" t="s">
        <v>239</v>
      </c>
      <c r="G22" s="155" t="s">
        <v>10</v>
      </c>
      <c r="H22" s="139" t="s">
        <v>367</v>
      </c>
      <c r="I22" s="57"/>
      <c r="J22" s="57"/>
    </row>
    <row r="23" spans="2:10" x14ac:dyDescent="0.25">
      <c r="B23" s="243"/>
      <c r="C23" s="98" t="s">
        <v>23</v>
      </c>
      <c r="D23" s="237" t="s">
        <v>24</v>
      </c>
      <c r="E23" s="238"/>
      <c r="F23" s="239"/>
      <c r="G23" s="156"/>
      <c r="H23" s="139" t="s">
        <v>367</v>
      </c>
      <c r="I23" s="143" t="s">
        <v>250</v>
      </c>
      <c r="J23" s="143" t="s">
        <v>249</v>
      </c>
    </row>
    <row r="24" spans="2:10" x14ac:dyDescent="0.25">
      <c r="B24" s="243"/>
      <c r="C24" s="98" t="s">
        <v>25</v>
      </c>
      <c r="D24" s="237" t="s">
        <v>24</v>
      </c>
      <c r="E24" s="238"/>
      <c r="F24" s="239"/>
      <c r="G24" s="156"/>
      <c r="H24" s="139" t="s">
        <v>367</v>
      </c>
      <c r="I24" s="143" t="s">
        <v>251</v>
      </c>
      <c r="J24" s="143" t="s">
        <v>254</v>
      </c>
    </row>
    <row r="25" spans="2:10" ht="15.75" thickBot="1" x14ac:dyDescent="0.3">
      <c r="B25" s="243"/>
      <c r="C25" s="98" t="s">
        <v>26</v>
      </c>
      <c r="D25" s="240" t="s">
        <v>24</v>
      </c>
      <c r="E25" s="241"/>
      <c r="F25" s="242"/>
      <c r="G25" s="156"/>
      <c r="H25" s="139" t="s">
        <v>367</v>
      </c>
      <c r="I25" s="143" t="s">
        <v>252</v>
      </c>
      <c r="J25" s="143" t="s">
        <v>253</v>
      </c>
    </row>
    <row r="26" spans="2:10" ht="15.75" thickBot="1" x14ac:dyDescent="0.3">
      <c r="B26" s="243"/>
      <c r="C26" s="200" t="s">
        <v>28</v>
      </c>
      <c r="D26" s="44"/>
      <c r="E26" s="44"/>
      <c r="F26" s="44"/>
      <c r="G26" s="201"/>
      <c r="H26" s="139"/>
      <c r="I26" s="202"/>
      <c r="J26" s="202"/>
    </row>
    <row r="27" spans="2:10" x14ac:dyDescent="0.25">
      <c r="B27" s="243"/>
      <c r="C27" s="209" t="s">
        <v>322</v>
      </c>
      <c r="D27" s="212">
        <v>406946.48884131003</v>
      </c>
      <c r="E27" s="210"/>
      <c r="F27" s="211"/>
      <c r="G27" s="236" t="s">
        <v>10</v>
      </c>
      <c r="H27" s="139" t="s">
        <v>367</v>
      </c>
      <c r="I27" s="141"/>
      <c r="J27" s="141"/>
    </row>
    <row r="28" spans="2:10" x14ac:dyDescent="0.25">
      <c r="B28" s="243"/>
      <c r="C28" s="203" t="s">
        <v>29</v>
      </c>
      <c r="D28" s="204" t="s">
        <v>239</v>
      </c>
      <c r="E28" s="205" t="s">
        <v>239</v>
      </c>
      <c r="F28" s="206">
        <v>7.9129309960301528</v>
      </c>
      <c r="G28" s="207" t="s">
        <v>10</v>
      </c>
      <c r="H28" s="139" t="s">
        <v>367</v>
      </c>
      <c r="I28" s="208" t="s">
        <v>188</v>
      </c>
      <c r="J28" s="208" t="s">
        <v>30</v>
      </c>
    </row>
    <row r="29" spans="2:10" x14ac:dyDescent="0.25">
      <c r="B29" s="243"/>
      <c r="C29" s="28" t="s">
        <v>31</v>
      </c>
      <c r="D29" s="101" t="s">
        <v>239</v>
      </c>
      <c r="E29" s="102" t="s">
        <v>239</v>
      </c>
      <c r="F29" s="103">
        <v>7.999167372912857</v>
      </c>
      <c r="G29" s="154" t="s">
        <v>10</v>
      </c>
      <c r="H29" s="139" t="s">
        <v>367</v>
      </c>
      <c r="I29" s="57" t="s">
        <v>188</v>
      </c>
      <c r="J29" s="57" t="s">
        <v>32</v>
      </c>
    </row>
    <row r="30" spans="2:10" x14ac:dyDescent="0.25">
      <c r="B30" s="243"/>
      <c r="C30" s="28" t="s">
        <v>33</v>
      </c>
      <c r="D30" s="101" t="s">
        <v>239</v>
      </c>
      <c r="E30" s="102" t="s">
        <v>239</v>
      </c>
      <c r="F30" s="103">
        <v>288.59449574022034</v>
      </c>
      <c r="G30" s="154" t="s">
        <v>10</v>
      </c>
      <c r="H30" s="139" t="s">
        <v>367</v>
      </c>
      <c r="I30" s="57" t="s">
        <v>214</v>
      </c>
      <c r="J30" s="57" t="s">
        <v>34</v>
      </c>
    </row>
    <row r="31" spans="2:10" x14ac:dyDescent="0.25">
      <c r="B31" s="243"/>
      <c r="C31" s="28" t="s">
        <v>35</v>
      </c>
      <c r="D31" s="101" t="s">
        <v>239</v>
      </c>
      <c r="E31" s="102" t="s">
        <v>239</v>
      </c>
      <c r="F31" s="103">
        <v>0.6393386561993547</v>
      </c>
      <c r="G31" s="154" t="s">
        <v>10</v>
      </c>
      <c r="H31" s="139" t="s">
        <v>367</v>
      </c>
      <c r="I31" s="57" t="s">
        <v>188</v>
      </c>
      <c r="J31" s="57" t="s">
        <v>36</v>
      </c>
    </row>
    <row r="32" spans="2:10" x14ac:dyDescent="0.25">
      <c r="B32" s="243"/>
      <c r="C32" s="28" t="s">
        <v>37</v>
      </c>
      <c r="D32" s="101" t="s">
        <v>239</v>
      </c>
      <c r="E32" s="102" t="s">
        <v>239</v>
      </c>
      <c r="F32" s="103">
        <v>0.4728132387706856</v>
      </c>
      <c r="G32" s="154" t="s">
        <v>10</v>
      </c>
      <c r="H32" s="139" t="s">
        <v>367</v>
      </c>
      <c r="I32" s="57" t="s">
        <v>188</v>
      </c>
      <c r="J32" s="57" t="s">
        <v>36</v>
      </c>
    </row>
    <row r="33" spans="2:11" x14ac:dyDescent="0.25">
      <c r="B33" s="243"/>
      <c r="C33" s="28" t="s">
        <v>38</v>
      </c>
      <c r="D33" s="101" t="s">
        <v>239</v>
      </c>
      <c r="E33" s="102" t="s">
        <v>239</v>
      </c>
      <c r="F33" s="103">
        <v>0.53674710439062101</v>
      </c>
      <c r="G33" s="154" t="s">
        <v>10</v>
      </c>
      <c r="H33" s="139" t="s">
        <v>367</v>
      </c>
      <c r="I33" s="57" t="s">
        <v>188</v>
      </c>
      <c r="J33" s="57" t="s">
        <v>36</v>
      </c>
    </row>
    <row r="34" spans="2:11" x14ac:dyDescent="0.25">
      <c r="B34" s="243"/>
      <c r="C34" s="28" t="s">
        <v>39</v>
      </c>
      <c r="D34" s="101" t="s">
        <v>239</v>
      </c>
      <c r="E34" s="102" t="s">
        <v>239</v>
      </c>
      <c r="F34" s="103">
        <v>0.3271034985206</v>
      </c>
      <c r="G34" s="154" t="s">
        <v>10</v>
      </c>
      <c r="H34" s="139" t="s">
        <v>367</v>
      </c>
      <c r="I34" s="57" t="s">
        <v>188</v>
      </c>
      <c r="J34" s="57" t="s">
        <v>36</v>
      </c>
    </row>
    <row r="35" spans="2:11" x14ac:dyDescent="0.25">
      <c r="B35" s="243"/>
      <c r="C35" s="28" t="s">
        <v>40</v>
      </c>
      <c r="D35" s="101" t="s">
        <v>239</v>
      </c>
      <c r="E35" s="102" t="s">
        <v>239</v>
      </c>
      <c r="F35" s="103">
        <v>0.17842009010214549</v>
      </c>
      <c r="G35" s="154" t="s">
        <v>10</v>
      </c>
      <c r="H35" s="139" t="s">
        <v>367</v>
      </c>
      <c r="I35" s="57" t="s">
        <v>188</v>
      </c>
      <c r="J35" s="57" t="s">
        <v>36</v>
      </c>
    </row>
    <row r="36" spans="2:11" ht="15.75" thickBot="1" x14ac:dyDescent="0.3">
      <c r="B36" s="243"/>
      <c r="C36" s="28" t="s">
        <v>41</v>
      </c>
      <c r="D36" s="104" t="s">
        <v>239</v>
      </c>
      <c r="E36" s="89" t="s">
        <v>239</v>
      </c>
      <c r="F36" s="105">
        <v>8.2965341897497671E-2</v>
      </c>
      <c r="G36" s="154" t="s">
        <v>10</v>
      </c>
      <c r="H36" s="139" t="s">
        <v>367</v>
      </c>
      <c r="I36" s="57" t="s">
        <v>188</v>
      </c>
      <c r="J36" s="57" t="s">
        <v>36</v>
      </c>
    </row>
    <row r="37" spans="2:11" ht="15.75" thickBot="1" x14ac:dyDescent="0.3">
      <c r="B37" s="243" t="s">
        <v>42</v>
      </c>
      <c r="C37" s="106" t="s">
        <v>43</v>
      </c>
      <c r="D37" s="107" t="s">
        <v>239</v>
      </c>
      <c r="E37" s="107" t="s">
        <v>239</v>
      </c>
      <c r="F37" s="107" t="s">
        <v>239</v>
      </c>
      <c r="G37" s="157"/>
      <c r="H37" s="139"/>
      <c r="I37" s="141"/>
      <c r="J37" s="141"/>
    </row>
    <row r="38" spans="2:11" x14ac:dyDescent="0.25">
      <c r="B38" s="243"/>
      <c r="C38" s="28" t="s">
        <v>44</v>
      </c>
      <c r="D38" s="92">
        <v>0.48595685207487699</v>
      </c>
      <c r="E38" s="82" t="s">
        <v>239</v>
      </c>
      <c r="F38" s="100" t="s">
        <v>239</v>
      </c>
      <c r="G38" s="154" t="s">
        <v>45</v>
      </c>
      <c r="H38" s="139" t="s">
        <v>367</v>
      </c>
      <c r="I38" s="57" t="s">
        <v>189</v>
      </c>
      <c r="J38" s="57" t="s">
        <v>244</v>
      </c>
    </row>
    <row r="39" spans="2:11" x14ac:dyDescent="0.25">
      <c r="B39" s="243"/>
      <c r="C39" s="28" t="s">
        <v>46</v>
      </c>
      <c r="D39" s="101" t="s">
        <v>239</v>
      </c>
      <c r="E39" s="102" t="s">
        <v>239</v>
      </c>
      <c r="F39" s="108">
        <v>1.4868340841845459E-5</v>
      </c>
      <c r="G39" s="154" t="s">
        <v>45</v>
      </c>
      <c r="H39" s="139" t="s">
        <v>367</v>
      </c>
      <c r="I39" s="57" t="s">
        <v>190</v>
      </c>
      <c r="J39" s="57" t="s">
        <v>248</v>
      </c>
    </row>
    <row r="40" spans="2:11" x14ac:dyDescent="0.25">
      <c r="B40" s="243"/>
      <c r="C40" s="28" t="s">
        <v>47</v>
      </c>
      <c r="D40" s="101">
        <v>1.1023239216735805</v>
      </c>
      <c r="E40" s="85">
        <v>10.240599491502744</v>
      </c>
      <c r="F40" s="103" t="s">
        <v>239</v>
      </c>
      <c r="G40" s="154" t="s">
        <v>48</v>
      </c>
      <c r="H40" s="139" t="s">
        <v>367</v>
      </c>
      <c r="I40" s="57" t="s">
        <v>194</v>
      </c>
      <c r="J40" s="57" t="s">
        <v>123</v>
      </c>
      <c r="K40" s="109"/>
    </row>
    <row r="41" spans="2:11" ht="15.75" thickBot="1" x14ac:dyDescent="0.3">
      <c r="B41" s="243"/>
      <c r="C41" s="28" t="s">
        <v>49</v>
      </c>
      <c r="D41" s="104">
        <v>3.2710349852060006E-2</v>
      </c>
      <c r="E41" s="89">
        <v>3.6293619994944765E-2</v>
      </c>
      <c r="F41" s="105" t="s">
        <v>239</v>
      </c>
      <c r="G41" s="154" t="s">
        <v>48</v>
      </c>
      <c r="H41" s="139" t="s">
        <v>367</v>
      </c>
      <c r="I41" s="57" t="s">
        <v>215</v>
      </c>
      <c r="J41" s="57" t="s">
        <v>50</v>
      </c>
      <c r="K41" s="109"/>
    </row>
    <row r="42" spans="2:11" ht="15.75" thickBot="1" x14ac:dyDescent="0.3">
      <c r="B42" s="243"/>
      <c r="C42" s="27" t="s">
        <v>51</v>
      </c>
      <c r="D42" s="107" t="s">
        <v>239</v>
      </c>
      <c r="E42" s="107" t="s">
        <v>239</v>
      </c>
      <c r="F42" s="107" t="s">
        <v>239</v>
      </c>
      <c r="G42" s="153"/>
      <c r="H42" s="139"/>
      <c r="I42" s="141"/>
      <c r="J42" s="141"/>
      <c r="K42" s="109"/>
    </row>
    <row r="43" spans="2:11" x14ac:dyDescent="0.25">
      <c r="B43" s="243"/>
      <c r="C43" s="28" t="s">
        <v>52</v>
      </c>
      <c r="D43" s="99" t="s">
        <v>239</v>
      </c>
      <c r="E43" s="82" t="s">
        <v>239</v>
      </c>
      <c r="F43" s="100">
        <v>8.9210045051072804</v>
      </c>
      <c r="G43" s="154" t="s">
        <v>45</v>
      </c>
      <c r="H43" s="139" t="s">
        <v>367</v>
      </c>
      <c r="I43" s="57"/>
      <c r="J43" s="57"/>
    </row>
    <row r="44" spans="2:11" ht="15.75" thickBot="1" x14ac:dyDescent="0.3">
      <c r="B44" s="243"/>
      <c r="C44" s="28" t="s">
        <v>53</v>
      </c>
      <c r="D44" s="104" t="s">
        <v>239</v>
      </c>
      <c r="E44" s="89" t="s">
        <v>239</v>
      </c>
      <c r="F44" s="105">
        <v>1.48683408418455</v>
      </c>
      <c r="G44" s="154" t="s">
        <v>45</v>
      </c>
      <c r="H44" s="139" t="s">
        <v>367</v>
      </c>
      <c r="I44" s="57"/>
      <c r="J44" s="57"/>
    </row>
    <row r="45" spans="2:11" ht="15.75" thickBot="1" x14ac:dyDescent="0.3">
      <c r="B45" s="243"/>
      <c r="C45" s="27" t="s">
        <v>54</v>
      </c>
      <c r="D45" s="107" t="s">
        <v>239</v>
      </c>
      <c r="E45" s="107" t="s">
        <v>239</v>
      </c>
      <c r="F45" s="107" t="s">
        <v>239</v>
      </c>
      <c r="G45" s="153"/>
      <c r="H45" s="139"/>
      <c r="I45" s="141"/>
      <c r="J45" s="141"/>
    </row>
    <row r="46" spans="2:11" x14ac:dyDescent="0.25">
      <c r="B46" s="243"/>
      <c r="C46" s="110" t="s">
        <v>55</v>
      </c>
      <c r="D46" s="99" t="s">
        <v>239</v>
      </c>
      <c r="E46" s="82">
        <v>540.003271034985</v>
      </c>
      <c r="F46" s="100" t="s">
        <v>239</v>
      </c>
      <c r="G46" s="154" t="s">
        <v>7</v>
      </c>
      <c r="H46" s="139" t="s">
        <v>367</v>
      </c>
      <c r="I46" s="57"/>
      <c r="J46" s="57" t="s">
        <v>56</v>
      </c>
    </row>
    <row r="47" spans="2:11" x14ac:dyDescent="0.25">
      <c r="B47" s="243"/>
      <c r="C47" s="87" t="s">
        <v>57</v>
      </c>
      <c r="D47" s="111">
        <v>3.7170852104613648E-2</v>
      </c>
      <c r="E47" s="112" t="s">
        <v>239</v>
      </c>
      <c r="F47" s="103" t="s">
        <v>239</v>
      </c>
      <c r="G47" s="155" t="s">
        <v>58</v>
      </c>
      <c r="H47" s="139" t="s">
        <v>367</v>
      </c>
      <c r="I47" s="57"/>
      <c r="J47" s="57" t="s">
        <v>59</v>
      </c>
    </row>
    <row r="48" spans="2:11" ht="15.75" thickBot="1" x14ac:dyDescent="0.3">
      <c r="B48" s="243"/>
      <c r="C48" s="87" t="s">
        <v>60</v>
      </c>
      <c r="D48" s="113" t="s">
        <v>239</v>
      </c>
      <c r="E48" s="114" t="s">
        <v>239</v>
      </c>
      <c r="F48" s="115">
        <v>1869.2956866943218</v>
      </c>
      <c r="G48" s="155" t="s">
        <v>61</v>
      </c>
      <c r="H48" s="139" t="s">
        <v>367</v>
      </c>
      <c r="I48" s="57" t="s">
        <v>216</v>
      </c>
      <c r="J48" s="57" t="s">
        <v>62</v>
      </c>
    </row>
    <row r="49" spans="2:10" ht="15.75" thickBot="1" x14ac:dyDescent="0.3">
      <c r="B49" s="243"/>
      <c r="C49" s="27" t="s">
        <v>63</v>
      </c>
      <c r="D49" s="107" t="s">
        <v>239</v>
      </c>
      <c r="E49" s="107" t="s">
        <v>239</v>
      </c>
      <c r="F49" s="107" t="s">
        <v>239</v>
      </c>
      <c r="G49" s="153"/>
      <c r="H49" s="139"/>
      <c r="I49" s="141"/>
      <c r="J49" s="141"/>
    </row>
    <row r="50" spans="2:10" x14ac:dyDescent="0.25">
      <c r="B50" s="243"/>
      <c r="C50" s="28" t="s">
        <v>64</v>
      </c>
      <c r="D50" s="99">
        <v>375.34680405013597</v>
      </c>
      <c r="E50" s="82" t="s">
        <v>239</v>
      </c>
      <c r="F50" s="100" t="s">
        <v>239</v>
      </c>
      <c r="G50" s="154" t="s">
        <v>10</v>
      </c>
      <c r="H50" s="139" t="s">
        <v>367</v>
      </c>
      <c r="I50" s="57" t="s">
        <v>217</v>
      </c>
      <c r="J50" s="57" t="s">
        <v>65</v>
      </c>
    </row>
    <row r="51" spans="2:10" x14ac:dyDescent="0.25">
      <c r="B51" s="243"/>
      <c r="C51" s="28" t="s">
        <v>66</v>
      </c>
      <c r="D51" s="101">
        <v>117.74239112657419</v>
      </c>
      <c r="E51" s="85" t="s">
        <v>239</v>
      </c>
      <c r="F51" s="103" t="s">
        <v>239</v>
      </c>
      <c r="G51" s="154" t="s">
        <v>10</v>
      </c>
      <c r="H51" s="139" t="s">
        <v>367</v>
      </c>
      <c r="I51" s="57" t="s">
        <v>218</v>
      </c>
      <c r="J51" s="57" t="s">
        <v>67</v>
      </c>
    </row>
    <row r="52" spans="2:10" x14ac:dyDescent="0.25">
      <c r="B52" s="243"/>
      <c r="C52" s="28" t="s">
        <v>68</v>
      </c>
      <c r="D52" s="101">
        <v>20.934623905318407</v>
      </c>
      <c r="E52" s="85" t="s">
        <v>239</v>
      </c>
      <c r="F52" s="103" t="s">
        <v>239</v>
      </c>
      <c r="G52" s="154" t="s">
        <v>10</v>
      </c>
      <c r="H52" s="139" t="s">
        <v>367</v>
      </c>
      <c r="I52" s="57" t="s">
        <v>210</v>
      </c>
      <c r="J52" s="57" t="s">
        <v>69</v>
      </c>
    </row>
    <row r="53" spans="2:10" x14ac:dyDescent="0.25">
      <c r="B53" s="243"/>
      <c r="C53" s="28" t="s">
        <v>70</v>
      </c>
      <c r="D53" s="101">
        <v>0.87336634105000222</v>
      </c>
      <c r="E53" s="85" t="s">
        <v>239</v>
      </c>
      <c r="F53" s="103" t="s">
        <v>239</v>
      </c>
      <c r="G53" s="154" t="s">
        <v>10</v>
      </c>
      <c r="H53" s="139" t="s">
        <v>367</v>
      </c>
      <c r="I53" s="57" t="s">
        <v>210</v>
      </c>
      <c r="J53" s="57" t="s">
        <v>71</v>
      </c>
    </row>
    <row r="54" spans="2:10" x14ac:dyDescent="0.25">
      <c r="B54" s="243"/>
      <c r="C54" s="28" t="s">
        <v>72</v>
      </c>
      <c r="D54" s="101" t="s">
        <v>239</v>
      </c>
      <c r="E54" s="85">
        <v>0.10407838589291821</v>
      </c>
      <c r="F54" s="103" t="s">
        <v>239</v>
      </c>
      <c r="G54" s="154" t="s">
        <v>10</v>
      </c>
      <c r="H54" s="139" t="s">
        <v>367</v>
      </c>
      <c r="I54" s="57" t="s">
        <v>245</v>
      </c>
      <c r="J54" s="57" t="s">
        <v>73</v>
      </c>
    </row>
    <row r="55" spans="2:10" ht="15.75" thickBot="1" x14ac:dyDescent="0.3">
      <c r="B55" s="243"/>
      <c r="C55" s="63" t="s">
        <v>74</v>
      </c>
      <c r="D55" s="104" t="s">
        <v>239</v>
      </c>
      <c r="E55" s="89">
        <v>8.2073241446986938</v>
      </c>
      <c r="F55" s="105" t="s">
        <v>239</v>
      </c>
      <c r="G55" s="158" t="s">
        <v>10</v>
      </c>
      <c r="H55" s="139" t="s">
        <v>367</v>
      </c>
      <c r="I55" s="57" t="s">
        <v>183</v>
      </c>
      <c r="J55" s="57" t="s">
        <v>75</v>
      </c>
    </row>
    <row r="56" spans="2:10" ht="16.149999999999999" customHeight="1" x14ac:dyDescent="0.25">
      <c r="C56" s="116"/>
      <c r="D56" s="117" t="s">
        <v>239</v>
      </c>
      <c r="E56" s="117" t="s">
        <v>239</v>
      </c>
      <c r="F56" s="117"/>
      <c r="G56" s="158"/>
      <c r="H56" s="235"/>
    </row>
    <row r="57" spans="2:10" ht="17.25" x14ac:dyDescent="0.25">
      <c r="C57" s="109" t="s">
        <v>273</v>
      </c>
    </row>
    <row r="58" spans="2:10" ht="17.25" x14ac:dyDescent="0.25">
      <c r="B58" s="2" t="s">
        <v>366</v>
      </c>
      <c r="C58" s="254" t="s">
        <v>370</v>
      </c>
    </row>
    <row r="61" spans="2:10" x14ac:dyDescent="0.25">
      <c r="D61" s="214"/>
    </row>
    <row r="62" spans="2:10" x14ac:dyDescent="0.25">
      <c r="D62" s="213"/>
    </row>
  </sheetData>
  <mergeCells count="5">
    <mergeCell ref="D23:F23"/>
    <mergeCell ref="D24:F24"/>
    <mergeCell ref="D25:F25"/>
    <mergeCell ref="B37:B55"/>
    <mergeCell ref="B5:B3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EC4C-831B-436E-8BF8-FC21C34FA5E0}">
  <dimension ref="B2:L191"/>
  <sheetViews>
    <sheetView workbookViewId="0">
      <selection activeCell="C91" sqref="C91"/>
    </sheetView>
  </sheetViews>
  <sheetFormatPr defaultColWidth="9.140625" defaultRowHeight="15" x14ac:dyDescent="0.25"/>
  <cols>
    <col min="1" max="1" width="2.28515625" style="2" customWidth="1"/>
    <col min="2" max="2" width="3.85546875" style="2" customWidth="1"/>
    <col min="3" max="3" width="31.5703125" style="2" customWidth="1"/>
    <col min="4" max="5" width="25.7109375" style="2" customWidth="1"/>
    <col min="6" max="6" width="5.42578125" style="161" customWidth="1"/>
    <col min="7" max="7" width="21" style="161" customWidth="1"/>
    <col min="8" max="8" width="43.5703125" style="2" customWidth="1"/>
    <col min="9" max="9" width="40.85546875" style="2" customWidth="1"/>
    <col min="10" max="16384" width="9.140625" style="2"/>
  </cols>
  <sheetData>
    <row r="2" spans="2:9" ht="21" x14ac:dyDescent="0.35">
      <c r="C2" s="142" t="s">
        <v>335</v>
      </c>
      <c r="E2" s="67"/>
      <c r="I2" s="3"/>
    </row>
    <row r="3" spans="2:9" ht="15.75" thickBot="1" x14ac:dyDescent="0.3">
      <c r="C3" s="41"/>
      <c r="E3" s="66"/>
      <c r="F3" s="175"/>
      <c r="G3" s="253"/>
      <c r="I3" s="3"/>
    </row>
    <row r="4" spans="2:9" s="1" customFormat="1" ht="18" thickBot="1" x14ac:dyDescent="0.3">
      <c r="B4" s="74"/>
      <c r="C4" s="23" t="s">
        <v>0</v>
      </c>
      <c r="D4" s="42" t="s">
        <v>259</v>
      </c>
      <c r="E4" s="68" t="s">
        <v>258</v>
      </c>
      <c r="F4" s="176" t="s">
        <v>1</v>
      </c>
      <c r="G4" s="74" t="s">
        <v>368</v>
      </c>
      <c r="H4" s="137" t="s">
        <v>181</v>
      </c>
      <c r="I4" s="137" t="s">
        <v>2</v>
      </c>
    </row>
    <row r="5" spans="2:9" ht="15.75" thickBot="1" x14ac:dyDescent="0.3">
      <c r="B5" s="243" t="s">
        <v>3</v>
      </c>
      <c r="C5" s="43" t="s">
        <v>76</v>
      </c>
      <c r="D5" s="44"/>
      <c r="E5" s="44"/>
      <c r="F5" s="177"/>
      <c r="G5" s="74"/>
      <c r="H5" s="138"/>
      <c r="I5" s="138"/>
    </row>
    <row r="6" spans="2:9" ht="15.75" thickBot="1" x14ac:dyDescent="0.3">
      <c r="B6" s="243"/>
      <c r="C6" s="45" t="s">
        <v>77</v>
      </c>
      <c r="D6" s="244">
        <v>1000</v>
      </c>
      <c r="E6" s="245"/>
      <c r="F6" s="178" t="s">
        <v>10</v>
      </c>
      <c r="G6" s="139" t="s">
        <v>367</v>
      </c>
      <c r="H6" s="139" t="s">
        <v>6</v>
      </c>
      <c r="I6" s="11"/>
    </row>
    <row r="7" spans="2:9" ht="15.75" thickBot="1" x14ac:dyDescent="0.3">
      <c r="B7" s="243"/>
      <c r="C7" s="43" t="s">
        <v>78</v>
      </c>
      <c r="D7" s="44"/>
      <c r="E7" s="107" t="s">
        <v>239</v>
      </c>
      <c r="F7" s="177"/>
      <c r="G7" s="74"/>
      <c r="H7" s="138"/>
      <c r="I7" s="138"/>
    </row>
    <row r="8" spans="2:9" x14ac:dyDescent="0.25">
      <c r="B8" s="243"/>
      <c r="C8" s="46" t="s">
        <v>9</v>
      </c>
      <c r="D8" s="47"/>
      <c r="E8" s="126">
        <v>3.665512836818912E-3</v>
      </c>
      <c r="F8" s="178" t="s">
        <v>10</v>
      </c>
      <c r="G8" s="139" t="s">
        <v>367</v>
      </c>
      <c r="H8" s="64"/>
      <c r="I8" s="11"/>
    </row>
    <row r="9" spans="2:9" x14ac:dyDescent="0.25">
      <c r="B9" s="243"/>
      <c r="C9" s="46" t="s">
        <v>12</v>
      </c>
      <c r="D9" s="49"/>
      <c r="E9" s="127">
        <v>7.9094253797151997E-4</v>
      </c>
      <c r="F9" s="178" t="s">
        <v>10</v>
      </c>
      <c r="G9" s="139" t="s">
        <v>367</v>
      </c>
      <c r="H9" s="64"/>
      <c r="I9" s="11"/>
    </row>
    <row r="10" spans="2:9" x14ac:dyDescent="0.25">
      <c r="B10" s="243"/>
      <c r="C10" s="46" t="s">
        <v>13</v>
      </c>
      <c r="D10" s="49"/>
      <c r="E10" s="127">
        <v>2.571636158417059E-4</v>
      </c>
      <c r="F10" s="178" t="s">
        <v>10</v>
      </c>
      <c r="G10" s="139" t="s">
        <v>367</v>
      </c>
      <c r="H10" s="64"/>
      <c r="I10" s="11"/>
    </row>
    <row r="11" spans="2:9" x14ac:dyDescent="0.25">
      <c r="B11" s="243"/>
      <c r="C11" s="46" t="s">
        <v>14</v>
      </c>
      <c r="D11" s="49"/>
      <c r="E11" s="127">
        <v>3.0604696707123485E-5</v>
      </c>
      <c r="F11" s="178" t="s">
        <v>10</v>
      </c>
      <c r="G11" s="139" t="s">
        <v>367</v>
      </c>
      <c r="H11" s="64"/>
      <c r="I11" s="11"/>
    </row>
    <row r="12" spans="2:9" x14ac:dyDescent="0.25">
      <c r="B12" s="243"/>
      <c r="C12" s="46" t="s">
        <v>17</v>
      </c>
      <c r="D12" s="50"/>
      <c r="E12" s="127">
        <v>3.8271413127654191E-5</v>
      </c>
      <c r="F12" s="178" t="s">
        <v>10</v>
      </c>
      <c r="G12" s="139" t="s">
        <v>367</v>
      </c>
      <c r="H12" s="64"/>
      <c r="I12" s="11"/>
    </row>
    <row r="13" spans="2:9" x14ac:dyDescent="0.25">
      <c r="B13" s="243"/>
      <c r="C13" s="46" t="s">
        <v>18</v>
      </c>
      <c r="D13" s="49"/>
      <c r="E13" s="127">
        <v>2.2915806631308307E-4</v>
      </c>
      <c r="F13" s="178" t="s">
        <v>10</v>
      </c>
      <c r="G13" s="139" t="s">
        <v>367</v>
      </c>
      <c r="H13" s="64"/>
      <c r="I13" s="11"/>
    </row>
    <row r="14" spans="2:9" ht="15.75" thickBot="1" x14ac:dyDescent="0.3">
      <c r="B14" s="243"/>
      <c r="C14" s="51" t="s">
        <v>19</v>
      </c>
      <c r="D14" s="52"/>
      <c r="E14" s="128">
        <v>7.998497215068949E-3</v>
      </c>
      <c r="F14" s="178" t="s">
        <v>10</v>
      </c>
      <c r="G14" s="139" t="s">
        <v>367</v>
      </c>
      <c r="H14" s="64"/>
      <c r="I14" s="11"/>
    </row>
    <row r="15" spans="2:9" ht="15.75" thickBot="1" x14ac:dyDescent="0.3">
      <c r="B15" s="243"/>
      <c r="C15" s="43" t="s">
        <v>79</v>
      </c>
      <c r="D15" s="44"/>
      <c r="E15" s="107" t="s">
        <v>239</v>
      </c>
      <c r="F15" s="177"/>
      <c r="G15" s="139"/>
      <c r="H15" s="138"/>
      <c r="I15" s="138"/>
    </row>
    <row r="16" spans="2:9" x14ac:dyDescent="0.25">
      <c r="B16" s="243"/>
      <c r="C16" s="28" t="s">
        <v>80</v>
      </c>
      <c r="D16" s="54"/>
      <c r="E16" s="129">
        <v>9.9930912055541512E-10</v>
      </c>
      <c r="F16" s="178" t="s">
        <v>10</v>
      </c>
      <c r="G16" s="139" t="s">
        <v>367</v>
      </c>
      <c r="H16" s="148"/>
      <c r="I16" s="11"/>
    </row>
    <row r="17" spans="2:11" ht="18" x14ac:dyDescent="0.35">
      <c r="B17" s="243"/>
      <c r="C17" s="28" t="s">
        <v>240</v>
      </c>
      <c r="D17" s="49"/>
      <c r="E17" s="130">
        <v>12.273230622303567</v>
      </c>
      <c r="F17" s="178" t="s">
        <v>10</v>
      </c>
      <c r="G17" s="139" t="s">
        <v>367</v>
      </c>
      <c r="H17" s="11"/>
      <c r="I17" s="11"/>
    </row>
    <row r="18" spans="2:11" x14ac:dyDescent="0.25">
      <c r="B18" s="243"/>
      <c r="C18" s="98" t="s">
        <v>81</v>
      </c>
      <c r="D18" s="132"/>
      <c r="E18" s="133" t="s">
        <v>24</v>
      </c>
      <c r="F18" s="178"/>
      <c r="G18" s="139" t="s">
        <v>367</v>
      </c>
      <c r="H18" s="11" t="s">
        <v>275</v>
      </c>
      <c r="I18" s="11" t="s">
        <v>247</v>
      </c>
    </row>
    <row r="19" spans="2:11" x14ac:dyDescent="0.25">
      <c r="B19" s="243"/>
      <c r="C19" s="98" t="s">
        <v>82</v>
      </c>
      <c r="D19" s="132"/>
      <c r="E19" s="133" t="s">
        <v>24</v>
      </c>
      <c r="F19" s="178"/>
      <c r="G19" s="139" t="s">
        <v>367</v>
      </c>
      <c r="H19" s="11" t="s">
        <v>276</v>
      </c>
      <c r="I19" s="11" t="s">
        <v>27</v>
      </c>
    </row>
    <row r="20" spans="2:11" x14ac:dyDescent="0.25">
      <c r="B20" s="243"/>
      <c r="C20" s="98" t="s">
        <v>83</v>
      </c>
      <c r="D20" s="134" t="s">
        <v>24</v>
      </c>
      <c r="E20" s="133"/>
      <c r="F20" s="178"/>
      <c r="G20" s="139" t="s">
        <v>367</v>
      </c>
      <c r="H20" s="11" t="s">
        <v>278</v>
      </c>
      <c r="I20" s="11" t="s">
        <v>84</v>
      </c>
    </row>
    <row r="21" spans="2:11" x14ac:dyDescent="0.25">
      <c r="B21" s="243"/>
      <c r="C21" s="98" t="s">
        <v>85</v>
      </c>
      <c r="D21" s="135"/>
      <c r="E21" s="136" t="s">
        <v>24</v>
      </c>
      <c r="F21" s="178"/>
      <c r="G21" s="139" t="s">
        <v>367</v>
      </c>
      <c r="H21" s="145" t="s">
        <v>277</v>
      </c>
      <c r="I21" s="145" t="s">
        <v>86</v>
      </c>
    </row>
    <row r="22" spans="2:11" x14ac:dyDescent="0.25">
      <c r="B22" s="243"/>
      <c r="C22" s="46" t="s">
        <v>87</v>
      </c>
      <c r="D22" s="49"/>
      <c r="E22" s="127">
        <v>3.0622496548194755E-3</v>
      </c>
      <c r="F22" s="178" t="s">
        <v>10</v>
      </c>
      <c r="G22" s="139" t="s">
        <v>367</v>
      </c>
      <c r="H22" s="11"/>
      <c r="I22" s="11"/>
    </row>
    <row r="23" spans="2:11" x14ac:dyDescent="0.25">
      <c r="B23" s="243"/>
      <c r="C23" s="46" t="s">
        <v>88</v>
      </c>
      <c r="D23" s="49"/>
      <c r="E23" s="127">
        <v>6.0404006658796349E-3</v>
      </c>
      <c r="F23" s="178" t="s">
        <v>10</v>
      </c>
      <c r="G23" s="139" t="s">
        <v>367</v>
      </c>
      <c r="H23" s="11"/>
      <c r="I23" s="11"/>
    </row>
    <row r="24" spans="2:11" x14ac:dyDescent="0.25">
      <c r="B24" s="243"/>
      <c r="C24" s="46" t="s">
        <v>89</v>
      </c>
      <c r="D24" s="49"/>
      <c r="E24" s="127">
        <v>4.0269337772530909E-5</v>
      </c>
      <c r="F24" s="178" t="s">
        <v>10</v>
      </c>
      <c r="G24" s="139" t="s">
        <v>367</v>
      </c>
      <c r="H24" s="11"/>
      <c r="I24" s="11"/>
    </row>
    <row r="25" spans="2:11" x14ac:dyDescent="0.25">
      <c r="B25" s="243"/>
      <c r="C25" s="46" t="s">
        <v>90</v>
      </c>
      <c r="D25" s="49"/>
      <c r="E25" s="127">
        <v>9.7804722437338501E-4</v>
      </c>
      <c r="F25" s="178" t="s">
        <v>10</v>
      </c>
      <c r="G25" s="139" t="s">
        <v>367</v>
      </c>
      <c r="H25" s="11"/>
      <c r="I25" s="11"/>
    </row>
    <row r="26" spans="2:11" x14ac:dyDescent="0.25">
      <c r="B26" s="243"/>
      <c r="C26" s="46" t="s">
        <v>91</v>
      </c>
      <c r="D26" s="49"/>
      <c r="E26" s="127">
        <v>9.7804722437338495E-5</v>
      </c>
      <c r="F26" s="178" t="s">
        <v>10</v>
      </c>
      <c r="G26" s="139"/>
      <c r="H26" s="11"/>
      <c r="I26" s="11"/>
    </row>
    <row r="27" spans="2:11" ht="15.75" thickBot="1" x14ac:dyDescent="0.3">
      <c r="B27" s="243"/>
      <c r="C27" s="51" t="s">
        <v>92</v>
      </c>
      <c r="D27" s="52"/>
      <c r="E27" s="128">
        <v>1.6307936614352082E-3</v>
      </c>
      <c r="F27" s="178" t="s">
        <v>10</v>
      </c>
      <c r="G27" s="139" t="s">
        <v>367</v>
      </c>
      <c r="H27" s="11"/>
      <c r="I27" s="11"/>
    </row>
    <row r="28" spans="2:11" ht="15.75" thickBot="1" x14ac:dyDescent="0.3">
      <c r="B28" s="243"/>
      <c r="C28" s="43" t="s">
        <v>93</v>
      </c>
      <c r="D28" s="44"/>
      <c r="E28" s="44"/>
      <c r="F28" s="177"/>
      <c r="G28" s="139"/>
      <c r="H28" s="138"/>
      <c r="I28" s="138"/>
    </row>
    <row r="29" spans="2:11" x14ac:dyDescent="0.25">
      <c r="B29" s="243"/>
      <c r="C29" s="55" t="s">
        <v>94</v>
      </c>
      <c r="D29" s="118">
        <v>1.2956136933350408E-3</v>
      </c>
      <c r="E29" s="56"/>
      <c r="F29" s="178" t="s">
        <v>10</v>
      </c>
      <c r="G29" s="139" t="s">
        <v>367</v>
      </c>
      <c r="H29" s="57" t="s">
        <v>182</v>
      </c>
      <c r="I29" s="11" t="s">
        <v>95</v>
      </c>
      <c r="K29" s="173"/>
    </row>
    <row r="30" spans="2:11" x14ac:dyDescent="0.25">
      <c r="B30" s="243"/>
      <c r="C30" s="55" t="s">
        <v>96</v>
      </c>
      <c r="D30" s="119">
        <v>2.7937481643857786E-4</v>
      </c>
      <c r="E30" s="58"/>
      <c r="F30" s="178" t="s">
        <v>10</v>
      </c>
      <c r="G30" s="139" t="s">
        <v>367</v>
      </c>
      <c r="H30" s="57" t="s">
        <v>183</v>
      </c>
      <c r="I30" s="11" t="s">
        <v>97</v>
      </c>
      <c r="K30" s="173"/>
    </row>
    <row r="31" spans="2:11" x14ac:dyDescent="0.25">
      <c r="B31" s="243"/>
      <c r="C31" s="55" t="s">
        <v>98</v>
      </c>
      <c r="D31" s="119">
        <v>3.8530876170525057E-3</v>
      </c>
      <c r="E31" s="58"/>
      <c r="F31" s="178" t="s">
        <v>10</v>
      </c>
      <c r="G31" s="139" t="s">
        <v>367</v>
      </c>
      <c r="H31" s="57" t="s">
        <v>184</v>
      </c>
      <c r="I31" s="11" t="s">
        <v>99</v>
      </c>
      <c r="K31" s="173"/>
    </row>
    <row r="32" spans="2:11" x14ac:dyDescent="0.25">
      <c r="B32" s="243"/>
      <c r="C32" s="55" t="s">
        <v>100</v>
      </c>
      <c r="D32" s="119">
        <v>1.7499872330817984E-3</v>
      </c>
      <c r="E32" s="58"/>
      <c r="F32" s="178" t="s">
        <v>10</v>
      </c>
      <c r="G32" s="139" t="s">
        <v>367</v>
      </c>
      <c r="H32" s="57" t="s">
        <v>185</v>
      </c>
      <c r="I32" s="11" t="s">
        <v>101</v>
      </c>
      <c r="K32" s="173"/>
    </row>
    <row r="33" spans="2:11" x14ac:dyDescent="0.25">
      <c r="B33" s="243"/>
      <c r="C33" s="55" t="s">
        <v>102</v>
      </c>
      <c r="D33" s="119">
        <v>5.4005540724186068E-4</v>
      </c>
      <c r="E33" s="58"/>
      <c r="F33" s="178" t="s">
        <v>10</v>
      </c>
      <c r="G33" s="139" t="s">
        <v>367</v>
      </c>
      <c r="H33" s="57" t="s">
        <v>186</v>
      </c>
      <c r="I33" s="11" t="s">
        <v>103</v>
      </c>
      <c r="K33" s="173"/>
    </row>
    <row r="34" spans="2:11" x14ac:dyDescent="0.25">
      <c r="B34" s="243"/>
      <c r="C34" s="55" t="s">
        <v>104</v>
      </c>
      <c r="D34" s="119">
        <v>2.3367782044118972E-6</v>
      </c>
      <c r="E34" s="59"/>
      <c r="F34" s="178" t="s">
        <v>10</v>
      </c>
      <c r="G34" s="139" t="s">
        <v>367</v>
      </c>
      <c r="H34" s="57" t="s">
        <v>187</v>
      </c>
      <c r="I34" s="11" t="s">
        <v>105</v>
      </c>
      <c r="K34" s="173"/>
    </row>
    <row r="35" spans="2:11" x14ac:dyDescent="0.25">
      <c r="B35" s="243"/>
      <c r="C35" s="55" t="s">
        <v>106</v>
      </c>
      <c r="D35" s="119">
        <v>8.2566163222553707E-6</v>
      </c>
      <c r="E35" s="59"/>
      <c r="F35" s="178" t="s">
        <v>10</v>
      </c>
      <c r="G35" s="139" t="s">
        <v>367</v>
      </c>
      <c r="H35" s="57" t="s">
        <v>183</v>
      </c>
      <c r="I35" s="11" t="s">
        <v>107</v>
      </c>
      <c r="K35" s="173"/>
    </row>
    <row r="36" spans="2:11" x14ac:dyDescent="0.25">
      <c r="B36" s="243"/>
      <c r="C36" s="55" t="s">
        <v>108</v>
      </c>
      <c r="D36" s="119">
        <v>2.2329213953269238E-6</v>
      </c>
      <c r="E36" s="59"/>
      <c r="F36" s="178" t="s">
        <v>10</v>
      </c>
      <c r="G36" s="139" t="s">
        <v>367</v>
      </c>
      <c r="H36" s="57" t="s">
        <v>186</v>
      </c>
      <c r="I36" s="11" t="s">
        <v>109</v>
      </c>
      <c r="K36" s="173"/>
    </row>
    <row r="37" spans="2:11" x14ac:dyDescent="0.25">
      <c r="B37" s="243"/>
      <c r="C37" s="55" t="s">
        <v>110</v>
      </c>
      <c r="D37" s="119">
        <v>2.3367782044118972E-6</v>
      </c>
      <c r="E37" s="59"/>
      <c r="F37" s="178" t="s">
        <v>10</v>
      </c>
      <c r="G37" s="139" t="s">
        <v>367</v>
      </c>
      <c r="H37" s="57" t="s">
        <v>183</v>
      </c>
      <c r="I37" s="11" t="s">
        <v>111</v>
      </c>
      <c r="K37" s="173"/>
    </row>
    <row r="38" spans="2:11" s="4" customFormat="1" x14ac:dyDescent="0.25">
      <c r="B38" s="243"/>
      <c r="C38" s="55" t="s">
        <v>112</v>
      </c>
      <c r="D38" s="119">
        <v>2.5107383596292272E-3</v>
      </c>
      <c r="E38" s="58"/>
      <c r="F38" s="178" t="s">
        <v>10</v>
      </c>
      <c r="G38" s="139" t="s">
        <v>367</v>
      </c>
      <c r="H38" s="57" t="s">
        <v>186</v>
      </c>
      <c r="I38" s="11" t="s">
        <v>113</v>
      </c>
      <c r="K38" s="173"/>
    </row>
    <row r="39" spans="2:11" s="4" customFormat="1" x14ac:dyDescent="0.25">
      <c r="B39" s="243"/>
      <c r="C39" s="55" t="s">
        <v>114</v>
      </c>
      <c r="D39" s="119">
        <v>5.5537428658189415E-4</v>
      </c>
      <c r="E39" s="58"/>
      <c r="F39" s="178" t="s">
        <v>10</v>
      </c>
      <c r="G39" s="139" t="s">
        <v>367</v>
      </c>
      <c r="H39" s="11" t="s">
        <v>188</v>
      </c>
      <c r="I39" s="11" t="s">
        <v>115</v>
      </c>
      <c r="K39" s="173"/>
    </row>
    <row r="40" spans="2:11" s="4" customFormat="1" x14ac:dyDescent="0.25">
      <c r="B40" s="243"/>
      <c r="C40" s="55" t="s">
        <v>116</v>
      </c>
      <c r="D40" s="119">
        <v>1.6798838869494414E-5</v>
      </c>
      <c r="E40" s="58"/>
      <c r="F40" s="178" t="s">
        <v>10</v>
      </c>
      <c r="G40" s="139" t="s">
        <v>367</v>
      </c>
      <c r="H40" s="57" t="s">
        <v>186</v>
      </c>
      <c r="I40" s="11" t="s">
        <v>103</v>
      </c>
      <c r="K40" s="173"/>
    </row>
    <row r="41" spans="2:11" s="4" customFormat="1" ht="15.75" thickBot="1" x14ac:dyDescent="0.3">
      <c r="B41" s="243"/>
      <c r="C41" s="55" t="s">
        <v>117</v>
      </c>
      <c r="D41" s="120">
        <v>2.077136181699464E-6</v>
      </c>
      <c r="E41" s="60"/>
      <c r="F41" s="178" t="s">
        <v>10</v>
      </c>
      <c r="G41" s="139" t="s">
        <v>367</v>
      </c>
      <c r="H41" s="11" t="s">
        <v>188</v>
      </c>
      <c r="I41" s="11" t="s">
        <v>118</v>
      </c>
      <c r="K41" s="173"/>
    </row>
    <row r="42" spans="2:11" ht="15.75" thickBot="1" x14ac:dyDescent="0.3">
      <c r="B42" s="243" t="s">
        <v>42</v>
      </c>
      <c r="C42" s="43" t="s">
        <v>43</v>
      </c>
      <c r="D42" s="107" t="s">
        <v>239</v>
      </c>
      <c r="E42" s="44"/>
      <c r="F42" s="177"/>
      <c r="G42" s="139"/>
      <c r="H42" s="138"/>
      <c r="I42" s="138"/>
    </row>
    <row r="43" spans="2:11" x14ac:dyDescent="0.25">
      <c r="B43" s="243"/>
      <c r="C43" s="28" t="s">
        <v>44</v>
      </c>
      <c r="D43" s="121" t="s">
        <v>239</v>
      </c>
      <c r="E43" s="126">
        <v>2.4628965704859155E-3</v>
      </c>
      <c r="F43" s="178" t="s">
        <v>45</v>
      </c>
      <c r="G43" s="139" t="s">
        <v>367</v>
      </c>
      <c r="H43" s="11" t="s">
        <v>189</v>
      </c>
      <c r="I43" s="144" t="s">
        <v>244</v>
      </c>
    </row>
    <row r="44" spans="2:11" x14ac:dyDescent="0.25">
      <c r="B44" s="243"/>
      <c r="C44" s="28" t="s">
        <v>46</v>
      </c>
      <c r="D44" s="122" t="s">
        <v>239</v>
      </c>
      <c r="E44" s="180">
        <v>7.9345894674511376E-5</v>
      </c>
      <c r="F44" s="178" t="s">
        <v>45</v>
      </c>
      <c r="G44" s="139" t="s">
        <v>367</v>
      </c>
      <c r="H44" s="11" t="s">
        <v>190</v>
      </c>
      <c r="I44" s="144" t="s">
        <v>243</v>
      </c>
    </row>
    <row r="45" spans="2:11" x14ac:dyDescent="0.25">
      <c r="B45" s="243"/>
      <c r="C45" s="28" t="s">
        <v>119</v>
      </c>
      <c r="D45" s="123" t="s">
        <v>239</v>
      </c>
      <c r="E45" s="181">
        <v>30.633076924259878</v>
      </c>
      <c r="F45" s="178" t="s">
        <v>10</v>
      </c>
      <c r="G45" s="139" t="s">
        <v>367</v>
      </c>
      <c r="H45" s="11" t="s">
        <v>191</v>
      </c>
      <c r="I45" s="11" t="s">
        <v>192</v>
      </c>
      <c r="K45" s="173"/>
    </row>
    <row r="46" spans="2:11" x14ac:dyDescent="0.25">
      <c r="B46" s="243"/>
      <c r="C46" s="28" t="s">
        <v>120</v>
      </c>
      <c r="D46" s="122">
        <v>0.83085447267978563</v>
      </c>
      <c r="E46" s="127"/>
      <c r="F46" s="178" t="s">
        <v>10</v>
      </c>
      <c r="G46" s="139" t="s">
        <v>367</v>
      </c>
      <c r="H46" s="11" t="s">
        <v>193</v>
      </c>
      <c r="I46" s="11" t="s">
        <v>121</v>
      </c>
    </row>
    <row r="47" spans="2:11" ht="15.75" thickBot="1" x14ac:dyDescent="0.3">
      <c r="B47" s="243"/>
      <c r="C47" s="28" t="s">
        <v>122</v>
      </c>
      <c r="D47" s="124" t="s">
        <v>239</v>
      </c>
      <c r="E47" s="128">
        <v>1.8327072002042508</v>
      </c>
      <c r="F47" s="178" t="s">
        <v>48</v>
      </c>
      <c r="G47" s="139" t="s">
        <v>367</v>
      </c>
      <c r="H47" s="11" t="s">
        <v>194</v>
      </c>
      <c r="I47" s="11" t="s">
        <v>123</v>
      </c>
    </row>
    <row r="48" spans="2:11" ht="15.75" thickBot="1" x14ac:dyDescent="0.3">
      <c r="B48" s="243"/>
      <c r="C48" s="43" t="s">
        <v>51</v>
      </c>
      <c r="D48" s="107" t="s">
        <v>239</v>
      </c>
      <c r="E48" s="44"/>
      <c r="F48" s="177"/>
      <c r="G48" s="139"/>
      <c r="H48" s="138"/>
      <c r="I48" s="138"/>
    </row>
    <row r="49" spans="2:12" x14ac:dyDescent="0.25">
      <c r="B49" s="243"/>
      <c r="C49" s="28" t="s">
        <v>124</v>
      </c>
      <c r="D49" s="121">
        <v>188.07429557197798</v>
      </c>
      <c r="E49" s="48"/>
      <c r="F49" s="178" t="s">
        <v>45</v>
      </c>
      <c r="G49" s="139" t="s">
        <v>367</v>
      </c>
      <c r="H49" s="11"/>
      <c r="I49" s="11"/>
    </row>
    <row r="50" spans="2:12" ht="15.75" thickBot="1" x14ac:dyDescent="0.3">
      <c r="B50" s="243"/>
      <c r="C50" s="63" t="s">
        <v>125</v>
      </c>
      <c r="D50" s="124">
        <v>4.6205894361904578</v>
      </c>
      <c r="E50" s="53"/>
      <c r="F50" s="178" t="s">
        <v>45</v>
      </c>
      <c r="G50" s="139" t="s">
        <v>367</v>
      </c>
      <c r="H50" s="11" t="s">
        <v>195</v>
      </c>
      <c r="I50" s="11" t="s">
        <v>126</v>
      </c>
    </row>
    <row r="51" spans="2:12" ht="15.75" thickBot="1" x14ac:dyDescent="0.3">
      <c r="B51" s="243"/>
      <c r="C51" s="43" t="s">
        <v>63</v>
      </c>
      <c r="D51" s="107" t="s">
        <v>239</v>
      </c>
      <c r="E51" s="44"/>
      <c r="F51" s="177"/>
      <c r="G51" s="139"/>
      <c r="H51" s="138"/>
      <c r="I51" s="138"/>
    </row>
    <row r="52" spans="2:12" x14ac:dyDescent="0.25">
      <c r="B52" s="243"/>
      <c r="C52" s="28" t="s">
        <v>127</v>
      </c>
      <c r="D52" s="121">
        <v>255.81749571787887</v>
      </c>
      <c r="E52" s="61"/>
      <c r="F52" s="178" t="s">
        <v>10</v>
      </c>
      <c r="G52" s="139" t="s">
        <v>367</v>
      </c>
      <c r="H52" s="64" t="s">
        <v>196</v>
      </c>
      <c r="I52" s="11" t="s">
        <v>241</v>
      </c>
      <c r="K52" s="173"/>
      <c r="L52" s="173"/>
    </row>
    <row r="53" spans="2:12" ht="15" customHeight="1" x14ac:dyDescent="0.25">
      <c r="B53" s="243"/>
      <c r="C53" s="46" t="s">
        <v>128</v>
      </c>
      <c r="D53" s="122">
        <v>8.4044873704175878</v>
      </c>
      <c r="E53" s="62"/>
      <c r="F53" s="178" t="s">
        <v>10</v>
      </c>
      <c r="G53" s="139" t="s">
        <v>367</v>
      </c>
      <c r="H53" s="64" t="s">
        <v>197</v>
      </c>
      <c r="I53" s="11" t="s">
        <v>67</v>
      </c>
      <c r="K53" s="173"/>
      <c r="L53" s="173"/>
    </row>
    <row r="54" spans="2:12" x14ac:dyDescent="0.25">
      <c r="B54" s="243"/>
      <c r="C54" s="46" t="s">
        <v>129</v>
      </c>
      <c r="D54" s="122">
        <v>15.896754347041357</v>
      </c>
      <c r="E54" s="62"/>
      <c r="F54" s="178" t="s">
        <v>10</v>
      </c>
      <c r="G54" s="139" t="s">
        <v>367</v>
      </c>
      <c r="H54" s="64" t="s">
        <v>198</v>
      </c>
      <c r="I54" t="s">
        <v>242</v>
      </c>
      <c r="K54" s="173"/>
      <c r="L54" s="173"/>
    </row>
    <row r="55" spans="2:12" x14ac:dyDescent="0.25">
      <c r="B55" s="243"/>
      <c r="C55" s="46" t="s">
        <v>130</v>
      </c>
      <c r="D55" s="122">
        <v>705.28261063335708</v>
      </c>
      <c r="E55" s="62"/>
      <c r="F55" s="178" t="s">
        <v>10</v>
      </c>
      <c r="G55" s="139" t="s">
        <v>367</v>
      </c>
      <c r="H55" s="64" t="s">
        <v>199</v>
      </c>
      <c r="I55" s="11"/>
      <c r="K55" s="173"/>
      <c r="L55" s="173"/>
    </row>
    <row r="56" spans="2:12" x14ac:dyDescent="0.25">
      <c r="B56" s="243"/>
      <c r="C56" s="46" t="s">
        <v>131</v>
      </c>
      <c r="D56" s="122" t="s">
        <v>239</v>
      </c>
      <c r="E56" s="127">
        <v>0.71887101675993526</v>
      </c>
      <c r="F56" s="178" t="s">
        <v>10</v>
      </c>
      <c r="G56" s="139" t="s">
        <v>367</v>
      </c>
      <c r="H56" s="64" t="s">
        <v>200</v>
      </c>
      <c r="I56" s="11" t="s">
        <v>132</v>
      </c>
      <c r="K56" s="173"/>
      <c r="L56" s="173"/>
    </row>
    <row r="57" spans="2:12" x14ac:dyDescent="0.25">
      <c r="B57" s="243"/>
      <c r="C57" s="46" t="s">
        <v>133</v>
      </c>
      <c r="D57" s="122" t="s">
        <v>239</v>
      </c>
      <c r="E57" s="127">
        <v>9.9605279411312214E-4</v>
      </c>
      <c r="F57" s="178" t="s">
        <v>10</v>
      </c>
      <c r="G57" s="139" t="s">
        <v>367</v>
      </c>
      <c r="H57" s="64" t="s">
        <v>219</v>
      </c>
      <c r="I57" s="11" t="s">
        <v>134</v>
      </c>
      <c r="K57" s="173"/>
      <c r="L57" s="173"/>
    </row>
    <row r="58" spans="2:12" x14ac:dyDescent="0.25">
      <c r="B58" s="243"/>
      <c r="C58" s="46" t="s">
        <v>135</v>
      </c>
      <c r="D58" s="122" t="s">
        <v>239</v>
      </c>
      <c r="E58" s="127">
        <v>1.4698798343133479</v>
      </c>
      <c r="F58" s="178" t="s">
        <v>10</v>
      </c>
      <c r="G58" s="139" t="s">
        <v>367</v>
      </c>
      <c r="H58" s="64" t="s">
        <v>225</v>
      </c>
      <c r="I58" s="11" t="s">
        <v>136</v>
      </c>
      <c r="K58" s="173"/>
      <c r="L58" s="173"/>
    </row>
    <row r="59" spans="2:12" x14ac:dyDescent="0.25">
      <c r="B59" s="243"/>
      <c r="C59" s="46" t="s">
        <v>137</v>
      </c>
      <c r="D59" s="125" t="s">
        <v>239</v>
      </c>
      <c r="E59" s="131">
        <v>74.404985117997612</v>
      </c>
      <c r="F59" s="178" t="s">
        <v>10</v>
      </c>
      <c r="G59" s="139" t="s">
        <v>367</v>
      </c>
      <c r="H59" s="64" t="s">
        <v>201</v>
      </c>
      <c r="I59" s="11" t="s">
        <v>138</v>
      </c>
      <c r="K59" s="173"/>
      <c r="L59" s="173"/>
    </row>
    <row r="60" spans="2:12" x14ac:dyDescent="0.25">
      <c r="B60" s="243"/>
      <c r="C60" s="46" t="s">
        <v>139</v>
      </c>
      <c r="D60" s="122">
        <v>8.0489027040854241E-2</v>
      </c>
      <c r="E60" s="127"/>
      <c r="F60" s="178" t="s">
        <v>10</v>
      </c>
      <c r="G60" s="139" t="s">
        <v>367</v>
      </c>
      <c r="H60" s="64" t="s">
        <v>202</v>
      </c>
      <c r="I60" s="11" t="s">
        <v>138</v>
      </c>
      <c r="K60" s="173"/>
      <c r="L60" s="173"/>
    </row>
    <row r="61" spans="2:12" x14ac:dyDescent="0.25">
      <c r="B61" s="243"/>
      <c r="C61" s="46" t="s">
        <v>140</v>
      </c>
      <c r="D61" s="125" t="s">
        <v>239</v>
      </c>
      <c r="E61" s="131">
        <v>38.125131281921824</v>
      </c>
      <c r="F61" s="178" t="s">
        <v>10</v>
      </c>
      <c r="G61" s="139" t="s">
        <v>367</v>
      </c>
      <c r="H61" s="64" t="s">
        <v>203</v>
      </c>
      <c r="I61" s="11" t="s">
        <v>132</v>
      </c>
      <c r="K61" s="173"/>
      <c r="L61" s="173"/>
    </row>
    <row r="62" spans="2:12" x14ac:dyDescent="0.25">
      <c r="B62" s="243"/>
      <c r="C62" s="46" t="s">
        <v>141</v>
      </c>
      <c r="D62" s="122" t="s">
        <v>239</v>
      </c>
      <c r="E62" s="127">
        <v>4.6239969787774085</v>
      </c>
      <c r="F62" s="178" t="s">
        <v>10</v>
      </c>
      <c r="G62" s="139" t="s">
        <v>367</v>
      </c>
      <c r="H62" s="64" t="s">
        <v>204</v>
      </c>
      <c r="I62" s="11" t="s">
        <v>142</v>
      </c>
      <c r="K62" s="173"/>
      <c r="L62" s="173"/>
    </row>
    <row r="63" spans="2:12" x14ac:dyDescent="0.25">
      <c r="B63" s="243"/>
      <c r="C63" s="46" t="s">
        <v>143</v>
      </c>
      <c r="D63" s="122">
        <v>1.3501385181046516E-2</v>
      </c>
      <c r="E63" s="127"/>
      <c r="F63" s="178" t="s">
        <v>10</v>
      </c>
      <c r="G63" s="139" t="s">
        <v>367</v>
      </c>
      <c r="H63" s="57" t="s">
        <v>204</v>
      </c>
      <c r="I63" s="11" t="s">
        <v>142</v>
      </c>
      <c r="K63" s="173"/>
      <c r="L63" s="173"/>
    </row>
    <row r="64" spans="2:12" x14ac:dyDescent="0.25">
      <c r="B64" s="243"/>
      <c r="C64" s="46" t="s">
        <v>144</v>
      </c>
      <c r="D64" s="122" t="s">
        <v>239</v>
      </c>
      <c r="E64" s="127">
        <v>5.5120493786750553E-2</v>
      </c>
      <c r="F64" s="178" t="s">
        <v>10</v>
      </c>
      <c r="G64" s="139" t="s">
        <v>367</v>
      </c>
      <c r="H64" s="64" t="s">
        <v>205</v>
      </c>
      <c r="I64" s="11" t="s">
        <v>145</v>
      </c>
      <c r="K64" s="173"/>
      <c r="L64" s="173"/>
    </row>
    <row r="65" spans="2:12" x14ac:dyDescent="0.25">
      <c r="B65" s="243"/>
      <c r="C65" s="46" t="s">
        <v>146</v>
      </c>
      <c r="D65" s="122" t="s">
        <v>239</v>
      </c>
      <c r="E65" s="127">
        <v>5.6047570798232237E-3</v>
      </c>
      <c r="F65" s="178" t="s">
        <v>10</v>
      </c>
      <c r="G65" s="139" t="s">
        <v>367</v>
      </c>
      <c r="H65" s="64" t="s">
        <v>206</v>
      </c>
      <c r="I65" s="11" t="s">
        <v>147</v>
      </c>
      <c r="K65" s="173"/>
      <c r="L65" s="173"/>
    </row>
    <row r="66" spans="2:12" x14ac:dyDescent="0.25">
      <c r="B66" s="243"/>
      <c r="C66" s="46" t="s">
        <v>148</v>
      </c>
      <c r="D66" s="122">
        <v>3.1157042725491954E-2</v>
      </c>
      <c r="E66" s="62"/>
      <c r="F66" s="178" t="s">
        <v>10</v>
      </c>
      <c r="G66" s="139" t="s">
        <v>367</v>
      </c>
      <c r="H66" s="64" t="s">
        <v>220</v>
      </c>
      <c r="I66" s="11" t="s">
        <v>147</v>
      </c>
      <c r="K66" s="173"/>
      <c r="L66" s="173"/>
    </row>
    <row r="67" spans="2:12" x14ac:dyDescent="0.25">
      <c r="B67" s="243"/>
      <c r="C67" s="46" t="s">
        <v>149</v>
      </c>
      <c r="D67" s="122">
        <v>2.8508694093825149</v>
      </c>
      <c r="E67" s="62"/>
      <c r="F67" s="178" t="s">
        <v>10</v>
      </c>
      <c r="G67" s="139" t="s">
        <v>367</v>
      </c>
      <c r="H67" s="64" t="s">
        <v>207</v>
      </c>
      <c r="I67" s="11" t="s">
        <v>150</v>
      </c>
      <c r="K67" s="173"/>
      <c r="L67" s="173"/>
    </row>
    <row r="68" spans="2:12" x14ac:dyDescent="0.25">
      <c r="B68" s="243"/>
      <c r="C68" s="46" t="s">
        <v>151</v>
      </c>
      <c r="D68" s="122">
        <v>0.19992435748857343</v>
      </c>
      <c r="E68" s="62"/>
      <c r="F68" s="178" t="s">
        <v>10</v>
      </c>
      <c r="G68" s="139" t="s">
        <v>367</v>
      </c>
      <c r="H68" s="64" t="s">
        <v>221</v>
      </c>
      <c r="I68" s="11" t="s">
        <v>152</v>
      </c>
      <c r="K68" s="173"/>
      <c r="L68" s="173"/>
    </row>
    <row r="69" spans="2:12" x14ac:dyDescent="0.25">
      <c r="B69" s="243"/>
      <c r="C69" s="46" t="s">
        <v>153</v>
      </c>
      <c r="D69" s="122">
        <v>1.038568090849732E-2</v>
      </c>
      <c r="E69" s="69"/>
      <c r="F69" s="178" t="s">
        <v>10</v>
      </c>
      <c r="G69" s="139" t="s">
        <v>367</v>
      </c>
      <c r="H69" s="64" t="s">
        <v>183</v>
      </c>
      <c r="I69" s="11" t="s">
        <v>147</v>
      </c>
      <c r="K69" s="173"/>
      <c r="L69" s="173"/>
    </row>
    <row r="70" spans="2:12" x14ac:dyDescent="0.25">
      <c r="B70" s="243"/>
      <c r="C70" s="46" t="s">
        <v>154</v>
      </c>
      <c r="D70" s="122">
        <v>0.82825805245266126</v>
      </c>
      <c r="E70" s="62"/>
      <c r="F70" s="178" t="s">
        <v>10</v>
      </c>
      <c r="G70" s="139" t="s">
        <v>367</v>
      </c>
      <c r="H70" s="64" t="s">
        <v>208</v>
      </c>
      <c r="I70" s="11" t="s">
        <v>155</v>
      </c>
      <c r="K70" s="173"/>
      <c r="L70" s="173"/>
    </row>
    <row r="71" spans="2:12" x14ac:dyDescent="0.25">
      <c r="B71" s="243"/>
      <c r="C71" s="46" t="s">
        <v>156</v>
      </c>
      <c r="D71" s="122">
        <v>3.6349883179740618E-2</v>
      </c>
      <c r="E71" s="62"/>
      <c r="F71" s="178" t="s">
        <v>10</v>
      </c>
      <c r="G71" s="139" t="s">
        <v>367</v>
      </c>
      <c r="H71" s="64" t="s">
        <v>209</v>
      </c>
      <c r="I71" s="11" t="s">
        <v>157</v>
      </c>
      <c r="K71" s="173"/>
      <c r="L71" s="173"/>
    </row>
    <row r="72" spans="2:12" x14ac:dyDescent="0.25">
      <c r="B72" s="243"/>
      <c r="C72" s="46" t="s">
        <v>158</v>
      </c>
      <c r="D72" s="122">
        <v>0.26483486316668164</v>
      </c>
      <c r="E72" s="62"/>
      <c r="F72" s="178" t="s">
        <v>10</v>
      </c>
      <c r="G72" s="139" t="s">
        <v>367</v>
      </c>
      <c r="H72" s="64" t="s">
        <v>183</v>
      </c>
      <c r="I72" s="11" t="s">
        <v>147</v>
      </c>
      <c r="K72" s="173"/>
      <c r="L72" s="173"/>
    </row>
    <row r="73" spans="2:12" x14ac:dyDescent="0.25">
      <c r="B73" s="243"/>
      <c r="C73" s="46" t="s">
        <v>160</v>
      </c>
      <c r="D73" s="122">
        <v>3.3753462952616289E-2</v>
      </c>
      <c r="E73" s="62"/>
      <c r="F73" s="178" t="s">
        <v>10</v>
      </c>
      <c r="G73" s="139" t="s">
        <v>367</v>
      </c>
      <c r="H73" s="64" t="s">
        <v>222</v>
      </c>
      <c r="I73" s="11" t="s">
        <v>159</v>
      </c>
      <c r="K73" s="173"/>
      <c r="L73" s="173"/>
    </row>
    <row r="74" spans="2:12" x14ac:dyDescent="0.25">
      <c r="B74" s="243"/>
      <c r="C74" s="46" t="s">
        <v>161</v>
      </c>
      <c r="D74" s="122">
        <v>2.8560622498367629E-2</v>
      </c>
      <c r="E74" s="62"/>
      <c r="F74" s="178" t="s">
        <v>10</v>
      </c>
      <c r="G74" s="139" t="s">
        <v>367</v>
      </c>
      <c r="H74" s="64" t="s">
        <v>222</v>
      </c>
      <c r="I74" s="11" t="s">
        <v>159</v>
      </c>
      <c r="K74" s="173"/>
      <c r="L74" s="173"/>
    </row>
    <row r="75" spans="2:12" x14ac:dyDescent="0.25">
      <c r="B75" s="243"/>
      <c r="C75" s="46" t="s">
        <v>162</v>
      </c>
      <c r="D75" s="122">
        <v>3.1157042725491954E-2</v>
      </c>
      <c r="E75" s="62"/>
      <c r="F75" s="178" t="s">
        <v>10</v>
      </c>
      <c r="G75" s="139" t="s">
        <v>367</v>
      </c>
      <c r="H75" s="64" t="s">
        <v>183</v>
      </c>
      <c r="I75" s="11" t="s">
        <v>163</v>
      </c>
      <c r="K75" s="173"/>
      <c r="L75" s="173"/>
    </row>
    <row r="76" spans="2:12" x14ac:dyDescent="0.25">
      <c r="B76" s="243"/>
      <c r="C76" s="46" t="s">
        <v>164</v>
      </c>
      <c r="D76" s="122">
        <v>1.038568090849732E-2</v>
      </c>
      <c r="E76" s="62"/>
      <c r="F76" s="178" t="s">
        <v>10</v>
      </c>
      <c r="G76" s="139" t="s">
        <v>367</v>
      </c>
      <c r="H76" s="64" t="s">
        <v>223</v>
      </c>
      <c r="I76" s="11" t="s">
        <v>165</v>
      </c>
      <c r="K76" s="173"/>
      <c r="L76" s="173"/>
    </row>
    <row r="77" spans="2:12" x14ac:dyDescent="0.25">
      <c r="B77" s="243"/>
      <c r="C77" s="46" t="s">
        <v>166</v>
      </c>
      <c r="D77" s="122">
        <v>0.36609525202453058</v>
      </c>
      <c r="E77" s="62"/>
      <c r="F77" s="178" t="s">
        <v>10</v>
      </c>
      <c r="G77" s="139" t="s">
        <v>367</v>
      </c>
      <c r="H77" s="64" t="s">
        <v>210</v>
      </c>
      <c r="I77" s="11" t="s">
        <v>167</v>
      </c>
      <c r="K77" s="173"/>
      <c r="L77" s="173"/>
    </row>
    <row r="78" spans="2:12" x14ac:dyDescent="0.25">
      <c r="B78" s="243"/>
      <c r="C78" s="46" t="s">
        <v>168</v>
      </c>
      <c r="D78" s="122">
        <v>0.18174941589870311</v>
      </c>
      <c r="E78" s="62"/>
      <c r="F78" s="178" t="s">
        <v>10</v>
      </c>
      <c r="G78" s="139" t="s">
        <v>367</v>
      </c>
      <c r="H78" s="64" t="s">
        <v>211</v>
      </c>
      <c r="I78" s="11" t="s">
        <v>169</v>
      </c>
      <c r="K78" s="173"/>
      <c r="L78" s="173"/>
    </row>
    <row r="79" spans="2:12" x14ac:dyDescent="0.25">
      <c r="B79" s="243"/>
      <c r="C79" s="46" t="s">
        <v>170</v>
      </c>
      <c r="D79" s="122">
        <v>7.2699766359481235E-2</v>
      </c>
      <c r="E79" s="62"/>
      <c r="F79" s="178" t="s">
        <v>10</v>
      </c>
      <c r="G79" s="139" t="s">
        <v>367</v>
      </c>
      <c r="H79" s="64" t="s">
        <v>212</v>
      </c>
      <c r="I79" s="11" t="s">
        <v>171</v>
      </c>
      <c r="K79" s="173"/>
      <c r="L79" s="173"/>
    </row>
    <row r="80" spans="2:12" x14ac:dyDescent="0.25">
      <c r="B80" s="243"/>
      <c r="C80" s="46" t="s">
        <v>172</v>
      </c>
      <c r="D80" s="122" t="s">
        <v>239</v>
      </c>
      <c r="E80" s="127">
        <v>0.68038067782496348</v>
      </c>
      <c r="F80" s="178" t="s">
        <v>10</v>
      </c>
      <c r="G80" s="139" t="s">
        <v>367</v>
      </c>
      <c r="H80" s="64" t="s">
        <v>183</v>
      </c>
      <c r="I80" s="11" t="s">
        <v>147</v>
      </c>
      <c r="K80" s="173"/>
      <c r="L80" s="173"/>
    </row>
    <row r="81" spans="2:12" x14ac:dyDescent="0.25">
      <c r="B81" s="243"/>
      <c r="C81" s="46" t="s">
        <v>173</v>
      </c>
      <c r="D81" s="122" t="s">
        <v>239</v>
      </c>
      <c r="E81" s="127">
        <v>4.5933744822292122E-2</v>
      </c>
      <c r="F81" s="178" t="s">
        <v>10</v>
      </c>
      <c r="G81" s="139" t="s">
        <v>367</v>
      </c>
      <c r="H81" s="64" t="s">
        <v>224</v>
      </c>
      <c r="I81" s="11" t="s">
        <v>174</v>
      </c>
      <c r="K81" s="173"/>
      <c r="L81" s="173"/>
    </row>
    <row r="82" spans="2:12" x14ac:dyDescent="0.25">
      <c r="B82" s="243"/>
      <c r="C82" s="46" t="s">
        <v>175</v>
      </c>
      <c r="D82" s="122">
        <v>1.999243574885734E-2</v>
      </c>
      <c r="E82" s="127"/>
      <c r="F82" s="178" t="s">
        <v>10</v>
      </c>
      <c r="G82" s="139" t="s">
        <v>367</v>
      </c>
      <c r="H82" s="64" t="s">
        <v>183</v>
      </c>
      <c r="I82" s="11" t="s">
        <v>176</v>
      </c>
      <c r="K82" s="173"/>
      <c r="L82" s="173"/>
    </row>
    <row r="83" spans="2:12" x14ac:dyDescent="0.25">
      <c r="B83" s="243"/>
      <c r="C83" s="46" t="s">
        <v>177</v>
      </c>
      <c r="D83" s="122" t="s">
        <v>239</v>
      </c>
      <c r="E83" s="127">
        <v>4.5933744822292122E-2</v>
      </c>
      <c r="F83" s="178" t="s">
        <v>10</v>
      </c>
      <c r="G83" s="139" t="s">
        <v>367</v>
      </c>
      <c r="H83" s="64" t="s">
        <v>207</v>
      </c>
      <c r="I83" s="11" t="s">
        <v>178</v>
      </c>
      <c r="K83" s="173"/>
      <c r="L83" s="173"/>
    </row>
    <row r="84" spans="2:12" ht="15.75" thickBot="1" x14ac:dyDescent="0.3">
      <c r="B84" s="243"/>
      <c r="C84" s="46" t="s">
        <v>179</v>
      </c>
      <c r="D84" s="124" t="s">
        <v>239</v>
      </c>
      <c r="E84" s="128">
        <v>2.3885029654183585</v>
      </c>
      <c r="F84" s="178" t="s">
        <v>10</v>
      </c>
      <c r="G84" s="139" t="s">
        <v>367</v>
      </c>
      <c r="H84" s="64" t="s">
        <v>213</v>
      </c>
      <c r="I84" s="11" t="s">
        <v>180</v>
      </c>
      <c r="K84" s="173"/>
      <c r="L84" s="173"/>
    </row>
    <row r="85" spans="2:12" x14ac:dyDescent="0.25">
      <c r="D85" s="65"/>
      <c r="E85" s="65"/>
    </row>
    <row r="86" spans="2:12" ht="17.25" x14ac:dyDescent="0.25">
      <c r="C86" s="147" t="s">
        <v>321</v>
      </c>
      <c r="D86" s="65"/>
      <c r="E86" s="65"/>
    </row>
    <row r="87" spans="2:12" ht="17.25" x14ac:dyDescent="0.25">
      <c r="C87" s="147" t="s">
        <v>260</v>
      </c>
      <c r="D87" s="65"/>
      <c r="E87" s="65"/>
    </row>
    <row r="88" spans="2:12" ht="17.25" x14ac:dyDescent="0.25">
      <c r="C88" s="147" t="s">
        <v>369</v>
      </c>
      <c r="D88" s="65"/>
      <c r="E88" s="65"/>
    </row>
    <row r="89" spans="2:12" x14ac:dyDescent="0.25">
      <c r="C89" s="146"/>
      <c r="D89" s="65"/>
      <c r="E89" s="65"/>
    </row>
    <row r="90" spans="2:12" x14ac:dyDescent="0.25">
      <c r="C90" s="1"/>
      <c r="D90" s="65"/>
      <c r="E90" s="65"/>
    </row>
    <row r="91" spans="2:12" x14ac:dyDescent="0.25">
      <c r="C91" s="1"/>
      <c r="D91" s="65"/>
      <c r="E91" s="65"/>
    </row>
    <row r="92" spans="2:12" x14ac:dyDescent="0.25">
      <c r="C92" s="179"/>
      <c r="D92" s="65"/>
      <c r="E92" s="65"/>
    </row>
    <row r="93" spans="2:12" x14ac:dyDescent="0.25">
      <c r="C93" s="1"/>
      <c r="D93" s="65"/>
      <c r="E93" s="65"/>
    </row>
    <row r="94" spans="2:12" x14ac:dyDescent="0.25">
      <c r="D94" s="65"/>
      <c r="E94" s="65"/>
    </row>
    <row r="95" spans="2:12" x14ac:dyDescent="0.25">
      <c r="D95" s="65"/>
      <c r="E95" s="65"/>
    </row>
    <row r="96" spans="2:12" x14ac:dyDescent="0.25">
      <c r="D96" s="65"/>
      <c r="E96" s="65"/>
    </row>
    <row r="97" spans="4:5" x14ac:dyDescent="0.25">
      <c r="D97" s="65"/>
      <c r="E97" s="65"/>
    </row>
    <row r="98" spans="4:5" x14ac:dyDescent="0.25">
      <c r="D98" s="65"/>
      <c r="E98" s="65"/>
    </row>
    <row r="99" spans="4:5" x14ac:dyDescent="0.25">
      <c r="D99" s="65"/>
      <c r="E99" s="65"/>
    </row>
    <row r="100" spans="4:5" x14ac:dyDescent="0.25">
      <c r="D100" s="65"/>
      <c r="E100" s="65"/>
    </row>
    <row r="101" spans="4:5" x14ac:dyDescent="0.25">
      <c r="D101" s="65"/>
      <c r="E101" s="65"/>
    </row>
    <row r="102" spans="4:5" x14ac:dyDescent="0.25">
      <c r="D102" s="65"/>
      <c r="E102" s="65"/>
    </row>
    <row r="103" spans="4:5" x14ac:dyDescent="0.25">
      <c r="D103" s="65"/>
      <c r="E103" s="65"/>
    </row>
    <row r="104" spans="4:5" x14ac:dyDescent="0.25">
      <c r="D104" s="65"/>
      <c r="E104" s="65"/>
    </row>
    <row r="105" spans="4:5" x14ac:dyDescent="0.25">
      <c r="D105" s="65"/>
      <c r="E105" s="65"/>
    </row>
    <row r="106" spans="4:5" x14ac:dyDescent="0.25">
      <c r="D106" s="65"/>
      <c r="E106" s="65"/>
    </row>
    <row r="107" spans="4:5" x14ac:dyDescent="0.25">
      <c r="D107" s="65"/>
      <c r="E107" s="65"/>
    </row>
    <row r="108" spans="4:5" x14ac:dyDescent="0.25">
      <c r="D108" s="65"/>
      <c r="E108" s="65"/>
    </row>
    <row r="109" spans="4:5" x14ac:dyDescent="0.25">
      <c r="D109" s="65"/>
      <c r="E109" s="65"/>
    </row>
    <row r="110" spans="4:5" x14ac:dyDescent="0.25">
      <c r="D110" s="65"/>
      <c r="E110" s="65"/>
    </row>
    <row r="111" spans="4:5" x14ac:dyDescent="0.25">
      <c r="D111" s="65"/>
      <c r="E111" s="65"/>
    </row>
    <row r="112" spans="4:5" x14ac:dyDescent="0.25">
      <c r="D112" s="65"/>
      <c r="E112" s="65"/>
    </row>
    <row r="113" spans="4:5" x14ac:dyDescent="0.25">
      <c r="D113" s="65"/>
      <c r="E113" s="65"/>
    </row>
    <row r="114" spans="4:5" x14ac:dyDescent="0.25">
      <c r="D114" s="65"/>
      <c r="E114" s="65"/>
    </row>
    <row r="115" spans="4:5" x14ac:dyDescent="0.25">
      <c r="D115" s="65"/>
      <c r="E115" s="65"/>
    </row>
    <row r="116" spans="4:5" x14ac:dyDescent="0.25">
      <c r="D116" s="65"/>
      <c r="E116" s="65"/>
    </row>
    <row r="117" spans="4:5" x14ac:dyDescent="0.25">
      <c r="D117" s="65"/>
      <c r="E117" s="65"/>
    </row>
    <row r="118" spans="4:5" x14ac:dyDescent="0.25">
      <c r="D118" s="65"/>
      <c r="E118" s="65"/>
    </row>
    <row r="119" spans="4:5" x14ac:dyDescent="0.25">
      <c r="D119" s="65"/>
      <c r="E119" s="65"/>
    </row>
    <row r="120" spans="4:5" x14ac:dyDescent="0.25">
      <c r="D120" s="65"/>
      <c r="E120" s="65"/>
    </row>
    <row r="121" spans="4:5" x14ac:dyDescent="0.25">
      <c r="D121" s="65"/>
      <c r="E121" s="65"/>
    </row>
    <row r="122" spans="4:5" x14ac:dyDescent="0.25">
      <c r="D122" s="65"/>
      <c r="E122" s="65"/>
    </row>
    <row r="123" spans="4:5" x14ac:dyDescent="0.25">
      <c r="D123" s="65"/>
      <c r="E123" s="65"/>
    </row>
    <row r="124" spans="4:5" x14ac:dyDescent="0.25">
      <c r="D124" s="65"/>
      <c r="E124" s="65"/>
    </row>
    <row r="125" spans="4:5" x14ac:dyDescent="0.25">
      <c r="D125" s="65"/>
      <c r="E125" s="65"/>
    </row>
    <row r="126" spans="4:5" x14ac:dyDescent="0.25">
      <c r="D126" s="65"/>
      <c r="E126" s="65"/>
    </row>
    <row r="127" spans="4:5" x14ac:dyDescent="0.25">
      <c r="D127" s="65"/>
      <c r="E127" s="65"/>
    </row>
    <row r="128" spans="4:5" x14ac:dyDescent="0.25">
      <c r="D128" s="65"/>
      <c r="E128" s="65"/>
    </row>
    <row r="129" spans="4:5" x14ac:dyDescent="0.25">
      <c r="D129" s="65"/>
      <c r="E129" s="65"/>
    </row>
    <row r="130" spans="4:5" x14ac:dyDescent="0.25">
      <c r="D130" s="65"/>
      <c r="E130" s="65"/>
    </row>
    <row r="131" spans="4:5" x14ac:dyDescent="0.25">
      <c r="D131" s="65"/>
      <c r="E131" s="65"/>
    </row>
    <row r="132" spans="4:5" x14ac:dyDescent="0.25">
      <c r="D132" s="65"/>
      <c r="E132" s="65"/>
    </row>
    <row r="133" spans="4:5" x14ac:dyDescent="0.25">
      <c r="D133" s="65"/>
      <c r="E133" s="65"/>
    </row>
    <row r="134" spans="4:5" x14ac:dyDescent="0.25">
      <c r="D134" s="65"/>
      <c r="E134" s="65"/>
    </row>
    <row r="135" spans="4:5" x14ac:dyDescent="0.25">
      <c r="D135" s="65"/>
      <c r="E135" s="65"/>
    </row>
    <row r="136" spans="4:5" x14ac:dyDescent="0.25">
      <c r="D136" s="65"/>
      <c r="E136" s="65"/>
    </row>
    <row r="137" spans="4:5" x14ac:dyDescent="0.25">
      <c r="D137" s="65"/>
      <c r="E137" s="65"/>
    </row>
    <row r="138" spans="4:5" x14ac:dyDescent="0.25">
      <c r="D138" s="65"/>
      <c r="E138" s="65"/>
    </row>
    <row r="139" spans="4:5" x14ac:dyDescent="0.25">
      <c r="D139" s="65"/>
      <c r="E139" s="65"/>
    </row>
    <row r="140" spans="4:5" x14ac:dyDescent="0.25">
      <c r="D140" s="65"/>
      <c r="E140" s="65"/>
    </row>
    <row r="141" spans="4:5" x14ac:dyDescent="0.25">
      <c r="D141" s="65"/>
      <c r="E141" s="65"/>
    </row>
    <row r="142" spans="4:5" x14ac:dyDescent="0.25">
      <c r="D142" s="65"/>
      <c r="E142" s="65"/>
    </row>
    <row r="143" spans="4:5" x14ac:dyDescent="0.25">
      <c r="D143" s="65"/>
      <c r="E143" s="65"/>
    </row>
    <row r="144" spans="4:5" x14ac:dyDescent="0.25">
      <c r="D144" s="65"/>
      <c r="E144" s="65"/>
    </row>
    <row r="145" spans="4:5" x14ac:dyDescent="0.25">
      <c r="D145" s="65"/>
      <c r="E145" s="65"/>
    </row>
    <row r="146" spans="4:5" x14ac:dyDescent="0.25">
      <c r="D146" s="65"/>
      <c r="E146" s="65"/>
    </row>
    <row r="147" spans="4:5" x14ac:dyDescent="0.25">
      <c r="D147" s="65"/>
      <c r="E147" s="65"/>
    </row>
    <row r="148" spans="4:5" x14ac:dyDescent="0.25">
      <c r="D148" s="65"/>
      <c r="E148" s="65"/>
    </row>
    <row r="149" spans="4:5" x14ac:dyDescent="0.25">
      <c r="D149" s="65"/>
      <c r="E149" s="65"/>
    </row>
    <row r="150" spans="4:5" x14ac:dyDescent="0.25">
      <c r="D150" s="65"/>
      <c r="E150" s="65"/>
    </row>
    <row r="151" spans="4:5" x14ac:dyDescent="0.25">
      <c r="D151" s="65"/>
      <c r="E151" s="65"/>
    </row>
    <row r="152" spans="4:5" x14ac:dyDescent="0.25">
      <c r="D152" s="65"/>
      <c r="E152" s="65"/>
    </row>
    <row r="153" spans="4:5" x14ac:dyDescent="0.25">
      <c r="D153" s="65"/>
      <c r="E153" s="65"/>
    </row>
    <row r="154" spans="4:5" x14ac:dyDescent="0.25">
      <c r="D154" s="65"/>
      <c r="E154" s="65"/>
    </row>
    <row r="155" spans="4:5" x14ac:dyDescent="0.25">
      <c r="D155" s="65"/>
      <c r="E155" s="65"/>
    </row>
    <row r="156" spans="4:5" x14ac:dyDescent="0.25">
      <c r="D156" s="65"/>
      <c r="E156" s="65"/>
    </row>
    <row r="157" spans="4:5" x14ac:dyDescent="0.25">
      <c r="D157" s="65"/>
      <c r="E157" s="65"/>
    </row>
    <row r="158" spans="4:5" x14ac:dyDescent="0.25">
      <c r="D158" s="65"/>
      <c r="E158" s="65"/>
    </row>
    <row r="159" spans="4:5" x14ac:dyDescent="0.25">
      <c r="D159" s="65"/>
      <c r="E159" s="65"/>
    </row>
    <row r="160" spans="4:5" x14ac:dyDescent="0.25">
      <c r="D160" s="65"/>
      <c r="E160" s="65"/>
    </row>
    <row r="161" spans="4:5" x14ac:dyDescent="0.25">
      <c r="D161" s="65"/>
      <c r="E161" s="65"/>
    </row>
    <row r="162" spans="4:5" x14ac:dyDescent="0.25">
      <c r="D162" s="65"/>
      <c r="E162" s="65"/>
    </row>
    <row r="163" spans="4:5" x14ac:dyDescent="0.25">
      <c r="D163" s="65"/>
      <c r="E163" s="65"/>
    </row>
    <row r="164" spans="4:5" x14ac:dyDescent="0.25">
      <c r="D164" s="65"/>
      <c r="E164" s="65"/>
    </row>
    <row r="165" spans="4:5" x14ac:dyDescent="0.25">
      <c r="D165" s="65"/>
      <c r="E165" s="65"/>
    </row>
    <row r="166" spans="4:5" x14ac:dyDescent="0.25">
      <c r="D166" s="65"/>
      <c r="E166" s="65"/>
    </row>
    <row r="167" spans="4:5" x14ac:dyDescent="0.25">
      <c r="D167" s="65"/>
      <c r="E167" s="65"/>
    </row>
    <row r="168" spans="4:5" x14ac:dyDescent="0.25">
      <c r="D168" s="65"/>
      <c r="E168" s="65"/>
    </row>
    <row r="169" spans="4:5" x14ac:dyDescent="0.25">
      <c r="D169" s="65"/>
      <c r="E169" s="65"/>
    </row>
    <row r="170" spans="4:5" x14ac:dyDescent="0.25">
      <c r="D170" s="65"/>
      <c r="E170" s="65"/>
    </row>
    <row r="171" spans="4:5" x14ac:dyDescent="0.25">
      <c r="D171" s="65"/>
      <c r="E171" s="65"/>
    </row>
    <row r="172" spans="4:5" x14ac:dyDescent="0.25">
      <c r="D172" s="65"/>
      <c r="E172" s="65"/>
    </row>
    <row r="173" spans="4:5" x14ac:dyDescent="0.25">
      <c r="D173" s="65"/>
      <c r="E173" s="65"/>
    </row>
    <row r="174" spans="4:5" x14ac:dyDescent="0.25">
      <c r="D174" s="65"/>
      <c r="E174" s="65"/>
    </row>
    <row r="175" spans="4:5" x14ac:dyDescent="0.25">
      <c r="D175" s="65"/>
      <c r="E175" s="65"/>
    </row>
    <row r="176" spans="4:5" x14ac:dyDescent="0.25">
      <c r="D176" s="65"/>
      <c r="E176" s="65"/>
    </row>
    <row r="177" spans="4:5" x14ac:dyDescent="0.25">
      <c r="D177" s="65"/>
      <c r="E177" s="65"/>
    </row>
    <row r="178" spans="4:5" x14ac:dyDescent="0.25">
      <c r="D178" s="65"/>
      <c r="E178" s="65"/>
    </row>
    <row r="179" spans="4:5" x14ac:dyDescent="0.25">
      <c r="D179" s="65"/>
      <c r="E179" s="65"/>
    </row>
    <row r="180" spans="4:5" x14ac:dyDescent="0.25">
      <c r="D180" s="65"/>
      <c r="E180" s="65"/>
    </row>
    <row r="181" spans="4:5" x14ac:dyDescent="0.25">
      <c r="D181" s="65"/>
      <c r="E181" s="65"/>
    </row>
    <row r="182" spans="4:5" x14ac:dyDescent="0.25">
      <c r="D182" s="65"/>
      <c r="E182" s="65"/>
    </row>
    <row r="183" spans="4:5" x14ac:dyDescent="0.25">
      <c r="D183" s="65"/>
      <c r="E183" s="65"/>
    </row>
    <row r="184" spans="4:5" x14ac:dyDescent="0.25">
      <c r="D184" s="65"/>
      <c r="E184" s="65"/>
    </row>
    <row r="185" spans="4:5" x14ac:dyDescent="0.25">
      <c r="D185" s="65"/>
      <c r="E185" s="65"/>
    </row>
    <row r="186" spans="4:5" x14ac:dyDescent="0.25">
      <c r="D186" s="65"/>
      <c r="E186" s="65"/>
    </row>
    <row r="187" spans="4:5" x14ac:dyDescent="0.25">
      <c r="D187" s="65"/>
      <c r="E187" s="65"/>
    </row>
    <row r="188" spans="4:5" x14ac:dyDescent="0.25">
      <c r="D188" s="65"/>
      <c r="E188" s="65"/>
    </row>
    <row r="189" spans="4:5" x14ac:dyDescent="0.25">
      <c r="D189" s="65"/>
      <c r="E189" s="65"/>
    </row>
    <row r="190" spans="4:5" x14ac:dyDescent="0.25">
      <c r="D190" s="65"/>
      <c r="E190" s="65"/>
    </row>
    <row r="191" spans="4:5" x14ac:dyDescent="0.25">
      <c r="D191" s="65"/>
      <c r="E191" s="65"/>
    </row>
  </sheetData>
  <mergeCells count="3">
    <mergeCell ref="B42:B84"/>
    <mergeCell ref="B5:B41"/>
    <mergeCell ref="D6:E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422F-7BA9-4576-A393-60EAB3282C52}">
  <dimension ref="B2:M31"/>
  <sheetViews>
    <sheetView topLeftCell="E1" zoomScale="160" zoomScaleNormal="160" workbookViewId="0">
      <selection activeCell="B2" sqref="B2"/>
    </sheetView>
  </sheetViews>
  <sheetFormatPr defaultColWidth="9.140625" defaultRowHeight="15" x14ac:dyDescent="0.25"/>
  <cols>
    <col min="1" max="1" width="3.140625" style="2" customWidth="1"/>
    <col min="2" max="2" width="42.7109375" style="2" bestFit="1" customWidth="1"/>
    <col min="3" max="4" width="15.7109375" style="2" customWidth="1"/>
    <col min="5" max="5" width="9.140625" style="161"/>
    <col min="6" max="8" width="15.7109375" style="2" customWidth="1"/>
    <col min="9" max="9" width="19.42578125" style="2" customWidth="1"/>
    <col min="10" max="10" width="15.7109375" style="151" customWidth="1"/>
    <col min="11" max="12" width="15.7109375" style="2" customWidth="1"/>
    <col min="13" max="13" width="29.28515625" style="2" bestFit="1" customWidth="1"/>
    <col min="14" max="14" width="15.42578125" style="2" customWidth="1"/>
    <col min="15" max="16384" width="9.140625" style="2"/>
  </cols>
  <sheetData>
    <row r="2" spans="2:13" ht="21" x14ac:dyDescent="0.35">
      <c r="B2" s="142" t="s">
        <v>336</v>
      </c>
    </row>
    <row r="3" spans="2:13" ht="21.75" thickBot="1" x14ac:dyDescent="0.4">
      <c r="B3" s="142"/>
    </row>
    <row r="4" spans="2:13" s="161" customFormat="1" ht="15.75" thickBot="1" x14ac:dyDescent="0.3">
      <c r="K4" s="246" t="s">
        <v>226</v>
      </c>
      <c r="L4" s="247"/>
    </row>
    <row r="5" spans="2:13" s="168" customFormat="1" ht="32.25" x14ac:dyDescent="0.25">
      <c r="B5" s="162"/>
      <c r="C5" s="163" t="s">
        <v>299</v>
      </c>
      <c r="D5" s="163" t="s">
        <v>300</v>
      </c>
      <c r="E5" s="164" t="s">
        <v>1</v>
      </c>
      <c r="F5" s="162" t="s">
        <v>279</v>
      </c>
      <c r="G5" s="163" t="s">
        <v>1</v>
      </c>
      <c r="H5" s="162" t="s">
        <v>235</v>
      </c>
      <c r="I5" s="163" t="s">
        <v>236</v>
      </c>
      <c r="J5" s="165" t="s">
        <v>1</v>
      </c>
      <c r="K5" s="166" t="s">
        <v>227</v>
      </c>
      <c r="L5" s="167" t="s">
        <v>228</v>
      </c>
    </row>
    <row r="6" spans="2:13" s="4" customFormat="1" x14ac:dyDescent="0.25">
      <c r="B6" s="18" t="s">
        <v>229</v>
      </c>
      <c r="C6" s="17">
        <v>67257</v>
      </c>
      <c r="D6" s="17">
        <v>67257</v>
      </c>
      <c r="E6" s="169" t="s">
        <v>7</v>
      </c>
      <c r="F6" s="189"/>
      <c r="G6" s="190"/>
      <c r="H6" s="191">
        <v>369509958</v>
      </c>
      <c r="I6" s="190">
        <v>369509958</v>
      </c>
      <c r="J6" s="192" t="s">
        <v>230</v>
      </c>
      <c r="K6" s="193">
        <v>0.17462743521570107</v>
      </c>
      <c r="L6" s="194">
        <v>0.28600227030295977</v>
      </c>
    </row>
    <row r="7" spans="2:13" s="188" customFormat="1" x14ac:dyDescent="0.25">
      <c r="B7" s="184" t="s">
        <v>231</v>
      </c>
      <c r="C7" s="10">
        <v>81131</v>
      </c>
      <c r="D7" s="10">
        <v>81131</v>
      </c>
      <c r="E7" s="185" t="s">
        <v>7</v>
      </c>
      <c r="F7" s="38"/>
      <c r="G7" s="37"/>
      <c r="H7" s="186">
        <v>445733714</v>
      </c>
      <c r="I7" s="36">
        <v>445733714</v>
      </c>
      <c r="J7" s="187" t="s">
        <v>230</v>
      </c>
      <c r="K7" s="29">
        <v>0.21065016944682402</v>
      </c>
      <c r="L7" s="30">
        <v>0.34499977982885693</v>
      </c>
    </row>
    <row r="8" spans="2:13" s="188" customFormat="1" x14ac:dyDescent="0.25">
      <c r="B8" s="184" t="s">
        <v>232</v>
      </c>
      <c r="C8" s="10">
        <v>57671</v>
      </c>
      <c r="D8" s="10">
        <v>0</v>
      </c>
      <c r="E8" s="185" t="s">
        <v>7</v>
      </c>
      <c r="F8" s="38"/>
      <c r="G8" s="37"/>
      <c r="H8" s="186">
        <v>316844474</v>
      </c>
      <c r="I8" s="36">
        <v>0</v>
      </c>
      <c r="J8" s="187" t="s">
        <v>230</v>
      </c>
      <c r="K8" s="29">
        <v>0.14973815091848722</v>
      </c>
      <c r="L8" s="30">
        <v>0</v>
      </c>
    </row>
    <row r="9" spans="2:13" x14ac:dyDescent="0.25">
      <c r="B9" s="19" t="s">
        <v>298</v>
      </c>
      <c r="C9" s="9">
        <v>206059</v>
      </c>
      <c r="D9" s="10">
        <v>148388.4824336014</v>
      </c>
      <c r="E9" s="170" t="s">
        <v>7</v>
      </c>
      <c r="F9" s="35">
        <v>5494</v>
      </c>
      <c r="G9" s="36" t="s">
        <v>234</v>
      </c>
      <c r="H9" s="182" t="s">
        <v>6</v>
      </c>
      <c r="I9" s="16"/>
      <c r="J9" s="159" t="s">
        <v>6</v>
      </c>
      <c r="K9" s="31" t="s">
        <v>6</v>
      </c>
      <c r="L9" s="32" t="s">
        <v>6</v>
      </c>
    </row>
    <row r="10" spans="2:13" x14ac:dyDescent="0.25">
      <c r="B10" s="19" t="s">
        <v>280</v>
      </c>
      <c r="C10" s="9">
        <v>270</v>
      </c>
      <c r="D10" s="10">
        <v>194.4340711013466</v>
      </c>
      <c r="E10" s="170" t="s">
        <v>7</v>
      </c>
      <c r="F10" s="35">
        <v>1428</v>
      </c>
      <c r="G10" s="36" t="s">
        <v>234</v>
      </c>
      <c r="H10" s="24">
        <v>385560</v>
      </c>
      <c r="I10" s="16">
        <v>277651.85353272298</v>
      </c>
      <c r="J10" s="159" t="s">
        <v>230</v>
      </c>
      <c r="K10" s="31">
        <v>1.8221255601930409E-4</v>
      </c>
      <c r="L10" s="32">
        <v>2.1490370893924226E-4</v>
      </c>
    </row>
    <row r="11" spans="2:13" x14ac:dyDescent="0.25">
      <c r="B11" s="19" t="s">
        <v>281</v>
      </c>
      <c r="C11" s="9">
        <v>2885</v>
      </c>
      <c r="D11" s="10">
        <v>706.68568920105361</v>
      </c>
      <c r="E11" s="170" t="s">
        <v>7</v>
      </c>
      <c r="F11" s="35">
        <v>4172</v>
      </c>
      <c r="G11" s="37" t="s">
        <v>234</v>
      </c>
      <c r="H11" s="24">
        <v>12036220</v>
      </c>
      <c r="I11" s="16">
        <v>2948292.6953467955</v>
      </c>
      <c r="J11" s="159" t="s">
        <v>230</v>
      </c>
      <c r="K11" s="31">
        <v>5.6882207983469969E-3</v>
      </c>
      <c r="L11" s="32">
        <v>2.2819910157517759E-3</v>
      </c>
      <c r="M11" s="12"/>
    </row>
    <row r="12" spans="2:13" x14ac:dyDescent="0.25">
      <c r="B12" s="19" t="s">
        <v>282</v>
      </c>
      <c r="C12" s="9">
        <v>13.2</v>
      </c>
      <c r="D12" s="10">
        <v>6.203761650912333</v>
      </c>
      <c r="E12" s="170" t="s">
        <v>7</v>
      </c>
      <c r="F12" s="35">
        <v>38600000</v>
      </c>
      <c r="G12" s="37" t="s">
        <v>234</v>
      </c>
      <c r="H12" s="24">
        <v>509520000</v>
      </c>
      <c r="I12" s="16">
        <v>239465199.72521606</v>
      </c>
      <c r="J12" s="159" t="s">
        <v>230</v>
      </c>
      <c r="K12" s="31">
        <v>0.24079505535573145</v>
      </c>
      <c r="L12" s="32">
        <v>0.18534707738502543</v>
      </c>
    </row>
    <row r="13" spans="2:13" x14ac:dyDescent="0.25">
      <c r="B13" s="19" t="s">
        <v>283</v>
      </c>
      <c r="C13" s="9">
        <v>539</v>
      </c>
      <c r="D13" s="10">
        <v>308.87711664027148</v>
      </c>
      <c r="E13" s="170" t="s">
        <v>7</v>
      </c>
      <c r="F13" s="35">
        <v>580000</v>
      </c>
      <c r="G13" s="37" t="s">
        <v>234</v>
      </c>
      <c r="H13" s="24">
        <v>312620000</v>
      </c>
      <c r="I13" s="16">
        <v>179148727.65135747</v>
      </c>
      <c r="J13" s="159" t="s">
        <v>230</v>
      </c>
      <c r="K13" s="31">
        <v>0.14774169847171606</v>
      </c>
      <c r="L13" s="32">
        <v>0.138661872896467</v>
      </c>
    </row>
    <row r="14" spans="2:13" x14ac:dyDescent="0.25">
      <c r="B14" s="19" t="s">
        <v>284</v>
      </c>
      <c r="C14" s="9">
        <v>36</v>
      </c>
      <c r="D14" s="10">
        <v>0</v>
      </c>
      <c r="E14" s="170" t="s">
        <v>7</v>
      </c>
      <c r="F14" s="35">
        <v>19396</v>
      </c>
      <c r="G14" s="37" t="s">
        <v>234</v>
      </c>
      <c r="H14" s="24">
        <v>698256</v>
      </c>
      <c r="I14" s="16">
        <v>0</v>
      </c>
      <c r="J14" s="159" t="s">
        <v>230</v>
      </c>
      <c r="K14" s="31">
        <v>3.2999017147996473E-4</v>
      </c>
      <c r="L14" s="32">
        <v>0</v>
      </c>
    </row>
    <row r="15" spans="2:13" x14ac:dyDescent="0.25">
      <c r="B15" s="19" t="s">
        <v>285</v>
      </c>
      <c r="C15" s="9">
        <v>2.4</v>
      </c>
      <c r="D15" s="10">
        <v>7.027027027027026E-2</v>
      </c>
      <c r="E15" s="170" t="s">
        <v>7</v>
      </c>
      <c r="F15" s="35">
        <v>0</v>
      </c>
      <c r="G15" s="37" t="s">
        <v>234</v>
      </c>
      <c r="H15" s="24">
        <v>0</v>
      </c>
      <c r="I15" s="16">
        <v>0</v>
      </c>
      <c r="J15" s="159" t="s">
        <v>230</v>
      </c>
      <c r="K15" s="31">
        <v>0</v>
      </c>
      <c r="L15" s="32">
        <v>0</v>
      </c>
    </row>
    <row r="16" spans="2:13" x14ac:dyDescent="0.25">
      <c r="B16" s="19" t="s">
        <v>286</v>
      </c>
      <c r="C16" s="9">
        <v>58</v>
      </c>
      <c r="D16" s="10">
        <v>55.928571428571431</v>
      </c>
      <c r="E16" s="170" t="s">
        <v>7</v>
      </c>
      <c r="F16" s="35">
        <v>32969</v>
      </c>
      <c r="G16" s="37" t="s">
        <v>234</v>
      </c>
      <c r="H16" s="24">
        <v>1912202</v>
      </c>
      <c r="I16" s="16">
        <v>1843909.0714285716</v>
      </c>
      <c r="J16" s="159" t="s">
        <v>230</v>
      </c>
      <c r="K16" s="31">
        <v>9.0369129070760792E-4</v>
      </c>
      <c r="L16" s="32">
        <v>1.4271934199424035E-3</v>
      </c>
    </row>
    <row r="17" spans="2:12" x14ac:dyDescent="0.25">
      <c r="B17" s="19" t="s">
        <v>287</v>
      </c>
      <c r="C17" s="9">
        <v>484</v>
      </c>
      <c r="D17" s="10">
        <v>243.50935550935552</v>
      </c>
      <c r="E17" s="170" t="s">
        <v>7</v>
      </c>
      <c r="F17" s="35">
        <v>0</v>
      </c>
      <c r="G17" s="37" t="s">
        <v>234</v>
      </c>
      <c r="H17" s="24">
        <v>0</v>
      </c>
      <c r="I17" s="16">
        <v>0</v>
      </c>
      <c r="J17" s="159" t="s">
        <v>230</v>
      </c>
      <c r="K17" s="31">
        <v>0</v>
      </c>
      <c r="L17" s="32">
        <v>0</v>
      </c>
    </row>
    <row r="18" spans="2:12" x14ac:dyDescent="0.25">
      <c r="B18" s="19" t="s">
        <v>288</v>
      </c>
      <c r="C18" s="9">
        <v>301000</v>
      </c>
      <c r="D18" s="10">
        <v>301000</v>
      </c>
      <c r="E18" s="170" t="s">
        <v>7</v>
      </c>
      <c r="F18" s="35">
        <v>0</v>
      </c>
      <c r="G18" s="37" t="s">
        <v>234</v>
      </c>
      <c r="H18" s="24">
        <v>0</v>
      </c>
      <c r="I18" s="16">
        <v>0</v>
      </c>
      <c r="J18" s="159" t="s">
        <v>230</v>
      </c>
      <c r="K18" s="31">
        <v>0</v>
      </c>
      <c r="L18" s="32">
        <v>0</v>
      </c>
    </row>
    <row r="19" spans="2:12" x14ac:dyDescent="0.25">
      <c r="B19" s="19" t="s">
        <v>289</v>
      </c>
      <c r="C19" s="9">
        <v>36238</v>
      </c>
      <c r="D19" s="10">
        <v>8579.1987324860111</v>
      </c>
      <c r="E19" s="170" t="s">
        <v>7</v>
      </c>
      <c r="F19" s="35">
        <v>1410</v>
      </c>
      <c r="G19" s="37" t="s">
        <v>234</v>
      </c>
      <c r="H19" s="24">
        <v>51095580</v>
      </c>
      <c r="I19" s="16">
        <v>12096670.212805275</v>
      </c>
      <c r="J19" s="159" t="s">
        <v>230</v>
      </c>
      <c r="K19" s="31">
        <v>2.4147360289160789E-2</v>
      </c>
      <c r="L19" s="32">
        <v>9.3628739065497561E-3</v>
      </c>
    </row>
    <row r="20" spans="2:12" x14ac:dyDescent="0.25">
      <c r="B20" s="19" t="s">
        <v>290</v>
      </c>
      <c r="C20" s="9">
        <v>26132</v>
      </c>
      <c r="D20" s="10">
        <v>0</v>
      </c>
      <c r="E20" s="170" t="s">
        <v>7</v>
      </c>
      <c r="F20" s="35">
        <v>1800</v>
      </c>
      <c r="G20" s="37" t="s">
        <v>234</v>
      </c>
      <c r="H20" s="24">
        <v>47037600</v>
      </c>
      <c r="I20" s="16">
        <v>0</v>
      </c>
      <c r="J20" s="159" t="s">
        <v>230</v>
      </c>
      <c r="K20" s="31">
        <v>2.2229591568144046E-2</v>
      </c>
      <c r="L20" s="32">
        <v>0</v>
      </c>
    </row>
    <row r="21" spans="2:12" x14ac:dyDescent="0.25">
      <c r="B21" s="19" t="s">
        <v>291</v>
      </c>
      <c r="C21" s="9">
        <v>2550</v>
      </c>
      <c r="D21" s="10">
        <v>1282.952182952183</v>
      </c>
      <c r="E21" s="170" t="s">
        <v>7</v>
      </c>
      <c r="F21" s="35">
        <v>2011</v>
      </c>
      <c r="G21" s="37" t="s">
        <v>234</v>
      </c>
      <c r="H21" s="24">
        <v>5128050</v>
      </c>
      <c r="I21" s="16">
        <v>2580016.8399168397</v>
      </c>
      <c r="J21" s="159" t="s">
        <v>230</v>
      </c>
      <c r="K21" s="31">
        <v>2.4234751994366434E-3</v>
      </c>
      <c r="L21" s="32">
        <v>1.9969439460575623E-3</v>
      </c>
    </row>
    <row r="22" spans="2:12" x14ac:dyDescent="0.25">
      <c r="B22" s="19" t="s">
        <v>292</v>
      </c>
      <c r="C22" s="9">
        <v>484</v>
      </c>
      <c r="D22" s="10">
        <v>243.50935550935552</v>
      </c>
      <c r="E22" s="170" t="s">
        <v>7</v>
      </c>
      <c r="F22" s="35">
        <v>1201.75</v>
      </c>
      <c r="G22" s="37" t="s">
        <v>234</v>
      </c>
      <c r="H22" s="24">
        <v>581647</v>
      </c>
      <c r="I22" s="16">
        <v>292637.36798336799</v>
      </c>
      <c r="J22" s="159" t="s">
        <v>230</v>
      </c>
      <c r="K22" s="31">
        <v>2.7488169564000457E-4</v>
      </c>
      <c r="L22" s="32">
        <v>2.2650256050400113E-4</v>
      </c>
    </row>
    <row r="23" spans="2:12" x14ac:dyDescent="0.25">
      <c r="B23" s="19" t="s">
        <v>293</v>
      </c>
      <c r="C23" s="9">
        <v>259945</v>
      </c>
      <c r="D23" s="10">
        <v>249976.92</v>
      </c>
      <c r="E23" s="170" t="s">
        <v>7</v>
      </c>
      <c r="F23" s="35">
        <v>5.3</v>
      </c>
      <c r="G23" s="37" t="s">
        <v>234</v>
      </c>
      <c r="H23" s="24">
        <v>1377708.5</v>
      </c>
      <c r="I23" s="16">
        <v>1324877.676</v>
      </c>
      <c r="J23" s="159" t="s">
        <v>230</v>
      </c>
      <c r="K23" s="31">
        <v>6.5109396004388786E-4</v>
      </c>
      <c r="L23" s="32">
        <v>1.0254609246815188E-3</v>
      </c>
    </row>
    <row r="24" spans="2:12" x14ac:dyDescent="0.25">
      <c r="B24" s="19" t="s">
        <v>294</v>
      </c>
      <c r="C24" s="9">
        <v>532535</v>
      </c>
      <c r="D24" s="10">
        <v>511312.11874531</v>
      </c>
      <c r="E24" s="170" t="s">
        <v>7</v>
      </c>
      <c r="F24" s="35">
        <v>65</v>
      </c>
      <c r="G24" s="37" t="s">
        <v>234</v>
      </c>
      <c r="H24" s="24">
        <v>34614775</v>
      </c>
      <c r="I24" s="16">
        <v>33235287.718445148</v>
      </c>
      <c r="J24" s="159" t="s">
        <v>230</v>
      </c>
      <c r="K24" s="31">
        <v>1.6358664355179756E-2</v>
      </c>
      <c r="L24" s="32">
        <v>2.572425325990102E-2</v>
      </c>
    </row>
    <row r="25" spans="2:12" x14ac:dyDescent="0.25">
      <c r="B25" s="19" t="s">
        <v>295</v>
      </c>
      <c r="C25" s="9">
        <v>36720</v>
      </c>
      <c r="D25" s="10">
        <v>35256.614119875281</v>
      </c>
      <c r="E25" s="170" t="s">
        <v>7</v>
      </c>
      <c r="F25" s="35">
        <v>100</v>
      </c>
      <c r="G25" s="36" t="s">
        <v>234</v>
      </c>
      <c r="H25" s="24">
        <v>3672000</v>
      </c>
      <c r="I25" s="16">
        <v>3525661.4119875282</v>
      </c>
      <c r="J25" s="159" t="s">
        <v>230</v>
      </c>
      <c r="K25" s="31">
        <v>1.7353576763743247E-3</v>
      </c>
      <c r="L25" s="32">
        <v>2.7288768443636149E-3</v>
      </c>
    </row>
    <row r="26" spans="2:12" x14ac:dyDescent="0.25">
      <c r="B26" s="19" t="s">
        <v>296</v>
      </c>
      <c r="C26" s="13">
        <v>52989</v>
      </c>
      <c r="D26" s="10">
        <v>0</v>
      </c>
      <c r="E26" s="171" t="s">
        <v>48</v>
      </c>
      <c r="F26" s="38">
        <v>34.799999999999997</v>
      </c>
      <c r="G26" s="37" t="s">
        <v>233</v>
      </c>
      <c r="H26" s="24">
        <v>1844017.2</v>
      </c>
      <c r="I26" s="16">
        <v>0</v>
      </c>
      <c r="J26" s="159" t="s">
        <v>230</v>
      </c>
      <c r="K26" s="31">
        <v>8.7146770244724621E-4</v>
      </c>
      <c r="L26" s="32">
        <v>0</v>
      </c>
    </row>
    <row r="27" spans="2:12" ht="15.75" thickBot="1" x14ac:dyDescent="0.3">
      <c r="B27" s="20" t="s">
        <v>297</v>
      </c>
      <c r="C27" s="21">
        <v>39613</v>
      </c>
      <c r="D27" s="22">
        <v>0</v>
      </c>
      <c r="E27" s="172" t="s">
        <v>48</v>
      </c>
      <c r="F27" s="39">
        <v>34.799999999999997</v>
      </c>
      <c r="G27" s="40" t="s">
        <v>233</v>
      </c>
      <c r="H27" s="25">
        <v>1378532.4</v>
      </c>
      <c r="I27" s="26">
        <v>0</v>
      </c>
      <c r="J27" s="160" t="s">
        <v>230</v>
      </c>
      <c r="K27" s="33">
        <v>6.5148332855956455E-4</v>
      </c>
      <c r="L27" s="34">
        <v>0</v>
      </c>
    </row>
    <row r="28" spans="2:12" x14ac:dyDescent="0.25">
      <c r="D28" s="8"/>
      <c r="H28" s="8"/>
      <c r="I28" s="8"/>
      <c r="K28" s="14"/>
    </row>
    <row r="29" spans="2:12" ht="17.25" x14ac:dyDescent="0.25">
      <c r="B29" s="183" t="s">
        <v>301</v>
      </c>
      <c r="C29" s="8"/>
      <c r="H29" s="8"/>
      <c r="I29" s="8"/>
      <c r="L29" s="8"/>
    </row>
    <row r="31" spans="2:12" x14ac:dyDescent="0.25">
      <c r="G31" s="15"/>
    </row>
  </sheetData>
  <mergeCells count="1">
    <mergeCell ref="K4:L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F9B4-754B-45C1-A07B-2AEBE7506C98}">
  <dimension ref="A2:AN67"/>
  <sheetViews>
    <sheetView workbookViewId="0">
      <selection activeCell="B2" sqref="B2"/>
    </sheetView>
  </sheetViews>
  <sheetFormatPr defaultColWidth="11.42578125" defaultRowHeight="15" x14ac:dyDescent="0.25"/>
  <cols>
    <col min="1" max="1" width="11.5703125" style="2"/>
    <col min="2" max="2" width="16.42578125" style="1" customWidth="1"/>
    <col min="3" max="3" width="11.7109375" style="2" customWidth="1"/>
    <col min="4" max="4" width="19.140625" style="2" bestFit="1" customWidth="1"/>
    <col min="5" max="9" width="18.7109375" style="2" customWidth="1"/>
    <col min="10" max="10" width="15.7109375" style="2" customWidth="1"/>
    <col min="11" max="40" width="11.5703125" style="2"/>
  </cols>
  <sheetData>
    <row r="2" spans="2:16" ht="21" x14ac:dyDescent="0.35">
      <c r="B2" s="142" t="s">
        <v>337</v>
      </c>
    </row>
    <row r="5" spans="2:16" x14ac:dyDescent="0.25">
      <c r="B5" s="137" t="s">
        <v>261</v>
      </c>
      <c r="C5" s="137" t="s">
        <v>1</v>
      </c>
      <c r="D5" s="137" t="s">
        <v>307</v>
      </c>
      <c r="E5" s="137" t="s">
        <v>270</v>
      </c>
      <c r="F5" s="137" t="s">
        <v>271</v>
      </c>
      <c r="G5" s="137" t="s">
        <v>309</v>
      </c>
      <c r="H5" s="137" t="s">
        <v>60</v>
      </c>
      <c r="I5" s="137" t="s">
        <v>272</v>
      </c>
      <c r="J5" s="137" t="s">
        <v>308</v>
      </c>
    </row>
    <row r="6" spans="2:16" x14ac:dyDescent="0.25">
      <c r="B6" s="137" t="s">
        <v>310</v>
      </c>
      <c r="C6" s="195" t="s">
        <v>319</v>
      </c>
      <c r="D6" s="195" t="s">
        <v>263</v>
      </c>
      <c r="E6" s="148">
        <v>1.5432255104809007E-3</v>
      </c>
      <c r="F6" s="148">
        <v>9.2765165090374496E-3</v>
      </c>
      <c r="G6" s="148">
        <v>3.5455131874248418E-3</v>
      </c>
      <c r="H6" s="148">
        <v>1.4765070437727801E-4</v>
      </c>
      <c r="I6" s="148">
        <v>1.1353085284737554E-3</v>
      </c>
      <c r="J6" s="199">
        <f>SUM(E6:I6)</f>
        <v>1.5648214439794226E-2</v>
      </c>
      <c r="L6" s="173"/>
      <c r="M6" s="173"/>
      <c r="N6" s="173"/>
      <c r="O6" s="173"/>
      <c r="P6" s="173"/>
    </row>
    <row r="7" spans="2:16" x14ac:dyDescent="0.25">
      <c r="B7" s="137"/>
      <c r="C7" s="195"/>
      <c r="D7" s="195" t="s">
        <v>311</v>
      </c>
      <c r="E7" s="150">
        <v>9.861991068811006E-2</v>
      </c>
      <c r="F7" s="150">
        <v>0.59281629509414091</v>
      </c>
      <c r="G7" s="150">
        <v>0.22657621424259222</v>
      </c>
      <c r="H7" s="150">
        <v>9.4356263422486434E-3</v>
      </c>
      <c r="I7" s="150">
        <v>7.2551953632908214E-2</v>
      </c>
      <c r="J7" s="199"/>
      <c r="L7" s="173"/>
      <c r="M7" s="173"/>
      <c r="N7" s="173"/>
      <c r="O7" s="173"/>
      <c r="P7" s="173"/>
    </row>
    <row r="8" spans="2:16" x14ac:dyDescent="0.25">
      <c r="B8" s="137"/>
      <c r="C8" s="195"/>
      <c r="D8" s="195" t="s">
        <v>264</v>
      </c>
      <c r="E8" s="148">
        <v>1.2079999999999999E-3</v>
      </c>
      <c r="F8" s="148">
        <v>7.3700000000000002E-5</v>
      </c>
      <c r="G8" s="148">
        <v>9.9300000000000001E-5</v>
      </c>
      <c r="H8" s="148">
        <v>2.0200000000000001E-6</v>
      </c>
      <c r="I8" s="148">
        <v>7.0399999999999998E-4</v>
      </c>
      <c r="J8" s="199">
        <f t="shared" ref="J8:J63" si="0">SUM(E8:I8)</f>
        <v>2.0870199999999998E-3</v>
      </c>
      <c r="L8" s="173"/>
      <c r="M8" s="173"/>
      <c r="N8" s="173"/>
      <c r="O8" s="173"/>
      <c r="P8" s="173"/>
    </row>
    <row r="9" spans="2:16" x14ac:dyDescent="0.25">
      <c r="B9" s="137"/>
      <c r="C9" s="195"/>
      <c r="D9" s="195" t="s">
        <v>311</v>
      </c>
      <c r="E9" s="150">
        <v>0.57799043062200961</v>
      </c>
      <c r="F9" s="150">
        <v>3.5263157894736843E-2</v>
      </c>
      <c r="G9" s="150">
        <v>4.751196172248804E-2</v>
      </c>
      <c r="H9" s="150">
        <v>9.6650717703349292E-4</v>
      </c>
      <c r="I9" s="150">
        <v>0.33684210526315789</v>
      </c>
      <c r="J9" s="199"/>
      <c r="L9" s="173"/>
      <c r="M9" s="173"/>
      <c r="N9" s="173"/>
      <c r="O9" s="173"/>
      <c r="P9" s="173"/>
    </row>
    <row r="10" spans="2:16" x14ac:dyDescent="0.25">
      <c r="B10" s="137"/>
      <c r="C10" s="195"/>
      <c r="D10" s="195" t="s">
        <v>312</v>
      </c>
      <c r="E10" s="149">
        <v>1.2775045616563749</v>
      </c>
      <c r="F10" s="149">
        <v>125.86860934921913</v>
      </c>
      <c r="G10" s="149">
        <v>35.705067345668098</v>
      </c>
      <c r="H10" s="149">
        <v>73.094408107563353</v>
      </c>
      <c r="I10" s="149">
        <v>1.6126541597638573</v>
      </c>
      <c r="J10" s="199"/>
      <c r="L10" s="173"/>
      <c r="M10" s="173"/>
      <c r="N10" s="173"/>
      <c r="O10" s="173"/>
      <c r="P10" s="173"/>
    </row>
    <row r="11" spans="2:16" x14ac:dyDescent="0.25">
      <c r="B11" s="137" t="s">
        <v>313</v>
      </c>
      <c r="C11" s="195" t="s">
        <v>246</v>
      </c>
      <c r="D11" s="195" t="s">
        <v>263</v>
      </c>
      <c r="E11" s="148">
        <v>4077.6251927435751</v>
      </c>
      <c r="F11" s="148">
        <v>12350.285815427071</v>
      </c>
      <c r="G11" s="148">
        <v>29860.844177294246</v>
      </c>
      <c r="H11" s="148">
        <v>378.29313111451899</v>
      </c>
      <c r="I11" s="148">
        <v>4600.8969377662961</v>
      </c>
      <c r="J11" s="199">
        <f t="shared" si="0"/>
        <v>51267.945254345708</v>
      </c>
      <c r="L11" s="173"/>
      <c r="M11" s="173"/>
      <c r="N11" s="173"/>
      <c r="O11" s="173"/>
      <c r="P11" s="173"/>
    </row>
    <row r="12" spans="2:16" x14ac:dyDescent="0.25">
      <c r="B12" s="137"/>
      <c r="C12" s="195"/>
      <c r="D12" s="195" t="s">
        <v>311</v>
      </c>
      <c r="E12" s="150">
        <v>7.9535568911803356E-2</v>
      </c>
      <c r="F12" s="150">
        <v>0.2408968363010453</v>
      </c>
      <c r="G12" s="150">
        <v>0.58244667363108538</v>
      </c>
      <c r="H12" s="150">
        <v>7.3787457101658098E-3</v>
      </c>
      <c r="I12" s="150">
        <v>8.9742175445900144E-2</v>
      </c>
      <c r="J12" s="199"/>
      <c r="L12" s="173"/>
      <c r="M12" s="173"/>
      <c r="N12" s="173"/>
      <c r="O12" s="173"/>
      <c r="P12" s="173"/>
    </row>
    <row r="13" spans="2:16" x14ac:dyDescent="0.25">
      <c r="B13" s="137"/>
      <c r="C13" s="195"/>
      <c r="D13" s="195" t="s">
        <v>264</v>
      </c>
      <c r="E13" s="148">
        <v>11849.999999999995</v>
      </c>
      <c r="F13" s="148">
        <v>7730</v>
      </c>
      <c r="G13" s="148">
        <v>17300</v>
      </c>
      <c r="H13" s="148">
        <v>7.8</v>
      </c>
      <c r="I13" s="148">
        <v>3020</v>
      </c>
      <c r="J13" s="199">
        <f t="shared" si="0"/>
        <v>39907.799999999996</v>
      </c>
      <c r="L13" s="173"/>
      <c r="M13" s="173"/>
      <c r="N13" s="173"/>
      <c r="O13" s="173"/>
      <c r="P13" s="173"/>
    </row>
    <row r="14" spans="2:16" x14ac:dyDescent="0.25">
      <c r="B14" s="137"/>
      <c r="C14" s="195"/>
      <c r="D14" s="195" t="s">
        <v>311</v>
      </c>
      <c r="E14" s="150">
        <v>0.29699248120300736</v>
      </c>
      <c r="F14" s="150">
        <v>0.19373433583959901</v>
      </c>
      <c r="G14" s="150">
        <v>0.4335839598997494</v>
      </c>
      <c r="H14" s="150">
        <v>1.9548872180451127E-4</v>
      </c>
      <c r="I14" s="150">
        <v>7.5689223057644112E-2</v>
      </c>
      <c r="J14" s="199"/>
      <c r="L14" s="173"/>
      <c r="M14" s="173"/>
      <c r="N14" s="173"/>
      <c r="O14" s="173"/>
      <c r="P14" s="173"/>
    </row>
    <row r="15" spans="2:16" x14ac:dyDescent="0.25">
      <c r="B15" s="137"/>
      <c r="C15" s="195"/>
      <c r="D15" s="195" t="s">
        <v>312</v>
      </c>
      <c r="E15" s="149">
        <v>2.9061032929382313</v>
      </c>
      <c r="F15" s="149">
        <v>1.597708384919414</v>
      </c>
      <c r="G15" s="149">
        <v>1.7260603570690316</v>
      </c>
      <c r="H15" s="149">
        <v>48.499119373656285</v>
      </c>
      <c r="I15" s="149">
        <v>1.5234758072073828</v>
      </c>
      <c r="J15" s="199"/>
      <c r="L15" s="173"/>
      <c r="M15" s="173"/>
      <c r="N15" s="173"/>
      <c r="O15" s="173"/>
      <c r="P15" s="173"/>
    </row>
    <row r="16" spans="2:16" ht="18" x14ac:dyDescent="0.35">
      <c r="B16" s="137" t="s">
        <v>262</v>
      </c>
      <c r="C16" s="195" t="s">
        <v>303</v>
      </c>
      <c r="D16" s="195" t="s">
        <v>263</v>
      </c>
      <c r="E16" s="148">
        <v>753.30541957381467</v>
      </c>
      <c r="F16" s="148">
        <v>1760.5896741638373</v>
      </c>
      <c r="G16" s="148">
        <v>1820.3895323448223</v>
      </c>
      <c r="H16" s="148">
        <v>36.189671932702403</v>
      </c>
      <c r="I16" s="148">
        <v>382.67770931895939</v>
      </c>
      <c r="J16" s="199">
        <f t="shared" si="0"/>
        <v>4753.1520073341362</v>
      </c>
      <c r="L16" s="173"/>
      <c r="M16" s="173"/>
      <c r="N16" s="173"/>
      <c r="O16" s="173"/>
      <c r="P16" s="173"/>
    </row>
    <row r="17" spans="2:16" x14ac:dyDescent="0.25">
      <c r="B17" s="137"/>
      <c r="C17" s="195"/>
      <c r="D17" s="195" t="s">
        <v>311</v>
      </c>
      <c r="E17" s="150">
        <v>0.1584854467964544</v>
      </c>
      <c r="F17" s="150">
        <v>0.370404664409478</v>
      </c>
      <c r="G17" s="150">
        <v>0.38298575966768</v>
      </c>
      <c r="H17" s="150">
        <v>7.6138259152792858E-3</v>
      </c>
      <c r="I17" s="150">
        <v>8.0510303211108303E-2</v>
      </c>
      <c r="J17" s="199"/>
      <c r="L17" s="173"/>
      <c r="M17" s="173"/>
      <c r="N17" s="173"/>
      <c r="O17" s="173"/>
      <c r="P17" s="173"/>
    </row>
    <row r="18" spans="2:16" x14ac:dyDescent="0.25">
      <c r="B18" s="137"/>
      <c r="C18" s="195"/>
      <c r="D18" s="195" t="s">
        <v>264</v>
      </c>
      <c r="E18" s="148">
        <v>998.00000000000023</v>
      </c>
      <c r="F18" s="148">
        <v>950</v>
      </c>
      <c r="G18" s="148">
        <v>1282</v>
      </c>
      <c r="H18" s="148">
        <v>1.3</v>
      </c>
      <c r="I18" s="148">
        <v>273</v>
      </c>
      <c r="J18" s="199">
        <f t="shared" si="0"/>
        <v>3504.3</v>
      </c>
      <c r="L18" s="173"/>
      <c r="M18" s="173"/>
      <c r="N18" s="173"/>
      <c r="O18" s="173"/>
      <c r="P18" s="173"/>
    </row>
    <row r="19" spans="2:16" x14ac:dyDescent="0.25">
      <c r="B19" s="137"/>
      <c r="C19" s="195"/>
      <c r="D19" s="195" t="s">
        <v>311</v>
      </c>
      <c r="E19" s="150">
        <v>0.28433048433048441</v>
      </c>
      <c r="F19" s="150">
        <v>0.27065527065527067</v>
      </c>
      <c r="G19" s="150">
        <v>0.3652421652421653</v>
      </c>
      <c r="H19" s="150">
        <v>3.7037037037037035E-4</v>
      </c>
      <c r="I19" s="150">
        <v>7.7777777777777793E-2</v>
      </c>
      <c r="J19" s="199"/>
      <c r="L19" s="173"/>
      <c r="M19" s="173"/>
      <c r="N19" s="173"/>
      <c r="O19" s="173"/>
      <c r="P19" s="173"/>
    </row>
    <row r="20" spans="2:16" x14ac:dyDescent="0.25">
      <c r="B20" s="137"/>
      <c r="C20" s="195"/>
      <c r="D20" s="195" t="s">
        <v>312</v>
      </c>
      <c r="E20" s="149">
        <v>1.3248278507867663</v>
      </c>
      <c r="F20" s="149">
        <v>1.8532522885935132</v>
      </c>
      <c r="G20" s="149">
        <v>1.4199606336543076</v>
      </c>
      <c r="H20" s="149">
        <v>27.838209179001847</v>
      </c>
      <c r="I20" s="149">
        <v>1.4017498509851991</v>
      </c>
      <c r="J20" s="199"/>
      <c r="L20" s="173"/>
      <c r="M20" s="173"/>
      <c r="N20" s="173"/>
      <c r="O20" s="173"/>
      <c r="P20" s="173"/>
    </row>
    <row r="21" spans="2:16" x14ac:dyDescent="0.25">
      <c r="B21" s="137" t="s">
        <v>314</v>
      </c>
      <c r="C21" s="195" t="s">
        <v>265</v>
      </c>
      <c r="D21" s="195" t="s">
        <v>263</v>
      </c>
      <c r="E21" s="148">
        <v>5.091198870897808E-4</v>
      </c>
      <c r="F21" s="148">
        <v>9.0638104422015843E-5</v>
      </c>
      <c r="G21" s="148">
        <v>3.6383444749719105E-4</v>
      </c>
      <c r="H21" s="148">
        <v>6.1984091200457303E-6</v>
      </c>
      <c r="I21" s="148">
        <v>1.7273574278396062E-4</v>
      </c>
      <c r="J21" s="199">
        <f t="shared" si="0"/>
        <v>1.1425265909129939E-3</v>
      </c>
      <c r="L21" s="173"/>
      <c r="M21" s="173"/>
      <c r="N21" s="173"/>
      <c r="O21" s="173"/>
      <c r="P21" s="173"/>
    </row>
    <row r="22" spans="2:16" x14ac:dyDescent="0.25">
      <c r="B22" s="137"/>
      <c r="C22" s="195"/>
      <c r="D22" s="195" t="s">
        <v>311</v>
      </c>
      <c r="E22" s="150">
        <v>0.44560878594776748</v>
      </c>
      <c r="F22" s="150">
        <v>7.9331286591401651E-2</v>
      </c>
      <c r="G22" s="150">
        <v>0.3184472469970705</v>
      </c>
      <c r="H22" s="150">
        <v>5.4251771200288451E-3</v>
      </c>
      <c r="I22" s="150">
        <v>0.15118750334373166</v>
      </c>
      <c r="J22" s="199"/>
      <c r="L22" s="173"/>
      <c r="M22" s="173"/>
      <c r="N22" s="173"/>
      <c r="O22" s="173"/>
      <c r="P22" s="173"/>
    </row>
    <row r="23" spans="2:16" x14ac:dyDescent="0.25">
      <c r="B23" s="137"/>
      <c r="C23" s="195"/>
      <c r="D23" s="195" t="s">
        <v>264</v>
      </c>
      <c r="E23" s="148">
        <v>1.8639000000000017E-11</v>
      </c>
      <c r="F23" s="148">
        <v>2.3600000000000001E-10</v>
      </c>
      <c r="G23" s="148">
        <v>2.1100000000000001E-13</v>
      </c>
      <c r="H23" s="148">
        <v>4.1299999999999998E-14</v>
      </c>
      <c r="I23" s="148">
        <v>-2.53E-7</v>
      </c>
      <c r="J23" s="199">
        <f t="shared" si="0"/>
        <v>-2.5274510870000002E-7</v>
      </c>
      <c r="L23" s="173"/>
      <c r="M23" s="173"/>
      <c r="N23" s="173"/>
      <c r="O23" s="173"/>
      <c r="P23" s="173"/>
    </row>
    <row r="24" spans="2:16" x14ac:dyDescent="0.25">
      <c r="B24" s="137"/>
      <c r="C24" s="195"/>
      <c r="D24" s="195" t="s">
        <v>311</v>
      </c>
      <c r="E24" s="150">
        <v>-7.3671936758893349E-5</v>
      </c>
      <c r="F24" s="150">
        <v>-9.3280632411067189E-4</v>
      </c>
      <c r="G24" s="150">
        <v>-8.3399209486166003E-7</v>
      </c>
      <c r="H24" s="150">
        <v>-1.632411067193676E-7</v>
      </c>
      <c r="I24" s="150">
        <v>1</v>
      </c>
      <c r="J24" s="199"/>
      <c r="L24" s="173"/>
      <c r="M24" s="173"/>
      <c r="N24" s="173"/>
      <c r="O24" s="173"/>
      <c r="P24" s="173"/>
    </row>
    <row r="25" spans="2:16" x14ac:dyDescent="0.25">
      <c r="B25" s="137"/>
      <c r="C25" s="195"/>
      <c r="D25" s="195" t="s">
        <v>312</v>
      </c>
      <c r="E25" s="149">
        <v>27314764.047952164</v>
      </c>
      <c r="F25" s="149">
        <v>384059.7645000671</v>
      </c>
      <c r="G25" s="149">
        <v>1724333874.3942704</v>
      </c>
      <c r="H25" s="149">
        <v>150082545.27955765</v>
      </c>
      <c r="I25" s="149">
        <v>-682.74997147810518</v>
      </c>
      <c r="J25" s="199"/>
      <c r="L25" s="173"/>
      <c r="M25" s="173"/>
      <c r="N25" s="173"/>
      <c r="O25" s="173"/>
      <c r="P25" s="173"/>
    </row>
    <row r="26" spans="2:16" x14ac:dyDescent="0.25">
      <c r="B26" s="137" t="s">
        <v>315</v>
      </c>
      <c r="C26" s="195" t="s">
        <v>320</v>
      </c>
      <c r="D26" s="195" t="s">
        <v>263</v>
      </c>
      <c r="E26" s="148">
        <v>227.30645428597208</v>
      </c>
      <c r="F26" s="148">
        <v>466.21591861001974</v>
      </c>
      <c r="G26" s="148">
        <v>669.89915879363627</v>
      </c>
      <c r="H26" s="148">
        <v>25.5333376084821</v>
      </c>
      <c r="I26" s="148">
        <v>151.4685169045047</v>
      </c>
      <c r="J26" s="199">
        <f t="shared" si="0"/>
        <v>1540.4233862026147</v>
      </c>
      <c r="L26" s="173"/>
      <c r="M26" s="173"/>
      <c r="N26" s="173"/>
      <c r="O26" s="173"/>
      <c r="P26" s="173"/>
    </row>
    <row r="27" spans="2:16" x14ac:dyDescent="0.25">
      <c r="B27" s="137"/>
      <c r="C27" s="195"/>
      <c r="D27" s="195" t="s">
        <v>311</v>
      </c>
      <c r="E27" s="150">
        <v>0.14756102531416257</v>
      </c>
      <c r="F27" s="150"/>
      <c r="G27" s="150"/>
      <c r="H27" s="150"/>
      <c r="I27" s="150"/>
      <c r="J27" s="199"/>
      <c r="L27" s="173"/>
      <c r="M27" s="173"/>
      <c r="N27" s="173"/>
      <c r="O27" s="173"/>
      <c r="P27" s="173"/>
    </row>
    <row r="28" spans="2:16" x14ac:dyDescent="0.25">
      <c r="B28" s="137"/>
      <c r="C28" s="195"/>
      <c r="D28" s="195" t="s">
        <v>264</v>
      </c>
      <c r="E28" s="148">
        <v>179.81000000000003</v>
      </c>
      <c r="F28" s="148">
        <v>29.8</v>
      </c>
      <c r="G28" s="148">
        <v>27.689999999999998</v>
      </c>
      <c r="H28" s="148">
        <v>0.375</v>
      </c>
      <c r="I28" s="148">
        <v>314</v>
      </c>
      <c r="J28" s="199">
        <f t="shared" si="0"/>
        <v>551.67500000000007</v>
      </c>
      <c r="L28" s="173"/>
      <c r="M28" s="173"/>
      <c r="N28" s="173"/>
      <c r="O28" s="173"/>
      <c r="P28" s="173"/>
    </row>
    <row r="29" spans="2:16" x14ac:dyDescent="0.25">
      <c r="B29" s="137"/>
      <c r="C29" s="195"/>
      <c r="D29" s="195" t="s">
        <v>311</v>
      </c>
      <c r="E29" s="150">
        <v>0.32574275362318844</v>
      </c>
      <c r="F29" s="150">
        <v>5.398550724637681E-2</v>
      </c>
      <c r="G29" s="150">
        <v>5.0163043478260866E-2</v>
      </c>
      <c r="H29" s="150">
        <v>6.793478260869565E-4</v>
      </c>
      <c r="I29" s="150">
        <v>0.5688405797101449</v>
      </c>
      <c r="J29" s="199"/>
      <c r="L29" s="173"/>
      <c r="M29" s="173"/>
      <c r="N29" s="173"/>
      <c r="O29" s="173"/>
      <c r="P29" s="173"/>
    </row>
    <row r="30" spans="2:16" x14ac:dyDescent="0.25">
      <c r="B30" s="137"/>
      <c r="C30" s="195"/>
      <c r="D30" s="195" t="s">
        <v>312</v>
      </c>
      <c r="E30" s="149">
        <v>1.2641480133806353</v>
      </c>
      <c r="F30" s="149">
        <v>15.644829483557711</v>
      </c>
      <c r="G30" s="149">
        <v>24.192819024688923</v>
      </c>
      <c r="H30" s="149">
        <v>68.088900289285604</v>
      </c>
      <c r="I30" s="149">
        <v>2.0730380571294917</v>
      </c>
      <c r="J30" s="199"/>
      <c r="L30" s="173"/>
      <c r="M30" s="173"/>
      <c r="N30" s="173"/>
      <c r="O30" s="173"/>
      <c r="P30" s="173"/>
    </row>
    <row r="31" spans="2:16" x14ac:dyDescent="0.25">
      <c r="B31" s="137" t="s">
        <v>316</v>
      </c>
      <c r="C31" s="195" t="s">
        <v>320</v>
      </c>
      <c r="D31" s="195" t="s">
        <v>263</v>
      </c>
      <c r="E31" s="148">
        <v>21.809612502022123</v>
      </c>
      <c r="F31" s="148">
        <v>13.954932216304341</v>
      </c>
      <c r="G31" s="148">
        <v>22.758515689203097</v>
      </c>
      <c r="H31" s="148">
        <v>0.327709435286833</v>
      </c>
      <c r="I31" s="148">
        <v>10.976206472043767</v>
      </c>
      <c r="J31" s="199">
        <f t="shared" si="0"/>
        <v>69.826976314860161</v>
      </c>
      <c r="L31" s="173"/>
      <c r="M31" s="173"/>
      <c r="N31" s="173"/>
      <c r="O31" s="173"/>
      <c r="P31" s="173"/>
    </row>
    <row r="32" spans="2:16" x14ac:dyDescent="0.25">
      <c r="B32" s="137"/>
      <c r="C32" s="195"/>
      <c r="D32" s="195" t="s">
        <v>311</v>
      </c>
      <c r="E32" s="150">
        <v>0.31233791942643135</v>
      </c>
      <c r="F32" s="150">
        <v>0.19985015752908283</v>
      </c>
      <c r="G32" s="150">
        <v>0.3259272689480579</v>
      </c>
      <c r="H32" s="150">
        <v>4.6931637682425583E-3</v>
      </c>
      <c r="I32" s="150">
        <v>0.15719149032818533</v>
      </c>
      <c r="J32" s="199"/>
      <c r="L32" s="173"/>
      <c r="M32" s="173"/>
      <c r="N32" s="173"/>
      <c r="O32" s="173"/>
      <c r="P32" s="173"/>
    </row>
    <row r="33" spans="2:16" x14ac:dyDescent="0.25">
      <c r="B33" s="137"/>
      <c r="C33" s="195"/>
      <c r="D33" s="195" t="s">
        <v>264</v>
      </c>
      <c r="E33" s="148">
        <v>18.546279999999999</v>
      </c>
      <c r="F33" s="148">
        <v>0.65200000000000002</v>
      </c>
      <c r="G33" s="148">
        <v>6.7917200000000006</v>
      </c>
      <c r="H33" s="148">
        <v>2.8000000000000001E-2</v>
      </c>
      <c r="I33" s="148">
        <v>8.4899999999999984</v>
      </c>
      <c r="J33" s="199">
        <f t="shared" si="0"/>
        <v>34.507999999999996</v>
      </c>
      <c r="L33" s="173"/>
      <c r="M33" s="173"/>
      <c r="N33" s="173"/>
      <c r="O33" s="173"/>
      <c r="P33" s="173"/>
    </row>
    <row r="34" spans="2:16" x14ac:dyDescent="0.25">
      <c r="B34" s="137"/>
      <c r="C34" s="195"/>
      <c r="D34" s="195" t="s">
        <v>311</v>
      </c>
      <c r="E34" s="150">
        <v>0.53757333333333324</v>
      </c>
      <c r="F34" s="150">
        <v>1.889855072463768E-2</v>
      </c>
      <c r="G34" s="150">
        <v>0.19686144927536231</v>
      </c>
      <c r="H34" s="150">
        <v>8.1159420289855062E-4</v>
      </c>
      <c r="I34" s="150">
        <v>0.24608695652173909</v>
      </c>
      <c r="J34" s="199"/>
      <c r="L34" s="173"/>
      <c r="M34" s="173"/>
      <c r="N34" s="173"/>
      <c r="O34" s="173"/>
      <c r="P34" s="173"/>
    </row>
    <row r="35" spans="2:16" x14ac:dyDescent="0.25">
      <c r="B35" s="137"/>
      <c r="C35" s="195"/>
      <c r="D35" s="195" t="s">
        <v>312</v>
      </c>
      <c r="E35" s="149">
        <v>1.1759561756870989</v>
      </c>
      <c r="F35" s="149">
        <v>21.403270270405429</v>
      </c>
      <c r="G35" s="149">
        <v>3.3509207813636452</v>
      </c>
      <c r="H35" s="149">
        <v>11.703908403101178</v>
      </c>
      <c r="I35" s="149">
        <v>1.2928393960004438</v>
      </c>
      <c r="J35" s="199"/>
      <c r="L35" s="173"/>
      <c r="M35" s="173"/>
      <c r="N35" s="173"/>
      <c r="O35" s="173"/>
      <c r="P35" s="173"/>
    </row>
    <row r="36" spans="2:16" x14ac:dyDescent="0.25">
      <c r="B36" s="137" t="s">
        <v>317</v>
      </c>
      <c r="C36" s="195" t="s">
        <v>320</v>
      </c>
      <c r="D36" s="195" t="s">
        <v>263</v>
      </c>
      <c r="E36" s="148">
        <v>255163.00196231776</v>
      </c>
      <c r="F36" s="148">
        <v>963052.93159521464</v>
      </c>
      <c r="G36" s="148">
        <v>255123.09963270859</v>
      </c>
      <c r="H36" s="148">
        <v>19189.445783667099</v>
      </c>
      <c r="I36" s="148">
        <v>153621.29662829539</v>
      </c>
      <c r="J36" s="199">
        <f t="shared" si="0"/>
        <v>1646149.7756022036</v>
      </c>
      <c r="L36" s="173"/>
      <c r="M36" s="173"/>
      <c r="N36" s="173"/>
      <c r="O36" s="173"/>
      <c r="P36" s="173"/>
    </row>
    <row r="37" spans="2:16" x14ac:dyDescent="0.25">
      <c r="B37" s="137"/>
      <c r="C37" s="195"/>
      <c r="D37" s="195" t="s">
        <v>311</v>
      </c>
      <c r="E37" s="150">
        <v>0.15500594523300448</v>
      </c>
      <c r="F37" s="150">
        <v>0.58503360135799642</v>
      </c>
      <c r="G37" s="150">
        <v>0.15498170544012504</v>
      </c>
      <c r="H37" s="150">
        <v>1.1657168787479933E-2</v>
      </c>
      <c r="I37" s="150">
        <v>9.3321579181394249E-2</v>
      </c>
      <c r="J37" s="199"/>
      <c r="L37" s="173"/>
      <c r="M37" s="173"/>
      <c r="N37" s="173"/>
      <c r="O37" s="173"/>
      <c r="P37" s="173"/>
    </row>
    <row r="38" spans="2:16" x14ac:dyDescent="0.25">
      <c r="B38" s="137"/>
      <c r="C38" s="195"/>
      <c r="D38" s="195" t="s">
        <v>264</v>
      </c>
      <c r="E38" s="148">
        <v>531329.99965800007</v>
      </c>
      <c r="F38" s="148">
        <v>8570</v>
      </c>
      <c r="G38" s="148">
        <v>16900.000341999999</v>
      </c>
      <c r="H38" s="148">
        <v>1550</v>
      </c>
      <c r="I38" s="148">
        <v>19300</v>
      </c>
      <c r="J38" s="199">
        <f t="shared" si="0"/>
        <v>577650.00000000012</v>
      </c>
      <c r="L38" s="173"/>
      <c r="M38" s="173"/>
      <c r="N38" s="173"/>
      <c r="O38" s="173"/>
      <c r="P38" s="173"/>
    </row>
    <row r="39" spans="2:16" x14ac:dyDescent="0.25">
      <c r="B39" s="137"/>
      <c r="C39" s="195"/>
      <c r="D39" s="195" t="s">
        <v>311</v>
      </c>
      <c r="E39" s="150">
        <v>0.92084921951126519</v>
      </c>
      <c r="F39" s="150">
        <v>1.4852686308492201E-2</v>
      </c>
      <c r="G39" s="150">
        <v>2.9289428668977466E-2</v>
      </c>
      <c r="H39" s="150">
        <v>2.68630849220104E-3</v>
      </c>
      <c r="I39" s="150">
        <v>3.3448873483535528E-2</v>
      </c>
      <c r="J39" s="199"/>
      <c r="L39" s="173"/>
      <c r="M39" s="173"/>
      <c r="N39" s="173"/>
      <c r="O39" s="173"/>
      <c r="P39" s="173"/>
    </row>
    <row r="40" spans="2:16" x14ac:dyDescent="0.25">
      <c r="B40" s="137"/>
      <c r="C40" s="195"/>
      <c r="D40" s="195" t="s">
        <v>312</v>
      </c>
      <c r="E40" s="149">
        <v>2.082315992412044</v>
      </c>
      <c r="F40" s="149">
        <v>112.37490450352563</v>
      </c>
      <c r="G40" s="149">
        <v>15.096041092891276</v>
      </c>
      <c r="H40" s="149">
        <v>12.38028760236587</v>
      </c>
      <c r="I40" s="149">
        <v>7.9596526750412124</v>
      </c>
      <c r="J40" s="199"/>
      <c r="L40" s="173"/>
      <c r="M40" s="173"/>
      <c r="N40" s="173"/>
      <c r="O40" s="173"/>
      <c r="P40" s="173"/>
    </row>
    <row r="41" spans="2:16" x14ac:dyDescent="0.25">
      <c r="B41" s="137" t="s">
        <v>318</v>
      </c>
      <c r="C41" s="195" t="s">
        <v>320</v>
      </c>
      <c r="D41" s="195" t="s">
        <v>263</v>
      </c>
      <c r="E41" s="148">
        <v>1.2080216820728111</v>
      </c>
      <c r="F41" s="148">
        <v>2.1701974783660316</v>
      </c>
      <c r="G41" s="148">
        <v>2.675778397257524</v>
      </c>
      <c r="H41" s="148">
        <v>0.174601463622852</v>
      </c>
      <c r="I41" s="148">
        <v>3.3019277603203432</v>
      </c>
      <c r="J41" s="199">
        <f t="shared" si="0"/>
        <v>9.530526781639562</v>
      </c>
      <c r="L41" s="173"/>
      <c r="M41" s="173"/>
      <c r="N41" s="173"/>
      <c r="O41" s="173"/>
      <c r="P41" s="173"/>
    </row>
    <row r="42" spans="2:16" x14ac:dyDescent="0.25">
      <c r="B42" s="137"/>
      <c r="C42" s="195"/>
      <c r="D42" s="195" t="s">
        <v>311</v>
      </c>
      <c r="E42" s="150">
        <v>0.12675287628382195</v>
      </c>
      <c r="F42" s="150">
        <v>0.22771012852583233</v>
      </c>
      <c r="G42" s="150">
        <v>0.28075870920507534</v>
      </c>
      <c r="H42" s="150">
        <v>1.8320232199464513E-2</v>
      </c>
      <c r="I42" s="150">
        <v>0.34645805378580596</v>
      </c>
      <c r="J42" s="199"/>
      <c r="L42" s="173"/>
      <c r="M42" s="173"/>
      <c r="N42" s="173"/>
      <c r="O42" s="173"/>
      <c r="P42" s="173"/>
    </row>
    <row r="43" spans="2:16" x14ac:dyDescent="0.25">
      <c r="B43" s="137"/>
      <c r="C43" s="195"/>
      <c r="D43" s="195" t="s">
        <v>264</v>
      </c>
      <c r="E43" s="148">
        <v>8.4038040000000009</v>
      </c>
      <c r="F43" s="148">
        <v>0.19600000000000001</v>
      </c>
      <c r="G43" s="148">
        <v>2.2101960000000003</v>
      </c>
      <c r="H43" s="148">
        <v>5.5700000000000003E-3</v>
      </c>
      <c r="I43" s="148">
        <v>4.7</v>
      </c>
      <c r="J43" s="199">
        <f t="shared" si="0"/>
        <v>15.51557</v>
      </c>
      <c r="L43" s="173"/>
      <c r="M43" s="173"/>
      <c r="N43" s="173"/>
      <c r="O43" s="173"/>
      <c r="P43" s="173"/>
    </row>
    <row r="44" spans="2:16" x14ac:dyDescent="0.25">
      <c r="B44" s="137"/>
      <c r="C44" s="195"/>
      <c r="D44" s="195" t="s">
        <v>311</v>
      </c>
      <c r="E44" s="150">
        <v>0.54218090322580648</v>
      </c>
      <c r="F44" s="150">
        <v>1.264516129032258E-2</v>
      </c>
      <c r="G44" s="150">
        <v>0.14259329032258067</v>
      </c>
      <c r="H44" s="150">
        <v>3.5935483870967744E-4</v>
      </c>
      <c r="I44" s="150">
        <v>0.3032258064516129</v>
      </c>
      <c r="J44" s="199"/>
      <c r="L44" s="173"/>
      <c r="M44" s="173"/>
      <c r="N44" s="173"/>
      <c r="O44" s="173"/>
      <c r="P44" s="173"/>
    </row>
    <row r="45" spans="2:16" x14ac:dyDescent="0.25">
      <c r="B45" s="137"/>
      <c r="C45" s="195"/>
      <c r="D45" s="195" t="s">
        <v>312</v>
      </c>
      <c r="E45" s="149">
        <v>6.9566665273591326</v>
      </c>
      <c r="F45" s="149">
        <v>11.072436114112406</v>
      </c>
      <c r="G45" s="149">
        <v>1.2106520857234035</v>
      </c>
      <c r="H45" s="149">
        <v>31.346761871248116</v>
      </c>
      <c r="I45" s="149">
        <v>1.4234109105839494</v>
      </c>
      <c r="J45" s="199"/>
      <c r="L45" s="173"/>
      <c r="M45" s="173"/>
      <c r="N45" s="173"/>
      <c r="O45" s="173"/>
      <c r="P45" s="173"/>
    </row>
    <row r="46" spans="2:16" ht="18" x14ac:dyDescent="0.35">
      <c r="B46" s="137" t="s">
        <v>266</v>
      </c>
      <c r="C46" s="11" t="s">
        <v>304</v>
      </c>
      <c r="D46" s="195" t="s">
        <v>263</v>
      </c>
      <c r="E46" s="148">
        <v>0.13619499530775436</v>
      </c>
      <c r="F46" s="148">
        <v>0.32417372937387168</v>
      </c>
      <c r="G46" s="148">
        <v>0.28704498729765382</v>
      </c>
      <c r="H46" s="148">
        <v>1.13069090912227E-2</v>
      </c>
      <c r="I46" s="148">
        <v>0.68666235705302547</v>
      </c>
      <c r="J46" s="199">
        <f t="shared" si="0"/>
        <v>1.4453829781235279</v>
      </c>
      <c r="L46" s="173"/>
      <c r="M46" s="173"/>
      <c r="N46" s="173"/>
      <c r="O46" s="173"/>
      <c r="P46" s="173"/>
    </row>
    <row r="47" spans="2:16" x14ac:dyDescent="0.25">
      <c r="B47" s="137"/>
      <c r="C47" s="11"/>
      <c r="D47" s="195" t="s">
        <v>311</v>
      </c>
      <c r="E47" s="150">
        <v>9.4227618125522591E-2</v>
      </c>
      <c r="F47" s="150">
        <v>0.2242822381890307</v>
      </c>
      <c r="G47" s="150">
        <v>0.19859441521188431</v>
      </c>
      <c r="H47" s="150">
        <v>7.8227772585933754E-3</v>
      </c>
      <c r="I47" s="150">
        <v>0.47507295121496906</v>
      </c>
      <c r="J47" s="199"/>
      <c r="L47" s="173"/>
      <c r="M47" s="173"/>
      <c r="N47" s="173"/>
      <c r="O47" s="173"/>
      <c r="P47" s="173"/>
    </row>
    <row r="48" spans="2:16" x14ac:dyDescent="0.25">
      <c r="B48" s="137"/>
      <c r="C48" s="11"/>
      <c r="D48" s="195" t="s">
        <v>264</v>
      </c>
      <c r="E48" s="148">
        <v>0.28209999999999996</v>
      </c>
      <c r="F48" s="148">
        <v>0.30499999999999999</v>
      </c>
      <c r="G48" s="148">
        <v>-5.9999999999999828E-3</v>
      </c>
      <c r="H48" s="148">
        <v>5.8199999999999994E-4</v>
      </c>
      <c r="I48" s="148">
        <v>0.63</v>
      </c>
      <c r="J48" s="199">
        <f t="shared" si="0"/>
        <v>1.2116819999999999</v>
      </c>
      <c r="L48" s="173"/>
      <c r="M48" s="173"/>
      <c r="N48" s="173"/>
      <c r="O48" s="173"/>
      <c r="P48" s="173"/>
    </row>
    <row r="49" spans="2:16" x14ac:dyDescent="0.25">
      <c r="B49" s="137"/>
      <c r="C49" s="11"/>
      <c r="D49" s="195" t="s">
        <v>311</v>
      </c>
      <c r="E49" s="150">
        <v>0.23314049586776858</v>
      </c>
      <c r="F49" s="150">
        <v>0.25206611570247933</v>
      </c>
      <c r="G49" s="150">
        <v>-4.9586776859503997E-3</v>
      </c>
      <c r="H49" s="150">
        <v>4.8099173553719013E-4</v>
      </c>
      <c r="I49" s="150">
        <v>0.52066115702479343</v>
      </c>
      <c r="J49" s="199"/>
      <c r="L49" s="173"/>
      <c r="M49" s="173"/>
      <c r="N49" s="173"/>
      <c r="O49" s="173"/>
      <c r="P49" s="173"/>
    </row>
    <row r="50" spans="2:16" x14ac:dyDescent="0.25">
      <c r="B50" s="137"/>
      <c r="C50" s="11"/>
      <c r="D50" s="195" t="s">
        <v>312</v>
      </c>
      <c r="E50" s="149">
        <v>2.0712949059732328</v>
      </c>
      <c r="F50" s="149">
        <v>1.0628646864717104</v>
      </c>
      <c r="G50" s="149">
        <v>-47.840831216275767</v>
      </c>
      <c r="H50" s="149">
        <v>19.427678850898111</v>
      </c>
      <c r="I50" s="149">
        <v>1.0899402492905166</v>
      </c>
      <c r="J50" s="199"/>
      <c r="L50" s="173"/>
      <c r="M50" s="173"/>
      <c r="N50" s="173"/>
      <c r="O50" s="173"/>
      <c r="P50" s="173"/>
    </row>
    <row r="51" spans="2:16" ht="18" x14ac:dyDescent="0.35">
      <c r="B51" s="137" t="s">
        <v>267</v>
      </c>
      <c r="C51" s="11" t="s">
        <v>305</v>
      </c>
      <c r="D51" s="195" t="s">
        <v>263</v>
      </c>
      <c r="E51" s="196">
        <v>2.3513153672660603</v>
      </c>
      <c r="F51" s="196">
        <v>7.9778907700252502</v>
      </c>
      <c r="G51" s="196">
        <v>4.8462188380423443</v>
      </c>
      <c r="H51" s="196">
        <v>0.17514407735614601</v>
      </c>
      <c r="I51" s="196">
        <v>16.742437833612183</v>
      </c>
      <c r="J51" s="199">
        <f t="shared" si="0"/>
        <v>32.093006886301986</v>
      </c>
      <c r="L51" s="173"/>
      <c r="M51" s="173"/>
      <c r="N51" s="173"/>
      <c r="O51" s="173"/>
      <c r="P51" s="173"/>
    </row>
    <row r="52" spans="2:16" x14ac:dyDescent="0.25">
      <c r="B52" s="137"/>
      <c r="C52" s="11"/>
      <c r="D52" s="195" t="s">
        <v>311</v>
      </c>
      <c r="E52" s="197">
        <v>7.3265661132851184E-2</v>
      </c>
      <c r="F52" s="197">
        <v>0.24858657832496195</v>
      </c>
      <c r="G52" s="197">
        <v>0.15100544661369267</v>
      </c>
      <c r="H52" s="197">
        <v>5.4573907012403213E-3</v>
      </c>
      <c r="I52" s="197">
        <v>0.52168492322725402</v>
      </c>
      <c r="J52" s="199"/>
      <c r="L52" s="173"/>
      <c r="M52" s="173"/>
      <c r="N52" s="173"/>
      <c r="O52" s="173"/>
      <c r="P52" s="173"/>
    </row>
    <row r="53" spans="2:16" x14ac:dyDescent="0.25">
      <c r="B53" s="137"/>
      <c r="C53" s="11"/>
      <c r="D53" s="195" t="s">
        <v>264</v>
      </c>
      <c r="E53" s="196">
        <v>2.4859999999999993</v>
      </c>
      <c r="F53" s="196">
        <v>4.43</v>
      </c>
      <c r="G53" s="196">
        <v>1.099</v>
      </c>
      <c r="H53" s="196">
        <v>4.6800000000000001E-3</v>
      </c>
      <c r="I53" s="196">
        <v>15.100000000000001</v>
      </c>
      <c r="J53" s="199">
        <f t="shared" si="0"/>
        <v>23.119680000000002</v>
      </c>
      <c r="L53" s="173"/>
      <c r="M53" s="173"/>
      <c r="N53" s="173"/>
      <c r="O53" s="173"/>
      <c r="P53" s="173"/>
    </row>
    <row r="54" spans="2:16" x14ac:dyDescent="0.25">
      <c r="B54" s="137"/>
      <c r="C54" s="11"/>
      <c r="D54" s="195" t="s">
        <v>311</v>
      </c>
      <c r="E54" s="197">
        <v>0.10715517241379309</v>
      </c>
      <c r="F54" s="197">
        <v>0.19094827586206897</v>
      </c>
      <c r="G54" s="197">
        <v>4.7370689655172417E-2</v>
      </c>
      <c r="H54" s="197">
        <v>2.0172413793103451E-4</v>
      </c>
      <c r="I54" s="197">
        <v>0.65086206896551735</v>
      </c>
      <c r="J54" s="199"/>
      <c r="L54" s="173"/>
      <c r="M54" s="173"/>
      <c r="N54" s="173"/>
      <c r="O54" s="173"/>
      <c r="P54" s="173"/>
    </row>
    <row r="55" spans="2:16" x14ac:dyDescent="0.25">
      <c r="B55" s="137"/>
      <c r="C55" s="11"/>
      <c r="D55" s="195" t="s">
        <v>312</v>
      </c>
      <c r="E55" s="198">
        <v>1.0572805479898433</v>
      </c>
      <c r="F55" s="198">
        <v>1.8008782776580701</v>
      </c>
      <c r="G55" s="198">
        <v>4.4096622730139625</v>
      </c>
      <c r="H55" s="198">
        <v>37.42394815302265</v>
      </c>
      <c r="I55" s="198">
        <v>1.1087707174577603</v>
      </c>
      <c r="J55" s="199"/>
      <c r="L55" s="173"/>
      <c r="M55" s="173"/>
      <c r="N55" s="173"/>
      <c r="O55" s="173"/>
      <c r="P55" s="173"/>
    </row>
    <row r="56" spans="2:16" ht="18" x14ac:dyDescent="0.35">
      <c r="B56" s="137" t="s">
        <v>268</v>
      </c>
      <c r="C56" s="11" t="s">
        <v>306</v>
      </c>
      <c r="D56" s="195" t="s">
        <v>263</v>
      </c>
      <c r="E56" s="196">
        <v>0.95451306845986128</v>
      </c>
      <c r="F56" s="196">
        <v>1.9473182094997048</v>
      </c>
      <c r="G56" s="196">
        <v>0.65849938398475527</v>
      </c>
      <c r="H56" s="196">
        <v>2.7063589882535898E-2</v>
      </c>
      <c r="I56" s="196">
        <v>0.26961004915540454</v>
      </c>
      <c r="J56" s="199">
        <f t="shared" si="0"/>
        <v>3.8570043009822612</v>
      </c>
      <c r="L56" s="173"/>
      <c r="M56" s="173"/>
      <c r="N56" s="173"/>
      <c r="O56" s="173"/>
      <c r="P56" s="173"/>
    </row>
    <row r="57" spans="2:16" x14ac:dyDescent="0.25">
      <c r="B57" s="137"/>
      <c r="C57" s="11"/>
      <c r="D57" s="195" t="s">
        <v>311</v>
      </c>
      <c r="E57" s="197">
        <v>0.24747524087976147</v>
      </c>
      <c r="F57" s="197">
        <v>0.50487841276292644</v>
      </c>
      <c r="G57" s="197">
        <v>0.17072819540726347</v>
      </c>
      <c r="H57" s="197">
        <v>7.0167383208889923E-3</v>
      </c>
      <c r="I57" s="197">
        <v>6.9901412629159651E-2</v>
      </c>
      <c r="J57" s="199"/>
      <c r="L57" s="173"/>
      <c r="M57" s="173"/>
      <c r="N57" s="173"/>
      <c r="O57" s="173"/>
      <c r="P57" s="173"/>
    </row>
    <row r="58" spans="2:16" x14ac:dyDescent="0.25">
      <c r="B58" s="137"/>
      <c r="C58" s="11"/>
      <c r="D58" s="195" t="s">
        <v>264</v>
      </c>
      <c r="E58" s="196">
        <v>0.77200000000000002</v>
      </c>
      <c r="F58" s="196">
        <v>1.61</v>
      </c>
      <c r="G58" s="196">
        <v>0.24899999999999997</v>
      </c>
      <c r="H58" s="196">
        <v>8.8100000000000006E-4</v>
      </c>
      <c r="I58" s="196">
        <v>8.6900000000000005E-2</v>
      </c>
      <c r="J58" s="199">
        <f t="shared" si="0"/>
        <v>2.7187810000000003</v>
      </c>
      <c r="L58" s="173"/>
      <c r="M58" s="173"/>
      <c r="N58" s="173"/>
      <c r="O58" s="173"/>
      <c r="P58" s="173"/>
    </row>
    <row r="59" spans="2:16" x14ac:dyDescent="0.25">
      <c r="B59" s="137"/>
      <c r="C59" s="11"/>
      <c r="D59" s="195" t="s">
        <v>311</v>
      </c>
      <c r="E59" s="197">
        <v>0.2838235294117647</v>
      </c>
      <c r="F59" s="197">
        <v>0.59191176470588236</v>
      </c>
      <c r="G59" s="197">
        <v>9.1544117647058804E-2</v>
      </c>
      <c r="H59" s="197">
        <v>3.238970588235294E-4</v>
      </c>
      <c r="I59" s="197">
        <v>3.1948529411764702E-2</v>
      </c>
      <c r="J59" s="199"/>
      <c r="L59" s="173"/>
      <c r="M59" s="173"/>
      <c r="N59" s="173"/>
      <c r="O59" s="173"/>
      <c r="P59" s="173"/>
    </row>
    <row r="60" spans="2:16" x14ac:dyDescent="0.25">
      <c r="B60" s="137"/>
      <c r="C60" s="11"/>
      <c r="D60" s="195" t="s">
        <v>312</v>
      </c>
      <c r="E60" s="198">
        <v>1.2364158917873851</v>
      </c>
      <c r="F60" s="198">
        <v>1.209514415838326</v>
      </c>
      <c r="G60" s="198">
        <v>2.644575839296206</v>
      </c>
      <c r="H60" s="198">
        <v>30.719171262810328</v>
      </c>
      <c r="I60" s="198">
        <v>3.1025322112244482</v>
      </c>
      <c r="J60" s="199"/>
      <c r="L60" s="173"/>
      <c r="M60" s="173"/>
      <c r="N60" s="173"/>
      <c r="O60" s="173"/>
      <c r="P60" s="173"/>
    </row>
    <row r="61" spans="2:16" x14ac:dyDescent="0.25">
      <c r="B61" s="137" t="s">
        <v>269</v>
      </c>
      <c r="C61" s="11" t="s">
        <v>246</v>
      </c>
      <c r="D61" s="195" t="s">
        <v>263</v>
      </c>
      <c r="E61" s="148">
        <v>98630.320674606541</v>
      </c>
      <c r="F61" s="148">
        <v>15164.740792504364</v>
      </c>
      <c r="G61" s="148">
        <v>32501.614835157008</v>
      </c>
      <c r="H61" s="148">
        <v>1212.8949805876434</v>
      </c>
      <c r="I61" s="148">
        <v>20610.078068952651</v>
      </c>
      <c r="J61" s="199">
        <f t="shared" si="0"/>
        <v>168119.64935180821</v>
      </c>
      <c r="L61" s="173"/>
      <c r="M61" s="173"/>
      <c r="N61" s="173"/>
      <c r="O61" s="173"/>
      <c r="P61" s="173"/>
    </row>
    <row r="62" spans="2:16" x14ac:dyDescent="0.25">
      <c r="B62" s="137"/>
      <c r="C62" s="11"/>
      <c r="D62" s="195" t="s">
        <v>311</v>
      </c>
      <c r="E62" s="150">
        <v>0.5866674184420414</v>
      </c>
      <c r="F62" s="150">
        <v>9.020207245835099E-2</v>
      </c>
      <c r="G62" s="150">
        <v>0.19332430778001405</v>
      </c>
      <c r="H62" s="150">
        <v>7.2144748413645095E-3</v>
      </c>
      <c r="I62" s="150">
        <v>0.12259172647822907</v>
      </c>
      <c r="J62" s="199"/>
      <c r="L62" s="173"/>
      <c r="M62" s="173"/>
      <c r="N62" s="173"/>
      <c r="O62" s="173"/>
      <c r="P62" s="173"/>
    </row>
    <row r="63" spans="2:16" x14ac:dyDescent="0.25">
      <c r="B63" s="137"/>
      <c r="C63" s="11"/>
      <c r="D63" s="195" t="s">
        <v>264</v>
      </c>
      <c r="E63" s="148">
        <v>140000</v>
      </c>
      <c r="F63" s="148">
        <v>9420</v>
      </c>
      <c r="G63" s="148">
        <v>76020</v>
      </c>
      <c r="H63" s="148">
        <v>254</v>
      </c>
      <c r="I63" s="148">
        <v>69330</v>
      </c>
      <c r="J63" s="199">
        <f t="shared" si="0"/>
        <v>295024</v>
      </c>
      <c r="L63" s="173"/>
      <c r="M63" s="173"/>
      <c r="N63" s="173"/>
      <c r="O63" s="173"/>
      <c r="P63" s="173"/>
    </row>
    <row r="64" spans="2:16" x14ac:dyDescent="0.25">
      <c r="B64" s="137"/>
      <c r="C64" s="11"/>
      <c r="D64" s="195" t="s">
        <v>311</v>
      </c>
      <c r="E64" s="150">
        <v>0.47453766473236075</v>
      </c>
      <c r="F64" s="150">
        <v>3.1929605726991703E-2</v>
      </c>
      <c r="G64" s="150">
        <v>0.25767395194967191</v>
      </c>
      <c r="H64" s="150">
        <v>8.6094690601442594E-4</v>
      </c>
      <c r="I64" s="150">
        <v>0.23499783068496122</v>
      </c>
      <c r="J64" s="199"/>
    </row>
    <row r="65" spans="2:10" x14ac:dyDescent="0.25">
      <c r="B65" s="137"/>
      <c r="C65" s="11"/>
      <c r="D65" s="195" t="s">
        <v>312</v>
      </c>
      <c r="E65" s="149">
        <v>0.26487518325147602</v>
      </c>
      <c r="F65" s="149">
        <v>0.4198433220516159</v>
      </c>
      <c r="G65" s="149">
        <v>0.42754031616886357</v>
      </c>
      <c r="H65" s="149">
        <v>1.1949704242242791</v>
      </c>
      <c r="I65" s="149">
        <v>0.29727503344804052</v>
      </c>
      <c r="J65" s="199"/>
    </row>
    <row r="67" spans="2:10" ht="17.25" x14ac:dyDescent="0.25">
      <c r="B67" s="183" t="s">
        <v>302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61A4B-DFF9-43AE-88BC-8B1BAAE118CF}">
  <dimension ref="B2:Q21"/>
  <sheetViews>
    <sheetView workbookViewId="0">
      <selection activeCell="B24" sqref="B24"/>
    </sheetView>
  </sheetViews>
  <sheetFormatPr defaultColWidth="8.85546875" defaultRowHeight="15" x14ac:dyDescent="0.25"/>
  <cols>
    <col min="1" max="1" width="8.85546875" style="2"/>
    <col min="2" max="2" width="23.140625" style="2" customWidth="1"/>
    <col min="3" max="3" width="13.28515625" style="2" customWidth="1"/>
    <col min="4" max="4" width="8.85546875" style="2"/>
    <col min="5" max="5" width="10.5703125" style="2" customWidth="1"/>
    <col min="6" max="6" width="13.42578125" style="2" customWidth="1"/>
    <col min="7" max="7" width="13.5703125" style="2" customWidth="1"/>
    <col min="8" max="16384" width="8.85546875" style="2"/>
  </cols>
  <sheetData>
    <row r="2" spans="2:17" ht="55.15" customHeight="1" x14ac:dyDescent="0.35">
      <c r="B2" s="252" t="s">
        <v>361</v>
      </c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</row>
    <row r="3" spans="2:17" ht="15.75" thickBot="1" x14ac:dyDescent="0.3">
      <c r="B3" s="232"/>
    </row>
    <row r="4" spans="2:17" ht="15.75" thickBot="1" x14ac:dyDescent="0.3">
      <c r="B4" s="222"/>
      <c r="C4" s="248" t="s">
        <v>339</v>
      </c>
      <c r="D4" s="249"/>
      <c r="E4" s="249"/>
      <c r="F4" s="250"/>
      <c r="G4" s="223" t="s">
        <v>340</v>
      </c>
    </row>
    <row r="5" spans="2:17" ht="48.75" thickBot="1" x14ac:dyDescent="0.3">
      <c r="B5" s="224" t="s">
        <v>261</v>
      </c>
      <c r="C5" s="225" t="s">
        <v>341</v>
      </c>
      <c r="D5" s="225" t="s">
        <v>342</v>
      </c>
      <c r="E5" s="225" t="s">
        <v>343</v>
      </c>
      <c r="F5" s="225" t="s">
        <v>344</v>
      </c>
      <c r="G5" s="225" t="s">
        <v>356</v>
      </c>
    </row>
    <row r="6" spans="2:17" ht="15.75" thickBot="1" x14ac:dyDescent="0.3">
      <c r="B6" s="226" t="s">
        <v>345</v>
      </c>
      <c r="C6" s="233">
        <v>1.0840000000000001</v>
      </c>
      <c r="D6" s="234" t="s">
        <v>357</v>
      </c>
      <c r="E6" s="233">
        <v>0.78800000000000003</v>
      </c>
      <c r="F6" s="233">
        <v>0.88800000000000001</v>
      </c>
      <c r="G6" s="227">
        <v>89</v>
      </c>
    </row>
    <row r="7" spans="2:17" ht="15.75" thickBot="1" x14ac:dyDescent="0.3">
      <c r="B7" s="226" t="s">
        <v>346</v>
      </c>
      <c r="C7" s="233">
        <v>1.0029999999999999</v>
      </c>
      <c r="D7" s="233">
        <v>0.97399999999999998</v>
      </c>
      <c r="E7" s="233">
        <v>0.97899999999999998</v>
      </c>
      <c r="F7" s="233">
        <v>1.0009999999999999</v>
      </c>
      <c r="G7" s="227">
        <v>91</v>
      </c>
    </row>
    <row r="8" spans="2:17" ht="15.75" thickBot="1" x14ac:dyDescent="0.3">
      <c r="B8" s="226" t="s">
        <v>347</v>
      </c>
      <c r="C8" s="233">
        <v>0.996</v>
      </c>
      <c r="D8" s="233">
        <v>0.97499999999999998</v>
      </c>
      <c r="E8" s="233">
        <v>1.1379999999999999</v>
      </c>
      <c r="F8" s="233">
        <v>1</v>
      </c>
      <c r="G8" s="227">
        <v>87</v>
      </c>
    </row>
    <row r="9" spans="2:17" ht="15.75" thickBot="1" x14ac:dyDescent="0.3">
      <c r="B9" s="226" t="s">
        <v>348</v>
      </c>
      <c r="C9" s="233">
        <v>0.999</v>
      </c>
      <c r="D9" s="233">
        <v>0.91700000000000004</v>
      </c>
      <c r="E9" s="233">
        <v>0.998</v>
      </c>
      <c r="F9" s="233">
        <v>0.997</v>
      </c>
      <c r="G9" s="227">
        <v>91</v>
      </c>
    </row>
    <row r="10" spans="2:17" ht="15.75" thickBot="1" x14ac:dyDescent="0.3">
      <c r="B10" s="226" t="s">
        <v>349</v>
      </c>
      <c r="C10" s="233">
        <v>1.004</v>
      </c>
      <c r="D10" s="233">
        <v>1.0289999999999999</v>
      </c>
      <c r="E10" s="233">
        <v>0.95499999999999996</v>
      </c>
      <c r="F10" s="233">
        <v>1</v>
      </c>
      <c r="G10" s="227">
        <v>90</v>
      </c>
    </row>
    <row r="11" spans="2:17" ht="15.75" thickBot="1" x14ac:dyDescent="0.3">
      <c r="B11" s="226" t="s">
        <v>350</v>
      </c>
      <c r="C11" s="233">
        <v>1.016</v>
      </c>
      <c r="D11" s="233">
        <v>1.0740000000000001</v>
      </c>
      <c r="E11" s="233">
        <v>0.95899999999999996</v>
      </c>
      <c r="F11" s="233">
        <v>1</v>
      </c>
      <c r="G11" s="227">
        <v>82</v>
      </c>
    </row>
    <row r="12" spans="2:17" ht="15.75" thickBot="1" x14ac:dyDescent="0.3">
      <c r="B12" s="226" t="s">
        <v>351</v>
      </c>
      <c r="C12" s="233">
        <v>1.002</v>
      </c>
      <c r="D12" s="233">
        <v>1.0169999999999999</v>
      </c>
      <c r="E12" s="233">
        <v>0.97099999999999997</v>
      </c>
      <c r="F12" s="233">
        <v>1</v>
      </c>
      <c r="G12" s="227">
        <v>90</v>
      </c>
    </row>
    <row r="13" spans="2:17" ht="15.75" thickBot="1" x14ac:dyDescent="0.3">
      <c r="B13" s="226" t="s">
        <v>352</v>
      </c>
      <c r="C13" s="233">
        <v>0.99199999999999999</v>
      </c>
      <c r="D13" s="234" t="s">
        <v>358</v>
      </c>
      <c r="E13" s="233">
        <v>0.91100000000000003</v>
      </c>
      <c r="F13" s="233">
        <v>1</v>
      </c>
      <c r="G13" s="227">
        <v>84</v>
      </c>
    </row>
    <row r="14" spans="2:17" ht="15.75" thickBot="1" x14ac:dyDescent="0.3">
      <c r="B14" s="226" t="s">
        <v>353</v>
      </c>
      <c r="C14" s="233">
        <v>1.0129999999999999</v>
      </c>
      <c r="D14" s="233">
        <v>0.95499999999999996</v>
      </c>
      <c r="E14" s="233">
        <v>0.95099999999999996</v>
      </c>
      <c r="F14" s="233">
        <v>1</v>
      </c>
      <c r="G14" s="227">
        <v>83</v>
      </c>
    </row>
    <row r="15" spans="2:17" ht="15.75" thickBot="1" x14ac:dyDescent="0.3">
      <c r="B15" s="226" t="s">
        <v>354</v>
      </c>
      <c r="C15" s="233">
        <v>1.0069999999999999</v>
      </c>
      <c r="D15" s="233">
        <v>0.96499999999999997</v>
      </c>
      <c r="E15" s="233">
        <v>0.997</v>
      </c>
      <c r="F15" s="233">
        <v>0.999</v>
      </c>
      <c r="G15" s="227">
        <v>87</v>
      </c>
    </row>
    <row r="16" spans="2:17" ht="15.75" thickBot="1" x14ac:dyDescent="0.3">
      <c r="B16" s="226" t="s">
        <v>355</v>
      </c>
      <c r="C16" s="233">
        <v>1.01</v>
      </c>
      <c r="D16" s="233">
        <v>0.94699999999999995</v>
      </c>
      <c r="E16" s="233">
        <v>0.96099999999999997</v>
      </c>
      <c r="F16" s="233">
        <v>1</v>
      </c>
      <c r="G16" s="227">
        <v>89</v>
      </c>
    </row>
    <row r="17" spans="2:7" x14ac:dyDescent="0.25">
      <c r="B17" s="221"/>
      <c r="C17" s="231"/>
      <c r="D17" s="231"/>
      <c r="E17" s="231"/>
      <c r="F17" s="231"/>
      <c r="G17" s="231"/>
    </row>
    <row r="18" spans="2:7" x14ac:dyDescent="0.25">
      <c r="B18" s="228" t="s">
        <v>363</v>
      </c>
      <c r="C18" s="231"/>
      <c r="D18" s="231"/>
      <c r="E18" s="231"/>
      <c r="F18" s="231"/>
      <c r="G18" s="231"/>
    </row>
    <row r="19" spans="2:7" x14ac:dyDescent="0.25">
      <c r="B19" s="229" t="s">
        <v>364</v>
      </c>
      <c r="C19" s="231"/>
      <c r="D19" s="231"/>
      <c r="E19" s="231"/>
      <c r="F19" s="231"/>
      <c r="G19" s="231"/>
    </row>
    <row r="20" spans="2:7" x14ac:dyDescent="0.25">
      <c r="B20" s="251" t="s">
        <v>359</v>
      </c>
      <c r="C20" s="251"/>
      <c r="D20" s="251"/>
      <c r="E20" s="251"/>
      <c r="F20" s="251"/>
      <c r="G20" s="251"/>
    </row>
    <row r="21" spans="2:7" x14ac:dyDescent="0.25">
      <c r="B21" s="230" t="s">
        <v>360</v>
      </c>
    </row>
  </sheetData>
  <mergeCells count="3">
    <mergeCell ref="C4:F4"/>
    <mergeCell ref="B20:G20"/>
    <mergeCell ref="B2:Q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AC1DB0E84E084FA218657EB04A1019" ma:contentTypeVersion="12" ma:contentTypeDescription="Een nieuw document maken." ma:contentTypeScope="" ma:versionID="fbf0f387375ef317f7522ee9332917c1">
  <xsd:schema xmlns:xsd="http://www.w3.org/2001/XMLSchema" xmlns:xs="http://www.w3.org/2001/XMLSchema" xmlns:p="http://schemas.microsoft.com/office/2006/metadata/properties" xmlns:ns3="179abf26-3c55-4448-956a-667059cca17f" xmlns:ns4="5f0aabbb-e45c-4bd7-845e-da549df65ed8" targetNamespace="http://schemas.microsoft.com/office/2006/metadata/properties" ma:root="true" ma:fieldsID="19ecbe3ef021a58e332f869b45b97fb5" ns3:_="" ns4:_="">
    <xsd:import namespace="179abf26-3c55-4448-956a-667059cca17f"/>
    <xsd:import namespace="5f0aabbb-e45c-4bd7-845e-da549df65ed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abf26-3c55-4448-956a-667059cca1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aabbb-e45c-4bd7-845e-da549df65ed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E81FEF-9E8A-4F05-B977-19940AEA74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9abf26-3c55-4448-956a-667059cca17f"/>
    <ds:schemaRef ds:uri="5f0aabbb-e45c-4bd7-845e-da549df65e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427374-C6F0-4FAF-93E7-38E976923E13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179abf26-3c55-4448-956a-667059cca17f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f0aabbb-e45c-4bd7-845e-da549df65ed8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ECF864F-7537-463A-A331-F130C0BCFC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Front page</vt:lpstr>
      <vt:lpstr>SM-A</vt:lpstr>
      <vt:lpstr>SM-B</vt:lpstr>
      <vt:lpstr>SM-C</vt:lpstr>
      <vt:lpstr>SM-D</vt:lpstr>
      <vt:lpstr>SM-E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Sanjuan Delmas</dc:creator>
  <cp:lastModifiedBy>David Sanjuan Delmás</cp:lastModifiedBy>
  <dcterms:created xsi:type="dcterms:W3CDTF">2020-01-24T13:39:24Z</dcterms:created>
  <dcterms:modified xsi:type="dcterms:W3CDTF">2021-11-03T11:42:23Z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0x010100DDAC1DB0E84E084FA218657EB04A1019</vt:lpwstr>
  </property>
</Properties>
</file>