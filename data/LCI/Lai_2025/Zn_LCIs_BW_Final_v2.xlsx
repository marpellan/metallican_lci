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Zn_Zinc/"/>
    </mc:Choice>
  </mc:AlternateContent>
  <xr:revisionPtr revIDLastSave="7" documentId="8_{F26B7430-4F5E-4418-8267-1F68F08BC704}" xr6:coauthVersionLast="47" xr6:coauthVersionMax="47" xr10:uidLastSave="{E8D0174E-BB71-413B-8B93-D58B19DEF57E}"/>
  <bookViews>
    <workbookView xWindow="-23148" yWindow="-108" windowWidth="23256" windowHeight="12576" tabRatio="768" activeTab="1" xr2:uid="{00000000-000D-0000-FFFF-FFFF00000000}"/>
  </bookViews>
  <sheets>
    <sheet name="Note" sheetId="1" r:id="rId1"/>
    <sheet name="Zn_Market_GLO" sheetId="7" r:id="rId2"/>
    <sheet name="PR1_Zn_CN_Jiangxi_Hydro" sheetId="2" r:id="rId3"/>
    <sheet name="PR2_Zn_CN_Yangtze_Hydro" sheetId="8" r:id="rId4"/>
    <sheet name="PR3_Zn_CN_Smelting" sheetId="11" r:id="rId5"/>
    <sheet name="PR4_Zn_RoW" sheetId="13" r:id="rId6"/>
    <sheet name="PR5_ZnO2_SE_Pyro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7" l="1"/>
  <c r="C31" i="7"/>
  <c r="E31" i="7"/>
  <c r="F31" i="7"/>
  <c r="A31" i="7"/>
  <c r="B30" i="7"/>
  <c r="C30" i="7"/>
  <c r="E30" i="7"/>
  <c r="F30" i="7"/>
  <c r="A30" i="7"/>
  <c r="B29" i="7"/>
  <c r="C29" i="7"/>
  <c r="E29" i="7"/>
  <c r="F29" i="7"/>
  <c r="A29" i="7"/>
  <c r="F26" i="7"/>
  <c r="B28" i="7"/>
  <c r="C28" i="7"/>
  <c r="E28" i="7"/>
  <c r="F28" i="7"/>
  <c r="A28" i="7"/>
  <c r="B27" i="7"/>
  <c r="C27" i="7"/>
  <c r="E27" i="7"/>
  <c r="F27" i="7"/>
  <c r="A27" i="7"/>
  <c r="E26" i="7"/>
  <c r="C26" i="7"/>
  <c r="B26" i="7"/>
  <c r="A26" i="7"/>
  <c r="D156" i="19"/>
  <c r="D155" i="19"/>
  <c r="B156" i="19"/>
  <c r="C156" i="19"/>
  <c r="E156" i="19"/>
  <c r="F156" i="19"/>
  <c r="A156" i="19"/>
  <c r="F154" i="19"/>
  <c r="B155" i="19"/>
  <c r="C155" i="19"/>
  <c r="E155" i="19"/>
  <c r="F155" i="19"/>
  <c r="A155" i="19"/>
  <c r="B154" i="19"/>
  <c r="A154" i="19"/>
  <c r="B16" i="7"/>
  <c r="C16" i="7"/>
  <c r="E16" i="7"/>
  <c r="F16" i="7"/>
  <c r="A16" i="7"/>
  <c r="B15" i="7"/>
  <c r="C15" i="7"/>
  <c r="E15" i="7"/>
  <c r="F15" i="7"/>
  <c r="A15" i="7"/>
  <c r="B14" i="7"/>
  <c r="C14" i="7"/>
  <c r="E14" i="7"/>
  <c r="F14" i="7"/>
  <c r="A14" i="7"/>
  <c r="B13" i="7"/>
  <c r="C13" i="7"/>
  <c r="E13" i="7"/>
  <c r="F13" i="7"/>
  <c r="A13" i="7"/>
  <c r="B12" i="7"/>
  <c r="C12" i="7"/>
  <c r="E12" i="7"/>
  <c r="A12" i="7"/>
  <c r="F9" i="19"/>
  <c r="F60" i="19" s="1"/>
  <c r="E144" i="19"/>
  <c r="C144" i="19"/>
  <c r="E143" i="19"/>
  <c r="C143" i="19"/>
  <c r="B142" i="19"/>
  <c r="A142" i="19"/>
  <c r="B60" i="19"/>
  <c r="B143" i="19" s="1"/>
  <c r="A60" i="19"/>
  <c r="A143" i="19" s="1"/>
  <c r="B9" i="19"/>
  <c r="B144" i="19" s="1"/>
  <c r="A9" i="19"/>
  <c r="A144" i="19" s="1"/>
  <c r="F144" i="19" l="1"/>
  <c r="F142" i="19"/>
  <c r="F143" i="19"/>
  <c r="C113" i="8"/>
  <c r="B113" i="8"/>
  <c r="A113" i="8"/>
  <c r="C137" i="8"/>
  <c r="B137" i="8"/>
  <c r="A137" i="8"/>
  <c r="C162" i="8"/>
  <c r="B162" i="8"/>
  <c r="A162" i="8"/>
  <c r="C178" i="8"/>
  <c r="B178" i="8"/>
  <c r="A178" i="8"/>
  <c r="C87" i="8"/>
  <c r="B87" i="8"/>
  <c r="A87" i="8"/>
  <c r="C56" i="8"/>
  <c r="B56" i="8"/>
  <c r="A56" i="8"/>
  <c r="C9" i="8"/>
  <c r="B9" i="8"/>
  <c r="A9" i="8"/>
  <c r="F12" i="7" l="1"/>
  <c r="F11" i="7"/>
  <c r="E11" i="7"/>
  <c r="C11" i="7"/>
  <c r="B11" i="7"/>
  <c r="A11" i="7"/>
</calcChain>
</file>

<file path=xl/sharedStrings.xml><?xml version="1.0" encoding="utf-8"?>
<sst xmlns="http://schemas.openxmlformats.org/spreadsheetml/2006/main" count="3379" uniqueCount="355">
  <si>
    <t>Activity</t>
  </si>
  <si>
    <t>[M+C] Zinc (Zn) ore mining and concentration (Jiangxi)</t>
  </si>
  <si>
    <t>reference product</t>
  </si>
  <si>
    <t>Zn concentrate</t>
  </si>
  <si>
    <t>location</t>
  </si>
  <si>
    <t>CN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</si>
  <si>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</si>
  <si>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</si>
  <si>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</si>
  <si>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</si>
  <si>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</si>
  <si>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</si>
  <si>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</si>
  <si>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</si>
  <si>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</si>
  <si>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</si>
  <si>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</si>
  <si>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</si>
  <si>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</si>
  <si>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</si>
  <si>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</si>
  <si>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</si>
  <si>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</si>
  <si>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</si>
  <si>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</si>
  <si>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</si>
  <si>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</si>
  <si>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(1,1,3,1,1)</t>
  </si>
  <si>
    <t>market for sodium ethyl xanthate</t>
  </si>
  <si>
    <t>sodium ethyl xanthate</t>
  </si>
  <si>
    <t>market for carbon black</t>
  </si>
  <si>
    <t>carbon black</t>
  </si>
  <si>
    <t>market for lime, packed</t>
  </si>
  <si>
    <t>lime, packed</t>
  </si>
  <si>
    <t>RoW</t>
  </si>
  <si>
    <t>market for light fuel oil</t>
  </si>
  <si>
    <t>light fuel oil</t>
  </si>
  <si>
    <t>market for p-phenylene diamine</t>
  </si>
  <si>
    <t>p-phenylene diamine</t>
  </si>
  <si>
    <t>market for zinc monosulfate</t>
  </si>
  <si>
    <t>zinc monosulfate</t>
  </si>
  <si>
    <t>market for sodium sulfite</t>
  </si>
  <si>
    <t>sodium sulfite</t>
  </si>
  <si>
    <t>market for sodium sulfate, anhydrite</t>
  </si>
  <si>
    <t>sodium sulfate, anhydrite</t>
  </si>
  <si>
    <t>market for copper sulfate</t>
  </si>
  <si>
    <t>copper sulfate</t>
  </si>
  <si>
    <t>market for activated carbon, granular</t>
  </si>
  <si>
    <t>activated carbon, granular</t>
  </si>
  <si>
    <t>market for potato starch</t>
  </si>
  <si>
    <t>potato starch</t>
  </si>
  <si>
    <t>market for diesel, burned in building machine</t>
  </si>
  <si>
    <t>diesel, burned in building machine</t>
  </si>
  <si>
    <t>megajoule</t>
  </si>
  <si>
    <t>market group for electricity, medium voltage</t>
  </si>
  <si>
    <t>electricity, medium voltage</t>
  </si>
  <si>
    <t>kilowatt hour</t>
  </si>
  <si>
    <t>market for wastewater, average</t>
  </si>
  <si>
    <t>wastewater, average</t>
  </si>
  <si>
    <t>cubic meter</t>
  </si>
  <si>
    <t>treatment of inert waste, inert material landfill</t>
  </si>
  <si>
    <t>inert waste, for final disposal</t>
  </si>
  <si>
    <t>Zinc</t>
  </si>
  <si>
    <t>biosphere3</t>
  </si>
  <si>
    <t>biosphere</t>
  </si>
  <si>
    <t>natural resource::in ground</t>
  </si>
  <si>
    <t>Water, unspecified natural origin</t>
  </si>
  <si>
    <t>Transformation, from unspecified</t>
  </si>
  <si>
    <t>square meter</t>
  </si>
  <si>
    <t>natural resource::land</t>
  </si>
  <si>
    <t>Transformation, to mineral extraction site</t>
  </si>
  <si>
    <t>[P+R] Refined Zn production - Hydrometallurgy</t>
  </si>
  <si>
    <t>Refined Zn</t>
  </si>
  <si>
    <t>market for magnesium oxide</t>
  </si>
  <si>
    <t>magnesium oxide</t>
  </si>
  <si>
    <t>market for natural gas, high pressure</t>
  </si>
  <si>
    <t>natural gas, high pressure</t>
  </si>
  <si>
    <t>market for zinc</t>
  </si>
  <si>
    <t>zinc</t>
  </si>
  <si>
    <t>market for zinc oxide</t>
  </si>
  <si>
    <t>zinc oxide</t>
  </si>
  <si>
    <t>market for transport, freight, lorry, unspecified</t>
  </si>
  <si>
    <t>transport, freight, lorry, unspecified</t>
  </si>
  <si>
    <t>ton kilometer</t>
  </si>
  <si>
    <t>market for transport, freight train</t>
  </si>
  <si>
    <t>transport, freight train</t>
  </si>
  <si>
    <t>Sulfur dioxide</t>
  </si>
  <si>
    <t>air</t>
  </si>
  <si>
    <t>Sulfuric acid</t>
  </si>
  <si>
    <t>Lead II</t>
  </si>
  <si>
    <t>Mercury II</t>
  </si>
  <si>
    <t>Particulate Matter, &gt; 2.5 um and &lt; 10um</t>
  </si>
  <si>
    <t>COD, Chemical Oxygen Demand</t>
  </si>
  <si>
    <t>water</t>
  </si>
  <si>
    <t>Suspended solids, unspecified</t>
  </si>
  <si>
    <t>Nitrogen</t>
  </si>
  <si>
    <t>Phosphorus</t>
  </si>
  <si>
    <t>Zinc II</t>
  </si>
  <si>
    <t>Copper ion</t>
  </si>
  <si>
    <t>Sulfide</t>
  </si>
  <si>
    <t>Fluoride</t>
  </si>
  <si>
    <t>Chromium III</t>
  </si>
  <si>
    <t>Arsenic ion</t>
  </si>
  <si>
    <t>Nickel II</t>
  </si>
  <si>
    <t>Cadmium II</t>
  </si>
  <si>
    <t>BOD5, Biological Oxygen Demand</t>
  </si>
  <si>
    <t>Oils, unspecified</t>
  </si>
  <si>
    <t>Surfactant blend</t>
  </si>
  <si>
    <t>Zn ore mining and Zn production in China/Jiangxi through Hydrometallurgy</t>
  </si>
  <si>
    <t>n/a</t>
  </si>
  <si>
    <t>[P+R] Refined Zn production - Hydrometallurgy (Yangtze)</t>
  </si>
  <si>
    <t>(1,1,1,1,1)</t>
  </si>
  <si>
    <t>market for hard coal</t>
  </si>
  <si>
    <t>hard coal</t>
  </si>
  <si>
    <t>market for steel, low-alloyed</t>
  </si>
  <si>
    <t>steel, low-alloyed</t>
  </si>
  <si>
    <t>market for chemical, inorganic</t>
  </si>
  <si>
    <t>chemical, inorganic</t>
  </si>
  <si>
    <t>Fluorine</t>
  </si>
  <si>
    <t>Chlorine</t>
  </si>
  <si>
    <t>Refining material</t>
  </si>
  <si>
    <t>market for coke</t>
  </si>
  <si>
    <t>coke</t>
  </si>
  <si>
    <t>market for zinc slag</t>
  </si>
  <si>
    <t>zinc slag</t>
  </si>
  <si>
    <t>market for hazardous waste, for underground deposit</t>
  </si>
  <si>
    <t>hazardous waste, for underground deposit</t>
  </si>
  <si>
    <t>Nitrogen oxides</t>
  </si>
  <si>
    <t>market for scrap copper</t>
  </si>
  <si>
    <t>scrap copper</t>
  </si>
  <si>
    <t>market for lead smelter slag</t>
  </si>
  <si>
    <t>lead smelter slag</t>
  </si>
  <si>
    <t>market for inert waste, for final disposal</t>
  </si>
  <si>
    <t>Wastewater treatment</t>
  </si>
  <si>
    <t>Wastewater</t>
  </si>
  <si>
    <t>[M+C] Zinc (Zn) ore mining and concentration (Guangdong)</t>
  </si>
  <si>
    <t>(1,1,2,1,1)</t>
  </si>
  <si>
    <t>market for heat, district or industrial, other than natural gas</t>
  </si>
  <si>
    <t>heat, district or industrial, other than natural gas</t>
  </si>
  <si>
    <t>market for polymer foaming</t>
  </si>
  <si>
    <t>polymer foaming</t>
  </si>
  <si>
    <t>market for synthetic rubber</t>
  </si>
  <si>
    <t>synthetic rubber</t>
  </si>
  <si>
    <t>market for particleboard, uncoated</t>
  </si>
  <si>
    <t>particleboard, uncoated</t>
  </si>
  <si>
    <t>market for [thio]carbamate-compound</t>
  </si>
  <si>
    <t>[thio]carbamate-compound</t>
  </si>
  <si>
    <t>market for sulfuric acid</t>
  </si>
  <si>
    <t>sulfuric acid</t>
  </si>
  <si>
    <t>market for chemical, organic</t>
  </si>
  <si>
    <t>chemical, organic</t>
  </si>
  <si>
    <t>market for tap water</t>
  </si>
  <si>
    <t>tap water</t>
  </si>
  <si>
    <t>market for scrap steel</t>
  </si>
  <si>
    <t>scrap steel</t>
  </si>
  <si>
    <t>market for waste rubber, unspecified</t>
  </si>
  <si>
    <t>waste rubber, unspecified</t>
  </si>
  <si>
    <t>market for sulfidic tailings, from zinc-lead mine operation</t>
  </si>
  <si>
    <t>sulfidic tailings, from zinc-lead mine operation</t>
  </si>
  <si>
    <t>market for transport, freight, lorry 16-32 metric ton, EURO5</t>
  </si>
  <si>
    <t>transport, freight, lorry 16-32 metric ton, EURO5</t>
  </si>
  <si>
    <t>Lead</t>
  </si>
  <si>
    <t>Sulfur</t>
  </si>
  <si>
    <t>Iron</t>
  </si>
  <si>
    <t>Silver</t>
  </si>
  <si>
    <t>Gold</t>
  </si>
  <si>
    <t>Carbon dioxide, non-fossil</t>
  </si>
  <si>
    <t>Carbon monoxide, non-fossil</t>
  </si>
  <si>
    <t>Hydrocarbons, aromatic</t>
  </si>
  <si>
    <t>[M+C] Zinc (Zn) ore mining and concentration</t>
  </si>
  <si>
    <t>(2,1,2,2,2)</t>
  </si>
  <si>
    <t>market for charcoal</t>
  </si>
  <si>
    <t>charcoal</t>
  </si>
  <si>
    <t>market for limestone, crushed, washed</t>
  </si>
  <si>
    <t>limestone, crushed, washed</t>
  </si>
  <si>
    <t>market for transport, freight, conveyor belt</t>
  </si>
  <si>
    <t>transport, freight, conveyor belt</t>
  </si>
  <si>
    <t>market for municipal solid waste</t>
  </si>
  <si>
    <t>municipal solid waste</t>
  </si>
  <si>
    <t>(3,1,2,1,1)</t>
  </si>
  <si>
    <t>Occupation, mineral extraction site</t>
  </si>
  <si>
    <t>square meter-year</t>
  </si>
  <si>
    <t>Ammonia</t>
  </si>
  <si>
    <t>Hydrogen sulfide</t>
  </si>
  <si>
    <t>Ammonium</t>
  </si>
  <si>
    <t>soil</t>
  </si>
  <si>
    <t>Chromium VI</t>
  </si>
  <si>
    <t>Barium II</t>
  </si>
  <si>
    <t>Silver I</t>
  </si>
  <si>
    <t>Selenium IV</t>
  </si>
  <si>
    <t>Calcium cyanamide</t>
  </si>
  <si>
    <t>Mineral oil</t>
  </si>
  <si>
    <t xml:space="preserve">Refined Zn </t>
  </si>
  <si>
    <t>(2,1,2,1,1)</t>
  </si>
  <si>
    <t>market for oxygen, liquid</t>
  </si>
  <si>
    <t>oxygen, liquid</t>
  </si>
  <si>
    <t>market for silica sand</t>
  </si>
  <si>
    <t>silica sand</t>
  </si>
  <si>
    <t>market for sulfur</t>
  </si>
  <si>
    <t>sulfur</t>
  </si>
  <si>
    <t>market for fluosilicic acid, without water, in 22% solution state</t>
  </si>
  <si>
    <t>fluosilicic acid, without water, in 22% solution state</t>
  </si>
  <si>
    <t>Antimony ion</t>
  </si>
  <si>
    <t>Tin ion</t>
  </si>
  <si>
    <t>Beryllium II</t>
  </si>
  <si>
    <t>Zn ore mining and Zn production in China through Smelting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</si>
  <si>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</si>
  <si>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</si>
  <si>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</si>
  <si>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</si>
  <si>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</si>
  <si>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[P+R] Refined Zn production</t>
  </si>
  <si>
    <t>Particulate Matter, &lt; 2.5 um</t>
  </si>
  <si>
    <t>Pb/Zn ore mining and Pb/Zn production in Canada/Peru/Chile/the US</t>
  </si>
  <si>
    <t>Zn ore mining in China/Guangdong and Zn production in China/Yangtze through Hydrometallurgy</t>
  </si>
  <si>
    <t xml:space="preserve">Refining material production - Volatilization kiln and multi chamber furnace </t>
  </si>
  <si>
    <t>Zn and Copper (Cu) waste treatment</t>
  </si>
  <si>
    <t>Zn material</t>
  </si>
  <si>
    <t>Zn and Lead (Pb) waste treatment</t>
  </si>
  <si>
    <t>[P+R] Refined Zn production - Smelting</t>
  </si>
  <si>
    <t>[M+C] Zinc (Zn) ore mining and concentration (for Smelting)</t>
  </si>
  <si>
    <t>Zinc (Zn) global market</t>
  </si>
  <si>
    <t>Zn commodities</t>
  </si>
  <si>
    <t>The co-produced sulfuric acid is dealt through substitution.</t>
  </si>
  <si>
    <t>market for sulfur trioxide</t>
  </si>
  <si>
    <t>sulfur trioxide</t>
  </si>
  <si>
    <t>This unit process is allocated, but with unknown allocation factors (not provided in the original data source).</t>
  </si>
  <si>
    <r>
      <t xml:space="preserve">Applied AF: "Zn concentrate" and "Wastewater" inputs = </t>
    </r>
    <r>
      <rPr>
        <b/>
        <sz val="11"/>
        <color theme="5"/>
        <rFont val="Calibri"/>
        <family val="2"/>
        <scheme val="minor"/>
      </rPr>
      <t>97.2%</t>
    </r>
    <r>
      <rPr>
        <sz val="11"/>
        <color theme="5"/>
        <rFont val="Calibri"/>
        <family val="2"/>
        <scheme val="minor"/>
      </rPr>
      <t>.</t>
    </r>
  </si>
  <si>
    <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refined Zn</t>
    </r>
    <r>
      <rPr>
        <sz val="11"/>
        <rFont val="Calibri"/>
        <family val="2"/>
        <scheme val="minor"/>
      </rPr>
      <t>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</si>
  <si>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54%</t>
    </r>
    <r>
      <rPr>
        <sz val="11"/>
        <color theme="5"/>
        <rFont val="Calibri"/>
        <family val="2"/>
        <scheme val="minor"/>
      </rPr>
      <t>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</si>
  <si>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55.37%</t>
    </r>
    <r>
      <rPr>
        <sz val="11"/>
        <color theme="5"/>
        <rFont val="Calibri"/>
        <family val="2"/>
        <scheme val="minor"/>
      </rPr>
      <t>.</t>
    </r>
  </si>
  <si>
    <t>[M+C] Copper (Cu) ore mining and concentration (Sweden)</t>
  </si>
  <si>
    <t>Cu concentrate</t>
  </si>
  <si>
    <t>SE</t>
  </si>
  <si>
    <t>market for electricity, high voltage</t>
  </si>
  <si>
    <t>electricity, high voltage</t>
  </si>
  <si>
    <t>heat production, wood pellet, at furnace 25kW, state-of-the-art 2014</t>
  </si>
  <si>
    <t>heat, central or small-scale, other than natural gas</t>
  </si>
  <si>
    <t>Europe without Switzerland</t>
  </si>
  <si>
    <t>market for sodium chloride, powder</t>
  </si>
  <si>
    <t>sodium chloride, powder</t>
  </si>
  <si>
    <t>market for sodium chloride, brine solution</t>
  </si>
  <si>
    <t>sodium chloride, brine solution</t>
  </si>
  <si>
    <t>market for aluminium hydroxide</t>
  </si>
  <si>
    <t>aluminium hydroxide</t>
  </si>
  <si>
    <t>transport, freight train, electricity</t>
  </si>
  <si>
    <t>market for non-sulfidic overburden, off-site</t>
  </si>
  <si>
    <t>non-sulfidic overburden, off-site</t>
  </si>
  <si>
    <t>treatment of hazardous waste, underground deposit</t>
  </si>
  <si>
    <t>market for waste mineral oil</t>
  </si>
  <si>
    <t>waste mineral oil</t>
  </si>
  <si>
    <t>market for sewage sludge</t>
  </si>
  <si>
    <t>sewage sludge</t>
  </si>
  <si>
    <t>treatment of hazardous waste, hazardous waste incineration</t>
  </si>
  <si>
    <t>hazardous waste, for incineration</t>
  </si>
  <si>
    <t>Copper</t>
  </si>
  <si>
    <t>Water, river</t>
  </si>
  <si>
    <t>natural resource::in water</t>
  </si>
  <si>
    <t>Water, well, in ground</t>
  </si>
  <si>
    <t>Aluminium III</t>
  </si>
  <si>
    <t>[P+R] Zn dioxide (ZnO2) production - Pyrometallurgy (Sweden)</t>
  </si>
  <si>
    <t>ZnO2</t>
  </si>
  <si>
    <t>market for heavy fuel oil</t>
  </si>
  <si>
    <t>heavy fuel oil</t>
  </si>
  <si>
    <t>market for liquefied petroleum gas</t>
  </si>
  <si>
    <t>liquefied petroleum gas</t>
  </si>
  <si>
    <t>market for lime</t>
  </si>
  <si>
    <t>lime</t>
  </si>
  <si>
    <t>RER</t>
  </si>
  <si>
    <t>market for compressed air, 800 kPa gauge</t>
  </si>
  <si>
    <t>compressed air, 800 kPa gauge</t>
  </si>
  <si>
    <t>market for soda ash, dense</t>
  </si>
  <si>
    <t>soda ash, dense</t>
  </si>
  <si>
    <t>market for borax, anhydrous, powder</t>
  </si>
  <si>
    <t>borax, anhydrous, powder</t>
  </si>
  <si>
    <t>market for barite</t>
  </si>
  <si>
    <t>barite</t>
  </si>
  <si>
    <t>market for sodium hydroxide, without water, in 50% solution state</t>
  </si>
  <si>
    <t>sodium hydroxide, without water, in 50% solution state</t>
  </si>
  <si>
    <t>market for ammonia, anhydrous, liquid</t>
  </si>
  <si>
    <t>ammonia, anhydrous, liquid</t>
  </si>
  <si>
    <t>market for paraffin</t>
  </si>
  <si>
    <t>paraffin</t>
  </si>
  <si>
    <t>market for graphite</t>
  </si>
  <si>
    <t>graphite</t>
  </si>
  <si>
    <t>market for iron sulfate</t>
  </si>
  <si>
    <t>iron sulfate</t>
  </si>
  <si>
    <t>market for chlorine, gaseous</t>
  </si>
  <si>
    <t>chlorine, gaseous</t>
  </si>
  <si>
    <t>chemical production, inorganic</t>
  </si>
  <si>
    <t>market for polyacrylamide</t>
  </si>
  <si>
    <t>polyacrylamide</t>
  </si>
  <si>
    <t>market for sodium sulfide</t>
  </si>
  <si>
    <t>sodium sulfide</t>
  </si>
  <si>
    <t>market for sodium formate</t>
  </si>
  <si>
    <t>sodium formate</t>
  </si>
  <si>
    <t>market for nitric acid, without water, in 50% solution state</t>
  </si>
  <si>
    <t>nitric acid, without water, in 50% solution state</t>
  </si>
  <si>
    <t>market for hydrochloric acid, without water, in 30% solution state</t>
  </si>
  <si>
    <t>hydrochloric acid, without water, in 30% solution state</t>
  </si>
  <si>
    <t>market for dithiocarbamate-compound</t>
  </si>
  <si>
    <t>dithiocarbamate-compound</t>
  </si>
  <si>
    <t>market for sodium phosphate</t>
  </si>
  <si>
    <t>sodium phosphate</t>
  </si>
  <si>
    <t>market for wax, lost-wax casting</t>
  </si>
  <si>
    <t>wax, lost-wax casting</t>
  </si>
  <si>
    <t>market for hydrogen peroxide, without water, in 50% solution state</t>
  </si>
  <si>
    <t>hydrogen peroxide, without water, in 50% solution state</t>
  </si>
  <si>
    <t>treatment of waste paper, unsorted, sorting</t>
  </si>
  <si>
    <t>waste paper, sorted</t>
  </si>
  <si>
    <t>market for ferrous metal, in mixed metal scrap</t>
  </si>
  <si>
    <t>ferrous metal, in mixed metal scrap</t>
  </si>
  <si>
    <t>treatment of waste wood, untreated, municipal incineration</t>
  </si>
  <si>
    <t>waste wood, untreated</t>
  </si>
  <si>
    <t>treatment of waste mineral oil, hazardous waste incineration</t>
  </si>
  <si>
    <t>market for waste plastic, mixture</t>
  </si>
  <si>
    <t>waste plastic, mixture</t>
  </si>
  <si>
    <t>market for used Li-ion battery</t>
  </si>
  <si>
    <t>used Li-ion battery</t>
  </si>
  <si>
    <t>market for waste emulsion paint</t>
  </si>
  <si>
    <t>waste emulsion paint</t>
  </si>
  <si>
    <t>market for used fluorescent lamp</t>
  </si>
  <si>
    <t>used fluorescent lamp</t>
  </si>
  <si>
    <t>market for refinery sludge</t>
  </si>
  <si>
    <t>refinery sludge</t>
  </si>
  <si>
    <t>treatment of municipal solid waste, municipal incineration</t>
  </si>
  <si>
    <t>market for sulfur dioxide, liquid</t>
  </si>
  <si>
    <t>sulfur dioxide, liquid</t>
  </si>
  <si>
    <t>Dioxins, measured as 2,3,7,8-tetrachlorodibenzo-p-dioxin</t>
  </si>
  <si>
    <t>ZnO2 recovery from Cu ore mining in Sweden/Aitik and Cu production in Sweden/Rönnskärsverken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</si>
  <si>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4.3%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</si>
  <si>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45.7% for Cu (1 kg cathode), 0.02% for Cu (0.002 kg CuSO4), 0.5% for Ni (0.02 kg NiSO4), 30.6% for Au (0.00009 kg), 16.2% for Ag (0.004 kg), 0.03% for Te (0.0002 kg CuTe), 0.07% for Se (0.0004 kg), </t>
    </r>
    <r>
      <rPr>
        <b/>
        <sz val="11"/>
        <color theme="5"/>
        <rFont val="Calibri"/>
        <family val="2"/>
        <scheme val="minor"/>
      </rPr>
      <t>4.3% for Zn (0.2 kg ZnO2)</t>
    </r>
    <r>
      <rPr>
        <sz val="11"/>
        <color theme="5"/>
        <rFont val="Calibri"/>
        <family val="2"/>
        <scheme val="minor"/>
      </rPr>
      <t xml:space="preserve">, 2.4% for Pb (0.2 kg) and 0.06% for Fe (1.8 kg sand).
</t>
    </r>
    <r>
      <rPr>
        <sz val="11"/>
        <color rgb="FF7030A0"/>
        <rFont val="Calibri"/>
        <family val="2"/>
        <scheme val="minor"/>
      </rPr>
      <t>The co-produced sulfuric acid, sulfur dioxide, electricity and heat are dealt through substitution.</t>
    </r>
  </si>
  <si>
    <t>ZnO2 recovery from Cu ore mining in Sweden/Aitik and Cu production in Sweden/Rönnskärsverken (Zn content)</t>
  </si>
  <si>
    <t>ZnO2 (Zn content)</t>
  </si>
  <si>
    <t>Zinc (Zn) global market (Zn content)</t>
  </si>
  <si>
    <t>Zn content</t>
  </si>
  <si>
    <t>Activity expressed for 1 kg Zn contained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</si>
  <si>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</si>
  <si>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</si>
  <si>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</si>
  <si>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Zinc (Zn)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</si>
  <si>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Zn_Market_GLO</t>
  </si>
  <si>
    <t>Zn global market</t>
  </si>
  <si>
    <t>PR1_Zn_CN_Jiangxi_Hydro</t>
  </si>
  <si>
    <t>PR2_Zn_CN_Yangtze_Hydro</t>
  </si>
  <si>
    <t>PR3_Zn_CN_Smelting</t>
  </si>
  <si>
    <t>PR4_Zn_RoW</t>
  </si>
  <si>
    <t>PR5_ZnO2_SE_Pyro</t>
  </si>
  <si>
    <r>
      <t xml:space="preserve">Allocated unit process, considering as allocation factors: </t>
    </r>
    <r>
      <rPr>
        <b/>
        <sz val="11"/>
        <color theme="5"/>
        <rFont val="Calibri"/>
        <family val="2"/>
        <scheme val="minor"/>
      </rPr>
      <t>56% for Zn (1 kg concentrate)</t>
    </r>
    <r>
      <rPr>
        <sz val="11"/>
        <color theme="5"/>
        <rFont val="Calibri"/>
        <family val="2"/>
        <scheme val="minor"/>
      </rPr>
      <t xml:space="preserve">, 21% for Pb (0.4 kg concentrate) and 23% for Pb-Zn (0.6 kg bulk concentrate).
</t>
    </r>
    <r>
      <rPr>
        <sz val="11"/>
        <color rgb="FF7030A0"/>
        <rFont val="Calibri"/>
        <family val="2"/>
        <scheme val="minor"/>
      </rPr>
      <t>The co-produced sulfur concentrate is dealt through substitution.</t>
    </r>
  </si>
  <si>
    <r>
      <t xml:space="preserve">Allocated unit process, considering as allocation factors: </t>
    </r>
    <r>
      <rPr>
        <b/>
        <sz val="11"/>
        <color theme="5"/>
        <rFont val="Calibri"/>
        <family val="2"/>
        <scheme val="minor"/>
      </rPr>
      <t>97.2% for Zn (1 kg refined)</t>
    </r>
    <r>
      <rPr>
        <sz val="11"/>
        <color theme="5"/>
        <rFont val="Calibri"/>
        <family val="2"/>
        <scheme val="minor"/>
      </rPr>
      <t>, 0.6% for Cd (0.006 kg refined) and 2.2% for In (0.0002 kg refined).</t>
    </r>
  </si>
  <si>
    <r>
      <t xml:space="preserve">Allocated unit process, considering as allocation factors: </t>
    </r>
    <r>
      <rPr>
        <b/>
        <sz val="11"/>
        <color theme="5"/>
        <rFont val="Calibri"/>
        <family val="2"/>
        <scheme val="minor"/>
      </rPr>
      <t>54% for Zn (1 kg refined)</t>
    </r>
    <r>
      <rPr>
        <sz val="11"/>
        <color theme="5"/>
        <rFont val="Calibri"/>
        <family val="2"/>
        <scheme val="minor"/>
      </rPr>
      <t xml:space="preserve"> and 46% for Pb (1.04 kg refined).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</si>
  <si>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55.37% for Zn (1 kg refined)</t>
    </r>
    <r>
      <rPr>
        <sz val="11"/>
        <color theme="5"/>
        <rFont val="Calibri"/>
        <family val="2"/>
        <scheme val="minor"/>
      </rPr>
      <t>, 12.61% for Pb (0.28 kg refined), 28.81% for Ag (0.002 kg refined), 0.01% for Bi (0.00006 kg refined), 0.62% for In (0.0001 kg refined) and 2.57% for Ge (0.00009 kg refined).</t>
    </r>
  </si>
  <si>
    <t>water::surface water</t>
  </si>
  <si>
    <t>soil::agricultural</t>
  </si>
  <si>
    <t>Water, salt,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</si>
</sst>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0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5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9"/>
  <sheetViews>
    <sheetView showGridLines="0" topLeftCell="A9" workbookViewId="0">
      <selection activeCell="B2" sqref="B2:Q31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337</v>
      </c>
    </row>
    <row r="2" spans="1:17" ht="15" customHeight="1" x14ac:dyDescent="0.35">
      <c r="B2" s="31" t="s">
        <v>340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3"/>
    </row>
    <row r="3" spans="1:17" x14ac:dyDescent="0.35"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6"/>
    </row>
    <row r="4" spans="1:17" x14ac:dyDescent="0.3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</row>
    <row r="5" spans="1:17" x14ac:dyDescent="0.3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</row>
    <row r="6" spans="1:17" x14ac:dyDescent="0.35"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</row>
    <row r="7" spans="1:17" x14ac:dyDescent="0.35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</row>
    <row r="8" spans="1:17" x14ac:dyDescent="0.35"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</row>
    <row r="9" spans="1:17" x14ac:dyDescent="0.35">
      <c r="B9" s="3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</row>
    <row r="10" spans="1:17" x14ac:dyDescent="0.3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/>
    </row>
    <row r="11" spans="1:17" x14ac:dyDescent="0.35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</row>
    <row r="12" spans="1:17" x14ac:dyDescent="0.35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</row>
    <row r="13" spans="1:17" x14ac:dyDescent="0.35"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/>
    </row>
    <row r="14" spans="1:17" x14ac:dyDescent="0.35"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</row>
    <row r="15" spans="1:17" x14ac:dyDescent="0.35"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/>
    </row>
    <row r="16" spans="1:17" x14ac:dyDescent="0.35"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/>
    </row>
    <row r="17" spans="2:17" x14ac:dyDescent="0.35">
      <c r="B17" s="34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/>
    </row>
    <row r="18" spans="2:17" x14ac:dyDescent="0.35">
      <c r="B18" s="34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</row>
    <row r="19" spans="2:17" x14ac:dyDescent="0.35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</row>
    <row r="20" spans="2:17" x14ac:dyDescent="0.35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</row>
    <row r="21" spans="2:17" x14ac:dyDescent="0.35">
      <c r="B21" s="34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</row>
    <row r="22" spans="2:17" x14ac:dyDescent="0.35"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/>
    </row>
    <row r="23" spans="2:17" x14ac:dyDescent="0.35"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/>
    </row>
    <row r="24" spans="2:17" ht="15" customHeight="1" x14ac:dyDescent="0.35"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6"/>
    </row>
    <row r="25" spans="2:17" x14ac:dyDescent="0.35">
      <c r="B25" s="34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</row>
    <row r="26" spans="2:17" x14ac:dyDescent="0.35"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/>
    </row>
    <row r="27" spans="2:17" x14ac:dyDescent="0.3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/>
    </row>
    <row r="28" spans="2:17" x14ac:dyDescent="0.35"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</row>
    <row r="29" spans="2:17" x14ac:dyDescent="0.35"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6"/>
    </row>
    <row r="30" spans="2:17" x14ac:dyDescent="0.35"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6"/>
    </row>
    <row r="31" spans="2:17" ht="15" thickBot="1" x14ac:dyDescent="0.4"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9"/>
    </row>
    <row r="32" spans="2:17" ht="15" thickBot="1" x14ac:dyDescent="0.4"/>
    <row r="33" spans="2:10" x14ac:dyDescent="0.35">
      <c r="B33" s="19" t="s">
        <v>338</v>
      </c>
      <c r="C33" s="20" t="s">
        <v>339</v>
      </c>
      <c r="D33" s="21"/>
      <c r="E33" s="21"/>
      <c r="F33" s="21"/>
      <c r="G33" s="21"/>
      <c r="H33" s="21"/>
      <c r="I33" s="21"/>
      <c r="J33" s="22"/>
    </row>
    <row r="34" spans="2:10" x14ac:dyDescent="0.35">
      <c r="B34" s="23" t="s">
        <v>341</v>
      </c>
      <c r="C34" s="8" t="s">
        <v>342</v>
      </c>
      <c r="D34" s="29"/>
      <c r="E34" s="29"/>
      <c r="F34" s="29"/>
      <c r="G34" s="29"/>
      <c r="H34" s="29"/>
      <c r="I34" s="29"/>
      <c r="J34" s="24"/>
    </row>
    <row r="35" spans="2:10" x14ac:dyDescent="0.35">
      <c r="B35" s="23" t="s">
        <v>343</v>
      </c>
      <c r="C35" s="8" t="s">
        <v>108</v>
      </c>
      <c r="D35" s="29"/>
      <c r="E35" s="29"/>
      <c r="F35" s="29"/>
      <c r="G35" s="29"/>
      <c r="H35" s="29"/>
      <c r="I35" s="29"/>
      <c r="J35" s="24"/>
    </row>
    <row r="36" spans="2:10" x14ac:dyDescent="0.35">
      <c r="B36" s="23" t="s">
        <v>344</v>
      </c>
      <c r="C36" s="8" t="s">
        <v>214</v>
      </c>
      <c r="D36" s="29"/>
      <c r="E36" s="29"/>
      <c r="F36" s="29"/>
      <c r="G36" s="29"/>
      <c r="H36" s="29"/>
      <c r="I36" s="29"/>
      <c r="J36" s="24"/>
    </row>
    <row r="37" spans="2:10" x14ac:dyDescent="0.35">
      <c r="B37" s="23" t="s">
        <v>345</v>
      </c>
      <c r="C37" s="8" t="s">
        <v>205</v>
      </c>
      <c r="D37" s="29"/>
      <c r="E37" s="29"/>
      <c r="F37" s="29"/>
      <c r="G37" s="29"/>
      <c r="H37" s="29"/>
      <c r="I37" s="29"/>
      <c r="J37" s="24"/>
    </row>
    <row r="38" spans="2:10" x14ac:dyDescent="0.35">
      <c r="B38" s="23" t="s">
        <v>346</v>
      </c>
      <c r="C38" s="8" t="s">
        <v>213</v>
      </c>
      <c r="D38" s="29"/>
      <c r="E38" s="29"/>
      <c r="F38" s="29"/>
      <c r="G38" s="29"/>
      <c r="H38" s="29"/>
      <c r="I38" s="29"/>
      <c r="J38" s="24"/>
    </row>
    <row r="39" spans="2:10" ht="15" thickBot="1" x14ac:dyDescent="0.4">
      <c r="B39" s="25" t="s">
        <v>347</v>
      </c>
      <c r="C39" s="26" t="s">
        <v>329</v>
      </c>
      <c r="D39" s="27"/>
      <c r="E39" s="27"/>
      <c r="F39" s="27"/>
      <c r="G39" s="27"/>
      <c r="H39" s="27"/>
      <c r="I39" s="27"/>
      <c r="J39" s="28"/>
    </row>
  </sheetData>
  <mergeCells count="1">
    <mergeCell ref="B2:Q31"/>
  </mergeCells>
  <hyperlinks>
    <hyperlink ref="B34" location="Zn_Market_GLO!A1" display="Zn_Market_GLO" xr:uid="{B5357E12-9502-45F9-B63E-8F3F40B7A95B}"/>
    <hyperlink ref="B35" location="PR1_Zn_CN_Jiangxi_Hydro!A1" display="PR1_Zn_CN_Jiangxi_Hydro" xr:uid="{EAD878F6-5375-442B-9998-F2543015FCF2}"/>
    <hyperlink ref="B36" location="PR2_Zn_CN_Yangtze_Hydro!A1" display="PR2_Zn_CN_Yangtze_Hydro" xr:uid="{A4826B32-64E3-4A87-BF76-F9385E13B065}"/>
    <hyperlink ref="B37" location="PR3_Zn_CN_Smelting!A1" display="PR3_Zn_CN_Smelting" xr:uid="{B5C591A0-72EA-4F1C-B933-9D27B58C068A}"/>
    <hyperlink ref="B38" location="PR4_Zn_RoW!A1" display="PR4_Zn_RoW" xr:uid="{722459CF-4694-4824-8795-208C4293162E}"/>
    <hyperlink ref="B39" location="PR5_ZnO2_SE_Pyro!A1" display="PR5_ZnO2_SE_Pyro" xr:uid="{CCACBFAE-2B60-49BE-9F11-92E83FBFE7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31"/>
  <sheetViews>
    <sheetView tabSelected="1" topLeftCell="A7" workbookViewId="0">
      <selection activeCell="G27" sqref="G27:G31"/>
    </sheetView>
  </sheetViews>
  <sheetFormatPr baseColWidth="10" defaultRowHeight="14.5" x14ac:dyDescent="0.35"/>
  <cols>
    <col min="1" max="1" width="94.81640625" bestFit="1" customWidth="1"/>
    <col min="2" max="2" width="31.179687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12</v>
      </c>
      <c r="B1" s="4" t="s">
        <v>62</v>
      </c>
    </row>
    <row r="2" spans="1:14" s="5" customFormat="1" x14ac:dyDescent="0.35"/>
    <row r="3" spans="1:14" x14ac:dyDescent="0.35">
      <c r="A3" s="6" t="s">
        <v>0</v>
      </c>
      <c r="B3" s="6" t="s">
        <v>221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2</v>
      </c>
      <c r="B4" s="1" t="s">
        <v>222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4</v>
      </c>
      <c r="B5" s="1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6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7</v>
      </c>
      <c r="B7" s="1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9</v>
      </c>
      <c r="B8" s="1" t="s">
        <v>109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11</v>
      </c>
      <c r="B10" s="6" t="s">
        <v>2</v>
      </c>
      <c r="C10" s="6" t="s">
        <v>4</v>
      </c>
      <c r="D10" s="6" t="s">
        <v>6</v>
      </c>
      <c r="E10" s="6" t="s">
        <v>7</v>
      </c>
      <c r="F10" s="6" t="s">
        <v>12</v>
      </c>
      <c r="G10" s="6" t="s">
        <v>13</v>
      </c>
      <c r="H10" s="6" t="s">
        <v>14</v>
      </c>
      <c r="I10" s="6" t="s">
        <v>15</v>
      </c>
      <c r="J10" s="6" t="s">
        <v>16</v>
      </c>
      <c r="K10" s="6" t="s">
        <v>17</v>
      </c>
      <c r="L10" s="6" t="s">
        <v>18</v>
      </c>
      <c r="M10" s="6" t="s">
        <v>19</v>
      </c>
      <c r="N10" s="6" t="s">
        <v>20</v>
      </c>
    </row>
    <row r="11" spans="1:14" x14ac:dyDescent="0.35">
      <c r="A11" t="str">
        <f>B3</f>
        <v>Zinc (Zn) global market</v>
      </c>
      <c r="B11" t="str">
        <f>B4</f>
        <v>Zn commodities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Zinc</v>
      </c>
      <c r="G11" s="1" t="s">
        <v>21</v>
      </c>
    </row>
    <row r="12" spans="1:14" s="1" customFormat="1" x14ac:dyDescent="0.35">
      <c r="A12" s="1" t="str">
        <f>PR1_Zn_CN_Jiangxi_Hydro!A82</f>
        <v>Zn ore mining and Zn production in China/Jiangxi through Hydrometallurgy</v>
      </c>
      <c r="B12" s="1" t="str">
        <f>PR1_Zn_CN_Jiangxi_Hydro!B82</f>
        <v>Refined Zn</v>
      </c>
      <c r="C12" s="1" t="str">
        <f>PR1_Zn_CN_Jiangxi_Hydro!C82</f>
        <v>CN</v>
      </c>
      <c r="D12" s="1">
        <v>1.8445177396887745E-2</v>
      </c>
      <c r="E12" s="1" t="str">
        <f>PR1_Zn_CN_Jiangxi_Hydro!E82</f>
        <v>kilogram</v>
      </c>
      <c r="F12" s="4" t="str">
        <f>PR1_Zn_CN_Jiangxi_Hydro!F82</f>
        <v>Zinc</v>
      </c>
      <c r="G12" s="1" t="s">
        <v>26</v>
      </c>
    </row>
    <row r="13" spans="1:14" s="1" customFormat="1" x14ac:dyDescent="0.35">
      <c r="A13" s="1" t="str">
        <f>PR2_Zn_CN_Yangtze_Hydro!A178</f>
        <v>Zn ore mining in China/Guangdong and Zn production in China/Yangtze through Hydrometallurgy</v>
      </c>
      <c r="B13" s="1" t="str">
        <f>PR2_Zn_CN_Yangtze_Hydro!B178</f>
        <v>Refined Zn</v>
      </c>
      <c r="C13" s="1" t="str">
        <f>PR2_Zn_CN_Yangtze_Hydro!C178</f>
        <v>CN</v>
      </c>
      <c r="D13" s="1">
        <v>4.8879720101752518E-2</v>
      </c>
      <c r="E13" s="1" t="str">
        <f>PR2_Zn_CN_Yangtze_Hydro!E178</f>
        <v>kilogram</v>
      </c>
      <c r="F13" s="4" t="str">
        <f>PR2_Zn_CN_Yangtze_Hydro!F178</f>
        <v>Zinc</v>
      </c>
      <c r="G13" s="1" t="s">
        <v>26</v>
      </c>
    </row>
    <row r="14" spans="1:14" s="1" customFormat="1" x14ac:dyDescent="0.35">
      <c r="A14" s="1" t="str">
        <f>PR3_Zn_CN_Smelting!A137</f>
        <v>Zn ore mining and Zn production in China through Smelting</v>
      </c>
      <c r="B14" s="1" t="str">
        <f>PR3_Zn_CN_Smelting!B137</f>
        <v>Refined Zn</v>
      </c>
      <c r="C14" s="1" t="str">
        <f>PR3_Zn_CN_Smelting!C137</f>
        <v>CN</v>
      </c>
      <c r="D14" s="1">
        <v>0.76547486197084136</v>
      </c>
      <c r="E14" s="1" t="str">
        <f>PR3_Zn_CN_Smelting!E137</f>
        <v>kilogram</v>
      </c>
      <c r="F14" s="4" t="str">
        <f>PR3_Zn_CN_Smelting!F137</f>
        <v>Zinc</v>
      </c>
      <c r="G14" s="1" t="s">
        <v>26</v>
      </c>
    </row>
    <row r="15" spans="1:14" s="1" customFormat="1" x14ac:dyDescent="0.35">
      <c r="A15" s="1" t="str">
        <f>PR4_Zn_RoW!A55</f>
        <v>Pb/Zn ore mining and Pb/Zn production in Canada/Peru/Chile/the US</v>
      </c>
      <c r="B15" s="1" t="str">
        <f>PR4_Zn_RoW!B55</f>
        <v>Refined Zn</v>
      </c>
      <c r="C15" s="1" t="str">
        <f>PR4_Zn_RoW!C55</f>
        <v>RoW</v>
      </c>
      <c r="D15" s="1">
        <v>0.16395713241677995</v>
      </c>
      <c r="E15" s="1" t="str">
        <f>PR4_Zn_RoW!E55</f>
        <v>kilogram</v>
      </c>
      <c r="F15" s="4" t="str">
        <f>PR4_Zn_RoW!F55</f>
        <v>Zinc</v>
      </c>
      <c r="G15" s="1" t="s">
        <v>26</v>
      </c>
    </row>
    <row r="16" spans="1:14" s="1" customFormat="1" x14ac:dyDescent="0.35">
      <c r="A16" s="1" t="str">
        <f>PR5_ZnO2_SE_Pyro!A142</f>
        <v>ZnO2 recovery from Cu ore mining in Sweden/Aitik and Cu production in Sweden/Rönnskärsverken</v>
      </c>
      <c r="B16" s="1" t="str">
        <f>PR5_ZnO2_SE_Pyro!B142</f>
        <v>ZnO2</v>
      </c>
      <c r="C16" s="1" t="str">
        <f>PR5_ZnO2_SE_Pyro!C142</f>
        <v>SE</v>
      </c>
      <c r="D16" s="1">
        <v>3.243108113738504E-3</v>
      </c>
      <c r="E16" s="1" t="str">
        <f>PR5_ZnO2_SE_Pyro!E142</f>
        <v>kilogram</v>
      </c>
      <c r="F16" s="4" t="str">
        <f>PR5_ZnO2_SE_Pyro!F142</f>
        <v>Zinc</v>
      </c>
      <c r="G16" s="1" t="s">
        <v>26</v>
      </c>
    </row>
    <row r="17" spans="1:14" s="5" customFormat="1" x14ac:dyDescent="0.35"/>
    <row r="18" spans="1:14" x14ac:dyDescent="0.35">
      <c r="A18" s="6" t="s">
        <v>0</v>
      </c>
      <c r="B18" s="2" t="s">
        <v>334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5">
      <c r="A19" s="3" t="s">
        <v>2</v>
      </c>
      <c r="B19" s="1" t="s">
        <v>335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5">
      <c r="A20" s="3" t="s">
        <v>4</v>
      </c>
      <c r="B20" s="1" t="s">
        <v>24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5">
      <c r="A21" s="3" t="s">
        <v>6</v>
      </c>
      <c r="B21" s="1">
        <v>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3" t="s">
        <v>7</v>
      </c>
      <c r="B22" s="1" t="s">
        <v>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3" t="s">
        <v>9</v>
      </c>
      <c r="B23" s="1" t="s">
        <v>336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3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6" t="s">
        <v>11</v>
      </c>
      <c r="B25" s="6" t="s">
        <v>2</v>
      </c>
      <c r="C25" s="6" t="s">
        <v>4</v>
      </c>
      <c r="D25" s="6" t="s">
        <v>6</v>
      </c>
      <c r="E25" s="6" t="s">
        <v>7</v>
      </c>
      <c r="F25" s="6" t="s">
        <v>12</v>
      </c>
      <c r="G25" s="6" t="s">
        <v>13</v>
      </c>
      <c r="H25" s="6" t="s">
        <v>14</v>
      </c>
      <c r="I25" s="6" t="s">
        <v>15</v>
      </c>
      <c r="J25" s="6" t="s">
        <v>16</v>
      </c>
      <c r="K25" s="6" t="s">
        <v>17</v>
      </c>
      <c r="L25" s="6" t="s">
        <v>18</v>
      </c>
      <c r="M25" s="6" t="s">
        <v>19</v>
      </c>
      <c r="N25" s="6" t="s">
        <v>20</v>
      </c>
    </row>
    <row r="26" spans="1:14" x14ac:dyDescent="0.35">
      <c r="A26" t="str">
        <f>B18</f>
        <v>Zinc (Zn) global market (Zn content)</v>
      </c>
      <c r="B26" t="str">
        <f>B19</f>
        <v>Zn content</v>
      </c>
      <c r="C26" t="str">
        <f>B20</f>
        <v>GLO</v>
      </c>
      <c r="D26" s="1">
        <v>1</v>
      </c>
      <c r="E26" s="1" t="str">
        <f>B22</f>
        <v>kilogram</v>
      </c>
      <c r="F26" s="4" t="str">
        <f>F11</f>
        <v>Zinc</v>
      </c>
      <c r="G26" s="1" t="s">
        <v>21</v>
      </c>
    </row>
    <row r="27" spans="1:14" s="1" customFormat="1" x14ac:dyDescent="0.35">
      <c r="A27" s="1" t="str">
        <f>PR1_Zn_CN_Jiangxi_Hydro!A82</f>
        <v>Zn ore mining and Zn production in China/Jiangxi through Hydrometallurgy</v>
      </c>
      <c r="B27" s="1" t="str">
        <f>PR1_Zn_CN_Jiangxi_Hydro!B82</f>
        <v>Refined Zn</v>
      </c>
      <c r="C27" s="1" t="str">
        <f>PR1_Zn_CN_Jiangxi_Hydro!C82</f>
        <v>CN</v>
      </c>
      <c r="D27" s="1">
        <v>1.8445177396887745E-2</v>
      </c>
      <c r="E27" s="1" t="str">
        <f>PR1_Zn_CN_Jiangxi_Hydro!E82</f>
        <v>kilogram</v>
      </c>
      <c r="F27" s="4" t="str">
        <f>PR1_Zn_CN_Jiangxi_Hydro!F82</f>
        <v>Zinc</v>
      </c>
      <c r="G27" s="1" t="s">
        <v>26</v>
      </c>
    </row>
    <row r="28" spans="1:14" s="1" customFormat="1" x14ac:dyDescent="0.35">
      <c r="A28" s="1" t="str">
        <f>PR2_Zn_CN_Yangtze_Hydro!A178</f>
        <v>Zn ore mining in China/Guangdong and Zn production in China/Yangtze through Hydrometallurgy</v>
      </c>
      <c r="B28" s="1" t="str">
        <f>PR2_Zn_CN_Yangtze_Hydro!B178</f>
        <v>Refined Zn</v>
      </c>
      <c r="C28" s="1" t="str">
        <f>PR2_Zn_CN_Yangtze_Hydro!C178</f>
        <v>CN</v>
      </c>
      <c r="D28" s="1">
        <v>4.8879720101752518E-2</v>
      </c>
      <c r="E28" s="1" t="str">
        <f>PR2_Zn_CN_Yangtze_Hydro!E178</f>
        <v>kilogram</v>
      </c>
      <c r="F28" s="4" t="str">
        <f>PR2_Zn_CN_Yangtze_Hydro!F178</f>
        <v>Zinc</v>
      </c>
      <c r="G28" s="1" t="s">
        <v>26</v>
      </c>
    </row>
    <row r="29" spans="1:14" s="1" customFormat="1" x14ac:dyDescent="0.35">
      <c r="A29" s="1" t="str">
        <f>PR3_Zn_CN_Smelting!A137</f>
        <v>Zn ore mining and Zn production in China through Smelting</v>
      </c>
      <c r="B29" s="1" t="str">
        <f>PR3_Zn_CN_Smelting!B137</f>
        <v>Refined Zn</v>
      </c>
      <c r="C29" s="1" t="str">
        <f>PR3_Zn_CN_Smelting!C137</f>
        <v>CN</v>
      </c>
      <c r="D29" s="1">
        <v>0.76547486197084136</v>
      </c>
      <c r="E29" s="1" t="str">
        <f>PR3_Zn_CN_Smelting!E137</f>
        <v>kilogram</v>
      </c>
      <c r="F29" s="4" t="str">
        <f>PR3_Zn_CN_Smelting!F137</f>
        <v>Zinc</v>
      </c>
      <c r="G29" s="1" t="s">
        <v>26</v>
      </c>
    </row>
    <row r="30" spans="1:14" s="1" customFormat="1" x14ac:dyDescent="0.35">
      <c r="A30" s="1" t="str">
        <f>PR4_Zn_RoW!A55</f>
        <v>Pb/Zn ore mining and Pb/Zn production in Canada/Peru/Chile/the US</v>
      </c>
      <c r="B30" s="1" t="str">
        <f>PR4_Zn_RoW!B55</f>
        <v>Refined Zn</v>
      </c>
      <c r="C30" s="1" t="str">
        <f>PR4_Zn_RoW!C55</f>
        <v>RoW</v>
      </c>
      <c r="D30" s="1">
        <v>0.16395713241677995</v>
      </c>
      <c r="E30" s="1" t="str">
        <f>PR4_Zn_RoW!E55</f>
        <v>kilogram</v>
      </c>
      <c r="F30" s="4" t="str">
        <f>PR4_Zn_RoW!F55</f>
        <v>Zinc</v>
      </c>
      <c r="G30" s="1" t="s">
        <v>26</v>
      </c>
    </row>
    <row r="31" spans="1:14" s="1" customFormat="1" x14ac:dyDescent="0.35">
      <c r="A31" s="1" t="str">
        <f>PR5_ZnO2_SE_Pyro!A154</f>
        <v>ZnO2 recovery from Cu ore mining in Sweden/Aitik and Cu production in Sweden/Rönnskärsverken (Zn content)</v>
      </c>
      <c r="B31" s="1" t="str">
        <f>PR5_ZnO2_SE_Pyro!B154</f>
        <v>ZnO2 (Zn content)</v>
      </c>
      <c r="C31" s="1" t="str">
        <f>PR5_ZnO2_SE_Pyro!C154</f>
        <v>SE</v>
      </c>
      <c r="D31" s="1">
        <v>3.243108113738504E-3</v>
      </c>
      <c r="E31" s="1" t="str">
        <f>PR5_ZnO2_SE_Pyro!E154</f>
        <v>kilogram</v>
      </c>
      <c r="F31" s="4" t="str">
        <f>PR5_ZnO2_SE_Pyro!F154</f>
        <v>Zinc</v>
      </c>
      <c r="G31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84"/>
  <sheetViews>
    <sheetView topLeftCell="A24" workbookViewId="0">
      <selection activeCell="B11" sqref="B11"/>
    </sheetView>
  </sheetViews>
  <sheetFormatPr baseColWidth="10" defaultColWidth="9.1796875" defaultRowHeight="14.5" x14ac:dyDescent="0.35"/>
  <cols>
    <col min="1" max="2" width="68.26953125" style="8" bestFit="1" customWidth="1"/>
    <col min="3" max="3" width="8.1796875" style="8" bestFit="1" customWidth="1"/>
    <col min="4" max="4" width="12" style="8" bestFit="1" customWidth="1"/>
    <col min="5" max="5" width="13.1796875" style="8" bestFit="1" customWidth="1"/>
    <col min="6" max="6" width="19.7265625" style="8" bestFit="1" customWidth="1"/>
    <col min="7" max="7" width="13.26953125" style="8" bestFit="1" customWidth="1"/>
    <col min="8" max="8" width="25.2695312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7" t="s">
        <v>1</v>
      </c>
    </row>
    <row r="2" spans="1:14" x14ac:dyDescent="0.35">
      <c r="A2" s="9" t="s">
        <v>2</v>
      </c>
      <c r="B2" s="8" t="s">
        <v>3</v>
      </c>
    </row>
    <row r="3" spans="1:14" x14ac:dyDescent="0.35">
      <c r="A3" s="9" t="s">
        <v>4</v>
      </c>
      <c r="B3" s="8" t="s">
        <v>5</v>
      </c>
    </row>
    <row r="4" spans="1:14" x14ac:dyDescent="0.35">
      <c r="A4" s="9" t="s">
        <v>6</v>
      </c>
      <c r="B4" s="8">
        <v>1</v>
      </c>
    </row>
    <row r="5" spans="1:14" x14ac:dyDescent="0.35">
      <c r="A5" s="9" t="s">
        <v>7</v>
      </c>
      <c r="B5" s="8" t="s">
        <v>8</v>
      </c>
    </row>
    <row r="6" spans="1:14" ht="29" x14ac:dyDescent="0.35">
      <c r="A6" s="9" t="s">
        <v>9</v>
      </c>
      <c r="B6" s="13" t="s">
        <v>226</v>
      </c>
    </row>
    <row r="7" spans="1:14" x14ac:dyDescent="0.35">
      <c r="A7" s="9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8" t="s">
        <v>1</v>
      </c>
      <c r="B9" s="8" t="s">
        <v>3</v>
      </c>
      <c r="C9" s="8" t="s">
        <v>5</v>
      </c>
      <c r="D9" s="8">
        <v>1</v>
      </c>
      <c r="E9" s="8" t="s">
        <v>8</v>
      </c>
      <c r="F9" s="10" t="s">
        <v>62</v>
      </c>
      <c r="G9" s="8" t="s">
        <v>21</v>
      </c>
    </row>
    <row r="10" spans="1:14" x14ac:dyDescent="0.35">
      <c r="A10" s="8" t="s">
        <v>22</v>
      </c>
      <c r="B10" s="8" t="s">
        <v>23</v>
      </c>
      <c r="C10" s="8" t="s">
        <v>24</v>
      </c>
      <c r="D10" s="8">
        <v>3.2127659574468091E-3</v>
      </c>
      <c r="E10" s="8" t="s">
        <v>8</v>
      </c>
      <c r="F10" s="8" t="s">
        <v>25</v>
      </c>
      <c r="G10" s="8" t="s">
        <v>26</v>
      </c>
      <c r="J10" s="8" t="s">
        <v>27</v>
      </c>
    </row>
    <row r="11" spans="1:14" x14ac:dyDescent="0.35">
      <c r="A11" s="8" t="s">
        <v>28</v>
      </c>
      <c r="B11" s="8" t="s">
        <v>29</v>
      </c>
      <c r="C11" s="8" t="s">
        <v>24</v>
      </c>
      <c r="D11" s="8">
        <v>2.8368794326241129E-4</v>
      </c>
      <c r="E11" s="8" t="s">
        <v>8</v>
      </c>
      <c r="F11" s="8" t="s">
        <v>25</v>
      </c>
      <c r="G11" s="8" t="s">
        <v>26</v>
      </c>
      <c r="J11" s="8" t="s">
        <v>27</v>
      </c>
    </row>
    <row r="12" spans="1:14" x14ac:dyDescent="0.35">
      <c r="A12" s="8" t="s">
        <v>30</v>
      </c>
      <c r="B12" s="8" t="s">
        <v>31</v>
      </c>
      <c r="C12" s="8" t="s">
        <v>24</v>
      </c>
      <c r="D12" s="8">
        <v>7.0212765957446805E-4</v>
      </c>
      <c r="E12" s="8" t="s">
        <v>8</v>
      </c>
      <c r="F12" s="8" t="s">
        <v>25</v>
      </c>
      <c r="G12" s="8" t="s">
        <v>26</v>
      </c>
      <c r="J12" s="8" t="s">
        <v>27</v>
      </c>
    </row>
    <row r="13" spans="1:14" x14ac:dyDescent="0.35">
      <c r="A13" s="8" t="s">
        <v>32</v>
      </c>
      <c r="B13" s="8" t="s">
        <v>33</v>
      </c>
      <c r="C13" s="8" t="s">
        <v>34</v>
      </c>
      <c r="D13" s="8">
        <v>8.1276595744680866E-3</v>
      </c>
      <c r="E13" s="8" t="s">
        <v>8</v>
      </c>
      <c r="F13" s="8" t="s">
        <v>25</v>
      </c>
      <c r="G13" s="8" t="s">
        <v>26</v>
      </c>
      <c r="J13" s="8" t="s">
        <v>27</v>
      </c>
    </row>
    <row r="14" spans="1:14" x14ac:dyDescent="0.35">
      <c r="A14" s="8" t="s">
        <v>35</v>
      </c>
      <c r="B14" s="8" t="s">
        <v>36</v>
      </c>
      <c r="C14" s="8" t="s">
        <v>34</v>
      </c>
      <c r="D14" s="8">
        <v>3.4751773049645389E-4</v>
      </c>
      <c r="E14" s="8" t="s">
        <v>8</v>
      </c>
      <c r="F14" s="8" t="s">
        <v>25</v>
      </c>
      <c r="G14" s="8" t="s">
        <v>26</v>
      </c>
      <c r="J14" s="8" t="s">
        <v>27</v>
      </c>
    </row>
    <row r="15" spans="1:14" x14ac:dyDescent="0.35">
      <c r="A15" s="8" t="s">
        <v>37</v>
      </c>
      <c r="B15" s="8" t="s">
        <v>38</v>
      </c>
      <c r="C15" s="8" t="s">
        <v>24</v>
      </c>
      <c r="D15" s="8">
        <v>4.6099290780141848E-4</v>
      </c>
      <c r="E15" s="8" t="s">
        <v>8</v>
      </c>
      <c r="F15" s="8" t="s">
        <v>25</v>
      </c>
      <c r="G15" s="8" t="s">
        <v>26</v>
      </c>
      <c r="J15" s="8" t="s">
        <v>27</v>
      </c>
    </row>
    <row r="16" spans="1:14" x14ac:dyDescent="0.35">
      <c r="A16" s="8" t="s">
        <v>39</v>
      </c>
      <c r="B16" s="8" t="s">
        <v>40</v>
      </c>
      <c r="C16" s="8" t="s">
        <v>34</v>
      </c>
      <c r="D16" s="8">
        <v>7.4326241134751777E-3</v>
      </c>
      <c r="E16" s="8" t="s">
        <v>8</v>
      </c>
      <c r="F16" s="8" t="s">
        <v>25</v>
      </c>
      <c r="G16" s="8" t="s">
        <v>26</v>
      </c>
      <c r="J16" s="8" t="s">
        <v>27</v>
      </c>
    </row>
    <row r="17" spans="1:10" x14ac:dyDescent="0.35">
      <c r="A17" s="8" t="s">
        <v>41</v>
      </c>
      <c r="B17" s="8" t="s">
        <v>42</v>
      </c>
      <c r="C17" s="8" t="s">
        <v>34</v>
      </c>
      <c r="D17" s="8">
        <v>6.4893617021276597E-3</v>
      </c>
      <c r="E17" s="8" t="s">
        <v>8</v>
      </c>
      <c r="F17" s="8" t="s">
        <v>25</v>
      </c>
      <c r="G17" s="8" t="s">
        <v>26</v>
      </c>
      <c r="J17" s="8" t="s">
        <v>27</v>
      </c>
    </row>
    <row r="18" spans="1:10" x14ac:dyDescent="0.35">
      <c r="A18" s="8" t="s">
        <v>43</v>
      </c>
      <c r="B18" s="8" t="s">
        <v>44</v>
      </c>
      <c r="C18" s="8" t="s">
        <v>34</v>
      </c>
      <c r="D18" s="8">
        <v>7.0212765957446805E-4</v>
      </c>
      <c r="E18" s="8" t="s">
        <v>8</v>
      </c>
      <c r="F18" s="8" t="s">
        <v>25</v>
      </c>
      <c r="G18" s="8" t="s">
        <v>26</v>
      </c>
      <c r="J18" s="8" t="s">
        <v>27</v>
      </c>
    </row>
    <row r="19" spans="1:10" x14ac:dyDescent="0.35">
      <c r="A19" s="8" t="s">
        <v>45</v>
      </c>
      <c r="B19" s="8" t="s">
        <v>46</v>
      </c>
      <c r="C19" s="8" t="s">
        <v>24</v>
      </c>
      <c r="D19" s="8">
        <v>4.439716312056737E-3</v>
      </c>
      <c r="E19" s="8" t="s">
        <v>8</v>
      </c>
      <c r="F19" s="8" t="s">
        <v>25</v>
      </c>
      <c r="G19" s="8" t="s">
        <v>26</v>
      </c>
      <c r="J19" s="8" t="s">
        <v>27</v>
      </c>
    </row>
    <row r="20" spans="1:10" x14ac:dyDescent="0.35">
      <c r="A20" s="8" t="s">
        <v>47</v>
      </c>
      <c r="B20" s="8" t="s">
        <v>48</v>
      </c>
      <c r="C20" s="8" t="s">
        <v>24</v>
      </c>
      <c r="D20" s="8">
        <v>7.0212765957446805E-4</v>
      </c>
      <c r="E20" s="8" t="s">
        <v>8</v>
      </c>
      <c r="F20" s="8" t="s">
        <v>25</v>
      </c>
      <c r="G20" s="8" t="s">
        <v>26</v>
      </c>
      <c r="J20" s="8" t="s">
        <v>27</v>
      </c>
    </row>
    <row r="21" spans="1:10" x14ac:dyDescent="0.35">
      <c r="A21" s="8" t="s">
        <v>49</v>
      </c>
      <c r="B21" s="8" t="s">
        <v>50</v>
      </c>
      <c r="C21" s="8" t="s">
        <v>24</v>
      </c>
      <c r="D21" s="8">
        <v>5.8567375886524817E-2</v>
      </c>
      <c r="E21" s="8" t="s">
        <v>8</v>
      </c>
      <c r="F21" s="8" t="s">
        <v>25</v>
      </c>
      <c r="G21" s="8" t="s">
        <v>26</v>
      </c>
      <c r="J21" s="8" t="s">
        <v>27</v>
      </c>
    </row>
    <row r="22" spans="1:10" x14ac:dyDescent="0.35">
      <c r="A22" s="8" t="s">
        <v>51</v>
      </c>
      <c r="B22" s="8" t="s">
        <v>52</v>
      </c>
      <c r="C22" s="8" t="s">
        <v>24</v>
      </c>
      <c r="D22" s="8">
        <v>1.024468085106383</v>
      </c>
      <c r="E22" s="8" t="s">
        <v>53</v>
      </c>
      <c r="F22" s="8" t="s">
        <v>25</v>
      </c>
      <c r="G22" s="8" t="s">
        <v>26</v>
      </c>
      <c r="J22" s="8" t="s">
        <v>27</v>
      </c>
    </row>
    <row r="23" spans="1:10" x14ac:dyDescent="0.35">
      <c r="A23" s="8" t="s">
        <v>54</v>
      </c>
      <c r="B23" s="8" t="s">
        <v>55</v>
      </c>
      <c r="C23" s="8" t="s">
        <v>5</v>
      </c>
      <c r="D23" s="8">
        <v>0.35109929078014179</v>
      </c>
      <c r="E23" s="8" t="s">
        <v>56</v>
      </c>
      <c r="F23" s="8" t="s">
        <v>25</v>
      </c>
      <c r="G23" s="8" t="s">
        <v>26</v>
      </c>
      <c r="J23" s="8" t="s">
        <v>27</v>
      </c>
    </row>
    <row r="24" spans="1:10" x14ac:dyDescent="0.35">
      <c r="A24" s="8" t="s">
        <v>57</v>
      </c>
      <c r="B24" s="8" t="s">
        <v>58</v>
      </c>
      <c r="C24" s="8" t="s">
        <v>34</v>
      </c>
      <c r="D24" s="8">
        <v>-4.6099290780141799E-4</v>
      </c>
      <c r="E24" s="8" t="s">
        <v>59</v>
      </c>
      <c r="F24" s="8" t="s">
        <v>25</v>
      </c>
      <c r="G24" s="8" t="s">
        <v>26</v>
      </c>
      <c r="J24" s="8" t="s">
        <v>27</v>
      </c>
    </row>
    <row r="25" spans="1:10" x14ac:dyDescent="0.35">
      <c r="A25" s="8" t="s">
        <v>57</v>
      </c>
      <c r="B25" s="8" t="s">
        <v>58</v>
      </c>
      <c r="C25" s="8" t="s">
        <v>34</v>
      </c>
      <c r="D25" s="8">
        <v>-1.75744680851064E-2</v>
      </c>
      <c r="E25" s="8" t="s">
        <v>59</v>
      </c>
      <c r="F25" s="8" t="s">
        <v>25</v>
      </c>
      <c r="G25" s="8" t="s">
        <v>26</v>
      </c>
      <c r="J25" s="8" t="s">
        <v>27</v>
      </c>
    </row>
    <row r="26" spans="1:10" x14ac:dyDescent="0.35">
      <c r="A26" s="8" t="s">
        <v>60</v>
      </c>
      <c r="B26" s="8" t="s">
        <v>61</v>
      </c>
      <c r="C26" s="8" t="s">
        <v>34</v>
      </c>
      <c r="D26" s="8">
        <v>-1.75886524822695</v>
      </c>
      <c r="E26" s="8" t="s">
        <v>8</v>
      </c>
      <c r="F26" s="8" t="s">
        <v>25</v>
      </c>
      <c r="G26" s="8" t="s">
        <v>26</v>
      </c>
      <c r="J26" s="8" t="s">
        <v>27</v>
      </c>
    </row>
    <row r="27" spans="1:10" x14ac:dyDescent="0.35">
      <c r="A27" s="8" t="s">
        <v>62</v>
      </c>
      <c r="D27" s="8">
        <v>3.2029999999999998E-4</v>
      </c>
      <c r="E27" s="8" t="s">
        <v>8</v>
      </c>
      <c r="F27" s="8" t="s">
        <v>63</v>
      </c>
      <c r="G27" s="8" t="s">
        <v>64</v>
      </c>
      <c r="H27" s="8" t="s">
        <v>65</v>
      </c>
      <c r="J27" s="8" t="s">
        <v>27</v>
      </c>
    </row>
    <row r="28" spans="1:10" x14ac:dyDescent="0.35">
      <c r="A28" s="8" t="s">
        <v>66</v>
      </c>
      <c r="D28" s="8">
        <v>7.7304964539007097E-4</v>
      </c>
      <c r="E28" s="8" t="s">
        <v>59</v>
      </c>
      <c r="F28" s="8" t="s">
        <v>63</v>
      </c>
      <c r="G28" s="8" t="s">
        <v>64</v>
      </c>
      <c r="H28" s="8" t="s">
        <v>65</v>
      </c>
      <c r="J28" s="8" t="s">
        <v>27</v>
      </c>
    </row>
    <row r="29" spans="1:10" x14ac:dyDescent="0.35">
      <c r="A29" s="8" t="s">
        <v>67</v>
      </c>
      <c r="D29" s="8">
        <v>7.5482269503546098E-2</v>
      </c>
      <c r="E29" s="8" t="s">
        <v>68</v>
      </c>
      <c r="F29" s="8" t="s">
        <v>63</v>
      </c>
      <c r="G29" s="8" t="s">
        <v>64</v>
      </c>
      <c r="H29" s="8" t="s">
        <v>69</v>
      </c>
      <c r="J29" s="8" t="s">
        <v>27</v>
      </c>
    </row>
    <row r="30" spans="1:10" x14ac:dyDescent="0.35">
      <c r="A30" s="8" t="s">
        <v>70</v>
      </c>
      <c r="D30" s="8">
        <v>7.5482269503546098E-2</v>
      </c>
      <c r="E30" s="8" t="s">
        <v>68</v>
      </c>
      <c r="F30" s="8" t="s">
        <v>63</v>
      </c>
      <c r="G30" s="8" t="s">
        <v>64</v>
      </c>
      <c r="H30" s="8" t="s">
        <v>69</v>
      </c>
      <c r="J30" s="8" t="s">
        <v>27</v>
      </c>
    </row>
    <row r="31" spans="1:10" s="11" customFormat="1" x14ac:dyDescent="0.35"/>
    <row r="32" spans="1:10" x14ac:dyDescent="0.35">
      <c r="A32" s="7" t="s">
        <v>0</v>
      </c>
      <c r="B32" s="7" t="s">
        <v>71</v>
      </c>
    </row>
    <row r="33" spans="1:14" x14ac:dyDescent="0.35">
      <c r="A33" s="9" t="s">
        <v>2</v>
      </c>
      <c r="B33" s="8" t="s">
        <v>72</v>
      </c>
    </row>
    <row r="34" spans="1:14" x14ac:dyDescent="0.35">
      <c r="A34" s="9" t="s">
        <v>4</v>
      </c>
      <c r="B34" s="8" t="s">
        <v>5</v>
      </c>
    </row>
    <row r="35" spans="1:14" x14ac:dyDescent="0.35">
      <c r="A35" s="9" t="s">
        <v>6</v>
      </c>
      <c r="B35" s="8">
        <v>1</v>
      </c>
    </row>
    <row r="36" spans="1:14" x14ac:dyDescent="0.35">
      <c r="A36" s="9" t="s">
        <v>7</v>
      </c>
      <c r="B36" s="8" t="s">
        <v>8</v>
      </c>
    </row>
    <row r="37" spans="1:14" ht="29" x14ac:dyDescent="0.35">
      <c r="A37" s="9" t="s">
        <v>9</v>
      </c>
      <c r="B37" s="13" t="s">
        <v>226</v>
      </c>
    </row>
    <row r="38" spans="1:14" x14ac:dyDescent="0.35">
      <c r="A38" s="9" t="s">
        <v>10</v>
      </c>
    </row>
    <row r="39" spans="1:14" x14ac:dyDescent="0.35">
      <c r="A39" s="7" t="s">
        <v>11</v>
      </c>
      <c r="B39" s="7" t="s">
        <v>2</v>
      </c>
      <c r="C39" s="7" t="s">
        <v>4</v>
      </c>
      <c r="D39" s="7" t="s">
        <v>6</v>
      </c>
      <c r="E39" s="7" t="s">
        <v>7</v>
      </c>
      <c r="F39" s="7" t="s">
        <v>12</v>
      </c>
      <c r="G39" s="7" t="s">
        <v>13</v>
      </c>
      <c r="H39" s="7" t="s">
        <v>14</v>
      </c>
      <c r="I39" s="7" t="s">
        <v>15</v>
      </c>
      <c r="J39" s="7" t="s">
        <v>16</v>
      </c>
      <c r="K39" s="7" t="s">
        <v>17</v>
      </c>
      <c r="L39" s="7" t="s">
        <v>18</v>
      </c>
      <c r="M39" s="7" t="s">
        <v>19</v>
      </c>
      <c r="N39" s="7" t="s">
        <v>20</v>
      </c>
    </row>
    <row r="40" spans="1:14" x14ac:dyDescent="0.35">
      <c r="A40" s="8" t="s">
        <v>71</v>
      </c>
      <c r="B40" s="8" t="s">
        <v>72</v>
      </c>
      <c r="C40" s="8" t="s">
        <v>5</v>
      </c>
      <c r="D40" s="8">
        <v>1</v>
      </c>
      <c r="E40" s="8" t="s">
        <v>8</v>
      </c>
      <c r="F40" s="10" t="s">
        <v>62</v>
      </c>
      <c r="G40" s="8" t="s">
        <v>21</v>
      </c>
    </row>
    <row r="41" spans="1:14" x14ac:dyDescent="0.35">
      <c r="A41" s="8" t="s">
        <v>73</v>
      </c>
      <c r="B41" s="8" t="s">
        <v>74</v>
      </c>
      <c r="C41" s="8" t="s">
        <v>24</v>
      </c>
      <c r="D41" s="8">
        <v>4.0000000000000003E-5</v>
      </c>
      <c r="E41" s="8" t="s">
        <v>8</v>
      </c>
      <c r="F41" s="8" t="s">
        <v>25</v>
      </c>
      <c r="G41" s="8" t="s">
        <v>26</v>
      </c>
      <c r="J41" s="8" t="s">
        <v>27</v>
      </c>
    </row>
    <row r="42" spans="1:14" x14ac:dyDescent="0.35">
      <c r="A42" s="8" t="s">
        <v>54</v>
      </c>
      <c r="B42" s="8" t="s">
        <v>55</v>
      </c>
      <c r="C42" s="8" t="s">
        <v>5</v>
      </c>
      <c r="D42" s="8">
        <v>3.6127600000000002</v>
      </c>
      <c r="E42" s="8" t="s">
        <v>56</v>
      </c>
      <c r="F42" s="8" t="s">
        <v>25</v>
      </c>
      <c r="G42" s="8" t="s">
        <v>26</v>
      </c>
      <c r="J42" s="8" t="s">
        <v>27</v>
      </c>
    </row>
    <row r="43" spans="1:14" x14ac:dyDescent="0.35">
      <c r="A43" s="8" t="s">
        <v>75</v>
      </c>
      <c r="B43" s="8" t="s">
        <v>76</v>
      </c>
      <c r="C43" s="8" t="s">
        <v>5</v>
      </c>
      <c r="D43" s="8">
        <v>2.0000000000000002E-5</v>
      </c>
      <c r="E43" s="8" t="s">
        <v>59</v>
      </c>
      <c r="F43" s="8" t="s">
        <v>25</v>
      </c>
      <c r="G43" s="8" t="s">
        <v>26</v>
      </c>
      <c r="J43" s="8" t="s">
        <v>27</v>
      </c>
    </row>
    <row r="44" spans="1:14" x14ac:dyDescent="0.35">
      <c r="A44" s="8" t="s">
        <v>77</v>
      </c>
      <c r="B44" s="8" t="s">
        <v>78</v>
      </c>
      <c r="C44" s="8" t="s">
        <v>24</v>
      </c>
      <c r="D44" s="8">
        <v>1.3999999999999999E-4</v>
      </c>
      <c r="E44" s="8" t="s">
        <v>8</v>
      </c>
      <c r="F44" s="8" t="s">
        <v>25</v>
      </c>
      <c r="G44" s="8" t="s">
        <v>26</v>
      </c>
      <c r="J44" s="8" t="s">
        <v>27</v>
      </c>
    </row>
    <row r="45" spans="1:14" x14ac:dyDescent="0.35">
      <c r="A45" s="8" t="s">
        <v>79</v>
      </c>
      <c r="B45" s="8" t="s">
        <v>80</v>
      </c>
      <c r="C45" s="8" t="s">
        <v>24</v>
      </c>
      <c r="D45" s="8">
        <v>5.5000000000000003E-4</v>
      </c>
      <c r="E45" s="8" t="s">
        <v>8</v>
      </c>
      <c r="F45" s="8" t="s">
        <v>25</v>
      </c>
      <c r="G45" s="8" t="s">
        <v>26</v>
      </c>
      <c r="J45" s="8" t="s">
        <v>27</v>
      </c>
    </row>
    <row r="46" spans="1:14" x14ac:dyDescent="0.35">
      <c r="A46" s="8" t="s">
        <v>81</v>
      </c>
      <c r="B46" s="8" t="s">
        <v>82</v>
      </c>
      <c r="C46" s="8" t="s">
        <v>34</v>
      </c>
      <c r="D46" s="8">
        <v>0.05</v>
      </c>
      <c r="E46" s="8" t="s">
        <v>83</v>
      </c>
      <c r="F46" s="8" t="s">
        <v>25</v>
      </c>
      <c r="G46" s="8" t="s">
        <v>26</v>
      </c>
      <c r="J46" s="8" t="s">
        <v>27</v>
      </c>
    </row>
    <row r="47" spans="1:14" x14ac:dyDescent="0.35">
      <c r="A47" s="8" t="s">
        <v>84</v>
      </c>
      <c r="B47" s="8" t="s">
        <v>85</v>
      </c>
      <c r="C47" s="8" t="s">
        <v>5</v>
      </c>
      <c r="D47" s="8">
        <v>0.1</v>
      </c>
      <c r="E47" s="8" t="s">
        <v>83</v>
      </c>
      <c r="F47" s="8" t="s">
        <v>25</v>
      </c>
      <c r="G47" s="8" t="s">
        <v>26</v>
      </c>
      <c r="J47" s="8" t="s">
        <v>27</v>
      </c>
    </row>
    <row r="48" spans="1:14" x14ac:dyDescent="0.35">
      <c r="A48" s="8" t="s">
        <v>67</v>
      </c>
      <c r="D48" s="8">
        <v>5.106382978723404E-4</v>
      </c>
      <c r="E48" s="8" t="s">
        <v>68</v>
      </c>
      <c r="F48" s="8" t="s">
        <v>63</v>
      </c>
      <c r="G48" s="8" t="s">
        <v>64</v>
      </c>
      <c r="H48" s="8" t="s">
        <v>69</v>
      </c>
      <c r="J48" s="8" t="s">
        <v>27</v>
      </c>
    </row>
    <row r="49" spans="1:10" x14ac:dyDescent="0.35">
      <c r="A49" s="8" t="s">
        <v>70</v>
      </c>
      <c r="D49" s="8">
        <v>5.106382978723404E-4</v>
      </c>
      <c r="E49" s="8" t="s">
        <v>68</v>
      </c>
      <c r="F49" s="8" t="s">
        <v>63</v>
      </c>
      <c r="G49" s="8" t="s">
        <v>64</v>
      </c>
      <c r="H49" s="8" t="s">
        <v>69</v>
      </c>
      <c r="J49" s="8" t="s">
        <v>27</v>
      </c>
    </row>
    <row r="50" spans="1:10" x14ac:dyDescent="0.35">
      <c r="A50" s="8" t="s">
        <v>66</v>
      </c>
      <c r="D50" s="8">
        <v>1.1990000000000001E-2</v>
      </c>
      <c r="E50" s="8" t="s">
        <v>59</v>
      </c>
      <c r="F50" s="8" t="s">
        <v>63</v>
      </c>
      <c r="G50" s="8" t="s">
        <v>64</v>
      </c>
      <c r="H50" s="8" t="s">
        <v>65</v>
      </c>
      <c r="J50" s="8" t="s">
        <v>27</v>
      </c>
    </row>
    <row r="51" spans="1:10" x14ac:dyDescent="0.35">
      <c r="A51" s="8" t="s">
        <v>86</v>
      </c>
      <c r="D51" s="8">
        <v>2.199999999999999E-4</v>
      </c>
      <c r="E51" s="8" t="s">
        <v>8</v>
      </c>
      <c r="F51" s="8" t="s">
        <v>63</v>
      </c>
      <c r="G51" s="8" t="s">
        <v>64</v>
      </c>
      <c r="H51" s="8" t="s">
        <v>87</v>
      </c>
      <c r="J51" s="8" t="s">
        <v>27</v>
      </c>
    </row>
    <row r="52" spans="1:10" x14ac:dyDescent="0.35">
      <c r="A52" s="8" t="s">
        <v>88</v>
      </c>
      <c r="D52" s="8">
        <v>7.9999999999999993E-5</v>
      </c>
      <c r="E52" s="8" t="s">
        <v>8</v>
      </c>
      <c r="F52" s="8" t="s">
        <v>63</v>
      </c>
      <c r="G52" s="8" t="s">
        <v>64</v>
      </c>
      <c r="H52" s="8" t="s">
        <v>87</v>
      </c>
      <c r="J52" s="8" t="s">
        <v>27</v>
      </c>
    </row>
    <row r="53" spans="1:10" x14ac:dyDescent="0.35">
      <c r="A53" s="8" t="s">
        <v>89</v>
      </c>
      <c r="D53" s="8">
        <v>3.4999999999999999E-6</v>
      </c>
      <c r="E53" s="8" t="s">
        <v>8</v>
      </c>
      <c r="F53" s="8" t="s">
        <v>63</v>
      </c>
      <c r="G53" s="8" t="s">
        <v>64</v>
      </c>
      <c r="H53" s="8" t="s">
        <v>87</v>
      </c>
      <c r="J53" s="8" t="s">
        <v>27</v>
      </c>
    </row>
    <row r="54" spans="1:10" x14ac:dyDescent="0.35">
      <c r="A54" s="8" t="s">
        <v>90</v>
      </c>
      <c r="D54" s="8">
        <v>3.1699999999999998E-11</v>
      </c>
      <c r="E54" s="8" t="s">
        <v>8</v>
      </c>
      <c r="F54" s="8" t="s">
        <v>63</v>
      </c>
      <c r="G54" s="8" t="s">
        <v>64</v>
      </c>
      <c r="H54" s="8" t="s">
        <v>87</v>
      </c>
      <c r="J54" s="8" t="s">
        <v>27</v>
      </c>
    </row>
    <row r="55" spans="1:10" x14ac:dyDescent="0.35">
      <c r="A55" s="8" t="s">
        <v>91</v>
      </c>
      <c r="D55" s="8">
        <v>1.4999999999999999E-4</v>
      </c>
      <c r="E55" s="8" t="s">
        <v>8</v>
      </c>
      <c r="F55" s="8" t="s">
        <v>63</v>
      </c>
      <c r="G55" s="8" t="s">
        <v>64</v>
      </c>
      <c r="H55" s="8" t="s">
        <v>87</v>
      </c>
      <c r="J55" s="8" t="s">
        <v>27</v>
      </c>
    </row>
    <row r="56" spans="1:10" x14ac:dyDescent="0.35">
      <c r="A56" s="8" t="s">
        <v>92</v>
      </c>
      <c r="D56" s="8">
        <v>6.609999999999999E-8</v>
      </c>
      <c r="E56" s="8" t="s">
        <v>8</v>
      </c>
      <c r="F56" s="8" t="s">
        <v>63</v>
      </c>
      <c r="G56" s="8" t="s">
        <v>64</v>
      </c>
      <c r="H56" s="8" t="s">
        <v>93</v>
      </c>
      <c r="J56" s="8" t="s">
        <v>27</v>
      </c>
    </row>
    <row r="57" spans="1:10" x14ac:dyDescent="0.35">
      <c r="A57" s="8" t="s">
        <v>94</v>
      </c>
      <c r="D57" s="8">
        <v>4.6600000000000007E-8</v>
      </c>
      <c r="E57" s="8" t="s">
        <v>8</v>
      </c>
      <c r="F57" s="8" t="s">
        <v>63</v>
      </c>
      <c r="G57" s="8" t="s">
        <v>64</v>
      </c>
      <c r="H57" s="8" t="s">
        <v>93</v>
      </c>
      <c r="J57" s="8" t="s">
        <v>27</v>
      </c>
    </row>
    <row r="58" spans="1:10" x14ac:dyDescent="0.35">
      <c r="A58" s="8" t="s">
        <v>95</v>
      </c>
      <c r="D58" s="8">
        <v>2.5499999999999988E-9</v>
      </c>
      <c r="E58" s="8" t="s">
        <v>8</v>
      </c>
      <c r="F58" s="8" t="s">
        <v>63</v>
      </c>
      <c r="G58" s="8" t="s">
        <v>64</v>
      </c>
      <c r="H58" s="8" t="s">
        <v>93</v>
      </c>
      <c r="J58" s="8" t="s">
        <v>27</v>
      </c>
    </row>
    <row r="59" spans="1:10" x14ac:dyDescent="0.35">
      <c r="A59" s="8" t="s">
        <v>96</v>
      </c>
      <c r="D59" s="8">
        <v>1.26E-10</v>
      </c>
      <c r="E59" s="8" t="s">
        <v>8</v>
      </c>
      <c r="F59" s="8" t="s">
        <v>63</v>
      </c>
      <c r="G59" s="8" t="s">
        <v>64</v>
      </c>
      <c r="H59" s="8" t="s">
        <v>93</v>
      </c>
      <c r="J59" s="8" t="s">
        <v>27</v>
      </c>
    </row>
    <row r="60" spans="1:10" x14ac:dyDescent="0.35">
      <c r="A60" s="8" t="s">
        <v>97</v>
      </c>
      <c r="D60" s="8">
        <v>5.5999999999999993E-10</v>
      </c>
      <c r="E60" s="8" t="s">
        <v>8</v>
      </c>
      <c r="F60" s="8" t="s">
        <v>63</v>
      </c>
      <c r="G60" s="8" t="s">
        <v>64</v>
      </c>
      <c r="H60" s="8" t="s">
        <v>93</v>
      </c>
      <c r="J60" s="8" t="s">
        <v>27</v>
      </c>
    </row>
    <row r="61" spans="1:10" x14ac:dyDescent="0.35">
      <c r="A61" s="8" t="s">
        <v>98</v>
      </c>
      <c r="D61" s="8">
        <v>9.8199999999999994E-11</v>
      </c>
      <c r="E61" s="8" t="s">
        <v>8</v>
      </c>
      <c r="F61" s="8" t="s">
        <v>63</v>
      </c>
      <c r="G61" s="8" t="s">
        <v>64</v>
      </c>
      <c r="H61" s="8" t="s">
        <v>93</v>
      </c>
      <c r="J61" s="8" t="s">
        <v>27</v>
      </c>
    </row>
    <row r="62" spans="1:10" x14ac:dyDescent="0.35">
      <c r="A62" s="8" t="s">
        <v>99</v>
      </c>
      <c r="D62" s="8">
        <v>1.65E-10</v>
      </c>
      <c r="E62" s="8" t="s">
        <v>8</v>
      </c>
      <c r="F62" s="8" t="s">
        <v>63</v>
      </c>
      <c r="G62" s="8" t="s">
        <v>64</v>
      </c>
      <c r="H62" s="8" t="s">
        <v>93</v>
      </c>
      <c r="J62" s="8" t="s">
        <v>27</v>
      </c>
    </row>
    <row r="63" spans="1:10" x14ac:dyDescent="0.35">
      <c r="A63" s="8" t="s">
        <v>100</v>
      </c>
      <c r="D63" s="8">
        <v>3.2000000000000001E-9</v>
      </c>
      <c r="E63" s="8" t="s">
        <v>8</v>
      </c>
      <c r="F63" s="8" t="s">
        <v>63</v>
      </c>
      <c r="G63" s="8" t="s">
        <v>64</v>
      </c>
      <c r="H63" s="8" t="s">
        <v>93</v>
      </c>
      <c r="J63" s="8" t="s">
        <v>27</v>
      </c>
    </row>
    <row r="64" spans="1:10" x14ac:dyDescent="0.35">
      <c r="A64" s="8" t="s">
        <v>89</v>
      </c>
      <c r="D64" s="8">
        <v>3.9299999999999988E-10</v>
      </c>
      <c r="E64" s="8" t="s">
        <v>8</v>
      </c>
      <c r="F64" s="8" t="s">
        <v>63</v>
      </c>
      <c r="G64" s="8" t="s">
        <v>64</v>
      </c>
      <c r="H64" s="8" t="s">
        <v>93</v>
      </c>
      <c r="J64" s="8" t="s">
        <v>27</v>
      </c>
    </row>
    <row r="65" spans="1:10" x14ac:dyDescent="0.35">
      <c r="A65" s="8" t="s">
        <v>101</v>
      </c>
      <c r="D65" s="8">
        <v>9.8199999999999994E-11</v>
      </c>
      <c r="E65" s="8" t="s">
        <v>8</v>
      </c>
      <c r="F65" s="8" t="s">
        <v>63</v>
      </c>
      <c r="G65" s="8" t="s">
        <v>64</v>
      </c>
      <c r="H65" s="8" t="s">
        <v>93</v>
      </c>
      <c r="J65" s="8" t="s">
        <v>27</v>
      </c>
    </row>
    <row r="66" spans="1:10" x14ac:dyDescent="0.35">
      <c r="A66" s="8" t="s">
        <v>90</v>
      </c>
      <c r="D66" s="8">
        <v>1.959999999999999E-14</v>
      </c>
      <c r="E66" s="8" t="s">
        <v>8</v>
      </c>
      <c r="F66" s="8" t="s">
        <v>63</v>
      </c>
      <c r="G66" s="8" t="s">
        <v>64</v>
      </c>
      <c r="H66" s="8" t="s">
        <v>93</v>
      </c>
      <c r="J66" s="8" t="s">
        <v>27</v>
      </c>
    </row>
    <row r="67" spans="1:10" x14ac:dyDescent="0.35">
      <c r="A67" s="8" t="s">
        <v>102</v>
      </c>
      <c r="D67" s="8">
        <v>8.1499999999999998E-10</v>
      </c>
      <c r="E67" s="8" t="s">
        <v>8</v>
      </c>
      <c r="F67" s="8" t="s">
        <v>63</v>
      </c>
      <c r="G67" s="8" t="s">
        <v>64</v>
      </c>
      <c r="H67" s="8" t="s">
        <v>93</v>
      </c>
      <c r="J67" s="8" t="s">
        <v>27</v>
      </c>
    </row>
    <row r="68" spans="1:10" x14ac:dyDescent="0.35">
      <c r="A68" s="8" t="s">
        <v>103</v>
      </c>
      <c r="D68" s="8">
        <v>9.8199999999999994E-11</v>
      </c>
      <c r="E68" s="8" t="s">
        <v>8</v>
      </c>
      <c r="F68" s="8" t="s">
        <v>63</v>
      </c>
      <c r="G68" s="8" t="s">
        <v>64</v>
      </c>
      <c r="H68" s="8" t="s">
        <v>93</v>
      </c>
      <c r="J68" s="8" t="s">
        <v>27</v>
      </c>
    </row>
    <row r="69" spans="1:10" x14ac:dyDescent="0.35">
      <c r="A69" s="8" t="s">
        <v>104</v>
      </c>
      <c r="D69" s="8">
        <v>9.8199999999999994E-11</v>
      </c>
      <c r="E69" s="8" t="s">
        <v>8</v>
      </c>
      <c r="F69" s="8" t="s">
        <v>63</v>
      </c>
      <c r="G69" s="8" t="s">
        <v>64</v>
      </c>
      <c r="H69" s="8" t="s">
        <v>93</v>
      </c>
      <c r="J69" s="8" t="s">
        <v>27</v>
      </c>
    </row>
    <row r="70" spans="1:10" x14ac:dyDescent="0.35">
      <c r="A70" s="8" t="s">
        <v>105</v>
      </c>
      <c r="D70" s="8">
        <v>3.5199999999999998E-9</v>
      </c>
      <c r="E70" s="8" t="s">
        <v>8</v>
      </c>
      <c r="F70" s="8" t="s">
        <v>63</v>
      </c>
      <c r="G70" s="8" t="s">
        <v>64</v>
      </c>
      <c r="H70" s="8" t="s">
        <v>93</v>
      </c>
      <c r="J70" s="8" t="s">
        <v>27</v>
      </c>
    </row>
    <row r="71" spans="1:10" x14ac:dyDescent="0.35">
      <c r="A71" s="8" t="s">
        <v>106</v>
      </c>
      <c r="D71" s="8">
        <v>4.2399999999999988E-10</v>
      </c>
      <c r="E71" s="8" t="s">
        <v>8</v>
      </c>
      <c r="F71" s="8" t="s">
        <v>63</v>
      </c>
      <c r="G71" s="8" t="s">
        <v>64</v>
      </c>
      <c r="H71" s="8" t="s">
        <v>93</v>
      </c>
      <c r="J71" s="8" t="s">
        <v>27</v>
      </c>
    </row>
    <row r="72" spans="1:10" x14ac:dyDescent="0.35">
      <c r="A72" s="8" t="s">
        <v>107</v>
      </c>
      <c r="D72" s="8">
        <v>1.79E-10</v>
      </c>
      <c r="E72" s="8" t="s">
        <v>8</v>
      </c>
      <c r="F72" s="8" t="s">
        <v>63</v>
      </c>
      <c r="G72" s="8" t="s">
        <v>64</v>
      </c>
      <c r="H72" s="8" t="s">
        <v>352</v>
      </c>
      <c r="J72" s="8" t="s">
        <v>27</v>
      </c>
    </row>
    <row r="73" spans="1:10" s="12" customFormat="1" x14ac:dyDescent="0.35"/>
    <row r="74" spans="1:10" x14ac:dyDescent="0.35">
      <c r="A74" s="7" t="s">
        <v>0</v>
      </c>
      <c r="B74" s="7" t="s">
        <v>108</v>
      </c>
    </row>
    <row r="75" spans="1:10" x14ac:dyDescent="0.35">
      <c r="A75" s="9" t="s">
        <v>2</v>
      </c>
      <c r="B75" s="8" t="s">
        <v>72</v>
      </c>
    </row>
    <row r="76" spans="1:10" x14ac:dyDescent="0.35">
      <c r="A76" s="9" t="s">
        <v>4</v>
      </c>
      <c r="B76" s="8" t="s">
        <v>5</v>
      </c>
    </row>
    <row r="77" spans="1:10" x14ac:dyDescent="0.35">
      <c r="A77" s="9" t="s">
        <v>6</v>
      </c>
      <c r="B77" s="8">
        <v>1</v>
      </c>
    </row>
    <row r="78" spans="1:10" x14ac:dyDescent="0.35">
      <c r="A78" s="9" t="s">
        <v>7</v>
      </c>
      <c r="B78" s="8" t="s">
        <v>8</v>
      </c>
    </row>
    <row r="79" spans="1:10" x14ac:dyDescent="0.35">
      <c r="A79" s="9" t="s">
        <v>9</v>
      </c>
      <c r="B79" s="8" t="s">
        <v>109</v>
      </c>
    </row>
    <row r="80" spans="1:10" x14ac:dyDescent="0.35">
      <c r="A80" s="9" t="s">
        <v>10</v>
      </c>
    </row>
    <row r="81" spans="1:14" x14ac:dyDescent="0.35">
      <c r="A81" s="7" t="s">
        <v>11</v>
      </c>
      <c r="B81" s="7" t="s">
        <v>2</v>
      </c>
      <c r="C81" s="7" t="s">
        <v>4</v>
      </c>
      <c r="D81" s="7" t="s">
        <v>6</v>
      </c>
      <c r="E81" s="7" t="s">
        <v>7</v>
      </c>
      <c r="F81" s="7" t="s">
        <v>12</v>
      </c>
      <c r="G81" s="7" t="s">
        <v>13</v>
      </c>
      <c r="H81" s="7" t="s">
        <v>14</v>
      </c>
      <c r="I81" s="7" t="s">
        <v>15</v>
      </c>
      <c r="J81" s="7" t="s">
        <v>16</v>
      </c>
      <c r="K81" s="7" t="s">
        <v>17</v>
      </c>
      <c r="L81" s="7" t="s">
        <v>18</v>
      </c>
      <c r="M81" s="7" t="s">
        <v>19</v>
      </c>
      <c r="N81" s="7" t="s">
        <v>20</v>
      </c>
    </row>
    <row r="82" spans="1:14" x14ac:dyDescent="0.35">
      <c r="A82" s="8" t="s">
        <v>108</v>
      </c>
      <c r="B82" s="8" t="s">
        <v>72</v>
      </c>
      <c r="C82" s="8" t="s">
        <v>5</v>
      </c>
      <c r="D82" s="8">
        <v>1</v>
      </c>
      <c r="E82" s="8" t="s">
        <v>8</v>
      </c>
      <c r="F82" s="10" t="s">
        <v>62</v>
      </c>
      <c r="G82" s="8" t="s">
        <v>21</v>
      </c>
    </row>
    <row r="83" spans="1:14" x14ac:dyDescent="0.35">
      <c r="A83" s="8" t="s">
        <v>71</v>
      </c>
      <c r="B83" s="8" t="s">
        <v>72</v>
      </c>
      <c r="C83" s="8" t="s">
        <v>5</v>
      </c>
      <c r="D83" s="8">
        <v>1</v>
      </c>
      <c r="E83" s="8" t="s">
        <v>8</v>
      </c>
      <c r="F83" s="10" t="s">
        <v>62</v>
      </c>
      <c r="G83" s="8" t="s">
        <v>26</v>
      </c>
    </row>
    <row r="84" spans="1:14" x14ac:dyDescent="0.35">
      <c r="A84" s="8" t="s">
        <v>1</v>
      </c>
      <c r="B84" s="8" t="s">
        <v>3</v>
      </c>
      <c r="C84" s="8" t="s">
        <v>5</v>
      </c>
      <c r="D84" s="8">
        <v>1.41</v>
      </c>
      <c r="E84" s="8" t="s">
        <v>8</v>
      </c>
      <c r="F84" s="10" t="s">
        <v>62</v>
      </c>
      <c r="G84" s="8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0639-EFCD-415B-991C-1053D9042576}">
  <sheetPr>
    <tabColor theme="8" tint="0.39997558519241921"/>
  </sheetPr>
  <dimension ref="A1:N181"/>
  <sheetViews>
    <sheetView workbookViewId="0">
      <selection activeCell="A180" sqref="A180"/>
    </sheetView>
  </sheetViews>
  <sheetFormatPr baseColWidth="10" defaultColWidth="9.1796875" defaultRowHeight="14.5" x14ac:dyDescent="0.35"/>
  <cols>
    <col min="1" max="1" width="88.1796875" style="8" bestFit="1" customWidth="1"/>
    <col min="2" max="2" width="88.453125" style="8" bestFit="1" customWidth="1"/>
    <col min="3" max="3" width="8.1796875" style="8" bestFit="1" customWidth="1"/>
    <col min="4" max="4" width="12.7265625" style="8" bestFit="1" customWidth="1"/>
    <col min="5" max="5" width="11.453125" style="8" bestFit="1" customWidth="1"/>
    <col min="6" max="6" width="19.7265625" style="8" bestFit="1" customWidth="1"/>
    <col min="7" max="7" width="13.26953125" style="8" bestFit="1" customWidth="1"/>
    <col min="8" max="8" width="25.2695312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7" t="s">
        <v>135</v>
      </c>
    </row>
    <row r="2" spans="1:14" x14ac:dyDescent="0.35">
      <c r="A2" s="9" t="s">
        <v>2</v>
      </c>
      <c r="B2" s="8" t="s">
        <v>3</v>
      </c>
    </row>
    <row r="3" spans="1:14" x14ac:dyDescent="0.35">
      <c r="A3" s="9" t="s">
        <v>4</v>
      </c>
      <c r="B3" s="8" t="s">
        <v>5</v>
      </c>
    </row>
    <row r="4" spans="1:14" x14ac:dyDescent="0.35">
      <c r="A4" s="9" t="s">
        <v>6</v>
      </c>
      <c r="B4" s="8">
        <v>1</v>
      </c>
    </row>
    <row r="5" spans="1:14" x14ac:dyDescent="0.35">
      <c r="A5" s="9" t="s">
        <v>7</v>
      </c>
      <c r="B5" s="8" t="s">
        <v>8</v>
      </c>
    </row>
    <row r="6" spans="1:14" ht="43.5" x14ac:dyDescent="0.35">
      <c r="A6" s="9" t="s">
        <v>9</v>
      </c>
      <c r="B6" s="13" t="s">
        <v>348</v>
      </c>
    </row>
    <row r="7" spans="1:14" x14ac:dyDescent="0.35">
      <c r="A7" s="9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8" t="str">
        <f>B1</f>
        <v>[M+C] Zinc (Zn) ore mining and concentration (Guangdong)</v>
      </c>
      <c r="B9" s="8" t="str">
        <f>B2</f>
        <v>Zn concentrate</v>
      </c>
      <c r="C9" s="8" t="str">
        <f>B3</f>
        <v>CN</v>
      </c>
      <c r="D9" s="8">
        <v>1</v>
      </c>
      <c r="E9" s="8" t="s">
        <v>8</v>
      </c>
      <c r="F9" s="10" t="s">
        <v>62</v>
      </c>
      <c r="G9" s="8" t="s">
        <v>21</v>
      </c>
    </row>
    <row r="10" spans="1:14" x14ac:dyDescent="0.35">
      <c r="A10" s="8" t="s">
        <v>51</v>
      </c>
      <c r="B10" s="8" t="s">
        <v>52</v>
      </c>
      <c r="C10" s="8" t="s">
        <v>24</v>
      </c>
      <c r="D10" s="15">
        <v>0.12919383763092468</v>
      </c>
      <c r="E10" s="8" t="s">
        <v>53</v>
      </c>
      <c r="F10" s="8" t="s">
        <v>25</v>
      </c>
      <c r="G10" s="8" t="s">
        <v>26</v>
      </c>
      <c r="J10" s="8" t="s">
        <v>136</v>
      </c>
    </row>
    <row r="11" spans="1:14" x14ac:dyDescent="0.35">
      <c r="A11" s="8" t="s">
        <v>54</v>
      </c>
      <c r="B11" s="8" t="s">
        <v>55</v>
      </c>
      <c r="C11" s="8" t="s">
        <v>5</v>
      </c>
      <c r="D11" s="15">
        <v>0.54694872610983181</v>
      </c>
      <c r="E11" s="8" t="s">
        <v>56</v>
      </c>
      <c r="F11" s="8" t="s">
        <v>25</v>
      </c>
      <c r="G11" s="8" t="s">
        <v>26</v>
      </c>
      <c r="J11" s="8" t="s">
        <v>136</v>
      </c>
    </row>
    <row r="12" spans="1:14" x14ac:dyDescent="0.35">
      <c r="A12" s="8" t="s">
        <v>137</v>
      </c>
      <c r="B12" s="8" t="s">
        <v>138</v>
      </c>
      <c r="C12" s="8" t="s">
        <v>34</v>
      </c>
      <c r="D12" s="15">
        <v>4.7129011269982633E-4</v>
      </c>
      <c r="E12" s="8" t="s">
        <v>53</v>
      </c>
      <c r="F12" s="8" t="s">
        <v>25</v>
      </c>
      <c r="G12" s="8" t="s">
        <v>26</v>
      </c>
      <c r="J12" s="8" t="s">
        <v>136</v>
      </c>
    </row>
    <row r="13" spans="1:14" x14ac:dyDescent="0.35">
      <c r="A13" s="8" t="s">
        <v>139</v>
      </c>
      <c r="B13" s="8" t="s">
        <v>140</v>
      </c>
      <c r="C13" s="8" t="s">
        <v>24</v>
      </c>
      <c r="D13" s="15">
        <v>1.9421295853014819E-5</v>
      </c>
      <c r="E13" s="8" t="s">
        <v>8</v>
      </c>
      <c r="F13" s="8" t="s">
        <v>25</v>
      </c>
      <c r="G13" s="8" t="s">
        <v>26</v>
      </c>
      <c r="J13" s="8" t="s">
        <v>136</v>
      </c>
    </row>
    <row r="14" spans="1:14" x14ac:dyDescent="0.35">
      <c r="A14" s="8" t="s">
        <v>22</v>
      </c>
      <c r="B14" s="8" t="s">
        <v>23</v>
      </c>
      <c r="C14" s="8" t="s">
        <v>24</v>
      </c>
      <c r="D14" s="15">
        <v>2.9272677807442625E-3</v>
      </c>
      <c r="E14" s="8" t="s">
        <v>8</v>
      </c>
      <c r="F14" s="8" t="s">
        <v>25</v>
      </c>
      <c r="G14" s="8" t="s">
        <v>26</v>
      </c>
      <c r="J14" s="8" t="s">
        <v>136</v>
      </c>
    </row>
    <row r="15" spans="1:14" x14ac:dyDescent="0.35">
      <c r="A15" s="8" t="s">
        <v>114</v>
      </c>
      <c r="B15" s="8" t="s">
        <v>115</v>
      </c>
      <c r="C15" s="8" t="s">
        <v>24</v>
      </c>
      <c r="D15" s="15">
        <v>2.4769188913989918E-3</v>
      </c>
      <c r="E15" s="8" t="s">
        <v>8</v>
      </c>
      <c r="F15" s="8" t="s">
        <v>25</v>
      </c>
      <c r="G15" s="8" t="s">
        <v>26</v>
      </c>
      <c r="J15" s="8" t="s">
        <v>136</v>
      </c>
    </row>
    <row r="16" spans="1:14" x14ac:dyDescent="0.35">
      <c r="A16" s="8" t="s">
        <v>141</v>
      </c>
      <c r="B16" s="8" t="s">
        <v>142</v>
      </c>
      <c r="C16" s="8" t="s">
        <v>24</v>
      </c>
      <c r="D16" s="15">
        <v>2.7809043917070495E-4</v>
      </c>
      <c r="E16" s="8" t="s">
        <v>8</v>
      </c>
      <c r="F16" s="8" t="s">
        <v>25</v>
      </c>
      <c r="G16" s="8" t="s">
        <v>26</v>
      </c>
      <c r="J16" s="8" t="s">
        <v>136</v>
      </c>
    </row>
    <row r="17" spans="1:10" x14ac:dyDescent="0.35">
      <c r="A17" s="8" t="s">
        <v>143</v>
      </c>
      <c r="B17" s="8" t="s">
        <v>144</v>
      </c>
      <c r="C17" s="8" t="s">
        <v>34</v>
      </c>
      <c r="D17" s="15">
        <v>6.2485908396656376E-6</v>
      </c>
      <c r="E17" s="8" t="s">
        <v>59</v>
      </c>
      <c r="F17" s="8" t="s">
        <v>25</v>
      </c>
      <c r="G17" s="8" t="s">
        <v>26</v>
      </c>
      <c r="J17" s="8" t="s">
        <v>136</v>
      </c>
    </row>
    <row r="18" spans="1:10" x14ac:dyDescent="0.35">
      <c r="A18" s="8" t="s">
        <v>32</v>
      </c>
      <c r="B18" s="8" t="s">
        <v>33</v>
      </c>
      <c r="C18" s="8" t="s">
        <v>34</v>
      </c>
      <c r="D18" s="15">
        <v>5.7700951447362869E-2</v>
      </c>
      <c r="E18" s="8" t="s">
        <v>8</v>
      </c>
      <c r="F18" s="8" t="s">
        <v>25</v>
      </c>
      <c r="G18" s="8" t="s">
        <v>26</v>
      </c>
      <c r="J18" s="8" t="s">
        <v>136</v>
      </c>
    </row>
    <row r="19" spans="1:10" x14ac:dyDescent="0.35">
      <c r="A19" s="8" t="s">
        <v>45</v>
      </c>
      <c r="B19" s="8" t="s">
        <v>46</v>
      </c>
      <c r="C19" s="8" t="s">
        <v>24</v>
      </c>
      <c r="D19" s="15">
        <v>3.5183506980099311E-3</v>
      </c>
      <c r="E19" s="8" t="s">
        <v>8</v>
      </c>
      <c r="F19" s="8" t="s">
        <v>25</v>
      </c>
      <c r="G19" s="8" t="s">
        <v>26</v>
      </c>
      <c r="J19" s="8" t="s">
        <v>136</v>
      </c>
    </row>
    <row r="20" spans="1:10" x14ac:dyDescent="0.35">
      <c r="A20" s="8" t="s">
        <v>28</v>
      </c>
      <c r="B20" s="8" t="s">
        <v>29</v>
      </c>
      <c r="C20" s="8" t="s">
        <v>24</v>
      </c>
      <c r="D20" s="15">
        <v>3.6196791981126172E-3</v>
      </c>
      <c r="E20" s="8" t="s">
        <v>8</v>
      </c>
      <c r="F20" s="8" t="s">
        <v>25</v>
      </c>
      <c r="G20" s="8" t="s">
        <v>26</v>
      </c>
      <c r="J20" s="8" t="s">
        <v>136</v>
      </c>
    </row>
    <row r="21" spans="1:10" x14ac:dyDescent="0.35">
      <c r="A21" s="8" t="s">
        <v>145</v>
      </c>
      <c r="B21" s="8" t="s">
        <v>146</v>
      </c>
      <c r="C21" s="8" t="s">
        <v>24</v>
      </c>
      <c r="D21" s="15">
        <v>6.4737652843382726E-4</v>
      </c>
      <c r="E21" s="8" t="s">
        <v>8</v>
      </c>
      <c r="F21" s="8" t="s">
        <v>25</v>
      </c>
      <c r="G21" s="8" t="s">
        <v>26</v>
      </c>
      <c r="J21" s="8" t="s">
        <v>136</v>
      </c>
    </row>
    <row r="22" spans="1:10" x14ac:dyDescent="0.35">
      <c r="A22" s="8" t="s">
        <v>28</v>
      </c>
      <c r="B22" s="8" t="s">
        <v>29</v>
      </c>
      <c r="C22" s="8" t="s">
        <v>24</v>
      </c>
      <c r="D22" s="15">
        <v>4.334608059948235E-4</v>
      </c>
      <c r="E22" s="8" t="s">
        <v>8</v>
      </c>
      <c r="F22" s="8" t="s">
        <v>25</v>
      </c>
      <c r="G22" s="8" t="s">
        <v>26</v>
      </c>
      <c r="J22" s="8" t="s">
        <v>136</v>
      </c>
    </row>
    <row r="23" spans="1:10" x14ac:dyDescent="0.35">
      <c r="A23" s="8" t="s">
        <v>147</v>
      </c>
      <c r="B23" s="8" t="s">
        <v>148</v>
      </c>
      <c r="C23" s="8" t="s">
        <v>34</v>
      </c>
      <c r="D23" s="15">
        <v>54.379628388441489</v>
      </c>
      <c r="E23" s="8" t="s">
        <v>8</v>
      </c>
      <c r="F23" s="8" t="s">
        <v>25</v>
      </c>
      <c r="G23" s="8" t="s">
        <v>26</v>
      </c>
      <c r="J23" s="8" t="s">
        <v>136</v>
      </c>
    </row>
    <row r="24" spans="1:10" x14ac:dyDescent="0.35">
      <c r="A24" s="8" t="s">
        <v>149</v>
      </c>
      <c r="B24" s="8" t="s">
        <v>150</v>
      </c>
      <c r="C24" s="8" t="s">
        <v>24</v>
      </c>
      <c r="D24" s="15">
        <v>8.8380969534009469E-4</v>
      </c>
      <c r="E24" s="8" t="s">
        <v>8</v>
      </c>
      <c r="F24" s="8" t="s">
        <v>25</v>
      </c>
      <c r="G24" s="8" t="s">
        <v>26</v>
      </c>
      <c r="J24" s="8" t="s">
        <v>136</v>
      </c>
    </row>
    <row r="25" spans="1:10" x14ac:dyDescent="0.35">
      <c r="A25" s="8" t="s">
        <v>151</v>
      </c>
      <c r="B25" s="8" t="s">
        <v>152</v>
      </c>
      <c r="C25" s="8" t="s">
        <v>34</v>
      </c>
      <c r="D25" s="15">
        <v>57.36318978035392</v>
      </c>
      <c r="E25" s="8" t="s">
        <v>8</v>
      </c>
      <c r="F25" s="8" t="s">
        <v>25</v>
      </c>
      <c r="G25" s="8" t="s">
        <v>26</v>
      </c>
      <c r="J25" s="8" t="s">
        <v>136</v>
      </c>
    </row>
    <row r="26" spans="1:10" x14ac:dyDescent="0.35">
      <c r="A26" s="8" t="s">
        <v>153</v>
      </c>
      <c r="B26" s="8" t="s">
        <v>154</v>
      </c>
      <c r="C26" s="8" t="s">
        <v>34</v>
      </c>
      <c r="D26" s="15">
        <v>-2.5275831414503345E-4</v>
      </c>
      <c r="E26" s="8" t="s">
        <v>8</v>
      </c>
      <c r="F26" s="8" t="s">
        <v>25</v>
      </c>
      <c r="G26" s="8" t="s">
        <v>26</v>
      </c>
      <c r="J26" s="8" t="s">
        <v>136</v>
      </c>
    </row>
    <row r="27" spans="1:10" x14ac:dyDescent="0.35">
      <c r="A27" s="8" t="s">
        <v>155</v>
      </c>
      <c r="B27" s="8" t="s">
        <v>156</v>
      </c>
      <c r="C27" s="8" t="s">
        <v>34</v>
      </c>
      <c r="D27" s="15">
        <v>-1.9477589464182978E-4</v>
      </c>
      <c r="E27" s="8" t="s">
        <v>8</v>
      </c>
      <c r="F27" s="8" t="s">
        <v>25</v>
      </c>
      <c r="G27" s="8" t="s">
        <v>26</v>
      </c>
      <c r="J27" s="8" t="s">
        <v>136</v>
      </c>
    </row>
    <row r="28" spans="1:10" x14ac:dyDescent="0.35">
      <c r="A28" s="8" t="s">
        <v>157</v>
      </c>
      <c r="B28" s="8" t="s">
        <v>158</v>
      </c>
      <c r="C28" s="8" t="s">
        <v>34</v>
      </c>
      <c r="D28" s="15">
        <v>-0.60797100061611609</v>
      </c>
      <c r="E28" s="8" t="s">
        <v>8</v>
      </c>
      <c r="F28" s="8" t="s">
        <v>25</v>
      </c>
      <c r="G28" s="8" t="s">
        <v>26</v>
      </c>
      <c r="J28" s="8" t="s">
        <v>136</v>
      </c>
    </row>
    <row r="29" spans="1:10" x14ac:dyDescent="0.35">
      <c r="A29" s="8" t="s">
        <v>159</v>
      </c>
      <c r="B29" s="8" t="s">
        <v>160</v>
      </c>
      <c r="C29" s="8" t="s">
        <v>34</v>
      </c>
      <c r="D29" s="15">
        <v>2.4037371968803841E-2</v>
      </c>
      <c r="E29" s="8" t="s">
        <v>83</v>
      </c>
      <c r="F29" s="8" t="s">
        <v>25</v>
      </c>
      <c r="G29" s="8" t="s">
        <v>26</v>
      </c>
      <c r="J29" s="8" t="s">
        <v>136</v>
      </c>
    </row>
    <row r="30" spans="1:10" s="16" customFormat="1" x14ac:dyDescent="0.35">
      <c r="A30" s="16" t="s">
        <v>224</v>
      </c>
      <c r="B30" s="16" t="s">
        <v>225</v>
      </c>
      <c r="C30" s="16" t="s">
        <v>34</v>
      </c>
      <c r="D30" s="15">
        <v>-2.0265700020537203</v>
      </c>
      <c r="E30" s="16" t="s">
        <v>8</v>
      </c>
      <c r="F30" s="16" t="s">
        <v>25</v>
      </c>
      <c r="G30" s="16" t="s">
        <v>26</v>
      </c>
      <c r="J30" s="16" t="s">
        <v>136</v>
      </c>
    </row>
    <row r="31" spans="1:10" x14ac:dyDescent="0.35">
      <c r="A31" s="8" t="s">
        <v>161</v>
      </c>
      <c r="D31" s="15">
        <v>0.23924784746467531</v>
      </c>
      <c r="E31" s="8" t="s">
        <v>8</v>
      </c>
      <c r="F31" s="8" t="s">
        <v>63</v>
      </c>
      <c r="G31" s="8" t="s">
        <v>64</v>
      </c>
      <c r="H31" s="8" t="s">
        <v>65</v>
      </c>
      <c r="J31" s="8" t="s">
        <v>136</v>
      </c>
    </row>
    <row r="32" spans="1:10" x14ac:dyDescent="0.35">
      <c r="A32" s="8" t="s">
        <v>62</v>
      </c>
      <c r="D32" s="15">
        <v>0.43458667821818669</v>
      </c>
      <c r="E32" s="8" t="s">
        <v>8</v>
      </c>
      <c r="F32" s="8" t="s">
        <v>63</v>
      </c>
      <c r="G32" s="8" t="s">
        <v>64</v>
      </c>
      <c r="H32" s="8" t="s">
        <v>65</v>
      </c>
      <c r="J32" s="8" t="s">
        <v>136</v>
      </c>
    </row>
    <row r="33" spans="1:10" x14ac:dyDescent="0.35">
      <c r="A33" s="8" t="s">
        <v>162</v>
      </c>
      <c r="D33" s="15">
        <v>1.3876375152951168</v>
      </c>
      <c r="E33" s="8" t="s">
        <v>8</v>
      </c>
      <c r="F33" s="8" t="s">
        <v>63</v>
      </c>
      <c r="G33" s="8" t="s">
        <v>64</v>
      </c>
      <c r="H33" s="8" t="s">
        <v>65</v>
      </c>
      <c r="J33" s="8" t="s">
        <v>136</v>
      </c>
    </row>
    <row r="34" spans="1:10" x14ac:dyDescent="0.35">
      <c r="A34" s="8" t="s">
        <v>163</v>
      </c>
      <c r="D34" s="15">
        <v>0.25106950580998866</v>
      </c>
      <c r="E34" s="8" t="s">
        <v>8</v>
      </c>
      <c r="F34" s="8" t="s">
        <v>63</v>
      </c>
      <c r="G34" s="8" t="s">
        <v>64</v>
      </c>
      <c r="H34" s="8" t="s">
        <v>65</v>
      </c>
      <c r="J34" s="8" t="s">
        <v>136</v>
      </c>
    </row>
    <row r="35" spans="1:10" x14ac:dyDescent="0.35">
      <c r="A35" s="8" t="s">
        <v>164</v>
      </c>
      <c r="D35" s="15">
        <v>4.7793275881766905E-4</v>
      </c>
      <c r="E35" s="8" t="s">
        <v>8</v>
      </c>
      <c r="F35" s="8" t="s">
        <v>63</v>
      </c>
      <c r="G35" s="8" t="s">
        <v>64</v>
      </c>
      <c r="H35" s="8" t="s">
        <v>65</v>
      </c>
      <c r="J35" s="8" t="s">
        <v>136</v>
      </c>
    </row>
    <row r="36" spans="1:10" x14ac:dyDescent="0.35">
      <c r="A36" s="8" t="s">
        <v>165</v>
      </c>
      <c r="D36" s="15">
        <v>4.5034888934527122E-7</v>
      </c>
      <c r="E36" s="8" t="s">
        <v>8</v>
      </c>
      <c r="F36" s="8" t="s">
        <v>63</v>
      </c>
      <c r="G36" s="8" t="s">
        <v>64</v>
      </c>
      <c r="H36" s="8" t="s">
        <v>65</v>
      </c>
      <c r="J36" s="8" t="s">
        <v>136</v>
      </c>
    </row>
    <row r="37" spans="1:10" x14ac:dyDescent="0.35">
      <c r="A37" s="8" t="s">
        <v>166</v>
      </c>
      <c r="D37" s="15">
        <v>9.1195650092417407E-3</v>
      </c>
      <c r="E37" s="8" t="s">
        <v>8</v>
      </c>
      <c r="F37" s="8" t="s">
        <v>63</v>
      </c>
      <c r="G37" s="8" t="s">
        <v>64</v>
      </c>
      <c r="H37" s="8" t="s">
        <v>87</v>
      </c>
      <c r="J37" s="8" t="s">
        <v>136</v>
      </c>
    </row>
    <row r="38" spans="1:10" x14ac:dyDescent="0.35">
      <c r="A38" s="8" t="s">
        <v>167</v>
      </c>
      <c r="D38" s="15">
        <v>3.083201083680063E-4</v>
      </c>
      <c r="E38" s="8" t="s">
        <v>8</v>
      </c>
      <c r="F38" s="8" t="s">
        <v>63</v>
      </c>
      <c r="G38" s="8" t="s">
        <v>64</v>
      </c>
      <c r="H38" s="8" t="s">
        <v>87</v>
      </c>
      <c r="J38" s="8" t="s">
        <v>136</v>
      </c>
    </row>
    <row r="39" spans="1:10" x14ac:dyDescent="0.35">
      <c r="A39" s="8" t="s">
        <v>127</v>
      </c>
      <c r="D39" s="15">
        <v>1.0930530480521413E-3</v>
      </c>
      <c r="E39" s="8" t="s">
        <v>8</v>
      </c>
      <c r="F39" s="8" t="s">
        <v>63</v>
      </c>
      <c r="G39" s="8" t="s">
        <v>64</v>
      </c>
      <c r="H39" s="8" t="s">
        <v>87</v>
      </c>
      <c r="J39" s="8" t="s">
        <v>136</v>
      </c>
    </row>
    <row r="40" spans="1:10" x14ac:dyDescent="0.35">
      <c r="A40" s="8" t="s">
        <v>86</v>
      </c>
      <c r="D40" s="15">
        <v>4.4303071989341055E-5</v>
      </c>
      <c r="E40" s="8" t="s">
        <v>8</v>
      </c>
      <c r="F40" s="8" t="s">
        <v>63</v>
      </c>
      <c r="G40" s="8" t="s">
        <v>64</v>
      </c>
      <c r="H40" s="8" t="s">
        <v>87</v>
      </c>
      <c r="J40" s="8" t="s">
        <v>136</v>
      </c>
    </row>
    <row r="41" spans="1:10" x14ac:dyDescent="0.35">
      <c r="A41" s="8" t="s">
        <v>168</v>
      </c>
      <c r="D41" s="15">
        <v>2.600764835968941E-5</v>
      </c>
      <c r="E41" s="8" t="s">
        <v>8</v>
      </c>
      <c r="F41" s="8" t="s">
        <v>63</v>
      </c>
      <c r="G41" s="8" t="s">
        <v>64</v>
      </c>
      <c r="H41" s="8" t="s">
        <v>87</v>
      </c>
      <c r="J41" s="8" t="s">
        <v>136</v>
      </c>
    </row>
    <row r="42" spans="1:10" x14ac:dyDescent="0.35">
      <c r="A42" s="8" t="s">
        <v>91</v>
      </c>
      <c r="D42" s="15">
        <v>2.9160090585106309E-4</v>
      </c>
      <c r="E42" s="8" t="s">
        <v>8</v>
      </c>
      <c r="F42" s="8" t="s">
        <v>63</v>
      </c>
      <c r="G42" s="8" t="s">
        <v>64</v>
      </c>
      <c r="H42" s="8" t="s">
        <v>87</v>
      </c>
      <c r="J42" s="8" t="s">
        <v>136</v>
      </c>
    </row>
    <row r="43" spans="1:10" x14ac:dyDescent="0.35">
      <c r="A43" s="8" t="s">
        <v>92</v>
      </c>
      <c r="D43" s="15">
        <v>0.80015738914421053</v>
      </c>
      <c r="E43" s="8" t="s">
        <v>8</v>
      </c>
      <c r="F43" s="8" t="s">
        <v>63</v>
      </c>
      <c r="G43" s="8" t="s">
        <v>64</v>
      </c>
      <c r="H43" s="8" t="s">
        <v>93</v>
      </c>
      <c r="J43" s="8" t="s">
        <v>136</v>
      </c>
    </row>
    <row r="44" spans="1:10" x14ac:dyDescent="0.35">
      <c r="A44" s="8" t="s">
        <v>89</v>
      </c>
      <c r="D44" s="15">
        <v>1.4692632514889474E-2</v>
      </c>
      <c r="E44" s="8" t="s">
        <v>8</v>
      </c>
      <c r="F44" s="8" t="s">
        <v>63</v>
      </c>
      <c r="G44" s="8" t="s">
        <v>64</v>
      </c>
      <c r="H44" s="8" t="s">
        <v>93</v>
      </c>
      <c r="J44" s="8" t="s">
        <v>136</v>
      </c>
    </row>
    <row r="45" spans="1:10" x14ac:dyDescent="0.35">
      <c r="A45" s="8" t="s">
        <v>97</v>
      </c>
      <c r="D45" s="15">
        <v>1.2046832789986004E-2</v>
      </c>
      <c r="E45" s="8" t="s">
        <v>8</v>
      </c>
      <c r="F45" s="8" t="s">
        <v>63</v>
      </c>
      <c r="G45" s="8" t="s">
        <v>64</v>
      </c>
      <c r="H45" s="8" t="s">
        <v>93</v>
      </c>
      <c r="J45" s="8" t="s">
        <v>136</v>
      </c>
    </row>
    <row r="46" spans="1:10" x14ac:dyDescent="0.35">
      <c r="A46" s="8" t="s">
        <v>102</v>
      </c>
      <c r="D46" s="15">
        <v>1.2947530568676545E-3</v>
      </c>
      <c r="E46" s="8" t="s">
        <v>8</v>
      </c>
      <c r="F46" s="8" t="s">
        <v>63</v>
      </c>
      <c r="G46" s="8" t="s">
        <v>64</v>
      </c>
      <c r="H46" s="8" t="s">
        <v>93</v>
      </c>
      <c r="J46" s="8" t="s">
        <v>136</v>
      </c>
    </row>
    <row r="47" spans="1:10" s="11" customFormat="1" x14ac:dyDescent="0.35"/>
    <row r="48" spans="1:10" x14ac:dyDescent="0.35">
      <c r="A48" s="7" t="s">
        <v>0</v>
      </c>
      <c r="B48" s="7" t="s">
        <v>110</v>
      </c>
    </row>
    <row r="49" spans="1:14" x14ac:dyDescent="0.35">
      <c r="A49" s="9" t="s">
        <v>2</v>
      </c>
      <c r="B49" s="8" t="s">
        <v>72</v>
      </c>
    </row>
    <row r="50" spans="1:14" x14ac:dyDescent="0.35">
      <c r="A50" s="9" t="s">
        <v>4</v>
      </c>
      <c r="B50" s="8" t="s">
        <v>5</v>
      </c>
    </row>
    <row r="51" spans="1:14" x14ac:dyDescent="0.35">
      <c r="A51" s="9" t="s">
        <v>6</v>
      </c>
      <c r="B51" s="8">
        <v>1</v>
      </c>
    </row>
    <row r="52" spans="1:14" x14ac:dyDescent="0.35">
      <c r="A52" s="9" t="s">
        <v>7</v>
      </c>
      <c r="B52" s="8" t="s">
        <v>8</v>
      </c>
    </row>
    <row r="53" spans="1:14" ht="29" x14ac:dyDescent="0.35">
      <c r="A53" s="9" t="s">
        <v>9</v>
      </c>
      <c r="B53" s="13" t="s">
        <v>349</v>
      </c>
    </row>
    <row r="54" spans="1:14" x14ac:dyDescent="0.35">
      <c r="A54" s="9" t="s">
        <v>10</v>
      </c>
    </row>
    <row r="55" spans="1:14" x14ac:dyDescent="0.35">
      <c r="A55" s="7" t="s">
        <v>11</v>
      </c>
      <c r="B55" s="7" t="s">
        <v>2</v>
      </c>
      <c r="C55" s="7" t="s">
        <v>4</v>
      </c>
      <c r="D55" s="7" t="s">
        <v>6</v>
      </c>
      <c r="E55" s="7" t="s">
        <v>7</v>
      </c>
      <c r="F55" s="7" t="s">
        <v>12</v>
      </c>
      <c r="G55" s="7" t="s">
        <v>13</v>
      </c>
      <c r="H55" s="7" t="s">
        <v>14</v>
      </c>
      <c r="I55" s="7" t="s">
        <v>15</v>
      </c>
      <c r="J55" s="7" t="s">
        <v>16</v>
      </c>
      <c r="K55" s="7" t="s">
        <v>17</v>
      </c>
      <c r="L55" s="7" t="s">
        <v>18</v>
      </c>
      <c r="M55" s="7" t="s">
        <v>19</v>
      </c>
      <c r="N55" s="7" t="s">
        <v>20</v>
      </c>
    </row>
    <row r="56" spans="1:14" x14ac:dyDescent="0.35">
      <c r="A56" s="8" t="str">
        <f>B48</f>
        <v>[P+R] Refined Zn production - Hydrometallurgy (Yangtze)</v>
      </c>
      <c r="B56" s="8" t="str">
        <f>B49</f>
        <v>Refined Zn</v>
      </c>
      <c r="C56" s="8" t="str">
        <f>B50</f>
        <v>CN</v>
      </c>
      <c r="D56" s="8">
        <v>1</v>
      </c>
      <c r="E56" s="8" t="s">
        <v>8</v>
      </c>
      <c r="F56" s="10" t="s">
        <v>62</v>
      </c>
      <c r="G56" s="8" t="s">
        <v>21</v>
      </c>
    </row>
    <row r="57" spans="1:14" x14ac:dyDescent="0.35">
      <c r="A57" s="17" t="s">
        <v>215</v>
      </c>
      <c r="B57" s="17" t="s">
        <v>120</v>
      </c>
      <c r="C57" s="17" t="s">
        <v>5</v>
      </c>
      <c r="D57" s="15">
        <v>0.27961285200078956</v>
      </c>
      <c r="E57" s="17" t="s">
        <v>8</v>
      </c>
      <c r="F57" s="10" t="s">
        <v>62</v>
      </c>
      <c r="G57" s="17" t="s">
        <v>26</v>
      </c>
    </row>
    <row r="58" spans="1:14" x14ac:dyDescent="0.35">
      <c r="A58" s="8" t="s">
        <v>51</v>
      </c>
      <c r="B58" s="8" t="s">
        <v>52</v>
      </c>
      <c r="C58" s="8" t="s">
        <v>24</v>
      </c>
      <c r="D58" s="15">
        <v>0.11898100717631363</v>
      </c>
      <c r="E58" s="8" t="s">
        <v>53</v>
      </c>
      <c r="F58" s="8" t="s">
        <v>25</v>
      </c>
      <c r="G58" s="8" t="s">
        <v>26</v>
      </c>
      <c r="J58" s="8" t="s">
        <v>111</v>
      </c>
    </row>
    <row r="59" spans="1:14" x14ac:dyDescent="0.35">
      <c r="A59" s="8" t="s">
        <v>75</v>
      </c>
      <c r="B59" s="8" t="s">
        <v>76</v>
      </c>
      <c r="C59" s="8" t="s">
        <v>5</v>
      </c>
      <c r="D59" s="15">
        <v>2.1488617035233402E-5</v>
      </c>
      <c r="E59" s="8" t="s">
        <v>59</v>
      </c>
      <c r="F59" s="8" t="s">
        <v>25</v>
      </c>
      <c r="G59" s="8" t="s">
        <v>26</v>
      </c>
      <c r="J59" s="8" t="s">
        <v>111</v>
      </c>
    </row>
    <row r="60" spans="1:14" x14ac:dyDescent="0.35">
      <c r="A60" s="8" t="s">
        <v>112</v>
      </c>
      <c r="B60" s="8" t="s">
        <v>113</v>
      </c>
      <c r="C60" s="8" t="s">
        <v>5</v>
      </c>
      <c r="D60" s="15">
        <v>1.4358215564919936E-2</v>
      </c>
      <c r="E60" s="8" t="s">
        <v>8</v>
      </c>
      <c r="F60" s="8" t="s">
        <v>25</v>
      </c>
      <c r="G60" s="8" t="s">
        <v>26</v>
      </c>
      <c r="J60" s="8" t="s">
        <v>111</v>
      </c>
    </row>
    <row r="61" spans="1:14" x14ac:dyDescent="0.35">
      <c r="A61" s="8" t="s">
        <v>114</v>
      </c>
      <c r="B61" s="8" t="s">
        <v>115</v>
      </c>
      <c r="C61" s="8" t="s">
        <v>24</v>
      </c>
      <c r="D61" s="15">
        <v>0.27961285200078961</v>
      </c>
      <c r="E61" s="8" t="s">
        <v>8</v>
      </c>
      <c r="F61" s="8" t="s">
        <v>25</v>
      </c>
      <c r="G61" s="8" t="s">
        <v>26</v>
      </c>
      <c r="J61" s="8" t="s">
        <v>111</v>
      </c>
    </row>
    <row r="62" spans="1:14" x14ac:dyDescent="0.35">
      <c r="A62" s="8" t="s">
        <v>116</v>
      </c>
      <c r="B62" s="8" t="s">
        <v>117</v>
      </c>
      <c r="C62" s="8" t="s">
        <v>24</v>
      </c>
      <c r="D62" s="15">
        <v>3.9593377777538269E-2</v>
      </c>
      <c r="E62" s="8" t="s">
        <v>8</v>
      </c>
      <c r="F62" s="8" t="s">
        <v>25</v>
      </c>
      <c r="G62" s="8" t="s">
        <v>26</v>
      </c>
      <c r="J62" s="8" t="s">
        <v>111</v>
      </c>
    </row>
    <row r="63" spans="1:14" x14ac:dyDescent="0.35">
      <c r="A63" s="8" t="s">
        <v>112</v>
      </c>
      <c r="B63" s="8" t="s">
        <v>113</v>
      </c>
      <c r="C63" s="8" t="s">
        <v>5</v>
      </c>
      <c r="D63" s="15">
        <v>0.40235324249761534</v>
      </c>
      <c r="E63" s="8" t="s">
        <v>8</v>
      </c>
      <c r="F63" s="8" t="s">
        <v>25</v>
      </c>
      <c r="G63" s="8" t="s">
        <v>26</v>
      </c>
      <c r="J63" s="8" t="s">
        <v>111</v>
      </c>
    </row>
    <row r="64" spans="1:14" x14ac:dyDescent="0.35">
      <c r="A64" s="8" t="s">
        <v>66</v>
      </c>
      <c r="D64" s="15">
        <v>4.4012602338915053E-4</v>
      </c>
      <c r="E64" s="8" t="s">
        <v>59</v>
      </c>
      <c r="F64" s="8" t="s">
        <v>63</v>
      </c>
      <c r="G64" s="8" t="s">
        <v>64</v>
      </c>
      <c r="H64" s="8" t="s">
        <v>65</v>
      </c>
      <c r="J64" s="8" t="s">
        <v>111</v>
      </c>
    </row>
    <row r="65" spans="1:10" x14ac:dyDescent="0.35">
      <c r="A65" s="8" t="s">
        <v>91</v>
      </c>
      <c r="D65" s="15">
        <v>4.8358517927523657E-5</v>
      </c>
      <c r="E65" s="8" t="s">
        <v>8</v>
      </c>
      <c r="F65" s="8" t="s">
        <v>63</v>
      </c>
      <c r="G65" s="8" t="s">
        <v>64</v>
      </c>
      <c r="H65" s="8" t="s">
        <v>87</v>
      </c>
      <c r="J65" s="8" t="s">
        <v>111</v>
      </c>
    </row>
    <row r="66" spans="1:10" x14ac:dyDescent="0.35">
      <c r="A66" s="8" t="s">
        <v>86</v>
      </c>
      <c r="D66" s="15">
        <v>6.3510248685303119E-6</v>
      </c>
      <c r="E66" s="8" t="s">
        <v>8</v>
      </c>
      <c r="F66" s="8" t="s">
        <v>63</v>
      </c>
      <c r="G66" s="8" t="s">
        <v>64</v>
      </c>
      <c r="H66" s="8" t="s">
        <v>87</v>
      </c>
      <c r="J66" s="8" t="s">
        <v>111</v>
      </c>
    </row>
    <row r="67" spans="1:10" x14ac:dyDescent="0.35">
      <c r="A67" s="8" t="s">
        <v>118</v>
      </c>
      <c r="D67" s="15">
        <v>1.5121487782215025E-8</v>
      </c>
      <c r="E67" s="8" t="s">
        <v>8</v>
      </c>
      <c r="F67" s="8" t="s">
        <v>63</v>
      </c>
      <c r="G67" s="8" t="s">
        <v>64</v>
      </c>
      <c r="H67" s="8" t="s">
        <v>87</v>
      </c>
      <c r="J67" s="8" t="s">
        <v>111</v>
      </c>
    </row>
    <row r="68" spans="1:10" x14ac:dyDescent="0.35">
      <c r="A68" s="8" t="s">
        <v>89</v>
      </c>
      <c r="D68" s="15">
        <v>6.9558843798189123E-7</v>
      </c>
      <c r="E68" s="8" t="s">
        <v>8</v>
      </c>
      <c r="F68" s="8" t="s">
        <v>63</v>
      </c>
      <c r="G68" s="8" t="s">
        <v>64</v>
      </c>
      <c r="H68" s="8" t="s">
        <v>87</v>
      </c>
      <c r="J68" s="8" t="s">
        <v>111</v>
      </c>
    </row>
    <row r="69" spans="1:10" x14ac:dyDescent="0.35">
      <c r="A69" s="8" t="s">
        <v>102</v>
      </c>
      <c r="D69" s="15">
        <v>6.0485951128860099E-8</v>
      </c>
      <c r="E69" s="8" t="s">
        <v>8</v>
      </c>
      <c r="F69" s="8" t="s">
        <v>63</v>
      </c>
      <c r="G69" s="8" t="s">
        <v>64</v>
      </c>
      <c r="H69" s="8" t="s">
        <v>87</v>
      </c>
      <c r="J69" s="8" t="s">
        <v>111</v>
      </c>
    </row>
    <row r="70" spans="1:10" x14ac:dyDescent="0.35">
      <c r="A70" s="8" t="s">
        <v>104</v>
      </c>
      <c r="D70" s="15">
        <v>1.5121487782215027E-7</v>
      </c>
      <c r="E70" s="8" t="s">
        <v>8</v>
      </c>
      <c r="F70" s="8" t="s">
        <v>63</v>
      </c>
      <c r="G70" s="8" t="s">
        <v>64</v>
      </c>
      <c r="H70" s="8" t="s">
        <v>87</v>
      </c>
      <c r="J70" s="8" t="s">
        <v>111</v>
      </c>
    </row>
    <row r="71" spans="1:10" x14ac:dyDescent="0.35">
      <c r="A71" s="8" t="s">
        <v>90</v>
      </c>
      <c r="D71" s="15">
        <v>6.048595112886012E-11</v>
      </c>
      <c r="E71" s="8" t="s">
        <v>8</v>
      </c>
      <c r="F71" s="8" t="s">
        <v>63</v>
      </c>
      <c r="G71" s="8" t="s">
        <v>64</v>
      </c>
      <c r="H71" s="8" t="s">
        <v>87</v>
      </c>
      <c r="J71" s="8" t="s">
        <v>111</v>
      </c>
    </row>
    <row r="72" spans="1:10" x14ac:dyDescent="0.35">
      <c r="A72" s="8" t="s">
        <v>66</v>
      </c>
      <c r="D72" s="15">
        <v>3.3733014944565284E-4</v>
      </c>
      <c r="E72" s="8" t="s">
        <v>59</v>
      </c>
      <c r="F72" s="8" t="s">
        <v>63</v>
      </c>
      <c r="G72" s="8" t="s">
        <v>64</v>
      </c>
      <c r="H72" s="8" t="s">
        <v>65</v>
      </c>
      <c r="J72" s="8" t="s">
        <v>111</v>
      </c>
    </row>
    <row r="73" spans="1:10" x14ac:dyDescent="0.35">
      <c r="A73" s="8" t="s">
        <v>88</v>
      </c>
      <c r="D73" s="15">
        <v>3.1936582196038131E-5</v>
      </c>
      <c r="E73" s="8" t="s">
        <v>8</v>
      </c>
      <c r="F73" s="8" t="s">
        <v>63</v>
      </c>
      <c r="G73" s="8" t="s">
        <v>64</v>
      </c>
      <c r="H73" s="8" t="s">
        <v>93</v>
      </c>
      <c r="J73" s="8" t="s">
        <v>111</v>
      </c>
    </row>
    <row r="74" spans="1:10" x14ac:dyDescent="0.35">
      <c r="A74" s="8" t="s">
        <v>119</v>
      </c>
      <c r="D74" s="15">
        <v>3.8323898635245768E-3</v>
      </c>
      <c r="E74" s="8" t="s">
        <v>8</v>
      </c>
      <c r="F74" s="8" t="s">
        <v>63</v>
      </c>
      <c r="G74" s="8" t="s">
        <v>64</v>
      </c>
      <c r="H74" s="8" t="s">
        <v>93</v>
      </c>
      <c r="J74" s="8" t="s">
        <v>111</v>
      </c>
    </row>
    <row r="75" spans="1:10" x14ac:dyDescent="0.35">
      <c r="A75" s="8" t="s">
        <v>91</v>
      </c>
      <c r="D75" s="15">
        <v>1.6896750447847062E-4</v>
      </c>
      <c r="E75" s="8" t="s">
        <v>8</v>
      </c>
      <c r="F75" s="8" t="s">
        <v>63</v>
      </c>
      <c r="G75" s="8" t="s">
        <v>64</v>
      </c>
      <c r="H75" s="8" t="s">
        <v>87</v>
      </c>
      <c r="J75" s="8" t="s">
        <v>111</v>
      </c>
    </row>
    <row r="76" spans="1:10" x14ac:dyDescent="0.35">
      <c r="A76" s="8" t="s">
        <v>104</v>
      </c>
      <c r="D76" s="15">
        <v>6.0485951128860099E-8</v>
      </c>
      <c r="E76" s="8" t="s">
        <v>8</v>
      </c>
      <c r="F76" s="8" t="s">
        <v>63</v>
      </c>
      <c r="G76" s="8" t="s">
        <v>64</v>
      </c>
      <c r="H76" s="8" t="s">
        <v>87</v>
      </c>
      <c r="J76" s="8" t="s">
        <v>111</v>
      </c>
    </row>
    <row r="77" spans="1:10" x14ac:dyDescent="0.35">
      <c r="A77" s="8" t="s">
        <v>88</v>
      </c>
      <c r="D77" s="15">
        <v>2.9759087955399163E-5</v>
      </c>
      <c r="E77" s="8" t="s">
        <v>8</v>
      </c>
      <c r="F77" s="8" t="s">
        <v>63</v>
      </c>
      <c r="G77" s="8" t="s">
        <v>64</v>
      </c>
      <c r="H77" s="8" t="s">
        <v>87</v>
      </c>
      <c r="J77" s="8" t="s">
        <v>111</v>
      </c>
    </row>
    <row r="78" spans="1:10" s="11" customFormat="1" x14ac:dyDescent="0.35"/>
    <row r="79" spans="1:10" x14ac:dyDescent="0.35">
      <c r="A79" s="7" t="s">
        <v>0</v>
      </c>
      <c r="B79" s="14" t="s">
        <v>215</v>
      </c>
    </row>
    <row r="80" spans="1:10" x14ac:dyDescent="0.35">
      <c r="A80" s="9" t="s">
        <v>2</v>
      </c>
      <c r="B80" s="8" t="s">
        <v>120</v>
      </c>
    </row>
    <row r="81" spans="1:14" x14ac:dyDescent="0.35">
      <c r="A81" s="9" t="s">
        <v>4</v>
      </c>
      <c r="B81" s="8" t="s">
        <v>5</v>
      </c>
    </row>
    <row r="82" spans="1:14" x14ac:dyDescent="0.35">
      <c r="A82" s="9" t="s">
        <v>6</v>
      </c>
      <c r="B82" s="8">
        <v>1</v>
      </c>
    </row>
    <row r="83" spans="1:14" x14ac:dyDescent="0.35">
      <c r="A83" s="9" t="s">
        <v>7</v>
      </c>
      <c r="B83" s="8" t="s">
        <v>8</v>
      </c>
    </row>
    <row r="84" spans="1:14" x14ac:dyDescent="0.35">
      <c r="A84" s="9" t="s">
        <v>9</v>
      </c>
      <c r="B84" s="17" t="s">
        <v>109</v>
      </c>
    </row>
    <row r="85" spans="1:14" x14ac:dyDescent="0.35">
      <c r="A85" s="9" t="s">
        <v>10</v>
      </c>
    </row>
    <row r="86" spans="1:14" x14ac:dyDescent="0.35">
      <c r="A86" s="7" t="s">
        <v>11</v>
      </c>
      <c r="B86" s="7" t="s">
        <v>2</v>
      </c>
      <c r="C86" s="7" t="s">
        <v>4</v>
      </c>
      <c r="D86" s="7" t="s">
        <v>6</v>
      </c>
      <c r="E86" s="7" t="s">
        <v>7</v>
      </c>
      <c r="F86" s="7" t="s">
        <v>12</v>
      </c>
      <c r="G86" s="7" t="s">
        <v>13</v>
      </c>
      <c r="H86" s="7" t="s">
        <v>14</v>
      </c>
      <c r="I86" s="7" t="s">
        <v>15</v>
      </c>
      <c r="J86" s="7" t="s">
        <v>16</v>
      </c>
      <c r="K86" s="7" t="s">
        <v>17</v>
      </c>
      <c r="L86" s="7" t="s">
        <v>18</v>
      </c>
      <c r="M86" s="7" t="s">
        <v>19</v>
      </c>
      <c r="N86" s="7" t="s">
        <v>20</v>
      </c>
    </row>
    <row r="87" spans="1:14" x14ac:dyDescent="0.35">
      <c r="A87" s="8" t="str">
        <f>B79</f>
        <v xml:space="preserve">Refining material production - Volatilization kiln and multi chamber furnace </v>
      </c>
      <c r="B87" s="8" t="str">
        <f>B80</f>
        <v>Refining material</v>
      </c>
      <c r="C87" s="8" t="str">
        <f>B81</f>
        <v>CN</v>
      </c>
      <c r="D87" s="8">
        <v>1</v>
      </c>
      <c r="E87" s="8" t="s">
        <v>8</v>
      </c>
      <c r="F87" s="10" t="s">
        <v>62</v>
      </c>
      <c r="G87" s="8" t="s">
        <v>21</v>
      </c>
    </row>
    <row r="88" spans="1:14" s="17" customFormat="1" x14ac:dyDescent="0.35">
      <c r="A88" s="17" t="s">
        <v>216</v>
      </c>
      <c r="B88" s="17" t="s">
        <v>217</v>
      </c>
      <c r="C88" s="17" t="s">
        <v>5</v>
      </c>
      <c r="D88" s="17">
        <v>3.4505321011829618E-3</v>
      </c>
      <c r="E88" s="17" t="s">
        <v>8</v>
      </c>
      <c r="F88" s="10" t="s">
        <v>62</v>
      </c>
      <c r="G88" s="17" t="s">
        <v>26</v>
      </c>
      <c r="J88" s="17" t="s">
        <v>111</v>
      </c>
    </row>
    <row r="89" spans="1:14" s="17" customFormat="1" x14ac:dyDescent="0.35">
      <c r="A89" s="17" t="s">
        <v>218</v>
      </c>
      <c r="B89" s="17" t="s">
        <v>217</v>
      </c>
      <c r="C89" s="17" t="s">
        <v>5</v>
      </c>
      <c r="D89" s="17">
        <v>5.2433851241895063E-2</v>
      </c>
      <c r="E89" s="17" t="s">
        <v>8</v>
      </c>
      <c r="F89" s="10" t="s">
        <v>62</v>
      </c>
      <c r="G89" s="17" t="s">
        <v>26</v>
      </c>
      <c r="J89" s="17" t="s">
        <v>111</v>
      </c>
    </row>
    <row r="90" spans="1:14" x14ac:dyDescent="0.35">
      <c r="A90" s="8" t="s">
        <v>75</v>
      </c>
      <c r="B90" s="8" t="s">
        <v>76</v>
      </c>
      <c r="C90" s="8" t="s">
        <v>5</v>
      </c>
      <c r="D90" s="8">
        <v>1.9678942280681999E-5</v>
      </c>
      <c r="E90" s="8" t="s">
        <v>59</v>
      </c>
      <c r="F90" s="8" t="s">
        <v>25</v>
      </c>
      <c r="G90" s="8" t="s">
        <v>26</v>
      </c>
      <c r="J90" s="8" t="s">
        <v>111</v>
      </c>
    </row>
    <row r="91" spans="1:14" x14ac:dyDescent="0.35">
      <c r="A91" s="8" t="s">
        <v>112</v>
      </c>
      <c r="B91" s="8" t="s">
        <v>113</v>
      </c>
      <c r="C91" s="8" t="s">
        <v>5</v>
      </c>
      <c r="D91" s="8">
        <v>1.189566804031909E-2</v>
      </c>
      <c r="E91" s="8" t="s">
        <v>8</v>
      </c>
      <c r="F91" s="8" t="s">
        <v>25</v>
      </c>
      <c r="G91" s="8" t="s">
        <v>26</v>
      </c>
      <c r="J91" s="8" t="s">
        <v>111</v>
      </c>
    </row>
    <row r="92" spans="1:14" x14ac:dyDescent="0.35">
      <c r="A92" s="8" t="s">
        <v>121</v>
      </c>
      <c r="B92" s="8" t="s">
        <v>122</v>
      </c>
      <c r="C92" s="8" t="s">
        <v>5</v>
      </c>
      <c r="D92" s="8">
        <v>11.040815854776239</v>
      </c>
      <c r="E92" s="8" t="s">
        <v>53</v>
      </c>
      <c r="F92" s="8" t="s">
        <v>25</v>
      </c>
      <c r="G92" s="8" t="s">
        <v>26</v>
      </c>
      <c r="J92" s="8" t="s">
        <v>111</v>
      </c>
    </row>
    <row r="93" spans="1:14" x14ac:dyDescent="0.35">
      <c r="A93" s="8" t="s">
        <v>123</v>
      </c>
      <c r="B93" s="8" t="s">
        <v>124</v>
      </c>
      <c r="C93" s="8" t="s">
        <v>24</v>
      </c>
      <c r="D93" s="8">
        <v>-0.70771095362872305</v>
      </c>
      <c r="E93" s="8" t="s">
        <v>8</v>
      </c>
      <c r="F93" s="8" t="s">
        <v>25</v>
      </c>
      <c r="G93" s="8" t="s">
        <v>26</v>
      </c>
      <c r="J93" s="8" t="s">
        <v>111</v>
      </c>
    </row>
    <row r="94" spans="1:14" x14ac:dyDescent="0.35">
      <c r="A94" s="8" t="s">
        <v>125</v>
      </c>
      <c r="B94" s="8" t="s">
        <v>126</v>
      </c>
      <c r="C94" s="8" t="s">
        <v>34</v>
      </c>
      <c r="D94" s="8">
        <v>-7.2427013521034504E-3</v>
      </c>
      <c r="E94" s="8" t="s">
        <v>8</v>
      </c>
      <c r="F94" s="8" t="s">
        <v>25</v>
      </c>
      <c r="G94" s="8" t="s">
        <v>26</v>
      </c>
      <c r="J94" s="8" t="s">
        <v>111</v>
      </c>
    </row>
    <row r="95" spans="1:14" x14ac:dyDescent="0.35">
      <c r="A95" s="8" t="s">
        <v>66</v>
      </c>
      <c r="D95" s="8">
        <v>1.6652827681314169E-3</v>
      </c>
      <c r="E95" s="8" t="s">
        <v>59</v>
      </c>
      <c r="F95" s="8" t="s">
        <v>63</v>
      </c>
      <c r="G95" s="8" t="s">
        <v>64</v>
      </c>
      <c r="H95" s="8" t="s">
        <v>65</v>
      </c>
      <c r="J95" s="8" t="s">
        <v>111</v>
      </c>
    </row>
    <row r="96" spans="1:14" x14ac:dyDescent="0.35">
      <c r="A96" s="8" t="s">
        <v>91</v>
      </c>
      <c r="D96" s="8">
        <v>5.512986333985112E-5</v>
      </c>
      <c r="E96" s="8" t="s">
        <v>8</v>
      </c>
      <c r="F96" s="8" t="s">
        <v>63</v>
      </c>
      <c r="G96" s="8" t="s">
        <v>64</v>
      </c>
      <c r="H96" s="8" t="s">
        <v>87</v>
      </c>
      <c r="J96" s="8" t="s">
        <v>111</v>
      </c>
    </row>
    <row r="97" spans="1:14" x14ac:dyDescent="0.35">
      <c r="A97" s="8" t="s">
        <v>86</v>
      </c>
      <c r="D97" s="8">
        <v>6.8445654259408845E-7</v>
      </c>
      <c r="E97" s="8" t="s">
        <v>8</v>
      </c>
      <c r="F97" s="8" t="s">
        <v>63</v>
      </c>
      <c r="G97" s="8" t="s">
        <v>64</v>
      </c>
      <c r="H97" s="8" t="s">
        <v>87</v>
      </c>
      <c r="J97" s="8" t="s">
        <v>111</v>
      </c>
    </row>
    <row r="98" spans="1:14" x14ac:dyDescent="0.35">
      <c r="A98" s="8" t="s">
        <v>118</v>
      </c>
      <c r="D98" s="8">
        <v>1.2444664410801609E-6</v>
      </c>
      <c r="E98" s="8" t="s">
        <v>8</v>
      </c>
      <c r="F98" s="8" t="s">
        <v>63</v>
      </c>
      <c r="G98" s="8" t="s">
        <v>64</v>
      </c>
      <c r="H98" s="8" t="s">
        <v>87</v>
      </c>
      <c r="J98" s="8" t="s">
        <v>111</v>
      </c>
    </row>
    <row r="99" spans="1:14" x14ac:dyDescent="0.35">
      <c r="A99" s="8" t="s">
        <v>89</v>
      </c>
      <c r="D99" s="8">
        <v>2.2089279329172848E-6</v>
      </c>
      <c r="E99" s="8" t="s">
        <v>8</v>
      </c>
      <c r="F99" s="8" t="s">
        <v>63</v>
      </c>
      <c r="G99" s="8" t="s">
        <v>64</v>
      </c>
      <c r="H99" s="8" t="s">
        <v>87</v>
      </c>
      <c r="J99" s="8" t="s">
        <v>111</v>
      </c>
    </row>
    <row r="100" spans="1:14" x14ac:dyDescent="0.35">
      <c r="A100" s="8" t="s">
        <v>102</v>
      </c>
      <c r="D100" s="8">
        <v>6.5334488156708445E-7</v>
      </c>
      <c r="E100" s="8" t="s">
        <v>8</v>
      </c>
      <c r="F100" s="8" t="s">
        <v>63</v>
      </c>
      <c r="G100" s="8" t="s">
        <v>64</v>
      </c>
      <c r="H100" s="8" t="s">
        <v>87</v>
      </c>
      <c r="J100" s="8" t="s">
        <v>111</v>
      </c>
    </row>
    <row r="101" spans="1:14" x14ac:dyDescent="0.35">
      <c r="A101" s="8" t="s">
        <v>104</v>
      </c>
      <c r="D101" s="8">
        <v>2.1778162718902819E-7</v>
      </c>
      <c r="E101" s="8" t="s">
        <v>8</v>
      </c>
      <c r="F101" s="8" t="s">
        <v>63</v>
      </c>
      <c r="G101" s="8" t="s">
        <v>64</v>
      </c>
      <c r="H101" s="8" t="s">
        <v>87</v>
      </c>
      <c r="J101" s="8" t="s">
        <v>111</v>
      </c>
    </row>
    <row r="102" spans="1:14" x14ac:dyDescent="0.35">
      <c r="A102" s="8" t="s">
        <v>86</v>
      </c>
      <c r="D102" s="8">
        <v>5.2930268905241934E-4</v>
      </c>
      <c r="E102" s="8" t="s">
        <v>8</v>
      </c>
      <c r="F102" s="8" t="s">
        <v>63</v>
      </c>
      <c r="G102" s="8" t="s">
        <v>64</v>
      </c>
      <c r="H102" s="8" t="s">
        <v>87</v>
      </c>
      <c r="J102" s="8" t="s">
        <v>111</v>
      </c>
    </row>
    <row r="103" spans="1:14" x14ac:dyDescent="0.35">
      <c r="A103" s="8" t="s">
        <v>127</v>
      </c>
      <c r="D103" s="8">
        <v>4.4275004807529418E-4</v>
      </c>
      <c r="E103" s="8" t="s">
        <v>8</v>
      </c>
      <c r="F103" s="8" t="s">
        <v>63</v>
      </c>
      <c r="G103" s="8" t="s">
        <v>64</v>
      </c>
      <c r="H103" s="8" t="s">
        <v>87</v>
      </c>
      <c r="J103" s="8" t="s">
        <v>111</v>
      </c>
    </row>
    <row r="104" spans="1:14" s="11" customFormat="1" x14ac:dyDescent="0.35"/>
    <row r="105" spans="1:14" x14ac:dyDescent="0.35">
      <c r="A105" s="7" t="s">
        <v>0</v>
      </c>
      <c r="B105" s="14" t="s">
        <v>216</v>
      </c>
    </row>
    <row r="106" spans="1:14" x14ac:dyDescent="0.35">
      <c r="A106" s="9" t="s">
        <v>2</v>
      </c>
      <c r="B106" s="8" t="s">
        <v>217</v>
      </c>
    </row>
    <row r="107" spans="1:14" x14ac:dyDescent="0.35">
      <c r="A107" s="9" t="s">
        <v>4</v>
      </c>
      <c r="B107" s="8" t="s">
        <v>5</v>
      </c>
    </row>
    <row r="108" spans="1:14" x14ac:dyDescent="0.35">
      <c r="A108" s="9" t="s">
        <v>6</v>
      </c>
      <c r="B108" s="8">
        <v>1</v>
      </c>
    </row>
    <row r="109" spans="1:14" x14ac:dyDescent="0.35">
      <c r="A109" s="9" t="s">
        <v>7</v>
      </c>
      <c r="B109" s="8" t="s">
        <v>8</v>
      </c>
    </row>
    <row r="110" spans="1:14" x14ac:dyDescent="0.35">
      <c r="A110" s="9" t="s">
        <v>9</v>
      </c>
      <c r="B110" s="16" t="s">
        <v>223</v>
      </c>
    </row>
    <row r="111" spans="1:14" x14ac:dyDescent="0.35">
      <c r="A111" s="9" t="s">
        <v>10</v>
      </c>
    </row>
    <row r="112" spans="1:14" x14ac:dyDescent="0.35">
      <c r="A112" s="7" t="s">
        <v>11</v>
      </c>
      <c r="B112" s="7" t="s">
        <v>2</v>
      </c>
      <c r="C112" s="7" t="s">
        <v>4</v>
      </c>
      <c r="D112" s="7" t="s">
        <v>6</v>
      </c>
      <c r="E112" s="7" t="s">
        <v>7</v>
      </c>
      <c r="F112" s="7" t="s">
        <v>12</v>
      </c>
      <c r="G112" s="7" t="s">
        <v>13</v>
      </c>
      <c r="H112" s="7" t="s">
        <v>14</v>
      </c>
      <c r="I112" s="7" t="s">
        <v>15</v>
      </c>
      <c r="J112" s="7" t="s">
        <v>16</v>
      </c>
      <c r="K112" s="7" t="s">
        <v>17</v>
      </c>
      <c r="L112" s="7" t="s">
        <v>18</v>
      </c>
      <c r="M112" s="7" t="s">
        <v>19</v>
      </c>
      <c r="N112" s="7" t="s">
        <v>20</v>
      </c>
    </row>
    <row r="113" spans="1:10" x14ac:dyDescent="0.35">
      <c r="A113" s="8" t="str">
        <f>B105</f>
        <v>Zn and Copper (Cu) waste treatment</v>
      </c>
      <c r="B113" s="8" t="str">
        <f>B106</f>
        <v>Zn material</v>
      </c>
      <c r="C113" s="8" t="str">
        <f>B107</f>
        <v>CN</v>
      </c>
      <c r="D113" s="8">
        <v>1</v>
      </c>
      <c r="E113" s="8" t="s">
        <v>8</v>
      </c>
      <c r="F113" s="10" t="s">
        <v>62</v>
      </c>
      <c r="G113" s="8" t="s">
        <v>21</v>
      </c>
    </row>
    <row r="114" spans="1:10" x14ac:dyDescent="0.35">
      <c r="A114" s="8" t="s">
        <v>116</v>
      </c>
      <c r="B114" s="8" t="s">
        <v>117</v>
      </c>
      <c r="C114" s="8" t="s">
        <v>24</v>
      </c>
      <c r="D114" s="8">
        <v>2.3821576615156428E-3</v>
      </c>
      <c r="E114" s="8" t="s">
        <v>8</v>
      </c>
      <c r="F114" s="8" t="s">
        <v>25</v>
      </c>
      <c r="G114" s="8" t="s">
        <v>26</v>
      </c>
      <c r="J114" s="8" t="s">
        <v>111</v>
      </c>
    </row>
    <row r="115" spans="1:10" x14ac:dyDescent="0.35">
      <c r="A115" s="8" t="s">
        <v>75</v>
      </c>
      <c r="B115" s="8" t="s">
        <v>76</v>
      </c>
      <c r="C115" s="8" t="s">
        <v>5</v>
      </c>
      <c r="D115" s="8">
        <v>3.2916137366570248E-7</v>
      </c>
      <c r="E115" s="8" t="s">
        <v>59</v>
      </c>
      <c r="F115" s="8" t="s">
        <v>25</v>
      </c>
      <c r="G115" s="8" t="s">
        <v>26</v>
      </c>
      <c r="J115" s="8" t="s">
        <v>111</v>
      </c>
    </row>
    <row r="116" spans="1:10" x14ac:dyDescent="0.35">
      <c r="A116" s="8" t="s">
        <v>112</v>
      </c>
      <c r="B116" s="8" t="s">
        <v>113</v>
      </c>
      <c r="C116" s="8" t="s">
        <v>5</v>
      </c>
      <c r="D116" s="8">
        <v>8.8764680076145169E-4</v>
      </c>
      <c r="E116" s="8" t="s">
        <v>8</v>
      </c>
      <c r="F116" s="8" t="s">
        <v>25</v>
      </c>
      <c r="G116" s="8" t="s">
        <v>26</v>
      </c>
      <c r="J116" s="8" t="s">
        <v>111</v>
      </c>
    </row>
    <row r="117" spans="1:10" x14ac:dyDescent="0.35">
      <c r="A117" s="8" t="s">
        <v>121</v>
      </c>
      <c r="B117" s="8" t="s">
        <v>122</v>
      </c>
      <c r="C117" s="8" t="s">
        <v>5</v>
      </c>
      <c r="D117" s="8">
        <v>1.8603684386012461E-3</v>
      </c>
      <c r="E117" s="8" t="s">
        <v>53</v>
      </c>
      <c r="F117" s="8" t="s">
        <v>25</v>
      </c>
      <c r="G117" s="8" t="s">
        <v>26</v>
      </c>
      <c r="J117" s="8" t="s">
        <v>111</v>
      </c>
    </row>
    <row r="118" spans="1:10" x14ac:dyDescent="0.35">
      <c r="A118" s="8" t="s">
        <v>128</v>
      </c>
      <c r="B118" s="8" t="s">
        <v>129</v>
      </c>
      <c r="C118" s="8" t="s">
        <v>34</v>
      </c>
      <c r="D118" s="8">
        <v>-7.3211960728745897E-4</v>
      </c>
      <c r="E118" s="8" t="s">
        <v>8</v>
      </c>
      <c r="F118" s="8" t="s">
        <v>25</v>
      </c>
      <c r="G118" s="8" t="s">
        <v>26</v>
      </c>
      <c r="J118" s="8" t="s">
        <v>111</v>
      </c>
    </row>
    <row r="119" spans="1:10" s="16" customFormat="1" x14ac:dyDescent="0.35">
      <c r="A119" s="16" t="s">
        <v>147</v>
      </c>
      <c r="B119" s="16" t="s">
        <v>148</v>
      </c>
      <c r="C119" s="16" t="s">
        <v>34</v>
      </c>
      <c r="D119" s="16">
        <v>-3.2163653932674202E-5</v>
      </c>
      <c r="E119" s="16" t="s">
        <v>8</v>
      </c>
      <c r="F119" s="16" t="s">
        <v>25</v>
      </c>
      <c r="G119" s="16" t="s">
        <v>26</v>
      </c>
      <c r="J119" s="16" t="s">
        <v>111</v>
      </c>
    </row>
    <row r="120" spans="1:10" x14ac:dyDescent="0.35">
      <c r="A120" s="8" t="s">
        <v>66</v>
      </c>
      <c r="D120" s="8">
        <v>4.7226816982449511E-5</v>
      </c>
      <c r="E120" s="8" t="s">
        <v>59</v>
      </c>
      <c r="F120" s="8" t="s">
        <v>63</v>
      </c>
      <c r="G120" s="8" t="s">
        <v>64</v>
      </c>
      <c r="H120" s="8" t="s">
        <v>65</v>
      </c>
      <c r="J120" s="8" t="s">
        <v>111</v>
      </c>
    </row>
    <row r="121" spans="1:10" x14ac:dyDescent="0.35">
      <c r="A121" s="8" t="s">
        <v>91</v>
      </c>
      <c r="D121" s="8">
        <v>2.5822678652413341E-6</v>
      </c>
      <c r="E121" s="8" t="s">
        <v>8</v>
      </c>
      <c r="F121" s="8" t="s">
        <v>63</v>
      </c>
      <c r="G121" s="8" t="s">
        <v>64</v>
      </c>
      <c r="H121" s="8" t="s">
        <v>87</v>
      </c>
      <c r="J121" s="8" t="s">
        <v>111</v>
      </c>
    </row>
    <row r="122" spans="1:10" x14ac:dyDescent="0.35">
      <c r="A122" s="8" t="s">
        <v>89</v>
      </c>
      <c r="D122" s="8">
        <v>3.1111661027004021E-8</v>
      </c>
      <c r="E122" s="8" t="s">
        <v>8</v>
      </c>
      <c r="F122" s="8" t="s">
        <v>63</v>
      </c>
      <c r="G122" s="8" t="s">
        <v>64</v>
      </c>
      <c r="H122" s="8" t="s">
        <v>87</v>
      </c>
      <c r="J122" s="8" t="s">
        <v>111</v>
      </c>
    </row>
    <row r="123" spans="1:10" x14ac:dyDescent="0.35">
      <c r="A123" s="8" t="s">
        <v>102</v>
      </c>
      <c r="D123" s="8">
        <v>6.2223322054008039E-9</v>
      </c>
      <c r="E123" s="8" t="s">
        <v>8</v>
      </c>
      <c r="F123" s="8" t="s">
        <v>63</v>
      </c>
      <c r="G123" s="8" t="s">
        <v>64</v>
      </c>
      <c r="H123" s="8" t="s">
        <v>87</v>
      </c>
      <c r="J123" s="8" t="s">
        <v>111</v>
      </c>
    </row>
    <row r="124" spans="1:10" x14ac:dyDescent="0.35">
      <c r="A124" s="8" t="s">
        <v>104</v>
      </c>
      <c r="D124" s="8">
        <v>3.031700698105228E-10</v>
      </c>
      <c r="E124" s="8" t="s">
        <v>8</v>
      </c>
      <c r="F124" s="8" t="s">
        <v>63</v>
      </c>
      <c r="G124" s="8" t="s">
        <v>64</v>
      </c>
      <c r="H124" s="8" t="s">
        <v>87</v>
      </c>
      <c r="J124" s="8" t="s">
        <v>111</v>
      </c>
    </row>
    <row r="125" spans="1:10" x14ac:dyDescent="0.35">
      <c r="A125" s="8" t="s">
        <v>88</v>
      </c>
      <c r="D125" s="8">
        <v>8.4001484772910857E-7</v>
      </c>
      <c r="E125" s="8" t="s">
        <v>8</v>
      </c>
      <c r="F125" s="8" t="s">
        <v>63</v>
      </c>
      <c r="G125" s="8" t="s">
        <v>64</v>
      </c>
      <c r="H125" s="8" t="s">
        <v>87</v>
      </c>
      <c r="J125" s="8" t="s">
        <v>111</v>
      </c>
    </row>
    <row r="126" spans="1:10" x14ac:dyDescent="0.35">
      <c r="A126" s="8" t="s">
        <v>86</v>
      </c>
      <c r="D126" s="8">
        <v>1.4186917428313831E-5</v>
      </c>
      <c r="E126" s="8" t="s">
        <v>8</v>
      </c>
      <c r="F126" s="8" t="s">
        <v>63</v>
      </c>
      <c r="G126" s="8" t="s">
        <v>64</v>
      </c>
      <c r="H126" s="8" t="s">
        <v>87</v>
      </c>
      <c r="J126" s="8" t="s">
        <v>111</v>
      </c>
    </row>
    <row r="127" spans="1:10" x14ac:dyDescent="0.35">
      <c r="A127" s="8" t="s">
        <v>127</v>
      </c>
      <c r="D127" s="8">
        <v>8.7423767485881308E-6</v>
      </c>
      <c r="E127" s="8" t="s">
        <v>8</v>
      </c>
      <c r="F127" s="8" t="s">
        <v>63</v>
      </c>
      <c r="G127" s="8" t="s">
        <v>64</v>
      </c>
      <c r="H127" s="8" t="s">
        <v>87</v>
      </c>
      <c r="J127" s="8" t="s">
        <v>111</v>
      </c>
    </row>
    <row r="128" spans="1:10" s="11" customFormat="1" x14ac:dyDescent="0.35"/>
    <row r="129" spans="1:14" x14ac:dyDescent="0.35">
      <c r="A129" s="7" t="s">
        <v>0</v>
      </c>
      <c r="B129" s="14" t="s">
        <v>218</v>
      </c>
    </row>
    <row r="130" spans="1:14" x14ac:dyDescent="0.35">
      <c r="A130" s="9" t="s">
        <v>2</v>
      </c>
      <c r="B130" s="8" t="s">
        <v>217</v>
      </c>
    </row>
    <row r="131" spans="1:14" x14ac:dyDescent="0.35">
      <c r="A131" s="9" t="s">
        <v>4</v>
      </c>
      <c r="B131" s="8" t="s">
        <v>5</v>
      </c>
    </row>
    <row r="132" spans="1:14" x14ac:dyDescent="0.35">
      <c r="A132" s="9" t="s">
        <v>6</v>
      </c>
      <c r="B132" s="8">
        <v>1</v>
      </c>
    </row>
    <row r="133" spans="1:14" x14ac:dyDescent="0.35">
      <c r="A133" s="9" t="s">
        <v>7</v>
      </c>
      <c r="B133" s="8" t="s">
        <v>8</v>
      </c>
    </row>
    <row r="134" spans="1:14" x14ac:dyDescent="0.35">
      <c r="A134" s="9" t="s">
        <v>9</v>
      </c>
      <c r="B134" s="16" t="s">
        <v>223</v>
      </c>
    </row>
    <row r="135" spans="1:14" x14ac:dyDescent="0.35">
      <c r="A135" s="9" t="s">
        <v>10</v>
      </c>
    </row>
    <row r="136" spans="1:14" x14ac:dyDescent="0.35">
      <c r="A136" s="7" t="s">
        <v>11</v>
      </c>
      <c r="B136" s="7" t="s">
        <v>2</v>
      </c>
      <c r="C136" s="7" t="s">
        <v>4</v>
      </c>
      <c r="D136" s="7" t="s">
        <v>6</v>
      </c>
      <c r="E136" s="7" t="s">
        <v>7</v>
      </c>
      <c r="F136" s="7" t="s">
        <v>12</v>
      </c>
      <c r="G136" s="7" t="s">
        <v>13</v>
      </c>
      <c r="H136" s="7" t="s">
        <v>14</v>
      </c>
      <c r="I136" s="7" t="s">
        <v>15</v>
      </c>
      <c r="J136" s="7" t="s">
        <v>16</v>
      </c>
      <c r="K136" s="7" t="s">
        <v>17</v>
      </c>
      <c r="L136" s="7" t="s">
        <v>18</v>
      </c>
      <c r="M136" s="7" t="s">
        <v>19</v>
      </c>
      <c r="N136" s="7" t="s">
        <v>20</v>
      </c>
    </row>
    <row r="137" spans="1:14" x14ac:dyDescent="0.35">
      <c r="A137" s="8" t="str">
        <f>B129</f>
        <v>Zn and Lead (Pb) waste treatment</v>
      </c>
      <c r="B137" s="8" t="str">
        <f>B130</f>
        <v>Zn material</v>
      </c>
      <c r="C137" s="8" t="str">
        <f>B131</f>
        <v>CN</v>
      </c>
      <c r="D137" s="8">
        <v>1</v>
      </c>
      <c r="E137" s="8" t="s">
        <v>8</v>
      </c>
      <c r="F137" s="10" t="s">
        <v>62</v>
      </c>
      <c r="G137" s="8" t="s">
        <v>21</v>
      </c>
    </row>
    <row r="138" spans="1:14" x14ac:dyDescent="0.35">
      <c r="A138" s="8" t="s">
        <v>116</v>
      </c>
      <c r="B138" s="8" t="s">
        <v>117</v>
      </c>
      <c r="C138" s="8" t="s">
        <v>24</v>
      </c>
      <c r="D138" s="8">
        <v>9.9507536628769635E-4</v>
      </c>
      <c r="E138" s="8" t="s">
        <v>8</v>
      </c>
      <c r="F138" s="8" t="s">
        <v>25</v>
      </c>
      <c r="G138" s="8" t="s">
        <v>26</v>
      </c>
      <c r="J138" s="8" t="s">
        <v>111</v>
      </c>
    </row>
    <row r="139" spans="1:14" x14ac:dyDescent="0.35">
      <c r="A139" s="8" t="s">
        <v>75</v>
      </c>
      <c r="B139" s="8" t="s">
        <v>76</v>
      </c>
      <c r="C139" s="8" t="s">
        <v>5</v>
      </c>
      <c r="D139" s="8">
        <v>1.745597521072627E-6</v>
      </c>
      <c r="E139" s="8" t="s">
        <v>59</v>
      </c>
      <c r="F139" s="8" t="s">
        <v>25</v>
      </c>
      <c r="G139" s="8" t="s">
        <v>26</v>
      </c>
      <c r="J139" s="8" t="s">
        <v>111</v>
      </c>
    </row>
    <row r="140" spans="1:14" x14ac:dyDescent="0.35">
      <c r="A140" s="8" t="s">
        <v>112</v>
      </c>
      <c r="B140" s="8" t="s">
        <v>113</v>
      </c>
      <c r="C140" s="8" t="s">
        <v>5</v>
      </c>
      <c r="D140" s="8">
        <v>1.0342138358596679E-3</v>
      </c>
      <c r="E140" s="8" t="s">
        <v>8</v>
      </c>
      <c r="F140" s="8" t="s">
        <v>25</v>
      </c>
      <c r="G140" s="8" t="s">
        <v>26</v>
      </c>
      <c r="J140" s="8" t="s">
        <v>111</v>
      </c>
    </row>
    <row r="141" spans="1:14" x14ac:dyDescent="0.35">
      <c r="A141" s="8" t="s">
        <v>121</v>
      </c>
      <c r="B141" s="8" t="s">
        <v>122</v>
      </c>
      <c r="C141" s="8" t="s">
        <v>5</v>
      </c>
      <c r="D141" s="8">
        <v>0.23677066060852109</v>
      </c>
      <c r="E141" s="8" t="s">
        <v>53</v>
      </c>
      <c r="F141" s="8" t="s">
        <v>25</v>
      </c>
      <c r="G141" s="8" t="s">
        <v>26</v>
      </c>
      <c r="J141" s="8" t="s">
        <v>111</v>
      </c>
    </row>
    <row r="142" spans="1:14" x14ac:dyDescent="0.35">
      <c r="A142" s="8" t="s">
        <v>130</v>
      </c>
      <c r="B142" s="8" t="s">
        <v>131</v>
      </c>
      <c r="C142" s="8" t="s">
        <v>24</v>
      </c>
      <c r="D142" s="8">
        <v>-3.9927865747209197E-2</v>
      </c>
      <c r="E142" s="8" t="s">
        <v>8</v>
      </c>
      <c r="F142" s="8" t="s">
        <v>25</v>
      </c>
      <c r="G142" s="8" t="s">
        <v>26</v>
      </c>
      <c r="J142" s="8" t="s">
        <v>111</v>
      </c>
    </row>
    <row r="143" spans="1:14" s="16" customFormat="1" x14ac:dyDescent="0.35">
      <c r="A143" s="16" t="s">
        <v>147</v>
      </c>
      <c r="B143" s="16" t="s">
        <v>148</v>
      </c>
      <c r="C143" s="16" t="s">
        <v>34</v>
      </c>
      <c r="D143" s="16">
        <v>-2.9923424246480999E-2</v>
      </c>
      <c r="E143" s="16" t="s">
        <v>8</v>
      </c>
      <c r="F143" s="16" t="s">
        <v>25</v>
      </c>
      <c r="G143" s="16" t="s">
        <v>26</v>
      </c>
      <c r="J143" s="16" t="s">
        <v>111</v>
      </c>
    </row>
    <row r="144" spans="1:14" x14ac:dyDescent="0.35">
      <c r="A144" s="8" t="s">
        <v>66</v>
      </c>
      <c r="D144" s="8">
        <v>3.6333442213776372E-5</v>
      </c>
      <c r="E144" s="8" t="s">
        <v>59</v>
      </c>
      <c r="F144" s="8" t="s">
        <v>63</v>
      </c>
      <c r="G144" s="8" t="s">
        <v>64</v>
      </c>
      <c r="H144" s="8" t="s">
        <v>65</v>
      </c>
      <c r="J144" s="8" t="s">
        <v>111</v>
      </c>
    </row>
    <row r="145" spans="1:10" x14ac:dyDescent="0.35">
      <c r="A145" s="8" t="s">
        <v>91</v>
      </c>
      <c r="D145" s="8">
        <v>1.8324768344905369E-5</v>
      </c>
      <c r="E145" s="8" t="s">
        <v>8</v>
      </c>
      <c r="F145" s="8" t="s">
        <v>63</v>
      </c>
      <c r="G145" s="8" t="s">
        <v>64</v>
      </c>
      <c r="H145" s="8" t="s">
        <v>87</v>
      </c>
      <c r="J145" s="8" t="s">
        <v>111</v>
      </c>
    </row>
    <row r="146" spans="1:10" x14ac:dyDescent="0.35">
      <c r="A146" s="8" t="s">
        <v>118</v>
      </c>
      <c r="D146" s="8">
        <v>2.1778162718902819E-7</v>
      </c>
      <c r="E146" s="8" t="s">
        <v>8</v>
      </c>
      <c r="F146" s="8" t="s">
        <v>63</v>
      </c>
      <c r="G146" s="8" t="s">
        <v>64</v>
      </c>
      <c r="H146" s="8" t="s">
        <v>87</v>
      </c>
      <c r="J146" s="8" t="s">
        <v>111</v>
      </c>
    </row>
    <row r="147" spans="1:10" x14ac:dyDescent="0.35">
      <c r="A147" s="8" t="s">
        <v>89</v>
      </c>
      <c r="D147" s="8">
        <v>9.0223816978311657E-7</v>
      </c>
      <c r="E147" s="8" t="s">
        <v>8</v>
      </c>
      <c r="F147" s="8" t="s">
        <v>63</v>
      </c>
      <c r="G147" s="8" t="s">
        <v>64</v>
      </c>
      <c r="H147" s="8" t="s">
        <v>87</v>
      </c>
      <c r="J147" s="8" t="s">
        <v>111</v>
      </c>
    </row>
    <row r="148" spans="1:10" x14ac:dyDescent="0.35">
      <c r="A148" s="8" t="s">
        <v>102</v>
      </c>
      <c r="D148" s="8">
        <v>6.2223322054008042E-8</v>
      </c>
      <c r="E148" s="8" t="s">
        <v>8</v>
      </c>
      <c r="F148" s="8" t="s">
        <v>63</v>
      </c>
      <c r="G148" s="8" t="s">
        <v>64</v>
      </c>
      <c r="H148" s="8" t="s">
        <v>87</v>
      </c>
      <c r="J148" s="8" t="s">
        <v>111</v>
      </c>
    </row>
    <row r="149" spans="1:10" x14ac:dyDescent="0.35">
      <c r="A149" s="8" t="s">
        <v>104</v>
      </c>
      <c r="D149" s="8">
        <v>2.177816271890281E-8</v>
      </c>
      <c r="E149" s="8" t="s">
        <v>8</v>
      </c>
      <c r="F149" s="8" t="s">
        <v>63</v>
      </c>
      <c r="G149" s="8" t="s">
        <v>64</v>
      </c>
      <c r="H149" s="8" t="s">
        <v>87</v>
      </c>
      <c r="J149" s="8" t="s">
        <v>111</v>
      </c>
    </row>
    <row r="150" spans="1:10" x14ac:dyDescent="0.35">
      <c r="A150" s="8" t="s">
        <v>88</v>
      </c>
      <c r="D150" s="8">
        <v>1.4311364072421849E-6</v>
      </c>
      <c r="E150" s="8" t="s">
        <v>8</v>
      </c>
      <c r="F150" s="8" t="s">
        <v>63</v>
      </c>
      <c r="G150" s="8" t="s">
        <v>64</v>
      </c>
      <c r="H150" s="8" t="s">
        <v>87</v>
      </c>
      <c r="J150" s="8" t="s">
        <v>111</v>
      </c>
    </row>
    <row r="151" spans="1:10" x14ac:dyDescent="0.35">
      <c r="A151" s="8" t="s">
        <v>86</v>
      </c>
      <c r="D151" s="8">
        <v>1.4392254391092061E-4</v>
      </c>
      <c r="E151" s="8" t="s">
        <v>8</v>
      </c>
      <c r="F151" s="8" t="s">
        <v>63</v>
      </c>
      <c r="G151" s="8" t="s">
        <v>64</v>
      </c>
      <c r="H151" s="8" t="s">
        <v>87</v>
      </c>
      <c r="J151" s="8" t="s">
        <v>111</v>
      </c>
    </row>
    <row r="152" spans="1:10" x14ac:dyDescent="0.35">
      <c r="A152" s="8" t="s">
        <v>127</v>
      </c>
      <c r="D152" s="8">
        <v>5.2423148830501792E-5</v>
      </c>
      <c r="E152" s="8" t="s">
        <v>8</v>
      </c>
      <c r="F152" s="8" t="s">
        <v>63</v>
      </c>
      <c r="G152" s="8" t="s">
        <v>64</v>
      </c>
      <c r="H152" s="8" t="s">
        <v>87</v>
      </c>
      <c r="J152" s="8" t="s">
        <v>111</v>
      </c>
    </row>
    <row r="153" spans="1:10" s="11" customFormat="1" x14ac:dyDescent="0.35"/>
    <row r="154" spans="1:10" x14ac:dyDescent="0.35">
      <c r="A154" s="7" t="s">
        <v>0</v>
      </c>
      <c r="B154" s="7" t="s">
        <v>133</v>
      </c>
    </row>
    <row r="155" spans="1:10" x14ac:dyDescent="0.35">
      <c r="A155" s="9" t="s">
        <v>2</v>
      </c>
      <c r="B155" s="8" t="s">
        <v>134</v>
      </c>
    </row>
    <row r="156" spans="1:10" x14ac:dyDescent="0.35">
      <c r="A156" s="9" t="s">
        <v>4</v>
      </c>
      <c r="B156" s="8" t="s">
        <v>5</v>
      </c>
    </row>
    <row r="157" spans="1:10" x14ac:dyDescent="0.35">
      <c r="A157" s="9" t="s">
        <v>6</v>
      </c>
      <c r="B157" s="8">
        <v>1</v>
      </c>
    </row>
    <row r="158" spans="1:10" x14ac:dyDescent="0.35">
      <c r="A158" s="9" t="s">
        <v>7</v>
      </c>
      <c r="B158" s="8" t="s">
        <v>8</v>
      </c>
    </row>
    <row r="159" spans="1:10" x14ac:dyDescent="0.35">
      <c r="A159" s="9" t="s">
        <v>9</v>
      </c>
      <c r="B159" s="17" t="s">
        <v>109</v>
      </c>
    </row>
    <row r="160" spans="1:10" x14ac:dyDescent="0.35">
      <c r="A160" s="9" t="s">
        <v>10</v>
      </c>
    </row>
    <row r="161" spans="1:14" x14ac:dyDescent="0.35">
      <c r="A161" s="7" t="s">
        <v>11</v>
      </c>
      <c r="B161" s="7" t="s">
        <v>2</v>
      </c>
      <c r="C161" s="7" t="s">
        <v>4</v>
      </c>
      <c r="D161" s="7" t="s">
        <v>6</v>
      </c>
      <c r="E161" s="7" t="s">
        <v>7</v>
      </c>
      <c r="F161" s="7" t="s">
        <v>12</v>
      </c>
      <c r="G161" s="7" t="s">
        <v>13</v>
      </c>
      <c r="H161" s="7" t="s">
        <v>14</v>
      </c>
      <c r="I161" s="7" t="s">
        <v>15</v>
      </c>
      <c r="J161" s="7" t="s">
        <v>16</v>
      </c>
      <c r="K161" s="7" t="s">
        <v>17</v>
      </c>
      <c r="L161" s="7" t="s">
        <v>18</v>
      </c>
      <c r="M161" s="7" t="s">
        <v>19</v>
      </c>
      <c r="N161" s="7" t="s">
        <v>20</v>
      </c>
    </row>
    <row r="162" spans="1:14" x14ac:dyDescent="0.35">
      <c r="A162" s="8" t="str">
        <f>B154</f>
        <v>Wastewater treatment</v>
      </c>
      <c r="B162" s="8" t="str">
        <f>B155</f>
        <v>Wastewater</v>
      </c>
      <c r="C162" s="8" t="str">
        <f>B156</f>
        <v>CN</v>
      </c>
      <c r="D162" s="8">
        <v>1</v>
      </c>
      <c r="E162" s="8" t="s">
        <v>8</v>
      </c>
      <c r="F162" s="10" t="s">
        <v>62</v>
      </c>
      <c r="G162" s="8" t="s">
        <v>21</v>
      </c>
    </row>
    <row r="163" spans="1:14" x14ac:dyDescent="0.35">
      <c r="A163" s="8" t="s">
        <v>116</v>
      </c>
      <c r="B163" s="8" t="s">
        <v>117</v>
      </c>
      <c r="C163" s="8" t="s">
        <v>24</v>
      </c>
      <c r="D163" s="8">
        <v>9.4890566132362266E-3</v>
      </c>
      <c r="E163" s="8" t="s">
        <v>8</v>
      </c>
      <c r="F163" s="8" t="s">
        <v>25</v>
      </c>
      <c r="G163" s="8" t="s">
        <v>26</v>
      </c>
      <c r="J163" s="8" t="s">
        <v>111</v>
      </c>
    </row>
    <row r="164" spans="1:14" x14ac:dyDescent="0.35">
      <c r="A164" s="8" t="s">
        <v>112</v>
      </c>
      <c r="B164" s="8" t="s">
        <v>113</v>
      </c>
      <c r="C164" s="8" t="s">
        <v>5</v>
      </c>
      <c r="D164" s="8">
        <v>2.944563157900796E-3</v>
      </c>
      <c r="E164" s="8" t="s">
        <v>8</v>
      </c>
      <c r="F164" s="8" t="s">
        <v>25</v>
      </c>
      <c r="G164" s="8" t="s">
        <v>26</v>
      </c>
      <c r="J164" s="8" t="s">
        <v>111</v>
      </c>
    </row>
    <row r="165" spans="1:14" x14ac:dyDescent="0.35">
      <c r="A165" s="8" t="s">
        <v>123</v>
      </c>
      <c r="B165" s="8" t="s">
        <v>124</v>
      </c>
      <c r="C165" s="8" t="s">
        <v>24</v>
      </c>
      <c r="D165" s="8">
        <v>-4.2311858996725502E-3</v>
      </c>
      <c r="E165" s="8" t="s">
        <v>8</v>
      </c>
      <c r="F165" s="8" t="s">
        <v>25</v>
      </c>
      <c r="G165" s="8" t="s">
        <v>26</v>
      </c>
      <c r="J165" s="8" t="s">
        <v>111</v>
      </c>
    </row>
    <row r="166" spans="1:14" x14ac:dyDescent="0.35">
      <c r="A166" s="8" t="s">
        <v>132</v>
      </c>
      <c r="B166" s="8" t="s">
        <v>61</v>
      </c>
      <c r="C166" s="8" t="s">
        <v>34</v>
      </c>
      <c r="D166" s="8">
        <v>-1.10881959900242E-2</v>
      </c>
      <c r="E166" s="8" t="s">
        <v>8</v>
      </c>
      <c r="F166" s="8" t="s">
        <v>25</v>
      </c>
      <c r="G166" s="8" t="s">
        <v>26</v>
      </c>
      <c r="J166" s="8" t="s">
        <v>111</v>
      </c>
    </row>
    <row r="167" spans="1:14" x14ac:dyDescent="0.35">
      <c r="A167" s="8" t="s">
        <v>123</v>
      </c>
      <c r="B167" s="8" t="s">
        <v>124</v>
      </c>
      <c r="C167" s="8" t="s">
        <v>24</v>
      </c>
      <c r="D167" s="8">
        <v>-1.02668481389113E-3</v>
      </c>
      <c r="E167" s="8" t="s">
        <v>8</v>
      </c>
      <c r="F167" s="8" t="s">
        <v>25</v>
      </c>
      <c r="G167" s="8" t="s">
        <v>26</v>
      </c>
      <c r="J167" s="8" t="s">
        <v>111</v>
      </c>
    </row>
    <row r="168" spans="1:14" x14ac:dyDescent="0.35">
      <c r="A168" s="8" t="s">
        <v>66</v>
      </c>
      <c r="D168" s="8">
        <v>8.7268209180746271E-5</v>
      </c>
      <c r="E168" s="8" t="s">
        <v>59</v>
      </c>
      <c r="F168" s="8" t="s">
        <v>63</v>
      </c>
      <c r="G168" s="8" t="s">
        <v>64</v>
      </c>
      <c r="H168" s="8" t="s">
        <v>65</v>
      </c>
      <c r="J168" s="8" t="s">
        <v>111</v>
      </c>
    </row>
    <row r="169" spans="1:14" s="12" customFormat="1" x14ac:dyDescent="0.35"/>
    <row r="170" spans="1:14" x14ac:dyDescent="0.35">
      <c r="A170" s="7" t="s">
        <v>0</v>
      </c>
      <c r="B170" s="7" t="s">
        <v>214</v>
      </c>
    </row>
    <row r="171" spans="1:14" x14ac:dyDescent="0.35">
      <c r="A171" s="9" t="s">
        <v>2</v>
      </c>
      <c r="B171" s="8" t="s">
        <v>72</v>
      </c>
    </row>
    <row r="172" spans="1:14" x14ac:dyDescent="0.35">
      <c r="A172" s="9" t="s">
        <v>4</v>
      </c>
      <c r="B172" s="8" t="s">
        <v>5</v>
      </c>
    </row>
    <row r="173" spans="1:14" x14ac:dyDescent="0.35">
      <c r="A173" s="9" t="s">
        <v>6</v>
      </c>
      <c r="B173" s="8">
        <v>1</v>
      </c>
    </row>
    <row r="174" spans="1:14" x14ac:dyDescent="0.35">
      <c r="A174" s="9" t="s">
        <v>7</v>
      </c>
      <c r="B174" s="8" t="s">
        <v>8</v>
      </c>
    </row>
    <row r="175" spans="1:14" x14ac:dyDescent="0.35">
      <c r="A175" s="9" t="s">
        <v>9</v>
      </c>
      <c r="B175" s="15" t="s">
        <v>227</v>
      </c>
    </row>
    <row r="176" spans="1:14" x14ac:dyDescent="0.35">
      <c r="A176" s="9" t="s">
        <v>10</v>
      </c>
    </row>
    <row r="177" spans="1:14" x14ac:dyDescent="0.35">
      <c r="A177" s="7" t="s">
        <v>11</v>
      </c>
      <c r="B177" s="7" t="s">
        <v>2</v>
      </c>
      <c r="C177" s="7" t="s">
        <v>4</v>
      </c>
      <c r="D177" s="7" t="s">
        <v>6</v>
      </c>
      <c r="E177" s="7" t="s">
        <v>7</v>
      </c>
      <c r="F177" s="7" t="s">
        <v>12</v>
      </c>
      <c r="G177" s="7" t="s">
        <v>13</v>
      </c>
      <c r="H177" s="7" t="s">
        <v>14</v>
      </c>
      <c r="I177" s="7" t="s">
        <v>15</v>
      </c>
      <c r="J177" s="7" t="s">
        <v>16</v>
      </c>
      <c r="K177" s="7" t="s">
        <v>17</v>
      </c>
      <c r="L177" s="7" t="s">
        <v>18</v>
      </c>
      <c r="M177" s="7" t="s">
        <v>19</v>
      </c>
      <c r="N177" s="7" t="s">
        <v>20</v>
      </c>
    </row>
    <row r="178" spans="1:14" x14ac:dyDescent="0.35">
      <c r="A178" s="8" t="str">
        <f>B170</f>
        <v>Zn ore mining in China/Guangdong and Zn production in China/Yangtze through Hydrometallurgy</v>
      </c>
      <c r="B178" s="8" t="str">
        <f>B171</f>
        <v>Refined Zn</v>
      </c>
      <c r="C178" s="8" t="str">
        <f>B172</f>
        <v>CN</v>
      </c>
      <c r="D178" s="8">
        <v>1</v>
      </c>
      <c r="E178" s="8" t="s">
        <v>8</v>
      </c>
      <c r="F178" s="10" t="s">
        <v>62</v>
      </c>
      <c r="G178" s="8" t="s">
        <v>21</v>
      </c>
    </row>
    <row r="179" spans="1:14" x14ac:dyDescent="0.35">
      <c r="A179" s="8" t="s">
        <v>110</v>
      </c>
      <c r="B179" s="8" t="s">
        <v>72</v>
      </c>
      <c r="C179" s="8" t="s">
        <v>5</v>
      </c>
      <c r="D179" s="8">
        <v>1</v>
      </c>
      <c r="E179" s="8" t="s">
        <v>8</v>
      </c>
      <c r="F179" s="10" t="s">
        <v>62</v>
      </c>
      <c r="G179" s="8" t="s">
        <v>26</v>
      </c>
    </row>
    <row r="180" spans="1:14" x14ac:dyDescent="0.35">
      <c r="A180" s="8" t="s">
        <v>135</v>
      </c>
      <c r="B180" s="8" t="s">
        <v>3</v>
      </c>
      <c r="C180" s="8" t="s">
        <v>5</v>
      </c>
      <c r="D180" s="15">
        <v>1.8558438643044453</v>
      </c>
      <c r="E180" s="8" t="s">
        <v>8</v>
      </c>
      <c r="F180" s="10" t="s">
        <v>62</v>
      </c>
      <c r="G180" s="8" t="s">
        <v>26</v>
      </c>
    </row>
    <row r="181" spans="1:14" x14ac:dyDescent="0.35">
      <c r="A181" s="8" t="s">
        <v>133</v>
      </c>
      <c r="B181" s="8" t="s">
        <v>134</v>
      </c>
      <c r="C181" s="8" t="s">
        <v>5</v>
      </c>
      <c r="D181" s="15">
        <v>0.97207846081184901</v>
      </c>
      <c r="E181" s="8" t="s">
        <v>8</v>
      </c>
      <c r="F181" s="10" t="s">
        <v>62</v>
      </c>
      <c r="G181" s="8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8C5D-E890-444D-9944-549255514F85}">
  <sheetPr>
    <tabColor theme="8" tint="0.39997558519241921"/>
  </sheetPr>
  <dimension ref="A1:N139"/>
  <sheetViews>
    <sheetView workbookViewId="0">
      <selection activeCell="H127" sqref="H127"/>
    </sheetView>
  </sheetViews>
  <sheetFormatPr baseColWidth="10" defaultColWidth="9.1796875" defaultRowHeight="14.5" x14ac:dyDescent="0.35"/>
  <cols>
    <col min="1" max="1" width="60.453125" style="8" bestFit="1" customWidth="1"/>
    <col min="2" max="2" width="60.54296875" style="8" bestFit="1" customWidth="1"/>
    <col min="3" max="3" width="8.1796875" style="8" bestFit="1" customWidth="1"/>
    <col min="4" max="4" width="12" style="8" bestFit="1" customWidth="1"/>
    <col min="5" max="5" width="17.54296875" style="8" bestFit="1" customWidth="1"/>
    <col min="6" max="6" width="19.7265625" style="8" bestFit="1" customWidth="1"/>
    <col min="7" max="7" width="13.26953125" style="8" bestFit="1" customWidth="1"/>
    <col min="8" max="8" width="25.2695312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14" t="s">
        <v>220</v>
      </c>
    </row>
    <row r="2" spans="1:14" x14ac:dyDescent="0.35">
      <c r="A2" s="9" t="s">
        <v>2</v>
      </c>
      <c r="B2" s="8" t="s">
        <v>3</v>
      </c>
    </row>
    <row r="3" spans="1:14" x14ac:dyDescent="0.35">
      <c r="A3" s="9" t="s">
        <v>4</v>
      </c>
      <c r="B3" s="8" t="s">
        <v>5</v>
      </c>
    </row>
    <row r="4" spans="1:14" x14ac:dyDescent="0.35">
      <c r="A4" s="9" t="s">
        <v>6</v>
      </c>
      <c r="B4" s="8">
        <v>1</v>
      </c>
    </row>
    <row r="5" spans="1:14" x14ac:dyDescent="0.35">
      <c r="A5" s="9" t="s">
        <v>7</v>
      </c>
      <c r="B5" s="8" t="s">
        <v>8</v>
      </c>
    </row>
    <row r="6" spans="1:14" ht="58" x14ac:dyDescent="0.35">
      <c r="A6" s="9" t="s">
        <v>9</v>
      </c>
      <c r="B6" s="18" t="s">
        <v>228</v>
      </c>
    </row>
    <row r="7" spans="1:14" x14ac:dyDescent="0.35">
      <c r="A7" s="9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8" t="s">
        <v>220</v>
      </c>
      <c r="B9" s="8" t="s">
        <v>3</v>
      </c>
      <c r="C9" s="8" t="s">
        <v>5</v>
      </c>
      <c r="D9" s="8">
        <v>1</v>
      </c>
      <c r="E9" s="8" t="s">
        <v>8</v>
      </c>
      <c r="F9" s="10" t="s">
        <v>62</v>
      </c>
      <c r="G9" s="8" t="s">
        <v>21</v>
      </c>
    </row>
    <row r="10" spans="1:14" x14ac:dyDescent="0.35">
      <c r="A10" s="8" t="s">
        <v>22</v>
      </c>
      <c r="B10" s="8" t="s">
        <v>23</v>
      </c>
      <c r="C10" s="8" t="s">
        <v>24</v>
      </c>
      <c r="D10" s="8">
        <v>2.0259343196027441E-3</v>
      </c>
      <c r="E10" s="8" t="s">
        <v>8</v>
      </c>
      <c r="F10" s="8" t="s">
        <v>25</v>
      </c>
      <c r="G10" s="8" t="s">
        <v>26</v>
      </c>
      <c r="J10" s="8" t="s">
        <v>170</v>
      </c>
    </row>
    <row r="11" spans="1:14" x14ac:dyDescent="0.35">
      <c r="A11" s="8" t="s">
        <v>116</v>
      </c>
      <c r="B11" s="8" t="s">
        <v>117</v>
      </c>
      <c r="C11" s="8" t="s">
        <v>24</v>
      </c>
      <c r="D11" s="8">
        <v>1.205725959142215E-2</v>
      </c>
      <c r="E11" s="8" t="s">
        <v>8</v>
      </c>
      <c r="F11" s="8" t="s">
        <v>25</v>
      </c>
      <c r="G11" s="8" t="s">
        <v>26</v>
      </c>
      <c r="J11" s="8" t="s">
        <v>170</v>
      </c>
    </row>
    <row r="12" spans="1:14" x14ac:dyDescent="0.35">
      <c r="A12" s="8" t="s">
        <v>149</v>
      </c>
      <c r="B12" s="8" t="s">
        <v>150</v>
      </c>
      <c r="C12" s="8" t="s">
        <v>24</v>
      </c>
      <c r="D12" s="8">
        <v>9.6182707018033187E-4</v>
      </c>
      <c r="E12" s="8" t="s">
        <v>8</v>
      </c>
      <c r="F12" s="8" t="s">
        <v>25</v>
      </c>
      <c r="G12" s="8" t="s">
        <v>26</v>
      </c>
      <c r="J12" s="8" t="s">
        <v>170</v>
      </c>
    </row>
    <row r="13" spans="1:14" x14ac:dyDescent="0.35">
      <c r="A13" s="8" t="s">
        <v>171</v>
      </c>
      <c r="B13" s="8" t="s">
        <v>172</v>
      </c>
      <c r="C13" s="8" t="s">
        <v>24</v>
      </c>
      <c r="D13" s="8">
        <v>4.4452539439827188E-4</v>
      </c>
      <c r="E13" s="8" t="s">
        <v>8</v>
      </c>
      <c r="F13" s="8" t="s">
        <v>25</v>
      </c>
      <c r="G13" s="8" t="s">
        <v>26</v>
      </c>
      <c r="J13" s="8" t="s">
        <v>170</v>
      </c>
    </row>
    <row r="14" spans="1:14" x14ac:dyDescent="0.35">
      <c r="A14" s="8" t="s">
        <v>173</v>
      </c>
      <c r="B14" s="8" t="s">
        <v>174</v>
      </c>
      <c r="C14" s="8" t="s">
        <v>34</v>
      </c>
      <c r="D14" s="8">
        <v>5.1533474925817358E-3</v>
      </c>
      <c r="E14" s="8" t="s">
        <v>8</v>
      </c>
      <c r="F14" s="8" t="s">
        <v>25</v>
      </c>
      <c r="G14" s="8" t="s">
        <v>26</v>
      </c>
      <c r="J14" s="8" t="s">
        <v>170</v>
      </c>
    </row>
    <row r="15" spans="1:14" x14ac:dyDescent="0.35">
      <c r="A15" s="8" t="s">
        <v>175</v>
      </c>
      <c r="B15" s="8" t="s">
        <v>176</v>
      </c>
      <c r="C15" s="8" t="s">
        <v>24</v>
      </c>
      <c r="D15" s="8">
        <v>2.1742655721061909E-9</v>
      </c>
      <c r="E15" s="8" t="s">
        <v>83</v>
      </c>
      <c r="F15" s="8" t="s">
        <v>25</v>
      </c>
      <c r="G15" s="8" t="s">
        <v>26</v>
      </c>
      <c r="J15" s="8" t="s">
        <v>170</v>
      </c>
    </row>
    <row r="16" spans="1:14" x14ac:dyDescent="0.35">
      <c r="A16" s="8" t="s">
        <v>81</v>
      </c>
      <c r="B16" s="8" t="s">
        <v>82</v>
      </c>
      <c r="C16" s="8" t="s">
        <v>34</v>
      </c>
      <c r="D16" s="8">
        <v>7.336635934095373E-2</v>
      </c>
      <c r="E16" s="8" t="s">
        <v>83</v>
      </c>
      <c r="F16" s="8" t="s">
        <v>25</v>
      </c>
      <c r="G16" s="8" t="s">
        <v>26</v>
      </c>
      <c r="J16" s="8" t="s">
        <v>170</v>
      </c>
    </row>
    <row r="17" spans="1:10" x14ac:dyDescent="0.35">
      <c r="A17" s="8" t="s">
        <v>54</v>
      </c>
      <c r="B17" s="8" t="s">
        <v>55</v>
      </c>
      <c r="C17" s="8" t="s">
        <v>5</v>
      </c>
      <c r="D17" s="8">
        <v>0.22226269719913599</v>
      </c>
      <c r="E17" s="8" t="s">
        <v>56</v>
      </c>
      <c r="F17" s="8" t="s">
        <v>25</v>
      </c>
      <c r="G17" s="8" t="s">
        <v>26</v>
      </c>
      <c r="J17" s="8" t="s">
        <v>170</v>
      </c>
    </row>
    <row r="18" spans="1:10" x14ac:dyDescent="0.35">
      <c r="A18" s="8" t="s">
        <v>51</v>
      </c>
      <c r="B18" s="8" t="s">
        <v>52</v>
      </c>
      <c r="C18" s="8" t="s">
        <v>24</v>
      </c>
      <c r="D18" s="8">
        <v>0.20456035848416049</v>
      </c>
      <c r="E18" s="8" t="s">
        <v>53</v>
      </c>
      <c r="F18" s="8" t="s">
        <v>25</v>
      </c>
      <c r="G18" s="8" t="s">
        <v>26</v>
      </c>
      <c r="J18" s="8" t="s">
        <v>170</v>
      </c>
    </row>
    <row r="19" spans="1:10" x14ac:dyDescent="0.35">
      <c r="A19" s="8" t="s">
        <v>177</v>
      </c>
      <c r="B19" s="8" t="s">
        <v>178</v>
      </c>
      <c r="C19" s="8" t="s">
        <v>34</v>
      </c>
      <c r="D19" s="8">
        <v>-7.3956437298119601E-4</v>
      </c>
      <c r="E19" s="8" t="s">
        <v>8</v>
      </c>
      <c r="F19" s="8" t="s">
        <v>25</v>
      </c>
      <c r="G19" s="8" t="s">
        <v>26</v>
      </c>
      <c r="J19" s="8" t="s">
        <v>179</v>
      </c>
    </row>
    <row r="20" spans="1:10" x14ac:dyDescent="0.35">
      <c r="A20" s="8" t="s">
        <v>125</v>
      </c>
      <c r="B20" s="8" t="s">
        <v>126</v>
      </c>
      <c r="C20" s="8" t="s">
        <v>34</v>
      </c>
      <c r="D20" s="8">
        <v>-20.849421153193301</v>
      </c>
      <c r="E20" s="8" t="s">
        <v>8</v>
      </c>
      <c r="F20" s="8" t="s">
        <v>25</v>
      </c>
      <c r="G20" s="8" t="s">
        <v>26</v>
      </c>
      <c r="J20" s="8" t="s">
        <v>179</v>
      </c>
    </row>
    <row r="21" spans="1:10" x14ac:dyDescent="0.35">
      <c r="A21" s="8" t="s">
        <v>180</v>
      </c>
      <c r="D21" s="8">
        <v>4.7796314530433662E-2</v>
      </c>
      <c r="E21" s="8" t="s">
        <v>181</v>
      </c>
      <c r="F21" s="8" t="s">
        <v>63</v>
      </c>
      <c r="G21" s="8" t="s">
        <v>64</v>
      </c>
      <c r="H21" s="8" t="s">
        <v>69</v>
      </c>
      <c r="J21" s="8" t="s">
        <v>170</v>
      </c>
    </row>
    <row r="22" spans="1:10" x14ac:dyDescent="0.35">
      <c r="A22" s="8" t="s">
        <v>66</v>
      </c>
      <c r="D22" s="8">
        <v>2.0652728500804669E-3</v>
      </c>
      <c r="E22" s="8" t="s">
        <v>59</v>
      </c>
      <c r="F22" s="8" t="s">
        <v>63</v>
      </c>
      <c r="G22" s="8" t="s">
        <v>64</v>
      </c>
      <c r="H22" s="8" t="s">
        <v>65</v>
      </c>
      <c r="J22" s="8" t="s">
        <v>170</v>
      </c>
    </row>
    <row r="23" spans="1:10" x14ac:dyDescent="0.35">
      <c r="A23" s="8" t="s">
        <v>91</v>
      </c>
      <c r="D23" s="8">
        <v>4.0440009331099428E-6</v>
      </c>
      <c r="E23" s="8" t="s">
        <v>8</v>
      </c>
      <c r="F23" s="8" t="s">
        <v>63</v>
      </c>
      <c r="G23" s="8" t="s">
        <v>64</v>
      </c>
      <c r="H23" s="8" t="s">
        <v>87</v>
      </c>
      <c r="J23" s="8" t="s">
        <v>179</v>
      </c>
    </row>
    <row r="24" spans="1:10" x14ac:dyDescent="0.35">
      <c r="A24" s="8" t="s">
        <v>86</v>
      </c>
      <c r="D24" s="8">
        <v>5.1926860230594605E-7</v>
      </c>
      <c r="E24" s="8" t="s">
        <v>8</v>
      </c>
      <c r="F24" s="8" t="s">
        <v>63</v>
      </c>
      <c r="G24" s="8" t="s">
        <v>64</v>
      </c>
      <c r="H24" s="8" t="s">
        <v>87</v>
      </c>
      <c r="J24" s="8" t="s">
        <v>179</v>
      </c>
    </row>
    <row r="25" spans="1:10" x14ac:dyDescent="0.35">
      <c r="A25" s="8" t="s">
        <v>89</v>
      </c>
      <c r="D25" s="8">
        <v>1.0729584187798999E-5</v>
      </c>
      <c r="E25" s="8" t="s">
        <v>8</v>
      </c>
      <c r="F25" s="8" t="s">
        <v>63</v>
      </c>
      <c r="G25" s="8" t="s">
        <v>64</v>
      </c>
      <c r="H25" s="8" t="s">
        <v>87</v>
      </c>
      <c r="J25" s="8" t="s">
        <v>179</v>
      </c>
    </row>
    <row r="26" spans="1:10" x14ac:dyDescent="0.35">
      <c r="A26" s="8" t="s">
        <v>104</v>
      </c>
      <c r="D26" s="8">
        <v>1.5342026886312041E-7</v>
      </c>
      <c r="E26" s="8" t="s">
        <v>8</v>
      </c>
      <c r="F26" s="8" t="s">
        <v>63</v>
      </c>
      <c r="G26" s="8" t="s">
        <v>64</v>
      </c>
      <c r="H26" s="8" t="s">
        <v>87</v>
      </c>
      <c r="J26" s="8" t="s">
        <v>179</v>
      </c>
    </row>
    <row r="27" spans="1:10" x14ac:dyDescent="0.35">
      <c r="A27" s="8" t="s">
        <v>102</v>
      </c>
      <c r="D27" s="8">
        <v>2.7143586029628992E-7</v>
      </c>
      <c r="E27" s="8" t="s">
        <v>8</v>
      </c>
      <c r="F27" s="8" t="s">
        <v>63</v>
      </c>
      <c r="G27" s="8" t="s">
        <v>64</v>
      </c>
      <c r="H27" s="8" t="s">
        <v>87</v>
      </c>
      <c r="J27" s="8" t="s">
        <v>179</v>
      </c>
    </row>
    <row r="28" spans="1:10" x14ac:dyDescent="0.35">
      <c r="A28" s="8" t="s">
        <v>90</v>
      </c>
      <c r="D28" s="8">
        <v>2.0062650543638819E-7</v>
      </c>
      <c r="E28" s="8" t="s">
        <v>8</v>
      </c>
      <c r="F28" s="8" t="s">
        <v>63</v>
      </c>
      <c r="G28" s="8" t="s">
        <v>64</v>
      </c>
      <c r="H28" s="8" t="s">
        <v>87</v>
      </c>
      <c r="J28" s="8" t="s">
        <v>179</v>
      </c>
    </row>
    <row r="29" spans="1:10" x14ac:dyDescent="0.35">
      <c r="A29" s="8" t="s">
        <v>127</v>
      </c>
      <c r="D29" s="8">
        <v>4.4649232092215812E-7</v>
      </c>
      <c r="E29" s="8" t="s">
        <v>8</v>
      </c>
      <c r="F29" s="8" t="s">
        <v>63</v>
      </c>
      <c r="G29" s="8" t="s">
        <v>64</v>
      </c>
      <c r="H29" s="8" t="s">
        <v>87</v>
      </c>
      <c r="J29" s="8" t="s">
        <v>179</v>
      </c>
    </row>
    <row r="30" spans="1:10" x14ac:dyDescent="0.35">
      <c r="A30" s="8" t="s">
        <v>91</v>
      </c>
      <c r="D30" s="8">
        <v>3.857142913340758E-6</v>
      </c>
      <c r="E30" s="8" t="s">
        <v>8</v>
      </c>
      <c r="F30" s="8" t="s">
        <v>63</v>
      </c>
      <c r="G30" s="8" t="s">
        <v>64</v>
      </c>
      <c r="H30" s="8" t="s">
        <v>87</v>
      </c>
      <c r="J30" s="8" t="s">
        <v>179</v>
      </c>
    </row>
    <row r="31" spans="1:10" x14ac:dyDescent="0.35">
      <c r="A31" s="8" t="s">
        <v>182</v>
      </c>
      <c r="D31" s="8">
        <v>4.7717637469478216E-6</v>
      </c>
      <c r="E31" s="8" t="s">
        <v>8</v>
      </c>
      <c r="F31" s="8" t="s">
        <v>63</v>
      </c>
      <c r="G31" s="8" t="s">
        <v>64</v>
      </c>
      <c r="H31" s="8" t="s">
        <v>87</v>
      </c>
      <c r="J31" s="8" t="s">
        <v>179</v>
      </c>
    </row>
    <row r="32" spans="1:10" x14ac:dyDescent="0.35">
      <c r="A32" s="8" t="s">
        <v>183</v>
      </c>
      <c r="D32" s="8">
        <v>7.2776281383787878E-8</v>
      </c>
      <c r="E32" s="8" t="s">
        <v>8</v>
      </c>
      <c r="F32" s="8" t="s">
        <v>63</v>
      </c>
      <c r="G32" s="8" t="s">
        <v>64</v>
      </c>
      <c r="H32" s="8" t="s">
        <v>87</v>
      </c>
      <c r="J32" s="8" t="s">
        <v>179</v>
      </c>
    </row>
    <row r="33" spans="1:10" x14ac:dyDescent="0.35">
      <c r="A33" s="8" t="s">
        <v>92</v>
      </c>
      <c r="D33" s="8">
        <v>1.9000510220740299E-3</v>
      </c>
      <c r="E33" s="8" t="s">
        <v>8</v>
      </c>
      <c r="F33" s="8" t="s">
        <v>63</v>
      </c>
      <c r="G33" s="8" t="s">
        <v>64</v>
      </c>
      <c r="H33" s="8" t="s">
        <v>93</v>
      </c>
      <c r="J33" s="8" t="s">
        <v>136</v>
      </c>
    </row>
    <row r="34" spans="1:10" x14ac:dyDescent="0.35">
      <c r="A34" s="8" t="s">
        <v>184</v>
      </c>
      <c r="D34" s="8">
        <v>1.023804924947985E-4</v>
      </c>
      <c r="E34" s="8" t="s">
        <v>8</v>
      </c>
      <c r="F34" s="8" t="s">
        <v>63</v>
      </c>
      <c r="G34" s="8" t="s">
        <v>64</v>
      </c>
      <c r="H34" s="8" t="s">
        <v>93</v>
      </c>
      <c r="J34" s="8" t="s">
        <v>136</v>
      </c>
    </row>
    <row r="35" spans="1:10" x14ac:dyDescent="0.35">
      <c r="A35" s="8" t="s">
        <v>96</v>
      </c>
      <c r="D35" s="8">
        <v>9.8602026642413159E-6</v>
      </c>
      <c r="E35" s="8" t="s">
        <v>8</v>
      </c>
      <c r="F35" s="8" t="s">
        <v>63</v>
      </c>
      <c r="G35" s="8" t="s">
        <v>64</v>
      </c>
      <c r="H35" s="8" t="s">
        <v>93</v>
      </c>
      <c r="J35" s="8" t="s">
        <v>136</v>
      </c>
    </row>
    <row r="36" spans="1:10" x14ac:dyDescent="0.35">
      <c r="A36" s="8" t="s">
        <v>95</v>
      </c>
      <c r="D36" s="8">
        <v>3.6781525996671169E-4</v>
      </c>
      <c r="E36" s="8" t="s">
        <v>8</v>
      </c>
      <c r="F36" s="8" t="s">
        <v>63</v>
      </c>
      <c r="G36" s="8" t="s">
        <v>64</v>
      </c>
      <c r="H36" s="8" t="s">
        <v>93</v>
      </c>
      <c r="J36" s="8" t="s">
        <v>136</v>
      </c>
    </row>
    <row r="37" spans="1:10" x14ac:dyDescent="0.35">
      <c r="A37" s="8" t="s">
        <v>89</v>
      </c>
      <c r="D37" s="8">
        <v>2.0035113572304421E-5</v>
      </c>
      <c r="E37" s="8" t="s">
        <v>8</v>
      </c>
      <c r="F37" s="8" t="s">
        <v>63</v>
      </c>
      <c r="G37" s="8" t="s">
        <v>64</v>
      </c>
      <c r="H37" s="8" t="s">
        <v>93</v>
      </c>
      <c r="J37" s="8" t="s">
        <v>136</v>
      </c>
    </row>
    <row r="38" spans="1:10" x14ac:dyDescent="0.35">
      <c r="A38" s="8" t="s">
        <v>102</v>
      </c>
      <c r="D38" s="8">
        <v>4.5829388006547512E-7</v>
      </c>
      <c r="E38" s="8" t="s">
        <v>8</v>
      </c>
      <c r="F38" s="8" t="s">
        <v>63</v>
      </c>
      <c r="G38" s="8" t="s">
        <v>64</v>
      </c>
      <c r="H38" s="8" t="s">
        <v>93</v>
      </c>
      <c r="J38" s="8" t="s">
        <v>136</v>
      </c>
    </row>
    <row r="39" spans="1:10" x14ac:dyDescent="0.35">
      <c r="A39" s="8" t="s">
        <v>104</v>
      </c>
      <c r="D39" s="8">
        <v>2.972025977591986E-6</v>
      </c>
      <c r="E39" s="8" t="s">
        <v>8</v>
      </c>
      <c r="F39" s="8" t="s">
        <v>63</v>
      </c>
      <c r="G39" s="8" t="s">
        <v>64</v>
      </c>
      <c r="H39" s="8" t="s">
        <v>93</v>
      </c>
      <c r="J39" s="8" t="s">
        <v>136</v>
      </c>
    </row>
    <row r="40" spans="1:10" x14ac:dyDescent="0.35">
      <c r="A40" s="8" t="s">
        <v>90</v>
      </c>
      <c r="D40" s="8">
        <v>4.3665768830272738E-7</v>
      </c>
      <c r="E40" s="8" t="s">
        <v>8</v>
      </c>
      <c r="F40" s="8" t="s">
        <v>63</v>
      </c>
      <c r="G40" s="8" t="s">
        <v>64</v>
      </c>
      <c r="H40" s="8" t="s">
        <v>93</v>
      </c>
      <c r="J40" s="8" t="s">
        <v>136</v>
      </c>
    </row>
    <row r="41" spans="1:10" x14ac:dyDescent="0.35">
      <c r="A41" s="8" t="s">
        <v>101</v>
      </c>
      <c r="D41" s="8">
        <v>4.7304582899462117E-6</v>
      </c>
      <c r="E41" s="8" t="s">
        <v>8</v>
      </c>
      <c r="F41" s="8" t="s">
        <v>63</v>
      </c>
      <c r="G41" s="8" t="s">
        <v>64</v>
      </c>
      <c r="H41" s="8" t="s">
        <v>93</v>
      </c>
      <c r="J41" s="8" t="s">
        <v>136</v>
      </c>
    </row>
    <row r="42" spans="1:10" x14ac:dyDescent="0.35">
      <c r="A42" s="8" t="s">
        <v>103</v>
      </c>
      <c r="D42" s="8">
        <v>2.3799810939022519E-6</v>
      </c>
      <c r="E42" s="8" t="s">
        <v>8</v>
      </c>
      <c r="F42" s="8" t="s">
        <v>63</v>
      </c>
      <c r="G42" s="8" t="s">
        <v>64</v>
      </c>
      <c r="H42" s="8" t="s">
        <v>93</v>
      </c>
      <c r="J42" s="8" t="s">
        <v>136</v>
      </c>
    </row>
    <row r="43" spans="1:10" x14ac:dyDescent="0.35">
      <c r="A43" s="8" t="s">
        <v>99</v>
      </c>
      <c r="D43" s="8">
        <v>2.2973701798990342E-6</v>
      </c>
      <c r="E43" s="8" t="s">
        <v>8</v>
      </c>
      <c r="F43" s="8" t="s">
        <v>63</v>
      </c>
      <c r="G43" s="8" t="s">
        <v>64</v>
      </c>
      <c r="H43" s="8" t="s">
        <v>93</v>
      </c>
      <c r="J43" s="8" t="s">
        <v>136</v>
      </c>
    </row>
    <row r="44" spans="1:10" x14ac:dyDescent="0.35">
      <c r="A44" s="8" t="s">
        <v>94</v>
      </c>
      <c r="D44" s="8">
        <v>1.127048898186769E-3</v>
      </c>
      <c r="E44" s="8" t="s">
        <v>8</v>
      </c>
      <c r="F44" s="8" t="s">
        <v>63</v>
      </c>
      <c r="G44" s="8" t="s">
        <v>64</v>
      </c>
      <c r="H44" s="8" t="s">
        <v>93</v>
      </c>
      <c r="J44" s="8" t="s">
        <v>136</v>
      </c>
    </row>
    <row r="45" spans="1:10" x14ac:dyDescent="0.35">
      <c r="A45" s="8" t="s">
        <v>98</v>
      </c>
      <c r="D45" s="8">
        <v>1.189007083689183E-5</v>
      </c>
      <c r="E45" s="8" t="s">
        <v>8</v>
      </c>
      <c r="F45" s="8" t="s">
        <v>63</v>
      </c>
      <c r="G45" s="8" t="s">
        <v>64</v>
      </c>
      <c r="H45" s="8" t="s">
        <v>93</v>
      </c>
      <c r="J45" s="8" t="s">
        <v>136</v>
      </c>
    </row>
    <row r="46" spans="1:10" x14ac:dyDescent="0.35">
      <c r="A46" s="8" t="s">
        <v>100</v>
      </c>
      <c r="D46" s="8">
        <v>4.7867123885293572E-5</v>
      </c>
      <c r="E46" s="8" t="s">
        <v>8</v>
      </c>
      <c r="F46" s="8" t="s">
        <v>63</v>
      </c>
      <c r="G46" s="8" t="s">
        <v>64</v>
      </c>
      <c r="H46" s="8" t="s">
        <v>93</v>
      </c>
      <c r="J46" s="8" t="s">
        <v>136</v>
      </c>
    </row>
    <row r="47" spans="1:10" x14ac:dyDescent="0.35">
      <c r="A47" s="8" t="s">
        <v>97</v>
      </c>
      <c r="D47" s="8">
        <v>3.6108837125502111E-5</v>
      </c>
      <c r="E47" s="8" t="s">
        <v>8</v>
      </c>
      <c r="F47" s="8" t="s">
        <v>63</v>
      </c>
      <c r="G47" s="8" t="s">
        <v>64</v>
      </c>
      <c r="H47" s="8" t="s">
        <v>93</v>
      </c>
      <c r="J47" s="8" t="s">
        <v>179</v>
      </c>
    </row>
    <row r="48" spans="1:10" x14ac:dyDescent="0.35">
      <c r="A48" s="8" t="s">
        <v>98</v>
      </c>
      <c r="D48" s="8">
        <v>2.7733663986794842E-7</v>
      </c>
      <c r="E48" s="8" t="s">
        <v>8</v>
      </c>
      <c r="F48" s="8" t="s">
        <v>63</v>
      </c>
      <c r="G48" s="8" t="s">
        <v>64</v>
      </c>
      <c r="H48" s="8" t="s">
        <v>185</v>
      </c>
      <c r="J48" s="8" t="s">
        <v>179</v>
      </c>
    </row>
    <row r="49" spans="1:10" x14ac:dyDescent="0.35">
      <c r="A49" s="8" t="s">
        <v>97</v>
      </c>
      <c r="D49" s="8">
        <v>1.2151672064568691E-5</v>
      </c>
      <c r="E49" s="8" t="s">
        <v>8</v>
      </c>
      <c r="F49" s="8" t="s">
        <v>63</v>
      </c>
      <c r="G49" s="8" t="s">
        <v>64</v>
      </c>
      <c r="H49" s="8" t="s">
        <v>185</v>
      </c>
      <c r="J49" s="8" t="s">
        <v>179</v>
      </c>
    </row>
    <row r="50" spans="1:10" x14ac:dyDescent="0.35">
      <c r="A50" s="8" t="s">
        <v>104</v>
      </c>
      <c r="D50" s="8">
        <v>1.632549014825512E-7</v>
      </c>
      <c r="E50" s="8" t="s">
        <v>8</v>
      </c>
      <c r="F50" s="8" t="s">
        <v>63</v>
      </c>
      <c r="G50" s="8" t="s">
        <v>64</v>
      </c>
      <c r="H50" s="8" t="s">
        <v>185</v>
      </c>
      <c r="J50" s="8" t="s">
        <v>179</v>
      </c>
    </row>
    <row r="51" spans="1:10" x14ac:dyDescent="0.35">
      <c r="A51" s="8" t="s">
        <v>89</v>
      </c>
      <c r="D51" s="8">
        <v>2.1242806457970522E-6</v>
      </c>
      <c r="E51" s="8" t="s">
        <v>8</v>
      </c>
      <c r="F51" s="8" t="s">
        <v>63</v>
      </c>
      <c r="G51" s="8" t="s">
        <v>64</v>
      </c>
      <c r="H51" s="8" t="s">
        <v>185</v>
      </c>
      <c r="J51" s="8" t="s">
        <v>179</v>
      </c>
    </row>
    <row r="52" spans="1:10" x14ac:dyDescent="0.35">
      <c r="A52" s="8" t="s">
        <v>101</v>
      </c>
      <c r="D52" s="8">
        <v>4.4845924744604422E-7</v>
      </c>
      <c r="E52" s="8" t="s">
        <v>8</v>
      </c>
      <c r="F52" s="8" t="s">
        <v>63</v>
      </c>
      <c r="G52" s="8" t="s">
        <v>64</v>
      </c>
      <c r="H52" s="8" t="s">
        <v>185</v>
      </c>
      <c r="J52" s="8" t="s">
        <v>179</v>
      </c>
    </row>
    <row r="53" spans="1:10" x14ac:dyDescent="0.35">
      <c r="A53" s="8" t="s">
        <v>186</v>
      </c>
      <c r="D53" s="8">
        <v>3.1470824382178541E-8</v>
      </c>
      <c r="E53" s="8" t="s">
        <v>8</v>
      </c>
      <c r="F53" s="8" t="s">
        <v>63</v>
      </c>
      <c r="G53" s="8" t="s">
        <v>64</v>
      </c>
      <c r="H53" s="8" t="s">
        <v>185</v>
      </c>
      <c r="J53" s="8" t="s">
        <v>179</v>
      </c>
    </row>
    <row r="54" spans="1:10" x14ac:dyDescent="0.35">
      <c r="A54" s="8" t="s">
        <v>90</v>
      </c>
      <c r="D54" s="8">
        <v>1.61287974958665E-7</v>
      </c>
      <c r="E54" s="8" t="s">
        <v>8</v>
      </c>
      <c r="F54" s="8" t="s">
        <v>63</v>
      </c>
      <c r="G54" s="8" t="s">
        <v>64</v>
      </c>
      <c r="H54" s="8" t="s">
        <v>185</v>
      </c>
      <c r="J54" s="8" t="s">
        <v>179</v>
      </c>
    </row>
    <row r="55" spans="1:10" x14ac:dyDescent="0.35">
      <c r="A55" s="8" t="s">
        <v>187</v>
      </c>
      <c r="D55" s="8">
        <v>8.2103446960056053E-5</v>
      </c>
      <c r="E55" s="8" t="s">
        <v>8</v>
      </c>
      <c r="F55" s="8" t="s">
        <v>63</v>
      </c>
      <c r="G55" s="8" t="s">
        <v>64</v>
      </c>
      <c r="H55" s="8" t="s">
        <v>185</v>
      </c>
      <c r="J55" s="8" t="s">
        <v>179</v>
      </c>
    </row>
    <row r="56" spans="1:10" x14ac:dyDescent="0.35">
      <c r="A56" s="8" t="s">
        <v>103</v>
      </c>
      <c r="D56" s="8">
        <v>3.8551759868168708E-7</v>
      </c>
      <c r="E56" s="8" t="s">
        <v>8</v>
      </c>
      <c r="F56" s="8" t="s">
        <v>63</v>
      </c>
      <c r="G56" s="8" t="s">
        <v>64</v>
      </c>
      <c r="H56" s="8" t="s">
        <v>185</v>
      </c>
      <c r="J56" s="8" t="s">
        <v>179</v>
      </c>
    </row>
    <row r="57" spans="1:10" x14ac:dyDescent="0.35">
      <c r="A57" s="8" t="s">
        <v>188</v>
      </c>
      <c r="D57" s="8">
        <v>7.8677060955446365E-8</v>
      </c>
      <c r="E57" s="8" t="s">
        <v>8</v>
      </c>
      <c r="F57" s="8" t="s">
        <v>63</v>
      </c>
      <c r="G57" s="8" t="s">
        <v>64</v>
      </c>
      <c r="H57" s="8" t="s">
        <v>185</v>
      </c>
      <c r="J57" s="8" t="s">
        <v>179</v>
      </c>
    </row>
    <row r="58" spans="1:10" x14ac:dyDescent="0.35">
      <c r="A58" s="8" t="s">
        <v>102</v>
      </c>
      <c r="D58" s="8">
        <v>1.022801792420803E-7</v>
      </c>
      <c r="E58" s="8" t="s">
        <v>8</v>
      </c>
      <c r="F58" s="8" t="s">
        <v>63</v>
      </c>
      <c r="G58" s="8" t="s">
        <v>64</v>
      </c>
      <c r="H58" s="8" t="s">
        <v>185</v>
      </c>
      <c r="J58" s="8" t="s">
        <v>179</v>
      </c>
    </row>
    <row r="59" spans="1:10" x14ac:dyDescent="0.35">
      <c r="A59" s="8" t="s">
        <v>189</v>
      </c>
      <c r="D59" s="8">
        <v>3.9338530477723184E-9</v>
      </c>
      <c r="E59" s="8" t="s">
        <v>8</v>
      </c>
      <c r="F59" s="8" t="s">
        <v>63</v>
      </c>
      <c r="G59" s="8" t="s">
        <v>64</v>
      </c>
      <c r="H59" s="8" t="s">
        <v>185</v>
      </c>
      <c r="J59" s="8" t="s">
        <v>179</v>
      </c>
    </row>
    <row r="60" spans="1:10" x14ac:dyDescent="0.35">
      <c r="A60" s="8" t="s">
        <v>100</v>
      </c>
      <c r="D60" s="8">
        <v>5.5506666504067401E-6</v>
      </c>
      <c r="E60" s="8" t="s">
        <v>8</v>
      </c>
      <c r="F60" s="8" t="s">
        <v>63</v>
      </c>
      <c r="G60" s="8" t="s">
        <v>64</v>
      </c>
      <c r="H60" s="8" t="s">
        <v>185</v>
      </c>
      <c r="J60" s="8" t="s">
        <v>179</v>
      </c>
    </row>
    <row r="61" spans="1:10" x14ac:dyDescent="0.35">
      <c r="A61" s="8" t="s">
        <v>190</v>
      </c>
      <c r="D61" s="8">
        <v>7.8677060955446351E-9</v>
      </c>
      <c r="E61" s="8" t="s">
        <v>8</v>
      </c>
      <c r="F61" s="8" t="s">
        <v>63</v>
      </c>
      <c r="G61" s="8" t="s">
        <v>64</v>
      </c>
      <c r="H61" s="8" t="s">
        <v>353</v>
      </c>
      <c r="J61" s="8" t="s">
        <v>179</v>
      </c>
    </row>
    <row r="62" spans="1:10" x14ac:dyDescent="0.35">
      <c r="A62" s="8" t="s">
        <v>191</v>
      </c>
      <c r="D62" s="8">
        <v>4.32723835254955E-8</v>
      </c>
      <c r="E62" s="8" t="s">
        <v>8</v>
      </c>
      <c r="F62" s="8" t="s">
        <v>63</v>
      </c>
      <c r="G62" s="8" t="s">
        <v>64</v>
      </c>
      <c r="H62" s="8" t="s">
        <v>353</v>
      </c>
      <c r="J62" s="8" t="s">
        <v>179</v>
      </c>
    </row>
    <row r="63" spans="1:10" s="11" customFormat="1" x14ac:dyDescent="0.35"/>
    <row r="64" spans="1:10" x14ac:dyDescent="0.35">
      <c r="A64" s="7" t="s">
        <v>0</v>
      </c>
      <c r="B64" s="14" t="s">
        <v>219</v>
      </c>
    </row>
    <row r="65" spans="1:14" x14ac:dyDescent="0.35">
      <c r="A65" s="9" t="s">
        <v>2</v>
      </c>
      <c r="B65" s="8" t="s">
        <v>192</v>
      </c>
    </row>
    <row r="66" spans="1:14" x14ac:dyDescent="0.35">
      <c r="A66" s="9" t="s">
        <v>4</v>
      </c>
      <c r="B66" s="8" t="s">
        <v>5</v>
      </c>
    </row>
    <row r="67" spans="1:14" x14ac:dyDescent="0.35">
      <c r="A67" s="9" t="s">
        <v>6</v>
      </c>
      <c r="B67" s="8">
        <v>1</v>
      </c>
    </row>
    <row r="68" spans="1:14" x14ac:dyDescent="0.35">
      <c r="A68" s="9" t="s">
        <v>7</v>
      </c>
      <c r="B68" s="8" t="s">
        <v>8</v>
      </c>
    </row>
    <row r="69" spans="1:14" ht="29" x14ac:dyDescent="0.35">
      <c r="A69" s="9" t="s">
        <v>9</v>
      </c>
      <c r="B69" s="13" t="s">
        <v>350</v>
      </c>
    </row>
    <row r="70" spans="1:14" x14ac:dyDescent="0.35">
      <c r="A70" s="9" t="s">
        <v>10</v>
      </c>
    </row>
    <row r="71" spans="1:14" x14ac:dyDescent="0.35">
      <c r="A71" s="7" t="s">
        <v>11</v>
      </c>
      <c r="B71" s="7" t="s">
        <v>2</v>
      </c>
      <c r="C71" s="7" t="s">
        <v>4</v>
      </c>
      <c r="D71" s="7" t="s">
        <v>6</v>
      </c>
      <c r="E71" s="7" t="s">
        <v>7</v>
      </c>
      <c r="F71" s="7" t="s">
        <v>12</v>
      </c>
      <c r="G71" s="7" t="s">
        <v>13</v>
      </c>
      <c r="H71" s="7" t="s">
        <v>14</v>
      </c>
      <c r="I71" s="7" t="s">
        <v>15</v>
      </c>
      <c r="J71" s="7" t="s">
        <v>16</v>
      </c>
      <c r="K71" s="7" t="s">
        <v>17</v>
      </c>
      <c r="L71" s="7" t="s">
        <v>18</v>
      </c>
      <c r="M71" s="7" t="s">
        <v>19</v>
      </c>
      <c r="N71" s="7" t="s">
        <v>20</v>
      </c>
    </row>
    <row r="72" spans="1:14" x14ac:dyDescent="0.35">
      <c r="A72" s="8" t="s">
        <v>219</v>
      </c>
      <c r="B72" s="8" t="s">
        <v>192</v>
      </c>
      <c r="C72" s="8" t="s">
        <v>5</v>
      </c>
      <c r="D72" s="8">
        <v>1</v>
      </c>
      <c r="E72" s="8" t="s">
        <v>8</v>
      </c>
      <c r="F72" s="10" t="s">
        <v>62</v>
      </c>
      <c r="G72" s="8" t="s">
        <v>21</v>
      </c>
    </row>
    <row r="73" spans="1:14" x14ac:dyDescent="0.35">
      <c r="A73" s="8" t="s">
        <v>173</v>
      </c>
      <c r="B73" s="8" t="s">
        <v>174</v>
      </c>
      <c r="C73" s="8" t="s">
        <v>34</v>
      </c>
      <c r="D73" s="15">
        <v>0.15935697620189407</v>
      </c>
      <c r="E73" s="8" t="s">
        <v>8</v>
      </c>
      <c r="F73" s="8" t="s">
        <v>25</v>
      </c>
      <c r="G73" s="8" t="s">
        <v>26</v>
      </c>
      <c r="J73" s="8" t="s">
        <v>193</v>
      </c>
    </row>
    <row r="74" spans="1:14" x14ac:dyDescent="0.35">
      <c r="A74" s="8" t="s">
        <v>121</v>
      </c>
      <c r="B74" s="8" t="s">
        <v>122</v>
      </c>
      <c r="C74" s="8" t="s">
        <v>5</v>
      </c>
      <c r="D74" s="15">
        <v>1.9592886748527514</v>
      </c>
      <c r="E74" s="8" t="s">
        <v>53</v>
      </c>
      <c r="F74" s="8" t="s">
        <v>25</v>
      </c>
      <c r="G74" s="8" t="s">
        <v>26</v>
      </c>
      <c r="J74" s="8" t="s">
        <v>193</v>
      </c>
    </row>
    <row r="75" spans="1:14" x14ac:dyDescent="0.35">
      <c r="A75" s="8" t="s">
        <v>194</v>
      </c>
      <c r="B75" s="8" t="s">
        <v>195</v>
      </c>
      <c r="C75" s="8" t="s">
        <v>34</v>
      </c>
      <c r="D75" s="15">
        <v>0.62050184101313921</v>
      </c>
      <c r="E75" s="8" t="s">
        <v>8</v>
      </c>
      <c r="F75" s="8" t="s">
        <v>25</v>
      </c>
      <c r="G75" s="8" t="s">
        <v>26</v>
      </c>
      <c r="J75" s="8" t="s">
        <v>193</v>
      </c>
    </row>
    <row r="76" spans="1:14" x14ac:dyDescent="0.35">
      <c r="A76" s="8" t="s">
        <v>196</v>
      </c>
      <c r="B76" s="8" t="s">
        <v>197</v>
      </c>
      <c r="C76" s="8" t="s">
        <v>24</v>
      </c>
      <c r="D76" s="15">
        <v>7.422398757323119E-2</v>
      </c>
      <c r="E76" s="8" t="s">
        <v>8</v>
      </c>
      <c r="F76" s="8" t="s">
        <v>25</v>
      </c>
      <c r="G76" s="8" t="s">
        <v>26</v>
      </c>
      <c r="J76" s="8" t="s">
        <v>193</v>
      </c>
    </row>
    <row r="77" spans="1:14" x14ac:dyDescent="0.35">
      <c r="A77" s="8" t="s">
        <v>198</v>
      </c>
      <c r="B77" s="8" t="s">
        <v>199</v>
      </c>
      <c r="C77" s="8" t="s">
        <v>24</v>
      </c>
      <c r="D77" s="15">
        <v>5.3047691406805009E-4</v>
      </c>
      <c r="E77" s="8" t="s">
        <v>8</v>
      </c>
      <c r="F77" s="8" t="s">
        <v>25</v>
      </c>
      <c r="G77" s="8" t="s">
        <v>26</v>
      </c>
      <c r="J77" s="8" t="s">
        <v>193</v>
      </c>
    </row>
    <row r="78" spans="1:14" x14ac:dyDescent="0.35">
      <c r="A78" s="8" t="s">
        <v>200</v>
      </c>
      <c r="B78" s="8" t="s">
        <v>201</v>
      </c>
      <c r="C78" s="8" t="s">
        <v>24</v>
      </c>
      <c r="D78" s="15">
        <v>1.999983526829141E-3</v>
      </c>
      <c r="E78" s="8" t="s">
        <v>8</v>
      </c>
      <c r="F78" s="8" t="s">
        <v>25</v>
      </c>
      <c r="G78" s="8" t="s">
        <v>26</v>
      </c>
      <c r="J78" s="8" t="s">
        <v>193</v>
      </c>
    </row>
    <row r="79" spans="1:14" x14ac:dyDescent="0.35">
      <c r="A79" s="8" t="s">
        <v>77</v>
      </c>
      <c r="B79" s="8" t="s">
        <v>78</v>
      </c>
      <c r="C79" s="8" t="s">
        <v>24</v>
      </c>
      <c r="D79" s="15">
        <v>7.4010085591752151E-2</v>
      </c>
      <c r="E79" s="8" t="s">
        <v>8</v>
      </c>
      <c r="F79" s="8" t="s">
        <v>25</v>
      </c>
      <c r="G79" s="8" t="s">
        <v>26</v>
      </c>
      <c r="J79" s="8" t="s">
        <v>193</v>
      </c>
    </row>
    <row r="80" spans="1:14" x14ac:dyDescent="0.35">
      <c r="A80" s="8" t="s">
        <v>79</v>
      </c>
      <c r="B80" s="8" t="s">
        <v>80</v>
      </c>
      <c r="C80" s="8" t="s">
        <v>24</v>
      </c>
      <c r="D80" s="15">
        <v>0.29946277407067345</v>
      </c>
      <c r="E80" s="8" t="s">
        <v>8</v>
      </c>
      <c r="F80" s="8" t="s">
        <v>25</v>
      </c>
      <c r="G80" s="8" t="s">
        <v>26</v>
      </c>
      <c r="J80" s="8" t="s">
        <v>193</v>
      </c>
    </row>
    <row r="81" spans="1:10" x14ac:dyDescent="0.35">
      <c r="A81" s="8" t="s">
        <v>81</v>
      </c>
      <c r="B81" s="8" t="s">
        <v>82</v>
      </c>
      <c r="C81" s="8" t="s">
        <v>34</v>
      </c>
      <c r="D81" s="15">
        <v>0.46202827999475327</v>
      </c>
      <c r="E81" s="8" t="s">
        <v>83</v>
      </c>
      <c r="F81" s="8" t="s">
        <v>25</v>
      </c>
      <c r="G81" s="8" t="s">
        <v>26</v>
      </c>
      <c r="J81" s="8" t="s">
        <v>193</v>
      </c>
    </row>
    <row r="82" spans="1:10" x14ac:dyDescent="0.35">
      <c r="A82" s="8" t="s">
        <v>54</v>
      </c>
      <c r="B82" s="8" t="s">
        <v>55</v>
      </c>
      <c r="C82" s="8" t="s">
        <v>5</v>
      </c>
      <c r="D82" s="15">
        <v>2.4063972916393404</v>
      </c>
      <c r="E82" s="8" t="s">
        <v>56</v>
      </c>
      <c r="F82" s="8" t="s">
        <v>25</v>
      </c>
      <c r="G82" s="8" t="s">
        <v>26</v>
      </c>
      <c r="J82" s="8" t="s">
        <v>193</v>
      </c>
    </row>
    <row r="83" spans="1:10" x14ac:dyDescent="0.35">
      <c r="A83" s="8" t="s">
        <v>75</v>
      </c>
      <c r="B83" s="8" t="s">
        <v>76</v>
      </c>
      <c r="C83" s="8" t="s">
        <v>5</v>
      </c>
      <c r="D83" s="15">
        <v>1.1229854027650254E-5</v>
      </c>
      <c r="E83" s="8" t="s">
        <v>59</v>
      </c>
      <c r="F83" s="8" t="s">
        <v>25</v>
      </c>
      <c r="G83" s="8" t="s">
        <v>26</v>
      </c>
      <c r="J83" s="8" t="s">
        <v>193</v>
      </c>
    </row>
    <row r="84" spans="1:10" x14ac:dyDescent="0.35">
      <c r="A84" s="8" t="s">
        <v>177</v>
      </c>
      <c r="B84" s="8" t="s">
        <v>178</v>
      </c>
      <c r="C84" s="8" t="s">
        <v>34</v>
      </c>
      <c r="D84" s="15">
        <v>-9.5293332748917986E-4</v>
      </c>
      <c r="E84" s="8" t="s">
        <v>8</v>
      </c>
      <c r="F84" s="8" t="s">
        <v>25</v>
      </c>
      <c r="G84" s="8" t="s">
        <v>26</v>
      </c>
      <c r="J84" s="8" t="s">
        <v>179</v>
      </c>
    </row>
    <row r="85" spans="1:10" x14ac:dyDescent="0.35">
      <c r="A85" s="8" t="s">
        <v>180</v>
      </c>
      <c r="D85" s="15">
        <v>9.8822715443322245E-4</v>
      </c>
      <c r="E85" s="8" t="s">
        <v>181</v>
      </c>
      <c r="F85" s="8" t="s">
        <v>63</v>
      </c>
      <c r="G85" s="8" t="s">
        <v>64</v>
      </c>
      <c r="H85" s="8" t="s">
        <v>69</v>
      </c>
      <c r="J85" s="8" t="s">
        <v>193</v>
      </c>
    </row>
    <row r="86" spans="1:10" x14ac:dyDescent="0.35">
      <c r="A86" s="8" t="s">
        <v>66</v>
      </c>
      <c r="D86" s="15">
        <v>7.8822880175030818E-3</v>
      </c>
      <c r="E86" s="8" t="s">
        <v>59</v>
      </c>
      <c r="F86" s="8" t="s">
        <v>63</v>
      </c>
      <c r="G86" s="8" t="s">
        <v>64</v>
      </c>
      <c r="H86" s="8" t="s">
        <v>65</v>
      </c>
      <c r="J86" s="8" t="s">
        <v>193</v>
      </c>
    </row>
    <row r="87" spans="1:10" x14ac:dyDescent="0.35">
      <c r="A87" s="8" t="s">
        <v>91</v>
      </c>
      <c r="D87" s="15">
        <v>1.0909001055431673E-2</v>
      </c>
      <c r="E87" s="8" t="s">
        <v>8</v>
      </c>
      <c r="F87" s="8" t="s">
        <v>63</v>
      </c>
      <c r="G87" s="8" t="s">
        <v>64</v>
      </c>
      <c r="H87" s="8" t="s">
        <v>87</v>
      </c>
      <c r="J87" s="8" t="s">
        <v>136</v>
      </c>
    </row>
    <row r="88" spans="1:10" x14ac:dyDescent="0.35">
      <c r="A88" s="8" t="s">
        <v>86</v>
      </c>
      <c r="D88" s="15">
        <v>3.6256385860699387E-3</v>
      </c>
      <c r="E88" s="8" t="s">
        <v>8</v>
      </c>
      <c r="F88" s="8" t="s">
        <v>63</v>
      </c>
      <c r="G88" s="8" t="s">
        <v>64</v>
      </c>
      <c r="H88" s="8" t="s">
        <v>87</v>
      </c>
      <c r="J88" s="8" t="s">
        <v>136</v>
      </c>
    </row>
    <row r="89" spans="1:10" x14ac:dyDescent="0.35">
      <c r="A89" s="8" t="s">
        <v>127</v>
      </c>
      <c r="D89" s="15">
        <v>1.4759236722054622E-3</v>
      </c>
      <c r="E89" s="8" t="s">
        <v>8</v>
      </c>
      <c r="F89" s="8" t="s">
        <v>63</v>
      </c>
      <c r="G89" s="8" t="s">
        <v>64</v>
      </c>
      <c r="H89" s="8" t="s">
        <v>87</v>
      </c>
      <c r="J89" s="8" t="s">
        <v>136</v>
      </c>
    </row>
    <row r="90" spans="1:10" x14ac:dyDescent="0.35">
      <c r="A90" s="8" t="s">
        <v>89</v>
      </c>
      <c r="D90" s="15">
        <v>1.8716423379417095E-4</v>
      </c>
      <c r="E90" s="8" t="s">
        <v>8</v>
      </c>
      <c r="F90" s="8" t="s">
        <v>63</v>
      </c>
      <c r="G90" s="8" t="s">
        <v>64</v>
      </c>
      <c r="H90" s="8" t="s">
        <v>87</v>
      </c>
      <c r="J90" s="8" t="s">
        <v>136</v>
      </c>
    </row>
    <row r="91" spans="1:10" x14ac:dyDescent="0.35">
      <c r="A91" s="8" t="s">
        <v>104</v>
      </c>
      <c r="D91" s="15">
        <v>1.4536778661316404E-5</v>
      </c>
      <c r="E91" s="8" t="s">
        <v>8</v>
      </c>
      <c r="F91" s="8" t="s">
        <v>63</v>
      </c>
      <c r="G91" s="8" t="s">
        <v>64</v>
      </c>
      <c r="H91" s="8" t="s">
        <v>87</v>
      </c>
      <c r="J91" s="8" t="s">
        <v>136</v>
      </c>
    </row>
    <row r="92" spans="1:10" x14ac:dyDescent="0.35">
      <c r="A92" s="8" t="s">
        <v>102</v>
      </c>
      <c r="D92" s="15">
        <v>1.6149599601668457E-5</v>
      </c>
      <c r="E92" s="8" t="s">
        <v>8</v>
      </c>
      <c r="F92" s="8" t="s">
        <v>63</v>
      </c>
      <c r="G92" s="8" t="s">
        <v>64</v>
      </c>
      <c r="H92" s="8" t="s">
        <v>87</v>
      </c>
      <c r="J92" s="8" t="s">
        <v>136</v>
      </c>
    </row>
    <row r="93" spans="1:10" x14ac:dyDescent="0.35">
      <c r="A93" s="8" t="s">
        <v>90</v>
      </c>
      <c r="D93" s="15">
        <v>5.0053063666098277E-7</v>
      </c>
      <c r="E93" s="8" t="s">
        <v>8</v>
      </c>
      <c r="F93" s="8" t="s">
        <v>63</v>
      </c>
      <c r="G93" s="8" t="s">
        <v>64</v>
      </c>
      <c r="H93" s="8" t="s">
        <v>87</v>
      </c>
      <c r="J93" s="8" t="s">
        <v>136</v>
      </c>
    </row>
    <row r="94" spans="1:10" x14ac:dyDescent="0.35">
      <c r="A94" s="8" t="s">
        <v>101</v>
      </c>
      <c r="D94" s="15">
        <v>8.6523351508276742E-7</v>
      </c>
      <c r="E94" s="8" t="s">
        <v>8</v>
      </c>
      <c r="F94" s="8" t="s">
        <v>63</v>
      </c>
      <c r="G94" s="8" t="s">
        <v>64</v>
      </c>
      <c r="H94" s="8" t="s">
        <v>87</v>
      </c>
      <c r="J94" s="8" t="s">
        <v>136</v>
      </c>
    </row>
    <row r="95" spans="1:10" x14ac:dyDescent="0.35">
      <c r="A95" s="8" t="s">
        <v>88</v>
      </c>
      <c r="D95" s="15">
        <v>7.9883834003166936E-5</v>
      </c>
      <c r="E95" s="8" t="s">
        <v>8</v>
      </c>
      <c r="F95" s="8" t="s">
        <v>63</v>
      </c>
      <c r="G95" s="8" t="s">
        <v>64</v>
      </c>
      <c r="H95" s="8" t="s">
        <v>87</v>
      </c>
      <c r="J95" s="8" t="s">
        <v>136</v>
      </c>
    </row>
    <row r="96" spans="1:10" x14ac:dyDescent="0.35">
      <c r="A96" s="8" t="s">
        <v>202</v>
      </c>
      <c r="D96" s="15">
        <v>6.2031574628925197E-7</v>
      </c>
      <c r="E96" s="8" t="s">
        <v>8</v>
      </c>
      <c r="F96" s="8" t="s">
        <v>63</v>
      </c>
      <c r="G96" s="8" t="s">
        <v>64</v>
      </c>
      <c r="H96" s="8" t="s">
        <v>87</v>
      </c>
      <c r="J96" s="8" t="s">
        <v>136</v>
      </c>
    </row>
    <row r="97" spans="1:10" x14ac:dyDescent="0.35">
      <c r="A97" s="8" t="s">
        <v>203</v>
      </c>
      <c r="D97" s="15">
        <v>1.2941069879482672E-7</v>
      </c>
      <c r="E97" s="8" t="s">
        <v>8</v>
      </c>
      <c r="F97" s="8" t="s">
        <v>63</v>
      </c>
      <c r="G97" s="8" t="s">
        <v>64</v>
      </c>
      <c r="H97" s="8" t="s">
        <v>87</v>
      </c>
      <c r="J97" s="8" t="s">
        <v>136</v>
      </c>
    </row>
    <row r="98" spans="1:10" x14ac:dyDescent="0.35">
      <c r="A98" s="8" t="s">
        <v>92</v>
      </c>
      <c r="D98" s="15">
        <v>1.9037276351635668E-4</v>
      </c>
      <c r="E98" s="8" t="s">
        <v>8</v>
      </c>
      <c r="F98" s="8" t="s">
        <v>63</v>
      </c>
      <c r="G98" s="8" t="s">
        <v>64</v>
      </c>
      <c r="H98" s="8" t="s">
        <v>93</v>
      </c>
      <c r="J98" s="8" t="s">
        <v>136</v>
      </c>
    </row>
    <row r="99" spans="1:10" x14ac:dyDescent="0.35">
      <c r="A99" s="8" t="s">
        <v>95</v>
      </c>
      <c r="D99" s="15">
        <v>2.0116411848197488E-5</v>
      </c>
      <c r="E99" s="8" t="s">
        <v>8</v>
      </c>
      <c r="F99" s="8" t="s">
        <v>63</v>
      </c>
      <c r="G99" s="8" t="s">
        <v>64</v>
      </c>
      <c r="H99" s="8" t="s">
        <v>93</v>
      </c>
      <c r="J99" s="8" t="s">
        <v>136</v>
      </c>
    </row>
    <row r="100" spans="1:10" x14ac:dyDescent="0.35">
      <c r="A100" s="8" t="s">
        <v>96</v>
      </c>
      <c r="D100" s="15">
        <v>2.5850054461743493E-6</v>
      </c>
      <c r="E100" s="8" t="s">
        <v>8</v>
      </c>
      <c r="F100" s="8" t="s">
        <v>63</v>
      </c>
      <c r="G100" s="8" t="s">
        <v>64</v>
      </c>
      <c r="H100" s="8" t="s">
        <v>93</v>
      </c>
      <c r="J100" s="8" t="s">
        <v>136</v>
      </c>
    </row>
    <row r="101" spans="1:10" x14ac:dyDescent="0.35">
      <c r="A101" s="8" t="s">
        <v>95</v>
      </c>
      <c r="D101" s="15">
        <v>4.133976645054907E-5</v>
      </c>
      <c r="E101" s="8" t="s">
        <v>8</v>
      </c>
      <c r="F101" s="8" t="s">
        <v>63</v>
      </c>
      <c r="G101" s="8" t="s">
        <v>64</v>
      </c>
      <c r="H101" s="8" t="s">
        <v>93</v>
      </c>
      <c r="J101" s="8" t="s">
        <v>136</v>
      </c>
    </row>
    <row r="102" spans="1:10" x14ac:dyDescent="0.35">
      <c r="A102" s="8" t="s">
        <v>89</v>
      </c>
      <c r="D102" s="15">
        <v>8.6523351508276742E-7</v>
      </c>
      <c r="E102" s="8" t="s">
        <v>8</v>
      </c>
      <c r="F102" s="8" t="s">
        <v>63</v>
      </c>
      <c r="G102" s="8" t="s">
        <v>64</v>
      </c>
      <c r="H102" s="8" t="s">
        <v>93</v>
      </c>
      <c r="J102" s="8" t="s">
        <v>136</v>
      </c>
    </row>
    <row r="103" spans="1:10" x14ac:dyDescent="0.35">
      <c r="A103" s="8" t="s">
        <v>102</v>
      </c>
      <c r="D103" s="15">
        <v>5.3368544379023578E-7</v>
      </c>
      <c r="E103" s="8" t="s">
        <v>8</v>
      </c>
      <c r="F103" s="8" t="s">
        <v>63</v>
      </c>
      <c r="G103" s="8" t="s">
        <v>64</v>
      </c>
      <c r="H103" s="8" t="s">
        <v>93</v>
      </c>
      <c r="J103" s="8" t="s">
        <v>136</v>
      </c>
    </row>
    <row r="104" spans="1:10" x14ac:dyDescent="0.35">
      <c r="A104" s="8" t="s">
        <v>104</v>
      </c>
      <c r="D104" s="15">
        <v>1.1657657990608362E-7</v>
      </c>
      <c r="E104" s="8" t="s">
        <v>8</v>
      </c>
      <c r="F104" s="8" t="s">
        <v>63</v>
      </c>
      <c r="G104" s="8" t="s">
        <v>64</v>
      </c>
      <c r="H104" s="8" t="s">
        <v>93</v>
      </c>
      <c r="J104" s="8" t="s">
        <v>136</v>
      </c>
    </row>
    <row r="105" spans="1:10" x14ac:dyDescent="0.35">
      <c r="A105" s="8" t="s">
        <v>90</v>
      </c>
      <c r="D105" s="15">
        <v>2.3529217962695771E-8</v>
      </c>
      <c r="E105" s="8" t="s">
        <v>8</v>
      </c>
      <c r="F105" s="8" t="s">
        <v>63</v>
      </c>
      <c r="G105" s="8" t="s">
        <v>64</v>
      </c>
      <c r="H105" s="8" t="s">
        <v>93</v>
      </c>
      <c r="J105" s="8" t="s">
        <v>136</v>
      </c>
    </row>
    <row r="106" spans="1:10" x14ac:dyDescent="0.35">
      <c r="A106" s="8" t="s">
        <v>101</v>
      </c>
      <c r="D106" s="15">
        <v>1.3689726814659356E-7</v>
      </c>
      <c r="E106" s="8" t="s">
        <v>8</v>
      </c>
      <c r="F106" s="8" t="s">
        <v>63</v>
      </c>
      <c r="G106" s="8" t="s">
        <v>64</v>
      </c>
      <c r="H106" s="8" t="s">
        <v>93</v>
      </c>
      <c r="J106" s="8" t="s">
        <v>136</v>
      </c>
    </row>
    <row r="107" spans="1:10" x14ac:dyDescent="0.35">
      <c r="A107" s="8" t="s">
        <v>103</v>
      </c>
      <c r="D107" s="15">
        <v>1.8930325360896145E-7</v>
      </c>
      <c r="E107" s="8" t="s">
        <v>8</v>
      </c>
      <c r="F107" s="8" t="s">
        <v>63</v>
      </c>
      <c r="G107" s="8" t="s">
        <v>64</v>
      </c>
      <c r="H107" s="8" t="s">
        <v>93</v>
      </c>
      <c r="J107" s="8" t="s">
        <v>136</v>
      </c>
    </row>
    <row r="108" spans="1:10" x14ac:dyDescent="0.35">
      <c r="A108" s="8" t="s">
        <v>99</v>
      </c>
      <c r="D108" s="15">
        <v>3.7432846758834178E-8</v>
      </c>
      <c r="E108" s="8" t="s">
        <v>8</v>
      </c>
      <c r="F108" s="8" t="s">
        <v>63</v>
      </c>
      <c r="G108" s="8" t="s">
        <v>64</v>
      </c>
      <c r="H108" s="8" t="s">
        <v>93</v>
      </c>
      <c r="J108" s="8" t="s">
        <v>136</v>
      </c>
    </row>
    <row r="109" spans="1:10" x14ac:dyDescent="0.35">
      <c r="A109" s="8" t="s">
        <v>94</v>
      </c>
      <c r="D109" s="15">
        <v>9.9518966393036549E-5</v>
      </c>
      <c r="E109" s="8" t="s">
        <v>8</v>
      </c>
      <c r="F109" s="8" t="s">
        <v>63</v>
      </c>
      <c r="G109" s="8" t="s">
        <v>64</v>
      </c>
      <c r="H109" s="8" t="s">
        <v>93</v>
      </c>
      <c r="J109" s="8" t="s">
        <v>136</v>
      </c>
    </row>
    <row r="110" spans="1:10" x14ac:dyDescent="0.35">
      <c r="A110" s="8" t="s">
        <v>98</v>
      </c>
      <c r="D110" s="15">
        <v>2.1283247157165716E-7</v>
      </c>
      <c r="E110" s="8" t="s">
        <v>8</v>
      </c>
      <c r="F110" s="8" t="s">
        <v>63</v>
      </c>
      <c r="G110" s="8" t="s">
        <v>64</v>
      </c>
      <c r="H110" s="8" t="s">
        <v>93</v>
      </c>
      <c r="J110" s="8" t="s">
        <v>136</v>
      </c>
    </row>
    <row r="111" spans="1:10" x14ac:dyDescent="0.35">
      <c r="A111" s="8" t="s">
        <v>100</v>
      </c>
      <c r="D111" s="15">
        <v>9.1346841190629325E-6</v>
      </c>
      <c r="E111" s="8" t="s">
        <v>8</v>
      </c>
      <c r="F111" s="8" t="s">
        <v>63</v>
      </c>
      <c r="G111" s="8" t="s">
        <v>64</v>
      </c>
      <c r="H111" s="8" t="s">
        <v>93</v>
      </c>
      <c r="J111" s="8" t="s">
        <v>136</v>
      </c>
    </row>
    <row r="112" spans="1:10" x14ac:dyDescent="0.35">
      <c r="A112" s="8" t="s">
        <v>97</v>
      </c>
      <c r="D112" s="15">
        <v>1.0438416696177758E-6</v>
      </c>
      <c r="E112" s="8" t="s">
        <v>8</v>
      </c>
      <c r="F112" s="8" t="s">
        <v>63</v>
      </c>
      <c r="G112" s="8" t="s">
        <v>64</v>
      </c>
      <c r="H112" s="8" t="s">
        <v>93</v>
      </c>
      <c r="J112" s="8" t="s">
        <v>136</v>
      </c>
    </row>
    <row r="113" spans="1:10" x14ac:dyDescent="0.35">
      <c r="A113" s="8" t="s">
        <v>98</v>
      </c>
      <c r="D113" s="15">
        <v>6.4170594443715707E-9</v>
      </c>
      <c r="E113" s="8" t="s">
        <v>8</v>
      </c>
      <c r="F113" s="8" t="s">
        <v>63</v>
      </c>
      <c r="G113" s="8" t="s">
        <v>64</v>
      </c>
      <c r="H113" s="8" t="s">
        <v>185</v>
      </c>
      <c r="J113" s="8" t="s">
        <v>179</v>
      </c>
    </row>
    <row r="114" spans="1:10" x14ac:dyDescent="0.35">
      <c r="A114" s="8" t="s">
        <v>97</v>
      </c>
      <c r="D114" s="15">
        <v>8.449128268422574E-8</v>
      </c>
      <c r="E114" s="8" t="s">
        <v>8</v>
      </c>
      <c r="F114" s="8" t="s">
        <v>63</v>
      </c>
      <c r="G114" s="8" t="s">
        <v>64</v>
      </c>
      <c r="H114" s="8" t="s">
        <v>185</v>
      </c>
      <c r="J114" s="8" t="s">
        <v>179</v>
      </c>
    </row>
    <row r="115" spans="1:10" x14ac:dyDescent="0.35">
      <c r="A115" s="8" t="s">
        <v>104</v>
      </c>
      <c r="D115" s="15">
        <v>6.074816274005087E-11</v>
      </c>
      <c r="E115" s="8" t="s">
        <v>8</v>
      </c>
      <c r="F115" s="8" t="s">
        <v>63</v>
      </c>
      <c r="G115" s="8" t="s">
        <v>64</v>
      </c>
      <c r="H115" s="8" t="s">
        <v>185</v>
      </c>
      <c r="J115" s="8" t="s">
        <v>179</v>
      </c>
    </row>
    <row r="116" spans="1:10" x14ac:dyDescent="0.35">
      <c r="A116" s="8" t="s">
        <v>89</v>
      </c>
      <c r="D116" s="15">
        <v>5.3475495369763114E-9</v>
      </c>
      <c r="E116" s="8" t="s">
        <v>8</v>
      </c>
      <c r="F116" s="8" t="s">
        <v>63</v>
      </c>
      <c r="G116" s="8" t="s">
        <v>64</v>
      </c>
      <c r="H116" s="8" t="s">
        <v>185</v>
      </c>
      <c r="J116" s="8" t="s">
        <v>179</v>
      </c>
    </row>
    <row r="117" spans="1:10" x14ac:dyDescent="0.35">
      <c r="A117" s="8" t="s">
        <v>101</v>
      </c>
      <c r="D117" s="15">
        <v>3.2085297221857862E-9</v>
      </c>
      <c r="E117" s="8" t="s">
        <v>8</v>
      </c>
      <c r="F117" s="8" t="s">
        <v>63</v>
      </c>
      <c r="G117" s="8" t="s">
        <v>64</v>
      </c>
      <c r="H117" s="8" t="s">
        <v>185</v>
      </c>
      <c r="J117" s="8" t="s">
        <v>179</v>
      </c>
    </row>
    <row r="118" spans="1:10" x14ac:dyDescent="0.35">
      <c r="A118" s="8" t="s">
        <v>186</v>
      </c>
      <c r="D118" s="15">
        <v>1.0695099073952624E-9</v>
      </c>
      <c r="E118" s="8" t="s">
        <v>8</v>
      </c>
      <c r="F118" s="8" t="s">
        <v>63</v>
      </c>
      <c r="G118" s="8" t="s">
        <v>64</v>
      </c>
      <c r="H118" s="8" t="s">
        <v>185</v>
      </c>
      <c r="J118" s="8" t="s">
        <v>179</v>
      </c>
    </row>
    <row r="119" spans="1:10" x14ac:dyDescent="0.35">
      <c r="A119" s="8" t="s">
        <v>90</v>
      </c>
      <c r="D119" s="15">
        <v>3.0374081370025454E-11</v>
      </c>
      <c r="E119" s="8" t="s">
        <v>8</v>
      </c>
      <c r="F119" s="8" t="s">
        <v>63</v>
      </c>
      <c r="G119" s="8" t="s">
        <v>64</v>
      </c>
      <c r="H119" s="8" t="s">
        <v>185</v>
      </c>
      <c r="J119" s="8" t="s">
        <v>179</v>
      </c>
    </row>
    <row r="120" spans="1:10" x14ac:dyDescent="0.35">
      <c r="A120" s="8" t="s">
        <v>204</v>
      </c>
      <c r="D120" s="15">
        <v>1.0695099073952624E-9</v>
      </c>
      <c r="E120" s="8" t="s">
        <v>8</v>
      </c>
      <c r="F120" s="8" t="s">
        <v>63</v>
      </c>
      <c r="G120" s="8" t="s">
        <v>64</v>
      </c>
      <c r="H120" s="8" t="s">
        <v>185</v>
      </c>
      <c r="J120" s="8" t="s">
        <v>179</v>
      </c>
    </row>
    <row r="121" spans="1:10" x14ac:dyDescent="0.35">
      <c r="A121" s="8" t="s">
        <v>187</v>
      </c>
      <c r="D121" s="15">
        <v>8.7699812406411481E-8</v>
      </c>
      <c r="E121" s="8" t="s">
        <v>8</v>
      </c>
      <c r="F121" s="8" t="s">
        <v>63</v>
      </c>
      <c r="G121" s="8" t="s">
        <v>64</v>
      </c>
      <c r="H121" s="8" t="s">
        <v>185</v>
      </c>
      <c r="J121" s="8" t="s">
        <v>179</v>
      </c>
    </row>
    <row r="122" spans="1:10" x14ac:dyDescent="0.35">
      <c r="A122" s="8" t="s">
        <v>103</v>
      </c>
      <c r="D122" s="15">
        <v>3.2085297221857862E-9</v>
      </c>
      <c r="E122" s="8" t="s">
        <v>8</v>
      </c>
      <c r="F122" s="8" t="s">
        <v>63</v>
      </c>
      <c r="G122" s="8" t="s">
        <v>64</v>
      </c>
      <c r="H122" s="8" t="s">
        <v>185</v>
      </c>
      <c r="J122" s="8" t="s">
        <v>179</v>
      </c>
    </row>
    <row r="123" spans="1:10" x14ac:dyDescent="0.35">
      <c r="A123" s="8" t="s">
        <v>188</v>
      </c>
      <c r="D123" s="15">
        <v>6.074816274005087E-11</v>
      </c>
      <c r="E123" s="8" t="s">
        <v>8</v>
      </c>
      <c r="F123" s="8" t="s">
        <v>63</v>
      </c>
      <c r="G123" s="8" t="s">
        <v>64</v>
      </c>
      <c r="H123" s="8" t="s">
        <v>185</v>
      </c>
      <c r="J123" s="8" t="s">
        <v>179</v>
      </c>
    </row>
    <row r="124" spans="1:10" x14ac:dyDescent="0.35">
      <c r="A124" s="8" t="s">
        <v>102</v>
      </c>
      <c r="D124" s="15">
        <v>6.1924623638185679E-10</v>
      </c>
      <c r="E124" s="8" t="s">
        <v>8</v>
      </c>
      <c r="F124" s="8" t="s">
        <v>63</v>
      </c>
      <c r="G124" s="8" t="s">
        <v>64</v>
      </c>
      <c r="H124" s="8" t="s">
        <v>185</v>
      </c>
      <c r="J124" s="8" t="s">
        <v>179</v>
      </c>
    </row>
    <row r="125" spans="1:10" x14ac:dyDescent="0.35">
      <c r="A125" s="8" t="s">
        <v>189</v>
      </c>
      <c r="D125" s="15">
        <v>5.6470123110469849E-10</v>
      </c>
      <c r="E125" s="8" t="s">
        <v>8</v>
      </c>
      <c r="F125" s="8" t="s">
        <v>63</v>
      </c>
      <c r="G125" s="8" t="s">
        <v>64</v>
      </c>
      <c r="H125" s="8" t="s">
        <v>185</v>
      </c>
      <c r="J125" s="8" t="s">
        <v>179</v>
      </c>
    </row>
    <row r="126" spans="1:10" x14ac:dyDescent="0.35">
      <c r="A126" s="8" t="s">
        <v>100</v>
      </c>
      <c r="D126" s="15">
        <v>2.2566659046040029E-7</v>
      </c>
      <c r="E126" s="8" t="s">
        <v>8</v>
      </c>
      <c r="F126" s="8" t="s">
        <v>63</v>
      </c>
      <c r="G126" s="8" t="s">
        <v>64</v>
      </c>
      <c r="H126" s="8" t="s">
        <v>185</v>
      </c>
      <c r="J126" s="8" t="s">
        <v>179</v>
      </c>
    </row>
    <row r="127" spans="1:10" x14ac:dyDescent="0.35">
      <c r="A127" s="8" t="s">
        <v>190</v>
      </c>
      <c r="D127" s="15">
        <v>1.0695099073952624E-9</v>
      </c>
      <c r="E127" s="8" t="s">
        <v>8</v>
      </c>
      <c r="F127" s="8" t="s">
        <v>63</v>
      </c>
      <c r="G127" s="8" t="s">
        <v>64</v>
      </c>
      <c r="H127" s="8" t="s">
        <v>353</v>
      </c>
      <c r="J127" s="8" t="s">
        <v>179</v>
      </c>
    </row>
    <row r="128" spans="1:10" s="12" customFormat="1" x14ac:dyDescent="0.35"/>
    <row r="129" spans="1:14" x14ac:dyDescent="0.35">
      <c r="A129" s="7" t="s">
        <v>0</v>
      </c>
      <c r="B129" s="7" t="s">
        <v>205</v>
      </c>
    </row>
    <row r="130" spans="1:14" x14ac:dyDescent="0.35">
      <c r="A130" s="9" t="s">
        <v>2</v>
      </c>
      <c r="B130" s="8" t="s">
        <v>72</v>
      </c>
    </row>
    <row r="131" spans="1:14" x14ac:dyDescent="0.35">
      <c r="A131" s="9" t="s">
        <v>4</v>
      </c>
      <c r="B131" s="8" t="s">
        <v>5</v>
      </c>
    </row>
    <row r="132" spans="1:14" x14ac:dyDescent="0.35">
      <c r="A132" s="9" t="s">
        <v>6</v>
      </c>
      <c r="B132" s="8">
        <v>1</v>
      </c>
    </row>
    <row r="133" spans="1:14" x14ac:dyDescent="0.35">
      <c r="A133" s="9" t="s">
        <v>7</v>
      </c>
      <c r="B133" s="8" t="s">
        <v>8</v>
      </c>
    </row>
    <row r="134" spans="1:14" x14ac:dyDescent="0.35">
      <c r="A134" s="9" t="s">
        <v>9</v>
      </c>
      <c r="B134" s="15" t="s">
        <v>229</v>
      </c>
    </row>
    <row r="135" spans="1:14" x14ac:dyDescent="0.35">
      <c r="A135" s="9" t="s">
        <v>10</v>
      </c>
    </row>
    <row r="136" spans="1:14" x14ac:dyDescent="0.35">
      <c r="A136" s="7" t="s">
        <v>11</v>
      </c>
      <c r="B136" s="7" t="s">
        <v>2</v>
      </c>
      <c r="C136" s="7" t="s">
        <v>4</v>
      </c>
      <c r="D136" s="7" t="s">
        <v>6</v>
      </c>
      <c r="E136" s="7" t="s">
        <v>7</v>
      </c>
      <c r="F136" s="7" t="s">
        <v>12</v>
      </c>
      <c r="G136" s="7" t="s">
        <v>13</v>
      </c>
      <c r="H136" s="7" t="s">
        <v>14</v>
      </c>
      <c r="I136" s="7" t="s">
        <v>15</v>
      </c>
      <c r="J136" s="7" t="s">
        <v>16</v>
      </c>
      <c r="K136" s="7" t="s">
        <v>17</v>
      </c>
      <c r="L136" s="7" t="s">
        <v>18</v>
      </c>
      <c r="M136" s="7" t="s">
        <v>19</v>
      </c>
      <c r="N136" s="7" t="s">
        <v>20</v>
      </c>
    </row>
    <row r="137" spans="1:14" x14ac:dyDescent="0.35">
      <c r="A137" s="8" t="s">
        <v>205</v>
      </c>
      <c r="B137" s="8" t="s">
        <v>72</v>
      </c>
      <c r="C137" s="8" t="s">
        <v>5</v>
      </c>
      <c r="D137" s="8">
        <v>1</v>
      </c>
      <c r="E137" s="8" t="s">
        <v>8</v>
      </c>
      <c r="F137" s="10" t="s">
        <v>62</v>
      </c>
      <c r="G137" s="8" t="s">
        <v>21</v>
      </c>
    </row>
    <row r="138" spans="1:14" x14ac:dyDescent="0.35">
      <c r="A138" s="8" t="s">
        <v>219</v>
      </c>
      <c r="B138" s="8" t="s">
        <v>192</v>
      </c>
      <c r="C138" s="8" t="s">
        <v>5</v>
      </c>
      <c r="D138" s="8">
        <v>1</v>
      </c>
      <c r="E138" s="8" t="s">
        <v>8</v>
      </c>
      <c r="F138" s="10" t="s">
        <v>62</v>
      </c>
      <c r="G138" s="8" t="s">
        <v>26</v>
      </c>
    </row>
    <row r="139" spans="1:14" x14ac:dyDescent="0.35">
      <c r="A139" s="8" t="s">
        <v>220</v>
      </c>
      <c r="B139" s="8" t="s">
        <v>3</v>
      </c>
      <c r="C139" s="8" t="s">
        <v>5</v>
      </c>
      <c r="D139" s="15">
        <v>0.54374675129306604</v>
      </c>
      <c r="E139" s="8" t="s">
        <v>8</v>
      </c>
      <c r="F139" s="10" t="s">
        <v>62</v>
      </c>
      <c r="G139" s="8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EC22-E06E-43E2-BCA2-E7E27767E483}">
  <sheetPr>
    <tabColor theme="8" tint="0.39997558519241921"/>
  </sheetPr>
  <dimension ref="A1:N57"/>
  <sheetViews>
    <sheetView workbookViewId="0">
      <selection activeCell="B28" sqref="B28"/>
    </sheetView>
  </sheetViews>
  <sheetFormatPr baseColWidth="10" defaultColWidth="9.1796875" defaultRowHeight="14.5" x14ac:dyDescent="0.35"/>
  <cols>
    <col min="1" max="1" width="63.26953125" style="8" bestFit="1" customWidth="1"/>
    <col min="2" max="2" width="63.453125" style="8" bestFit="1" customWidth="1"/>
    <col min="3" max="3" width="8.1796875" style="8" bestFit="1" customWidth="1"/>
    <col min="4" max="4" width="12" style="8" bestFit="1" customWidth="1"/>
    <col min="5" max="5" width="12.81640625" style="8" bestFit="1" customWidth="1"/>
    <col min="6" max="6" width="19.7265625" style="8" bestFit="1" customWidth="1"/>
    <col min="7" max="7" width="13.26953125" style="8" bestFit="1" customWidth="1"/>
    <col min="8" max="8" width="10.179687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7" t="s">
        <v>169</v>
      </c>
    </row>
    <row r="2" spans="1:14" x14ac:dyDescent="0.35">
      <c r="A2" s="9" t="s">
        <v>2</v>
      </c>
      <c r="B2" s="8" t="s">
        <v>3</v>
      </c>
    </row>
    <row r="3" spans="1:14" x14ac:dyDescent="0.35">
      <c r="A3" s="9" t="s">
        <v>4</v>
      </c>
      <c r="B3" s="8" t="s">
        <v>34</v>
      </c>
    </row>
    <row r="4" spans="1:14" x14ac:dyDescent="0.35">
      <c r="A4" s="9" t="s">
        <v>6</v>
      </c>
      <c r="B4" s="8">
        <v>1</v>
      </c>
    </row>
    <row r="5" spans="1:14" x14ac:dyDescent="0.35">
      <c r="A5" s="9" t="s">
        <v>7</v>
      </c>
      <c r="B5" s="8" t="s">
        <v>8</v>
      </c>
    </row>
    <row r="6" spans="1:14" x14ac:dyDescent="0.35">
      <c r="A6" s="9" t="s">
        <v>9</v>
      </c>
      <c r="B6" s="17" t="s">
        <v>109</v>
      </c>
    </row>
    <row r="7" spans="1:14" x14ac:dyDescent="0.35">
      <c r="A7" s="9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8" t="s">
        <v>169</v>
      </c>
      <c r="B9" s="8" t="s">
        <v>3</v>
      </c>
      <c r="C9" s="8" t="s">
        <v>34</v>
      </c>
      <c r="D9" s="8">
        <v>1</v>
      </c>
      <c r="E9" s="8" t="s">
        <v>8</v>
      </c>
      <c r="F9" s="10" t="s">
        <v>62</v>
      </c>
      <c r="G9" s="8" t="s">
        <v>21</v>
      </c>
    </row>
    <row r="10" spans="1:14" x14ac:dyDescent="0.35">
      <c r="A10" s="8" t="s">
        <v>207</v>
      </c>
      <c r="B10" s="8" t="s">
        <v>138</v>
      </c>
      <c r="C10" s="8" t="s">
        <v>34</v>
      </c>
      <c r="D10" s="8">
        <v>4.0502431118314428</v>
      </c>
      <c r="E10" s="8" t="s">
        <v>53</v>
      </c>
      <c r="F10" s="8" t="s">
        <v>25</v>
      </c>
      <c r="G10" s="8" t="s">
        <v>26</v>
      </c>
      <c r="J10" s="8" t="s">
        <v>206</v>
      </c>
    </row>
    <row r="11" spans="1:14" x14ac:dyDescent="0.35">
      <c r="A11" s="8" t="s">
        <v>157</v>
      </c>
      <c r="B11" s="8" t="s">
        <v>158</v>
      </c>
      <c r="C11" s="8" t="s">
        <v>34</v>
      </c>
      <c r="D11" s="8">
        <v>-170.072933549433</v>
      </c>
      <c r="E11" s="8" t="s">
        <v>8</v>
      </c>
      <c r="F11" s="8" t="s">
        <v>25</v>
      </c>
      <c r="G11" s="8" t="s">
        <v>26</v>
      </c>
      <c r="J11" s="8" t="s">
        <v>206</v>
      </c>
    </row>
    <row r="12" spans="1:14" x14ac:dyDescent="0.35">
      <c r="A12" s="8" t="s">
        <v>97</v>
      </c>
      <c r="D12" s="8">
        <v>1.7828200972447329E-5</v>
      </c>
      <c r="E12" s="8" t="s">
        <v>8</v>
      </c>
      <c r="F12" s="8" t="s">
        <v>63</v>
      </c>
      <c r="G12" s="8" t="s">
        <v>64</v>
      </c>
      <c r="H12" s="8" t="s">
        <v>87</v>
      </c>
      <c r="J12" s="8" t="s">
        <v>206</v>
      </c>
    </row>
    <row r="13" spans="1:14" x14ac:dyDescent="0.35">
      <c r="A13" s="8" t="s">
        <v>89</v>
      </c>
      <c r="D13" s="8">
        <v>1.004862236628849E-6</v>
      </c>
      <c r="E13" s="8" t="s">
        <v>8</v>
      </c>
      <c r="F13" s="8" t="s">
        <v>63</v>
      </c>
      <c r="G13" s="8" t="s">
        <v>64</v>
      </c>
      <c r="H13" s="8" t="s">
        <v>87</v>
      </c>
      <c r="J13" s="8" t="s">
        <v>206</v>
      </c>
    </row>
    <row r="14" spans="1:14" x14ac:dyDescent="0.35">
      <c r="A14" s="8" t="s">
        <v>104</v>
      </c>
      <c r="D14" s="8">
        <v>1.944894651539708E-7</v>
      </c>
      <c r="E14" s="8" t="s">
        <v>8</v>
      </c>
      <c r="F14" s="8" t="s">
        <v>63</v>
      </c>
      <c r="G14" s="8" t="s">
        <v>64</v>
      </c>
      <c r="H14" s="8" t="s">
        <v>87</v>
      </c>
      <c r="J14" s="8" t="s">
        <v>206</v>
      </c>
    </row>
    <row r="15" spans="1:14" x14ac:dyDescent="0.35">
      <c r="A15" s="8" t="s">
        <v>208</v>
      </c>
      <c r="D15" s="8">
        <v>0.29011345218800649</v>
      </c>
      <c r="E15" s="8" t="s">
        <v>8</v>
      </c>
      <c r="F15" s="8" t="s">
        <v>63</v>
      </c>
      <c r="G15" s="8" t="s">
        <v>64</v>
      </c>
      <c r="H15" s="8" t="s">
        <v>87</v>
      </c>
      <c r="J15" s="8" t="s">
        <v>206</v>
      </c>
    </row>
    <row r="16" spans="1:14" x14ac:dyDescent="0.35">
      <c r="A16" s="8" t="s">
        <v>209</v>
      </c>
      <c r="D16" s="8">
        <v>3.721231766612642E-4</v>
      </c>
      <c r="E16" s="8" t="s">
        <v>8</v>
      </c>
      <c r="F16" s="8" t="s">
        <v>63</v>
      </c>
      <c r="G16" s="8" t="s">
        <v>64</v>
      </c>
      <c r="H16" s="8" t="s">
        <v>87</v>
      </c>
      <c r="J16" s="8" t="s">
        <v>206</v>
      </c>
    </row>
    <row r="17" spans="1:14" x14ac:dyDescent="0.35">
      <c r="A17" s="8" t="s">
        <v>210</v>
      </c>
      <c r="D17" s="8">
        <v>2.338735818476499E-4</v>
      </c>
      <c r="E17" s="8" t="s">
        <v>8</v>
      </c>
      <c r="F17" s="8" t="s">
        <v>63</v>
      </c>
      <c r="G17" s="8" t="s">
        <v>64</v>
      </c>
      <c r="H17" s="8" t="s">
        <v>87</v>
      </c>
      <c r="J17" s="8" t="s">
        <v>206</v>
      </c>
    </row>
    <row r="18" spans="1:14" x14ac:dyDescent="0.35">
      <c r="A18" s="8" t="s">
        <v>127</v>
      </c>
      <c r="D18" s="8">
        <v>4.6139384116693676E-3</v>
      </c>
      <c r="E18" s="8" t="s">
        <v>8</v>
      </c>
      <c r="F18" s="8" t="s">
        <v>63</v>
      </c>
      <c r="G18" s="8" t="s">
        <v>64</v>
      </c>
      <c r="H18" s="8" t="s">
        <v>87</v>
      </c>
      <c r="J18" s="8" t="s">
        <v>206</v>
      </c>
    </row>
    <row r="19" spans="1:14" x14ac:dyDescent="0.35">
      <c r="A19" s="8" t="s">
        <v>89</v>
      </c>
      <c r="D19" s="8">
        <v>4.8622366288492706E-9</v>
      </c>
      <c r="E19" s="8" t="s">
        <v>8</v>
      </c>
      <c r="F19" s="8" t="s">
        <v>63</v>
      </c>
      <c r="G19" s="8" t="s">
        <v>64</v>
      </c>
      <c r="H19" s="8" t="s">
        <v>93</v>
      </c>
      <c r="J19" s="8" t="s">
        <v>206</v>
      </c>
    </row>
    <row r="20" spans="1:14" x14ac:dyDescent="0.35">
      <c r="A20" s="8" t="s">
        <v>97</v>
      </c>
      <c r="D20" s="8">
        <v>3.6466774716369529E-7</v>
      </c>
      <c r="E20" s="8" t="s">
        <v>8</v>
      </c>
      <c r="F20" s="8" t="s">
        <v>63</v>
      </c>
      <c r="G20" s="8" t="s">
        <v>64</v>
      </c>
      <c r="H20" s="8" t="s">
        <v>93</v>
      </c>
      <c r="J20" s="8" t="s">
        <v>206</v>
      </c>
    </row>
    <row r="21" spans="1:14" x14ac:dyDescent="0.35">
      <c r="A21" s="8" t="s">
        <v>104</v>
      </c>
      <c r="D21" s="8">
        <v>3.2414910858995142E-9</v>
      </c>
      <c r="E21" s="8" t="s">
        <v>8</v>
      </c>
      <c r="F21" s="8" t="s">
        <v>63</v>
      </c>
      <c r="G21" s="8" t="s">
        <v>64</v>
      </c>
      <c r="H21" s="8" t="s">
        <v>93</v>
      </c>
      <c r="J21" s="8" t="s">
        <v>206</v>
      </c>
    </row>
    <row r="22" spans="1:14" s="11" customFormat="1" x14ac:dyDescent="0.35"/>
    <row r="23" spans="1:14" x14ac:dyDescent="0.35">
      <c r="A23" s="7" t="s">
        <v>0</v>
      </c>
      <c r="B23" s="7" t="s">
        <v>211</v>
      </c>
    </row>
    <row r="24" spans="1:14" x14ac:dyDescent="0.35">
      <c r="A24" s="9" t="s">
        <v>2</v>
      </c>
      <c r="B24" s="8" t="s">
        <v>72</v>
      </c>
    </row>
    <row r="25" spans="1:14" x14ac:dyDescent="0.35">
      <c r="A25" s="9" t="s">
        <v>4</v>
      </c>
      <c r="B25" s="8" t="s">
        <v>34</v>
      </c>
    </row>
    <row r="26" spans="1:14" x14ac:dyDescent="0.35">
      <c r="A26" s="9" t="s">
        <v>6</v>
      </c>
      <c r="B26" s="8">
        <v>1</v>
      </c>
    </row>
    <row r="27" spans="1:14" x14ac:dyDescent="0.35">
      <c r="A27" s="9" t="s">
        <v>7</v>
      </c>
      <c r="B27" s="8" t="s">
        <v>8</v>
      </c>
    </row>
    <row r="28" spans="1:14" ht="58" x14ac:dyDescent="0.35">
      <c r="A28" s="9" t="s">
        <v>9</v>
      </c>
      <c r="B28" s="13" t="s">
        <v>351</v>
      </c>
    </row>
    <row r="29" spans="1:14" x14ac:dyDescent="0.35">
      <c r="A29" s="9" t="s">
        <v>10</v>
      </c>
    </row>
    <row r="30" spans="1:14" x14ac:dyDescent="0.35">
      <c r="A30" s="7" t="s">
        <v>11</v>
      </c>
      <c r="B30" s="7" t="s">
        <v>2</v>
      </c>
      <c r="C30" s="7" t="s">
        <v>4</v>
      </c>
      <c r="D30" s="7" t="s">
        <v>6</v>
      </c>
      <c r="E30" s="7" t="s">
        <v>7</v>
      </c>
      <c r="F30" s="7" t="s">
        <v>12</v>
      </c>
      <c r="G30" s="7" t="s">
        <v>13</v>
      </c>
      <c r="H30" s="7" t="s">
        <v>14</v>
      </c>
      <c r="I30" s="7" t="s">
        <v>15</v>
      </c>
      <c r="J30" s="7" t="s">
        <v>16</v>
      </c>
      <c r="K30" s="7" t="s">
        <v>17</v>
      </c>
      <c r="L30" s="7" t="s">
        <v>18</v>
      </c>
      <c r="M30" s="7" t="s">
        <v>19</v>
      </c>
      <c r="N30" s="7" t="s">
        <v>20</v>
      </c>
    </row>
    <row r="31" spans="1:14" x14ac:dyDescent="0.35">
      <c r="A31" s="8" t="s">
        <v>211</v>
      </c>
      <c r="B31" s="8" t="s">
        <v>72</v>
      </c>
      <c r="C31" s="8" t="s">
        <v>34</v>
      </c>
      <c r="D31" s="8">
        <v>1</v>
      </c>
      <c r="E31" s="8" t="s">
        <v>8</v>
      </c>
      <c r="F31" s="10" t="s">
        <v>62</v>
      </c>
      <c r="G31" s="8" t="s">
        <v>21</v>
      </c>
    </row>
    <row r="32" spans="1:14" x14ac:dyDescent="0.35">
      <c r="A32" s="8" t="s">
        <v>54</v>
      </c>
      <c r="B32" s="8" t="s">
        <v>55</v>
      </c>
      <c r="C32" s="8" t="s">
        <v>24</v>
      </c>
      <c r="D32" s="15">
        <v>5.458346797237283</v>
      </c>
      <c r="E32" s="8" t="s">
        <v>56</v>
      </c>
      <c r="F32" s="8" t="s">
        <v>25</v>
      </c>
      <c r="G32" s="8" t="s">
        <v>26</v>
      </c>
      <c r="J32" s="8" t="s">
        <v>206</v>
      </c>
    </row>
    <row r="33" spans="1:10" x14ac:dyDescent="0.35">
      <c r="A33" s="8" t="s">
        <v>207</v>
      </c>
      <c r="B33" s="8" t="s">
        <v>138</v>
      </c>
      <c r="C33" s="8" t="s">
        <v>34</v>
      </c>
      <c r="D33" s="15">
        <v>8.564090083614845</v>
      </c>
      <c r="E33" s="8" t="s">
        <v>53</v>
      </c>
      <c r="F33" s="8" t="s">
        <v>25</v>
      </c>
      <c r="G33" s="8" t="s">
        <v>26</v>
      </c>
      <c r="J33" s="8" t="s">
        <v>206</v>
      </c>
    </row>
    <row r="34" spans="1:10" x14ac:dyDescent="0.35">
      <c r="A34" s="8" t="s">
        <v>97</v>
      </c>
      <c r="D34" s="15">
        <v>8.6052456060786977E-6</v>
      </c>
      <c r="E34" s="8" t="s">
        <v>8</v>
      </c>
      <c r="F34" s="8" t="s">
        <v>63</v>
      </c>
      <c r="G34" s="8" t="s">
        <v>64</v>
      </c>
      <c r="H34" s="8" t="s">
        <v>87</v>
      </c>
      <c r="J34" s="8" t="s">
        <v>206</v>
      </c>
    </row>
    <row r="35" spans="1:10" x14ac:dyDescent="0.35">
      <c r="A35" s="8" t="s">
        <v>89</v>
      </c>
      <c r="D35" s="15">
        <v>7.1086811528476204E-6</v>
      </c>
      <c r="E35" s="8" t="s">
        <v>8</v>
      </c>
      <c r="F35" s="8" t="s">
        <v>63</v>
      </c>
      <c r="G35" s="8" t="s">
        <v>64</v>
      </c>
      <c r="H35" s="8" t="s">
        <v>87</v>
      </c>
      <c r="J35" s="8" t="s">
        <v>206</v>
      </c>
    </row>
    <row r="36" spans="1:10" x14ac:dyDescent="0.35">
      <c r="A36" s="8" t="s">
        <v>104</v>
      </c>
      <c r="D36" s="15">
        <v>1.6836350098849629E-7</v>
      </c>
      <c r="E36" s="8" t="s">
        <v>8</v>
      </c>
      <c r="F36" s="8" t="s">
        <v>63</v>
      </c>
      <c r="G36" s="8" t="s">
        <v>64</v>
      </c>
      <c r="H36" s="8" t="s">
        <v>87</v>
      </c>
      <c r="J36" s="8" t="s">
        <v>206</v>
      </c>
    </row>
    <row r="37" spans="1:10" x14ac:dyDescent="0.35">
      <c r="A37" s="8" t="s">
        <v>90</v>
      </c>
      <c r="D37" s="15">
        <v>1.7397561768811282E-7</v>
      </c>
      <c r="E37" s="8" t="s">
        <v>8</v>
      </c>
      <c r="F37" s="8" t="s">
        <v>63</v>
      </c>
      <c r="G37" s="8" t="s">
        <v>64</v>
      </c>
      <c r="H37" s="8" t="s">
        <v>87</v>
      </c>
      <c r="J37" s="8" t="s">
        <v>206</v>
      </c>
    </row>
    <row r="38" spans="1:10" x14ac:dyDescent="0.35">
      <c r="A38" s="8" t="s">
        <v>86</v>
      </c>
      <c r="D38" s="15">
        <v>6.6129441777148272E-3</v>
      </c>
      <c r="E38" s="8" t="s">
        <v>8</v>
      </c>
      <c r="F38" s="8" t="s">
        <v>63</v>
      </c>
      <c r="G38" s="8" t="s">
        <v>64</v>
      </c>
      <c r="H38" s="8" t="s">
        <v>87</v>
      </c>
      <c r="J38" s="8" t="s">
        <v>206</v>
      </c>
    </row>
    <row r="39" spans="1:10" x14ac:dyDescent="0.35">
      <c r="A39" s="8" t="s">
        <v>208</v>
      </c>
      <c r="D39" s="15">
        <v>0.66222977055475196</v>
      </c>
      <c r="E39" s="8" t="s">
        <v>8</v>
      </c>
      <c r="F39" s="8" t="s">
        <v>63</v>
      </c>
      <c r="G39" s="8" t="s">
        <v>64</v>
      </c>
      <c r="H39" s="8" t="s">
        <v>87</v>
      </c>
      <c r="J39" s="8" t="s">
        <v>206</v>
      </c>
    </row>
    <row r="40" spans="1:10" x14ac:dyDescent="0.35">
      <c r="A40" s="8" t="s">
        <v>209</v>
      </c>
      <c r="D40" s="15">
        <v>2.1513114015196742E-4</v>
      </c>
      <c r="E40" s="8" t="s">
        <v>8</v>
      </c>
      <c r="F40" s="8" t="s">
        <v>63</v>
      </c>
      <c r="G40" s="8" t="s">
        <v>64</v>
      </c>
      <c r="H40" s="8" t="s">
        <v>87</v>
      </c>
      <c r="J40" s="8" t="s">
        <v>206</v>
      </c>
    </row>
    <row r="41" spans="1:10" x14ac:dyDescent="0.35">
      <c r="A41" s="8" t="s">
        <v>212</v>
      </c>
      <c r="D41" s="15">
        <v>1.3656150635733586E-4</v>
      </c>
      <c r="E41" s="8" t="s">
        <v>8</v>
      </c>
      <c r="F41" s="8" t="s">
        <v>63</v>
      </c>
      <c r="G41" s="8" t="s">
        <v>64</v>
      </c>
      <c r="H41" s="8" t="s">
        <v>87</v>
      </c>
      <c r="J41" s="8" t="s">
        <v>206</v>
      </c>
    </row>
    <row r="42" spans="1:10" x14ac:dyDescent="0.35">
      <c r="A42" s="8" t="s">
        <v>89</v>
      </c>
      <c r="D42" s="15">
        <v>3.7227040774123058E-6</v>
      </c>
      <c r="E42" s="8" t="s">
        <v>8</v>
      </c>
      <c r="F42" s="8" t="s">
        <v>63</v>
      </c>
      <c r="G42" s="8" t="s">
        <v>64</v>
      </c>
      <c r="H42" s="8" t="s">
        <v>93</v>
      </c>
      <c r="J42" s="8" t="s">
        <v>206</v>
      </c>
    </row>
    <row r="43" spans="1:10" x14ac:dyDescent="0.35">
      <c r="A43" s="8" t="s">
        <v>97</v>
      </c>
      <c r="D43" s="15">
        <v>4.564521582354787E-5</v>
      </c>
      <c r="E43" s="8" t="s">
        <v>8</v>
      </c>
      <c r="F43" s="8" t="s">
        <v>63</v>
      </c>
      <c r="G43" s="8" t="s">
        <v>64</v>
      </c>
      <c r="H43" s="8" t="s">
        <v>93</v>
      </c>
      <c r="J43" s="8" t="s">
        <v>206</v>
      </c>
    </row>
    <row r="44" spans="1:10" x14ac:dyDescent="0.35">
      <c r="A44" s="8" t="s">
        <v>104</v>
      </c>
      <c r="D44" s="15">
        <v>2.8247654054736595E-7</v>
      </c>
      <c r="E44" s="8" t="s">
        <v>8</v>
      </c>
      <c r="F44" s="8" t="s">
        <v>63</v>
      </c>
      <c r="G44" s="8" t="s">
        <v>64</v>
      </c>
      <c r="H44" s="8" t="s">
        <v>93</v>
      </c>
      <c r="J44" s="8" t="s">
        <v>206</v>
      </c>
    </row>
    <row r="45" spans="1:10" x14ac:dyDescent="0.35">
      <c r="A45" s="8" t="s">
        <v>90</v>
      </c>
      <c r="D45" s="15">
        <v>2.4319172365005015E-8</v>
      </c>
      <c r="E45" s="8" t="s">
        <v>8</v>
      </c>
      <c r="F45" s="8" t="s">
        <v>63</v>
      </c>
      <c r="G45" s="8" t="s">
        <v>64</v>
      </c>
      <c r="H45" s="8" t="s">
        <v>93</v>
      </c>
      <c r="J45" s="8" t="s">
        <v>206</v>
      </c>
    </row>
    <row r="46" spans="1:10" s="12" customFormat="1" x14ac:dyDescent="0.35"/>
    <row r="47" spans="1:10" x14ac:dyDescent="0.35">
      <c r="A47" s="7" t="s">
        <v>0</v>
      </c>
      <c r="B47" s="7" t="s">
        <v>213</v>
      </c>
    </row>
    <row r="48" spans="1:10" x14ac:dyDescent="0.35">
      <c r="A48" s="9" t="s">
        <v>2</v>
      </c>
      <c r="B48" s="8" t="s">
        <v>72</v>
      </c>
    </row>
    <row r="49" spans="1:14" x14ac:dyDescent="0.35">
      <c r="A49" s="9" t="s">
        <v>4</v>
      </c>
      <c r="B49" s="8" t="s">
        <v>34</v>
      </c>
    </row>
    <row r="50" spans="1:14" x14ac:dyDescent="0.35">
      <c r="A50" s="9" t="s">
        <v>6</v>
      </c>
      <c r="B50" s="8">
        <v>1</v>
      </c>
    </row>
    <row r="51" spans="1:14" x14ac:dyDescent="0.35">
      <c r="A51" s="9" t="s">
        <v>7</v>
      </c>
      <c r="B51" s="8" t="s">
        <v>8</v>
      </c>
    </row>
    <row r="52" spans="1:14" x14ac:dyDescent="0.35">
      <c r="A52" s="9" t="s">
        <v>9</v>
      </c>
      <c r="B52" s="15" t="s">
        <v>230</v>
      </c>
    </row>
    <row r="53" spans="1:14" x14ac:dyDescent="0.35">
      <c r="A53" s="9" t="s">
        <v>10</v>
      </c>
    </row>
    <row r="54" spans="1:14" x14ac:dyDescent="0.35">
      <c r="A54" s="7" t="s">
        <v>11</v>
      </c>
      <c r="B54" s="7" t="s">
        <v>2</v>
      </c>
      <c r="C54" s="7" t="s">
        <v>4</v>
      </c>
      <c r="D54" s="7" t="s">
        <v>6</v>
      </c>
      <c r="E54" s="7" t="s">
        <v>7</v>
      </c>
      <c r="F54" s="7" t="s">
        <v>12</v>
      </c>
      <c r="G54" s="7" t="s">
        <v>13</v>
      </c>
      <c r="H54" s="7" t="s">
        <v>14</v>
      </c>
      <c r="I54" s="7" t="s">
        <v>15</v>
      </c>
      <c r="J54" s="7" t="s">
        <v>16</v>
      </c>
      <c r="K54" s="7" t="s">
        <v>17</v>
      </c>
      <c r="L54" s="7" t="s">
        <v>18</v>
      </c>
      <c r="M54" s="7" t="s">
        <v>19</v>
      </c>
      <c r="N54" s="7" t="s">
        <v>20</v>
      </c>
    </row>
    <row r="55" spans="1:14" x14ac:dyDescent="0.35">
      <c r="A55" s="8" t="s">
        <v>213</v>
      </c>
      <c r="B55" s="8" t="s">
        <v>72</v>
      </c>
      <c r="C55" s="8" t="s">
        <v>34</v>
      </c>
      <c r="D55" s="8">
        <v>1</v>
      </c>
      <c r="E55" s="8" t="s">
        <v>8</v>
      </c>
      <c r="F55" s="10" t="s">
        <v>62</v>
      </c>
      <c r="G55" s="8" t="s">
        <v>21</v>
      </c>
    </row>
    <row r="56" spans="1:14" x14ac:dyDescent="0.35">
      <c r="A56" s="8" t="s">
        <v>211</v>
      </c>
      <c r="B56" s="8" t="s">
        <v>72</v>
      </c>
      <c r="C56" s="8" t="s">
        <v>34</v>
      </c>
      <c r="D56" s="8">
        <v>1</v>
      </c>
      <c r="E56" s="8" t="s">
        <v>8</v>
      </c>
      <c r="F56" s="10" t="s">
        <v>62</v>
      </c>
      <c r="G56" s="8" t="s">
        <v>26</v>
      </c>
    </row>
    <row r="57" spans="1:14" x14ac:dyDescent="0.35">
      <c r="A57" s="8" t="s">
        <v>169</v>
      </c>
      <c r="B57" s="8" t="s">
        <v>3</v>
      </c>
      <c r="C57" s="8" t="s">
        <v>34</v>
      </c>
      <c r="D57" s="15">
        <v>0.71320088512623614</v>
      </c>
      <c r="E57" s="8" t="s">
        <v>8</v>
      </c>
      <c r="F57" s="10" t="s">
        <v>62</v>
      </c>
      <c r="G57" s="8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0F66-450F-4863-8E1E-19E7172063A7}">
  <sheetPr>
    <tabColor theme="8" tint="0.39997558519241921"/>
  </sheetPr>
  <dimension ref="A1:N156"/>
  <sheetViews>
    <sheetView workbookViewId="0">
      <selection activeCell="C113" sqref="C113"/>
    </sheetView>
  </sheetViews>
  <sheetFormatPr baseColWidth="10" defaultColWidth="8.54296875" defaultRowHeight="14.5" x14ac:dyDescent="0.35"/>
  <cols>
    <col min="1" max="1" width="94.81640625" style="8" bestFit="1" customWidth="1"/>
    <col min="2" max="2" width="87.7265625" style="8" bestFit="1" customWidth="1"/>
    <col min="3" max="3" width="25.81640625" style="8" bestFit="1" customWidth="1"/>
    <col min="4" max="4" width="12.7265625" style="8" bestFit="1" customWidth="1"/>
    <col min="5" max="5" width="17.54296875" style="8" bestFit="1" customWidth="1"/>
    <col min="6" max="6" width="19.7265625" style="8" bestFit="1" customWidth="1"/>
    <col min="7" max="7" width="13.26953125" style="8" bestFit="1" customWidth="1"/>
    <col min="8" max="8" width="25.2695312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8.54296875" style="8"/>
  </cols>
  <sheetData>
    <row r="1" spans="1:14" x14ac:dyDescent="0.35">
      <c r="A1" s="7" t="s">
        <v>0</v>
      </c>
      <c r="B1" s="7" t="s">
        <v>231</v>
      </c>
    </row>
    <row r="2" spans="1:14" x14ac:dyDescent="0.35">
      <c r="A2" s="9" t="s">
        <v>2</v>
      </c>
      <c r="B2" s="8" t="s">
        <v>232</v>
      </c>
    </row>
    <row r="3" spans="1:14" x14ac:dyDescent="0.35">
      <c r="A3" s="9" t="s">
        <v>4</v>
      </c>
      <c r="B3" s="8" t="s">
        <v>233</v>
      </c>
    </row>
    <row r="4" spans="1:14" x14ac:dyDescent="0.35">
      <c r="A4" s="9" t="s">
        <v>6</v>
      </c>
      <c r="B4" s="8">
        <v>1</v>
      </c>
    </row>
    <row r="5" spans="1:14" x14ac:dyDescent="0.35">
      <c r="A5" s="9" t="s">
        <v>7</v>
      </c>
      <c r="B5" s="8" t="s">
        <v>8</v>
      </c>
    </row>
    <row r="6" spans="1:14" x14ac:dyDescent="0.35">
      <c r="A6" s="9" t="s">
        <v>9</v>
      </c>
      <c r="B6" s="17" t="s">
        <v>109</v>
      </c>
    </row>
    <row r="7" spans="1:14" x14ac:dyDescent="0.35">
      <c r="A7" s="9" t="s">
        <v>10</v>
      </c>
    </row>
    <row r="8" spans="1:14" x14ac:dyDescent="0.35">
      <c r="A8" s="7" t="s">
        <v>11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</row>
    <row r="9" spans="1:14" x14ac:dyDescent="0.35">
      <c r="A9" s="8" t="str">
        <f>B1</f>
        <v>[M+C] Copper (Cu) ore mining and concentration (Sweden)</v>
      </c>
      <c r="B9" s="8" t="str">
        <f>B2</f>
        <v>Cu concentrate</v>
      </c>
      <c r="C9" s="8" t="s">
        <v>233</v>
      </c>
      <c r="D9" s="8">
        <v>1</v>
      </c>
      <c r="E9" s="8" t="s">
        <v>8</v>
      </c>
      <c r="F9" s="10" t="str">
        <f>Zn_Market_GLO!B1</f>
        <v>Zinc</v>
      </c>
      <c r="G9" s="8" t="s">
        <v>21</v>
      </c>
    </row>
    <row r="10" spans="1:14" x14ac:dyDescent="0.35">
      <c r="A10" s="8" t="s">
        <v>51</v>
      </c>
      <c r="B10" s="8" t="s">
        <v>52</v>
      </c>
      <c r="C10" s="8" t="s">
        <v>24</v>
      </c>
      <c r="D10" s="8">
        <v>4.0289823311875042</v>
      </c>
      <c r="E10" s="8" t="s">
        <v>53</v>
      </c>
      <c r="F10" s="8" t="s">
        <v>25</v>
      </c>
      <c r="G10" s="8" t="s">
        <v>26</v>
      </c>
      <c r="J10" s="8" t="s">
        <v>27</v>
      </c>
    </row>
    <row r="11" spans="1:14" x14ac:dyDescent="0.35">
      <c r="A11" s="8" t="s">
        <v>234</v>
      </c>
      <c r="B11" s="8" t="s">
        <v>235</v>
      </c>
      <c r="C11" s="8" t="s">
        <v>233</v>
      </c>
      <c r="D11" s="8">
        <v>0.2417770559805896</v>
      </c>
      <c r="E11" s="8" t="s">
        <v>56</v>
      </c>
      <c r="F11" s="8" t="s">
        <v>25</v>
      </c>
      <c r="G11" s="8" t="s">
        <v>26</v>
      </c>
      <c r="J11" s="8" t="s">
        <v>27</v>
      </c>
    </row>
    <row r="12" spans="1:14" x14ac:dyDescent="0.35">
      <c r="A12" s="8" t="s">
        <v>236</v>
      </c>
      <c r="B12" s="8" t="s">
        <v>237</v>
      </c>
      <c r="C12" s="8" t="s">
        <v>34</v>
      </c>
      <c r="D12" s="8">
        <v>2.5828164439313569E-2</v>
      </c>
      <c r="E12" s="8" t="s">
        <v>53</v>
      </c>
      <c r="F12" s="8" t="s">
        <v>25</v>
      </c>
      <c r="G12" s="8" t="s">
        <v>26</v>
      </c>
      <c r="J12" s="8" t="s">
        <v>27</v>
      </c>
    </row>
    <row r="13" spans="1:14" x14ac:dyDescent="0.35">
      <c r="A13" s="8" t="s">
        <v>22</v>
      </c>
      <c r="B13" s="8" t="s">
        <v>23</v>
      </c>
      <c r="C13" s="8" t="s">
        <v>24</v>
      </c>
      <c r="D13" s="8">
        <v>8.2326295810749892E-2</v>
      </c>
      <c r="E13" s="8" t="s">
        <v>8</v>
      </c>
      <c r="F13" s="8" t="s">
        <v>25</v>
      </c>
      <c r="G13" s="8" t="s">
        <v>26</v>
      </c>
      <c r="J13" s="8" t="s">
        <v>27</v>
      </c>
    </row>
    <row r="14" spans="1:14" x14ac:dyDescent="0.35">
      <c r="A14" s="8" t="s">
        <v>32</v>
      </c>
      <c r="B14" s="8" t="s">
        <v>33</v>
      </c>
      <c r="C14" s="8" t="s">
        <v>238</v>
      </c>
      <c r="D14" s="8">
        <v>2.582490330743992E-2</v>
      </c>
      <c r="E14" s="8" t="s">
        <v>8</v>
      </c>
      <c r="F14" s="8" t="s">
        <v>25</v>
      </c>
      <c r="G14" s="8" t="s">
        <v>26</v>
      </c>
      <c r="J14" s="8" t="s">
        <v>27</v>
      </c>
    </row>
    <row r="15" spans="1:14" x14ac:dyDescent="0.35">
      <c r="A15" s="8" t="s">
        <v>239</v>
      </c>
      <c r="B15" s="8" t="s">
        <v>240</v>
      </c>
      <c r="C15" s="8" t="s">
        <v>24</v>
      </c>
      <c r="D15" s="8">
        <v>4.5916736781001924E-3</v>
      </c>
      <c r="E15" s="8" t="s">
        <v>8</v>
      </c>
      <c r="F15" s="8" t="s">
        <v>25</v>
      </c>
      <c r="G15" s="8" t="s">
        <v>26</v>
      </c>
      <c r="J15" s="8" t="s">
        <v>27</v>
      </c>
    </row>
    <row r="16" spans="1:14" x14ac:dyDescent="0.35">
      <c r="A16" s="8" t="s">
        <v>241</v>
      </c>
      <c r="B16" s="8" t="s">
        <v>242</v>
      </c>
      <c r="C16" s="8" t="s">
        <v>24</v>
      </c>
      <c r="D16" s="8">
        <v>1.9155888625824229E-4</v>
      </c>
      <c r="E16" s="8" t="s">
        <v>8</v>
      </c>
      <c r="F16" s="8" t="s">
        <v>25</v>
      </c>
      <c r="G16" s="8" t="s">
        <v>26</v>
      </c>
      <c r="J16" s="8" t="s">
        <v>27</v>
      </c>
    </row>
    <row r="17" spans="1:10" x14ac:dyDescent="0.35">
      <c r="A17" s="8" t="s">
        <v>234</v>
      </c>
      <c r="B17" s="8" t="s">
        <v>235</v>
      </c>
      <c r="C17" s="8" t="s">
        <v>233</v>
      </c>
      <c r="D17" s="8">
        <v>2.2461111002406691</v>
      </c>
      <c r="E17" s="8" t="s">
        <v>56</v>
      </c>
      <c r="F17" s="8" t="s">
        <v>25</v>
      </c>
      <c r="G17" s="8" t="s">
        <v>26</v>
      </c>
      <c r="J17" s="8" t="s">
        <v>27</v>
      </c>
    </row>
    <row r="18" spans="1:10" x14ac:dyDescent="0.35">
      <c r="A18" s="8" t="s">
        <v>236</v>
      </c>
      <c r="B18" s="8" t="s">
        <v>237</v>
      </c>
      <c r="C18" s="8" t="s">
        <v>34</v>
      </c>
      <c r="D18" s="8">
        <v>2.8657522452892908E-2</v>
      </c>
      <c r="E18" s="8" t="s">
        <v>53</v>
      </c>
      <c r="F18" s="8" t="s">
        <v>25</v>
      </c>
      <c r="G18" s="8" t="s">
        <v>26</v>
      </c>
      <c r="J18" s="8" t="s">
        <v>27</v>
      </c>
    </row>
    <row r="19" spans="1:10" x14ac:dyDescent="0.35">
      <c r="A19" s="8" t="s">
        <v>243</v>
      </c>
      <c r="B19" s="8" t="s">
        <v>244</v>
      </c>
      <c r="C19" s="8" t="s">
        <v>24</v>
      </c>
      <c r="D19" s="8">
        <v>2.282792311555492E-5</v>
      </c>
      <c r="E19" s="8" t="s">
        <v>8</v>
      </c>
      <c r="F19" s="8" t="s">
        <v>25</v>
      </c>
      <c r="G19" s="8" t="s">
        <v>26</v>
      </c>
      <c r="J19" s="8" t="s">
        <v>27</v>
      </c>
    </row>
    <row r="20" spans="1:10" x14ac:dyDescent="0.35">
      <c r="A20" s="8" t="s">
        <v>116</v>
      </c>
      <c r="B20" s="8" t="s">
        <v>117</v>
      </c>
      <c r="C20" s="8" t="s">
        <v>24</v>
      </c>
      <c r="D20" s="8">
        <v>1.8001447942551879E-3</v>
      </c>
      <c r="E20" s="8" t="s">
        <v>8</v>
      </c>
      <c r="F20" s="8" t="s">
        <v>25</v>
      </c>
      <c r="G20" s="8" t="s">
        <v>26</v>
      </c>
      <c r="J20" s="8" t="s">
        <v>27</v>
      </c>
    </row>
    <row r="21" spans="1:10" x14ac:dyDescent="0.35">
      <c r="A21" s="8" t="s">
        <v>35</v>
      </c>
      <c r="B21" s="8" t="s">
        <v>36</v>
      </c>
      <c r="C21" s="8" t="s">
        <v>238</v>
      </c>
      <c r="D21" s="8">
        <v>2.5436828614475492E-6</v>
      </c>
      <c r="E21" s="8" t="s">
        <v>8</v>
      </c>
      <c r="F21" s="8" t="s">
        <v>25</v>
      </c>
      <c r="G21" s="8" t="s">
        <v>26</v>
      </c>
      <c r="J21" s="8" t="s">
        <v>27</v>
      </c>
    </row>
    <row r="22" spans="1:10" x14ac:dyDescent="0.35">
      <c r="A22" s="8" t="s">
        <v>245</v>
      </c>
      <c r="B22" s="8" t="s">
        <v>85</v>
      </c>
      <c r="C22" s="8" t="s">
        <v>238</v>
      </c>
      <c r="D22" s="8">
        <v>0.40999999999999959</v>
      </c>
      <c r="E22" s="8" t="s">
        <v>83</v>
      </c>
      <c r="F22" s="8" t="s">
        <v>25</v>
      </c>
      <c r="G22" s="8" t="s">
        <v>26</v>
      </c>
      <c r="J22" s="8" t="s">
        <v>27</v>
      </c>
    </row>
    <row r="23" spans="1:10" x14ac:dyDescent="0.35">
      <c r="A23" s="8" t="s">
        <v>246</v>
      </c>
      <c r="B23" s="8" t="s">
        <v>247</v>
      </c>
      <c r="C23" s="8" t="s">
        <v>24</v>
      </c>
      <c r="D23" s="8">
        <v>-89.257179381819711</v>
      </c>
      <c r="E23" s="8" t="s">
        <v>8</v>
      </c>
      <c r="F23" s="8" t="s">
        <v>25</v>
      </c>
      <c r="G23" s="8" t="s">
        <v>26</v>
      </c>
      <c r="J23" s="8" t="s">
        <v>27</v>
      </c>
    </row>
    <row r="24" spans="1:10" x14ac:dyDescent="0.35">
      <c r="A24" s="8" t="s">
        <v>248</v>
      </c>
      <c r="B24" s="8" t="s">
        <v>126</v>
      </c>
      <c r="C24" s="8" t="s">
        <v>34</v>
      </c>
      <c r="D24" s="8">
        <v>-1.7355743831569039E-3</v>
      </c>
      <c r="E24" s="8" t="s">
        <v>8</v>
      </c>
      <c r="F24" s="8" t="s">
        <v>25</v>
      </c>
      <c r="G24" s="8" t="s">
        <v>26</v>
      </c>
      <c r="J24" s="8" t="s">
        <v>27</v>
      </c>
    </row>
    <row r="25" spans="1:10" x14ac:dyDescent="0.35">
      <c r="A25" s="8" t="s">
        <v>249</v>
      </c>
      <c r="B25" s="8" t="s">
        <v>250</v>
      </c>
      <c r="C25" s="8" t="s">
        <v>238</v>
      </c>
      <c r="D25" s="8">
        <v>-1.754488948024079E-3</v>
      </c>
      <c r="E25" s="8" t="s">
        <v>8</v>
      </c>
      <c r="F25" s="8" t="s">
        <v>25</v>
      </c>
      <c r="G25" s="8" t="s">
        <v>26</v>
      </c>
      <c r="J25" s="8" t="s">
        <v>27</v>
      </c>
    </row>
    <row r="26" spans="1:10" x14ac:dyDescent="0.35">
      <c r="A26" s="8" t="s">
        <v>251</v>
      </c>
      <c r="B26" s="8" t="s">
        <v>252</v>
      </c>
      <c r="C26" s="8" t="s">
        <v>34</v>
      </c>
      <c r="D26" s="8">
        <v>-6.3298569667560143E-5</v>
      </c>
      <c r="E26" s="8" t="s">
        <v>59</v>
      </c>
      <c r="F26" s="8" t="s">
        <v>25</v>
      </c>
      <c r="G26" s="8" t="s">
        <v>26</v>
      </c>
      <c r="J26" s="8" t="s">
        <v>27</v>
      </c>
    </row>
    <row r="27" spans="1:10" x14ac:dyDescent="0.35">
      <c r="A27" s="8" t="s">
        <v>253</v>
      </c>
      <c r="B27" s="8" t="s">
        <v>254</v>
      </c>
      <c r="C27" s="8" t="s">
        <v>238</v>
      </c>
      <c r="D27" s="8">
        <v>-1.4022867056698031E-4</v>
      </c>
      <c r="E27" s="8" t="s">
        <v>8</v>
      </c>
      <c r="F27" s="8" t="s">
        <v>25</v>
      </c>
      <c r="G27" s="8" t="s">
        <v>26</v>
      </c>
      <c r="J27" s="8" t="s">
        <v>27</v>
      </c>
    </row>
    <row r="28" spans="1:10" x14ac:dyDescent="0.35">
      <c r="A28" s="8" t="s">
        <v>253</v>
      </c>
      <c r="B28" s="8" t="s">
        <v>254</v>
      </c>
      <c r="C28" s="8" t="s">
        <v>238</v>
      </c>
      <c r="D28" s="8">
        <v>-1.0370399358209239E-4</v>
      </c>
      <c r="E28" s="8" t="s">
        <v>8</v>
      </c>
      <c r="F28" s="8" t="s">
        <v>25</v>
      </c>
      <c r="G28" s="8" t="s">
        <v>26</v>
      </c>
      <c r="J28" s="8" t="s">
        <v>27</v>
      </c>
    </row>
    <row r="29" spans="1:10" x14ac:dyDescent="0.35">
      <c r="A29" s="8" t="s">
        <v>253</v>
      </c>
      <c r="B29" s="8" t="s">
        <v>254</v>
      </c>
      <c r="C29" s="8" t="s">
        <v>238</v>
      </c>
      <c r="D29" s="8">
        <v>-1.177268606387904E-4</v>
      </c>
      <c r="E29" s="8" t="s">
        <v>8</v>
      </c>
      <c r="F29" s="8" t="s">
        <v>25</v>
      </c>
      <c r="G29" s="8" t="s">
        <v>26</v>
      </c>
      <c r="J29" s="8" t="s">
        <v>27</v>
      </c>
    </row>
    <row r="30" spans="1:10" x14ac:dyDescent="0.35">
      <c r="A30" s="8" t="s">
        <v>253</v>
      </c>
      <c r="B30" s="8" t="s">
        <v>254</v>
      </c>
      <c r="C30" s="8" t="s">
        <v>238</v>
      </c>
      <c r="D30" s="8">
        <v>-7.1744901220315452E-5</v>
      </c>
      <c r="E30" s="8" t="s">
        <v>8</v>
      </c>
      <c r="F30" s="8" t="s">
        <v>25</v>
      </c>
      <c r="G30" s="8" t="s">
        <v>26</v>
      </c>
      <c r="J30" s="8" t="s">
        <v>27</v>
      </c>
    </row>
    <row r="31" spans="1:10" x14ac:dyDescent="0.35">
      <c r="A31" s="8" t="s">
        <v>253</v>
      </c>
      <c r="B31" s="8" t="s">
        <v>254</v>
      </c>
      <c r="C31" s="8" t="s">
        <v>238</v>
      </c>
      <c r="D31" s="8">
        <v>-3.913358248380844E-5</v>
      </c>
      <c r="E31" s="8" t="s">
        <v>8</v>
      </c>
      <c r="F31" s="8" t="s">
        <v>25</v>
      </c>
      <c r="G31" s="8" t="s">
        <v>26</v>
      </c>
      <c r="J31" s="8" t="s">
        <v>27</v>
      </c>
    </row>
    <row r="32" spans="1:10" x14ac:dyDescent="0.35">
      <c r="A32" s="8" t="s">
        <v>253</v>
      </c>
      <c r="B32" s="8" t="s">
        <v>254</v>
      </c>
      <c r="C32" s="8" t="s">
        <v>238</v>
      </c>
      <c r="D32" s="8">
        <v>-1.819711585497093E-5</v>
      </c>
      <c r="E32" s="8" t="s">
        <v>8</v>
      </c>
      <c r="F32" s="8" t="s">
        <v>25</v>
      </c>
      <c r="G32" s="8" t="s">
        <v>26</v>
      </c>
      <c r="J32" s="8" t="s">
        <v>27</v>
      </c>
    </row>
    <row r="33" spans="1:10" x14ac:dyDescent="0.35">
      <c r="A33" s="8" t="s">
        <v>180</v>
      </c>
      <c r="D33" s="8">
        <v>8.1528296841267583E-2</v>
      </c>
      <c r="E33" s="8" t="s">
        <v>181</v>
      </c>
      <c r="F33" s="8" t="s">
        <v>63</v>
      </c>
      <c r="G33" s="8" t="s">
        <v>64</v>
      </c>
      <c r="H33" s="8" t="s">
        <v>69</v>
      </c>
      <c r="J33" s="8" t="s">
        <v>27</v>
      </c>
    </row>
    <row r="34" spans="1:10" x14ac:dyDescent="0.35">
      <c r="A34" s="8" t="s">
        <v>255</v>
      </c>
      <c r="D34" s="8">
        <v>0.21319388733441569</v>
      </c>
      <c r="E34" s="8" t="s">
        <v>8</v>
      </c>
      <c r="F34" s="8" t="s">
        <v>63</v>
      </c>
      <c r="G34" s="8" t="s">
        <v>64</v>
      </c>
      <c r="H34" s="8" t="s">
        <v>65</v>
      </c>
      <c r="J34" s="8" t="s">
        <v>27</v>
      </c>
    </row>
    <row r="35" spans="1:10" x14ac:dyDescent="0.35">
      <c r="A35" s="8" t="s">
        <v>256</v>
      </c>
      <c r="D35" s="8">
        <v>1.9566791241904229E-3</v>
      </c>
      <c r="E35" s="8" t="s">
        <v>59</v>
      </c>
      <c r="F35" s="8" t="s">
        <v>63</v>
      </c>
      <c r="G35" s="8" t="s">
        <v>64</v>
      </c>
      <c r="H35" s="8" t="s">
        <v>257</v>
      </c>
      <c r="J35" s="8" t="s">
        <v>27</v>
      </c>
    </row>
    <row r="36" spans="1:10" x14ac:dyDescent="0.35">
      <c r="A36" s="8" t="s">
        <v>258</v>
      </c>
      <c r="D36" s="8">
        <v>3.2611318736507132E-4</v>
      </c>
      <c r="E36" s="8" t="s">
        <v>59</v>
      </c>
      <c r="F36" s="8" t="s">
        <v>63</v>
      </c>
      <c r="G36" s="8" t="s">
        <v>64</v>
      </c>
      <c r="H36" s="8" t="s">
        <v>257</v>
      </c>
      <c r="J36" s="8" t="s">
        <v>27</v>
      </c>
    </row>
    <row r="37" spans="1:10" x14ac:dyDescent="0.35">
      <c r="A37" s="8" t="s">
        <v>127</v>
      </c>
      <c r="D37" s="8">
        <v>1.1692462219787231E-4</v>
      </c>
      <c r="E37" s="8" t="s">
        <v>8</v>
      </c>
      <c r="F37" s="8" t="s">
        <v>63</v>
      </c>
      <c r="G37" s="8" t="s">
        <v>64</v>
      </c>
      <c r="H37" s="8" t="s">
        <v>87</v>
      </c>
      <c r="J37" s="8" t="s">
        <v>27</v>
      </c>
    </row>
    <row r="38" spans="1:10" x14ac:dyDescent="0.35">
      <c r="A38" s="8" t="s">
        <v>208</v>
      </c>
      <c r="D38" s="8">
        <v>1.2392301119872669E-3</v>
      </c>
      <c r="E38" s="8" t="s">
        <v>8</v>
      </c>
      <c r="F38" s="8" t="s">
        <v>63</v>
      </c>
      <c r="G38" s="8" t="s">
        <v>64</v>
      </c>
      <c r="H38" s="8" t="s">
        <v>87</v>
      </c>
      <c r="J38" s="8" t="s">
        <v>27</v>
      </c>
    </row>
    <row r="39" spans="1:10" x14ac:dyDescent="0.35">
      <c r="A39" s="8" t="s">
        <v>98</v>
      </c>
      <c r="D39" s="8">
        <v>2.8404458619497609E-7</v>
      </c>
      <c r="E39" s="8" t="s">
        <v>8</v>
      </c>
      <c r="F39" s="8" t="s">
        <v>63</v>
      </c>
      <c r="G39" s="8" t="s">
        <v>64</v>
      </c>
      <c r="H39" s="8" t="s">
        <v>93</v>
      </c>
      <c r="J39" s="8" t="s">
        <v>27</v>
      </c>
    </row>
    <row r="40" spans="1:10" x14ac:dyDescent="0.35">
      <c r="A40" s="8" t="s">
        <v>259</v>
      </c>
      <c r="D40" s="8">
        <v>7.5593036831223307E-6</v>
      </c>
      <c r="E40" s="8" t="s">
        <v>8</v>
      </c>
      <c r="F40" s="8" t="s">
        <v>63</v>
      </c>
      <c r="G40" s="8" t="s">
        <v>64</v>
      </c>
      <c r="H40" s="8" t="s">
        <v>93</v>
      </c>
      <c r="J40" s="8" t="s">
        <v>27</v>
      </c>
    </row>
    <row r="41" spans="1:10" x14ac:dyDescent="0.35">
      <c r="A41" s="8" t="s">
        <v>102</v>
      </c>
      <c r="D41" s="8">
        <v>2.5436828614475491E-9</v>
      </c>
      <c r="E41" s="8" t="s">
        <v>8</v>
      </c>
      <c r="F41" s="8" t="s">
        <v>63</v>
      </c>
      <c r="G41" s="8" t="s">
        <v>64</v>
      </c>
      <c r="H41" s="8" t="s">
        <v>93</v>
      </c>
      <c r="J41" s="8" t="s">
        <v>27</v>
      </c>
    </row>
    <row r="42" spans="1:10" x14ac:dyDescent="0.35">
      <c r="A42" s="8" t="s">
        <v>89</v>
      </c>
      <c r="D42" s="8">
        <v>9.7833956209521104E-9</v>
      </c>
      <c r="E42" s="8" t="s">
        <v>8</v>
      </c>
      <c r="F42" s="8" t="s">
        <v>63</v>
      </c>
      <c r="G42" s="8" t="s">
        <v>64</v>
      </c>
      <c r="H42" s="8" t="s">
        <v>93</v>
      </c>
      <c r="J42" s="8" t="s">
        <v>27</v>
      </c>
    </row>
    <row r="43" spans="1:10" x14ac:dyDescent="0.35">
      <c r="A43" s="8" t="s">
        <v>104</v>
      </c>
      <c r="D43" s="8">
        <v>3.2611318736507039E-9</v>
      </c>
      <c r="E43" s="8" t="s">
        <v>8</v>
      </c>
      <c r="F43" s="8" t="s">
        <v>63</v>
      </c>
      <c r="G43" s="8" t="s">
        <v>64</v>
      </c>
      <c r="H43" s="8" t="s">
        <v>93</v>
      </c>
      <c r="J43" s="8" t="s">
        <v>27</v>
      </c>
    </row>
    <row r="44" spans="1:10" x14ac:dyDescent="0.35">
      <c r="A44" s="8" t="s">
        <v>98</v>
      </c>
      <c r="D44" s="8">
        <v>2.4621545646062808E-7</v>
      </c>
      <c r="E44" s="8" t="s">
        <v>8</v>
      </c>
      <c r="F44" s="8" t="s">
        <v>63</v>
      </c>
      <c r="G44" s="8" t="s">
        <v>64</v>
      </c>
      <c r="H44" s="8" t="s">
        <v>93</v>
      </c>
      <c r="J44" s="8" t="s">
        <v>27</v>
      </c>
    </row>
    <row r="45" spans="1:10" x14ac:dyDescent="0.35">
      <c r="A45" s="8" t="s">
        <v>101</v>
      </c>
      <c r="D45" s="8">
        <v>8.5767768277013486E-9</v>
      </c>
      <c r="E45" s="8" t="s">
        <v>8</v>
      </c>
      <c r="F45" s="8" t="s">
        <v>63</v>
      </c>
      <c r="G45" s="8" t="s">
        <v>64</v>
      </c>
      <c r="H45" s="8" t="s">
        <v>93</v>
      </c>
      <c r="J45" s="8" t="s">
        <v>27</v>
      </c>
    </row>
    <row r="46" spans="1:10" x14ac:dyDescent="0.35">
      <c r="A46" s="8" t="s">
        <v>90</v>
      </c>
      <c r="D46" s="8">
        <v>1.9566791241904219E-10</v>
      </c>
      <c r="E46" s="8" t="s">
        <v>8</v>
      </c>
      <c r="F46" s="8" t="s">
        <v>63</v>
      </c>
      <c r="G46" s="8" t="s">
        <v>64</v>
      </c>
      <c r="H46" s="8" t="s">
        <v>93</v>
      </c>
      <c r="J46" s="8" t="s">
        <v>27</v>
      </c>
    </row>
    <row r="47" spans="1:10" x14ac:dyDescent="0.35">
      <c r="A47" s="8" t="s">
        <v>103</v>
      </c>
      <c r="D47" s="8">
        <v>1.2066187932507601E-7</v>
      </c>
      <c r="E47" s="8" t="s">
        <v>8</v>
      </c>
      <c r="F47" s="8" t="s">
        <v>63</v>
      </c>
      <c r="G47" s="8" t="s">
        <v>64</v>
      </c>
      <c r="H47" s="8" t="s">
        <v>93</v>
      </c>
      <c r="J47" s="8" t="s">
        <v>27</v>
      </c>
    </row>
    <row r="48" spans="1:10" x14ac:dyDescent="0.35">
      <c r="A48" s="8" t="s">
        <v>97</v>
      </c>
      <c r="D48" s="8">
        <v>2.5110715427110409E-7</v>
      </c>
      <c r="E48" s="8" t="s">
        <v>8</v>
      </c>
      <c r="F48" s="8" t="s">
        <v>63</v>
      </c>
      <c r="G48" s="8" t="s">
        <v>64</v>
      </c>
      <c r="H48" s="8" t="s">
        <v>93</v>
      </c>
      <c r="J48" s="8" t="s">
        <v>27</v>
      </c>
    </row>
    <row r="49" spans="1:14" x14ac:dyDescent="0.35">
      <c r="A49" s="8" t="s">
        <v>202</v>
      </c>
      <c r="D49" s="8">
        <v>3.3263545111237179E-7</v>
      </c>
      <c r="E49" s="8" t="s">
        <v>8</v>
      </c>
      <c r="F49" s="8" t="s">
        <v>63</v>
      </c>
      <c r="G49" s="8" t="s">
        <v>64</v>
      </c>
      <c r="H49" s="8" t="s">
        <v>93</v>
      </c>
      <c r="J49" s="8" t="s">
        <v>27</v>
      </c>
    </row>
    <row r="50" spans="1:14" x14ac:dyDescent="0.35">
      <c r="A50" s="8" t="s">
        <v>95</v>
      </c>
      <c r="D50" s="8">
        <v>1.6461867585001389E-4</v>
      </c>
      <c r="E50" s="8" t="s">
        <v>8</v>
      </c>
      <c r="F50" s="8" t="s">
        <v>63</v>
      </c>
      <c r="G50" s="8" t="s">
        <v>64</v>
      </c>
      <c r="H50" s="8" t="s">
        <v>93</v>
      </c>
      <c r="J50" s="8" t="s">
        <v>27</v>
      </c>
    </row>
    <row r="51" spans="1:14" s="11" customFormat="1" x14ac:dyDescent="0.35"/>
    <row r="52" spans="1:14" x14ac:dyDescent="0.35">
      <c r="A52" s="7" t="s">
        <v>0</v>
      </c>
      <c r="B52" s="7" t="s">
        <v>260</v>
      </c>
    </row>
    <row r="53" spans="1:14" x14ac:dyDescent="0.35">
      <c r="A53" s="9" t="s">
        <v>2</v>
      </c>
      <c r="B53" s="8" t="s">
        <v>261</v>
      </c>
    </row>
    <row r="54" spans="1:14" x14ac:dyDescent="0.35">
      <c r="A54" s="9" t="s">
        <v>4</v>
      </c>
      <c r="B54" s="8" t="s">
        <v>233</v>
      </c>
    </row>
    <row r="55" spans="1:14" x14ac:dyDescent="0.35">
      <c r="A55" s="9" t="s">
        <v>6</v>
      </c>
      <c r="B55" s="8">
        <v>1</v>
      </c>
    </row>
    <row r="56" spans="1:14" x14ac:dyDescent="0.35">
      <c r="A56" s="9" t="s">
        <v>7</v>
      </c>
      <c r="B56" s="8" t="s">
        <v>8</v>
      </c>
    </row>
    <row r="57" spans="1:14" ht="72.5" x14ac:dyDescent="0.35">
      <c r="A57" s="9" t="s">
        <v>9</v>
      </c>
      <c r="B57" s="13" t="s">
        <v>331</v>
      </c>
    </row>
    <row r="58" spans="1:14" x14ac:dyDescent="0.35">
      <c r="A58" s="9" t="s">
        <v>10</v>
      </c>
    </row>
    <row r="59" spans="1:14" x14ac:dyDescent="0.35">
      <c r="A59" s="7" t="s">
        <v>11</v>
      </c>
      <c r="B59" s="7" t="s">
        <v>2</v>
      </c>
      <c r="C59" s="7" t="s">
        <v>4</v>
      </c>
      <c r="D59" s="7" t="s">
        <v>6</v>
      </c>
      <c r="E59" s="7" t="s">
        <v>7</v>
      </c>
      <c r="F59" s="7" t="s">
        <v>12</v>
      </c>
      <c r="G59" s="7" t="s">
        <v>13</v>
      </c>
      <c r="H59" s="7" t="s">
        <v>14</v>
      </c>
      <c r="I59" s="7" t="s">
        <v>15</v>
      </c>
      <c r="J59" s="7" t="s">
        <v>16</v>
      </c>
      <c r="K59" s="7" t="s">
        <v>17</v>
      </c>
      <c r="L59" s="7" t="s">
        <v>18</v>
      </c>
      <c r="M59" s="7" t="s">
        <v>19</v>
      </c>
      <c r="N59" s="7" t="s">
        <v>20</v>
      </c>
    </row>
    <row r="60" spans="1:14" x14ac:dyDescent="0.35">
      <c r="A60" s="8" t="str">
        <f>B52</f>
        <v>[P+R] Zn dioxide (ZnO2) production - Pyrometallurgy (Sweden)</v>
      </c>
      <c r="B60" s="8" t="str">
        <f>B53</f>
        <v>ZnO2</v>
      </c>
      <c r="C60" s="8" t="s">
        <v>233</v>
      </c>
      <c r="D60" s="8">
        <v>1</v>
      </c>
      <c r="E60" s="8" t="s">
        <v>8</v>
      </c>
      <c r="F60" s="10" t="str">
        <f>F9</f>
        <v>Zinc</v>
      </c>
      <c r="G60" s="8" t="s">
        <v>21</v>
      </c>
    </row>
    <row r="61" spans="1:14" x14ac:dyDescent="0.35">
      <c r="A61" s="8" t="s">
        <v>51</v>
      </c>
      <c r="B61" s="8" t="s">
        <v>52</v>
      </c>
      <c r="C61" s="8" t="s">
        <v>24</v>
      </c>
      <c r="D61" s="15">
        <v>5.746966423805492E-2</v>
      </c>
      <c r="E61" s="8" t="s">
        <v>53</v>
      </c>
      <c r="F61" s="8" t="s">
        <v>25</v>
      </c>
      <c r="G61" s="8" t="s">
        <v>26</v>
      </c>
      <c r="J61" s="8" t="s">
        <v>27</v>
      </c>
    </row>
    <row r="62" spans="1:14" x14ac:dyDescent="0.35">
      <c r="A62" s="8" t="s">
        <v>35</v>
      </c>
      <c r="B62" s="8" t="s">
        <v>36</v>
      </c>
      <c r="C62" s="8" t="s">
        <v>238</v>
      </c>
      <c r="D62" s="15">
        <v>3.820496006988907E-5</v>
      </c>
      <c r="E62" s="8" t="s">
        <v>8</v>
      </c>
      <c r="F62" s="8" t="s">
        <v>25</v>
      </c>
      <c r="G62" s="8" t="s">
        <v>26</v>
      </c>
      <c r="J62" s="8" t="s">
        <v>27</v>
      </c>
    </row>
    <row r="63" spans="1:14" x14ac:dyDescent="0.35">
      <c r="A63" s="8" t="s">
        <v>262</v>
      </c>
      <c r="B63" s="8" t="s">
        <v>263</v>
      </c>
      <c r="C63" s="8" t="s">
        <v>238</v>
      </c>
      <c r="D63" s="15">
        <v>1.8909990360916659E-2</v>
      </c>
      <c r="E63" s="8" t="s">
        <v>8</v>
      </c>
      <c r="F63" s="8" t="s">
        <v>25</v>
      </c>
      <c r="G63" s="8" t="s">
        <v>26</v>
      </c>
      <c r="J63" s="8" t="s">
        <v>27</v>
      </c>
    </row>
    <row r="64" spans="1:14" x14ac:dyDescent="0.35">
      <c r="A64" s="8" t="s">
        <v>264</v>
      </c>
      <c r="B64" s="8" t="s">
        <v>265</v>
      </c>
      <c r="C64" s="8" t="s">
        <v>238</v>
      </c>
      <c r="D64" s="15">
        <v>8.4000651264873598E-4</v>
      </c>
      <c r="E64" s="8" t="s">
        <v>8</v>
      </c>
      <c r="F64" s="8" t="s">
        <v>25</v>
      </c>
      <c r="G64" s="8" t="s">
        <v>26</v>
      </c>
      <c r="J64" s="8" t="s">
        <v>27</v>
      </c>
    </row>
    <row r="65" spans="1:10" x14ac:dyDescent="0.35">
      <c r="A65" s="8" t="s">
        <v>234</v>
      </c>
      <c r="B65" s="8" t="s">
        <v>235</v>
      </c>
      <c r="C65" s="8" t="s">
        <v>233</v>
      </c>
      <c r="D65" s="15">
        <v>1.1313416401471161</v>
      </c>
      <c r="E65" s="8" t="s">
        <v>56</v>
      </c>
      <c r="F65" s="8" t="s">
        <v>25</v>
      </c>
      <c r="G65" s="8" t="s">
        <v>26</v>
      </c>
      <c r="J65" s="8" t="s">
        <v>27</v>
      </c>
    </row>
    <row r="66" spans="1:10" x14ac:dyDescent="0.35">
      <c r="A66" s="8" t="s">
        <v>151</v>
      </c>
      <c r="B66" s="8" t="s">
        <v>152</v>
      </c>
      <c r="C66" s="8" t="s">
        <v>238</v>
      </c>
      <c r="D66" s="15">
        <v>4.6714862184677832</v>
      </c>
      <c r="E66" s="8" t="s">
        <v>8</v>
      </c>
      <c r="F66" s="8" t="s">
        <v>25</v>
      </c>
      <c r="G66" s="8" t="s">
        <v>26</v>
      </c>
      <c r="J66" s="8" t="s">
        <v>27</v>
      </c>
    </row>
    <row r="67" spans="1:10" x14ac:dyDescent="0.35">
      <c r="A67" s="8" t="s">
        <v>196</v>
      </c>
      <c r="B67" s="8" t="s">
        <v>197</v>
      </c>
      <c r="C67" s="8" t="s">
        <v>24</v>
      </c>
      <c r="D67" s="15">
        <v>0.25863538022419369</v>
      </c>
      <c r="E67" s="8" t="s">
        <v>8</v>
      </c>
      <c r="F67" s="8" t="s">
        <v>25</v>
      </c>
      <c r="G67" s="8" t="s">
        <v>26</v>
      </c>
      <c r="J67" s="8" t="s">
        <v>27</v>
      </c>
    </row>
    <row r="68" spans="1:10" x14ac:dyDescent="0.35">
      <c r="A68" s="8" t="s">
        <v>266</v>
      </c>
      <c r="B68" s="8" t="s">
        <v>267</v>
      </c>
      <c r="C68" s="8" t="s">
        <v>268</v>
      </c>
      <c r="D68" s="15">
        <v>8.4970645988755554E-3</v>
      </c>
      <c r="E68" s="8" t="s">
        <v>8</v>
      </c>
      <c r="F68" s="8" t="s">
        <v>25</v>
      </c>
      <c r="G68" s="8" t="s">
        <v>26</v>
      </c>
      <c r="J68" s="8" t="s">
        <v>27</v>
      </c>
    </row>
    <row r="69" spans="1:10" x14ac:dyDescent="0.35">
      <c r="A69" s="8" t="s">
        <v>173</v>
      </c>
      <c r="B69" s="8" t="s">
        <v>174</v>
      </c>
      <c r="C69" s="8" t="s">
        <v>34</v>
      </c>
      <c r="D69" s="15">
        <v>1.6071860500940317E-2</v>
      </c>
      <c r="E69" s="8" t="s">
        <v>8</v>
      </c>
      <c r="F69" s="8" t="s">
        <v>25</v>
      </c>
      <c r="G69" s="8" t="s">
        <v>26</v>
      </c>
      <c r="J69" s="8" t="s">
        <v>27</v>
      </c>
    </row>
    <row r="70" spans="1:10" x14ac:dyDescent="0.35">
      <c r="A70" s="8" t="s">
        <v>269</v>
      </c>
      <c r="B70" s="8" t="s">
        <v>270</v>
      </c>
      <c r="C70" s="8" t="s">
        <v>268</v>
      </c>
      <c r="D70" s="15">
        <v>7.5058047331251473E-2</v>
      </c>
      <c r="E70" s="8" t="s">
        <v>59</v>
      </c>
      <c r="F70" s="8" t="s">
        <v>25</v>
      </c>
      <c r="G70" s="8" t="s">
        <v>26</v>
      </c>
      <c r="J70" s="8" t="s">
        <v>27</v>
      </c>
    </row>
    <row r="71" spans="1:10" x14ac:dyDescent="0.35">
      <c r="A71" s="8" t="s">
        <v>271</v>
      </c>
      <c r="B71" s="8" t="s">
        <v>272</v>
      </c>
      <c r="C71" s="8" t="s">
        <v>24</v>
      </c>
      <c r="D71" s="15">
        <v>4.4376358376546529E-4</v>
      </c>
      <c r="E71" s="8" t="s">
        <v>8</v>
      </c>
      <c r="F71" s="8" t="s">
        <v>25</v>
      </c>
      <c r="G71" s="8" t="s">
        <v>26</v>
      </c>
      <c r="J71" s="8" t="s">
        <v>27</v>
      </c>
    </row>
    <row r="72" spans="1:10" x14ac:dyDescent="0.35">
      <c r="A72" s="8" t="s">
        <v>273</v>
      </c>
      <c r="B72" s="8" t="s">
        <v>274</v>
      </c>
      <c r="C72" s="8" t="s">
        <v>24</v>
      </c>
      <c r="D72" s="15">
        <v>6.1486963200639456E-7</v>
      </c>
      <c r="E72" s="8" t="s">
        <v>8</v>
      </c>
      <c r="F72" s="8" t="s">
        <v>25</v>
      </c>
      <c r="G72" s="8" t="s">
        <v>26</v>
      </c>
      <c r="J72" s="8" t="s">
        <v>27</v>
      </c>
    </row>
    <row r="73" spans="1:10" x14ac:dyDescent="0.35">
      <c r="A73" s="8" t="s">
        <v>275</v>
      </c>
      <c r="B73" s="8" t="s">
        <v>276</v>
      </c>
      <c r="C73" s="8" t="s">
        <v>24</v>
      </c>
      <c r="D73" s="15">
        <v>9.0736603336632516E-4</v>
      </c>
      <c r="E73" s="8" t="s">
        <v>8</v>
      </c>
      <c r="F73" s="8" t="s">
        <v>25</v>
      </c>
      <c r="G73" s="8" t="s">
        <v>26</v>
      </c>
      <c r="J73" s="8" t="s">
        <v>27</v>
      </c>
    </row>
    <row r="74" spans="1:10" x14ac:dyDescent="0.35">
      <c r="A74" s="8" t="s">
        <v>277</v>
      </c>
      <c r="B74" s="8" t="s">
        <v>278</v>
      </c>
      <c r="C74" s="8" t="s">
        <v>268</v>
      </c>
      <c r="D74" s="15">
        <v>4.5930663604713186E-2</v>
      </c>
      <c r="E74" s="8" t="s">
        <v>8</v>
      </c>
      <c r="F74" s="8" t="s">
        <v>25</v>
      </c>
      <c r="G74" s="8" t="s">
        <v>26</v>
      </c>
      <c r="J74" s="8" t="s">
        <v>27</v>
      </c>
    </row>
    <row r="75" spans="1:10" x14ac:dyDescent="0.35">
      <c r="A75" s="8" t="s">
        <v>277</v>
      </c>
      <c r="B75" s="8" t="s">
        <v>278</v>
      </c>
      <c r="C75" s="8" t="s">
        <v>268</v>
      </c>
      <c r="D75" s="15">
        <v>8.1375630912846312E-5</v>
      </c>
      <c r="E75" s="8" t="s">
        <v>8</v>
      </c>
      <c r="F75" s="8" t="s">
        <v>25</v>
      </c>
      <c r="G75" s="8" t="s">
        <v>26</v>
      </c>
      <c r="J75" s="8" t="s">
        <v>27</v>
      </c>
    </row>
    <row r="76" spans="1:10" x14ac:dyDescent="0.35">
      <c r="A76" s="8" t="s">
        <v>271</v>
      </c>
      <c r="B76" s="8" t="s">
        <v>272</v>
      </c>
      <c r="C76" s="8" t="s">
        <v>24</v>
      </c>
      <c r="D76" s="15">
        <v>2.3534882468135971E-2</v>
      </c>
      <c r="E76" s="8" t="s">
        <v>8</v>
      </c>
      <c r="F76" s="8" t="s">
        <v>25</v>
      </c>
      <c r="G76" s="8" t="s">
        <v>26</v>
      </c>
      <c r="J76" s="8" t="s">
        <v>27</v>
      </c>
    </row>
    <row r="77" spans="1:10" x14ac:dyDescent="0.35">
      <c r="A77" s="8" t="s">
        <v>279</v>
      </c>
      <c r="B77" s="8" t="s">
        <v>280</v>
      </c>
      <c r="C77" s="8" t="s">
        <v>268</v>
      </c>
      <c r="D77" s="15">
        <v>2.8544223132982317E-3</v>
      </c>
      <c r="E77" s="8" t="s">
        <v>8</v>
      </c>
      <c r="F77" s="8" t="s">
        <v>25</v>
      </c>
      <c r="G77" s="8" t="s">
        <v>26</v>
      </c>
      <c r="J77" s="8" t="s">
        <v>27</v>
      </c>
    </row>
    <row r="78" spans="1:10" x14ac:dyDescent="0.35">
      <c r="A78" s="8" t="s">
        <v>279</v>
      </c>
      <c r="B78" s="8" t="s">
        <v>280</v>
      </c>
      <c r="C78" s="8" t="s">
        <v>268</v>
      </c>
      <c r="D78" s="15">
        <v>1.365010583054196E-5</v>
      </c>
      <c r="E78" s="8" t="s">
        <v>8</v>
      </c>
      <c r="F78" s="8" t="s">
        <v>25</v>
      </c>
      <c r="G78" s="8" t="s">
        <v>26</v>
      </c>
      <c r="J78" s="8" t="s">
        <v>27</v>
      </c>
    </row>
    <row r="79" spans="1:10" x14ac:dyDescent="0.35">
      <c r="A79" s="8" t="s">
        <v>149</v>
      </c>
      <c r="B79" s="8" t="s">
        <v>150</v>
      </c>
      <c r="C79" s="8" t="s">
        <v>24</v>
      </c>
      <c r="D79" s="15">
        <v>3.4026226251237203E-5</v>
      </c>
      <c r="E79" s="8" t="s">
        <v>8</v>
      </c>
      <c r="F79" s="8" t="s">
        <v>25</v>
      </c>
      <c r="G79" s="8" t="s">
        <v>26</v>
      </c>
      <c r="J79" s="8" t="s">
        <v>27</v>
      </c>
    </row>
    <row r="80" spans="1:10" x14ac:dyDescent="0.35">
      <c r="A80" s="8" t="s">
        <v>116</v>
      </c>
      <c r="B80" s="8" t="s">
        <v>117</v>
      </c>
      <c r="C80" s="8" t="s">
        <v>24</v>
      </c>
      <c r="D80" s="15">
        <v>3.459851670035829E-6</v>
      </c>
      <c r="E80" s="8" t="s">
        <v>8</v>
      </c>
      <c r="F80" s="8" t="s">
        <v>25</v>
      </c>
      <c r="G80" s="8" t="s">
        <v>26</v>
      </c>
      <c r="J80" s="8" t="s">
        <v>27</v>
      </c>
    </row>
    <row r="81" spans="1:10" x14ac:dyDescent="0.35">
      <c r="A81" s="8" t="s">
        <v>116</v>
      </c>
      <c r="B81" s="8" t="s">
        <v>117</v>
      </c>
      <c r="C81" s="8" t="s">
        <v>24</v>
      </c>
      <c r="D81" s="15">
        <v>3.1500244224327597E-5</v>
      </c>
      <c r="E81" s="8" t="s">
        <v>8</v>
      </c>
      <c r="F81" s="8" t="s">
        <v>25</v>
      </c>
      <c r="G81" s="8" t="s">
        <v>26</v>
      </c>
      <c r="J81" s="8" t="s">
        <v>27</v>
      </c>
    </row>
    <row r="82" spans="1:10" x14ac:dyDescent="0.35">
      <c r="A82" s="8" t="s">
        <v>281</v>
      </c>
      <c r="B82" s="8" t="s">
        <v>282</v>
      </c>
      <c r="C82" s="8" t="s">
        <v>24</v>
      </c>
      <c r="D82" s="15">
        <v>2.8822723465259763E-3</v>
      </c>
      <c r="E82" s="8" t="s">
        <v>8</v>
      </c>
      <c r="F82" s="8" t="s">
        <v>25</v>
      </c>
      <c r="G82" s="8" t="s">
        <v>26</v>
      </c>
      <c r="J82" s="8" t="s">
        <v>27</v>
      </c>
    </row>
    <row r="83" spans="1:10" x14ac:dyDescent="0.35">
      <c r="A83" s="8" t="s">
        <v>283</v>
      </c>
      <c r="B83" s="8" t="s">
        <v>284</v>
      </c>
      <c r="C83" s="8" t="s">
        <v>24</v>
      </c>
      <c r="D83" s="15">
        <v>2.0212656710610205E-4</v>
      </c>
      <c r="E83" s="8" t="s">
        <v>8</v>
      </c>
      <c r="F83" s="8" t="s">
        <v>25</v>
      </c>
      <c r="G83" s="8" t="s">
        <v>26</v>
      </c>
      <c r="J83" s="8" t="s">
        <v>27</v>
      </c>
    </row>
    <row r="84" spans="1:10" x14ac:dyDescent="0.35">
      <c r="A84" s="8" t="s">
        <v>116</v>
      </c>
      <c r="B84" s="8" t="s">
        <v>117</v>
      </c>
      <c r="C84" s="8" t="s">
        <v>24</v>
      </c>
      <c r="D84" s="15">
        <v>1.0500081408109199E-5</v>
      </c>
      <c r="E84" s="8" t="s">
        <v>8</v>
      </c>
      <c r="F84" s="8" t="s">
        <v>25</v>
      </c>
      <c r="G84" s="8" t="s">
        <v>26</v>
      </c>
      <c r="J84" s="8" t="s">
        <v>27</v>
      </c>
    </row>
    <row r="85" spans="1:10" x14ac:dyDescent="0.35">
      <c r="A85" s="8" t="s">
        <v>285</v>
      </c>
      <c r="B85" s="8" t="s">
        <v>286</v>
      </c>
      <c r="C85" s="8" t="s">
        <v>268</v>
      </c>
      <c r="D85" s="15">
        <v>8.3738149229670871E-4</v>
      </c>
      <c r="E85" s="8" t="s">
        <v>8</v>
      </c>
      <c r="F85" s="8" t="s">
        <v>25</v>
      </c>
      <c r="G85" s="8" t="s">
        <v>26</v>
      </c>
      <c r="J85" s="8" t="s">
        <v>27</v>
      </c>
    </row>
    <row r="86" spans="1:10" x14ac:dyDescent="0.35">
      <c r="A86" s="8" t="s">
        <v>287</v>
      </c>
      <c r="B86" s="8" t="s">
        <v>288</v>
      </c>
      <c r="C86" s="8" t="s">
        <v>34</v>
      </c>
      <c r="D86" s="15">
        <v>3.6750284928382197E-5</v>
      </c>
      <c r="E86" s="8" t="s">
        <v>8</v>
      </c>
      <c r="F86" s="8" t="s">
        <v>25</v>
      </c>
      <c r="G86" s="8" t="s">
        <v>26</v>
      </c>
      <c r="J86" s="8" t="s">
        <v>27</v>
      </c>
    </row>
    <row r="87" spans="1:10" x14ac:dyDescent="0.35">
      <c r="A87" s="8" t="s">
        <v>289</v>
      </c>
      <c r="B87" s="8" t="s">
        <v>117</v>
      </c>
      <c r="C87" s="8" t="s">
        <v>24</v>
      </c>
      <c r="D87" s="15">
        <v>2.6775207590678466E-4</v>
      </c>
      <c r="E87" s="8" t="s">
        <v>8</v>
      </c>
      <c r="F87" s="8" t="s">
        <v>25</v>
      </c>
      <c r="G87" s="8" t="s">
        <v>26</v>
      </c>
      <c r="J87" s="8" t="s">
        <v>27</v>
      </c>
    </row>
    <row r="88" spans="1:10" x14ac:dyDescent="0.35">
      <c r="A88" s="8" t="s">
        <v>290</v>
      </c>
      <c r="B88" s="8" t="s">
        <v>291</v>
      </c>
      <c r="C88" s="8" t="s">
        <v>24</v>
      </c>
      <c r="D88" s="15">
        <v>3.4125264576354907E-5</v>
      </c>
      <c r="E88" s="8" t="s">
        <v>8</v>
      </c>
      <c r="F88" s="8" t="s">
        <v>25</v>
      </c>
      <c r="G88" s="8" t="s">
        <v>26</v>
      </c>
      <c r="J88" s="8" t="s">
        <v>27</v>
      </c>
    </row>
    <row r="89" spans="1:10" x14ac:dyDescent="0.35">
      <c r="A89" s="8" t="s">
        <v>290</v>
      </c>
      <c r="B89" s="8" t="s">
        <v>291</v>
      </c>
      <c r="C89" s="8" t="s">
        <v>24</v>
      </c>
      <c r="D89" s="15">
        <v>2.887522387230029E-5</v>
      </c>
      <c r="E89" s="8" t="s">
        <v>8</v>
      </c>
      <c r="F89" s="8" t="s">
        <v>25</v>
      </c>
      <c r="G89" s="8" t="s">
        <v>26</v>
      </c>
      <c r="J89" s="8" t="s">
        <v>27</v>
      </c>
    </row>
    <row r="90" spans="1:10" x14ac:dyDescent="0.35">
      <c r="A90" s="8" t="s">
        <v>292</v>
      </c>
      <c r="B90" s="8" t="s">
        <v>293</v>
      </c>
      <c r="C90" s="8" t="s">
        <v>24</v>
      </c>
      <c r="D90" s="15">
        <v>3.1500244224327597E-5</v>
      </c>
      <c r="E90" s="8" t="s">
        <v>8</v>
      </c>
      <c r="F90" s="8" t="s">
        <v>25</v>
      </c>
      <c r="G90" s="8" t="s">
        <v>26</v>
      </c>
      <c r="J90" s="8" t="s">
        <v>27</v>
      </c>
    </row>
    <row r="91" spans="1:10" x14ac:dyDescent="0.35">
      <c r="A91" s="8" t="s">
        <v>294</v>
      </c>
      <c r="B91" s="8" t="s">
        <v>295</v>
      </c>
      <c r="C91" s="8" t="s">
        <v>268</v>
      </c>
      <c r="D91" s="15">
        <v>1.0500081408109199E-5</v>
      </c>
      <c r="E91" s="8" t="s">
        <v>8</v>
      </c>
      <c r="F91" s="8" t="s">
        <v>25</v>
      </c>
      <c r="G91" s="8" t="s">
        <v>26</v>
      </c>
      <c r="J91" s="8" t="s">
        <v>27</v>
      </c>
    </row>
    <row r="92" spans="1:10" x14ac:dyDescent="0.35">
      <c r="A92" s="8" t="s">
        <v>239</v>
      </c>
      <c r="B92" s="8" t="s">
        <v>240</v>
      </c>
      <c r="C92" s="8" t="s">
        <v>24</v>
      </c>
      <c r="D92" s="15">
        <v>3.7012786963584938E-4</v>
      </c>
      <c r="E92" s="8" t="s">
        <v>8</v>
      </c>
      <c r="F92" s="8" t="s">
        <v>25</v>
      </c>
      <c r="G92" s="8" t="s">
        <v>26</v>
      </c>
      <c r="J92" s="8" t="s">
        <v>27</v>
      </c>
    </row>
    <row r="93" spans="1:10" x14ac:dyDescent="0.35">
      <c r="A93" s="8" t="s">
        <v>296</v>
      </c>
      <c r="B93" s="8" t="s">
        <v>297</v>
      </c>
      <c r="C93" s="8" t="s">
        <v>34</v>
      </c>
      <c r="D93" s="15">
        <v>1.83751424641911E-4</v>
      </c>
      <c r="E93" s="8" t="s">
        <v>8</v>
      </c>
      <c r="F93" s="8" t="s">
        <v>25</v>
      </c>
      <c r="G93" s="8" t="s">
        <v>26</v>
      </c>
      <c r="J93" s="8" t="s">
        <v>27</v>
      </c>
    </row>
    <row r="94" spans="1:10" x14ac:dyDescent="0.35">
      <c r="A94" s="8" t="s">
        <v>298</v>
      </c>
      <c r="B94" s="8" t="s">
        <v>299</v>
      </c>
      <c r="C94" s="8" t="s">
        <v>268</v>
      </c>
      <c r="D94" s="15">
        <v>7.3500569856764394E-5</v>
      </c>
      <c r="E94" s="8" t="s">
        <v>8</v>
      </c>
      <c r="F94" s="8" t="s">
        <v>25</v>
      </c>
      <c r="G94" s="8" t="s">
        <v>26</v>
      </c>
      <c r="J94" s="8" t="s">
        <v>27</v>
      </c>
    </row>
    <row r="95" spans="1:10" x14ac:dyDescent="0.35">
      <c r="A95" s="8" t="s">
        <v>116</v>
      </c>
      <c r="B95" s="8" t="s">
        <v>117</v>
      </c>
      <c r="C95" s="8" t="s">
        <v>24</v>
      </c>
      <c r="D95" s="15">
        <v>4.2000325632436794E-4</v>
      </c>
      <c r="E95" s="8" t="s">
        <v>8</v>
      </c>
      <c r="F95" s="8" t="s">
        <v>25</v>
      </c>
      <c r="G95" s="8" t="s">
        <v>26</v>
      </c>
      <c r="J95" s="8" t="s">
        <v>27</v>
      </c>
    </row>
    <row r="96" spans="1:10" x14ac:dyDescent="0.35">
      <c r="A96" s="8" t="s">
        <v>300</v>
      </c>
      <c r="B96" s="8" t="s">
        <v>301</v>
      </c>
      <c r="C96" s="8" t="s">
        <v>24</v>
      </c>
      <c r="D96" s="15">
        <v>2.8355188542697672E-5</v>
      </c>
      <c r="E96" s="8" t="s">
        <v>8</v>
      </c>
      <c r="F96" s="8" t="s">
        <v>25</v>
      </c>
      <c r="G96" s="8" t="s">
        <v>26</v>
      </c>
      <c r="J96" s="8" t="s">
        <v>27</v>
      </c>
    </row>
    <row r="97" spans="1:10" x14ac:dyDescent="0.35">
      <c r="A97" s="8" t="s">
        <v>302</v>
      </c>
      <c r="B97" s="8" t="s">
        <v>303</v>
      </c>
      <c r="C97" s="8" t="s">
        <v>268</v>
      </c>
      <c r="D97" s="15">
        <v>2.0212656710610204E-5</v>
      </c>
      <c r="E97" s="8" t="s">
        <v>8</v>
      </c>
      <c r="F97" s="8" t="s">
        <v>25</v>
      </c>
      <c r="G97" s="8" t="s">
        <v>26</v>
      </c>
      <c r="J97" s="8" t="s">
        <v>27</v>
      </c>
    </row>
    <row r="98" spans="1:10" x14ac:dyDescent="0.35">
      <c r="A98" s="8" t="s">
        <v>304</v>
      </c>
      <c r="B98" s="8" t="s">
        <v>305</v>
      </c>
      <c r="C98" s="8" t="s">
        <v>24</v>
      </c>
      <c r="D98" s="15">
        <v>2.8355188542697672E-5</v>
      </c>
      <c r="E98" s="8" t="s">
        <v>8</v>
      </c>
      <c r="F98" s="8" t="s">
        <v>25</v>
      </c>
      <c r="G98" s="8" t="s">
        <v>26</v>
      </c>
      <c r="J98" s="8" t="s">
        <v>27</v>
      </c>
    </row>
    <row r="99" spans="1:10" x14ac:dyDescent="0.35">
      <c r="A99" s="8" t="s">
        <v>306</v>
      </c>
      <c r="B99" s="8" t="s">
        <v>307</v>
      </c>
      <c r="C99" s="8" t="s">
        <v>268</v>
      </c>
      <c r="D99" s="15">
        <v>1.4744378491509725E-3</v>
      </c>
      <c r="E99" s="8" t="s">
        <v>8</v>
      </c>
      <c r="F99" s="8" t="s">
        <v>25</v>
      </c>
      <c r="G99" s="8" t="s">
        <v>26</v>
      </c>
      <c r="J99" s="8" t="s">
        <v>27</v>
      </c>
    </row>
    <row r="100" spans="1:10" x14ac:dyDescent="0.35">
      <c r="A100" s="8" t="s">
        <v>132</v>
      </c>
      <c r="B100" s="8" t="s">
        <v>61</v>
      </c>
      <c r="C100" s="8" t="s">
        <v>34</v>
      </c>
      <c r="D100" s="15">
        <v>-1.3098851556616229E-6</v>
      </c>
      <c r="E100" s="8" t="s">
        <v>8</v>
      </c>
      <c r="F100" s="8" t="s">
        <v>25</v>
      </c>
      <c r="G100" s="8" t="s">
        <v>26</v>
      </c>
      <c r="J100" s="8" t="s">
        <v>27</v>
      </c>
    </row>
    <row r="101" spans="1:10" x14ac:dyDescent="0.35">
      <c r="A101" s="8" t="s">
        <v>308</v>
      </c>
      <c r="B101" s="8" t="s">
        <v>309</v>
      </c>
      <c r="C101" s="8" t="s">
        <v>238</v>
      </c>
      <c r="D101" s="30">
        <v>2.8245218987813699E-7</v>
      </c>
      <c r="E101" s="8" t="s">
        <v>8</v>
      </c>
      <c r="F101" s="8" t="s">
        <v>25</v>
      </c>
      <c r="G101" s="8" t="s">
        <v>26</v>
      </c>
      <c r="J101" s="8" t="s">
        <v>27</v>
      </c>
    </row>
    <row r="102" spans="1:10" x14ac:dyDescent="0.35">
      <c r="A102" s="8" t="s">
        <v>310</v>
      </c>
      <c r="B102" s="8" t="s">
        <v>311</v>
      </c>
      <c r="C102" s="8" t="s">
        <v>238</v>
      </c>
      <c r="D102" s="30">
        <v>3.8955302024085099E-6</v>
      </c>
      <c r="E102" s="8" t="s">
        <v>8</v>
      </c>
      <c r="F102" s="8" t="s">
        <v>25</v>
      </c>
      <c r="G102" s="8" t="s">
        <v>26</v>
      </c>
      <c r="J102" s="8" t="s">
        <v>27</v>
      </c>
    </row>
    <row r="103" spans="1:10" x14ac:dyDescent="0.35">
      <c r="A103" s="8" t="s">
        <v>312</v>
      </c>
      <c r="B103" s="8" t="s">
        <v>313</v>
      </c>
      <c r="C103" s="8" t="s">
        <v>24</v>
      </c>
      <c r="D103" s="15">
        <v>-1.7692637172664003E-6</v>
      </c>
      <c r="E103" s="8" t="s">
        <v>8</v>
      </c>
      <c r="F103" s="8" t="s">
        <v>25</v>
      </c>
      <c r="G103" s="8" t="s">
        <v>26</v>
      </c>
      <c r="J103" s="8" t="s">
        <v>27</v>
      </c>
    </row>
    <row r="104" spans="1:10" x14ac:dyDescent="0.35">
      <c r="A104" s="8" t="s">
        <v>314</v>
      </c>
      <c r="B104" s="8" t="s">
        <v>250</v>
      </c>
      <c r="C104" s="8" t="s">
        <v>238</v>
      </c>
      <c r="D104" s="15">
        <v>-5.4600423322167852E-7</v>
      </c>
      <c r="E104" s="8" t="s">
        <v>8</v>
      </c>
      <c r="F104" s="8" t="s">
        <v>25</v>
      </c>
      <c r="G104" s="8" t="s">
        <v>26</v>
      </c>
      <c r="J104" s="8" t="s">
        <v>27</v>
      </c>
    </row>
    <row r="105" spans="1:10" x14ac:dyDescent="0.35">
      <c r="A105" s="8" t="s">
        <v>315</v>
      </c>
      <c r="B105" s="8" t="s">
        <v>316</v>
      </c>
      <c r="C105" s="8" t="s">
        <v>34</v>
      </c>
      <c r="D105" s="15">
        <v>-2.3625183168245692E-9</v>
      </c>
      <c r="E105" s="8" t="s">
        <v>8</v>
      </c>
      <c r="F105" s="8" t="s">
        <v>25</v>
      </c>
      <c r="G105" s="8" t="s">
        <v>26</v>
      </c>
      <c r="J105" s="8" t="s">
        <v>27</v>
      </c>
    </row>
    <row r="106" spans="1:10" x14ac:dyDescent="0.35">
      <c r="A106" s="8" t="s">
        <v>317</v>
      </c>
      <c r="B106" s="8" t="s">
        <v>318</v>
      </c>
      <c r="C106" s="8" t="s">
        <v>24</v>
      </c>
      <c r="D106" s="15">
        <v>-8.3475647194468192E-9</v>
      </c>
      <c r="E106" s="8" t="s">
        <v>8</v>
      </c>
      <c r="F106" s="8" t="s">
        <v>25</v>
      </c>
      <c r="G106" s="8" t="s">
        <v>26</v>
      </c>
      <c r="J106" s="8" t="s">
        <v>27</v>
      </c>
    </row>
    <row r="107" spans="1:10" x14ac:dyDescent="0.35">
      <c r="A107" s="8" t="s">
        <v>319</v>
      </c>
      <c r="B107" s="8" t="s">
        <v>320</v>
      </c>
      <c r="C107" s="8" t="s">
        <v>34</v>
      </c>
      <c r="D107" s="15">
        <v>-2.2575175027434772E-9</v>
      </c>
      <c r="E107" s="8" t="s">
        <v>8</v>
      </c>
      <c r="F107" s="8" t="s">
        <v>25</v>
      </c>
      <c r="G107" s="8" t="s">
        <v>26</v>
      </c>
      <c r="J107" s="8" t="s">
        <v>27</v>
      </c>
    </row>
    <row r="108" spans="1:10" x14ac:dyDescent="0.35">
      <c r="A108" s="8" t="s">
        <v>321</v>
      </c>
      <c r="B108" s="8" t="s">
        <v>322</v>
      </c>
      <c r="C108" s="8" t="s">
        <v>24</v>
      </c>
      <c r="D108" s="15">
        <v>-2.3625183168245692E-9</v>
      </c>
      <c r="E108" s="8" t="s">
        <v>8</v>
      </c>
      <c r="F108" s="8" t="s">
        <v>25</v>
      </c>
      <c r="G108" s="8" t="s">
        <v>26</v>
      </c>
      <c r="J108" s="8" t="s">
        <v>27</v>
      </c>
    </row>
    <row r="109" spans="1:10" x14ac:dyDescent="0.35">
      <c r="A109" s="8" t="s">
        <v>323</v>
      </c>
      <c r="B109" s="8" t="s">
        <v>324</v>
      </c>
      <c r="C109" s="8" t="s">
        <v>238</v>
      </c>
      <c r="D109" s="15">
        <v>-2.5383946804103992E-6</v>
      </c>
      <c r="E109" s="8" t="s">
        <v>8</v>
      </c>
      <c r="F109" s="8" t="s">
        <v>25</v>
      </c>
      <c r="G109" s="8" t="s">
        <v>26</v>
      </c>
      <c r="J109" s="8" t="s">
        <v>27</v>
      </c>
    </row>
    <row r="110" spans="1:10" x14ac:dyDescent="0.35">
      <c r="A110" s="8" t="s">
        <v>314</v>
      </c>
      <c r="B110" s="8" t="s">
        <v>250</v>
      </c>
      <c r="C110" s="8" t="s">
        <v>238</v>
      </c>
      <c r="D110" s="15">
        <v>-5.6149185329863939E-7</v>
      </c>
      <c r="E110" s="8" t="s">
        <v>8</v>
      </c>
      <c r="F110" s="8" t="s">
        <v>25</v>
      </c>
      <c r="G110" s="8" t="s">
        <v>26</v>
      </c>
      <c r="J110" s="8" t="s">
        <v>27</v>
      </c>
    </row>
    <row r="111" spans="1:10" x14ac:dyDescent="0.35">
      <c r="A111" s="8" t="s">
        <v>325</v>
      </c>
      <c r="B111" s="8" t="s">
        <v>178</v>
      </c>
      <c r="C111" s="8" t="s">
        <v>34</v>
      </c>
      <c r="D111" s="15">
        <v>-1.698388167761663E-8</v>
      </c>
      <c r="E111" s="8" t="s">
        <v>8</v>
      </c>
      <c r="F111" s="8" t="s">
        <v>25</v>
      </c>
      <c r="G111" s="8" t="s">
        <v>26</v>
      </c>
      <c r="J111" s="8" t="s">
        <v>27</v>
      </c>
    </row>
    <row r="112" spans="1:10" x14ac:dyDescent="0.35">
      <c r="A112" s="8" t="s">
        <v>125</v>
      </c>
      <c r="B112" s="8" t="s">
        <v>126</v>
      </c>
      <c r="C112" s="8" t="s">
        <v>268</v>
      </c>
      <c r="D112" s="15">
        <v>-2.1000162816218405E-9</v>
      </c>
      <c r="E112" s="8" t="s">
        <v>8</v>
      </c>
      <c r="F112" s="8" t="s">
        <v>25</v>
      </c>
      <c r="G112" s="8" t="s">
        <v>26</v>
      </c>
      <c r="J112" s="8" t="s">
        <v>27</v>
      </c>
    </row>
    <row r="113" spans="1:10" s="16" customFormat="1" x14ac:dyDescent="0.35">
      <c r="A113" s="16" t="s">
        <v>147</v>
      </c>
      <c r="B113" s="16" t="s">
        <v>148</v>
      </c>
      <c r="C113" s="16" t="s">
        <v>268</v>
      </c>
      <c r="D113" s="15">
        <v>-0.45627506438429472</v>
      </c>
      <c r="E113" s="16" t="s">
        <v>8</v>
      </c>
      <c r="F113" s="16" t="s">
        <v>25</v>
      </c>
      <c r="G113" s="16" t="s">
        <v>26</v>
      </c>
    </row>
    <row r="114" spans="1:10" s="16" customFormat="1" x14ac:dyDescent="0.35">
      <c r="A114" s="16" t="s">
        <v>326</v>
      </c>
      <c r="B114" s="16" t="s">
        <v>327</v>
      </c>
      <c r="C114" s="16" t="s">
        <v>268</v>
      </c>
      <c r="D114" s="15">
        <v>-3.1461632313728304E-2</v>
      </c>
      <c r="E114" s="16" t="s">
        <v>8</v>
      </c>
      <c r="F114" s="16" t="s">
        <v>25</v>
      </c>
      <c r="G114" s="16" t="s">
        <v>26</v>
      </c>
    </row>
    <row r="115" spans="1:10" s="16" customFormat="1" x14ac:dyDescent="0.35">
      <c r="A115" s="16" t="s">
        <v>234</v>
      </c>
      <c r="B115" s="16" t="s">
        <v>235</v>
      </c>
      <c r="C115" s="16" t="s">
        <v>233</v>
      </c>
      <c r="D115" s="15">
        <v>-4.5400883297171818E-2</v>
      </c>
      <c r="E115" s="16" t="s">
        <v>56</v>
      </c>
      <c r="F115" s="16" t="s">
        <v>25</v>
      </c>
      <c r="G115" s="16" t="s">
        <v>26</v>
      </c>
    </row>
    <row r="116" spans="1:10" s="16" customFormat="1" x14ac:dyDescent="0.35">
      <c r="A116" s="16" t="s">
        <v>236</v>
      </c>
      <c r="B116" s="16" t="s">
        <v>237</v>
      </c>
      <c r="C116" s="16" t="s">
        <v>34</v>
      </c>
      <c r="D116" s="15">
        <v>-3.394034969617972E-2</v>
      </c>
      <c r="E116" s="16" t="s">
        <v>53</v>
      </c>
      <c r="F116" s="16" t="s">
        <v>25</v>
      </c>
      <c r="G116" s="16" t="s">
        <v>26</v>
      </c>
      <c r="J116" s="16" t="s">
        <v>27</v>
      </c>
    </row>
    <row r="117" spans="1:10" x14ac:dyDescent="0.35">
      <c r="A117" s="8" t="s">
        <v>354</v>
      </c>
      <c r="D117" s="15">
        <v>0.19014597421944957</v>
      </c>
      <c r="E117" s="8" t="s">
        <v>59</v>
      </c>
      <c r="F117" s="8" t="s">
        <v>63</v>
      </c>
      <c r="G117" s="8" t="s">
        <v>64</v>
      </c>
      <c r="H117" s="8" t="s">
        <v>257</v>
      </c>
      <c r="J117" s="8" t="s">
        <v>27</v>
      </c>
    </row>
    <row r="118" spans="1:10" x14ac:dyDescent="0.35">
      <c r="A118" s="8" t="s">
        <v>98</v>
      </c>
      <c r="D118" s="15">
        <v>2.2627440457072737E-6</v>
      </c>
      <c r="E118" s="8" t="s">
        <v>8</v>
      </c>
      <c r="F118" s="8" t="s">
        <v>63</v>
      </c>
      <c r="G118" s="8" t="s">
        <v>64</v>
      </c>
      <c r="H118" s="8" t="s">
        <v>93</v>
      </c>
      <c r="J118" s="8" t="s">
        <v>27</v>
      </c>
    </row>
    <row r="119" spans="1:10" x14ac:dyDescent="0.35">
      <c r="A119" s="8" t="s">
        <v>102</v>
      </c>
      <c r="D119" s="15">
        <v>4.8825378547707777E-7</v>
      </c>
      <c r="E119" s="8" t="s">
        <v>8</v>
      </c>
      <c r="F119" s="8" t="s">
        <v>63</v>
      </c>
      <c r="G119" s="8" t="s">
        <v>64</v>
      </c>
      <c r="H119" s="8" t="s">
        <v>93</v>
      </c>
      <c r="J119" s="8" t="s">
        <v>27</v>
      </c>
    </row>
    <row r="120" spans="1:10" x14ac:dyDescent="0.35">
      <c r="A120" s="8" t="s">
        <v>89</v>
      </c>
      <c r="D120" s="15">
        <v>1.5874871168733004E-7</v>
      </c>
      <c r="E120" s="8" t="s">
        <v>8</v>
      </c>
      <c r="F120" s="8" t="s">
        <v>63</v>
      </c>
      <c r="G120" s="8" t="s">
        <v>64</v>
      </c>
      <c r="H120" s="8" t="s">
        <v>93</v>
      </c>
      <c r="J120" s="8" t="s">
        <v>27</v>
      </c>
    </row>
    <row r="121" spans="1:10" x14ac:dyDescent="0.35">
      <c r="A121" s="8" t="s">
        <v>104</v>
      </c>
      <c r="D121" s="15">
        <v>1.8892471075021334E-8</v>
      </c>
      <c r="E121" s="8" t="s">
        <v>8</v>
      </c>
      <c r="F121" s="8" t="s">
        <v>63</v>
      </c>
      <c r="G121" s="8" t="s">
        <v>64</v>
      </c>
      <c r="H121" s="8" t="s">
        <v>93</v>
      </c>
      <c r="J121" s="8" t="s">
        <v>27</v>
      </c>
    </row>
    <row r="122" spans="1:10" x14ac:dyDescent="0.35">
      <c r="A122" s="8" t="s">
        <v>90</v>
      </c>
      <c r="D122" s="15">
        <v>2.3625183168245695E-8</v>
      </c>
      <c r="E122" s="8" t="s">
        <v>8</v>
      </c>
      <c r="F122" s="8" t="s">
        <v>63</v>
      </c>
      <c r="G122" s="8" t="s">
        <v>64</v>
      </c>
      <c r="H122" s="8" t="s">
        <v>93</v>
      </c>
      <c r="J122" s="8" t="s">
        <v>27</v>
      </c>
    </row>
    <row r="123" spans="1:10" x14ac:dyDescent="0.35">
      <c r="A123" s="8" t="s">
        <v>103</v>
      </c>
      <c r="D123" s="15">
        <v>1.4146071045428945E-7</v>
      </c>
      <c r="E123" s="8" t="s">
        <v>8</v>
      </c>
      <c r="F123" s="8" t="s">
        <v>63</v>
      </c>
      <c r="G123" s="8" t="s">
        <v>64</v>
      </c>
      <c r="H123" s="8" t="s">
        <v>93</v>
      </c>
      <c r="J123" s="8" t="s">
        <v>27</v>
      </c>
    </row>
    <row r="124" spans="1:10" x14ac:dyDescent="0.35">
      <c r="A124" s="8" t="s">
        <v>97</v>
      </c>
      <c r="D124" s="15">
        <v>4.9375224569422512E-6</v>
      </c>
      <c r="E124" s="8" t="s">
        <v>8</v>
      </c>
      <c r="F124" s="8" t="s">
        <v>63</v>
      </c>
      <c r="G124" s="8" t="s">
        <v>64</v>
      </c>
      <c r="H124" s="8" t="s">
        <v>93</v>
      </c>
      <c r="J124" s="8" t="s">
        <v>27</v>
      </c>
    </row>
    <row r="125" spans="1:10" x14ac:dyDescent="0.35">
      <c r="A125" s="8" t="s">
        <v>328</v>
      </c>
      <c r="D125" s="15">
        <v>6.1687978272641558E-13</v>
      </c>
      <c r="E125" s="8" t="s">
        <v>8</v>
      </c>
      <c r="F125" s="8" t="s">
        <v>63</v>
      </c>
      <c r="G125" s="8" t="s">
        <v>64</v>
      </c>
      <c r="H125" s="8" t="s">
        <v>87</v>
      </c>
      <c r="J125" s="8" t="s">
        <v>27</v>
      </c>
    </row>
    <row r="126" spans="1:10" x14ac:dyDescent="0.35">
      <c r="A126" s="8" t="s">
        <v>86</v>
      </c>
      <c r="D126" s="15">
        <v>7.5763421787142316E-3</v>
      </c>
      <c r="E126" s="8" t="s">
        <v>8</v>
      </c>
      <c r="F126" s="8" t="s">
        <v>63</v>
      </c>
      <c r="G126" s="8" t="s">
        <v>64</v>
      </c>
      <c r="H126" s="8" t="s">
        <v>87</v>
      </c>
      <c r="J126" s="8" t="s">
        <v>27</v>
      </c>
    </row>
    <row r="127" spans="1:10" x14ac:dyDescent="0.35">
      <c r="A127" s="8" t="s">
        <v>98</v>
      </c>
      <c r="D127" s="15">
        <v>1.8903459028465105E-6</v>
      </c>
      <c r="E127" s="8" t="s">
        <v>8</v>
      </c>
      <c r="F127" s="8" t="s">
        <v>63</v>
      </c>
      <c r="G127" s="8" t="s">
        <v>64</v>
      </c>
      <c r="H127" s="8" t="s">
        <v>87</v>
      </c>
      <c r="J127" s="8" t="s">
        <v>27</v>
      </c>
    </row>
    <row r="128" spans="1:10" x14ac:dyDescent="0.35">
      <c r="A128" s="8" t="s">
        <v>97</v>
      </c>
      <c r="D128" s="15">
        <v>3.7287771858594724E-6</v>
      </c>
      <c r="E128" s="8" t="s">
        <v>8</v>
      </c>
      <c r="F128" s="8" t="s">
        <v>63</v>
      </c>
      <c r="G128" s="8" t="s">
        <v>64</v>
      </c>
      <c r="H128" s="8" t="s">
        <v>87</v>
      </c>
      <c r="J128" s="8" t="s">
        <v>27</v>
      </c>
    </row>
    <row r="129" spans="1:14" x14ac:dyDescent="0.35">
      <c r="A129" s="8" t="s">
        <v>104</v>
      </c>
      <c r="D129" s="15">
        <v>2.4858514572396485E-8</v>
      </c>
      <c r="E129" s="8" t="s">
        <v>8</v>
      </c>
      <c r="F129" s="8" t="s">
        <v>63</v>
      </c>
      <c r="G129" s="8" t="s">
        <v>64</v>
      </c>
      <c r="H129" s="8" t="s">
        <v>87</v>
      </c>
      <c r="J129" s="8" t="s">
        <v>27</v>
      </c>
    </row>
    <row r="130" spans="1:14" x14ac:dyDescent="0.35">
      <c r="A130" s="8" t="s">
        <v>102</v>
      </c>
      <c r="D130" s="15">
        <v>6.0375468096627917E-7</v>
      </c>
      <c r="E130" s="8" t="s">
        <v>8</v>
      </c>
      <c r="F130" s="8" t="s">
        <v>63</v>
      </c>
      <c r="G130" s="8" t="s">
        <v>64</v>
      </c>
      <c r="H130" s="8" t="s">
        <v>87</v>
      </c>
      <c r="J130" s="8" t="s">
        <v>27</v>
      </c>
    </row>
    <row r="131" spans="1:14" x14ac:dyDescent="0.35">
      <c r="A131" s="8" t="s">
        <v>90</v>
      </c>
      <c r="D131" s="15">
        <v>6.0375468096627917E-8</v>
      </c>
      <c r="E131" s="8" t="s">
        <v>8</v>
      </c>
      <c r="F131" s="8" t="s">
        <v>63</v>
      </c>
      <c r="G131" s="8" t="s">
        <v>64</v>
      </c>
      <c r="H131" s="8" t="s">
        <v>87</v>
      </c>
      <c r="J131" s="8" t="s">
        <v>27</v>
      </c>
    </row>
    <row r="132" spans="1:14" x14ac:dyDescent="0.35">
      <c r="A132" s="8" t="s">
        <v>89</v>
      </c>
      <c r="D132" s="15">
        <v>1.0066991472855077E-6</v>
      </c>
      <c r="E132" s="8" t="s">
        <v>8</v>
      </c>
      <c r="F132" s="8" t="s">
        <v>63</v>
      </c>
      <c r="G132" s="8" t="s">
        <v>64</v>
      </c>
      <c r="H132" s="8" t="s">
        <v>87</v>
      </c>
      <c r="J132" s="8" t="s">
        <v>27</v>
      </c>
    </row>
    <row r="133" spans="1:14" s="12" customFormat="1" x14ac:dyDescent="0.35"/>
    <row r="134" spans="1:14" x14ac:dyDescent="0.35">
      <c r="A134" s="7" t="s">
        <v>0</v>
      </c>
      <c r="B134" s="7" t="s">
        <v>329</v>
      </c>
    </row>
    <row r="135" spans="1:14" x14ac:dyDescent="0.35">
      <c r="A135" s="9" t="s">
        <v>2</v>
      </c>
      <c r="B135" s="8" t="s">
        <v>261</v>
      </c>
    </row>
    <row r="136" spans="1:14" x14ac:dyDescent="0.35">
      <c r="A136" s="9" t="s">
        <v>4</v>
      </c>
      <c r="B136" s="8" t="s">
        <v>233</v>
      </c>
    </row>
    <row r="137" spans="1:14" x14ac:dyDescent="0.35">
      <c r="A137" s="9" t="s">
        <v>6</v>
      </c>
      <c r="B137" s="8">
        <v>1</v>
      </c>
    </row>
    <row r="138" spans="1:14" x14ac:dyDescent="0.35">
      <c r="A138" s="9" t="s">
        <v>7</v>
      </c>
      <c r="B138" s="8" t="s">
        <v>8</v>
      </c>
    </row>
    <row r="139" spans="1:14" x14ac:dyDescent="0.35">
      <c r="A139" s="9" t="s">
        <v>9</v>
      </c>
      <c r="B139" s="15" t="s">
        <v>330</v>
      </c>
    </row>
    <row r="140" spans="1:14" x14ac:dyDescent="0.35">
      <c r="A140" s="9" t="s">
        <v>10</v>
      </c>
    </row>
    <row r="141" spans="1:14" x14ac:dyDescent="0.35">
      <c r="A141" s="7" t="s">
        <v>11</v>
      </c>
      <c r="B141" s="7" t="s">
        <v>2</v>
      </c>
      <c r="C141" s="7" t="s">
        <v>4</v>
      </c>
      <c r="D141" s="7" t="s">
        <v>6</v>
      </c>
      <c r="E141" s="7" t="s">
        <v>7</v>
      </c>
      <c r="F141" s="7" t="s">
        <v>12</v>
      </c>
      <c r="G141" s="7" t="s">
        <v>13</v>
      </c>
      <c r="H141" s="7" t="s">
        <v>14</v>
      </c>
      <c r="I141" s="7" t="s">
        <v>15</v>
      </c>
      <c r="J141" s="7" t="s">
        <v>16</v>
      </c>
      <c r="K141" s="7" t="s">
        <v>17</v>
      </c>
      <c r="L141" s="7" t="s">
        <v>18</v>
      </c>
      <c r="M141" s="7" t="s">
        <v>19</v>
      </c>
      <c r="N141" s="7" t="s">
        <v>20</v>
      </c>
    </row>
    <row r="142" spans="1:14" x14ac:dyDescent="0.35">
      <c r="A142" s="8" t="str">
        <f>B134</f>
        <v>ZnO2 recovery from Cu ore mining in Sweden/Aitik and Cu production in Sweden/Rönnskärsverken</v>
      </c>
      <c r="B142" s="8" t="str">
        <f>B135</f>
        <v>ZnO2</v>
      </c>
      <c r="C142" s="8" t="s">
        <v>233</v>
      </c>
      <c r="D142" s="8">
        <v>1</v>
      </c>
      <c r="E142" s="8" t="s">
        <v>8</v>
      </c>
      <c r="F142" s="10" t="str">
        <f>F60</f>
        <v>Zinc</v>
      </c>
      <c r="G142" s="8" t="s">
        <v>21</v>
      </c>
    </row>
    <row r="143" spans="1:14" x14ac:dyDescent="0.35">
      <c r="A143" s="8" t="str">
        <f>A60</f>
        <v>[P+R] Zn dioxide (ZnO2) production - Pyrometallurgy (Sweden)</v>
      </c>
      <c r="B143" s="8" t="str">
        <f>B60</f>
        <v>ZnO2</v>
      </c>
      <c r="C143" s="8" t="str">
        <f>C60</f>
        <v>SE</v>
      </c>
      <c r="D143" s="8">
        <v>1</v>
      </c>
      <c r="E143" s="8" t="str">
        <f>E60</f>
        <v>kilogram</v>
      </c>
      <c r="F143" s="10" t="str">
        <f>F60</f>
        <v>Zinc</v>
      </c>
      <c r="G143" s="8" t="s">
        <v>26</v>
      </c>
    </row>
    <row r="144" spans="1:14" x14ac:dyDescent="0.35">
      <c r="A144" s="8" t="str">
        <f>A9</f>
        <v>[M+C] Copper (Cu) ore mining and concentration (Sweden)</v>
      </c>
      <c r="B144" s="8" t="str">
        <f t="shared" ref="B144:F144" si="0">B9</f>
        <v>Cu concentrate</v>
      </c>
      <c r="C144" s="8" t="str">
        <f t="shared" si="0"/>
        <v>SE</v>
      </c>
      <c r="D144" s="15">
        <v>0.80494149078635613</v>
      </c>
      <c r="E144" s="8" t="str">
        <f t="shared" si="0"/>
        <v>kilogram</v>
      </c>
      <c r="F144" s="10" t="str">
        <f t="shared" si="0"/>
        <v>Zinc</v>
      </c>
      <c r="G144" s="8" t="s">
        <v>26</v>
      </c>
    </row>
    <row r="145" spans="1:14" s="12" customFormat="1" x14ac:dyDescent="0.35"/>
    <row r="146" spans="1:14" x14ac:dyDescent="0.35">
      <c r="A146" s="7" t="s">
        <v>0</v>
      </c>
      <c r="B146" s="7" t="s">
        <v>332</v>
      </c>
    </row>
    <row r="147" spans="1:14" x14ac:dyDescent="0.35">
      <c r="A147" s="9" t="s">
        <v>2</v>
      </c>
      <c r="B147" s="8" t="s">
        <v>333</v>
      </c>
    </row>
    <row r="148" spans="1:14" x14ac:dyDescent="0.35">
      <c r="A148" s="9" t="s">
        <v>4</v>
      </c>
      <c r="B148" s="8" t="s">
        <v>233</v>
      </c>
    </row>
    <row r="149" spans="1:14" x14ac:dyDescent="0.35">
      <c r="A149" s="9" t="s">
        <v>6</v>
      </c>
      <c r="B149" s="8">
        <v>1</v>
      </c>
    </row>
    <row r="150" spans="1:14" x14ac:dyDescent="0.35">
      <c r="A150" s="9" t="s">
        <v>7</v>
      </c>
      <c r="B150" s="8" t="s">
        <v>8</v>
      </c>
    </row>
    <row r="151" spans="1:14" x14ac:dyDescent="0.35">
      <c r="A151" s="9" t="s">
        <v>9</v>
      </c>
      <c r="B151" s="15" t="s">
        <v>330</v>
      </c>
    </row>
    <row r="152" spans="1:14" x14ac:dyDescent="0.35">
      <c r="A152" s="9" t="s">
        <v>10</v>
      </c>
    </row>
    <row r="153" spans="1:14" x14ac:dyDescent="0.35">
      <c r="A153" s="7" t="s">
        <v>11</v>
      </c>
      <c r="B153" s="7" t="s">
        <v>2</v>
      </c>
      <c r="C153" s="7" t="s">
        <v>4</v>
      </c>
      <c r="D153" s="7" t="s">
        <v>6</v>
      </c>
      <c r="E153" s="7" t="s">
        <v>7</v>
      </c>
      <c r="F153" s="7" t="s">
        <v>12</v>
      </c>
      <c r="G153" s="7" t="s">
        <v>13</v>
      </c>
      <c r="H153" s="7" t="s">
        <v>14</v>
      </c>
      <c r="I153" s="7" t="s">
        <v>15</v>
      </c>
      <c r="J153" s="7" t="s">
        <v>16</v>
      </c>
      <c r="K153" s="7" t="s">
        <v>17</v>
      </c>
      <c r="L153" s="7" t="s">
        <v>18</v>
      </c>
      <c r="M153" s="7" t="s">
        <v>19</v>
      </c>
      <c r="N153" s="7" t="s">
        <v>20</v>
      </c>
    </row>
    <row r="154" spans="1:14" x14ac:dyDescent="0.35">
      <c r="A154" s="8" t="str">
        <f>B146</f>
        <v>ZnO2 recovery from Cu ore mining in Sweden/Aitik and Cu production in Sweden/Rönnskärsverken (Zn content)</v>
      </c>
      <c r="B154" s="8" t="str">
        <f>B147</f>
        <v>ZnO2 (Zn content)</v>
      </c>
      <c r="C154" s="8" t="s">
        <v>233</v>
      </c>
      <c r="D154" s="8">
        <v>1</v>
      </c>
      <c r="E154" s="8" t="s">
        <v>8</v>
      </c>
      <c r="F154" s="10" t="str">
        <f>F142</f>
        <v>Zinc</v>
      </c>
      <c r="G154" s="8" t="s">
        <v>21</v>
      </c>
    </row>
    <row r="155" spans="1:14" x14ac:dyDescent="0.35">
      <c r="A155" s="8" t="str">
        <f>A60</f>
        <v>[P+R] Zn dioxide (ZnO2) production - Pyrometallurgy (Sweden)</v>
      </c>
      <c r="B155" s="8" t="str">
        <f t="shared" ref="B155:F155" si="1">B60</f>
        <v>ZnO2</v>
      </c>
      <c r="C155" s="8" t="str">
        <f t="shared" si="1"/>
        <v>SE</v>
      </c>
      <c r="D155" s="8">
        <f>D143/(67.16/100)</f>
        <v>1.4889815366289458</v>
      </c>
      <c r="E155" s="8" t="str">
        <f t="shared" si="1"/>
        <v>kilogram</v>
      </c>
      <c r="F155" s="10" t="str">
        <f t="shared" si="1"/>
        <v>Zinc</v>
      </c>
      <c r="G155" s="8" t="s">
        <v>26</v>
      </c>
    </row>
    <row r="156" spans="1:14" x14ac:dyDescent="0.35">
      <c r="A156" s="8" t="str">
        <f>A9</f>
        <v>[M+C] Copper (Cu) ore mining and concentration (Sweden)</v>
      </c>
      <c r="B156" s="8" t="str">
        <f t="shared" ref="B156:F156" si="2">B9</f>
        <v>Cu concentrate</v>
      </c>
      <c r="C156" s="8" t="str">
        <f t="shared" si="2"/>
        <v>SE</v>
      </c>
      <c r="D156" s="15">
        <f>D144/(67.16/100)</f>
        <v>1.198543017847463</v>
      </c>
      <c r="E156" s="8" t="str">
        <f t="shared" si="2"/>
        <v>kilogram</v>
      </c>
      <c r="F156" s="10" t="str">
        <f t="shared" si="2"/>
        <v>Zinc</v>
      </c>
      <c r="G156" s="8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Note</vt:lpstr>
      <vt:lpstr>Zn_Market_GLO</vt:lpstr>
      <vt:lpstr>PR1_Zn_CN_Jiangxi_Hydro</vt:lpstr>
      <vt:lpstr>PR2_Zn_CN_Yangtze_Hydro</vt:lpstr>
      <vt:lpstr>PR3_Zn_CN_Smelting</vt:lpstr>
      <vt:lpstr>PR4_Zn_RoW</vt:lpstr>
      <vt:lpstr>PR5_ZnO2_SE_Pyro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2025-07-04T15:06:00Z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