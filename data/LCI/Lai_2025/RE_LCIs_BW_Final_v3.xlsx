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brgm365.sharepoint.com/sites/RPPEXIMPMET/Documents partages/General/P2/04_Data/04_Modelling/02_LCI modelling/RE_RareEarths/"/>
    </mc:Choice>
  </mc:AlternateContent>
  <xr:revisionPtr revIDLastSave="14" documentId="8_{6147F650-6A72-4820-A9CC-03B0C56E27F4}" xr6:coauthVersionLast="47" xr6:coauthVersionMax="47" xr10:uidLastSave="{B7987B2C-E62C-49B5-A088-FDCD92D736EC}"/>
  <bookViews>
    <workbookView xWindow="-120" yWindow="-120" windowWidth="29040" windowHeight="15840" tabRatio="807" activeTab="5" xr2:uid="{00000000-000D-0000-FFFF-FFFF00000000}"/>
  </bookViews>
  <sheets>
    <sheet name="Note" sheetId="1" r:id="rId1"/>
    <sheet name="RE_Market_GLO" sheetId="10" r:id="rId2"/>
    <sheet name="PR1_REO_CN_Sichuan_Bastnaesite" sheetId="5" r:id="rId3"/>
    <sheet name="PR2_REO_US_Mt.Pass_Bastnaesite" sheetId="3" r:id="rId4"/>
    <sheet name="PR3_REO_CN_BayanObo_Bast-Mona" sheetId="13" r:id="rId5"/>
    <sheet name="PR4_REO_AU-MY_MtWeld_Monazite" sheetId="19" r:id="rId6"/>
    <sheet name="PR5_REO_CN_IAC" sheetId="20" r:id="rId7"/>
    <sheet name="AllocationDetails" sheetId="6" r:id="rId8"/>
  </sheets>
  <externalReferences>
    <externalReference r:id="rId9"/>
  </externalReferences>
  <definedNames>
    <definedName name="_xlnm._FilterDatabase" localSheetId="7" hidden="1">AllocationDetails!$I$27:$O$44</definedName>
    <definedName name="NdFeB_grinding_losses_grinding_and_slicing_of_NdFeB">[1]Manufacture!#REF!</definedName>
    <definedName name="Shaped_NdFeB_magnet_grinding_and_slicing_of_NdFeB">[1]Manufacture!#REF!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3" i="19" l="1"/>
  <c r="D163" i="19" l="1"/>
  <c r="E73" i="19" l="1"/>
  <c r="C178" i="19"/>
  <c r="C73" i="19" s="1"/>
  <c r="B178" i="19"/>
  <c r="B73" i="19" s="1"/>
  <c r="A178" i="19"/>
  <c r="A73" i="19" s="1"/>
  <c r="E424" i="10" l="1"/>
  <c r="C424" i="10"/>
  <c r="B424" i="10"/>
  <c r="A424" i="10"/>
  <c r="E410" i="10"/>
  <c r="C410" i="10"/>
  <c r="B410" i="10"/>
  <c r="A410" i="10"/>
  <c r="E398" i="10"/>
  <c r="C398" i="10"/>
  <c r="B398" i="10"/>
  <c r="A398" i="10"/>
  <c r="E386" i="10"/>
  <c r="C386" i="10"/>
  <c r="B386" i="10"/>
  <c r="A386" i="10"/>
  <c r="E374" i="10"/>
  <c r="C374" i="10"/>
  <c r="B374" i="10"/>
  <c r="A374" i="10"/>
  <c r="E362" i="10"/>
  <c r="C362" i="10"/>
  <c r="B362" i="10"/>
  <c r="A362" i="10"/>
  <c r="E349" i="10"/>
  <c r="C349" i="10"/>
  <c r="B349" i="10"/>
  <c r="A349" i="10"/>
  <c r="E336" i="10"/>
  <c r="C336" i="10"/>
  <c r="B336" i="10"/>
  <c r="A336" i="10"/>
  <c r="E321" i="10"/>
  <c r="C321" i="10"/>
  <c r="B321" i="10"/>
  <c r="A321" i="10"/>
  <c r="E306" i="10"/>
  <c r="C306" i="10"/>
  <c r="B306" i="10"/>
  <c r="A306" i="10"/>
  <c r="E291" i="10"/>
  <c r="C291" i="10"/>
  <c r="B291" i="10"/>
  <c r="A291" i="10"/>
  <c r="E276" i="10"/>
  <c r="C276" i="10"/>
  <c r="B276" i="10"/>
  <c r="A276" i="10"/>
  <c r="E264" i="10"/>
  <c r="C264" i="10"/>
  <c r="B264" i="10"/>
  <c r="A264" i="10"/>
  <c r="E252" i="10"/>
  <c r="C252" i="10"/>
  <c r="B252" i="10"/>
  <c r="A252" i="10"/>
  <c r="E237" i="10"/>
  <c r="C237" i="10"/>
  <c r="B237" i="10"/>
  <c r="A237" i="10"/>
  <c r="E222" i="10"/>
  <c r="C222" i="10"/>
  <c r="B222" i="10"/>
  <c r="A222" i="10"/>
  <c r="E210" i="10"/>
  <c r="C210" i="10"/>
  <c r="B210" i="10"/>
  <c r="A210" i="10"/>
  <c r="E198" i="10"/>
  <c r="C198" i="10"/>
  <c r="B198" i="10"/>
  <c r="A198" i="10"/>
  <c r="E183" i="10"/>
  <c r="C183" i="10"/>
  <c r="B183" i="10"/>
  <c r="A183" i="10"/>
  <c r="E168" i="10"/>
  <c r="C168" i="10"/>
  <c r="B168" i="10"/>
  <c r="A168" i="10"/>
  <c r="E153" i="10"/>
  <c r="C153" i="10"/>
  <c r="B153" i="10"/>
  <c r="A153" i="10"/>
  <c r="E138" i="10"/>
  <c r="C138" i="10"/>
  <c r="B138" i="10"/>
  <c r="A138" i="10"/>
  <c r="E125" i="10"/>
  <c r="C125" i="10"/>
  <c r="B125" i="10"/>
  <c r="A125" i="10"/>
  <c r="E112" i="10"/>
  <c r="C112" i="10"/>
  <c r="B112" i="10"/>
  <c r="A112" i="10"/>
  <c r="E99" i="10"/>
  <c r="C99" i="10"/>
  <c r="B99" i="10"/>
  <c r="A99" i="10"/>
  <c r="E86" i="10"/>
  <c r="C86" i="10"/>
  <c r="B86" i="10"/>
  <c r="A86" i="10"/>
  <c r="E71" i="10"/>
  <c r="C71" i="10"/>
  <c r="B71" i="10"/>
  <c r="A71" i="10"/>
  <c r="E56" i="10"/>
  <c r="C56" i="10"/>
  <c r="B56" i="10"/>
  <c r="A56" i="10"/>
  <c r="E41" i="10"/>
  <c r="C41" i="10"/>
  <c r="B41" i="10"/>
  <c r="A41" i="10"/>
  <c r="E26" i="10"/>
  <c r="C26" i="10"/>
  <c r="B26" i="10"/>
  <c r="A26" i="10"/>
  <c r="E16" i="10"/>
  <c r="E57" i="20"/>
  <c r="E92" i="20"/>
  <c r="E58" i="20" s="1"/>
  <c r="E440" i="20"/>
  <c r="E428" i="10" s="1"/>
  <c r="C440" i="20"/>
  <c r="C428" i="10" s="1"/>
  <c r="B440" i="20"/>
  <c r="B428" i="10" s="1"/>
  <c r="A440" i="20"/>
  <c r="A428" i="10" s="1"/>
  <c r="E429" i="20"/>
  <c r="C429" i="20"/>
  <c r="B429" i="20"/>
  <c r="A429" i="20"/>
  <c r="E418" i="20"/>
  <c r="E400" i="10" s="1"/>
  <c r="C418" i="20"/>
  <c r="C400" i="10" s="1"/>
  <c r="B418" i="20"/>
  <c r="B400" i="10" s="1"/>
  <c r="A418" i="20"/>
  <c r="A400" i="10" s="1"/>
  <c r="E407" i="20"/>
  <c r="C407" i="20"/>
  <c r="B407" i="20"/>
  <c r="A407" i="20"/>
  <c r="E396" i="20"/>
  <c r="E376" i="10" s="1"/>
  <c r="C396" i="20"/>
  <c r="C376" i="10" s="1"/>
  <c r="B396" i="20"/>
  <c r="B376" i="10" s="1"/>
  <c r="A396" i="20"/>
  <c r="A376" i="10" s="1"/>
  <c r="E385" i="20"/>
  <c r="C385" i="20"/>
  <c r="B385" i="20"/>
  <c r="A385" i="20"/>
  <c r="E374" i="20"/>
  <c r="E352" i="10" s="1"/>
  <c r="C374" i="20"/>
  <c r="C352" i="10" s="1"/>
  <c r="B374" i="20"/>
  <c r="B352" i="10" s="1"/>
  <c r="A374" i="20"/>
  <c r="A352" i="10" s="1"/>
  <c r="E363" i="20"/>
  <c r="C363" i="20"/>
  <c r="B363" i="20"/>
  <c r="A363" i="20"/>
  <c r="E352" i="20"/>
  <c r="E326" i="10" s="1"/>
  <c r="C352" i="20"/>
  <c r="C326" i="10" s="1"/>
  <c r="B352" i="20"/>
  <c r="B326" i="10" s="1"/>
  <c r="A352" i="20"/>
  <c r="A326" i="10" s="1"/>
  <c r="E341" i="20"/>
  <c r="C341" i="20"/>
  <c r="B341" i="20"/>
  <c r="A341" i="20"/>
  <c r="E330" i="20"/>
  <c r="E296" i="10" s="1"/>
  <c r="C330" i="20"/>
  <c r="C296" i="10" s="1"/>
  <c r="B330" i="20"/>
  <c r="B296" i="10" s="1"/>
  <c r="A330" i="20"/>
  <c r="A296" i="10" s="1"/>
  <c r="E319" i="20"/>
  <c r="C319" i="20"/>
  <c r="B319" i="20"/>
  <c r="A319" i="20"/>
  <c r="E308" i="20"/>
  <c r="E266" i="10" s="1"/>
  <c r="C308" i="20"/>
  <c r="C266" i="10" s="1"/>
  <c r="B308" i="20"/>
  <c r="B266" i="10" s="1"/>
  <c r="A308" i="20"/>
  <c r="A266" i="10" s="1"/>
  <c r="E297" i="20"/>
  <c r="C297" i="20"/>
  <c r="B297" i="20"/>
  <c r="A297" i="20"/>
  <c r="E286" i="20"/>
  <c r="E242" i="10" s="1"/>
  <c r="C286" i="20"/>
  <c r="C242" i="10" s="1"/>
  <c r="B286" i="20"/>
  <c r="B242" i="10" s="1"/>
  <c r="A286" i="20"/>
  <c r="A242" i="10" s="1"/>
  <c r="E275" i="20"/>
  <c r="C275" i="20"/>
  <c r="B275" i="20"/>
  <c r="A275" i="20"/>
  <c r="E264" i="20"/>
  <c r="E212" i="10" s="1"/>
  <c r="C264" i="20"/>
  <c r="C212" i="10" s="1"/>
  <c r="B264" i="20"/>
  <c r="B212" i="10" s="1"/>
  <c r="A264" i="20"/>
  <c r="A212" i="10" s="1"/>
  <c r="E253" i="20"/>
  <c r="C253" i="20"/>
  <c r="B253" i="20"/>
  <c r="A253" i="20"/>
  <c r="E242" i="20"/>
  <c r="E188" i="10" s="1"/>
  <c r="C242" i="20"/>
  <c r="C188" i="10" s="1"/>
  <c r="B242" i="20"/>
  <c r="B188" i="10" s="1"/>
  <c r="A242" i="20"/>
  <c r="A188" i="10" s="1"/>
  <c r="E231" i="20"/>
  <c r="C231" i="20"/>
  <c r="B231" i="20"/>
  <c r="A231" i="20"/>
  <c r="E220" i="20"/>
  <c r="E158" i="10" s="1"/>
  <c r="C220" i="20"/>
  <c r="C158" i="10" s="1"/>
  <c r="B220" i="20"/>
  <c r="B158" i="10" s="1"/>
  <c r="A220" i="20"/>
  <c r="A158" i="10" s="1"/>
  <c r="E209" i="20"/>
  <c r="C209" i="20"/>
  <c r="B209" i="20"/>
  <c r="A209" i="20"/>
  <c r="E198" i="20"/>
  <c r="E128" i="10" s="1"/>
  <c r="C198" i="20"/>
  <c r="C128" i="10" s="1"/>
  <c r="B198" i="20"/>
  <c r="B128" i="10" s="1"/>
  <c r="A198" i="20"/>
  <c r="A128" i="10" s="1"/>
  <c r="E187" i="20"/>
  <c r="C187" i="20"/>
  <c r="B187" i="20"/>
  <c r="A187" i="20"/>
  <c r="E176" i="20"/>
  <c r="E102" i="10" s="1"/>
  <c r="C176" i="20"/>
  <c r="C102" i="10" s="1"/>
  <c r="B176" i="20"/>
  <c r="B102" i="10" s="1"/>
  <c r="A176" i="20"/>
  <c r="A102" i="10" s="1"/>
  <c r="E165" i="20"/>
  <c r="C165" i="20"/>
  <c r="B165" i="20"/>
  <c r="A165" i="20"/>
  <c r="E154" i="20"/>
  <c r="E76" i="10" s="1"/>
  <c r="C154" i="20"/>
  <c r="C76" i="10" s="1"/>
  <c r="B154" i="20"/>
  <c r="B76" i="10" s="1"/>
  <c r="A154" i="20"/>
  <c r="A76" i="10" s="1"/>
  <c r="E143" i="20"/>
  <c r="C143" i="20"/>
  <c r="B143" i="20"/>
  <c r="A143" i="20"/>
  <c r="E132" i="20"/>
  <c r="E46" i="10" s="1"/>
  <c r="C132" i="20"/>
  <c r="C46" i="10" s="1"/>
  <c r="B132" i="20"/>
  <c r="B46" i="10" s="1"/>
  <c r="A132" i="20"/>
  <c r="A46" i="10" s="1"/>
  <c r="E121" i="20"/>
  <c r="C121" i="20"/>
  <c r="B121" i="20"/>
  <c r="A121" i="20"/>
  <c r="E111" i="20"/>
  <c r="E110" i="20"/>
  <c r="E109" i="20"/>
  <c r="E430" i="20" s="1"/>
  <c r="C109" i="20"/>
  <c r="C408" i="20" s="1"/>
  <c r="B109" i="20"/>
  <c r="B408" i="20" s="1"/>
  <c r="A109" i="20"/>
  <c r="A386" i="20" s="1"/>
  <c r="C92" i="20"/>
  <c r="C58" i="20" s="1"/>
  <c r="B92" i="20"/>
  <c r="B58" i="20" s="1"/>
  <c r="A92" i="20"/>
  <c r="A58" i="20" s="1"/>
  <c r="C56" i="20"/>
  <c r="C110" i="20" s="1"/>
  <c r="B56" i="20"/>
  <c r="B110" i="20" s="1"/>
  <c r="A56" i="20"/>
  <c r="A110" i="20" s="1"/>
  <c r="F9" i="20"/>
  <c r="F56" i="20" s="1"/>
  <c r="F92" i="20" s="1"/>
  <c r="F58" i="20" s="1"/>
  <c r="C9" i="20"/>
  <c r="C111" i="20" s="1"/>
  <c r="B9" i="20"/>
  <c r="B111" i="20" s="1"/>
  <c r="A9" i="20"/>
  <c r="A111" i="20" s="1"/>
  <c r="E394" i="19"/>
  <c r="E351" i="10" s="1"/>
  <c r="C394" i="19"/>
  <c r="C351" i="10" s="1"/>
  <c r="B394" i="19"/>
  <c r="B351" i="10" s="1"/>
  <c r="A394" i="19"/>
  <c r="A351" i="10" s="1"/>
  <c r="E383" i="19"/>
  <c r="C383" i="19"/>
  <c r="C338" i="10" s="1"/>
  <c r="B383" i="19"/>
  <c r="B338" i="10" s="1"/>
  <c r="A383" i="19"/>
  <c r="A338" i="10" s="1"/>
  <c r="E372" i="19"/>
  <c r="E325" i="10" s="1"/>
  <c r="C372" i="19"/>
  <c r="C325" i="10" s="1"/>
  <c r="B372" i="19"/>
  <c r="B325" i="10" s="1"/>
  <c r="A372" i="19"/>
  <c r="A325" i="10" s="1"/>
  <c r="E361" i="19"/>
  <c r="C361" i="19"/>
  <c r="B361" i="19"/>
  <c r="A361" i="19"/>
  <c r="A310" i="10" s="1"/>
  <c r="E350" i="19"/>
  <c r="E295" i="10" s="1"/>
  <c r="C350" i="19"/>
  <c r="C295" i="10" s="1"/>
  <c r="B350" i="19"/>
  <c r="B295" i="10" s="1"/>
  <c r="A350" i="19"/>
  <c r="A295" i="10" s="1"/>
  <c r="E339" i="19"/>
  <c r="C339" i="19"/>
  <c r="B339" i="19"/>
  <c r="A339" i="19"/>
  <c r="E328" i="19"/>
  <c r="E241" i="10" s="1"/>
  <c r="C328" i="19"/>
  <c r="C241" i="10" s="1"/>
  <c r="B328" i="19"/>
  <c r="B241" i="10" s="1"/>
  <c r="A328" i="19"/>
  <c r="A241" i="10" s="1"/>
  <c r="E317" i="19"/>
  <c r="C317" i="19"/>
  <c r="B317" i="19"/>
  <c r="B226" i="10" s="1"/>
  <c r="A317" i="19"/>
  <c r="E306" i="19"/>
  <c r="E187" i="10" s="1"/>
  <c r="C306" i="19"/>
  <c r="C187" i="10" s="1"/>
  <c r="B306" i="19"/>
  <c r="B187" i="10" s="1"/>
  <c r="A306" i="19"/>
  <c r="A187" i="10" s="1"/>
  <c r="E295" i="19"/>
  <c r="E172" i="10" s="1"/>
  <c r="C295" i="19"/>
  <c r="B295" i="19"/>
  <c r="A295" i="19"/>
  <c r="E284" i="19"/>
  <c r="E157" i="10" s="1"/>
  <c r="C284" i="19"/>
  <c r="C157" i="10" s="1"/>
  <c r="B284" i="19"/>
  <c r="B157" i="10" s="1"/>
  <c r="A284" i="19"/>
  <c r="A157" i="10" s="1"/>
  <c r="E273" i="19"/>
  <c r="E142" i="10" s="1"/>
  <c r="C273" i="19"/>
  <c r="C142" i="10" s="1"/>
  <c r="B273" i="19"/>
  <c r="B142" i="10" s="1"/>
  <c r="A273" i="19"/>
  <c r="E262" i="19"/>
  <c r="E101" i="10" s="1"/>
  <c r="C262" i="19"/>
  <c r="C101" i="10" s="1"/>
  <c r="B262" i="19"/>
  <c r="B101" i="10" s="1"/>
  <c r="A262" i="19"/>
  <c r="A101" i="10" s="1"/>
  <c r="E251" i="19"/>
  <c r="C251" i="19"/>
  <c r="C88" i="10" s="1"/>
  <c r="B251" i="19"/>
  <c r="B88" i="10" s="1"/>
  <c r="A251" i="19"/>
  <c r="A88" i="10" s="1"/>
  <c r="E240" i="19"/>
  <c r="E75" i="10" s="1"/>
  <c r="C240" i="19"/>
  <c r="C75" i="10" s="1"/>
  <c r="B240" i="19"/>
  <c r="B75" i="10" s="1"/>
  <c r="A240" i="19"/>
  <c r="A75" i="10" s="1"/>
  <c r="E229" i="19"/>
  <c r="C229" i="19"/>
  <c r="B229" i="19"/>
  <c r="A229" i="19"/>
  <c r="A60" i="10" s="1"/>
  <c r="E218" i="19"/>
  <c r="E45" i="10" s="1"/>
  <c r="C218" i="19"/>
  <c r="C45" i="10" s="1"/>
  <c r="B218" i="19"/>
  <c r="B45" i="10" s="1"/>
  <c r="A218" i="19"/>
  <c r="A45" i="10" s="1"/>
  <c r="E207" i="19"/>
  <c r="C207" i="19"/>
  <c r="B207" i="19"/>
  <c r="A207" i="19"/>
  <c r="E197" i="19"/>
  <c r="E196" i="19"/>
  <c r="E195" i="19"/>
  <c r="E194" i="19"/>
  <c r="E193" i="19"/>
  <c r="E192" i="19"/>
  <c r="E191" i="19"/>
  <c r="E274" i="19" s="1"/>
  <c r="C191" i="19"/>
  <c r="C384" i="19" s="1"/>
  <c r="B191" i="19"/>
  <c r="B296" i="19" s="1"/>
  <c r="A191" i="19"/>
  <c r="A340" i="19" s="1"/>
  <c r="C163" i="19"/>
  <c r="C95" i="19" s="1"/>
  <c r="B163" i="19"/>
  <c r="B95" i="19" s="1"/>
  <c r="A163" i="19"/>
  <c r="A95" i="19" s="1"/>
  <c r="E136" i="19"/>
  <c r="C135" i="19"/>
  <c r="C192" i="19" s="1"/>
  <c r="B135" i="19"/>
  <c r="B192" i="19" s="1"/>
  <c r="A135" i="19"/>
  <c r="A192" i="19" s="1"/>
  <c r="E119" i="19"/>
  <c r="C118" i="19"/>
  <c r="C193" i="19" s="1"/>
  <c r="B118" i="19"/>
  <c r="B193" i="19" s="1"/>
  <c r="A118" i="19"/>
  <c r="A193" i="19" s="1"/>
  <c r="E95" i="19"/>
  <c r="C94" i="19"/>
  <c r="C194" i="19" s="1"/>
  <c r="B94" i="19"/>
  <c r="B194" i="19" s="1"/>
  <c r="A94" i="19"/>
  <c r="A194" i="19" s="1"/>
  <c r="C72" i="19"/>
  <c r="C195" i="19" s="1"/>
  <c r="B72" i="19"/>
  <c r="B195" i="19" s="1"/>
  <c r="A72" i="19"/>
  <c r="A195" i="19" s="1"/>
  <c r="C55" i="19"/>
  <c r="C196" i="19" s="1"/>
  <c r="B55" i="19"/>
  <c r="B196" i="19" s="1"/>
  <c r="A55" i="19"/>
  <c r="A196" i="19" s="1"/>
  <c r="F9" i="19"/>
  <c r="F55" i="19" s="1"/>
  <c r="C9" i="19"/>
  <c r="C197" i="19" s="1"/>
  <c r="B9" i="19"/>
  <c r="B197" i="19" s="1"/>
  <c r="A9" i="19"/>
  <c r="A197" i="19" s="1"/>
  <c r="C208" i="19" l="1"/>
  <c r="B285" i="19"/>
  <c r="A241" i="19"/>
  <c r="E318" i="19"/>
  <c r="B274" i="19"/>
  <c r="C274" i="19"/>
  <c r="C296" i="19"/>
  <c r="A119" i="19"/>
  <c r="B119" i="19"/>
  <c r="E296" i="19"/>
  <c r="B329" i="19"/>
  <c r="A263" i="19"/>
  <c r="A395" i="19"/>
  <c r="C263" i="19"/>
  <c r="C285" i="19"/>
  <c r="E285" i="19"/>
  <c r="A373" i="19"/>
  <c r="A15" i="10"/>
  <c r="B395" i="19"/>
  <c r="E15" i="10"/>
  <c r="B263" i="19"/>
  <c r="B373" i="19"/>
  <c r="B310" i="10"/>
  <c r="C395" i="19"/>
  <c r="C15" i="10"/>
  <c r="B241" i="19"/>
  <c r="B60" i="10"/>
  <c r="A351" i="19"/>
  <c r="A280" i="10"/>
  <c r="B219" i="19"/>
  <c r="B30" i="10"/>
  <c r="B351" i="19"/>
  <c r="B280" i="10"/>
  <c r="C219" i="19"/>
  <c r="C30" i="10"/>
  <c r="E241" i="19"/>
  <c r="E60" i="10"/>
  <c r="E263" i="19"/>
  <c r="E88" i="10"/>
  <c r="A329" i="19"/>
  <c r="A226" i="10"/>
  <c r="C351" i="19"/>
  <c r="C280" i="10"/>
  <c r="B362" i="19"/>
  <c r="A384" i="19"/>
  <c r="C241" i="19"/>
  <c r="C60" i="10"/>
  <c r="E395" i="19"/>
  <c r="E338" i="10"/>
  <c r="E219" i="19"/>
  <c r="E30" i="10"/>
  <c r="B230" i="19"/>
  <c r="A252" i="19"/>
  <c r="A307" i="19"/>
  <c r="A172" i="10"/>
  <c r="E351" i="19"/>
  <c r="E280" i="10"/>
  <c r="C362" i="19"/>
  <c r="B384" i="19"/>
  <c r="C119" i="19"/>
  <c r="A219" i="19"/>
  <c r="A30" i="10"/>
  <c r="E307" i="19"/>
  <c r="A208" i="19"/>
  <c r="C230" i="19"/>
  <c r="B252" i="19"/>
  <c r="B307" i="19"/>
  <c r="B172" i="10"/>
  <c r="C329" i="19"/>
  <c r="C226" i="10"/>
  <c r="B340" i="19"/>
  <c r="E362" i="19"/>
  <c r="E384" i="19"/>
  <c r="C373" i="19"/>
  <c r="C310" i="10"/>
  <c r="B15" i="10"/>
  <c r="A285" i="19"/>
  <c r="A142" i="10"/>
  <c r="E373" i="19"/>
  <c r="E310" i="10"/>
  <c r="B208" i="19"/>
  <c r="E230" i="19"/>
  <c r="E252" i="19"/>
  <c r="A274" i="19"/>
  <c r="C307" i="19"/>
  <c r="C172" i="10"/>
  <c r="E329" i="19"/>
  <c r="E226" i="10"/>
  <c r="C340" i="19"/>
  <c r="E441" i="20"/>
  <c r="E414" i="10"/>
  <c r="A221" i="20"/>
  <c r="A143" i="10"/>
  <c r="A287" i="20"/>
  <c r="A227" i="10"/>
  <c r="A353" i="20"/>
  <c r="A311" i="10"/>
  <c r="A419" i="20"/>
  <c r="A388" i="10"/>
  <c r="B155" i="20"/>
  <c r="B61" i="10"/>
  <c r="B221" i="20"/>
  <c r="B143" i="10"/>
  <c r="B287" i="20"/>
  <c r="B227" i="10"/>
  <c r="B353" i="20"/>
  <c r="B311" i="10"/>
  <c r="B419" i="20"/>
  <c r="B388" i="10"/>
  <c r="C155" i="20"/>
  <c r="C61" i="10"/>
  <c r="C221" i="20"/>
  <c r="C143" i="10"/>
  <c r="C287" i="20"/>
  <c r="C227" i="10"/>
  <c r="C353" i="20"/>
  <c r="C311" i="10"/>
  <c r="C419" i="20"/>
  <c r="C388" i="10"/>
  <c r="A16" i="10"/>
  <c r="E353" i="20"/>
  <c r="E311" i="10"/>
  <c r="E419" i="20"/>
  <c r="E388" i="10"/>
  <c r="E375" i="20"/>
  <c r="E339" i="10"/>
  <c r="A265" i="20"/>
  <c r="A200" i="10"/>
  <c r="A331" i="20"/>
  <c r="A281" i="10"/>
  <c r="C16" i="10"/>
  <c r="E243" i="20"/>
  <c r="E173" i="10"/>
  <c r="A155" i="20"/>
  <c r="A61" i="10"/>
  <c r="E287" i="20"/>
  <c r="E227" i="10"/>
  <c r="A133" i="20"/>
  <c r="A31" i="10"/>
  <c r="E309" i="20"/>
  <c r="E254" i="10"/>
  <c r="E155" i="20"/>
  <c r="E61" i="10"/>
  <c r="E221" i="20"/>
  <c r="E143" i="10"/>
  <c r="A199" i="20"/>
  <c r="A115" i="10"/>
  <c r="A397" i="20"/>
  <c r="A364" i="10"/>
  <c r="B133" i="20"/>
  <c r="B31" i="10"/>
  <c r="B199" i="20"/>
  <c r="B115" i="10"/>
  <c r="B265" i="20"/>
  <c r="B200" i="10"/>
  <c r="B331" i="20"/>
  <c r="B281" i="10"/>
  <c r="B397" i="20"/>
  <c r="B364" i="10"/>
  <c r="B16" i="10"/>
  <c r="C133" i="20"/>
  <c r="C31" i="10"/>
  <c r="C199" i="20"/>
  <c r="C115" i="10"/>
  <c r="C265" i="20"/>
  <c r="C200" i="10"/>
  <c r="C331" i="20"/>
  <c r="C281" i="10"/>
  <c r="C397" i="20"/>
  <c r="C364" i="10"/>
  <c r="E133" i="20"/>
  <c r="E31" i="10"/>
  <c r="E199" i="20"/>
  <c r="E115" i="10"/>
  <c r="E265" i="20"/>
  <c r="E200" i="10"/>
  <c r="E331" i="20"/>
  <c r="E281" i="10"/>
  <c r="E397" i="20"/>
  <c r="E364" i="10"/>
  <c r="A375" i="20"/>
  <c r="A339" i="10"/>
  <c r="A441" i="20"/>
  <c r="A414" i="10"/>
  <c r="E177" i="20"/>
  <c r="E89" i="10"/>
  <c r="A177" i="20"/>
  <c r="A89" i="10"/>
  <c r="A309" i="20"/>
  <c r="A254" i="10"/>
  <c r="A243" i="20"/>
  <c r="A173" i="10"/>
  <c r="B177" i="20"/>
  <c r="B89" i="10"/>
  <c r="B243" i="20"/>
  <c r="B173" i="10"/>
  <c r="B309" i="20"/>
  <c r="B254" i="10"/>
  <c r="B375" i="20"/>
  <c r="B339" i="10"/>
  <c r="B441" i="20"/>
  <c r="B414" i="10"/>
  <c r="C177" i="20"/>
  <c r="C89" i="10"/>
  <c r="C243" i="20"/>
  <c r="C173" i="10"/>
  <c r="C309" i="20"/>
  <c r="C254" i="10"/>
  <c r="C375" i="20"/>
  <c r="C339" i="10"/>
  <c r="C441" i="20"/>
  <c r="C414" i="10"/>
  <c r="F197" i="19"/>
  <c r="B122" i="20"/>
  <c r="B144" i="20"/>
  <c r="B254" i="20"/>
  <c r="B386" i="20"/>
  <c r="C122" i="20"/>
  <c r="E144" i="20"/>
  <c r="A232" i="20"/>
  <c r="C254" i="20"/>
  <c r="E276" i="20"/>
  <c r="A364" i="20"/>
  <c r="C386" i="20"/>
  <c r="E408" i="20"/>
  <c r="B232" i="20"/>
  <c r="B364" i="20"/>
  <c r="E122" i="20"/>
  <c r="A210" i="20"/>
  <c r="C232" i="20"/>
  <c r="E254" i="20"/>
  <c r="A342" i="20"/>
  <c r="C364" i="20"/>
  <c r="E386" i="20"/>
  <c r="B210" i="20"/>
  <c r="B342" i="20"/>
  <c r="F111" i="20"/>
  <c r="A188" i="20"/>
  <c r="C210" i="20"/>
  <c r="E232" i="20"/>
  <c r="A320" i="20"/>
  <c r="C342" i="20"/>
  <c r="E364" i="20"/>
  <c r="B188" i="20"/>
  <c r="B320" i="20"/>
  <c r="A166" i="20"/>
  <c r="C188" i="20"/>
  <c r="E210" i="20"/>
  <c r="A298" i="20"/>
  <c r="C320" i="20"/>
  <c r="E342" i="20"/>
  <c r="A430" i="20"/>
  <c r="B166" i="20"/>
  <c r="B298" i="20"/>
  <c r="B430" i="20"/>
  <c r="A144" i="20"/>
  <c r="C166" i="20"/>
  <c r="E188" i="20"/>
  <c r="A276" i="20"/>
  <c r="C298" i="20"/>
  <c r="E320" i="20"/>
  <c r="A408" i="20"/>
  <c r="C430" i="20"/>
  <c r="B276" i="20"/>
  <c r="A122" i="20"/>
  <c r="C144" i="20"/>
  <c r="E166" i="20"/>
  <c r="A254" i="20"/>
  <c r="C276" i="20"/>
  <c r="E298" i="20"/>
  <c r="F196" i="19"/>
  <c r="F72" i="19"/>
  <c r="F195" i="19" s="1"/>
  <c r="F94" i="19"/>
  <c r="A318" i="19"/>
  <c r="B318" i="19"/>
  <c r="E208" i="19"/>
  <c r="A296" i="19"/>
  <c r="C318" i="19"/>
  <c r="E340" i="19"/>
  <c r="A230" i="19"/>
  <c r="C252" i="19"/>
  <c r="A362" i="19"/>
  <c r="F194" i="19" l="1"/>
  <c r="F118" i="19"/>
  <c r="F135" i="19" l="1"/>
  <c r="F193" i="19"/>
  <c r="F109" i="20" l="1"/>
  <c r="F16" i="10" s="1"/>
  <c r="F110" i="20"/>
  <c r="F192" i="19"/>
  <c r="F163" i="19"/>
  <c r="F178" i="19" s="1"/>
  <c r="F73" i="19" s="1"/>
  <c r="F191" i="19"/>
  <c r="F15" i="10" s="1"/>
  <c r="F320" i="20" l="1"/>
  <c r="F188" i="20"/>
  <c r="F121" i="20"/>
  <c r="F31" i="10" s="1"/>
  <c r="F342" i="20"/>
  <c r="F210" i="20"/>
  <c r="F364" i="20"/>
  <c r="F232" i="20"/>
  <c r="F166" i="20"/>
  <c r="F386" i="20"/>
  <c r="F254" i="20"/>
  <c r="F122" i="20"/>
  <c r="F408" i="20"/>
  <c r="F276" i="20"/>
  <c r="F144" i="20"/>
  <c r="F298" i="20"/>
  <c r="F430" i="20"/>
  <c r="F296" i="19"/>
  <c r="F340" i="19"/>
  <c r="F208" i="19"/>
  <c r="F384" i="19"/>
  <c r="F274" i="19"/>
  <c r="F362" i="19"/>
  <c r="F230" i="19"/>
  <c r="F252" i="19"/>
  <c r="F207" i="19"/>
  <c r="F30" i="10" s="1"/>
  <c r="F318" i="19"/>
  <c r="F119" i="19"/>
  <c r="F95" i="19"/>
  <c r="F132" i="20" l="1"/>
  <c r="F133" i="20"/>
  <c r="F218" i="19"/>
  <c r="F219" i="19"/>
  <c r="E542" i="13"/>
  <c r="E427" i="10" s="1"/>
  <c r="C542" i="13"/>
  <c r="C427" i="10" s="1"/>
  <c r="B542" i="13"/>
  <c r="B427" i="10" s="1"/>
  <c r="A542" i="13"/>
  <c r="A427" i="10" s="1"/>
  <c r="E531" i="13"/>
  <c r="C531" i="13"/>
  <c r="B531" i="13"/>
  <c r="A531" i="13"/>
  <c r="E520" i="13"/>
  <c r="E399" i="10" s="1"/>
  <c r="C520" i="13"/>
  <c r="C399" i="10" s="1"/>
  <c r="B520" i="13"/>
  <c r="B399" i="10" s="1"/>
  <c r="A520" i="13"/>
  <c r="A399" i="10" s="1"/>
  <c r="E509" i="13"/>
  <c r="C509" i="13"/>
  <c r="B509" i="13"/>
  <c r="A509" i="13"/>
  <c r="E498" i="13"/>
  <c r="E375" i="10" s="1"/>
  <c r="C498" i="13"/>
  <c r="C375" i="10" s="1"/>
  <c r="B498" i="13"/>
  <c r="B375" i="10" s="1"/>
  <c r="A498" i="13"/>
  <c r="A375" i="10" s="1"/>
  <c r="E487" i="13"/>
  <c r="C487" i="13"/>
  <c r="B487" i="13"/>
  <c r="A487" i="13"/>
  <c r="E476" i="13"/>
  <c r="E350" i="10" s="1"/>
  <c r="C476" i="13"/>
  <c r="C350" i="10" s="1"/>
  <c r="B476" i="13"/>
  <c r="B350" i="10" s="1"/>
  <c r="A476" i="13"/>
  <c r="A350" i="10" s="1"/>
  <c r="E465" i="13"/>
  <c r="C465" i="13"/>
  <c r="B465" i="13"/>
  <c r="A465" i="13"/>
  <c r="B455" i="13"/>
  <c r="E454" i="13"/>
  <c r="E324" i="10" s="1"/>
  <c r="C454" i="13"/>
  <c r="C324" i="10" s="1"/>
  <c r="B454" i="13"/>
  <c r="B324" i="10" s="1"/>
  <c r="A454" i="13"/>
  <c r="A324" i="10" s="1"/>
  <c r="E443" i="13"/>
  <c r="C443" i="13"/>
  <c r="B443" i="13"/>
  <c r="B309" i="10" s="1"/>
  <c r="A443" i="13"/>
  <c r="B433" i="13"/>
  <c r="E432" i="13"/>
  <c r="E294" i="10" s="1"/>
  <c r="C432" i="13"/>
  <c r="C294" i="10" s="1"/>
  <c r="B432" i="13"/>
  <c r="B294" i="10" s="1"/>
  <c r="A432" i="13"/>
  <c r="A294" i="10" s="1"/>
  <c r="E421" i="13"/>
  <c r="C421" i="13"/>
  <c r="B421" i="13"/>
  <c r="B279" i="10" s="1"/>
  <c r="A421" i="13"/>
  <c r="E410" i="13"/>
  <c r="E265" i="10" s="1"/>
  <c r="C410" i="13"/>
  <c r="C265" i="10" s="1"/>
  <c r="B410" i="13"/>
  <c r="B265" i="10" s="1"/>
  <c r="A410" i="13"/>
  <c r="A265" i="10" s="1"/>
  <c r="E399" i="13"/>
  <c r="C399" i="13"/>
  <c r="B399" i="13"/>
  <c r="A399" i="13"/>
  <c r="E388" i="13"/>
  <c r="E240" i="10" s="1"/>
  <c r="C388" i="13"/>
  <c r="C240" i="10" s="1"/>
  <c r="B388" i="13"/>
  <c r="B240" i="10" s="1"/>
  <c r="A388" i="13"/>
  <c r="A240" i="10" s="1"/>
  <c r="E377" i="13"/>
  <c r="C377" i="13"/>
  <c r="B377" i="13"/>
  <c r="A377" i="13"/>
  <c r="E366" i="13"/>
  <c r="E211" i="10" s="1"/>
  <c r="C366" i="13"/>
  <c r="C211" i="10" s="1"/>
  <c r="B366" i="13"/>
  <c r="B211" i="10" s="1"/>
  <c r="A366" i="13"/>
  <c r="A211" i="10" s="1"/>
  <c r="E355" i="13"/>
  <c r="C355" i="13"/>
  <c r="B355" i="13"/>
  <c r="A355" i="13"/>
  <c r="E344" i="13"/>
  <c r="E186" i="10" s="1"/>
  <c r="C344" i="13"/>
  <c r="C186" i="10" s="1"/>
  <c r="B344" i="13"/>
  <c r="B186" i="10" s="1"/>
  <c r="A344" i="13"/>
  <c r="A186" i="10" s="1"/>
  <c r="E333" i="13"/>
  <c r="C333" i="13"/>
  <c r="B333" i="13"/>
  <c r="A333" i="13"/>
  <c r="E322" i="13"/>
  <c r="E156" i="10" s="1"/>
  <c r="C322" i="13"/>
  <c r="C156" i="10" s="1"/>
  <c r="B322" i="13"/>
  <c r="B156" i="10" s="1"/>
  <c r="A322" i="13"/>
  <c r="A156" i="10" s="1"/>
  <c r="E311" i="13"/>
  <c r="C311" i="13"/>
  <c r="B311" i="13"/>
  <c r="B141" i="10" s="1"/>
  <c r="A311" i="13"/>
  <c r="E300" i="13"/>
  <c r="E127" i="10" s="1"/>
  <c r="C300" i="13"/>
  <c r="C127" i="10" s="1"/>
  <c r="B300" i="13"/>
  <c r="B127" i="10" s="1"/>
  <c r="A300" i="13"/>
  <c r="A127" i="10" s="1"/>
  <c r="E289" i="13"/>
  <c r="C289" i="13"/>
  <c r="B289" i="13"/>
  <c r="A289" i="13"/>
  <c r="E278" i="13"/>
  <c r="E100" i="10" s="1"/>
  <c r="C278" i="13"/>
  <c r="C100" i="10" s="1"/>
  <c r="B278" i="13"/>
  <c r="B100" i="10" s="1"/>
  <c r="A278" i="13"/>
  <c r="A100" i="10" s="1"/>
  <c r="E267" i="13"/>
  <c r="C267" i="13"/>
  <c r="B267" i="13"/>
  <c r="B87" i="10" s="1"/>
  <c r="A267" i="13"/>
  <c r="E256" i="13"/>
  <c r="E74" i="10" s="1"/>
  <c r="C256" i="13"/>
  <c r="C74" i="10" s="1"/>
  <c r="B256" i="13"/>
  <c r="B74" i="10" s="1"/>
  <c r="A256" i="13"/>
  <c r="A74" i="10" s="1"/>
  <c r="E245" i="13"/>
  <c r="E59" i="10" s="1"/>
  <c r="C245" i="13"/>
  <c r="B245" i="13"/>
  <c r="A245" i="13"/>
  <c r="E235" i="13"/>
  <c r="E234" i="13"/>
  <c r="E44" i="10" s="1"/>
  <c r="C234" i="13"/>
  <c r="C44" i="10" s="1"/>
  <c r="B234" i="13"/>
  <c r="B44" i="10" s="1"/>
  <c r="A234" i="13"/>
  <c r="A44" i="10" s="1"/>
  <c r="E223" i="13"/>
  <c r="E29" i="10" s="1"/>
  <c r="C223" i="13"/>
  <c r="B223" i="13"/>
  <c r="A223" i="13"/>
  <c r="E137" i="13"/>
  <c r="E58" i="13"/>
  <c r="C189" i="13"/>
  <c r="C137" i="13" s="1"/>
  <c r="B189" i="13"/>
  <c r="B137" i="13" s="1"/>
  <c r="A189" i="13"/>
  <c r="A137" i="13" s="1"/>
  <c r="C175" i="13"/>
  <c r="C58" i="13" s="1"/>
  <c r="B175" i="13"/>
  <c r="B58" i="13" s="1"/>
  <c r="A175" i="13"/>
  <c r="A58" i="13" s="1"/>
  <c r="E213" i="13"/>
  <c r="E212" i="13"/>
  <c r="E211" i="13"/>
  <c r="E210" i="13"/>
  <c r="E209" i="13"/>
  <c r="B279" i="13" l="1"/>
  <c r="E257" i="13"/>
  <c r="B323" i="13"/>
  <c r="B136" i="19"/>
  <c r="B57" i="20"/>
  <c r="C235" i="13"/>
  <c r="C29" i="10"/>
  <c r="B257" i="13"/>
  <c r="B59" i="10"/>
  <c r="A279" i="13"/>
  <c r="A87" i="10"/>
  <c r="C136" i="19"/>
  <c r="C57" i="20"/>
  <c r="C257" i="13"/>
  <c r="C59" i="10"/>
  <c r="A301" i="13"/>
  <c r="A114" i="10"/>
  <c r="A323" i="13"/>
  <c r="A141" i="10"/>
  <c r="A136" i="19"/>
  <c r="A57" i="20"/>
  <c r="C279" i="13"/>
  <c r="C87" i="10"/>
  <c r="B301" i="13"/>
  <c r="B114" i="10"/>
  <c r="A345" i="13"/>
  <c r="A171" i="10"/>
  <c r="A367" i="13"/>
  <c r="A199" i="10"/>
  <c r="A389" i="13"/>
  <c r="A225" i="10"/>
  <c r="A411" i="13"/>
  <c r="A253" i="10"/>
  <c r="A433" i="13"/>
  <c r="A279" i="10"/>
  <c r="B235" i="13"/>
  <c r="B29" i="10"/>
  <c r="E279" i="13"/>
  <c r="E87" i="10"/>
  <c r="C301" i="13"/>
  <c r="C114" i="10"/>
  <c r="C323" i="13"/>
  <c r="C141" i="10"/>
  <c r="B345" i="13"/>
  <c r="B171" i="10"/>
  <c r="B367" i="13"/>
  <c r="B199" i="10"/>
  <c r="B389" i="13"/>
  <c r="B225" i="10"/>
  <c r="B411" i="13"/>
  <c r="B253" i="10"/>
  <c r="A455" i="13"/>
  <c r="A309" i="10"/>
  <c r="A257" i="13"/>
  <c r="A59" i="10"/>
  <c r="E301" i="13"/>
  <c r="E114" i="10"/>
  <c r="E323" i="13"/>
  <c r="E141" i="10"/>
  <c r="C345" i="13"/>
  <c r="C171" i="10"/>
  <c r="C367" i="13"/>
  <c r="C199" i="10"/>
  <c r="C389" i="13"/>
  <c r="C225" i="10"/>
  <c r="C411" i="13"/>
  <c r="C253" i="10"/>
  <c r="C433" i="13"/>
  <c r="C279" i="10"/>
  <c r="A477" i="13"/>
  <c r="A337" i="10"/>
  <c r="A499" i="13"/>
  <c r="A363" i="10"/>
  <c r="A521" i="13"/>
  <c r="A387" i="10"/>
  <c r="A543" i="13"/>
  <c r="A413" i="10"/>
  <c r="A235" i="13"/>
  <c r="A29" i="10"/>
  <c r="E345" i="13"/>
  <c r="E171" i="10"/>
  <c r="E367" i="13"/>
  <c r="E199" i="10"/>
  <c r="E389" i="13"/>
  <c r="E225" i="10"/>
  <c r="E411" i="13"/>
  <c r="E253" i="10"/>
  <c r="E433" i="13"/>
  <c r="E279" i="10"/>
  <c r="C455" i="13"/>
  <c r="C309" i="10"/>
  <c r="B477" i="13"/>
  <c r="B337" i="10"/>
  <c r="B499" i="13"/>
  <c r="B363" i="10"/>
  <c r="B521" i="13"/>
  <c r="B387" i="10"/>
  <c r="B543" i="13"/>
  <c r="B413" i="10"/>
  <c r="E455" i="13"/>
  <c r="E309" i="10"/>
  <c r="C477" i="13"/>
  <c r="C337" i="10"/>
  <c r="C499" i="13"/>
  <c r="C363" i="10"/>
  <c r="C521" i="13"/>
  <c r="C387" i="10"/>
  <c r="C543" i="13"/>
  <c r="C413" i="10"/>
  <c r="E477" i="13"/>
  <c r="E337" i="10"/>
  <c r="E499" i="13"/>
  <c r="E363" i="10"/>
  <c r="E521" i="13"/>
  <c r="E387" i="10"/>
  <c r="E543" i="13"/>
  <c r="E413" i="10"/>
  <c r="F229" i="19"/>
  <c r="F60" i="10" s="1"/>
  <c r="F45" i="10"/>
  <c r="F143" i="20"/>
  <c r="F61" i="10" s="1"/>
  <c r="F46" i="10"/>
  <c r="E208" i="13"/>
  <c r="C208" i="13"/>
  <c r="B208" i="13"/>
  <c r="A208" i="13"/>
  <c r="C136" i="13"/>
  <c r="C209" i="13" s="1"/>
  <c r="B136" i="13"/>
  <c r="B209" i="13" s="1"/>
  <c r="A136" i="13"/>
  <c r="A209" i="13" s="1"/>
  <c r="C121" i="13"/>
  <c r="C210" i="13" s="1"/>
  <c r="B121" i="13"/>
  <c r="B210" i="13" s="1"/>
  <c r="A121" i="13"/>
  <c r="A210" i="13" s="1"/>
  <c r="C103" i="13"/>
  <c r="C211" i="13" s="1"/>
  <c r="B103" i="13"/>
  <c r="B211" i="13" s="1"/>
  <c r="A103" i="13"/>
  <c r="A211" i="13" s="1"/>
  <c r="A14" i="10" l="1"/>
  <c r="A378" i="13"/>
  <c r="A356" i="13"/>
  <c r="A312" i="13"/>
  <c r="A246" i="13"/>
  <c r="A224" i="13"/>
  <c r="A400" i="13"/>
  <c r="A290" i="13"/>
  <c r="A268" i="13"/>
  <c r="A422" i="13"/>
  <c r="A334" i="13"/>
  <c r="A532" i="13"/>
  <c r="A510" i="13"/>
  <c r="A488" i="13"/>
  <c r="A466" i="13"/>
  <c r="A444" i="13"/>
  <c r="B14" i="10"/>
  <c r="B290" i="13"/>
  <c r="B268" i="13"/>
  <c r="B356" i="13"/>
  <c r="B334" i="13"/>
  <c r="B246" i="13"/>
  <c r="B224" i="13"/>
  <c r="B466" i="13"/>
  <c r="B400" i="13"/>
  <c r="B312" i="13"/>
  <c r="B532" i="13"/>
  <c r="B510" i="13"/>
  <c r="B488" i="13"/>
  <c r="B444" i="13"/>
  <c r="B422" i="13"/>
  <c r="B378" i="13"/>
  <c r="E14" i="10"/>
  <c r="E224" i="13"/>
  <c r="E532" i="13"/>
  <c r="E510" i="13"/>
  <c r="E488" i="13"/>
  <c r="E444" i="13"/>
  <c r="E466" i="13"/>
  <c r="E422" i="13"/>
  <c r="E246" i="13"/>
  <c r="E400" i="13"/>
  <c r="E378" i="13"/>
  <c r="E356" i="13"/>
  <c r="E334" i="13"/>
  <c r="E312" i="13"/>
  <c r="E290" i="13"/>
  <c r="E268" i="13"/>
  <c r="C14" i="10"/>
  <c r="C224" i="13"/>
  <c r="C268" i="13"/>
  <c r="C290" i="13"/>
  <c r="C532" i="13"/>
  <c r="C510" i="13"/>
  <c r="C488" i="13"/>
  <c r="C444" i="13"/>
  <c r="C466" i="13"/>
  <c r="C422" i="13"/>
  <c r="C246" i="13"/>
  <c r="C400" i="13"/>
  <c r="C378" i="13"/>
  <c r="C356" i="13"/>
  <c r="C334" i="13"/>
  <c r="C312" i="13"/>
  <c r="F155" i="20"/>
  <c r="F240" i="19"/>
  <c r="F251" i="19" s="1"/>
  <c r="F88" i="10" s="1"/>
  <c r="F241" i="19"/>
  <c r="F154" i="20"/>
  <c r="F165" i="20" s="1"/>
  <c r="F89" i="10" s="1"/>
  <c r="F75" i="10" l="1"/>
  <c r="F76" i="10"/>
  <c r="F262" i="19"/>
  <c r="F263" i="19"/>
  <c r="F176" i="20"/>
  <c r="F177" i="20"/>
  <c r="F101" i="10" l="1"/>
  <c r="F273" i="19"/>
  <c r="F187" i="20"/>
  <c r="F115" i="10" s="1"/>
  <c r="F102" i="10"/>
  <c r="F142" i="10" l="1"/>
  <c r="F285" i="19"/>
  <c r="F284" i="19"/>
  <c r="F199" i="20"/>
  <c r="F198" i="20"/>
  <c r="F295" i="19" l="1"/>
  <c r="F172" i="10" s="1"/>
  <c r="F157" i="10"/>
  <c r="F209" i="20"/>
  <c r="F143" i="10" s="1"/>
  <c r="F128" i="10"/>
  <c r="C57" i="13"/>
  <c r="C212" i="13" s="1"/>
  <c r="B57" i="13"/>
  <c r="B212" i="13" s="1"/>
  <c r="A57" i="13"/>
  <c r="A212" i="13" s="1"/>
  <c r="F9" i="13"/>
  <c r="F213" i="13" s="1"/>
  <c r="C9" i="13"/>
  <c r="C213" i="13" s="1"/>
  <c r="B9" i="13"/>
  <c r="B213" i="13" s="1"/>
  <c r="A9" i="13"/>
  <c r="A213" i="13" s="1"/>
  <c r="J81" i="6"/>
  <c r="F306" i="19" l="1"/>
  <c r="F307" i="19"/>
  <c r="F220" i="20"/>
  <c r="F158" i="10" s="1"/>
  <c r="F221" i="20"/>
  <c r="F317" i="19"/>
  <c r="F226" i="10" s="1"/>
  <c r="F187" i="10"/>
  <c r="F231" i="20"/>
  <c r="F173" i="10" s="1"/>
  <c r="F57" i="13"/>
  <c r="E277" i="3"/>
  <c r="E426" i="10" s="1"/>
  <c r="C277" i="3"/>
  <c r="C426" i="10" s="1"/>
  <c r="B277" i="3"/>
  <c r="B426" i="10" s="1"/>
  <c r="A277" i="3"/>
  <c r="A426" i="10" s="1"/>
  <c r="E266" i="3"/>
  <c r="C266" i="3"/>
  <c r="B266" i="3"/>
  <c r="A266" i="3"/>
  <c r="E255" i="3"/>
  <c r="E323" i="10" s="1"/>
  <c r="C255" i="3"/>
  <c r="C323" i="10" s="1"/>
  <c r="B255" i="3"/>
  <c r="B323" i="10" s="1"/>
  <c r="A255" i="3"/>
  <c r="A323" i="10" s="1"/>
  <c r="E244" i="3"/>
  <c r="C244" i="3"/>
  <c r="B244" i="3"/>
  <c r="A244" i="3"/>
  <c r="E233" i="3"/>
  <c r="E293" i="10" s="1"/>
  <c r="C233" i="3"/>
  <c r="C293" i="10" s="1"/>
  <c r="B233" i="3"/>
  <c r="B293" i="10" s="1"/>
  <c r="A233" i="3"/>
  <c r="A293" i="10" s="1"/>
  <c r="E222" i="3"/>
  <c r="E278" i="10" s="1"/>
  <c r="C222" i="3"/>
  <c r="B222" i="3"/>
  <c r="A222" i="3"/>
  <c r="E211" i="3"/>
  <c r="E43" i="10" s="1"/>
  <c r="C211" i="3"/>
  <c r="C43" i="10" s="1"/>
  <c r="B211" i="3"/>
  <c r="B43" i="10" s="1"/>
  <c r="A211" i="3"/>
  <c r="A43" i="10" s="1"/>
  <c r="E200" i="3"/>
  <c r="E28" i="10" s="1"/>
  <c r="C200" i="3"/>
  <c r="B200" i="3"/>
  <c r="A200" i="3"/>
  <c r="E189" i="3"/>
  <c r="E239" i="10" s="1"/>
  <c r="C189" i="3"/>
  <c r="C239" i="10" s="1"/>
  <c r="B189" i="3"/>
  <c r="B239" i="10" s="1"/>
  <c r="A189" i="3"/>
  <c r="A239" i="10" s="1"/>
  <c r="E178" i="3"/>
  <c r="C178" i="3"/>
  <c r="B178" i="3"/>
  <c r="A178" i="3"/>
  <c r="E167" i="3"/>
  <c r="E185" i="10" s="1"/>
  <c r="C167" i="3"/>
  <c r="C185" i="10" s="1"/>
  <c r="B167" i="3"/>
  <c r="B185" i="10" s="1"/>
  <c r="A167" i="3"/>
  <c r="A185" i="10" s="1"/>
  <c r="E156" i="3"/>
  <c r="C156" i="3"/>
  <c r="B156" i="3"/>
  <c r="A156" i="3"/>
  <c r="E145" i="3"/>
  <c r="E155" i="10" s="1"/>
  <c r="C145" i="3"/>
  <c r="C155" i="10" s="1"/>
  <c r="B145" i="3"/>
  <c r="B155" i="10" s="1"/>
  <c r="A145" i="3"/>
  <c r="A155" i="10" s="1"/>
  <c r="E134" i="3"/>
  <c r="E140" i="10" s="1"/>
  <c r="C134" i="3"/>
  <c r="B134" i="3"/>
  <c r="A134" i="3"/>
  <c r="E146" i="3" l="1"/>
  <c r="A190" i="3"/>
  <c r="A224" i="10"/>
  <c r="A212" i="3"/>
  <c r="A28" i="10"/>
  <c r="C146" i="3"/>
  <c r="C140" i="10"/>
  <c r="B168" i="3"/>
  <c r="B170" i="10"/>
  <c r="B190" i="3"/>
  <c r="B224" i="10"/>
  <c r="B212" i="3"/>
  <c r="B28" i="10"/>
  <c r="A234" i="3"/>
  <c r="A278" i="10"/>
  <c r="C168" i="3"/>
  <c r="C170" i="10"/>
  <c r="C190" i="3"/>
  <c r="C224" i="10"/>
  <c r="C212" i="3"/>
  <c r="C28" i="10"/>
  <c r="B234" i="3"/>
  <c r="B278" i="10"/>
  <c r="A256" i="3"/>
  <c r="A308" i="10"/>
  <c r="A278" i="3"/>
  <c r="A412" i="10"/>
  <c r="C234" i="3"/>
  <c r="C278" i="10"/>
  <c r="E256" i="3"/>
  <c r="E308" i="10"/>
  <c r="E278" i="3"/>
  <c r="E412" i="10"/>
  <c r="B256" i="3"/>
  <c r="B308" i="10"/>
  <c r="B278" i="3"/>
  <c r="B412" i="10"/>
  <c r="E190" i="3"/>
  <c r="E224" i="10"/>
  <c r="C278" i="3"/>
  <c r="C412" i="10"/>
  <c r="A146" i="3"/>
  <c r="A140" i="10"/>
  <c r="B146" i="3"/>
  <c r="B140" i="10"/>
  <c r="E168" i="3"/>
  <c r="E170" i="10"/>
  <c r="E212" i="3"/>
  <c r="A168" i="3"/>
  <c r="A170" i="10"/>
  <c r="C256" i="3"/>
  <c r="C308" i="10"/>
  <c r="E234" i="3"/>
  <c r="F329" i="19"/>
  <c r="F243" i="20"/>
  <c r="F328" i="19"/>
  <c r="F339" i="19" s="1"/>
  <c r="F242" i="20"/>
  <c r="F253" i="20"/>
  <c r="F200" i="10" s="1"/>
  <c r="F188" i="10"/>
  <c r="F212" i="13"/>
  <c r="F103" i="13"/>
  <c r="E123" i="3"/>
  <c r="E73" i="10" s="1"/>
  <c r="C123" i="3"/>
  <c r="C73" i="10" s="1"/>
  <c r="B123" i="3"/>
  <c r="B73" i="10" s="1"/>
  <c r="A123" i="3"/>
  <c r="A73" i="10" s="1"/>
  <c r="E112" i="3"/>
  <c r="E58" i="10" s="1"/>
  <c r="C112" i="3"/>
  <c r="C58" i="10" s="1"/>
  <c r="B112" i="3"/>
  <c r="B58" i="10" s="1"/>
  <c r="A112" i="3"/>
  <c r="E102" i="3"/>
  <c r="E101" i="3"/>
  <c r="E100" i="3"/>
  <c r="A124" i="3" l="1"/>
  <c r="A58" i="10"/>
  <c r="E124" i="3"/>
  <c r="C124" i="3"/>
  <c r="B124" i="3"/>
  <c r="F241" i="10"/>
  <c r="F280" i="10"/>
  <c r="F351" i="19"/>
  <c r="F350" i="19"/>
  <c r="F265" i="20"/>
  <c r="F361" i="19"/>
  <c r="F310" i="10" s="1"/>
  <c r="F295" i="10"/>
  <c r="F264" i="20"/>
  <c r="F275" i="20" s="1"/>
  <c r="F372" i="19"/>
  <c r="F373" i="19"/>
  <c r="F211" i="13"/>
  <c r="F121" i="13"/>
  <c r="E98" i="3"/>
  <c r="C98" i="3"/>
  <c r="B98" i="3"/>
  <c r="A98" i="3"/>
  <c r="E71" i="3"/>
  <c r="E99" i="3" s="1"/>
  <c r="C71" i="3"/>
  <c r="C99" i="3" s="1"/>
  <c r="B71" i="3"/>
  <c r="B99" i="3" s="1"/>
  <c r="A71" i="3"/>
  <c r="A99" i="3" s="1"/>
  <c r="C49" i="3"/>
  <c r="C100" i="3" s="1"/>
  <c r="B49" i="3"/>
  <c r="B100" i="3" s="1"/>
  <c r="A49" i="3"/>
  <c r="A100" i="3" s="1"/>
  <c r="C33" i="3"/>
  <c r="C101" i="3" s="1"/>
  <c r="B33" i="3"/>
  <c r="B101" i="3" s="1"/>
  <c r="A33" i="3"/>
  <c r="A101" i="3" s="1"/>
  <c r="F9" i="3"/>
  <c r="F102" i="3" s="1"/>
  <c r="C9" i="3"/>
  <c r="C102" i="3" s="1"/>
  <c r="B9" i="3"/>
  <c r="B102" i="3" s="1"/>
  <c r="A9" i="3"/>
  <c r="A102" i="3" s="1"/>
  <c r="E294" i="5"/>
  <c r="E293" i="5"/>
  <c r="E425" i="10" s="1"/>
  <c r="C293" i="5"/>
  <c r="C425" i="10" s="1"/>
  <c r="B293" i="5"/>
  <c r="B425" i="10" s="1"/>
  <c r="A293" i="5"/>
  <c r="A425" i="10" s="1"/>
  <c r="E282" i="5"/>
  <c r="E411" i="10" s="1"/>
  <c r="C282" i="5"/>
  <c r="C411" i="10" s="1"/>
  <c r="B282" i="5"/>
  <c r="B411" i="10" s="1"/>
  <c r="A282" i="5"/>
  <c r="A411" i="10" s="1"/>
  <c r="E271" i="5"/>
  <c r="E322" i="10" s="1"/>
  <c r="C271" i="5"/>
  <c r="C322" i="10" s="1"/>
  <c r="B271" i="5"/>
  <c r="B322" i="10" s="1"/>
  <c r="A271" i="5"/>
  <c r="A322" i="10" s="1"/>
  <c r="E260" i="5"/>
  <c r="E307" i="10" s="1"/>
  <c r="C260" i="5"/>
  <c r="C307" i="10" s="1"/>
  <c r="B260" i="5"/>
  <c r="B307" i="10" s="1"/>
  <c r="A260" i="5"/>
  <c r="A307" i="10" s="1"/>
  <c r="B250" i="5"/>
  <c r="E249" i="5"/>
  <c r="E292" i="10" s="1"/>
  <c r="C249" i="5"/>
  <c r="C292" i="10" s="1"/>
  <c r="B249" i="5"/>
  <c r="B292" i="10" s="1"/>
  <c r="A249" i="5"/>
  <c r="A292" i="10" s="1"/>
  <c r="E238" i="5"/>
  <c r="E277" i="10" s="1"/>
  <c r="C238" i="5"/>
  <c r="C277" i="10" s="1"/>
  <c r="B238" i="5"/>
  <c r="B277" i="10" s="1"/>
  <c r="A238" i="5"/>
  <c r="A277" i="10" s="1"/>
  <c r="E228" i="5"/>
  <c r="E227" i="5"/>
  <c r="E42" i="10" s="1"/>
  <c r="C227" i="5"/>
  <c r="C42" i="10" s="1"/>
  <c r="B227" i="5"/>
  <c r="B42" i="10" s="1"/>
  <c r="A227" i="5"/>
  <c r="A42" i="10" s="1"/>
  <c r="E216" i="5"/>
  <c r="E27" i="10" s="1"/>
  <c r="C216" i="5"/>
  <c r="C27" i="10" s="1"/>
  <c r="B216" i="5"/>
  <c r="B27" i="10" s="1"/>
  <c r="A216" i="5"/>
  <c r="A27" i="10" s="1"/>
  <c r="E205" i="5"/>
  <c r="E238" i="10" s="1"/>
  <c r="C205" i="5"/>
  <c r="C238" i="10" s="1"/>
  <c r="B205" i="5"/>
  <c r="B238" i="10" s="1"/>
  <c r="A205" i="5"/>
  <c r="A238" i="10" s="1"/>
  <c r="E194" i="5"/>
  <c r="E223" i="10" s="1"/>
  <c r="C194" i="5"/>
  <c r="C223" i="10" s="1"/>
  <c r="B194" i="5"/>
  <c r="B223" i="10" s="1"/>
  <c r="A194" i="5"/>
  <c r="A223" i="10" s="1"/>
  <c r="C184" i="5"/>
  <c r="B184" i="5"/>
  <c r="E183" i="5"/>
  <c r="E184" i="10" s="1"/>
  <c r="C183" i="5"/>
  <c r="C184" i="10" s="1"/>
  <c r="B183" i="5"/>
  <c r="B184" i="10" s="1"/>
  <c r="A183" i="5"/>
  <c r="A184" i="10" s="1"/>
  <c r="E172" i="5"/>
  <c r="E169" i="10" s="1"/>
  <c r="C172" i="5"/>
  <c r="C169" i="10" s="1"/>
  <c r="B172" i="5"/>
  <c r="B169" i="10" s="1"/>
  <c r="A172" i="5"/>
  <c r="A169" i="10" s="1"/>
  <c r="E161" i="5"/>
  <c r="E154" i="10" s="1"/>
  <c r="C161" i="5"/>
  <c r="C154" i="10" s="1"/>
  <c r="B161" i="5"/>
  <c r="B154" i="10" s="1"/>
  <c r="A161" i="5"/>
  <c r="A154" i="10" s="1"/>
  <c r="E150" i="5"/>
  <c r="E139" i="10" s="1"/>
  <c r="C150" i="5"/>
  <c r="C139" i="10" s="1"/>
  <c r="B150" i="5"/>
  <c r="B139" i="10" s="1"/>
  <c r="A150" i="5"/>
  <c r="A139" i="10" s="1"/>
  <c r="E140" i="5"/>
  <c r="E139" i="5"/>
  <c r="E126" i="10" s="1"/>
  <c r="C139" i="5"/>
  <c r="C126" i="10" s="1"/>
  <c r="B139" i="5"/>
  <c r="B126" i="10" s="1"/>
  <c r="A139" i="5"/>
  <c r="A126" i="10" s="1"/>
  <c r="E128" i="5"/>
  <c r="E113" i="10" s="1"/>
  <c r="C128" i="5"/>
  <c r="C113" i="10" s="1"/>
  <c r="B128" i="5"/>
  <c r="B113" i="10" s="1"/>
  <c r="A128" i="5"/>
  <c r="A113" i="10" s="1"/>
  <c r="E118" i="5"/>
  <c r="E117" i="5"/>
  <c r="E72" i="10" s="1"/>
  <c r="C117" i="5"/>
  <c r="C72" i="10" s="1"/>
  <c r="B117" i="5"/>
  <c r="B72" i="10" s="1"/>
  <c r="A117" i="5"/>
  <c r="A72" i="10" s="1"/>
  <c r="E106" i="5"/>
  <c r="E57" i="10" s="1"/>
  <c r="C106" i="5"/>
  <c r="C57" i="10" s="1"/>
  <c r="B106" i="5"/>
  <c r="B57" i="10" s="1"/>
  <c r="A106" i="5"/>
  <c r="A57" i="10" s="1"/>
  <c r="E96" i="5"/>
  <c r="B118" i="5" l="1"/>
  <c r="E184" i="5"/>
  <c r="E250" i="5"/>
  <c r="A140" i="5"/>
  <c r="A272" i="5"/>
  <c r="B206" i="5"/>
  <c r="B272" i="5"/>
  <c r="E162" i="5"/>
  <c r="A118" i="5"/>
  <c r="A184" i="5"/>
  <c r="C140" i="5"/>
  <c r="C206" i="5"/>
  <c r="C272" i="5"/>
  <c r="C118" i="5"/>
  <c r="C250" i="5"/>
  <c r="A206" i="5"/>
  <c r="B140" i="5"/>
  <c r="E206" i="5"/>
  <c r="E272" i="5"/>
  <c r="A162" i="5"/>
  <c r="A228" i="5"/>
  <c r="A294" i="5"/>
  <c r="A250" i="5"/>
  <c r="B162" i="5"/>
  <c r="B228" i="5"/>
  <c r="B294" i="5"/>
  <c r="C162" i="5"/>
  <c r="C228" i="5"/>
  <c r="C294" i="5"/>
  <c r="B13" i="10"/>
  <c r="B179" i="3"/>
  <c r="B157" i="3"/>
  <c r="B135" i="3"/>
  <c r="B245" i="3"/>
  <c r="B201" i="3"/>
  <c r="B267" i="3"/>
  <c r="B223" i="3"/>
  <c r="B113" i="3"/>
  <c r="E13" i="10"/>
  <c r="E135" i="3"/>
  <c r="E267" i="3"/>
  <c r="E245" i="3"/>
  <c r="E223" i="3"/>
  <c r="E201" i="3"/>
  <c r="E179" i="3"/>
  <c r="E157" i="3"/>
  <c r="E113" i="3"/>
  <c r="A13" i="10"/>
  <c r="A201" i="3"/>
  <c r="A179" i="3"/>
  <c r="A157" i="3"/>
  <c r="A135" i="3"/>
  <c r="A223" i="3"/>
  <c r="A245" i="3"/>
  <c r="A267" i="3"/>
  <c r="A113" i="3"/>
  <c r="C13" i="10"/>
  <c r="C157" i="3"/>
  <c r="C267" i="3"/>
  <c r="C245" i="3"/>
  <c r="C223" i="3"/>
  <c r="C201" i="3"/>
  <c r="C179" i="3"/>
  <c r="C135" i="3"/>
  <c r="C113" i="3"/>
  <c r="F383" i="19"/>
  <c r="F338" i="10" s="1"/>
  <c r="F325" i="10"/>
  <c r="F227" i="10"/>
  <c r="F286" i="20"/>
  <c r="F242" i="10" s="1"/>
  <c r="F287" i="20"/>
  <c r="F212" i="10"/>
  <c r="F297" i="20"/>
  <c r="F254" i="10" s="1"/>
  <c r="F394" i="19"/>
  <c r="F351" i="10" s="1"/>
  <c r="F395" i="19"/>
  <c r="F33" i="3"/>
  <c r="F101" i="3" s="1"/>
  <c r="F210" i="13"/>
  <c r="F136" i="13"/>
  <c r="F175" i="13" s="1"/>
  <c r="E94" i="5"/>
  <c r="C94" i="5"/>
  <c r="B94" i="5"/>
  <c r="A94" i="5"/>
  <c r="E44" i="5"/>
  <c r="E95" i="5" s="1"/>
  <c r="C44" i="5"/>
  <c r="C95" i="5" s="1"/>
  <c r="B44" i="5"/>
  <c r="B95" i="5" s="1"/>
  <c r="A44" i="5"/>
  <c r="A95" i="5" s="1"/>
  <c r="F9" i="5"/>
  <c r="F96" i="5" s="1"/>
  <c r="C9" i="5"/>
  <c r="C96" i="5" s="1"/>
  <c r="B9" i="5"/>
  <c r="B96" i="5" s="1"/>
  <c r="A9" i="5"/>
  <c r="A96" i="5" s="1"/>
  <c r="F11" i="10"/>
  <c r="E11" i="10"/>
  <c r="C11" i="10"/>
  <c r="B11" i="10"/>
  <c r="A11" i="10"/>
  <c r="B12" i="10" l="1"/>
  <c r="B261" i="5"/>
  <c r="B195" i="5"/>
  <c r="B283" i="5"/>
  <c r="B217" i="5"/>
  <c r="B129" i="5"/>
  <c r="B107" i="5"/>
  <c r="B151" i="5"/>
  <c r="B239" i="5"/>
  <c r="B173" i="5"/>
  <c r="E12" i="10"/>
  <c r="E129" i="5"/>
  <c r="E261" i="5"/>
  <c r="E239" i="5"/>
  <c r="E173" i="5"/>
  <c r="E107" i="5"/>
  <c r="E195" i="5"/>
  <c r="E283" i="5"/>
  <c r="E217" i="5"/>
  <c r="E151" i="5"/>
  <c r="C12" i="10"/>
  <c r="C261" i="5"/>
  <c r="C195" i="5"/>
  <c r="C129" i="5"/>
  <c r="C283" i="5"/>
  <c r="C239" i="5"/>
  <c r="C173" i="5"/>
  <c r="C107" i="5"/>
  <c r="C217" i="5"/>
  <c r="C151" i="5"/>
  <c r="A12" i="10"/>
  <c r="A261" i="5"/>
  <c r="A195" i="5"/>
  <c r="A129" i="5"/>
  <c r="A217" i="5"/>
  <c r="A151" i="5"/>
  <c r="A239" i="5"/>
  <c r="A173" i="5"/>
  <c r="A107" i="5"/>
  <c r="A283" i="5"/>
  <c r="F309" i="20"/>
  <c r="F308" i="20"/>
  <c r="F319" i="20" s="1"/>
  <c r="F49" i="3"/>
  <c r="F98" i="3" s="1"/>
  <c r="F189" i="13"/>
  <c r="F58" i="13"/>
  <c r="F44" i="5"/>
  <c r="F26" i="10"/>
  <c r="F208" i="13"/>
  <c r="F209" i="13"/>
  <c r="F100" i="3" l="1"/>
  <c r="F112" i="3" s="1"/>
  <c r="F58" i="10" s="1"/>
  <c r="F266" i="10"/>
  <c r="F71" i="3"/>
  <c r="F99" i="3" s="1"/>
  <c r="F281" i="10"/>
  <c r="F331" i="20"/>
  <c r="F330" i="20"/>
  <c r="F341" i="20" s="1"/>
  <c r="F311" i="10" s="1"/>
  <c r="F296" i="10"/>
  <c r="F14" i="10"/>
  <c r="F290" i="13"/>
  <c r="F312" i="13"/>
  <c r="F488" i="13"/>
  <c r="F532" i="13"/>
  <c r="F334" i="13"/>
  <c r="F378" i="13"/>
  <c r="F224" i="13"/>
  <c r="F268" i="13"/>
  <c r="F444" i="13"/>
  <c r="F400" i="13"/>
  <c r="F422" i="13"/>
  <c r="F246" i="13"/>
  <c r="F466" i="13"/>
  <c r="F223" i="13"/>
  <c r="F29" i="10" s="1"/>
  <c r="F510" i="13"/>
  <c r="F356" i="13"/>
  <c r="F57" i="20"/>
  <c r="F136" i="19"/>
  <c r="F137" i="13"/>
  <c r="F41" i="10"/>
  <c r="F56" i="10" s="1"/>
  <c r="F94" i="5"/>
  <c r="F95" i="5"/>
  <c r="F13" i="10"/>
  <c r="F267" i="3"/>
  <c r="F179" i="3"/>
  <c r="F157" i="3"/>
  <c r="F201" i="3"/>
  <c r="F245" i="3"/>
  <c r="F135" i="3"/>
  <c r="F223" i="3"/>
  <c r="F113" i="3"/>
  <c r="F123" i="3"/>
  <c r="F124" i="3"/>
  <c r="M27" i="6"/>
  <c r="M29" i="6"/>
  <c r="M30" i="6"/>
  <c r="M31" i="6"/>
  <c r="K37" i="6"/>
  <c r="M37" i="6" s="1"/>
  <c r="K36" i="6"/>
  <c r="M36" i="6" s="1"/>
  <c r="K35" i="6"/>
  <c r="M35" i="6" s="1"/>
  <c r="K34" i="6"/>
  <c r="M34" i="6" s="1"/>
  <c r="N34" i="6" s="1"/>
  <c r="K33" i="6"/>
  <c r="M33" i="6" s="1"/>
  <c r="K32" i="6"/>
  <c r="M32" i="6" s="1"/>
  <c r="K31" i="6"/>
  <c r="K30" i="6"/>
  <c r="K29" i="6"/>
  <c r="K28" i="6"/>
  <c r="M28" i="6" s="1"/>
  <c r="K27" i="6"/>
  <c r="K26" i="6"/>
  <c r="M26" i="6" s="1"/>
  <c r="K25" i="6"/>
  <c r="M25" i="6" s="1"/>
  <c r="K24" i="6"/>
  <c r="M24" i="6" s="1"/>
  <c r="K23" i="6"/>
  <c r="M23" i="6" s="1"/>
  <c r="M5" i="6"/>
  <c r="M6" i="6"/>
  <c r="M7" i="6"/>
  <c r="M14" i="6"/>
  <c r="M16" i="6"/>
  <c r="M17" i="6"/>
  <c r="M18" i="6"/>
  <c r="M4" i="6"/>
  <c r="K4" i="6"/>
  <c r="K18" i="6"/>
  <c r="K17" i="6"/>
  <c r="K16" i="6"/>
  <c r="K15" i="6"/>
  <c r="M15" i="6" s="1"/>
  <c r="K14" i="6"/>
  <c r="K13" i="6"/>
  <c r="M13" i="6" s="1"/>
  <c r="K12" i="6"/>
  <c r="M12" i="6" s="1"/>
  <c r="K11" i="6"/>
  <c r="M11" i="6" s="1"/>
  <c r="K10" i="6"/>
  <c r="M10" i="6" s="1"/>
  <c r="K9" i="6"/>
  <c r="M9" i="6" s="1"/>
  <c r="K8" i="6"/>
  <c r="M8" i="6" s="1"/>
  <c r="K7" i="6"/>
  <c r="K6" i="6"/>
  <c r="K5" i="6"/>
  <c r="F352" i="20" l="1"/>
  <c r="F353" i="20"/>
  <c r="F363" i="20"/>
  <c r="F339" i="10" s="1"/>
  <c r="F326" i="10"/>
  <c r="F134" i="3"/>
  <c r="F140" i="10" s="1"/>
  <c r="F73" i="10"/>
  <c r="F71" i="10"/>
  <c r="F86" i="10" s="1"/>
  <c r="F12" i="10"/>
  <c r="F217" i="5"/>
  <c r="F106" i="5"/>
  <c r="F57" i="10" s="1"/>
  <c r="F283" i="5"/>
  <c r="F195" i="5"/>
  <c r="F239" i="5"/>
  <c r="F107" i="5"/>
  <c r="F151" i="5"/>
  <c r="F129" i="5"/>
  <c r="F261" i="5"/>
  <c r="F173" i="5"/>
  <c r="F235" i="13"/>
  <c r="F234" i="13"/>
  <c r="N35" i="6"/>
  <c r="N33" i="6"/>
  <c r="N23" i="6"/>
  <c r="N26" i="6"/>
  <c r="N32" i="6"/>
  <c r="N36" i="6"/>
  <c r="N30" i="6"/>
  <c r="N37" i="6"/>
  <c r="N29" i="6"/>
  <c r="N24" i="6"/>
  <c r="N25" i="6"/>
  <c r="N31" i="6"/>
  <c r="N28" i="6"/>
  <c r="N27" i="6"/>
  <c r="N4" i="6"/>
  <c r="N7" i="6"/>
  <c r="N8" i="6"/>
  <c r="N9" i="6"/>
  <c r="N10" i="6"/>
  <c r="N11" i="6"/>
  <c r="N12" i="6"/>
  <c r="N13" i="6"/>
  <c r="N14" i="6"/>
  <c r="N15" i="6"/>
  <c r="N16" i="6"/>
  <c r="N17" i="6"/>
  <c r="N6" i="6"/>
  <c r="N18" i="6"/>
  <c r="N5" i="6"/>
  <c r="F375" i="20" l="1"/>
  <c r="F374" i="20"/>
  <c r="F385" i="20" s="1"/>
  <c r="F352" i="10"/>
  <c r="F146" i="3"/>
  <c r="F145" i="3"/>
  <c r="F156" i="3" s="1"/>
  <c r="F170" i="10" s="1"/>
  <c r="F245" i="13"/>
  <c r="F59" i="10" s="1"/>
  <c r="F44" i="10"/>
  <c r="F99" i="10"/>
  <c r="F112" i="10" s="1"/>
  <c r="F117" i="5"/>
  <c r="F118" i="5"/>
  <c r="F364" i="10" l="1"/>
  <c r="F396" i="20"/>
  <c r="F397" i="20"/>
  <c r="F155" i="10"/>
  <c r="F407" i="20"/>
  <c r="F388" i="10" s="1"/>
  <c r="F376" i="10"/>
  <c r="F168" i="3"/>
  <c r="F167" i="3"/>
  <c r="F178" i="3" s="1"/>
  <c r="F224" i="10" s="1"/>
  <c r="F256" i="13"/>
  <c r="F74" i="10" s="1"/>
  <c r="F257" i="13"/>
  <c r="F128" i="5"/>
  <c r="F113" i="10" s="1"/>
  <c r="F72" i="10"/>
  <c r="F125" i="10"/>
  <c r="F138" i="10" s="1"/>
  <c r="F185" i="10" l="1"/>
  <c r="F267" i="13"/>
  <c r="F87" i="10" s="1"/>
  <c r="F419" i="20"/>
  <c r="F418" i="20"/>
  <c r="F429" i="20" s="1"/>
  <c r="F400" i="10"/>
  <c r="F189" i="3"/>
  <c r="F200" i="3" s="1"/>
  <c r="F190" i="3"/>
  <c r="F279" i="13"/>
  <c r="F139" i="5"/>
  <c r="F150" i="5" s="1"/>
  <c r="F139" i="10" s="1"/>
  <c r="F278" i="13"/>
  <c r="F289" i="13" s="1"/>
  <c r="F114" i="10" s="1"/>
  <c r="F140" i="5"/>
  <c r="F153" i="10"/>
  <c r="F168" i="10" s="1"/>
  <c r="F126" i="10" l="1"/>
  <c r="F239" i="10"/>
  <c r="F100" i="10"/>
  <c r="F414" i="10"/>
  <c r="F440" i="20"/>
  <c r="F428" i="10" s="1"/>
  <c r="F441" i="20"/>
  <c r="F28" i="10"/>
  <c r="F212" i="3"/>
  <c r="F211" i="3"/>
  <c r="F43" i="10" s="1"/>
  <c r="F301" i="13"/>
  <c r="F300" i="13"/>
  <c r="F127" i="10" s="1"/>
  <c r="F162" i="5"/>
  <c r="F161" i="5"/>
  <c r="F183" i="10"/>
  <c r="F198" i="10" s="1"/>
  <c r="F222" i="3" l="1"/>
  <c r="F311" i="13"/>
  <c r="F234" i="3"/>
  <c r="F278" i="10"/>
  <c r="F233" i="3"/>
  <c r="F172" i="5"/>
  <c r="F169" i="10" s="1"/>
  <c r="F154" i="10"/>
  <c r="F210" i="10"/>
  <c r="F222" i="10" s="1"/>
  <c r="F141" i="10" l="1"/>
  <c r="F322" i="13"/>
  <c r="F323" i="13"/>
  <c r="F244" i="3"/>
  <c r="F256" i="3" s="1"/>
  <c r="F293" i="10"/>
  <c r="F183" i="5"/>
  <c r="F184" i="5"/>
  <c r="F237" i="10"/>
  <c r="F252" i="10" s="1"/>
  <c r="F156" i="10" l="1"/>
  <c r="F333" i="13"/>
  <c r="F255" i="3"/>
  <c r="F308" i="10"/>
  <c r="F194" i="5"/>
  <c r="F223" i="10" s="1"/>
  <c r="F184" i="10"/>
  <c r="F264" i="10"/>
  <c r="F276" i="10" s="1"/>
  <c r="F171" i="10" l="1"/>
  <c r="F345" i="13"/>
  <c r="F344" i="13"/>
  <c r="F266" i="3"/>
  <c r="F412" i="10" s="1"/>
  <c r="F323" i="10"/>
  <c r="F205" i="5"/>
  <c r="F238" i="10" s="1"/>
  <c r="F277" i="3"/>
  <c r="F426" i="10" s="1"/>
  <c r="F278" i="3"/>
  <c r="F206" i="5"/>
  <c r="F216" i="5"/>
  <c r="F227" i="5" s="1"/>
  <c r="F291" i="10"/>
  <c r="F306" i="10" s="1"/>
  <c r="F228" i="5" l="1"/>
  <c r="F355" i="13"/>
  <c r="F186" i="10"/>
  <c r="F27" i="10"/>
  <c r="F238" i="5"/>
  <c r="F277" i="10" s="1"/>
  <c r="F42" i="10"/>
  <c r="F321" i="10"/>
  <c r="F336" i="10" s="1"/>
  <c r="F199" i="10" l="1"/>
  <c r="F366" i="13"/>
  <c r="F367" i="13"/>
  <c r="F250" i="5"/>
  <c r="F249" i="5"/>
  <c r="F349" i="10"/>
  <c r="F362" i="10" s="1"/>
  <c r="F377" i="13" l="1"/>
  <c r="F211" i="10"/>
  <c r="F260" i="5"/>
  <c r="F307" i="10" s="1"/>
  <c r="F292" i="10"/>
  <c r="F271" i="5"/>
  <c r="F272" i="5"/>
  <c r="F374" i="10"/>
  <c r="F386" i="10" s="1"/>
  <c r="F225" i="10" l="1"/>
  <c r="F388" i="13"/>
  <c r="F389" i="13"/>
  <c r="F282" i="5"/>
  <c r="F322" i="10"/>
  <c r="F398" i="10"/>
  <c r="F410" i="10" s="1"/>
  <c r="F293" i="5" l="1"/>
  <c r="F425" i="10" s="1"/>
  <c r="F411" i="10"/>
  <c r="F294" i="5"/>
  <c r="F399" i="13"/>
  <c r="F240" i="10"/>
  <c r="F424" i="10"/>
  <c r="F253" i="10" l="1"/>
  <c r="F411" i="13"/>
  <c r="F410" i="13"/>
  <c r="F265" i="10" l="1"/>
  <c r="F421" i="13"/>
  <c r="F279" i="10" l="1"/>
  <c r="F432" i="13"/>
  <c r="F433" i="13"/>
  <c r="F294" i="10" l="1"/>
  <c r="F443" i="13"/>
  <c r="F309" i="10" l="1"/>
  <c r="F455" i="13"/>
  <c r="F454" i="13"/>
  <c r="F465" i="13" l="1"/>
  <c r="F324" i="10"/>
  <c r="F337" i="10" l="1"/>
  <c r="F476" i="13"/>
  <c r="F477" i="13"/>
  <c r="F487" i="13" l="1"/>
  <c r="F350" i="10"/>
  <c r="F363" i="10" l="1"/>
  <c r="F499" i="13"/>
  <c r="F498" i="13"/>
  <c r="F509" i="13" l="1"/>
  <c r="F387" i="10" s="1"/>
  <c r="F375" i="10"/>
  <c r="F520" i="13" l="1"/>
  <c r="F521" i="13"/>
  <c r="F531" i="13" l="1"/>
  <c r="F413" i="10" s="1"/>
  <c r="F399" i="10"/>
  <c r="F542" i="13"/>
  <c r="F427" i="10" s="1"/>
  <c r="F543" i="13"/>
</calcChain>
</file>

<file path=xl/sharedStrings.xml><?xml version="1.0" encoding="utf-8"?>
<sst xmlns="http://schemas.openxmlformats.org/spreadsheetml/2006/main" count="7745" uniqueCount="685">
  <si>
    <t>Activity</t>
  </si>
  <si>
    <t>reference product</t>
  </si>
  <si>
    <t>location</t>
  </si>
  <si>
    <t>CN-SWG</t>
  </si>
  <si>
    <t>amount</t>
  </si>
  <si>
    <t>unit</t>
  </si>
  <si>
    <t>kilogram</t>
  </si>
  <si>
    <t>comment</t>
  </si>
  <si>
    <t>n/a</t>
  </si>
  <si>
    <t>Exchanges</t>
  </si>
  <si>
    <t>name</t>
  </si>
  <si>
    <t>database</t>
  </si>
  <si>
    <t>type</t>
  </si>
  <si>
    <t>categories</t>
  </si>
  <si>
    <t>uncertainty type</t>
  </si>
  <si>
    <t>pedigree</t>
  </si>
  <si>
    <t>loc</t>
  </si>
  <si>
    <t>scale</t>
  </si>
  <si>
    <t>minimum</t>
  </si>
  <si>
    <t>maximum</t>
  </si>
  <si>
    <t>production</t>
  </si>
  <si>
    <t>market for iron ore, crude ore, 46% Fe</t>
  </si>
  <si>
    <t>iron ore, crude ore, 46% Fe</t>
  </si>
  <si>
    <t>GLO</t>
  </si>
  <si>
    <t>ecoinvent 3.10 cutoff</t>
  </si>
  <si>
    <t>technosphere</t>
  </si>
  <si>
    <t>(1,1,3,1,1)</t>
  </si>
  <si>
    <t>market for sulfuric acid</t>
  </si>
  <si>
    <t>sulfuric acid</t>
  </si>
  <si>
    <t>RoW</t>
  </si>
  <si>
    <t>(4,1,3,5,2)</t>
  </si>
  <si>
    <t>market for sodium silicate, solid</t>
  </si>
  <si>
    <t>sodium silicate, solid</t>
  </si>
  <si>
    <t>market for ammonia, anhydrous, liquid</t>
  </si>
  <si>
    <t>ammonia, anhydrous, liquid</t>
  </si>
  <si>
    <t>CN</t>
  </si>
  <si>
    <t>market for phosphoric acid, industrial grade, without water, in 85% solution state</t>
  </si>
  <si>
    <t>phosphoric acid, industrial grade, without water, in 85% solution state</t>
  </si>
  <si>
    <t>market for kerosene</t>
  </si>
  <si>
    <t>kerosene</t>
  </si>
  <si>
    <t>market for hydrochloric acid, without water, in 30% solution state</t>
  </si>
  <si>
    <t>hydrochloric acid, without water, in 30% solution state</t>
  </si>
  <si>
    <t>market for sodium hydroxide, without water, in 50% solution state</t>
  </si>
  <si>
    <t>sodium hydroxide, without water, in 50% solution state</t>
  </si>
  <si>
    <t>market for calcium chloride</t>
  </si>
  <si>
    <t>calcium chloride</t>
  </si>
  <si>
    <t>market for ammonium bicarbonate</t>
  </si>
  <si>
    <t>ammonium bicarbonate</t>
  </si>
  <si>
    <t>market for sodium sulfide</t>
  </si>
  <si>
    <t>sodium sulfide</t>
  </si>
  <si>
    <t>market for soda ash, dense</t>
  </si>
  <si>
    <t>soda ash, dense</t>
  </si>
  <si>
    <t>market for steam, in chemical industry</t>
  </si>
  <si>
    <t>steam, in chemical industry</t>
  </si>
  <si>
    <t>(1,1,3,2,1)</t>
  </si>
  <si>
    <t>market for charcoal</t>
  </si>
  <si>
    <t>charcoal</t>
  </si>
  <si>
    <t>market for electricity, medium voltage</t>
  </si>
  <si>
    <t>electricity, medium voltage</t>
  </si>
  <si>
    <t>kilowatt hour</t>
  </si>
  <si>
    <t>market for hard coal</t>
  </si>
  <si>
    <t>hard coal</t>
  </si>
  <si>
    <t>market for water, deionised</t>
  </si>
  <si>
    <t>water, deionised</t>
  </si>
  <si>
    <t>ammonium chloride</t>
  </si>
  <si>
    <t>Fluoride</t>
  </si>
  <si>
    <t>biosphere3</t>
  </si>
  <si>
    <t>biosphere</t>
  </si>
  <si>
    <t>(4,1,4,2,1)</t>
  </si>
  <si>
    <t>Ammonium</t>
  </si>
  <si>
    <t>Thorium-232</t>
  </si>
  <si>
    <t>kilo Becquerel</t>
  </si>
  <si>
    <t>Hydrogen fluoride</t>
  </si>
  <si>
    <t>Thorium</t>
  </si>
  <si>
    <t>Carbon dioxide, fossil</t>
  </si>
  <si>
    <t>US-WECC</t>
  </si>
  <si>
    <t>market for diesel, burned in building machine</t>
  </si>
  <si>
    <t>diesel, burned in building machine</t>
  </si>
  <si>
    <t>megajoule</t>
  </si>
  <si>
    <t>(4,1,2,5,4)</t>
  </si>
  <si>
    <t>market for explosive, tovex</t>
  </si>
  <si>
    <t>explosive, tovex</t>
  </si>
  <si>
    <t>(5,1,2,5,5)</t>
  </si>
  <si>
    <t>market for transport, freight, lorry &gt;32 metric ton, EURO3</t>
  </si>
  <si>
    <t>transport, freight, lorry &gt;32 metric ton, EURO3</t>
  </si>
  <si>
    <t>ton kilometer</t>
  </si>
  <si>
    <t>(1,1,2,1,1)</t>
  </si>
  <si>
    <t>market for mine infrastructure, iron</t>
  </si>
  <si>
    <t>mine infrastructure, iron</t>
  </si>
  <si>
    <t>market for lubricating oil</t>
  </si>
  <si>
    <t>lubricating oil</t>
  </si>
  <si>
    <t>market for wastewater, average</t>
  </si>
  <si>
    <t>wastewater, average</t>
  </si>
  <si>
    <t>cubic meter</t>
  </si>
  <si>
    <t>market for non-sulfidic overburden, off-site</t>
  </si>
  <si>
    <t>non-sulfidic overburden, off-site</t>
  </si>
  <si>
    <t>treatment of hazardous waste, hazardous waste incineration</t>
  </si>
  <si>
    <t>hazardous waste, for incineration</t>
  </si>
  <si>
    <t>Occupation, mineral extraction site</t>
  </si>
  <si>
    <t>square meter-year</t>
  </si>
  <si>
    <t>natural resource::land</t>
  </si>
  <si>
    <t>Transformation, from unspecified</t>
  </si>
  <si>
    <t>square meter</t>
  </si>
  <si>
    <t>Transformation, to mineral extraction site</t>
  </si>
  <si>
    <t>Particulate Matter, &gt; 2.5 um and &lt; 10um</t>
  </si>
  <si>
    <t>(4,1,2,1,1)</t>
  </si>
  <si>
    <t>Uranium-238</t>
  </si>
  <si>
    <t>market for steel, low-alloyed</t>
  </si>
  <si>
    <t>steel, low-alloyed</t>
  </si>
  <si>
    <t>market for fatty acid</t>
  </si>
  <si>
    <t>fatty acid</t>
  </si>
  <si>
    <t>market for chemical, inorganic</t>
  </si>
  <si>
    <t>chemical, inorganic</t>
  </si>
  <si>
    <t>market for alkylbenzene sulfonate, linear, petrochemical</t>
  </si>
  <si>
    <t>alkylbenzene sulfonate, linear, petrochemical</t>
  </si>
  <si>
    <t>market for aluminium hydroxide factory</t>
  </si>
  <si>
    <t>aluminium hydroxide factory</t>
  </si>
  <si>
    <t>market for inert waste, for final disposal</t>
  </si>
  <si>
    <t>inert waste, for final disposal</t>
  </si>
  <si>
    <t>Water, unspecified natural origin</t>
  </si>
  <si>
    <t>natural resource::in ground</t>
  </si>
  <si>
    <t>market for chemical, organic</t>
  </si>
  <si>
    <t>chemical, organic</t>
  </si>
  <si>
    <t>market for chlorine, gaseous</t>
  </si>
  <si>
    <t>chlorine, gaseous</t>
  </si>
  <si>
    <t>market for hexane</t>
  </si>
  <si>
    <t>hexane</t>
  </si>
  <si>
    <t>treatment of wastewater, average, wastewater treatment</t>
  </si>
  <si>
    <t>skip</t>
  </si>
  <si>
    <t>water</t>
  </si>
  <si>
    <t>air</t>
  </si>
  <si>
    <t>Allocation factor</t>
  </si>
  <si>
    <t>Uranium</t>
  </si>
  <si>
    <t>Mercury II</t>
  </si>
  <si>
    <t>Cadmium II</t>
  </si>
  <si>
    <t>Lead II</t>
  </si>
  <si>
    <t>Arsenic ion</t>
  </si>
  <si>
    <t>Oils, unspecified</t>
  </si>
  <si>
    <t>Phosphorus</t>
  </si>
  <si>
    <t>originally "Total Phosphorus"</t>
  </si>
  <si>
    <t>originally "Total Nitrogen"</t>
  </si>
  <si>
    <t>Nitrogen</t>
  </si>
  <si>
    <t>originally "Ammonia"</t>
  </si>
  <si>
    <t>Zinc II</t>
  </si>
  <si>
    <t>originally "Total Zinc"</t>
  </si>
  <si>
    <t>Chromium III</t>
  </si>
  <si>
    <t>Chromium VI</t>
  </si>
  <si>
    <t>transport, freight train</t>
  </si>
  <si>
    <t>market for transport, freight train</t>
  </si>
  <si>
    <t>transport, freight, lorry 7.5-16 metric ton, EURO6</t>
  </si>
  <si>
    <t>market for transport, freight, lorry 7.5-16 metric ton, EURO6</t>
  </si>
  <si>
    <t>originally "P507 Extractant"</t>
  </si>
  <si>
    <t>Suspended solids, unspecified</t>
  </si>
  <si>
    <t>COD, Chemical Oxygen Demand</t>
  </si>
  <si>
    <t>Sulfuric acid</t>
  </si>
  <si>
    <t>Hydrochloric acid</t>
  </si>
  <si>
    <t>Dinitrogen monoxide</t>
  </si>
  <si>
    <t>Rare earth market prices in US$/kg</t>
  </si>
  <si>
    <t>Target metal</t>
  </si>
  <si>
    <t>Contract official name</t>
  </si>
  <si>
    <t>Market price average (US$/kg)</t>
  </si>
  <si>
    <t>Start period</t>
  </si>
  <si>
    <t>End period</t>
  </si>
  <si>
    <t>Comment</t>
  </si>
  <si>
    <t>Functional flow</t>
  </si>
  <si>
    <t>Price (USD/kg)</t>
  </si>
  <si>
    <t>Quantity</t>
  </si>
  <si>
    <t>Proceeds</t>
  </si>
  <si>
    <t>Cerium (Ce)</t>
  </si>
  <si>
    <t>Cerium (oxide), min. 99 %, fob China</t>
  </si>
  <si>
    <t>Calculation 10 year average (Jan 2013- Dec 2022)</t>
  </si>
  <si>
    <r>
      <t>CeO</t>
    </r>
    <r>
      <rPr>
        <b/>
        <vertAlign val="subscript"/>
        <sz val="11"/>
        <color theme="1"/>
        <rFont val="Calibri"/>
        <family val="2"/>
        <scheme val="minor"/>
      </rPr>
      <t>2</t>
    </r>
  </si>
  <si>
    <t>Dysprosium (Dy)</t>
  </si>
  <si>
    <t>Dysprosium (oxide), min. 99 % fob China</t>
  </si>
  <si>
    <r>
      <t>Dy</t>
    </r>
    <r>
      <rPr>
        <b/>
        <vertAlign val="subscript"/>
        <sz val="11"/>
        <color theme="1"/>
        <rFont val="Calibri"/>
        <family val="2"/>
        <scheme val="minor"/>
      </rPr>
      <t>2</t>
    </r>
    <r>
      <rPr>
        <b/>
        <sz val="11"/>
        <color theme="1"/>
        <rFont val="Calibri"/>
        <family val="2"/>
        <scheme val="minor"/>
      </rPr>
      <t>O</t>
    </r>
    <r>
      <rPr>
        <b/>
        <vertAlign val="subscript"/>
        <sz val="11"/>
        <color theme="1"/>
        <rFont val="Calibri"/>
        <family val="2"/>
        <scheme val="minor"/>
      </rPr>
      <t>3</t>
    </r>
  </si>
  <si>
    <t>Erbium (Er)</t>
  </si>
  <si>
    <t>Erbium (oxide), min. 99 % , fob China</t>
  </si>
  <si>
    <r>
      <t>Er</t>
    </r>
    <r>
      <rPr>
        <b/>
        <vertAlign val="subscript"/>
        <sz val="11"/>
        <color theme="1"/>
        <rFont val="Calibri"/>
        <family val="2"/>
        <scheme val="minor"/>
      </rPr>
      <t>2</t>
    </r>
    <r>
      <rPr>
        <b/>
        <sz val="11"/>
        <color theme="1"/>
        <rFont val="Calibri"/>
        <family val="2"/>
        <scheme val="minor"/>
      </rPr>
      <t>O</t>
    </r>
    <r>
      <rPr>
        <b/>
        <vertAlign val="subscript"/>
        <sz val="11"/>
        <color theme="1"/>
        <rFont val="Calibri"/>
        <family val="2"/>
        <scheme val="minor"/>
      </rPr>
      <t>3</t>
    </r>
  </si>
  <si>
    <t>Europium (Eu)</t>
  </si>
  <si>
    <t>Europium (oxide), min. 99 % fob China</t>
  </si>
  <si>
    <r>
      <t>Eu</t>
    </r>
    <r>
      <rPr>
        <b/>
        <vertAlign val="subscript"/>
        <sz val="11"/>
        <color theme="1"/>
        <rFont val="Calibri"/>
        <family val="2"/>
        <scheme val="minor"/>
      </rPr>
      <t>2</t>
    </r>
    <r>
      <rPr>
        <b/>
        <sz val="11"/>
        <color theme="1"/>
        <rFont val="Calibri"/>
        <family val="2"/>
        <scheme val="minor"/>
      </rPr>
      <t>O</t>
    </r>
    <r>
      <rPr>
        <b/>
        <vertAlign val="subscript"/>
        <sz val="11"/>
        <color theme="1"/>
        <rFont val="Calibri"/>
        <family val="2"/>
        <scheme val="minor"/>
      </rPr>
      <t>3</t>
    </r>
  </si>
  <si>
    <t>Lanthanum (La)</t>
  </si>
  <si>
    <t>Lanthanum (oxide), min. 99 %, fob China</t>
  </si>
  <si>
    <r>
      <t>La</t>
    </r>
    <r>
      <rPr>
        <b/>
        <vertAlign val="subscript"/>
        <sz val="11"/>
        <color theme="1"/>
        <rFont val="Calibri"/>
        <family val="2"/>
        <scheme val="minor"/>
      </rPr>
      <t>2</t>
    </r>
    <r>
      <rPr>
        <b/>
        <sz val="11"/>
        <color theme="1"/>
        <rFont val="Calibri"/>
        <family val="2"/>
        <scheme val="minor"/>
      </rPr>
      <t>O</t>
    </r>
    <r>
      <rPr>
        <b/>
        <vertAlign val="subscript"/>
        <sz val="11"/>
        <color theme="1"/>
        <rFont val="Calibri"/>
        <family val="2"/>
        <scheme val="minor"/>
      </rPr>
      <t>3</t>
    </r>
  </si>
  <si>
    <t>Neodymium (Nd)</t>
  </si>
  <si>
    <t>Neodymium (oxide), min. 99 % fob China</t>
  </si>
  <si>
    <r>
      <t>Nd</t>
    </r>
    <r>
      <rPr>
        <b/>
        <vertAlign val="subscript"/>
        <sz val="11"/>
        <color theme="1"/>
        <rFont val="Calibri"/>
        <family val="2"/>
        <scheme val="minor"/>
      </rPr>
      <t>2</t>
    </r>
    <r>
      <rPr>
        <b/>
        <sz val="11"/>
        <color theme="1"/>
        <rFont val="Calibri"/>
        <family val="2"/>
        <scheme val="minor"/>
      </rPr>
      <t>O</t>
    </r>
    <r>
      <rPr>
        <b/>
        <vertAlign val="subscript"/>
        <sz val="11"/>
        <color theme="1"/>
        <rFont val="Calibri"/>
        <family val="2"/>
        <scheme val="minor"/>
      </rPr>
      <t>3</t>
    </r>
  </si>
  <si>
    <t>Praseodymium (Pr)</t>
  </si>
  <si>
    <t>Praseodymium (oxide), min. 99 %, fob China</t>
  </si>
  <si>
    <r>
      <t>Pr</t>
    </r>
    <r>
      <rPr>
        <b/>
        <vertAlign val="subscript"/>
        <sz val="11"/>
        <color theme="1"/>
        <rFont val="Calibri"/>
        <family val="2"/>
        <scheme val="minor"/>
      </rPr>
      <t>6</t>
    </r>
    <r>
      <rPr>
        <b/>
        <sz val="11"/>
        <color theme="1"/>
        <rFont val="Calibri"/>
        <family val="2"/>
        <scheme val="minor"/>
      </rPr>
      <t>O</t>
    </r>
    <r>
      <rPr>
        <b/>
        <vertAlign val="subscript"/>
        <sz val="11"/>
        <color theme="1"/>
        <rFont val="Calibri"/>
        <family val="2"/>
        <scheme val="minor"/>
      </rPr>
      <t>11</t>
    </r>
  </si>
  <si>
    <t>Samarium (Sm)</t>
  </si>
  <si>
    <t>Samarium (oxide), min. 99 % fob China</t>
  </si>
  <si>
    <r>
      <t>Sm</t>
    </r>
    <r>
      <rPr>
        <b/>
        <vertAlign val="subscript"/>
        <sz val="11"/>
        <color theme="1"/>
        <rFont val="Calibri"/>
        <family val="2"/>
        <scheme val="minor"/>
      </rPr>
      <t>2</t>
    </r>
    <r>
      <rPr>
        <b/>
        <sz val="11"/>
        <color theme="1"/>
        <rFont val="Calibri"/>
        <family val="2"/>
        <scheme val="minor"/>
      </rPr>
      <t>O</t>
    </r>
    <r>
      <rPr>
        <b/>
        <vertAlign val="subscript"/>
        <sz val="11"/>
        <color theme="1"/>
        <rFont val="Calibri"/>
        <family val="2"/>
        <scheme val="minor"/>
      </rPr>
      <t>3</t>
    </r>
  </si>
  <si>
    <t>Terbium (Tb)</t>
  </si>
  <si>
    <t>Terbium (oxide), min. 99,9 %, fob China</t>
  </si>
  <si>
    <r>
      <t>Tb</t>
    </r>
    <r>
      <rPr>
        <b/>
        <vertAlign val="subscript"/>
        <sz val="11"/>
        <color theme="1"/>
        <rFont val="Calibri"/>
        <family val="2"/>
        <scheme val="minor"/>
      </rPr>
      <t>4</t>
    </r>
    <r>
      <rPr>
        <b/>
        <sz val="11"/>
        <color theme="1"/>
        <rFont val="Calibri"/>
        <family val="2"/>
        <scheme val="minor"/>
      </rPr>
      <t>O</t>
    </r>
    <r>
      <rPr>
        <b/>
        <vertAlign val="subscript"/>
        <sz val="11"/>
        <color theme="1"/>
        <rFont val="Calibri"/>
        <family val="2"/>
        <scheme val="minor"/>
      </rPr>
      <t>7</t>
    </r>
  </si>
  <si>
    <t>Yttrium (Y)</t>
  </si>
  <si>
    <t>Yttrium (oxide), min. 99.999 %, fob China</t>
  </si>
  <si>
    <r>
      <t>Y</t>
    </r>
    <r>
      <rPr>
        <b/>
        <vertAlign val="subscript"/>
        <sz val="11"/>
        <color theme="1"/>
        <rFont val="Calibri"/>
        <family val="2"/>
        <scheme val="minor"/>
      </rPr>
      <t>2</t>
    </r>
    <r>
      <rPr>
        <b/>
        <sz val="11"/>
        <color theme="1"/>
        <rFont val="Calibri"/>
        <family val="2"/>
        <scheme val="minor"/>
      </rPr>
      <t>O</t>
    </r>
    <r>
      <rPr>
        <b/>
        <vertAlign val="subscript"/>
        <sz val="11"/>
        <color theme="1"/>
        <rFont val="Calibri"/>
        <family val="2"/>
        <scheme val="minor"/>
      </rPr>
      <t>3</t>
    </r>
  </si>
  <si>
    <t>Iron (Fe)</t>
  </si>
  <si>
    <t>Iron ore (65% Fe); dry price; extrapolated from iron ore (62% Fe), cfr spot.</t>
  </si>
  <si>
    <t>Calculation 10 year average (Jan 2013- Dec 2022) based on available data (see 'Contract official name')</t>
  </si>
  <si>
    <t>Gadolinium (Gd)</t>
  </si>
  <si>
    <r>
      <t>Gd</t>
    </r>
    <r>
      <rPr>
        <b/>
        <vertAlign val="subscript"/>
        <sz val="11"/>
        <color theme="1"/>
        <rFont val="Calibri"/>
        <family val="2"/>
        <scheme val="minor"/>
      </rPr>
      <t>2</t>
    </r>
    <r>
      <rPr>
        <b/>
        <sz val="11"/>
        <color theme="1"/>
        <rFont val="Calibri"/>
        <family val="2"/>
        <scheme val="minor"/>
      </rPr>
      <t>O</t>
    </r>
    <r>
      <rPr>
        <b/>
        <vertAlign val="subscript"/>
        <sz val="11"/>
        <color theme="1"/>
        <rFont val="Calibri"/>
        <family val="2"/>
        <scheme val="minor"/>
      </rPr>
      <t>3</t>
    </r>
  </si>
  <si>
    <t>Gadolinium oxide 99.5-99.9% ex-works China spot,  USD/kg</t>
  </si>
  <si>
    <t>Assumed 10 year average (Jan 2013- Dec 2022) based on available data from Argus Media (2024) via BRGM (see 'Contract official name')</t>
  </si>
  <si>
    <t>Ytterbium (Yb)</t>
  </si>
  <si>
    <r>
      <t>Yb</t>
    </r>
    <r>
      <rPr>
        <b/>
        <vertAlign val="subscript"/>
        <sz val="11"/>
        <color theme="1"/>
        <rFont val="Calibri"/>
        <family val="2"/>
        <scheme val="minor"/>
      </rPr>
      <t>2</t>
    </r>
    <r>
      <rPr>
        <b/>
        <sz val="11"/>
        <color theme="1"/>
        <rFont val="Calibri"/>
        <family val="2"/>
        <scheme val="minor"/>
      </rPr>
      <t>O</t>
    </r>
    <r>
      <rPr>
        <b/>
        <vertAlign val="subscript"/>
        <sz val="11"/>
        <color theme="1"/>
        <rFont val="Calibri"/>
        <family val="2"/>
        <scheme val="minor"/>
      </rPr>
      <t>3</t>
    </r>
  </si>
  <si>
    <t>Ytterbium oxide Price, CNY/Mt,&lt;99.99%, VAT excluded,Traded price, DDP</t>
  </si>
  <si>
    <t>Assumed 10 year average (Jan 2013- Dec 2022) based on available data from SMM (2024) via BRGM (see 'Contract official name')</t>
  </si>
  <si>
    <t>Lutetium (Lu)</t>
  </si>
  <si>
    <r>
      <t>Lu</t>
    </r>
    <r>
      <rPr>
        <b/>
        <vertAlign val="subscript"/>
        <sz val="11"/>
        <color theme="1"/>
        <rFont val="Calibri"/>
        <family val="2"/>
        <scheme val="minor"/>
      </rPr>
      <t>2</t>
    </r>
    <r>
      <rPr>
        <b/>
        <sz val="11"/>
        <color theme="1"/>
        <rFont val="Calibri"/>
        <family val="2"/>
        <scheme val="minor"/>
      </rPr>
      <t>O</t>
    </r>
    <r>
      <rPr>
        <b/>
        <vertAlign val="subscript"/>
        <sz val="11"/>
        <color theme="1"/>
        <rFont val="Calibri"/>
        <family val="2"/>
        <scheme val="minor"/>
      </rPr>
      <t>3</t>
    </r>
  </si>
  <si>
    <t>Lutetium oxide Price, CNY/kg, &lt;99.99%, VAT excluded, Traded price, DDP</t>
  </si>
  <si>
    <t>Holmium (Ho)</t>
  </si>
  <si>
    <r>
      <t>Ho</t>
    </r>
    <r>
      <rPr>
        <b/>
        <vertAlign val="subscript"/>
        <sz val="11"/>
        <color theme="1"/>
        <rFont val="Calibri"/>
        <family val="2"/>
        <scheme val="minor"/>
      </rPr>
      <t>2</t>
    </r>
    <r>
      <rPr>
        <b/>
        <sz val="11"/>
        <color theme="1"/>
        <rFont val="Calibri"/>
        <family val="2"/>
        <scheme val="minor"/>
      </rPr>
      <t>O</t>
    </r>
    <r>
      <rPr>
        <b/>
        <vertAlign val="subscript"/>
        <sz val="11"/>
        <color theme="1"/>
        <rFont val="Calibri"/>
        <family val="2"/>
        <scheme val="minor"/>
      </rPr>
      <t>3</t>
    </r>
  </si>
  <si>
    <t>Holmium Oxide Price, CNY/mt, DDP</t>
  </si>
  <si>
    <t>Thulium (Tm)</t>
  </si>
  <si>
    <r>
      <t>Tm</t>
    </r>
    <r>
      <rPr>
        <b/>
        <vertAlign val="subscript"/>
        <sz val="11"/>
        <color theme="1"/>
        <rFont val="Calibri"/>
        <family val="2"/>
        <scheme val="minor"/>
      </rPr>
      <t>2</t>
    </r>
    <r>
      <rPr>
        <b/>
        <sz val="11"/>
        <color theme="1"/>
        <rFont val="Calibri"/>
        <family val="2"/>
        <scheme val="minor"/>
      </rPr>
      <t>O</t>
    </r>
    <r>
      <rPr>
        <b/>
        <vertAlign val="subscript"/>
        <sz val="11"/>
        <color theme="1"/>
        <rFont val="Calibri"/>
        <family val="2"/>
        <scheme val="minor"/>
      </rPr>
      <t>3</t>
    </r>
  </si>
  <si>
    <t>Thulium oxide Ex Works China, incl. 13% VAT.</t>
  </si>
  <si>
    <t>Assumed 10 year average (Jan 2013- Dec 2022) based on available data from Ginger Consulting (2024) via BRGM (see 'Contract official name')</t>
  </si>
  <si>
    <t>Source: Calculations and assumptions based on data from The World Bank (2025), DERA (2018-2024), SMM (2024), Argus Media (2024) and Ginger Consulting (2024), as in Miranda Xicotencatl (2025) in Zenodo.</t>
  </si>
  <si>
    <t>Allocation table - Mountain Pass</t>
  </si>
  <si>
    <t>Quantity source: Composition of the REO obtained from Table S2 in the Supplementary material in Marx et al. (2018). The compositon matches the breakdown of the output from the solvent extraction processes in Table S4 (Marx et al. 2018), with the HREE fraction being the sum of europium, samarium, yttrium and gadolinium oxides.</t>
  </si>
  <si>
    <t>Allocation table - Sichuan</t>
  </si>
  <si>
    <t>n.a.</t>
  </si>
  <si>
    <t>Quantity source: Composition of the REO produced in Sichuan province as obtained from Table S1-2 in the supplementary material of Lee and Wen (2017).</t>
  </si>
  <si>
    <t>Non-metal co-product dealt with substitution.</t>
  </si>
  <si>
    <t>Proxy to "calcium fluoride"; non-metal co-product to be dealt with substitution. However, there is no LCI dataset for "calcium fluoride" in ecoinvent.</t>
  </si>
  <si>
    <t>ammonium chloride production</t>
  </si>
  <si>
    <t>Calculated based on 2.42E-06 kg in Lee and Wen (2017), with the mass fraction of Th in thorium oxide being 0.8788, and assuming that 1 kg thorium oxide contains 3566 kBq of Th-232 (Zhang &amp; Sun, 2005; IAEA, 2011).</t>
  </si>
  <si>
    <t>Proxy to CLCD process "Iron ore-open-pit mining"</t>
  </si>
  <si>
    <t>Calculated based on 2.42E-06 kg in Lee and Wen (2017), with the mass fraction of U in uranium oxide being 0.8480, and assuming that 1 kg uranium oxide contains 10470 kBq of U-238 (IAEA, 2011).</t>
  </si>
  <si>
    <t>Calculated based on 3.07E-06 kg in Lee and Wen (2017), with the mass fraction of U in uranium oxide being 0.8480, and assuming that 1 kg uranium oxide contains 10470 kBq of U-238 (IAEA, 2011).</t>
  </si>
  <si>
    <t>Calculated based on 3.07E-06 kg in Lee and Wen (2017), with the mass fraction of Th in thorium oxide being 0.8788, and assuming that 1 kg thorium oxide contains 3566 kBq of Th-232 (Zhang &amp; Sun, 2005; IAEA, 2011).</t>
  </si>
  <si>
    <t>Rare Earths</t>
  </si>
  <si>
    <t>Rare Earths (RE) global market</t>
  </si>
  <si>
    <t>Rare Earths oxides (REO)</t>
  </si>
  <si>
    <t>[M+C] Bastnaesite ore mining and concentration (Sichuan province)</t>
  </si>
  <si>
    <t>Concentrated Rare Earths oxides (REO) mixed (70%)</t>
  </si>
  <si>
    <t>[P] REO separation (Sichuan province)</t>
  </si>
  <si>
    <t>Separated REO mix (100%)</t>
  </si>
  <si>
    <t>The co-produced calcium chloride and ammonium chloride are dealt through substitution.</t>
  </si>
  <si>
    <t xml:space="preserve">Bastnaesite ore mining and REO production in China/Sichuan </t>
  </si>
  <si>
    <t>REO</t>
  </si>
  <si>
    <t xml:space="preserve">Cerium oxide (CeO2) production in China/Sichuan </t>
  </si>
  <si>
    <t>CeO2</t>
  </si>
  <si>
    <t>Information about allocation to individual REO are provided in the "AllocationDetails" sheet.</t>
  </si>
  <si>
    <t>Cerium oxide (CeO2) production in China/Sichuan (Ce content)</t>
  </si>
  <si>
    <t>CeO2 (Ce content)</t>
  </si>
  <si>
    <t>Activity expressed for 1 kg Ce contained</t>
  </si>
  <si>
    <t xml:space="preserve">Erbium oxide (Er2O3) production in China/Sichuan </t>
  </si>
  <si>
    <t>Er2O3</t>
  </si>
  <si>
    <t>Erbium oxide (Er2O3) production in China/Sichuan (Er content)</t>
  </si>
  <si>
    <t>Er2O3 (Er content)</t>
  </si>
  <si>
    <t>Activity expressed for 1 kg Er contained</t>
  </si>
  <si>
    <t xml:space="preserve">Europium oxide (Eu2O3) production in China/Sichuan </t>
  </si>
  <si>
    <t>Eu2O3</t>
  </si>
  <si>
    <t>Europium oxide (Eu2O3) production in China/Sichuan (Eu content)</t>
  </si>
  <si>
    <t>Eu2O3 (Eu content)</t>
  </si>
  <si>
    <t xml:space="preserve">Gadolinium oxide (Gd2O3) production in China/Sichuan </t>
  </si>
  <si>
    <t>Gd2O3</t>
  </si>
  <si>
    <t>Gadolinium oxide (Gd2O3) production in China/Sichuan (Gd content)</t>
  </si>
  <si>
    <t>Gd2O3 (Gd content)</t>
  </si>
  <si>
    <t>Activity expressed for 1 kg Eu contained</t>
  </si>
  <si>
    <t>Activity expressed for 1 kg Gd contained</t>
  </si>
  <si>
    <t xml:space="preserve">Lanthanum oxide (La2O3) production in China/Sichuan </t>
  </si>
  <si>
    <t>La2O3</t>
  </si>
  <si>
    <t>Lanthanum oxide (La2O3) production in China/Sichuan (La content)</t>
  </si>
  <si>
    <t>La2O3 (La content)</t>
  </si>
  <si>
    <t>Activity expressed for 1 kg La contained</t>
  </si>
  <si>
    <t xml:space="preserve">Neodymium oxide (Nd2O3) production in China/Sichuan </t>
  </si>
  <si>
    <t>Nd2O3</t>
  </si>
  <si>
    <t>Neodymium oxide (Nd2O3) production in China/Sichuan (Nd content)</t>
  </si>
  <si>
    <t>Nd2O3 (Nd content)</t>
  </si>
  <si>
    <t>Activity expressed for 1 kg Nd contained</t>
  </si>
  <si>
    <t xml:space="preserve">Praseodymium oxide (Pr6O11) production in China/Sichuan </t>
  </si>
  <si>
    <t>Pr6O11</t>
  </si>
  <si>
    <t>Praseodymium oxide (Pr6O11) production in China/Sichuan (Pr content)</t>
  </si>
  <si>
    <t>Pr6O11 (Pr content)</t>
  </si>
  <si>
    <t>Activity expressed for 1 kg Pr contained</t>
  </si>
  <si>
    <t xml:space="preserve">Samarium oxide (Sm2O3) production in China/Sichuan </t>
  </si>
  <si>
    <t>Sm2O3</t>
  </si>
  <si>
    <t>Samarium oxide (Sm2O3) production in China/Sichuan (Sm content)</t>
  </si>
  <si>
    <t>Sm2O3 (Sm content)</t>
  </si>
  <si>
    <t>Activity expressed for 1 kg Sm contained</t>
  </si>
  <si>
    <t xml:space="preserve">Yttrium oxide (Y2O3) production in China/Sichuan </t>
  </si>
  <si>
    <t>Y2O3</t>
  </si>
  <si>
    <t>Yttrium oxide (Y2O3) production in China/Sichuan (Y content)</t>
  </si>
  <si>
    <t>Y2O3 (Y content)</t>
  </si>
  <si>
    <t>[M] Bastnaesite ore mining (Mountain Pass)</t>
  </si>
  <si>
    <t>Bastnaesite ore</t>
  </si>
  <si>
    <t>[C] Bastnaesite ore crushing (Mountain Pass)</t>
  </si>
  <si>
    <t>Crushed bastnaesite ore</t>
  </si>
  <si>
    <t>[C] Bastnaesite ore milling and flotation (Mountain Pass)</t>
  </si>
  <si>
    <t>[P] Cracking, separation and calcination of RE (Mountain Pass)</t>
  </si>
  <si>
    <t>Separated REO mix</t>
  </si>
  <si>
    <t>Concentrated Rare Earths oxides (REO) mixed</t>
  </si>
  <si>
    <t>Bastnaesite ore mining and REO production in the US/Mt. Pass</t>
  </si>
  <si>
    <t>Cerium oxide (CeO2) production in the US/Mt. Pass</t>
  </si>
  <si>
    <t>Cerium oxide (CeO2) production in the US/Mt. Pass (Ce content)</t>
  </si>
  <si>
    <t>Europium oxide (Eu2O3) production in the US/Mt. Pass</t>
  </si>
  <si>
    <t>Europium oxide (Eu2O3) production in the US/Mt. Pass (Eu content)</t>
  </si>
  <si>
    <t>Gadolinium oxide (Gd2O3) production in the US/Mt. Pass</t>
  </si>
  <si>
    <t>Gadolinium oxide (Gd2O3) production in the US/Mt. Pass (Gd content)</t>
  </si>
  <si>
    <t>Lanthanum oxide (La2O3) production in the US/Mt. Pass</t>
  </si>
  <si>
    <t>Lanthanum oxide (La2O3) production in the US/Mt. Pass (La content)</t>
  </si>
  <si>
    <t>Neodymium oxide (Nd2O3) production in the US/Mt. Pass</t>
  </si>
  <si>
    <t>Neodymium oxide (Nd2O3) production in the US/Mt. Pass (Nd content)</t>
  </si>
  <si>
    <t>Praseodymium oxide (Pr6O11) production in the US/Mt. Pass</t>
  </si>
  <si>
    <t>Praseodymium oxide (Pr6O11) production in the US/Mt. Pass (Pr content)</t>
  </si>
  <si>
    <t>Samarium oxide (Sm2O3) production in the US/Mt. Pass</t>
  </si>
  <si>
    <t>Samarium oxide (Sm2O3) production in the US/Mt. Pass (Sm content)</t>
  </si>
  <si>
    <t>Yttrium oxide (Y2O3) production in the US/Mt. Pass</t>
  </si>
  <si>
    <t>Yttrium oxide (Y2O3) production in the US/Mt. Pass (Y content)</t>
  </si>
  <si>
    <t>Allocation table - Bayan Obo</t>
  </si>
  <si>
    <t>Quantity source: REO breakdown in ore according to Packey and Kingsnorth (2016).</t>
  </si>
  <si>
    <t>Allocation table - Beneficiation at Bayan Obo</t>
  </si>
  <si>
    <t>65% iron ore</t>
  </si>
  <si>
    <t>REEs</t>
  </si>
  <si>
    <t xml:space="preserve">61% RE concentrate </t>
  </si>
  <si>
    <t>Niobium (Nb)</t>
  </si>
  <si>
    <t>5% Nb2O5 concentrate</t>
  </si>
  <si>
    <t>Allocation table - Mount Weld</t>
  </si>
  <si>
    <t xml:space="preserve">As part of the 4.70% HREE fraction. The quantity within the fraction was estimated according to the REO breakdown in ore. </t>
  </si>
  <si>
    <t>La/Ce</t>
  </si>
  <si>
    <t>Price estimation based on the average price of the separated species, multiplied by a dilution factor of 0.3052, based on the price proportions in Marx et al. (2018).</t>
  </si>
  <si>
    <t>Quantity source: Breakdown of solvent extraction processes according to Marx et al. (2018).</t>
  </si>
  <si>
    <t>Allocation table - IAC</t>
  </si>
  <si>
    <t>REO breakdown in ore - Mount Weld</t>
  </si>
  <si>
    <t>Source: Table 1 in rare earth concentrations of selected minerals across the major producing mines (Packey and Kingsnorth, 2016).</t>
  </si>
  <si>
    <t>[M] Bastnaesite-Monazite ore mining (Bayan Obo)</t>
  </si>
  <si>
    <t>Bastnaesite-Monazite ore</t>
  </si>
  <si>
    <t>market for blasting</t>
  </si>
  <si>
    <t>diesel, burned in diesel-electric generating set, 10MW</t>
  </si>
  <si>
    <t>market for recultivation, iron mine</t>
  </si>
  <si>
    <t>blasting</t>
  </si>
  <si>
    <t>recultivation, iron mine</t>
  </si>
  <si>
    <t>Cerium</t>
  </si>
  <si>
    <t>Dysprosium</t>
  </si>
  <si>
    <t>Erbium</t>
  </si>
  <si>
    <t>Europium</t>
  </si>
  <si>
    <t>Gadolinium</t>
  </si>
  <si>
    <t>Heat, waste</t>
  </si>
  <si>
    <t>Holmium</t>
  </si>
  <si>
    <t>Iron</t>
  </si>
  <si>
    <t>Lanthanum</t>
  </si>
  <si>
    <t>Lutetium</t>
  </si>
  <si>
    <t>Neodymium</t>
  </si>
  <si>
    <t>Niobium</t>
  </si>
  <si>
    <t>Particulate Matter, &lt; 2.5 um</t>
  </si>
  <si>
    <t>Particulate Matter, &gt; 10 um</t>
  </si>
  <si>
    <t>Praseodymium</t>
  </si>
  <si>
    <t>Radium-226</t>
  </si>
  <si>
    <t>Samarium</t>
  </si>
  <si>
    <t>Terbium</t>
  </si>
  <si>
    <t>Thulium</t>
  </si>
  <si>
    <t>Ytterbium</t>
  </si>
  <si>
    <t>Yttrium</t>
  </si>
  <si>
    <t>air::non-urban air or from high stacks</t>
  </si>
  <si>
    <t>water::ground-</t>
  </si>
  <si>
    <t>natural resource::in water</t>
  </si>
  <si>
    <t>[C] Bastnaesite-Monazite ore concentration (Bayan Obo)</t>
  </si>
  <si>
    <t>Rare Earths (RE) concentrate</t>
  </si>
  <si>
    <t>Production of ammonium hydroxide (10% mass)</t>
  </si>
  <si>
    <t>market for heat, from steam, in chemical industry</t>
  </si>
  <si>
    <t>market group for electricity, medium voltage</t>
  </si>
  <si>
    <t>sodium silicate production, spray powder, 80%</t>
  </si>
  <si>
    <t>transport, freight train, diesel</t>
  </si>
  <si>
    <t>transport, freight, lorry 16-32 metric ton, EURO5</t>
  </si>
  <si>
    <t>ammonium hydroxide (10%)</t>
  </si>
  <si>
    <t>heat, from steam, in chemical industry</t>
  </si>
  <si>
    <t>sodium silicate, spray powder, 80%</t>
  </si>
  <si>
    <t>BOD5, Biological Oxygen Demand</t>
  </si>
  <si>
    <t>Cyanide</t>
  </si>
  <si>
    <t>DOC, Dissolved Organic Carbon</t>
  </si>
  <si>
    <t>Nickel II</t>
  </si>
  <si>
    <t>Occupation, industrial area</t>
  </si>
  <si>
    <t>TOC, Total Organic Carbon</t>
  </si>
  <si>
    <t>Uranium-234</t>
  </si>
  <si>
    <t>air::low population density, long-term</t>
  </si>
  <si>
    <t>water::ground-, long-term</t>
  </si>
  <si>
    <t>[P] Roasting (Bayan Obo)</t>
  </si>
  <si>
    <t>RE sulfate</t>
  </si>
  <si>
    <t>heat production, heavy fuel oil, at industrial furnace 1MW</t>
  </si>
  <si>
    <t>sulfuric acid production</t>
  </si>
  <si>
    <t>treatment of sulfidic tailings, generic, tailings impoundment</t>
  </si>
  <si>
    <t>market for transport, freight, lorry 16-32 metric ton, EURO5</t>
  </si>
  <si>
    <t>heat, district or industrial, other than natural gas</t>
  </si>
  <si>
    <t>sulfidic tailings, generic</t>
  </si>
  <si>
    <t>Sulfur dioxide</t>
  </si>
  <si>
    <t>air::urban air close to ground</t>
  </si>
  <si>
    <t>[P] Leaching (Bayan Obo)</t>
  </si>
  <si>
    <t>RE chloride</t>
  </si>
  <si>
    <t>soda production, solvay process</t>
  </si>
  <si>
    <t>soda ash, light</t>
  </si>
  <si>
    <t>[P] Solvent extraction (Bayan Obo)</t>
  </si>
  <si>
    <t>Separated RE oxides (REO) mix</t>
  </si>
  <si>
    <t>market for activated carbon, granular</t>
  </si>
  <si>
    <t>activated carbon, granular</t>
  </si>
  <si>
    <t>sodium bicarbonate</t>
  </si>
  <si>
    <t>Chlorine</t>
  </si>
  <si>
    <t>Nitrogen oxides</t>
  </si>
  <si>
    <t>Bastnaesite-monazite ore mining and REO production in China/Bayan Obo</t>
  </si>
  <si>
    <t>Water, cooling, unspecified natural origin</t>
  </si>
  <si>
    <t>Production of P204</t>
  </si>
  <si>
    <t>P204 extractant</t>
  </si>
  <si>
    <t>market for carbon monoxide</t>
  </si>
  <si>
    <t>market for chlorine, liquid</t>
  </si>
  <si>
    <t>market for hydrogen, gaseous, medium pressure, merchant</t>
  </si>
  <si>
    <t>market for nitrogen, liquid</t>
  </si>
  <si>
    <t>market for phosphorous chloride</t>
  </si>
  <si>
    <t>market for propylene</t>
  </si>
  <si>
    <t>carbon monoxide</t>
  </si>
  <si>
    <t>chlorine, liquid</t>
  </si>
  <si>
    <t>hydrogen, gaseous, medium pressure, merchant</t>
  </si>
  <si>
    <t>nitrogen, liquid</t>
  </si>
  <si>
    <t>phosphorous chloride</t>
  </si>
  <si>
    <t>propylene</t>
  </si>
  <si>
    <t>Neodymium oxide (Nd2O3) production in China/Bayan Obo</t>
  </si>
  <si>
    <t>Neodymium oxide (Nd2O3) production in China/Bayan Obo (Nd content)</t>
  </si>
  <si>
    <t>Cerium oxide (CeO2) production in China/Bayan Obo</t>
  </si>
  <si>
    <t>Cerium oxide (CeO2) production in China/Bayan Obo (Ce content)</t>
  </si>
  <si>
    <t xml:space="preserve">Dysprosium oxide (Dy2O3) production in China/Bayan Obo </t>
  </si>
  <si>
    <t>Dy2O3</t>
  </si>
  <si>
    <t>Dysprosium oxide (Dy2O3) production in China/Bayan Obo (Dy content)</t>
  </si>
  <si>
    <t>Dy2O3 (Dy content)</t>
  </si>
  <si>
    <t>Activity expressed for 1 kg Dy contained</t>
  </si>
  <si>
    <t>Erbium oxide (Er2O3) production in China/Bayan Obo</t>
  </si>
  <si>
    <t>Erbium oxide (Er2O3) production in China/Bayan Obo (Er content)</t>
  </si>
  <si>
    <t>Europium oxide (Eu2O3) production in China/Bayan Obo</t>
  </si>
  <si>
    <t>Europium oxide (Eu2O3) production in China/Bayan Obo (Eu content)</t>
  </si>
  <si>
    <t>Gadolinium oxide (Gd2O3) production in China/Bayan Obo</t>
  </si>
  <si>
    <t>Gadolinium oxide (Gd2O3) production in China/Bayan Obo (Gd content)</t>
  </si>
  <si>
    <t>Holmium oxide (Ho2O3) production in China/Bayan Obo</t>
  </si>
  <si>
    <t>Ho2O3</t>
  </si>
  <si>
    <t>Ho2O3 (Ho content)</t>
  </si>
  <si>
    <t>Activity expressed for 1 kg Ho contained</t>
  </si>
  <si>
    <t>Holmium oxide (Ho2O3) production in China/Bayan Obo (Ho content)</t>
  </si>
  <si>
    <t>Lanthanum oxide (La2O3) production in China/Bayan Obo</t>
  </si>
  <si>
    <t>Lanthanum oxide (La2O3) production in China/Bayan Obo (La content)</t>
  </si>
  <si>
    <t xml:space="preserve">Lutetium oxide (Lu2O3) production in China/Bayan Obo </t>
  </si>
  <si>
    <t>Lu2O3</t>
  </si>
  <si>
    <t>Lutetium oxide (Lu2O3) production in China/Bayan Obo (Lu content)</t>
  </si>
  <si>
    <t>Lu2O3 (Lu content)</t>
  </si>
  <si>
    <t>Activity expressed for 1 kg Lu contained</t>
  </si>
  <si>
    <t xml:space="preserve">Praseodymium oxide (Pr6O11) production in China/Bayan Obo </t>
  </si>
  <si>
    <t>Praseodymium oxide (Pr6O11) production in China/Bayan Obo (Pr content)</t>
  </si>
  <si>
    <t>Samarium oxide (Sm2O3) production in China/Bayan Obo</t>
  </si>
  <si>
    <t>Samarium oxide (Sm2O3) production in China/Bayan Obo (Sm content)</t>
  </si>
  <si>
    <t xml:space="preserve">Terbium oxide (Tb4O7) production in China/Bayan Obo </t>
  </si>
  <si>
    <t>Terbium oxide (Tb4O7) production in China/Bayan Obo (Tb content)</t>
  </si>
  <si>
    <t>Tb4O7</t>
  </si>
  <si>
    <t>Tb4O7 (Tb content)</t>
  </si>
  <si>
    <t>Activity expressed for 1 kg Tb contained</t>
  </si>
  <si>
    <t xml:space="preserve">Thulium oxide (Tm2O3) production in China/Bayan Obo </t>
  </si>
  <si>
    <t>Tm2O3</t>
  </si>
  <si>
    <t>Tm2O3 (Tm content)</t>
  </si>
  <si>
    <t>Activity expressed for 1 kg Tm contained</t>
  </si>
  <si>
    <t>Ytterbium oxide (Yb2O3) production in China/Bayan Obo</t>
  </si>
  <si>
    <t>Ytterbium oxide (Yb2O3) production in China/Bayan Obo (Yb content)</t>
  </si>
  <si>
    <t>Yb2O3</t>
  </si>
  <si>
    <t>Yb2O3 (Yb content)</t>
  </si>
  <si>
    <t>Activity expressed for 1 kg Y contained</t>
  </si>
  <si>
    <t>Activity expressed for 1 kg Yb contained</t>
  </si>
  <si>
    <t>Yttrium oxide (Y2O3) production in China/Bayan Obo</t>
  </si>
  <si>
    <t>Yttrium oxide (Y2O3) production in China/Bayan Obo (Y content)</t>
  </si>
  <si>
    <r>
      <t xml:space="preserve">Allocated unit process, considering as allocation factors (AF): </t>
    </r>
    <r>
      <rPr>
        <b/>
        <sz val="11"/>
        <color theme="5"/>
        <rFont val="Calibri"/>
        <family val="2"/>
        <scheme val="minor"/>
      </rPr>
      <t>91% for RE (1 kg)</t>
    </r>
    <r>
      <rPr>
        <sz val="11"/>
        <color theme="5"/>
        <rFont val="Calibri"/>
        <family val="2"/>
        <scheme val="minor"/>
      </rPr>
      <t xml:space="preserve"> and 9% for Fe (10.3 kg ore).</t>
    </r>
  </si>
  <si>
    <r>
      <t xml:space="preserve">Applied AF: "Bastnaesite-Monazite ore" input = </t>
    </r>
    <r>
      <rPr>
        <b/>
        <sz val="11"/>
        <color theme="5"/>
        <rFont val="Calibri"/>
        <family val="2"/>
        <scheme val="minor"/>
      </rPr>
      <t>91%</t>
    </r>
    <r>
      <rPr>
        <sz val="11"/>
        <color theme="5"/>
        <rFont val="Calibri"/>
        <family val="2"/>
        <scheme val="minor"/>
      </rPr>
      <t>.</t>
    </r>
  </si>
  <si>
    <t>[M] Monazite ore mining (Mt. Weld)</t>
  </si>
  <si>
    <t>Monazite ore</t>
  </si>
  <si>
    <t>AU</t>
  </si>
  <si>
    <t>lubricating oil production</t>
  </si>
  <si>
    <t>mine construction, iron</t>
  </si>
  <si>
    <t>treatment of wastewater from pig iron production, wastewater treatment</t>
  </si>
  <si>
    <t>treatment of waste mineral oil, hazardous waste incineration</t>
  </si>
  <si>
    <t>wastewater from pig iron production</t>
  </si>
  <si>
    <t>waste mineral oil</t>
  </si>
  <si>
    <t>[C] Monazite ore crushing and milling (Mt. Weld)</t>
  </si>
  <si>
    <t>Monazite ore pulp</t>
  </si>
  <si>
    <t>market for steel, unalloyed</t>
  </si>
  <si>
    <t>steel, unalloyed</t>
  </si>
  <si>
    <t>[C] Flotation (Mt. Weld)</t>
  </si>
  <si>
    <t>Tailings from beneficiation</t>
  </si>
  <si>
    <t>aluminium hydroxide factory construction</t>
  </si>
  <si>
    <t>market for fluosilicic acid, without water, in 22% solution state</t>
  </si>
  <si>
    <t>market for lime</t>
  </si>
  <si>
    <t>market for sodium silicate, spray powder, 80%</t>
  </si>
  <si>
    <t>fluosilicic acid, without water, in 22% solution state</t>
  </si>
  <si>
    <t>lime</t>
  </si>
  <si>
    <t>[P] Roasting (Malaysia)</t>
  </si>
  <si>
    <t>MY</t>
  </si>
  <si>
    <t>Discharge of leaching sludge</t>
  </si>
  <si>
    <t>aluminium oxide factory construction</t>
  </si>
  <si>
    <t>heat production, natural gas, at industrial furnace &gt;100kW</t>
  </si>
  <si>
    <t>market for lime, hydrated, loose weight</t>
  </si>
  <si>
    <t>market for transport, freight, lorry 16-32 metric ton, EURO3</t>
  </si>
  <si>
    <t>market for transport, freight, sea, container ship</t>
  </si>
  <si>
    <t>aluminium oxide factory</t>
  </si>
  <si>
    <t>heat, district or industrial, natural gas</t>
  </si>
  <si>
    <t>lime, hydrated, loose weight</t>
  </si>
  <si>
    <t>transport, freight, lorry 16-32 metric ton, EURO3</t>
  </si>
  <si>
    <t>transport, freight, sea, container ship</t>
  </si>
  <si>
    <t>Phosphoric acid</t>
  </si>
  <si>
    <t>[P] Leaching (Malaysia)</t>
  </si>
  <si>
    <t>magnesium oxide production</t>
  </si>
  <si>
    <t>magnesium oxide</t>
  </si>
  <si>
    <t>[P] Solvent extraction (Malaysia)</t>
  </si>
  <si>
    <t>chemical factory construction, organics</t>
  </si>
  <si>
    <t>chemical production, inorganic</t>
  </si>
  <si>
    <t>chlor-alkali electrolysis, membrane cell</t>
  </si>
  <si>
    <t>kerosene production, petroleum refinery operation</t>
  </si>
  <si>
    <t>lime production, hydrated, loose weight</t>
  </si>
  <si>
    <t>market for oxalic acid</t>
  </si>
  <si>
    <t>market for sodium sulfate, anhydrite</t>
  </si>
  <si>
    <t>chemical factory, organics</t>
  </si>
  <si>
    <t>oxalic acid</t>
  </si>
  <si>
    <t>sodium sulfate, anhydrite</t>
  </si>
  <si>
    <t>Leaching sludge</t>
  </si>
  <si>
    <t>Barium II</t>
  </si>
  <si>
    <t>Manganese II</t>
  </si>
  <si>
    <t>Occupation, dump site</t>
  </si>
  <si>
    <t>Monazite ore mining in Australia/Mt. Weld and REO production in Malaysia</t>
  </si>
  <si>
    <t>AU-MY</t>
  </si>
  <si>
    <t>Neodymium oxide (Nd2O3) production in Australia/Mt. Weld - Malaysia</t>
  </si>
  <si>
    <t>Neodymium oxide (Nd2O3) production in Australia/Mt. Weld - Malaysia (Nd content)</t>
  </si>
  <si>
    <t>Cerium oxide (CeO2) production in Australia/Mt. Weld - Malaysia</t>
  </si>
  <si>
    <t>Cerium oxide (CeO2) production in Australia/Mt. Weld - Malaysia (Ce content)</t>
  </si>
  <si>
    <t>Dysprosium oxide (Dy2O3) production in Australia/Mt. Weld - Malaysia</t>
  </si>
  <si>
    <t>Dysprosium oxide (Dy2O3) production in Australia/Mt. Weld - Malaysia (Dy content)</t>
  </si>
  <si>
    <t>Europium oxide (Eu2O3) production in Australia/Mt. Weld - Malaysia</t>
  </si>
  <si>
    <t>Europium oxide (Eu2O3) production in Australia/Mt. Weld - Malaysia (Eu content)</t>
  </si>
  <si>
    <t>Gadolinium oxide (Gd2O3) production in Australia/Mt. Weld - Malaysia</t>
  </si>
  <si>
    <t>Gadolinium oxide (Gd2O3) production in Australia/Mt. Weld - Malaysia (Gd content)</t>
  </si>
  <si>
    <t>Lanthanum oxide (La2O3) production in Australia/Mt. Weld - Malaysia</t>
  </si>
  <si>
    <t>Lanthanum oxide (La2O3) production in Australia/Mt. Weld - Malaysia (La content)</t>
  </si>
  <si>
    <t>Praseodymium oxide (Pr6O11) production in Australia/Mt. Weld - Malaysia</t>
  </si>
  <si>
    <t>Praseodymium oxide (Pr6O11) production in Australia/Mt. Weld - Malaysia (Pr content)</t>
  </si>
  <si>
    <t>Samarium oxide (Sm2O3) production in Australia/Mt. Weld - Malaysia</t>
  </si>
  <si>
    <t>Samarium oxide (Sm2O3) production in Australia/Mt. Weld - Malaysia (Sm content)</t>
  </si>
  <si>
    <t>Terbium oxide (Tb4O7) production in Australia/Mt. Weld - Malaysia</t>
  </si>
  <si>
    <t>Terbium oxide (Tb4O7) production in Australia/Mt. Weld - Malaysia (Tb content)</t>
  </si>
  <si>
    <t>ammonium bicarbonate production</t>
  </si>
  <si>
    <t>ammonium sulfate production</t>
  </si>
  <si>
    <t>excavation, hydraulic digger</t>
  </si>
  <si>
    <t>extrusion, plastic pipes</t>
  </si>
  <si>
    <t>market for limestone, crushed, for mill</t>
  </si>
  <si>
    <t>polyvinylchloride production, suspension polymerisation</t>
  </si>
  <si>
    <t>ammonium sulfate</t>
  </si>
  <si>
    <t>limestone, crushed, for mill</t>
  </si>
  <si>
    <t>polyvinylchloride, suspension polymerised</t>
  </si>
  <si>
    <t>Aluminium III</t>
  </si>
  <si>
    <t>Kaolinite</t>
  </si>
  <si>
    <t>Sulfate</t>
  </si>
  <si>
    <t>soil</t>
  </si>
  <si>
    <t>[M+C] Mining and in situ leaching from ion adsorption clay (IAC) deposits</t>
  </si>
  <si>
    <t>[P] Solvent extraction and calcination (IAC)</t>
  </si>
  <si>
    <t>Production of heat for the calcination of rare earth oxalates</t>
  </si>
  <si>
    <t>market for hazardous waste, for underground deposit</t>
  </si>
  <si>
    <t>market for municipal solid waste</t>
  </si>
  <si>
    <t>market for sewage sludge, dried</t>
  </si>
  <si>
    <t>treatment of low level radioactive waste for final repository</t>
  </si>
  <si>
    <t>market for spent solvent mixture</t>
  </si>
  <si>
    <t>oxalic acid production</t>
  </si>
  <si>
    <t>hazardous waste, for underground deposit</t>
  </si>
  <si>
    <t>municipal solid waste</t>
  </si>
  <si>
    <t>sewage sludge, dried</t>
  </si>
  <si>
    <t>low level radioactive waste for final repository</t>
  </si>
  <si>
    <t>spent solvent mixture</t>
  </si>
  <si>
    <t>Chloride</t>
  </si>
  <si>
    <t>Hydrocarbons, unspecified</t>
  </si>
  <si>
    <t>Sodium I</t>
  </si>
  <si>
    <t>Heat for the calcination of rare earth oxalates</t>
  </si>
  <si>
    <t>treatment of blast furnace gas, in power plant</t>
  </si>
  <si>
    <t>CN-FJ</t>
  </si>
  <si>
    <t>CN-GD</t>
  </si>
  <si>
    <t>CN-GX</t>
  </si>
  <si>
    <t>CN-JX</t>
  </si>
  <si>
    <t>CN-YN</t>
  </si>
  <si>
    <t>CN-ZJ</t>
  </si>
  <si>
    <t>CN-HN</t>
  </si>
  <si>
    <t>REO production from ion-adsorption clays in China</t>
  </si>
  <si>
    <t>Neodymium oxide (Nd2O3) production from ion-adsorption clays in China</t>
  </si>
  <si>
    <t>Neodymium oxide (Nd2O3) production from ion-adsorption clays in China (Nd content)</t>
  </si>
  <si>
    <t>Cerium oxide (CeO2) production from ion-adsorption clays in China</t>
  </si>
  <si>
    <t>Cerium oxide (CeO2) production from ion-adsorption clays in China (Ce content)</t>
  </si>
  <si>
    <t>Dysprosium oxide (Dy2O3) production from ion-adsorption clays in China</t>
  </si>
  <si>
    <t>Dysprosium oxide (Dy2O3) production in from ion-adsorption clays in China (Dy content)</t>
  </si>
  <si>
    <t>Erbium oxide (Er2O3) production from ion-adsorption clays in China</t>
  </si>
  <si>
    <t>Erbium oxide (Er2O3) production from ion-adsorption clays in China (Er content)</t>
  </si>
  <si>
    <t>Europium oxide (Eu2O3) production from ion-adsorption clays in China</t>
  </si>
  <si>
    <t>Europium oxide (Eu2O3) production from ion-adsorption clays in China (Eu content)</t>
  </si>
  <si>
    <t>Gadolinium oxide (Gd2O3) production from ion-adsorption clays in China</t>
  </si>
  <si>
    <t>Gadolinium oxide (Gd2O3) production from ion-adsorption clays in China (Gd content)</t>
  </si>
  <si>
    <t>Holmium oxide (Ho2O3) production from ion-adsorption clays in China</t>
  </si>
  <si>
    <t>Holmium oxide (Ho2O3) production from ion-adsorption clays in China (Ho content)</t>
  </si>
  <si>
    <t>Lanthanum oxide (La2O3) production from ion-adsorption clays in China</t>
  </si>
  <si>
    <t>Lanthanum oxide (La2O3) production from ion-adsorption clays in China (La content)</t>
  </si>
  <si>
    <t>Lutetium oxide (Lu2O3) production from ion-adsorption clays in China</t>
  </si>
  <si>
    <t>Lutetium oxide (Lu2O3) production from ion-adsorption clays in China (Lu content)</t>
  </si>
  <si>
    <t>Praseodymium oxide (Pr6O11) production from ion-adsorption clays in China</t>
  </si>
  <si>
    <t>Praseodymium oxide (Pr6O11) production from ion-adsorption clays in China (Pr content)</t>
  </si>
  <si>
    <t>Samarium oxide (Sm2O3) production from ion-adsorption clays in China</t>
  </si>
  <si>
    <t>Samarium oxide (Sm2O3) production from ion-adsorption clays in China (Sm content)</t>
  </si>
  <si>
    <t>Terbium oxide (Tb4O7) production from ion-adsorption clays in China</t>
  </si>
  <si>
    <t>Terbium oxide (Tb4O7) production from ion-adsorption clays in China (Tb content)</t>
  </si>
  <si>
    <t>Thulium oxide (Tm2O3) production from ion-adsorption clays in China</t>
  </si>
  <si>
    <t>Ytterbium oxide (Yb2O3) production from ion-adsorption clays in China</t>
  </si>
  <si>
    <t>Ytterbium oxide (Yb2O3) production from ion-adsorption clays in China (Yb content)</t>
  </si>
  <si>
    <t>Yttrium oxide (Y2O3) production from ion-adsorption clays in China</t>
  </si>
  <si>
    <t>Yttrium oxide (Y2O3) production from ion-adsorption clays in China (Y content)</t>
  </si>
  <si>
    <t>Neodymium (Nd) global market</t>
  </si>
  <si>
    <t>Nd oxide (Nd2O3)</t>
  </si>
  <si>
    <t>Neodymium (Nd) global market (Nd content)</t>
  </si>
  <si>
    <t>Nd content</t>
  </si>
  <si>
    <t>Cerium (Ce) global market</t>
  </si>
  <si>
    <t>Ce oxide (CeO2)</t>
  </si>
  <si>
    <t>Cerium (Ce) global market (Ce content)</t>
  </si>
  <si>
    <t>Ce content</t>
  </si>
  <si>
    <t>Dysprosium (Dy) global market</t>
  </si>
  <si>
    <t>Dy oxide (Dy2O3)</t>
  </si>
  <si>
    <t>Dysprosium (Dy) global market (Dy content)</t>
  </si>
  <si>
    <t>Dy content</t>
  </si>
  <si>
    <t>Erbium (Er) global market</t>
  </si>
  <si>
    <t>Er oxide (Er2O3)</t>
  </si>
  <si>
    <t>Erbium (Er) global market (Er content)</t>
  </si>
  <si>
    <t>Er content</t>
  </si>
  <si>
    <t>Europium (Eu) global market</t>
  </si>
  <si>
    <t>Eu oxide (Eu2O3)</t>
  </si>
  <si>
    <t>Europium (Eu) global market (Eu content)</t>
  </si>
  <si>
    <t>Eu content</t>
  </si>
  <si>
    <t>Gadolinium (Gd) global market</t>
  </si>
  <si>
    <t>Gd oxide (Gd2O3)</t>
  </si>
  <si>
    <t>Gadolinium (Gd) global market (Gd content)</t>
  </si>
  <si>
    <t>Gd content</t>
  </si>
  <si>
    <t>Holmium (Ho) global market</t>
  </si>
  <si>
    <t>Ho oxide (Ho2O3)</t>
  </si>
  <si>
    <t>Holmium (Ho) global market (Ho content)</t>
  </si>
  <si>
    <t>Ho content</t>
  </si>
  <si>
    <t>Lanthanum (La) global market</t>
  </si>
  <si>
    <t>La oxide (La2O3)</t>
  </si>
  <si>
    <t>Lanthanum (La) global market (La content)</t>
  </si>
  <si>
    <t>La content</t>
  </si>
  <si>
    <t>Lutetium (Lu) global market</t>
  </si>
  <si>
    <t>Lu oxide (Lu2O3)</t>
  </si>
  <si>
    <t>Lutetium (Lu) global market (Lu content)</t>
  </si>
  <si>
    <t>Lu content</t>
  </si>
  <si>
    <t>Praseodymium (Pr) global market</t>
  </si>
  <si>
    <t>Pr oxide (Pr6O11)</t>
  </si>
  <si>
    <t>Praseodymium (Pr) global market (Pr content)</t>
  </si>
  <si>
    <t>Pr content</t>
  </si>
  <si>
    <t>Samarium (Sm) global market</t>
  </si>
  <si>
    <t>Sm oxide (Sm2O3)</t>
  </si>
  <si>
    <t>Samarium (Sm) global market (Sm content)</t>
  </si>
  <si>
    <t>Sm content</t>
  </si>
  <si>
    <t>Terbium (Tb) global market</t>
  </si>
  <si>
    <t>Tb oxide (Tb4O7)</t>
  </si>
  <si>
    <t>Terbium (Tb) global market (Tb content)</t>
  </si>
  <si>
    <t>Tb content</t>
  </si>
  <si>
    <t>Thulium (Tm) global market</t>
  </si>
  <si>
    <t>Tm oxide (Tm2O3)</t>
  </si>
  <si>
    <t>Thulium (Tm) global market (Tm content)</t>
  </si>
  <si>
    <t>Tm content</t>
  </si>
  <si>
    <t>Thulium oxide (Tm2O3) production in China/Bayan Obo (Tm content)</t>
  </si>
  <si>
    <t>Thulium oxide (Tm2O3) production from ion-adsorption clays in China (Tm content)</t>
  </si>
  <si>
    <t>Ytterbium (Yb) global market</t>
  </si>
  <si>
    <t>Yb oxide (Yb2O3)</t>
  </si>
  <si>
    <t>Ytterbium (Yb) global market (Yb content)</t>
  </si>
  <si>
    <t>Yb content</t>
  </si>
  <si>
    <t>Yttrium (Y) global market</t>
  </si>
  <si>
    <t>Y oxide (Y2O3)</t>
  </si>
  <si>
    <t>Yttrium (Y) global market (Y content)</t>
  </si>
  <si>
    <t>Y content</t>
  </si>
  <si>
    <t>Tailings</t>
  </si>
  <si>
    <t>Sheet</t>
  </si>
  <si>
    <t>Corresponding route</t>
  </si>
  <si>
    <r>
      <rPr>
        <b/>
        <sz val="14"/>
        <color theme="1"/>
        <rFont val="Calibri"/>
        <family val="2"/>
        <scheme val="minor"/>
      </rPr>
      <t xml:space="preserve">Life cycle inventories of global metal and mineral supply chains: a comprehensive data review, analysis and processing </t>
    </r>
    <r>
      <rPr>
        <b/>
        <sz val="16"/>
        <color theme="1"/>
        <rFont val="Calibri"/>
        <family val="2"/>
        <scheme val="minor"/>
      </rPr>
      <t xml:space="preserve">
</t>
    </r>
    <r>
      <rPr>
        <sz val="11"/>
        <color theme="1"/>
        <rFont val="Calibri"/>
        <family val="2"/>
        <scheme val="minor"/>
      </rPr>
      <t xml:space="preserve">
Frédéric Lai</t>
    </r>
    <r>
      <rPr>
        <vertAlign val="superscript"/>
        <sz val="11"/>
        <color theme="1"/>
        <rFont val="Calibri"/>
        <family val="2"/>
        <scheme val="minor"/>
      </rPr>
      <t>a*</t>
    </r>
    <r>
      <rPr>
        <sz val="11"/>
        <color theme="1"/>
        <rFont val="Calibri"/>
        <family val="2"/>
        <scheme val="minor"/>
      </rPr>
      <t>, Stéphanie Muller</t>
    </r>
    <r>
      <rPr>
        <vertAlign val="superscript"/>
        <sz val="11"/>
        <color theme="1"/>
        <rFont val="Calibri"/>
        <family val="2"/>
        <scheme val="minor"/>
      </rPr>
      <t>a</t>
    </r>
    <r>
      <rPr>
        <sz val="11"/>
        <color theme="1"/>
        <rFont val="Calibri"/>
        <family val="2"/>
        <scheme val="minor"/>
      </rPr>
      <t>, Audrey Philippe</t>
    </r>
    <r>
      <rPr>
        <vertAlign val="superscript"/>
        <sz val="11"/>
        <color theme="1"/>
        <rFont val="Calibri"/>
        <family val="2"/>
        <scheme val="minor"/>
      </rPr>
      <t>a</t>
    </r>
    <r>
      <rPr>
        <sz val="11"/>
        <color theme="1"/>
        <rFont val="Calibri"/>
        <family val="2"/>
        <scheme val="minor"/>
      </rPr>
      <t>, Robert Istrate</t>
    </r>
    <r>
      <rPr>
        <vertAlign val="superscript"/>
        <sz val="11"/>
        <color theme="1"/>
        <rFont val="Calibri"/>
        <family val="2"/>
        <scheme val="minor"/>
      </rPr>
      <t>b</t>
    </r>
    <r>
      <rPr>
        <sz val="11"/>
        <color theme="1"/>
        <rFont val="Calibri"/>
        <family val="2"/>
        <scheme val="minor"/>
      </rPr>
      <t>, Brenda Miranda Xicotencatl</t>
    </r>
    <r>
      <rPr>
        <vertAlign val="superscript"/>
        <sz val="11"/>
        <color theme="1"/>
        <rFont val="Calibri"/>
        <family val="2"/>
        <scheme val="minor"/>
      </rPr>
      <t>b</t>
    </r>
    <r>
      <rPr>
        <sz val="11"/>
        <color theme="1"/>
        <rFont val="Calibri"/>
        <family val="2"/>
        <scheme val="minor"/>
      </rPr>
      <t>, Afsoon Mansouri Aski</t>
    </r>
    <r>
      <rPr>
        <vertAlign val="superscript"/>
        <sz val="11"/>
        <color theme="1"/>
        <rFont val="Calibri"/>
        <family val="2"/>
        <scheme val="minor"/>
      </rPr>
      <t>c</t>
    </r>
    <r>
      <rPr>
        <sz val="11"/>
        <color theme="1"/>
        <rFont val="Calibri"/>
        <family val="2"/>
        <scheme val="minor"/>
      </rPr>
      <t>, Aina Mas Fons</t>
    </r>
    <r>
      <rPr>
        <vertAlign val="superscript"/>
        <sz val="11"/>
        <color theme="1"/>
        <rFont val="Calibri"/>
        <family val="2"/>
        <scheme val="minor"/>
      </rPr>
      <t>d,a</t>
    </r>
    <r>
      <rPr>
        <sz val="11"/>
        <color theme="1"/>
        <rFont val="Calibri"/>
        <family val="2"/>
        <scheme val="minor"/>
      </rPr>
      <t>, Juliana Segura-Salazar</t>
    </r>
    <r>
      <rPr>
        <vertAlign val="superscript"/>
        <sz val="11"/>
        <color theme="1"/>
        <rFont val="Calibri"/>
        <family val="2"/>
        <scheme val="minor"/>
      </rPr>
      <t>e</t>
    </r>
    <r>
      <rPr>
        <sz val="11"/>
        <color theme="1"/>
        <rFont val="Calibri"/>
        <family val="2"/>
        <scheme val="minor"/>
      </rPr>
      <t>, Jair Santillán Saldivar</t>
    </r>
    <r>
      <rPr>
        <vertAlign val="superscript"/>
        <sz val="11"/>
        <color theme="1"/>
        <rFont val="Calibri"/>
        <family val="2"/>
        <scheme val="minor"/>
      </rPr>
      <t>a</t>
    </r>
    <r>
      <rPr>
        <sz val="11"/>
        <color theme="1"/>
        <rFont val="Calibri"/>
        <family val="2"/>
        <scheme val="minor"/>
      </rPr>
      <t>, Alexander Cimprich</t>
    </r>
    <r>
      <rPr>
        <vertAlign val="superscript"/>
        <sz val="11"/>
        <color theme="1"/>
        <rFont val="Calibri"/>
        <family val="2"/>
        <scheme val="minor"/>
      </rPr>
      <t>f</t>
    </r>
    <r>
      <rPr>
        <sz val="11"/>
        <color theme="1"/>
        <rFont val="Calibri"/>
        <family val="2"/>
        <scheme val="minor"/>
      </rPr>
      <t>, Stephen Northey</t>
    </r>
    <r>
      <rPr>
        <vertAlign val="superscript"/>
        <sz val="11"/>
        <color theme="1"/>
        <rFont val="Calibri"/>
        <family val="2"/>
        <scheme val="minor"/>
      </rPr>
      <t>g</t>
    </r>
    <r>
      <rPr>
        <sz val="11"/>
        <color theme="1"/>
        <rFont val="Calibri"/>
        <family val="2"/>
        <scheme val="minor"/>
      </rPr>
      <t>, Lígia da Silva Lima</t>
    </r>
    <r>
      <rPr>
        <vertAlign val="superscript"/>
        <sz val="11"/>
        <color theme="1"/>
        <rFont val="Calibri"/>
        <family val="2"/>
        <scheme val="minor"/>
      </rPr>
      <t>h</t>
    </r>
    <r>
      <rPr>
        <sz val="11"/>
        <color theme="1"/>
        <rFont val="Calibri"/>
        <family val="2"/>
        <scheme val="minor"/>
      </rPr>
      <t>, Lieselot Boone</t>
    </r>
    <r>
      <rPr>
        <vertAlign val="superscript"/>
        <sz val="11"/>
        <color theme="1"/>
        <rFont val="Calibri"/>
        <family val="2"/>
        <scheme val="minor"/>
      </rPr>
      <t>h</t>
    </r>
    <r>
      <rPr>
        <sz val="11"/>
        <color theme="1"/>
        <rFont val="Calibri"/>
        <family val="2"/>
        <scheme val="minor"/>
      </rPr>
      <t>, Ryosuke Yokoi</t>
    </r>
    <r>
      <rPr>
        <vertAlign val="superscript"/>
        <sz val="11"/>
        <color theme="1"/>
        <rFont val="Calibri"/>
        <family val="2"/>
        <scheme val="minor"/>
      </rPr>
      <t>i</t>
    </r>
    <r>
      <rPr>
        <sz val="11"/>
        <color theme="1"/>
        <rFont val="Calibri"/>
        <family val="2"/>
        <scheme val="minor"/>
      </rPr>
      <t>, Kamrul Islam</t>
    </r>
    <r>
      <rPr>
        <vertAlign val="superscript"/>
        <sz val="11"/>
        <color theme="1"/>
        <rFont val="Calibri"/>
        <family val="2"/>
        <scheme val="minor"/>
      </rPr>
      <t>i</t>
    </r>
    <r>
      <rPr>
        <sz val="11"/>
        <color theme="1"/>
        <rFont val="Calibri"/>
        <family val="2"/>
        <scheme val="minor"/>
      </rPr>
      <t>, Ioanna Paschalidou</t>
    </r>
    <r>
      <rPr>
        <vertAlign val="superscript"/>
        <sz val="11"/>
        <color theme="1"/>
        <rFont val="Calibri"/>
        <family val="2"/>
        <scheme val="minor"/>
      </rPr>
      <t>j</t>
    </r>
    <r>
      <rPr>
        <sz val="11"/>
        <color theme="1"/>
        <rFont val="Calibri"/>
        <family val="2"/>
        <scheme val="minor"/>
      </rPr>
      <t>, Felipe Cerdas</t>
    </r>
    <r>
      <rPr>
        <vertAlign val="superscript"/>
        <sz val="11"/>
        <color theme="1"/>
        <rFont val="Calibri"/>
        <family val="2"/>
        <scheme val="minor"/>
      </rPr>
      <t>k,l</t>
    </r>
    <r>
      <rPr>
        <sz val="11"/>
        <color theme="1"/>
        <rFont val="Calibri"/>
        <family val="2"/>
        <scheme val="minor"/>
      </rPr>
      <t>, Victor Balboa-Espinoza</t>
    </r>
    <r>
      <rPr>
        <vertAlign val="superscript"/>
        <sz val="11"/>
        <color theme="1"/>
        <rFont val="Calibri"/>
        <family val="2"/>
        <scheme val="minor"/>
      </rPr>
      <t>e</t>
    </r>
    <r>
      <rPr>
        <sz val="11"/>
        <color theme="1"/>
        <rFont val="Calibri"/>
        <family val="2"/>
        <scheme val="minor"/>
      </rPr>
      <t>, Anish Koyamparambath</t>
    </r>
    <r>
      <rPr>
        <vertAlign val="superscript"/>
        <sz val="11"/>
        <color theme="1"/>
        <rFont val="Calibri"/>
        <family val="2"/>
        <scheme val="minor"/>
      </rPr>
      <t>d</t>
    </r>
    <r>
      <rPr>
        <sz val="11"/>
        <color theme="1"/>
        <rFont val="Calibri"/>
        <family val="2"/>
        <scheme val="minor"/>
      </rPr>
      <t>, Diae Hennioui</t>
    </r>
    <r>
      <rPr>
        <vertAlign val="superscript"/>
        <sz val="11"/>
        <color theme="1"/>
        <rFont val="Calibri"/>
        <family val="2"/>
        <scheme val="minor"/>
      </rPr>
      <t>a</t>
    </r>
    <r>
      <rPr>
        <sz val="11"/>
        <color theme="1"/>
        <rFont val="Calibri"/>
        <family val="2"/>
        <scheme val="minor"/>
      </rPr>
      <t>, Victoire Collignon</t>
    </r>
    <r>
      <rPr>
        <vertAlign val="superscript"/>
        <sz val="11"/>
        <color theme="1"/>
        <rFont val="Calibri"/>
        <family val="2"/>
        <scheme val="minor"/>
      </rPr>
      <t>a</t>
    </r>
    <r>
      <rPr>
        <sz val="11"/>
        <color theme="1"/>
        <rFont val="Calibri"/>
        <family val="2"/>
        <scheme val="minor"/>
      </rPr>
      <t>, Aurélien Reys</t>
    </r>
    <r>
      <rPr>
        <vertAlign val="superscript"/>
        <sz val="11"/>
        <color theme="1"/>
        <rFont val="Calibri"/>
        <family val="2"/>
        <scheme val="minor"/>
      </rPr>
      <t>a</t>
    </r>
    <r>
      <rPr>
        <sz val="11"/>
        <color theme="1"/>
        <rFont val="Calibri"/>
        <family val="2"/>
        <scheme val="minor"/>
      </rPr>
      <t>, Gyslain Ngadi Sakatadi</t>
    </r>
    <r>
      <rPr>
        <vertAlign val="superscript"/>
        <sz val="11"/>
        <color theme="1"/>
        <rFont val="Calibri"/>
        <family val="2"/>
        <scheme val="minor"/>
      </rPr>
      <t>m</t>
    </r>
    <r>
      <rPr>
        <sz val="11"/>
        <color theme="1"/>
        <rFont val="Calibri"/>
        <family val="2"/>
        <scheme val="minor"/>
      </rPr>
      <t>, Jo Dewulf</t>
    </r>
    <r>
      <rPr>
        <vertAlign val="superscript"/>
        <sz val="11"/>
        <color theme="1"/>
        <rFont val="Calibri"/>
        <family val="2"/>
        <scheme val="minor"/>
      </rPr>
      <t>h</t>
    </r>
    <r>
      <rPr>
        <sz val="11"/>
        <color theme="1"/>
        <rFont val="Calibri"/>
        <family val="2"/>
        <scheme val="minor"/>
      </rPr>
      <t>, Bernhard Steubing</t>
    </r>
    <r>
      <rPr>
        <vertAlign val="superscript"/>
        <sz val="11"/>
        <color theme="1"/>
        <rFont val="Calibri"/>
        <family val="2"/>
        <scheme val="minor"/>
      </rPr>
      <t>b</t>
    </r>
    <r>
      <rPr>
        <sz val="11"/>
        <color theme="1"/>
        <rFont val="Calibri"/>
        <family val="2"/>
        <scheme val="minor"/>
      </rPr>
      <t>, Christoph Helbig</t>
    </r>
    <r>
      <rPr>
        <vertAlign val="superscript"/>
        <sz val="11"/>
        <color theme="1"/>
        <rFont val="Calibri"/>
        <family val="2"/>
        <scheme val="minor"/>
      </rPr>
      <t>c</t>
    </r>
    <r>
      <rPr>
        <sz val="11"/>
        <color theme="1"/>
        <rFont val="Calibri"/>
        <family val="2"/>
        <scheme val="minor"/>
      </rPr>
      <t>, Gaétan Lefebvre</t>
    </r>
    <r>
      <rPr>
        <vertAlign val="superscript"/>
        <sz val="11"/>
        <color theme="1"/>
        <rFont val="Calibri"/>
        <family val="2"/>
        <scheme val="minor"/>
      </rPr>
      <t>a</t>
    </r>
    <r>
      <rPr>
        <sz val="11"/>
        <color theme="1"/>
        <rFont val="Calibri"/>
        <family val="2"/>
        <scheme val="minor"/>
      </rPr>
      <t>, Gian Andrea Blengini</t>
    </r>
    <r>
      <rPr>
        <vertAlign val="superscript"/>
        <sz val="11"/>
        <color theme="1"/>
        <rFont val="Calibri"/>
        <family val="2"/>
        <scheme val="minor"/>
      </rPr>
      <t>n,m</t>
    </r>
    <r>
      <rPr>
        <sz val="11"/>
        <color theme="1"/>
        <rFont val="Calibri"/>
        <family val="2"/>
        <scheme val="minor"/>
      </rPr>
      <t>, Valeria Superti</t>
    </r>
    <r>
      <rPr>
        <vertAlign val="superscript"/>
        <sz val="11"/>
        <color theme="1"/>
        <rFont val="Calibri"/>
        <family val="2"/>
        <scheme val="minor"/>
      </rPr>
      <t>o</t>
    </r>
    <r>
      <rPr>
        <sz val="11"/>
        <color theme="1"/>
        <rFont val="Calibri"/>
        <family val="2"/>
        <scheme val="minor"/>
      </rPr>
      <t>, Masaharu Motoshita</t>
    </r>
    <r>
      <rPr>
        <vertAlign val="superscript"/>
        <sz val="11"/>
        <color theme="1"/>
        <rFont val="Calibri"/>
        <family val="2"/>
        <scheme val="minor"/>
      </rPr>
      <t>i</t>
    </r>
    <r>
      <rPr>
        <sz val="11"/>
        <color theme="1"/>
        <rFont val="Calibri"/>
        <family val="2"/>
        <scheme val="minor"/>
      </rPr>
      <t>, Guido Sonnemann</t>
    </r>
    <r>
      <rPr>
        <vertAlign val="superscript"/>
        <sz val="11"/>
        <color theme="1"/>
        <rFont val="Calibri"/>
        <family val="2"/>
        <scheme val="minor"/>
      </rPr>
      <t>d</t>
    </r>
    <r>
      <rPr>
        <sz val="11"/>
        <color theme="1"/>
        <rFont val="Calibri"/>
        <family val="2"/>
        <scheme val="minor"/>
      </rPr>
      <t>, Kwame Awuah-Offei</t>
    </r>
    <r>
      <rPr>
        <vertAlign val="superscript"/>
        <sz val="11"/>
        <color theme="1"/>
        <rFont val="Calibri"/>
        <family val="2"/>
        <scheme val="minor"/>
      </rPr>
      <t>j</t>
    </r>
    <r>
      <rPr>
        <sz val="11"/>
        <color theme="1"/>
        <rFont val="Calibri"/>
        <family val="2"/>
        <scheme val="minor"/>
      </rPr>
      <t>, Steven B. Young</t>
    </r>
    <r>
      <rPr>
        <vertAlign val="superscript"/>
        <sz val="11"/>
        <color theme="1"/>
        <rFont val="Calibri"/>
        <family val="2"/>
        <scheme val="minor"/>
      </rPr>
      <t>f</t>
    </r>
    <r>
      <rPr>
        <sz val="11"/>
        <color theme="1"/>
        <rFont val="Calibri"/>
        <family val="2"/>
        <scheme val="minor"/>
      </rPr>
      <t>, Shinsuke Murakami</t>
    </r>
    <r>
      <rPr>
        <vertAlign val="superscript"/>
        <sz val="11"/>
        <color theme="1"/>
        <rFont val="Calibri"/>
        <family val="2"/>
        <scheme val="minor"/>
      </rPr>
      <t>p</t>
    </r>
    <r>
      <rPr>
        <sz val="11"/>
        <color theme="1"/>
        <rFont val="Calibri"/>
        <family val="2"/>
        <scheme val="minor"/>
      </rPr>
      <t>, Antoine Beylot</t>
    </r>
    <r>
      <rPr>
        <vertAlign val="superscript"/>
        <sz val="11"/>
        <color theme="1"/>
        <rFont val="Calibri"/>
        <family val="2"/>
        <scheme val="minor"/>
      </rPr>
      <t>a</t>
    </r>
    <r>
      <rPr>
        <sz val="11"/>
        <color theme="1"/>
        <rFont val="Calibri"/>
        <family val="2"/>
        <scheme val="minor"/>
      </rPr>
      <t xml:space="preserve">
</t>
    </r>
    <r>
      <rPr>
        <vertAlign val="superscript"/>
        <sz val="11"/>
        <color theme="1"/>
        <rFont val="Calibri"/>
        <family val="2"/>
        <scheme val="minor"/>
      </rPr>
      <t>a</t>
    </r>
    <r>
      <rPr>
        <sz val="11"/>
        <color theme="1"/>
        <rFont val="Calibri"/>
        <family val="2"/>
        <scheme val="minor"/>
      </rPr>
      <t xml:space="preserve">BRGM, F-45060 Orléans, France
</t>
    </r>
    <r>
      <rPr>
        <vertAlign val="superscript"/>
        <sz val="11"/>
        <color theme="1"/>
        <rFont val="Calibri"/>
        <family val="2"/>
        <scheme val="minor"/>
      </rPr>
      <t>b</t>
    </r>
    <r>
      <rPr>
        <sz val="11"/>
        <color theme="1"/>
        <rFont val="Calibri"/>
        <family val="2"/>
        <scheme val="minor"/>
      </rPr>
      <t xml:space="preserve">Institute of Environmental Sciences (CML), Leiden University, Einsteinweg 2, 2333 CC Leiden, NL
</t>
    </r>
    <r>
      <rPr>
        <vertAlign val="superscript"/>
        <sz val="11"/>
        <color theme="1"/>
        <rFont val="Calibri"/>
        <family val="2"/>
        <scheme val="minor"/>
      </rPr>
      <t>c</t>
    </r>
    <r>
      <rPr>
        <sz val="11"/>
        <color theme="1"/>
        <rFont val="Calibri"/>
        <family val="2"/>
        <scheme val="minor"/>
      </rPr>
      <t xml:space="preserve">Ecological Resource Technology, University of Bayreuth, Universitätstr. 30, 95447 Bayreuth, Germany
</t>
    </r>
    <r>
      <rPr>
        <vertAlign val="superscript"/>
        <sz val="11"/>
        <color theme="1"/>
        <rFont val="Calibri"/>
        <family val="2"/>
        <scheme val="minor"/>
      </rPr>
      <t>d</t>
    </r>
    <r>
      <rPr>
        <sz val="11"/>
        <color theme="1"/>
        <rFont val="Calibri"/>
        <family val="2"/>
        <scheme val="minor"/>
      </rPr>
      <t xml:space="preserve">Univ. Bordeaux, CNRS, Bordeaux INP, ISM, UMR 5255, F-33400 Talence, France
</t>
    </r>
    <r>
      <rPr>
        <vertAlign val="superscript"/>
        <sz val="11"/>
        <color theme="1"/>
        <rFont val="Calibri"/>
        <family val="2"/>
        <scheme val="minor"/>
      </rPr>
      <t>e</t>
    </r>
    <r>
      <rPr>
        <sz val="11"/>
        <color theme="1"/>
        <rFont val="Calibri"/>
        <family val="2"/>
        <scheme val="minor"/>
      </rPr>
      <t xml:space="preserve">Sustainable Minerals Institute, The University of Queensland, QLD, 4072, Australia
</t>
    </r>
    <r>
      <rPr>
        <vertAlign val="superscript"/>
        <sz val="11"/>
        <color theme="1"/>
        <rFont val="Calibri"/>
        <family val="2"/>
        <scheme val="minor"/>
      </rPr>
      <t>f</t>
    </r>
    <r>
      <rPr>
        <sz val="11"/>
        <color theme="1"/>
        <rFont val="Calibri"/>
        <family val="2"/>
        <scheme val="minor"/>
      </rPr>
      <t xml:space="preserve">School of Environment, Enterprise and Development, University of Waterloo, 200 University Avenue West, Waterloo, Ontario N2L 3G1, Canada
</t>
    </r>
    <r>
      <rPr>
        <vertAlign val="superscript"/>
        <sz val="11"/>
        <color theme="1"/>
        <rFont val="Calibri"/>
        <family val="2"/>
        <scheme val="minor"/>
      </rPr>
      <t>g</t>
    </r>
    <r>
      <rPr>
        <sz val="11"/>
        <color theme="1"/>
        <rFont val="Calibri"/>
        <family val="2"/>
        <scheme val="minor"/>
      </rPr>
      <t xml:space="preserve">University of Technology Sydney, Institute for Sustainable Futures, Australia
</t>
    </r>
    <r>
      <rPr>
        <vertAlign val="superscript"/>
        <sz val="11"/>
        <color theme="1"/>
        <rFont val="Calibri"/>
        <family val="2"/>
        <scheme val="minor"/>
      </rPr>
      <t>h</t>
    </r>
    <r>
      <rPr>
        <sz val="11"/>
        <color theme="1"/>
        <rFont val="Calibri"/>
        <family val="2"/>
        <scheme val="minor"/>
      </rPr>
      <t xml:space="preserve">Sustainable Systems Engineering (STEN), Department of Green Chemistry and Technology, Faculty of Bioscience Engineering, Ghent University, Coupure Links 653, 9000 Ghent, Belgium
</t>
    </r>
    <r>
      <rPr>
        <vertAlign val="superscript"/>
        <sz val="11"/>
        <color theme="1"/>
        <rFont val="Calibri"/>
        <family val="2"/>
        <scheme val="minor"/>
      </rPr>
      <t>i</t>
    </r>
    <r>
      <rPr>
        <sz val="11"/>
        <color theme="1"/>
        <rFont val="Calibri"/>
        <family val="2"/>
        <scheme val="minor"/>
      </rPr>
      <t xml:space="preserve">AIST, 305-8569 Tsukuba, Japan
</t>
    </r>
    <r>
      <rPr>
        <vertAlign val="superscript"/>
        <sz val="11"/>
        <color theme="1"/>
        <rFont val="Calibri"/>
        <family val="2"/>
        <scheme val="minor"/>
      </rPr>
      <t>j</t>
    </r>
    <r>
      <rPr>
        <sz val="11"/>
        <color theme="1"/>
        <rFont val="Calibri"/>
        <family val="2"/>
        <scheme val="minor"/>
      </rPr>
      <t xml:space="preserve">Mining &amp; Explosives Engineering, Missouri University of Science &amp; Technology, Rolla, MO, USA 65409
</t>
    </r>
    <r>
      <rPr>
        <vertAlign val="superscript"/>
        <sz val="11"/>
        <color theme="1"/>
        <rFont val="Calibri"/>
        <family val="2"/>
        <scheme val="minor"/>
      </rPr>
      <t>k</t>
    </r>
    <r>
      <rPr>
        <sz val="11"/>
        <color theme="1"/>
        <rFont val="Calibri"/>
        <family val="2"/>
        <scheme val="minor"/>
      </rPr>
      <t xml:space="preserve">Institute for Sustainable Energy Systems (INSYS), Technical University of Applied Sciences Würzburg-Schweinfurt (THWS), Ignaz-Schön-Straße 11, Schweinfurt, Germany 
</t>
    </r>
    <r>
      <rPr>
        <vertAlign val="superscript"/>
        <sz val="11"/>
        <color theme="1"/>
        <rFont val="Calibri"/>
        <family val="2"/>
        <scheme val="minor"/>
      </rPr>
      <t>l</t>
    </r>
    <r>
      <rPr>
        <sz val="11"/>
        <color theme="1"/>
        <rFont val="Calibri"/>
        <family val="2"/>
        <scheme val="minor"/>
      </rPr>
      <t xml:space="preserve">Fraunhofer Institute for Surface Engineering and Thin Films IST, Riedenkamp 2, Braunschweig 38108, Germany
</t>
    </r>
    <r>
      <rPr>
        <vertAlign val="superscript"/>
        <sz val="11"/>
        <color theme="1"/>
        <rFont val="Calibri"/>
        <family val="2"/>
        <scheme val="minor"/>
      </rPr>
      <t>m</t>
    </r>
    <r>
      <rPr>
        <sz val="11"/>
        <color theme="1"/>
        <rFont val="Calibri"/>
        <family val="2"/>
        <scheme val="minor"/>
      </rPr>
      <t xml:space="preserve">Department of Environment, Land and Infrastructure Engineering, Politecnico di Torino, Corso Duca degli Abruzzi, 24, 10129 Torino, Italy
</t>
    </r>
    <r>
      <rPr>
        <vertAlign val="superscript"/>
        <sz val="11"/>
        <color theme="1"/>
        <rFont val="Calibri"/>
        <family val="2"/>
        <scheme val="minor"/>
      </rPr>
      <t>n</t>
    </r>
    <r>
      <rPr>
        <sz val="11"/>
        <color theme="1"/>
        <rFont val="Calibri"/>
        <family val="2"/>
        <scheme val="minor"/>
      </rPr>
      <t xml:space="preserve">University of Turin, Earth Sciences Department (DST), Via Valperga Caluso, 35 – 10125 Torino, Italy
</t>
    </r>
    <r>
      <rPr>
        <vertAlign val="superscript"/>
        <sz val="11"/>
        <color theme="1"/>
        <rFont val="Calibri"/>
        <family val="2"/>
        <scheme val="minor"/>
      </rPr>
      <t>o</t>
    </r>
    <r>
      <rPr>
        <sz val="11"/>
        <color theme="1"/>
        <rFont val="Calibri"/>
        <family val="2"/>
        <scheme val="minor"/>
      </rPr>
      <t xml:space="preserve">ecoinvent association, Technopark, Technoparkstrasse 1, 8005 Zürich, Switzerland 
</t>
    </r>
    <r>
      <rPr>
        <vertAlign val="superscript"/>
        <sz val="11"/>
        <color theme="1"/>
        <rFont val="Calibri"/>
        <family val="2"/>
        <scheme val="minor"/>
      </rPr>
      <t>p</t>
    </r>
    <r>
      <rPr>
        <sz val="11"/>
        <color theme="1"/>
        <rFont val="Calibri"/>
        <family val="2"/>
        <scheme val="minor"/>
      </rPr>
      <t xml:space="preserve">Graduate School of Engineering, The University of Tokyo, Tokyo 113-8656, Japan
*Corresponding author: </t>
    </r>
    <r>
      <rPr>
        <u/>
        <sz val="11"/>
        <color theme="1"/>
        <rFont val="Calibri"/>
        <family val="2"/>
        <scheme val="minor"/>
      </rPr>
      <t xml:space="preserve">f.lai@brgm.fr
</t>
    </r>
    <r>
      <rPr>
        <sz val="11"/>
        <color theme="1"/>
        <rFont val="Calibri"/>
        <family val="2"/>
        <scheme val="minor"/>
      </rPr>
      <t>This file provides all LCI datasets developed for</t>
    </r>
    <r>
      <rPr>
        <b/>
        <sz val="11"/>
        <color theme="1"/>
        <rFont val="Calibri"/>
        <family val="2"/>
        <scheme val="minor"/>
      </rPr>
      <t xml:space="preserve"> Rare Earths (RE)</t>
    </r>
    <r>
      <rPr>
        <sz val="11"/>
        <color theme="1"/>
        <rFont val="Calibri"/>
        <family val="2"/>
        <scheme val="minor"/>
      </rPr>
      <t xml:space="preserve">, with distinguishing its global market and each individual production route. Disaggregation of each RE element is also provided in each dataset. </t>
    </r>
  </si>
  <si>
    <t>RE global market</t>
  </si>
  <si>
    <t>RE_Market_GLO</t>
  </si>
  <si>
    <t>PR1_REO_CN_Sichuan_Bastnaesite</t>
  </si>
  <si>
    <t>PR2_REO_US_Mt.Pass_Bastnaesite</t>
  </si>
  <si>
    <t>PR3_REO_CN_BayanObo_Bast-Mona</t>
  </si>
  <si>
    <t>PR4_REO_AU-MY_MtWeld_Monazite</t>
  </si>
  <si>
    <t>PR5_REO_CN_IAC</t>
  </si>
  <si>
    <t>Copper ion</t>
  </si>
  <si>
    <t>Iron 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</si>
</sst>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0"/>
    <numFmt numFmtId="165" formatCode="0.0%"/>
    <numFmt numFmtId="166" formatCode="0.0"/>
    <numFmt numFmtId="167" formatCode="0.0000%"/>
    <numFmt numFmtId="168" formatCode="0.0000"/>
    <numFmt numFmtId="169" formatCode="0.00000"/>
    <numFmt numFmtId="170" formatCode="0.000000"/>
    <numFmt numFmtId="171" formatCode="0.0000000"/>
    <numFmt numFmtId="172" formatCode="0.000000000"/>
  </numFmts>
  <fonts count="16" x14ac:knownFonts="1">
    <font>
      <sz val="11"/>
      <color theme="1"/>
      <name val="Calibri"/>
      <family val="2"/>
      <scheme val="minor"/>
    </font>
    <font>
      <b/>
      <sz val="11"/>
      <name val="Calibri"/>
      <family val="2"/>
    </font>
    <font>
      <sz val="11"/>
      <color theme="1"/>
      <name val="Calibri"/>
      <family val="2"/>
      <scheme val="minor"/>
    </font>
    <font>
      <b/>
      <sz val="11"/>
      <color theme="1"/>
      <name val="Calibri"/>
      <family val="2"/>
      <scheme val="minor"/>
    </font>
    <font>
      <b/>
      <sz val="13"/>
      <color theme="1"/>
      <name val="Calibri"/>
      <family val="2"/>
      <scheme val="minor"/>
    </font>
    <font>
      <b/>
      <vertAlign val="subscript"/>
      <sz val="11"/>
      <color theme="1"/>
      <name val="Calibri"/>
      <family val="2"/>
      <scheme val="minor"/>
    </font>
    <font>
      <b/>
      <sz val="11"/>
      <color theme="2" tint="-0.249977111117893"/>
      <name val="Calibri"/>
      <family val="2"/>
      <scheme val="minor"/>
    </font>
    <font>
      <b/>
      <sz val="14"/>
      <color theme="1"/>
      <name val="Calibri"/>
      <family val="2"/>
      <scheme val="minor"/>
    </font>
    <font>
      <sz val="11"/>
      <color rgb="FFFF0000"/>
      <name val="Calibri"/>
      <family val="2"/>
      <scheme val="minor"/>
    </font>
    <font>
      <sz val="11"/>
      <color rgb="FF7030A0"/>
      <name val="Calibri"/>
      <family val="2"/>
      <scheme val="minor"/>
    </font>
    <font>
      <sz val="11"/>
      <color theme="5"/>
      <name val="Calibri"/>
      <family val="2"/>
      <scheme val="minor"/>
    </font>
    <font>
      <b/>
      <sz val="11"/>
      <color theme="5"/>
      <name val="Calibri"/>
      <family val="2"/>
      <scheme val="minor"/>
    </font>
    <font>
      <u/>
      <sz val="11"/>
      <color theme="10"/>
      <name val="Calibri"/>
      <family val="2"/>
      <scheme val="minor"/>
    </font>
    <font>
      <b/>
      <sz val="16"/>
      <color theme="1"/>
      <name val="Calibri"/>
      <family val="2"/>
      <scheme val="minor"/>
    </font>
    <font>
      <vertAlign val="superscript"/>
      <sz val="11"/>
      <color theme="1"/>
      <name val="Calibri"/>
      <family val="2"/>
      <scheme val="minor"/>
    </font>
    <font>
      <u/>
      <sz val="11"/>
      <color theme="1"/>
      <name val="Calibri"/>
      <family val="2"/>
      <scheme val="minor"/>
    </font>
  </fonts>
  <fills count="8">
    <fill>
      <patternFill patternType="none"/>
    </fill>
    <fill>
      <patternFill patternType="gray125"/>
    </fill>
    <fill>
      <patternFill patternType="solid">
        <fgColor theme="6" tint="0.39997558519241921"/>
        <bgColor indexed="64"/>
      </patternFill>
    </fill>
    <fill>
      <patternFill patternType="solid">
        <fgColor theme="6" tint="0.79998168889431442"/>
        <bgColor indexed="64"/>
      </patternFill>
    </fill>
    <fill>
      <patternFill patternType="solid">
        <fgColor theme="6"/>
        <bgColor indexed="64"/>
      </patternFill>
    </fill>
    <fill>
      <patternFill patternType="solid">
        <fgColor theme="2"/>
        <bgColor indexed="64"/>
      </patternFill>
    </fill>
    <fill>
      <patternFill patternType="solid">
        <fgColor theme="0"/>
        <bgColor indexed="64"/>
      </patternFill>
    </fill>
    <fill>
      <patternFill patternType="solid">
        <fgColor theme="0" tint="-0.249977111117893"/>
        <bgColor indexed="64"/>
      </patternFill>
    </fill>
  </fills>
  <borders count="35">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right/>
      <top style="medium">
        <color indexed="64"/>
      </top>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s>
  <cellStyleXfs count="3">
    <xf numFmtId="0" fontId="0" fillId="0" borderId="0"/>
    <xf numFmtId="9" fontId="2" fillId="0" borderId="0" applyFont="0" applyFill="0" applyBorder="0" applyAlignment="0" applyProtection="0"/>
    <xf numFmtId="0" fontId="12" fillId="0" borderId="0" applyNumberFormat="0" applyFill="0" applyBorder="0" applyAlignment="0" applyProtection="0"/>
  </cellStyleXfs>
  <cellXfs count="156">
    <xf numFmtId="0" fontId="0" fillId="0" borderId="0" xfId="0"/>
    <xf numFmtId="0" fontId="0" fillId="0" borderId="0" xfId="0" applyAlignment="1">
      <alignment wrapText="1"/>
    </xf>
    <xf numFmtId="0" fontId="4" fillId="2" borderId="0" xfId="0" applyFont="1" applyFill="1" applyAlignment="1">
      <alignment horizontal="left"/>
    </xf>
    <xf numFmtId="0" fontId="0" fillId="2" borderId="0" xfId="0" applyFill="1"/>
    <xf numFmtId="0" fontId="3" fillId="0" borderId="2" xfId="0" applyFont="1"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3" xfId="0" applyFont="1" applyBorder="1" applyAlignment="1">
      <alignment horizontal="center" vertical="center" wrapText="1"/>
    </xf>
    <xf numFmtId="0" fontId="3" fillId="0" borderId="5" xfId="0" applyFont="1" applyBorder="1" applyAlignment="1">
      <alignment horizontal="center" vertical="center" wrapText="1"/>
    </xf>
    <xf numFmtId="0" fontId="3" fillId="0" borderId="4" xfId="0" applyFont="1" applyBorder="1" applyAlignment="1">
      <alignment horizontal="center" vertical="center" wrapText="1"/>
    </xf>
    <xf numFmtId="0" fontId="0" fillId="0" borderId="6" xfId="0" applyBorder="1"/>
    <xf numFmtId="2" fontId="3" fillId="0" borderId="6" xfId="0" applyNumberFormat="1" applyFont="1" applyBorder="1" applyAlignment="1">
      <alignment horizontal="center"/>
    </xf>
    <xf numFmtId="14" fontId="0" fillId="0" borderId="7" xfId="0" applyNumberFormat="1" applyBorder="1"/>
    <xf numFmtId="14" fontId="0" fillId="0" borderId="8" xfId="0" applyNumberFormat="1" applyBorder="1"/>
    <xf numFmtId="0" fontId="0" fillId="0" borderId="9" xfId="0" applyBorder="1"/>
    <xf numFmtId="0" fontId="0" fillId="0" borderId="10" xfId="0" applyBorder="1"/>
    <xf numFmtId="0" fontId="3" fillId="0" borderId="11" xfId="0" applyFont="1" applyBorder="1" applyAlignment="1">
      <alignment horizontal="center" vertical="center" wrapText="1"/>
    </xf>
    <xf numFmtId="2" fontId="0" fillId="0" borderId="6" xfId="0" applyNumberFormat="1" applyBorder="1"/>
    <xf numFmtId="165" fontId="0" fillId="0" borderId="6" xfId="1" applyNumberFormat="1" applyFont="1" applyBorder="1"/>
    <xf numFmtId="10" fontId="3" fillId="0" borderId="9" xfId="1" applyNumberFormat="1" applyFont="1" applyBorder="1" applyAlignment="1">
      <alignment horizontal="center"/>
    </xf>
    <xf numFmtId="0" fontId="0" fillId="0" borderId="12" xfId="0" applyBorder="1"/>
    <xf numFmtId="2" fontId="3" fillId="0" borderId="12" xfId="0" applyNumberFormat="1" applyFont="1" applyBorder="1" applyAlignment="1">
      <alignment horizontal="center"/>
    </xf>
    <xf numFmtId="0" fontId="0" fillId="0" borderId="13" xfId="0" applyBorder="1"/>
    <xf numFmtId="0" fontId="0" fillId="0" borderId="7" xfId="0" applyBorder="1"/>
    <xf numFmtId="0" fontId="3" fillId="0" borderId="8" xfId="0" applyFont="1" applyBorder="1" applyAlignment="1">
      <alignment horizontal="center" vertical="center" wrapText="1"/>
    </xf>
    <xf numFmtId="2" fontId="0" fillId="0" borderId="14" xfId="0" applyNumberFormat="1" applyBorder="1"/>
    <xf numFmtId="10" fontId="0" fillId="0" borderId="12" xfId="1" applyNumberFormat="1" applyFont="1" applyBorder="1"/>
    <xf numFmtId="10" fontId="3" fillId="0" borderId="15" xfId="1" applyNumberFormat="1" applyFont="1" applyBorder="1" applyAlignment="1">
      <alignment horizontal="center"/>
    </xf>
    <xf numFmtId="165" fontId="0" fillId="0" borderId="12" xfId="1" applyNumberFormat="1" applyFont="1" applyBorder="1"/>
    <xf numFmtId="165" fontId="3" fillId="3" borderId="15" xfId="1" applyNumberFormat="1" applyFont="1" applyFill="1" applyBorder="1" applyAlignment="1">
      <alignment horizontal="center"/>
    </xf>
    <xf numFmtId="165" fontId="3" fillId="0" borderId="15" xfId="1" applyNumberFormat="1" applyFont="1" applyBorder="1" applyAlignment="1">
      <alignment horizontal="center"/>
    </xf>
    <xf numFmtId="14" fontId="0" fillId="0" borderId="16" xfId="0" applyNumberFormat="1" applyBorder="1"/>
    <xf numFmtId="14" fontId="0" fillId="0" borderId="17" xfId="0" applyNumberFormat="1" applyBorder="1"/>
    <xf numFmtId="1" fontId="0" fillId="0" borderId="7" xfId="0" applyNumberFormat="1" applyBorder="1" applyAlignment="1">
      <alignment horizontal="right"/>
    </xf>
    <xf numFmtId="1" fontId="0" fillId="0" borderId="8" xfId="0" applyNumberFormat="1" applyBorder="1" applyAlignment="1">
      <alignment horizontal="right"/>
    </xf>
    <xf numFmtId="0" fontId="0" fillId="0" borderId="13" xfId="0" applyBorder="1" applyAlignment="1">
      <alignment wrapText="1"/>
    </xf>
    <xf numFmtId="0" fontId="0" fillId="0" borderId="18" xfId="0" applyBorder="1"/>
    <xf numFmtId="0" fontId="3" fillId="0" borderId="19" xfId="0" applyFont="1" applyBorder="1" applyAlignment="1">
      <alignment horizontal="center" vertical="center" wrapText="1"/>
    </xf>
    <xf numFmtId="2" fontId="0" fillId="0" borderId="20" xfId="0" applyNumberFormat="1" applyBorder="1"/>
    <xf numFmtId="0" fontId="0" fillId="0" borderId="21" xfId="0" applyBorder="1"/>
    <xf numFmtId="2" fontId="3" fillId="0" borderId="21" xfId="0" applyNumberFormat="1" applyFont="1" applyBorder="1" applyAlignment="1">
      <alignment horizontal="center"/>
    </xf>
    <xf numFmtId="1" fontId="0" fillId="0" borderId="18" xfId="0" applyNumberFormat="1" applyBorder="1" applyAlignment="1">
      <alignment horizontal="right"/>
    </xf>
    <xf numFmtId="1" fontId="0" fillId="0" borderId="19" xfId="0" applyNumberFormat="1" applyBorder="1" applyAlignment="1">
      <alignment horizontal="right"/>
    </xf>
    <xf numFmtId="0" fontId="0" fillId="0" borderId="23" xfId="0" applyBorder="1"/>
    <xf numFmtId="0" fontId="3" fillId="0" borderId="0" xfId="0" applyFont="1" applyAlignment="1">
      <alignment horizontal="center"/>
    </xf>
    <xf numFmtId="14" fontId="0" fillId="0" borderId="0" xfId="0" applyNumberFormat="1"/>
    <xf numFmtId="0" fontId="4" fillId="0" borderId="0" xfId="0" applyFont="1" applyAlignment="1">
      <alignment horizontal="left"/>
    </xf>
    <xf numFmtId="0" fontId="3" fillId="0" borderId="0" xfId="0" applyFont="1" applyAlignment="1">
      <alignment horizontal="center" vertical="center" wrapText="1"/>
    </xf>
    <xf numFmtId="2" fontId="0" fillId="0" borderId="0" xfId="0" applyNumberFormat="1" applyAlignment="1">
      <alignment horizontal="right" vertical="center"/>
    </xf>
    <xf numFmtId="9" fontId="0" fillId="0" borderId="0" xfId="1" applyFont="1" applyFill="1" applyBorder="1" applyAlignment="1">
      <alignment horizontal="right" vertical="center"/>
    </xf>
    <xf numFmtId="1" fontId="0" fillId="0" borderId="0" xfId="0" applyNumberFormat="1"/>
    <xf numFmtId="9" fontId="3" fillId="0" borderId="0" xfId="1" applyFont="1" applyFill="1" applyBorder="1" applyAlignment="1">
      <alignment horizontal="center"/>
    </xf>
    <xf numFmtId="10" fontId="6" fillId="0" borderId="15" xfId="1" applyNumberFormat="1" applyFont="1" applyBorder="1" applyAlignment="1">
      <alignment horizontal="center"/>
    </xf>
    <xf numFmtId="10" fontId="0" fillId="0" borderId="12" xfId="1" applyNumberFormat="1" applyFont="1" applyBorder="1" applyAlignment="1">
      <alignment horizontal="right"/>
    </xf>
    <xf numFmtId="10" fontId="0" fillId="0" borderId="21" xfId="1" applyNumberFormat="1" applyFont="1" applyBorder="1" applyAlignment="1">
      <alignment horizontal="right"/>
    </xf>
    <xf numFmtId="0" fontId="0" fillId="0" borderId="0" xfId="0" applyAlignment="1">
      <alignment horizontal="left" vertical="center"/>
    </xf>
    <xf numFmtId="0" fontId="8" fillId="0" borderId="0" xfId="0" applyFont="1" applyAlignment="1">
      <alignment horizontal="left" vertical="center"/>
    </xf>
    <xf numFmtId="0" fontId="0" fillId="4" borderId="0" xfId="0" applyFill="1" applyAlignment="1">
      <alignment horizontal="left" vertical="center"/>
    </xf>
    <xf numFmtId="0" fontId="1" fillId="0" borderId="0" xfId="0" applyFont="1" applyAlignment="1">
      <alignment horizontal="left" vertical="center"/>
    </xf>
    <xf numFmtId="0" fontId="3" fillId="0" borderId="0" xfId="0" applyFont="1" applyAlignment="1">
      <alignment horizontal="left" vertical="center"/>
    </xf>
    <xf numFmtId="164" fontId="0" fillId="0" borderId="0" xfId="0" applyNumberFormat="1" applyAlignment="1">
      <alignment horizontal="left" vertical="center"/>
    </xf>
    <xf numFmtId="2" fontId="0" fillId="0" borderId="0" xfId="0" applyNumberFormat="1" applyAlignment="1">
      <alignment horizontal="left" vertical="center"/>
    </xf>
    <xf numFmtId="11" fontId="0" fillId="0" borderId="0" xfId="0" applyNumberFormat="1" applyAlignment="1">
      <alignment horizontal="left" vertical="center"/>
    </xf>
    <xf numFmtId="1" fontId="0" fillId="0" borderId="0" xfId="0" applyNumberFormat="1" applyAlignment="1">
      <alignment horizontal="left" vertical="center"/>
    </xf>
    <xf numFmtId="0" fontId="0" fillId="5" borderId="0" xfId="0" applyFill="1" applyAlignment="1">
      <alignment horizontal="left" vertical="center"/>
    </xf>
    <xf numFmtId="0" fontId="9" fillId="0" borderId="0" xfId="0" applyFont="1" applyAlignment="1">
      <alignment horizontal="left" vertical="center"/>
    </xf>
    <xf numFmtId="0" fontId="0" fillId="0" borderId="0" xfId="0" applyAlignment="1">
      <alignment horizontal="left" vertical="center" wrapText="1"/>
    </xf>
    <xf numFmtId="10" fontId="0" fillId="0" borderId="21" xfId="1" applyNumberFormat="1" applyFont="1" applyBorder="1"/>
    <xf numFmtId="10" fontId="3" fillId="0" borderId="24" xfId="1" applyNumberFormat="1" applyFont="1" applyBorder="1" applyAlignment="1">
      <alignment horizontal="center"/>
    </xf>
    <xf numFmtId="0" fontId="0" fillId="0" borderId="10" xfId="0" applyBorder="1" applyAlignment="1">
      <alignment vertical="center"/>
    </xf>
    <xf numFmtId="0" fontId="0" fillId="0" borderId="11" xfId="0" applyBorder="1" applyAlignment="1">
      <alignment horizontal="center" vertical="center" wrapText="1"/>
    </xf>
    <xf numFmtId="0" fontId="0" fillId="0" borderId="6" xfId="0" applyBorder="1" applyAlignment="1">
      <alignment vertical="center"/>
    </xf>
    <xf numFmtId="2" fontId="0" fillId="0" borderId="6" xfId="1" applyNumberFormat="1" applyFont="1" applyBorder="1" applyAlignment="1">
      <alignment vertical="center"/>
    </xf>
    <xf numFmtId="10" fontId="3" fillId="0" borderId="9" xfId="1" applyNumberFormat="1" applyFont="1" applyBorder="1" applyAlignment="1">
      <alignment horizontal="center" vertical="center"/>
    </xf>
    <xf numFmtId="0" fontId="0" fillId="0" borderId="7" xfId="0" applyBorder="1" applyAlignment="1">
      <alignment vertical="center"/>
    </xf>
    <xf numFmtId="0" fontId="0" fillId="0" borderId="8" xfId="0" applyBorder="1" applyAlignment="1">
      <alignment horizontal="center" vertical="center" wrapText="1"/>
    </xf>
    <xf numFmtId="166" fontId="0" fillId="0" borderId="12" xfId="0" applyNumberFormat="1" applyBorder="1" applyAlignment="1">
      <alignment vertical="center"/>
    </xf>
    <xf numFmtId="2" fontId="0" fillId="0" borderId="12" xfId="1" applyNumberFormat="1" applyFont="1" applyBorder="1" applyAlignment="1">
      <alignment vertical="center"/>
    </xf>
    <xf numFmtId="165" fontId="3" fillId="3" borderId="13" xfId="1" applyNumberFormat="1" applyFont="1" applyFill="1" applyBorder="1" applyAlignment="1">
      <alignment horizontal="center" vertical="center"/>
    </xf>
    <xf numFmtId="0" fontId="0" fillId="6" borderId="18" xfId="0" applyFill="1" applyBorder="1" applyAlignment="1">
      <alignment vertical="center"/>
    </xf>
    <xf numFmtId="0" fontId="0" fillId="0" borderId="19" xfId="0" applyBorder="1" applyAlignment="1">
      <alignment horizontal="center" vertical="center" wrapText="1"/>
    </xf>
    <xf numFmtId="0" fontId="0" fillId="0" borderId="21" xfId="0" applyBorder="1" applyAlignment="1">
      <alignment vertical="center"/>
    </xf>
    <xf numFmtId="2" fontId="0" fillId="0" borderId="21" xfId="1" applyNumberFormat="1" applyFont="1" applyBorder="1" applyAlignment="1">
      <alignment vertical="center"/>
    </xf>
    <xf numFmtId="10" fontId="3" fillId="0" borderId="25" xfId="1" applyNumberFormat="1" applyFont="1" applyBorder="1" applyAlignment="1">
      <alignment horizontal="center" vertical="center"/>
    </xf>
    <xf numFmtId="0" fontId="0" fillId="0" borderId="26" xfId="0" applyBorder="1"/>
    <xf numFmtId="0" fontId="3" fillId="0" borderId="27" xfId="0" applyFont="1" applyBorder="1" applyAlignment="1">
      <alignment horizontal="center" vertical="center" wrapText="1"/>
    </xf>
    <xf numFmtId="2" fontId="0" fillId="0" borderId="6" xfId="0" applyNumberFormat="1" applyBorder="1" applyAlignment="1">
      <alignment horizontal="right"/>
    </xf>
    <xf numFmtId="10" fontId="0" fillId="0" borderId="14" xfId="1" applyNumberFormat="1" applyFont="1" applyBorder="1"/>
    <xf numFmtId="164" fontId="0" fillId="0" borderId="14" xfId="0" applyNumberFormat="1" applyBorder="1"/>
    <xf numFmtId="0" fontId="0" fillId="0" borderId="14" xfId="0" applyBorder="1"/>
    <xf numFmtId="2" fontId="0" fillId="0" borderId="12" xfId="0" applyNumberFormat="1" applyBorder="1" applyAlignment="1">
      <alignment horizontal="right" vertical="center"/>
    </xf>
    <xf numFmtId="10" fontId="0" fillId="0" borderId="12" xfId="1" applyNumberFormat="1" applyFont="1" applyBorder="1" applyAlignment="1">
      <alignment vertical="center"/>
    </xf>
    <xf numFmtId="164" fontId="0" fillId="0" borderId="12" xfId="0" applyNumberFormat="1" applyBorder="1" applyAlignment="1">
      <alignment vertical="center"/>
    </xf>
    <xf numFmtId="10" fontId="3" fillId="0" borderId="13" xfId="1" applyNumberFormat="1" applyFont="1" applyBorder="1" applyAlignment="1">
      <alignment horizontal="center" vertical="center"/>
    </xf>
    <xf numFmtId="0" fontId="0" fillId="0" borderId="12" xfId="0" applyBorder="1" applyAlignment="1">
      <alignment wrapText="1"/>
    </xf>
    <xf numFmtId="9" fontId="0" fillId="7" borderId="1" xfId="1" applyFont="1" applyFill="1" applyBorder="1" applyAlignment="1">
      <alignment horizontal="right" vertical="center"/>
    </xf>
    <xf numFmtId="1" fontId="0" fillId="7" borderId="12" xfId="0" applyNumberFormat="1" applyFill="1" applyBorder="1"/>
    <xf numFmtId="9" fontId="3" fillId="7" borderId="13" xfId="1" applyFont="1" applyFill="1" applyBorder="1" applyAlignment="1">
      <alignment horizontal="center"/>
    </xf>
    <xf numFmtId="164" fontId="0" fillId="0" borderId="12" xfId="0" applyNumberFormat="1" applyBorder="1"/>
    <xf numFmtId="10" fontId="3" fillId="0" borderId="13" xfId="1" applyNumberFormat="1" applyFont="1" applyBorder="1" applyAlignment="1">
      <alignment horizontal="center"/>
    </xf>
    <xf numFmtId="10" fontId="3" fillId="3" borderId="13" xfId="1" applyNumberFormat="1" applyFont="1" applyFill="1" applyBorder="1" applyAlignment="1">
      <alignment horizontal="center" vertical="center"/>
    </xf>
    <xf numFmtId="167" fontId="0" fillId="0" borderId="12" xfId="1" applyNumberFormat="1" applyFont="1" applyBorder="1"/>
    <xf numFmtId="9" fontId="0" fillId="7" borderId="12" xfId="1" applyFont="1" applyFill="1" applyBorder="1"/>
    <xf numFmtId="0" fontId="0" fillId="0" borderId="18" xfId="0" applyBorder="1" applyAlignment="1">
      <alignment horizontal="center" vertical="center"/>
    </xf>
    <xf numFmtId="2" fontId="0" fillId="0" borderId="21" xfId="0" applyNumberFormat="1" applyBorder="1" applyAlignment="1">
      <alignment horizontal="right" vertical="center"/>
    </xf>
    <xf numFmtId="10" fontId="0" fillId="0" borderId="21" xfId="1" applyNumberFormat="1" applyFont="1" applyBorder="1" applyAlignment="1">
      <alignment horizontal="right" vertical="center"/>
    </xf>
    <xf numFmtId="164" fontId="0" fillId="0" borderId="21" xfId="0" applyNumberFormat="1" applyBorder="1" applyAlignment="1">
      <alignment horizontal="center" vertical="center"/>
    </xf>
    <xf numFmtId="10" fontId="2" fillId="0" borderId="24" xfId="1" applyNumberFormat="1" applyFont="1" applyBorder="1" applyAlignment="1">
      <alignment horizontal="left" wrapText="1"/>
    </xf>
    <xf numFmtId="0" fontId="0" fillId="0" borderId="28" xfId="0" applyBorder="1"/>
    <xf numFmtId="0" fontId="3" fillId="2" borderId="0" xfId="0" applyFont="1" applyFill="1" applyAlignment="1">
      <alignment horizontal="left"/>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166" fontId="0" fillId="0" borderId="12" xfId="0" applyNumberFormat="1" applyBorder="1"/>
    <xf numFmtId="165" fontId="3" fillId="0" borderId="13" xfId="1" applyNumberFormat="1" applyFont="1" applyBorder="1" applyAlignment="1">
      <alignment horizontal="center"/>
    </xf>
    <xf numFmtId="2" fontId="0" fillId="0" borderId="12" xfId="0" applyNumberFormat="1" applyBorder="1"/>
    <xf numFmtId="165" fontId="3" fillId="3" borderId="13" xfId="1" applyNumberFormat="1" applyFont="1" applyFill="1" applyBorder="1" applyAlignment="1">
      <alignment horizontal="center"/>
    </xf>
    <xf numFmtId="166" fontId="0" fillId="0" borderId="21" xfId="0" applyNumberFormat="1" applyBorder="1"/>
    <xf numFmtId="164" fontId="0" fillId="0" borderId="21" xfId="0" applyNumberFormat="1" applyBorder="1"/>
    <xf numFmtId="10" fontId="3" fillId="0" borderId="25" xfId="1" applyNumberFormat="1" applyFont="1" applyBorder="1" applyAlignment="1">
      <alignment horizontal="center"/>
    </xf>
    <xf numFmtId="165" fontId="0" fillId="0" borderId="14" xfId="1" applyNumberFormat="1" applyFont="1" applyBorder="1"/>
    <xf numFmtId="166" fontId="0" fillId="0" borderId="0" xfId="0" applyNumberFormat="1" applyAlignment="1">
      <alignment horizontal="left" vertical="center"/>
    </xf>
    <xf numFmtId="168" fontId="0" fillId="0" borderId="0" xfId="0" applyNumberFormat="1" applyAlignment="1">
      <alignment horizontal="left" vertical="center"/>
    </xf>
    <xf numFmtId="169" fontId="0" fillId="0" borderId="0" xfId="0" applyNumberFormat="1" applyAlignment="1">
      <alignment horizontal="left" vertical="center"/>
    </xf>
    <xf numFmtId="0" fontId="10" fillId="0" borderId="0" xfId="0" applyFont="1" applyAlignment="1">
      <alignment horizontal="left" vertical="center" wrapText="1"/>
    </xf>
    <xf numFmtId="0" fontId="10" fillId="0" borderId="0" xfId="0" applyFont="1" applyAlignment="1">
      <alignment horizontal="left" vertical="center"/>
    </xf>
    <xf numFmtId="170" fontId="0" fillId="0" borderId="0" xfId="0" applyNumberFormat="1" applyAlignment="1">
      <alignment horizontal="left" vertical="center"/>
    </xf>
    <xf numFmtId="171" fontId="0" fillId="0" borderId="0" xfId="0" applyNumberFormat="1" applyAlignment="1">
      <alignment horizontal="left" vertical="center"/>
    </xf>
    <xf numFmtId="0" fontId="8" fillId="4" borderId="0" xfId="0" applyFont="1" applyFill="1" applyAlignment="1">
      <alignment horizontal="left" vertical="center"/>
    </xf>
    <xf numFmtId="0" fontId="3" fillId="0" borderId="29" xfId="0" applyFont="1" applyBorder="1" applyAlignment="1">
      <alignment horizontal="left" vertical="center"/>
    </xf>
    <xf numFmtId="0" fontId="3" fillId="0" borderId="22" xfId="0" applyFont="1" applyBorder="1" applyAlignment="1">
      <alignment horizontal="left" vertical="center"/>
    </xf>
    <xf numFmtId="0" fontId="0" fillId="0" borderId="22" xfId="0" applyBorder="1" applyAlignment="1">
      <alignment horizontal="center" vertical="center"/>
    </xf>
    <xf numFmtId="0" fontId="0" fillId="0" borderId="30" xfId="0" applyBorder="1" applyAlignment="1">
      <alignment horizontal="center" vertical="center"/>
    </xf>
    <xf numFmtId="0" fontId="12" fillId="0" borderId="31" xfId="2" applyBorder="1" applyAlignment="1">
      <alignment horizontal="left" vertical="center"/>
    </xf>
    <xf numFmtId="0" fontId="0" fillId="0" borderId="32" xfId="0" applyBorder="1" applyAlignment="1">
      <alignment horizontal="center" vertical="center"/>
    </xf>
    <xf numFmtId="0" fontId="12" fillId="0" borderId="33" xfId="2" applyBorder="1" applyAlignment="1">
      <alignment horizontal="left" vertical="center"/>
    </xf>
    <xf numFmtId="0" fontId="0" fillId="0" borderId="34" xfId="0" applyBorder="1" applyAlignment="1">
      <alignment horizontal="left" vertical="center"/>
    </xf>
    <xf numFmtId="0" fontId="0" fillId="0" borderId="34" xfId="0" applyBorder="1" applyAlignment="1">
      <alignment horizontal="center" vertical="center"/>
    </xf>
    <xf numFmtId="0" fontId="0" fillId="0" borderId="24" xfId="0" applyBorder="1" applyAlignment="1">
      <alignment horizontal="center" vertical="center"/>
    </xf>
    <xf numFmtId="0" fontId="12" fillId="0" borderId="31" xfId="2" quotePrefix="1" applyBorder="1" applyAlignment="1">
      <alignment horizontal="left" vertical="center"/>
    </xf>
    <xf numFmtId="0" fontId="0" fillId="0" borderId="0" xfId="0" applyAlignment="1">
      <alignment horizontal="center" vertical="center"/>
    </xf>
    <xf numFmtId="0" fontId="12" fillId="0" borderId="0" xfId="2" applyBorder="1" applyAlignment="1">
      <alignment horizontal="left" vertical="center"/>
    </xf>
    <xf numFmtId="172" fontId="0" fillId="0" borderId="0" xfId="0" applyNumberFormat="1" applyAlignment="1">
      <alignment horizontal="left" vertical="center"/>
    </xf>
    <xf numFmtId="0" fontId="0" fillId="0" borderId="29" xfId="0" applyBorder="1" applyAlignment="1">
      <alignment horizontal="left" vertical="center" wrapText="1"/>
    </xf>
    <xf numFmtId="0" fontId="0" fillId="0" borderId="22" xfId="0" applyBorder="1" applyAlignment="1">
      <alignment horizontal="left" vertical="center" wrapText="1"/>
    </xf>
    <xf numFmtId="0" fontId="0" fillId="0" borderId="30" xfId="0" applyBorder="1" applyAlignment="1">
      <alignment horizontal="left" vertical="center" wrapText="1"/>
    </xf>
    <xf numFmtId="0" fontId="0" fillId="0" borderId="31" xfId="0" applyBorder="1" applyAlignment="1">
      <alignment horizontal="left" vertical="center" wrapText="1"/>
    </xf>
    <xf numFmtId="0" fontId="0" fillId="0" borderId="0" xfId="0" applyAlignment="1">
      <alignment horizontal="left" vertical="center" wrapText="1"/>
    </xf>
    <xf numFmtId="0" fontId="0" fillId="0" borderId="32" xfId="0" applyBorder="1" applyAlignment="1">
      <alignment horizontal="left" vertical="center" wrapText="1"/>
    </xf>
    <xf numFmtId="0" fontId="0" fillId="0" borderId="33" xfId="0" applyBorder="1" applyAlignment="1">
      <alignment horizontal="left" vertical="center" wrapText="1"/>
    </xf>
    <xf numFmtId="0" fontId="0" fillId="0" borderId="34" xfId="0" applyBorder="1" applyAlignment="1">
      <alignment horizontal="left" vertical="center" wrapText="1"/>
    </xf>
    <xf numFmtId="0" fontId="0" fillId="0" borderId="24" xfId="0" applyBorder="1" applyAlignment="1">
      <alignment horizontal="left" vertical="center" wrapText="1"/>
    </xf>
    <xf numFmtId="0" fontId="0" fillId="0" borderId="22" xfId="0" applyBorder="1" applyAlignment="1">
      <alignment horizontal="center" vertical="top" wrapText="1"/>
    </xf>
    <xf numFmtId="0" fontId="0" fillId="0" borderId="22" xfId="0" applyBorder="1" applyAlignment="1">
      <alignment horizontal="left" vertical="top" wrapText="1"/>
    </xf>
  </cellXfs>
  <cellStyles count="3">
    <cellStyle name="Lien hypertexte" xfId="2" builtinId="8"/>
    <cellStyle name="Normal" xfId="0" builtinId="0"/>
    <cellStyle name="Pourcentage" xfId="1" builtinId="5"/>
  </cellStyles>
  <dxfs count="0"/>
  <tableStyles count="0" defaultTableStyle="TableStyleMedium2" defaultPivotStyle="PivotStyleLight16"/>
  <colors>
    <mruColors>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leidenuniv1.sharepoint.com/sites/Exploringthesustainabilityofcriticalrawmaterials-MaditraceD4.7/Shared%20Documents/MaditraceD4.7/Nd%20and%20magnets/Zenodo_editableCover/02_LCIdata_REEmagnet_prices2013-2023.xlsx" TargetMode="External"/><Relationship Id="rId1" Type="http://schemas.openxmlformats.org/officeDocument/2006/relationships/externalLinkPath" Target="https://leidenuniv1.sharepoint.com/sites/Exploringthesustainabilityofcriticalrawmaterials-MaditraceD4.7/Shared%20Documents/MaditraceD4.7/Nd%20and%20magnets/Zenodo_editableCover/02_LCIdata_REEmagnet_prices2013-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
      <sheetName val="Database"/>
      <sheetName val="Prices and allocations"/>
      <sheetName val="ProductionNd2O3_BO"/>
      <sheetName val="extensionREO_BO"/>
      <sheetName val="ProductionNd2O3_MW"/>
      <sheetName val="extensionREO_MW"/>
      <sheetName val="ProductionNd2O3_IAC"/>
      <sheetName val="extensionREO_IAC"/>
      <sheetName val="Aux_Production"/>
      <sheetName val="Refining_Nd"/>
      <sheetName val="Alloying"/>
      <sheetName val="Manufacture"/>
      <sheetName val="Referenc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249977111117893"/>
  </sheetPr>
  <dimension ref="A1:Q43"/>
  <sheetViews>
    <sheetView showGridLines="0" zoomScaleNormal="100" workbookViewId="0">
      <selection activeCell="B39" sqref="B39"/>
    </sheetView>
  </sheetViews>
  <sheetFormatPr baseColWidth="10" defaultRowHeight="15" x14ac:dyDescent="0.25"/>
  <cols>
    <col min="1" max="1" width="1.85546875" customWidth="1"/>
    <col min="2" max="2" width="31.85546875" bestFit="1" customWidth="1"/>
    <col min="3" max="3" width="11.42578125" customWidth="1"/>
  </cols>
  <sheetData>
    <row r="1" spans="1:17" ht="15.75" thickBot="1" x14ac:dyDescent="0.3">
      <c r="A1" t="s">
        <v>128</v>
      </c>
    </row>
    <row r="2" spans="1:17" ht="15" customHeight="1" x14ac:dyDescent="0.25">
      <c r="B2" s="145" t="s">
        <v>675</v>
      </c>
      <c r="C2" s="146"/>
      <c r="D2" s="146"/>
      <c r="E2" s="146"/>
      <c r="F2" s="146"/>
      <c r="G2" s="146"/>
      <c r="H2" s="146"/>
      <c r="I2" s="146"/>
      <c r="J2" s="146"/>
      <c r="K2" s="146"/>
      <c r="L2" s="146"/>
      <c r="M2" s="146"/>
      <c r="N2" s="146"/>
      <c r="O2" s="146"/>
      <c r="P2" s="146"/>
      <c r="Q2" s="147"/>
    </row>
    <row r="3" spans="1:17" x14ac:dyDescent="0.25">
      <c r="B3" s="148"/>
      <c r="C3" s="149"/>
      <c r="D3" s="149"/>
      <c r="E3" s="149"/>
      <c r="F3" s="149"/>
      <c r="G3" s="149"/>
      <c r="H3" s="149"/>
      <c r="I3" s="149"/>
      <c r="J3" s="149"/>
      <c r="K3" s="149"/>
      <c r="L3" s="149"/>
      <c r="M3" s="149"/>
      <c r="N3" s="149"/>
      <c r="O3" s="149"/>
      <c r="P3" s="149"/>
      <c r="Q3" s="150"/>
    </row>
    <row r="4" spans="1:17" x14ac:dyDescent="0.25">
      <c r="B4" s="148"/>
      <c r="C4" s="149"/>
      <c r="D4" s="149"/>
      <c r="E4" s="149"/>
      <c r="F4" s="149"/>
      <c r="G4" s="149"/>
      <c r="H4" s="149"/>
      <c r="I4" s="149"/>
      <c r="J4" s="149"/>
      <c r="K4" s="149"/>
      <c r="L4" s="149"/>
      <c r="M4" s="149"/>
      <c r="N4" s="149"/>
      <c r="O4" s="149"/>
      <c r="P4" s="149"/>
      <c r="Q4" s="150"/>
    </row>
    <row r="5" spans="1:17" x14ac:dyDescent="0.25">
      <c r="B5" s="148"/>
      <c r="C5" s="149"/>
      <c r="D5" s="149"/>
      <c r="E5" s="149"/>
      <c r="F5" s="149"/>
      <c r="G5" s="149"/>
      <c r="H5" s="149"/>
      <c r="I5" s="149"/>
      <c r="J5" s="149"/>
      <c r="K5" s="149"/>
      <c r="L5" s="149"/>
      <c r="M5" s="149"/>
      <c r="N5" s="149"/>
      <c r="O5" s="149"/>
      <c r="P5" s="149"/>
      <c r="Q5" s="150"/>
    </row>
    <row r="6" spans="1:17" x14ac:dyDescent="0.25">
      <c r="B6" s="148"/>
      <c r="C6" s="149"/>
      <c r="D6" s="149"/>
      <c r="E6" s="149"/>
      <c r="F6" s="149"/>
      <c r="G6" s="149"/>
      <c r="H6" s="149"/>
      <c r="I6" s="149"/>
      <c r="J6" s="149"/>
      <c r="K6" s="149"/>
      <c r="L6" s="149"/>
      <c r="M6" s="149"/>
      <c r="N6" s="149"/>
      <c r="O6" s="149"/>
      <c r="P6" s="149"/>
      <c r="Q6" s="150"/>
    </row>
    <row r="7" spans="1:17" x14ac:dyDescent="0.25">
      <c r="B7" s="148"/>
      <c r="C7" s="149"/>
      <c r="D7" s="149"/>
      <c r="E7" s="149"/>
      <c r="F7" s="149"/>
      <c r="G7" s="149"/>
      <c r="H7" s="149"/>
      <c r="I7" s="149"/>
      <c r="J7" s="149"/>
      <c r="K7" s="149"/>
      <c r="L7" s="149"/>
      <c r="M7" s="149"/>
      <c r="N7" s="149"/>
      <c r="O7" s="149"/>
      <c r="P7" s="149"/>
      <c r="Q7" s="150"/>
    </row>
    <row r="8" spans="1:17" x14ac:dyDescent="0.25">
      <c r="B8" s="148"/>
      <c r="C8" s="149"/>
      <c r="D8" s="149"/>
      <c r="E8" s="149"/>
      <c r="F8" s="149"/>
      <c r="G8" s="149"/>
      <c r="H8" s="149"/>
      <c r="I8" s="149"/>
      <c r="J8" s="149"/>
      <c r="K8" s="149"/>
      <c r="L8" s="149"/>
      <c r="M8" s="149"/>
      <c r="N8" s="149"/>
      <c r="O8" s="149"/>
      <c r="P8" s="149"/>
      <c r="Q8" s="150"/>
    </row>
    <row r="9" spans="1:17" x14ac:dyDescent="0.25">
      <c r="B9" s="148"/>
      <c r="C9" s="149"/>
      <c r="D9" s="149"/>
      <c r="E9" s="149"/>
      <c r="F9" s="149"/>
      <c r="G9" s="149"/>
      <c r="H9" s="149"/>
      <c r="I9" s="149"/>
      <c r="J9" s="149"/>
      <c r="K9" s="149"/>
      <c r="L9" s="149"/>
      <c r="M9" s="149"/>
      <c r="N9" s="149"/>
      <c r="O9" s="149"/>
      <c r="P9" s="149"/>
      <c r="Q9" s="150"/>
    </row>
    <row r="10" spans="1:17" x14ac:dyDescent="0.25">
      <c r="B10" s="148"/>
      <c r="C10" s="149"/>
      <c r="D10" s="149"/>
      <c r="E10" s="149"/>
      <c r="F10" s="149"/>
      <c r="G10" s="149"/>
      <c r="H10" s="149"/>
      <c r="I10" s="149"/>
      <c r="J10" s="149"/>
      <c r="K10" s="149"/>
      <c r="L10" s="149"/>
      <c r="M10" s="149"/>
      <c r="N10" s="149"/>
      <c r="O10" s="149"/>
      <c r="P10" s="149"/>
      <c r="Q10" s="150"/>
    </row>
    <row r="11" spans="1:17" x14ac:dyDescent="0.25">
      <c r="B11" s="148"/>
      <c r="C11" s="149"/>
      <c r="D11" s="149"/>
      <c r="E11" s="149"/>
      <c r="F11" s="149"/>
      <c r="G11" s="149"/>
      <c r="H11" s="149"/>
      <c r="I11" s="149"/>
      <c r="J11" s="149"/>
      <c r="K11" s="149"/>
      <c r="L11" s="149"/>
      <c r="M11" s="149"/>
      <c r="N11" s="149"/>
      <c r="O11" s="149"/>
      <c r="P11" s="149"/>
      <c r="Q11" s="150"/>
    </row>
    <row r="12" spans="1:17" x14ac:dyDescent="0.25">
      <c r="B12" s="148"/>
      <c r="C12" s="149"/>
      <c r="D12" s="149"/>
      <c r="E12" s="149"/>
      <c r="F12" s="149"/>
      <c r="G12" s="149"/>
      <c r="H12" s="149"/>
      <c r="I12" s="149"/>
      <c r="J12" s="149"/>
      <c r="K12" s="149"/>
      <c r="L12" s="149"/>
      <c r="M12" s="149"/>
      <c r="N12" s="149"/>
      <c r="O12" s="149"/>
      <c r="P12" s="149"/>
      <c r="Q12" s="150"/>
    </row>
    <row r="13" spans="1:17" x14ac:dyDescent="0.25">
      <c r="B13" s="148"/>
      <c r="C13" s="149"/>
      <c r="D13" s="149"/>
      <c r="E13" s="149"/>
      <c r="F13" s="149"/>
      <c r="G13" s="149"/>
      <c r="H13" s="149"/>
      <c r="I13" s="149"/>
      <c r="J13" s="149"/>
      <c r="K13" s="149"/>
      <c r="L13" s="149"/>
      <c r="M13" s="149"/>
      <c r="N13" s="149"/>
      <c r="O13" s="149"/>
      <c r="P13" s="149"/>
      <c r="Q13" s="150"/>
    </row>
    <row r="14" spans="1:17" x14ac:dyDescent="0.25">
      <c r="B14" s="148"/>
      <c r="C14" s="149"/>
      <c r="D14" s="149"/>
      <c r="E14" s="149"/>
      <c r="F14" s="149"/>
      <c r="G14" s="149"/>
      <c r="H14" s="149"/>
      <c r="I14" s="149"/>
      <c r="J14" s="149"/>
      <c r="K14" s="149"/>
      <c r="L14" s="149"/>
      <c r="M14" s="149"/>
      <c r="N14" s="149"/>
      <c r="O14" s="149"/>
      <c r="P14" s="149"/>
      <c r="Q14" s="150"/>
    </row>
    <row r="15" spans="1:17" x14ac:dyDescent="0.25">
      <c r="B15" s="148"/>
      <c r="C15" s="149"/>
      <c r="D15" s="149"/>
      <c r="E15" s="149"/>
      <c r="F15" s="149"/>
      <c r="G15" s="149"/>
      <c r="H15" s="149"/>
      <c r="I15" s="149"/>
      <c r="J15" s="149"/>
      <c r="K15" s="149"/>
      <c r="L15" s="149"/>
      <c r="M15" s="149"/>
      <c r="N15" s="149"/>
      <c r="O15" s="149"/>
      <c r="P15" s="149"/>
      <c r="Q15" s="150"/>
    </row>
    <row r="16" spans="1:17" x14ac:dyDescent="0.25">
      <c r="B16" s="148"/>
      <c r="C16" s="149"/>
      <c r="D16" s="149"/>
      <c r="E16" s="149"/>
      <c r="F16" s="149"/>
      <c r="G16" s="149"/>
      <c r="H16" s="149"/>
      <c r="I16" s="149"/>
      <c r="J16" s="149"/>
      <c r="K16" s="149"/>
      <c r="L16" s="149"/>
      <c r="M16" s="149"/>
      <c r="N16" s="149"/>
      <c r="O16" s="149"/>
      <c r="P16" s="149"/>
      <c r="Q16" s="150"/>
    </row>
    <row r="17" spans="2:17" x14ac:dyDescent="0.25">
      <c r="B17" s="148"/>
      <c r="C17" s="149"/>
      <c r="D17" s="149"/>
      <c r="E17" s="149"/>
      <c r="F17" s="149"/>
      <c r="G17" s="149"/>
      <c r="H17" s="149"/>
      <c r="I17" s="149"/>
      <c r="J17" s="149"/>
      <c r="K17" s="149"/>
      <c r="L17" s="149"/>
      <c r="M17" s="149"/>
      <c r="N17" s="149"/>
      <c r="O17" s="149"/>
      <c r="P17" s="149"/>
      <c r="Q17" s="150"/>
    </row>
    <row r="18" spans="2:17" x14ac:dyDescent="0.25">
      <c r="B18" s="148"/>
      <c r="C18" s="149"/>
      <c r="D18" s="149"/>
      <c r="E18" s="149"/>
      <c r="F18" s="149"/>
      <c r="G18" s="149"/>
      <c r="H18" s="149"/>
      <c r="I18" s="149"/>
      <c r="J18" s="149"/>
      <c r="K18" s="149"/>
      <c r="L18" s="149"/>
      <c r="M18" s="149"/>
      <c r="N18" s="149"/>
      <c r="O18" s="149"/>
      <c r="P18" s="149"/>
      <c r="Q18" s="150"/>
    </row>
    <row r="19" spans="2:17" x14ac:dyDescent="0.25">
      <c r="B19" s="148"/>
      <c r="C19" s="149"/>
      <c r="D19" s="149"/>
      <c r="E19" s="149"/>
      <c r="F19" s="149"/>
      <c r="G19" s="149"/>
      <c r="H19" s="149"/>
      <c r="I19" s="149"/>
      <c r="J19" s="149"/>
      <c r="K19" s="149"/>
      <c r="L19" s="149"/>
      <c r="M19" s="149"/>
      <c r="N19" s="149"/>
      <c r="O19" s="149"/>
      <c r="P19" s="149"/>
      <c r="Q19" s="150"/>
    </row>
    <row r="20" spans="2:17" x14ac:dyDescent="0.25">
      <c r="B20" s="148"/>
      <c r="C20" s="149"/>
      <c r="D20" s="149"/>
      <c r="E20" s="149"/>
      <c r="F20" s="149"/>
      <c r="G20" s="149"/>
      <c r="H20" s="149"/>
      <c r="I20" s="149"/>
      <c r="J20" s="149"/>
      <c r="K20" s="149"/>
      <c r="L20" s="149"/>
      <c r="M20" s="149"/>
      <c r="N20" s="149"/>
      <c r="O20" s="149"/>
      <c r="P20" s="149"/>
      <c r="Q20" s="150"/>
    </row>
    <row r="21" spans="2:17" x14ac:dyDescent="0.25">
      <c r="B21" s="148"/>
      <c r="C21" s="149"/>
      <c r="D21" s="149"/>
      <c r="E21" s="149"/>
      <c r="F21" s="149"/>
      <c r="G21" s="149"/>
      <c r="H21" s="149"/>
      <c r="I21" s="149"/>
      <c r="J21" s="149"/>
      <c r="K21" s="149"/>
      <c r="L21" s="149"/>
      <c r="M21" s="149"/>
      <c r="N21" s="149"/>
      <c r="O21" s="149"/>
      <c r="P21" s="149"/>
      <c r="Q21" s="150"/>
    </row>
    <row r="22" spans="2:17" x14ac:dyDescent="0.25">
      <c r="B22" s="148"/>
      <c r="C22" s="149"/>
      <c r="D22" s="149"/>
      <c r="E22" s="149"/>
      <c r="F22" s="149"/>
      <c r="G22" s="149"/>
      <c r="H22" s="149"/>
      <c r="I22" s="149"/>
      <c r="J22" s="149"/>
      <c r="K22" s="149"/>
      <c r="L22" s="149"/>
      <c r="M22" s="149"/>
      <c r="N22" s="149"/>
      <c r="O22" s="149"/>
      <c r="P22" s="149"/>
      <c r="Q22" s="150"/>
    </row>
    <row r="23" spans="2:17" x14ac:dyDescent="0.25">
      <c r="B23" s="148"/>
      <c r="C23" s="149"/>
      <c r="D23" s="149"/>
      <c r="E23" s="149"/>
      <c r="F23" s="149"/>
      <c r="G23" s="149"/>
      <c r="H23" s="149"/>
      <c r="I23" s="149"/>
      <c r="J23" s="149"/>
      <c r="K23" s="149"/>
      <c r="L23" s="149"/>
      <c r="M23" s="149"/>
      <c r="N23" s="149"/>
      <c r="O23" s="149"/>
      <c r="P23" s="149"/>
      <c r="Q23" s="150"/>
    </row>
    <row r="24" spans="2:17" ht="15" customHeight="1" x14ac:dyDescent="0.25">
      <c r="B24" s="148"/>
      <c r="C24" s="149"/>
      <c r="D24" s="149"/>
      <c r="E24" s="149"/>
      <c r="F24" s="149"/>
      <c r="G24" s="149"/>
      <c r="H24" s="149"/>
      <c r="I24" s="149"/>
      <c r="J24" s="149"/>
      <c r="K24" s="149"/>
      <c r="L24" s="149"/>
      <c r="M24" s="149"/>
      <c r="N24" s="149"/>
      <c r="O24" s="149"/>
      <c r="P24" s="149"/>
      <c r="Q24" s="150"/>
    </row>
    <row r="25" spans="2:17" x14ac:dyDescent="0.25">
      <c r="B25" s="148"/>
      <c r="C25" s="149"/>
      <c r="D25" s="149"/>
      <c r="E25" s="149"/>
      <c r="F25" s="149"/>
      <c r="G25" s="149"/>
      <c r="H25" s="149"/>
      <c r="I25" s="149"/>
      <c r="J25" s="149"/>
      <c r="K25" s="149"/>
      <c r="L25" s="149"/>
      <c r="M25" s="149"/>
      <c r="N25" s="149"/>
      <c r="O25" s="149"/>
      <c r="P25" s="149"/>
      <c r="Q25" s="150"/>
    </row>
    <row r="26" spans="2:17" x14ac:dyDescent="0.25">
      <c r="B26" s="148"/>
      <c r="C26" s="149"/>
      <c r="D26" s="149"/>
      <c r="E26" s="149"/>
      <c r="F26" s="149"/>
      <c r="G26" s="149"/>
      <c r="H26" s="149"/>
      <c r="I26" s="149"/>
      <c r="J26" s="149"/>
      <c r="K26" s="149"/>
      <c r="L26" s="149"/>
      <c r="M26" s="149"/>
      <c r="N26" s="149"/>
      <c r="O26" s="149"/>
      <c r="P26" s="149"/>
      <c r="Q26" s="150"/>
    </row>
    <row r="27" spans="2:17" x14ac:dyDescent="0.25">
      <c r="B27" s="148"/>
      <c r="C27" s="149"/>
      <c r="D27" s="149"/>
      <c r="E27" s="149"/>
      <c r="F27" s="149"/>
      <c r="G27" s="149"/>
      <c r="H27" s="149"/>
      <c r="I27" s="149"/>
      <c r="J27" s="149"/>
      <c r="K27" s="149"/>
      <c r="L27" s="149"/>
      <c r="M27" s="149"/>
      <c r="N27" s="149"/>
      <c r="O27" s="149"/>
      <c r="P27" s="149"/>
      <c r="Q27" s="150"/>
    </row>
    <row r="28" spans="2:17" x14ac:dyDescent="0.25">
      <c r="B28" s="148"/>
      <c r="C28" s="149"/>
      <c r="D28" s="149"/>
      <c r="E28" s="149"/>
      <c r="F28" s="149"/>
      <c r="G28" s="149"/>
      <c r="H28" s="149"/>
      <c r="I28" s="149"/>
      <c r="J28" s="149"/>
      <c r="K28" s="149"/>
      <c r="L28" s="149"/>
      <c r="M28" s="149"/>
      <c r="N28" s="149"/>
      <c r="O28" s="149"/>
      <c r="P28" s="149"/>
      <c r="Q28" s="150"/>
    </row>
    <row r="29" spans="2:17" x14ac:dyDescent="0.25">
      <c r="B29" s="148"/>
      <c r="C29" s="149"/>
      <c r="D29" s="149"/>
      <c r="E29" s="149"/>
      <c r="F29" s="149"/>
      <c r="G29" s="149"/>
      <c r="H29" s="149"/>
      <c r="I29" s="149"/>
      <c r="J29" s="149"/>
      <c r="K29" s="149"/>
      <c r="L29" s="149"/>
      <c r="M29" s="149"/>
      <c r="N29" s="149"/>
      <c r="O29" s="149"/>
      <c r="P29" s="149"/>
      <c r="Q29" s="150"/>
    </row>
    <row r="30" spans="2:17" x14ac:dyDescent="0.25">
      <c r="B30" s="148"/>
      <c r="C30" s="149"/>
      <c r="D30" s="149"/>
      <c r="E30" s="149"/>
      <c r="F30" s="149"/>
      <c r="G30" s="149"/>
      <c r="H30" s="149"/>
      <c r="I30" s="149"/>
      <c r="J30" s="149"/>
      <c r="K30" s="149"/>
      <c r="L30" s="149"/>
      <c r="M30" s="149"/>
      <c r="N30" s="149"/>
      <c r="O30" s="149"/>
      <c r="P30" s="149"/>
      <c r="Q30" s="150"/>
    </row>
    <row r="31" spans="2:17" ht="15.75" thickBot="1" x14ac:dyDescent="0.3">
      <c r="B31" s="151"/>
      <c r="C31" s="152"/>
      <c r="D31" s="152"/>
      <c r="E31" s="152"/>
      <c r="F31" s="152"/>
      <c r="G31" s="152"/>
      <c r="H31" s="152"/>
      <c r="I31" s="152"/>
      <c r="J31" s="152"/>
      <c r="K31" s="152"/>
      <c r="L31" s="152"/>
      <c r="M31" s="152"/>
      <c r="N31" s="152"/>
      <c r="O31" s="152"/>
      <c r="P31" s="152"/>
      <c r="Q31" s="153"/>
    </row>
    <row r="32" spans="2:17" ht="15.75" thickBot="1" x14ac:dyDescent="0.3"/>
    <row r="33" spans="2:10" x14ac:dyDescent="0.25">
      <c r="B33" s="131" t="s">
        <v>673</v>
      </c>
      <c r="C33" s="132" t="s">
        <v>674</v>
      </c>
      <c r="D33" s="133"/>
      <c r="E33" s="133"/>
      <c r="F33" s="133"/>
      <c r="G33" s="133"/>
      <c r="H33" s="133"/>
      <c r="I33" s="134"/>
      <c r="J33" s="142"/>
    </row>
    <row r="34" spans="2:10" x14ac:dyDescent="0.25">
      <c r="B34" s="135" t="s">
        <v>677</v>
      </c>
      <c r="C34" s="56" t="s">
        <v>676</v>
      </c>
      <c r="D34" s="142"/>
      <c r="E34" s="142"/>
      <c r="F34" s="142"/>
      <c r="G34" s="142"/>
      <c r="H34" s="142"/>
      <c r="I34" s="136"/>
      <c r="J34" s="142"/>
    </row>
    <row r="35" spans="2:10" x14ac:dyDescent="0.25">
      <c r="B35" s="135" t="s">
        <v>678</v>
      </c>
      <c r="C35" s="56" t="s">
        <v>242</v>
      </c>
      <c r="D35" s="142"/>
      <c r="E35" s="142"/>
      <c r="F35" s="142"/>
      <c r="G35" s="142"/>
      <c r="H35" s="142"/>
      <c r="I35" s="136"/>
      <c r="J35" s="142"/>
    </row>
    <row r="36" spans="2:10" x14ac:dyDescent="0.25">
      <c r="B36" s="135" t="s">
        <v>679</v>
      </c>
      <c r="C36" s="56" t="s">
        <v>297</v>
      </c>
      <c r="D36" s="142"/>
      <c r="E36" s="142"/>
      <c r="F36" s="142"/>
      <c r="G36" s="142"/>
      <c r="H36" s="142"/>
      <c r="I36" s="136"/>
      <c r="J36" s="142"/>
    </row>
    <row r="37" spans="2:10" x14ac:dyDescent="0.25">
      <c r="B37" s="141" t="s">
        <v>680</v>
      </c>
      <c r="C37" s="56" t="s">
        <v>402</v>
      </c>
      <c r="D37" s="142"/>
      <c r="E37" s="142"/>
      <c r="F37" s="142"/>
      <c r="G37" s="142"/>
      <c r="H37" s="142"/>
      <c r="I37" s="136"/>
      <c r="J37" s="142"/>
    </row>
    <row r="38" spans="2:10" x14ac:dyDescent="0.25">
      <c r="B38" s="141" t="s">
        <v>681</v>
      </c>
      <c r="C38" s="56" t="s">
        <v>521</v>
      </c>
      <c r="D38" s="142"/>
      <c r="E38" s="142"/>
      <c r="F38" s="142"/>
      <c r="G38" s="142"/>
      <c r="H38" s="142"/>
      <c r="I38" s="136"/>
      <c r="J38" s="142"/>
    </row>
    <row r="39" spans="2:10" ht="15.75" thickBot="1" x14ac:dyDescent="0.3">
      <c r="B39" s="137" t="s">
        <v>682</v>
      </c>
      <c r="C39" s="138" t="s">
        <v>580</v>
      </c>
      <c r="D39" s="139"/>
      <c r="E39" s="139"/>
      <c r="F39" s="139"/>
      <c r="G39" s="139"/>
      <c r="H39" s="139"/>
      <c r="I39" s="140"/>
      <c r="J39" s="142"/>
    </row>
    <row r="40" spans="2:10" x14ac:dyDescent="0.25">
      <c r="B40" s="143"/>
      <c r="C40" s="56"/>
      <c r="D40" s="142"/>
      <c r="E40" s="142"/>
      <c r="F40" s="142"/>
      <c r="G40" s="142"/>
      <c r="H40" s="142"/>
      <c r="I40" s="142"/>
      <c r="J40" s="142"/>
    </row>
    <row r="41" spans="2:10" x14ac:dyDescent="0.25">
      <c r="B41" s="143"/>
      <c r="C41" s="56"/>
      <c r="D41" s="142"/>
      <c r="E41" s="142"/>
      <c r="F41" s="142"/>
      <c r="G41" s="142"/>
      <c r="H41" s="142"/>
      <c r="I41" s="142"/>
      <c r="J41" s="142"/>
    </row>
    <row r="42" spans="2:10" x14ac:dyDescent="0.25">
      <c r="B42" s="143"/>
      <c r="C42" s="56"/>
      <c r="D42" s="142"/>
      <c r="E42" s="142"/>
      <c r="F42" s="142"/>
      <c r="G42" s="142"/>
      <c r="H42" s="142"/>
      <c r="I42" s="142"/>
      <c r="J42" s="142"/>
    </row>
    <row r="43" spans="2:10" x14ac:dyDescent="0.25">
      <c r="B43" s="143"/>
      <c r="C43" s="56"/>
      <c r="D43" s="142"/>
      <c r="E43" s="142"/>
      <c r="F43" s="142"/>
      <c r="G43" s="142"/>
      <c r="H43" s="142"/>
      <c r="I43" s="142"/>
      <c r="J43" s="142"/>
    </row>
  </sheetData>
  <mergeCells count="1">
    <mergeCell ref="B2:Q31"/>
  </mergeCells>
  <hyperlinks>
    <hyperlink ref="B34" location="RE_Market_GLO!A1" display="RE_Market_GLO" xr:uid="{424F0003-C10A-499C-A8A1-456EC82EA1CE}"/>
    <hyperlink ref="B35" location="PR1_REO_CN_Sichuan_Bastnaesite!A1" display="PR1_REO_CN_Sichuan_Bastnaesite" xr:uid="{E714F97D-38E1-4804-B3A5-2A8EED390849}"/>
    <hyperlink ref="B36" location="PR2_REO_US_Mt.Pass_Bastnaesite!A1" display="PR2_REO_US_Mt.Pass_Bastnaesite" xr:uid="{0DBF2605-4149-4F2C-9F48-0CBD4773936B}"/>
    <hyperlink ref="B37" location="'PR3_REO_CN_BayanObo_Bast-Mona'!A1" display="'PR3_REO_CN_BayanObo_Bast-Mona'" xr:uid="{C1EDE098-1CFF-4CFF-8075-7901CA280FC6}"/>
    <hyperlink ref="B38" location="'PR4_REO_AU-MY_MtWeld_Monazite'!A1" display="'PR4_REO_AU-MY_MtWeld_Monazite" xr:uid="{34C5A3B4-1D77-4712-80EA-189589D538D4}"/>
    <hyperlink ref="B39" location="PR5_REO_CN_IAC!A1" display="PR5_REO_CN_IAC" xr:uid="{2B84E20D-E730-474D-AAC9-3AA3C290D0F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6C062-E0DC-40A5-8254-5AFD9118E5BA}">
  <sheetPr>
    <tabColor theme="8" tint="0.39997558519241921"/>
  </sheetPr>
  <dimension ref="A1:O428"/>
  <sheetViews>
    <sheetView workbookViewId="0">
      <selection activeCell="A20" sqref="A20"/>
    </sheetView>
  </sheetViews>
  <sheetFormatPr baseColWidth="10" defaultColWidth="10.85546875" defaultRowHeight="15" x14ac:dyDescent="0.25"/>
  <cols>
    <col min="1" max="1" width="81.42578125" style="56" bestFit="1" customWidth="1"/>
    <col min="2" max="2" width="42.42578125" style="56" bestFit="1" customWidth="1"/>
    <col min="3" max="3" width="9.140625" style="56" bestFit="1" customWidth="1"/>
    <col min="4" max="4" width="12" style="56" bestFit="1" customWidth="1"/>
    <col min="5" max="5" width="8.7109375" style="56" bestFit="1" customWidth="1"/>
    <col min="6" max="6" width="10.85546875" style="56" bestFit="1" customWidth="1"/>
    <col min="7" max="7" width="13.28515625" style="56" bestFit="1" customWidth="1"/>
    <col min="8" max="8" width="10.140625" style="56" bestFit="1" customWidth="1"/>
    <col min="9" max="9" width="15.5703125" style="56" bestFit="1" customWidth="1"/>
    <col min="10" max="10" width="9" style="56" bestFit="1" customWidth="1"/>
    <col min="11" max="11" width="3.5703125" style="56" bestFit="1" customWidth="1"/>
    <col min="12" max="12" width="5.42578125" style="56" bestFit="1" customWidth="1"/>
    <col min="13" max="13" width="9.5703125" style="56" bestFit="1" customWidth="1"/>
    <col min="14" max="14" width="9.85546875" style="56" bestFit="1" customWidth="1"/>
    <col min="15" max="15" width="9.42578125" style="56" bestFit="1" customWidth="1"/>
    <col min="16" max="16384" width="10.85546875" style="56"/>
  </cols>
  <sheetData>
    <row r="1" spans="1:14" x14ac:dyDescent="0.25">
      <c r="A1" s="56" t="s">
        <v>11</v>
      </c>
      <c r="B1" s="57" t="s">
        <v>234</v>
      </c>
    </row>
    <row r="2" spans="1:14" s="58" customFormat="1" x14ac:dyDescent="0.25"/>
    <row r="3" spans="1:14" x14ac:dyDescent="0.25">
      <c r="A3" s="59" t="s">
        <v>0</v>
      </c>
      <c r="B3" s="59" t="s">
        <v>235</v>
      </c>
    </row>
    <row r="4" spans="1:14" x14ac:dyDescent="0.25">
      <c r="A4" s="60" t="s">
        <v>1</v>
      </c>
      <c r="B4" s="56" t="s">
        <v>236</v>
      </c>
    </row>
    <row r="5" spans="1:14" x14ac:dyDescent="0.25">
      <c r="A5" s="60" t="s">
        <v>2</v>
      </c>
      <c r="B5" s="56" t="s">
        <v>23</v>
      </c>
    </row>
    <row r="6" spans="1:14" x14ac:dyDescent="0.25">
      <c r="A6" s="60" t="s">
        <v>4</v>
      </c>
      <c r="B6" s="56">
        <v>1</v>
      </c>
    </row>
    <row r="7" spans="1:14" x14ac:dyDescent="0.25">
      <c r="A7" s="60" t="s">
        <v>5</v>
      </c>
      <c r="B7" s="56" t="s">
        <v>6</v>
      </c>
    </row>
    <row r="8" spans="1:14" x14ac:dyDescent="0.25">
      <c r="A8" s="60" t="s">
        <v>7</v>
      </c>
      <c r="B8" s="56" t="s">
        <v>8</v>
      </c>
    </row>
    <row r="9" spans="1:14" x14ac:dyDescent="0.25">
      <c r="A9" s="60" t="s">
        <v>9</v>
      </c>
    </row>
    <row r="10" spans="1:14" x14ac:dyDescent="0.25">
      <c r="A10" s="59" t="s">
        <v>10</v>
      </c>
      <c r="B10" s="59" t="s">
        <v>1</v>
      </c>
      <c r="C10" s="59" t="s">
        <v>2</v>
      </c>
      <c r="D10" s="59" t="s">
        <v>4</v>
      </c>
      <c r="E10" s="59" t="s">
        <v>5</v>
      </c>
      <c r="F10" s="59" t="s">
        <v>11</v>
      </c>
      <c r="G10" s="59" t="s">
        <v>12</v>
      </c>
      <c r="H10" s="59" t="s">
        <v>13</v>
      </c>
      <c r="I10" s="59" t="s">
        <v>14</v>
      </c>
      <c r="J10" s="59" t="s">
        <v>15</v>
      </c>
      <c r="K10" s="59" t="s">
        <v>16</v>
      </c>
      <c r="L10" s="59" t="s">
        <v>17</v>
      </c>
      <c r="M10" s="59" t="s">
        <v>18</v>
      </c>
      <c r="N10" s="59" t="s">
        <v>19</v>
      </c>
    </row>
    <row r="11" spans="1:14" x14ac:dyDescent="0.25">
      <c r="A11" s="56" t="str">
        <f>B3</f>
        <v>Rare Earths (RE) global market</v>
      </c>
      <c r="B11" s="56" t="str">
        <f>B4</f>
        <v>Rare Earths oxides (REO)</v>
      </c>
      <c r="C11" s="56" t="str">
        <f>B5</f>
        <v>GLO</v>
      </c>
      <c r="D11" s="56">
        <v>1</v>
      </c>
      <c r="E11" s="56" t="str">
        <f>B7</f>
        <v>kilogram</v>
      </c>
      <c r="F11" s="57" t="str">
        <f>B1</f>
        <v>Rare Earths</v>
      </c>
      <c r="G11" s="56" t="s">
        <v>20</v>
      </c>
    </row>
    <row r="12" spans="1:14" x14ac:dyDescent="0.25">
      <c r="A12" s="56" t="str">
        <f>PR1_REO_CN_Sichuan_Bastnaesite!A94</f>
        <v xml:space="preserve">Bastnaesite ore mining and REO production in China/Sichuan </v>
      </c>
      <c r="B12" s="56" t="str">
        <f>PR1_REO_CN_Sichuan_Bastnaesite!B94</f>
        <v>REO</v>
      </c>
      <c r="C12" s="56" t="str">
        <f>PR1_REO_CN_Sichuan_Bastnaesite!C94</f>
        <v>CN-SWG</v>
      </c>
      <c r="D12" s="56">
        <v>0.27116877099501907</v>
      </c>
      <c r="E12" s="56" t="str">
        <f>PR1_REO_CN_Sichuan_Bastnaesite!E94</f>
        <v>kilogram</v>
      </c>
      <c r="F12" s="57" t="str">
        <f>PR1_REO_CN_Sichuan_Bastnaesite!F94</f>
        <v>Rare Earths</v>
      </c>
      <c r="G12" s="56" t="s">
        <v>25</v>
      </c>
    </row>
    <row r="13" spans="1:14" x14ac:dyDescent="0.25">
      <c r="A13" s="56" t="str">
        <f>PR2_REO_US_Mt.Pass_Bastnaesite!A98</f>
        <v>Bastnaesite ore mining and REO production in the US/Mt. Pass</v>
      </c>
      <c r="B13" s="56" t="str">
        <f>PR2_REO_US_Mt.Pass_Bastnaesite!B98</f>
        <v>REO</v>
      </c>
      <c r="C13" s="56" t="str">
        <f>PR2_REO_US_Mt.Pass_Bastnaesite!C98</f>
        <v>US-WECC</v>
      </c>
      <c r="D13" s="56">
        <v>0.18255531101586936</v>
      </c>
      <c r="E13" s="56" t="str">
        <f>PR2_REO_US_Mt.Pass_Bastnaesite!E98</f>
        <v>kilogram</v>
      </c>
      <c r="F13" s="57" t="str">
        <f>PR2_REO_US_Mt.Pass_Bastnaesite!F98</f>
        <v>Rare Earths</v>
      </c>
      <c r="G13" s="56" t="s">
        <v>25</v>
      </c>
    </row>
    <row r="14" spans="1:14" x14ac:dyDescent="0.25">
      <c r="A14" s="56" t="str">
        <f>'PR3_REO_CN_BayanObo_Bast-Mona'!A208</f>
        <v>Bastnaesite-monazite ore mining and REO production in China/Bayan Obo</v>
      </c>
      <c r="B14" s="56" t="str">
        <f>'PR3_REO_CN_BayanObo_Bast-Mona'!B208</f>
        <v>REO</v>
      </c>
      <c r="C14" s="56" t="str">
        <f>'PR3_REO_CN_BayanObo_Bast-Mona'!C208</f>
        <v>CN</v>
      </c>
      <c r="D14" s="56">
        <v>0.37067068226572458</v>
      </c>
      <c r="E14" s="56" t="str">
        <f>'PR3_REO_CN_BayanObo_Bast-Mona'!E208</f>
        <v>kilogram</v>
      </c>
      <c r="F14" s="57" t="str">
        <f>'PR3_REO_CN_BayanObo_Bast-Mona'!F208</f>
        <v>Rare Earths</v>
      </c>
      <c r="G14" s="56" t="s">
        <v>25</v>
      </c>
    </row>
    <row r="15" spans="1:14" x14ac:dyDescent="0.25">
      <c r="A15" s="56" t="str">
        <f>'PR4_REO_AU-MY_MtWeld_Monazite'!A191</f>
        <v>Monazite ore mining in Australia/Mt. Weld and REO production in Malaysia</v>
      </c>
      <c r="B15" s="56" t="str">
        <f>'PR4_REO_AU-MY_MtWeld_Monazite'!B191</f>
        <v>REO</v>
      </c>
      <c r="C15" s="56" t="str">
        <f>'PR4_REO_AU-MY_MtWeld_Monazite'!C191</f>
        <v>AU-MY</v>
      </c>
      <c r="D15" s="56">
        <v>9.4521023977759785E-2</v>
      </c>
      <c r="E15" s="56" t="str">
        <f>'PR4_REO_AU-MY_MtWeld_Monazite'!E191</f>
        <v>kilogram</v>
      </c>
      <c r="F15" s="57" t="str">
        <f>'PR4_REO_AU-MY_MtWeld_Monazite'!F191</f>
        <v>Rare Earths</v>
      </c>
      <c r="G15" s="56" t="s">
        <v>25</v>
      </c>
    </row>
    <row r="16" spans="1:14" x14ac:dyDescent="0.25">
      <c r="A16" s="56" t="str">
        <f>PR5_REO_CN_IAC!A109</f>
        <v>REO production from ion-adsorption clays in China</v>
      </c>
      <c r="B16" s="56" t="str">
        <f>PR5_REO_CN_IAC!B109</f>
        <v>REO</v>
      </c>
      <c r="C16" s="56" t="str">
        <f>PR5_REO_CN_IAC!C109</f>
        <v>CN</v>
      </c>
      <c r="D16" s="56">
        <v>8.1084211745627244E-2</v>
      </c>
      <c r="E16" s="56" t="str">
        <f>PR5_REO_CN_IAC!E109</f>
        <v>kilogram</v>
      </c>
      <c r="F16" s="57" t="str">
        <f>PR5_REO_CN_IAC!F109</f>
        <v>Rare Earths</v>
      </c>
      <c r="G16" s="56" t="s">
        <v>25</v>
      </c>
    </row>
    <row r="17" spans="1:15" s="58" customFormat="1" x14ac:dyDescent="0.25"/>
    <row r="18" spans="1:15" x14ac:dyDescent="0.25">
      <c r="A18" s="59" t="s">
        <v>0</v>
      </c>
      <c r="B18" s="59" t="s">
        <v>610</v>
      </c>
    </row>
    <row r="19" spans="1:15" x14ac:dyDescent="0.25">
      <c r="A19" s="60" t="s">
        <v>1</v>
      </c>
      <c r="B19" s="56" t="s">
        <v>611</v>
      </c>
    </row>
    <row r="20" spans="1:15" x14ac:dyDescent="0.25">
      <c r="A20" s="60" t="s">
        <v>2</v>
      </c>
      <c r="B20" s="56" t="s">
        <v>23</v>
      </c>
    </row>
    <row r="21" spans="1:15" x14ac:dyDescent="0.25">
      <c r="A21" s="60" t="s">
        <v>4</v>
      </c>
      <c r="B21" s="56">
        <v>1</v>
      </c>
    </row>
    <row r="22" spans="1:15" x14ac:dyDescent="0.25">
      <c r="A22" s="60" t="s">
        <v>5</v>
      </c>
      <c r="B22" s="56" t="s">
        <v>6</v>
      </c>
    </row>
    <row r="23" spans="1:15" x14ac:dyDescent="0.25">
      <c r="A23" s="60" t="s">
        <v>7</v>
      </c>
      <c r="B23" s="56" t="s">
        <v>8</v>
      </c>
    </row>
    <row r="24" spans="1:15" x14ac:dyDescent="0.25">
      <c r="A24" s="60" t="s">
        <v>9</v>
      </c>
    </row>
    <row r="25" spans="1:15" x14ac:dyDescent="0.25">
      <c r="A25" s="59" t="s">
        <v>10</v>
      </c>
      <c r="B25" s="59" t="s">
        <v>1</v>
      </c>
      <c r="C25" s="59" t="s">
        <v>2</v>
      </c>
      <c r="D25" s="59" t="s">
        <v>4</v>
      </c>
      <c r="E25" s="59" t="s">
        <v>5</v>
      </c>
      <c r="F25" s="59" t="s">
        <v>11</v>
      </c>
      <c r="G25" s="59" t="s">
        <v>12</v>
      </c>
      <c r="H25" s="59" t="s">
        <v>13</v>
      </c>
      <c r="I25" s="59" t="s">
        <v>14</v>
      </c>
      <c r="J25" s="59" t="s">
        <v>15</v>
      </c>
      <c r="K25" s="59" t="s">
        <v>16</v>
      </c>
      <c r="L25" s="59" t="s">
        <v>17</v>
      </c>
      <c r="M25" s="59" t="s">
        <v>18</v>
      </c>
      <c r="N25" s="59" t="s">
        <v>19</v>
      </c>
      <c r="O25" s="59" t="s">
        <v>7</v>
      </c>
    </row>
    <row r="26" spans="1:15" x14ac:dyDescent="0.25">
      <c r="A26" s="56" t="str">
        <f>B18</f>
        <v>Neodymium (Nd) global market</v>
      </c>
      <c r="B26" s="56" t="str">
        <f>B19</f>
        <v>Nd oxide (Nd2O3)</v>
      </c>
      <c r="C26" s="56" t="str">
        <f>B20</f>
        <v>GLO</v>
      </c>
      <c r="D26" s="64">
        <v>1</v>
      </c>
      <c r="E26" s="56" t="str">
        <f>B22</f>
        <v>kilogram</v>
      </c>
      <c r="F26" s="57" t="str">
        <f>F11</f>
        <v>Rare Earths</v>
      </c>
      <c r="G26" s="56" t="s">
        <v>20</v>
      </c>
    </row>
    <row r="27" spans="1:15" x14ac:dyDescent="0.25">
      <c r="A27" s="56" t="str">
        <f>PR1_REO_CN_Sichuan_Bastnaesite!A216</f>
        <v xml:space="preserve">Neodymium oxide (Nd2O3) production in China/Sichuan </v>
      </c>
      <c r="B27" s="56" t="str">
        <f>PR1_REO_CN_Sichuan_Bastnaesite!B216</f>
        <v>Nd2O3</v>
      </c>
      <c r="C27" s="56" t="str">
        <f>PR1_REO_CN_Sichuan_Bastnaesite!C216</f>
        <v>CN-SWG</v>
      </c>
      <c r="D27" s="56">
        <v>0.27116877099501907</v>
      </c>
      <c r="E27" s="56" t="str">
        <f>PR1_REO_CN_Sichuan_Bastnaesite!E216</f>
        <v>kilogram</v>
      </c>
      <c r="F27" s="57" t="str">
        <f>PR1_REO_CN_Sichuan_Bastnaesite!F216</f>
        <v>Rare Earths</v>
      </c>
      <c r="G27" s="56" t="s">
        <v>25</v>
      </c>
    </row>
    <row r="28" spans="1:15" x14ac:dyDescent="0.25">
      <c r="A28" s="56" t="str">
        <f>PR2_REO_US_Mt.Pass_Bastnaesite!A200</f>
        <v>Neodymium oxide (Nd2O3) production in the US/Mt. Pass</v>
      </c>
      <c r="B28" s="56" t="str">
        <f>PR2_REO_US_Mt.Pass_Bastnaesite!B200</f>
        <v>Nd2O3</v>
      </c>
      <c r="C28" s="56" t="str">
        <f>PR2_REO_US_Mt.Pass_Bastnaesite!C200</f>
        <v>US-WECC</v>
      </c>
      <c r="D28" s="56">
        <v>0.18255531101586936</v>
      </c>
      <c r="E28" s="56" t="str">
        <f>PR2_REO_US_Mt.Pass_Bastnaesite!E200</f>
        <v>kilogram</v>
      </c>
      <c r="F28" s="57" t="str">
        <f>PR2_REO_US_Mt.Pass_Bastnaesite!F200</f>
        <v>Rare Earths</v>
      </c>
      <c r="G28" s="56" t="s">
        <v>25</v>
      </c>
    </row>
    <row r="29" spans="1:15" x14ac:dyDescent="0.25">
      <c r="A29" s="56" t="str">
        <f>'PR3_REO_CN_BayanObo_Bast-Mona'!A223</f>
        <v>Neodymium oxide (Nd2O3) production in China/Bayan Obo</v>
      </c>
      <c r="B29" s="56" t="str">
        <f>'PR3_REO_CN_BayanObo_Bast-Mona'!B223</f>
        <v>Nd2O3</v>
      </c>
      <c r="C29" s="56" t="str">
        <f>'PR3_REO_CN_BayanObo_Bast-Mona'!C223</f>
        <v>CN</v>
      </c>
      <c r="D29" s="56">
        <v>0.37067068226572458</v>
      </c>
      <c r="E29" s="56" t="str">
        <f>'PR3_REO_CN_BayanObo_Bast-Mona'!E223</f>
        <v>kilogram</v>
      </c>
      <c r="F29" s="57" t="str">
        <f>'PR3_REO_CN_BayanObo_Bast-Mona'!F223</f>
        <v>Rare Earths</v>
      </c>
      <c r="G29" s="56" t="s">
        <v>25</v>
      </c>
    </row>
    <row r="30" spans="1:15" x14ac:dyDescent="0.25">
      <c r="A30" s="56" t="str">
        <f>'PR4_REO_AU-MY_MtWeld_Monazite'!A207</f>
        <v>Neodymium oxide (Nd2O3) production in Australia/Mt. Weld - Malaysia</v>
      </c>
      <c r="B30" s="56" t="str">
        <f>'PR4_REO_AU-MY_MtWeld_Monazite'!B207</f>
        <v>Nd2O3</v>
      </c>
      <c r="C30" s="56" t="str">
        <f>'PR4_REO_AU-MY_MtWeld_Monazite'!C207</f>
        <v>AU-MY</v>
      </c>
      <c r="D30" s="56">
        <v>9.4521023977759785E-2</v>
      </c>
      <c r="E30" s="56" t="str">
        <f>'PR4_REO_AU-MY_MtWeld_Monazite'!E207</f>
        <v>kilogram</v>
      </c>
      <c r="F30" s="57" t="str">
        <f>'PR4_REO_AU-MY_MtWeld_Monazite'!F207</f>
        <v>Rare Earths</v>
      </c>
      <c r="G30" s="56" t="s">
        <v>25</v>
      </c>
    </row>
    <row r="31" spans="1:15" x14ac:dyDescent="0.25">
      <c r="A31" s="56" t="str">
        <f>PR5_REO_CN_IAC!A121</f>
        <v>Neodymium oxide (Nd2O3) production from ion-adsorption clays in China</v>
      </c>
      <c r="B31" s="56" t="str">
        <f>PR5_REO_CN_IAC!B121</f>
        <v>Nd2O3</v>
      </c>
      <c r="C31" s="56" t="str">
        <f>PR5_REO_CN_IAC!C121</f>
        <v>CN</v>
      </c>
      <c r="D31" s="56">
        <v>8.1084211745627244E-2</v>
      </c>
      <c r="E31" s="56" t="str">
        <f>PR5_REO_CN_IAC!E121</f>
        <v>kilogram</v>
      </c>
      <c r="F31" s="57" t="str">
        <f>PR5_REO_CN_IAC!F121</f>
        <v>Rare Earths</v>
      </c>
      <c r="G31" s="56" t="s">
        <v>25</v>
      </c>
    </row>
    <row r="32" spans="1:15" s="58" customFormat="1" x14ac:dyDescent="0.25"/>
    <row r="33" spans="1:15" x14ac:dyDescent="0.25">
      <c r="A33" s="59" t="s">
        <v>0</v>
      </c>
      <c r="B33" s="59" t="s">
        <v>612</v>
      </c>
    </row>
    <row r="34" spans="1:15" x14ac:dyDescent="0.25">
      <c r="A34" s="60" t="s">
        <v>1</v>
      </c>
      <c r="B34" s="56" t="s">
        <v>613</v>
      </c>
    </row>
    <row r="35" spans="1:15" x14ac:dyDescent="0.25">
      <c r="A35" s="60" t="s">
        <v>2</v>
      </c>
      <c r="B35" s="56" t="s">
        <v>23</v>
      </c>
    </row>
    <row r="36" spans="1:15" x14ac:dyDescent="0.25">
      <c r="A36" s="60" t="s">
        <v>4</v>
      </c>
      <c r="B36" s="56">
        <v>1</v>
      </c>
    </row>
    <row r="37" spans="1:15" x14ac:dyDescent="0.25">
      <c r="A37" s="60" t="s">
        <v>5</v>
      </c>
      <c r="B37" s="56" t="s">
        <v>6</v>
      </c>
    </row>
    <row r="38" spans="1:15" x14ac:dyDescent="0.25">
      <c r="A38" s="60" t="s">
        <v>7</v>
      </c>
      <c r="B38" s="56" t="s">
        <v>274</v>
      </c>
    </row>
    <row r="39" spans="1:15" x14ac:dyDescent="0.25">
      <c r="A39" s="60" t="s">
        <v>9</v>
      </c>
    </row>
    <row r="40" spans="1:15" x14ac:dyDescent="0.25">
      <c r="A40" s="59" t="s">
        <v>10</v>
      </c>
      <c r="B40" s="59" t="s">
        <v>1</v>
      </c>
      <c r="C40" s="59" t="s">
        <v>2</v>
      </c>
      <c r="D40" s="59" t="s">
        <v>4</v>
      </c>
      <c r="E40" s="59" t="s">
        <v>5</v>
      </c>
      <c r="F40" s="59" t="s">
        <v>11</v>
      </c>
      <c r="G40" s="59" t="s">
        <v>12</v>
      </c>
      <c r="H40" s="59" t="s">
        <v>13</v>
      </c>
      <c r="I40" s="59" t="s">
        <v>14</v>
      </c>
      <c r="J40" s="59" t="s">
        <v>15</v>
      </c>
      <c r="K40" s="59" t="s">
        <v>16</v>
      </c>
      <c r="L40" s="59" t="s">
        <v>17</v>
      </c>
      <c r="M40" s="59" t="s">
        <v>18</v>
      </c>
      <c r="N40" s="59" t="s">
        <v>19</v>
      </c>
      <c r="O40" s="59" t="s">
        <v>7</v>
      </c>
    </row>
    <row r="41" spans="1:15" x14ac:dyDescent="0.25">
      <c r="A41" s="56" t="str">
        <f>B33</f>
        <v>Neodymium (Nd) global market (Nd content)</v>
      </c>
      <c r="B41" s="56" t="str">
        <f>B34</f>
        <v>Nd content</v>
      </c>
      <c r="C41" s="56" t="str">
        <f>B35</f>
        <v>GLO</v>
      </c>
      <c r="D41" s="64">
        <v>1</v>
      </c>
      <c r="E41" s="56" t="str">
        <f>B37</f>
        <v>kilogram</v>
      </c>
      <c r="F41" s="57" t="str">
        <f>F26</f>
        <v>Rare Earths</v>
      </c>
      <c r="G41" s="56" t="s">
        <v>20</v>
      </c>
    </row>
    <row r="42" spans="1:15" x14ac:dyDescent="0.25">
      <c r="A42" s="56" t="str">
        <f>PR1_REO_CN_Sichuan_Bastnaesite!A227</f>
        <v>Neodymium oxide (Nd2O3) production in China/Sichuan (Nd content)</v>
      </c>
      <c r="B42" s="56" t="str">
        <f>PR1_REO_CN_Sichuan_Bastnaesite!B227</f>
        <v>Nd2O3 (Nd content)</v>
      </c>
      <c r="C42" s="56" t="str">
        <f>PR1_REO_CN_Sichuan_Bastnaesite!C227</f>
        <v>CN-SWG</v>
      </c>
      <c r="D42" s="56">
        <v>0.27116877099501907</v>
      </c>
      <c r="E42" s="56" t="str">
        <f>PR1_REO_CN_Sichuan_Bastnaesite!E227</f>
        <v>kilogram</v>
      </c>
      <c r="F42" s="57" t="str">
        <f>PR1_REO_CN_Sichuan_Bastnaesite!F227</f>
        <v>Rare Earths</v>
      </c>
      <c r="G42" s="56" t="s">
        <v>25</v>
      </c>
    </row>
    <row r="43" spans="1:15" x14ac:dyDescent="0.25">
      <c r="A43" s="56" t="str">
        <f>PR2_REO_US_Mt.Pass_Bastnaesite!A211</f>
        <v>Neodymium oxide (Nd2O3) production in the US/Mt. Pass (Nd content)</v>
      </c>
      <c r="B43" s="56" t="str">
        <f>PR2_REO_US_Mt.Pass_Bastnaesite!B211</f>
        <v>Nd2O3 (Nd content)</v>
      </c>
      <c r="C43" s="56" t="str">
        <f>PR2_REO_US_Mt.Pass_Bastnaesite!C211</f>
        <v>US-WECC</v>
      </c>
      <c r="D43" s="56">
        <v>0.18255531101586936</v>
      </c>
      <c r="E43" s="56" t="str">
        <f>PR2_REO_US_Mt.Pass_Bastnaesite!E211</f>
        <v>kilogram</v>
      </c>
      <c r="F43" s="57" t="str">
        <f>PR2_REO_US_Mt.Pass_Bastnaesite!F211</f>
        <v>Rare Earths</v>
      </c>
      <c r="G43" s="56" t="s">
        <v>25</v>
      </c>
    </row>
    <row r="44" spans="1:15" x14ac:dyDescent="0.25">
      <c r="A44" s="56" t="str">
        <f>'PR3_REO_CN_BayanObo_Bast-Mona'!A234</f>
        <v>Neodymium oxide (Nd2O3) production in China/Bayan Obo (Nd content)</v>
      </c>
      <c r="B44" s="56" t="str">
        <f>'PR3_REO_CN_BayanObo_Bast-Mona'!B234</f>
        <v>Nd2O3 (Nd content)</v>
      </c>
      <c r="C44" s="56" t="str">
        <f>'PR3_REO_CN_BayanObo_Bast-Mona'!C234</f>
        <v>CN</v>
      </c>
      <c r="D44" s="56">
        <v>0.37067068226572458</v>
      </c>
      <c r="E44" s="56" t="str">
        <f>'PR3_REO_CN_BayanObo_Bast-Mona'!E234</f>
        <v>kilogram</v>
      </c>
      <c r="F44" s="57" t="str">
        <f>'PR3_REO_CN_BayanObo_Bast-Mona'!F234</f>
        <v>Rare Earths</v>
      </c>
      <c r="G44" s="56" t="s">
        <v>25</v>
      </c>
    </row>
    <row r="45" spans="1:15" x14ac:dyDescent="0.25">
      <c r="A45" s="56" t="str">
        <f>'PR4_REO_AU-MY_MtWeld_Monazite'!A218</f>
        <v>Neodymium oxide (Nd2O3) production in Australia/Mt. Weld - Malaysia (Nd content)</v>
      </c>
      <c r="B45" s="56" t="str">
        <f>'PR4_REO_AU-MY_MtWeld_Monazite'!B218</f>
        <v>Nd2O3 (Nd content)</v>
      </c>
      <c r="C45" s="56" t="str">
        <f>'PR4_REO_AU-MY_MtWeld_Monazite'!C218</f>
        <v>AU-MY</v>
      </c>
      <c r="D45" s="56">
        <v>9.4521023977759785E-2</v>
      </c>
      <c r="E45" s="56" t="str">
        <f>'PR4_REO_AU-MY_MtWeld_Monazite'!E218</f>
        <v>kilogram</v>
      </c>
      <c r="F45" s="57" t="str">
        <f>'PR4_REO_AU-MY_MtWeld_Monazite'!F218</f>
        <v>Rare Earths</v>
      </c>
      <c r="G45" s="56" t="s">
        <v>25</v>
      </c>
    </row>
    <row r="46" spans="1:15" x14ac:dyDescent="0.25">
      <c r="A46" s="56" t="str">
        <f>PR5_REO_CN_IAC!A132</f>
        <v>Neodymium oxide (Nd2O3) production from ion-adsorption clays in China (Nd content)</v>
      </c>
      <c r="B46" s="56" t="str">
        <f>PR5_REO_CN_IAC!B132</f>
        <v>Nd2O3 (Nd content)</v>
      </c>
      <c r="C46" s="56" t="str">
        <f>PR5_REO_CN_IAC!C132</f>
        <v>CN</v>
      </c>
      <c r="D46" s="56">
        <v>8.1084211745627244E-2</v>
      </c>
      <c r="E46" s="56" t="str">
        <f>PR5_REO_CN_IAC!E132</f>
        <v>kilogram</v>
      </c>
      <c r="F46" s="57" t="str">
        <f>PR5_REO_CN_IAC!F132</f>
        <v>Rare Earths</v>
      </c>
      <c r="G46" s="56" t="s">
        <v>25</v>
      </c>
    </row>
    <row r="47" spans="1:15" s="58" customFormat="1" x14ac:dyDescent="0.25"/>
    <row r="48" spans="1:15" x14ac:dyDescent="0.25">
      <c r="A48" s="59" t="s">
        <v>0</v>
      </c>
      <c r="B48" s="59" t="s">
        <v>614</v>
      </c>
    </row>
    <row r="49" spans="1:15" x14ac:dyDescent="0.25">
      <c r="A49" s="60" t="s">
        <v>1</v>
      </c>
      <c r="B49" s="56" t="s">
        <v>615</v>
      </c>
    </row>
    <row r="50" spans="1:15" x14ac:dyDescent="0.25">
      <c r="A50" s="60" t="s">
        <v>2</v>
      </c>
      <c r="B50" s="56" t="s">
        <v>23</v>
      </c>
    </row>
    <row r="51" spans="1:15" x14ac:dyDescent="0.25">
      <c r="A51" s="60" t="s">
        <v>4</v>
      </c>
      <c r="B51" s="56">
        <v>1</v>
      </c>
    </row>
    <row r="52" spans="1:15" x14ac:dyDescent="0.25">
      <c r="A52" s="60" t="s">
        <v>5</v>
      </c>
      <c r="B52" s="56" t="s">
        <v>6</v>
      </c>
    </row>
    <row r="53" spans="1:15" x14ac:dyDescent="0.25">
      <c r="A53" s="60" t="s">
        <v>7</v>
      </c>
      <c r="B53" s="56" t="s">
        <v>8</v>
      </c>
    </row>
    <row r="54" spans="1:15" x14ac:dyDescent="0.25">
      <c r="A54" s="60" t="s">
        <v>9</v>
      </c>
    </row>
    <row r="55" spans="1:15" x14ac:dyDescent="0.25">
      <c r="A55" s="59" t="s">
        <v>10</v>
      </c>
      <c r="B55" s="59" t="s">
        <v>1</v>
      </c>
      <c r="C55" s="59" t="s">
        <v>2</v>
      </c>
      <c r="D55" s="59" t="s">
        <v>4</v>
      </c>
      <c r="E55" s="59" t="s">
        <v>5</v>
      </c>
      <c r="F55" s="59" t="s">
        <v>11</v>
      </c>
      <c r="G55" s="59" t="s">
        <v>12</v>
      </c>
      <c r="H55" s="59" t="s">
        <v>13</v>
      </c>
      <c r="I55" s="59" t="s">
        <v>14</v>
      </c>
      <c r="J55" s="59" t="s">
        <v>15</v>
      </c>
      <c r="K55" s="59" t="s">
        <v>16</v>
      </c>
      <c r="L55" s="59" t="s">
        <v>17</v>
      </c>
      <c r="M55" s="59" t="s">
        <v>18</v>
      </c>
      <c r="N55" s="59" t="s">
        <v>19</v>
      </c>
      <c r="O55" s="59" t="s">
        <v>7</v>
      </c>
    </row>
    <row r="56" spans="1:15" x14ac:dyDescent="0.25">
      <c r="A56" s="56" t="str">
        <f>B48</f>
        <v>Cerium (Ce) global market</v>
      </c>
      <c r="B56" s="56" t="str">
        <f>B49</f>
        <v>Ce oxide (CeO2)</v>
      </c>
      <c r="C56" s="56" t="str">
        <f>B50</f>
        <v>GLO</v>
      </c>
      <c r="D56" s="64">
        <v>1</v>
      </c>
      <c r="E56" s="56" t="str">
        <f>B52</f>
        <v>kilogram</v>
      </c>
      <c r="F56" s="57" t="str">
        <f>F41</f>
        <v>Rare Earths</v>
      </c>
      <c r="G56" s="56" t="s">
        <v>20</v>
      </c>
    </row>
    <row r="57" spans="1:15" x14ac:dyDescent="0.25">
      <c r="A57" s="56" t="str">
        <f>PR1_REO_CN_Sichuan_Bastnaesite!A106</f>
        <v xml:space="preserve">Cerium oxide (CeO2) production in China/Sichuan </v>
      </c>
      <c r="B57" s="56" t="str">
        <f>PR1_REO_CN_Sichuan_Bastnaesite!B106</f>
        <v>CeO2</v>
      </c>
      <c r="C57" s="56" t="str">
        <f>PR1_REO_CN_Sichuan_Bastnaesite!C106</f>
        <v>CN-SWG</v>
      </c>
      <c r="D57" s="56">
        <v>0.27116877099501907</v>
      </c>
      <c r="E57" s="56" t="str">
        <f>PR1_REO_CN_Sichuan_Bastnaesite!E106</f>
        <v>kilogram</v>
      </c>
      <c r="F57" s="57" t="str">
        <f>PR1_REO_CN_Sichuan_Bastnaesite!F106</f>
        <v>Rare Earths</v>
      </c>
      <c r="G57" s="56" t="s">
        <v>25</v>
      </c>
    </row>
    <row r="58" spans="1:15" x14ac:dyDescent="0.25">
      <c r="A58" s="56" t="str">
        <f>PR2_REO_US_Mt.Pass_Bastnaesite!A112</f>
        <v>Cerium oxide (CeO2) production in the US/Mt. Pass</v>
      </c>
      <c r="B58" s="56" t="str">
        <f>PR2_REO_US_Mt.Pass_Bastnaesite!B112</f>
        <v>CeO2</v>
      </c>
      <c r="C58" s="56" t="str">
        <f>PR2_REO_US_Mt.Pass_Bastnaesite!C112</f>
        <v>US-WECC</v>
      </c>
      <c r="D58" s="56">
        <v>0.18255531101586936</v>
      </c>
      <c r="E58" s="56" t="str">
        <f>PR2_REO_US_Mt.Pass_Bastnaesite!E112</f>
        <v>kilogram</v>
      </c>
      <c r="F58" s="57" t="str">
        <f>PR2_REO_US_Mt.Pass_Bastnaesite!F112</f>
        <v>Rare Earths</v>
      </c>
      <c r="G58" s="56" t="s">
        <v>25</v>
      </c>
    </row>
    <row r="59" spans="1:15" x14ac:dyDescent="0.25">
      <c r="A59" s="56" t="str">
        <f>'PR3_REO_CN_BayanObo_Bast-Mona'!A245</f>
        <v>Cerium oxide (CeO2) production in China/Bayan Obo</v>
      </c>
      <c r="B59" s="56" t="str">
        <f>'PR3_REO_CN_BayanObo_Bast-Mona'!B245</f>
        <v>CeO2</v>
      </c>
      <c r="C59" s="56" t="str">
        <f>'PR3_REO_CN_BayanObo_Bast-Mona'!C245</f>
        <v>CN</v>
      </c>
      <c r="D59" s="56">
        <v>0.37067068226572458</v>
      </c>
      <c r="E59" s="56" t="str">
        <f>'PR3_REO_CN_BayanObo_Bast-Mona'!E245</f>
        <v>kilogram</v>
      </c>
      <c r="F59" s="57" t="str">
        <f>'PR3_REO_CN_BayanObo_Bast-Mona'!F245</f>
        <v>Rare Earths</v>
      </c>
      <c r="G59" s="56" t="s">
        <v>25</v>
      </c>
    </row>
    <row r="60" spans="1:15" x14ac:dyDescent="0.25">
      <c r="A60" s="56" t="str">
        <f>'PR4_REO_AU-MY_MtWeld_Monazite'!A229</f>
        <v>Cerium oxide (CeO2) production in Australia/Mt. Weld - Malaysia</v>
      </c>
      <c r="B60" s="56" t="str">
        <f>'PR4_REO_AU-MY_MtWeld_Monazite'!B229</f>
        <v>CeO2</v>
      </c>
      <c r="C60" s="56" t="str">
        <f>'PR4_REO_AU-MY_MtWeld_Monazite'!C229</f>
        <v>AU-MY</v>
      </c>
      <c r="D60" s="56">
        <v>9.4521023977759785E-2</v>
      </c>
      <c r="E60" s="56" t="str">
        <f>'PR4_REO_AU-MY_MtWeld_Monazite'!E229</f>
        <v>kilogram</v>
      </c>
      <c r="F60" s="57" t="str">
        <f>'PR4_REO_AU-MY_MtWeld_Monazite'!F229</f>
        <v>Rare Earths</v>
      </c>
      <c r="G60" s="56" t="s">
        <v>25</v>
      </c>
    </row>
    <row r="61" spans="1:15" x14ac:dyDescent="0.25">
      <c r="A61" s="56" t="str">
        <f>PR5_REO_CN_IAC!A143</f>
        <v>Cerium oxide (CeO2) production from ion-adsorption clays in China</v>
      </c>
      <c r="B61" s="56" t="str">
        <f>PR5_REO_CN_IAC!B143</f>
        <v>CeO2</v>
      </c>
      <c r="C61" s="56" t="str">
        <f>PR5_REO_CN_IAC!C143</f>
        <v>CN</v>
      </c>
      <c r="D61" s="56">
        <v>8.1084211745627244E-2</v>
      </c>
      <c r="E61" s="56" t="str">
        <f>PR5_REO_CN_IAC!E143</f>
        <v>kilogram</v>
      </c>
      <c r="F61" s="57" t="str">
        <f>PR5_REO_CN_IAC!F143</f>
        <v>Rare Earths</v>
      </c>
      <c r="G61" s="56" t="s">
        <v>25</v>
      </c>
    </row>
    <row r="62" spans="1:15" s="58" customFormat="1" x14ac:dyDescent="0.25"/>
    <row r="63" spans="1:15" x14ac:dyDescent="0.25">
      <c r="A63" s="59" t="s">
        <v>0</v>
      </c>
      <c r="B63" s="59" t="s">
        <v>616</v>
      </c>
    </row>
    <row r="64" spans="1:15" x14ac:dyDescent="0.25">
      <c r="A64" s="60" t="s">
        <v>1</v>
      </c>
      <c r="B64" s="56" t="s">
        <v>617</v>
      </c>
    </row>
    <row r="65" spans="1:15" x14ac:dyDescent="0.25">
      <c r="A65" s="60" t="s">
        <v>2</v>
      </c>
      <c r="B65" s="56" t="s">
        <v>23</v>
      </c>
    </row>
    <row r="66" spans="1:15" x14ac:dyDescent="0.25">
      <c r="A66" s="60" t="s">
        <v>4</v>
      </c>
      <c r="B66" s="56">
        <v>1</v>
      </c>
    </row>
    <row r="67" spans="1:15" x14ac:dyDescent="0.25">
      <c r="A67" s="60" t="s">
        <v>5</v>
      </c>
      <c r="B67" s="56" t="s">
        <v>6</v>
      </c>
    </row>
    <row r="68" spans="1:15" x14ac:dyDescent="0.25">
      <c r="A68" s="60" t="s">
        <v>7</v>
      </c>
      <c r="B68" s="56" t="s">
        <v>249</v>
      </c>
    </row>
    <row r="69" spans="1:15" x14ac:dyDescent="0.25">
      <c r="A69" s="60" t="s">
        <v>9</v>
      </c>
    </row>
    <row r="70" spans="1:15" x14ac:dyDescent="0.25">
      <c r="A70" s="59" t="s">
        <v>10</v>
      </c>
      <c r="B70" s="59" t="s">
        <v>1</v>
      </c>
      <c r="C70" s="59" t="s">
        <v>2</v>
      </c>
      <c r="D70" s="59" t="s">
        <v>4</v>
      </c>
      <c r="E70" s="59" t="s">
        <v>5</v>
      </c>
      <c r="F70" s="59" t="s">
        <v>11</v>
      </c>
      <c r="G70" s="59" t="s">
        <v>12</v>
      </c>
      <c r="H70" s="59" t="s">
        <v>13</v>
      </c>
      <c r="I70" s="59" t="s">
        <v>14</v>
      </c>
      <c r="J70" s="59" t="s">
        <v>15</v>
      </c>
      <c r="K70" s="59" t="s">
        <v>16</v>
      </c>
      <c r="L70" s="59" t="s">
        <v>17</v>
      </c>
      <c r="M70" s="59" t="s">
        <v>18</v>
      </c>
      <c r="N70" s="59" t="s">
        <v>19</v>
      </c>
      <c r="O70" s="59" t="s">
        <v>7</v>
      </c>
    </row>
    <row r="71" spans="1:15" x14ac:dyDescent="0.25">
      <c r="A71" s="56" t="str">
        <f>B63</f>
        <v>Cerium (Ce) global market (Ce content)</v>
      </c>
      <c r="B71" s="56" t="str">
        <f>B64</f>
        <v>Ce content</v>
      </c>
      <c r="C71" s="56" t="str">
        <f>B65</f>
        <v>GLO</v>
      </c>
      <c r="D71" s="64">
        <v>1</v>
      </c>
      <c r="E71" s="56" t="str">
        <f>B67</f>
        <v>kilogram</v>
      </c>
      <c r="F71" s="57" t="str">
        <f>F56</f>
        <v>Rare Earths</v>
      </c>
      <c r="G71" s="56" t="s">
        <v>20</v>
      </c>
    </row>
    <row r="72" spans="1:15" x14ac:dyDescent="0.25">
      <c r="A72" s="56" t="str">
        <f>PR1_REO_CN_Sichuan_Bastnaesite!A117</f>
        <v>Cerium oxide (CeO2) production in China/Sichuan (Ce content)</v>
      </c>
      <c r="B72" s="56" t="str">
        <f>PR1_REO_CN_Sichuan_Bastnaesite!B117</f>
        <v>CeO2 (Ce content)</v>
      </c>
      <c r="C72" s="56" t="str">
        <f>PR1_REO_CN_Sichuan_Bastnaesite!C117</f>
        <v>CN-SWG</v>
      </c>
      <c r="D72" s="56">
        <v>0.27116877099501907</v>
      </c>
      <c r="E72" s="56" t="str">
        <f>PR1_REO_CN_Sichuan_Bastnaesite!E117</f>
        <v>kilogram</v>
      </c>
      <c r="F72" s="57" t="str">
        <f>PR1_REO_CN_Sichuan_Bastnaesite!F117</f>
        <v>Rare Earths</v>
      </c>
      <c r="G72" s="56" t="s">
        <v>25</v>
      </c>
    </row>
    <row r="73" spans="1:15" x14ac:dyDescent="0.25">
      <c r="A73" s="56" t="str">
        <f>PR2_REO_US_Mt.Pass_Bastnaesite!A123</f>
        <v>Cerium oxide (CeO2) production in the US/Mt. Pass (Ce content)</v>
      </c>
      <c r="B73" s="56" t="str">
        <f>PR2_REO_US_Mt.Pass_Bastnaesite!B123</f>
        <v>CeO2 (Ce content)</v>
      </c>
      <c r="C73" s="56" t="str">
        <f>PR2_REO_US_Mt.Pass_Bastnaesite!C123</f>
        <v>US-WECC</v>
      </c>
      <c r="D73" s="56">
        <v>0.18255531101586936</v>
      </c>
      <c r="E73" s="56" t="str">
        <f>PR2_REO_US_Mt.Pass_Bastnaesite!E123</f>
        <v>kilogram</v>
      </c>
      <c r="F73" s="57" t="str">
        <f>PR2_REO_US_Mt.Pass_Bastnaesite!F123</f>
        <v>Rare Earths</v>
      </c>
      <c r="G73" s="56" t="s">
        <v>25</v>
      </c>
    </row>
    <row r="74" spans="1:15" x14ac:dyDescent="0.25">
      <c r="A74" s="56" t="str">
        <f>'PR3_REO_CN_BayanObo_Bast-Mona'!A256</f>
        <v>Cerium oxide (CeO2) production in China/Bayan Obo (Ce content)</v>
      </c>
      <c r="B74" s="56" t="str">
        <f>'PR3_REO_CN_BayanObo_Bast-Mona'!B256</f>
        <v>CeO2 (Ce content)</v>
      </c>
      <c r="C74" s="56" t="str">
        <f>'PR3_REO_CN_BayanObo_Bast-Mona'!C256</f>
        <v>CN</v>
      </c>
      <c r="D74" s="56">
        <v>0.37067068226572458</v>
      </c>
      <c r="E74" s="56" t="str">
        <f>'PR3_REO_CN_BayanObo_Bast-Mona'!E256</f>
        <v>kilogram</v>
      </c>
      <c r="F74" s="57" t="str">
        <f>'PR3_REO_CN_BayanObo_Bast-Mona'!F256</f>
        <v>Rare Earths</v>
      </c>
      <c r="G74" s="56" t="s">
        <v>25</v>
      </c>
    </row>
    <row r="75" spans="1:15" x14ac:dyDescent="0.25">
      <c r="A75" s="56" t="str">
        <f>'PR4_REO_AU-MY_MtWeld_Monazite'!A240</f>
        <v>Cerium oxide (CeO2) production in Australia/Mt. Weld - Malaysia (Ce content)</v>
      </c>
      <c r="B75" s="56" t="str">
        <f>'PR4_REO_AU-MY_MtWeld_Monazite'!B240</f>
        <v>CeO2 (Ce content)</v>
      </c>
      <c r="C75" s="56" t="str">
        <f>'PR4_REO_AU-MY_MtWeld_Monazite'!C240</f>
        <v>AU-MY</v>
      </c>
      <c r="D75" s="56">
        <v>9.4521023977759785E-2</v>
      </c>
      <c r="E75" s="56" t="str">
        <f>'PR4_REO_AU-MY_MtWeld_Monazite'!E240</f>
        <v>kilogram</v>
      </c>
      <c r="F75" s="57" t="str">
        <f>'PR4_REO_AU-MY_MtWeld_Monazite'!F240</f>
        <v>Rare Earths</v>
      </c>
      <c r="G75" s="56" t="s">
        <v>25</v>
      </c>
    </row>
    <row r="76" spans="1:15" x14ac:dyDescent="0.25">
      <c r="A76" s="56" t="str">
        <f>PR5_REO_CN_IAC!A154</f>
        <v>Cerium oxide (CeO2) production from ion-adsorption clays in China (Ce content)</v>
      </c>
      <c r="B76" s="56" t="str">
        <f>PR5_REO_CN_IAC!B154</f>
        <v>CeO2 (Ce content)</v>
      </c>
      <c r="C76" s="56" t="str">
        <f>PR5_REO_CN_IAC!C154</f>
        <v>CN</v>
      </c>
      <c r="D76" s="56">
        <v>8.1084211745627244E-2</v>
      </c>
      <c r="E76" s="56" t="str">
        <f>PR5_REO_CN_IAC!E154</f>
        <v>kilogram</v>
      </c>
      <c r="F76" s="57" t="str">
        <f>PR5_REO_CN_IAC!F154</f>
        <v>Rare Earths</v>
      </c>
      <c r="G76" s="56" t="s">
        <v>25</v>
      </c>
    </row>
    <row r="77" spans="1:15" s="58" customFormat="1" x14ac:dyDescent="0.25"/>
    <row r="78" spans="1:15" x14ac:dyDescent="0.25">
      <c r="A78" s="59" t="s">
        <v>0</v>
      </c>
      <c r="B78" s="59" t="s">
        <v>618</v>
      </c>
    </row>
    <row r="79" spans="1:15" x14ac:dyDescent="0.25">
      <c r="A79" s="60" t="s">
        <v>1</v>
      </c>
      <c r="B79" s="56" t="s">
        <v>619</v>
      </c>
    </row>
    <row r="80" spans="1:15" x14ac:dyDescent="0.25">
      <c r="A80" s="60" t="s">
        <v>2</v>
      </c>
      <c r="B80" s="56" t="s">
        <v>23</v>
      </c>
    </row>
    <row r="81" spans="1:15" x14ac:dyDescent="0.25">
      <c r="A81" s="60" t="s">
        <v>4</v>
      </c>
      <c r="B81" s="56">
        <v>1</v>
      </c>
    </row>
    <row r="82" spans="1:15" x14ac:dyDescent="0.25">
      <c r="A82" s="60" t="s">
        <v>5</v>
      </c>
      <c r="B82" s="56" t="s">
        <v>6</v>
      </c>
    </row>
    <row r="83" spans="1:15" x14ac:dyDescent="0.25">
      <c r="A83" s="60" t="s">
        <v>7</v>
      </c>
      <c r="B83" s="56" t="s">
        <v>8</v>
      </c>
    </row>
    <row r="84" spans="1:15" x14ac:dyDescent="0.25">
      <c r="A84" s="60" t="s">
        <v>9</v>
      </c>
    </row>
    <row r="85" spans="1:15" x14ac:dyDescent="0.25">
      <c r="A85" s="59" t="s">
        <v>10</v>
      </c>
      <c r="B85" s="59" t="s">
        <v>1</v>
      </c>
      <c r="C85" s="59" t="s">
        <v>2</v>
      </c>
      <c r="D85" s="59" t="s">
        <v>4</v>
      </c>
      <c r="E85" s="59" t="s">
        <v>5</v>
      </c>
      <c r="F85" s="59" t="s">
        <v>11</v>
      </c>
      <c r="G85" s="59" t="s">
        <v>12</v>
      </c>
      <c r="H85" s="59" t="s">
        <v>13</v>
      </c>
      <c r="I85" s="59" t="s">
        <v>14</v>
      </c>
      <c r="J85" s="59" t="s">
        <v>15</v>
      </c>
      <c r="K85" s="59" t="s">
        <v>16</v>
      </c>
      <c r="L85" s="59" t="s">
        <v>17</v>
      </c>
      <c r="M85" s="59" t="s">
        <v>18</v>
      </c>
      <c r="N85" s="59" t="s">
        <v>19</v>
      </c>
      <c r="O85" s="59" t="s">
        <v>7</v>
      </c>
    </row>
    <row r="86" spans="1:15" x14ac:dyDescent="0.25">
      <c r="A86" s="56" t="str">
        <f>B78</f>
        <v>Dysprosium (Dy) global market</v>
      </c>
      <c r="B86" s="56" t="str">
        <f>B79</f>
        <v>Dy oxide (Dy2O3)</v>
      </c>
      <c r="C86" s="56" t="str">
        <f>B80</f>
        <v>GLO</v>
      </c>
      <c r="D86" s="64">
        <v>1</v>
      </c>
      <c r="E86" s="56" t="str">
        <f>B82</f>
        <v>kilogram</v>
      </c>
      <c r="F86" s="57" t="str">
        <f>F71</f>
        <v>Rare Earths</v>
      </c>
      <c r="G86" s="56" t="s">
        <v>20</v>
      </c>
    </row>
    <row r="87" spans="1:15" x14ac:dyDescent="0.25">
      <c r="A87" s="56" t="str">
        <f>'PR3_REO_CN_BayanObo_Bast-Mona'!A267</f>
        <v xml:space="preserve">Dysprosium oxide (Dy2O3) production in China/Bayan Obo </v>
      </c>
      <c r="B87" s="56" t="str">
        <f>'PR3_REO_CN_BayanObo_Bast-Mona'!B267</f>
        <v>Dy2O3</v>
      </c>
      <c r="C87" s="56" t="str">
        <f>'PR3_REO_CN_BayanObo_Bast-Mona'!C267</f>
        <v>CN</v>
      </c>
      <c r="D87" s="56">
        <v>0.67854113655640369</v>
      </c>
      <c r="E87" s="56" t="str">
        <f>'PR3_REO_CN_BayanObo_Bast-Mona'!E267</f>
        <v>kilogram</v>
      </c>
      <c r="F87" s="57" t="str">
        <f>'PR3_REO_CN_BayanObo_Bast-Mona'!F267</f>
        <v>Rare Earths</v>
      </c>
      <c r="G87" s="56" t="s">
        <v>25</v>
      </c>
    </row>
    <row r="88" spans="1:15" x14ac:dyDescent="0.25">
      <c r="A88" s="56" t="str">
        <f>'PR4_REO_AU-MY_MtWeld_Monazite'!A251</f>
        <v>Dysprosium oxide (Dy2O3) production in Australia/Mt. Weld - Malaysia</v>
      </c>
      <c r="B88" s="56" t="str">
        <f>'PR4_REO_AU-MY_MtWeld_Monazite'!B251</f>
        <v>Dy2O3</v>
      </c>
      <c r="C88" s="56" t="str">
        <f>'PR4_REO_AU-MY_MtWeld_Monazite'!C251</f>
        <v>AU-MY</v>
      </c>
      <c r="D88" s="56">
        <v>0.17302798982188297</v>
      </c>
      <c r="E88" s="56" t="str">
        <f>'PR4_REO_AU-MY_MtWeld_Monazite'!E251</f>
        <v>kilogram</v>
      </c>
      <c r="F88" s="57" t="str">
        <f>'PR4_REO_AU-MY_MtWeld_Monazite'!F251</f>
        <v>Rare Earths</v>
      </c>
      <c r="G88" s="56" t="s">
        <v>25</v>
      </c>
    </row>
    <row r="89" spans="1:15" x14ac:dyDescent="0.25">
      <c r="A89" s="56" t="str">
        <f>PR5_REO_CN_IAC!A165</f>
        <v>Dysprosium oxide (Dy2O3) production from ion-adsorption clays in China</v>
      </c>
      <c r="B89" s="56" t="str">
        <f>PR5_REO_CN_IAC!B165</f>
        <v>Dy2O3</v>
      </c>
      <c r="C89" s="56" t="str">
        <f>PR5_REO_CN_IAC!C165</f>
        <v>CN</v>
      </c>
      <c r="D89" s="56">
        <v>0.14843087362171328</v>
      </c>
      <c r="E89" s="56" t="str">
        <f>PR5_REO_CN_IAC!E165</f>
        <v>kilogram</v>
      </c>
      <c r="F89" s="57" t="str">
        <f>PR5_REO_CN_IAC!F165</f>
        <v>Rare Earths</v>
      </c>
      <c r="G89" s="56" t="s">
        <v>25</v>
      </c>
    </row>
    <row r="90" spans="1:15" s="58" customFormat="1" x14ac:dyDescent="0.25"/>
    <row r="91" spans="1:15" x14ac:dyDescent="0.25">
      <c r="A91" s="59" t="s">
        <v>0</v>
      </c>
      <c r="B91" s="59" t="s">
        <v>620</v>
      </c>
    </row>
    <row r="92" spans="1:15" x14ac:dyDescent="0.25">
      <c r="A92" s="60" t="s">
        <v>1</v>
      </c>
      <c r="B92" s="56" t="s">
        <v>621</v>
      </c>
    </row>
    <row r="93" spans="1:15" x14ac:dyDescent="0.25">
      <c r="A93" s="60" t="s">
        <v>2</v>
      </c>
      <c r="B93" s="56" t="s">
        <v>23</v>
      </c>
    </row>
    <row r="94" spans="1:15" x14ac:dyDescent="0.25">
      <c r="A94" s="60" t="s">
        <v>4</v>
      </c>
      <c r="B94" s="56">
        <v>1</v>
      </c>
    </row>
    <row r="95" spans="1:15" x14ac:dyDescent="0.25">
      <c r="A95" s="60" t="s">
        <v>5</v>
      </c>
      <c r="B95" s="56" t="s">
        <v>6</v>
      </c>
    </row>
    <row r="96" spans="1:15" x14ac:dyDescent="0.25">
      <c r="A96" s="60" t="s">
        <v>7</v>
      </c>
      <c r="B96" s="56" t="s">
        <v>426</v>
      </c>
    </row>
    <row r="97" spans="1:15" x14ac:dyDescent="0.25">
      <c r="A97" s="60" t="s">
        <v>9</v>
      </c>
    </row>
    <row r="98" spans="1:15" x14ac:dyDescent="0.25">
      <c r="A98" s="59" t="s">
        <v>10</v>
      </c>
      <c r="B98" s="59" t="s">
        <v>1</v>
      </c>
      <c r="C98" s="59" t="s">
        <v>2</v>
      </c>
      <c r="D98" s="59" t="s">
        <v>4</v>
      </c>
      <c r="E98" s="59" t="s">
        <v>5</v>
      </c>
      <c r="F98" s="59" t="s">
        <v>11</v>
      </c>
      <c r="G98" s="59" t="s">
        <v>12</v>
      </c>
      <c r="H98" s="59" t="s">
        <v>13</v>
      </c>
      <c r="I98" s="59" t="s">
        <v>14</v>
      </c>
      <c r="J98" s="59" t="s">
        <v>15</v>
      </c>
      <c r="K98" s="59" t="s">
        <v>16</v>
      </c>
      <c r="L98" s="59" t="s">
        <v>17</v>
      </c>
      <c r="M98" s="59" t="s">
        <v>18</v>
      </c>
      <c r="N98" s="59" t="s">
        <v>19</v>
      </c>
      <c r="O98" s="59" t="s">
        <v>7</v>
      </c>
    </row>
    <row r="99" spans="1:15" x14ac:dyDescent="0.25">
      <c r="A99" s="56" t="str">
        <f>B91</f>
        <v>Dysprosium (Dy) global market (Dy content)</v>
      </c>
      <c r="B99" s="56" t="str">
        <f>B92</f>
        <v>Dy content</v>
      </c>
      <c r="C99" s="56" t="str">
        <f>B93</f>
        <v>GLO</v>
      </c>
      <c r="D99" s="64">
        <v>1</v>
      </c>
      <c r="E99" s="56" t="str">
        <f>B95</f>
        <v>kilogram</v>
      </c>
      <c r="F99" s="57" t="str">
        <f>F86</f>
        <v>Rare Earths</v>
      </c>
      <c r="G99" s="56" t="s">
        <v>20</v>
      </c>
    </row>
    <row r="100" spans="1:15" x14ac:dyDescent="0.25">
      <c r="A100" s="56" t="str">
        <f>'PR3_REO_CN_BayanObo_Bast-Mona'!A278</f>
        <v>Dysprosium oxide (Dy2O3) production in China/Bayan Obo (Dy content)</v>
      </c>
      <c r="B100" s="56" t="str">
        <f>'PR3_REO_CN_BayanObo_Bast-Mona'!B278</f>
        <v>Dy2O3 (Dy content)</v>
      </c>
      <c r="C100" s="56" t="str">
        <f>'PR3_REO_CN_BayanObo_Bast-Mona'!C278</f>
        <v>CN</v>
      </c>
      <c r="D100" s="56">
        <v>0.67854113655640369</v>
      </c>
      <c r="E100" s="56" t="str">
        <f>'PR3_REO_CN_BayanObo_Bast-Mona'!E278</f>
        <v>kilogram</v>
      </c>
      <c r="F100" s="57" t="str">
        <f>'PR3_REO_CN_BayanObo_Bast-Mona'!F278</f>
        <v>Rare Earths</v>
      </c>
      <c r="G100" s="56" t="s">
        <v>25</v>
      </c>
    </row>
    <row r="101" spans="1:15" x14ac:dyDescent="0.25">
      <c r="A101" s="56" t="str">
        <f>'PR4_REO_AU-MY_MtWeld_Monazite'!A262</f>
        <v>Dysprosium oxide (Dy2O3) production in Australia/Mt. Weld - Malaysia (Dy content)</v>
      </c>
      <c r="B101" s="56" t="str">
        <f>'PR4_REO_AU-MY_MtWeld_Monazite'!B262</f>
        <v>Dy2O3 (Dy content)</v>
      </c>
      <c r="C101" s="56" t="str">
        <f>'PR4_REO_AU-MY_MtWeld_Monazite'!C262</f>
        <v>AU-MY</v>
      </c>
      <c r="D101" s="56">
        <v>0.17302798982188297</v>
      </c>
      <c r="E101" s="56" t="str">
        <f>'PR4_REO_AU-MY_MtWeld_Monazite'!E262</f>
        <v>kilogram</v>
      </c>
      <c r="F101" s="57" t="str">
        <f>'PR4_REO_AU-MY_MtWeld_Monazite'!F262</f>
        <v>Rare Earths</v>
      </c>
      <c r="G101" s="56" t="s">
        <v>25</v>
      </c>
    </row>
    <row r="102" spans="1:15" x14ac:dyDescent="0.25">
      <c r="A102" s="56" t="str">
        <f>PR5_REO_CN_IAC!A176</f>
        <v>Dysprosium oxide (Dy2O3) production in from ion-adsorption clays in China (Dy content)</v>
      </c>
      <c r="B102" s="56" t="str">
        <f>PR5_REO_CN_IAC!B176</f>
        <v>Dy2O3 (Dy content)</v>
      </c>
      <c r="C102" s="56" t="str">
        <f>PR5_REO_CN_IAC!C176</f>
        <v>CN</v>
      </c>
      <c r="D102" s="56">
        <v>0.14843087362171328</v>
      </c>
      <c r="E102" s="56" t="str">
        <f>PR5_REO_CN_IAC!E176</f>
        <v>kilogram</v>
      </c>
      <c r="F102" s="57" t="str">
        <f>PR5_REO_CN_IAC!F176</f>
        <v>Rare Earths</v>
      </c>
      <c r="G102" s="56" t="s">
        <v>25</v>
      </c>
    </row>
    <row r="103" spans="1:15" s="58" customFormat="1" x14ac:dyDescent="0.25"/>
    <row r="104" spans="1:15" x14ac:dyDescent="0.25">
      <c r="A104" s="59" t="s">
        <v>0</v>
      </c>
      <c r="B104" s="59" t="s">
        <v>622</v>
      </c>
    </row>
    <row r="105" spans="1:15" x14ac:dyDescent="0.25">
      <c r="A105" s="60" t="s">
        <v>1</v>
      </c>
      <c r="B105" s="56" t="s">
        <v>623</v>
      </c>
    </row>
    <row r="106" spans="1:15" x14ac:dyDescent="0.25">
      <c r="A106" s="60" t="s">
        <v>2</v>
      </c>
      <c r="B106" s="56" t="s">
        <v>23</v>
      </c>
    </row>
    <row r="107" spans="1:15" x14ac:dyDescent="0.25">
      <c r="A107" s="60" t="s">
        <v>4</v>
      </c>
      <c r="B107" s="56">
        <v>1</v>
      </c>
    </row>
    <row r="108" spans="1:15" x14ac:dyDescent="0.25">
      <c r="A108" s="60" t="s">
        <v>5</v>
      </c>
      <c r="B108" s="56" t="s">
        <v>6</v>
      </c>
    </row>
    <row r="109" spans="1:15" x14ac:dyDescent="0.25">
      <c r="A109" s="60" t="s">
        <v>7</v>
      </c>
      <c r="B109" s="56" t="s">
        <v>8</v>
      </c>
    </row>
    <row r="110" spans="1:15" x14ac:dyDescent="0.25">
      <c r="A110" s="60" t="s">
        <v>9</v>
      </c>
    </row>
    <row r="111" spans="1:15" x14ac:dyDescent="0.25">
      <c r="A111" s="59" t="s">
        <v>10</v>
      </c>
      <c r="B111" s="59" t="s">
        <v>1</v>
      </c>
      <c r="C111" s="59" t="s">
        <v>2</v>
      </c>
      <c r="D111" s="59" t="s">
        <v>4</v>
      </c>
      <c r="E111" s="59" t="s">
        <v>5</v>
      </c>
      <c r="F111" s="59" t="s">
        <v>11</v>
      </c>
      <c r="G111" s="59" t="s">
        <v>12</v>
      </c>
      <c r="H111" s="59" t="s">
        <v>13</v>
      </c>
      <c r="I111" s="59" t="s">
        <v>14</v>
      </c>
      <c r="J111" s="59" t="s">
        <v>15</v>
      </c>
      <c r="K111" s="59" t="s">
        <v>16</v>
      </c>
      <c r="L111" s="59" t="s">
        <v>17</v>
      </c>
      <c r="M111" s="59" t="s">
        <v>18</v>
      </c>
      <c r="N111" s="59" t="s">
        <v>19</v>
      </c>
      <c r="O111" s="59" t="s">
        <v>7</v>
      </c>
    </row>
    <row r="112" spans="1:15" x14ac:dyDescent="0.25">
      <c r="A112" s="56" t="str">
        <f>B104</f>
        <v>Erbium (Er) global market</v>
      </c>
      <c r="B112" s="56" t="str">
        <f>B105</f>
        <v>Er oxide (Er2O3)</v>
      </c>
      <c r="C112" s="56" t="str">
        <f>B106</f>
        <v>GLO</v>
      </c>
      <c r="D112" s="64">
        <v>1</v>
      </c>
      <c r="E112" s="56" t="str">
        <f>B108</f>
        <v>kilogram</v>
      </c>
      <c r="F112" s="57" t="str">
        <f>F99</f>
        <v>Rare Earths</v>
      </c>
      <c r="G112" s="56" t="s">
        <v>20</v>
      </c>
    </row>
    <row r="113" spans="1:15" x14ac:dyDescent="0.25">
      <c r="A113" s="56" t="str">
        <f>PR1_REO_CN_Sichuan_Bastnaesite!A128</f>
        <v xml:space="preserve">Erbium oxide (Er2O3) production in China/Sichuan </v>
      </c>
      <c r="B113" s="56" t="str">
        <f>PR1_REO_CN_Sichuan_Bastnaesite!B128</f>
        <v>Er2O3</v>
      </c>
      <c r="C113" s="56" t="str">
        <f>PR1_REO_CN_Sichuan_Bastnaesite!C128</f>
        <v>CN-SWG</v>
      </c>
      <c r="D113" s="56">
        <v>0.37510014420765903</v>
      </c>
      <c r="E113" s="56" t="str">
        <f>PR1_REO_CN_Sichuan_Bastnaesite!E128</f>
        <v>kilogram</v>
      </c>
      <c r="F113" s="57" t="str">
        <f>PR1_REO_CN_Sichuan_Bastnaesite!F128</f>
        <v>Rare Earths</v>
      </c>
      <c r="G113" s="56" t="s">
        <v>25</v>
      </c>
    </row>
    <row r="114" spans="1:15" x14ac:dyDescent="0.25">
      <c r="A114" s="56" t="str">
        <f>'PR3_REO_CN_BayanObo_Bast-Mona'!A289</f>
        <v>Erbium oxide (Er2O3) production in China/Bayan Obo</v>
      </c>
      <c r="B114" s="56" t="str">
        <f>'PR3_REO_CN_BayanObo_Bast-Mona'!B289</f>
        <v>Er2O3</v>
      </c>
      <c r="C114" s="56" t="str">
        <f>'PR3_REO_CN_BayanObo_Bast-Mona'!C289</f>
        <v>CN</v>
      </c>
      <c r="D114" s="56">
        <v>0.51273834321422862</v>
      </c>
      <c r="E114" s="56" t="str">
        <f>'PR3_REO_CN_BayanObo_Bast-Mona'!E289</f>
        <v>kilogram</v>
      </c>
      <c r="F114" s="57" t="str">
        <f>'PR3_REO_CN_BayanObo_Bast-Mona'!F289</f>
        <v>Rare Earths</v>
      </c>
      <c r="G114" s="56" t="s">
        <v>25</v>
      </c>
    </row>
    <row r="115" spans="1:15" x14ac:dyDescent="0.25">
      <c r="A115" s="56" t="str">
        <f>PR5_REO_CN_IAC!A187</f>
        <v>Erbium oxide (Er2O3) production from ion-adsorption clays in China</v>
      </c>
      <c r="B115" s="56" t="str">
        <f>PR5_REO_CN_IAC!B187</f>
        <v>Er2O3</v>
      </c>
      <c r="C115" s="56" t="str">
        <f>PR5_REO_CN_IAC!C187</f>
        <v>CN</v>
      </c>
      <c r="D115" s="56">
        <v>0.11216151257811249</v>
      </c>
      <c r="E115" s="56" t="str">
        <f>PR5_REO_CN_IAC!E187</f>
        <v>kilogram</v>
      </c>
      <c r="F115" s="57" t="str">
        <f>PR5_REO_CN_IAC!F187</f>
        <v>Rare Earths</v>
      </c>
      <c r="G115" s="56" t="s">
        <v>25</v>
      </c>
    </row>
    <row r="116" spans="1:15" s="58" customFormat="1" x14ac:dyDescent="0.25"/>
    <row r="117" spans="1:15" x14ac:dyDescent="0.25">
      <c r="A117" s="59" t="s">
        <v>0</v>
      </c>
      <c r="B117" s="59" t="s">
        <v>624</v>
      </c>
    </row>
    <row r="118" spans="1:15" x14ac:dyDescent="0.25">
      <c r="A118" s="60" t="s">
        <v>1</v>
      </c>
      <c r="B118" s="56" t="s">
        <v>625</v>
      </c>
    </row>
    <row r="119" spans="1:15" x14ac:dyDescent="0.25">
      <c r="A119" s="60" t="s">
        <v>2</v>
      </c>
      <c r="B119" s="56" t="s">
        <v>23</v>
      </c>
    </row>
    <row r="120" spans="1:15" x14ac:dyDescent="0.25">
      <c r="A120" s="60" t="s">
        <v>4</v>
      </c>
      <c r="B120" s="56">
        <v>1</v>
      </c>
    </row>
    <row r="121" spans="1:15" x14ac:dyDescent="0.25">
      <c r="A121" s="60" t="s">
        <v>5</v>
      </c>
      <c r="B121" s="56" t="s">
        <v>6</v>
      </c>
    </row>
    <row r="122" spans="1:15" x14ac:dyDescent="0.25">
      <c r="A122" s="60" t="s">
        <v>7</v>
      </c>
      <c r="B122" s="56" t="s">
        <v>254</v>
      </c>
    </row>
    <row r="123" spans="1:15" x14ac:dyDescent="0.25">
      <c r="A123" s="60" t="s">
        <v>9</v>
      </c>
    </row>
    <row r="124" spans="1:15" x14ac:dyDescent="0.25">
      <c r="A124" s="59" t="s">
        <v>10</v>
      </c>
      <c r="B124" s="59" t="s">
        <v>1</v>
      </c>
      <c r="C124" s="59" t="s">
        <v>2</v>
      </c>
      <c r="D124" s="59" t="s">
        <v>4</v>
      </c>
      <c r="E124" s="59" t="s">
        <v>5</v>
      </c>
      <c r="F124" s="59" t="s">
        <v>11</v>
      </c>
      <c r="G124" s="59" t="s">
        <v>12</v>
      </c>
      <c r="H124" s="59" t="s">
        <v>13</v>
      </c>
      <c r="I124" s="59" t="s">
        <v>14</v>
      </c>
      <c r="J124" s="59" t="s">
        <v>15</v>
      </c>
      <c r="K124" s="59" t="s">
        <v>16</v>
      </c>
      <c r="L124" s="59" t="s">
        <v>17</v>
      </c>
      <c r="M124" s="59" t="s">
        <v>18</v>
      </c>
      <c r="N124" s="59" t="s">
        <v>19</v>
      </c>
      <c r="O124" s="59" t="s">
        <v>7</v>
      </c>
    </row>
    <row r="125" spans="1:15" x14ac:dyDescent="0.25">
      <c r="A125" s="56" t="str">
        <f>B117</f>
        <v>Erbium (Er) global market (Er content)</v>
      </c>
      <c r="B125" s="56" t="str">
        <f>B118</f>
        <v>Er content</v>
      </c>
      <c r="C125" s="56" t="str">
        <f>B119</f>
        <v>GLO</v>
      </c>
      <c r="D125" s="64">
        <v>1</v>
      </c>
      <c r="E125" s="56" t="str">
        <f>B121</f>
        <v>kilogram</v>
      </c>
      <c r="F125" s="57" t="str">
        <f>F112</f>
        <v>Rare Earths</v>
      </c>
      <c r="G125" s="56" t="s">
        <v>20</v>
      </c>
    </row>
    <row r="126" spans="1:15" x14ac:dyDescent="0.25">
      <c r="A126" s="56" t="str">
        <f>PR1_REO_CN_Sichuan_Bastnaesite!A139</f>
        <v>Erbium oxide (Er2O3) production in China/Sichuan (Er content)</v>
      </c>
      <c r="B126" s="56" t="str">
        <f>PR1_REO_CN_Sichuan_Bastnaesite!B139</f>
        <v>Er2O3 (Er content)</v>
      </c>
      <c r="C126" s="56" t="str">
        <f>PR1_REO_CN_Sichuan_Bastnaesite!C139</f>
        <v>CN-SWG</v>
      </c>
      <c r="D126" s="56">
        <v>0.37510014420765903</v>
      </c>
      <c r="E126" s="56" t="str">
        <f>PR1_REO_CN_Sichuan_Bastnaesite!E139</f>
        <v>kilogram</v>
      </c>
      <c r="F126" s="57" t="str">
        <f>PR1_REO_CN_Sichuan_Bastnaesite!F139</f>
        <v>Rare Earths</v>
      </c>
      <c r="G126" s="56" t="s">
        <v>25</v>
      </c>
    </row>
    <row r="127" spans="1:15" x14ac:dyDescent="0.25">
      <c r="A127" s="56" t="str">
        <f>'PR3_REO_CN_BayanObo_Bast-Mona'!A300</f>
        <v>Erbium oxide (Er2O3) production in China/Bayan Obo (Er content)</v>
      </c>
      <c r="B127" s="56" t="str">
        <f>'PR3_REO_CN_BayanObo_Bast-Mona'!B300</f>
        <v>Er2O3 (Er content)</v>
      </c>
      <c r="C127" s="56" t="str">
        <f>'PR3_REO_CN_BayanObo_Bast-Mona'!C300</f>
        <v>CN</v>
      </c>
      <c r="D127" s="56">
        <v>0.51273834321422862</v>
      </c>
      <c r="E127" s="56" t="str">
        <f>'PR3_REO_CN_BayanObo_Bast-Mona'!E300</f>
        <v>kilogram</v>
      </c>
      <c r="F127" s="57" t="str">
        <f>'PR3_REO_CN_BayanObo_Bast-Mona'!F300</f>
        <v>Rare Earths</v>
      </c>
      <c r="G127" s="56" t="s">
        <v>25</v>
      </c>
    </row>
    <row r="128" spans="1:15" x14ac:dyDescent="0.25">
      <c r="A128" s="56" t="str">
        <f>PR5_REO_CN_IAC!A198</f>
        <v>Erbium oxide (Er2O3) production from ion-adsorption clays in China (Er content)</v>
      </c>
      <c r="B128" s="56" t="str">
        <f>PR5_REO_CN_IAC!B198</f>
        <v>Er2O3 (Er content)</v>
      </c>
      <c r="C128" s="56" t="str">
        <f>PR5_REO_CN_IAC!C198</f>
        <v>CN</v>
      </c>
      <c r="D128" s="56">
        <v>0.11216151257811249</v>
      </c>
      <c r="E128" s="56" t="str">
        <f>PR5_REO_CN_IAC!E198</f>
        <v>kilogram</v>
      </c>
      <c r="F128" s="57" t="str">
        <f>PR5_REO_CN_IAC!F198</f>
        <v>Rare Earths</v>
      </c>
      <c r="G128" s="56" t="s">
        <v>25</v>
      </c>
    </row>
    <row r="129" spans="1:15" s="58" customFormat="1" x14ac:dyDescent="0.25"/>
    <row r="130" spans="1:15" x14ac:dyDescent="0.25">
      <c r="A130" s="59" t="s">
        <v>0</v>
      </c>
      <c r="B130" s="59" t="s">
        <v>626</v>
      </c>
    </row>
    <row r="131" spans="1:15" x14ac:dyDescent="0.25">
      <c r="A131" s="60" t="s">
        <v>1</v>
      </c>
      <c r="B131" s="56" t="s">
        <v>627</v>
      </c>
    </row>
    <row r="132" spans="1:15" x14ac:dyDescent="0.25">
      <c r="A132" s="60" t="s">
        <v>2</v>
      </c>
      <c r="B132" s="56" t="s">
        <v>23</v>
      </c>
    </row>
    <row r="133" spans="1:15" x14ac:dyDescent="0.25">
      <c r="A133" s="60" t="s">
        <v>4</v>
      </c>
      <c r="B133" s="56">
        <v>1</v>
      </c>
    </row>
    <row r="134" spans="1:15" x14ac:dyDescent="0.25">
      <c r="A134" s="60" t="s">
        <v>5</v>
      </c>
      <c r="B134" s="56" t="s">
        <v>6</v>
      </c>
    </row>
    <row r="135" spans="1:15" x14ac:dyDescent="0.25">
      <c r="A135" s="60" t="s">
        <v>7</v>
      </c>
      <c r="B135" s="56" t="s">
        <v>8</v>
      </c>
    </row>
    <row r="136" spans="1:15" x14ac:dyDescent="0.25">
      <c r="A136" s="60" t="s">
        <v>9</v>
      </c>
    </row>
    <row r="137" spans="1:15" x14ac:dyDescent="0.25">
      <c r="A137" s="59" t="s">
        <v>10</v>
      </c>
      <c r="B137" s="59" t="s">
        <v>1</v>
      </c>
      <c r="C137" s="59" t="s">
        <v>2</v>
      </c>
      <c r="D137" s="59" t="s">
        <v>4</v>
      </c>
      <c r="E137" s="59" t="s">
        <v>5</v>
      </c>
      <c r="F137" s="59" t="s">
        <v>11</v>
      </c>
      <c r="G137" s="59" t="s">
        <v>12</v>
      </c>
      <c r="H137" s="59" t="s">
        <v>13</v>
      </c>
      <c r="I137" s="59" t="s">
        <v>14</v>
      </c>
      <c r="J137" s="59" t="s">
        <v>15</v>
      </c>
      <c r="K137" s="59" t="s">
        <v>16</v>
      </c>
      <c r="L137" s="59" t="s">
        <v>17</v>
      </c>
      <c r="M137" s="59" t="s">
        <v>18</v>
      </c>
      <c r="N137" s="59" t="s">
        <v>19</v>
      </c>
      <c r="O137" s="59" t="s">
        <v>7</v>
      </c>
    </row>
    <row r="138" spans="1:15" x14ac:dyDescent="0.25">
      <c r="A138" s="56" t="str">
        <f>B130</f>
        <v>Europium (Eu) global market</v>
      </c>
      <c r="B138" s="56" t="str">
        <f>B131</f>
        <v>Eu oxide (Eu2O3)</v>
      </c>
      <c r="C138" s="56" t="str">
        <f>B132</f>
        <v>GLO</v>
      </c>
      <c r="D138" s="64">
        <v>1</v>
      </c>
      <c r="E138" s="56" t="str">
        <f>B134</f>
        <v>kilogram</v>
      </c>
      <c r="F138" s="57" t="str">
        <f>F125</f>
        <v>Rare Earths</v>
      </c>
      <c r="G138" s="56" t="s">
        <v>20</v>
      </c>
    </row>
    <row r="139" spans="1:15" x14ac:dyDescent="0.25">
      <c r="A139" s="56" t="str">
        <f>PR1_REO_CN_Sichuan_Bastnaesite!A150</f>
        <v xml:space="preserve">Europium oxide (Eu2O3) production in China/Sichuan </v>
      </c>
      <c r="B139" s="56" t="str">
        <f>PR1_REO_CN_Sichuan_Bastnaesite!B150</f>
        <v>Eu2O3</v>
      </c>
      <c r="C139" s="56" t="str">
        <f>PR1_REO_CN_Sichuan_Bastnaesite!C150</f>
        <v>CN-SWG</v>
      </c>
      <c r="D139" s="56">
        <v>0.27116877099501907</v>
      </c>
      <c r="E139" s="56" t="str">
        <f>PR1_REO_CN_Sichuan_Bastnaesite!E150</f>
        <v>kilogram</v>
      </c>
      <c r="F139" s="57" t="str">
        <f>PR1_REO_CN_Sichuan_Bastnaesite!F150</f>
        <v>Rare Earths</v>
      </c>
      <c r="G139" s="56" t="s">
        <v>25</v>
      </c>
    </row>
    <row r="140" spans="1:15" x14ac:dyDescent="0.25">
      <c r="A140" s="56" t="str">
        <f>PR2_REO_US_Mt.Pass_Bastnaesite!A134</f>
        <v>Europium oxide (Eu2O3) production in the US/Mt. Pass</v>
      </c>
      <c r="B140" s="56" t="str">
        <f>PR2_REO_US_Mt.Pass_Bastnaesite!B134</f>
        <v>Eu2O3</v>
      </c>
      <c r="C140" s="56" t="str">
        <f>PR2_REO_US_Mt.Pass_Bastnaesite!C134</f>
        <v>US-WECC</v>
      </c>
      <c r="D140" s="56">
        <v>0.18255531101586936</v>
      </c>
      <c r="E140" s="56" t="str">
        <f>PR2_REO_US_Mt.Pass_Bastnaesite!E134</f>
        <v>kilogram</v>
      </c>
      <c r="F140" s="57" t="str">
        <f>PR2_REO_US_Mt.Pass_Bastnaesite!F134</f>
        <v>Rare Earths</v>
      </c>
      <c r="G140" s="56" t="s">
        <v>25</v>
      </c>
    </row>
    <row r="141" spans="1:15" x14ac:dyDescent="0.25">
      <c r="A141" s="56" t="str">
        <f>'PR3_REO_CN_BayanObo_Bast-Mona'!A311</f>
        <v>Europium oxide (Eu2O3) production in China/Bayan Obo</v>
      </c>
      <c r="B141" s="56" t="str">
        <f>'PR3_REO_CN_BayanObo_Bast-Mona'!B311</f>
        <v>Eu2O3</v>
      </c>
      <c r="C141" s="56" t="str">
        <f>'PR3_REO_CN_BayanObo_Bast-Mona'!C311</f>
        <v>CN</v>
      </c>
      <c r="D141" s="56">
        <v>0.37067068226572458</v>
      </c>
      <c r="E141" s="56" t="str">
        <f>'PR3_REO_CN_BayanObo_Bast-Mona'!E311</f>
        <v>kilogram</v>
      </c>
      <c r="F141" s="57" t="str">
        <f>'PR3_REO_CN_BayanObo_Bast-Mona'!F311</f>
        <v>Rare Earths</v>
      </c>
      <c r="G141" s="56" t="s">
        <v>25</v>
      </c>
    </row>
    <row r="142" spans="1:15" x14ac:dyDescent="0.25">
      <c r="A142" s="56" t="str">
        <f>'PR4_REO_AU-MY_MtWeld_Monazite'!A273</f>
        <v>Europium oxide (Eu2O3) production in Australia/Mt. Weld - Malaysia</v>
      </c>
      <c r="B142" s="56" t="str">
        <f>'PR4_REO_AU-MY_MtWeld_Monazite'!B273</f>
        <v>Eu2O3</v>
      </c>
      <c r="C142" s="56" t="str">
        <f>'PR4_REO_AU-MY_MtWeld_Monazite'!C273</f>
        <v>AU-MY</v>
      </c>
      <c r="D142" s="56">
        <v>9.4521023977759785E-2</v>
      </c>
      <c r="E142" s="56" t="str">
        <f>'PR4_REO_AU-MY_MtWeld_Monazite'!E273</f>
        <v>kilogram</v>
      </c>
      <c r="F142" s="57" t="str">
        <f>'PR4_REO_AU-MY_MtWeld_Monazite'!F273</f>
        <v>Rare Earths</v>
      </c>
      <c r="G142" s="56" t="s">
        <v>25</v>
      </c>
    </row>
    <row r="143" spans="1:15" x14ac:dyDescent="0.25">
      <c r="A143" s="56" t="str">
        <f>PR5_REO_CN_IAC!A209</f>
        <v>Europium oxide (Eu2O3) production from ion-adsorption clays in China</v>
      </c>
      <c r="B143" s="56" t="str">
        <f>PR5_REO_CN_IAC!B209</f>
        <v>Eu2O3</v>
      </c>
      <c r="C143" s="56" t="str">
        <f>PR5_REO_CN_IAC!C209</f>
        <v>CN</v>
      </c>
      <c r="D143" s="56">
        <v>8.1084211745627244E-2</v>
      </c>
      <c r="E143" s="56" t="str">
        <f>PR5_REO_CN_IAC!E209</f>
        <v>kilogram</v>
      </c>
      <c r="F143" s="57" t="str">
        <f>PR5_REO_CN_IAC!F209</f>
        <v>Rare Earths</v>
      </c>
      <c r="G143" s="56" t="s">
        <v>25</v>
      </c>
    </row>
    <row r="144" spans="1:15" s="58" customFormat="1" x14ac:dyDescent="0.25"/>
    <row r="145" spans="1:15" x14ac:dyDescent="0.25">
      <c r="A145" s="59" t="s">
        <v>0</v>
      </c>
      <c r="B145" s="59" t="s">
        <v>628</v>
      </c>
    </row>
    <row r="146" spans="1:15" x14ac:dyDescent="0.25">
      <c r="A146" s="60" t="s">
        <v>1</v>
      </c>
      <c r="B146" s="56" t="s">
        <v>629</v>
      </c>
    </row>
    <row r="147" spans="1:15" x14ac:dyDescent="0.25">
      <c r="A147" s="60" t="s">
        <v>2</v>
      </c>
      <c r="B147" s="56" t="s">
        <v>23</v>
      </c>
    </row>
    <row r="148" spans="1:15" x14ac:dyDescent="0.25">
      <c r="A148" s="60" t="s">
        <v>4</v>
      </c>
      <c r="B148" s="56">
        <v>1</v>
      </c>
    </row>
    <row r="149" spans="1:15" x14ac:dyDescent="0.25">
      <c r="A149" s="60" t="s">
        <v>5</v>
      </c>
      <c r="B149" s="56" t="s">
        <v>6</v>
      </c>
    </row>
    <row r="150" spans="1:15" x14ac:dyDescent="0.25">
      <c r="A150" s="60" t="s">
        <v>7</v>
      </c>
      <c r="B150" s="56" t="s">
        <v>263</v>
      </c>
    </row>
    <row r="151" spans="1:15" x14ac:dyDescent="0.25">
      <c r="A151" s="60" t="s">
        <v>9</v>
      </c>
    </row>
    <row r="152" spans="1:15" x14ac:dyDescent="0.25">
      <c r="A152" s="59" t="s">
        <v>10</v>
      </c>
      <c r="B152" s="59" t="s">
        <v>1</v>
      </c>
      <c r="C152" s="59" t="s">
        <v>2</v>
      </c>
      <c r="D152" s="59" t="s">
        <v>4</v>
      </c>
      <c r="E152" s="59" t="s">
        <v>5</v>
      </c>
      <c r="F152" s="59" t="s">
        <v>11</v>
      </c>
      <c r="G152" s="59" t="s">
        <v>12</v>
      </c>
      <c r="H152" s="59" t="s">
        <v>13</v>
      </c>
      <c r="I152" s="59" t="s">
        <v>14</v>
      </c>
      <c r="J152" s="59" t="s">
        <v>15</v>
      </c>
      <c r="K152" s="59" t="s">
        <v>16</v>
      </c>
      <c r="L152" s="59" t="s">
        <v>17</v>
      </c>
      <c r="M152" s="59" t="s">
        <v>18</v>
      </c>
      <c r="N152" s="59" t="s">
        <v>19</v>
      </c>
      <c r="O152" s="59" t="s">
        <v>7</v>
      </c>
    </row>
    <row r="153" spans="1:15" x14ac:dyDescent="0.25">
      <c r="A153" s="56" t="str">
        <f>B145</f>
        <v>Europium (Eu) global market (Eu content)</v>
      </c>
      <c r="B153" s="56" t="str">
        <f>B146</f>
        <v>Eu content</v>
      </c>
      <c r="C153" s="56" t="str">
        <f>B147</f>
        <v>GLO</v>
      </c>
      <c r="D153" s="64">
        <v>1</v>
      </c>
      <c r="E153" s="56" t="str">
        <f>B149</f>
        <v>kilogram</v>
      </c>
      <c r="F153" s="57" t="str">
        <f>F138</f>
        <v>Rare Earths</v>
      </c>
      <c r="G153" s="56" t="s">
        <v>20</v>
      </c>
    </row>
    <row r="154" spans="1:15" x14ac:dyDescent="0.25">
      <c r="A154" s="56" t="str">
        <f>PR1_REO_CN_Sichuan_Bastnaesite!A161</f>
        <v>Europium oxide (Eu2O3) production in China/Sichuan (Eu content)</v>
      </c>
      <c r="B154" s="56" t="str">
        <f>PR1_REO_CN_Sichuan_Bastnaesite!B161</f>
        <v>Eu2O3 (Eu content)</v>
      </c>
      <c r="C154" s="56" t="str">
        <f>PR1_REO_CN_Sichuan_Bastnaesite!C161</f>
        <v>CN-SWG</v>
      </c>
      <c r="D154" s="56">
        <v>0.27116877099501907</v>
      </c>
      <c r="E154" s="56" t="str">
        <f>PR1_REO_CN_Sichuan_Bastnaesite!E161</f>
        <v>kilogram</v>
      </c>
      <c r="F154" s="57" t="str">
        <f>PR1_REO_CN_Sichuan_Bastnaesite!F161</f>
        <v>Rare Earths</v>
      </c>
      <c r="G154" s="56" t="s">
        <v>25</v>
      </c>
    </row>
    <row r="155" spans="1:15" x14ac:dyDescent="0.25">
      <c r="A155" s="56" t="str">
        <f>PR2_REO_US_Mt.Pass_Bastnaesite!A145</f>
        <v>Europium oxide (Eu2O3) production in the US/Mt. Pass (Eu content)</v>
      </c>
      <c r="B155" s="56" t="str">
        <f>PR2_REO_US_Mt.Pass_Bastnaesite!B145</f>
        <v>Eu2O3 (Eu content)</v>
      </c>
      <c r="C155" s="56" t="str">
        <f>PR2_REO_US_Mt.Pass_Bastnaesite!C145</f>
        <v>US-WECC</v>
      </c>
      <c r="D155" s="56">
        <v>0.18255531101586936</v>
      </c>
      <c r="E155" s="56" t="str">
        <f>PR2_REO_US_Mt.Pass_Bastnaesite!E145</f>
        <v>kilogram</v>
      </c>
      <c r="F155" s="57" t="str">
        <f>PR2_REO_US_Mt.Pass_Bastnaesite!F145</f>
        <v>Rare Earths</v>
      </c>
      <c r="G155" s="56" t="s">
        <v>25</v>
      </c>
    </row>
    <row r="156" spans="1:15" x14ac:dyDescent="0.25">
      <c r="A156" s="56" t="str">
        <f>'PR3_REO_CN_BayanObo_Bast-Mona'!A322</f>
        <v>Europium oxide (Eu2O3) production in China/Bayan Obo (Eu content)</v>
      </c>
      <c r="B156" s="56" t="str">
        <f>'PR3_REO_CN_BayanObo_Bast-Mona'!B322</f>
        <v>Eu2O3 (Eu content)</v>
      </c>
      <c r="C156" s="56" t="str">
        <f>'PR3_REO_CN_BayanObo_Bast-Mona'!C322</f>
        <v>CN</v>
      </c>
      <c r="D156" s="56">
        <v>0.37067068226572458</v>
      </c>
      <c r="E156" s="56" t="str">
        <f>'PR3_REO_CN_BayanObo_Bast-Mona'!E322</f>
        <v>kilogram</v>
      </c>
      <c r="F156" s="57" t="str">
        <f>'PR3_REO_CN_BayanObo_Bast-Mona'!F322</f>
        <v>Rare Earths</v>
      </c>
      <c r="G156" s="56" t="s">
        <v>25</v>
      </c>
    </row>
    <row r="157" spans="1:15" x14ac:dyDescent="0.25">
      <c r="A157" s="56" t="str">
        <f>'PR4_REO_AU-MY_MtWeld_Monazite'!A284</f>
        <v>Europium oxide (Eu2O3) production in Australia/Mt. Weld - Malaysia (Eu content)</v>
      </c>
      <c r="B157" s="56" t="str">
        <f>'PR4_REO_AU-MY_MtWeld_Monazite'!B284</f>
        <v>Eu2O3 (Eu content)</v>
      </c>
      <c r="C157" s="56" t="str">
        <f>'PR4_REO_AU-MY_MtWeld_Monazite'!C284</f>
        <v>AU-MY</v>
      </c>
      <c r="D157" s="56">
        <v>9.4521023977759785E-2</v>
      </c>
      <c r="E157" s="56" t="str">
        <f>'PR4_REO_AU-MY_MtWeld_Monazite'!E284</f>
        <v>kilogram</v>
      </c>
      <c r="F157" s="57" t="str">
        <f>'PR4_REO_AU-MY_MtWeld_Monazite'!F284</f>
        <v>Rare Earths</v>
      </c>
      <c r="G157" s="56" t="s">
        <v>25</v>
      </c>
    </row>
    <row r="158" spans="1:15" x14ac:dyDescent="0.25">
      <c r="A158" s="56" t="str">
        <f>PR5_REO_CN_IAC!A220</f>
        <v>Europium oxide (Eu2O3) production from ion-adsorption clays in China (Eu content)</v>
      </c>
      <c r="B158" s="56" t="str">
        <f>PR5_REO_CN_IAC!B220</f>
        <v>Eu2O3 (Eu content)</v>
      </c>
      <c r="C158" s="56" t="str">
        <f>PR5_REO_CN_IAC!C220</f>
        <v>CN</v>
      </c>
      <c r="D158" s="56">
        <v>8.1084211745627244E-2</v>
      </c>
      <c r="E158" s="56" t="str">
        <f>PR5_REO_CN_IAC!E220</f>
        <v>kilogram</v>
      </c>
      <c r="F158" s="57" t="str">
        <f>PR5_REO_CN_IAC!F220</f>
        <v>Rare Earths</v>
      </c>
      <c r="G158" s="56" t="s">
        <v>25</v>
      </c>
    </row>
    <row r="159" spans="1:15" s="58" customFormat="1" x14ac:dyDescent="0.25">
      <c r="F159" s="130"/>
    </row>
    <row r="160" spans="1:15" x14ac:dyDescent="0.25">
      <c r="A160" s="59" t="s">
        <v>0</v>
      </c>
      <c r="B160" s="59" t="s">
        <v>630</v>
      </c>
    </row>
    <row r="161" spans="1:15" x14ac:dyDescent="0.25">
      <c r="A161" s="60" t="s">
        <v>1</v>
      </c>
      <c r="B161" s="56" t="s">
        <v>631</v>
      </c>
    </row>
    <row r="162" spans="1:15" x14ac:dyDescent="0.25">
      <c r="A162" s="60" t="s">
        <v>2</v>
      </c>
      <c r="B162" s="56" t="s">
        <v>23</v>
      </c>
    </row>
    <row r="163" spans="1:15" x14ac:dyDescent="0.25">
      <c r="A163" s="60" t="s">
        <v>4</v>
      </c>
      <c r="B163" s="56">
        <v>1</v>
      </c>
    </row>
    <row r="164" spans="1:15" x14ac:dyDescent="0.25">
      <c r="A164" s="60" t="s">
        <v>5</v>
      </c>
      <c r="B164" s="56" t="s">
        <v>6</v>
      </c>
    </row>
    <row r="165" spans="1:15" x14ac:dyDescent="0.25">
      <c r="A165" s="60" t="s">
        <v>7</v>
      </c>
      <c r="B165" s="67" t="s">
        <v>8</v>
      </c>
    </row>
    <row r="166" spans="1:15" x14ac:dyDescent="0.25">
      <c r="A166" s="60" t="s">
        <v>9</v>
      </c>
    </row>
    <row r="167" spans="1:15" x14ac:dyDescent="0.25">
      <c r="A167" s="59" t="s">
        <v>10</v>
      </c>
      <c r="B167" s="59" t="s">
        <v>1</v>
      </c>
      <c r="C167" s="59" t="s">
        <v>2</v>
      </c>
      <c r="D167" s="59" t="s">
        <v>4</v>
      </c>
      <c r="E167" s="59" t="s">
        <v>5</v>
      </c>
      <c r="F167" s="59" t="s">
        <v>11</v>
      </c>
      <c r="G167" s="59" t="s">
        <v>12</v>
      </c>
      <c r="H167" s="59" t="s">
        <v>13</v>
      </c>
      <c r="I167" s="59" t="s">
        <v>14</v>
      </c>
      <c r="J167" s="59" t="s">
        <v>15</v>
      </c>
      <c r="K167" s="59" t="s">
        <v>16</v>
      </c>
      <c r="L167" s="59" t="s">
        <v>17</v>
      </c>
      <c r="M167" s="59" t="s">
        <v>18</v>
      </c>
      <c r="N167" s="59" t="s">
        <v>19</v>
      </c>
      <c r="O167" s="59" t="s">
        <v>7</v>
      </c>
    </row>
    <row r="168" spans="1:15" x14ac:dyDescent="0.25">
      <c r="A168" s="56" t="str">
        <f>B160</f>
        <v>Gadolinium (Gd) global market</v>
      </c>
      <c r="B168" s="56" t="str">
        <f>B161</f>
        <v>Gd oxide (Gd2O3)</v>
      </c>
      <c r="C168" s="56" t="str">
        <f>B162</f>
        <v>GLO</v>
      </c>
      <c r="D168" s="64">
        <v>1</v>
      </c>
      <c r="E168" s="56" t="str">
        <f>B164</f>
        <v>kilogram</v>
      </c>
      <c r="F168" s="57" t="str">
        <f>F153</f>
        <v>Rare Earths</v>
      </c>
      <c r="G168" s="56" t="s">
        <v>20</v>
      </c>
    </row>
    <row r="169" spans="1:15" x14ac:dyDescent="0.25">
      <c r="A169" s="56" t="str">
        <f>PR1_REO_CN_Sichuan_Bastnaesite!A172</f>
        <v xml:space="preserve">Gadolinium oxide (Gd2O3) production in China/Sichuan </v>
      </c>
      <c r="B169" s="56" t="str">
        <f>PR1_REO_CN_Sichuan_Bastnaesite!B172</f>
        <v>Gd2O3</v>
      </c>
      <c r="C169" s="56" t="str">
        <f>PR1_REO_CN_Sichuan_Bastnaesite!C172</f>
        <v>CN-SWG</v>
      </c>
      <c r="D169" s="56">
        <v>0.27116877099501907</v>
      </c>
      <c r="E169" s="56" t="str">
        <f>PR1_REO_CN_Sichuan_Bastnaesite!E172</f>
        <v>kilogram</v>
      </c>
      <c r="F169" s="57" t="str">
        <f>PR1_REO_CN_Sichuan_Bastnaesite!F172</f>
        <v>Rare Earths</v>
      </c>
      <c r="G169" s="56" t="s">
        <v>25</v>
      </c>
    </row>
    <row r="170" spans="1:15" x14ac:dyDescent="0.25">
      <c r="A170" s="56" t="str">
        <f>PR2_REO_US_Mt.Pass_Bastnaesite!A156</f>
        <v>Gadolinium oxide (Gd2O3) production in the US/Mt. Pass</v>
      </c>
      <c r="B170" s="56" t="str">
        <f>PR2_REO_US_Mt.Pass_Bastnaesite!B156</f>
        <v>Gd2O3</v>
      </c>
      <c r="C170" s="56" t="str">
        <f>PR2_REO_US_Mt.Pass_Bastnaesite!C156</f>
        <v>US-WECC</v>
      </c>
      <c r="D170" s="56">
        <v>0.18255531101586936</v>
      </c>
      <c r="E170" s="56" t="str">
        <f>PR2_REO_US_Mt.Pass_Bastnaesite!E156</f>
        <v>kilogram</v>
      </c>
      <c r="F170" s="57" t="str">
        <f>PR2_REO_US_Mt.Pass_Bastnaesite!F156</f>
        <v>Rare Earths</v>
      </c>
      <c r="G170" s="56" t="s">
        <v>25</v>
      </c>
    </row>
    <row r="171" spans="1:15" x14ac:dyDescent="0.25">
      <c r="A171" s="56" t="str">
        <f>'PR3_REO_CN_BayanObo_Bast-Mona'!A333</f>
        <v>Gadolinium oxide (Gd2O3) production in China/Bayan Obo</v>
      </c>
      <c r="B171" s="56" t="str">
        <f>'PR3_REO_CN_BayanObo_Bast-Mona'!B333</f>
        <v>Gd2O3</v>
      </c>
      <c r="C171" s="56" t="str">
        <f>'PR3_REO_CN_BayanObo_Bast-Mona'!C333</f>
        <v>CN</v>
      </c>
      <c r="D171" s="56">
        <v>0.37067068226572458</v>
      </c>
      <c r="E171" s="56" t="str">
        <f>'PR3_REO_CN_BayanObo_Bast-Mona'!E333</f>
        <v>kilogram</v>
      </c>
      <c r="F171" s="57" t="str">
        <f>'PR3_REO_CN_BayanObo_Bast-Mona'!F333</f>
        <v>Rare Earths</v>
      </c>
      <c r="G171" s="56" t="s">
        <v>25</v>
      </c>
    </row>
    <row r="172" spans="1:15" x14ac:dyDescent="0.25">
      <c r="A172" s="56" t="str">
        <f>'PR4_REO_AU-MY_MtWeld_Monazite'!A295</f>
        <v>Gadolinium oxide (Gd2O3) production in Australia/Mt. Weld - Malaysia</v>
      </c>
      <c r="B172" s="56" t="str">
        <f>'PR4_REO_AU-MY_MtWeld_Monazite'!B295</f>
        <v>Gd2O3</v>
      </c>
      <c r="C172" s="56" t="str">
        <f>'PR4_REO_AU-MY_MtWeld_Monazite'!C295</f>
        <v>AU-MY</v>
      </c>
      <c r="D172" s="56">
        <v>9.4521023977759785E-2</v>
      </c>
      <c r="E172" s="56" t="str">
        <f>'PR4_REO_AU-MY_MtWeld_Monazite'!E295</f>
        <v>kilogram</v>
      </c>
      <c r="F172" s="57" t="str">
        <f>'PR4_REO_AU-MY_MtWeld_Monazite'!F295</f>
        <v>Rare Earths</v>
      </c>
      <c r="G172" s="56" t="s">
        <v>25</v>
      </c>
    </row>
    <row r="173" spans="1:15" x14ac:dyDescent="0.25">
      <c r="A173" s="56" t="str">
        <f>PR5_REO_CN_IAC!A231</f>
        <v>Gadolinium oxide (Gd2O3) production from ion-adsorption clays in China</v>
      </c>
      <c r="B173" s="56" t="str">
        <f>PR5_REO_CN_IAC!B231</f>
        <v>Gd2O3</v>
      </c>
      <c r="C173" s="56" t="str">
        <f>PR5_REO_CN_IAC!C231</f>
        <v>CN</v>
      </c>
      <c r="D173" s="56">
        <v>8.1084211745627244E-2</v>
      </c>
      <c r="E173" s="56" t="str">
        <f>PR5_REO_CN_IAC!E231</f>
        <v>kilogram</v>
      </c>
      <c r="F173" s="57" t="str">
        <f>PR5_REO_CN_IAC!F231</f>
        <v>Rare Earths</v>
      </c>
      <c r="G173" s="56" t="s">
        <v>25</v>
      </c>
    </row>
    <row r="174" spans="1:15" s="58" customFormat="1" x14ac:dyDescent="0.25"/>
    <row r="175" spans="1:15" x14ac:dyDescent="0.25">
      <c r="A175" s="59" t="s">
        <v>0</v>
      </c>
      <c r="B175" s="59" t="s">
        <v>632</v>
      </c>
    </row>
    <row r="176" spans="1:15" x14ac:dyDescent="0.25">
      <c r="A176" s="60" t="s">
        <v>1</v>
      </c>
      <c r="B176" s="56" t="s">
        <v>633</v>
      </c>
    </row>
    <row r="177" spans="1:15" x14ac:dyDescent="0.25">
      <c r="A177" s="60" t="s">
        <v>2</v>
      </c>
      <c r="B177" s="56" t="s">
        <v>23</v>
      </c>
    </row>
    <row r="178" spans="1:15" x14ac:dyDescent="0.25">
      <c r="A178" s="60" t="s">
        <v>4</v>
      </c>
      <c r="B178" s="56">
        <v>1</v>
      </c>
    </row>
    <row r="179" spans="1:15" x14ac:dyDescent="0.25">
      <c r="A179" s="60" t="s">
        <v>5</v>
      </c>
      <c r="B179" s="56" t="s">
        <v>6</v>
      </c>
    </row>
    <row r="180" spans="1:15" x14ac:dyDescent="0.25">
      <c r="A180" s="60" t="s">
        <v>7</v>
      </c>
      <c r="B180" s="56" t="s">
        <v>264</v>
      </c>
    </row>
    <row r="181" spans="1:15" x14ac:dyDescent="0.25">
      <c r="A181" s="60" t="s">
        <v>9</v>
      </c>
    </row>
    <row r="182" spans="1:15" x14ac:dyDescent="0.25">
      <c r="A182" s="59" t="s">
        <v>10</v>
      </c>
      <c r="B182" s="59" t="s">
        <v>1</v>
      </c>
      <c r="C182" s="59" t="s">
        <v>2</v>
      </c>
      <c r="D182" s="59" t="s">
        <v>4</v>
      </c>
      <c r="E182" s="59" t="s">
        <v>5</v>
      </c>
      <c r="F182" s="59" t="s">
        <v>11</v>
      </c>
      <c r="G182" s="59" t="s">
        <v>12</v>
      </c>
      <c r="H182" s="59" t="s">
        <v>13</v>
      </c>
      <c r="I182" s="59" t="s">
        <v>14</v>
      </c>
      <c r="J182" s="59" t="s">
        <v>15</v>
      </c>
      <c r="K182" s="59" t="s">
        <v>16</v>
      </c>
      <c r="L182" s="59" t="s">
        <v>17</v>
      </c>
      <c r="M182" s="59" t="s">
        <v>18</v>
      </c>
      <c r="N182" s="59" t="s">
        <v>19</v>
      </c>
      <c r="O182" s="59" t="s">
        <v>7</v>
      </c>
    </row>
    <row r="183" spans="1:15" x14ac:dyDescent="0.25">
      <c r="A183" s="56" t="str">
        <f>B175</f>
        <v>Gadolinium (Gd) global market (Gd content)</v>
      </c>
      <c r="B183" s="56" t="str">
        <f>B176</f>
        <v>Gd content</v>
      </c>
      <c r="C183" s="56" t="str">
        <f>B177</f>
        <v>GLO</v>
      </c>
      <c r="D183" s="64">
        <v>1</v>
      </c>
      <c r="E183" s="56" t="str">
        <f>B179</f>
        <v>kilogram</v>
      </c>
      <c r="F183" s="57" t="str">
        <f>F168</f>
        <v>Rare Earths</v>
      </c>
      <c r="G183" s="56" t="s">
        <v>20</v>
      </c>
    </row>
    <row r="184" spans="1:15" x14ac:dyDescent="0.25">
      <c r="A184" s="56" t="str">
        <f>PR1_REO_CN_Sichuan_Bastnaesite!A183</f>
        <v>Gadolinium oxide (Gd2O3) production in China/Sichuan (Gd content)</v>
      </c>
      <c r="B184" s="56" t="str">
        <f>PR1_REO_CN_Sichuan_Bastnaesite!B183</f>
        <v>Gd2O3 (Gd content)</v>
      </c>
      <c r="C184" s="56" t="str">
        <f>PR1_REO_CN_Sichuan_Bastnaesite!C183</f>
        <v>CN-SWG</v>
      </c>
      <c r="D184" s="56">
        <v>0.27116877099501907</v>
      </c>
      <c r="E184" s="56" t="str">
        <f>PR1_REO_CN_Sichuan_Bastnaesite!E183</f>
        <v>kilogram</v>
      </c>
      <c r="F184" s="57" t="str">
        <f>PR1_REO_CN_Sichuan_Bastnaesite!F183</f>
        <v>Rare Earths</v>
      </c>
      <c r="G184" s="56" t="s">
        <v>25</v>
      </c>
    </row>
    <row r="185" spans="1:15" x14ac:dyDescent="0.25">
      <c r="A185" s="56" t="str">
        <f>PR2_REO_US_Mt.Pass_Bastnaesite!A167</f>
        <v>Gadolinium oxide (Gd2O3) production in the US/Mt. Pass (Gd content)</v>
      </c>
      <c r="B185" s="56" t="str">
        <f>PR2_REO_US_Mt.Pass_Bastnaesite!B167</f>
        <v>Gd2O3 (Gd content)</v>
      </c>
      <c r="C185" s="56" t="str">
        <f>PR2_REO_US_Mt.Pass_Bastnaesite!C167</f>
        <v>US-WECC</v>
      </c>
      <c r="D185" s="56">
        <v>0.18255531101586936</v>
      </c>
      <c r="E185" s="56" t="str">
        <f>PR2_REO_US_Mt.Pass_Bastnaesite!E167</f>
        <v>kilogram</v>
      </c>
      <c r="F185" s="57" t="str">
        <f>PR2_REO_US_Mt.Pass_Bastnaesite!F167</f>
        <v>Rare Earths</v>
      </c>
      <c r="G185" s="56" t="s">
        <v>25</v>
      </c>
    </row>
    <row r="186" spans="1:15" x14ac:dyDescent="0.25">
      <c r="A186" s="56" t="str">
        <f>'PR3_REO_CN_BayanObo_Bast-Mona'!A344</f>
        <v>Gadolinium oxide (Gd2O3) production in China/Bayan Obo (Gd content)</v>
      </c>
      <c r="B186" s="56" t="str">
        <f>'PR3_REO_CN_BayanObo_Bast-Mona'!B344</f>
        <v>Gd2O3 (Gd content)</v>
      </c>
      <c r="C186" s="56" t="str">
        <f>'PR3_REO_CN_BayanObo_Bast-Mona'!C344</f>
        <v>CN</v>
      </c>
      <c r="D186" s="56">
        <v>0.37067068226572458</v>
      </c>
      <c r="E186" s="56" t="str">
        <f>'PR3_REO_CN_BayanObo_Bast-Mona'!E344</f>
        <v>kilogram</v>
      </c>
      <c r="F186" s="57" t="str">
        <f>'PR3_REO_CN_BayanObo_Bast-Mona'!F344</f>
        <v>Rare Earths</v>
      </c>
      <c r="G186" s="56" t="s">
        <v>25</v>
      </c>
    </row>
    <row r="187" spans="1:15" x14ac:dyDescent="0.25">
      <c r="A187" s="56" t="str">
        <f>'PR4_REO_AU-MY_MtWeld_Monazite'!A306</f>
        <v>Gadolinium oxide (Gd2O3) production in Australia/Mt. Weld - Malaysia (Gd content)</v>
      </c>
      <c r="B187" s="56" t="str">
        <f>'PR4_REO_AU-MY_MtWeld_Monazite'!B306</f>
        <v>Gd2O3 (Gd content)</v>
      </c>
      <c r="C187" s="56" t="str">
        <f>'PR4_REO_AU-MY_MtWeld_Monazite'!C306</f>
        <v>AU-MY</v>
      </c>
      <c r="D187" s="56">
        <v>9.4521023977759785E-2</v>
      </c>
      <c r="E187" s="56" t="str">
        <f>'PR4_REO_AU-MY_MtWeld_Monazite'!E306</f>
        <v>kilogram</v>
      </c>
      <c r="F187" s="57" t="str">
        <f>'PR4_REO_AU-MY_MtWeld_Monazite'!F306</f>
        <v>Rare Earths</v>
      </c>
      <c r="G187" s="56" t="s">
        <v>25</v>
      </c>
    </row>
    <row r="188" spans="1:15" x14ac:dyDescent="0.25">
      <c r="A188" s="56" t="str">
        <f>PR5_REO_CN_IAC!A242</f>
        <v>Gadolinium oxide (Gd2O3) production from ion-adsorption clays in China (Gd content)</v>
      </c>
      <c r="B188" s="56" t="str">
        <f>PR5_REO_CN_IAC!B242</f>
        <v>Gd2O3 (Gd content)</v>
      </c>
      <c r="C188" s="56" t="str">
        <f>PR5_REO_CN_IAC!C242</f>
        <v>CN</v>
      </c>
      <c r="D188" s="56">
        <v>8.1084211745627244E-2</v>
      </c>
      <c r="E188" s="56" t="str">
        <f>PR5_REO_CN_IAC!E242</f>
        <v>kilogram</v>
      </c>
      <c r="F188" s="57" t="str">
        <f>PR5_REO_CN_IAC!F242</f>
        <v>Rare Earths</v>
      </c>
      <c r="G188" s="56" t="s">
        <v>25</v>
      </c>
    </row>
    <row r="189" spans="1:15" s="58" customFormat="1" x14ac:dyDescent="0.25"/>
    <row r="190" spans="1:15" x14ac:dyDescent="0.25">
      <c r="A190" s="59" t="s">
        <v>0</v>
      </c>
      <c r="B190" s="59" t="s">
        <v>634</v>
      </c>
    </row>
    <row r="191" spans="1:15" x14ac:dyDescent="0.25">
      <c r="A191" s="60" t="s">
        <v>1</v>
      </c>
      <c r="B191" s="56" t="s">
        <v>635</v>
      </c>
    </row>
    <row r="192" spans="1:15" x14ac:dyDescent="0.25">
      <c r="A192" s="60" t="s">
        <v>2</v>
      </c>
      <c r="B192" s="56" t="s">
        <v>23</v>
      </c>
    </row>
    <row r="193" spans="1:15" x14ac:dyDescent="0.25">
      <c r="A193" s="60" t="s">
        <v>4</v>
      </c>
      <c r="B193" s="56">
        <v>1</v>
      </c>
    </row>
    <row r="194" spans="1:15" x14ac:dyDescent="0.25">
      <c r="A194" s="60" t="s">
        <v>5</v>
      </c>
      <c r="B194" s="56" t="s">
        <v>6</v>
      </c>
    </row>
    <row r="195" spans="1:15" x14ac:dyDescent="0.25">
      <c r="A195" s="60" t="s">
        <v>7</v>
      </c>
      <c r="B195" s="67" t="s">
        <v>8</v>
      </c>
    </row>
    <row r="196" spans="1:15" x14ac:dyDescent="0.25">
      <c r="A196" s="60" t="s">
        <v>9</v>
      </c>
    </row>
    <row r="197" spans="1:15" x14ac:dyDescent="0.25">
      <c r="A197" s="59" t="s">
        <v>10</v>
      </c>
      <c r="B197" s="59" t="s">
        <v>1</v>
      </c>
      <c r="C197" s="59" t="s">
        <v>2</v>
      </c>
      <c r="D197" s="59" t="s">
        <v>4</v>
      </c>
      <c r="E197" s="59" t="s">
        <v>5</v>
      </c>
      <c r="F197" s="59" t="s">
        <v>11</v>
      </c>
      <c r="G197" s="59" t="s">
        <v>12</v>
      </c>
      <c r="H197" s="59" t="s">
        <v>13</v>
      </c>
      <c r="I197" s="59" t="s">
        <v>14</v>
      </c>
      <c r="J197" s="59" t="s">
        <v>15</v>
      </c>
      <c r="K197" s="59" t="s">
        <v>16</v>
      </c>
      <c r="L197" s="59" t="s">
        <v>17</v>
      </c>
      <c r="M197" s="59" t="s">
        <v>18</v>
      </c>
      <c r="N197" s="59" t="s">
        <v>19</v>
      </c>
      <c r="O197" s="59" t="s">
        <v>7</v>
      </c>
    </row>
    <row r="198" spans="1:15" x14ac:dyDescent="0.25">
      <c r="A198" s="56" t="str">
        <f>B190</f>
        <v>Holmium (Ho) global market</v>
      </c>
      <c r="B198" s="56" t="str">
        <f>B191</f>
        <v>Ho oxide (Ho2O3)</v>
      </c>
      <c r="C198" s="56" t="str">
        <f>B192</f>
        <v>GLO</v>
      </c>
      <c r="D198" s="64">
        <v>1</v>
      </c>
      <c r="E198" s="56" t="str">
        <f>B194</f>
        <v>kilogram</v>
      </c>
      <c r="F198" s="57" t="str">
        <f>F183</f>
        <v>Rare Earths</v>
      </c>
      <c r="G198" s="56" t="s">
        <v>20</v>
      </c>
    </row>
    <row r="199" spans="1:15" x14ac:dyDescent="0.25">
      <c r="A199" s="56" t="str">
        <f>'PR3_REO_CN_BayanObo_Bast-Mona'!A355</f>
        <v>Holmium oxide (Ho2O3) production in China/Bayan Obo</v>
      </c>
      <c r="B199" s="56" t="str">
        <f>'PR3_REO_CN_BayanObo_Bast-Mona'!B355</f>
        <v>Ho2O3</v>
      </c>
      <c r="C199" s="56" t="str">
        <f>'PR3_REO_CN_BayanObo_Bast-Mona'!C355</f>
        <v>CN</v>
      </c>
      <c r="D199" s="56">
        <v>0.82051282051282048</v>
      </c>
      <c r="E199" s="56" t="str">
        <f>'PR3_REO_CN_BayanObo_Bast-Mona'!E355</f>
        <v>kilogram</v>
      </c>
      <c r="F199" s="57" t="str">
        <f>'PR3_REO_CN_BayanObo_Bast-Mona'!F355</f>
        <v>Rare Earths</v>
      </c>
      <c r="G199" s="56" t="s">
        <v>25</v>
      </c>
    </row>
    <row r="200" spans="1:15" x14ac:dyDescent="0.25">
      <c r="A200" s="56" t="str">
        <f>PR5_REO_CN_IAC!A253</f>
        <v>Holmium oxide (Ho2O3) production from ion-adsorption clays in China</v>
      </c>
      <c r="B200" s="56" t="str">
        <f>PR5_REO_CN_IAC!B253</f>
        <v>Ho2O3</v>
      </c>
      <c r="C200" s="56" t="str">
        <f>PR5_REO_CN_IAC!C253</f>
        <v>CN</v>
      </c>
      <c r="D200" s="56">
        <v>0.17948717948717946</v>
      </c>
      <c r="E200" s="56" t="str">
        <f>PR5_REO_CN_IAC!E253</f>
        <v>kilogram</v>
      </c>
      <c r="F200" s="57" t="str">
        <f>PR5_REO_CN_IAC!F253</f>
        <v>Rare Earths</v>
      </c>
      <c r="G200" s="56" t="s">
        <v>25</v>
      </c>
    </row>
    <row r="201" spans="1:15" s="58" customFormat="1" x14ac:dyDescent="0.25"/>
    <row r="202" spans="1:15" x14ac:dyDescent="0.25">
      <c r="A202" s="59" t="s">
        <v>0</v>
      </c>
      <c r="B202" s="59" t="s">
        <v>636</v>
      </c>
    </row>
    <row r="203" spans="1:15" x14ac:dyDescent="0.25">
      <c r="A203" s="60" t="s">
        <v>1</v>
      </c>
      <c r="B203" s="56" t="s">
        <v>637</v>
      </c>
    </row>
    <row r="204" spans="1:15" x14ac:dyDescent="0.25">
      <c r="A204" s="60" t="s">
        <v>2</v>
      </c>
      <c r="B204" s="56" t="s">
        <v>23</v>
      </c>
    </row>
    <row r="205" spans="1:15" x14ac:dyDescent="0.25">
      <c r="A205" s="60" t="s">
        <v>4</v>
      </c>
      <c r="B205" s="56">
        <v>1</v>
      </c>
    </row>
    <row r="206" spans="1:15" x14ac:dyDescent="0.25">
      <c r="A206" s="60" t="s">
        <v>5</v>
      </c>
      <c r="B206" s="56" t="s">
        <v>6</v>
      </c>
    </row>
    <row r="207" spans="1:15" x14ac:dyDescent="0.25">
      <c r="A207" s="60" t="s">
        <v>7</v>
      </c>
      <c r="B207" s="56" t="s">
        <v>436</v>
      </c>
    </row>
    <row r="208" spans="1:15" x14ac:dyDescent="0.25">
      <c r="A208" s="60" t="s">
        <v>9</v>
      </c>
    </row>
    <row r="209" spans="1:15" x14ac:dyDescent="0.25">
      <c r="A209" s="59" t="s">
        <v>10</v>
      </c>
      <c r="B209" s="59" t="s">
        <v>1</v>
      </c>
      <c r="C209" s="59" t="s">
        <v>2</v>
      </c>
      <c r="D209" s="59" t="s">
        <v>4</v>
      </c>
      <c r="E209" s="59" t="s">
        <v>5</v>
      </c>
      <c r="F209" s="59" t="s">
        <v>11</v>
      </c>
      <c r="G209" s="59" t="s">
        <v>12</v>
      </c>
      <c r="H209" s="59" t="s">
        <v>13</v>
      </c>
      <c r="I209" s="59" t="s">
        <v>14</v>
      </c>
      <c r="J209" s="59" t="s">
        <v>15</v>
      </c>
      <c r="K209" s="59" t="s">
        <v>16</v>
      </c>
      <c r="L209" s="59" t="s">
        <v>17</v>
      </c>
      <c r="M209" s="59" t="s">
        <v>18</v>
      </c>
      <c r="N209" s="59" t="s">
        <v>19</v>
      </c>
      <c r="O209" s="59" t="s">
        <v>7</v>
      </c>
    </row>
    <row r="210" spans="1:15" x14ac:dyDescent="0.25">
      <c r="A210" s="56" t="str">
        <f>B202</f>
        <v>Holmium (Ho) global market (Ho content)</v>
      </c>
      <c r="B210" s="56" t="str">
        <f>B203</f>
        <v>Ho content</v>
      </c>
      <c r="C210" s="56" t="str">
        <f>B204</f>
        <v>GLO</v>
      </c>
      <c r="D210" s="64">
        <v>1</v>
      </c>
      <c r="E210" s="56" t="str">
        <f>B206</f>
        <v>kilogram</v>
      </c>
      <c r="F210" s="57" t="str">
        <f>F198</f>
        <v>Rare Earths</v>
      </c>
      <c r="G210" s="56" t="s">
        <v>20</v>
      </c>
    </row>
    <row r="211" spans="1:15" x14ac:dyDescent="0.25">
      <c r="A211" s="56" t="str">
        <f>'PR3_REO_CN_BayanObo_Bast-Mona'!A366</f>
        <v>Holmium oxide (Ho2O3) production in China/Bayan Obo (Ho content)</v>
      </c>
      <c r="B211" s="56" t="str">
        <f>'PR3_REO_CN_BayanObo_Bast-Mona'!B366</f>
        <v>Ho2O3 (Ho content)</v>
      </c>
      <c r="C211" s="56" t="str">
        <f>'PR3_REO_CN_BayanObo_Bast-Mona'!C366</f>
        <v>CN</v>
      </c>
      <c r="D211" s="56">
        <v>0.82051282051282048</v>
      </c>
      <c r="E211" s="56" t="str">
        <f>'PR3_REO_CN_BayanObo_Bast-Mona'!E366</f>
        <v>kilogram</v>
      </c>
      <c r="F211" s="57" t="str">
        <f>'PR3_REO_CN_BayanObo_Bast-Mona'!F366</f>
        <v>Rare Earths</v>
      </c>
      <c r="G211" s="56" t="s">
        <v>25</v>
      </c>
    </row>
    <row r="212" spans="1:15" x14ac:dyDescent="0.25">
      <c r="A212" s="56" t="str">
        <f>PR5_REO_CN_IAC!A264</f>
        <v>Holmium oxide (Ho2O3) production from ion-adsorption clays in China (Ho content)</v>
      </c>
      <c r="B212" s="56" t="str">
        <f>PR5_REO_CN_IAC!B264</f>
        <v>Ho2O3 (Ho content)</v>
      </c>
      <c r="C212" s="56" t="str">
        <f>PR5_REO_CN_IAC!C264</f>
        <v>CN</v>
      </c>
      <c r="D212" s="56">
        <v>0.17948717948717946</v>
      </c>
      <c r="E212" s="56" t="str">
        <f>PR5_REO_CN_IAC!E264</f>
        <v>kilogram</v>
      </c>
      <c r="F212" s="57" t="str">
        <f>PR5_REO_CN_IAC!F264</f>
        <v>Rare Earths</v>
      </c>
      <c r="G212" s="56" t="s">
        <v>25</v>
      </c>
    </row>
    <row r="213" spans="1:15" s="58" customFormat="1" x14ac:dyDescent="0.25"/>
    <row r="214" spans="1:15" x14ac:dyDescent="0.25">
      <c r="A214" s="59" t="s">
        <v>0</v>
      </c>
      <c r="B214" s="59" t="s">
        <v>638</v>
      </c>
    </row>
    <row r="215" spans="1:15" x14ac:dyDescent="0.25">
      <c r="A215" s="60" t="s">
        <v>1</v>
      </c>
      <c r="B215" s="56" t="s">
        <v>639</v>
      </c>
    </row>
    <row r="216" spans="1:15" x14ac:dyDescent="0.25">
      <c r="A216" s="60" t="s">
        <v>2</v>
      </c>
      <c r="B216" s="56" t="s">
        <v>23</v>
      </c>
    </row>
    <row r="217" spans="1:15" x14ac:dyDescent="0.25">
      <c r="A217" s="60" t="s">
        <v>4</v>
      </c>
      <c r="B217" s="56">
        <v>1</v>
      </c>
    </row>
    <row r="218" spans="1:15" x14ac:dyDescent="0.25">
      <c r="A218" s="60" t="s">
        <v>5</v>
      </c>
      <c r="B218" s="56" t="s">
        <v>6</v>
      </c>
    </row>
    <row r="219" spans="1:15" x14ac:dyDescent="0.25">
      <c r="A219" s="60" t="s">
        <v>7</v>
      </c>
      <c r="B219" s="67" t="s">
        <v>8</v>
      </c>
    </row>
    <row r="220" spans="1:15" x14ac:dyDescent="0.25">
      <c r="A220" s="60" t="s">
        <v>9</v>
      </c>
    </row>
    <row r="221" spans="1:15" x14ac:dyDescent="0.25">
      <c r="A221" s="59" t="s">
        <v>10</v>
      </c>
      <c r="B221" s="59" t="s">
        <v>1</v>
      </c>
      <c r="C221" s="59" t="s">
        <v>2</v>
      </c>
      <c r="D221" s="59" t="s">
        <v>4</v>
      </c>
      <c r="E221" s="59" t="s">
        <v>5</v>
      </c>
      <c r="F221" s="59" t="s">
        <v>11</v>
      </c>
      <c r="G221" s="59" t="s">
        <v>12</v>
      </c>
      <c r="H221" s="59" t="s">
        <v>13</v>
      </c>
      <c r="I221" s="59" t="s">
        <v>14</v>
      </c>
      <c r="J221" s="59" t="s">
        <v>15</v>
      </c>
      <c r="K221" s="59" t="s">
        <v>16</v>
      </c>
      <c r="L221" s="59" t="s">
        <v>17</v>
      </c>
      <c r="M221" s="59" t="s">
        <v>18</v>
      </c>
      <c r="N221" s="59" t="s">
        <v>19</v>
      </c>
      <c r="O221" s="59" t="s">
        <v>7</v>
      </c>
    </row>
    <row r="222" spans="1:15" x14ac:dyDescent="0.25">
      <c r="A222" s="56" t="str">
        <f>B214</f>
        <v>Lanthanum (La) global market</v>
      </c>
      <c r="B222" s="56" t="str">
        <f>B215</f>
        <v>La oxide (La2O3)</v>
      </c>
      <c r="C222" s="56" t="str">
        <f>B216</f>
        <v>GLO</v>
      </c>
      <c r="D222" s="64">
        <v>1</v>
      </c>
      <c r="E222" s="56" t="str">
        <f>B218</f>
        <v>kilogram</v>
      </c>
      <c r="F222" s="57" t="str">
        <f>F210</f>
        <v>Rare Earths</v>
      </c>
      <c r="G222" s="56" t="s">
        <v>20</v>
      </c>
    </row>
    <row r="223" spans="1:15" x14ac:dyDescent="0.25">
      <c r="A223" s="56" t="str">
        <f>PR1_REO_CN_Sichuan_Bastnaesite!A194</f>
        <v xml:space="preserve">Lanthanum oxide (La2O3) production in China/Sichuan </v>
      </c>
      <c r="B223" s="56" t="str">
        <f>PR1_REO_CN_Sichuan_Bastnaesite!B194</f>
        <v>La2O3</v>
      </c>
      <c r="C223" s="56" t="str">
        <f>PR1_REO_CN_Sichuan_Bastnaesite!C194</f>
        <v>CN-SWG</v>
      </c>
      <c r="D223" s="56">
        <v>0.27116877099501907</v>
      </c>
      <c r="E223" s="56" t="str">
        <f>PR1_REO_CN_Sichuan_Bastnaesite!E194</f>
        <v>kilogram</v>
      </c>
      <c r="F223" s="57" t="str">
        <f>PR1_REO_CN_Sichuan_Bastnaesite!F194</f>
        <v>Rare Earths</v>
      </c>
      <c r="G223" s="56" t="s">
        <v>25</v>
      </c>
    </row>
    <row r="224" spans="1:15" x14ac:dyDescent="0.25">
      <c r="A224" s="56" t="str">
        <f>PR2_REO_US_Mt.Pass_Bastnaesite!A178</f>
        <v>Lanthanum oxide (La2O3) production in the US/Mt. Pass</v>
      </c>
      <c r="B224" s="56" t="str">
        <f>PR2_REO_US_Mt.Pass_Bastnaesite!B178</f>
        <v>La2O3</v>
      </c>
      <c r="C224" s="56" t="str">
        <f>PR2_REO_US_Mt.Pass_Bastnaesite!C178</f>
        <v>US-WECC</v>
      </c>
      <c r="D224" s="56">
        <v>0.18255531101586936</v>
      </c>
      <c r="E224" s="56" t="str">
        <f>PR2_REO_US_Mt.Pass_Bastnaesite!E178</f>
        <v>kilogram</v>
      </c>
      <c r="F224" s="57" t="str">
        <f>PR2_REO_US_Mt.Pass_Bastnaesite!F178</f>
        <v>Rare Earths</v>
      </c>
      <c r="G224" s="56" t="s">
        <v>25</v>
      </c>
    </row>
    <row r="225" spans="1:15" x14ac:dyDescent="0.25">
      <c r="A225" s="56" t="str">
        <f>'PR3_REO_CN_BayanObo_Bast-Mona'!A377</f>
        <v>Lanthanum oxide (La2O3) production in China/Bayan Obo</v>
      </c>
      <c r="B225" s="56" t="str">
        <f>'PR3_REO_CN_BayanObo_Bast-Mona'!B377</f>
        <v>La2O3</v>
      </c>
      <c r="C225" s="56" t="str">
        <f>'PR3_REO_CN_BayanObo_Bast-Mona'!C377</f>
        <v>CN</v>
      </c>
      <c r="D225" s="56">
        <v>0.37067068226572458</v>
      </c>
      <c r="E225" s="56" t="str">
        <f>'PR3_REO_CN_BayanObo_Bast-Mona'!E377</f>
        <v>kilogram</v>
      </c>
      <c r="F225" s="57" t="str">
        <f>'PR3_REO_CN_BayanObo_Bast-Mona'!F377</f>
        <v>Rare Earths</v>
      </c>
      <c r="G225" s="56" t="s">
        <v>25</v>
      </c>
    </row>
    <row r="226" spans="1:15" x14ac:dyDescent="0.25">
      <c r="A226" s="56" t="str">
        <f>'PR4_REO_AU-MY_MtWeld_Monazite'!A317</f>
        <v>Lanthanum oxide (La2O3) production in Australia/Mt. Weld - Malaysia</v>
      </c>
      <c r="B226" s="56" t="str">
        <f>'PR4_REO_AU-MY_MtWeld_Monazite'!B317</f>
        <v>La2O3</v>
      </c>
      <c r="C226" s="56" t="str">
        <f>'PR4_REO_AU-MY_MtWeld_Monazite'!C317</f>
        <v>AU-MY</v>
      </c>
      <c r="D226" s="56">
        <v>9.4521023977759785E-2</v>
      </c>
      <c r="E226" s="56" t="str">
        <f>'PR4_REO_AU-MY_MtWeld_Monazite'!E317</f>
        <v>kilogram</v>
      </c>
      <c r="F226" s="57" t="str">
        <f>'PR4_REO_AU-MY_MtWeld_Monazite'!F317</f>
        <v>Rare Earths</v>
      </c>
      <c r="G226" s="56" t="s">
        <v>25</v>
      </c>
    </row>
    <row r="227" spans="1:15" x14ac:dyDescent="0.25">
      <c r="A227" s="56" t="str">
        <f>PR5_REO_CN_IAC!A275</f>
        <v>Lanthanum oxide (La2O3) production from ion-adsorption clays in China</v>
      </c>
      <c r="B227" s="56" t="str">
        <f>PR5_REO_CN_IAC!B275</f>
        <v>La2O3</v>
      </c>
      <c r="C227" s="56" t="str">
        <f>PR5_REO_CN_IAC!C275</f>
        <v>CN</v>
      </c>
      <c r="D227" s="56">
        <v>8.1084211745627244E-2</v>
      </c>
      <c r="E227" s="56" t="str">
        <f>PR5_REO_CN_IAC!E275</f>
        <v>kilogram</v>
      </c>
      <c r="F227" s="57" t="str">
        <f>PR5_REO_CN_IAC!F275</f>
        <v>Rare Earths</v>
      </c>
      <c r="G227" s="56" t="s">
        <v>25</v>
      </c>
    </row>
    <row r="228" spans="1:15" s="58" customFormat="1" x14ac:dyDescent="0.25"/>
    <row r="229" spans="1:15" x14ac:dyDescent="0.25">
      <c r="A229" s="59" t="s">
        <v>0</v>
      </c>
      <c r="B229" s="59" t="s">
        <v>640</v>
      </c>
    </row>
    <row r="230" spans="1:15" x14ac:dyDescent="0.25">
      <c r="A230" s="60" t="s">
        <v>1</v>
      </c>
      <c r="B230" s="56" t="s">
        <v>641</v>
      </c>
    </row>
    <row r="231" spans="1:15" x14ac:dyDescent="0.25">
      <c r="A231" s="60" t="s">
        <v>2</v>
      </c>
      <c r="B231" s="56" t="s">
        <v>23</v>
      </c>
    </row>
    <row r="232" spans="1:15" x14ac:dyDescent="0.25">
      <c r="A232" s="60" t="s">
        <v>4</v>
      </c>
      <c r="B232" s="56">
        <v>1</v>
      </c>
    </row>
    <row r="233" spans="1:15" x14ac:dyDescent="0.25">
      <c r="A233" s="60" t="s">
        <v>5</v>
      </c>
      <c r="B233" s="56" t="s">
        <v>6</v>
      </c>
    </row>
    <row r="234" spans="1:15" x14ac:dyDescent="0.25">
      <c r="A234" s="60" t="s">
        <v>7</v>
      </c>
      <c r="B234" s="56" t="s">
        <v>269</v>
      </c>
    </row>
    <row r="235" spans="1:15" x14ac:dyDescent="0.25">
      <c r="A235" s="60" t="s">
        <v>9</v>
      </c>
    </row>
    <row r="236" spans="1:15" x14ac:dyDescent="0.25">
      <c r="A236" s="59" t="s">
        <v>10</v>
      </c>
      <c r="B236" s="59" t="s">
        <v>1</v>
      </c>
      <c r="C236" s="59" t="s">
        <v>2</v>
      </c>
      <c r="D236" s="59" t="s">
        <v>4</v>
      </c>
      <c r="E236" s="59" t="s">
        <v>5</v>
      </c>
      <c r="F236" s="59" t="s">
        <v>11</v>
      </c>
      <c r="G236" s="59" t="s">
        <v>12</v>
      </c>
      <c r="H236" s="59" t="s">
        <v>13</v>
      </c>
      <c r="I236" s="59" t="s">
        <v>14</v>
      </c>
      <c r="J236" s="59" t="s">
        <v>15</v>
      </c>
      <c r="K236" s="59" t="s">
        <v>16</v>
      </c>
      <c r="L236" s="59" t="s">
        <v>17</v>
      </c>
      <c r="M236" s="59" t="s">
        <v>18</v>
      </c>
      <c r="N236" s="59" t="s">
        <v>19</v>
      </c>
      <c r="O236" s="59" t="s">
        <v>7</v>
      </c>
    </row>
    <row r="237" spans="1:15" x14ac:dyDescent="0.25">
      <c r="A237" s="56" t="str">
        <f>B229</f>
        <v>Lanthanum (La) global market (La content)</v>
      </c>
      <c r="B237" s="56" t="str">
        <f>B230</f>
        <v>La content</v>
      </c>
      <c r="C237" s="56" t="str">
        <f>B231</f>
        <v>GLO</v>
      </c>
      <c r="D237" s="64">
        <v>1</v>
      </c>
      <c r="E237" s="56" t="str">
        <f>B233</f>
        <v>kilogram</v>
      </c>
      <c r="F237" s="57" t="str">
        <f>F222</f>
        <v>Rare Earths</v>
      </c>
      <c r="G237" s="56" t="s">
        <v>20</v>
      </c>
    </row>
    <row r="238" spans="1:15" x14ac:dyDescent="0.25">
      <c r="A238" s="56" t="str">
        <f>PR1_REO_CN_Sichuan_Bastnaesite!A205</f>
        <v>Lanthanum oxide (La2O3) production in China/Sichuan (La content)</v>
      </c>
      <c r="B238" s="56" t="str">
        <f>PR1_REO_CN_Sichuan_Bastnaesite!B205</f>
        <v>La2O3 (La content)</v>
      </c>
      <c r="C238" s="56" t="str">
        <f>PR1_REO_CN_Sichuan_Bastnaesite!C205</f>
        <v>CN-SWG</v>
      </c>
      <c r="D238" s="56">
        <v>0.27116877099501907</v>
      </c>
      <c r="E238" s="56" t="str">
        <f>PR1_REO_CN_Sichuan_Bastnaesite!E205</f>
        <v>kilogram</v>
      </c>
      <c r="F238" s="57" t="str">
        <f>PR1_REO_CN_Sichuan_Bastnaesite!F205</f>
        <v>Rare Earths</v>
      </c>
      <c r="G238" s="56" t="s">
        <v>25</v>
      </c>
    </row>
    <row r="239" spans="1:15" x14ac:dyDescent="0.25">
      <c r="A239" s="56" t="str">
        <f>PR2_REO_US_Mt.Pass_Bastnaesite!A189</f>
        <v>Lanthanum oxide (La2O3) production in the US/Mt. Pass (La content)</v>
      </c>
      <c r="B239" s="56" t="str">
        <f>PR2_REO_US_Mt.Pass_Bastnaesite!B189</f>
        <v>La2O3 (La content)</v>
      </c>
      <c r="C239" s="56" t="str">
        <f>PR2_REO_US_Mt.Pass_Bastnaesite!C189</f>
        <v>US-WECC</v>
      </c>
      <c r="D239" s="56">
        <v>0.18255531101586936</v>
      </c>
      <c r="E239" s="56" t="str">
        <f>PR2_REO_US_Mt.Pass_Bastnaesite!E189</f>
        <v>kilogram</v>
      </c>
      <c r="F239" s="57" t="str">
        <f>PR2_REO_US_Mt.Pass_Bastnaesite!F189</f>
        <v>Rare Earths</v>
      </c>
      <c r="G239" s="56" t="s">
        <v>25</v>
      </c>
    </row>
    <row r="240" spans="1:15" x14ac:dyDescent="0.25">
      <c r="A240" s="56" t="str">
        <f>'PR3_REO_CN_BayanObo_Bast-Mona'!A388</f>
        <v>Lanthanum oxide (La2O3) production in China/Bayan Obo (La content)</v>
      </c>
      <c r="B240" s="56" t="str">
        <f>'PR3_REO_CN_BayanObo_Bast-Mona'!B388</f>
        <v>La2O3 (La content)</v>
      </c>
      <c r="C240" s="56" t="str">
        <f>'PR3_REO_CN_BayanObo_Bast-Mona'!C388</f>
        <v>CN</v>
      </c>
      <c r="D240" s="56">
        <v>0.37067068226572458</v>
      </c>
      <c r="E240" s="56" t="str">
        <f>'PR3_REO_CN_BayanObo_Bast-Mona'!E388</f>
        <v>kilogram</v>
      </c>
      <c r="F240" s="57" t="str">
        <f>'PR3_REO_CN_BayanObo_Bast-Mona'!F388</f>
        <v>Rare Earths</v>
      </c>
      <c r="G240" s="56" t="s">
        <v>25</v>
      </c>
    </row>
    <row r="241" spans="1:15" x14ac:dyDescent="0.25">
      <c r="A241" s="56" t="str">
        <f>'PR4_REO_AU-MY_MtWeld_Monazite'!A328</f>
        <v>Lanthanum oxide (La2O3) production in Australia/Mt. Weld - Malaysia (La content)</v>
      </c>
      <c r="B241" s="56" t="str">
        <f>'PR4_REO_AU-MY_MtWeld_Monazite'!B328</f>
        <v>La2O3 (La content)</v>
      </c>
      <c r="C241" s="56" t="str">
        <f>'PR4_REO_AU-MY_MtWeld_Monazite'!C328</f>
        <v>AU-MY</v>
      </c>
      <c r="D241" s="56">
        <v>9.4521023977759785E-2</v>
      </c>
      <c r="E241" s="56" t="str">
        <f>'PR4_REO_AU-MY_MtWeld_Monazite'!E328</f>
        <v>kilogram</v>
      </c>
      <c r="F241" s="57" t="str">
        <f>'PR4_REO_AU-MY_MtWeld_Monazite'!F328</f>
        <v>Rare Earths</v>
      </c>
      <c r="G241" s="56" t="s">
        <v>25</v>
      </c>
    </row>
    <row r="242" spans="1:15" x14ac:dyDescent="0.25">
      <c r="A242" s="56" t="str">
        <f>PR5_REO_CN_IAC!A286</f>
        <v>Lanthanum oxide (La2O3) production from ion-adsorption clays in China (La content)</v>
      </c>
      <c r="B242" s="56" t="str">
        <f>PR5_REO_CN_IAC!B286</f>
        <v>La2O3 (La content)</v>
      </c>
      <c r="C242" s="56" t="str">
        <f>PR5_REO_CN_IAC!C286</f>
        <v>CN</v>
      </c>
      <c r="D242" s="56">
        <v>8.1084211745627244E-2</v>
      </c>
      <c r="E242" s="56" t="str">
        <f>PR5_REO_CN_IAC!E286</f>
        <v>kilogram</v>
      </c>
      <c r="F242" s="57" t="str">
        <f>PR5_REO_CN_IAC!F286</f>
        <v>Rare Earths</v>
      </c>
      <c r="G242" s="56" t="s">
        <v>25</v>
      </c>
    </row>
    <row r="243" spans="1:15" s="58" customFormat="1" x14ac:dyDescent="0.25"/>
    <row r="244" spans="1:15" x14ac:dyDescent="0.25">
      <c r="A244" s="59" t="s">
        <v>0</v>
      </c>
      <c r="B244" s="59" t="s">
        <v>642</v>
      </c>
    </row>
    <row r="245" spans="1:15" x14ac:dyDescent="0.25">
      <c r="A245" s="60" t="s">
        <v>1</v>
      </c>
      <c r="B245" s="56" t="s">
        <v>643</v>
      </c>
    </row>
    <row r="246" spans="1:15" x14ac:dyDescent="0.25">
      <c r="A246" s="60" t="s">
        <v>2</v>
      </c>
      <c r="B246" s="56" t="s">
        <v>23</v>
      </c>
    </row>
    <row r="247" spans="1:15" x14ac:dyDescent="0.25">
      <c r="A247" s="60" t="s">
        <v>4</v>
      </c>
      <c r="B247" s="56">
        <v>1</v>
      </c>
    </row>
    <row r="248" spans="1:15" x14ac:dyDescent="0.25">
      <c r="A248" s="60" t="s">
        <v>5</v>
      </c>
      <c r="B248" s="56" t="s">
        <v>6</v>
      </c>
    </row>
    <row r="249" spans="1:15" x14ac:dyDescent="0.25">
      <c r="A249" s="60" t="s">
        <v>7</v>
      </c>
      <c r="B249" s="67" t="s">
        <v>8</v>
      </c>
    </row>
    <row r="250" spans="1:15" x14ac:dyDescent="0.25">
      <c r="A250" s="60" t="s">
        <v>9</v>
      </c>
    </row>
    <row r="251" spans="1:15" x14ac:dyDescent="0.25">
      <c r="A251" s="59" t="s">
        <v>10</v>
      </c>
      <c r="B251" s="59" t="s">
        <v>1</v>
      </c>
      <c r="C251" s="59" t="s">
        <v>2</v>
      </c>
      <c r="D251" s="59" t="s">
        <v>4</v>
      </c>
      <c r="E251" s="59" t="s">
        <v>5</v>
      </c>
      <c r="F251" s="59" t="s">
        <v>11</v>
      </c>
      <c r="G251" s="59" t="s">
        <v>12</v>
      </c>
      <c r="H251" s="59" t="s">
        <v>13</v>
      </c>
      <c r="I251" s="59" t="s">
        <v>14</v>
      </c>
      <c r="J251" s="59" t="s">
        <v>15</v>
      </c>
      <c r="K251" s="59" t="s">
        <v>16</v>
      </c>
      <c r="L251" s="59" t="s">
        <v>17</v>
      </c>
      <c r="M251" s="59" t="s">
        <v>18</v>
      </c>
      <c r="N251" s="59" t="s">
        <v>19</v>
      </c>
      <c r="O251" s="59" t="s">
        <v>7</v>
      </c>
    </row>
    <row r="252" spans="1:15" x14ac:dyDescent="0.25">
      <c r="A252" s="56" t="str">
        <f>B244</f>
        <v>Lutetium (Lu) global market</v>
      </c>
      <c r="B252" s="56" t="str">
        <f>B245</f>
        <v>Lu oxide (Lu2O3)</v>
      </c>
      <c r="C252" s="56" t="str">
        <f>B246</f>
        <v>GLO</v>
      </c>
      <c r="D252" s="64">
        <v>1</v>
      </c>
      <c r="E252" s="56" t="str">
        <f>B248</f>
        <v>kilogram</v>
      </c>
      <c r="F252" s="57" t="str">
        <f>F237</f>
        <v>Rare Earths</v>
      </c>
      <c r="G252" s="56" t="s">
        <v>20</v>
      </c>
    </row>
    <row r="253" spans="1:15" x14ac:dyDescent="0.25">
      <c r="A253" s="56" t="str">
        <f>'PR3_REO_CN_BayanObo_Bast-Mona'!A399</f>
        <v xml:space="preserve">Lutetium oxide (Lu2O3) production in China/Bayan Obo </v>
      </c>
      <c r="B253" s="56" t="str">
        <f>'PR3_REO_CN_BayanObo_Bast-Mona'!B399</f>
        <v>Lu2O3</v>
      </c>
      <c r="C253" s="56" t="str">
        <f>'PR3_REO_CN_BayanObo_Bast-Mona'!C399</f>
        <v>CN</v>
      </c>
      <c r="D253" s="56">
        <v>0.82051282051282048</v>
      </c>
      <c r="E253" s="56" t="str">
        <f>'PR3_REO_CN_BayanObo_Bast-Mona'!E399</f>
        <v>kilogram</v>
      </c>
      <c r="F253" s="57" t="str">
        <f>'PR3_REO_CN_BayanObo_Bast-Mona'!F399</f>
        <v>Rare Earths</v>
      </c>
      <c r="G253" s="56" t="s">
        <v>25</v>
      </c>
    </row>
    <row r="254" spans="1:15" x14ac:dyDescent="0.25">
      <c r="A254" s="56" t="str">
        <f>PR5_REO_CN_IAC!A297</f>
        <v>Lutetium oxide (Lu2O3) production from ion-adsorption clays in China</v>
      </c>
      <c r="B254" s="56" t="str">
        <f>PR5_REO_CN_IAC!B297</f>
        <v>Lu2O3</v>
      </c>
      <c r="C254" s="56" t="str">
        <f>PR5_REO_CN_IAC!C297</f>
        <v>CN</v>
      </c>
      <c r="D254" s="56">
        <v>0.17948717948717946</v>
      </c>
      <c r="E254" s="56" t="str">
        <f>PR5_REO_CN_IAC!E297</f>
        <v>kilogram</v>
      </c>
      <c r="F254" s="57" t="str">
        <f>PR5_REO_CN_IAC!F297</f>
        <v>Rare Earths</v>
      </c>
      <c r="G254" s="56" t="s">
        <v>25</v>
      </c>
    </row>
    <row r="255" spans="1:15" s="58" customFormat="1" x14ac:dyDescent="0.25"/>
    <row r="256" spans="1:15" x14ac:dyDescent="0.25">
      <c r="A256" s="59" t="s">
        <v>0</v>
      </c>
      <c r="B256" s="59" t="s">
        <v>644</v>
      </c>
    </row>
    <row r="257" spans="1:15" x14ac:dyDescent="0.25">
      <c r="A257" s="60" t="s">
        <v>1</v>
      </c>
      <c r="B257" s="56" t="s">
        <v>645</v>
      </c>
    </row>
    <row r="258" spans="1:15" x14ac:dyDescent="0.25">
      <c r="A258" s="60" t="s">
        <v>2</v>
      </c>
      <c r="B258" s="56" t="s">
        <v>23</v>
      </c>
    </row>
    <row r="259" spans="1:15" x14ac:dyDescent="0.25">
      <c r="A259" s="60" t="s">
        <v>4</v>
      </c>
      <c r="B259" s="56">
        <v>1</v>
      </c>
    </row>
    <row r="260" spans="1:15" x14ac:dyDescent="0.25">
      <c r="A260" s="60" t="s">
        <v>5</v>
      </c>
      <c r="B260" s="56" t="s">
        <v>6</v>
      </c>
    </row>
    <row r="261" spans="1:15" x14ac:dyDescent="0.25">
      <c r="A261" s="60" t="s">
        <v>7</v>
      </c>
      <c r="B261" s="56" t="s">
        <v>444</v>
      </c>
    </row>
    <row r="262" spans="1:15" x14ac:dyDescent="0.25">
      <c r="A262" s="60" t="s">
        <v>9</v>
      </c>
    </row>
    <row r="263" spans="1:15" x14ac:dyDescent="0.25">
      <c r="A263" s="59" t="s">
        <v>10</v>
      </c>
      <c r="B263" s="59" t="s">
        <v>1</v>
      </c>
      <c r="C263" s="59" t="s">
        <v>2</v>
      </c>
      <c r="D263" s="59" t="s">
        <v>4</v>
      </c>
      <c r="E263" s="59" t="s">
        <v>5</v>
      </c>
      <c r="F263" s="59" t="s">
        <v>11</v>
      </c>
      <c r="G263" s="59" t="s">
        <v>12</v>
      </c>
      <c r="H263" s="59" t="s">
        <v>13</v>
      </c>
      <c r="I263" s="59" t="s">
        <v>14</v>
      </c>
      <c r="J263" s="59" t="s">
        <v>15</v>
      </c>
      <c r="K263" s="59" t="s">
        <v>16</v>
      </c>
      <c r="L263" s="59" t="s">
        <v>17</v>
      </c>
      <c r="M263" s="59" t="s">
        <v>18</v>
      </c>
      <c r="N263" s="59" t="s">
        <v>19</v>
      </c>
      <c r="O263" s="59" t="s">
        <v>7</v>
      </c>
    </row>
    <row r="264" spans="1:15" x14ac:dyDescent="0.25">
      <c r="A264" s="56" t="str">
        <f>B256</f>
        <v>Lutetium (Lu) global market (Lu content)</v>
      </c>
      <c r="B264" s="56" t="str">
        <f>B257</f>
        <v>Lu content</v>
      </c>
      <c r="C264" s="56" t="str">
        <f>B258</f>
        <v>GLO</v>
      </c>
      <c r="D264" s="64">
        <v>1</v>
      </c>
      <c r="E264" s="56" t="str">
        <f>B260</f>
        <v>kilogram</v>
      </c>
      <c r="F264" s="57" t="str">
        <f>F252</f>
        <v>Rare Earths</v>
      </c>
      <c r="G264" s="56" t="s">
        <v>20</v>
      </c>
    </row>
    <row r="265" spans="1:15" x14ac:dyDescent="0.25">
      <c r="A265" s="56" t="str">
        <f>'PR3_REO_CN_BayanObo_Bast-Mona'!A410</f>
        <v>Lutetium oxide (Lu2O3) production in China/Bayan Obo (Lu content)</v>
      </c>
      <c r="B265" s="56" t="str">
        <f>'PR3_REO_CN_BayanObo_Bast-Mona'!B410</f>
        <v>Lu2O3 (Lu content)</v>
      </c>
      <c r="C265" s="56" t="str">
        <f>'PR3_REO_CN_BayanObo_Bast-Mona'!C410</f>
        <v>CN</v>
      </c>
      <c r="D265" s="56">
        <v>0.82051282051282048</v>
      </c>
      <c r="E265" s="56" t="str">
        <f>'PR3_REO_CN_BayanObo_Bast-Mona'!E410</f>
        <v>kilogram</v>
      </c>
      <c r="F265" s="57" t="str">
        <f>'PR3_REO_CN_BayanObo_Bast-Mona'!F410</f>
        <v>Rare Earths</v>
      </c>
      <c r="G265" s="56" t="s">
        <v>25</v>
      </c>
    </row>
    <row r="266" spans="1:15" x14ac:dyDescent="0.25">
      <c r="A266" s="56" t="str">
        <f>PR5_REO_CN_IAC!A308</f>
        <v>Lutetium oxide (Lu2O3) production from ion-adsorption clays in China (Lu content)</v>
      </c>
      <c r="B266" s="56" t="str">
        <f>PR5_REO_CN_IAC!B308</f>
        <v>Lu2O3 (Lu content)</v>
      </c>
      <c r="C266" s="56" t="str">
        <f>PR5_REO_CN_IAC!C308</f>
        <v>CN</v>
      </c>
      <c r="D266" s="56">
        <v>0.17948717948717946</v>
      </c>
      <c r="E266" s="56" t="str">
        <f>PR5_REO_CN_IAC!E308</f>
        <v>kilogram</v>
      </c>
      <c r="F266" s="57" t="str">
        <f>PR5_REO_CN_IAC!F308</f>
        <v>Rare Earths</v>
      </c>
      <c r="G266" s="56" t="s">
        <v>25</v>
      </c>
    </row>
    <row r="267" spans="1:15" s="58" customFormat="1" x14ac:dyDescent="0.25"/>
    <row r="268" spans="1:15" x14ac:dyDescent="0.25">
      <c r="A268" s="59" t="s">
        <v>0</v>
      </c>
      <c r="B268" s="59" t="s">
        <v>646</v>
      </c>
    </row>
    <row r="269" spans="1:15" x14ac:dyDescent="0.25">
      <c r="A269" s="60" t="s">
        <v>1</v>
      </c>
      <c r="B269" s="56" t="s">
        <v>647</v>
      </c>
    </row>
    <row r="270" spans="1:15" x14ac:dyDescent="0.25">
      <c r="A270" s="60" t="s">
        <v>2</v>
      </c>
      <c r="B270" s="56" t="s">
        <v>23</v>
      </c>
    </row>
    <row r="271" spans="1:15" x14ac:dyDescent="0.25">
      <c r="A271" s="60" t="s">
        <v>4</v>
      </c>
      <c r="B271" s="56">
        <v>1</v>
      </c>
    </row>
    <row r="272" spans="1:15" x14ac:dyDescent="0.25">
      <c r="A272" s="60" t="s">
        <v>5</v>
      </c>
      <c r="B272" s="56" t="s">
        <v>6</v>
      </c>
    </row>
    <row r="273" spans="1:15" x14ac:dyDescent="0.25">
      <c r="A273" s="60" t="s">
        <v>7</v>
      </c>
      <c r="B273" s="67" t="s">
        <v>8</v>
      </c>
    </row>
    <row r="274" spans="1:15" x14ac:dyDescent="0.25">
      <c r="A274" s="60" t="s">
        <v>9</v>
      </c>
    </row>
    <row r="275" spans="1:15" x14ac:dyDescent="0.25">
      <c r="A275" s="59" t="s">
        <v>10</v>
      </c>
      <c r="B275" s="59" t="s">
        <v>1</v>
      </c>
      <c r="C275" s="59" t="s">
        <v>2</v>
      </c>
      <c r="D275" s="59" t="s">
        <v>4</v>
      </c>
      <c r="E275" s="59" t="s">
        <v>5</v>
      </c>
      <c r="F275" s="59" t="s">
        <v>11</v>
      </c>
      <c r="G275" s="59" t="s">
        <v>12</v>
      </c>
      <c r="H275" s="59" t="s">
        <v>13</v>
      </c>
      <c r="I275" s="59" t="s">
        <v>14</v>
      </c>
      <c r="J275" s="59" t="s">
        <v>15</v>
      </c>
      <c r="K275" s="59" t="s">
        <v>16</v>
      </c>
      <c r="L275" s="59" t="s">
        <v>17</v>
      </c>
      <c r="M275" s="59" t="s">
        <v>18</v>
      </c>
      <c r="N275" s="59" t="s">
        <v>19</v>
      </c>
      <c r="O275" s="59" t="s">
        <v>7</v>
      </c>
    </row>
    <row r="276" spans="1:15" x14ac:dyDescent="0.25">
      <c r="A276" s="56" t="str">
        <f>B268</f>
        <v>Praseodymium (Pr) global market</v>
      </c>
      <c r="B276" s="56" t="str">
        <f>B269</f>
        <v>Pr oxide (Pr6O11)</v>
      </c>
      <c r="C276" s="56" t="str">
        <f>B270</f>
        <v>GLO</v>
      </c>
      <c r="D276" s="64">
        <v>1</v>
      </c>
      <c r="E276" s="56" t="str">
        <f>B272</f>
        <v>kilogram</v>
      </c>
      <c r="F276" s="57" t="str">
        <f>F264</f>
        <v>Rare Earths</v>
      </c>
      <c r="G276" s="56" t="s">
        <v>20</v>
      </c>
    </row>
    <row r="277" spans="1:15" x14ac:dyDescent="0.25">
      <c r="A277" s="56" t="str">
        <f>PR1_REO_CN_Sichuan_Bastnaesite!A238</f>
        <v xml:space="preserve">Praseodymium oxide (Pr6O11) production in China/Sichuan </v>
      </c>
      <c r="B277" s="56" t="str">
        <f>PR1_REO_CN_Sichuan_Bastnaesite!B238</f>
        <v>Pr6O11</v>
      </c>
      <c r="C277" s="56" t="str">
        <f>PR1_REO_CN_Sichuan_Bastnaesite!C238</f>
        <v>CN-SWG</v>
      </c>
      <c r="D277" s="56">
        <v>0.27116877099501907</v>
      </c>
      <c r="E277" s="56" t="str">
        <f>PR1_REO_CN_Sichuan_Bastnaesite!E238</f>
        <v>kilogram</v>
      </c>
      <c r="F277" s="57" t="str">
        <f>PR1_REO_CN_Sichuan_Bastnaesite!F238</f>
        <v>Rare Earths</v>
      </c>
      <c r="G277" s="56" t="s">
        <v>25</v>
      </c>
    </row>
    <row r="278" spans="1:15" x14ac:dyDescent="0.25">
      <c r="A278" s="56" t="str">
        <f>PR2_REO_US_Mt.Pass_Bastnaesite!A222</f>
        <v>Praseodymium oxide (Pr6O11) production in the US/Mt. Pass</v>
      </c>
      <c r="B278" s="56" t="str">
        <f>PR2_REO_US_Mt.Pass_Bastnaesite!B222</f>
        <v>Pr6O11</v>
      </c>
      <c r="C278" s="56" t="str">
        <f>PR2_REO_US_Mt.Pass_Bastnaesite!C222</f>
        <v>US-WECC</v>
      </c>
      <c r="D278" s="56">
        <v>0.18255531101586936</v>
      </c>
      <c r="E278" s="56" t="str">
        <f>PR2_REO_US_Mt.Pass_Bastnaesite!E222</f>
        <v>kilogram</v>
      </c>
      <c r="F278" s="57" t="str">
        <f>PR2_REO_US_Mt.Pass_Bastnaesite!F222</f>
        <v>Rare Earths</v>
      </c>
      <c r="G278" s="56" t="s">
        <v>25</v>
      </c>
    </row>
    <row r="279" spans="1:15" x14ac:dyDescent="0.25">
      <c r="A279" s="56" t="str">
        <f>'PR3_REO_CN_BayanObo_Bast-Mona'!A421</f>
        <v xml:space="preserve">Praseodymium oxide (Pr6O11) production in China/Bayan Obo </v>
      </c>
      <c r="B279" s="56" t="str">
        <f>'PR3_REO_CN_BayanObo_Bast-Mona'!B421</f>
        <v>Pr6O11</v>
      </c>
      <c r="C279" s="56" t="str">
        <f>'PR3_REO_CN_BayanObo_Bast-Mona'!C421</f>
        <v>CN</v>
      </c>
      <c r="D279" s="56">
        <v>0.37067068226572458</v>
      </c>
      <c r="E279" s="56" t="str">
        <f>'PR3_REO_CN_BayanObo_Bast-Mona'!E421</f>
        <v>kilogram</v>
      </c>
      <c r="F279" s="57" t="str">
        <f>'PR3_REO_CN_BayanObo_Bast-Mona'!F421</f>
        <v>Rare Earths</v>
      </c>
      <c r="G279" s="56" t="s">
        <v>25</v>
      </c>
    </row>
    <row r="280" spans="1:15" x14ac:dyDescent="0.25">
      <c r="A280" s="56" t="str">
        <f>'PR4_REO_AU-MY_MtWeld_Monazite'!A339</f>
        <v>Praseodymium oxide (Pr6O11) production in Australia/Mt. Weld - Malaysia</v>
      </c>
      <c r="B280" s="56" t="str">
        <f>'PR4_REO_AU-MY_MtWeld_Monazite'!B339</f>
        <v>Pr6O11</v>
      </c>
      <c r="C280" s="56" t="str">
        <f>'PR4_REO_AU-MY_MtWeld_Monazite'!C339</f>
        <v>AU-MY</v>
      </c>
      <c r="D280" s="56">
        <v>9.4521023977759785E-2</v>
      </c>
      <c r="E280" s="56" t="str">
        <f>'PR4_REO_AU-MY_MtWeld_Monazite'!E339</f>
        <v>kilogram</v>
      </c>
      <c r="F280" s="57" t="str">
        <f>'PR4_REO_AU-MY_MtWeld_Monazite'!F339</f>
        <v>Rare Earths</v>
      </c>
      <c r="G280" s="56" t="s">
        <v>25</v>
      </c>
    </row>
    <row r="281" spans="1:15" x14ac:dyDescent="0.25">
      <c r="A281" s="56" t="str">
        <f>PR5_REO_CN_IAC!A319</f>
        <v>Praseodymium oxide (Pr6O11) production from ion-adsorption clays in China</v>
      </c>
      <c r="B281" s="56" t="str">
        <f>PR5_REO_CN_IAC!B319</f>
        <v>Pr6O11</v>
      </c>
      <c r="C281" s="56" t="str">
        <f>PR5_REO_CN_IAC!C319</f>
        <v>CN</v>
      </c>
      <c r="D281" s="56">
        <v>8.1084211745627244E-2</v>
      </c>
      <c r="E281" s="56" t="str">
        <f>PR5_REO_CN_IAC!E319</f>
        <v>kilogram</v>
      </c>
      <c r="F281" s="57" t="str">
        <f>PR5_REO_CN_IAC!F319</f>
        <v>Rare Earths</v>
      </c>
      <c r="G281" s="56" t="s">
        <v>25</v>
      </c>
    </row>
    <row r="282" spans="1:15" s="58" customFormat="1" x14ac:dyDescent="0.25"/>
    <row r="283" spans="1:15" x14ac:dyDescent="0.25">
      <c r="A283" s="59" t="s">
        <v>0</v>
      </c>
      <c r="B283" s="59" t="s">
        <v>648</v>
      </c>
    </row>
    <row r="284" spans="1:15" x14ac:dyDescent="0.25">
      <c r="A284" s="60" t="s">
        <v>1</v>
      </c>
      <c r="B284" s="56" t="s">
        <v>649</v>
      </c>
    </row>
    <row r="285" spans="1:15" x14ac:dyDescent="0.25">
      <c r="A285" s="60" t="s">
        <v>2</v>
      </c>
      <c r="B285" s="56" t="s">
        <v>23</v>
      </c>
    </row>
    <row r="286" spans="1:15" x14ac:dyDescent="0.25">
      <c r="A286" s="60" t="s">
        <v>4</v>
      </c>
      <c r="B286" s="56">
        <v>1</v>
      </c>
    </row>
    <row r="287" spans="1:15" x14ac:dyDescent="0.25">
      <c r="A287" s="60" t="s">
        <v>5</v>
      </c>
      <c r="B287" s="56" t="s">
        <v>6</v>
      </c>
    </row>
    <row r="288" spans="1:15" x14ac:dyDescent="0.25">
      <c r="A288" s="60" t="s">
        <v>7</v>
      </c>
      <c r="B288" s="56" t="s">
        <v>279</v>
      </c>
    </row>
    <row r="289" spans="1:15" x14ac:dyDescent="0.25">
      <c r="A289" s="60" t="s">
        <v>9</v>
      </c>
    </row>
    <row r="290" spans="1:15" x14ac:dyDescent="0.25">
      <c r="A290" s="59" t="s">
        <v>10</v>
      </c>
      <c r="B290" s="59" t="s">
        <v>1</v>
      </c>
      <c r="C290" s="59" t="s">
        <v>2</v>
      </c>
      <c r="D290" s="59" t="s">
        <v>4</v>
      </c>
      <c r="E290" s="59" t="s">
        <v>5</v>
      </c>
      <c r="F290" s="59" t="s">
        <v>11</v>
      </c>
      <c r="G290" s="59" t="s">
        <v>12</v>
      </c>
      <c r="H290" s="59" t="s">
        <v>13</v>
      </c>
      <c r="I290" s="59" t="s">
        <v>14</v>
      </c>
      <c r="J290" s="59" t="s">
        <v>15</v>
      </c>
      <c r="K290" s="59" t="s">
        <v>16</v>
      </c>
      <c r="L290" s="59" t="s">
        <v>17</v>
      </c>
      <c r="M290" s="59" t="s">
        <v>18</v>
      </c>
      <c r="N290" s="59" t="s">
        <v>19</v>
      </c>
      <c r="O290" s="59" t="s">
        <v>7</v>
      </c>
    </row>
    <row r="291" spans="1:15" x14ac:dyDescent="0.25">
      <c r="A291" s="56" t="str">
        <f>B283</f>
        <v>Praseodymium (Pr) global market (Pr content)</v>
      </c>
      <c r="B291" s="56" t="str">
        <f>B284</f>
        <v>Pr content</v>
      </c>
      <c r="C291" s="56" t="str">
        <f>B285</f>
        <v>GLO</v>
      </c>
      <c r="D291" s="64">
        <v>1</v>
      </c>
      <c r="E291" s="56" t="str">
        <f>B287</f>
        <v>kilogram</v>
      </c>
      <c r="F291" s="57" t="str">
        <f>F276</f>
        <v>Rare Earths</v>
      </c>
      <c r="G291" s="56" t="s">
        <v>20</v>
      </c>
    </row>
    <row r="292" spans="1:15" x14ac:dyDescent="0.25">
      <c r="A292" s="56" t="str">
        <f>PR1_REO_CN_Sichuan_Bastnaesite!A249</f>
        <v>Praseodymium oxide (Pr6O11) production in China/Sichuan (Pr content)</v>
      </c>
      <c r="B292" s="56" t="str">
        <f>PR1_REO_CN_Sichuan_Bastnaesite!B249</f>
        <v>Pr6O11 (Pr content)</v>
      </c>
      <c r="C292" s="56" t="str">
        <f>PR1_REO_CN_Sichuan_Bastnaesite!C249</f>
        <v>CN-SWG</v>
      </c>
      <c r="D292" s="56">
        <v>0.27116877099501907</v>
      </c>
      <c r="E292" s="56" t="str">
        <f>PR1_REO_CN_Sichuan_Bastnaesite!E249</f>
        <v>kilogram</v>
      </c>
      <c r="F292" s="57" t="str">
        <f>PR1_REO_CN_Sichuan_Bastnaesite!F249</f>
        <v>Rare Earths</v>
      </c>
      <c r="G292" s="56" t="s">
        <v>25</v>
      </c>
    </row>
    <row r="293" spans="1:15" x14ac:dyDescent="0.25">
      <c r="A293" s="56" t="str">
        <f>PR2_REO_US_Mt.Pass_Bastnaesite!A233</f>
        <v>Praseodymium oxide (Pr6O11) production in the US/Mt. Pass (Pr content)</v>
      </c>
      <c r="B293" s="56" t="str">
        <f>PR2_REO_US_Mt.Pass_Bastnaesite!B233</f>
        <v>Pr6O11 (Pr content)</v>
      </c>
      <c r="C293" s="56" t="str">
        <f>PR2_REO_US_Mt.Pass_Bastnaesite!C233</f>
        <v>US-WECC</v>
      </c>
      <c r="D293" s="56">
        <v>0.18255531101586936</v>
      </c>
      <c r="E293" s="56" t="str">
        <f>PR2_REO_US_Mt.Pass_Bastnaesite!E233</f>
        <v>kilogram</v>
      </c>
      <c r="F293" s="57" t="str">
        <f>PR2_REO_US_Mt.Pass_Bastnaesite!F233</f>
        <v>Rare Earths</v>
      </c>
      <c r="G293" s="56" t="s">
        <v>25</v>
      </c>
    </row>
    <row r="294" spans="1:15" x14ac:dyDescent="0.25">
      <c r="A294" s="56" t="str">
        <f>'PR3_REO_CN_BayanObo_Bast-Mona'!A432</f>
        <v>Praseodymium oxide (Pr6O11) production in China/Bayan Obo (Pr content)</v>
      </c>
      <c r="B294" s="56" t="str">
        <f>'PR3_REO_CN_BayanObo_Bast-Mona'!B432</f>
        <v>Pr6O11 (Pr content)</v>
      </c>
      <c r="C294" s="56" t="str">
        <f>'PR3_REO_CN_BayanObo_Bast-Mona'!C432</f>
        <v>CN</v>
      </c>
      <c r="D294" s="56">
        <v>0.37067068226572458</v>
      </c>
      <c r="E294" s="56" t="str">
        <f>'PR3_REO_CN_BayanObo_Bast-Mona'!E432</f>
        <v>kilogram</v>
      </c>
      <c r="F294" s="57" t="str">
        <f>'PR3_REO_CN_BayanObo_Bast-Mona'!F432</f>
        <v>Rare Earths</v>
      </c>
      <c r="G294" s="56" t="s">
        <v>25</v>
      </c>
    </row>
    <row r="295" spans="1:15" x14ac:dyDescent="0.25">
      <c r="A295" s="56" t="str">
        <f>'PR4_REO_AU-MY_MtWeld_Monazite'!A350</f>
        <v>Praseodymium oxide (Pr6O11) production in Australia/Mt. Weld - Malaysia (Pr content)</v>
      </c>
      <c r="B295" s="56" t="str">
        <f>'PR4_REO_AU-MY_MtWeld_Monazite'!B350</f>
        <v>Pr6O11 (Pr content)</v>
      </c>
      <c r="C295" s="56" t="str">
        <f>'PR4_REO_AU-MY_MtWeld_Monazite'!C350</f>
        <v>AU-MY</v>
      </c>
      <c r="D295" s="56">
        <v>9.4521023977759785E-2</v>
      </c>
      <c r="E295" s="56" t="str">
        <f>'PR4_REO_AU-MY_MtWeld_Monazite'!E350</f>
        <v>kilogram</v>
      </c>
      <c r="F295" s="57" t="str">
        <f>'PR4_REO_AU-MY_MtWeld_Monazite'!F350</f>
        <v>Rare Earths</v>
      </c>
      <c r="G295" s="56" t="s">
        <v>25</v>
      </c>
    </row>
    <row r="296" spans="1:15" x14ac:dyDescent="0.25">
      <c r="A296" s="56" t="str">
        <f>PR5_REO_CN_IAC!A330</f>
        <v>Praseodymium oxide (Pr6O11) production from ion-adsorption clays in China (Pr content)</v>
      </c>
      <c r="B296" s="56" t="str">
        <f>PR5_REO_CN_IAC!B330</f>
        <v>Pr6O11 (Pr content)</v>
      </c>
      <c r="C296" s="56" t="str">
        <f>PR5_REO_CN_IAC!C330</f>
        <v>CN</v>
      </c>
      <c r="D296" s="56">
        <v>8.1084211745627244E-2</v>
      </c>
      <c r="E296" s="56" t="str">
        <f>PR5_REO_CN_IAC!E330</f>
        <v>kilogram</v>
      </c>
      <c r="F296" s="57" t="str">
        <f>PR5_REO_CN_IAC!F330</f>
        <v>Rare Earths</v>
      </c>
      <c r="G296" s="56" t="s">
        <v>25</v>
      </c>
    </row>
    <row r="297" spans="1:15" s="58" customFormat="1" x14ac:dyDescent="0.25"/>
    <row r="298" spans="1:15" x14ac:dyDescent="0.25">
      <c r="A298" s="59" t="s">
        <v>0</v>
      </c>
      <c r="B298" s="59" t="s">
        <v>650</v>
      </c>
    </row>
    <row r="299" spans="1:15" x14ac:dyDescent="0.25">
      <c r="A299" s="60" t="s">
        <v>1</v>
      </c>
      <c r="B299" s="56" t="s">
        <v>651</v>
      </c>
    </row>
    <row r="300" spans="1:15" x14ac:dyDescent="0.25">
      <c r="A300" s="60" t="s">
        <v>2</v>
      </c>
      <c r="B300" s="56" t="s">
        <v>23</v>
      </c>
    </row>
    <row r="301" spans="1:15" x14ac:dyDescent="0.25">
      <c r="A301" s="60" t="s">
        <v>4</v>
      </c>
      <c r="B301" s="56">
        <v>1</v>
      </c>
    </row>
    <row r="302" spans="1:15" x14ac:dyDescent="0.25">
      <c r="A302" s="60" t="s">
        <v>5</v>
      </c>
      <c r="B302" s="56" t="s">
        <v>6</v>
      </c>
    </row>
    <row r="303" spans="1:15" x14ac:dyDescent="0.25">
      <c r="A303" s="60" t="s">
        <v>7</v>
      </c>
      <c r="B303" s="67" t="s">
        <v>8</v>
      </c>
    </row>
    <row r="304" spans="1:15" x14ac:dyDescent="0.25">
      <c r="A304" s="60" t="s">
        <v>9</v>
      </c>
    </row>
    <row r="305" spans="1:15" x14ac:dyDescent="0.25">
      <c r="A305" s="59" t="s">
        <v>10</v>
      </c>
      <c r="B305" s="59" t="s">
        <v>1</v>
      </c>
      <c r="C305" s="59" t="s">
        <v>2</v>
      </c>
      <c r="D305" s="59" t="s">
        <v>4</v>
      </c>
      <c r="E305" s="59" t="s">
        <v>5</v>
      </c>
      <c r="F305" s="59" t="s">
        <v>11</v>
      </c>
      <c r="G305" s="59" t="s">
        <v>12</v>
      </c>
      <c r="H305" s="59" t="s">
        <v>13</v>
      </c>
      <c r="I305" s="59" t="s">
        <v>14</v>
      </c>
      <c r="J305" s="59" t="s">
        <v>15</v>
      </c>
      <c r="K305" s="59" t="s">
        <v>16</v>
      </c>
      <c r="L305" s="59" t="s">
        <v>17</v>
      </c>
      <c r="M305" s="59" t="s">
        <v>18</v>
      </c>
      <c r="N305" s="59" t="s">
        <v>19</v>
      </c>
      <c r="O305" s="59" t="s">
        <v>7</v>
      </c>
    </row>
    <row r="306" spans="1:15" x14ac:dyDescent="0.25">
      <c r="A306" s="56" t="str">
        <f>B298</f>
        <v>Samarium (Sm) global market</v>
      </c>
      <c r="B306" s="56" t="str">
        <f>B299</f>
        <v>Sm oxide (Sm2O3)</v>
      </c>
      <c r="C306" s="56" t="str">
        <f>B300</f>
        <v>GLO</v>
      </c>
      <c r="D306" s="64">
        <v>1</v>
      </c>
      <c r="E306" s="56" t="str">
        <f>B302</f>
        <v>kilogram</v>
      </c>
      <c r="F306" s="57" t="str">
        <f>F291</f>
        <v>Rare Earths</v>
      </c>
      <c r="G306" s="56" t="s">
        <v>20</v>
      </c>
    </row>
    <row r="307" spans="1:15" x14ac:dyDescent="0.25">
      <c r="A307" s="56" t="str">
        <f>PR1_REO_CN_Sichuan_Bastnaesite!A260</f>
        <v xml:space="preserve">Samarium oxide (Sm2O3) production in China/Sichuan </v>
      </c>
      <c r="B307" s="56" t="str">
        <f>PR1_REO_CN_Sichuan_Bastnaesite!B260</f>
        <v>Sm2O3</v>
      </c>
      <c r="C307" s="56" t="str">
        <f>PR1_REO_CN_Sichuan_Bastnaesite!C260</f>
        <v>CN-SWG</v>
      </c>
      <c r="D307" s="56">
        <v>0.27116877099501907</v>
      </c>
      <c r="E307" s="56" t="str">
        <f>PR1_REO_CN_Sichuan_Bastnaesite!E260</f>
        <v>kilogram</v>
      </c>
      <c r="F307" s="57" t="str">
        <f>PR1_REO_CN_Sichuan_Bastnaesite!F260</f>
        <v>Rare Earths</v>
      </c>
      <c r="G307" s="56" t="s">
        <v>25</v>
      </c>
    </row>
    <row r="308" spans="1:15" x14ac:dyDescent="0.25">
      <c r="A308" s="56" t="str">
        <f>PR2_REO_US_Mt.Pass_Bastnaesite!A244</f>
        <v>Samarium oxide (Sm2O3) production in the US/Mt. Pass</v>
      </c>
      <c r="B308" s="56" t="str">
        <f>PR2_REO_US_Mt.Pass_Bastnaesite!B244</f>
        <v>Sm2O3</v>
      </c>
      <c r="C308" s="56" t="str">
        <f>PR2_REO_US_Mt.Pass_Bastnaesite!C244</f>
        <v>US-WECC</v>
      </c>
      <c r="D308" s="56">
        <v>0.18255531101586936</v>
      </c>
      <c r="E308" s="56" t="str">
        <f>PR2_REO_US_Mt.Pass_Bastnaesite!E244</f>
        <v>kilogram</v>
      </c>
      <c r="F308" s="57" t="str">
        <f>PR2_REO_US_Mt.Pass_Bastnaesite!F244</f>
        <v>Rare Earths</v>
      </c>
      <c r="G308" s="56" t="s">
        <v>25</v>
      </c>
    </row>
    <row r="309" spans="1:15" x14ac:dyDescent="0.25">
      <c r="A309" s="56" t="str">
        <f>'PR3_REO_CN_BayanObo_Bast-Mona'!A443</f>
        <v>Samarium oxide (Sm2O3) production in China/Bayan Obo</v>
      </c>
      <c r="B309" s="56" t="str">
        <f>'PR3_REO_CN_BayanObo_Bast-Mona'!B443</f>
        <v>Sm2O3</v>
      </c>
      <c r="C309" s="56" t="str">
        <f>'PR3_REO_CN_BayanObo_Bast-Mona'!C443</f>
        <v>CN</v>
      </c>
      <c r="D309" s="56">
        <v>0.37067068226572458</v>
      </c>
      <c r="E309" s="56" t="str">
        <f>'PR3_REO_CN_BayanObo_Bast-Mona'!E443</f>
        <v>kilogram</v>
      </c>
      <c r="F309" s="57" t="str">
        <f>'PR3_REO_CN_BayanObo_Bast-Mona'!F443</f>
        <v>Rare Earths</v>
      </c>
      <c r="G309" s="56" t="s">
        <v>25</v>
      </c>
    </row>
    <row r="310" spans="1:15" x14ac:dyDescent="0.25">
      <c r="A310" s="56" t="str">
        <f>'PR4_REO_AU-MY_MtWeld_Monazite'!A361</f>
        <v>Samarium oxide (Sm2O3) production in Australia/Mt. Weld - Malaysia</v>
      </c>
      <c r="B310" s="56" t="str">
        <f>'PR4_REO_AU-MY_MtWeld_Monazite'!B361</f>
        <v>Sm2O3</v>
      </c>
      <c r="C310" s="56" t="str">
        <f>'PR4_REO_AU-MY_MtWeld_Monazite'!C361</f>
        <v>AU-MY</v>
      </c>
      <c r="D310" s="56">
        <v>9.4521023977759785E-2</v>
      </c>
      <c r="E310" s="56" t="str">
        <f>'PR4_REO_AU-MY_MtWeld_Monazite'!E361</f>
        <v>kilogram</v>
      </c>
      <c r="F310" s="57" t="str">
        <f>'PR4_REO_AU-MY_MtWeld_Monazite'!F361</f>
        <v>Rare Earths</v>
      </c>
      <c r="G310" s="56" t="s">
        <v>25</v>
      </c>
    </row>
    <row r="311" spans="1:15" x14ac:dyDescent="0.25">
      <c r="A311" s="56" t="str">
        <f>PR5_REO_CN_IAC!A341</f>
        <v>Samarium oxide (Sm2O3) production from ion-adsorption clays in China</v>
      </c>
      <c r="B311" s="56" t="str">
        <f>PR5_REO_CN_IAC!B341</f>
        <v>Sm2O3</v>
      </c>
      <c r="C311" s="56" t="str">
        <f>PR5_REO_CN_IAC!C341</f>
        <v>CN</v>
      </c>
      <c r="D311" s="56">
        <v>8.1084211745627244E-2</v>
      </c>
      <c r="E311" s="56" t="str">
        <f>PR5_REO_CN_IAC!E341</f>
        <v>kilogram</v>
      </c>
      <c r="F311" s="57" t="str">
        <f>PR5_REO_CN_IAC!F341</f>
        <v>Rare Earths</v>
      </c>
      <c r="G311" s="56" t="s">
        <v>25</v>
      </c>
    </row>
    <row r="312" spans="1:15" s="58" customFormat="1" x14ac:dyDescent="0.25"/>
    <row r="313" spans="1:15" x14ac:dyDescent="0.25">
      <c r="A313" s="59" t="s">
        <v>0</v>
      </c>
      <c r="B313" s="59" t="s">
        <v>652</v>
      </c>
    </row>
    <row r="314" spans="1:15" x14ac:dyDescent="0.25">
      <c r="A314" s="60" t="s">
        <v>1</v>
      </c>
      <c r="B314" s="56" t="s">
        <v>653</v>
      </c>
    </row>
    <row r="315" spans="1:15" x14ac:dyDescent="0.25">
      <c r="A315" s="60" t="s">
        <v>2</v>
      </c>
      <c r="B315" s="56" t="s">
        <v>23</v>
      </c>
    </row>
    <row r="316" spans="1:15" x14ac:dyDescent="0.25">
      <c r="A316" s="60" t="s">
        <v>4</v>
      </c>
      <c r="B316" s="56">
        <v>1</v>
      </c>
    </row>
    <row r="317" spans="1:15" x14ac:dyDescent="0.25">
      <c r="A317" s="60" t="s">
        <v>5</v>
      </c>
      <c r="B317" s="56" t="s">
        <v>6</v>
      </c>
    </row>
    <row r="318" spans="1:15" x14ac:dyDescent="0.25">
      <c r="A318" s="60" t="s">
        <v>7</v>
      </c>
      <c r="B318" s="56" t="s">
        <v>284</v>
      </c>
    </row>
    <row r="319" spans="1:15" x14ac:dyDescent="0.25">
      <c r="A319" s="60" t="s">
        <v>9</v>
      </c>
    </row>
    <row r="320" spans="1:15" x14ac:dyDescent="0.25">
      <c r="A320" s="59" t="s">
        <v>10</v>
      </c>
      <c r="B320" s="59" t="s">
        <v>1</v>
      </c>
      <c r="C320" s="59" t="s">
        <v>2</v>
      </c>
      <c r="D320" s="59" t="s">
        <v>4</v>
      </c>
      <c r="E320" s="59" t="s">
        <v>5</v>
      </c>
      <c r="F320" s="59" t="s">
        <v>11</v>
      </c>
      <c r="G320" s="59" t="s">
        <v>12</v>
      </c>
      <c r="H320" s="59" t="s">
        <v>13</v>
      </c>
      <c r="I320" s="59" t="s">
        <v>14</v>
      </c>
      <c r="J320" s="59" t="s">
        <v>15</v>
      </c>
      <c r="K320" s="59" t="s">
        <v>16</v>
      </c>
      <c r="L320" s="59" t="s">
        <v>17</v>
      </c>
      <c r="M320" s="59" t="s">
        <v>18</v>
      </c>
      <c r="N320" s="59" t="s">
        <v>19</v>
      </c>
      <c r="O320" s="59" t="s">
        <v>7</v>
      </c>
    </row>
    <row r="321" spans="1:15" x14ac:dyDescent="0.25">
      <c r="A321" s="56" t="str">
        <f>B313</f>
        <v>Samarium (Sm) global market (Sm content)</v>
      </c>
      <c r="B321" s="56" t="str">
        <f>B314</f>
        <v>Sm content</v>
      </c>
      <c r="C321" s="56" t="str">
        <f>B315</f>
        <v>GLO</v>
      </c>
      <c r="D321" s="64">
        <v>1</v>
      </c>
      <c r="E321" s="56" t="str">
        <f>B317</f>
        <v>kilogram</v>
      </c>
      <c r="F321" s="57" t="str">
        <f>F306</f>
        <v>Rare Earths</v>
      </c>
      <c r="G321" s="56" t="s">
        <v>20</v>
      </c>
    </row>
    <row r="322" spans="1:15" x14ac:dyDescent="0.25">
      <c r="A322" s="56" t="str">
        <f>PR1_REO_CN_Sichuan_Bastnaesite!A271</f>
        <v>Samarium oxide (Sm2O3) production in China/Sichuan (Sm content)</v>
      </c>
      <c r="B322" s="56" t="str">
        <f>PR1_REO_CN_Sichuan_Bastnaesite!B271</f>
        <v>Sm2O3 (Sm content)</v>
      </c>
      <c r="C322" s="56" t="str">
        <f>PR1_REO_CN_Sichuan_Bastnaesite!C271</f>
        <v>CN-SWG</v>
      </c>
      <c r="D322" s="56">
        <v>0.27116877099501907</v>
      </c>
      <c r="E322" s="56" t="str">
        <f>PR1_REO_CN_Sichuan_Bastnaesite!E271</f>
        <v>kilogram</v>
      </c>
      <c r="F322" s="56" t="str">
        <f>PR1_REO_CN_Sichuan_Bastnaesite!F271</f>
        <v>Rare Earths</v>
      </c>
      <c r="G322" s="56" t="s">
        <v>25</v>
      </c>
    </row>
    <row r="323" spans="1:15" x14ac:dyDescent="0.25">
      <c r="A323" s="56" t="str">
        <f>PR2_REO_US_Mt.Pass_Bastnaesite!A255</f>
        <v>Samarium oxide (Sm2O3) production in the US/Mt. Pass (Sm content)</v>
      </c>
      <c r="B323" s="56" t="str">
        <f>PR2_REO_US_Mt.Pass_Bastnaesite!B255</f>
        <v>Sm2O3 (Sm content)</v>
      </c>
      <c r="C323" s="56" t="str">
        <f>PR2_REO_US_Mt.Pass_Bastnaesite!C255</f>
        <v>US-WECC</v>
      </c>
      <c r="D323" s="56">
        <v>0.18255531101586936</v>
      </c>
      <c r="E323" s="56" t="str">
        <f>PR2_REO_US_Mt.Pass_Bastnaesite!E255</f>
        <v>kilogram</v>
      </c>
      <c r="F323" s="56" t="str">
        <f>PR2_REO_US_Mt.Pass_Bastnaesite!F255</f>
        <v>Rare Earths</v>
      </c>
      <c r="G323" s="56" t="s">
        <v>25</v>
      </c>
    </row>
    <row r="324" spans="1:15" x14ac:dyDescent="0.25">
      <c r="A324" s="56" t="str">
        <f>'PR3_REO_CN_BayanObo_Bast-Mona'!A454</f>
        <v>Samarium oxide (Sm2O3) production in China/Bayan Obo (Sm content)</v>
      </c>
      <c r="B324" s="56" t="str">
        <f>'PR3_REO_CN_BayanObo_Bast-Mona'!B454</f>
        <v>Sm2O3 (Sm content)</v>
      </c>
      <c r="C324" s="56" t="str">
        <f>'PR3_REO_CN_BayanObo_Bast-Mona'!C454</f>
        <v>CN</v>
      </c>
      <c r="D324" s="56">
        <v>0.37067068226572458</v>
      </c>
      <c r="E324" s="56" t="str">
        <f>'PR3_REO_CN_BayanObo_Bast-Mona'!E454</f>
        <v>kilogram</v>
      </c>
      <c r="F324" s="56" t="str">
        <f>'PR3_REO_CN_BayanObo_Bast-Mona'!F454</f>
        <v>Rare Earths</v>
      </c>
      <c r="G324" s="56" t="s">
        <v>25</v>
      </c>
    </row>
    <row r="325" spans="1:15" x14ac:dyDescent="0.25">
      <c r="A325" s="56" t="str">
        <f>'PR4_REO_AU-MY_MtWeld_Monazite'!A372</f>
        <v>Samarium oxide (Sm2O3) production in Australia/Mt. Weld - Malaysia (Sm content)</v>
      </c>
      <c r="B325" s="56" t="str">
        <f>'PR4_REO_AU-MY_MtWeld_Monazite'!B372</f>
        <v>Sm2O3 (Sm content)</v>
      </c>
      <c r="C325" s="56" t="str">
        <f>'PR4_REO_AU-MY_MtWeld_Monazite'!C372</f>
        <v>AU-MY</v>
      </c>
      <c r="D325" s="56">
        <v>9.4521023977759785E-2</v>
      </c>
      <c r="E325" s="56" t="str">
        <f>'PR4_REO_AU-MY_MtWeld_Monazite'!E372</f>
        <v>kilogram</v>
      </c>
      <c r="F325" s="56" t="str">
        <f>'PR4_REO_AU-MY_MtWeld_Monazite'!F372</f>
        <v>Rare Earths</v>
      </c>
      <c r="G325" s="56" t="s">
        <v>25</v>
      </c>
    </row>
    <row r="326" spans="1:15" x14ac:dyDescent="0.25">
      <c r="A326" s="56" t="str">
        <f>PR5_REO_CN_IAC!A352</f>
        <v>Samarium oxide (Sm2O3) production from ion-adsorption clays in China (Sm content)</v>
      </c>
      <c r="B326" s="56" t="str">
        <f>PR5_REO_CN_IAC!B352</f>
        <v>Sm2O3 (Sm content)</v>
      </c>
      <c r="C326" s="56" t="str">
        <f>PR5_REO_CN_IAC!C352</f>
        <v>CN</v>
      </c>
      <c r="D326" s="56">
        <v>8.1084211745627244E-2</v>
      </c>
      <c r="E326" s="56" t="str">
        <f>PR5_REO_CN_IAC!E352</f>
        <v>kilogram</v>
      </c>
      <c r="F326" s="56" t="str">
        <f>PR5_REO_CN_IAC!F352</f>
        <v>Rare Earths</v>
      </c>
      <c r="G326" s="56" t="s">
        <v>25</v>
      </c>
    </row>
    <row r="327" spans="1:15" s="58" customFormat="1" x14ac:dyDescent="0.25"/>
    <row r="328" spans="1:15" x14ac:dyDescent="0.25">
      <c r="A328" s="59" t="s">
        <v>0</v>
      </c>
      <c r="B328" s="59" t="s">
        <v>654</v>
      </c>
    </row>
    <row r="329" spans="1:15" x14ac:dyDescent="0.25">
      <c r="A329" s="60" t="s">
        <v>1</v>
      </c>
      <c r="B329" s="56" t="s">
        <v>655</v>
      </c>
    </row>
    <row r="330" spans="1:15" x14ac:dyDescent="0.25">
      <c r="A330" s="60" t="s">
        <v>2</v>
      </c>
      <c r="B330" s="56" t="s">
        <v>23</v>
      </c>
    </row>
    <row r="331" spans="1:15" x14ac:dyDescent="0.25">
      <c r="A331" s="60" t="s">
        <v>4</v>
      </c>
      <c r="B331" s="56">
        <v>1</v>
      </c>
    </row>
    <row r="332" spans="1:15" x14ac:dyDescent="0.25">
      <c r="A332" s="60" t="s">
        <v>5</v>
      </c>
      <c r="B332" s="56" t="s">
        <v>6</v>
      </c>
    </row>
    <row r="333" spans="1:15" x14ac:dyDescent="0.25">
      <c r="A333" s="60" t="s">
        <v>7</v>
      </c>
      <c r="B333" s="67" t="s">
        <v>8</v>
      </c>
    </row>
    <row r="334" spans="1:15" x14ac:dyDescent="0.25">
      <c r="A334" s="60" t="s">
        <v>9</v>
      </c>
    </row>
    <row r="335" spans="1:15" x14ac:dyDescent="0.25">
      <c r="A335" s="59" t="s">
        <v>10</v>
      </c>
      <c r="B335" s="59" t="s">
        <v>1</v>
      </c>
      <c r="C335" s="59" t="s">
        <v>2</v>
      </c>
      <c r="D335" s="59" t="s">
        <v>4</v>
      </c>
      <c r="E335" s="59" t="s">
        <v>5</v>
      </c>
      <c r="F335" s="59" t="s">
        <v>11</v>
      </c>
      <c r="G335" s="59" t="s">
        <v>12</v>
      </c>
      <c r="H335" s="59" t="s">
        <v>13</v>
      </c>
      <c r="I335" s="59" t="s">
        <v>14</v>
      </c>
      <c r="J335" s="59" t="s">
        <v>15</v>
      </c>
      <c r="K335" s="59" t="s">
        <v>16</v>
      </c>
      <c r="L335" s="59" t="s">
        <v>17</v>
      </c>
      <c r="M335" s="59" t="s">
        <v>18</v>
      </c>
      <c r="N335" s="59" t="s">
        <v>19</v>
      </c>
      <c r="O335" s="59" t="s">
        <v>7</v>
      </c>
    </row>
    <row r="336" spans="1:15" x14ac:dyDescent="0.25">
      <c r="A336" s="56" t="str">
        <f>B328</f>
        <v>Terbium (Tb) global market</v>
      </c>
      <c r="B336" s="56" t="str">
        <f>B329</f>
        <v>Tb oxide (Tb4O7)</v>
      </c>
      <c r="C336" s="56" t="str">
        <f>B330</f>
        <v>GLO</v>
      </c>
      <c r="D336" s="64">
        <v>1</v>
      </c>
      <c r="E336" s="56" t="str">
        <f>B332</f>
        <v>kilogram</v>
      </c>
      <c r="F336" s="57" t="str">
        <f>F321</f>
        <v>Rare Earths</v>
      </c>
      <c r="G336" s="56" t="s">
        <v>20</v>
      </c>
    </row>
    <row r="337" spans="1:15" x14ac:dyDescent="0.25">
      <c r="A337" s="56" t="str">
        <f>'PR3_REO_CN_BayanObo_Bast-Mona'!A465</f>
        <v xml:space="preserve">Terbium oxide (Tb4O7) production in China/Bayan Obo </v>
      </c>
      <c r="B337" s="56" t="str">
        <f>'PR3_REO_CN_BayanObo_Bast-Mona'!B465</f>
        <v>Tb4O7</v>
      </c>
      <c r="C337" s="56" t="str">
        <f>'PR3_REO_CN_BayanObo_Bast-Mona'!C465</f>
        <v>CN</v>
      </c>
      <c r="D337" s="56">
        <v>0.67854113655640369</v>
      </c>
      <c r="E337" s="56" t="str">
        <f>'PR3_REO_CN_BayanObo_Bast-Mona'!E465</f>
        <v>kilogram</v>
      </c>
      <c r="F337" s="57" t="str">
        <f>'PR3_REO_CN_BayanObo_Bast-Mona'!F465</f>
        <v>Rare Earths</v>
      </c>
      <c r="G337" s="56" t="s">
        <v>25</v>
      </c>
    </row>
    <row r="338" spans="1:15" x14ac:dyDescent="0.25">
      <c r="A338" s="56" t="str">
        <f>'PR4_REO_AU-MY_MtWeld_Monazite'!A383</f>
        <v>Terbium oxide (Tb4O7) production in Australia/Mt. Weld - Malaysia</v>
      </c>
      <c r="B338" s="56" t="str">
        <f>'PR4_REO_AU-MY_MtWeld_Monazite'!B383</f>
        <v>Tb4O7</v>
      </c>
      <c r="C338" s="56" t="str">
        <f>'PR4_REO_AU-MY_MtWeld_Monazite'!C383</f>
        <v>AU-MY</v>
      </c>
      <c r="D338" s="56">
        <v>0.17302798982188297</v>
      </c>
      <c r="E338" s="56" t="str">
        <f>'PR4_REO_AU-MY_MtWeld_Monazite'!E383</f>
        <v>kilogram</v>
      </c>
      <c r="F338" s="57" t="str">
        <f>'PR4_REO_AU-MY_MtWeld_Monazite'!F383</f>
        <v>Rare Earths</v>
      </c>
      <c r="G338" s="56" t="s">
        <v>25</v>
      </c>
    </row>
    <row r="339" spans="1:15" x14ac:dyDescent="0.25">
      <c r="A339" s="56" t="str">
        <f>PR5_REO_CN_IAC!A363</f>
        <v>Terbium oxide (Tb4O7) production from ion-adsorption clays in China</v>
      </c>
      <c r="B339" s="56" t="str">
        <f>PR5_REO_CN_IAC!B363</f>
        <v>Tb4O7</v>
      </c>
      <c r="C339" s="56" t="str">
        <f>PR5_REO_CN_IAC!C363</f>
        <v>CN</v>
      </c>
      <c r="D339" s="56">
        <v>0.14843087362171328</v>
      </c>
      <c r="E339" s="56" t="str">
        <f>PR5_REO_CN_IAC!E363</f>
        <v>kilogram</v>
      </c>
      <c r="F339" s="57" t="str">
        <f>PR5_REO_CN_IAC!F363</f>
        <v>Rare Earths</v>
      </c>
      <c r="G339" s="56" t="s">
        <v>25</v>
      </c>
    </row>
    <row r="340" spans="1:15" s="58" customFormat="1" x14ac:dyDescent="0.25"/>
    <row r="341" spans="1:15" x14ac:dyDescent="0.25">
      <c r="A341" s="59" t="s">
        <v>0</v>
      </c>
      <c r="B341" s="59" t="s">
        <v>656</v>
      </c>
    </row>
    <row r="342" spans="1:15" x14ac:dyDescent="0.25">
      <c r="A342" s="60" t="s">
        <v>1</v>
      </c>
      <c r="B342" s="56" t="s">
        <v>657</v>
      </c>
    </row>
    <row r="343" spans="1:15" x14ac:dyDescent="0.25">
      <c r="A343" s="60" t="s">
        <v>2</v>
      </c>
      <c r="B343" s="56" t="s">
        <v>23</v>
      </c>
    </row>
    <row r="344" spans="1:15" x14ac:dyDescent="0.25">
      <c r="A344" s="60" t="s">
        <v>4</v>
      </c>
      <c r="B344" s="56">
        <v>1</v>
      </c>
    </row>
    <row r="345" spans="1:15" x14ac:dyDescent="0.25">
      <c r="A345" s="60" t="s">
        <v>5</v>
      </c>
      <c r="B345" s="56" t="s">
        <v>6</v>
      </c>
    </row>
    <row r="346" spans="1:15" x14ac:dyDescent="0.25">
      <c r="A346" s="60" t="s">
        <v>7</v>
      </c>
      <c r="B346" s="56" t="s">
        <v>453</v>
      </c>
    </row>
    <row r="347" spans="1:15" x14ac:dyDescent="0.25">
      <c r="A347" s="60" t="s">
        <v>9</v>
      </c>
    </row>
    <row r="348" spans="1:15" x14ac:dyDescent="0.25">
      <c r="A348" s="59" t="s">
        <v>10</v>
      </c>
      <c r="B348" s="59" t="s">
        <v>1</v>
      </c>
      <c r="C348" s="59" t="s">
        <v>2</v>
      </c>
      <c r="D348" s="59" t="s">
        <v>4</v>
      </c>
      <c r="E348" s="59" t="s">
        <v>5</v>
      </c>
      <c r="F348" s="59" t="s">
        <v>11</v>
      </c>
      <c r="G348" s="59" t="s">
        <v>12</v>
      </c>
      <c r="H348" s="59" t="s">
        <v>13</v>
      </c>
      <c r="I348" s="59" t="s">
        <v>14</v>
      </c>
      <c r="J348" s="59" t="s">
        <v>15</v>
      </c>
      <c r="K348" s="59" t="s">
        <v>16</v>
      </c>
      <c r="L348" s="59" t="s">
        <v>17</v>
      </c>
      <c r="M348" s="59" t="s">
        <v>18</v>
      </c>
      <c r="N348" s="59" t="s">
        <v>19</v>
      </c>
      <c r="O348" s="59" t="s">
        <v>7</v>
      </c>
    </row>
    <row r="349" spans="1:15" x14ac:dyDescent="0.25">
      <c r="A349" s="56" t="str">
        <f>B341</f>
        <v>Terbium (Tb) global market (Tb content)</v>
      </c>
      <c r="B349" s="56" t="str">
        <f>B342</f>
        <v>Tb content</v>
      </c>
      <c r="C349" s="56" t="str">
        <f>B343</f>
        <v>GLO</v>
      </c>
      <c r="D349" s="64">
        <v>1</v>
      </c>
      <c r="E349" s="56" t="str">
        <f>B345</f>
        <v>kilogram</v>
      </c>
      <c r="F349" s="57" t="str">
        <f>F336</f>
        <v>Rare Earths</v>
      </c>
      <c r="G349" s="56" t="s">
        <v>20</v>
      </c>
    </row>
    <row r="350" spans="1:15" x14ac:dyDescent="0.25">
      <c r="A350" s="56" t="str">
        <f>'PR3_REO_CN_BayanObo_Bast-Mona'!A476</f>
        <v>Terbium oxide (Tb4O7) production in China/Bayan Obo (Tb content)</v>
      </c>
      <c r="B350" s="56" t="str">
        <f>'PR3_REO_CN_BayanObo_Bast-Mona'!B476</f>
        <v>Tb4O7 (Tb content)</v>
      </c>
      <c r="C350" s="56" t="str">
        <f>'PR3_REO_CN_BayanObo_Bast-Mona'!C476</f>
        <v>CN</v>
      </c>
      <c r="D350" s="56">
        <v>0.67854113655640369</v>
      </c>
      <c r="E350" s="56" t="str">
        <f>'PR3_REO_CN_BayanObo_Bast-Mona'!E476</f>
        <v>kilogram</v>
      </c>
      <c r="F350" s="57" t="str">
        <f>'PR3_REO_CN_BayanObo_Bast-Mona'!F476</f>
        <v>Rare Earths</v>
      </c>
      <c r="G350" s="56" t="s">
        <v>25</v>
      </c>
    </row>
    <row r="351" spans="1:15" x14ac:dyDescent="0.25">
      <c r="A351" s="56" t="str">
        <f>'PR4_REO_AU-MY_MtWeld_Monazite'!A394</f>
        <v>Terbium oxide (Tb4O7) production in Australia/Mt. Weld - Malaysia (Tb content)</v>
      </c>
      <c r="B351" s="56" t="str">
        <f>'PR4_REO_AU-MY_MtWeld_Monazite'!B394</f>
        <v>Tb4O7 (Tb content)</v>
      </c>
      <c r="C351" s="56" t="str">
        <f>'PR4_REO_AU-MY_MtWeld_Monazite'!C394</f>
        <v>AU-MY</v>
      </c>
      <c r="D351" s="56">
        <v>0.17302798982188297</v>
      </c>
      <c r="E351" s="56" t="str">
        <f>'PR4_REO_AU-MY_MtWeld_Monazite'!E394</f>
        <v>kilogram</v>
      </c>
      <c r="F351" s="57" t="str">
        <f>'PR4_REO_AU-MY_MtWeld_Monazite'!F394</f>
        <v>Rare Earths</v>
      </c>
      <c r="G351" s="56" t="s">
        <v>25</v>
      </c>
    </row>
    <row r="352" spans="1:15" x14ac:dyDescent="0.25">
      <c r="A352" s="56" t="str">
        <f>PR5_REO_CN_IAC!A374</f>
        <v>Terbium oxide (Tb4O7) production from ion-adsorption clays in China (Tb content)</v>
      </c>
      <c r="B352" s="56" t="str">
        <f>PR5_REO_CN_IAC!B374</f>
        <v>Tb4O7 (Tb content)</v>
      </c>
      <c r="C352" s="56" t="str">
        <f>PR5_REO_CN_IAC!C374</f>
        <v>CN</v>
      </c>
      <c r="D352" s="56">
        <v>0.14843087362171328</v>
      </c>
      <c r="E352" s="56" t="str">
        <f>PR5_REO_CN_IAC!E374</f>
        <v>kilogram</v>
      </c>
      <c r="F352" s="57" t="str">
        <f>PR5_REO_CN_IAC!F374</f>
        <v>Rare Earths</v>
      </c>
      <c r="G352" s="56" t="s">
        <v>25</v>
      </c>
    </row>
    <row r="353" spans="1:15" s="58" customFormat="1" x14ac:dyDescent="0.25"/>
    <row r="354" spans="1:15" x14ac:dyDescent="0.25">
      <c r="A354" s="59" t="s">
        <v>0</v>
      </c>
      <c r="B354" s="59" t="s">
        <v>658</v>
      </c>
    </row>
    <row r="355" spans="1:15" x14ac:dyDescent="0.25">
      <c r="A355" s="60" t="s">
        <v>1</v>
      </c>
      <c r="B355" s="56" t="s">
        <v>659</v>
      </c>
    </row>
    <row r="356" spans="1:15" x14ac:dyDescent="0.25">
      <c r="A356" s="60" t="s">
        <v>2</v>
      </c>
      <c r="B356" s="56" t="s">
        <v>23</v>
      </c>
    </row>
    <row r="357" spans="1:15" x14ac:dyDescent="0.25">
      <c r="A357" s="60" t="s">
        <v>4</v>
      </c>
      <c r="B357" s="56">
        <v>1</v>
      </c>
    </row>
    <row r="358" spans="1:15" x14ac:dyDescent="0.25">
      <c r="A358" s="60" t="s">
        <v>5</v>
      </c>
      <c r="B358" s="56" t="s">
        <v>6</v>
      </c>
    </row>
    <row r="359" spans="1:15" x14ac:dyDescent="0.25">
      <c r="A359" s="60" t="s">
        <v>7</v>
      </c>
      <c r="B359" s="67" t="s">
        <v>8</v>
      </c>
    </row>
    <row r="360" spans="1:15" x14ac:dyDescent="0.25">
      <c r="A360" s="60" t="s">
        <v>9</v>
      </c>
    </row>
    <row r="361" spans="1:15" x14ac:dyDescent="0.25">
      <c r="A361" s="59" t="s">
        <v>10</v>
      </c>
      <c r="B361" s="59" t="s">
        <v>1</v>
      </c>
      <c r="C361" s="59" t="s">
        <v>2</v>
      </c>
      <c r="D361" s="59" t="s">
        <v>4</v>
      </c>
      <c r="E361" s="59" t="s">
        <v>5</v>
      </c>
      <c r="F361" s="59" t="s">
        <v>11</v>
      </c>
      <c r="G361" s="59" t="s">
        <v>12</v>
      </c>
      <c r="H361" s="59" t="s">
        <v>13</v>
      </c>
      <c r="I361" s="59" t="s">
        <v>14</v>
      </c>
      <c r="J361" s="59" t="s">
        <v>15</v>
      </c>
      <c r="K361" s="59" t="s">
        <v>16</v>
      </c>
      <c r="L361" s="59" t="s">
        <v>17</v>
      </c>
      <c r="M361" s="59" t="s">
        <v>18</v>
      </c>
      <c r="N361" s="59" t="s">
        <v>19</v>
      </c>
      <c r="O361" s="59" t="s">
        <v>7</v>
      </c>
    </row>
    <row r="362" spans="1:15" x14ac:dyDescent="0.25">
      <c r="A362" s="56" t="str">
        <f>B354</f>
        <v>Thulium (Tm) global market</v>
      </c>
      <c r="B362" s="56" t="str">
        <f>B355</f>
        <v>Tm oxide (Tm2O3)</v>
      </c>
      <c r="C362" s="56" t="str">
        <f>B356</f>
        <v>GLO</v>
      </c>
      <c r="D362" s="64">
        <v>1</v>
      </c>
      <c r="E362" s="56" t="str">
        <f>B358</f>
        <v>kilogram</v>
      </c>
      <c r="F362" s="57" t="str">
        <f>F349</f>
        <v>Rare Earths</v>
      </c>
      <c r="G362" s="56" t="s">
        <v>20</v>
      </c>
    </row>
    <row r="363" spans="1:15" x14ac:dyDescent="0.25">
      <c r="A363" s="56" t="str">
        <f>'PR3_REO_CN_BayanObo_Bast-Mona'!A487</f>
        <v xml:space="preserve">Thulium oxide (Tm2O3) production in China/Bayan Obo </v>
      </c>
      <c r="B363" s="56" t="str">
        <f>'PR3_REO_CN_BayanObo_Bast-Mona'!B487</f>
        <v>Tm2O3</v>
      </c>
      <c r="C363" s="56" t="str">
        <f>'PR3_REO_CN_BayanObo_Bast-Mona'!C487</f>
        <v>CN</v>
      </c>
      <c r="D363" s="56">
        <v>0.82051282051282048</v>
      </c>
      <c r="E363" s="56" t="str">
        <f>'PR3_REO_CN_BayanObo_Bast-Mona'!E487</f>
        <v>kilogram</v>
      </c>
      <c r="F363" s="57" t="str">
        <f>'PR3_REO_CN_BayanObo_Bast-Mona'!F487</f>
        <v>Rare Earths</v>
      </c>
      <c r="G363" s="56" t="s">
        <v>25</v>
      </c>
    </row>
    <row r="364" spans="1:15" x14ac:dyDescent="0.25">
      <c r="A364" s="56" t="str">
        <f>PR5_REO_CN_IAC!A385</f>
        <v>Thulium oxide (Tm2O3) production from ion-adsorption clays in China</v>
      </c>
      <c r="B364" s="56" t="str">
        <f>PR5_REO_CN_IAC!B385</f>
        <v>Tm2O3</v>
      </c>
      <c r="C364" s="56" t="str">
        <f>PR5_REO_CN_IAC!C385</f>
        <v>CN</v>
      </c>
      <c r="D364" s="56">
        <v>0.17948717948717946</v>
      </c>
      <c r="E364" s="56" t="str">
        <f>PR5_REO_CN_IAC!E385</f>
        <v>kilogram</v>
      </c>
      <c r="F364" s="57" t="str">
        <f>PR5_REO_CN_IAC!F385</f>
        <v>Rare Earths</v>
      </c>
      <c r="G364" s="56" t="s">
        <v>25</v>
      </c>
    </row>
    <row r="365" spans="1:15" s="58" customFormat="1" x14ac:dyDescent="0.25"/>
    <row r="366" spans="1:15" x14ac:dyDescent="0.25">
      <c r="A366" s="59" t="s">
        <v>0</v>
      </c>
      <c r="B366" s="59" t="s">
        <v>660</v>
      </c>
    </row>
    <row r="367" spans="1:15" x14ac:dyDescent="0.25">
      <c r="A367" s="60" t="s">
        <v>1</v>
      </c>
      <c r="B367" s="56" t="s">
        <v>661</v>
      </c>
    </row>
    <row r="368" spans="1:15" x14ac:dyDescent="0.25">
      <c r="A368" s="60" t="s">
        <v>2</v>
      </c>
      <c r="B368" s="56" t="s">
        <v>23</v>
      </c>
    </row>
    <row r="369" spans="1:15" x14ac:dyDescent="0.25">
      <c r="A369" s="60" t="s">
        <v>4</v>
      </c>
      <c r="B369" s="56">
        <v>1</v>
      </c>
    </row>
    <row r="370" spans="1:15" x14ac:dyDescent="0.25">
      <c r="A370" s="60" t="s">
        <v>5</v>
      </c>
      <c r="B370" s="56" t="s">
        <v>6</v>
      </c>
    </row>
    <row r="371" spans="1:15" x14ac:dyDescent="0.25">
      <c r="A371" s="60" t="s">
        <v>7</v>
      </c>
      <c r="B371" s="56" t="s">
        <v>457</v>
      </c>
    </row>
    <row r="372" spans="1:15" x14ac:dyDescent="0.25">
      <c r="A372" s="60" t="s">
        <v>9</v>
      </c>
    </row>
    <row r="373" spans="1:15" x14ac:dyDescent="0.25">
      <c r="A373" s="59" t="s">
        <v>10</v>
      </c>
      <c r="B373" s="59" t="s">
        <v>1</v>
      </c>
      <c r="C373" s="59" t="s">
        <v>2</v>
      </c>
      <c r="D373" s="59" t="s">
        <v>4</v>
      </c>
      <c r="E373" s="59" t="s">
        <v>5</v>
      </c>
      <c r="F373" s="59" t="s">
        <v>11</v>
      </c>
      <c r="G373" s="59" t="s">
        <v>12</v>
      </c>
      <c r="H373" s="59" t="s">
        <v>13</v>
      </c>
      <c r="I373" s="59" t="s">
        <v>14</v>
      </c>
      <c r="J373" s="59" t="s">
        <v>15</v>
      </c>
      <c r="K373" s="59" t="s">
        <v>16</v>
      </c>
      <c r="L373" s="59" t="s">
        <v>17</v>
      </c>
      <c r="M373" s="59" t="s">
        <v>18</v>
      </c>
      <c r="N373" s="59" t="s">
        <v>19</v>
      </c>
      <c r="O373" s="59" t="s">
        <v>7</v>
      </c>
    </row>
    <row r="374" spans="1:15" x14ac:dyDescent="0.25">
      <c r="A374" s="56" t="str">
        <f>B366</f>
        <v>Thulium (Tm) global market (Tm content)</v>
      </c>
      <c r="B374" s="56" t="str">
        <f>B367</f>
        <v>Tm content</v>
      </c>
      <c r="C374" s="56" t="str">
        <f>B368</f>
        <v>GLO</v>
      </c>
      <c r="D374" s="64">
        <v>1</v>
      </c>
      <c r="E374" s="56" t="str">
        <f>B370</f>
        <v>kilogram</v>
      </c>
      <c r="F374" s="57" t="str">
        <f>F362</f>
        <v>Rare Earths</v>
      </c>
      <c r="G374" s="56" t="s">
        <v>20</v>
      </c>
    </row>
    <row r="375" spans="1:15" x14ac:dyDescent="0.25">
      <c r="A375" s="56" t="str">
        <f>'PR3_REO_CN_BayanObo_Bast-Mona'!A498</f>
        <v>Thulium oxide (Tm2O3) production in China/Bayan Obo (Tm content)</v>
      </c>
      <c r="B375" s="56" t="str">
        <f>'PR3_REO_CN_BayanObo_Bast-Mona'!B498</f>
        <v>Tm2O3 (Tm content)</v>
      </c>
      <c r="C375" s="56" t="str">
        <f>'PR3_REO_CN_BayanObo_Bast-Mona'!C498</f>
        <v>CN</v>
      </c>
      <c r="D375" s="56">
        <v>0.82051282051282048</v>
      </c>
      <c r="E375" s="56" t="str">
        <f>'PR3_REO_CN_BayanObo_Bast-Mona'!E498</f>
        <v>kilogram</v>
      </c>
      <c r="F375" s="57" t="str">
        <f>'PR3_REO_CN_BayanObo_Bast-Mona'!F498</f>
        <v>Rare Earths</v>
      </c>
      <c r="G375" s="56" t="s">
        <v>25</v>
      </c>
    </row>
    <row r="376" spans="1:15" x14ac:dyDescent="0.25">
      <c r="A376" s="56" t="str">
        <f>PR5_REO_CN_IAC!A396</f>
        <v>Thulium oxide (Tm2O3) production from ion-adsorption clays in China (Tm content)</v>
      </c>
      <c r="B376" s="56" t="str">
        <f>PR5_REO_CN_IAC!B396</f>
        <v>Tm2O3 (Tm content)</v>
      </c>
      <c r="C376" s="56" t="str">
        <f>PR5_REO_CN_IAC!C396</f>
        <v>CN</v>
      </c>
      <c r="D376" s="56">
        <v>0.17948717948717946</v>
      </c>
      <c r="E376" s="56" t="str">
        <f>PR5_REO_CN_IAC!E396</f>
        <v>kilogram</v>
      </c>
      <c r="F376" s="57" t="str">
        <f>PR5_REO_CN_IAC!F396</f>
        <v>Rare Earths</v>
      </c>
      <c r="G376" s="56" t="s">
        <v>25</v>
      </c>
    </row>
    <row r="377" spans="1:15" s="58" customFormat="1" x14ac:dyDescent="0.25"/>
    <row r="378" spans="1:15" x14ac:dyDescent="0.25">
      <c r="A378" s="59" t="s">
        <v>0</v>
      </c>
      <c r="B378" s="59" t="s">
        <v>664</v>
      </c>
    </row>
    <row r="379" spans="1:15" x14ac:dyDescent="0.25">
      <c r="A379" s="60" t="s">
        <v>1</v>
      </c>
      <c r="B379" s="56" t="s">
        <v>665</v>
      </c>
    </row>
    <row r="380" spans="1:15" x14ac:dyDescent="0.25">
      <c r="A380" s="60" t="s">
        <v>2</v>
      </c>
      <c r="B380" s="56" t="s">
        <v>23</v>
      </c>
    </row>
    <row r="381" spans="1:15" x14ac:dyDescent="0.25">
      <c r="A381" s="60" t="s">
        <v>4</v>
      </c>
      <c r="B381" s="56">
        <v>1</v>
      </c>
    </row>
    <row r="382" spans="1:15" x14ac:dyDescent="0.25">
      <c r="A382" s="60" t="s">
        <v>5</v>
      </c>
      <c r="B382" s="56" t="s">
        <v>6</v>
      </c>
    </row>
    <row r="383" spans="1:15" x14ac:dyDescent="0.25">
      <c r="A383" s="60" t="s">
        <v>7</v>
      </c>
      <c r="B383" s="67" t="s">
        <v>8</v>
      </c>
    </row>
    <row r="384" spans="1:15" x14ac:dyDescent="0.25">
      <c r="A384" s="60" t="s">
        <v>9</v>
      </c>
    </row>
    <row r="385" spans="1:15" x14ac:dyDescent="0.25">
      <c r="A385" s="59" t="s">
        <v>10</v>
      </c>
      <c r="B385" s="59" t="s">
        <v>1</v>
      </c>
      <c r="C385" s="59" t="s">
        <v>2</v>
      </c>
      <c r="D385" s="59" t="s">
        <v>4</v>
      </c>
      <c r="E385" s="59" t="s">
        <v>5</v>
      </c>
      <c r="F385" s="59" t="s">
        <v>11</v>
      </c>
      <c r="G385" s="59" t="s">
        <v>12</v>
      </c>
      <c r="H385" s="59" t="s">
        <v>13</v>
      </c>
      <c r="I385" s="59" t="s">
        <v>14</v>
      </c>
      <c r="J385" s="59" t="s">
        <v>15</v>
      </c>
      <c r="K385" s="59" t="s">
        <v>16</v>
      </c>
      <c r="L385" s="59" t="s">
        <v>17</v>
      </c>
      <c r="M385" s="59" t="s">
        <v>18</v>
      </c>
      <c r="N385" s="59" t="s">
        <v>19</v>
      </c>
      <c r="O385" s="59" t="s">
        <v>7</v>
      </c>
    </row>
    <row r="386" spans="1:15" x14ac:dyDescent="0.25">
      <c r="A386" s="56" t="str">
        <f>B378</f>
        <v>Ytterbium (Yb) global market</v>
      </c>
      <c r="B386" s="56" t="str">
        <f>B379</f>
        <v>Yb oxide (Yb2O3)</v>
      </c>
      <c r="C386" s="56" t="str">
        <f>B380</f>
        <v>GLO</v>
      </c>
      <c r="D386" s="64">
        <v>1</v>
      </c>
      <c r="E386" s="56" t="str">
        <f>B382</f>
        <v>kilogram</v>
      </c>
      <c r="F386" s="57" t="str">
        <f>F374</f>
        <v>Rare Earths</v>
      </c>
      <c r="G386" s="56" t="s">
        <v>20</v>
      </c>
    </row>
    <row r="387" spans="1:15" x14ac:dyDescent="0.25">
      <c r="A387" s="56" t="str">
        <f>'PR3_REO_CN_BayanObo_Bast-Mona'!A509</f>
        <v>Ytterbium oxide (Yb2O3) production in China/Bayan Obo</v>
      </c>
      <c r="B387" s="56" t="str">
        <f>'PR3_REO_CN_BayanObo_Bast-Mona'!B509</f>
        <v>Yb2O3</v>
      </c>
      <c r="C387" s="56" t="str">
        <f>'PR3_REO_CN_BayanObo_Bast-Mona'!C509</f>
        <v>CN</v>
      </c>
      <c r="D387" s="56">
        <v>0.82051282051282048</v>
      </c>
      <c r="E387" s="56" t="str">
        <f>'PR3_REO_CN_BayanObo_Bast-Mona'!E509</f>
        <v>kilogram</v>
      </c>
      <c r="F387" s="57" t="str">
        <f>'PR3_REO_CN_BayanObo_Bast-Mona'!F509</f>
        <v>Rare Earths</v>
      </c>
      <c r="G387" s="56" t="s">
        <v>25</v>
      </c>
    </row>
    <row r="388" spans="1:15" x14ac:dyDescent="0.25">
      <c r="A388" s="56" t="str">
        <f>PR5_REO_CN_IAC!A407</f>
        <v>Ytterbium oxide (Yb2O3) production from ion-adsorption clays in China</v>
      </c>
      <c r="B388" s="56" t="str">
        <f>PR5_REO_CN_IAC!B407</f>
        <v>Yb2O3</v>
      </c>
      <c r="C388" s="56" t="str">
        <f>PR5_REO_CN_IAC!C407</f>
        <v>CN</v>
      </c>
      <c r="D388" s="56">
        <v>0.17948717948717946</v>
      </c>
      <c r="E388" s="56" t="str">
        <f>PR5_REO_CN_IAC!E407</f>
        <v>kilogram</v>
      </c>
      <c r="F388" s="57" t="str">
        <f>PR5_REO_CN_IAC!F407</f>
        <v>Rare Earths</v>
      </c>
      <c r="G388" s="56" t="s">
        <v>25</v>
      </c>
    </row>
    <row r="389" spans="1:15" s="58" customFormat="1" x14ac:dyDescent="0.25"/>
    <row r="390" spans="1:15" x14ac:dyDescent="0.25">
      <c r="A390" s="59" t="s">
        <v>0</v>
      </c>
      <c r="B390" s="59" t="s">
        <v>666</v>
      </c>
    </row>
    <row r="391" spans="1:15" x14ac:dyDescent="0.25">
      <c r="A391" s="60" t="s">
        <v>1</v>
      </c>
      <c r="B391" s="56" t="s">
        <v>667</v>
      </c>
    </row>
    <row r="392" spans="1:15" x14ac:dyDescent="0.25">
      <c r="A392" s="60" t="s">
        <v>2</v>
      </c>
      <c r="B392" s="56" t="s">
        <v>23</v>
      </c>
    </row>
    <row r="393" spans="1:15" x14ac:dyDescent="0.25">
      <c r="A393" s="60" t="s">
        <v>4</v>
      </c>
      <c r="B393" s="56">
        <v>1</v>
      </c>
    </row>
    <row r="394" spans="1:15" x14ac:dyDescent="0.25">
      <c r="A394" s="60" t="s">
        <v>5</v>
      </c>
      <c r="B394" s="56" t="s">
        <v>6</v>
      </c>
    </row>
    <row r="395" spans="1:15" x14ac:dyDescent="0.25">
      <c r="A395" s="60" t="s">
        <v>7</v>
      </c>
      <c r="B395" s="56" t="s">
        <v>463</v>
      </c>
    </row>
    <row r="396" spans="1:15" x14ac:dyDescent="0.25">
      <c r="A396" s="60" t="s">
        <v>9</v>
      </c>
    </row>
    <row r="397" spans="1:15" x14ac:dyDescent="0.25">
      <c r="A397" s="59" t="s">
        <v>10</v>
      </c>
      <c r="B397" s="59" t="s">
        <v>1</v>
      </c>
      <c r="C397" s="59" t="s">
        <v>2</v>
      </c>
      <c r="D397" s="59" t="s">
        <v>4</v>
      </c>
      <c r="E397" s="59" t="s">
        <v>5</v>
      </c>
      <c r="F397" s="59" t="s">
        <v>11</v>
      </c>
      <c r="G397" s="59" t="s">
        <v>12</v>
      </c>
      <c r="H397" s="59" t="s">
        <v>13</v>
      </c>
      <c r="I397" s="59" t="s">
        <v>14</v>
      </c>
      <c r="J397" s="59" t="s">
        <v>15</v>
      </c>
      <c r="K397" s="59" t="s">
        <v>16</v>
      </c>
      <c r="L397" s="59" t="s">
        <v>17</v>
      </c>
      <c r="M397" s="59" t="s">
        <v>18</v>
      </c>
      <c r="N397" s="59" t="s">
        <v>19</v>
      </c>
      <c r="O397" s="59" t="s">
        <v>7</v>
      </c>
    </row>
    <row r="398" spans="1:15" x14ac:dyDescent="0.25">
      <c r="A398" s="56" t="str">
        <f>B390</f>
        <v>Ytterbium (Yb) global market (Yb content)</v>
      </c>
      <c r="B398" s="56" t="str">
        <f>B391</f>
        <v>Yb content</v>
      </c>
      <c r="C398" s="56" t="str">
        <f>B392</f>
        <v>GLO</v>
      </c>
      <c r="D398" s="64">
        <v>1</v>
      </c>
      <c r="E398" s="56" t="str">
        <f>B394</f>
        <v>kilogram</v>
      </c>
      <c r="F398" s="57" t="str">
        <f>F386</f>
        <v>Rare Earths</v>
      </c>
      <c r="G398" s="56" t="s">
        <v>20</v>
      </c>
    </row>
    <row r="399" spans="1:15" x14ac:dyDescent="0.25">
      <c r="A399" s="56" t="str">
        <f>'PR3_REO_CN_BayanObo_Bast-Mona'!A520</f>
        <v>Ytterbium oxide (Yb2O3) production in China/Bayan Obo (Yb content)</v>
      </c>
      <c r="B399" s="56" t="str">
        <f>'PR3_REO_CN_BayanObo_Bast-Mona'!B520</f>
        <v>Yb2O3 (Yb content)</v>
      </c>
      <c r="C399" s="56" t="str">
        <f>'PR3_REO_CN_BayanObo_Bast-Mona'!C520</f>
        <v>CN</v>
      </c>
      <c r="D399" s="56">
        <v>0.82051282051282048</v>
      </c>
      <c r="E399" s="56" t="str">
        <f>'PR3_REO_CN_BayanObo_Bast-Mona'!E520</f>
        <v>kilogram</v>
      </c>
      <c r="F399" s="57" t="str">
        <f>'PR3_REO_CN_BayanObo_Bast-Mona'!F520</f>
        <v>Rare Earths</v>
      </c>
      <c r="G399" s="56" t="s">
        <v>25</v>
      </c>
    </row>
    <row r="400" spans="1:15" x14ac:dyDescent="0.25">
      <c r="A400" s="56" t="str">
        <f>PR5_REO_CN_IAC!A418</f>
        <v>Ytterbium oxide (Yb2O3) production from ion-adsorption clays in China (Yb content)</v>
      </c>
      <c r="B400" s="56" t="str">
        <f>PR5_REO_CN_IAC!B418</f>
        <v>Yb2O3 (Yb content)</v>
      </c>
      <c r="C400" s="56" t="str">
        <f>PR5_REO_CN_IAC!C418</f>
        <v>CN</v>
      </c>
      <c r="D400" s="56">
        <v>0.17948717948717946</v>
      </c>
      <c r="E400" s="56" t="str">
        <f>PR5_REO_CN_IAC!E418</f>
        <v>kilogram</v>
      </c>
      <c r="F400" s="57" t="str">
        <f>PR5_REO_CN_IAC!F418</f>
        <v>Rare Earths</v>
      </c>
      <c r="G400" s="56" t="s">
        <v>25</v>
      </c>
    </row>
    <row r="401" spans="1:15" s="58" customFormat="1" x14ac:dyDescent="0.25"/>
    <row r="402" spans="1:15" x14ac:dyDescent="0.25">
      <c r="A402" s="59" t="s">
        <v>0</v>
      </c>
      <c r="B402" s="59" t="s">
        <v>668</v>
      </c>
    </row>
    <row r="403" spans="1:15" x14ac:dyDescent="0.25">
      <c r="A403" s="60" t="s">
        <v>1</v>
      </c>
      <c r="B403" s="56" t="s">
        <v>669</v>
      </c>
    </row>
    <row r="404" spans="1:15" x14ac:dyDescent="0.25">
      <c r="A404" s="60" t="s">
        <v>2</v>
      </c>
      <c r="B404" s="56" t="s">
        <v>23</v>
      </c>
    </row>
    <row r="405" spans="1:15" x14ac:dyDescent="0.25">
      <c r="A405" s="60" t="s">
        <v>4</v>
      </c>
      <c r="B405" s="56">
        <v>1</v>
      </c>
    </row>
    <row r="406" spans="1:15" x14ac:dyDescent="0.25">
      <c r="A406" s="60" t="s">
        <v>5</v>
      </c>
      <c r="B406" s="56" t="s">
        <v>6</v>
      </c>
    </row>
    <row r="407" spans="1:15" x14ac:dyDescent="0.25">
      <c r="A407" s="60" t="s">
        <v>7</v>
      </c>
      <c r="B407" s="67" t="s">
        <v>8</v>
      </c>
    </row>
    <row r="408" spans="1:15" x14ac:dyDescent="0.25">
      <c r="A408" s="60" t="s">
        <v>9</v>
      </c>
    </row>
    <row r="409" spans="1:15" x14ac:dyDescent="0.25">
      <c r="A409" s="59" t="s">
        <v>10</v>
      </c>
      <c r="B409" s="59" t="s">
        <v>1</v>
      </c>
      <c r="C409" s="59" t="s">
        <v>2</v>
      </c>
      <c r="D409" s="59" t="s">
        <v>4</v>
      </c>
      <c r="E409" s="59" t="s">
        <v>5</v>
      </c>
      <c r="F409" s="59" t="s">
        <v>11</v>
      </c>
      <c r="G409" s="59" t="s">
        <v>12</v>
      </c>
      <c r="H409" s="59" t="s">
        <v>13</v>
      </c>
      <c r="I409" s="59" t="s">
        <v>14</v>
      </c>
      <c r="J409" s="59" t="s">
        <v>15</v>
      </c>
      <c r="K409" s="59" t="s">
        <v>16</v>
      </c>
      <c r="L409" s="59" t="s">
        <v>17</v>
      </c>
      <c r="M409" s="59" t="s">
        <v>18</v>
      </c>
      <c r="N409" s="59" t="s">
        <v>19</v>
      </c>
      <c r="O409" s="59" t="s">
        <v>7</v>
      </c>
    </row>
    <row r="410" spans="1:15" x14ac:dyDescent="0.25">
      <c r="A410" s="56" t="str">
        <f>B402</f>
        <v>Yttrium (Y) global market</v>
      </c>
      <c r="B410" s="56" t="str">
        <f>B403</f>
        <v>Y oxide (Y2O3)</v>
      </c>
      <c r="C410" s="56" t="str">
        <f>B404</f>
        <v>GLO</v>
      </c>
      <c r="D410" s="64">
        <v>1</v>
      </c>
      <c r="E410" s="56" t="str">
        <f>B406</f>
        <v>kilogram</v>
      </c>
      <c r="F410" s="57" t="str">
        <f>F398</f>
        <v>Rare Earths</v>
      </c>
      <c r="G410" s="56" t="s">
        <v>20</v>
      </c>
    </row>
    <row r="411" spans="1:15" x14ac:dyDescent="0.25">
      <c r="A411" s="56" t="str">
        <f>PR1_REO_CN_Sichuan_Bastnaesite!A282</f>
        <v xml:space="preserve">Yttrium oxide (Y2O3) production in China/Sichuan </v>
      </c>
      <c r="B411" s="56" t="str">
        <f>PR1_REO_CN_Sichuan_Bastnaesite!B282</f>
        <v>Y2O3</v>
      </c>
      <c r="C411" s="56" t="str">
        <f>PR1_REO_CN_Sichuan_Bastnaesite!C282</f>
        <v>CN-SWG</v>
      </c>
      <c r="D411" s="56">
        <v>0.29947550211078416</v>
      </c>
      <c r="E411" s="56" t="str">
        <f>PR1_REO_CN_Sichuan_Bastnaesite!E282</f>
        <v>kilogram</v>
      </c>
      <c r="F411" s="57" t="str">
        <f>PR1_REO_CN_Sichuan_Bastnaesite!F282</f>
        <v>Rare Earths</v>
      </c>
      <c r="G411" s="56" t="s">
        <v>25</v>
      </c>
    </row>
    <row r="412" spans="1:15" x14ac:dyDescent="0.25">
      <c r="A412" s="56" t="str">
        <f>PR2_REO_US_Mt.Pass_Bastnaesite!A266</f>
        <v>Yttrium oxide (Y2O3) production in the US/Mt. Pass</v>
      </c>
      <c r="B412" s="56" t="str">
        <f>PR2_REO_US_Mt.Pass_Bastnaesite!B266</f>
        <v>Y2O3</v>
      </c>
      <c r="C412" s="56" t="str">
        <f>PR2_REO_US_Mt.Pass_Bastnaesite!C266</f>
        <v>US-WECC</v>
      </c>
      <c r="D412" s="56">
        <v>0.20161187156198035</v>
      </c>
      <c r="E412" s="56" t="str">
        <f>PR2_REO_US_Mt.Pass_Bastnaesite!E266</f>
        <v>kilogram</v>
      </c>
      <c r="F412" s="57" t="str">
        <f>PR2_REO_US_Mt.Pass_Bastnaesite!F266</f>
        <v>Rare Earths</v>
      </c>
      <c r="G412" s="56" t="s">
        <v>25</v>
      </c>
    </row>
    <row r="413" spans="1:15" x14ac:dyDescent="0.25">
      <c r="A413" s="56" t="str">
        <f>'PR3_REO_CN_BayanObo_Bast-Mona'!A531</f>
        <v>Yttrium oxide (Y2O3) production in China/Bayan Obo</v>
      </c>
      <c r="B413" s="56" t="str">
        <f>'PR3_REO_CN_BayanObo_Bast-Mona'!B531</f>
        <v>Y2O3</v>
      </c>
      <c r="C413" s="56" t="str">
        <f>'PR3_REO_CN_BayanObo_Bast-Mona'!C531</f>
        <v>CN</v>
      </c>
      <c r="D413" s="56">
        <v>0.40936420621721897</v>
      </c>
      <c r="E413" s="56" t="str">
        <f>'PR3_REO_CN_BayanObo_Bast-Mona'!E531</f>
        <v>kilogram</v>
      </c>
      <c r="F413" s="57" t="str">
        <f>'PR3_REO_CN_BayanObo_Bast-Mona'!F531</f>
        <v>Rare Earths</v>
      </c>
      <c r="G413" s="56" t="s">
        <v>25</v>
      </c>
    </row>
    <row r="414" spans="1:15" x14ac:dyDescent="0.25">
      <c r="A414" s="56" t="str">
        <f>PR5_REO_CN_IAC!A429</f>
        <v>Yttrium oxide (Y2O3) production from ion-adsorption clays in China</v>
      </c>
      <c r="B414" s="56" t="str">
        <f>PR5_REO_CN_IAC!B429</f>
        <v>Y2O3</v>
      </c>
      <c r="C414" s="56" t="str">
        <f>PR5_REO_CN_IAC!C429</f>
        <v>CN</v>
      </c>
      <c r="D414" s="56">
        <v>8.9548420110016638E-2</v>
      </c>
      <c r="E414" s="56" t="str">
        <f>PR5_REO_CN_IAC!E429</f>
        <v>kilogram</v>
      </c>
      <c r="F414" s="57" t="str">
        <f>PR5_REO_CN_IAC!F429</f>
        <v>Rare Earths</v>
      </c>
      <c r="G414" s="56" t="s">
        <v>25</v>
      </c>
    </row>
    <row r="415" spans="1:15" s="58" customFormat="1" x14ac:dyDescent="0.25"/>
    <row r="416" spans="1:15" x14ac:dyDescent="0.25">
      <c r="A416" s="59" t="s">
        <v>0</v>
      </c>
      <c r="B416" s="59" t="s">
        <v>670</v>
      </c>
    </row>
    <row r="417" spans="1:15" x14ac:dyDescent="0.25">
      <c r="A417" s="60" t="s">
        <v>1</v>
      </c>
      <c r="B417" s="56" t="s">
        <v>671</v>
      </c>
    </row>
    <row r="418" spans="1:15" x14ac:dyDescent="0.25">
      <c r="A418" s="60" t="s">
        <v>2</v>
      </c>
      <c r="B418" s="56" t="s">
        <v>23</v>
      </c>
    </row>
    <row r="419" spans="1:15" x14ac:dyDescent="0.25">
      <c r="A419" s="60" t="s">
        <v>4</v>
      </c>
      <c r="B419" s="56">
        <v>1</v>
      </c>
    </row>
    <row r="420" spans="1:15" x14ac:dyDescent="0.25">
      <c r="A420" s="60" t="s">
        <v>5</v>
      </c>
      <c r="B420" s="56" t="s">
        <v>6</v>
      </c>
    </row>
    <row r="421" spans="1:15" x14ac:dyDescent="0.25">
      <c r="A421" s="60" t="s">
        <v>7</v>
      </c>
      <c r="B421" s="56" t="s">
        <v>462</v>
      </c>
    </row>
    <row r="422" spans="1:15" x14ac:dyDescent="0.25">
      <c r="A422" s="60" t="s">
        <v>9</v>
      </c>
    </row>
    <row r="423" spans="1:15" x14ac:dyDescent="0.25">
      <c r="A423" s="59" t="s">
        <v>10</v>
      </c>
      <c r="B423" s="59" t="s">
        <v>1</v>
      </c>
      <c r="C423" s="59" t="s">
        <v>2</v>
      </c>
      <c r="D423" s="59" t="s">
        <v>4</v>
      </c>
      <c r="E423" s="59" t="s">
        <v>5</v>
      </c>
      <c r="F423" s="59" t="s">
        <v>11</v>
      </c>
      <c r="G423" s="59" t="s">
        <v>12</v>
      </c>
      <c r="H423" s="59" t="s">
        <v>13</v>
      </c>
      <c r="I423" s="59" t="s">
        <v>14</v>
      </c>
      <c r="J423" s="59" t="s">
        <v>15</v>
      </c>
      <c r="K423" s="59" t="s">
        <v>16</v>
      </c>
      <c r="L423" s="59" t="s">
        <v>17</v>
      </c>
      <c r="M423" s="59" t="s">
        <v>18</v>
      </c>
      <c r="N423" s="59" t="s">
        <v>19</v>
      </c>
      <c r="O423" s="59" t="s">
        <v>7</v>
      </c>
    </row>
    <row r="424" spans="1:15" x14ac:dyDescent="0.25">
      <c r="A424" s="56" t="str">
        <f>B416</f>
        <v>Yttrium (Y) global market (Y content)</v>
      </c>
      <c r="B424" s="56" t="str">
        <f>B417</f>
        <v>Y content</v>
      </c>
      <c r="C424" s="56" t="str">
        <f>B418</f>
        <v>GLO</v>
      </c>
      <c r="D424" s="64">
        <v>1</v>
      </c>
      <c r="E424" s="56" t="str">
        <f>B420</f>
        <v>kilogram</v>
      </c>
      <c r="F424" s="57" t="str">
        <f>F410</f>
        <v>Rare Earths</v>
      </c>
      <c r="G424" s="56" t="s">
        <v>20</v>
      </c>
    </row>
    <row r="425" spans="1:15" x14ac:dyDescent="0.25">
      <c r="A425" s="56" t="str">
        <f>PR1_REO_CN_Sichuan_Bastnaesite!A293</f>
        <v>Yttrium oxide (Y2O3) production in China/Sichuan (Y content)</v>
      </c>
      <c r="B425" s="56" t="str">
        <f>PR1_REO_CN_Sichuan_Bastnaesite!B293</f>
        <v>Y2O3 (Y content)</v>
      </c>
      <c r="C425" s="56" t="str">
        <f>PR1_REO_CN_Sichuan_Bastnaesite!C293</f>
        <v>CN-SWG</v>
      </c>
      <c r="D425" s="56">
        <v>0.29947550211078416</v>
      </c>
      <c r="E425" s="56" t="str">
        <f>PR1_REO_CN_Sichuan_Bastnaesite!E293</f>
        <v>kilogram</v>
      </c>
      <c r="F425" s="57" t="str">
        <f>PR1_REO_CN_Sichuan_Bastnaesite!F293</f>
        <v>Rare Earths</v>
      </c>
      <c r="G425" s="56" t="s">
        <v>25</v>
      </c>
    </row>
    <row r="426" spans="1:15" x14ac:dyDescent="0.25">
      <c r="A426" s="56" t="str">
        <f>PR2_REO_US_Mt.Pass_Bastnaesite!A277</f>
        <v>Yttrium oxide (Y2O3) production in the US/Mt. Pass (Y content)</v>
      </c>
      <c r="B426" s="56" t="str">
        <f>PR2_REO_US_Mt.Pass_Bastnaesite!B277</f>
        <v>Y2O3 (Y content)</v>
      </c>
      <c r="C426" s="56" t="str">
        <f>PR2_REO_US_Mt.Pass_Bastnaesite!C277</f>
        <v>US-WECC</v>
      </c>
      <c r="D426" s="56">
        <v>0.20161187156198035</v>
      </c>
      <c r="E426" s="56" t="str">
        <f>PR2_REO_US_Mt.Pass_Bastnaesite!E277</f>
        <v>kilogram</v>
      </c>
      <c r="F426" s="57" t="str">
        <f>PR2_REO_US_Mt.Pass_Bastnaesite!F277</f>
        <v>Rare Earths</v>
      </c>
      <c r="G426" s="56" t="s">
        <v>25</v>
      </c>
    </row>
    <row r="427" spans="1:15" x14ac:dyDescent="0.25">
      <c r="A427" s="56" t="str">
        <f>'PR3_REO_CN_BayanObo_Bast-Mona'!A542</f>
        <v>Yttrium oxide (Y2O3) production in China/Bayan Obo (Y content)</v>
      </c>
      <c r="B427" s="56" t="str">
        <f>'PR3_REO_CN_BayanObo_Bast-Mona'!B542</f>
        <v>Y2O3 (Y content)</v>
      </c>
      <c r="C427" s="56" t="str">
        <f>'PR3_REO_CN_BayanObo_Bast-Mona'!C542</f>
        <v>CN</v>
      </c>
      <c r="D427" s="56">
        <v>0.40936420621721897</v>
      </c>
      <c r="E427" s="56" t="str">
        <f>'PR3_REO_CN_BayanObo_Bast-Mona'!E542</f>
        <v>kilogram</v>
      </c>
      <c r="F427" s="57" t="str">
        <f>'PR3_REO_CN_BayanObo_Bast-Mona'!F542</f>
        <v>Rare Earths</v>
      </c>
      <c r="G427" s="56" t="s">
        <v>25</v>
      </c>
    </row>
    <row r="428" spans="1:15" x14ac:dyDescent="0.25">
      <c r="A428" s="56" t="str">
        <f>PR5_REO_CN_IAC!A440</f>
        <v>Yttrium oxide (Y2O3) production from ion-adsorption clays in China (Y content)</v>
      </c>
      <c r="B428" s="56" t="str">
        <f>PR5_REO_CN_IAC!B440</f>
        <v>Y2O3 (Y content)</v>
      </c>
      <c r="C428" s="56" t="str">
        <f>PR5_REO_CN_IAC!C440</f>
        <v>CN</v>
      </c>
      <c r="D428" s="56">
        <v>8.9548420110016638E-2</v>
      </c>
      <c r="E428" s="56" t="str">
        <f>PR5_REO_CN_IAC!E440</f>
        <v>kilogram</v>
      </c>
      <c r="F428" s="57" t="str">
        <f>PR5_REO_CN_IAC!F440</f>
        <v>Rare Earths</v>
      </c>
      <c r="G428" s="56" t="s">
        <v>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C074E-7D14-4510-BEF9-959FBFB8FD98}">
  <sheetPr>
    <tabColor theme="8" tint="0.39997558519241921"/>
  </sheetPr>
  <dimension ref="A1:O294"/>
  <sheetViews>
    <sheetView workbookViewId="0">
      <selection activeCell="A26" sqref="A26"/>
    </sheetView>
  </sheetViews>
  <sheetFormatPr baseColWidth="10" defaultColWidth="8.7109375" defaultRowHeight="15" x14ac:dyDescent="0.25"/>
  <cols>
    <col min="1" max="1" width="74" style="56" bestFit="1" customWidth="1"/>
    <col min="2" max="2" width="82" style="56" bestFit="1" customWidth="1"/>
    <col min="3" max="3" width="8.42578125" style="56" bestFit="1" customWidth="1"/>
    <col min="4" max="4" width="12.7109375" style="56" bestFit="1" customWidth="1"/>
    <col min="5" max="5" width="13.7109375" style="56" bestFit="1" customWidth="1"/>
    <col min="6" max="6" width="19.7109375" style="56" bestFit="1" customWidth="1"/>
    <col min="7" max="7" width="13.28515625" style="56" bestFit="1" customWidth="1"/>
    <col min="8" max="8" width="10.140625" style="56" bestFit="1" customWidth="1"/>
    <col min="9" max="9" width="15.5703125" style="56" bestFit="1" customWidth="1"/>
    <col min="10" max="10" width="9.7109375" style="56" bestFit="1" customWidth="1"/>
    <col min="11" max="11" width="3.5703125" style="56" bestFit="1" customWidth="1"/>
    <col min="12" max="12" width="5.42578125" style="56" bestFit="1" customWidth="1"/>
    <col min="13" max="13" width="9.5703125" style="56" bestFit="1" customWidth="1"/>
    <col min="14" max="14" width="9.85546875" style="56" bestFit="1" customWidth="1"/>
    <col min="15" max="15" width="192.5703125" style="56" bestFit="1" customWidth="1"/>
    <col min="16" max="16384" width="8.7109375" style="56"/>
  </cols>
  <sheetData>
    <row r="1" spans="1:15" x14ac:dyDescent="0.25">
      <c r="A1" s="59" t="s">
        <v>0</v>
      </c>
      <c r="B1" s="59" t="s">
        <v>237</v>
      </c>
    </row>
    <row r="2" spans="1:15" x14ac:dyDescent="0.25">
      <c r="A2" s="60" t="s">
        <v>1</v>
      </c>
      <c r="B2" s="56" t="s">
        <v>238</v>
      </c>
    </row>
    <row r="3" spans="1:15" x14ac:dyDescent="0.25">
      <c r="A3" s="60" t="s">
        <v>2</v>
      </c>
      <c r="B3" s="56" t="s">
        <v>3</v>
      </c>
    </row>
    <row r="4" spans="1:15" x14ac:dyDescent="0.25">
      <c r="A4" s="60" t="s">
        <v>4</v>
      </c>
      <c r="B4" s="56">
        <v>1</v>
      </c>
    </row>
    <row r="5" spans="1:15" x14ac:dyDescent="0.25">
      <c r="A5" s="60" t="s">
        <v>5</v>
      </c>
      <c r="B5" s="56" t="s">
        <v>6</v>
      </c>
    </row>
    <row r="6" spans="1:15" x14ac:dyDescent="0.25">
      <c r="A6" s="60" t="s">
        <v>7</v>
      </c>
      <c r="B6" s="56" t="s">
        <v>8</v>
      </c>
    </row>
    <row r="7" spans="1:15" x14ac:dyDescent="0.25">
      <c r="A7" s="60" t="s">
        <v>9</v>
      </c>
    </row>
    <row r="8" spans="1:15" x14ac:dyDescent="0.25">
      <c r="A8" s="59" t="s">
        <v>10</v>
      </c>
      <c r="B8" s="59" t="s">
        <v>1</v>
      </c>
      <c r="C8" s="59" t="s">
        <v>2</v>
      </c>
      <c r="D8" s="59" t="s">
        <v>4</v>
      </c>
      <c r="E8" s="59" t="s">
        <v>5</v>
      </c>
      <c r="F8" s="59" t="s">
        <v>11</v>
      </c>
      <c r="G8" s="59" t="s">
        <v>12</v>
      </c>
      <c r="H8" s="59" t="s">
        <v>13</v>
      </c>
      <c r="I8" s="59" t="s">
        <v>14</v>
      </c>
      <c r="J8" s="59" t="s">
        <v>15</v>
      </c>
      <c r="K8" s="59" t="s">
        <v>16</v>
      </c>
      <c r="L8" s="59" t="s">
        <v>17</v>
      </c>
      <c r="M8" s="59" t="s">
        <v>18</v>
      </c>
      <c r="N8" s="59" t="s">
        <v>19</v>
      </c>
      <c r="O8" s="59" t="s">
        <v>7</v>
      </c>
    </row>
    <row r="9" spans="1:15" x14ac:dyDescent="0.25">
      <c r="A9" s="56" t="str">
        <f>B1</f>
        <v>[M+C] Bastnaesite ore mining and concentration (Sichuan province)</v>
      </c>
      <c r="B9" s="56" t="str">
        <f>B2</f>
        <v>Concentrated Rare Earths oxides (REO) mixed (70%)</v>
      </c>
      <c r="C9" s="56" t="str">
        <f>B3</f>
        <v>CN-SWG</v>
      </c>
      <c r="D9" s="64">
        <v>1</v>
      </c>
      <c r="E9" s="56" t="s">
        <v>6</v>
      </c>
      <c r="F9" s="57" t="str">
        <f>RE_Market_GLO!B1</f>
        <v>Rare Earths</v>
      </c>
      <c r="G9" s="56" t="s">
        <v>20</v>
      </c>
    </row>
    <row r="10" spans="1:15" x14ac:dyDescent="0.25">
      <c r="A10" s="56" t="s">
        <v>21</v>
      </c>
      <c r="B10" s="56" t="s">
        <v>22</v>
      </c>
      <c r="C10" s="56" t="s">
        <v>23</v>
      </c>
      <c r="D10" s="62">
        <v>16.470588235294116</v>
      </c>
      <c r="E10" s="56" t="s">
        <v>6</v>
      </c>
      <c r="F10" s="56" t="s">
        <v>24</v>
      </c>
      <c r="G10" s="56" t="s">
        <v>25</v>
      </c>
      <c r="J10" s="56" t="s">
        <v>26</v>
      </c>
      <c r="O10" s="56" t="s">
        <v>230</v>
      </c>
    </row>
    <row r="11" spans="1:15" x14ac:dyDescent="0.25">
      <c r="A11" s="56" t="s">
        <v>27</v>
      </c>
      <c r="B11" s="56" t="s">
        <v>28</v>
      </c>
      <c r="C11" s="56" t="s">
        <v>29</v>
      </c>
      <c r="D11" s="56">
        <v>2.9554411764705892E-2</v>
      </c>
      <c r="E11" s="56" t="s">
        <v>6</v>
      </c>
      <c r="F11" s="56" t="s">
        <v>24</v>
      </c>
      <c r="G11" s="56" t="s">
        <v>25</v>
      </c>
      <c r="J11" s="56" t="s">
        <v>30</v>
      </c>
    </row>
    <row r="12" spans="1:15" x14ac:dyDescent="0.25">
      <c r="A12" s="56" t="s">
        <v>31</v>
      </c>
      <c r="B12" s="56" t="s">
        <v>32</v>
      </c>
      <c r="C12" s="56" t="s">
        <v>29</v>
      </c>
      <c r="D12" s="56">
        <v>2.4705882352941175E-2</v>
      </c>
      <c r="E12" s="56" t="s">
        <v>6</v>
      </c>
      <c r="F12" s="56" t="s">
        <v>24</v>
      </c>
      <c r="G12" s="56" t="s">
        <v>25</v>
      </c>
      <c r="J12" s="56" t="s">
        <v>30</v>
      </c>
    </row>
    <row r="13" spans="1:15" x14ac:dyDescent="0.25">
      <c r="A13" s="56" t="s">
        <v>57</v>
      </c>
      <c r="B13" s="56" t="s">
        <v>58</v>
      </c>
      <c r="C13" s="56" t="s">
        <v>3</v>
      </c>
      <c r="D13" s="56">
        <v>0.51056470588235292</v>
      </c>
      <c r="E13" s="56" t="s">
        <v>59</v>
      </c>
      <c r="F13" s="56" t="s">
        <v>24</v>
      </c>
      <c r="G13" s="56" t="s">
        <v>25</v>
      </c>
      <c r="J13" s="56" t="s">
        <v>30</v>
      </c>
    </row>
    <row r="14" spans="1:15" x14ac:dyDescent="0.25">
      <c r="A14" s="56" t="s">
        <v>52</v>
      </c>
      <c r="B14" s="56" t="s">
        <v>53</v>
      </c>
      <c r="C14" s="56" t="s">
        <v>29</v>
      </c>
      <c r="D14" s="56">
        <v>2.31</v>
      </c>
      <c r="E14" s="56" t="s">
        <v>6</v>
      </c>
      <c r="F14" s="56" t="s">
        <v>24</v>
      </c>
      <c r="G14" s="56" t="s">
        <v>25</v>
      </c>
      <c r="J14" s="56" t="s">
        <v>54</v>
      </c>
    </row>
    <row r="15" spans="1:15" x14ac:dyDescent="0.25">
      <c r="A15" s="56" t="s">
        <v>62</v>
      </c>
      <c r="B15" s="56" t="s">
        <v>63</v>
      </c>
      <c r="C15" s="56" t="s">
        <v>29</v>
      </c>
      <c r="D15" s="56">
        <v>24.242647058823529</v>
      </c>
      <c r="E15" s="56" t="s">
        <v>6</v>
      </c>
      <c r="F15" s="56" t="s">
        <v>24</v>
      </c>
      <c r="G15" s="56" t="s">
        <v>25</v>
      </c>
      <c r="J15" s="56" t="s">
        <v>68</v>
      </c>
    </row>
    <row r="16" spans="1:15" x14ac:dyDescent="0.25">
      <c r="A16" s="56" t="s">
        <v>152</v>
      </c>
      <c r="D16" s="56">
        <v>1.6969852941176472E-3</v>
      </c>
      <c r="E16" s="56" t="s">
        <v>6</v>
      </c>
      <c r="F16" s="56" t="s">
        <v>66</v>
      </c>
      <c r="G16" s="56" t="s">
        <v>67</v>
      </c>
      <c r="H16" s="56" t="s">
        <v>129</v>
      </c>
      <c r="J16" s="56" t="s">
        <v>68</v>
      </c>
    </row>
    <row r="17" spans="1:15" x14ac:dyDescent="0.25">
      <c r="A17" s="56" t="s">
        <v>153</v>
      </c>
      <c r="D17" s="56">
        <v>1.9394117647058824E-3</v>
      </c>
      <c r="E17" s="56" t="s">
        <v>6</v>
      </c>
      <c r="F17" s="56" t="s">
        <v>66</v>
      </c>
      <c r="G17" s="56" t="s">
        <v>67</v>
      </c>
      <c r="H17" s="56" t="s">
        <v>129</v>
      </c>
      <c r="J17" s="56" t="s">
        <v>68</v>
      </c>
    </row>
    <row r="18" spans="1:15" x14ac:dyDescent="0.25">
      <c r="A18" s="56" t="s">
        <v>133</v>
      </c>
      <c r="C18" s="63"/>
      <c r="D18" s="56">
        <v>8.399999999999999E-7</v>
      </c>
      <c r="E18" s="56" t="s">
        <v>6</v>
      </c>
      <c r="F18" s="56" t="s">
        <v>66</v>
      </c>
      <c r="G18" s="56" t="s">
        <v>67</v>
      </c>
      <c r="H18" s="56" t="s">
        <v>129</v>
      </c>
      <c r="J18" s="56" t="s">
        <v>68</v>
      </c>
    </row>
    <row r="19" spans="1:15" x14ac:dyDescent="0.25">
      <c r="A19" s="56" t="s">
        <v>134</v>
      </c>
      <c r="C19" s="63"/>
      <c r="D19" s="56">
        <v>1.9394117647058824E-6</v>
      </c>
      <c r="E19" s="56" t="s">
        <v>6</v>
      </c>
      <c r="F19" s="56" t="s">
        <v>66</v>
      </c>
      <c r="G19" s="56" t="s">
        <v>67</v>
      </c>
      <c r="H19" s="56" t="s">
        <v>129</v>
      </c>
      <c r="J19" s="56" t="s">
        <v>68</v>
      </c>
    </row>
    <row r="20" spans="1:15" x14ac:dyDescent="0.25">
      <c r="A20" s="56" t="s">
        <v>135</v>
      </c>
      <c r="C20" s="63"/>
      <c r="D20" s="56">
        <v>1.2121323529411765E-5</v>
      </c>
      <c r="E20" s="56" t="s">
        <v>6</v>
      </c>
      <c r="F20" s="56" t="s">
        <v>66</v>
      </c>
      <c r="G20" s="56" t="s">
        <v>67</v>
      </c>
      <c r="H20" s="56" t="s">
        <v>129</v>
      </c>
      <c r="J20" s="56" t="s">
        <v>68</v>
      </c>
    </row>
    <row r="21" spans="1:15" x14ac:dyDescent="0.25">
      <c r="A21" s="56" t="s">
        <v>136</v>
      </c>
      <c r="C21" s="63"/>
      <c r="D21" s="56">
        <v>7.2727941176470584E-6</v>
      </c>
      <c r="E21" s="56" t="s">
        <v>6</v>
      </c>
      <c r="F21" s="56" t="s">
        <v>66</v>
      </c>
      <c r="G21" s="56" t="s">
        <v>67</v>
      </c>
      <c r="H21" s="56" t="s">
        <v>129</v>
      </c>
      <c r="J21" s="56" t="s">
        <v>68</v>
      </c>
    </row>
    <row r="22" spans="1:15" x14ac:dyDescent="0.25">
      <c r="A22" s="56" t="s">
        <v>65</v>
      </c>
      <c r="C22" s="63"/>
      <c r="D22" s="56">
        <v>2.424264705882353E-4</v>
      </c>
      <c r="E22" s="56" t="s">
        <v>6</v>
      </c>
      <c r="F22" s="56" t="s">
        <v>66</v>
      </c>
      <c r="G22" s="56" t="s">
        <v>67</v>
      </c>
      <c r="H22" s="56" t="s">
        <v>129</v>
      </c>
      <c r="J22" s="56" t="s">
        <v>68</v>
      </c>
    </row>
    <row r="23" spans="1:15" x14ac:dyDescent="0.25">
      <c r="A23" s="56" t="s">
        <v>137</v>
      </c>
      <c r="C23" s="63"/>
      <c r="D23" s="56">
        <v>1.2121323529411765E-4</v>
      </c>
      <c r="E23" s="56" t="s">
        <v>6</v>
      </c>
      <c r="F23" s="56" t="s">
        <v>66</v>
      </c>
      <c r="G23" s="56" t="s">
        <v>67</v>
      </c>
      <c r="H23" s="56" t="s">
        <v>129</v>
      </c>
      <c r="J23" s="56" t="s">
        <v>68</v>
      </c>
    </row>
    <row r="24" spans="1:15" x14ac:dyDescent="0.25">
      <c r="A24" s="56" t="s">
        <v>138</v>
      </c>
      <c r="C24" s="63"/>
      <c r="D24" s="56">
        <v>7.2727941176470577E-5</v>
      </c>
      <c r="E24" s="56" t="s">
        <v>6</v>
      </c>
      <c r="F24" s="56" t="s">
        <v>66</v>
      </c>
      <c r="G24" s="56" t="s">
        <v>67</v>
      </c>
      <c r="H24" s="56" t="s">
        <v>129</v>
      </c>
      <c r="J24" s="56" t="s">
        <v>68</v>
      </c>
      <c r="O24" s="56" t="s">
        <v>139</v>
      </c>
    </row>
    <row r="25" spans="1:15" x14ac:dyDescent="0.25">
      <c r="A25" s="56" t="s">
        <v>141</v>
      </c>
      <c r="C25" s="63"/>
      <c r="D25" s="56">
        <v>1.2121323529411764E-3</v>
      </c>
      <c r="E25" s="56" t="s">
        <v>6</v>
      </c>
      <c r="F25" s="56" t="s">
        <v>66</v>
      </c>
      <c r="G25" s="56" t="s">
        <v>67</v>
      </c>
      <c r="H25" s="56" t="s">
        <v>129</v>
      </c>
      <c r="J25" s="56" t="s">
        <v>68</v>
      </c>
      <c r="O25" s="56" t="s">
        <v>140</v>
      </c>
    </row>
    <row r="26" spans="1:15" x14ac:dyDescent="0.25">
      <c r="A26" s="56" t="s">
        <v>69</v>
      </c>
      <c r="C26" s="63"/>
      <c r="D26" s="56">
        <v>6.0606617647058819E-4</v>
      </c>
      <c r="E26" s="56" t="s">
        <v>6</v>
      </c>
      <c r="F26" s="56" t="s">
        <v>66</v>
      </c>
      <c r="G26" s="56" t="s">
        <v>67</v>
      </c>
      <c r="H26" s="56" t="s">
        <v>129</v>
      </c>
      <c r="J26" s="56" t="s">
        <v>68</v>
      </c>
      <c r="O26" s="56" t="s">
        <v>142</v>
      </c>
    </row>
    <row r="27" spans="1:15" x14ac:dyDescent="0.25">
      <c r="A27" s="56" t="s">
        <v>143</v>
      </c>
      <c r="C27" s="63"/>
      <c r="D27" s="56">
        <v>3.6363970588235289E-5</v>
      </c>
      <c r="E27" s="56" t="s">
        <v>6</v>
      </c>
      <c r="F27" s="56" t="s">
        <v>66</v>
      </c>
      <c r="G27" s="56" t="s">
        <v>67</v>
      </c>
      <c r="H27" s="56" t="s">
        <v>129</v>
      </c>
      <c r="J27" s="56" t="s">
        <v>68</v>
      </c>
      <c r="O27" s="56" t="s">
        <v>144</v>
      </c>
    </row>
    <row r="28" spans="1:15" x14ac:dyDescent="0.25">
      <c r="A28" s="56" t="s">
        <v>70</v>
      </c>
      <c r="C28" s="63"/>
      <c r="D28" s="56">
        <v>9.8371961096682514E-3</v>
      </c>
      <c r="E28" s="56" t="s">
        <v>71</v>
      </c>
      <c r="F28" s="56" t="s">
        <v>66</v>
      </c>
      <c r="G28" s="56" t="s">
        <v>67</v>
      </c>
      <c r="H28" s="56" t="s">
        <v>129</v>
      </c>
      <c r="J28" s="56" t="s">
        <v>68</v>
      </c>
      <c r="O28" s="56" t="s">
        <v>229</v>
      </c>
    </row>
    <row r="29" spans="1:15" x14ac:dyDescent="0.25">
      <c r="A29" s="56" t="s">
        <v>106</v>
      </c>
      <c r="C29" s="63"/>
      <c r="D29" s="56">
        <v>2.9931664470033259E-2</v>
      </c>
      <c r="E29" s="56" t="s">
        <v>71</v>
      </c>
      <c r="F29" s="56" t="s">
        <v>66</v>
      </c>
      <c r="G29" s="56" t="s">
        <v>67</v>
      </c>
      <c r="H29" s="56" t="s">
        <v>129</v>
      </c>
      <c r="J29" s="56" t="s">
        <v>68</v>
      </c>
      <c r="O29" s="56" t="s">
        <v>231</v>
      </c>
    </row>
    <row r="30" spans="1:15" x14ac:dyDescent="0.25">
      <c r="A30" s="56" t="s">
        <v>145</v>
      </c>
      <c r="C30" s="63"/>
      <c r="D30" s="56">
        <v>2.424264705882353E-5</v>
      </c>
      <c r="E30" s="56" t="s">
        <v>6</v>
      </c>
      <c r="F30" s="56" t="s">
        <v>66</v>
      </c>
      <c r="G30" s="56" t="s">
        <v>67</v>
      </c>
      <c r="H30" s="56" t="s">
        <v>129</v>
      </c>
      <c r="J30" s="56" t="s">
        <v>68</v>
      </c>
    </row>
    <row r="31" spans="1:15" x14ac:dyDescent="0.25">
      <c r="A31" s="56" t="s">
        <v>146</v>
      </c>
      <c r="C31" s="63"/>
      <c r="D31" s="56">
        <v>7.2727941176470584E-6</v>
      </c>
      <c r="E31" s="56" t="s">
        <v>6</v>
      </c>
      <c r="F31" s="56" t="s">
        <v>66</v>
      </c>
      <c r="G31" s="56" t="s">
        <v>67</v>
      </c>
      <c r="H31" s="56" t="s">
        <v>129</v>
      </c>
      <c r="J31" s="56" t="s">
        <v>68</v>
      </c>
    </row>
    <row r="32" spans="1:15" x14ac:dyDescent="0.25">
      <c r="A32" s="56" t="s">
        <v>104</v>
      </c>
      <c r="C32" s="63"/>
      <c r="D32" s="56">
        <v>3.9529411764705879E-4</v>
      </c>
      <c r="E32" s="56" t="s">
        <v>6</v>
      </c>
      <c r="F32" s="56" t="s">
        <v>66</v>
      </c>
      <c r="G32" s="56" t="s">
        <v>67</v>
      </c>
      <c r="H32" s="56" t="s">
        <v>130</v>
      </c>
      <c r="J32" s="56" t="s">
        <v>68</v>
      </c>
    </row>
    <row r="33" spans="1:15" x14ac:dyDescent="0.25">
      <c r="A33" s="56" t="s">
        <v>73</v>
      </c>
      <c r="C33" s="63"/>
      <c r="D33" s="56">
        <v>4.9411764705882349E-5</v>
      </c>
      <c r="E33" s="56" t="s">
        <v>6</v>
      </c>
      <c r="F33" s="56" t="s">
        <v>66</v>
      </c>
      <c r="G33" s="56" t="s">
        <v>67</v>
      </c>
      <c r="H33" s="56" t="s">
        <v>130</v>
      </c>
      <c r="J33" s="56" t="s">
        <v>68</v>
      </c>
    </row>
    <row r="34" spans="1:15" x14ac:dyDescent="0.25">
      <c r="A34" s="56" t="s">
        <v>132</v>
      </c>
      <c r="C34" s="63"/>
      <c r="D34" s="56">
        <v>4.941176470588236E-7</v>
      </c>
      <c r="E34" s="56" t="s">
        <v>6</v>
      </c>
      <c r="F34" s="56" t="s">
        <v>66</v>
      </c>
      <c r="G34" s="56" t="s">
        <v>67</v>
      </c>
      <c r="H34" s="56" t="s">
        <v>130</v>
      </c>
      <c r="J34" s="56" t="s">
        <v>68</v>
      </c>
    </row>
    <row r="35" spans="1:15" s="65" customFormat="1" x14ac:dyDescent="0.25"/>
    <row r="36" spans="1:15" x14ac:dyDescent="0.25">
      <c r="A36" s="59" t="s">
        <v>0</v>
      </c>
      <c r="B36" s="59" t="s">
        <v>239</v>
      </c>
    </row>
    <row r="37" spans="1:15" x14ac:dyDescent="0.25">
      <c r="A37" s="60" t="s">
        <v>1</v>
      </c>
      <c r="B37" s="56" t="s">
        <v>240</v>
      </c>
    </row>
    <row r="38" spans="1:15" x14ac:dyDescent="0.25">
      <c r="A38" s="60" t="s">
        <v>2</v>
      </c>
      <c r="B38" s="56" t="s">
        <v>3</v>
      </c>
    </row>
    <row r="39" spans="1:15" x14ac:dyDescent="0.25">
      <c r="A39" s="60" t="s">
        <v>4</v>
      </c>
      <c r="B39" s="56">
        <v>1</v>
      </c>
    </row>
    <row r="40" spans="1:15" x14ac:dyDescent="0.25">
      <c r="A40" s="60" t="s">
        <v>5</v>
      </c>
      <c r="B40" s="56" t="s">
        <v>6</v>
      </c>
    </row>
    <row r="41" spans="1:15" x14ac:dyDescent="0.25">
      <c r="A41" s="60" t="s">
        <v>7</v>
      </c>
      <c r="B41" s="66" t="s">
        <v>241</v>
      </c>
    </row>
    <row r="42" spans="1:15" x14ac:dyDescent="0.25">
      <c r="A42" s="60" t="s">
        <v>9</v>
      </c>
    </row>
    <row r="43" spans="1:15" x14ac:dyDescent="0.25">
      <c r="A43" s="59" t="s">
        <v>10</v>
      </c>
      <c r="B43" s="59" t="s">
        <v>1</v>
      </c>
      <c r="C43" s="59" t="s">
        <v>2</v>
      </c>
      <c r="D43" s="59" t="s">
        <v>4</v>
      </c>
      <c r="E43" s="59" t="s">
        <v>5</v>
      </c>
      <c r="F43" s="59" t="s">
        <v>11</v>
      </c>
      <c r="G43" s="59" t="s">
        <v>12</v>
      </c>
      <c r="H43" s="59" t="s">
        <v>13</v>
      </c>
      <c r="I43" s="59" t="s">
        <v>14</v>
      </c>
      <c r="J43" s="59" t="s">
        <v>15</v>
      </c>
      <c r="K43" s="59" t="s">
        <v>16</v>
      </c>
      <c r="L43" s="59" t="s">
        <v>17</v>
      </c>
      <c r="M43" s="59" t="s">
        <v>18</v>
      </c>
      <c r="N43" s="59" t="s">
        <v>19</v>
      </c>
      <c r="O43" s="59" t="s">
        <v>7</v>
      </c>
    </row>
    <row r="44" spans="1:15" x14ac:dyDescent="0.25">
      <c r="A44" s="56" t="str">
        <f>B36</f>
        <v>[P] REO separation (Sichuan province)</v>
      </c>
      <c r="B44" s="56" t="str">
        <f>B37</f>
        <v>Separated REO mix (100%)</v>
      </c>
      <c r="C44" s="56" t="str">
        <f>B38</f>
        <v>CN-SWG</v>
      </c>
      <c r="D44" s="64">
        <v>1</v>
      </c>
      <c r="E44" s="56" t="str">
        <f>B40</f>
        <v>kilogram</v>
      </c>
      <c r="F44" s="57" t="str">
        <f>F9</f>
        <v>Rare Earths</v>
      </c>
      <c r="G44" s="56" t="s">
        <v>20</v>
      </c>
    </row>
    <row r="45" spans="1:15" s="66" customFormat="1" x14ac:dyDescent="0.25">
      <c r="A45" s="66" t="s">
        <v>44</v>
      </c>
      <c r="B45" s="66" t="s">
        <v>45</v>
      </c>
      <c r="C45" s="66" t="s">
        <v>29</v>
      </c>
      <c r="D45" s="66">
        <v>-3.1863423305578599E-2</v>
      </c>
      <c r="E45" s="66" t="s">
        <v>6</v>
      </c>
      <c r="F45" s="66" t="s">
        <v>24</v>
      </c>
      <c r="G45" s="66" t="s">
        <v>25</v>
      </c>
      <c r="O45" s="66" t="s">
        <v>227</v>
      </c>
    </row>
    <row r="46" spans="1:15" s="66" customFormat="1" x14ac:dyDescent="0.25">
      <c r="A46" s="66" t="s">
        <v>228</v>
      </c>
      <c r="B46" s="66" t="s">
        <v>64</v>
      </c>
      <c r="C46" s="66" t="s">
        <v>23</v>
      </c>
      <c r="D46" s="66">
        <v>-0.29499999999999998</v>
      </c>
      <c r="E46" s="66" t="s">
        <v>6</v>
      </c>
      <c r="F46" s="66" t="s">
        <v>24</v>
      </c>
      <c r="G46" s="66" t="s">
        <v>25</v>
      </c>
      <c r="O46" s="66" t="s">
        <v>226</v>
      </c>
    </row>
    <row r="47" spans="1:15" x14ac:dyDescent="0.25">
      <c r="A47" s="56" t="s">
        <v>40</v>
      </c>
      <c r="B47" s="56" t="s">
        <v>41</v>
      </c>
      <c r="C47" s="56" t="s">
        <v>29</v>
      </c>
      <c r="D47" s="56">
        <v>3.226171609689835</v>
      </c>
      <c r="E47" s="56" t="s">
        <v>6</v>
      </c>
      <c r="F47" s="56" t="s">
        <v>24</v>
      </c>
      <c r="G47" s="56" t="s">
        <v>25</v>
      </c>
      <c r="J47" s="56" t="s">
        <v>26</v>
      </c>
    </row>
    <row r="48" spans="1:15" x14ac:dyDescent="0.25">
      <c r="A48" s="56" t="s">
        <v>42</v>
      </c>
      <c r="B48" s="56" t="s">
        <v>43</v>
      </c>
      <c r="C48" s="56" t="s">
        <v>29</v>
      </c>
      <c r="D48" s="56">
        <v>1.75</v>
      </c>
      <c r="E48" s="56" t="s">
        <v>6</v>
      </c>
      <c r="F48" s="56" t="s">
        <v>24</v>
      </c>
      <c r="G48" s="56" t="s">
        <v>25</v>
      </c>
      <c r="J48" s="56" t="s">
        <v>26</v>
      </c>
    </row>
    <row r="49" spans="1:15" x14ac:dyDescent="0.25">
      <c r="A49" s="56" t="s">
        <v>44</v>
      </c>
      <c r="B49" s="56" t="s">
        <v>45</v>
      </c>
      <c r="C49" s="56" t="s">
        <v>29</v>
      </c>
      <c r="D49" s="56">
        <v>0.05</v>
      </c>
      <c r="E49" s="56" t="s">
        <v>6</v>
      </c>
      <c r="F49" s="56" t="s">
        <v>24</v>
      </c>
      <c r="G49" s="56" t="s">
        <v>25</v>
      </c>
      <c r="J49" s="56" t="s">
        <v>26</v>
      </c>
    </row>
    <row r="50" spans="1:15" x14ac:dyDescent="0.25">
      <c r="A50" s="56" t="s">
        <v>36</v>
      </c>
      <c r="B50" s="56" t="s">
        <v>37</v>
      </c>
      <c r="C50" s="56" t="s">
        <v>23</v>
      </c>
      <c r="D50" s="56">
        <v>2E-3</v>
      </c>
      <c r="E50" s="56" t="s">
        <v>6</v>
      </c>
      <c r="F50" s="56" t="s">
        <v>24</v>
      </c>
      <c r="G50" s="56" t="s">
        <v>25</v>
      </c>
      <c r="J50" s="56" t="s">
        <v>26</v>
      </c>
      <c r="O50" s="56" t="s">
        <v>151</v>
      </c>
    </row>
    <row r="51" spans="1:15" x14ac:dyDescent="0.25">
      <c r="A51" s="56" t="s">
        <v>33</v>
      </c>
      <c r="B51" s="56" t="s">
        <v>34</v>
      </c>
      <c r="C51" s="56" t="s">
        <v>35</v>
      </c>
      <c r="D51" s="56">
        <v>0.32</v>
      </c>
      <c r="E51" s="56" t="s">
        <v>6</v>
      </c>
      <c r="F51" s="56" t="s">
        <v>24</v>
      </c>
      <c r="G51" s="56" t="s">
        <v>25</v>
      </c>
      <c r="J51" s="56" t="s">
        <v>26</v>
      </c>
    </row>
    <row r="52" spans="1:15" x14ac:dyDescent="0.25">
      <c r="A52" s="56" t="s">
        <v>38</v>
      </c>
      <c r="B52" s="56" t="s">
        <v>39</v>
      </c>
      <c r="C52" s="56" t="s">
        <v>29</v>
      </c>
      <c r="D52" s="56">
        <v>0.01</v>
      </c>
      <c r="E52" s="56" t="s">
        <v>6</v>
      </c>
      <c r="F52" s="56" t="s">
        <v>24</v>
      </c>
      <c r="G52" s="56" t="s">
        <v>25</v>
      </c>
      <c r="J52" s="56" t="s">
        <v>26</v>
      </c>
    </row>
    <row r="53" spans="1:15" x14ac:dyDescent="0.25">
      <c r="A53" s="56" t="s">
        <v>46</v>
      </c>
      <c r="B53" s="56" t="s">
        <v>47</v>
      </c>
      <c r="C53" s="56" t="s">
        <v>29</v>
      </c>
      <c r="D53" s="56">
        <v>0.89</v>
      </c>
      <c r="E53" s="56" t="s">
        <v>6</v>
      </c>
      <c r="F53" s="56" t="s">
        <v>24</v>
      </c>
      <c r="G53" s="56" t="s">
        <v>25</v>
      </c>
      <c r="J53" s="56" t="s">
        <v>26</v>
      </c>
    </row>
    <row r="54" spans="1:15" x14ac:dyDescent="0.25">
      <c r="A54" s="56" t="s">
        <v>48</v>
      </c>
      <c r="B54" s="56" t="s">
        <v>49</v>
      </c>
      <c r="C54" s="56" t="s">
        <v>23</v>
      </c>
      <c r="D54" s="56">
        <v>0.05</v>
      </c>
      <c r="E54" s="56" t="s">
        <v>6</v>
      </c>
      <c r="F54" s="56" t="s">
        <v>24</v>
      </c>
      <c r="G54" s="56" t="s">
        <v>25</v>
      </c>
      <c r="J54" s="56" t="s">
        <v>30</v>
      </c>
    </row>
    <row r="55" spans="1:15" x14ac:dyDescent="0.25">
      <c r="A55" s="56" t="s">
        <v>50</v>
      </c>
      <c r="B55" s="56" t="s">
        <v>51</v>
      </c>
      <c r="C55" s="56" t="s">
        <v>23</v>
      </c>
      <c r="D55" s="56">
        <v>0.19</v>
      </c>
      <c r="E55" s="56" t="s">
        <v>6</v>
      </c>
      <c r="F55" s="56" t="s">
        <v>24</v>
      </c>
      <c r="G55" s="56" t="s">
        <v>25</v>
      </c>
      <c r="J55" s="56" t="s">
        <v>30</v>
      </c>
    </row>
    <row r="56" spans="1:15" x14ac:dyDescent="0.25">
      <c r="A56" s="56" t="s">
        <v>55</v>
      </c>
      <c r="B56" s="56" t="s">
        <v>56</v>
      </c>
      <c r="C56" s="56" t="s">
        <v>23</v>
      </c>
      <c r="D56" s="56">
        <v>0.02</v>
      </c>
      <c r="E56" s="56" t="s">
        <v>6</v>
      </c>
      <c r="F56" s="56" t="s">
        <v>24</v>
      </c>
      <c r="G56" s="56" t="s">
        <v>25</v>
      </c>
      <c r="J56" s="56" t="s">
        <v>54</v>
      </c>
    </row>
    <row r="57" spans="1:15" x14ac:dyDescent="0.25">
      <c r="A57" s="56" t="s">
        <v>57</v>
      </c>
      <c r="B57" s="56" t="s">
        <v>58</v>
      </c>
      <c r="C57" s="56" t="s">
        <v>3</v>
      </c>
      <c r="D57" s="56">
        <v>477.95134958367925</v>
      </c>
      <c r="E57" s="56" t="s">
        <v>59</v>
      </c>
      <c r="F57" s="56" t="s">
        <v>24</v>
      </c>
      <c r="G57" s="56" t="s">
        <v>25</v>
      </c>
      <c r="J57" s="56" t="s">
        <v>54</v>
      </c>
    </row>
    <row r="58" spans="1:15" x14ac:dyDescent="0.25">
      <c r="A58" s="56" t="s">
        <v>60</v>
      </c>
      <c r="B58" s="56" t="s">
        <v>61</v>
      </c>
      <c r="C58" s="56" t="s">
        <v>35</v>
      </c>
      <c r="D58" s="56">
        <v>2.5701615654169379</v>
      </c>
      <c r="E58" s="56" t="s">
        <v>6</v>
      </c>
      <c r="F58" s="56" t="s">
        <v>24</v>
      </c>
      <c r="G58" s="56" t="s">
        <v>25</v>
      </c>
      <c r="J58" s="56" t="s">
        <v>54</v>
      </c>
    </row>
    <row r="59" spans="1:15" x14ac:dyDescent="0.25">
      <c r="A59" s="56" t="s">
        <v>62</v>
      </c>
      <c r="B59" s="56" t="s">
        <v>63</v>
      </c>
      <c r="C59" s="56" t="s">
        <v>29</v>
      </c>
      <c r="D59" s="56">
        <v>191.1805398334717</v>
      </c>
      <c r="E59" s="56" t="s">
        <v>6</v>
      </c>
      <c r="F59" s="56" t="s">
        <v>24</v>
      </c>
      <c r="G59" s="56" t="s">
        <v>25</v>
      </c>
      <c r="J59" s="56" t="s">
        <v>54</v>
      </c>
    </row>
    <row r="60" spans="1:15" x14ac:dyDescent="0.25">
      <c r="A60" s="56" t="s">
        <v>148</v>
      </c>
      <c r="B60" s="56" t="s">
        <v>147</v>
      </c>
      <c r="C60" s="56" t="s">
        <v>35</v>
      </c>
      <c r="D60" s="56">
        <v>0.60158143200932435</v>
      </c>
      <c r="E60" s="56" t="s">
        <v>85</v>
      </c>
      <c r="F60" s="56" t="s">
        <v>24</v>
      </c>
      <c r="G60" s="56" t="s">
        <v>25</v>
      </c>
      <c r="J60" s="56" t="s">
        <v>54</v>
      </c>
    </row>
    <row r="61" spans="1:15" x14ac:dyDescent="0.25">
      <c r="A61" s="56" t="s">
        <v>150</v>
      </c>
      <c r="B61" s="56" t="s">
        <v>149</v>
      </c>
      <c r="C61" s="56" t="s">
        <v>29</v>
      </c>
      <c r="D61" s="56">
        <v>0.15039535800233109</v>
      </c>
      <c r="E61" s="56" t="s">
        <v>85</v>
      </c>
      <c r="F61" s="56" t="s">
        <v>24</v>
      </c>
      <c r="G61" s="56" t="s">
        <v>25</v>
      </c>
      <c r="J61" s="56" t="s">
        <v>54</v>
      </c>
    </row>
    <row r="62" spans="1:15" x14ac:dyDescent="0.25">
      <c r="A62" s="56" t="s">
        <v>152</v>
      </c>
      <c r="D62" s="56">
        <v>7.5707493774054791E-3</v>
      </c>
      <c r="E62" s="56" t="s">
        <v>6</v>
      </c>
      <c r="F62" s="56" t="s">
        <v>66</v>
      </c>
      <c r="G62" s="56" t="s">
        <v>67</v>
      </c>
      <c r="H62" s="56" t="s">
        <v>129</v>
      </c>
    </row>
    <row r="63" spans="1:15" x14ac:dyDescent="0.25">
      <c r="A63" s="56" t="s">
        <v>153</v>
      </c>
      <c r="D63" s="56">
        <v>8.1060548889391997E-3</v>
      </c>
      <c r="E63" s="56" t="s">
        <v>6</v>
      </c>
      <c r="F63" s="56" t="s">
        <v>66</v>
      </c>
      <c r="G63" s="56" t="s">
        <v>67</v>
      </c>
      <c r="H63" s="56" t="s">
        <v>129</v>
      </c>
    </row>
    <row r="64" spans="1:15" x14ac:dyDescent="0.25">
      <c r="A64" s="56" t="s">
        <v>69</v>
      </c>
      <c r="D64" s="56">
        <v>2.8677080975020756E-2</v>
      </c>
      <c r="E64" s="56" t="s">
        <v>6</v>
      </c>
      <c r="F64" s="56" t="s">
        <v>66</v>
      </c>
      <c r="G64" s="56" t="s">
        <v>67</v>
      </c>
      <c r="H64" s="56" t="s">
        <v>129</v>
      </c>
    </row>
    <row r="65" spans="1:15" x14ac:dyDescent="0.25">
      <c r="A65" s="56" t="s">
        <v>135</v>
      </c>
      <c r="D65" s="56">
        <v>4.5883329560033202E-5</v>
      </c>
      <c r="E65" s="56" t="s">
        <v>6</v>
      </c>
      <c r="F65" s="56" t="s">
        <v>66</v>
      </c>
      <c r="G65" s="56" t="s">
        <v>67</v>
      </c>
      <c r="H65" s="56" t="s">
        <v>129</v>
      </c>
    </row>
    <row r="66" spans="1:15" x14ac:dyDescent="0.25">
      <c r="A66" s="56" t="s">
        <v>65</v>
      </c>
      <c r="D66" s="56">
        <v>1.8544512363846755E-3</v>
      </c>
      <c r="E66" s="56" t="s">
        <v>6</v>
      </c>
      <c r="F66" s="56" t="s">
        <v>66</v>
      </c>
      <c r="G66" s="56" t="s">
        <v>67</v>
      </c>
      <c r="H66" s="56" t="s">
        <v>129</v>
      </c>
    </row>
    <row r="67" spans="1:15" x14ac:dyDescent="0.25">
      <c r="A67" s="56" t="s">
        <v>138</v>
      </c>
      <c r="D67" s="56">
        <v>2.7529997736019924E-4</v>
      </c>
      <c r="E67" s="56" t="s">
        <v>6</v>
      </c>
      <c r="F67" s="56" t="s">
        <v>66</v>
      </c>
      <c r="G67" s="56" t="s">
        <v>67</v>
      </c>
      <c r="H67" s="56" t="s">
        <v>129</v>
      </c>
      <c r="O67" s="56" t="s">
        <v>139</v>
      </c>
    </row>
    <row r="68" spans="1:15" x14ac:dyDescent="0.25">
      <c r="A68" s="56" t="s">
        <v>137</v>
      </c>
      <c r="D68" s="56">
        <v>4.5883329560033204E-4</v>
      </c>
      <c r="E68" s="56" t="s">
        <v>6</v>
      </c>
      <c r="F68" s="56" t="s">
        <v>66</v>
      </c>
      <c r="G68" s="56" t="s">
        <v>67</v>
      </c>
      <c r="H68" s="56" t="s">
        <v>129</v>
      </c>
    </row>
    <row r="69" spans="1:15" x14ac:dyDescent="0.25">
      <c r="A69" s="56" t="s">
        <v>141</v>
      </c>
      <c r="D69" s="56">
        <v>4.5883329560033204E-3</v>
      </c>
      <c r="E69" s="56" t="s">
        <v>6</v>
      </c>
      <c r="F69" s="56" t="s">
        <v>66</v>
      </c>
      <c r="G69" s="56" t="s">
        <v>67</v>
      </c>
      <c r="H69" s="56" t="s">
        <v>129</v>
      </c>
      <c r="O69" s="56" t="s">
        <v>140</v>
      </c>
    </row>
    <row r="70" spans="1:15" x14ac:dyDescent="0.25">
      <c r="A70" s="56" t="s">
        <v>143</v>
      </c>
      <c r="D70" s="56">
        <v>1.3764998868009962E-4</v>
      </c>
      <c r="E70" s="56" t="s">
        <v>6</v>
      </c>
      <c r="F70" s="56" t="s">
        <v>66</v>
      </c>
      <c r="G70" s="56" t="s">
        <v>67</v>
      </c>
      <c r="H70" s="56" t="s">
        <v>129</v>
      </c>
      <c r="O70" s="56" t="s">
        <v>144</v>
      </c>
    </row>
    <row r="71" spans="1:15" x14ac:dyDescent="0.25">
      <c r="A71" s="56" t="s">
        <v>70</v>
      </c>
      <c r="D71" s="56">
        <v>1.2477024766149772E-2</v>
      </c>
      <c r="E71" s="56" t="s">
        <v>71</v>
      </c>
      <c r="F71" s="56" t="s">
        <v>66</v>
      </c>
      <c r="G71" s="56" t="s">
        <v>67</v>
      </c>
      <c r="H71" s="56" t="s">
        <v>129</v>
      </c>
      <c r="O71" s="56" t="s">
        <v>233</v>
      </c>
    </row>
    <row r="72" spans="1:15" x14ac:dyDescent="0.25">
      <c r="A72" s="56" t="s">
        <v>106</v>
      </c>
      <c r="D72" s="56">
        <v>3.7963878601306511E-2</v>
      </c>
      <c r="E72" s="56" t="s">
        <v>71</v>
      </c>
      <c r="F72" s="56" t="s">
        <v>66</v>
      </c>
      <c r="G72" s="56" t="s">
        <v>67</v>
      </c>
      <c r="H72" s="56" t="s">
        <v>129</v>
      </c>
      <c r="O72" s="56" t="s">
        <v>232</v>
      </c>
    </row>
    <row r="73" spans="1:15" x14ac:dyDescent="0.25">
      <c r="A73" s="56" t="s">
        <v>134</v>
      </c>
      <c r="D73" s="56">
        <v>7.3413327296053134E-6</v>
      </c>
      <c r="E73" s="56" t="s">
        <v>6</v>
      </c>
      <c r="F73" s="56" t="s">
        <v>66</v>
      </c>
      <c r="G73" s="56" t="s">
        <v>67</v>
      </c>
      <c r="H73" s="56" t="s">
        <v>129</v>
      </c>
    </row>
    <row r="74" spans="1:15" x14ac:dyDescent="0.25">
      <c r="A74" s="56" t="s">
        <v>136</v>
      </c>
      <c r="D74" s="56">
        <v>1.6059165346011622E-5</v>
      </c>
      <c r="E74" s="56" t="s">
        <v>6</v>
      </c>
      <c r="F74" s="56" t="s">
        <v>66</v>
      </c>
      <c r="G74" s="56" t="s">
        <v>67</v>
      </c>
      <c r="H74" s="56" t="s">
        <v>129</v>
      </c>
    </row>
    <row r="75" spans="1:15" x14ac:dyDescent="0.25">
      <c r="A75" s="56" t="s">
        <v>145</v>
      </c>
      <c r="D75" s="56">
        <v>9.1766659120066403E-5</v>
      </c>
      <c r="E75" s="56" t="s">
        <v>6</v>
      </c>
      <c r="F75" s="56" t="s">
        <v>66</v>
      </c>
      <c r="G75" s="56" t="s">
        <v>67</v>
      </c>
      <c r="H75" s="56" t="s">
        <v>129</v>
      </c>
    </row>
    <row r="76" spans="1:15" x14ac:dyDescent="0.25">
      <c r="A76" s="56" t="s">
        <v>146</v>
      </c>
      <c r="D76" s="56">
        <v>2.7529997736019922E-5</v>
      </c>
      <c r="E76" s="56" t="s">
        <v>6</v>
      </c>
      <c r="F76" s="56" t="s">
        <v>66</v>
      </c>
      <c r="G76" s="56" t="s">
        <v>67</v>
      </c>
      <c r="H76" s="56" t="s">
        <v>129</v>
      </c>
    </row>
    <row r="77" spans="1:15" x14ac:dyDescent="0.25">
      <c r="A77" s="56" t="s">
        <v>104</v>
      </c>
      <c r="D77" s="56">
        <v>2.3252690421461347E-3</v>
      </c>
      <c r="E77" s="56" t="s">
        <v>6</v>
      </c>
      <c r="F77" s="56" t="s">
        <v>66</v>
      </c>
      <c r="G77" s="56" t="s">
        <v>67</v>
      </c>
      <c r="H77" s="56" t="s">
        <v>130</v>
      </c>
    </row>
    <row r="78" spans="1:15" x14ac:dyDescent="0.25">
      <c r="A78" s="56" t="s">
        <v>74</v>
      </c>
      <c r="D78" s="56">
        <v>1.2834655821126695</v>
      </c>
      <c r="E78" s="56" t="s">
        <v>6</v>
      </c>
      <c r="F78" s="56" t="s">
        <v>66</v>
      </c>
      <c r="G78" s="56" t="s">
        <v>67</v>
      </c>
      <c r="H78" s="56" t="s">
        <v>130</v>
      </c>
    </row>
    <row r="79" spans="1:15" x14ac:dyDescent="0.25">
      <c r="A79" s="56" t="s">
        <v>154</v>
      </c>
      <c r="D79" s="56">
        <v>1.7923175609387972E-3</v>
      </c>
      <c r="E79" s="56" t="s">
        <v>6</v>
      </c>
      <c r="F79" s="56" t="s">
        <v>66</v>
      </c>
      <c r="G79" s="56" t="s">
        <v>67</v>
      </c>
      <c r="H79" s="56" t="s">
        <v>130</v>
      </c>
    </row>
    <row r="80" spans="1:15" x14ac:dyDescent="0.25">
      <c r="A80" s="56" t="s">
        <v>155</v>
      </c>
      <c r="D80" s="56">
        <v>2.9238448847943503E-3</v>
      </c>
      <c r="E80" s="56" t="s">
        <v>6</v>
      </c>
      <c r="F80" s="56" t="s">
        <v>66</v>
      </c>
      <c r="G80" s="56" t="s">
        <v>67</v>
      </c>
      <c r="H80" s="56" t="s">
        <v>130</v>
      </c>
    </row>
    <row r="81" spans="1:15" x14ac:dyDescent="0.25">
      <c r="A81" s="56" t="s">
        <v>72</v>
      </c>
      <c r="D81" s="56">
        <v>5.9743918697959908E-4</v>
      </c>
      <c r="E81" s="56" t="s">
        <v>6</v>
      </c>
      <c r="F81" s="56" t="s">
        <v>66</v>
      </c>
      <c r="G81" s="56" t="s">
        <v>67</v>
      </c>
      <c r="H81" s="56" t="s">
        <v>130</v>
      </c>
    </row>
    <row r="82" spans="1:15" x14ac:dyDescent="0.25">
      <c r="A82" s="56" t="s">
        <v>156</v>
      </c>
      <c r="D82" s="56">
        <v>1.0894247333863471E-2</v>
      </c>
      <c r="E82" s="56" t="s">
        <v>6</v>
      </c>
      <c r="F82" s="56" t="s">
        <v>66</v>
      </c>
      <c r="G82" s="56" t="s">
        <v>67</v>
      </c>
      <c r="H82" s="56" t="s">
        <v>130</v>
      </c>
    </row>
    <row r="83" spans="1:15" x14ac:dyDescent="0.25">
      <c r="A83" s="56" t="s">
        <v>73</v>
      </c>
      <c r="D83" s="56">
        <v>1.9914639565986637E-4</v>
      </c>
      <c r="E83" s="56" t="s">
        <v>6</v>
      </c>
      <c r="F83" s="56" t="s">
        <v>66</v>
      </c>
      <c r="G83" s="56" t="s">
        <v>67</v>
      </c>
      <c r="H83" s="56" t="s">
        <v>130</v>
      </c>
    </row>
    <row r="84" spans="1:15" x14ac:dyDescent="0.25">
      <c r="A84" s="56" t="s">
        <v>132</v>
      </c>
      <c r="D84" s="56">
        <v>3.3778801346066856E-4</v>
      </c>
      <c r="E84" s="56" t="s">
        <v>6</v>
      </c>
      <c r="F84" s="56" t="s">
        <v>66</v>
      </c>
      <c r="G84" s="56" t="s">
        <v>67</v>
      </c>
      <c r="H84" s="56" t="s">
        <v>130</v>
      </c>
    </row>
    <row r="85" spans="1:15" s="58" customFormat="1" x14ac:dyDescent="0.25"/>
    <row r="86" spans="1:15" x14ac:dyDescent="0.25">
      <c r="A86" s="59" t="s">
        <v>0</v>
      </c>
      <c r="B86" s="59" t="s">
        <v>242</v>
      </c>
    </row>
    <row r="87" spans="1:15" x14ac:dyDescent="0.25">
      <c r="A87" s="60" t="s">
        <v>1</v>
      </c>
      <c r="B87" s="56" t="s">
        <v>243</v>
      </c>
    </row>
    <row r="88" spans="1:15" x14ac:dyDescent="0.25">
      <c r="A88" s="60" t="s">
        <v>2</v>
      </c>
      <c r="B88" s="56" t="s">
        <v>3</v>
      </c>
    </row>
    <row r="89" spans="1:15" x14ac:dyDescent="0.25">
      <c r="A89" s="60" t="s">
        <v>4</v>
      </c>
      <c r="B89" s="56">
        <v>1</v>
      </c>
    </row>
    <row r="90" spans="1:15" x14ac:dyDescent="0.25">
      <c r="A90" s="60" t="s">
        <v>5</v>
      </c>
      <c r="B90" s="56" t="s">
        <v>6</v>
      </c>
    </row>
    <row r="91" spans="1:15" x14ac:dyDescent="0.25">
      <c r="A91" s="60" t="s">
        <v>7</v>
      </c>
      <c r="B91" s="56" t="s">
        <v>8</v>
      </c>
    </row>
    <row r="92" spans="1:15" x14ac:dyDescent="0.25">
      <c r="A92" s="60" t="s">
        <v>9</v>
      </c>
    </row>
    <row r="93" spans="1:15" x14ac:dyDescent="0.25">
      <c r="A93" s="59" t="s">
        <v>10</v>
      </c>
      <c r="B93" s="59" t="s">
        <v>1</v>
      </c>
      <c r="C93" s="59" t="s">
        <v>2</v>
      </c>
      <c r="D93" s="59" t="s">
        <v>4</v>
      </c>
      <c r="E93" s="59" t="s">
        <v>5</v>
      </c>
      <c r="F93" s="59" t="s">
        <v>11</v>
      </c>
      <c r="G93" s="59" t="s">
        <v>12</v>
      </c>
      <c r="H93" s="59" t="s">
        <v>13</v>
      </c>
      <c r="I93" s="59" t="s">
        <v>14</v>
      </c>
      <c r="J93" s="59" t="s">
        <v>15</v>
      </c>
      <c r="K93" s="59" t="s">
        <v>16</v>
      </c>
      <c r="L93" s="59" t="s">
        <v>17</v>
      </c>
      <c r="M93" s="59" t="s">
        <v>18</v>
      </c>
      <c r="N93" s="59" t="s">
        <v>19</v>
      </c>
      <c r="O93" s="59" t="s">
        <v>7</v>
      </c>
    </row>
    <row r="94" spans="1:15" x14ac:dyDescent="0.25">
      <c r="A94" s="56" t="str">
        <f>B86</f>
        <v xml:space="preserve">Bastnaesite ore mining and REO production in China/Sichuan </v>
      </c>
      <c r="B94" s="56" t="str">
        <f>B87</f>
        <v>REO</v>
      </c>
      <c r="C94" s="56" t="str">
        <f>B88</f>
        <v>CN-SWG</v>
      </c>
      <c r="D94" s="64">
        <v>1</v>
      </c>
      <c r="E94" s="56" t="str">
        <f>B90</f>
        <v>kilogram</v>
      </c>
      <c r="F94" s="57" t="str">
        <f>F44</f>
        <v>Rare Earths</v>
      </c>
      <c r="G94" s="56" t="s">
        <v>20</v>
      </c>
    </row>
    <row r="95" spans="1:15" x14ac:dyDescent="0.25">
      <c r="A95" s="56" t="str">
        <f>A44</f>
        <v>[P] REO separation (Sichuan province)</v>
      </c>
      <c r="B95" s="56" t="str">
        <f>B44</f>
        <v>Separated REO mix (100%)</v>
      </c>
      <c r="C95" s="56" t="str">
        <f>C44</f>
        <v>CN-SWG</v>
      </c>
      <c r="D95" s="56">
        <v>1</v>
      </c>
      <c r="E95" s="56" t="str">
        <f>E44</f>
        <v>kilogram</v>
      </c>
      <c r="F95" s="57" t="str">
        <f>F44</f>
        <v>Rare Earths</v>
      </c>
      <c r="G95" s="56" t="s">
        <v>25</v>
      </c>
    </row>
    <row r="96" spans="1:15" x14ac:dyDescent="0.25">
      <c r="A96" s="56" t="str">
        <f>A9</f>
        <v>[M+C] Bastnaesite ore mining and concentration (Sichuan province)</v>
      </c>
      <c r="B96" s="56" t="str">
        <f>B9</f>
        <v>Concentrated Rare Earths oxides (REO) mixed (70%)</v>
      </c>
      <c r="C96" s="56" t="str">
        <f>C9</f>
        <v>CN-SWG</v>
      </c>
      <c r="D96" s="61">
        <v>1.5931711652789309</v>
      </c>
      <c r="E96" s="56" t="str">
        <f>E9</f>
        <v>kilogram</v>
      </c>
      <c r="F96" s="57" t="str">
        <f>F9</f>
        <v>Rare Earths</v>
      </c>
      <c r="G96" s="56" t="s">
        <v>25</v>
      </c>
    </row>
    <row r="97" spans="1:15" s="58" customFormat="1" x14ac:dyDescent="0.25"/>
    <row r="98" spans="1:15" x14ac:dyDescent="0.25">
      <c r="A98" s="59" t="s">
        <v>0</v>
      </c>
      <c r="B98" s="59" t="s">
        <v>244</v>
      </c>
    </row>
    <row r="99" spans="1:15" x14ac:dyDescent="0.25">
      <c r="A99" s="60" t="s">
        <v>1</v>
      </c>
      <c r="B99" s="56" t="s">
        <v>245</v>
      </c>
    </row>
    <row r="100" spans="1:15" x14ac:dyDescent="0.25">
      <c r="A100" s="60" t="s">
        <v>2</v>
      </c>
      <c r="B100" s="56" t="s">
        <v>3</v>
      </c>
    </row>
    <row r="101" spans="1:15" x14ac:dyDescent="0.25">
      <c r="A101" s="60" t="s">
        <v>4</v>
      </c>
      <c r="B101" s="56">
        <v>1</v>
      </c>
    </row>
    <row r="102" spans="1:15" x14ac:dyDescent="0.25">
      <c r="A102" s="60" t="s">
        <v>5</v>
      </c>
      <c r="B102" s="56" t="s">
        <v>6</v>
      </c>
    </row>
    <row r="103" spans="1:15" ht="30" x14ac:dyDescent="0.25">
      <c r="A103" s="60" t="s">
        <v>7</v>
      </c>
      <c r="B103" s="67" t="s">
        <v>246</v>
      </c>
    </row>
    <row r="104" spans="1:15" x14ac:dyDescent="0.25">
      <c r="A104" s="60" t="s">
        <v>9</v>
      </c>
    </row>
    <row r="105" spans="1:15" x14ac:dyDescent="0.25">
      <c r="A105" s="59" t="s">
        <v>10</v>
      </c>
      <c r="B105" s="59" t="s">
        <v>1</v>
      </c>
      <c r="C105" s="59" t="s">
        <v>2</v>
      </c>
      <c r="D105" s="59" t="s">
        <v>4</v>
      </c>
      <c r="E105" s="59" t="s">
        <v>5</v>
      </c>
      <c r="F105" s="59" t="s">
        <v>11</v>
      </c>
      <c r="G105" s="59" t="s">
        <v>12</v>
      </c>
      <c r="H105" s="59" t="s">
        <v>13</v>
      </c>
      <c r="I105" s="59" t="s">
        <v>14</v>
      </c>
      <c r="J105" s="59" t="s">
        <v>15</v>
      </c>
      <c r="K105" s="59" t="s">
        <v>16</v>
      </c>
      <c r="L105" s="59" t="s">
        <v>17</v>
      </c>
      <c r="M105" s="59" t="s">
        <v>18</v>
      </c>
      <c r="N105" s="59" t="s">
        <v>19</v>
      </c>
      <c r="O105" s="59" t="s">
        <v>7</v>
      </c>
    </row>
    <row r="106" spans="1:15" x14ac:dyDescent="0.25">
      <c r="A106" s="56" t="str">
        <f>B98</f>
        <v xml:space="preserve">Cerium oxide (CeO2) production in China/Sichuan </v>
      </c>
      <c r="B106" s="56" t="str">
        <f>B99</f>
        <v>CeO2</v>
      </c>
      <c r="C106" s="56" t="str">
        <f>B100</f>
        <v>CN-SWG</v>
      </c>
      <c r="D106" s="64">
        <v>1</v>
      </c>
      <c r="E106" s="56" t="str">
        <f>B102</f>
        <v>kilogram</v>
      </c>
      <c r="F106" s="57" t="str">
        <f>F94</f>
        <v>Rare Earths</v>
      </c>
      <c r="G106" s="56" t="s">
        <v>20</v>
      </c>
    </row>
    <row r="107" spans="1:15" x14ac:dyDescent="0.25">
      <c r="A107" s="56" t="str">
        <f>A94</f>
        <v xml:space="preserve">Bastnaesite ore mining and REO production in China/Sichuan </v>
      </c>
      <c r="B107" s="56" t="str">
        <f t="shared" ref="B107:F107" si="0">B94</f>
        <v>REO</v>
      </c>
      <c r="C107" s="56" t="str">
        <f t="shared" si="0"/>
        <v>CN-SWG</v>
      </c>
      <c r="D107" s="56">
        <v>0.1552215748990404</v>
      </c>
      <c r="E107" s="56" t="str">
        <f t="shared" si="0"/>
        <v>kilogram</v>
      </c>
      <c r="F107" s="57" t="str">
        <f t="shared" si="0"/>
        <v>Rare Earths</v>
      </c>
      <c r="G107" s="56" t="s">
        <v>25</v>
      </c>
    </row>
    <row r="108" spans="1:15" s="58" customFormat="1" x14ac:dyDescent="0.25"/>
    <row r="109" spans="1:15" x14ac:dyDescent="0.25">
      <c r="A109" s="59" t="s">
        <v>0</v>
      </c>
      <c r="B109" s="59" t="s">
        <v>247</v>
      </c>
    </row>
    <row r="110" spans="1:15" x14ac:dyDescent="0.25">
      <c r="A110" s="60" t="s">
        <v>1</v>
      </c>
      <c r="B110" s="56" t="s">
        <v>248</v>
      </c>
    </row>
    <row r="111" spans="1:15" x14ac:dyDescent="0.25">
      <c r="A111" s="60" t="s">
        <v>2</v>
      </c>
      <c r="B111" s="56" t="s">
        <v>3</v>
      </c>
    </row>
    <row r="112" spans="1:15" x14ac:dyDescent="0.25">
      <c r="A112" s="60" t="s">
        <v>4</v>
      </c>
      <c r="B112" s="56">
        <v>1</v>
      </c>
    </row>
    <row r="113" spans="1:15" x14ac:dyDescent="0.25">
      <c r="A113" s="60" t="s">
        <v>5</v>
      </c>
      <c r="B113" s="56" t="s">
        <v>6</v>
      </c>
    </row>
    <row r="114" spans="1:15" x14ac:dyDescent="0.25">
      <c r="A114" s="60" t="s">
        <v>7</v>
      </c>
      <c r="B114" s="56" t="s">
        <v>249</v>
      </c>
    </row>
    <row r="115" spans="1:15" x14ac:dyDescent="0.25">
      <c r="A115" s="60" t="s">
        <v>9</v>
      </c>
    </row>
    <row r="116" spans="1:15" x14ac:dyDescent="0.25">
      <c r="A116" s="59" t="s">
        <v>10</v>
      </c>
      <c r="B116" s="59" t="s">
        <v>1</v>
      </c>
      <c r="C116" s="59" t="s">
        <v>2</v>
      </c>
      <c r="D116" s="59" t="s">
        <v>4</v>
      </c>
      <c r="E116" s="59" t="s">
        <v>5</v>
      </c>
      <c r="F116" s="59" t="s">
        <v>11</v>
      </c>
      <c r="G116" s="59" t="s">
        <v>12</v>
      </c>
      <c r="H116" s="59" t="s">
        <v>13</v>
      </c>
      <c r="I116" s="59" t="s">
        <v>14</v>
      </c>
      <c r="J116" s="59" t="s">
        <v>15</v>
      </c>
      <c r="K116" s="59" t="s">
        <v>16</v>
      </c>
      <c r="L116" s="59" t="s">
        <v>17</v>
      </c>
      <c r="M116" s="59" t="s">
        <v>18</v>
      </c>
      <c r="N116" s="59" t="s">
        <v>19</v>
      </c>
      <c r="O116" s="59" t="s">
        <v>7</v>
      </c>
    </row>
    <row r="117" spans="1:15" x14ac:dyDescent="0.25">
      <c r="A117" s="56" t="str">
        <f>B109</f>
        <v>Cerium oxide (CeO2) production in China/Sichuan (Ce content)</v>
      </c>
      <c r="B117" s="56" t="str">
        <f>B110</f>
        <v>CeO2 (Ce content)</v>
      </c>
      <c r="C117" s="56" t="str">
        <f>B111</f>
        <v>CN-SWG</v>
      </c>
      <c r="D117" s="64">
        <v>1</v>
      </c>
      <c r="E117" s="56" t="str">
        <f>B113</f>
        <v>kilogram</v>
      </c>
      <c r="F117" s="57" t="str">
        <f>F106</f>
        <v>Rare Earths</v>
      </c>
      <c r="G117" s="56" t="s">
        <v>20</v>
      </c>
    </row>
    <row r="118" spans="1:15" x14ac:dyDescent="0.25">
      <c r="A118" s="56" t="str">
        <f>A106</f>
        <v xml:space="preserve">Cerium oxide (CeO2) production in China/Sichuan </v>
      </c>
      <c r="B118" s="56" t="str">
        <f t="shared" ref="B118:F118" si="1">B106</f>
        <v>CeO2</v>
      </c>
      <c r="C118" s="56" t="str">
        <f t="shared" si="1"/>
        <v>CN-SWG</v>
      </c>
      <c r="D118" s="56">
        <v>1.2283503255128363</v>
      </c>
      <c r="E118" s="56" t="str">
        <f t="shared" si="1"/>
        <v>kilogram</v>
      </c>
      <c r="F118" s="57" t="str">
        <f t="shared" si="1"/>
        <v>Rare Earths</v>
      </c>
      <c r="G118" s="56" t="s">
        <v>25</v>
      </c>
    </row>
    <row r="119" spans="1:15" s="58" customFormat="1" x14ac:dyDescent="0.25"/>
    <row r="120" spans="1:15" x14ac:dyDescent="0.25">
      <c r="A120" s="59" t="s">
        <v>0</v>
      </c>
      <c r="B120" s="59" t="s">
        <v>250</v>
      </c>
    </row>
    <row r="121" spans="1:15" x14ac:dyDescent="0.25">
      <c r="A121" s="60" t="s">
        <v>1</v>
      </c>
      <c r="B121" s="56" t="s">
        <v>251</v>
      </c>
    </row>
    <row r="122" spans="1:15" x14ac:dyDescent="0.25">
      <c r="A122" s="60" t="s">
        <v>2</v>
      </c>
      <c r="B122" s="56" t="s">
        <v>3</v>
      </c>
    </row>
    <row r="123" spans="1:15" x14ac:dyDescent="0.25">
      <c r="A123" s="60" t="s">
        <v>4</v>
      </c>
      <c r="B123" s="56">
        <v>1</v>
      </c>
    </row>
    <row r="124" spans="1:15" x14ac:dyDescent="0.25">
      <c r="A124" s="60" t="s">
        <v>5</v>
      </c>
      <c r="B124" s="56" t="s">
        <v>6</v>
      </c>
    </row>
    <row r="125" spans="1:15" ht="30" x14ac:dyDescent="0.25">
      <c r="A125" s="60" t="s">
        <v>7</v>
      </c>
      <c r="B125" s="67" t="s">
        <v>246</v>
      </c>
    </row>
    <row r="126" spans="1:15" x14ac:dyDescent="0.25">
      <c r="A126" s="60" t="s">
        <v>9</v>
      </c>
    </row>
    <row r="127" spans="1:15" x14ac:dyDescent="0.25">
      <c r="A127" s="59" t="s">
        <v>10</v>
      </c>
      <c r="B127" s="59" t="s">
        <v>1</v>
      </c>
      <c r="C127" s="59" t="s">
        <v>2</v>
      </c>
      <c r="D127" s="59" t="s">
        <v>4</v>
      </c>
      <c r="E127" s="59" t="s">
        <v>5</v>
      </c>
      <c r="F127" s="59" t="s">
        <v>11</v>
      </c>
      <c r="G127" s="59" t="s">
        <v>12</v>
      </c>
      <c r="H127" s="59" t="s">
        <v>13</v>
      </c>
      <c r="I127" s="59" t="s">
        <v>14</v>
      </c>
      <c r="J127" s="59" t="s">
        <v>15</v>
      </c>
      <c r="K127" s="59" t="s">
        <v>16</v>
      </c>
      <c r="L127" s="59" t="s">
        <v>17</v>
      </c>
      <c r="M127" s="59" t="s">
        <v>18</v>
      </c>
      <c r="N127" s="59" t="s">
        <v>19</v>
      </c>
      <c r="O127" s="59" t="s">
        <v>7</v>
      </c>
    </row>
    <row r="128" spans="1:15" x14ac:dyDescent="0.25">
      <c r="A128" s="56" t="str">
        <f>B120</f>
        <v xml:space="preserve">Erbium oxide (Er2O3) production in China/Sichuan </v>
      </c>
      <c r="B128" s="56" t="str">
        <f>B121</f>
        <v>Er2O3</v>
      </c>
      <c r="C128" s="56" t="str">
        <f>B122</f>
        <v>CN-SWG</v>
      </c>
      <c r="D128" s="64">
        <v>1</v>
      </c>
      <c r="E128" s="56" t="str">
        <f>B124</f>
        <v>kilogram</v>
      </c>
      <c r="F128" s="57" t="str">
        <f>F117</f>
        <v>Rare Earths</v>
      </c>
      <c r="G128" s="56" t="s">
        <v>20</v>
      </c>
    </row>
    <row r="129" spans="1:15" x14ac:dyDescent="0.25">
      <c r="A129" s="56" t="str">
        <f>A94</f>
        <v xml:space="preserve">Bastnaesite ore mining and REO production in China/Sichuan </v>
      </c>
      <c r="B129" s="56" t="str">
        <f t="shared" ref="B129:F129" si="2">B94</f>
        <v>REO</v>
      </c>
      <c r="C129" s="56" t="str">
        <f t="shared" si="2"/>
        <v>CN-SWG</v>
      </c>
      <c r="D129" s="56">
        <v>2.2054342365245221</v>
      </c>
      <c r="E129" s="56" t="str">
        <f t="shared" si="2"/>
        <v>kilogram</v>
      </c>
      <c r="F129" s="57" t="str">
        <f t="shared" si="2"/>
        <v>Rare Earths</v>
      </c>
      <c r="G129" s="56" t="s">
        <v>25</v>
      </c>
    </row>
    <row r="130" spans="1:15" s="58" customFormat="1" x14ac:dyDescent="0.25"/>
    <row r="131" spans="1:15" x14ac:dyDescent="0.25">
      <c r="A131" s="59" t="s">
        <v>0</v>
      </c>
      <c r="B131" s="59" t="s">
        <v>252</v>
      </c>
    </row>
    <row r="132" spans="1:15" x14ac:dyDescent="0.25">
      <c r="A132" s="60" t="s">
        <v>1</v>
      </c>
      <c r="B132" s="56" t="s">
        <v>253</v>
      </c>
    </row>
    <row r="133" spans="1:15" x14ac:dyDescent="0.25">
      <c r="A133" s="60" t="s">
        <v>2</v>
      </c>
      <c r="B133" s="56" t="s">
        <v>3</v>
      </c>
    </row>
    <row r="134" spans="1:15" x14ac:dyDescent="0.25">
      <c r="A134" s="60" t="s">
        <v>4</v>
      </c>
      <c r="B134" s="56">
        <v>1</v>
      </c>
    </row>
    <row r="135" spans="1:15" x14ac:dyDescent="0.25">
      <c r="A135" s="60" t="s">
        <v>5</v>
      </c>
      <c r="B135" s="56" t="s">
        <v>6</v>
      </c>
    </row>
    <row r="136" spans="1:15" x14ac:dyDescent="0.25">
      <c r="A136" s="60" t="s">
        <v>7</v>
      </c>
      <c r="B136" s="56" t="s">
        <v>254</v>
      </c>
    </row>
    <row r="137" spans="1:15" x14ac:dyDescent="0.25">
      <c r="A137" s="60" t="s">
        <v>9</v>
      </c>
    </row>
    <row r="138" spans="1:15" x14ac:dyDescent="0.25">
      <c r="A138" s="59" t="s">
        <v>10</v>
      </c>
      <c r="B138" s="59" t="s">
        <v>1</v>
      </c>
      <c r="C138" s="59" t="s">
        <v>2</v>
      </c>
      <c r="D138" s="59" t="s">
        <v>4</v>
      </c>
      <c r="E138" s="59" t="s">
        <v>5</v>
      </c>
      <c r="F138" s="59" t="s">
        <v>11</v>
      </c>
      <c r="G138" s="59" t="s">
        <v>12</v>
      </c>
      <c r="H138" s="59" t="s">
        <v>13</v>
      </c>
      <c r="I138" s="59" t="s">
        <v>14</v>
      </c>
      <c r="J138" s="59" t="s">
        <v>15</v>
      </c>
      <c r="K138" s="59" t="s">
        <v>16</v>
      </c>
      <c r="L138" s="59" t="s">
        <v>17</v>
      </c>
      <c r="M138" s="59" t="s">
        <v>18</v>
      </c>
      <c r="N138" s="59" t="s">
        <v>19</v>
      </c>
      <c r="O138" s="59" t="s">
        <v>7</v>
      </c>
    </row>
    <row r="139" spans="1:15" x14ac:dyDescent="0.25">
      <c r="A139" s="56" t="str">
        <f>B131</f>
        <v>Erbium oxide (Er2O3) production in China/Sichuan (Er content)</v>
      </c>
      <c r="B139" s="56" t="str">
        <f>B132</f>
        <v>Er2O3 (Er content)</v>
      </c>
      <c r="C139" s="56" t="str">
        <f>B133</f>
        <v>CN-SWG</v>
      </c>
      <c r="D139" s="64">
        <v>1</v>
      </c>
      <c r="E139" s="56" t="str">
        <f>B135</f>
        <v>kilogram</v>
      </c>
      <c r="F139" s="57" t="str">
        <f>F128</f>
        <v>Rare Earths</v>
      </c>
      <c r="G139" s="56" t="s">
        <v>20</v>
      </c>
    </row>
    <row r="140" spans="1:15" x14ac:dyDescent="0.25">
      <c r="A140" s="56" t="str">
        <f>A128</f>
        <v xml:space="preserve">Erbium oxide (Er2O3) production in China/Sichuan </v>
      </c>
      <c r="B140" s="56" t="str">
        <f t="shared" ref="B140:F140" si="3">B128</f>
        <v>Er2O3</v>
      </c>
      <c r="C140" s="56" t="str">
        <f t="shared" si="3"/>
        <v>CN-SWG</v>
      </c>
      <c r="D140" s="56">
        <v>1.1435105774728416</v>
      </c>
      <c r="E140" s="56" t="str">
        <f t="shared" si="3"/>
        <v>kilogram</v>
      </c>
      <c r="F140" s="57" t="str">
        <f t="shared" si="3"/>
        <v>Rare Earths</v>
      </c>
      <c r="G140" s="56" t="s">
        <v>25</v>
      </c>
    </row>
    <row r="141" spans="1:15" s="58" customFormat="1" x14ac:dyDescent="0.25"/>
    <row r="142" spans="1:15" x14ac:dyDescent="0.25">
      <c r="A142" s="59" t="s">
        <v>0</v>
      </c>
      <c r="B142" s="59" t="s">
        <v>255</v>
      </c>
    </row>
    <row r="143" spans="1:15" x14ac:dyDescent="0.25">
      <c r="A143" s="60" t="s">
        <v>1</v>
      </c>
      <c r="B143" s="56" t="s">
        <v>256</v>
      </c>
    </row>
    <row r="144" spans="1:15" x14ac:dyDescent="0.25">
      <c r="A144" s="60" t="s">
        <v>2</v>
      </c>
      <c r="B144" s="56" t="s">
        <v>3</v>
      </c>
    </row>
    <row r="145" spans="1:15" x14ac:dyDescent="0.25">
      <c r="A145" s="60" t="s">
        <v>4</v>
      </c>
      <c r="B145" s="56">
        <v>1</v>
      </c>
    </row>
    <row r="146" spans="1:15" x14ac:dyDescent="0.25">
      <c r="A146" s="60" t="s">
        <v>5</v>
      </c>
      <c r="B146" s="56" t="s">
        <v>6</v>
      </c>
    </row>
    <row r="147" spans="1:15" ht="30" x14ac:dyDescent="0.25">
      <c r="A147" s="60" t="s">
        <v>7</v>
      </c>
      <c r="B147" s="67" t="s">
        <v>246</v>
      </c>
    </row>
    <row r="148" spans="1:15" x14ac:dyDescent="0.25">
      <c r="A148" s="60" t="s">
        <v>9</v>
      </c>
    </row>
    <row r="149" spans="1:15" x14ac:dyDescent="0.25">
      <c r="A149" s="59" t="s">
        <v>10</v>
      </c>
      <c r="B149" s="59" t="s">
        <v>1</v>
      </c>
      <c r="C149" s="59" t="s">
        <v>2</v>
      </c>
      <c r="D149" s="59" t="s">
        <v>4</v>
      </c>
      <c r="E149" s="59" t="s">
        <v>5</v>
      </c>
      <c r="F149" s="59" t="s">
        <v>11</v>
      </c>
      <c r="G149" s="59" t="s">
        <v>12</v>
      </c>
      <c r="H149" s="59" t="s">
        <v>13</v>
      </c>
      <c r="I149" s="59" t="s">
        <v>14</v>
      </c>
      <c r="J149" s="59" t="s">
        <v>15</v>
      </c>
      <c r="K149" s="59" t="s">
        <v>16</v>
      </c>
      <c r="L149" s="59" t="s">
        <v>17</v>
      </c>
      <c r="M149" s="59" t="s">
        <v>18</v>
      </c>
      <c r="N149" s="59" t="s">
        <v>19</v>
      </c>
      <c r="O149" s="59" t="s">
        <v>7</v>
      </c>
    </row>
    <row r="150" spans="1:15" x14ac:dyDescent="0.25">
      <c r="A150" s="56" t="str">
        <f>B142</f>
        <v xml:space="preserve">Europium oxide (Eu2O3) production in China/Sichuan </v>
      </c>
      <c r="B150" s="56" t="str">
        <f>B143</f>
        <v>Eu2O3</v>
      </c>
      <c r="C150" s="56" t="str">
        <f>B144</f>
        <v>CN-SWG</v>
      </c>
      <c r="D150" s="64">
        <v>1</v>
      </c>
      <c r="E150" s="56" t="str">
        <f>B146</f>
        <v>kilogram</v>
      </c>
      <c r="F150" s="57" t="str">
        <f>F139</f>
        <v>Rare Earths</v>
      </c>
      <c r="G150" s="56" t="s">
        <v>20</v>
      </c>
    </row>
    <row r="151" spans="1:15" x14ac:dyDescent="0.25">
      <c r="A151" s="56" t="str">
        <f>A94</f>
        <v xml:space="preserve">Bastnaesite ore mining and REO production in China/Sichuan </v>
      </c>
      <c r="B151" s="56" t="str">
        <f t="shared" ref="B151:F151" si="4">B94</f>
        <v>REO</v>
      </c>
      <c r="C151" s="56" t="str">
        <f t="shared" si="4"/>
        <v>CN-SWG</v>
      </c>
      <c r="D151" s="56">
        <v>13.165688231009035</v>
      </c>
      <c r="E151" s="56" t="str">
        <f t="shared" si="4"/>
        <v>kilogram</v>
      </c>
      <c r="F151" s="57" t="str">
        <f t="shared" si="4"/>
        <v>Rare Earths</v>
      </c>
      <c r="G151" s="56" t="s">
        <v>25</v>
      </c>
    </row>
    <row r="152" spans="1:15" s="58" customFormat="1" x14ac:dyDescent="0.25"/>
    <row r="153" spans="1:15" x14ac:dyDescent="0.25">
      <c r="A153" s="59" t="s">
        <v>0</v>
      </c>
      <c r="B153" s="59" t="s">
        <v>257</v>
      </c>
    </row>
    <row r="154" spans="1:15" x14ac:dyDescent="0.25">
      <c r="A154" s="60" t="s">
        <v>1</v>
      </c>
      <c r="B154" s="56" t="s">
        <v>258</v>
      </c>
    </row>
    <row r="155" spans="1:15" x14ac:dyDescent="0.25">
      <c r="A155" s="60" t="s">
        <v>2</v>
      </c>
      <c r="B155" s="56" t="s">
        <v>3</v>
      </c>
    </row>
    <row r="156" spans="1:15" x14ac:dyDescent="0.25">
      <c r="A156" s="60" t="s">
        <v>4</v>
      </c>
      <c r="B156" s="56">
        <v>1</v>
      </c>
    </row>
    <row r="157" spans="1:15" x14ac:dyDescent="0.25">
      <c r="A157" s="60" t="s">
        <v>5</v>
      </c>
      <c r="B157" s="56" t="s">
        <v>6</v>
      </c>
    </row>
    <row r="158" spans="1:15" x14ac:dyDescent="0.25">
      <c r="A158" s="60" t="s">
        <v>7</v>
      </c>
      <c r="B158" s="56" t="s">
        <v>263</v>
      </c>
    </row>
    <row r="159" spans="1:15" x14ac:dyDescent="0.25">
      <c r="A159" s="60" t="s">
        <v>9</v>
      </c>
    </row>
    <row r="160" spans="1:15" x14ac:dyDescent="0.25">
      <c r="A160" s="59" t="s">
        <v>10</v>
      </c>
      <c r="B160" s="59" t="s">
        <v>1</v>
      </c>
      <c r="C160" s="59" t="s">
        <v>2</v>
      </c>
      <c r="D160" s="59" t="s">
        <v>4</v>
      </c>
      <c r="E160" s="59" t="s">
        <v>5</v>
      </c>
      <c r="F160" s="59" t="s">
        <v>11</v>
      </c>
      <c r="G160" s="59" t="s">
        <v>12</v>
      </c>
      <c r="H160" s="59" t="s">
        <v>13</v>
      </c>
      <c r="I160" s="59" t="s">
        <v>14</v>
      </c>
      <c r="J160" s="59" t="s">
        <v>15</v>
      </c>
      <c r="K160" s="59" t="s">
        <v>16</v>
      </c>
      <c r="L160" s="59" t="s">
        <v>17</v>
      </c>
      <c r="M160" s="59" t="s">
        <v>18</v>
      </c>
      <c r="N160" s="59" t="s">
        <v>19</v>
      </c>
      <c r="O160" s="59" t="s">
        <v>7</v>
      </c>
    </row>
    <row r="161" spans="1:15" x14ac:dyDescent="0.25">
      <c r="A161" s="56" t="str">
        <f>B153</f>
        <v>Europium oxide (Eu2O3) production in China/Sichuan (Eu content)</v>
      </c>
      <c r="B161" s="56" t="str">
        <f>B154</f>
        <v>Eu2O3 (Eu content)</v>
      </c>
      <c r="C161" s="56" t="str">
        <f>B155</f>
        <v>CN-SWG</v>
      </c>
      <c r="D161" s="64">
        <v>1</v>
      </c>
      <c r="E161" s="56" t="str">
        <f>B157</f>
        <v>kilogram</v>
      </c>
      <c r="F161" s="57" t="str">
        <f>F150</f>
        <v>Rare Earths</v>
      </c>
      <c r="G161" s="56" t="s">
        <v>20</v>
      </c>
    </row>
    <row r="162" spans="1:15" x14ac:dyDescent="0.25">
      <c r="A162" s="56" t="str">
        <f>A150</f>
        <v xml:space="preserve">Europium oxide (Eu2O3) production in China/Sichuan </v>
      </c>
      <c r="B162" s="56" t="str">
        <f t="shared" ref="B162:F162" si="5">B150</f>
        <v>Eu2O3</v>
      </c>
      <c r="C162" s="56" t="str">
        <f t="shared" si="5"/>
        <v>CN-SWG</v>
      </c>
      <c r="D162" s="56">
        <v>1.1579434923575729</v>
      </c>
      <c r="E162" s="56" t="str">
        <f t="shared" si="5"/>
        <v>kilogram</v>
      </c>
      <c r="F162" s="57" t="str">
        <f t="shared" si="5"/>
        <v>Rare Earths</v>
      </c>
      <c r="G162" s="56" t="s">
        <v>25</v>
      </c>
    </row>
    <row r="163" spans="1:15" s="58" customFormat="1" x14ac:dyDescent="0.25"/>
    <row r="164" spans="1:15" x14ac:dyDescent="0.25">
      <c r="A164" s="59" t="s">
        <v>0</v>
      </c>
      <c r="B164" s="59" t="s">
        <v>259</v>
      </c>
    </row>
    <row r="165" spans="1:15" x14ac:dyDescent="0.25">
      <c r="A165" s="60" t="s">
        <v>1</v>
      </c>
      <c r="B165" s="56" t="s">
        <v>260</v>
      </c>
    </row>
    <row r="166" spans="1:15" x14ac:dyDescent="0.25">
      <c r="A166" s="60" t="s">
        <v>2</v>
      </c>
      <c r="B166" s="56" t="s">
        <v>3</v>
      </c>
    </row>
    <row r="167" spans="1:15" x14ac:dyDescent="0.25">
      <c r="A167" s="60" t="s">
        <v>4</v>
      </c>
      <c r="B167" s="56">
        <v>1</v>
      </c>
    </row>
    <row r="168" spans="1:15" x14ac:dyDescent="0.25">
      <c r="A168" s="60" t="s">
        <v>5</v>
      </c>
      <c r="B168" s="56" t="s">
        <v>6</v>
      </c>
    </row>
    <row r="169" spans="1:15" ht="30" x14ac:dyDescent="0.25">
      <c r="A169" s="60" t="s">
        <v>7</v>
      </c>
      <c r="B169" s="67" t="s">
        <v>246</v>
      </c>
    </row>
    <row r="170" spans="1:15" x14ac:dyDescent="0.25">
      <c r="A170" s="60" t="s">
        <v>9</v>
      </c>
    </row>
    <row r="171" spans="1:15" x14ac:dyDescent="0.25">
      <c r="A171" s="59" t="s">
        <v>10</v>
      </c>
      <c r="B171" s="59" t="s">
        <v>1</v>
      </c>
      <c r="C171" s="59" t="s">
        <v>2</v>
      </c>
      <c r="D171" s="59" t="s">
        <v>4</v>
      </c>
      <c r="E171" s="59" t="s">
        <v>5</v>
      </c>
      <c r="F171" s="59" t="s">
        <v>11</v>
      </c>
      <c r="G171" s="59" t="s">
        <v>12</v>
      </c>
      <c r="H171" s="59" t="s">
        <v>13</v>
      </c>
      <c r="I171" s="59" t="s">
        <v>14</v>
      </c>
      <c r="J171" s="59" t="s">
        <v>15</v>
      </c>
      <c r="K171" s="59" t="s">
        <v>16</v>
      </c>
      <c r="L171" s="59" t="s">
        <v>17</v>
      </c>
      <c r="M171" s="59" t="s">
        <v>18</v>
      </c>
      <c r="N171" s="59" t="s">
        <v>19</v>
      </c>
      <c r="O171" s="59" t="s">
        <v>7</v>
      </c>
    </row>
    <row r="172" spans="1:15" x14ac:dyDescent="0.25">
      <c r="A172" s="56" t="str">
        <f>B164</f>
        <v xml:space="preserve">Gadolinium oxide (Gd2O3) production in China/Sichuan </v>
      </c>
      <c r="B172" s="56" t="str">
        <f>B165</f>
        <v>Gd2O3</v>
      </c>
      <c r="C172" s="56" t="str">
        <f>B166</f>
        <v>CN-SWG</v>
      </c>
      <c r="D172" s="64">
        <v>1</v>
      </c>
      <c r="E172" s="56" t="str">
        <f>B168</f>
        <v>kilogram</v>
      </c>
      <c r="F172" s="57" t="str">
        <f>F161</f>
        <v>Rare Earths</v>
      </c>
      <c r="G172" s="56" t="s">
        <v>20</v>
      </c>
    </row>
    <row r="173" spans="1:15" x14ac:dyDescent="0.25">
      <c r="A173" s="56" t="str">
        <f>A94</f>
        <v xml:space="preserve">Bastnaesite ore mining and REO production in China/Sichuan </v>
      </c>
      <c r="B173" s="56" t="str">
        <f t="shared" ref="B173:F173" si="6">B94</f>
        <v>REO</v>
      </c>
      <c r="C173" s="56" t="str">
        <f t="shared" si="6"/>
        <v>CN-SWG</v>
      </c>
      <c r="D173" s="56">
        <v>1.5616910909785489</v>
      </c>
      <c r="E173" s="56" t="str">
        <f t="shared" si="6"/>
        <v>kilogram</v>
      </c>
      <c r="F173" s="57" t="str">
        <f t="shared" si="6"/>
        <v>Rare Earths</v>
      </c>
      <c r="G173" s="56" t="s">
        <v>25</v>
      </c>
    </row>
    <row r="174" spans="1:15" s="58" customFormat="1" x14ac:dyDescent="0.25"/>
    <row r="175" spans="1:15" x14ac:dyDescent="0.25">
      <c r="A175" s="59" t="s">
        <v>0</v>
      </c>
      <c r="B175" s="59" t="s">
        <v>261</v>
      </c>
    </row>
    <row r="176" spans="1:15" x14ac:dyDescent="0.25">
      <c r="A176" s="60" t="s">
        <v>1</v>
      </c>
      <c r="B176" s="56" t="s">
        <v>262</v>
      </c>
    </row>
    <row r="177" spans="1:15" x14ac:dyDescent="0.25">
      <c r="A177" s="60" t="s">
        <v>2</v>
      </c>
      <c r="B177" s="56" t="s">
        <v>3</v>
      </c>
    </row>
    <row r="178" spans="1:15" x14ac:dyDescent="0.25">
      <c r="A178" s="60" t="s">
        <v>4</v>
      </c>
      <c r="B178" s="56">
        <v>1</v>
      </c>
    </row>
    <row r="179" spans="1:15" x14ac:dyDescent="0.25">
      <c r="A179" s="60" t="s">
        <v>5</v>
      </c>
      <c r="B179" s="56" t="s">
        <v>6</v>
      </c>
    </row>
    <row r="180" spans="1:15" x14ac:dyDescent="0.25">
      <c r="A180" s="60" t="s">
        <v>7</v>
      </c>
      <c r="B180" s="56" t="s">
        <v>264</v>
      </c>
    </row>
    <row r="181" spans="1:15" x14ac:dyDescent="0.25">
      <c r="A181" s="60" t="s">
        <v>9</v>
      </c>
    </row>
    <row r="182" spans="1:15" x14ac:dyDescent="0.25">
      <c r="A182" s="59" t="s">
        <v>10</v>
      </c>
      <c r="B182" s="59" t="s">
        <v>1</v>
      </c>
      <c r="C182" s="59" t="s">
        <v>2</v>
      </c>
      <c r="D182" s="59" t="s">
        <v>4</v>
      </c>
      <c r="E182" s="59" t="s">
        <v>5</v>
      </c>
      <c r="F182" s="59" t="s">
        <v>11</v>
      </c>
      <c r="G182" s="59" t="s">
        <v>12</v>
      </c>
      <c r="H182" s="59" t="s">
        <v>13</v>
      </c>
      <c r="I182" s="59" t="s">
        <v>14</v>
      </c>
      <c r="J182" s="59" t="s">
        <v>15</v>
      </c>
      <c r="K182" s="59" t="s">
        <v>16</v>
      </c>
      <c r="L182" s="59" t="s">
        <v>17</v>
      </c>
      <c r="M182" s="59" t="s">
        <v>18</v>
      </c>
      <c r="N182" s="59" t="s">
        <v>19</v>
      </c>
      <c r="O182" s="59" t="s">
        <v>7</v>
      </c>
    </row>
    <row r="183" spans="1:15" x14ac:dyDescent="0.25">
      <c r="A183" s="56" t="str">
        <f>B175</f>
        <v>Gadolinium oxide (Gd2O3) production in China/Sichuan (Gd content)</v>
      </c>
      <c r="B183" s="56" t="str">
        <f>B176</f>
        <v>Gd2O3 (Gd content)</v>
      </c>
      <c r="C183" s="56" t="str">
        <f>B177</f>
        <v>CN-SWG</v>
      </c>
      <c r="D183" s="64">
        <v>1</v>
      </c>
      <c r="E183" s="56" t="str">
        <f>B179</f>
        <v>kilogram</v>
      </c>
      <c r="F183" s="57" t="str">
        <f>F172</f>
        <v>Rare Earths</v>
      </c>
      <c r="G183" s="56" t="s">
        <v>20</v>
      </c>
    </row>
    <row r="184" spans="1:15" x14ac:dyDescent="0.25">
      <c r="A184" s="56" t="str">
        <f>A172</f>
        <v xml:space="preserve">Gadolinium oxide (Gd2O3) production in China/Sichuan </v>
      </c>
      <c r="B184" s="56" t="str">
        <f t="shared" ref="B184:F184" si="7">B172</f>
        <v>Gd2O3</v>
      </c>
      <c r="C184" s="56" t="str">
        <f t="shared" si="7"/>
        <v>CN-SWG</v>
      </c>
      <c r="D184" s="56">
        <v>1.152604887044721</v>
      </c>
      <c r="E184" s="56" t="str">
        <f t="shared" si="7"/>
        <v>kilogram</v>
      </c>
      <c r="F184" s="57" t="str">
        <f t="shared" si="7"/>
        <v>Rare Earths</v>
      </c>
      <c r="G184" s="56" t="s">
        <v>25</v>
      </c>
    </row>
    <row r="185" spans="1:15" s="58" customFormat="1" x14ac:dyDescent="0.25"/>
    <row r="186" spans="1:15" x14ac:dyDescent="0.25">
      <c r="A186" s="59" t="s">
        <v>0</v>
      </c>
      <c r="B186" s="59" t="s">
        <v>265</v>
      </c>
    </row>
    <row r="187" spans="1:15" x14ac:dyDescent="0.25">
      <c r="A187" s="60" t="s">
        <v>1</v>
      </c>
      <c r="B187" s="56" t="s">
        <v>266</v>
      </c>
    </row>
    <row r="188" spans="1:15" x14ac:dyDescent="0.25">
      <c r="A188" s="60" t="s">
        <v>2</v>
      </c>
      <c r="B188" s="56" t="s">
        <v>3</v>
      </c>
    </row>
    <row r="189" spans="1:15" x14ac:dyDescent="0.25">
      <c r="A189" s="60" t="s">
        <v>4</v>
      </c>
      <c r="B189" s="56">
        <v>1</v>
      </c>
    </row>
    <row r="190" spans="1:15" x14ac:dyDescent="0.25">
      <c r="A190" s="60" t="s">
        <v>5</v>
      </c>
      <c r="B190" s="56" t="s">
        <v>6</v>
      </c>
    </row>
    <row r="191" spans="1:15" ht="30" x14ac:dyDescent="0.25">
      <c r="A191" s="60" t="s">
        <v>7</v>
      </c>
      <c r="B191" s="67" t="s">
        <v>246</v>
      </c>
    </row>
    <row r="192" spans="1:15" x14ac:dyDescent="0.25">
      <c r="A192" s="60" t="s">
        <v>9</v>
      </c>
    </row>
    <row r="193" spans="1:15" x14ac:dyDescent="0.25">
      <c r="A193" s="59" t="s">
        <v>10</v>
      </c>
      <c r="B193" s="59" t="s">
        <v>1</v>
      </c>
      <c r="C193" s="59" t="s">
        <v>2</v>
      </c>
      <c r="D193" s="59" t="s">
        <v>4</v>
      </c>
      <c r="E193" s="59" t="s">
        <v>5</v>
      </c>
      <c r="F193" s="59" t="s">
        <v>11</v>
      </c>
      <c r="G193" s="59" t="s">
        <v>12</v>
      </c>
      <c r="H193" s="59" t="s">
        <v>13</v>
      </c>
      <c r="I193" s="59" t="s">
        <v>14</v>
      </c>
      <c r="J193" s="59" t="s">
        <v>15</v>
      </c>
      <c r="K193" s="59" t="s">
        <v>16</v>
      </c>
      <c r="L193" s="59" t="s">
        <v>17</v>
      </c>
      <c r="M193" s="59" t="s">
        <v>18</v>
      </c>
      <c r="N193" s="59" t="s">
        <v>19</v>
      </c>
      <c r="O193" s="59" t="s">
        <v>7</v>
      </c>
    </row>
    <row r="194" spans="1:15" x14ac:dyDescent="0.25">
      <c r="A194" s="56" t="str">
        <f>B186</f>
        <v xml:space="preserve">Lanthanum oxide (La2O3) production in China/Sichuan </v>
      </c>
      <c r="B194" s="56" t="str">
        <f>B187</f>
        <v>La2O3</v>
      </c>
      <c r="C194" s="56" t="str">
        <f>B188</f>
        <v>CN-SWG</v>
      </c>
      <c r="D194" s="64">
        <v>1</v>
      </c>
      <c r="E194" s="56" t="str">
        <f>B190</f>
        <v>kilogram</v>
      </c>
      <c r="F194" s="57" t="str">
        <f>F183</f>
        <v>Rare Earths</v>
      </c>
      <c r="G194" s="56" t="s">
        <v>20</v>
      </c>
    </row>
    <row r="195" spans="1:15" x14ac:dyDescent="0.25">
      <c r="A195" s="56" t="str">
        <f>A94</f>
        <v xml:space="preserve">Bastnaesite ore mining and REO production in China/Sichuan </v>
      </c>
      <c r="B195" s="56" t="str">
        <f t="shared" ref="B195:F195" si="8">B94</f>
        <v>REO</v>
      </c>
      <c r="C195" s="56" t="str">
        <f t="shared" si="8"/>
        <v>CN-SWG</v>
      </c>
      <c r="D195" s="56">
        <v>0.16116783555376929</v>
      </c>
      <c r="E195" s="56" t="str">
        <f t="shared" si="8"/>
        <v>kilogram</v>
      </c>
      <c r="F195" s="57" t="str">
        <f t="shared" si="8"/>
        <v>Rare Earths</v>
      </c>
      <c r="G195" s="56" t="s">
        <v>25</v>
      </c>
    </row>
    <row r="196" spans="1:15" s="58" customFormat="1" x14ac:dyDescent="0.25"/>
    <row r="197" spans="1:15" x14ac:dyDescent="0.25">
      <c r="A197" s="59" t="s">
        <v>0</v>
      </c>
      <c r="B197" s="59" t="s">
        <v>267</v>
      </c>
    </row>
    <row r="198" spans="1:15" x14ac:dyDescent="0.25">
      <c r="A198" s="60" t="s">
        <v>1</v>
      </c>
      <c r="B198" s="56" t="s">
        <v>268</v>
      </c>
    </row>
    <row r="199" spans="1:15" x14ac:dyDescent="0.25">
      <c r="A199" s="60" t="s">
        <v>2</v>
      </c>
      <c r="B199" s="56" t="s">
        <v>3</v>
      </c>
    </row>
    <row r="200" spans="1:15" x14ac:dyDescent="0.25">
      <c r="A200" s="60" t="s">
        <v>4</v>
      </c>
      <c r="B200" s="56">
        <v>1</v>
      </c>
    </row>
    <row r="201" spans="1:15" x14ac:dyDescent="0.25">
      <c r="A201" s="60" t="s">
        <v>5</v>
      </c>
      <c r="B201" s="56" t="s">
        <v>6</v>
      </c>
    </row>
    <row r="202" spans="1:15" x14ac:dyDescent="0.25">
      <c r="A202" s="60" t="s">
        <v>7</v>
      </c>
      <c r="B202" s="56" t="s">
        <v>269</v>
      </c>
    </row>
    <row r="203" spans="1:15" x14ac:dyDescent="0.25">
      <c r="A203" s="60" t="s">
        <v>9</v>
      </c>
    </row>
    <row r="204" spans="1:15" x14ac:dyDescent="0.25">
      <c r="A204" s="59" t="s">
        <v>10</v>
      </c>
      <c r="B204" s="59" t="s">
        <v>1</v>
      </c>
      <c r="C204" s="59" t="s">
        <v>2</v>
      </c>
      <c r="D204" s="59" t="s">
        <v>4</v>
      </c>
      <c r="E204" s="59" t="s">
        <v>5</v>
      </c>
      <c r="F204" s="59" t="s">
        <v>11</v>
      </c>
      <c r="G204" s="59" t="s">
        <v>12</v>
      </c>
      <c r="H204" s="59" t="s">
        <v>13</v>
      </c>
      <c r="I204" s="59" t="s">
        <v>14</v>
      </c>
      <c r="J204" s="59" t="s">
        <v>15</v>
      </c>
      <c r="K204" s="59" t="s">
        <v>16</v>
      </c>
      <c r="L204" s="59" t="s">
        <v>17</v>
      </c>
      <c r="M204" s="59" t="s">
        <v>18</v>
      </c>
      <c r="N204" s="59" t="s">
        <v>19</v>
      </c>
      <c r="O204" s="59" t="s">
        <v>7</v>
      </c>
    </row>
    <row r="205" spans="1:15" x14ac:dyDescent="0.25">
      <c r="A205" s="56" t="str">
        <f>B197</f>
        <v>Lanthanum oxide (La2O3) production in China/Sichuan (La content)</v>
      </c>
      <c r="B205" s="56" t="str">
        <f>B198</f>
        <v>La2O3 (La content)</v>
      </c>
      <c r="C205" s="56" t="str">
        <f>B199</f>
        <v>CN-SWG</v>
      </c>
      <c r="D205" s="64">
        <v>1</v>
      </c>
      <c r="E205" s="56" t="str">
        <f>B201</f>
        <v>kilogram</v>
      </c>
      <c r="F205" s="57" t="str">
        <f>F194</f>
        <v>Rare Earths</v>
      </c>
      <c r="G205" s="56" t="s">
        <v>20</v>
      </c>
    </row>
    <row r="206" spans="1:15" x14ac:dyDescent="0.25">
      <c r="A206" s="56" t="str">
        <f>A194</f>
        <v xml:space="preserve">Lanthanum oxide (La2O3) production in China/Sichuan </v>
      </c>
      <c r="B206" s="56" t="str">
        <f t="shared" ref="B206:F206" si="9">B194</f>
        <v>La2O3</v>
      </c>
      <c r="C206" s="56" t="str">
        <f t="shared" si="9"/>
        <v>CN-SWG</v>
      </c>
      <c r="D206" s="56">
        <v>1.1727453969743169</v>
      </c>
      <c r="E206" s="56" t="str">
        <f t="shared" si="9"/>
        <v>kilogram</v>
      </c>
      <c r="F206" s="57" t="str">
        <f t="shared" si="9"/>
        <v>Rare Earths</v>
      </c>
      <c r="G206" s="56" t="s">
        <v>25</v>
      </c>
    </row>
    <row r="207" spans="1:15" s="58" customFormat="1" x14ac:dyDescent="0.25"/>
    <row r="208" spans="1:15" x14ac:dyDescent="0.25">
      <c r="A208" s="59" t="s">
        <v>0</v>
      </c>
      <c r="B208" s="59" t="s">
        <v>270</v>
      </c>
    </row>
    <row r="209" spans="1:15" x14ac:dyDescent="0.25">
      <c r="A209" s="60" t="s">
        <v>1</v>
      </c>
      <c r="B209" s="56" t="s">
        <v>271</v>
      </c>
    </row>
    <row r="210" spans="1:15" x14ac:dyDescent="0.25">
      <c r="A210" s="60" t="s">
        <v>2</v>
      </c>
      <c r="B210" s="56" t="s">
        <v>3</v>
      </c>
    </row>
    <row r="211" spans="1:15" x14ac:dyDescent="0.25">
      <c r="A211" s="60" t="s">
        <v>4</v>
      </c>
      <c r="B211" s="56">
        <v>1</v>
      </c>
    </row>
    <row r="212" spans="1:15" x14ac:dyDescent="0.25">
      <c r="A212" s="60" t="s">
        <v>5</v>
      </c>
      <c r="B212" s="56" t="s">
        <v>6</v>
      </c>
    </row>
    <row r="213" spans="1:15" ht="30" x14ac:dyDescent="0.25">
      <c r="A213" s="60" t="s">
        <v>7</v>
      </c>
      <c r="B213" s="67" t="s">
        <v>246</v>
      </c>
    </row>
    <row r="214" spans="1:15" x14ac:dyDescent="0.25">
      <c r="A214" s="60" t="s">
        <v>9</v>
      </c>
    </row>
    <row r="215" spans="1:15" x14ac:dyDescent="0.25">
      <c r="A215" s="59" t="s">
        <v>10</v>
      </c>
      <c r="B215" s="59" t="s">
        <v>1</v>
      </c>
      <c r="C215" s="59" t="s">
        <v>2</v>
      </c>
      <c r="D215" s="59" t="s">
        <v>4</v>
      </c>
      <c r="E215" s="59" t="s">
        <v>5</v>
      </c>
      <c r="F215" s="59" t="s">
        <v>11</v>
      </c>
      <c r="G215" s="59" t="s">
        <v>12</v>
      </c>
      <c r="H215" s="59" t="s">
        <v>13</v>
      </c>
      <c r="I215" s="59" t="s">
        <v>14</v>
      </c>
      <c r="J215" s="59" t="s">
        <v>15</v>
      </c>
      <c r="K215" s="59" t="s">
        <v>16</v>
      </c>
      <c r="L215" s="59" t="s">
        <v>17</v>
      </c>
      <c r="M215" s="59" t="s">
        <v>18</v>
      </c>
      <c r="N215" s="59" t="s">
        <v>19</v>
      </c>
      <c r="O215" s="59" t="s">
        <v>7</v>
      </c>
    </row>
    <row r="216" spans="1:15" x14ac:dyDescent="0.25">
      <c r="A216" s="56" t="str">
        <f>B208</f>
        <v xml:space="preserve">Neodymium oxide (Nd2O3) production in China/Sichuan </v>
      </c>
      <c r="B216" s="56" t="str">
        <f>B209</f>
        <v>Nd2O3</v>
      </c>
      <c r="C216" s="56" t="str">
        <f>B210</f>
        <v>CN-SWG</v>
      </c>
      <c r="D216" s="64">
        <v>1</v>
      </c>
      <c r="E216" s="56" t="str">
        <f>B212</f>
        <v>kilogram</v>
      </c>
      <c r="F216" s="57" t="str">
        <f>F205</f>
        <v>Rare Earths</v>
      </c>
      <c r="G216" s="56" t="s">
        <v>20</v>
      </c>
    </row>
    <row r="217" spans="1:15" x14ac:dyDescent="0.25">
      <c r="A217" s="56" t="str">
        <f>A94</f>
        <v xml:space="preserve">Bastnaesite ore mining and REO production in China/Sichuan </v>
      </c>
      <c r="B217" s="56" t="str">
        <f t="shared" ref="B217:F217" si="10">B94</f>
        <v>REO</v>
      </c>
      <c r="C217" s="56" t="str">
        <f t="shared" si="10"/>
        <v>CN-SWG</v>
      </c>
      <c r="D217" s="56">
        <v>3.9015011493900573</v>
      </c>
      <c r="E217" s="56" t="str">
        <f t="shared" si="10"/>
        <v>kilogram</v>
      </c>
      <c r="F217" s="57" t="str">
        <f t="shared" si="10"/>
        <v>Rare Earths</v>
      </c>
      <c r="G217" s="56" t="s">
        <v>25</v>
      </c>
    </row>
    <row r="218" spans="1:15" s="58" customFormat="1" x14ac:dyDescent="0.25"/>
    <row r="219" spans="1:15" x14ac:dyDescent="0.25">
      <c r="A219" s="59" t="s">
        <v>0</v>
      </c>
      <c r="B219" s="59" t="s">
        <v>272</v>
      </c>
    </row>
    <row r="220" spans="1:15" x14ac:dyDescent="0.25">
      <c r="A220" s="60" t="s">
        <v>1</v>
      </c>
      <c r="B220" s="56" t="s">
        <v>273</v>
      </c>
    </row>
    <row r="221" spans="1:15" x14ac:dyDescent="0.25">
      <c r="A221" s="60" t="s">
        <v>2</v>
      </c>
      <c r="B221" s="56" t="s">
        <v>3</v>
      </c>
    </row>
    <row r="222" spans="1:15" x14ac:dyDescent="0.25">
      <c r="A222" s="60" t="s">
        <v>4</v>
      </c>
      <c r="B222" s="56">
        <v>1</v>
      </c>
    </row>
    <row r="223" spans="1:15" x14ac:dyDescent="0.25">
      <c r="A223" s="60" t="s">
        <v>5</v>
      </c>
      <c r="B223" s="56" t="s">
        <v>6</v>
      </c>
    </row>
    <row r="224" spans="1:15" x14ac:dyDescent="0.25">
      <c r="A224" s="60" t="s">
        <v>7</v>
      </c>
      <c r="B224" s="56" t="s">
        <v>274</v>
      </c>
    </row>
    <row r="225" spans="1:15" x14ac:dyDescent="0.25">
      <c r="A225" s="60" t="s">
        <v>9</v>
      </c>
    </row>
    <row r="226" spans="1:15" x14ac:dyDescent="0.25">
      <c r="A226" s="59" t="s">
        <v>10</v>
      </c>
      <c r="B226" s="59" t="s">
        <v>1</v>
      </c>
      <c r="C226" s="59" t="s">
        <v>2</v>
      </c>
      <c r="D226" s="59" t="s">
        <v>4</v>
      </c>
      <c r="E226" s="59" t="s">
        <v>5</v>
      </c>
      <c r="F226" s="59" t="s">
        <v>11</v>
      </c>
      <c r="G226" s="59" t="s">
        <v>12</v>
      </c>
      <c r="H226" s="59" t="s">
        <v>13</v>
      </c>
      <c r="I226" s="59" t="s">
        <v>14</v>
      </c>
      <c r="J226" s="59" t="s">
        <v>15</v>
      </c>
      <c r="K226" s="59" t="s">
        <v>16</v>
      </c>
      <c r="L226" s="59" t="s">
        <v>17</v>
      </c>
      <c r="M226" s="59" t="s">
        <v>18</v>
      </c>
      <c r="N226" s="59" t="s">
        <v>19</v>
      </c>
      <c r="O226" s="59" t="s">
        <v>7</v>
      </c>
    </row>
    <row r="227" spans="1:15" x14ac:dyDescent="0.25">
      <c r="A227" s="56" t="str">
        <f>B219</f>
        <v>Neodymium oxide (Nd2O3) production in China/Sichuan (Nd content)</v>
      </c>
      <c r="B227" s="56" t="str">
        <f>B220</f>
        <v>Nd2O3 (Nd content)</v>
      </c>
      <c r="C227" s="56" t="str">
        <f>B221</f>
        <v>CN-SWG</v>
      </c>
      <c r="D227" s="64">
        <v>1</v>
      </c>
      <c r="E227" s="56" t="str">
        <f>B223</f>
        <v>kilogram</v>
      </c>
      <c r="F227" s="57" t="str">
        <f>F216</f>
        <v>Rare Earths</v>
      </c>
      <c r="G227" s="56" t="s">
        <v>20</v>
      </c>
    </row>
    <row r="228" spans="1:15" x14ac:dyDescent="0.25">
      <c r="A228" s="56" t="str">
        <f>A216</f>
        <v xml:space="preserve">Neodymium oxide (Nd2O3) production in China/Sichuan </v>
      </c>
      <c r="B228" s="56" t="str">
        <f t="shared" ref="B228:F228" si="11">B216</f>
        <v>Nd2O3</v>
      </c>
      <c r="C228" s="56" t="str">
        <f t="shared" si="11"/>
        <v>CN-SWG</v>
      </c>
      <c r="D228" s="56">
        <v>1.1663167716351761</v>
      </c>
      <c r="E228" s="56" t="str">
        <f t="shared" si="11"/>
        <v>kilogram</v>
      </c>
      <c r="F228" s="57" t="str">
        <f t="shared" si="11"/>
        <v>Rare Earths</v>
      </c>
      <c r="G228" s="56" t="s">
        <v>25</v>
      </c>
    </row>
    <row r="229" spans="1:15" s="58" customFormat="1" x14ac:dyDescent="0.25"/>
    <row r="230" spans="1:15" x14ac:dyDescent="0.25">
      <c r="A230" s="59" t="s">
        <v>0</v>
      </c>
      <c r="B230" s="59" t="s">
        <v>275</v>
      </c>
    </row>
    <row r="231" spans="1:15" x14ac:dyDescent="0.25">
      <c r="A231" s="60" t="s">
        <v>1</v>
      </c>
      <c r="B231" s="56" t="s">
        <v>276</v>
      </c>
    </row>
    <row r="232" spans="1:15" x14ac:dyDescent="0.25">
      <c r="A232" s="60" t="s">
        <v>2</v>
      </c>
      <c r="B232" s="56" t="s">
        <v>3</v>
      </c>
    </row>
    <row r="233" spans="1:15" x14ac:dyDescent="0.25">
      <c r="A233" s="60" t="s">
        <v>4</v>
      </c>
      <c r="B233" s="56">
        <v>1</v>
      </c>
    </row>
    <row r="234" spans="1:15" x14ac:dyDescent="0.25">
      <c r="A234" s="60" t="s">
        <v>5</v>
      </c>
      <c r="B234" s="56" t="s">
        <v>6</v>
      </c>
    </row>
    <row r="235" spans="1:15" ht="30" x14ac:dyDescent="0.25">
      <c r="A235" s="60" t="s">
        <v>7</v>
      </c>
      <c r="B235" s="67" t="s">
        <v>246</v>
      </c>
    </row>
    <row r="236" spans="1:15" x14ac:dyDescent="0.25">
      <c r="A236" s="60" t="s">
        <v>9</v>
      </c>
    </row>
    <row r="237" spans="1:15" x14ac:dyDescent="0.25">
      <c r="A237" s="59" t="s">
        <v>10</v>
      </c>
      <c r="B237" s="59" t="s">
        <v>1</v>
      </c>
      <c r="C237" s="59" t="s">
        <v>2</v>
      </c>
      <c r="D237" s="59" t="s">
        <v>4</v>
      </c>
      <c r="E237" s="59" t="s">
        <v>5</v>
      </c>
      <c r="F237" s="59" t="s">
        <v>11</v>
      </c>
      <c r="G237" s="59" t="s">
        <v>12</v>
      </c>
      <c r="H237" s="59" t="s">
        <v>13</v>
      </c>
      <c r="I237" s="59" t="s">
        <v>14</v>
      </c>
      <c r="J237" s="59" t="s">
        <v>15</v>
      </c>
      <c r="K237" s="59" t="s">
        <v>16</v>
      </c>
      <c r="L237" s="59" t="s">
        <v>17</v>
      </c>
      <c r="M237" s="59" t="s">
        <v>18</v>
      </c>
      <c r="N237" s="59" t="s">
        <v>19</v>
      </c>
      <c r="O237" s="59" t="s">
        <v>7</v>
      </c>
    </row>
    <row r="238" spans="1:15" x14ac:dyDescent="0.25">
      <c r="A238" s="56" t="str">
        <f>B230</f>
        <v xml:space="preserve">Praseodymium oxide (Pr6O11) production in China/Sichuan </v>
      </c>
      <c r="B238" s="56" t="str">
        <f>B231</f>
        <v>Pr6O11</v>
      </c>
      <c r="C238" s="56" t="str">
        <f>B232</f>
        <v>CN-SWG</v>
      </c>
      <c r="D238" s="64">
        <v>1</v>
      </c>
      <c r="E238" s="56" t="str">
        <f>B234</f>
        <v>kilogram</v>
      </c>
      <c r="F238" s="57" t="str">
        <f>F227</f>
        <v>Rare Earths</v>
      </c>
      <c r="G238" s="56" t="s">
        <v>20</v>
      </c>
    </row>
    <row r="239" spans="1:15" x14ac:dyDescent="0.25">
      <c r="A239" s="56" t="str">
        <f>A94</f>
        <v xml:space="preserve">Bastnaesite ore mining and REO production in China/Sichuan </v>
      </c>
      <c r="B239" s="56" t="str">
        <f t="shared" ref="B239:F239" si="12">B94</f>
        <v>REO</v>
      </c>
      <c r="C239" s="56" t="str">
        <f t="shared" si="12"/>
        <v>CN-SWG</v>
      </c>
      <c r="D239" s="56">
        <v>4.7060157129001059</v>
      </c>
      <c r="E239" s="56" t="str">
        <f t="shared" si="12"/>
        <v>kilogram</v>
      </c>
      <c r="F239" s="57" t="str">
        <f t="shared" si="12"/>
        <v>Rare Earths</v>
      </c>
      <c r="G239" s="56" t="s">
        <v>25</v>
      </c>
    </row>
    <row r="240" spans="1:15" s="58" customFormat="1" x14ac:dyDescent="0.25"/>
    <row r="241" spans="1:15" x14ac:dyDescent="0.25">
      <c r="A241" s="59" t="s">
        <v>0</v>
      </c>
      <c r="B241" s="59" t="s">
        <v>277</v>
      </c>
    </row>
    <row r="242" spans="1:15" x14ac:dyDescent="0.25">
      <c r="A242" s="60" t="s">
        <v>1</v>
      </c>
      <c r="B242" s="56" t="s">
        <v>278</v>
      </c>
    </row>
    <row r="243" spans="1:15" x14ac:dyDescent="0.25">
      <c r="A243" s="60" t="s">
        <v>2</v>
      </c>
      <c r="B243" s="56" t="s">
        <v>3</v>
      </c>
    </row>
    <row r="244" spans="1:15" x14ac:dyDescent="0.25">
      <c r="A244" s="60" t="s">
        <v>4</v>
      </c>
      <c r="B244" s="56">
        <v>1</v>
      </c>
    </row>
    <row r="245" spans="1:15" x14ac:dyDescent="0.25">
      <c r="A245" s="60" t="s">
        <v>5</v>
      </c>
      <c r="B245" s="56" t="s">
        <v>6</v>
      </c>
    </row>
    <row r="246" spans="1:15" x14ac:dyDescent="0.25">
      <c r="A246" s="60" t="s">
        <v>7</v>
      </c>
      <c r="B246" s="56" t="s">
        <v>279</v>
      </c>
    </row>
    <row r="247" spans="1:15" x14ac:dyDescent="0.25">
      <c r="A247" s="60" t="s">
        <v>9</v>
      </c>
    </row>
    <row r="248" spans="1:15" x14ac:dyDescent="0.25">
      <c r="A248" s="59" t="s">
        <v>10</v>
      </c>
      <c r="B248" s="59" t="s">
        <v>1</v>
      </c>
      <c r="C248" s="59" t="s">
        <v>2</v>
      </c>
      <c r="D248" s="59" t="s">
        <v>4</v>
      </c>
      <c r="E248" s="59" t="s">
        <v>5</v>
      </c>
      <c r="F248" s="59" t="s">
        <v>11</v>
      </c>
      <c r="G248" s="59" t="s">
        <v>12</v>
      </c>
      <c r="H248" s="59" t="s">
        <v>13</v>
      </c>
      <c r="I248" s="59" t="s">
        <v>14</v>
      </c>
      <c r="J248" s="59" t="s">
        <v>15</v>
      </c>
      <c r="K248" s="59" t="s">
        <v>16</v>
      </c>
      <c r="L248" s="59" t="s">
        <v>17</v>
      </c>
      <c r="M248" s="59" t="s">
        <v>18</v>
      </c>
      <c r="N248" s="59" t="s">
        <v>19</v>
      </c>
      <c r="O248" s="59" t="s">
        <v>7</v>
      </c>
    </row>
    <row r="249" spans="1:15" x14ac:dyDescent="0.25">
      <c r="A249" s="56" t="str">
        <f>B241</f>
        <v>Praseodymium oxide (Pr6O11) production in China/Sichuan (Pr content)</v>
      </c>
      <c r="B249" s="56" t="str">
        <f>B242</f>
        <v>Pr6O11 (Pr content)</v>
      </c>
      <c r="C249" s="56" t="str">
        <f>B243</f>
        <v>CN-SWG</v>
      </c>
      <c r="D249" s="64">
        <v>1</v>
      </c>
      <c r="E249" s="56" t="str">
        <f>B245</f>
        <v>kilogram</v>
      </c>
      <c r="F249" s="57" t="str">
        <f>F238</f>
        <v>Rare Earths</v>
      </c>
      <c r="G249" s="56" t="s">
        <v>20</v>
      </c>
    </row>
    <row r="250" spans="1:15" x14ac:dyDescent="0.25">
      <c r="A250" s="56" t="str">
        <f>A238</f>
        <v xml:space="preserve">Praseodymium oxide (Pr6O11) production in China/Sichuan </v>
      </c>
      <c r="B250" s="56" t="str">
        <f t="shared" ref="B250:F250" si="13">B238</f>
        <v>Pr6O11</v>
      </c>
      <c r="C250" s="56" t="str">
        <f t="shared" si="13"/>
        <v>CN-SWG</v>
      </c>
      <c r="D250" s="56">
        <v>1.2081672103419114</v>
      </c>
      <c r="E250" s="56" t="str">
        <f t="shared" si="13"/>
        <v>kilogram</v>
      </c>
      <c r="F250" s="57" t="str">
        <f t="shared" si="13"/>
        <v>Rare Earths</v>
      </c>
      <c r="G250" s="56" t="s">
        <v>25</v>
      </c>
    </row>
    <row r="251" spans="1:15" s="58" customFormat="1" x14ac:dyDescent="0.25"/>
    <row r="252" spans="1:15" x14ac:dyDescent="0.25">
      <c r="A252" s="59" t="s">
        <v>0</v>
      </c>
      <c r="B252" s="59" t="s">
        <v>280</v>
      </c>
    </row>
    <row r="253" spans="1:15" x14ac:dyDescent="0.25">
      <c r="A253" s="60" t="s">
        <v>1</v>
      </c>
      <c r="B253" s="56" t="s">
        <v>281</v>
      </c>
    </row>
    <row r="254" spans="1:15" x14ac:dyDescent="0.25">
      <c r="A254" s="60" t="s">
        <v>2</v>
      </c>
      <c r="B254" s="56" t="s">
        <v>3</v>
      </c>
    </row>
    <row r="255" spans="1:15" x14ac:dyDescent="0.25">
      <c r="A255" s="60" t="s">
        <v>4</v>
      </c>
      <c r="B255" s="56">
        <v>1</v>
      </c>
    </row>
    <row r="256" spans="1:15" x14ac:dyDescent="0.25">
      <c r="A256" s="60" t="s">
        <v>5</v>
      </c>
      <c r="B256" s="56" t="s">
        <v>6</v>
      </c>
    </row>
    <row r="257" spans="1:15" ht="30" x14ac:dyDescent="0.25">
      <c r="A257" s="60" t="s">
        <v>7</v>
      </c>
      <c r="B257" s="67" t="s">
        <v>246</v>
      </c>
    </row>
    <row r="258" spans="1:15" x14ac:dyDescent="0.25">
      <c r="A258" s="60" t="s">
        <v>9</v>
      </c>
    </row>
    <row r="259" spans="1:15" x14ac:dyDescent="0.25">
      <c r="A259" s="59" t="s">
        <v>10</v>
      </c>
      <c r="B259" s="59" t="s">
        <v>1</v>
      </c>
      <c r="C259" s="59" t="s">
        <v>2</v>
      </c>
      <c r="D259" s="59" t="s">
        <v>4</v>
      </c>
      <c r="E259" s="59" t="s">
        <v>5</v>
      </c>
      <c r="F259" s="59" t="s">
        <v>11</v>
      </c>
      <c r="G259" s="59" t="s">
        <v>12</v>
      </c>
      <c r="H259" s="59" t="s">
        <v>13</v>
      </c>
      <c r="I259" s="59" t="s">
        <v>14</v>
      </c>
      <c r="J259" s="59" t="s">
        <v>15</v>
      </c>
      <c r="K259" s="59" t="s">
        <v>16</v>
      </c>
      <c r="L259" s="59" t="s">
        <v>17</v>
      </c>
      <c r="M259" s="59" t="s">
        <v>18</v>
      </c>
      <c r="N259" s="59" t="s">
        <v>19</v>
      </c>
      <c r="O259" s="59" t="s">
        <v>7</v>
      </c>
    </row>
    <row r="260" spans="1:15" x14ac:dyDescent="0.25">
      <c r="A260" s="56" t="str">
        <f>B252</f>
        <v xml:space="preserve">Samarium oxide (Sm2O3) production in China/Sichuan </v>
      </c>
      <c r="B260" s="56" t="str">
        <f>B253</f>
        <v>Sm2O3</v>
      </c>
      <c r="C260" s="56" t="str">
        <f>B254</f>
        <v>CN-SWG</v>
      </c>
      <c r="D260" s="64">
        <v>1</v>
      </c>
      <c r="E260" s="56" t="str">
        <f>B256</f>
        <v>kilogram</v>
      </c>
      <c r="F260" s="57" t="str">
        <f>F249</f>
        <v>Rare Earths</v>
      </c>
      <c r="G260" s="56" t="s">
        <v>20</v>
      </c>
    </row>
    <row r="261" spans="1:15" x14ac:dyDescent="0.25">
      <c r="A261" s="56" t="str">
        <f>A94</f>
        <v xml:space="preserve">Bastnaesite ore mining and REO production in China/Sichuan </v>
      </c>
      <c r="B261" s="56" t="str">
        <f t="shared" ref="B261:F261" si="14">B94</f>
        <v>REO</v>
      </c>
      <c r="C261" s="56" t="str">
        <f t="shared" si="14"/>
        <v>CN-SWG</v>
      </c>
      <c r="D261" s="56">
        <v>0.2142974327665215</v>
      </c>
      <c r="E261" s="56" t="str">
        <f t="shared" si="14"/>
        <v>kilogram</v>
      </c>
      <c r="F261" s="57" t="str">
        <f t="shared" si="14"/>
        <v>Rare Earths</v>
      </c>
      <c r="G261" s="56" t="s">
        <v>25</v>
      </c>
    </row>
    <row r="262" spans="1:15" s="58" customFormat="1" x14ac:dyDescent="0.25"/>
    <row r="263" spans="1:15" x14ac:dyDescent="0.25">
      <c r="A263" s="59" t="s">
        <v>0</v>
      </c>
      <c r="B263" s="59" t="s">
        <v>282</v>
      </c>
    </row>
    <row r="264" spans="1:15" x14ac:dyDescent="0.25">
      <c r="A264" s="60" t="s">
        <v>1</v>
      </c>
      <c r="B264" s="56" t="s">
        <v>283</v>
      </c>
    </row>
    <row r="265" spans="1:15" x14ac:dyDescent="0.25">
      <c r="A265" s="60" t="s">
        <v>2</v>
      </c>
      <c r="B265" s="56" t="s">
        <v>3</v>
      </c>
    </row>
    <row r="266" spans="1:15" x14ac:dyDescent="0.25">
      <c r="A266" s="60" t="s">
        <v>4</v>
      </c>
      <c r="B266" s="56">
        <v>1</v>
      </c>
    </row>
    <row r="267" spans="1:15" x14ac:dyDescent="0.25">
      <c r="A267" s="60" t="s">
        <v>5</v>
      </c>
      <c r="B267" s="56" t="s">
        <v>6</v>
      </c>
    </row>
    <row r="268" spans="1:15" x14ac:dyDescent="0.25">
      <c r="A268" s="60" t="s">
        <v>7</v>
      </c>
      <c r="B268" s="56" t="s">
        <v>284</v>
      </c>
    </row>
    <row r="269" spans="1:15" x14ac:dyDescent="0.25">
      <c r="A269" s="60" t="s">
        <v>9</v>
      </c>
    </row>
    <row r="270" spans="1:15" x14ac:dyDescent="0.25">
      <c r="A270" s="59" t="s">
        <v>10</v>
      </c>
      <c r="B270" s="59" t="s">
        <v>1</v>
      </c>
      <c r="C270" s="59" t="s">
        <v>2</v>
      </c>
      <c r="D270" s="59" t="s">
        <v>4</v>
      </c>
      <c r="E270" s="59" t="s">
        <v>5</v>
      </c>
      <c r="F270" s="59" t="s">
        <v>11</v>
      </c>
      <c r="G270" s="59" t="s">
        <v>12</v>
      </c>
      <c r="H270" s="59" t="s">
        <v>13</v>
      </c>
      <c r="I270" s="59" t="s">
        <v>14</v>
      </c>
      <c r="J270" s="59" t="s">
        <v>15</v>
      </c>
      <c r="K270" s="59" t="s">
        <v>16</v>
      </c>
      <c r="L270" s="59" t="s">
        <v>17</v>
      </c>
      <c r="M270" s="59" t="s">
        <v>18</v>
      </c>
      <c r="N270" s="59" t="s">
        <v>19</v>
      </c>
      <c r="O270" s="59" t="s">
        <v>7</v>
      </c>
    </row>
    <row r="271" spans="1:15" x14ac:dyDescent="0.25">
      <c r="A271" s="56" t="str">
        <f>B263</f>
        <v>Samarium oxide (Sm2O3) production in China/Sichuan (Sm content)</v>
      </c>
      <c r="B271" s="56" t="str">
        <f>B264</f>
        <v>Sm2O3 (Sm content)</v>
      </c>
      <c r="C271" s="56" t="str">
        <f>B265</f>
        <v>CN-SWG</v>
      </c>
      <c r="D271" s="64">
        <v>1</v>
      </c>
      <c r="E271" s="56" t="str">
        <f>B267</f>
        <v>kilogram</v>
      </c>
      <c r="F271" s="57" t="str">
        <f>F260</f>
        <v>Rare Earths</v>
      </c>
      <c r="G271" s="56" t="s">
        <v>20</v>
      </c>
    </row>
    <row r="272" spans="1:15" x14ac:dyDescent="0.25">
      <c r="A272" s="56" t="str">
        <f>A260</f>
        <v xml:space="preserve">Samarium oxide (Sm2O3) production in China/Sichuan </v>
      </c>
      <c r="B272" s="56" t="str">
        <f t="shared" ref="B272:F272" si="15">B260</f>
        <v>Sm2O3</v>
      </c>
      <c r="C272" s="56" t="str">
        <f t="shared" si="15"/>
        <v>CN-SWG</v>
      </c>
      <c r="D272" s="56">
        <v>1.1595547309833025</v>
      </c>
      <c r="E272" s="56" t="str">
        <f t="shared" si="15"/>
        <v>kilogram</v>
      </c>
      <c r="F272" s="57" t="str">
        <f t="shared" si="15"/>
        <v>Rare Earths</v>
      </c>
      <c r="G272" s="56" t="s">
        <v>25</v>
      </c>
    </row>
    <row r="273" spans="1:15" s="58" customFormat="1" x14ac:dyDescent="0.25"/>
    <row r="274" spans="1:15" x14ac:dyDescent="0.25">
      <c r="A274" s="59" t="s">
        <v>0</v>
      </c>
      <c r="B274" s="59" t="s">
        <v>285</v>
      </c>
    </row>
    <row r="275" spans="1:15" x14ac:dyDescent="0.25">
      <c r="A275" s="60" t="s">
        <v>1</v>
      </c>
      <c r="B275" s="56" t="s">
        <v>286</v>
      </c>
    </row>
    <row r="276" spans="1:15" x14ac:dyDescent="0.25">
      <c r="A276" s="60" t="s">
        <v>2</v>
      </c>
      <c r="B276" s="56" t="s">
        <v>3</v>
      </c>
    </row>
    <row r="277" spans="1:15" x14ac:dyDescent="0.25">
      <c r="A277" s="60" t="s">
        <v>4</v>
      </c>
      <c r="B277" s="56">
        <v>1</v>
      </c>
    </row>
    <row r="278" spans="1:15" x14ac:dyDescent="0.25">
      <c r="A278" s="60" t="s">
        <v>5</v>
      </c>
      <c r="B278" s="56" t="s">
        <v>6</v>
      </c>
    </row>
    <row r="279" spans="1:15" ht="30" x14ac:dyDescent="0.25">
      <c r="A279" s="60" t="s">
        <v>7</v>
      </c>
      <c r="B279" s="67" t="s">
        <v>246</v>
      </c>
    </row>
    <row r="280" spans="1:15" x14ac:dyDescent="0.25">
      <c r="A280" s="60" t="s">
        <v>9</v>
      </c>
    </row>
    <row r="281" spans="1:15" x14ac:dyDescent="0.25">
      <c r="A281" s="59" t="s">
        <v>10</v>
      </c>
      <c r="B281" s="59" t="s">
        <v>1</v>
      </c>
      <c r="C281" s="59" t="s">
        <v>2</v>
      </c>
      <c r="D281" s="59" t="s">
        <v>4</v>
      </c>
      <c r="E281" s="59" t="s">
        <v>5</v>
      </c>
      <c r="F281" s="59" t="s">
        <v>11</v>
      </c>
      <c r="G281" s="59" t="s">
        <v>12</v>
      </c>
      <c r="H281" s="59" t="s">
        <v>13</v>
      </c>
      <c r="I281" s="59" t="s">
        <v>14</v>
      </c>
      <c r="J281" s="59" t="s">
        <v>15</v>
      </c>
      <c r="K281" s="59" t="s">
        <v>16</v>
      </c>
      <c r="L281" s="59" t="s">
        <v>17</v>
      </c>
      <c r="M281" s="59" t="s">
        <v>18</v>
      </c>
      <c r="N281" s="59" t="s">
        <v>19</v>
      </c>
      <c r="O281" s="59" t="s">
        <v>7</v>
      </c>
    </row>
    <row r="282" spans="1:15" x14ac:dyDescent="0.25">
      <c r="A282" s="56" t="str">
        <f>B274</f>
        <v xml:space="preserve">Yttrium oxide (Y2O3) production in China/Sichuan </v>
      </c>
      <c r="B282" s="56" t="str">
        <f>B275</f>
        <v>Y2O3</v>
      </c>
      <c r="C282" s="56" t="str">
        <f>B276</f>
        <v>CN-SWG</v>
      </c>
      <c r="D282" s="64">
        <v>1</v>
      </c>
      <c r="E282" s="56" t="str">
        <f>B278</f>
        <v>kilogram</v>
      </c>
      <c r="F282" s="57" t="str">
        <f>F271</f>
        <v>Rare Earths</v>
      </c>
      <c r="G282" s="56" t="s">
        <v>20</v>
      </c>
    </row>
    <row r="283" spans="1:15" x14ac:dyDescent="0.25">
      <c r="A283" s="56" t="str">
        <f>A94</f>
        <v xml:space="preserve">Bastnaesite ore mining and REO production in China/Sichuan </v>
      </c>
      <c r="B283" s="56" t="str">
        <f t="shared" ref="B283:F283" si="16">B94</f>
        <v>REO</v>
      </c>
      <c r="C283" s="56" t="str">
        <f t="shared" si="16"/>
        <v>CN-SWG</v>
      </c>
      <c r="D283" s="56">
        <v>0.45272798194638164</v>
      </c>
      <c r="E283" s="56" t="str">
        <f t="shared" si="16"/>
        <v>kilogram</v>
      </c>
      <c r="F283" s="57" t="str">
        <f t="shared" si="16"/>
        <v>Rare Earths</v>
      </c>
      <c r="G283" s="56" t="s">
        <v>25</v>
      </c>
    </row>
    <row r="284" spans="1:15" s="58" customFormat="1" x14ac:dyDescent="0.25"/>
    <row r="285" spans="1:15" x14ac:dyDescent="0.25">
      <c r="A285" s="59" t="s">
        <v>0</v>
      </c>
      <c r="B285" s="59" t="s">
        <v>287</v>
      </c>
    </row>
    <row r="286" spans="1:15" x14ac:dyDescent="0.25">
      <c r="A286" s="60" t="s">
        <v>1</v>
      </c>
      <c r="B286" s="56" t="s">
        <v>288</v>
      </c>
    </row>
    <row r="287" spans="1:15" x14ac:dyDescent="0.25">
      <c r="A287" s="60" t="s">
        <v>2</v>
      </c>
      <c r="B287" s="56" t="s">
        <v>3</v>
      </c>
    </row>
    <row r="288" spans="1:15" x14ac:dyDescent="0.25">
      <c r="A288" s="60" t="s">
        <v>4</v>
      </c>
      <c r="B288" s="56">
        <v>1</v>
      </c>
    </row>
    <row r="289" spans="1:15" x14ac:dyDescent="0.25">
      <c r="A289" s="60" t="s">
        <v>5</v>
      </c>
      <c r="B289" s="56" t="s">
        <v>6</v>
      </c>
    </row>
    <row r="290" spans="1:15" x14ac:dyDescent="0.25">
      <c r="A290" s="60" t="s">
        <v>7</v>
      </c>
      <c r="B290" s="56" t="s">
        <v>462</v>
      </c>
    </row>
    <row r="291" spans="1:15" x14ac:dyDescent="0.25">
      <c r="A291" s="60" t="s">
        <v>9</v>
      </c>
    </row>
    <row r="292" spans="1:15" x14ac:dyDescent="0.25">
      <c r="A292" s="59" t="s">
        <v>10</v>
      </c>
      <c r="B292" s="59" t="s">
        <v>1</v>
      </c>
      <c r="C292" s="59" t="s">
        <v>2</v>
      </c>
      <c r="D292" s="59" t="s">
        <v>4</v>
      </c>
      <c r="E292" s="59" t="s">
        <v>5</v>
      </c>
      <c r="F292" s="59" t="s">
        <v>11</v>
      </c>
      <c r="G292" s="59" t="s">
        <v>12</v>
      </c>
      <c r="H292" s="59" t="s">
        <v>13</v>
      </c>
      <c r="I292" s="59" t="s">
        <v>14</v>
      </c>
      <c r="J292" s="59" t="s">
        <v>15</v>
      </c>
      <c r="K292" s="59" t="s">
        <v>16</v>
      </c>
      <c r="L292" s="59" t="s">
        <v>17</v>
      </c>
      <c r="M292" s="59" t="s">
        <v>18</v>
      </c>
      <c r="N292" s="59" t="s">
        <v>19</v>
      </c>
      <c r="O292" s="59" t="s">
        <v>7</v>
      </c>
    </row>
    <row r="293" spans="1:15" x14ac:dyDescent="0.25">
      <c r="A293" s="56" t="str">
        <f>B285</f>
        <v>Yttrium oxide (Y2O3) production in China/Sichuan (Y content)</v>
      </c>
      <c r="B293" s="56" t="str">
        <f>B286</f>
        <v>Y2O3 (Y content)</v>
      </c>
      <c r="C293" s="56" t="str">
        <f>B287</f>
        <v>CN-SWG</v>
      </c>
      <c r="D293" s="64">
        <v>1</v>
      </c>
      <c r="E293" s="56" t="str">
        <f>B289</f>
        <v>kilogram</v>
      </c>
      <c r="F293" s="57" t="str">
        <f>F282</f>
        <v>Rare Earths</v>
      </c>
      <c r="G293" s="56" t="s">
        <v>20</v>
      </c>
    </row>
    <row r="294" spans="1:15" x14ac:dyDescent="0.25">
      <c r="A294" s="56" t="str">
        <f>A282</f>
        <v xml:space="preserve">Yttrium oxide (Y2O3) production in China/Sichuan </v>
      </c>
      <c r="B294" s="56" t="str">
        <f t="shared" ref="B294:F294" si="17">B282</f>
        <v>Y2O3</v>
      </c>
      <c r="C294" s="56" t="str">
        <f t="shared" si="17"/>
        <v>CN-SWG</v>
      </c>
      <c r="D294" s="56">
        <v>1.2700025400050801</v>
      </c>
      <c r="E294" s="56" t="str">
        <f t="shared" si="17"/>
        <v>kilogram</v>
      </c>
      <c r="F294" s="57" t="str">
        <f t="shared" si="17"/>
        <v>Rare Earths</v>
      </c>
      <c r="G294" s="56" t="s">
        <v>25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39997558519241921"/>
  </sheetPr>
  <dimension ref="A1:O278"/>
  <sheetViews>
    <sheetView workbookViewId="0">
      <selection activeCell="A124" sqref="A124"/>
    </sheetView>
  </sheetViews>
  <sheetFormatPr baseColWidth="10" defaultColWidth="8.7109375" defaultRowHeight="15" x14ac:dyDescent="0.25"/>
  <cols>
    <col min="1" max="1" width="74" style="56" bestFit="1" customWidth="1"/>
    <col min="2" max="2" width="67.140625" style="56" bestFit="1" customWidth="1"/>
    <col min="3" max="3" width="9.140625" style="56" bestFit="1" customWidth="1"/>
    <col min="4" max="4" width="12" style="56" bestFit="1" customWidth="1"/>
    <col min="5" max="5" width="17.5703125" style="56" bestFit="1" customWidth="1"/>
    <col min="6" max="6" width="19.7109375" style="56" bestFit="1" customWidth="1"/>
    <col min="7" max="7" width="13.28515625" style="56" bestFit="1" customWidth="1"/>
    <col min="8" max="8" width="25.28515625" style="56" bestFit="1" customWidth="1"/>
    <col min="9" max="9" width="15.5703125" style="56" bestFit="1" customWidth="1"/>
    <col min="10" max="10" width="9.7109375" style="56" bestFit="1" customWidth="1"/>
    <col min="11" max="11" width="3.5703125" style="56" bestFit="1" customWidth="1"/>
    <col min="12" max="12" width="5.42578125" style="56" bestFit="1" customWidth="1"/>
    <col min="13" max="13" width="9.5703125" style="56" bestFit="1" customWidth="1"/>
    <col min="14" max="14" width="9.85546875" style="56" bestFit="1" customWidth="1"/>
    <col min="15" max="15" width="9.42578125" style="56" bestFit="1" customWidth="1"/>
    <col min="16" max="16384" width="8.7109375" style="56"/>
  </cols>
  <sheetData>
    <row r="1" spans="1:14" x14ac:dyDescent="0.25">
      <c r="A1" s="59" t="s">
        <v>0</v>
      </c>
      <c r="B1" s="59" t="s">
        <v>289</v>
      </c>
    </row>
    <row r="2" spans="1:14" x14ac:dyDescent="0.25">
      <c r="A2" s="60" t="s">
        <v>1</v>
      </c>
      <c r="B2" s="56" t="s">
        <v>290</v>
      </c>
    </row>
    <row r="3" spans="1:14" x14ac:dyDescent="0.25">
      <c r="A3" s="60" t="s">
        <v>2</v>
      </c>
      <c r="B3" s="56" t="s">
        <v>75</v>
      </c>
    </row>
    <row r="4" spans="1:14" x14ac:dyDescent="0.25">
      <c r="A4" s="60" t="s">
        <v>4</v>
      </c>
      <c r="B4" s="56">
        <v>1</v>
      </c>
    </row>
    <row r="5" spans="1:14" x14ac:dyDescent="0.25">
      <c r="A5" s="60" t="s">
        <v>5</v>
      </c>
      <c r="B5" s="56" t="s">
        <v>6</v>
      </c>
    </row>
    <row r="6" spans="1:14" x14ac:dyDescent="0.25">
      <c r="A6" s="60" t="s">
        <v>7</v>
      </c>
      <c r="B6" s="56" t="s">
        <v>8</v>
      </c>
    </row>
    <row r="7" spans="1:14" x14ac:dyDescent="0.25">
      <c r="A7" s="60" t="s">
        <v>9</v>
      </c>
    </row>
    <row r="8" spans="1:14" x14ac:dyDescent="0.25">
      <c r="A8" s="59" t="s">
        <v>10</v>
      </c>
      <c r="B8" s="59" t="s">
        <v>1</v>
      </c>
      <c r="C8" s="59" t="s">
        <v>2</v>
      </c>
      <c r="D8" s="59" t="s">
        <v>4</v>
      </c>
      <c r="E8" s="59" t="s">
        <v>5</v>
      </c>
      <c r="F8" s="59" t="s">
        <v>11</v>
      </c>
      <c r="G8" s="59" t="s">
        <v>12</v>
      </c>
      <c r="H8" s="59" t="s">
        <v>13</v>
      </c>
      <c r="I8" s="59" t="s">
        <v>14</v>
      </c>
      <c r="J8" s="59" t="s">
        <v>15</v>
      </c>
      <c r="K8" s="59" t="s">
        <v>16</v>
      </c>
      <c r="L8" s="59" t="s">
        <v>17</v>
      </c>
      <c r="M8" s="59" t="s">
        <v>18</v>
      </c>
      <c r="N8" s="59" t="s">
        <v>19</v>
      </c>
    </row>
    <row r="9" spans="1:14" x14ac:dyDescent="0.25">
      <c r="A9" s="56" t="str">
        <f>B1</f>
        <v>[M] Bastnaesite ore mining (Mountain Pass)</v>
      </c>
      <c r="B9" s="56" t="str">
        <f>B2</f>
        <v>Bastnaesite ore</v>
      </c>
      <c r="C9" s="56" t="str">
        <f>B3</f>
        <v>US-WECC</v>
      </c>
      <c r="D9" s="64">
        <v>1</v>
      </c>
      <c r="E9" s="56" t="s">
        <v>6</v>
      </c>
      <c r="F9" s="57" t="str">
        <f>RE_Market_GLO!B1</f>
        <v>Rare Earths</v>
      </c>
      <c r="G9" s="56" t="s">
        <v>20</v>
      </c>
    </row>
    <row r="10" spans="1:14" x14ac:dyDescent="0.25">
      <c r="A10" s="56" t="s">
        <v>76</v>
      </c>
      <c r="B10" s="56" t="s">
        <v>77</v>
      </c>
      <c r="C10" s="56" t="s">
        <v>23</v>
      </c>
      <c r="D10" s="144">
        <v>0.2272240085744909</v>
      </c>
      <c r="E10" s="56" t="s">
        <v>78</v>
      </c>
      <c r="F10" s="56" t="s">
        <v>24</v>
      </c>
      <c r="G10" s="56" t="s">
        <v>25</v>
      </c>
      <c r="J10" s="56" t="s">
        <v>79</v>
      </c>
    </row>
    <row r="11" spans="1:14" x14ac:dyDescent="0.25">
      <c r="A11" s="56" t="s">
        <v>80</v>
      </c>
      <c r="B11" s="56" t="s">
        <v>81</v>
      </c>
      <c r="C11" s="56" t="s">
        <v>23</v>
      </c>
      <c r="D11" s="144">
        <v>8.2529474812433013E-4</v>
      </c>
      <c r="E11" s="56" t="s">
        <v>6</v>
      </c>
      <c r="F11" s="56" t="s">
        <v>24</v>
      </c>
      <c r="G11" s="56" t="s">
        <v>25</v>
      </c>
      <c r="J11" s="56" t="s">
        <v>82</v>
      </c>
    </row>
    <row r="12" spans="1:14" x14ac:dyDescent="0.25">
      <c r="A12" s="56" t="s">
        <v>83</v>
      </c>
      <c r="B12" s="56" t="s">
        <v>84</v>
      </c>
      <c r="C12" s="56" t="s">
        <v>29</v>
      </c>
      <c r="D12" s="144">
        <v>1.6505894962486601E-3</v>
      </c>
      <c r="E12" s="56" t="s">
        <v>85</v>
      </c>
      <c r="F12" s="56" t="s">
        <v>24</v>
      </c>
      <c r="G12" s="56" t="s">
        <v>25</v>
      </c>
      <c r="J12" s="56" t="s">
        <v>86</v>
      </c>
    </row>
    <row r="13" spans="1:14" x14ac:dyDescent="0.25">
      <c r="A13" s="56" t="s">
        <v>87</v>
      </c>
      <c r="B13" s="56" t="s">
        <v>88</v>
      </c>
      <c r="C13" s="56" t="s">
        <v>23</v>
      </c>
      <c r="D13" s="144">
        <v>1.3933547695605569E-13</v>
      </c>
      <c r="E13" s="56" t="s">
        <v>5</v>
      </c>
      <c r="F13" s="56" t="s">
        <v>24</v>
      </c>
      <c r="G13" s="56" t="s">
        <v>25</v>
      </c>
      <c r="J13" s="56" t="s">
        <v>79</v>
      </c>
    </row>
    <row r="14" spans="1:14" x14ac:dyDescent="0.25">
      <c r="A14" s="56" t="s">
        <v>89</v>
      </c>
      <c r="B14" s="56" t="s">
        <v>90</v>
      </c>
      <c r="C14" s="56" t="s">
        <v>29</v>
      </c>
      <c r="D14" s="144">
        <v>1.3933547695605571E-4</v>
      </c>
      <c r="E14" s="56" t="s">
        <v>6</v>
      </c>
      <c r="F14" s="56" t="s">
        <v>24</v>
      </c>
      <c r="G14" s="56" t="s">
        <v>25</v>
      </c>
      <c r="J14" s="56" t="s">
        <v>79</v>
      </c>
    </row>
    <row r="15" spans="1:14" x14ac:dyDescent="0.25">
      <c r="A15" s="56" t="s">
        <v>91</v>
      </c>
      <c r="B15" s="56" t="s">
        <v>92</v>
      </c>
      <c r="C15" s="56" t="s">
        <v>29</v>
      </c>
      <c r="D15" s="144">
        <v>-3.1082529474812401E-5</v>
      </c>
      <c r="E15" s="56" t="s">
        <v>93</v>
      </c>
      <c r="F15" s="56" t="s">
        <v>24</v>
      </c>
      <c r="G15" s="56" t="s">
        <v>25</v>
      </c>
      <c r="J15" s="56" t="s">
        <v>86</v>
      </c>
    </row>
    <row r="16" spans="1:14" x14ac:dyDescent="0.25">
      <c r="A16" s="56" t="s">
        <v>94</v>
      </c>
      <c r="B16" s="56" t="s">
        <v>95</v>
      </c>
      <c r="C16" s="56" t="s">
        <v>23</v>
      </c>
      <c r="D16" s="144">
        <v>-7.6527331189710601</v>
      </c>
      <c r="E16" s="56" t="s">
        <v>6</v>
      </c>
      <c r="F16" s="56" t="s">
        <v>24</v>
      </c>
      <c r="G16" s="56" t="s">
        <v>25</v>
      </c>
      <c r="J16" s="56" t="s">
        <v>86</v>
      </c>
    </row>
    <row r="17" spans="1:14" x14ac:dyDescent="0.25">
      <c r="A17" s="56" t="s">
        <v>96</v>
      </c>
      <c r="B17" s="56" t="s">
        <v>97</v>
      </c>
      <c r="C17" s="56" t="s">
        <v>29</v>
      </c>
      <c r="D17" s="144">
        <v>-1.3933547695605601E-4</v>
      </c>
      <c r="E17" s="56" t="s">
        <v>6</v>
      </c>
      <c r="F17" s="56" t="s">
        <v>24</v>
      </c>
      <c r="G17" s="56" t="s">
        <v>25</v>
      </c>
      <c r="J17" s="56" t="s">
        <v>82</v>
      </c>
    </row>
    <row r="18" spans="1:14" x14ac:dyDescent="0.25">
      <c r="A18" s="56" t="s">
        <v>98</v>
      </c>
      <c r="D18" s="144">
        <v>5.6377277599142552E-5</v>
      </c>
      <c r="E18" s="56" t="s">
        <v>99</v>
      </c>
      <c r="F18" s="56" t="s">
        <v>66</v>
      </c>
      <c r="G18" s="56" t="s">
        <v>67</v>
      </c>
      <c r="H18" s="56" t="s">
        <v>100</v>
      </c>
      <c r="J18" s="56" t="s">
        <v>86</v>
      </c>
    </row>
    <row r="19" spans="1:14" x14ac:dyDescent="0.25">
      <c r="A19" s="56" t="s">
        <v>101</v>
      </c>
      <c r="D19" s="144">
        <v>5.6377277599142552E-5</v>
      </c>
      <c r="E19" s="56" t="s">
        <v>102</v>
      </c>
      <c r="F19" s="56" t="s">
        <v>66</v>
      </c>
      <c r="G19" s="56" t="s">
        <v>67</v>
      </c>
      <c r="H19" s="56" t="s">
        <v>100</v>
      </c>
      <c r="J19" s="56" t="s">
        <v>86</v>
      </c>
    </row>
    <row r="20" spans="1:14" x14ac:dyDescent="0.25">
      <c r="A20" s="56" t="s">
        <v>103</v>
      </c>
      <c r="D20" s="144">
        <v>5.6377277599142552E-5</v>
      </c>
      <c r="E20" s="56" t="s">
        <v>102</v>
      </c>
      <c r="F20" s="56" t="s">
        <v>66</v>
      </c>
      <c r="G20" s="56" t="s">
        <v>67</v>
      </c>
      <c r="H20" s="56" t="s">
        <v>100</v>
      </c>
      <c r="J20" s="56" t="s">
        <v>86</v>
      </c>
    </row>
    <row r="21" spans="1:14" x14ac:dyDescent="0.25">
      <c r="A21" s="56" t="s">
        <v>104</v>
      </c>
      <c r="D21" s="144">
        <v>2.486602357984995E-3</v>
      </c>
      <c r="E21" s="56" t="s">
        <v>6</v>
      </c>
      <c r="F21" s="56" t="s">
        <v>66</v>
      </c>
      <c r="G21" s="56" t="s">
        <v>67</v>
      </c>
      <c r="H21" s="56" t="s">
        <v>130</v>
      </c>
      <c r="J21" s="56" t="s">
        <v>79</v>
      </c>
    </row>
    <row r="22" spans="1:14" x14ac:dyDescent="0.25">
      <c r="A22" s="56" t="s">
        <v>70</v>
      </c>
      <c r="D22" s="144">
        <v>1.8595927116827441E-4</v>
      </c>
      <c r="E22" s="56" t="s">
        <v>71</v>
      </c>
      <c r="F22" s="56" t="s">
        <v>66</v>
      </c>
      <c r="G22" s="56" t="s">
        <v>67</v>
      </c>
      <c r="H22" s="56" t="s">
        <v>130</v>
      </c>
      <c r="J22" s="56" t="s">
        <v>105</v>
      </c>
    </row>
    <row r="23" spans="1:14" x14ac:dyDescent="0.25">
      <c r="A23" s="56" t="s">
        <v>106</v>
      </c>
      <c r="D23" s="144">
        <v>1.8595927116827441E-4</v>
      </c>
      <c r="E23" s="56" t="s">
        <v>71</v>
      </c>
      <c r="F23" s="56" t="s">
        <v>66</v>
      </c>
      <c r="G23" s="56" t="s">
        <v>67</v>
      </c>
      <c r="H23" s="56" t="s">
        <v>130</v>
      </c>
      <c r="J23" s="56" t="s">
        <v>105</v>
      </c>
    </row>
    <row r="24" spans="1:14" s="65" customFormat="1" x14ac:dyDescent="0.25"/>
    <row r="25" spans="1:14" x14ac:dyDescent="0.25">
      <c r="A25" s="59" t="s">
        <v>0</v>
      </c>
      <c r="B25" s="59" t="s">
        <v>291</v>
      </c>
    </row>
    <row r="26" spans="1:14" x14ac:dyDescent="0.25">
      <c r="A26" s="60" t="s">
        <v>1</v>
      </c>
      <c r="B26" s="56" t="s">
        <v>292</v>
      </c>
    </row>
    <row r="27" spans="1:14" x14ac:dyDescent="0.25">
      <c r="A27" s="60" t="s">
        <v>2</v>
      </c>
      <c r="B27" s="56" t="s">
        <v>75</v>
      </c>
    </row>
    <row r="28" spans="1:14" x14ac:dyDescent="0.25">
      <c r="A28" s="60" t="s">
        <v>4</v>
      </c>
      <c r="B28" s="56">
        <v>1</v>
      </c>
    </row>
    <row r="29" spans="1:14" x14ac:dyDescent="0.25">
      <c r="A29" s="60" t="s">
        <v>5</v>
      </c>
      <c r="B29" s="56" t="s">
        <v>6</v>
      </c>
    </row>
    <row r="30" spans="1:14" x14ac:dyDescent="0.25">
      <c r="A30" s="60" t="s">
        <v>7</v>
      </c>
      <c r="B30" s="56" t="s">
        <v>8</v>
      </c>
    </row>
    <row r="31" spans="1:14" x14ac:dyDescent="0.25">
      <c r="A31" s="60" t="s">
        <v>9</v>
      </c>
    </row>
    <row r="32" spans="1:14" x14ac:dyDescent="0.25">
      <c r="A32" s="59" t="s">
        <v>10</v>
      </c>
      <c r="B32" s="59" t="s">
        <v>1</v>
      </c>
      <c r="C32" s="59" t="s">
        <v>2</v>
      </c>
      <c r="D32" s="59" t="s">
        <v>4</v>
      </c>
      <c r="E32" s="59" t="s">
        <v>5</v>
      </c>
      <c r="F32" s="59" t="s">
        <v>11</v>
      </c>
      <c r="G32" s="59" t="s">
        <v>12</v>
      </c>
      <c r="H32" s="59" t="s">
        <v>13</v>
      </c>
      <c r="I32" s="59" t="s">
        <v>14</v>
      </c>
      <c r="J32" s="59" t="s">
        <v>15</v>
      </c>
      <c r="K32" s="59" t="s">
        <v>16</v>
      </c>
      <c r="L32" s="59" t="s">
        <v>17</v>
      </c>
      <c r="M32" s="59" t="s">
        <v>18</v>
      </c>
      <c r="N32" s="59" t="s">
        <v>19</v>
      </c>
    </row>
    <row r="33" spans="1:14" x14ac:dyDescent="0.25">
      <c r="A33" s="56" t="str">
        <f>B25</f>
        <v>[C] Bastnaesite ore crushing (Mountain Pass)</v>
      </c>
      <c r="B33" s="56" t="str">
        <f>B26</f>
        <v>Crushed bastnaesite ore</v>
      </c>
      <c r="C33" s="56" t="str">
        <f>B27</f>
        <v>US-WECC</v>
      </c>
      <c r="D33" s="64">
        <v>1</v>
      </c>
      <c r="E33" s="56" t="s">
        <v>6</v>
      </c>
      <c r="F33" s="57" t="str">
        <f>F9</f>
        <v>Rare Earths</v>
      </c>
      <c r="G33" s="56" t="s">
        <v>20</v>
      </c>
    </row>
    <row r="34" spans="1:14" x14ac:dyDescent="0.25">
      <c r="A34" s="56" t="s">
        <v>57</v>
      </c>
      <c r="B34" s="56" t="s">
        <v>58</v>
      </c>
      <c r="C34" s="56" t="s">
        <v>75</v>
      </c>
      <c r="D34" s="56">
        <v>1.5005359056806009E-3</v>
      </c>
      <c r="E34" s="56" t="s">
        <v>59</v>
      </c>
      <c r="F34" s="56" t="s">
        <v>24</v>
      </c>
      <c r="G34" s="56" t="s">
        <v>25</v>
      </c>
      <c r="J34" s="56" t="s">
        <v>105</v>
      </c>
    </row>
    <row r="35" spans="1:14" x14ac:dyDescent="0.25">
      <c r="A35" s="56" t="s">
        <v>107</v>
      </c>
      <c r="B35" s="56" t="s">
        <v>108</v>
      </c>
      <c r="C35" s="56" t="s">
        <v>23</v>
      </c>
      <c r="D35" s="56">
        <v>3.0332261521972139E-5</v>
      </c>
      <c r="E35" s="56" t="s">
        <v>6</v>
      </c>
      <c r="F35" s="56" t="s">
        <v>24</v>
      </c>
      <c r="G35" s="56" t="s">
        <v>25</v>
      </c>
      <c r="J35" s="56" t="s">
        <v>105</v>
      </c>
    </row>
    <row r="36" spans="1:14" x14ac:dyDescent="0.25">
      <c r="A36" s="56" t="s">
        <v>83</v>
      </c>
      <c r="B36" s="56" t="s">
        <v>84</v>
      </c>
      <c r="C36" s="56" t="s">
        <v>29</v>
      </c>
      <c r="D36" s="56">
        <v>1.039657020364416E-5</v>
      </c>
      <c r="E36" s="56" t="s">
        <v>85</v>
      </c>
      <c r="F36" s="56" t="s">
        <v>24</v>
      </c>
      <c r="G36" s="56" t="s">
        <v>25</v>
      </c>
      <c r="J36" s="56" t="s">
        <v>86</v>
      </c>
    </row>
    <row r="37" spans="1:14" x14ac:dyDescent="0.25">
      <c r="A37" s="56" t="s">
        <v>104</v>
      </c>
      <c r="D37" s="56">
        <v>1.5305466237942121E-3</v>
      </c>
      <c r="E37" s="56" t="s">
        <v>6</v>
      </c>
      <c r="F37" s="56" t="s">
        <v>66</v>
      </c>
      <c r="G37" s="56" t="s">
        <v>67</v>
      </c>
      <c r="H37" s="56" t="s">
        <v>130</v>
      </c>
      <c r="J37" s="56" t="s">
        <v>86</v>
      </c>
    </row>
    <row r="38" spans="1:14" x14ac:dyDescent="0.25">
      <c r="A38" s="56" t="s">
        <v>70</v>
      </c>
      <c r="D38" s="56">
        <v>7.0578778135048229E-4</v>
      </c>
      <c r="E38" s="56" t="s">
        <v>71</v>
      </c>
      <c r="F38" s="56" t="s">
        <v>66</v>
      </c>
      <c r="G38" s="56" t="s">
        <v>67</v>
      </c>
      <c r="H38" s="56" t="s">
        <v>130</v>
      </c>
      <c r="J38" s="56" t="s">
        <v>105</v>
      </c>
    </row>
    <row r="39" spans="1:14" x14ac:dyDescent="0.25">
      <c r="A39" s="56" t="s">
        <v>106</v>
      </c>
      <c r="D39" s="56">
        <v>7.0578778135048229E-4</v>
      </c>
      <c r="E39" s="56" t="s">
        <v>71</v>
      </c>
      <c r="F39" s="56" t="s">
        <v>66</v>
      </c>
      <c r="G39" s="56" t="s">
        <v>67</v>
      </c>
      <c r="H39" s="56" t="s">
        <v>130</v>
      </c>
      <c r="J39" s="56" t="s">
        <v>105</v>
      </c>
    </row>
    <row r="40" spans="1:14" s="65" customFormat="1" x14ac:dyDescent="0.25"/>
    <row r="41" spans="1:14" x14ac:dyDescent="0.25">
      <c r="A41" s="59" t="s">
        <v>0</v>
      </c>
      <c r="B41" s="59" t="s">
        <v>293</v>
      </c>
    </row>
    <row r="42" spans="1:14" x14ac:dyDescent="0.25">
      <c r="A42" s="60" t="s">
        <v>1</v>
      </c>
      <c r="B42" s="56" t="s">
        <v>296</v>
      </c>
    </row>
    <row r="43" spans="1:14" x14ac:dyDescent="0.25">
      <c r="A43" s="60" t="s">
        <v>2</v>
      </c>
      <c r="B43" s="56" t="s">
        <v>75</v>
      </c>
    </row>
    <row r="44" spans="1:14" x14ac:dyDescent="0.25">
      <c r="A44" s="60" t="s">
        <v>4</v>
      </c>
      <c r="B44" s="56">
        <v>1</v>
      </c>
    </row>
    <row r="45" spans="1:14" x14ac:dyDescent="0.25">
      <c r="A45" s="60" t="s">
        <v>5</v>
      </c>
      <c r="B45" s="56" t="s">
        <v>6</v>
      </c>
    </row>
    <row r="46" spans="1:14" x14ac:dyDescent="0.25">
      <c r="A46" s="60" t="s">
        <v>7</v>
      </c>
      <c r="B46" s="56" t="s">
        <v>8</v>
      </c>
    </row>
    <row r="47" spans="1:14" x14ac:dyDescent="0.25">
      <c r="A47" s="60" t="s">
        <v>9</v>
      </c>
    </row>
    <row r="48" spans="1:14" x14ac:dyDescent="0.25">
      <c r="A48" s="59" t="s">
        <v>10</v>
      </c>
      <c r="B48" s="59" t="s">
        <v>1</v>
      </c>
      <c r="C48" s="59" t="s">
        <v>2</v>
      </c>
      <c r="D48" s="59" t="s">
        <v>4</v>
      </c>
      <c r="E48" s="59" t="s">
        <v>5</v>
      </c>
      <c r="F48" s="59" t="s">
        <v>11</v>
      </c>
      <c r="G48" s="59" t="s">
        <v>12</v>
      </c>
      <c r="H48" s="59" t="s">
        <v>13</v>
      </c>
      <c r="I48" s="59" t="s">
        <v>14</v>
      </c>
      <c r="J48" s="59" t="s">
        <v>15</v>
      </c>
      <c r="K48" s="59" t="s">
        <v>16</v>
      </c>
      <c r="L48" s="59" t="s">
        <v>17</v>
      </c>
      <c r="M48" s="59" t="s">
        <v>18</v>
      </c>
      <c r="N48" s="59" t="s">
        <v>19</v>
      </c>
    </row>
    <row r="49" spans="1:10" x14ac:dyDescent="0.25">
      <c r="A49" s="56" t="str">
        <f>B41</f>
        <v>[C] Bastnaesite ore milling and flotation (Mountain Pass)</v>
      </c>
      <c r="B49" s="56" t="str">
        <f>B42</f>
        <v>Concentrated Rare Earths oxides (REO) mixed</v>
      </c>
      <c r="C49" s="56" t="str">
        <f>B43</f>
        <v>US-WECC</v>
      </c>
      <c r="D49" s="56">
        <v>1</v>
      </c>
      <c r="E49" s="56" t="s">
        <v>6</v>
      </c>
      <c r="F49" s="57" t="str">
        <f>F33</f>
        <v>Rare Earths</v>
      </c>
      <c r="G49" s="56" t="s">
        <v>20</v>
      </c>
    </row>
    <row r="50" spans="1:10" x14ac:dyDescent="0.25">
      <c r="A50" s="56" t="s">
        <v>57</v>
      </c>
      <c r="B50" s="56" t="s">
        <v>58</v>
      </c>
      <c r="C50" s="56" t="s">
        <v>75</v>
      </c>
      <c r="D50" s="56">
        <v>0.78071334214002641</v>
      </c>
      <c r="E50" s="56" t="s">
        <v>59</v>
      </c>
      <c r="F50" s="56" t="s">
        <v>24</v>
      </c>
      <c r="G50" s="56" t="s">
        <v>25</v>
      </c>
      <c r="J50" s="56" t="s">
        <v>86</v>
      </c>
    </row>
    <row r="51" spans="1:10" x14ac:dyDescent="0.25">
      <c r="A51" s="56" t="s">
        <v>109</v>
      </c>
      <c r="B51" s="56" t="s">
        <v>110</v>
      </c>
      <c r="C51" s="56" t="s">
        <v>23</v>
      </c>
      <c r="D51" s="56">
        <v>1.849405548216645E-3</v>
      </c>
      <c r="E51" s="56" t="s">
        <v>6</v>
      </c>
      <c r="F51" s="56" t="s">
        <v>24</v>
      </c>
      <c r="G51" s="56" t="s">
        <v>25</v>
      </c>
      <c r="J51" s="56" t="s">
        <v>86</v>
      </c>
    </row>
    <row r="52" spans="1:10" x14ac:dyDescent="0.25">
      <c r="A52" s="56" t="s">
        <v>111</v>
      </c>
      <c r="B52" s="56" t="s">
        <v>112</v>
      </c>
      <c r="C52" s="56" t="s">
        <v>23</v>
      </c>
      <c r="D52" s="56">
        <v>4.3593130779392341E-3</v>
      </c>
      <c r="E52" s="56" t="s">
        <v>6</v>
      </c>
      <c r="F52" s="56" t="s">
        <v>24</v>
      </c>
      <c r="G52" s="56" t="s">
        <v>25</v>
      </c>
      <c r="J52" s="56" t="s">
        <v>86</v>
      </c>
    </row>
    <row r="53" spans="1:10" x14ac:dyDescent="0.25">
      <c r="A53" s="56" t="s">
        <v>50</v>
      </c>
      <c r="B53" s="56" t="s">
        <v>51</v>
      </c>
      <c r="C53" s="56" t="s">
        <v>23</v>
      </c>
      <c r="D53" s="56">
        <v>6.0766182298546897E-2</v>
      </c>
      <c r="E53" s="56" t="s">
        <v>6</v>
      </c>
      <c r="F53" s="56" t="s">
        <v>24</v>
      </c>
      <c r="G53" s="56" t="s">
        <v>25</v>
      </c>
      <c r="J53" s="56" t="s">
        <v>86</v>
      </c>
    </row>
    <row r="54" spans="1:10" x14ac:dyDescent="0.25">
      <c r="A54" s="56" t="s">
        <v>113</v>
      </c>
      <c r="B54" s="56" t="s">
        <v>114</v>
      </c>
      <c r="C54" s="56" t="s">
        <v>23</v>
      </c>
      <c r="D54" s="56">
        <v>5.4161162483487443E-2</v>
      </c>
      <c r="E54" s="56" t="s">
        <v>6</v>
      </c>
      <c r="F54" s="56" t="s">
        <v>24</v>
      </c>
      <c r="G54" s="56" t="s">
        <v>25</v>
      </c>
      <c r="J54" s="56" t="s">
        <v>86</v>
      </c>
    </row>
    <row r="55" spans="1:10" x14ac:dyDescent="0.25">
      <c r="A55" s="56" t="s">
        <v>40</v>
      </c>
      <c r="B55" s="56" t="s">
        <v>41</v>
      </c>
      <c r="C55" s="56" t="s">
        <v>29</v>
      </c>
      <c r="D55" s="56">
        <v>5.4161162483487443E-2</v>
      </c>
      <c r="E55" s="56" t="s">
        <v>6</v>
      </c>
      <c r="F55" s="56" t="s">
        <v>24</v>
      </c>
      <c r="G55" s="56" t="s">
        <v>25</v>
      </c>
      <c r="J55" s="56" t="s">
        <v>86</v>
      </c>
    </row>
    <row r="56" spans="1:10" x14ac:dyDescent="0.25">
      <c r="A56" s="56" t="s">
        <v>111</v>
      </c>
      <c r="B56" s="56" t="s">
        <v>112</v>
      </c>
      <c r="C56" s="56" t="s">
        <v>23</v>
      </c>
      <c r="D56" s="56">
        <v>9.2470277410832227E-4</v>
      </c>
      <c r="E56" s="56" t="s">
        <v>6</v>
      </c>
      <c r="F56" s="56" t="s">
        <v>24</v>
      </c>
      <c r="G56" s="56" t="s">
        <v>25</v>
      </c>
      <c r="J56" s="56" t="s">
        <v>86</v>
      </c>
    </row>
    <row r="57" spans="1:10" x14ac:dyDescent="0.25">
      <c r="A57" s="56" t="s">
        <v>89</v>
      </c>
      <c r="B57" s="56" t="s">
        <v>90</v>
      </c>
      <c r="C57" s="56" t="s">
        <v>29</v>
      </c>
      <c r="D57" s="56">
        <v>2.668428005284015E-3</v>
      </c>
      <c r="E57" s="56" t="s">
        <v>6</v>
      </c>
      <c r="F57" s="56" t="s">
        <v>24</v>
      </c>
      <c r="G57" s="56" t="s">
        <v>25</v>
      </c>
      <c r="J57" s="56" t="s">
        <v>86</v>
      </c>
    </row>
    <row r="58" spans="1:10" x14ac:dyDescent="0.25">
      <c r="A58" s="56" t="s">
        <v>115</v>
      </c>
      <c r="B58" s="56" t="s">
        <v>116</v>
      </c>
      <c r="C58" s="56" t="s">
        <v>23</v>
      </c>
      <c r="D58" s="56">
        <v>7.9260237780713335E-11</v>
      </c>
      <c r="E58" s="56" t="s">
        <v>5</v>
      </c>
      <c r="F58" s="56" t="s">
        <v>24</v>
      </c>
      <c r="G58" s="56" t="s">
        <v>25</v>
      </c>
      <c r="J58" s="56" t="s">
        <v>79</v>
      </c>
    </row>
    <row r="59" spans="1:10" x14ac:dyDescent="0.25">
      <c r="A59" s="56" t="s">
        <v>83</v>
      </c>
      <c r="B59" s="56" t="s">
        <v>84</v>
      </c>
      <c r="C59" s="56" t="s">
        <v>29</v>
      </c>
      <c r="D59" s="56">
        <v>6.2087186261558777E-2</v>
      </c>
      <c r="E59" s="56" t="s">
        <v>85</v>
      </c>
      <c r="F59" s="56" t="s">
        <v>24</v>
      </c>
      <c r="G59" s="56" t="s">
        <v>25</v>
      </c>
      <c r="J59" s="56" t="s">
        <v>86</v>
      </c>
    </row>
    <row r="60" spans="1:10" x14ac:dyDescent="0.25">
      <c r="A60" s="56" t="s">
        <v>117</v>
      </c>
      <c r="B60" s="56" t="s">
        <v>118</v>
      </c>
      <c r="C60" s="56" t="s">
        <v>29</v>
      </c>
      <c r="D60" s="56">
        <v>-14.002642007925999</v>
      </c>
      <c r="E60" s="56" t="s">
        <v>6</v>
      </c>
      <c r="F60" s="56" t="s">
        <v>24</v>
      </c>
      <c r="G60" s="56" t="s">
        <v>25</v>
      </c>
      <c r="J60" s="56" t="s">
        <v>86</v>
      </c>
    </row>
    <row r="61" spans="1:10" x14ac:dyDescent="0.25">
      <c r="A61" s="56" t="s">
        <v>119</v>
      </c>
      <c r="D61" s="56">
        <v>5.8784676354029057E-3</v>
      </c>
      <c r="E61" s="56" t="s">
        <v>93</v>
      </c>
      <c r="F61" s="56" t="s">
        <v>66</v>
      </c>
      <c r="G61" s="56" t="s">
        <v>67</v>
      </c>
      <c r="H61" s="56" t="s">
        <v>120</v>
      </c>
      <c r="J61" s="56" t="s">
        <v>86</v>
      </c>
    </row>
    <row r="62" spans="1:10" s="65" customFormat="1" x14ac:dyDescent="0.25"/>
    <row r="63" spans="1:10" x14ac:dyDescent="0.25">
      <c r="A63" s="59" t="s">
        <v>0</v>
      </c>
      <c r="B63" s="59" t="s">
        <v>294</v>
      </c>
    </row>
    <row r="64" spans="1:10" x14ac:dyDescent="0.25">
      <c r="A64" s="60" t="s">
        <v>1</v>
      </c>
      <c r="B64" s="56" t="s">
        <v>295</v>
      </c>
    </row>
    <row r="65" spans="1:15" x14ac:dyDescent="0.25">
      <c r="A65" s="60" t="s">
        <v>2</v>
      </c>
      <c r="B65" s="56" t="s">
        <v>75</v>
      </c>
    </row>
    <row r="66" spans="1:15" x14ac:dyDescent="0.25">
      <c r="A66" s="60" t="s">
        <v>4</v>
      </c>
      <c r="B66" s="56">
        <v>1</v>
      </c>
    </row>
    <row r="67" spans="1:15" x14ac:dyDescent="0.25">
      <c r="A67" s="60" t="s">
        <v>5</v>
      </c>
      <c r="B67" s="56" t="s">
        <v>6</v>
      </c>
    </row>
    <row r="68" spans="1:15" x14ac:dyDescent="0.25">
      <c r="A68" s="60" t="s">
        <v>7</v>
      </c>
      <c r="B68" s="56" t="s">
        <v>8</v>
      </c>
    </row>
    <row r="69" spans="1:15" x14ac:dyDescent="0.25">
      <c r="A69" s="60" t="s">
        <v>9</v>
      </c>
    </row>
    <row r="70" spans="1:15" x14ac:dyDescent="0.25">
      <c r="A70" s="59" t="s">
        <v>10</v>
      </c>
      <c r="B70" s="59" t="s">
        <v>1</v>
      </c>
      <c r="C70" s="59" t="s">
        <v>2</v>
      </c>
      <c r="D70" s="59" t="s">
        <v>4</v>
      </c>
      <c r="E70" s="59" t="s">
        <v>5</v>
      </c>
      <c r="F70" s="59" t="s">
        <v>11</v>
      </c>
      <c r="G70" s="59" t="s">
        <v>12</v>
      </c>
      <c r="H70" s="59" t="s">
        <v>13</v>
      </c>
      <c r="I70" s="59" t="s">
        <v>14</v>
      </c>
      <c r="J70" s="59" t="s">
        <v>15</v>
      </c>
      <c r="K70" s="59" t="s">
        <v>16</v>
      </c>
      <c r="L70" s="59" t="s">
        <v>17</v>
      </c>
      <c r="M70" s="59" t="s">
        <v>18</v>
      </c>
      <c r="N70" s="59" t="s">
        <v>19</v>
      </c>
      <c r="O70" s="59" t="s">
        <v>7</v>
      </c>
    </row>
    <row r="71" spans="1:15" x14ac:dyDescent="0.25">
      <c r="A71" s="56" t="str">
        <f>B63</f>
        <v>[P] Cracking, separation and calcination of RE (Mountain Pass)</v>
      </c>
      <c r="B71" s="56" t="str">
        <f>B64</f>
        <v>Separated REO mix</v>
      </c>
      <c r="C71" s="56" t="str">
        <f>B65</f>
        <v>US-WECC</v>
      </c>
      <c r="D71" s="56">
        <v>1</v>
      </c>
      <c r="E71" s="56" t="str">
        <f>B67</f>
        <v>kilogram</v>
      </c>
      <c r="F71" s="57" t="str">
        <f>F49</f>
        <v>Rare Earths</v>
      </c>
      <c r="G71" s="56" t="s">
        <v>20</v>
      </c>
      <c r="O71" s="67"/>
    </row>
    <row r="72" spans="1:15" x14ac:dyDescent="0.25">
      <c r="A72" s="56" t="s">
        <v>52</v>
      </c>
      <c r="B72" s="56" t="s">
        <v>53</v>
      </c>
      <c r="C72" s="56" t="s">
        <v>29</v>
      </c>
      <c r="D72" s="56">
        <v>157.16814159292039</v>
      </c>
      <c r="E72" s="56" t="s">
        <v>6</v>
      </c>
      <c r="F72" s="56" t="s">
        <v>24</v>
      </c>
      <c r="G72" s="56" t="s">
        <v>25</v>
      </c>
      <c r="J72" s="56" t="s">
        <v>86</v>
      </c>
    </row>
    <row r="73" spans="1:15" x14ac:dyDescent="0.25">
      <c r="A73" s="56" t="s">
        <v>111</v>
      </c>
      <c r="B73" s="56" t="s">
        <v>112</v>
      </c>
      <c r="C73" s="56" t="s">
        <v>23</v>
      </c>
      <c r="D73" s="56">
        <v>1.946902654867257</v>
      </c>
      <c r="E73" s="56" t="s">
        <v>6</v>
      </c>
      <c r="F73" s="56" t="s">
        <v>24</v>
      </c>
      <c r="G73" s="56" t="s">
        <v>25</v>
      </c>
      <c r="J73" s="56" t="s">
        <v>86</v>
      </c>
    </row>
    <row r="74" spans="1:15" x14ac:dyDescent="0.25">
      <c r="A74" s="56" t="s">
        <v>57</v>
      </c>
      <c r="B74" s="56" t="s">
        <v>58</v>
      </c>
      <c r="C74" s="56" t="s">
        <v>75</v>
      </c>
      <c r="D74" s="56">
        <v>5.3805309734513278</v>
      </c>
      <c r="E74" s="56" t="s">
        <v>59</v>
      </c>
      <c r="F74" s="56" t="s">
        <v>24</v>
      </c>
      <c r="G74" s="56" t="s">
        <v>25</v>
      </c>
      <c r="J74" s="56" t="s">
        <v>86</v>
      </c>
    </row>
    <row r="75" spans="1:15" x14ac:dyDescent="0.25">
      <c r="A75" s="56" t="s">
        <v>111</v>
      </c>
      <c r="B75" s="56" t="s">
        <v>112</v>
      </c>
      <c r="C75" s="56" t="s">
        <v>23</v>
      </c>
      <c r="D75" s="56">
        <v>1.3274336283185841E-2</v>
      </c>
      <c r="E75" s="56" t="s">
        <v>6</v>
      </c>
      <c r="F75" s="56" t="s">
        <v>24</v>
      </c>
      <c r="G75" s="56" t="s">
        <v>25</v>
      </c>
      <c r="J75" s="56" t="s">
        <v>105</v>
      </c>
    </row>
    <row r="76" spans="1:15" x14ac:dyDescent="0.25">
      <c r="A76" s="56" t="s">
        <v>121</v>
      </c>
      <c r="B76" s="56" t="s">
        <v>122</v>
      </c>
      <c r="C76" s="56" t="s">
        <v>23</v>
      </c>
      <c r="D76" s="56">
        <v>0.5575221238938054</v>
      </c>
      <c r="E76" s="56" t="s">
        <v>6</v>
      </c>
      <c r="F76" s="56" t="s">
        <v>24</v>
      </c>
      <c r="G76" s="56" t="s">
        <v>25</v>
      </c>
      <c r="J76" s="56" t="s">
        <v>105</v>
      </c>
    </row>
    <row r="77" spans="1:15" x14ac:dyDescent="0.25">
      <c r="A77" s="56" t="s">
        <v>38</v>
      </c>
      <c r="B77" s="56" t="s">
        <v>39</v>
      </c>
      <c r="C77" s="56" t="s">
        <v>29</v>
      </c>
      <c r="D77" s="56">
        <v>0.30973451327433632</v>
      </c>
      <c r="E77" s="56" t="s">
        <v>6</v>
      </c>
      <c r="F77" s="56" t="s">
        <v>24</v>
      </c>
      <c r="G77" s="56" t="s">
        <v>25</v>
      </c>
      <c r="J77" s="56" t="s">
        <v>105</v>
      </c>
    </row>
    <row r="78" spans="1:15" x14ac:dyDescent="0.25">
      <c r="A78" s="56" t="s">
        <v>123</v>
      </c>
      <c r="B78" s="56" t="s">
        <v>124</v>
      </c>
      <c r="C78" s="56" t="s">
        <v>29</v>
      </c>
      <c r="D78" s="56">
        <v>1.6725663716814161</v>
      </c>
      <c r="E78" s="56" t="s">
        <v>6</v>
      </c>
      <c r="F78" s="56" t="s">
        <v>24</v>
      </c>
      <c r="G78" s="56" t="s">
        <v>25</v>
      </c>
      <c r="J78" s="56" t="s">
        <v>86</v>
      </c>
    </row>
    <row r="79" spans="1:15" x14ac:dyDescent="0.25">
      <c r="A79" s="56" t="s">
        <v>42</v>
      </c>
      <c r="B79" s="56" t="s">
        <v>43</v>
      </c>
      <c r="C79" s="56" t="s">
        <v>29</v>
      </c>
      <c r="D79" s="56">
        <v>1.893805309734514</v>
      </c>
      <c r="E79" s="56" t="s">
        <v>6</v>
      </c>
      <c r="F79" s="56" t="s">
        <v>24</v>
      </c>
      <c r="G79" s="56" t="s">
        <v>25</v>
      </c>
      <c r="J79" s="56" t="s">
        <v>86</v>
      </c>
    </row>
    <row r="80" spans="1:15" x14ac:dyDescent="0.25">
      <c r="A80" s="56" t="s">
        <v>125</v>
      </c>
      <c r="B80" s="56" t="s">
        <v>126</v>
      </c>
      <c r="C80" s="56" t="s">
        <v>23</v>
      </c>
      <c r="D80" s="56">
        <v>6.194690265486727E-2</v>
      </c>
      <c r="E80" s="56" t="s">
        <v>6</v>
      </c>
      <c r="F80" s="56" t="s">
        <v>24</v>
      </c>
      <c r="G80" s="56" t="s">
        <v>25</v>
      </c>
      <c r="J80" s="56" t="s">
        <v>105</v>
      </c>
    </row>
    <row r="81" spans="1:10" x14ac:dyDescent="0.25">
      <c r="A81" s="56" t="s">
        <v>36</v>
      </c>
      <c r="B81" s="56" t="s">
        <v>37</v>
      </c>
      <c r="C81" s="56" t="s">
        <v>23</v>
      </c>
      <c r="D81" s="56">
        <v>6.194690265486727E-2</v>
      </c>
      <c r="E81" s="56" t="s">
        <v>6</v>
      </c>
      <c r="F81" s="56" t="s">
        <v>24</v>
      </c>
      <c r="G81" s="56" t="s">
        <v>25</v>
      </c>
      <c r="J81" s="56" t="s">
        <v>105</v>
      </c>
    </row>
    <row r="82" spans="1:10" x14ac:dyDescent="0.25">
      <c r="A82" s="56" t="s">
        <v>50</v>
      </c>
      <c r="B82" s="56" t="s">
        <v>51</v>
      </c>
      <c r="C82" s="56" t="s">
        <v>23</v>
      </c>
      <c r="D82" s="56">
        <v>2.699115044247788</v>
      </c>
      <c r="E82" s="56" t="s">
        <v>6</v>
      </c>
      <c r="F82" s="56" t="s">
        <v>24</v>
      </c>
      <c r="G82" s="56" t="s">
        <v>25</v>
      </c>
      <c r="J82" s="56" t="s">
        <v>105</v>
      </c>
    </row>
    <row r="83" spans="1:10" x14ac:dyDescent="0.25">
      <c r="A83" s="56" t="s">
        <v>115</v>
      </c>
      <c r="B83" s="56" t="s">
        <v>116</v>
      </c>
      <c r="C83" s="56" t="s">
        <v>23</v>
      </c>
      <c r="D83" s="56">
        <v>3.5398230088495579E-9</v>
      </c>
      <c r="E83" s="56" t="s">
        <v>5</v>
      </c>
      <c r="F83" s="56" t="s">
        <v>24</v>
      </c>
      <c r="G83" s="56" t="s">
        <v>25</v>
      </c>
      <c r="J83" s="56" t="s">
        <v>79</v>
      </c>
    </row>
    <row r="84" spans="1:10" x14ac:dyDescent="0.25">
      <c r="A84" s="56" t="s">
        <v>83</v>
      </c>
      <c r="B84" s="56" t="s">
        <v>84</v>
      </c>
      <c r="C84" s="56" t="s">
        <v>29</v>
      </c>
      <c r="D84" s="56">
        <v>1.2743362831858409</v>
      </c>
      <c r="E84" s="56" t="s">
        <v>85</v>
      </c>
      <c r="F84" s="56" t="s">
        <v>24</v>
      </c>
      <c r="G84" s="56" t="s">
        <v>25</v>
      </c>
      <c r="J84" s="56" t="s">
        <v>86</v>
      </c>
    </row>
    <row r="85" spans="1:10" x14ac:dyDescent="0.25">
      <c r="A85" s="56" t="s">
        <v>127</v>
      </c>
      <c r="B85" s="56" t="s">
        <v>92</v>
      </c>
      <c r="C85" s="56" t="s">
        <v>29</v>
      </c>
      <c r="D85" s="56">
        <v>-4.40353982300885E-2</v>
      </c>
      <c r="E85" s="56" t="s">
        <v>93</v>
      </c>
      <c r="F85" s="56" t="s">
        <v>24</v>
      </c>
      <c r="G85" s="56" t="s">
        <v>25</v>
      </c>
      <c r="J85" s="56" t="s">
        <v>86</v>
      </c>
    </row>
    <row r="86" spans="1:10" x14ac:dyDescent="0.25">
      <c r="A86" s="56" t="s">
        <v>117</v>
      </c>
      <c r="B86" s="56" t="s">
        <v>118</v>
      </c>
      <c r="C86" s="56" t="s">
        <v>29</v>
      </c>
      <c r="D86" s="56">
        <v>-1.8141592920353999</v>
      </c>
      <c r="E86" s="56" t="s">
        <v>6</v>
      </c>
      <c r="F86" s="56" t="s">
        <v>24</v>
      </c>
      <c r="G86" s="56" t="s">
        <v>25</v>
      </c>
      <c r="J86" s="56" t="s">
        <v>86</v>
      </c>
    </row>
    <row r="87" spans="1:10" x14ac:dyDescent="0.25">
      <c r="A87" s="56" t="s">
        <v>119</v>
      </c>
      <c r="D87" s="56">
        <v>6.7477876106194698E-2</v>
      </c>
      <c r="E87" s="56" t="s">
        <v>93</v>
      </c>
      <c r="F87" s="56" t="s">
        <v>66</v>
      </c>
      <c r="G87" s="56" t="s">
        <v>67</v>
      </c>
      <c r="H87" s="56" t="s">
        <v>120</v>
      </c>
      <c r="J87" s="56" t="s">
        <v>86</v>
      </c>
    </row>
    <row r="88" spans="1:10" x14ac:dyDescent="0.25">
      <c r="A88" s="56" t="s">
        <v>74</v>
      </c>
      <c r="D88" s="56">
        <v>10.079646017699121</v>
      </c>
      <c r="E88" s="56" t="s">
        <v>6</v>
      </c>
      <c r="F88" s="56" t="s">
        <v>66</v>
      </c>
      <c r="G88" s="56" t="s">
        <v>67</v>
      </c>
      <c r="H88" s="56" t="s">
        <v>130</v>
      </c>
      <c r="J88" s="56" t="s">
        <v>86</v>
      </c>
    </row>
    <row r="89" spans="1:10" s="58" customFormat="1" x14ac:dyDescent="0.25"/>
    <row r="90" spans="1:10" x14ac:dyDescent="0.25">
      <c r="A90" s="59" t="s">
        <v>0</v>
      </c>
      <c r="B90" s="59" t="s">
        <v>297</v>
      </c>
    </row>
    <row r="91" spans="1:10" x14ac:dyDescent="0.25">
      <c r="A91" s="60" t="s">
        <v>1</v>
      </c>
      <c r="B91" s="56" t="s">
        <v>243</v>
      </c>
    </row>
    <row r="92" spans="1:10" x14ac:dyDescent="0.25">
      <c r="A92" s="60" t="s">
        <v>2</v>
      </c>
      <c r="B92" s="56" t="s">
        <v>75</v>
      </c>
    </row>
    <row r="93" spans="1:10" x14ac:dyDescent="0.25">
      <c r="A93" s="60" t="s">
        <v>4</v>
      </c>
      <c r="B93" s="56">
        <v>1</v>
      </c>
    </row>
    <row r="94" spans="1:10" x14ac:dyDescent="0.25">
      <c r="A94" s="60" t="s">
        <v>5</v>
      </c>
      <c r="B94" s="56" t="s">
        <v>6</v>
      </c>
    </row>
    <row r="95" spans="1:10" x14ac:dyDescent="0.25">
      <c r="A95" s="60" t="s">
        <v>7</v>
      </c>
      <c r="B95" s="56" t="s">
        <v>8</v>
      </c>
    </row>
    <row r="96" spans="1:10" x14ac:dyDescent="0.25">
      <c r="A96" s="60" t="s">
        <v>9</v>
      </c>
    </row>
    <row r="97" spans="1:15" x14ac:dyDescent="0.25">
      <c r="A97" s="59" t="s">
        <v>10</v>
      </c>
      <c r="B97" s="59" t="s">
        <v>1</v>
      </c>
      <c r="C97" s="59" t="s">
        <v>2</v>
      </c>
      <c r="D97" s="59" t="s">
        <v>4</v>
      </c>
      <c r="E97" s="59" t="s">
        <v>5</v>
      </c>
      <c r="F97" s="59" t="s">
        <v>11</v>
      </c>
      <c r="G97" s="59" t="s">
        <v>12</v>
      </c>
      <c r="H97" s="59" t="s">
        <v>13</v>
      </c>
      <c r="I97" s="59" t="s">
        <v>14</v>
      </c>
      <c r="J97" s="59" t="s">
        <v>15</v>
      </c>
      <c r="K97" s="59" t="s">
        <v>16</v>
      </c>
      <c r="L97" s="59" t="s">
        <v>17</v>
      </c>
      <c r="M97" s="59" t="s">
        <v>18</v>
      </c>
      <c r="N97" s="59" t="s">
        <v>19</v>
      </c>
      <c r="O97" s="59" t="s">
        <v>7</v>
      </c>
    </row>
    <row r="98" spans="1:15" x14ac:dyDescent="0.25">
      <c r="A98" s="56" t="str">
        <f>B90</f>
        <v>Bastnaesite ore mining and REO production in the US/Mt. Pass</v>
      </c>
      <c r="B98" s="56" t="str">
        <f>B91</f>
        <v>REO</v>
      </c>
      <c r="C98" s="56" t="str">
        <f>B92</f>
        <v>US-WECC</v>
      </c>
      <c r="D98" s="64">
        <v>1</v>
      </c>
      <c r="E98" s="56" t="str">
        <f>B94</f>
        <v>kilogram</v>
      </c>
      <c r="F98" s="57" t="str">
        <f>F49</f>
        <v>Rare Earths</v>
      </c>
      <c r="G98" s="56" t="s">
        <v>20</v>
      </c>
    </row>
    <row r="99" spans="1:15" x14ac:dyDescent="0.25">
      <c r="A99" s="56" t="str">
        <f>A71</f>
        <v>[P] Cracking, separation and calcination of RE (Mountain Pass)</v>
      </c>
      <c r="B99" s="56" t="str">
        <f>B71</f>
        <v>Separated REO mix</v>
      </c>
      <c r="C99" s="56" t="str">
        <f>C71</f>
        <v>US-WECC</v>
      </c>
      <c r="D99" s="56">
        <v>1</v>
      </c>
      <c r="E99" s="56" t="str">
        <f>E71</f>
        <v>kilogram</v>
      </c>
      <c r="F99" s="57" t="str">
        <f>F71</f>
        <v>Rare Earths</v>
      </c>
      <c r="G99" s="56" t="s">
        <v>25</v>
      </c>
    </row>
    <row r="100" spans="1:15" x14ac:dyDescent="0.25">
      <c r="A100" s="56" t="str">
        <f>A49</f>
        <v>[C] Bastnaesite ore milling and flotation (Mountain Pass)</v>
      </c>
      <c r="B100" s="56" t="str">
        <f>B49</f>
        <v>Concentrated Rare Earths oxides (REO) mixed</v>
      </c>
      <c r="C100" s="56" t="str">
        <f>C49</f>
        <v>US-WECC</v>
      </c>
      <c r="D100" s="56">
        <v>6.6991150442477885</v>
      </c>
      <c r="E100" s="56" t="str">
        <f>E49</f>
        <v>kilogram</v>
      </c>
      <c r="F100" s="57" t="str">
        <f>F49</f>
        <v>Rare Earths</v>
      </c>
      <c r="G100" s="56" t="s">
        <v>25</v>
      </c>
    </row>
    <row r="101" spans="1:15" x14ac:dyDescent="0.25">
      <c r="A101" s="56" t="str">
        <f>A33</f>
        <v>[C] Bastnaesite ore crushing (Mountain Pass)</v>
      </c>
      <c r="B101" s="56" t="str">
        <f>B33</f>
        <v>Crushed bastnaesite ore</v>
      </c>
      <c r="C101" s="56" t="str">
        <f>C33</f>
        <v>US-WECC</v>
      </c>
      <c r="D101" s="56">
        <v>82.56637168141593</v>
      </c>
      <c r="E101" s="56" t="str">
        <f>E33</f>
        <v>kilogram</v>
      </c>
      <c r="F101" s="57" t="str">
        <f>F33</f>
        <v>Rare Earths</v>
      </c>
      <c r="G101" s="56" t="s">
        <v>25</v>
      </c>
    </row>
    <row r="102" spans="1:15" x14ac:dyDescent="0.25">
      <c r="A102" s="56" t="str">
        <f>A9</f>
        <v>[M] Bastnaesite ore mining (Mountain Pass)</v>
      </c>
      <c r="B102" s="56" t="str">
        <f>B9</f>
        <v>Bastnaesite ore</v>
      </c>
      <c r="C102" s="56" t="str">
        <f>C9</f>
        <v>US-WECC</v>
      </c>
      <c r="D102" s="56">
        <v>82.56637168141593</v>
      </c>
      <c r="E102" s="56" t="str">
        <f>E9</f>
        <v>kilogram</v>
      </c>
      <c r="F102" s="57" t="str">
        <f>F9</f>
        <v>Rare Earths</v>
      </c>
      <c r="G102" s="56" t="s">
        <v>25</v>
      </c>
    </row>
    <row r="103" spans="1:15" s="58" customFormat="1" x14ac:dyDescent="0.25"/>
    <row r="104" spans="1:15" x14ac:dyDescent="0.25">
      <c r="A104" s="59" t="s">
        <v>0</v>
      </c>
      <c r="B104" s="59" t="s">
        <v>298</v>
      </c>
    </row>
    <row r="105" spans="1:15" x14ac:dyDescent="0.25">
      <c r="A105" s="60" t="s">
        <v>1</v>
      </c>
      <c r="B105" s="56" t="s">
        <v>245</v>
      </c>
    </row>
    <row r="106" spans="1:15" x14ac:dyDescent="0.25">
      <c r="A106" s="60" t="s">
        <v>2</v>
      </c>
      <c r="B106" s="56" t="s">
        <v>75</v>
      </c>
    </row>
    <row r="107" spans="1:15" x14ac:dyDescent="0.25">
      <c r="A107" s="60" t="s">
        <v>4</v>
      </c>
      <c r="B107" s="56">
        <v>1</v>
      </c>
    </row>
    <row r="108" spans="1:15" x14ac:dyDescent="0.25">
      <c r="A108" s="60" t="s">
        <v>5</v>
      </c>
      <c r="B108" s="56" t="s">
        <v>6</v>
      </c>
    </row>
    <row r="109" spans="1:15" ht="30" x14ac:dyDescent="0.25">
      <c r="A109" s="60" t="s">
        <v>7</v>
      </c>
      <c r="B109" s="67" t="s">
        <v>246</v>
      </c>
    </row>
    <row r="110" spans="1:15" x14ac:dyDescent="0.25">
      <c r="A110" s="60" t="s">
        <v>9</v>
      </c>
    </row>
    <row r="111" spans="1:15" x14ac:dyDescent="0.25">
      <c r="A111" s="59" t="s">
        <v>10</v>
      </c>
      <c r="B111" s="59" t="s">
        <v>1</v>
      </c>
      <c r="C111" s="59" t="s">
        <v>2</v>
      </c>
      <c r="D111" s="59" t="s">
        <v>4</v>
      </c>
      <c r="E111" s="59" t="s">
        <v>5</v>
      </c>
      <c r="F111" s="59" t="s">
        <v>11</v>
      </c>
      <c r="G111" s="59" t="s">
        <v>12</v>
      </c>
      <c r="H111" s="59" t="s">
        <v>13</v>
      </c>
      <c r="I111" s="59" t="s">
        <v>14</v>
      </c>
      <c r="J111" s="59" t="s">
        <v>15</v>
      </c>
      <c r="K111" s="59" t="s">
        <v>16</v>
      </c>
      <c r="L111" s="59" t="s">
        <v>17</v>
      </c>
      <c r="M111" s="59" t="s">
        <v>18</v>
      </c>
      <c r="N111" s="59" t="s">
        <v>19</v>
      </c>
      <c r="O111" s="59" t="s">
        <v>7</v>
      </c>
    </row>
    <row r="112" spans="1:15" x14ac:dyDescent="0.25">
      <c r="A112" s="56" t="str">
        <f>B104</f>
        <v>Cerium oxide (CeO2) production in the US/Mt. Pass</v>
      </c>
      <c r="B112" s="56" t="str">
        <f>B105</f>
        <v>CeO2</v>
      </c>
      <c r="C112" s="56" t="str">
        <f>B106</f>
        <v>US-WECC</v>
      </c>
      <c r="D112" s="64">
        <v>1</v>
      </c>
      <c r="E112" s="56" t="str">
        <f>B108</f>
        <v>kilogram</v>
      </c>
      <c r="F112" s="57" t="str">
        <f>F100</f>
        <v>Rare Earths</v>
      </c>
      <c r="G112" s="56" t="s">
        <v>20</v>
      </c>
    </row>
    <row r="113" spans="1:15" x14ac:dyDescent="0.25">
      <c r="A113" s="56" t="str">
        <f>A98</f>
        <v>Bastnaesite ore mining and REO production in the US/Mt. Pass</v>
      </c>
      <c r="B113" s="56" t="str">
        <f t="shared" ref="B113:F113" si="0">B98</f>
        <v>REO</v>
      </c>
      <c r="C113" s="56" t="str">
        <f t="shared" si="0"/>
        <v>US-WECC</v>
      </c>
      <c r="D113" s="56">
        <v>0.19877260260076188</v>
      </c>
      <c r="E113" s="56" t="str">
        <f t="shared" si="0"/>
        <v>kilogram</v>
      </c>
      <c r="F113" s="57" t="str">
        <f t="shared" si="0"/>
        <v>Rare Earths</v>
      </c>
      <c r="G113" s="56" t="s">
        <v>25</v>
      </c>
    </row>
    <row r="114" spans="1:15" s="58" customFormat="1" x14ac:dyDescent="0.25"/>
    <row r="115" spans="1:15" x14ac:dyDescent="0.25">
      <c r="A115" s="59" t="s">
        <v>0</v>
      </c>
      <c r="B115" s="59" t="s">
        <v>299</v>
      </c>
    </row>
    <row r="116" spans="1:15" x14ac:dyDescent="0.25">
      <c r="A116" s="60" t="s">
        <v>1</v>
      </c>
      <c r="B116" s="56" t="s">
        <v>248</v>
      </c>
    </row>
    <row r="117" spans="1:15" x14ac:dyDescent="0.25">
      <c r="A117" s="60" t="s">
        <v>2</v>
      </c>
      <c r="B117" s="56" t="s">
        <v>75</v>
      </c>
    </row>
    <row r="118" spans="1:15" x14ac:dyDescent="0.25">
      <c r="A118" s="60" t="s">
        <v>4</v>
      </c>
      <c r="B118" s="56">
        <v>1</v>
      </c>
    </row>
    <row r="119" spans="1:15" x14ac:dyDescent="0.25">
      <c r="A119" s="60" t="s">
        <v>5</v>
      </c>
      <c r="B119" s="56" t="s">
        <v>6</v>
      </c>
    </row>
    <row r="120" spans="1:15" x14ac:dyDescent="0.25">
      <c r="A120" s="60" t="s">
        <v>7</v>
      </c>
      <c r="B120" s="56" t="s">
        <v>249</v>
      </c>
    </row>
    <row r="121" spans="1:15" x14ac:dyDescent="0.25">
      <c r="A121" s="60" t="s">
        <v>9</v>
      </c>
    </row>
    <row r="122" spans="1:15" x14ac:dyDescent="0.25">
      <c r="A122" s="59" t="s">
        <v>10</v>
      </c>
      <c r="B122" s="59" t="s">
        <v>1</v>
      </c>
      <c r="C122" s="59" t="s">
        <v>2</v>
      </c>
      <c r="D122" s="59" t="s">
        <v>4</v>
      </c>
      <c r="E122" s="59" t="s">
        <v>5</v>
      </c>
      <c r="F122" s="59" t="s">
        <v>11</v>
      </c>
      <c r="G122" s="59" t="s">
        <v>12</v>
      </c>
      <c r="H122" s="59" t="s">
        <v>13</v>
      </c>
      <c r="I122" s="59" t="s">
        <v>14</v>
      </c>
      <c r="J122" s="59" t="s">
        <v>15</v>
      </c>
      <c r="K122" s="59" t="s">
        <v>16</v>
      </c>
      <c r="L122" s="59" t="s">
        <v>17</v>
      </c>
      <c r="M122" s="59" t="s">
        <v>18</v>
      </c>
      <c r="N122" s="59" t="s">
        <v>19</v>
      </c>
      <c r="O122" s="59" t="s">
        <v>7</v>
      </c>
    </row>
    <row r="123" spans="1:15" x14ac:dyDescent="0.25">
      <c r="A123" s="56" t="str">
        <f>B115</f>
        <v>Cerium oxide (CeO2) production in the US/Mt. Pass (Ce content)</v>
      </c>
      <c r="B123" s="56" t="str">
        <f>B116</f>
        <v>CeO2 (Ce content)</v>
      </c>
      <c r="C123" s="56" t="str">
        <f>B117</f>
        <v>US-WECC</v>
      </c>
      <c r="D123" s="64">
        <v>1</v>
      </c>
      <c r="E123" s="56" t="str">
        <f>B119</f>
        <v>kilogram</v>
      </c>
      <c r="F123" s="57" t="str">
        <f>F112</f>
        <v>Rare Earths</v>
      </c>
      <c r="G123" s="56" t="s">
        <v>20</v>
      </c>
    </row>
    <row r="124" spans="1:15" x14ac:dyDescent="0.25">
      <c r="A124" s="56" t="str">
        <f>A112</f>
        <v>Cerium oxide (CeO2) production in the US/Mt. Pass</v>
      </c>
      <c r="B124" s="56" t="str">
        <f t="shared" ref="B124:F124" si="1">B112</f>
        <v>CeO2</v>
      </c>
      <c r="C124" s="56" t="str">
        <f t="shared" si="1"/>
        <v>US-WECC</v>
      </c>
      <c r="D124" s="56">
        <v>1.2283503255128363</v>
      </c>
      <c r="E124" s="56" t="str">
        <f t="shared" si="1"/>
        <v>kilogram</v>
      </c>
      <c r="F124" s="57" t="str">
        <f t="shared" si="1"/>
        <v>Rare Earths</v>
      </c>
      <c r="G124" s="56" t="s">
        <v>25</v>
      </c>
    </row>
    <row r="125" spans="1:15" s="58" customFormat="1" x14ac:dyDescent="0.25"/>
    <row r="126" spans="1:15" x14ac:dyDescent="0.25">
      <c r="A126" s="59" t="s">
        <v>0</v>
      </c>
      <c r="B126" s="59" t="s">
        <v>300</v>
      </c>
    </row>
    <row r="127" spans="1:15" x14ac:dyDescent="0.25">
      <c r="A127" s="60" t="s">
        <v>1</v>
      </c>
      <c r="B127" s="56" t="s">
        <v>256</v>
      </c>
    </row>
    <row r="128" spans="1:15" x14ac:dyDescent="0.25">
      <c r="A128" s="60" t="s">
        <v>2</v>
      </c>
      <c r="B128" s="56" t="s">
        <v>75</v>
      </c>
    </row>
    <row r="129" spans="1:15" x14ac:dyDescent="0.25">
      <c r="A129" s="60" t="s">
        <v>4</v>
      </c>
      <c r="B129" s="56">
        <v>1</v>
      </c>
    </row>
    <row r="130" spans="1:15" x14ac:dyDescent="0.25">
      <c r="A130" s="60" t="s">
        <v>5</v>
      </c>
      <c r="B130" s="56" t="s">
        <v>6</v>
      </c>
    </row>
    <row r="131" spans="1:15" ht="30" x14ac:dyDescent="0.25">
      <c r="A131" s="60" t="s">
        <v>7</v>
      </c>
      <c r="B131" s="67" t="s">
        <v>246</v>
      </c>
    </row>
    <row r="132" spans="1:15" x14ac:dyDescent="0.25">
      <c r="A132" s="60" t="s">
        <v>9</v>
      </c>
    </row>
    <row r="133" spans="1:15" x14ac:dyDescent="0.25">
      <c r="A133" s="59" t="s">
        <v>10</v>
      </c>
      <c r="B133" s="59" t="s">
        <v>1</v>
      </c>
      <c r="C133" s="59" t="s">
        <v>2</v>
      </c>
      <c r="D133" s="59" t="s">
        <v>4</v>
      </c>
      <c r="E133" s="59" t="s">
        <v>5</v>
      </c>
      <c r="F133" s="59" t="s">
        <v>11</v>
      </c>
      <c r="G133" s="59" t="s">
        <v>12</v>
      </c>
      <c r="H133" s="59" t="s">
        <v>13</v>
      </c>
      <c r="I133" s="59" t="s">
        <v>14</v>
      </c>
      <c r="J133" s="59" t="s">
        <v>15</v>
      </c>
      <c r="K133" s="59" t="s">
        <v>16</v>
      </c>
      <c r="L133" s="59" t="s">
        <v>17</v>
      </c>
      <c r="M133" s="59" t="s">
        <v>18</v>
      </c>
      <c r="N133" s="59" t="s">
        <v>19</v>
      </c>
      <c r="O133" s="59" t="s">
        <v>7</v>
      </c>
    </row>
    <row r="134" spans="1:15" x14ac:dyDescent="0.25">
      <c r="A134" s="56" t="str">
        <f>B126</f>
        <v>Europium oxide (Eu2O3) production in the US/Mt. Pass</v>
      </c>
      <c r="B134" s="56" t="str">
        <f>B127</f>
        <v>Eu2O3</v>
      </c>
      <c r="C134" s="56" t="str">
        <f>B128</f>
        <v>US-WECC</v>
      </c>
      <c r="D134" s="64">
        <v>1</v>
      </c>
      <c r="E134" s="56" t="str">
        <f>B130</f>
        <v>kilogram</v>
      </c>
      <c r="F134" s="57" t="str">
        <f>F123</f>
        <v>Rare Earths</v>
      </c>
      <c r="G134" s="56" t="s">
        <v>20</v>
      </c>
    </row>
    <row r="135" spans="1:15" x14ac:dyDescent="0.25">
      <c r="A135" s="56" t="str">
        <f>A98</f>
        <v>Bastnaesite ore mining and REO production in the US/Mt. Pass</v>
      </c>
      <c r="B135" s="56" t="str">
        <f t="shared" ref="B135:F135" si="2">B98</f>
        <v>REO</v>
      </c>
      <c r="C135" s="56" t="str">
        <f t="shared" si="2"/>
        <v>US-WECC</v>
      </c>
      <c r="D135" s="56">
        <v>16.859628672174132</v>
      </c>
      <c r="E135" s="56" t="str">
        <f t="shared" si="2"/>
        <v>kilogram</v>
      </c>
      <c r="F135" s="57" t="str">
        <f t="shared" si="2"/>
        <v>Rare Earths</v>
      </c>
      <c r="G135" s="56" t="s">
        <v>25</v>
      </c>
    </row>
    <row r="136" spans="1:15" s="58" customFormat="1" x14ac:dyDescent="0.25"/>
    <row r="137" spans="1:15" x14ac:dyDescent="0.25">
      <c r="A137" s="59" t="s">
        <v>0</v>
      </c>
      <c r="B137" s="59" t="s">
        <v>301</v>
      </c>
    </row>
    <row r="138" spans="1:15" x14ac:dyDescent="0.25">
      <c r="A138" s="60" t="s">
        <v>1</v>
      </c>
      <c r="B138" s="56" t="s">
        <v>258</v>
      </c>
    </row>
    <row r="139" spans="1:15" x14ac:dyDescent="0.25">
      <c r="A139" s="60" t="s">
        <v>2</v>
      </c>
      <c r="B139" s="56" t="s">
        <v>75</v>
      </c>
    </row>
    <row r="140" spans="1:15" x14ac:dyDescent="0.25">
      <c r="A140" s="60" t="s">
        <v>4</v>
      </c>
      <c r="B140" s="56">
        <v>1</v>
      </c>
    </row>
    <row r="141" spans="1:15" x14ac:dyDescent="0.25">
      <c r="A141" s="60" t="s">
        <v>5</v>
      </c>
      <c r="B141" s="56" t="s">
        <v>6</v>
      </c>
    </row>
    <row r="142" spans="1:15" x14ac:dyDescent="0.25">
      <c r="A142" s="60" t="s">
        <v>7</v>
      </c>
      <c r="B142" s="56" t="s">
        <v>263</v>
      </c>
    </row>
    <row r="143" spans="1:15" x14ac:dyDescent="0.25">
      <c r="A143" s="60" t="s">
        <v>9</v>
      </c>
    </row>
    <row r="144" spans="1:15" x14ac:dyDescent="0.25">
      <c r="A144" s="59" t="s">
        <v>10</v>
      </c>
      <c r="B144" s="59" t="s">
        <v>1</v>
      </c>
      <c r="C144" s="59" t="s">
        <v>2</v>
      </c>
      <c r="D144" s="59" t="s">
        <v>4</v>
      </c>
      <c r="E144" s="59" t="s">
        <v>5</v>
      </c>
      <c r="F144" s="59" t="s">
        <v>11</v>
      </c>
      <c r="G144" s="59" t="s">
        <v>12</v>
      </c>
      <c r="H144" s="59" t="s">
        <v>13</v>
      </c>
      <c r="I144" s="59" t="s">
        <v>14</v>
      </c>
      <c r="J144" s="59" t="s">
        <v>15</v>
      </c>
      <c r="K144" s="59" t="s">
        <v>16</v>
      </c>
      <c r="L144" s="59" t="s">
        <v>17</v>
      </c>
      <c r="M144" s="59" t="s">
        <v>18</v>
      </c>
      <c r="N144" s="59" t="s">
        <v>19</v>
      </c>
      <c r="O144" s="59" t="s">
        <v>7</v>
      </c>
    </row>
    <row r="145" spans="1:15" x14ac:dyDescent="0.25">
      <c r="A145" s="56" t="str">
        <f>B137</f>
        <v>Europium oxide (Eu2O3) production in the US/Mt. Pass (Eu content)</v>
      </c>
      <c r="B145" s="56" t="str">
        <f>B138</f>
        <v>Eu2O3 (Eu content)</v>
      </c>
      <c r="C145" s="56" t="str">
        <f>B139</f>
        <v>US-WECC</v>
      </c>
      <c r="D145" s="64">
        <v>1</v>
      </c>
      <c r="E145" s="56" t="str">
        <f>B141</f>
        <v>kilogram</v>
      </c>
      <c r="F145" s="57" t="str">
        <f>F134</f>
        <v>Rare Earths</v>
      </c>
      <c r="G145" s="56" t="s">
        <v>20</v>
      </c>
    </row>
    <row r="146" spans="1:15" x14ac:dyDescent="0.25">
      <c r="A146" s="56" t="str">
        <f>A134</f>
        <v>Europium oxide (Eu2O3) production in the US/Mt. Pass</v>
      </c>
      <c r="B146" s="56" t="str">
        <f t="shared" ref="B146:F146" si="3">B134</f>
        <v>Eu2O3</v>
      </c>
      <c r="C146" s="56" t="str">
        <f t="shared" si="3"/>
        <v>US-WECC</v>
      </c>
      <c r="D146" s="56">
        <v>1.1579434923575729</v>
      </c>
      <c r="E146" s="56" t="str">
        <f t="shared" si="3"/>
        <v>kilogram</v>
      </c>
      <c r="F146" s="57" t="str">
        <f t="shared" si="3"/>
        <v>Rare Earths</v>
      </c>
      <c r="G146" s="56" t="s">
        <v>25</v>
      </c>
    </row>
    <row r="147" spans="1:15" s="58" customFormat="1" x14ac:dyDescent="0.25"/>
    <row r="148" spans="1:15" x14ac:dyDescent="0.25">
      <c r="A148" s="59" t="s">
        <v>0</v>
      </c>
      <c r="B148" s="59" t="s">
        <v>302</v>
      </c>
    </row>
    <row r="149" spans="1:15" x14ac:dyDescent="0.25">
      <c r="A149" s="60" t="s">
        <v>1</v>
      </c>
      <c r="B149" s="56" t="s">
        <v>260</v>
      </c>
    </row>
    <row r="150" spans="1:15" x14ac:dyDescent="0.25">
      <c r="A150" s="60" t="s">
        <v>2</v>
      </c>
      <c r="B150" s="56" t="s">
        <v>75</v>
      </c>
    </row>
    <row r="151" spans="1:15" x14ac:dyDescent="0.25">
      <c r="A151" s="60" t="s">
        <v>4</v>
      </c>
      <c r="B151" s="56">
        <v>1</v>
      </c>
    </row>
    <row r="152" spans="1:15" x14ac:dyDescent="0.25">
      <c r="A152" s="60" t="s">
        <v>5</v>
      </c>
      <c r="B152" s="56" t="s">
        <v>6</v>
      </c>
    </row>
    <row r="153" spans="1:15" ht="30" x14ac:dyDescent="0.25">
      <c r="A153" s="60" t="s">
        <v>7</v>
      </c>
      <c r="B153" s="67" t="s">
        <v>246</v>
      </c>
    </row>
    <row r="154" spans="1:15" x14ac:dyDescent="0.25">
      <c r="A154" s="60" t="s">
        <v>9</v>
      </c>
    </row>
    <row r="155" spans="1:15" x14ac:dyDescent="0.25">
      <c r="A155" s="59" t="s">
        <v>10</v>
      </c>
      <c r="B155" s="59" t="s">
        <v>1</v>
      </c>
      <c r="C155" s="59" t="s">
        <v>2</v>
      </c>
      <c r="D155" s="59" t="s">
        <v>4</v>
      </c>
      <c r="E155" s="59" t="s">
        <v>5</v>
      </c>
      <c r="F155" s="59" t="s">
        <v>11</v>
      </c>
      <c r="G155" s="59" t="s">
        <v>12</v>
      </c>
      <c r="H155" s="59" t="s">
        <v>13</v>
      </c>
      <c r="I155" s="59" t="s">
        <v>14</v>
      </c>
      <c r="J155" s="59" t="s">
        <v>15</v>
      </c>
      <c r="K155" s="59" t="s">
        <v>16</v>
      </c>
      <c r="L155" s="59" t="s">
        <v>17</v>
      </c>
      <c r="M155" s="59" t="s">
        <v>18</v>
      </c>
      <c r="N155" s="59" t="s">
        <v>19</v>
      </c>
      <c r="O155" s="59" t="s">
        <v>7</v>
      </c>
    </row>
    <row r="156" spans="1:15" x14ac:dyDescent="0.25">
      <c r="A156" s="56" t="str">
        <f>B148</f>
        <v>Gadolinium oxide (Gd2O3) production in the US/Mt. Pass</v>
      </c>
      <c r="B156" s="56" t="str">
        <f>B149</f>
        <v>Gd2O3</v>
      </c>
      <c r="C156" s="56" t="str">
        <f>B150</f>
        <v>US-WECC</v>
      </c>
      <c r="D156" s="64">
        <v>1</v>
      </c>
      <c r="E156" s="56" t="str">
        <f>B152</f>
        <v>kilogram</v>
      </c>
      <c r="F156" s="57" t="str">
        <f>F145</f>
        <v>Rare Earths</v>
      </c>
      <c r="G156" s="56" t="s">
        <v>20</v>
      </c>
    </row>
    <row r="157" spans="1:15" x14ac:dyDescent="0.25">
      <c r="A157" s="56" t="str">
        <f>A98</f>
        <v>Bastnaesite ore mining and REO production in the US/Mt. Pass</v>
      </c>
      <c r="B157" s="56" t="str">
        <f t="shared" ref="B157:F157" si="4">B98</f>
        <v>REO</v>
      </c>
      <c r="C157" s="56" t="str">
        <f t="shared" si="4"/>
        <v>US-WECC</v>
      </c>
      <c r="D157" s="56">
        <v>1.9998598958561942</v>
      </c>
      <c r="E157" s="56" t="str">
        <f t="shared" si="4"/>
        <v>kilogram</v>
      </c>
      <c r="F157" s="57" t="str">
        <f t="shared" si="4"/>
        <v>Rare Earths</v>
      </c>
      <c r="G157" s="56" t="s">
        <v>25</v>
      </c>
    </row>
    <row r="158" spans="1:15" s="58" customFormat="1" x14ac:dyDescent="0.25"/>
    <row r="159" spans="1:15" x14ac:dyDescent="0.25">
      <c r="A159" s="59" t="s">
        <v>0</v>
      </c>
      <c r="B159" s="59" t="s">
        <v>303</v>
      </c>
    </row>
    <row r="160" spans="1:15" x14ac:dyDescent="0.25">
      <c r="A160" s="60" t="s">
        <v>1</v>
      </c>
      <c r="B160" s="56" t="s">
        <v>262</v>
      </c>
    </row>
    <row r="161" spans="1:15" x14ac:dyDescent="0.25">
      <c r="A161" s="60" t="s">
        <v>2</v>
      </c>
      <c r="B161" s="56" t="s">
        <v>75</v>
      </c>
    </row>
    <row r="162" spans="1:15" x14ac:dyDescent="0.25">
      <c r="A162" s="60" t="s">
        <v>4</v>
      </c>
      <c r="B162" s="56">
        <v>1</v>
      </c>
    </row>
    <row r="163" spans="1:15" x14ac:dyDescent="0.25">
      <c r="A163" s="60" t="s">
        <v>5</v>
      </c>
      <c r="B163" s="56" t="s">
        <v>6</v>
      </c>
    </row>
    <row r="164" spans="1:15" x14ac:dyDescent="0.25">
      <c r="A164" s="60" t="s">
        <v>7</v>
      </c>
      <c r="B164" s="56" t="s">
        <v>264</v>
      </c>
    </row>
    <row r="165" spans="1:15" x14ac:dyDescent="0.25">
      <c r="A165" s="60" t="s">
        <v>9</v>
      </c>
    </row>
    <row r="166" spans="1:15" x14ac:dyDescent="0.25">
      <c r="A166" s="59" t="s">
        <v>10</v>
      </c>
      <c r="B166" s="59" t="s">
        <v>1</v>
      </c>
      <c r="C166" s="59" t="s">
        <v>2</v>
      </c>
      <c r="D166" s="59" t="s">
        <v>4</v>
      </c>
      <c r="E166" s="59" t="s">
        <v>5</v>
      </c>
      <c r="F166" s="59" t="s">
        <v>11</v>
      </c>
      <c r="G166" s="59" t="s">
        <v>12</v>
      </c>
      <c r="H166" s="59" t="s">
        <v>13</v>
      </c>
      <c r="I166" s="59" t="s">
        <v>14</v>
      </c>
      <c r="J166" s="59" t="s">
        <v>15</v>
      </c>
      <c r="K166" s="59" t="s">
        <v>16</v>
      </c>
      <c r="L166" s="59" t="s">
        <v>17</v>
      </c>
      <c r="M166" s="59" t="s">
        <v>18</v>
      </c>
      <c r="N166" s="59" t="s">
        <v>19</v>
      </c>
      <c r="O166" s="59" t="s">
        <v>7</v>
      </c>
    </row>
    <row r="167" spans="1:15" x14ac:dyDescent="0.25">
      <c r="A167" s="56" t="str">
        <f>B159</f>
        <v>Gadolinium oxide (Gd2O3) production in the US/Mt. Pass (Gd content)</v>
      </c>
      <c r="B167" s="56" t="str">
        <f>B160</f>
        <v>Gd2O3 (Gd content)</v>
      </c>
      <c r="C167" s="56" t="str">
        <f>B161</f>
        <v>US-WECC</v>
      </c>
      <c r="D167" s="64">
        <v>1</v>
      </c>
      <c r="E167" s="56" t="str">
        <f>B163</f>
        <v>kilogram</v>
      </c>
      <c r="F167" s="57" t="str">
        <f>F156</f>
        <v>Rare Earths</v>
      </c>
      <c r="G167" s="56" t="s">
        <v>20</v>
      </c>
    </row>
    <row r="168" spans="1:15" x14ac:dyDescent="0.25">
      <c r="A168" s="56" t="str">
        <f>A156</f>
        <v>Gadolinium oxide (Gd2O3) production in the US/Mt. Pass</v>
      </c>
      <c r="B168" s="56" t="str">
        <f t="shared" ref="B168:F168" si="5">B156</f>
        <v>Gd2O3</v>
      </c>
      <c r="C168" s="56" t="str">
        <f t="shared" si="5"/>
        <v>US-WECC</v>
      </c>
      <c r="D168" s="56">
        <v>1.152604887044721</v>
      </c>
      <c r="E168" s="56" t="str">
        <f t="shared" si="5"/>
        <v>kilogram</v>
      </c>
      <c r="F168" s="57" t="str">
        <f t="shared" si="5"/>
        <v>Rare Earths</v>
      </c>
      <c r="G168" s="56" t="s">
        <v>25</v>
      </c>
    </row>
    <row r="169" spans="1:15" s="58" customFormat="1" x14ac:dyDescent="0.25"/>
    <row r="170" spans="1:15" x14ac:dyDescent="0.25">
      <c r="A170" s="59" t="s">
        <v>0</v>
      </c>
      <c r="B170" s="59" t="s">
        <v>304</v>
      </c>
    </row>
    <row r="171" spans="1:15" x14ac:dyDescent="0.25">
      <c r="A171" s="60" t="s">
        <v>1</v>
      </c>
      <c r="B171" s="56" t="s">
        <v>266</v>
      </c>
    </row>
    <row r="172" spans="1:15" x14ac:dyDescent="0.25">
      <c r="A172" s="60" t="s">
        <v>2</v>
      </c>
      <c r="B172" s="56" t="s">
        <v>75</v>
      </c>
    </row>
    <row r="173" spans="1:15" x14ac:dyDescent="0.25">
      <c r="A173" s="60" t="s">
        <v>4</v>
      </c>
      <c r="B173" s="56">
        <v>1</v>
      </c>
    </row>
    <row r="174" spans="1:15" x14ac:dyDescent="0.25">
      <c r="A174" s="60" t="s">
        <v>5</v>
      </c>
      <c r="B174" s="56" t="s">
        <v>6</v>
      </c>
    </row>
    <row r="175" spans="1:15" ht="30" x14ac:dyDescent="0.25">
      <c r="A175" s="60" t="s">
        <v>7</v>
      </c>
      <c r="B175" s="67" t="s">
        <v>246</v>
      </c>
    </row>
    <row r="176" spans="1:15" x14ac:dyDescent="0.25">
      <c r="A176" s="60" t="s">
        <v>9</v>
      </c>
    </row>
    <row r="177" spans="1:15" x14ac:dyDescent="0.25">
      <c r="A177" s="59" t="s">
        <v>10</v>
      </c>
      <c r="B177" s="59" t="s">
        <v>1</v>
      </c>
      <c r="C177" s="59" t="s">
        <v>2</v>
      </c>
      <c r="D177" s="59" t="s">
        <v>4</v>
      </c>
      <c r="E177" s="59" t="s">
        <v>5</v>
      </c>
      <c r="F177" s="59" t="s">
        <v>11</v>
      </c>
      <c r="G177" s="59" t="s">
        <v>12</v>
      </c>
      <c r="H177" s="59" t="s">
        <v>13</v>
      </c>
      <c r="I177" s="59" t="s">
        <v>14</v>
      </c>
      <c r="J177" s="59" t="s">
        <v>15</v>
      </c>
      <c r="K177" s="59" t="s">
        <v>16</v>
      </c>
      <c r="L177" s="59" t="s">
        <v>17</v>
      </c>
      <c r="M177" s="59" t="s">
        <v>18</v>
      </c>
      <c r="N177" s="59" t="s">
        <v>19</v>
      </c>
      <c r="O177" s="59" t="s">
        <v>7</v>
      </c>
    </row>
    <row r="178" spans="1:15" x14ac:dyDescent="0.25">
      <c r="A178" s="56" t="str">
        <f>B170</f>
        <v>Lanthanum oxide (La2O3) production in the US/Mt. Pass</v>
      </c>
      <c r="B178" s="56" t="str">
        <f>B171</f>
        <v>La2O3</v>
      </c>
      <c r="C178" s="56" t="str">
        <f>B172</f>
        <v>US-WECC</v>
      </c>
      <c r="D178" s="64">
        <v>1</v>
      </c>
      <c r="E178" s="56" t="str">
        <f>B174</f>
        <v>kilogram</v>
      </c>
      <c r="F178" s="57" t="str">
        <f>F167</f>
        <v>Rare Earths</v>
      </c>
      <c r="G178" s="56" t="s">
        <v>20</v>
      </c>
    </row>
    <row r="179" spans="1:15" x14ac:dyDescent="0.25">
      <c r="A179" s="56" t="str">
        <f>A98</f>
        <v>Bastnaesite ore mining and REO production in the US/Mt. Pass</v>
      </c>
      <c r="B179" s="56" t="str">
        <f t="shared" ref="B179:F179" si="6">B98</f>
        <v>REO</v>
      </c>
      <c r="C179" s="56" t="str">
        <f t="shared" si="6"/>
        <v>US-WECC</v>
      </c>
      <c r="D179" s="56">
        <v>0.20638722516113556</v>
      </c>
      <c r="E179" s="56" t="str">
        <f t="shared" si="6"/>
        <v>kilogram</v>
      </c>
      <c r="F179" s="57" t="str">
        <f t="shared" si="6"/>
        <v>Rare Earths</v>
      </c>
      <c r="G179" s="56" t="s">
        <v>25</v>
      </c>
    </row>
    <row r="180" spans="1:15" s="58" customFormat="1" x14ac:dyDescent="0.25"/>
    <row r="181" spans="1:15" x14ac:dyDescent="0.25">
      <c r="A181" s="59" t="s">
        <v>0</v>
      </c>
      <c r="B181" s="59" t="s">
        <v>305</v>
      </c>
    </row>
    <row r="182" spans="1:15" x14ac:dyDescent="0.25">
      <c r="A182" s="60" t="s">
        <v>1</v>
      </c>
      <c r="B182" s="56" t="s">
        <v>268</v>
      </c>
    </row>
    <row r="183" spans="1:15" x14ac:dyDescent="0.25">
      <c r="A183" s="60" t="s">
        <v>2</v>
      </c>
      <c r="B183" s="56" t="s">
        <v>75</v>
      </c>
    </row>
    <row r="184" spans="1:15" x14ac:dyDescent="0.25">
      <c r="A184" s="60" t="s">
        <v>4</v>
      </c>
      <c r="B184" s="56">
        <v>1</v>
      </c>
    </row>
    <row r="185" spans="1:15" x14ac:dyDescent="0.25">
      <c r="A185" s="60" t="s">
        <v>5</v>
      </c>
      <c r="B185" s="56" t="s">
        <v>6</v>
      </c>
    </row>
    <row r="186" spans="1:15" x14ac:dyDescent="0.25">
      <c r="A186" s="60" t="s">
        <v>7</v>
      </c>
      <c r="B186" s="56" t="s">
        <v>269</v>
      </c>
    </row>
    <row r="187" spans="1:15" x14ac:dyDescent="0.25">
      <c r="A187" s="60" t="s">
        <v>9</v>
      </c>
    </row>
    <row r="188" spans="1:15" x14ac:dyDescent="0.25">
      <c r="A188" s="59" t="s">
        <v>10</v>
      </c>
      <c r="B188" s="59" t="s">
        <v>1</v>
      </c>
      <c r="C188" s="59" t="s">
        <v>2</v>
      </c>
      <c r="D188" s="59" t="s">
        <v>4</v>
      </c>
      <c r="E188" s="59" t="s">
        <v>5</v>
      </c>
      <c r="F188" s="59" t="s">
        <v>11</v>
      </c>
      <c r="G188" s="59" t="s">
        <v>12</v>
      </c>
      <c r="H188" s="59" t="s">
        <v>13</v>
      </c>
      <c r="I188" s="59" t="s">
        <v>14</v>
      </c>
      <c r="J188" s="59" t="s">
        <v>15</v>
      </c>
      <c r="K188" s="59" t="s">
        <v>16</v>
      </c>
      <c r="L188" s="59" t="s">
        <v>17</v>
      </c>
      <c r="M188" s="59" t="s">
        <v>18</v>
      </c>
      <c r="N188" s="59" t="s">
        <v>19</v>
      </c>
      <c r="O188" s="59" t="s">
        <v>7</v>
      </c>
    </row>
    <row r="189" spans="1:15" x14ac:dyDescent="0.25">
      <c r="A189" s="56" t="str">
        <f>B181</f>
        <v>Lanthanum oxide (La2O3) production in the US/Mt. Pass (La content)</v>
      </c>
      <c r="B189" s="56" t="str">
        <f>B182</f>
        <v>La2O3 (La content)</v>
      </c>
      <c r="C189" s="56" t="str">
        <f>B183</f>
        <v>US-WECC</v>
      </c>
      <c r="D189" s="64">
        <v>1</v>
      </c>
      <c r="E189" s="56" t="str">
        <f>B185</f>
        <v>kilogram</v>
      </c>
      <c r="F189" s="57" t="str">
        <f>F178</f>
        <v>Rare Earths</v>
      </c>
      <c r="G189" s="56" t="s">
        <v>20</v>
      </c>
    </row>
    <row r="190" spans="1:15" x14ac:dyDescent="0.25">
      <c r="A190" s="56" t="str">
        <f>A178</f>
        <v>Lanthanum oxide (La2O3) production in the US/Mt. Pass</v>
      </c>
      <c r="B190" s="56" t="str">
        <f t="shared" ref="B190:F190" si="7">B178</f>
        <v>La2O3</v>
      </c>
      <c r="C190" s="56" t="str">
        <f t="shared" si="7"/>
        <v>US-WECC</v>
      </c>
      <c r="D190" s="56">
        <v>1.1727453969743169</v>
      </c>
      <c r="E190" s="56" t="str">
        <f t="shared" si="7"/>
        <v>kilogram</v>
      </c>
      <c r="F190" s="57" t="str">
        <f t="shared" si="7"/>
        <v>Rare Earths</v>
      </c>
      <c r="G190" s="56" t="s">
        <v>25</v>
      </c>
    </row>
    <row r="191" spans="1:15" s="58" customFormat="1" x14ac:dyDescent="0.25"/>
    <row r="192" spans="1:15" x14ac:dyDescent="0.25">
      <c r="A192" s="59" t="s">
        <v>0</v>
      </c>
      <c r="B192" s="59" t="s">
        <v>306</v>
      </c>
    </row>
    <row r="193" spans="1:15" x14ac:dyDescent="0.25">
      <c r="A193" s="60" t="s">
        <v>1</v>
      </c>
      <c r="B193" s="56" t="s">
        <v>271</v>
      </c>
    </row>
    <row r="194" spans="1:15" x14ac:dyDescent="0.25">
      <c r="A194" s="60" t="s">
        <v>2</v>
      </c>
      <c r="B194" s="56" t="s">
        <v>75</v>
      </c>
    </row>
    <row r="195" spans="1:15" x14ac:dyDescent="0.25">
      <c r="A195" s="60" t="s">
        <v>4</v>
      </c>
      <c r="B195" s="56">
        <v>1</v>
      </c>
    </row>
    <row r="196" spans="1:15" x14ac:dyDescent="0.25">
      <c r="A196" s="60" t="s">
        <v>5</v>
      </c>
      <c r="B196" s="56" t="s">
        <v>6</v>
      </c>
    </row>
    <row r="197" spans="1:15" ht="30" x14ac:dyDescent="0.25">
      <c r="A197" s="60" t="s">
        <v>7</v>
      </c>
      <c r="B197" s="67" t="s">
        <v>246</v>
      </c>
    </row>
    <row r="198" spans="1:15" x14ac:dyDescent="0.25">
      <c r="A198" s="60" t="s">
        <v>9</v>
      </c>
    </row>
    <row r="199" spans="1:15" x14ac:dyDescent="0.25">
      <c r="A199" s="59" t="s">
        <v>10</v>
      </c>
      <c r="B199" s="59" t="s">
        <v>1</v>
      </c>
      <c r="C199" s="59" t="s">
        <v>2</v>
      </c>
      <c r="D199" s="59" t="s">
        <v>4</v>
      </c>
      <c r="E199" s="59" t="s">
        <v>5</v>
      </c>
      <c r="F199" s="59" t="s">
        <v>11</v>
      </c>
      <c r="G199" s="59" t="s">
        <v>12</v>
      </c>
      <c r="H199" s="59" t="s">
        <v>13</v>
      </c>
      <c r="I199" s="59" t="s">
        <v>14</v>
      </c>
      <c r="J199" s="59" t="s">
        <v>15</v>
      </c>
      <c r="K199" s="59" t="s">
        <v>16</v>
      </c>
      <c r="L199" s="59" t="s">
        <v>17</v>
      </c>
      <c r="M199" s="59" t="s">
        <v>18</v>
      </c>
      <c r="N199" s="59" t="s">
        <v>19</v>
      </c>
      <c r="O199" s="59" t="s">
        <v>7</v>
      </c>
    </row>
    <row r="200" spans="1:15" x14ac:dyDescent="0.25">
      <c r="A200" s="56" t="str">
        <f>B192</f>
        <v>Neodymium oxide (Nd2O3) production in the US/Mt. Pass</v>
      </c>
      <c r="B200" s="56" t="str">
        <f>B193</f>
        <v>Nd2O3</v>
      </c>
      <c r="C200" s="56" t="str">
        <f>B194</f>
        <v>US-WECC</v>
      </c>
      <c r="D200" s="64">
        <v>1</v>
      </c>
      <c r="E200" s="56" t="str">
        <f>B196</f>
        <v>kilogram</v>
      </c>
      <c r="F200" s="57" t="str">
        <f>F189</f>
        <v>Rare Earths</v>
      </c>
      <c r="G200" s="56" t="s">
        <v>20</v>
      </c>
    </row>
    <row r="201" spans="1:15" x14ac:dyDescent="0.25">
      <c r="A201" s="56" t="str">
        <f>A98</f>
        <v>Bastnaesite ore mining and REO production in the US/Mt. Pass</v>
      </c>
      <c r="B201" s="56" t="str">
        <f t="shared" ref="B201:F201" si="8">B98</f>
        <v>REO</v>
      </c>
      <c r="C201" s="56" t="str">
        <f t="shared" si="8"/>
        <v>US-WECC</v>
      </c>
      <c r="D201" s="56">
        <v>4.9961581566128022</v>
      </c>
      <c r="E201" s="56" t="str">
        <f t="shared" si="8"/>
        <v>kilogram</v>
      </c>
      <c r="F201" s="57" t="str">
        <f t="shared" si="8"/>
        <v>Rare Earths</v>
      </c>
      <c r="G201" s="56" t="s">
        <v>25</v>
      </c>
    </row>
    <row r="202" spans="1:15" s="58" customFormat="1" x14ac:dyDescent="0.25"/>
    <row r="203" spans="1:15" x14ac:dyDescent="0.25">
      <c r="A203" s="59" t="s">
        <v>0</v>
      </c>
      <c r="B203" s="59" t="s">
        <v>307</v>
      </c>
    </row>
    <row r="204" spans="1:15" x14ac:dyDescent="0.25">
      <c r="A204" s="60" t="s">
        <v>1</v>
      </c>
      <c r="B204" s="56" t="s">
        <v>273</v>
      </c>
    </row>
    <row r="205" spans="1:15" x14ac:dyDescent="0.25">
      <c r="A205" s="60" t="s">
        <v>2</v>
      </c>
      <c r="B205" s="56" t="s">
        <v>75</v>
      </c>
    </row>
    <row r="206" spans="1:15" x14ac:dyDescent="0.25">
      <c r="A206" s="60" t="s">
        <v>4</v>
      </c>
      <c r="B206" s="56">
        <v>1</v>
      </c>
    </row>
    <row r="207" spans="1:15" x14ac:dyDescent="0.25">
      <c r="A207" s="60" t="s">
        <v>5</v>
      </c>
      <c r="B207" s="56" t="s">
        <v>6</v>
      </c>
    </row>
    <row r="208" spans="1:15" x14ac:dyDescent="0.25">
      <c r="A208" s="60" t="s">
        <v>7</v>
      </c>
      <c r="B208" s="56" t="s">
        <v>274</v>
      </c>
    </row>
    <row r="209" spans="1:15" x14ac:dyDescent="0.25">
      <c r="A209" s="60" t="s">
        <v>9</v>
      </c>
    </row>
    <row r="210" spans="1:15" x14ac:dyDescent="0.25">
      <c r="A210" s="59" t="s">
        <v>10</v>
      </c>
      <c r="B210" s="59" t="s">
        <v>1</v>
      </c>
      <c r="C210" s="59" t="s">
        <v>2</v>
      </c>
      <c r="D210" s="59" t="s">
        <v>4</v>
      </c>
      <c r="E210" s="59" t="s">
        <v>5</v>
      </c>
      <c r="F210" s="59" t="s">
        <v>11</v>
      </c>
      <c r="G210" s="59" t="s">
        <v>12</v>
      </c>
      <c r="H210" s="59" t="s">
        <v>13</v>
      </c>
      <c r="I210" s="59" t="s">
        <v>14</v>
      </c>
      <c r="J210" s="59" t="s">
        <v>15</v>
      </c>
      <c r="K210" s="59" t="s">
        <v>16</v>
      </c>
      <c r="L210" s="59" t="s">
        <v>17</v>
      </c>
      <c r="M210" s="59" t="s">
        <v>18</v>
      </c>
      <c r="N210" s="59" t="s">
        <v>19</v>
      </c>
      <c r="O210" s="59" t="s">
        <v>7</v>
      </c>
    </row>
    <row r="211" spans="1:15" x14ac:dyDescent="0.25">
      <c r="A211" s="56" t="str">
        <f>B203</f>
        <v>Neodymium oxide (Nd2O3) production in the US/Mt. Pass (Nd content)</v>
      </c>
      <c r="B211" s="56" t="str">
        <f>B204</f>
        <v>Nd2O3 (Nd content)</v>
      </c>
      <c r="C211" s="56" t="str">
        <f>B205</f>
        <v>US-WECC</v>
      </c>
      <c r="D211" s="64">
        <v>1</v>
      </c>
      <c r="E211" s="56" t="str">
        <f>B207</f>
        <v>kilogram</v>
      </c>
      <c r="F211" s="57" t="str">
        <f>F200</f>
        <v>Rare Earths</v>
      </c>
      <c r="G211" s="56" t="s">
        <v>20</v>
      </c>
    </row>
    <row r="212" spans="1:15" x14ac:dyDescent="0.25">
      <c r="A212" s="56" t="str">
        <f>A200</f>
        <v>Neodymium oxide (Nd2O3) production in the US/Mt. Pass</v>
      </c>
      <c r="B212" s="56" t="str">
        <f t="shared" ref="B212:F212" si="9">B200</f>
        <v>Nd2O3</v>
      </c>
      <c r="C212" s="56" t="str">
        <f t="shared" si="9"/>
        <v>US-WECC</v>
      </c>
      <c r="D212" s="56">
        <v>1.1663167716351761</v>
      </c>
      <c r="E212" s="56" t="str">
        <f t="shared" si="9"/>
        <v>kilogram</v>
      </c>
      <c r="F212" s="57" t="str">
        <f t="shared" si="9"/>
        <v>Rare Earths</v>
      </c>
      <c r="G212" s="56" t="s">
        <v>25</v>
      </c>
    </row>
    <row r="213" spans="1:15" s="58" customFormat="1" x14ac:dyDescent="0.25"/>
    <row r="214" spans="1:15" x14ac:dyDescent="0.25">
      <c r="A214" s="59" t="s">
        <v>0</v>
      </c>
      <c r="B214" s="59" t="s">
        <v>308</v>
      </c>
    </row>
    <row r="215" spans="1:15" x14ac:dyDescent="0.25">
      <c r="A215" s="60" t="s">
        <v>1</v>
      </c>
      <c r="B215" s="56" t="s">
        <v>276</v>
      </c>
    </row>
    <row r="216" spans="1:15" x14ac:dyDescent="0.25">
      <c r="A216" s="60" t="s">
        <v>2</v>
      </c>
      <c r="B216" s="56" t="s">
        <v>75</v>
      </c>
    </row>
    <row r="217" spans="1:15" x14ac:dyDescent="0.25">
      <c r="A217" s="60" t="s">
        <v>4</v>
      </c>
      <c r="B217" s="56">
        <v>1</v>
      </c>
    </row>
    <row r="218" spans="1:15" x14ac:dyDescent="0.25">
      <c r="A218" s="60" t="s">
        <v>5</v>
      </c>
      <c r="B218" s="56" t="s">
        <v>6</v>
      </c>
    </row>
    <row r="219" spans="1:15" ht="30" x14ac:dyDescent="0.25">
      <c r="A219" s="60" t="s">
        <v>7</v>
      </c>
      <c r="B219" s="67" t="s">
        <v>246</v>
      </c>
    </row>
    <row r="220" spans="1:15" x14ac:dyDescent="0.25">
      <c r="A220" s="60" t="s">
        <v>9</v>
      </c>
    </row>
    <row r="221" spans="1:15" x14ac:dyDescent="0.25">
      <c r="A221" s="59" t="s">
        <v>10</v>
      </c>
      <c r="B221" s="59" t="s">
        <v>1</v>
      </c>
      <c r="C221" s="59" t="s">
        <v>2</v>
      </c>
      <c r="D221" s="59" t="s">
        <v>4</v>
      </c>
      <c r="E221" s="59" t="s">
        <v>5</v>
      </c>
      <c r="F221" s="59" t="s">
        <v>11</v>
      </c>
      <c r="G221" s="59" t="s">
        <v>12</v>
      </c>
      <c r="H221" s="59" t="s">
        <v>13</v>
      </c>
      <c r="I221" s="59" t="s">
        <v>14</v>
      </c>
      <c r="J221" s="59" t="s">
        <v>15</v>
      </c>
      <c r="K221" s="59" t="s">
        <v>16</v>
      </c>
      <c r="L221" s="59" t="s">
        <v>17</v>
      </c>
      <c r="M221" s="59" t="s">
        <v>18</v>
      </c>
      <c r="N221" s="59" t="s">
        <v>19</v>
      </c>
      <c r="O221" s="59" t="s">
        <v>7</v>
      </c>
    </row>
    <row r="222" spans="1:15" x14ac:dyDescent="0.25">
      <c r="A222" s="56" t="str">
        <f>B214</f>
        <v>Praseodymium oxide (Pr6O11) production in the US/Mt. Pass</v>
      </c>
      <c r="B222" s="56" t="str">
        <f>B215</f>
        <v>Pr6O11</v>
      </c>
      <c r="C222" s="56" t="str">
        <f>B216</f>
        <v>US-WECC</v>
      </c>
      <c r="D222" s="64">
        <v>1</v>
      </c>
      <c r="E222" s="56" t="str">
        <f>B218</f>
        <v>kilogram</v>
      </c>
      <c r="F222" s="57" t="str">
        <f>F211</f>
        <v>Rare Earths</v>
      </c>
      <c r="G222" s="56" t="s">
        <v>20</v>
      </c>
    </row>
    <row r="223" spans="1:15" x14ac:dyDescent="0.25">
      <c r="A223" s="56" t="str">
        <f>A98</f>
        <v>Bastnaesite ore mining and REO production in the US/Mt. Pass</v>
      </c>
      <c r="B223" s="56" t="str">
        <f t="shared" ref="B223:F223" si="10">B98</f>
        <v>REO</v>
      </c>
      <c r="C223" s="56" t="str">
        <f t="shared" si="10"/>
        <v>US-WECC</v>
      </c>
      <c r="D223" s="56">
        <v>6.0263980167812159</v>
      </c>
      <c r="E223" s="56" t="str">
        <f t="shared" si="10"/>
        <v>kilogram</v>
      </c>
      <c r="F223" s="57" t="str">
        <f t="shared" si="10"/>
        <v>Rare Earths</v>
      </c>
      <c r="G223" s="56" t="s">
        <v>25</v>
      </c>
    </row>
    <row r="224" spans="1:15" s="58" customFormat="1" x14ac:dyDescent="0.25"/>
    <row r="225" spans="1:15" x14ac:dyDescent="0.25">
      <c r="A225" s="59" t="s">
        <v>0</v>
      </c>
      <c r="B225" s="59" t="s">
        <v>309</v>
      </c>
    </row>
    <row r="226" spans="1:15" x14ac:dyDescent="0.25">
      <c r="A226" s="60" t="s">
        <v>1</v>
      </c>
      <c r="B226" s="56" t="s">
        <v>278</v>
      </c>
    </row>
    <row r="227" spans="1:15" x14ac:dyDescent="0.25">
      <c r="A227" s="60" t="s">
        <v>2</v>
      </c>
      <c r="B227" s="56" t="s">
        <v>75</v>
      </c>
    </row>
    <row r="228" spans="1:15" x14ac:dyDescent="0.25">
      <c r="A228" s="60" t="s">
        <v>4</v>
      </c>
      <c r="B228" s="56">
        <v>1</v>
      </c>
    </row>
    <row r="229" spans="1:15" x14ac:dyDescent="0.25">
      <c r="A229" s="60" t="s">
        <v>5</v>
      </c>
      <c r="B229" s="56" t="s">
        <v>6</v>
      </c>
    </row>
    <row r="230" spans="1:15" x14ac:dyDescent="0.25">
      <c r="A230" s="60" t="s">
        <v>7</v>
      </c>
      <c r="B230" s="56" t="s">
        <v>279</v>
      </c>
    </row>
    <row r="231" spans="1:15" x14ac:dyDescent="0.25">
      <c r="A231" s="60" t="s">
        <v>9</v>
      </c>
    </row>
    <row r="232" spans="1:15" x14ac:dyDescent="0.25">
      <c r="A232" s="59" t="s">
        <v>10</v>
      </c>
      <c r="B232" s="59" t="s">
        <v>1</v>
      </c>
      <c r="C232" s="59" t="s">
        <v>2</v>
      </c>
      <c r="D232" s="59" t="s">
        <v>4</v>
      </c>
      <c r="E232" s="59" t="s">
        <v>5</v>
      </c>
      <c r="F232" s="59" t="s">
        <v>11</v>
      </c>
      <c r="G232" s="59" t="s">
        <v>12</v>
      </c>
      <c r="H232" s="59" t="s">
        <v>13</v>
      </c>
      <c r="I232" s="59" t="s">
        <v>14</v>
      </c>
      <c r="J232" s="59" t="s">
        <v>15</v>
      </c>
      <c r="K232" s="59" t="s">
        <v>16</v>
      </c>
      <c r="L232" s="59" t="s">
        <v>17</v>
      </c>
      <c r="M232" s="59" t="s">
        <v>18</v>
      </c>
      <c r="N232" s="59" t="s">
        <v>19</v>
      </c>
      <c r="O232" s="59" t="s">
        <v>7</v>
      </c>
    </row>
    <row r="233" spans="1:15" x14ac:dyDescent="0.25">
      <c r="A233" s="56" t="str">
        <f>B225</f>
        <v>Praseodymium oxide (Pr6O11) production in the US/Mt. Pass (Pr content)</v>
      </c>
      <c r="B233" s="56" t="str">
        <f>B226</f>
        <v>Pr6O11 (Pr content)</v>
      </c>
      <c r="C233" s="56" t="str">
        <f>B227</f>
        <v>US-WECC</v>
      </c>
      <c r="D233" s="64">
        <v>1</v>
      </c>
      <c r="E233" s="56" t="str">
        <f>B229</f>
        <v>kilogram</v>
      </c>
      <c r="F233" s="57" t="str">
        <f>F222</f>
        <v>Rare Earths</v>
      </c>
      <c r="G233" s="56" t="s">
        <v>20</v>
      </c>
    </row>
    <row r="234" spans="1:15" x14ac:dyDescent="0.25">
      <c r="A234" s="56" t="str">
        <f>A222</f>
        <v>Praseodymium oxide (Pr6O11) production in the US/Mt. Pass</v>
      </c>
      <c r="B234" s="56" t="str">
        <f t="shared" ref="B234:F234" si="11">B222</f>
        <v>Pr6O11</v>
      </c>
      <c r="C234" s="56" t="str">
        <f t="shared" si="11"/>
        <v>US-WECC</v>
      </c>
      <c r="D234" s="56">
        <v>1.2081672103419114</v>
      </c>
      <c r="E234" s="56" t="str">
        <f t="shared" si="11"/>
        <v>kilogram</v>
      </c>
      <c r="F234" s="57" t="str">
        <f t="shared" si="11"/>
        <v>Rare Earths</v>
      </c>
      <c r="G234" s="56" t="s">
        <v>25</v>
      </c>
    </row>
    <row r="235" spans="1:15" s="58" customFormat="1" x14ac:dyDescent="0.25"/>
    <row r="236" spans="1:15" x14ac:dyDescent="0.25">
      <c r="A236" s="59" t="s">
        <v>0</v>
      </c>
      <c r="B236" s="59" t="s">
        <v>310</v>
      </c>
    </row>
    <row r="237" spans="1:15" x14ac:dyDescent="0.25">
      <c r="A237" s="60" t="s">
        <v>1</v>
      </c>
      <c r="B237" s="56" t="s">
        <v>281</v>
      </c>
    </row>
    <row r="238" spans="1:15" x14ac:dyDescent="0.25">
      <c r="A238" s="60" t="s">
        <v>2</v>
      </c>
      <c r="B238" s="56" t="s">
        <v>75</v>
      </c>
    </row>
    <row r="239" spans="1:15" x14ac:dyDescent="0.25">
      <c r="A239" s="60" t="s">
        <v>4</v>
      </c>
      <c r="B239" s="56">
        <v>1</v>
      </c>
    </row>
    <row r="240" spans="1:15" x14ac:dyDescent="0.25">
      <c r="A240" s="60" t="s">
        <v>5</v>
      </c>
      <c r="B240" s="56" t="s">
        <v>6</v>
      </c>
    </row>
    <row r="241" spans="1:15" ht="30" x14ac:dyDescent="0.25">
      <c r="A241" s="60" t="s">
        <v>7</v>
      </c>
      <c r="B241" s="67" t="s">
        <v>246</v>
      </c>
    </row>
    <row r="242" spans="1:15" x14ac:dyDescent="0.25">
      <c r="A242" s="60" t="s">
        <v>9</v>
      </c>
    </row>
    <row r="243" spans="1:15" x14ac:dyDescent="0.25">
      <c r="A243" s="59" t="s">
        <v>10</v>
      </c>
      <c r="B243" s="59" t="s">
        <v>1</v>
      </c>
      <c r="C243" s="59" t="s">
        <v>2</v>
      </c>
      <c r="D243" s="59" t="s">
        <v>4</v>
      </c>
      <c r="E243" s="59" t="s">
        <v>5</v>
      </c>
      <c r="F243" s="59" t="s">
        <v>11</v>
      </c>
      <c r="G243" s="59" t="s">
        <v>12</v>
      </c>
      <c r="H243" s="59" t="s">
        <v>13</v>
      </c>
      <c r="I243" s="59" t="s">
        <v>14</v>
      </c>
      <c r="J243" s="59" t="s">
        <v>15</v>
      </c>
      <c r="K243" s="59" t="s">
        <v>16</v>
      </c>
      <c r="L243" s="59" t="s">
        <v>17</v>
      </c>
      <c r="M243" s="59" t="s">
        <v>18</v>
      </c>
      <c r="N243" s="59" t="s">
        <v>19</v>
      </c>
      <c r="O243" s="59" t="s">
        <v>7</v>
      </c>
    </row>
    <row r="244" spans="1:15" x14ac:dyDescent="0.25">
      <c r="A244" s="56" t="str">
        <f>B236</f>
        <v>Samarium oxide (Sm2O3) production in the US/Mt. Pass</v>
      </c>
      <c r="B244" s="56" t="str">
        <f>B237</f>
        <v>Sm2O3</v>
      </c>
      <c r="C244" s="56" t="str">
        <f>B238</f>
        <v>US-WECC</v>
      </c>
      <c r="D244" s="64">
        <v>1</v>
      </c>
      <c r="E244" s="56" t="str">
        <f>B240</f>
        <v>kilogram</v>
      </c>
      <c r="F244" s="57" t="str">
        <f>F233</f>
        <v>Rare Earths</v>
      </c>
      <c r="G244" s="56" t="s">
        <v>20</v>
      </c>
    </row>
    <row r="245" spans="1:15" x14ac:dyDescent="0.25">
      <c r="A245" s="56" t="str">
        <f>A98</f>
        <v>Bastnaesite ore mining and REO production in the US/Mt. Pass</v>
      </c>
      <c r="B245" s="56" t="str">
        <f t="shared" ref="B245:F245" si="12">B98</f>
        <v>REO</v>
      </c>
      <c r="C245" s="56" t="str">
        <f t="shared" si="12"/>
        <v>US-WECC</v>
      </c>
      <c r="D245" s="56">
        <v>0.27442356817580921</v>
      </c>
      <c r="E245" s="56" t="str">
        <f t="shared" si="12"/>
        <v>kilogram</v>
      </c>
      <c r="F245" s="57" t="str">
        <f t="shared" si="12"/>
        <v>Rare Earths</v>
      </c>
      <c r="G245" s="56" t="s">
        <v>25</v>
      </c>
    </row>
    <row r="246" spans="1:15" s="58" customFormat="1" x14ac:dyDescent="0.25"/>
    <row r="247" spans="1:15" x14ac:dyDescent="0.25">
      <c r="A247" s="59" t="s">
        <v>0</v>
      </c>
      <c r="B247" s="59" t="s">
        <v>311</v>
      </c>
    </row>
    <row r="248" spans="1:15" x14ac:dyDescent="0.25">
      <c r="A248" s="60" t="s">
        <v>1</v>
      </c>
      <c r="B248" s="56" t="s">
        <v>283</v>
      </c>
    </row>
    <row r="249" spans="1:15" x14ac:dyDescent="0.25">
      <c r="A249" s="60" t="s">
        <v>2</v>
      </c>
      <c r="B249" s="56" t="s">
        <v>75</v>
      </c>
    </row>
    <row r="250" spans="1:15" x14ac:dyDescent="0.25">
      <c r="A250" s="60" t="s">
        <v>4</v>
      </c>
      <c r="B250" s="56">
        <v>1</v>
      </c>
    </row>
    <row r="251" spans="1:15" x14ac:dyDescent="0.25">
      <c r="A251" s="60" t="s">
        <v>5</v>
      </c>
      <c r="B251" s="56" t="s">
        <v>6</v>
      </c>
    </row>
    <row r="252" spans="1:15" x14ac:dyDescent="0.25">
      <c r="A252" s="60" t="s">
        <v>7</v>
      </c>
      <c r="B252" s="56" t="s">
        <v>284</v>
      </c>
    </row>
    <row r="253" spans="1:15" x14ac:dyDescent="0.25">
      <c r="A253" s="60" t="s">
        <v>9</v>
      </c>
    </row>
    <row r="254" spans="1:15" x14ac:dyDescent="0.25">
      <c r="A254" s="59" t="s">
        <v>10</v>
      </c>
      <c r="B254" s="59" t="s">
        <v>1</v>
      </c>
      <c r="C254" s="59" t="s">
        <v>2</v>
      </c>
      <c r="D254" s="59" t="s">
        <v>4</v>
      </c>
      <c r="E254" s="59" t="s">
        <v>5</v>
      </c>
      <c r="F254" s="59" t="s">
        <v>11</v>
      </c>
      <c r="G254" s="59" t="s">
        <v>12</v>
      </c>
      <c r="H254" s="59" t="s">
        <v>13</v>
      </c>
      <c r="I254" s="59" t="s">
        <v>14</v>
      </c>
      <c r="J254" s="59" t="s">
        <v>15</v>
      </c>
      <c r="K254" s="59" t="s">
        <v>16</v>
      </c>
      <c r="L254" s="59" t="s">
        <v>17</v>
      </c>
      <c r="M254" s="59" t="s">
        <v>18</v>
      </c>
      <c r="N254" s="59" t="s">
        <v>19</v>
      </c>
      <c r="O254" s="59" t="s">
        <v>7</v>
      </c>
    </row>
    <row r="255" spans="1:15" x14ac:dyDescent="0.25">
      <c r="A255" s="56" t="str">
        <f>B247</f>
        <v>Samarium oxide (Sm2O3) production in the US/Mt. Pass (Sm content)</v>
      </c>
      <c r="B255" s="56" t="str">
        <f>B248</f>
        <v>Sm2O3 (Sm content)</v>
      </c>
      <c r="C255" s="56" t="str">
        <f>B249</f>
        <v>US-WECC</v>
      </c>
      <c r="D255" s="64">
        <v>1</v>
      </c>
      <c r="E255" s="56" t="str">
        <f>B251</f>
        <v>kilogram</v>
      </c>
      <c r="F255" s="57" t="str">
        <f>F244</f>
        <v>Rare Earths</v>
      </c>
      <c r="G255" s="56" t="s">
        <v>20</v>
      </c>
    </row>
    <row r="256" spans="1:15" x14ac:dyDescent="0.25">
      <c r="A256" s="56" t="str">
        <f>A244</f>
        <v>Samarium oxide (Sm2O3) production in the US/Mt. Pass</v>
      </c>
      <c r="B256" s="56" t="str">
        <f t="shared" ref="B256:F256" si="13">B244</f>
        <v>Sm2O3</v>
      </c>
      <c r="C256" s="56" t="str">
        <f t="shared" si="13"/>
        <v>US-WECC</v>
      </c>
      <c r="D256" s="56">
        <v>1.1595547309833025</v>
      </c>
      <c r="E256" s="56" t="str">
        <f t="shared" si="13"/>
        <v>kilogram</v>
      </c>
      <c r="F256" s="57" t="str">
        <f t="shared" si="13"/>
        <v>Rare Earths</v>
      </c>
      <c r="G256" s="56" t="s">
        <v>25</v>
      </c>
    </row>
    <row r="257" spans="1:15" s="58" customFormat="1" x14ac:dyDescent="0.25"/>
    <row r="258" spans="1:15" x14ac:dyDescent="0.25">
      <c r="A258" s="59" t="s">
        <v>0</v>
      </c>
      <c r="B258" s="59" t="s">
        <v>312</v>
      </c>
    </row>
    <row r="259" spans="1:15" x14ac:dyDescent="0.25">
      <c r="A259" s="60" t="s">
        <v>1</v>
      </c>
      <c r="B259" s="56" t="s">
        <v>286</v>
      </c>
    </row>
    <row r="260" spans="1:15" x14ac:dyDescent="0.25">
      <c r="A260" s="60" t="s">
        <v>2</v>
      </c>
      <c r="B260" s="56" t="s">
        <v>75</v>
      </c>
    </row>
    <row r="261" spans="1:15" x14ac:dyDescent="0.25">
      <c r="A261" s="60" t="s">
        <v>4</v>
      </c>
      <c r="B261" s="56">
        <v>1</v>
      </c>
    </row>
    <row r="262" spans="1:15" x14ac:dyDescent="0.25">
      <c r="A262" s="60" t="s">
        <v>5</v>
      </c>
      <c r="B262" s="56" t="s">
        <v>6</v>
      </c>
    </row>
    <row r="263" spans="1:15" ht="30" x14ac:dyDescent="0.25">
      <c r="A263" s="60" t="s">
        <v>7</v>
      </c>
      <c r="B263" s="67" t="s">
        <v>246</v>
      </c>
    </row>
    <row r="264" spans="1:15" x14ac:dyDescent="0.25">
      <c r="A264" s="60" t="s">
        <v>9</v>
      </c>
    </row>
    <row r="265" spans="1:15" x14ac:dyDescent="0.25">
      <c r="A265" s="59" t="s">
        <v>10</v>
      </c>
      <c r="B265" s="59" t="s">
        <v>1</v>
      </c>
      <c r="C265" s="59" t="s">
        <v>2</v>
      </c>
      <c r="D265" s="59" t="s">
        <v>4</v>
      </c>
      <c r="E265" s="59" t="s">
        <v>5</v>
      </c>
      <c r="F265" s="59" t="s">
        <v>11</v>
      </c>
      <c r="G265" s="59" t="s">
        <v>12</v>
      </c>
      <c r="H265" s="59" t="s">
        <v>13</v>
      </c>
      <c r="I265" s="59" t="s">
        <v>14</v>
      </c>
      <c r="J265" s="59" t="s">
        <v>15</v>
      </c>
      <c r="K265" s="59" t="s">
        <v>16</v>
      </c>
      <c r="L265" s="59" t="s">
        <v>17</v>
      </c>
      <c r="M265" s="59" t="s">
        <v>18</v>
      </c>
      <c r="N265" s="59" t="s">
        <v>19</v>
      </c>
      <c r="O265" s="59" t="s">
        <v>7</v>
      </c>
    </row>
    <row r="266" spans="1:15" x14ac:dyDescent="0.25">
      <c r="A266" s="56" t="str">
        <f>B258</f>
        <v>Yttrium oxide (Y2O3) production in the US/Mt. Pass</v>
      </c>
      <c r="B266" s="56" t="str">
        <f>B259</f>
        <v>Y2O3</v>
      </c>
      <c r="C266" s="56" t="str">
        <f>B260</f>
        <v>US-WECC</v>
      </c>
      <c r="D266" s="64">
        <v>1</v>
      </c>
      <c r="E266" s="56" t="str">
        <f>B262</f>
        <v>kilogram</v>
      </c>
      <c r="F266" s="57" t="str">
        <f>F255</f>
        <v>Rare Earths</v>
      </c>
      <c r="G266" s="56" t="s">
        <v>20</v>
      </c>
    </row>
    <row r="267" spans="1:15" x14ac:dyDescent="0.25">
      <c r="A267" s="56" t="str">
        <f>A98</f>
        <v>Bastnaesite ore mining and REO production in the US/Mt. Pass</v>
      </c>
      <c r="B267" s="56" t="str">
        <f t="shared" ref="B267:F267" si="14">B98</f>
        <v>REO</v>
      </c>
      <c r="C267" s="56" t="str">
        <f t="shared" si="14"/>
        <v>US-WECC</v>
      </c>
      <c r="D267" s="56">
        <v>0.57975136059664711</v>
      </c>
      <c r="E267" s="56" t="str">
        <f t="shared" si="14"/>
        <v>kilogram</v>
      </c>
      <c r="F267" s="57" t="str">
        <f t="shared" si="14"/>
        <v>Rare Earths</v>
      </c>
      <c r="G267" s="56" t="s">
        <v>25</v>
      </c>
    </row>
    <row r="268" spans="1:15" s="58" customFormat="1" x14ac:dyDescent="0.25"/>
    <row r="269" spans="1:15" x14ac:dyDescent="0.25">
      <c r="A269" s="59" t="s">
        <v>0</v>
      </c>
      <c r="B269" s="59" t="s">
        <v>313</v>
      </c>
    </row>
    <row r="270" spans="1:15" x14ac:dyDescent="0.25">
      <c r="A270" s="60" t="s">
        <v>1</v>
      </c>
      <c r="B270" s="56" t="s">
        <v>288</v>
      </c>
    </row>
    <row r="271" spans="1:15" x14ac:dyDescent="0.25">
      <c r="A271" s="60" t="s">
        <v>2</v>
      </c>
      <c r="B271" s="56" t="s">
        <v>75</v>
      </c>
    </row>
    <row r="272" spans="1:15" x14ac:dyDescent="0.25">
      <c r="A272" s="60" t="s">
        <v>4</v>
      </c>
      <c r="B272" s="56">
        <v>1</v>
      </c>
    </row>
    <row r="273" spans="1:15" x14ac:dyDescent="0.25">
      <c r="A273" s="60" t="s">
        <v>5</v>
      </c>
      <c r="B273" s="56" t="s">
        <v>6</v>
      </c>
    </row>
    <row r="274" spans="1:15" x14ac:dyDescent="0.25">
      <c r="A274" s="60" t="s">
        <v>7</v>
      </c>
      <c r="B274" s="56" t="s">
        <v>462</v>
      </c>
    </row>
    <row r="275" spans="1:15" x14ac:dyDescent="0.25">
      <c r="A275" s="60" t="s">
        <v>9</v>
      </c>
    </row>
    <row r="276" spans="1:15" x14ac:dyDescent="0.25">
      <c r="A276" s="59" t="s">
        <v>10</v>
      </c>
      <c r="B276" s="59" t="s">
        <v>1</v>
      </c>
      <c r="C276" s="59" t="s">
        <v>2</v>
      </c>
      <c r="D276" s="59" t="s">
        <v>4</v>
      </c>
      <c r="E276" s="59" t="s">
        <v>5</v>
      </c>
      <c r="F276" s="59" t="s">
        <v>11</v>
      </c>
      <c r="G276" s="59" t="s">
        <v>12</v>
      </c>
      <c r="H276" s="59" t="s">
        <v>13</v>
      </c>
      <c r="I276" s="59" t="s">
        <v>14</v>
      </c>
      <c r="J276" s="59" t="s">
        <v>15</v>
      </c>
      <c r="K276" s="59" t="s">
        <v>16</v>
      </c>
      <c r="L276" s="59" t="s">
        <v>17</v>
      </c>
      <c r="M276" s="59" t="s">
        <v>18</v>
      </c>
      <c r="N276" s="59" t="s">
        <v>19</v>
      </c>
      <c r="O276" s="59" t="s">
        <v>7</v>
      </c>
    </row>
    <row r="277" spans="1:15" x14ac:dyDescent="0.25">
      <c r="A277" s="56" t="str">
        <f>B269</f>
        <v>Yttrium oxide (Y2O3) production in the US/Mt. Pass (Y content)</v>
      </c>
      <c r="B277" s="56" t="str">
        <f>B270</f>
        <v>Y2O3 (Y content)</v>
      </c>
      <c r="C277" s="56" t="str">
        <f>B271</f>
        <v>US-WECC</v>
      </c>
      <c r="D277" s="64">
        <v>1</v>
      </c>
      <c r="E277" s="56" t="str">
        <f>B273</f>
        <v>kilogram</v>
      </c>
      <c r="F277" s="57" t="str">
        <f>F266</f>
        <v>Rare Earths</v>
      </c>
      <c r="G277" s="56" t="s">
        <v>20</v>
      </c>
    </row>
    <row r="278" spans="1:15" x14ac:dyDescent="0.25">
      <c r="A278" s="56" t="str">
        <f>A266</f>
        <v>Yttrium oxide (Y2O3) production in the US/Mt. Pass</v>
      </c>
      <c r="B278" s="56" t="str">
        <f t="shared" ref="B278:F278" si="15">B266</f>
        <v>Y2O3</v>
      </c>
      <c r="C278" s="56" t="str">
        <f t="shared" si="15"/>
        <v>US-WECC</v>
      </c>
      <c r="D278" s="56">
        <v>1.2700025400050801</v>
      </c>
      <c r="E278" s="56" t="str">
        <f t="shared" si="15"/>
        <v>kilogram</v>
      </c>
      <c r="F278" s="57" t="str">
        <f t="shared" si="15"/>
        <v>Rare Earths</v>
      </c>
      <c r="G278" s="56" t="s">
        <v>25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004D4-A301-4831-BE31-32A938121DB7}">
  <sheetPr>
    <tabColor theme="8" tint="0.39997558519241921"/>
  </sheetPr>
  <dimension ref="A1:O543"/>
  <sheetViews>
    <sheetView workbookViewId="0">
      <selection activeCell="A26" sqref="A26"/>
    </sheetView>
  </sheetViews>
  <sheetFormatPr baseColWidth="10" defaultColWidth="10.85546875" defaultRowHeight="15" x14ac:dyDescent="0.25"/>
  <cols>
    <col min="1" max="1" width="85.85546875" style="56" bestFit="1" customWidth="1"/>
    <col min="2" max="2" width="68.42578125" style="56" bestFit="1" customWidth="1"/>
    <col min="3" max="3" width="8.140625" style="56" bestFit="1" customWidth="1"/>
    <col min="4" max="4" width="12" style="56" bestFit="1" customWidth="1"/>
    <col min="5" max="5" width="17.5703125" style="56" bestFit="1" customWidth="1"/>
    <col min="6" max="6" width="19.7109375" style="56" bestFit="1" customWidth="1"/>
    <col min="7" max="7" width="13.28515625" style="56" bestFit="1" customWidth="1"/>
    <col min="8" max="8" width="35.28515625" style="56" bestFit="1" customWidth="1"/>
    <col min="9" max="9" width="15.5703125" style="56" bestFit="1" customWidth="1"/>
    <col min="10" max="10" width="9" style="56" bestFit="1" customWidth="1"/>
    <col min="11" max="11" width="3.5703125" style="56" bestFit="1" customWidth="1"/>
    <col min="12" max="12" width="5.42578125" style="56" bestFit="1" customWidth="1"/>
    <col min="13" max="13" width="9.5703125" style="56" bestFit="1" customWidth="1"/>
    <col min="14" max="14" width="9.85546875" style="56" bestFit="1" customWidth="1"/>
    <col min="15" max="15" width="9.42578125" style="56" bestFit="1" customWidth="1"/>
    <col min="16" max="16384" width="10.85546875" style="56"/>
  </cols>
  <sheetData>
    <row r="1" spans="1:15" x14ac:dyDescent="0.25">
      <c r="A1" s="59" t="s">
        <v>0</v>
      </c>
      <c r="B1" s="59" t="s">
        <v>330</v>
      </c>
    </row>
    <row r="2" spans="1:15" x14ac:dyDescent="0.25">
      <c r="A2" s="60" t="s">
        <v>1</v>
      </c>
      <c r="B2" s="56" t="s">
        <v>331</v>
      </c>
    </row>
    <row r="3" spans="1:15" x14ac:dyDescent="0.25">
      <c r="A3" s="60" t="s">
        <v>2</v>
      </c>
      <c r="B3" s="56" t="s">
        <v>35</v>
      </c>
    </row>
    <row r="4" spans="1:15" x14ac:dyDescent="0.25">
      <c r="A4" s="60" t="s">
        <v>4</v>
      </c>
      <c r="B4" s="56">
        <v>1</v>
      </c>
    </row>
    <row r="5" spans="1:15" x14ac:dyDescent="0.25">
      <c r="A5" s="60" t="s">
        <v>5</v>
      </c>
      <c r="B5" s="56" t="s">
        <v>6</v>
      </c>
    </row>
    <row r="6" spans="1:15" x14ac:dyDescent="0.25">
      <c r="A6" s="60" t="s">
        <v>7</v>
      </c>
      <c r="B6" s="56" t="s">
        <v>8</v>
      </c>
    </row>
    <row r="7" spans="1:15" x14ac:dyDescent="0.25">
      <c r="A7" s="60" t="s">
        <v>9</v>
      </c>
    </row>
    <row r="8" spans="1:15" x14ac:dyDescent="0.25">
      <c r="A8" s="59" t="s">
        <v>10</v>
      </c>
      <c r="B8" s="59" t="s">
        <v>1</v>
      </c>
      <c r="C8" s="59" t="s">
        <v>2</v>
      </c>
      <c r="D8" s="59" t="s">
        <v>4</v>
      </c>
      <c r="E8" s="59" t="s">
        <v>5</v>
      </c>
      <c r="F8" s="59" t="s">
        <v>11</v>
      </c>
      <c r="G8" s="59" t="s">
        <v>12</v>
      </c>
      <c r="H8" s="59" t="s">
        <v>13</v>
      </c>
      <c r="I8" s="59" t="s">
        <v>14</v>
      </c>
      <c r="J8" s="59" t="s">
        <v>15</v>
      </c>
      <c r="K8" s="59" t="s">
        <v>16</v>
      </c>
      <c r="L8" s="59" t="s">
        <v>17</v>
      </c>
      <c r="M8" s="59" t="s">
        <v>18</v>
      </c>
      <c r="N8" s="59" t="s">
        <v>19</v>
      </c>
      <c r="O8" s="59" t="s">
        <v>7</v>
      </c>
    </row>
    <row r="9" spans="1:15" x14ac:dyDescent="0.25">
      <c r="A9" s="56" t="str">
        <f>B1</f>
        <v>[M] Bastnaesite-Monazite ore mining (Bayan Obo)</v>
      </c>
      <c r="B9" s="56" t="str">
        <f>B2</f>
        <v>Bastnaesite-Monazite ore</v>
      </c>
      <c r="C9" s="56" t="str">
        <f>B3</f>
        <v>CN</v>
      </c>
      <c r="D9" s="64">
        <v>1</v>
      </c>
      <c r="E9" s="56" t="s">
        <v>6</v>
      </c>
      <c r="F9" s="57" t="str">
        <f>RE_Market_GLO!B1</f>
        <v>Rare Earths</v>
      </c>
      <c r="G9" s="56" t="s">
        <v>20</v>
      </c>
    </row>
    <row r="10" spans="1:15" x14ac:dyDescent="0.25">
      <c r="A10" s="56" t="s">
        <v>332</v>
      </c>
      <c r="B10" s="56" t="s">
        <v>335</v>
      </c>
      <c r="C10" s="56" t="s">
        <v>23</v>
      </c>
      <c r="D10" s="56">
        <v>1.6799999999999999E-4</v>
      </c>
      <c r="E10" s="56" t="s">
        <v>6</v>
      </c>
      <c r="F10" s="56" t="s">
        <v>24</v>
      </c>
      <c r="G10" s="56" t="s">
        <v>25</v>
      </c>
    </row>
    <row r="11" spans="1:15" x14ac:dyDescent="0.25">
      <c r="A11" s="56" t="s">
        <v>76</v>
      </c>
      <c r="B11" s="56" t="s">
        <v>77</v>
      </c>
      <c r="C11" s="56" t="s">
        <v>23</v>
      </c>
      <c r="D11" s="56">
        <v>1.5800000000000002E-2</v>
      </c>
      <c r="E11" s="56" t="s">
        <v>78</v>
      </c>
      <c r="F11" s="56" t="s">
        <v>24</v>
      </c>
      <c r="G11" s="56" t="s">
        <v>25</v>
      </c>
    </row>
    <row r="12" spans="1:15" x14ac:dyDescent="0.25">
      <c r="A12" s="56" t="s">
        <v>333</v>
      </c>
      <c r="B12" s="56" t="s">
        <v>333</v>
      </c>
      <c r="C12" s="56" t="s">
        <v>23</v>
      </c>
      <c r="D12" s="56">
        <v>8.8380836707152501E-4</v>
      </c>
      <c r="E12" s="56" t="s">
        <v>78</v>
      </c>
      <c r="F12" s="56" t="s">
        <v>24</v>
      </c>
      <c r="G12" s="56" t="s">
        <v>25</v>
      </c>
    </row>
    <row r="13" spans="1:15" x14ac:dyDescent="0.25">
      <c r="A13" s="56" t="s">
        <v>87</v>
      </c>
      <c r="B13" s="56" t="s">
        <v>88</v>
      </c>
      <c r="C13" s="56" t="s">
        <v>23</v>
      </c>
      <c r="D13" s="63">
        <v>3.6500000000000001E-16</v>
      </c>
      <c r="E13" s="56" t="s">
        <v>5</v>
      </c>
      <c r="F13" s="56" t="s">
        <v>24</v>
      </c>
      <c r="G13" s="56" t="s">
        <v>25</v>
      </c>
    </row>
    <row r="14" spans="1:15" x14ac:dyDescent="0.25">
      <c r="A14" s="56" t="s">
        <v>334</v>
      </c>
      <c r="B14" s="56" t="s">
        <v>336</v>
      </c>
      <c r="C14" s="56" t="s">
        <v>23</v>
      </c>
      <c r="D14" s="63">
        <v>4.1300000000000003E-6</v>
      </c>
      <c r="E14" s="56" t="s">
        <v>102</v>
      </c>
      <c r="F14" s="56" t="s">
        <v>24</v>
      </c>
      <c r="G14" s="56" t="s">
        <v>25</v>
      </c>
    </row>
    <row r="15" spans="1:15" x14ac:dyDescent="0.25">
      <c r="A15" s="56" t="s">
        <v>337</v>
      </c>
      <c r="D15" s="56">
        <v>1.651614740859E-2</v>
      </c>
      <c r="E15" s="56" t="s">
        <v>6</v>
      </c>
      <c r="F15" s="56" t="s">
        <v>66</v>
      </c>
      <c r="G15" s="56" t="s">
        <v>67</v>
      </c>
      <c r="H15" s="56" t="s">
        <v>120</v>
      </c>
    </row>
    <row r="16" spans="1:15" x14ac:dyDescent="0.25">
      <c r="A16" s="56" t="s">
        <v>338</v>
      </c>
      <c r="D16" s="56">
        <v>3.48527151069361E-6</v>
      </c>
      <c r="E16" s="56" t="s">
        <v>6</v>
      </c>
      <c r="F16" s="56" t="s">
        <v>66</v>
      </c>
      <c r="G16" s="56" t="s">
        <v>67</v>
      </c>
      <c r="H16" s="56" t="s">
        <v>120</v>
      </c>
    </row>
    <row r="17" spans="1:8" x14ac:dyDescent="0.25">
      <c r="A17" s="56" t="s">
        <v>339</v>
      </c>
      <c r="D17" s="56">
        <v>3.4980792970336901E-6</v>
      </c>
      <c r="E17" s="56" t="s">
        <v>6</v>
      </c>
      <c r="F17" s="56" t="s">
        <v>66</v>
      </c>
      <c r="G17" s="56" t="s">
        <v>67</v>
      </c>
      <c r="H17" s="56" t="s">
        <v>120</v>
      </c>
    </row>
    <row r="18" spans="1:8" x14ac:dyDescent="0.25">
      <c r="A18" s="56" t="s">
        <v>340</v>
      </c>
      <c r="D18" s="56">
        <v>6.2180127538103103E-5</v>
      </c>
      <c r="E18" s="56" t="s">
        <v>6</v>
      </c>
      <c r="F18" s="56" t="s">
        <v>66</v>
      </c>
      <c r="G18" s="56" t="s">
        <v>67</v>
      </c>
      <c r="H18" s="56" t="s">
        <v>120</v>
      </c>
    </row>
    <row r="19" spans="1:8" x14ac:dyDescent="0.25">
      <c r="A19" s="56" t="s">
        <v>341</v>
      </c>
      <c r="D19" s="56">
        <v>2.4292534418101901E-4</v>
      </c>
      <c r="E19" s="56" t="s">
        <v>6</v>
      </c>
      <c r="F19" s="56" t="s">
        <v>66</v>
      </c>
      <c r="G19" s="56" t="s">
        <v>67</v>
      </c>
      <c r="H19" s="56" t="s">
        <v>120</v>
      </c>
    </row>
    <row r="20" spans="1:8" x14ac:dyDescent="0.25">
      <c r="A20" s="56" t="s">
        <v>342</v>
      </c>
      <c r="D20" s="56">
        <v>5.13E-3</v>
      </c>
      <c r="E20" s="56" t="s">
        <v>78</v>
      </c>
      <c r="F20" s="56" t="s">
        <v>66</v>
      </c>
      <c r="G20" s="56" t="s">
        <v>67</v>
      </c>
      <c r="H20" s="56" t="s">
        <v>358</v>
      </c>
    </row>
    <row r="21" spans="1:8" x14ac:dyDescent="0.25">
      <c r="A21" s="56" t="s">
        <v>343</v>
      </c>
      <c r="D21" s="56">
        <v>3.4918927925571301E-6</v>
      </c>
      <c r="E21" s="56" t="s">
        <v>6</v>
      </c>
      <c r="F21" s="56" t="s">
        <v>66</v>
      </c>
      <c r="G21" s="56" t="s">
        <v>67</v>
      </c>
      <c r="H21" s="56" t="s">
        <v>120</v>
      </c>
    </row>
    <row r="22" spans="1:8" x14ac:dyDescent="0.25">
      <c r="A22" s="56" t="s">
        <v>344</v>
      </c>
      <c r="D22" s="56">
        <v>0.3</v>
      </c>
      <c r="E22" s="56" t="s">
        <v>6</v>
      </c>
      <c r="F22" s="56" t="s">
        <v>66</v>
      </c>
      <c r="G22" s="56" t="s">
        <v>67</v>
      </c>
      <c r="H22" s="56" t="s">
        <v>120</v>
      </c>
    </row>
    <row r="23" spans="1:8" x14ac:dyDescent="0.25">
      <c r="A23" s="56" t="s">
        <v>345</v>
      </c>
      <c r="D23" s="56">
        <v>8.5268000768793598E-3</v>
      </c>
      <c r="E23" s="56" t="s">
        <v>6</v>
      </c>
      <c r="F23" s="56" t="s">
        <v>66</v>
      </c>
      <c r="G23" s="56" t="s">
        <v>67</v>
      </c>
      <c r="H23" s="56" t="s">
        <v>120</v>
      </c>
    </row>
    <row r="24" spans="1:8" x14ac:dyDescent="0.25">
      <c r="A24" s="56" t="s">
        <v>346</v>
      </c>
      <c r="D24" s="56">
        <v>3.5175238394882302E-6</v>
      </c>
      <c r="E24" s="56" t="s">
        <v>6</v>
      </c>
      <c r="F24" s="56" t="s">
        <v>66</v>
      </c>
      <c r="G24" s="56" t="s">
        <v>67</v>
      </c>
      <c r="H24" s="56" t="s">
        <v>120</v>
      </c>
    </row>
    <row r="25" spans="1:8" x14ac:dyDescent="0.25">
      <c r="A25" s="56" t="s">
        <v>347</v>
      </c>
      <c r="D25" s="56">
        <v>5.6928234539598199E-3</v>
      </c>
      <c r="E25" s="56" t="s">
        <v>6</v>
      </c>
      <c r="F25" s="56" t="s">
        <v>66</v>
      </c>
      <c r="G25" s="56" t="s">
        <v>67</v>
      </c>
      <c r="H25" s="56" t="s">
        <v>120</v>
      </c>
    </row>
    <row r="26" spans="1:8" x14ac:dyDescent="0.25">
      <c r="A26" s="56" t="s">
        <v>348</v>
      </c>
      <c r="D26" s="56">
        <v>1.2999999999999999E-3</v>
      </c>
      <c r="E26" s="56" t="s">
        <v>6</v>
      </c>
      <c r="F26" s="56" t="s">
        <v>66</v>
      </c>
      <c r="G26" s="56" t="s">
        <v>67</v>
      </c>
      <c r="H26" s="56" t="s">
        <v>120</v>
      </c>
    </row>
    <row r="27" spans="1:8" x14ac:dyDescent="0.25">
      <c r="A27" s="56" t="s">
        <v>98</v>
      </c>
      <c r="D27" s="56">
        <v>3.2843076923076898E-4</v>
      </c>
      <c r="E27" s="56" t="s">
        <v>99</v>
      </c>
      <c r="F27" s="56" t="s">
        <v>66</v>
      </c>
      <c r="G27" s="56" t="s">
        <v>67</v>
      </c>
      <c r="H27" s="56" t="s">
        <v>100</v>
      </c>
    </row>
    <row r="28" spans="1:8" x14ac:dyDescent="0.25">
      <c r="A28" s="56" t="s">
        <v>349</v>
      </c>
      <c r="D28" s="56">
        <v>8.9499999999999994E-5</v>
      </c>
      <c r="E28" s="56" t="s">
        <v>6</v>
      </c>
      <c r="F28" s="56" t="s">
        <v>66</v>
      </c>
      <c r="G28" s="56" t="s">
        <v>67</v>
      </c>
      <c r="H28" s="56" t="s">
        <v>358</v>
      </c>
    </row>
    <row r="29" spans="1:8" x14ac:dyDescent="0.25">
      <c r="A29" s="56" t="s">
        <v>350</v>
      </c>
      <c r="D29" s="56">
        <v>8.9499999999999996E-4</v>
      </c>
      <c r="E29" s="56" t="s">
        <v>6</v>
      </c>
      <c r="F29" s="56" t="s">
        <v>66</v>
      </c>
      <c r="G29" s="56" t="s">
        <v>67</v>
      </c>
      <c r="H29" s="56" t="s">
        <v>358</v>
      </c>
    </row>
    <row r="30" spans="1:8" x14ac:dyDescent="0.25">
      <c r="A30" s="56" t="s">
        <v>104</v>
      </c>
      <c r="D30" s="56">
        <v>8.0500000000000005E-4</v>
      </c>
      <c r="E30" s="56" t="s">
        <v>6</v>
      </c>
      <c r="F30" s="56" t="s">
        <v>66</v>
      </c>
      <c r="G30" s="56" t="s">
        <v>67</v>
      </c>
      <c r="H30" s="56" t="s">
        <v>358</v>
      </c>
    </row>
    <row r="31" spans="1:8" x14ac:dyDescent="0.25">
      <c r="A31" s="56" t="s">
        <v>351</v>
      </c>
      <c r="D31" s="56">
        <v>1.6885091811133499E-3</v>
      </c>
      <c r="E31" s="56" t="s">
        <v>6</v>
      </c>
      <c r="F31" s="56" t="s">
        <v>66</v>
      </c>
      <c r="G31" s="56" t="s">
        <v>67</v>
      </c>
      <c r="H31" s="56" t="s">
        <v>120</v>
      </c>
    </row>
    <row r="32" spans="1:8" x14ac:dyDescent="0.25">
      <c r="A32" s="56" t="s">
        <v>352</v>
      </c>
      <c r="D32" s="56">
        <v>0.01</v>
      </c>
      <c r="E32" s="56" t="s">
        <v>71</v>
      </c>
      <c r="F32" s="56" t="s">
        <v>66</v>
      </c>
      <c r="G32" s="56" t="s">
        <v>67</v>
      </c>
      <c r="H32" s="56" t="s">
        <v>358</v>
      </c>
    </row>
    <row r="33" spans="1:8" x14ac:dyDescent="0.25">
      <c r="A33" s="56" t="s">
        <v>352</v>
      </c>
      <c r="D33" s="56">
        <v>3.8499999999999998E-4</v>
      </c>
      <c r="E33" s="56" t="s">
        <v>71</v>
      </c>
      <c r="F33" s="56" t="s">
        <v>66</v>
      </c>
      <c r="G33" s="56" t="s">
        <v>67</v>
      </c>
      <c r="H33" s="56" t="s">
        <v>359</v>
      </c>
    </row>
    <row r="34" spans="1:8" x14ac:dyDescent="0.25">
      <c r="A34" s="56" t="s">
        <v>353</v>
      </c>
      <c r="D34" s="56">
        <v>4.1393193701963298E-4</v>
      </c>
      <c r="E34" s="56" t="s">
        <v>6</v>
      </c>
      <c r="F34" s="56" t="s">
        <v>66</v>
      </c>
      <c r="G34" s="56" t="s">
        <v>67</v>
      </c>
      <c r="H34" s="56" t="s">
        <v>120</v>
      </c>
    </row>
    <row r="35" spans="1:8" x14ac:dyDescent="0.25">
      <c r="A35" s="56" t="s">
        <v>354</v>
      </c>
      <c r="D35" s="56">
        <v>3.40084943477118E-6</v>
      </c>
      <c r="E35" s="56" t="s">
        <v>6</v>
      </c>
      <c r="F35" s="56" t="s">
        <v>66</v>
      </c>
      <c r="G35" s="56" t="s">
        <v>67</v>
      </c>
      <c r="H35" s="56" t="s">
        <v>120</v>
      </c>
    </row>
    <row r="36" spans="1:8" x14ac:dyDescent="0.25">
      <c r="A36" s="56" t="s">
        <v>73</v>
      </c>
      <c r="D36" s="56">
        <v>6.1516649999999995E-4</v>
      </c>
      <c r="E36" s="56" t="s">
        <v>6</v>
      </c>
      <c r="F36" s="56" t="s">
        <v>66</v>
      </c>
      <c r="G36" s="56" t="s">
        <v>67</v>
      </c>
      <c r="H36" s="56" t="s">
        <v>120</v>
      </c>
    </row>
    <row r="37" spans="1:8" x14ac:dyDescent="0.25">
      <c r="A37" s="56" t="s">
        <v>70</v>
      </c>
      <c r="D37" s="56">
        <v>5.0599999999999999E-2</v>
      </c>
      <c r="E37" s="56" t="s">
        <v>71</v>
      </c>
      <c r="F37" s="56" t="s">
        <v>66</v>
      </c>
      <c r="G37" s="56" t="s">
        <v>67</v>
      </c>
      <c r="H37" s="56" t="s">
        <v>358</v>
      </c>
    </row>
    <row r="38" spans="1:8" x14ac:dyDescent="0.25">
      <c r="A38" s="56" t="s">
        <v>70</v>
      </c>
      <c r="D38" s="56">
        <v>1.9499999999999999E-3</v>
      </c>
      <c r="E38" s="56" t="s">
        <v>71</v>
      </c>
      <c r="F38" s="56" t="s">
        <v>66</v>
      </c>
      <c r="G38" s="56" t="s">
        <v>67</v>
      </c>
      <c r="H38" s="56" t="s">
        <v>359</v>
      </c>
    </row>
    <row r="39" spans="1:8" x14ac:dyDescent="0.25">
      <c r="A39" s="56" t="s">
        <v>355</v>
      </c>
      <c r="D39" s="56">
        <v>3.5024373966320198E-6</v>
      </c>
      <c r="E39" s="56" t="s">
        <v>6</v>
      </c>
      <c r="F39" s="56" t="s">
        <v>66</v>
      </c>
      <c r="G39" s="56" t="s">
        <v>67</v>
      </c>
      <c r="H39" s="56" t="s">
        <v>120</v>
      </c>
    </row>
    <row r="40" spans="1:8" x14ac:dyDescent="0.25">
      <c r="A40" s="56" t="s">
        <v>101</v>
      </c>
      <c r="D40" s="56">
        <v>6.2600000000000002E-7</v>
      </c>
      <c r="E40" s="56" t="s">
        <v>102</v>
      </c>
      <c r="F40" s="56" t="s">
        <v>66</v>
      </c>
      <c r="G40" s="56" t="s">
        <v>67</v>
      </c>
      <c r="H40" s="56" t="s">
        <v>100</v>
      </c>
    </row>
    <row r="41" spans="1:8" x14ac:dyDescent="0.25">
      <c r="A41" s="56" t="s">
        <v>103</v>
      </c>
      <c r="D41" s="56">
        <v>6.2600000000000002E-7</v>
      </c>
      <c r="E41" s="56" t="s">
        <v>102</v>
      </c>
      <c r="F41" s="56" t="s">
        <v>66</v>
      </c>
      <c r="G41" s="56" t="s">
        <v>67</v>
      </c>
      <c r="H41" s="56" t="s">
        <v>100</v>
      </c>
    </row>
    <row r="42" spans="1:8" x14ac:dyDescent="0.25">
      <c r="A42" s="56" t="s">
        <v>132</v>
      </c>
      <c r="D42" s="56">
        <v>1.696003E-6</v>
      </c>
      <c r="E42" s="56" t="s">
        <v>6</v>
      </c>
      <c r="F42" s="56" t="s">
        <v>66</v>
      </c>
      <c r="G42" s="56" t="s">
        <v>67</v>
      </c>
      <c r="H42" s="56" t="s">
        <v>120</v>
      </c>
    </row>
    <row r="43" spans="1:8" x14ac:dyDescent="0.25">
      <c r="A43" s="56" t="s">
        <v>106</v>
      </c>
      <c r="D43" s="56">
        <v>1.34E-4</v>
      </c>
      <c r="E43" s="56" t="s">
        <v>71</v>
      </c>
      <c r="F43" s="56" t="s">
        <v>66</v>
      </c>
      <c r="G43" s="56" t="s">
        <v>67</v>
      </c>
      <c r="H43" s="56" t="s">
        <v>358</v>
      </c>
    </row>
    <row r="44" spans="1:8" x14ac:dyDescent="0.25">
      <c r="A44" s="56" t="s">
        <v>106</v>
      </c>
      <c r="D44" s="56">
        <v>5.1599999999999997E-6</v>
      </c>
      <c r="E44" s="56" t="s">
        <v>71</v>
      </c>
      <c r="F44" s="56" t="s">
        <v>66</v>
      </c>
      <c r="G44" s="56" t="s">
        <v>67</v>
      </c>
      <c r="H44" s="56" t="s">
        <v>359</v>
      </c>
    </row>
    <row r="45" spans="1:8" x14ac:dyDescent="0.25">
      <c r="A45" s="56" t="s">
        <v>119</v>
      </c>
      <c r="D45" s="56">
        <v>2.1106609999999998E-3</v>
      </c>
      <c r="E45" s="56" t="s">
        <v>93</v>
      </c>
      <c r="F45" s="56" t="s">
        <v>66</v>
      </c>
      <c r="G45" s="56" t="s">
        <v>67</v>
      </c>
      <c r="H45" s="56" t="s">
        <v>360</v>
      </c>
    </row>
    <row r="46" spans="1:8" x14ac:dyDescent="0.25">
      <c r="A46" s="56" t="s">
        <v>356</v>
      </c>
      <c r="D46" s="56">
        <v>3.5128053264555099E-6</v>
      </c>
      <c r="E46" s="56" t="s">
        <v>6</v>
      </c>
      <c r="F46" s="56" t="s">
        <v>66</v>
      </c>
      <c r="G46" s="56" t="s">
        <v>67</v>
      </c>
      <c r="H46" s="56" t="s">
        <v>120</v>
      </c>
    </row>
    <row r="47" spans="1:8" x14ac:dyDescent="0.25">
      <c r="A47" s="56" t="s">
        <v>357</v>
      </c>
      <c r="D47" s="56">
        <v>1.3543964370029801E-4</v>
      </c>
      <c r="E47" s="56" t="s">
        <v>6</v>
      </c>
      <c r="F47" s="56" t="s">
        <v>66</v>
      </c>
      <c r="G47" s="56" t="s">
        <v>67</v>
      </c>
      <c r="H47" s="56" t="s">
        <v>120</v>
      </c>
    </row>
    <row r="48" spans="1:8" s="65" customFormat="1" x14ac:dyDescent="0.25"/>
    <row r="49" spans="1:15" x14ac:dyDescent="0.25">
      <c r="A49" s="59" t="s">
        <v>0</v>
      </c>
      <c r="B49" s="59" t="s">
        <v>361</v>
      </c>
    </row>
    <row r="50" spans="1:15" x14ac:dyDescent="0.25">
      <c r="A50" s="60" t="s">
        <v>1</v>
      </c>
      <c r="B50" s="56" t="s">
        <v>362</v>
      </c>
    </row>
    <row r="51" spans="1:15" x14ac:dyDescent="0.25">
      <c r="A51" s="60" t="s">
        <v>2</v>
      </c>
      <c r="B51" s="56" t="s">
        <v>35</v>
      </c>
    </row>
    <row r="52" spans="1:15" x14ac:dyDescent="0.25">
      <c r="A52" s="60" t="s">
        <v>4</v>
      </c>
      <c r="B52" s="56">
        <v>1</v>
      </c>
    </row>
    <row r="53" spans="1:15" x14ac:dyDescent="0.25">
      <c r="A53" s="60" t="s">
        <v>5</v>
      </c>
      <c r="B53" s="56" t="s">
        <v>6</v>
      </c>
    </row>
    <row r="54" spans="1:15" ht="30" x14ac:dyDescent="0.25">
      <c r="A54" s="60" t="s">
        <v>7</v>
      </c>
      <c r="B54" s="126" t="s">
        <v>466</v>
      </c>
    </row>
    <row r="55" spans="1:15" x14ac:dyDescent="0.25">
      <c r="A55" s="60" t="s">
        <v>9</v>
      </c>
    </row>
    <row r="56" spans="1:15" x14ac:dyDescent="0.25">
      <c r="A56" s="59" t="s">
        <v>10</v>
      </c>
      <c r="B56" s="59" t="s">
        <v>1</v>
      </c>
      <c r="C56" s="59" t="s">
        <v>2</v>
      </c>
      <c r="D56" s="59" t="s">
        <v>4</v>
      </c>
      <c r="E56" s="59" t="s">
        <v>5</v>
      </c>
      <c r="F56" s="59" t="s">
        <v>11</v>
      </c>
      <c r="G56" s="59" t="s">
        <v>12</v>
      </c>
      <c r="H56" s="59" t="s">
        <v>13</v>
      </c>
      <c r="I56" s="59" t="s">
        <v>14</v>
      </c>
      <c r="J56" s="59" t="s">
        <v>15</v>
      </c>
      <c r="K56" s="59" t="s">
        <v>16</v>
      </c>
      <c r="L56" s="59" t="s">
        <v>17</v>
      </c>
      <c r="M56" s="59" t="s">
        <v>18</v>
      </c>
      <c r="N56" s="59" t="s">
        <v>19</v>
      </c>
      <c r="O56" s="59" t="s">
        <v>7</v>
      </c>
    </row>
    <row r="57" spans="1:15" x14ac:dyDescent="0.25">
      <c r="A57" s="56" t="str">
        <f>B49</f>
        <v>[C] Bastnaesite-Monazite ore concentration (Bayan Obo)</v>
      </c>
      <c r="B57" s="56" t="str">
        <f>B50</f>
        <v>Rare Earths (RE) concentrate</v>
      </c>
      <c r="C57" s="56" t="str">
        <f>B51</f>
        <v>CN</v>
      </c>
      <c r="D57" s="64">
        <v>1</v>
      </c>
      <c r="E57" s="56" t="s">
        <v>6</v>
      </c>
      <c r="F57" s="57" t="str">
        <f>F9</f>
        <v>Rare Earths</v>
      </c>
      <c r="G57" s="56" t="s">
        <v>20</v>
      </c>
    </row>
    <row r="58" spans="1:15" x14ac:dyDescent="0.25">
      <c r="A58" s="56" t="str">
        <f>A175</f>
        <v>Production of ammonium hydroxide (10% mass)</v>
      </c>
      <c r="B58" s="56" t="str">
        <f t="shared" ref="B58:C58" si="0">B175</f>
        <v>ammonium hydroxide (10%)</v>
      </c>
      <c r="C58" s="56" t="str">
        <f t="shared" si="0"/>
        <v>CN</v>
      </c>
      <c r="D58" s="127">
        <v>7.0399190814206702E-2</v>
      </c>
      <c r="E58" s="56" t="str">
        <f t="shared" ref="E58:F58" si="1">E175</f>
        <v>kilogram</v>
      </c>
      <c r="F58" s="57" t="str">
        <f t="shared" si="1"/>
        <v>Rare Earths</v>
      </c>
      <c r="G58" s="56" t="s">
        <v>25</v>
      </c>
    </row>
    <row r="59" spans="1:15" x14ac:dyDescent="0.25">
      <c r="A59" s="56" t="s">
        <v>364</v>
      </c>
      <c r="B59" s="56" t="s">
        <v>370</v>
      </c>
      <c r="C59" s="56" t="s">
        <v>29</v>
      </c>
      <c r="D59" s="127">
        <v>2.9657531449389207</v>
      </c>
      <c r="E59" s="56" t="s">
        <v>78</v>
      </c>
      <c r="F59" s="56" t="s">
        <v>24</v>
      </c>
      <c r="G59" s="56" t="s">
        <v>25</v>
      </c>
    </row>
    <row r="60" spans="1:15" x14ac:dyDescent="0.25">
      <c r="A60" s="56" t="s">
        <v>365</v>
      </c>
      <c r="B60" s="56" t="s">
        <v>58</v>
      </c>
      <c r="C60" s="56" t="s">
        <v>35</v>
      </c>
      <c r="D60" s="127">
        <v>0.49878575619427301</v>
      </c>
      <c r="E60" s="56" t="s">
        <v>59</v>
      </c>
      <c r="F60" s="56" t="s">
        <v>24</v>
      </c>
      <c r="G60" s="56" t="s">
        <v>25</v>
      </c>
    </row>
    <row r="61" spans="1:15" x14ac:dyDescent="0.25">
      <c r="A61" s="56" t="s">
        <v>62</v>
      </c>
      <c r="B61" s="56" t="s">
        <v>63</v>
      </c>
      <c r="C61" s="56" t="s">
        <v>29</v>
      </c>
      <c r="D61" s="127">
        <v>26.098627675462502</v>
      </c>
      <c r="E61" s="56" t="s">
        <v>6</v>
      </c>
      <c r="F61" s="56" t="s">
        <v>24</v>
      </c>
      <c r="G61" s="56" t="s">
        <v>25</v>
      </c>
    </row>
    <row r="62" spans="1:15" x14ac:dyDescent="0.25">
      <c r="A62" s="56" t="s">
        <v>366</v>
      </c>
      <c r="B62" s="56" t="s">
        <v>371</v>
      </c>
      <c r="C62" s="56" t="s">
        <v>29</v>
      </c>
      <c r="D62" s="127">
        <v>0.10185414841204375</v>
      </c>
      <c r="E62" s="56" t="s">
        <v>6</v>
      </c>
      <c r="F62" s="56" t="s">
        <v>24</v>
      </c>
      <c r="G62" s="56" t="s">
        <v>25</v>
      </c>
    </row>
    <row r="63" spans="1:15" x14ac:dyDescent="0.25">
      <c r="A63" s="56" t="s">
        <v>367</v>
      </c>
      <c r="B63" s="56" t="s">
        <v>147</v>
      </c>
      <c r="C63" s="56" t="s">
        <v>35</v>
      </c>
      <c r="D63" s="127">
        <v>2.2767397880339191</v>
      </c>
      <c r="E63" s="56" t="s">
        <v>85</v>
      </c>
      <c r="F63" s="56" t="s">
        <v>24</v>
      </c>
      <c r="G63" s="56" t="s">
        <v>25</v>
      </c>
    </row>
    <row r="64" spans="1:15" x14ac:dyDescent="0.25">
      <c r="A64" s="56" t="s">
        <v>368</v>
      </c>
      <c r="B64" s="56" t="s">
        <v>368</v>
      </c>
      <c r="C64" s="56" t="s">
        <v>29</v>
      </c>
      <c r="D64" s="127">
        <v>0.45385010248307722</v>
      </c>
      <c r="E64" s="56" t="s">
        <v>85</v>
      </c>
      <c r="F64" s="56" t="s">
        <v>24</v>
      </c>
      <c r="G64" s="56" t="s">
        <v>25</v>
      </c>
    </row>
    <row r="65" spans="1:8" x14ac:dyDescent="0.25">
      <c r="A65" s="56" t="s">
        <v>69</v>
      </c>
      <c r="D65" s="127">
        <v>6.0090951852858395E-4</v>
      </c>
      <c r="E65" s="56" t="s">
        <v>6</v>
      </c>
      <c r="F65" s="56" t="s">
        <v>66</v>
      </c>
      <c r="G65" s="56" t="s">
        <v>67</v>
      </c>
      <c r="H65" s="56" t="s">
        <v>129</v>
      </c>
    </row>
    <row r="66" spans="1:8" x14ac:dyDescent="0.25">
      <c r="A66" s="56" t="s">
        <v>136</v>
      </c>
      <c r="D66" s="127">
        <v>6.8077515372461581E-6</v>
      </c>
      <c r="E66" s="56" t="s">
        <v>6</v>
      </c>
      <c r="F66" s="56" t="s">
        <v>66</v>
      </c>
      <c r="G66" s="56" t="s">
        <v>67</v>
      </c>
      <c r="H66" s="56" t="s">
        <v>129</v>
      </c>
    </row>
    <row r="67" spans="1:8" x14ac:dyDescent="0.25">
      <c r="A67" s="56" t="s">
        <v>372</v>
      </c>
      <c r="D67" s="127">
        <v>2.351632544219245E-3</v>
      </c>
      <c r="E67" s="56" t="s">
        <v>6</v>
      </c>
      <c r="F67" s="56" t="s">
        <v>66</v>
      </c>
      <c r="G67" s="56" t="s">
        <v>67</v>
      </c>
      <c r="H67" s="56" t="s">
        <v>129</v>
      </c>
    </row>
    <row r="68" spans="1:8" x14ac:dyDescent="0.25">
      <c r="A68" s="56" t="s">
        <v>153</v>
      </c>
      <c r="D68" s="127">
        <v>3.4031268410612261E-3</v>
      </c>
      <c r="E68" s="56" t="s">
        <v>6</v>
      </c>
      <c r="F68" s="56" t="s">
        <v>66</v>
      </c>
      <c r="G68" s="56" t="s">
        <v>67</v>
      </c>
      <c r="H68" s="56" t="s">
        <v>129</v>
      </c>
    </row>
    <row r="69" spans="1:8" x14ac:dyDescent="0.25">
      <c r="A69" s="56" t="s">
        <v>134</v>
      </c>
      <c r="D69" s="127">
        <v>1.815400409932309E-6</v>
      </c>
      <c r="E69" s="56" t="s">
        <v>6</v>
      </c>
      <c r="F69" s="56" t="s">
        <v>66</v>
      </c>
      <c r="G69" s="56" t="s">
        <v>67</v>
      </c>
      <c r="H69" s="56" t="s">
        <v>129</v>
      </c>
    </row>
    <row r="70" spans="1:8" x14ac:dyDescent="0.25">
      <c r="A70" s="56" t="s">
        <v>146</v>
      </c>
      <c r="D70" s="127">
        <v>6.8077515372461581E-6</v>
      </c>
      <c r="E70" s="56" t="s">
        <v>6</v>
      </c>
      <c r="F70" s="56" t="s">
        <v>66</v>
      </c>
      <c r="G70" s="56" t="s">
        <v>67</v>
      </c>
      <c r="H70" s="56" t="s">
        <v>129</v>
      </c>
    </row>
    <row r="71" spans="1:8" x14ac:dyDescent="0.25">
      <c r="A71" s="56" t="s">
        <v>145</v>
      </c>
      <c r="D71" s="127">
        <v>2.2695500834401277E-5</v>
      </c>
      <c r="E71" s="56" t="s">
        <v>6</v>
      </c>
      <c r="F71" s="56" t="s">
        <v>66</v>
      </c>
      <c r="G71" s="56" t="s">
        <v>67</v>
      </c>
      <c r="H71" s="56" t="s">
        <v>129</v>
      </c>
    </row>
    <row r="72" spans="1:8" x14ac:dyDescent="0.25">
      <c r="A72" s="56" t="s">
        <v>683</v>
      </c>
      <c r="D72" s="127">
        <v>7.863739399459258E-6</v>
      </c>
      <c r="E72" s="56" t="s">
        <v>6</v>
      </c>
      <c r="F72" s="56" t="s">
        <v>66</v>
      </c>
      <c r="G72" s="56" t="s">
        <v>67</v>
      </c>
      <c r="H72" s="56" t="s">
        <v>129</v>
      </c>
    </row>
    <row r="73" spans="1:8" x14ac:dyDescent="0.25">
      <c r="A73" s="56" t="s">
        <v>373</v>
      </c>
      <c r="D73" s="127">
        <v>1.5727478798918516E-5</v>
      </c>
      <c r="E73" s="56" t="s">
        <v>6</v>
      </c>
      <c r="F73" s="56" t="s">
        <v>66</v>
      </c>
      <c r="G73" s="56" t="s">
        <v>67</v>
      </c>
      <c r="H73" s="56" t="s">
        <v>129</v>
      </c>
    </row>
    <row r="74" spans="1:8" x14ac:dyDescent="0.25">
      <c r="A74" s="56" t="s">
        <v>374</v>
      </c>
      <c r="D74" s="127">
        <v>8.5078171026530653E-5</v>
      </c>
      <c r="E74" s="56" t="s">
        <v>6</v>
      </c>
      <c r="F74" s="56" t="s">
        <v>66</v>
      </c>
      <c r="G74" s="56" t="s">
        <v>67</v>
      </c>
      <c r="H74" s="56" t="s">
        <v>129</v>
      </c>
    </row>
    <row r="75" spans="1:8" x14ac:dyDescent="0.25">
      <c r="A75" s="56" t="s">
        <v>65</v>
      </c>
      <c r="D75" s="127">
        <v>3.4041753396478209E-4</v>
      </c>
      <c r="E75" s="56" t="s">
        <v>6</v>
      </c>
      <c r="F75" s="56" t="s">
        <v>66</v>
      </c>
      <c r="G75" s="56" t="s">
        <v>67</v>
      </c>
      <c r="H75" s="56" t="s">
        <v>129</v>
      </c>
    </row>
    <row r="76" spans="1:8" x14ac:dyDescent="0.25">
      <c r="A76" s="56" t="s">
        <v>342</v>
      </c>
      <c r="D76" s="127">
        <v>1.8273832509219612</v>
      </c>
      <c r="E76" s="56" t="s">
        <v>78</v>
      </c>
      <c r="F76" s="56" t="s">
        <v>66</v>
      </c>
      <c r="G76" s="56" t="s">
        <v>67</v>
      </c>
      <c r="H76" s="56" t="s">
        <v>379</v>
      </c>
    </row>
    <row r="77" spans="1:8" x14ac:dyDescent="0.25">
      <c r="A77" s="56" t="s">
        <v>684</v>
      </c>
      <c r="D77" s="127">
        <v>5.4971283040029483E-5</v>
      </c>
      <c r="E77" s="56" t="s">
        <v>6</v>
      </c>
      <c r="F77" s="56" t="s">
        <v>66</v>
      </c>
      <c r="G77" s="56" t="s">
        <v>67</v>
      </c>
      <c r="H77" s="56" t="s">
        <v>129</v>
      </c>
    </row>
    <row r="78" spans="1:8" x14ac:dyDescent="0.25">
      <c r="A78" s="56" t="s">
        <v>135</v>
      </c>
      <c r="D78" s="127">
        <v>1.1347750417200638E-5</v>
      </c>
      <c r="E78" s="56" t="s">
        <v>6</v>
      </c>
      <c r="F78" s="56" t="s">
        <v>66</v>
      </c>
      <c r="G78" s="56" t="s">
        <v>67</v>
      </c>
      <c r="H78" s="56" t="s">
        <v>129</v>
      </c>
    </row>
    <row r="79" spans="1:8" x14ac:dyDescent="0.25">
      <c r="A79" s="56" t="s">
        <v>133</v>
      </c>
      <c r="D79" s="127">
        <v>1.572747879891852E-7</v>
      </c>
      <c r="E79" s="56" t="s">
        <v>6</v>
      </c>
      <c r="F79" s="56" t="s">
        <v>66</v>
      </c>
      <c r="G79" s="56" t="s">
        <v>67</v>
      </c>
      <c r="H79" s="56" t="s">
        <v>129</v>
      </c>
    </row>
    <row r="80" spans="1:8" x14ac:dyDescent="0.25">
      <c r="A80" s="56" t="s">
        <v>375</v>
      </c>
      <c r="D80" s="127">
        <v>7.863739399459258E-6</v>
      </c>
      <c r="E80" s="56" t="s">
        <v>6</v>
      </c>
      <c r="F80" s="56" t="s">
        <v>66</v>
      </c>
      <c r="G80" s="56" t="s">
        <v>67</v>
      </c>
      <c r="H80" s="56" t="s">
        <v>380</v>
      </c>
    </row>
    <row r="81" spans="1:8" x14ac:dyDescent="0.25">
      <c r="A81" s="56" t="s">
        <v>141</v>
      </c>
      <c r="D81" s="127">
        <v>1.1347450846175896E-3</v>
      </c>
      <c r="E81" s="56" t="s">
        <v>6</v>
      </c>
      <c r="F81" s="56" t="s">
        <v>66</v>
      </c>
      <c r="G81" s="56" t="s">
        <v>67</v>
      </c>
      <c r="H81" s="56" t="s">
        <v>129</v>
      </c>
    </row>
    <row r="82" spans="1:8" x14ac:dyDescent="0.25">
      <c r="A82" s="56" t="s">
        <v>376</v>
      </c>
      <c r="D82" s="127">
        <v>1.4978551237065256</v>
      </c>
      <c r="E82" s="56" t="s">
        <v>99</v>
      </c>
      <c r="F82" s="56" t="s">
        <v>66</v>
      </c>
      <c r="G82" s="56" t="s">
        <v>67</v>
      </c>
      <c r="H82" s="56" t="s">
        <v>100</v>
      </c>
    </row>
    <row r="83" spans="1:8" x14ac:dyDescent="0.25">
      <c r="A83" s="56" t="s">
        <v>137</v>
      </c>
      <c r="D83" s="127">
        <v>1.1346252562076931E-4</v>
      </c>
      <c r="E83" s="56" t="s">
        <v>6</v>
      </c>
      <c r="F83" s="56" t="s">
        <v>66</v>
      </c>
      <c r="G83" s="56" t="s">
        <v>67</v>
      </c>
      <c r="H83" s="56" t="s">
        <v>129</v>
      </c>
    </row>
    <row r="84" spans="1:8" x14ac:dyDescent="0.25">
      <c r="A84" s="56" t="s">
        <v>349</v>
      </c>
      <c r="D84" s="127">
        <v>5.4468003718464097E-4</v>
      </c>
      <c r="E84" s="56" t="s">
        <v>6</v>
      </c>
      <c r="F84" s="56" t="s">
        <v>66</v>
      </c>
      <c r="G84" s="56" t="s">
        <v>67</v>
      </c>
      <c r="H84" s="56" t="s">
        <v>130</v>
      </c>
    </row>
    <row r="85" spans="1:8" x14ac:dyDescent="0.25">
      <c r="A85" s="56" t="s">
        <v>138</v>
      </c>
      <c r="D85" s="127">
        <v>6.8085004648080121E-5</v>
      </c>
      <c r="E85" s="56" t="s">
        <v>6</v>
      </c>
      <c r="F85" s="56" t="s">
        <v>66</v>
      </c>
      <c r="G85" s="56" t="s">
        <v>67</v>
      </c>
      <c r="H85" s="56" t="s">
        <v>129</v>
      </c>
    </row>
    <row r="86" spans="1:8" x14ac:dyDescent="0.25">
      <c r="A86" s="56" t="s">
        <v>152</v>
      </c>
      <c r="D86" s="127">
        <v>4.5385010248307723E-3</v>
      </c>
      <c r="E86" s="56" t="s">
        <v>6</v>
      </c>
      <c r="F86" s="56" t="s">
        <v>66</v>
      </c>
      <c r="G86" s="56" t="s">
        <v>67</v>
      </c>
      <c r="H86" s="56" t="s">
        <v>129</v>
      </c>
    </row>
    <row r="87" spans="1:8" x14ac:dyDescent="0.25">
      <c r="A87" s="56" t="s">
        <v>377</v>
      </c>
      <c r="D87" s="127">
        <v>8.5078171026530653E-5</v>
      </c>
      <c r="E87" s="56" t="s">
        <v>6</v>
      </c>
      <c r="F87" s="56" t="s">
        <v>66</v>
      </c>
      <c r="G87" s="56" t="s">
        <v>67</v>
      </c>
      <c r="H87" s="56" t="s">
        <v>129</v>
      </c>
    </row>
    <row r="88" spans="1:8" x14ac:dyDescent="0.25">
      <c r="A88" s="56" t="s">
        <v>73</v>
      </c>
      <c r="D88" s="127">
        <v>1.3616851144103656E-4</v>
      </c>
      <c r="E88" s="56" t="s">
        <v>6</v>
      </c>
      <c r="F88" s="56" t="s">
        <v>66</v>
      </c>
      <c r="G88" s="56" t="s">
        <v>67</v>
      </c>
      <c r="H88" s="56" t="s">
        <v>379</v>
      </c>
    </row>
    <row r="89" spans="1:8" x14ac:dyDescent="0.25">
      <c r="A89" s="56" t="s">
        <v>70</v>
      </c>
      <c r="D89" s="127">
        <v>4.3437798587489234E-3</v>
      </c>
      <c r="E89" s="56" t="s">
        <v>71</v>
      </c>
      <c r="F89" s="56" t="s">
        <v>66</v>
      </c>
      <c r="G89" s="56" t="s">
        <v>67</v>
      </c>
      <c r="H89" s="56" t="s">
        <v>358</v>
      </c>
    </row>
    <row r="90" spans="1:8" x14ac:dyDescent="0.25">
      <c r="A90" s="56" t="s">
        <v>70</v>
      </c>
      <c r="D90" s="127">
        <v>1.4978551237065256</v>
      </c>
      <c r="E90" s="56" t="s">
        <v>71</v>
      </c>
      <c r="F90" s="56" t="s">
        <v>66</v>
      </c>
      <c r="G90" s="56" t="s">
        <v>67</v>
      </c>
      <c r="H90" s="56" t="s">
        <v>129</v>
      </c>
    </row>
    <row r="91" spans="1:8" x14ac:dyDescent="0.25">
      <c r="A91" s="56" t="s">
        <v>132</v>
      </c>
      <c r="D91" s="127">
        <v>6.8085004648080117E-7</v>
      </c>
      <c r="E91" s="56" t="s">
        <v>6</v>
      </c>
      <c r="F91" s="56" t="s">
        <v>66</v>
      </c>
      <c r="G91" s="56" t="s">
        <v>67</v>
      </c>
      <c r="H91" s="56" t="s">
        <v>379</v>
      </c>
    </row>
    <row r="92" spans="1:8" x14ac:dyDescent="0.25">
      <c r="A92" s="56" t="s">
        <v>378</v>
      </c>
      <c r="D92" s="127">
        <v>3.2952812721543559E-2</v>
      </c>
      <c r="E92" s="56" t="s">
        <v>71</v>
      </c>
      <c r="F92" s="56" t="s">
        <v>66</v>
      </c>
      <c r="G92" s="56" t="s">
        <v>67</v>
      </c>
      <c r="H92" s="56" t="s">
        <v>358</v>
      </c>
    </row>
    <row r="93" spans="1:8" x14ac:dyDescent="0.25">
      <c r="A93" s="56" t="s">
        <v>143</v>
      </c>
      <c r="D93" s="127">
        <v>3.4041753396478208E-5</v>
      </c>
      <c r="E93" s="56" t="s">
        <v>6</v>
      </c>
      <c r="F93" s="56" t="s">
        <v>66</v>
      </c>
      <c r="G93" s="56" t="s">
        <v>67</v>
      </c>
      <c r="H93" s="56" t="s">
        <v>129</v>
      </c>
    </row>
    <row r="94" spans="1:8" s="65" customFormat="1" x14ac:dyDescent="0.25"/>
    <row r="95" spans="1:8" x14ac:dyDescent="0.25">
      <c r="A95" s="59" t="s">
        <v>0</v>
      </c>
      <c r="B95" s="59" t="s">
        <v>381</v>
      </c>
    </row>
    <row r="96" spans="1:8" x14ac:dyDescent="0.25">
      <c r="A96" s="60" t="s">
        <v>1</v>
      </c>
      <c r="B96" s="56" t="s">
        <v>382</v>
      </c>
    </row>
    <row r="97" spans="1:15" x14ac:dyDescent="0.25">
      <c r="A97" s="60" t="s">
        <v>2</v>
      </c>
      <c r="B97" s="56" t="s">
        <v>35</v>
      </c>
    </row>
    <row r="98" spans="1:15" x14ac:dyDescent="0.25">
      <c r="A98" s="60" t="s">
        <v>4</v>
      </c>
      <c r="B98" s="56">
        <v>1</v>
      </c>
    </row>
    <row r="99" spans="1:15" x14ac:dyDescent="0.25">
      <c r="A99" s="60" t="s">
        <v>5</v>
      </c>
      <c r="B99" s="56" t="s">
        <v>6</v>
      </c>
    </row>
    <row r="100" spans="1:15" x14ac:dyDescent="0.25">
      <c r="A100" s="60" t="s">
        <v>7</v>
      </c>
      <c r="B100" s="56" t="s">
        <v>8</v>
      </c>
    </row>
    <row r="101" spans="1:15" x14ac:dyDescent="0.25">
      <c r="A101" s="60" t="s">
        <v>9</v>
      </c>
    </row>
    <row r="102" spans="1:15" x14ac:dyDescent="0.25">
      <c r="A102" s="59" t="s">
        <v>10</v>
      </c>
      <c r="B102" s="59" t="s">
        <v>1</v>
      </c>
      <c r="C102" s="59" t="s">
        <v>2</v>
      </c>
      <c r="D102" s="59" t="s">
        <v>4</v>
      </c>
      <c r="E102" s="59" t="s">
        <v>5</v>
      </c>
      <c r="F102" s="59" t="s">
        <v>11</v>
      </c>
      <c r="G102" s="59" t="s">
        <v>12</v>
      </c>
      <c r="H102" s="59" t="s">
        <v>13</v>
      </c>
      <c r="I102" s="59" t="s">
        <v>14</v>
      </c>
      <c r="J102" s="59" t="s">
        <v>15</v>
      </c>
      <c r="K102" s="59" t="s">
        <v>16</v>
      </c>
      <c r="L102" s="59" t="s">
        <v>17</v>
      </c>
      <c r="M102" s="59" t="s">
        <v>18</v>
      </c>
      <c r="N102" s="59" t="s">
        <v>19</v>
      </c>
      <c r="O102" s="59" t="s">
        <v>7</v>
      </c>
    </row>
    <row r="103" spans="1:15" x14ac:dyDescent="0.25">
      <c r="A103" s="56" t="str">
        <f>B95</f>
        <v>[P] Roasting (Bayan Obo)</v>
      </c>
      <c r="B103" s="56" t="str">
        <f>B96</f>
        <v>RE sulfate</v>
      </c>
      <c r="C103" s="56" t="str">
        <f>B97</f>
        <v>CN</v>
      </c>
      <c r="D103" s="64">
        <v>1</v>
      </c>
      <c r="E103" s="56" t="s">
        <v>6</v>
      </c>
      <c r="F103" s="57" t="str">
        <f>F57</f>
        <v>Rare Earths</v>
      </c>
      <c r="G103" s="56" t="s">
        <v>20</v>
      </c>
    </row>
    <row r="104" spans="1:15" x14ac:dyDescent="0.25">
      <c r="A104" s="56" t="s">
        <v>383</v>
      </c>
      <c r="B104" s="56" t="s">
        <v>387</v>
      </c>
      <c r="C104" s="56" t="s">
        <v>29</v>
      </c>
      <c r="D104" s="56">
        <v>6.59</v>
      </c>
      <c r="E104" s="56" t="s">
        <v>78</v>
      </c>
      <c r="F104" s="56" t="s">
        <v>24</v>
      </c>
      <c r="G104" s="56" t="s">
        <v>25</v>
      </c>
    </row>
    <row r="105" spans="1:15" x14ac:dyDescent="0.25">
      <c r="A105" s="56" t="s">
        <v>384</v>
      </c>
      <c r="B105" s="56" t="s">
        <v>28</v>
      </c>
      <c r="C105" s="56" t="s">
        <v>29</v>
      </c>
      <c r="D105" s="56">
        <v>1.55</v>
      </c>
      <c r="E105" s="56" t="s">
        <v>6</v>
      </c>
      <c r="F105" s="56" t="s">
        <v>24</v>
      </c>
      <c r="G105" s="56" t="s">
        <v>25</v>
      </c>
    </row>
    <row r="106" spans="1:15" x14ac:dyDescent="0.25">
      <c r="A106" s="56" t="s">
        <v>385</v>
      </c>
      <c r="B106" s="56" t="s">
        <v>388</v>
      </c>
      <c r="C106" s="56" t="s">
        <v>23</v>
      </c>
      <c r="D106" s="56">
        <v>-0.505</v>
      </c>
      <c r="E106" s="56" t="s">
        <v>6</v>
      </c>
      <c r="F106" s="56" t="s">
        <v>24</v>
      </c>
      <c r="G106" s="56" t="s">
        <v>25</v>
      </c>
    </row>
    <row r="107" spans="1:15" x14ac:dyDescent="0.25">
      <c r="A107" s="56" t="s">
        <v>148</v>
      </c>
      <c r="B107" s="56" t="s">
        <v>147</v>
      </c>
      <c r="C107" s="56" t="s">
        <v>35</v>
      </c>
      <c r="D107" s="56">
        <v>3.08</v>
      </c>
      <c r="E107" s="56" t="s">
        <v>85</v>
      </c>
      <c r="F107" s="56" t="s">
        <v>24</v>
      </c>
      <c r="G107" s="56" t="s">
        <v>25</v>
      </c>
    </row>
    <row r="108" spans="1:15" x14ac:dyDescent="0.25">
      <c r="A108" s="56" t="s">
        <v>386</v>
      </c>
      <c r="B108" s="56" t="s">
        <v>368</v>
      </c>
      <c r="C108" s="56" t="s">
        <v>29</v>
      </c>
      <c r="D108" s="56">
        <v>0.17100000000000001</v>
      </c>
      <c r="E108" s="56" t="s">
        <v>85</v>
      </c>
      <c r="F108" s="56" t="s">
        <v>24</v>
      </c>
      <c r="G108" s="56" t="s">
        <v>25</v>
      </c>
    </row>
    <row r="109" spans="1:15" x14ac:dyDescent="0.25">
      <c r="A109" s="56" t="s">
        <v>74</v>
      </c>
      <c r="D109" s="56">
        <v>0.154</v>
      </c>
      <c r="E109" s="56" t="s">
        <v>6</v>
      </c>
      <c r="F109" s="56" t="s">
        <v>66</v>
      </c>
      <c r="G109" s="56" t="s">
        <v>67</v>
      </c>
      <c r="H109" s="56" t="s">
        <v>390</v>
      </c>
    </row>
    <row r="110" spans="1:15" x14ac:dyDescent="0.25">
      <c r="A110" s="56" t="s">
        <v>72</v>
      </c>
      <c r="D110" s="56">
        <v>2.4500000000000001E-2</v>
      </c>
      <c r="E110" s="56" t="s">
        <v>6</v>
      </c>
      <c r="F110" s="56" t="s">
        <v>66</v>
      </c>
      <c r="G110" s="56" t="s">
        <v>67</v>
      </c>
      <c r="H110" s="56" t="s">
        <v>130</v>
      </c>
    </row>
    <row r="111" spans="1:15" x14ac:dyDescent="0.25">
      <c r="A111" s="56" t="s">
        <v>389</v>
      </c>
      <c r="D111" s="56">
        <v>9.11E-3</v>
      </c>
      <c r="E111" s="56" t="s">
        <v>6</v>
      </c>
      <c r="F111" s="56" t="s">
        <v>66</v>
      </c>
      <c r="G111" s="56" t="s">
        <v>67</v>
      </c>
      <c r="H111" s="56" t="s">
        <v>358</v>
      </c>
    </row>
    <row r="112" spans="1:15" s="65" customFormat="1" x14ac:dyDescent="0.25"/>
    <row r="113" spans="1:15" x14ac:dyDescent="0.25">
      <c r="A113" s="59" t="s">
        <v>0</v>
      </c>
      <c r="B113" s="59" t="s">
        <v>391</v>
      </c>
    </row>
    <row r="114" spans="1:15" x14ac:dyDescent="0.25">
      <c r="A114" s="60" t="s">
        <v>1</v>
      </c>
      <c r="B114" s="56" t="s">
        <v>392</v>
      </c>
    </row>
    <row r="115" spans="1:15" x14ac:dyDescent="0.25">
      <c r="A115" s="60" t="s">
        <v>2</v>
      </c>
      <c r="B115" s="56" t="s">
        <v>35</v>
      </c>
    </row>
    <row r="116" spans="1:15" x14ac:dyDescent="0.25">
      <c r="A116" s="60" t="s">
        <v>4</v>
      </c>
      <c r="B116" s="56">
        <v>1</v>
      </c>
    </row>
    <row r="117" spans="1:15" x14ac:dyDescent="0.25">
      <c r="A117" s="60" t="s">
        <v>5</v>
      </c>
      <c r="B117" s="56" t="s">
        <v>6</v>
      </c>
    </row>
    <row r="118" spans="1:15" x14ac:dyDescent="0.25">
      <c r="A118" s="60" t="s">
        <v>7</v>
      </c>
      <c r="B118" s="56" t="s">
        <v>8</v>
      </c>
    </row>
    <row r="119" spans="1:15" x14ac:dyDescent="0.25">
      <c r="A119" s="60" t="s">
        <v>9</v>
      </c>
    </row>
    <row r="120" spans="1:15" x14ac:dyDescent="0.25">
      <c r="A120" s="59" t="s">
        <v>10</v>
      </c>
      <c r="B120" s="59" t="s">
        <v>1</v>
      </c>
      <c r="C120" s="59" t="s">
        <v>2</v>
      </c>
      <c r="D120" s="59" t="s">
        <v>4</v>
      </c>
      <c r="E120" s="59" t="s">
        <v>5</v>
      </c>
      <c r="F120" s="59" t="s">
        <v>11</v>
      </c>
      <c r="G120" s="59" t="s">
        <v>12</v>
      </c>
      <c r="H120" s="59" t="s">
        <v>13</v>
      </c>
      <c r="I120" s="59" t="s">
        <v>14</v>
      </c>
      <c r="J120" s="59" t="s">
        <v>15</v>
      </c>
      <c r="K120" s="59" t="s">
        <v>16</v>
      </c>
      <c r="L120" s="59" t="s">
        <v>17</v>
      </c>
      <c r="M120" s="59" t="s">
        <v>18</v>
      </c>
      <c r="N120" s="59" t="s">
        <v>19</v>
      </c>
      <c r="O120" s="59" t="s">
        <v>7</v>
      </c>
    </row>
    <row r="121" spans="1:15" x14ac:dyDescent="0.25">
      <c r="A121" s="56" t="str">
        <f>B113</f>
        <v>[P] Leaching (Bayan Obo)</v>
      </c>
      <c r="B121" s="56" t="str">
        <f>B114</f>
        <v>RE chloride</v>
      </c>
      <c r="C121" s="56" t="str">
        <f>B115</f>
        <v>CN</v>
      </c>
      <c r="D121" s="64">
        <v>1</v>
      </c>
      <c r="E121" s="56" t="s">
        <v>6</v>
      </c>
      <c r="F121" s="57" t="str">
        <f>F103</f>
        <v>Rare Earths</v>
      </c>
      <c r="G121" s="56" t="s">
        <v>20</v>
      </c>
    </row>
    <row r="122" spans="1:15" x14ac:dyDescent="0.25">
      <c r="A122" s="56" t="s">
        <v>40</v>
      </c>
      <c r="B122" s="56" t="s">
        <v>41</v>
      </c>
      <c r="C122" s="56" t="s">
        <v>29</v>
      </c>
      <c r="D122" s="56">
        <v>1</v>
      </c>
      <c r="E122" s="56" t="s">
        <v>6</v>
      </c>
      <c r="F122" s="56" t="s">
        <v>24</v>
      </c>
      <c r="G122" s="56" t="s">
        <v>25</v>
      </c>
    </row>
    <row r="123" spans="1:15" x14ac:dyDescent="0.25">
      <c r="A123" s="56" t="s">
        <v>148</v>
      </c>
      <c r="B123" s="56" t="s">
        <v>147</v>
      </c>
      <c r="C123" s="56" t="s">
        <v>35</v>
      </c>
      <c r="D123" s="56">
        <v>9.5399999999999991</v>
      </c>
      <c r="E123" s="56" t="s">
        <v>85</v>
      </c>
      <c r="F123" s="56" t="s">
        <v>24</v>
      </c>
      <c r="G123" s="56" t="s">
        <v>25</v>
      </c>
    </row>
    <row r="124" spans="1:15" x14ac:dyDescent="0.25">
      <c r="A124" s="56" t="s">
        <v>386</v>
      </c>
      <c r="B124" s="56" t="s">
        <v>368</v>
      </c>
      <c r="C124" s="56" t="s">
        <v>29</v>
      </c>
      <c r="D124" s="56">
        <v>0.53</v>
      </c>
      <c r="E124" s="56" t="s">
        <v>85</v>
      </c>
      <c r="F124" s="56" t="s">
        <v>24</v>
      </c>
      <c r="G124" s="56" t="s">
        <v>25</v>
      </c>
    </row>
    <row r="125" spans="1:15" x14ac:dyDescent="0.25">
      <c r="A125" s="56" t="s">
        <v>393</v>
      </c>
      <c r="B125" s="56" t="s">
        <v>394</v>
      </c>
      <c r="C125" s="56" t="s">
        <v>29</v>
      </c>
      <c r="D125" s="56">
        <v>1</v>
      </c>
      <c r="E125" s="56" t="s">
        <v>6</v>
      </c>
      <c r="F125" s="56" t="s">
        <v>24</v>
      </c>
      <c r="G125" s="56" t="s">
        <v>25</v>
      </c>
    </row>
    <row r="126" spans="1:15" x14ac:dyDescent="0.25">
      <c r="A126" s="56" t="s">
        <v>119</v>
      </c>
      <c r="D126" s="56">
        <v>7.5599999999999999E-3</v>
      </c>
      <c r="E126" s="56" t="s">
        <v>93</v>
      </c>
      <c r="F126" s="56" t="s">
        <v>66</v>
      </c>
      <c r="G126" s="56" t="s">
        <v>67</v>
      </c>
      <c r="H126" s="56" t="s">
        <v>360</v>
      </c>
    </row>
    <row r="127" spans="1:15" s="65" customFormat="1" x14ac:dyDescent="0.25"/>
    <row r="128" spans="1:15" x14ac:dyDescent="0.25">
      <c r="A128" s="59" t="s">
        <v>0</v>
      </c>
      <c r="B128" s="59" t="s">
        <v>395</v>
      </c>
    </row>
    <row r="129" spans="1:15" x14ac:dyDescent="0.25">
      <c r="A129" s="60" t="s">
        <v>1</v>
      </c>
      <c r="B129" s="56" t="s">
        <v>396</v>
      </c>
    </row>
    <row r="130" spans="1:15" x14ac:dyDescent="0.25">
      <c r="A130" s="60" t="s">
        <v>2</v>
      </c>
      <c r="B130" s="56" t="s">
        <v>35</v>
      </c>
    </row>
    <row r="131" spans="1:15" x14ac:dyDescent="0.25">
      <c r="A131" s="60" t="s">
        <v>4</v>
      </c>
      <c r="B131" s="56">
        <v>1</v>
      </c>
    </row>
    <row r="132" spans="1:15" x14ac:dyDescent="0.25">
      <c r="A132" s="60" t="s">
        <v>5</v>
      </c>
      <c r="B132" s="56" t="s">
        <v>6</v>
      </c>
    </row>
    <row r="133" spans="1:15" x14ac:dyDescent="0.25">
      <c r="A133" s="60" t="s">
        <v>7</v>
      </c>
      <c r="B133" s="56" t="s">
        <v>8</v>
      </c>
    </row>
    <row r="134" spans="1:15" x14ac:dyDescent="0.25">
      <c r="A134" s="60" t="s">
        <v>9</v>
      </c>
    </row>
    <row r="135" spans="1:15" x14ac:dyDescent="0.25">
      <c r="A135" s="59" t="s">
        <v>10</v>
      </c>
      <c r="B135" s="59" t="s">
        <v>1</v>
      </c>
      <c r="C135" s="59" t="s">
        <v>2</v>
      </c>
      <c r="D135" s="59" t="s">
        <v>4</v>
      </c>
      <c r="E135" s="59" t="s">
        <v>5</v>
      </c>
      <c r="F135" s="59" t="s">
        <v>11</v>
      </c>
      <c r="G135" s="59" t="s">
        <v>12</v>
      </c>
      <c r="H135" s="59" t="s">
        <v>13</v>
      </c>
      <c r="I135" s="59" t="s">
        <v>14</v>
      </c>
      <c r="J135" s="59" t="s">
        <v>15</v>
      </c>
      <c r="K135" s="59" t="s">
        <v>16</v>
      </c>
      <c r="L135" s="59" t="s">
        <v>17</v>
      </c>
      <c r="M135" s="59" t="s">
        <v>18</v>
      </c>
      <c r="N135" s="59" t="s">
        <v>19</v>
      </c>
      <c r="O135" s="59" t="s">
        <v>7</v>
      </c>
    </row>
    <row r="136" spans="1:15" x14ac:dyDescent="0.25">
      <c r="A136" s="56" t="str">
        <f>B128</f>
        <v>[P] Solvent extraction (Bayan Obo)</v>
      </c>
      <c r="B136" s="56" t="str">
        <f>B129</f>
        <v>Separated RE oxides (REO) mix</v>
      </c>
      <c r="C136" s="56" t="str">
        <f>B130</f>
        <v>CN</v>
      </c>
      <c r="D136" s="64">
        <v>1</v>
      </c>
      <c r="E136" s="56" t="s">
        <v>6</v>
      </c>
      <c r="F136" s="57" t="str">
        <f>F121</f>
        <v>Rare Earths</v>
      </c>
      <c r="G136" s="56" t="s">
        <v>20</v>
      </c>
    </row>
    <row r="137" spans="1:15" x14ac:dyDescent="0.25">
      <c r="A137" s="56" t="str">
        <f>A189</f>
        <v>Production of P204</v>
      </c>
      <c r="B137" s="56" t="str">
        <f t="shared" ref="B137:C137" si="2">B189</f>
        <v>P204 extractant</v>
      </c>
      <c r="C137" s="56" t="str">
        <f t="shared" si="2"/>
        <v>CN</v>
      </c>
      <c r="D137" s="124">
        <v>5.0000000000000001E-3</v>
      </c>
      <c r="E137" s="56" t="str">
        <f t="shared" ref="E137:F137" si="3">E189</f>
        <v>kilogram</v>
      </c>
      <c r="F137" s="57" t="str">
        <f t="shared" si="3"/>
        <v>Rare Earths</v>
      </c>
      <c r="G137" s="56" t="s">
        <v>25</v>
      </c>
    </row>
    <row r="138" spans="1:15" x14ac:dyDescent="0.25">
      <c r="A138" s="56" t="s">
        <v>397</v>
      </c>
      <c r="B138" s="56" t="s">
        <v>398</v>
      </c>
      <c r="C138" s="56" t="s">
        <v>23</v>
      </c>
      <c r="D138" s="56">
        <v>4.0909834724267707E-2</v>
      </c>
      <c r="E138" s="56" t="s">
        <v>6</v>
      </c>
      <c r="F138" s="56" t="s">
        <v>24</v>
      </c>
      <c r="G138" s="56" t="s">
        <v>25</v>
      </c>
    </row>
    <row r="139" spans="1:15" x14ac:dyDescent="0.25">
      <c r="A139" s="56" t="s">
        <v>33</v>
      </c>
      <c r="B139" s="56" t="s">
        <v>34</v>
      </c>
      <c r="C139" s="56" t="s">
        <v>35</v>
      </c>
      <c r="D139" s="56">
        <v>0.6</v>
      </c>
      <c r="E139" s="56" t="s">
        <v>6</v>
      </c>
      <c r="F139" s="56" t="s">
        <v>24</v>
      </c>
      <c r="G139" s="56" t="s">
        <v>25</v>
      </c>
    </row>
    <row r="140" spans="1:15" x14ac:dyDescent="0.25">
      <c r="A140" s="56" t="s">
        <v>46</v>
      </c>
      <c r="B140" s="56" t="s">
        <v>47</v>
      </c>
      <c r="C140" s="56" t="s">
        <v>29</v>
      </c>
      <c r="D140" s="56">
        <v>1.6</v>
      </c>
      <c r="E140" s="56" t="s">
        <v>6</v>
      </c>
      <c r="F140" s="56" t="s">
        <v>24</v>
      </c>
      <c r="G140" s="56" t="s">
        <v>25</v>
      </c>
    </row>
    <row r="141" spans="1:15" x14ac:dyDescent="0.25">
      <c r="A141" s="56" t="s">
        <v>40</v>
      </c>
      <c r="B141" s="56" t="s">
        <v>41</v>
      </c>
      <c r="C141" s="56" t="s">
        <v>29</v>
      </c>
      <c r="D141" s="62">
        <v>6</v>
      </c>
      <c r="E141" s="56" t="s">
        <v>6</v>
      </c>
      <c r="F141" s="56" t="s">
        <v>24</v>
      </c>
      <c r="G141" s="56" t="s">
        <v>25</v>
      </c>
    </row>
    <row r="142" spans="1:15" x14ac:dyDescent="0.25">
      <c r="A142" s="56" t="s">
        <v>38</v>
      </c>
      <c r="B142" s="56" t="s">
        <v>39</v>
      </c>
      <c r="C142" s="56" t="s">
        <v>29</v>
      </c>
      <c r="D142" s="56">
        <v>0.02</v>
      </c>
      <c r="E142" s="56" t="s">
        <v>6</v>
      </c>
      <c r="F142" s="56" t="s">
        <v>24</v>
      </c>
      <c r="G142" s="56" t="s">
        <v>25</v>
      </c>
    </row>
    <row r="143" spans="1:15" x14ac:dyDescent="0.25">
      <c r="A143" s="56" t="s">
        <v>62</v>
      </c>
      <c r="B143" s="56" t="s">
        <v>63</v>
      </c>
      <c r="C143" s="56" t="s">
        <v>29</v>
      </c>
      <c r="D143" s="56">
        <v>200</v>
      </c>
      <c r="E143" s="56" t="s">
        <v>6</v>
      </c>
      <c r="F143" s="56" t="s">
        <v>24</v>
      </c>
      <c r="G143" s="56" t="s">
        <v>25</v>
      </c>
    </row>
    <row r="144" spans="1:15" x14ac:dyDescent="0.25">
      <c r="A144" s="56" t="s">
        <v>365</v>
      </c>
      <c r="B144" s="56" t="s">
        <v>58</v>
      </c>
      <c r="C144" s="56" t="s">
        <v>35</v>
      </c>
      <c r="D144" s="123">
        <v>6</v>
      </c>
      <c r="E144" s="56" t="s">
        <v>59</v>
      </c>
      <c r="F144" s="56" t="s">
        <v>24</v>
      </c>
      <c r="G144" s="56" t="s">
        <v>25</v>
      </c>
    </row>
    <row r="145" spans="1:8" x14ac:dyDescent="0.25">
      <c r="A145" s="56" t="s">
        <v>393</v>
      </c>
      <c r="B145" s="56" t="s">
        <v>399</v>
      </c>
      <c r="C145" s="56" t="s">
        <v>29</v>
      </c>
      <c r="D145" s="56">
        <v>1.05</v>
      </c>
      <c r="E145" s="56" t="s">
        <v>6</v>
      </c>
      <c r="F145" s="56" t="s">
        <v>24</v>
      </c>
      <c r="G145" s="56" t="s">
        <v>25</v>
      </c>
    </row>
    <row r="146" spans="1:8" x14ac:dyDescent="0.25">
      <c r="A146" s="56" t="s">
        <v>69</v>
      </c>
      <c r="D146" s="56">
        <v>0.15</v>
      </c>
      <c r="E146" s="56" t="s">
        <v>6</v>
      </c>
      <c r="F146" s="56" t="s">
        <v>66</v>
      </c>
      <c r="G146" s="56" t="s">
        <v>67</v>
      </c>
      <c r="H146" s="56" t="s">
        <v>129</v>
      </c>
    </row>
    <row r="147" spans="1:8" x14ac:dyDescent="0.25">
      <c r="A147" s="56" t="s">
        <v>153</v>
      </c>
      <c r="D147" s="56">
        <v>0.02</v>
      </c>
      <c r="E147" s="56" t="s">
        <v>6</v>
      </c>
      <c r="F147" s="56" t="s">
        <v>66</v>
      </c>
      <c r="G147" s="56" t="s">
        <v>67</v>
      </c>
      <c r="H147" s="56" t="s">
        <v>129</v>
      </c>
    </row>
    <row r="148" spans="1:8" x14ac:dyDescent="0.25">
      <c r="A148" s="56" t="s">
        <v>134</v>
      </c>
      <c r="D148" s="56">
        <v>1.5999999999999999E-5</v>
      </c>
      <c r="E148" s="56" t="s">
        <v>6</v>
      </c>
      <c r="F148" s="56" t="s">
        <v>66</v>
      </c>
      <c r="G148" s="56" t="s">
        <v>67</v>
      </c>
      <c r="H148" s="56" t="s">
        <v>129</v>
      </c>
    </row>
    <row r="149" spans="1:8" x14ac:dyDescent="0.25">
      <c r="A149" s="56" t="s">
        <v>74</v>
      </c>
      <c r="D149" s="56">
        <v>1.4465509999999999</v>
      </c>
      <c r="E149" s="56" t="s">
        <v>6</v>
      </c>
      <c r="F149" s="56" t="s">
        <v>66</v>
      </c>
      <c r="G149" s="56" t="s">
        <v>67</v>
      </c>
      <c r="H149" s="56" t="s">
        <v>130</v>
      </c>
    </row>
    <row r="150" spans="1:8" x14ac:dyDescent="0.25">
      <c r="A150" s="56" t="s">
        <v>400</v>
      </c>
      <c r="D150" s="56">
        <v>1.0078387458006719E-3</v>
      </c>
      <c r="E150" s="56" t="s">
        <v>6</v>
      </c>
      <c r="F150" s="56" t="s">
        <v>66</v>
      </c>
      <c r="G150" s="56" t="s">
        <v>67</v>
      </c>
      <c r="H150" s="56" t="s">
        <v>130</v>
      </c>
    </row>
    <row r="151" spans="1:8" x14ac:dyDescent="0.25">
      <c r="A151" s="56" t="s">
        <v>146</v>
      </c>
      <c r="D151" s="56">
        <v>6.0000000000000002E-5</v>
      </c>
      <c r="E151" s="56" t="s">
        <v>6</v>
      </c>
      <c r="F151" s="56" t="s">
        <v>66</v>
      </c>
      <c r="G151" s="56" t="s">
        <v>67</v>
      </c>
      <c r="H151" s="56" t="s">
        <v>129</v>
      </c>
    </row>
    <row r="152" spans="1:8" x14ac:dyDescent="0.25">
      <c r="A152" s="56" t="s">
        <v>145</v>
      </c>
      <c r="D152" s="56">
        <v>2.0000000000000001E-4</v>
      </c>
      <c r="E152" s="56" t="s">
        <v>6</v>
      </c>
      <c r="F152" s="56" t="s">
        <v>66</v>
      </c>
      <c r="G152" s="56" t="s">
        <v>67</v>
      </c>
      <c r="H152" s="56" t="s">
        <v>129</v>
      </c>
    </row>
    <row r="153" spans="1:8" x14ac:dyDescent="0.25">
      <c r="A153" s="56" t="s">
        <v>683</v>
      </c>
      <c r="D153" s="56">
        <v>7.1250000000000006E-7</v>
      </c>
      <c r="E153" s="56" t="s">
        <v>6</v>
      </c>
      <c r="F153" s="56" t="s">
        <v>66</v>
      </c>
      <c r="G153" s="56" t="s">
        <v>67</v>
      </c>
      <c r="H153" s="56" t="s">
        <v>129</v>
      </c>
    </row>
    <row r="154" spans="1:8" x14ac:dyDescent="0.25">
      <c r="A154" s="56" t="s">
        <v>155</v>
      </c>
      <c r="D154" s="56">
        <v>2.6875699888017921E-3</v>
      </c>
      <c r="E154" s="56" t="s">
        <v>6</v>
      </c>
      <c r="F154" s="56" t="s">
        <v>66</v>
      </c>
      <c r="G154" s="56" t="s">
        <v>67</v>
      </c>
      <c r="H154" s="56" t="s">
        <v>130</v>
      </c>
    </row>
    <row r="155" spans="1:8" x14ac:dyDescent="0.25">
      <c r="A155" s="56" t="s">
        <v>135</v>
      </c>
      <c r="D155" s="56">
        <v>1E-4</v>
      </c>
      <c r="E155" s="56" t="s">
        <v>6</v>
      </c>
      <c r="F155" s="56" t="s">
        <v>66</v>
      </c>
      <c r="G155" s="56" t="s">
        <v>67</v>
      </c>
      <c r="H155" s="56" t="s">
        <v>129</v>
      </c>
    </row>
    <row r="156" spans="1:8" x14ac:dyDescent="0.25">
      <c r="A156" s="56" t="s">
        <v>133</v>
      </c>
      <c r="D156" s="56">
        <v>7.1250000000000007E-10</v>
      </c>
      <c r="E156" s="56" t="s">
        <v>6</v>
      </c>
      <c r="F156" s="56" t="s">
        <v>66</v>
      </c>
      <c r="G156" s="56" t="s">
        <v>67</v>
      </c>
      <c r="H156" s="56" t="s">
        <v>129</v>
      </c>
    </row>
    <row r="157" spans="1:8" x14ac:dyDescent="0.25">
      <c r="A157" s="56" t="s">
        <v>375</v>
      </c>
      <c r="D157" s="56">
        <v>3.6800625000000001E-6</v>
      </c>
      <c r="E157" s="56" t="s">
        <v>6</v>
      </c>
      <c r="F157" s="56" t="s">
        <v>66</v>
      </c>
      <c r="G157" s="56" t="s">
        <v>67</v>
      </c>
      <c r="H157" s="56" t="s">
        <v>129</v>
      </c>
    </row>
    <row r="158" spans="1:8" x14ac:dyDescent="0.25">
      <c r="A158" s="56" t="s">
        <v>141</v>
      </c>
      <c r="D158" s="56">
        <v>0.01</v>
      </c>
      <c r="E158" s="56" t="s">
        <v>6</v>
      </c>
      <c r="F158" s="56" t="s">
        <v>66</v>
      </c>
      <c r="G158" s="56" t="s">
        <v>67</v>
      </c>
      <c r="H158" s="56" t="s">
        <v>129</v>
      </c>
    </row>
    <row r="159" spans="1:8" x14ac:dyDescent="0.25">
      <c r="A159" s="56" t="s">
        <v>401</v>
      </c>
      <c r="D159" s="56">
        <v>6.7189249720044789E-3</v>
      </c>
      <c r="E159" s="56" t="s">
        <v>6</v>
      </c>
      <c r="F159" s="56" t="s">
        <v>66</v>
      </c>
      <c r="G159" s="56" t="s">
        <v>67</v>
      </c>
      <c r="H159" s="56" t="s">
        <v>130</v>
      </c>
    </row>
    <row r="160" spans="1:8" x14ac:dyDescent="0.25">
      <c r="A160" s="56" t="s">
        <v>137</v>
      </c>
      <c r="D160" s="56">
        <v>1E-3</v>
      </c>
      <c r="E160" s="56" t="s">
        <v>6</v>
      </c>
      <c r="F160" s="56" t="s">
        <v>66</v>
      </c>
      <c r="G160" s="56" t="s">
        <v>67</v>
      </c>
      <c r="H160" s="56" t="s">
        <v>129</v>
      </c>
    </row>
    <row r="161" spans="1:15" x14ac:dyDescent="0.25">
      <c r="A161" s="56" t="s">
        <v>349</v>
      </c>
      <c r="D161" s="56">
        <v>1.6797312430011199E-3</v>
      </c>
      <c r="E161" s="56" t="s">
        <v>6</v>
      </c>
      <c r="F161" s="56" t="s">
        <v>66</v>
      </c>
      <c r="G161" s="56" t="s">
        <v>67</v>
      </c>
      <c r="H161" s="56" t="s">
        <v>130</v>
      </c>
    </row>
    <row r="162" spans="1:15" x14ac:dyDescent="0.25">
      <c r="A162" s="56" t="s">
        <v>138</v>
      </c>
      <c r="D162" s="56">
        <v>5.9999999999999995E-4</v>
      </c>
      <c r="E162" s="56" t="s">
        <v>6</v>
      </c>
      <c r="F162" s="56" t="s">
        <v>66</v>
      </c>
      <c r="G162" s="56" t="s">
        <v>67</v>
      </c>
      <c r="H162" s="56" t="s">
        <v>129</v>
      </c>
    </row>
    <row r="163" spans="1:15" x14ac:dyDescent="0.25">
      <c r="A163" s="56" t="s">
        <v>154</v>
      </c>
      <c r="D163" s="56">
        <v>1.511758118701008E-3</v>
      </c>
      <c r="E163" s="56" t="s">
        <v>6</v>
      </c>
      <c r="F163" s="56" t="s">
        <v>66</v>
      </c>
      <c r="G163" s="56" t="s">
        <v>67</v>
      </c>
      <c r="H163" s="56" t="s">
        <v>130</v>
      </c>
    </row>
    <row r="164" spans="1:15" x14ac:dyDescent="0.25">
      <c r="A164" s="56" t="s">
        <v>152</v>
      </c>
      <c r="D164" s="56">
        <v>0.04</v>
      </c>
      <c r="E164" s="56" t="s">
        <v>6</v>
      </c>
      <c r="F164" s="56" t="s">
        <v>66</v>
      </c>
      <c r="G164" s="56" t="s">
        <v>67</v>
      </c>
      <c r="H164" s="56" t="s">
        <v>129</v>
      </c>
    </row>
    <row r="165" spans="1:15" x14ac:dyDescent="0.25">
      <c r="A165" s="56" t="s">
        <v>143</v>
      </c>
      <c r="D165" s="56">
        <v>2.9999999999999997E-4</v>
      </c>
      <c r="E165" s="56" t="s">
        <v>6</v>
      </c>
      <c r="F165" s="56" t="s">
        <v>66</v>
      </c>
      <c r="G165" s="56" t="s">
        <v>67</v>
      </c>
      <c r="H165" s="56" t="s">
        <v>129</v>
      </c>
    </row>
    <row r="166" spans="1:15" s="65" customFormat="1" x14ac:dyDescent="0.25"/>
    <row r="167" spans="1:15" x14ac:dyDescent="0.25">
      <c r="A167" s="59" t="s">
        <v>0</v>
      </c>
      <c r="B167" s="59" t="s">
        <v>363</v>
      </c>
    </row>
    <row r="168" spans="1:15" x14ac:dyDescent="0.25">
      <c r="A168" s="60" t="s">
        <v>1</v>
      </c>
      <c r="B168" s="56" t="s">
        <v>369</v>
      </c>
    </row>
    <row r="169" spans="1:15" x14ac:dyDescent="0.25">
      <c r="A169" s="60" t="s">
        <v>2</v>
      </c>
      <c r="B169" s="56" t="s">
        <v>35</v>
      </c>
    </row>
    <row r="170" spans="1:15" x14ac:dyDescent="0.25">
      <c r="A170" s="60" t="s">
        <v>4</v>
      </c>
      <c r="B170" s="56">
        <v>1</v>
      </c>
    </row>
    <row r="171" spans="1:15" x14ac:dyDescent="0.25">
      <c r="A171" s="60" t="s">
        <v>5</v>
      </c>
      <c r="B171" s="56" t="s">
        <v>6</v>
      </c>
    </row>
    <row r="172" spans="1:15" x14ac:dyDescent="0.25">
      <c r="A172" s="60" t="s">
        <v>7</v>
      </c>
      <c r="B172" s="56" t="s">
        <v>8</v>
      </c>
    </row>
    <row r="173" spans="1:15" x14ac:dyDescent="0.25">
      <c r="A173" s="60" t="s">
        <v>9</v>
      </c>
    </row>
    <row r="174" spans="1:15" x14ac:dyDescent="0.25">
      <c r="A174" s="59" t="s">
        <v>10</v>
      </c>
      <c r="B174" s="59" t="s">
        <v>1</v>
      </c>
      <c r="C174" s="59" t="s">
        <v>2</v>
      </c>
      <c r="D174" s="59" t="s">
        <v>4</v>
      </c>
      <c r="E174" s="59" t="s">
        <v>5</v>
      </c>
      <c r="F174" s="59" t="s">
        <v>11</v>
      </c>
      <c r="G174" s="59" t="s">
        <v>12</v>
      </c>
      <c r="H174" s="59" t="s">
        <v>13</v>
      </c>
      <c r="I174" s="59" t="s">
        <v>14</v>
      </c>
      <c r="J174" s="59" t="s">
        <v>15</v>
      </c>
      <c r="K174" s="59" t="s">
        <v>16</v>
      </c>
      <c r="L174" s="59" t="s">
        <v>17</v>
      </c>
      <c r="M174" s="59" t="s">
        <v>18</v>
      </c>
      <c r="N174" s="59" t="s">
        <v>19</v>
      </c>
      <c r="O174" s="59" t="s">
        <v>7</v>
      </c>
    </row>
    <row r="175" spans="1:15" x14ac:dyDescent="0.25">
      <c r="A175" s="56" t="str">
        <f>B167</f>
        <v>Production of ammonium hydroxide (10% mass)</v>
      </c>
      <c r="B175" s="56" t="str">
        <f>B168</f>
        <v>ammonium hydroxide (10%)</v>
      </c>
      <c r="C175" s="56" t="str">
        <f>B169</f>
        <v>CN</v>
      </c>
      <c r="D175" s="64">
        <v>1</v>
      </c>
      <c r="E175" s="56" t="s">
        <v>6</v>
      </c>
      <c r="F175" s="57" t="str">
        <f>F136</f>
        <v>Rare Earths</v>
      </c>
      <c r="G175" s="56" t="s">
        <v>20</v>
      </c>
    </row>
    <row r="176" spans="1:15" x14ac:dyDescent="0.25">
      <c r="A176" s="56" t="s">
        <v>33</v>
      </c>
      <c r="B176" s="56" t="s">
        <v>34</v>
      </c>
      <c r="C176" s="56" t="s">
        <v>35</v>
      </c>
      <c r="D176" s="56">
        <v>0.1</v>
      </c>
      <c r="E176" s="56" t="s">
        <v>6</v>
      </c>
      <c r="F176" s="56" t="s">
        <v>24</v>
      </c>
      <c r="G176" s="56" t="s">
        <v>25</v>
      </c>
    </row>
    <row r="177" spans="1:15" x14ac:dyDescent="0.25">
      <c r="A177" s="56" t="s">
        <v>62</v>
      </c>
      <c r="B177" s="56" t="s">
        <v>63</v>
      </c>
      <c r="C177" s="56" t="s">
        <v>29</v>
      </c>
      <c r="D177" s="56">
        <v>0.9</v>
      </c>
      <c r="E177" s="56" t="s">
        <v>6</v>
      </c>
      <c r="F177" s="56" t="s">
        <v>24</v>
      </c>
      <c r="G177" s="56" t="s">
        <v>25</v>
      </c>
    </row>
    <row r="178" spans="1:15" x14ac:dyDescent="0.25">
      <c r="A178" s="56" t="s">
        <v>342</v>
      </c>
      <c r="D178" s="56">
        <v>18.032153099999999</v>
      </c>
      <c r="E178" s="56" t="s">
        <v>78</v>
      </c>
      <c r="F178" s="56" t="s">
        <v>66</v>
      </c>
      <c r="G178" s="56" t="s">
        <v>67</v>
      </c>
      <c r="H178" s="56" t="s">
        <v>130</v>
      </c>
    </row>
    <row r="179" spans="1:15" x14ac:dyDescent="0.25">
      <c r="A179" s="56" t="s">
        <v>403</v>
      </c>
      <c r="D179" s="56">
        <v>1.2923E-2</v>
      </c>
      <c r="E179" s="56" t="s">
        <v>93</v>
      </c>
      <c r="F179" s="56" t="s">
        <v>66</v>
      </c>
      <c r="G179" s="56" t="s">
        <v>67</v>
      </c>
      <c r="H179" s="56" t="s">
        <v>360</v>
      </c>
    </row>
    <row r="180" spans="1:15" s="65" customFormat="1" x14ac:dyDescent="0.25"/>
    <row r="181" spans="1:15" x14ac:dyDescent="0.25">
      <c r="A181" s="59" t="s">
        <v>0</v>
      </c>
      <c r="B181" s="59" t="s">
        <v>404</v>
      </c>
    </row>
    <row r="182" spans="1:15" x14ac:dyDescent="0.25">
      <c r="A182" s="60" t="s">
        <v>1</v>
      </c>
      <c r="B182" s="56" t="s">
        <v>405</v>
      </c>
    </row>
    <row r="183" spans="1:15" x14ac:dyDescent="0.25">
      <c r="A183" s="60" t="s">
        <v>2</v>
      </c>
      <c r="B183" s="56" t="s">
        <v>35</v>
      </c>
    </row>
    <row r="184" spans="1:15" x14ac:dyDescent="0.25">
      <c r="A184" s="60" t="s">
        <v>4</v>
      </c>
      <c r="B184" s="56">
        <v>1</v>
      </c>
    </row>
    <row r="185" spans="1:15" x14ac:dyDescent="0.25">
      <c r="A185" s="60" t="s">
        <v>5</v>
      </c>
      <c r="B185" s="56" t="s">
        <v>6</v>
      </c>
    </row>
    <row r="186" spans="1:15" x14ac:dyDescent="0.25">
      <c r="A186" s="60" t="s">
        <v>7</v>
      </c>
      <c r="B186" s="56" t="s">
        <v>8</v>
      </c>
    </row>
    <row r="187" spans="1:15" x14ac:dyDescent="0.25">
      <c r="A187" s="60" t="s">
        <v>9</v>
      </c>
    </row>
    <row r="188" spans="1:15" x14ac:dyDescent="0.25">
      <c r="A188" s="59" t="s">
        <v>10</v>
      </c>
      <c r="B188" s="59" t="s">
        <v>1</v>
      </c>
      <c r="C188" s="59" t="s">
        <v>2</v>
      </c>
      <c r="D188" s="59" t="s">
        <v>4</v>
      </c>
      <c r="E188" s="59" t="s">
        <v>5</v>
      </c>
      <c r="F188" s="59" t="s">
        <v>11</v>
      </c>
      <c r="G188" s="59" t="s">
        <v>12</v>
      </c>
      <c r="H188" s="59" t="s">
        <v>13</v>
      </c>
      <c r="I188" s="59" t="s">
        <v>14</v>
      </c>
      <c r="J188" s="59" t="s">
        <v>15</v>
      </c>
      <c r="K188" s="59" t="s">
        <v>16</v>
      </c>
      <c r="L188" s="59" t="s">
        <v>17</v>
      </c>
      <c r="M188" s="59" t="s">
        <v>18</v>
      </c>
      <c r="N188" s="59" t="s">
        <v>19</v>
      </c>
      <c r="O188" s="59" t="s">
        <v>7</v>
      </c>
    </row>
    <row r="189" spans="1:15" x14ac:dyDescent="0.25">
      <c r="A189" s="56" t="str">
        <f>B181</f>
        <v>Production of P204</v>
      </c>
      <c r="B189" s="56" t="str">
        <f>B182</f>
        <v>P204 extractant</v>
      </c>
      <c r="C189" s="56" t="str">
        <f>B183</f>
        <v>CN</v>
      </c>
      <c r="D189" s="64">
        <v>1</v>
      </c>
      <c r="E189" s="56" t="s">
        <v>6</v>
      </c>
      <c r="F189" s="57" t="str">
        <f>F175</f>
        <v>Rare Earths</v>
      </c>
      <c r="G189" s="56" t="s">
        <v>20</v>
      </c>
    </row>
    <row r="190" spans="1:15" x14ac:dyDescent="0.25">
      <c r="A190" s="56" t="s">
        <v>406</v>
      </c>
      <c r="B190" s="56" t="s">
        <v>412</v>
      </c>
      <c r="C190" s="56" t="s">
        <v>29</v>
      </c>
      <c r="D190" s="61">
        <v>1.03</v>
      </c>
      <c r="E190" s="56" t="s">
        <v>6</v>
      </c>
      <c r="F190" s="56" t="s">
        <v>24</v>
      </c>
      <c r="G190" s="56" t="s">
        <v>25</v>
      </c>
    </row>
    <row r="191" spans="1:15" x14ac:dyDescent="0.25">
      <c r="A191" s="56" t="s">
        <v>407</v>
      </c>
      <c r="B191" s="56" t="s">
        <v>413</v>
      </c>
      <c r="C191" s="56" t="s">
        <v>29</v>
      </c>
      <c r="D191" s="61">
        <v>0.28599999999999998</v>
      </c>
      <c r="E191" s="56" t="s">
        <v>6</v>
      </c>
      <c r="F191" s="56" t="s">
        <v>24</v>
      </c>
      <c r="G191" s="56" t="s">
        <v>25</v>
      </c>
    </row>
    <row r="192" spans="1:15" x14ac:dyDescent="0.25">
      <c r="A192" s="56" t="s">
        <v>408</v>
      </c>
      <c r="B192" s="56" t="s">
        <v>414</v>
      </c>
      <c r="C192" s="56" t="s">
        <v>29</v>
      </c>
      <c r="D192" s="61">
        <v>0.27300000000000002</v>
      </c>
      <c r="E192" s="56" t="s">
        <v>6</v>
      </c>
      <c r="F192" s="56" t="s">
        <v>24</v>
      </c>
      <c r="G192" s="56" t="s">
        <v>25</v>
      </c>
    </row>
    <row r="193" spans="1:15" x14ac:dyDescent="0.25">
      <c r="A193" s="56" t="s">
        <v>409</v>
      </c>
      <c r="B193" s="56" t="s">
        <v>415</v>
      </c>
      <c r="C193" s="56" t="s">
        <v>29</v>
      </c>
      <c r="D193" s="61">
        <v>0.55800000000000005</v>
      </c>
      <c r="E193" s="56" t="s">
        <v>6</v>
      </c>
      <c r="F193" s="56" t="s">
        <v>24</v>
      </c>
      <c r="G193" s="56" t="s">
        <v>25</v>
      </c>
    </row>
    <row r="194" spans="1:15" x14ac:dyDescent="0.25">
      <c r="A194" s="56" t="s">
        <v>410</v>
      </c>
      <c r="B194" s="56" t="s">
        <v>416</v>
      </c>
      <c r="C194" s="56" t="s">
        <v>29</v>
      </c>
      <c r="D194" s="61">
        <v>0.61599999999999999</v>
      </c>
      <c r="E194" s="56" t="s">
        <v>6</v>
      </c>
      <c r="F194" s="56" t="s">
        <v>24</v>
      </c>
      <c r="G194" s="56" t="s">
        <v>25</v>
      </c>
    </row>
    <row r="195" spans="1:15" x14ac:dyDescent="0.25">
      <c r="A195" s="56" t="s">
        <v>411</v>
      </c>
      <c r="B195" s="56" t="s">
        <v>417</v>
      </c>
      <c r="C195" s="56" t="s">
        <v>29</v>
      </c>
      <c r="D195" s="61">
        <v>1.55</v>
      </c>
      <c r="E195" s="56" t="s">
        <v>6</v>
      </c>
      <c r="F195" s="56" t="s">
        <v>24</v>
      </c>
      <c r="G195" s="56" t="s">
        <v>25</v>
      </c>
    </row>
    <row r="196" spans="1:15" x14ac:dyDescent="0.25">
      <c r="A196" s="56" t="s">
        <v>42</v>
      </c>
      <c r="B196" s="56" t="s">
        <v>43</v>
      </c>
      <c r="C196" s="56" t="s">
        <v>29</v>
      </c>
      <c r="D196" s="61">
        <v>0.33200000000000002</v>
      </c>
      <c r="E196" s="56" t="s">
        <v>6</v>
      </c>
      <c r="F196" s="56" t="s">
        <v>24</v>
      </c>
      <c r="G196" s="56" t="s">
        <v>25</v>
      </c>
    </row>
    <row r="197" spans="1:15" x14ac:dyDescent="0.25">
      <c r="A197" s="56" t="s">
        <v>62</v>
      </c>
      <c r="B197" s="56" t="s">
        <v>63</v>
      </c>
      <c r="C197" s="56" t="s">
        <v>29</v>
      </c>
      <c r="D197" s="61">
        <v>0.19600000000000001</v>
      </c>
      <c r="E197" s="56" t="s">
        <v>6</v>
      </c>
      <c r="F197" s="56" t="s">
        <v>24</v>
      </c>
      <c r="G197" s="56" t="s">
        <v>25</v>
      </c>
    </row>
    <row r="198" spans="1:15" x14ac:dyDescent="0.25">
      <c r="A198" s="56" t="s">
        <v>365</v>
      </c>
      <c r="B198" s="56" t="s">
        <v>58</v>
      </c>
      <c r="C198" s="56" t="s">
        <v>35</v>
      </c>
      <c r="D198" s="61">
        <v>0.9</v>
      </c>
      <c r="E198" s="56" t="s">
        <v>59</v>
      </c>
      <c r="F198" s="56" t="s">
        <v>24</v>
      </c>
      <c r="G198" s="56" t="s">
        <v>25</v>
      </c>
    </row>
    <row r="199" spans="1:15" s="58" customFormat="1" x14ac:dyDescent="0.25"/>
    <row r="200" spans="1:15" x14ac:dyDescent="0.25">
      <c r="A200" s="59" t="s">
        <v>0</v>
      </c>
      <c r="B200" s="59" t="s">
        <v>402</v>
      </c>
    </row>
    <row r="201" spans="1:15" x14ac:dyDescent="0.25">
      <c r="A201" s="60" t="s">
        <v>1</v>
      </c>
      <c r="B201" s="56" t="s">
        <v>243</v>
      </c>
    </row>
    <row r="202" spans="1:15" x14ac:dyDescent="0.25">
      <c r="A202" s="60" t="s">
        <v>2</v>
      </c>
      <c r="B202" s="56" t="s">
        <v>35</v>
      </c>
    </row>
    <row r="203" spans="1:15" x14ac:dyDescent="0.25">
      <c r="A203" s="60" t="s">
        <v>4</v>
      </c>
      <c r="B203" s="56">
        <v>1</v>
      </c>
    </row>
    <row r="204" spans="1:15" x14ac:dyDescent="0.25">
      <c r="A204" s="60" t="s">
        <v>5</v>
      </c>
      <c r="B204" s="56" t="s">
        <v>6</v>
      </c>
    </row>
    <row r="205" spans="1:15" x14ac:dyDescent="0.25">
      <c r="A205" s="60" t="s">
        <v>7</v>
      </c>
      <c r="B205" s="127" t="s">
        <v>467</v>
      </c>
    </row>
    <row r="206" spans="1:15" x14ac:dyDescent="0.25">
      <c r="A206" s="60" t="s">
        <v>9</v>
      </c>
    </row>
    <row r="207" spans="1:15" x14ac:dyDescent="0.25">
      <c r="A207" s="59" t="s">
        <v>10</v>
      </c>
      <c r="B207" s="59" t="s">
        <v>1</v>
      </c>
      <c r="C207" s="59" t="s">
        <v>2</v>
      </c>
      <c r="D207" s="59" t="s">
        <v>4</v>
      </c>
      <c r="E207" s="59" t="s">
        <v>5</v>
      </c>
      <c r="F207" s="59" t="s">
        <v>11</v>
      </c>
      <c r="G207" s="59" t="s">
        <v>12</v>
      </c>
      <c r="H207" s="59" t="s">
        <v>13</v>
      </c>
      <c r="I207" s="59" t="s">
        <v>14</v>
      </c>
      <c r="J207" s="59" t="s">
        <v>15</v>
      </c>
      <c r="K207" s="59" t="s">
        <v>16</v>
      </c>
      <c r="L207" s="59" t="s">
        <v>17</v>
      </c>
      <c r="M207" s="59" t="s">
        <v>18</v>
      </c>
      <c r="N207" s="59" t="s">
        <v>19</v>
      </c>
      <c r="O207" s="59" t="s">
        <v>7</v>
      </c>
    </row>
    <row r="208" spans="1:15" x14ac:dyDescent="0.25">
      <c r="A208" s="56" t="str">
        <f>B200</f>
        <v>Bastnaesite-monazite ore mining and REO production in China/Bayan Obo</v>
      </c>
      <c r="B208" s="56" t="str">
        <f>B201</f>
        <v>REO</v>
      </c>
      <c r="C208" s="56" t="str">
        <f>B202</f>
        <v>CN</v>
      </c>
      <c r="D208" s="64">
        <v>1</v>
      </c>
      <c r="E208" s="56" t="str">
        <f>B204</f>
        <v>kilogram</v>
      </c>
      <c r="F208" s="57" t="str">
        <f>F136</f>
        <v>Rare Earths</v>
      </c>
      <c r="G208" s="56" t="s">
        <v>20</v>
      </c>
    </row>
    <row r="209" spans="1:15" x14ac:dyDescent="0.25">
      <c r="A209" s="56" t="str">
        <f>A136</f>
        <v>[P] Solvent extraction (Bayan Obo)</v>
      </c>
      <c r="B209" s="56" t="str">
        <f>B136</f>
        <v>Separated RE oxides (REO) mix</v>
      </c>
      <c r="C209" s="56" t="str">
        <f>C136</f>
        <v>CN</v>
      </c>
      <c r="D209" s="56">
        <v>1</v>
      </c>
      <c r="E209" s="56" t="str">
        <f>E136</f>
        <v>kilogram</v>
      </c>
      <c r="F209" s="57" t="str">
        <f>F136</f>
        <v>Rare Earths</v>
      </c>
      <c r="G209" s="56" t="s">
        <v>25</v>
      </c>
    </row>
    <row r="210" spans="1:15" x14ac:dyDescent="0.25">
      <c r="A210" s="56" t="str">
        <f>A121</f>
        <v>[P] Leaching (Bayan Obo)</v>
      </c>
      <c r="B210" s="56" t="str">
        <f>B121</f>
        <v>RE chloride</v>
      </c>
      <c r="C210" s="56" t="str">
        <f>C121</f>
        <v>CN</v>
      </c>
      <c r="D210" s="56">
        <v>1.1197999999999999</v>
      </c>
      <c r="E210" s="56" t="str">
        <f>E121</f>
        <v>kilogram</v>
      </c>
      <c r="F210" s="57" t="str">
        <f>F121</f>
        <v>Rare Earths</v>
      </c>
      <c r="G210" s="56" t="s">
        <v>25</v>
      </c>
    </row>
    <row r="211" spans="1:15" x14ac:dyDescent="0.25">
      <c r="A211" s="56" t="str">
        <f>A103</f>
        <v>[P] Roasting (Bayan Obo)</v>
      </c>
      <c r="B211" s="56" t="str">
        <f>B103</f>
        <v>RE sulfate</v>
      </c>
      <c r="C211" s="56" t="str">
        <f>C103</f>
        <v>CN</v>
      </c>
      <c r="D211" s="56">
        <v>1.9820459999999998</v>
      </c>
      <c r="E211" s="56" t="str">
        <f>E103</f>
        <v>kilogram</v>
      </c>
      <c r="F211" s="57" t="str">
        <f>F103</f>
        <v>Rare Earths</v>
      </c>
      <c r="G211" s="56" t="s">
        <v>25</v>
      </c>
    </row>
    <row r="212" spans="1:15" x14ac:dyDescent="0.25">
      <c r="A212" s="56" t="str">
        <f>A57</f>
        <v>[C] Bastnaesite-Monazite ore concentration (Bayan Obo)</v>
      </c>
      <c r="B212" s="56" t="str">
        <f>B57</f>
        <v>Rare Earths (RE) concentrate</v>
      </c>
      <c r="C212" s="56" t="str">
        <f>C57</f>
        <v>CN</v>
      </c>
      <c r="D212" s="56">
        <v>2.20007106</v>
      </c>
      <c r="E212" s="56" t="str">
        <f>E57</f>
        <v>kilogram</v>
      </c>
      <c r="F212" s="57" t="str">
        <f>F57</f>
        <v>Rare Earths</v>
      </c>
      <c r="G212" s="56" t="s">
        <v>25</v>
      </c>
    </row>
    <row r="213" spans="1:15" x14ac:dyDescent="0.25">
      <c r="A213" s="56" t="str">
        <f>A9</f>
        <v>[M] Bastnaesite-Monazite ore mining (Bayan Obo)</v>
      </c>
      <c r="B213" s="56" t="str">
        <f>B9</f>
        <v>Bastnaesite-Monazite ore</v>
      </c>
      <c r="C213" s="56" t="str">
        <f>C9</f>
        <v>CN</v>
      </c>
      <c r="D213" s="127">
        <v>49.925123802552626</v>
      </c>
      <c r="E213" s="56" t="str">
        <f>E9</f>
        <v>kilogram</v>
      </c>
      <c r="F213" s="57" t="str">
        <f>F9</f>
        <v>Rare Earths</v>
      </c>
      <c r="G213" s="56" t="s">
        <v>25</v>
      </c>
    </row>
    <row r="214" spans="1:15" s="58" customFormat="1" x14ac:dyDescent="0.25"/>
    <row r="215" spans="1:15" x14ac:dyDescent="0.25">
      <c r="A215" s="59" t="s">
        <v>0</v>
      </c>
      <c r="B215" s="59" t="s">
        <v>418</v>
      </c>
    </row>
    <row r="216" spans="1:15" x14ac:dyDescent="0.25">
      <c r="A216" s="60" t="s">
        <v>1</v>
      </c>
      <c r="B216" s="56" t="s">
        <v>271</v>
      </c>
    </row>
    <row r="217" spans="1:15" x14ac:dyDescent="0.25">
      <c r="A217" s="60" t="s">
        <v>2</v>
      </c>
      <c r="B217" s="56" t="s">
        <v>35</v>
      </c>
    </row>
    <row r="218" spans="1:15" x14ac:dyDescent="0.25">
      <c r="A218" s="60" t="s">
        <v>4</v>
      </c>
      <c r="B218" s="56">
        <v>1</v>
      </c>
    </row>
    <row r="219" spans="1:15" x14ac:dyDescent="0.25">
      <c r="A219" s="60" t="s">
        <v>5</v>
      </c>
      <c r="B219" s="56" t="s">
        <v>6</v>
      </c>
    </row>
    <row r="220" spans="1:15" ht="30" x14ac:dyDescent="0.25">
      <c r="A220" s="60" t="s">
        <v>7</v>
      </c>
      <c r="B220" s="67" t="s">
        <v>246</v>
      </c>
    </row>
    <row r="221" spans="1:15" x14ac:dyDescent="0.25">
      <c r="A221" s="60" t="s">
        <v>9</v>
      </c>
    </row>
    <row r="222" spans="1:15" x14ac:dyDescent="0.25">
      <c r="A222" s="59" t="s">
        <v>10</v>
      </c>
      <c r="B222" s="59" t="s">
        <v>1</v>
      </c>
      <c r="C222" s="59" t="s">
        <v>2</v>
      </c>
      <c r="D222" s="59" t="s">
        <v>4</v>
      </c>
      <c r="E222" s="59" t="s">
        <v>5</v>
      </c>
      <c r="F222" s="59" t="s">
        <v>11</v>
      </c>
      <c r="G222" s="59" t="s">
        <v>12</v>
      </c>
      <c r="H222" s="59" t="s">
        <v>13</v>
      </c>
      <c r="I222" s="59" t="s">
        <v>14</v>
      </c>
      <c r="J222" s="59" t="s">
        <v>15</v>
      </c>
      <c r="K222" s="59" t="s">
        <v>16</v>
      </c>
      <c r="L222" s="59" t="s">
        <v>17</v>
      </c>
      <c r="M222" s="59" t="s">
        <v>18</v>
      </c>
      <c r="N222" s="59" t="s">
        <v>19</v>
      </c>
      <c r="O222" s="59" t="s">
        <v>7</v>
      </c>
    </row>
    <row r="223" spans="1:15" x14ac:dyDescent="0.25">
      <c r="A223" s="56" t="str">
        <f>B215</f>
        <v>Neodymium oxide (Nd2O3) production in China/Bayan Obo</v>
      </c>
      <c r="B223" s="56" t="str">
        <f>B216</f>
        <v>Nd2O3</v>
      </c>
      <c r="C223" s="56" t="str">
        <f>B217</f>
        <v>CN</v>
      </c>
      <c r="D223" s="64">
        <v>1</v>
      </c>
      <c r="E223" s="56" t="str">
        <f>B219</f>
        <v>kilogram</v>
      </c>
      <c r="F223" s="57" t="str">
        <f>F208</f>
        <v>Rare Earths</v>
      </c>
      <c r="G223" s="56" t="s">
        <v>20</v>
      </c>
    </row>
    <row r="224" spans="1:15" x14ac:dyDescent="0.25">
      <c r="A224" s="56" t="str">
        <f>A208</f>
        <v>Bastnaesite-monazite ore mining and REO production in China/Bayan Obo</v>
      </c>
      <c r="B224" s="56" t="str">
        <f t="shared" ref="B224:F224" si="4">B208</f>
        <v>REO</v>
      </c>
      <c r="C224" s="56" t="str">
        <f t="shared" si="4"/>
        <v>CN</v>
      </c>
      <c r="D224" s="56">
        <v>3.6911716904293526</v>
      </c>
      <c r="E224" s="56" t="str">
        <f t="shared" si="4"/>
        <v>kilogram</v>
      </c>
      <c r="F224" s="57" t="str">
        <f t="shared" si="4"/>
        <v>Rare Earths</v>
      </c>
      <c r="G224" s="56" t="s">
        <v>25</v>
      </c>
    </row>
    <row r="225" spans="1:15" s="58" customFormat="1" x14ac:dyDescent="0.25"/>
    <row r="226" spans="1:15" x14ac:dyDescent="0.25">
      <c r="A226" s="59" t="s">
        <v>0</v>
      </c>
      <c r="B226" s="59" t="s">
        <v>419</v>
      </c>
    </row>
    <row r="227" spans="1:15" x14ac:dyDescent="0.25">
      <c r="A227" s="60" t="s">
        <v>1</v>
      </c>
      <c r="B227" s="56" t="s">
        <v>273</v>
      </c>
    </row>
    <row r="228" spans="1:15" x14ac:dyDescent="0.25">
      <c r="A228" s="60" t="s">
        <v>2</v>
      </c>
      <c r="B228" s="56" t="s">
        <v>35</v>
      </c>
    </row>
    <row r="229" spans="1:15" x14ac:dyDescent="0.25">
      <c r="A229" s="60" t="s">
        <v>4</v>
      </c>
      <c r="B229" s="56">
        <v>1</v>
      </c>
    </row>
    <row r="230" spans="1:15" x14ac:dyDescent="0.25">
      <c r="A230" s="60" t="s">
        <v>5</v>
      </c>
      <c r="B230" s="56" t="s">
        <v>6</v>
      </c>
    </row>
    <row r="231" spans="1:15" x14ac:dyDescent="0.25">
      <c r="A231" s="60" t="s">
        <v>7</v>
      </c>
      <c r="B231" s="56" t="s">
        <v>274</v>
      </c>
    </row>
    <row r="232" spans="1:15" x14ac:dyDescent="0.25">
      <c r="A232" s="60" t="s">
        <v>9</v>
      </c>
    </row>
    <row r="233" spans="1:15" x14ac:dyDescent="0.25">
      <c r="A233" s="59" t="s">
        <v>10</v>
      </c>
      <c r="B233" s="59" t="s">
        <v>1</v>
      </c>
      <c r="C233" s="59" t="s">
        <v>2</v>
      </c>
      <c r="D233" s="59" t="s">
        <v>4</v>
      </c>
      <c r="E233" s="59" t="s">
        <v>5</v>
      </c>
      <c r="F233" s="59" t="s">
        <v>11</v>
      </c>
      <c r="G233" s="59" t="s">
        <v>12</v>
      </c>
      <c r="H233" s="59" t="s">
        <v>13</v>
      </c>
      <c r="I233" s="59" t="s">
        <v>14</v>
      </c>
      <c r="J233" s="59" t="s">
        <v>15</v>
      </c>
      <c r="K233" s="59" t="s">
        <v>16</v>
      </c>
      <c r="L233" s="59" t="s">
        <v>17</v>
      </c>
      <c r="M233" s="59" t="s">
        <v>18</v>
      </c>
      <c r="N233" s="59" t="s">
        <v>19</v>
      </c>
      <c r="O233" s="59" t="s">
        <v>7</v>
      </c>
    </row>
    <row r="234" spans="1:15" x14ac:dyDescent="0.25">
      <c r="A234" s="56" t="str">
        <f>B226</f>
        <v>Neodymium oxide (Nd2O3) production in China/Bayan Obo (Nd content)</v>
      </c>
      <c r="B234" s="56" t="str">
        <f>B227</f>
        <v>Nd2O3 (Nd content)</v>
      </c>
      <c r="C234" s="56" t="str">
        <f>B228</f>
        <v>CN</v>
      </c>
      <c r="D234" s="64">
        <v>1</v>
      </c>
      <c r="E234" s="56" t="str">
        <f>B230</f>
        <v>kilogram</v>
      </c>
      <c r="F234" s="57" t="str">
        <f>F223</f>
        <v>Rare Earths</v>
      </c>
      <c r="G234" s="56" t="s">
        <v>20</v>
      </c>
    </row>
    <row r="235" spans="1:15" x14ac:dyDescent="0.25">
      <c r="A235" s="56" t="str">
        <f>A223</f>
        <v>Neodymium oxide (Nd2O3) production in China/Bayan Obo</v>
      </c>
      <c r="B235" s="56" t="str">
        <f t="shared" ref="B235:F235" si="5">B223</f>
        <v>Nd2O3</v>
      </c>
      <c r="C235" s="56" t="str">
        <f t="shared" si="5"/>
        <v>CN</v>
      </c>
      <c r="D235" s="56">
        <v>1.1663167716351761</v>
      </c>
      <c r="E235" s="56" t="str">
        <f t="shared" si="5"/>
        <v>kilogram</v>
      </c>
      <c r="F235" s="57" t="str">
        <f t="shared" si="5"/>
        <v>Rare Earths</v>
      </c>
      <c r="G235" s="56" t="s">
        <v>25</v>
      </c>
    </row>
    <row r="236" spans="1:15" s="58" customFormat="1" x14ac:dyDescent="0.25"/>
    <row r="237" spans="1:15" x14ac:dyDescent="0.25">
      <c r="A237" s="59" t="s">
        <v>0</v>
      </c>
      <c r="B237" s="59" t="s">
        <v>420</v>
      </c>
    </row>
    <row r="238" spans="1:15" x14ac:dyDescent="0.25">
      <c r="A238" s="60" t="s">
        <v>1</v>
      </c>
      <c r="B238" s="56" t="s">
        <v>245</v>
      </c>
    </row>
    <row r="239" spans="1:15" x14ac:dyDescent="0.25">
      <c r="A239" s="60" t="s">
        <v>2</v>
      </c>
      <c r="B239" s="56" t="s">
        <v>35</v>
      </c>
    </row>
    <row r="240" spans="1:15" x14ac:dyDescent="0.25">
      <c r="A240" s="60" t="s">
        <v>4</v>
      </c>
      <c r="B240" s="56">
        <v>1</v>
      </c>
    </row>
    <row r="241" spans="1:15" x14ac:dyDescent="0.25">
      <c r="A241" s="60" t="s">
        <v>5</v>
      </c>
      <c r="B241" s="56" t="s">
        <v>6</v>
      </c>
    </row>
    <row r="242" spans="1:15" ht="30" x14ac:dyDescent="0.25">
      <c r="A242" s="60" t="s">
        <v>7</v>
      </c>
      <c r="B242" s="67" t="s">
        <v>246</v>
      </c>
    </row>
    <row r="243" spans="1:15" x14ac:dyDescent="0.25">
      <c r="A243" s="60" t="s">
        <v>9</v>
      </c>
    </row>
    <row r="244" spans="1:15" x14ac:dyDescent="0.25">
      <c r="A244" s="59" t="s">
        <v>10</v>
      </c>
      <c r="B244" s="59" t="s">
        <v>1</v>
      </c>
      <c r="C244" s="59" t="s">
        <v>2</v>
      </c>
      <c r="D244" s="59" t="s">
        <v>4</v>
      </c>
      <c r="E244" s="59" t="s">
        <v>5</v>
      </c>
      <c r="F244" s="59" t="s">
        <v>11</v>
      </c>
      <c r="G244" s="59" t="s">
        <v>12</v>
      </c>
      <c r="H244" s="59" t="s">
        <v>13</v>
      </c>
      <c r="I244" s="59" t="s">
        <v>14</v>
      </c>
      <c r="J244" s="59" t="s">
        <v>15</v>
      </c>
      <c r="K244" s="59" t="s">
        <v>16</v>
      </c>
      <c r="L244" s="59" t="s">
        <v>17</v>
      </c>
      <c r="M244" s="59" t="s">
        <v>18</v>
      </c>
      <c r="N244" s="59" t="s">
        <v>19</v>
      </c>
      <c r="O244" s="59" t="s">
        <v>7</v>
      </c>
    </row>
    <row r="245" spans="1:15" x14ac:dyDescent="0.25">
      <c r="A245" s="56" t="str">
        <f>B237</f>
        <v>Cerium oxide (CeO2) production in China/Bayan Obo</v>
      </c>
      <c r="B245" s="56" t="str">
        <f>B238</f>
        <v>CeO2</v>
      </c>
      <c r="C245" s="56" t="str">
        <f>B239</f>
        <v>CN</v>
      </c>
      <c r="D245" s="64">
        <v>1</v>
      </c>
      <c r="E245" s="56" t="str">
        <f>B241</f>
        <v>kilogram</v>
      </c>
      <c r="F245" s="57" t="str">
        <f>F234</f>
        <v>Rare Earths</v>
      </c>
      <c r="G245" s="56" t="s">
        <v>20</v>
      </c>
    </row>
    <row r="246" spans="1:15" x14ac:dyDescent="0.25">
      <c r="A246" s="56" t="str">
        <f>A208</f>
        <v>Bastnaesite-monazite ore mining and REO production in China/Bayan Obo</v>
      </c>
      <c r="B246" s="56" t="str">
        <f t="shared" ref="B246:C246" si="6">B208</f>
        <v>REO</v>
      </c>
      <c r="C246" s="56" t="str">
        <f t="shared" si="6"/>
        <v>CN</v>
      </c>
      <c r="D246" s="56">
        <v>0.1468535984157712</v>
      </c>
      <c r="E246" s="56" t="str">
        <f t="shared" ref="E246:F246" si="7">E208</f>
        <v>kilogram</v>
      </c>
      <c r="F246" s="57" t="str">
        <f t="shared" si="7"/>
        <v>Rare Earths</v>
      </c>
      <c r="G246" s="56" t="s">
        <v>25</v>
      </c>
    </row>
    <row r="247" spans="1:15" s="58" customFormat="1" x14ac:dyDescent="0.25"/>
    <row r="248" spans="1:15" x14ac:dyDescent="0.25">
      <c r="A248" s="59" t="s">
        <v>0</v>
      </c>
      <c r="B248" s="59" t="s">
        <v>421</v>
      </c>
    </row>
    <row r="249" spans="1:15" x14ac:dyDescent="0.25">
      <c r="A249" s="60" t="s">
        <v>1</v>
      </c>
      <c r="B249" s="56" t="s">
        <v>248</v>
      </c>
    </row>
    <row r="250" spans="1:15" x14ac:dyDescent="0.25">
      <c r="A250" s="60" t="s">
        <v>2</v>
      </c>
      <c r="B250" s="56" t="s">
        <v>35</v>
      </c>
    </row>
    <row r="251" spans="1:15" x14ac:dyDescent="0.25">
      <c r="A251" s="60" t="s">
        <v>4</v>
      </c>
      <c r="B251" s="56">
        <v>1</v>
      </c>
    </row>
    <row r="252" spans="1:15" x14ac:dyDescent="0.25">
      <c r="A252" s="60" t="s">
        <v>5</v>
      </c>
      <c r="B252" s="56" t="s">
        <v>6</v>
      </c>
    </row>
    <row r="253" spans="1:15" x14ac:dyDescent="0.25">
      <c r="A253" s="60" t="s">
        <v>7</v>
      </c>
      <c r="B253" s="56" t="s">
        <v>249</v>
      </c>
    </row>
    <row r="254" spans="1:15" x14ac:dyDescent="0.25">
      <c r="A254" s="60" t="s">
        <v>9</v>
      </c>
    </row>
    <row r="255" spans="1:15" x14ac:dyDescent="0.25">
      <c r="A255" s="59" t="s">
        <v>10</v>
      </c>
      <c r="B255" s="59" t="s">
        <v>1</v>
      </c>
      <c r="C255" s="59" t="s">
        <v>2</v>
      </c>
      <c r="D255" s="59" t="s">
        <v>4</v>
      </c>
      <c r="E255" s="59" t="s">
        <v>5</v>
      </c>
      <c r="F255" s="59" t="s">
        <v>11</v>
      </c>
      <c r="G255" s="59" t="s">
        <v>12</v>
      </c>
      <c r="H255" s="59" t="s">
        <v>13</v>
      </c>
      <c r="I255" s="59" t="s">
        <v>14</v>
      </c>
      <c r="J255" s="59" t="s">
        <v>15</v>
      </c>
      <c r="K255" s="59" t="s">
        <v>16</v>
      </c>
      <c r="L255" s="59" t="s">
        <v>17</v>
      </c>
      <c r="M255" s="59" t="s">
        <v>18</v>
      </c>
      <c r="N255" s="59" t="s">
        <v>19</v>
      </c>
      <c r="O255" s="59" t="s">
        <v>7</v>
      </c>
    </row>
    <row r="256" spans="1:15" x14ac:dyDescent="0.25">
      <c r="A256" s="56" t="str">
        <f>B248</f>
        <v>Cerium oxide (CeO2) production in China/Bayan Obo (Ce content)</v>
      </c>
      <c r="B256" s="56" t="str">
        <f>B249</f>
        <v>CeO2 (Ce content)</v>
      </c>
      <c r="C256" s="56" t="str">
        <f>B250</f>
        <v>CN</v>
      </c>
      <c r="D256" s="64">
        <v>1</v>
      </c>
      <c r="E256" s="56" t="str">
        <f>B252</f>
        <v>kilogram</v>
      </c>
      <c r="F256" s="57" t="str">
        <f>F245</f>
        <v>Rare Earths</v>
      </c>
      <c r="G256" s="56" t="s">
        <v>20</v>
      </c>
    </row>
    <row r="257" spans="1:15" x14ac:dyDescent="0.25">
      <c r="A257" s="56" t="str">
        <f>A245</f>
        <v>Cerium oxide (CeO2) production in China/Bayan Obo</v>
      </c>
      <c r="B257" s="56" t="str">
        <f t="shared" ref="B257:F257" si="8">B245</f>
        <v>CeO2</v>
      </c>
      <c r="C257" s="56" t="str">
        <f t="shared" si="8"/>
        <v>CN</v>
      </c>
      <c r="D257" s="56">
        <v>1.2283503255128363</v>
      </c>
      <c r="E257" s="56" t="str">
        <f t="shared" si="8"/>
        <v>kilogram</v>
      </c>
      <c r="F257" s="57" t="str">
        <f t="shared" si="8"/>
        <v>Rare Earths</v>
      </c>
      <c r="G257" s="56" t="s">
        <v>25</v>
      </c>
    </row>
    <row r="258" spans="1:15" s="58" customFormat="1" x14ac:dyDescent="0.25"/>
    <row r="259" spans="1:15" x14ac:dyDescent="0.25">
      <c r="A259" s="59" t="s">
        <v>0</v>
      </c>
      <c r="B259" s="59" t="s">
        <v>422</v>
      </c>
    </row>
    <row r="260" spans="1:15" x14ac:dyDescent="0.25">
      <c r="A260" s="60" t="s">
        <v>1</v>
      </c>
      <c r="B260" s="56" t="s">
        <v>423</v>
      </c>
    </row>
    <row r="261" spans="1:15" x14ac:dyDescent="0.25">
      <c r="A261" s="60" t="s">
        <v>2</v>
      </c>
      <c r="B261" s="56" t="s">
        <v>35</v>
      </c>
    </row>
    <row r="262" spans="1:15" x14ac:dyDescent="0.25">
      <c r="A262" s="60" t="s">
        <v>4</v>
      </c>
      <c r="B262" s="56">
        <v>1</v>
      </c>
    </row>
    <row r="263" spans="1:15" x14ac:dyDescent="0.25">
      <c r="A263" s="60" t="s">
        <v>5</v>
      </c>
      <c r="B263" s="56" t="s">
        <v>6</v>
      </c>
    </row>
    <row r="264" spans="1:15" ht="30" x14ac:dyDescent="0.25">
      <c r="A264" s="60" t="s">
        <v>7</v>
      </c>
      <c r="B264" s="67" t="s">
        <v>246</v>
      </c>
    </row>
    <row r="265" spans="1:15" x14ac:dyDescent="0.25">
      <c r="A265" s="60" t="s">
        <v>9</v>
      </c>
    </row>
    <row r="266" spans="1:15" x14ac:dyDescent="0.25">
      <c r="A266" s="59" t="s">
        <v>10</v>
      </c>
      <c r="B266" s="59" t="s">
        <v>1</v>
      </c>
      <c r="C266" s="59" t="s">
        <v>2</v>
      </c>
      <c r="D266" s="59" t="s">
        <v>4</v>
      </c>
      <c r="E266" s="59" t="s">
        <v>5</v>
      </c>
      <c r="F266" s="59" t="s">
        <v>11</v>
      </c>
      <c r="G266" s="59" t="s">
        <v>12</v>
      </c>
      <c r="H266" s="59" t="s">
        <v>13</v>
      </c>
      <c r="I266" s="59" t="s">
        <v>14</v>
      </c>
      <c r="J266" s="59" t="s">
        <v>15</v>
      </c>
      <c r="K266" s="59" t="s">
        <v>16</v>
      </c>
      <c r="L266" s="59" t="s">
        <v>17</v>
      </c>
      <c r="M266" s="59" t="s">
        <v>18</v>
      </c>
      <c r="N266" s="59" t="s">
        <v>19</v>
      </c>
      <c r="O266" s="59" t="s">
        <v>7</v>
      </c>
    </row>
    <row r="267" spans="1:15" x14ac:dyDescent="0.25">
      <c r="A267" s="56" t="str">
        <f>B259</f>
        <v xml:space="preserve">Dysprosium oxide (Dy2O3) production in China/Bayan Obo </v>
      </c>
      <c r="B267" s="56" t="str">
        <f>B260</f>
        <v>Dy2O3</v>
      </c>
      <c r="C267" s="56" t="str">
        <f>B261</f>
        <v>CN</v>
      </c>
      <c r="D267" s="64">
        <v>1</v>
      </c>
      <c r="E267" s="56" t="str">
        <f>B263</f>
        <v>kilogram</v>
      </c>
      <c r="F267" s="57" t="str">
        <f>F256</f>
        <v>Rare Earths</v>
      </c>
      <c r="G267" s="56" t="s">
        <v>20</v>
      </c>
    </row>
    <row r="268" spans="1:15" x14ac:dyDescent="0.25">
      <c r="A268" s="56" t="str">
        <f>A208</f>
        <v>Bastnaesite-monazite ore mining and REO production in China/Bayan Obo</v>
      </c>
      <c r="B268" s="56" t="str">
        <f t="shared" ref="B268:F268" si="9">B208</f>
        <v>REO</v>
      </c>
      <c r="C268" s="56" t="str">
        <f t="shared" si="9"/>
        <v>CN</v>
      </c>
      <c r="D268" s="56">
        <v>15.31682848336134</v>
      </c>
      <c r="E268" s="56" t="str">
        <f t="shared" si="9"/>
        <v>kilogram</v>
      </c>
      <c r="F268" s="57" t="str">
        <f t="shared" si="9"/>
        <v>Rare Earths</v>
      </c>
      <c r="G268" s="56" t="s">
        <v>25</v>
      </c>
    </row>
    <row r="269" spans="1:15" s="58" customFormat="1" x14ac:dyDescent="0.25"/>
    <row r="270" spans="1:15" x14ac:dyDescent="0.25">
      <c r="A270" s="59" t="s">
        <v>0</v>
      </c>
      <c r="B270" s="59" t="s">
        <v>424</v>
      </c>
    </row>
    <row r="271" spans="1:15" x14ac:dyDescent="0.25">
      <c r="A271" s="60" t="s">
        <v>1</v>
      </c>
      <c r="B271" s="56" t="s">
        <v>425</v>
      </c>
    </row>
    <row r="272" spans="1:15" x14ac:dyDescent="0.25">
      <c r="A272" s="60" t="s">
        <v>2</v>
      </c>
      <c r="B272" s="56" t="s">
        <v>35</v>
      </c>
    </row>
    <row r="273" spans="1:15" x14ac:dyDescent="0.25">
      <c r="A273" s="60" t="s">
        <v>4</v>
      </c>
      <c r="B273" s="56">
        <v>1</v>
      </c>
    </row>
    <row r="274" spans="1:15" x14ac:dyDescent="0.25">
      <c r="A274" s="60" t="s">
        <v>5</v>
      </c>
      <c r="B274" s="56" t="s">
        <v>6</v>
      </c>
    </row>
    <row r="275" spans="1:15" x14ac:dyDescent="0.25">
      <c r="A275" s="60" t="s">
        <v>7</v>
      </c>
      <c r="B275" s="56" t="s">
        <v>426</v>
      </c>
    </row>
    <row r="276" spans="1:15" x14ac:dyDescent="0.25">
      <c r="A276" s="60" t="s">
        <v>9</v>
      </c>
    </row>
    <row r="277" spans="1:15" x14ac:dyDescent="0.25">
      <c r="A277" s="59" t="s">
        <v>10</v>
      </c>
      <c r="B277" s="59" t="s">
        <v>1</v>
      </c>
      <c r="C277" s="59" t="s">
        <v>2</v>
      </c>
      <c r="D277" s="59" t="s">
        <v>4</v>
      </c>
      <c r="E277" s="59" t="s">
        <v>5</v>
      </c>
      <c r="F277" s="59" t="s">
        <v>11</v>
      </c>
      <c r="G277" s="59" t="s">
        <v>12</v>
      </c>
      <c r="H277" s="59" t="s">
        <v>13</v>
      </c>
      <c r="I277" s="59" t="s">
        <v>14</v>
      </c>
      <c r="J277" s="59" t="s">
        <v>15</v>
      </c>
      <c r="K277" s="59" t="s">
        <v>16</v>
      </c>
      <c r="L277" s="59" t="s">
        <v>17</v>
      </c>
      <c r="M277" s="59" t="s">
        <v>18</v>
      </c>
      <c r="N277" s="59" t="s">
        <v>19</v>
      </c>
      <c r="O277" s="59" t="s">
        <v>7</v>
      </c>
    </row>
    <row r="278" spans="1:15" x14ac:dyDescent="0.25">
      <c r="A278" s="56" t="str">
        <f>B270</f>
        <v>Dysprosium oxide (Dy2O3) production in China/Bayan Obo (Dy content)</v>
      </c>
      <c r="B278" s="56" t="str">
        <f>B271</f>
        <v>Dy2O3 (Dy content)</v>
      </c>
      <c r="C278" s="56" t="str">
        <f>B272</f>
        <v>CN</v>
      </c>
      <c r="D278" s="64">
        <v>1</v>
      </c>
      <c r="E278" s="56" t="str">
        <f>B274</f>
        <v>kilogram</v>
      </c>
      <c r="F278" s="57" t="str">
        <f>F267</f>
        <v>Rare Earths</v>
      </c>
      <c r="G278" s="56" t="s">
        <v>20</v>
      </c>
    </row>
    <row r="279" spans="1:15" x14ac:dyDescent="0.25">
      <c r="A279" s="56" t="str">
        <f>A267</f>
        <v xml:space="preserve">Dysprosium oxide (Dy2O3) production in China/Bayan Obo </v>
      </c>
      <c r="B279" s="56" t="str">
        <f t="shared" ref="B279:F279" si="10">B267</f>
        <v>Dy2O3</v>
      </c>
      <c r="C279" s="56" t="str">
        <f t="shared" si="10"/>
        <v>CN</v>
      </c>
      <c r="D279" s="56">
        <v>1.1477103179157582</v>
      </c>
      <c r="E279" s="56" t="str">
        <f t="shared" si="10"/>
        <v>kilogram</v>
      </c>
      <c r="F279" s="57" t="str">
        <f t="shared" si="10"/>
        <v>Rare Earths</v>
      </c>
      <c r="G279" s="56" t="s">
        <v>25</v>
      </c>
    </row>
    <row r="280" spans="1:15" s="58" customFormat="1" x14ac:dyDescent="0.25"/>
    <row r="281" spans="1:15" x14ac:dyDescent="0.25">
      <c r="A281" s="59" t="s">
        <v>0</v>
      </c>
      <c r="B281" s="59" t="s">
        <v>427</v>
      </c>
    </row>
    <row r="282" spans="1:15" x14ac:dyDescent="0.25">
      <c r="A282" s="60" t="s">
        <v>1</v>
      </c>
      <c r="B282" s="56" t="s">
        <v>251</v>
      </c>
    </row>
    <row r="283" spans="1:15" x14ac:dyDescent="0.25">
      <c r="A283" s="60" t="s">
        <v>2</v>
      </c>
      <c r="B283" s="56" t="s">
        <v>35</v>
      </c>
    </row>
    <row r="284" spans="1:15" x14ac:dyDescent="0.25">
      <c r="A284" s="60" t="s">
        <v>4</v>
      </c>
      <c r="B284" s="56">
        <v>1</v>
      </c>
    </row>
    <row r="285" spans="1:15" x14ac:dyDescent="0.25">
      <c r="A285" s="60" t="s">
        <v>5</v>
      </c>
      <c r="B285" s="56" t="s">
        <v>6</v>
      </c>
    </row>
    <row r="286" spans="1:15" ht="30" x14ac:dyDescent="0.25">
      <c r="A286" s="60" t="s">
        <v>7</v>
      </c>
      <c r="B286" s="67" t="s">
        <v>246</v>
      </c>
    </row>
    <row r="287" spans="1:15" x14ac:dyDescent="0.25">
      <c r="A287" s="60" t="s">
        <v>9</v>
      </c>
    </row>
    <row r="288" spans="1:15" x14ac:dyDescent="0.25">
      <c r="A288" s="59" t="s">
        <v>10</v>
      </c>
      <c r="B288" s="59" t="s">
        <v>1</v>
      </c>
      <c r="C288" s="59" t="s">
        <v>2</v>
      </c>
      <c r="D288" s="59" t="s">
        <v>4</v>
      </c>
      <c r="E288" s="59" t="s">
        <v>5</v>
      </c>
      <c r="F288" s="59" t="s">
        <v>11</v>
      </c>
      <c r="G288" s="59" t="s">
        <v>12</v>
      </c>
      <c r="H288" s="59" t="s">
        <v>13</v>
      </c>
      <c r="I288" s="59" t="s">
        <v>14</v>
      </c>
      <c r="J288" s="59" t="s">
        <v>15</v>
      </c>
      <c r="K288" s="59" t="s">
        <v>16</v>
      </c>
      <c r="L288" s="59" t="s">
        <v>17</v>
      </c>
      <c r="M288" s="59" t="s">
        <v>18</v>
      </c>
      <c r="N288" s="59" t="s">
        <v>19</v>
      </c>
      <c r="O288" s="59" t="s">
        <v>7</v>
      </c>
    </row>
    <row r="289" spans="1:15" x14ac:dyDescent="0.25">
      <c r="A289" s="56" t="str">
        <f>B281</f>
        <v>Erbium oxide (Er2O3) production in China/Bayan Obo</v>
      </c>
      <c r="B289" s="56" t="str">
        <f>B282</f>
        <v>Er2O3</v>
      </c>
      <c r="C289" s="56" t="str">
        <f>B283</f>
        <v>CN</v>
      </c>
      <c r="D289" s="64">
        <v>1</v>
      </c>
      <c r="E289" s="56" t="str">
        <f>B285</f>
        <v>kilogram</v>
      </c>
      <c r="F289" s="57" t="str">
        <f>F278</f>
        <v>Rare Earths</v>
      </c>
      <c r="G289" s="56" t="s">
        <v>20</v>
      </c>
    </row>
    <row r="290" spans="1:15" x14ac:dyDescent="0.25">
      <c r="A290" s="56" t="str">
        <f>A208</f>
        <v>Bastnaesite-monazite ore mining and REO production in China/Bayan Obo</v>
      </c>
      <c r="B290" s="56" t="str">
        <f t="shared" ref="B290:F290" si="11">B208</f>
        <v>REO</v>
      </c>
      <c r="C290" s="56" t="str">
        <f t="shared" si="11"/>
        <v>CN</v>
      </c>
      <c r="D290" s="56">
        <v>2.0865395413854109</v>
      </c>
      <c r="E290" s="56" t="str">
        <f t="shared" si="11"/>
        <v>kilogram</v>
      </c>
      <c r="F290" s="57" t="str">
        <f t="shared" si="11"/>
        <v>Rare Earths</v>
      </c>
      <c r="G290" s="56" t="s">
        <v>25</v>
      </c>
    </row>
    <row r="291" spans="1:15" s="58" customFormat="1" x14ac:dyDescent="0.25"/>
    <row r="292" spans="1:15" x14ac:dyDescent="0.25">
      <c r="A292" s="59" t="s">
        <v>0</v>
      </c>
      <c r="B292" s="59" t="s">
        <v>428</v>
      </c>
    </row>
    <row r="293" spans="1:15" x14ac:dyDescent="0.25">
      <c r="A293" s="60" t="s">
        <v>1</v>
      </c>
      <c r="B293" s="56" t="s">
        <v>253</v>
      </c>
    </row>
    <row r="294" spans="1:15" x14ac:dyDescent="0.25">
      <c r="A294" s="60" t="s">
        <v>2</v>
      </c>
      <c r="B294" s="56" t="s">
        <v>35</v>
      </c>
    </row>
    <row r="295" spans="1:15" x14ac:dyDescent="0.25">
      <c r="A295" s="60" t="s">
        <v>4</v>
      </c>
      <c r="B295" s="56">
        <v>1</v>
      </c>
    </row>
    <row r="296" spans="1:15" x14ac:dyDescent="0.25">
      <c r="A296" s="60" t="s">
        <v>5</v>
      </c>
      <c r="B296" s="56" t="s">
        <v>6</v>
      </c>
    </row>
    <row r="297" spans="1:15" x14ac:dyDescent="0.25">
      <c r="A297" s="60" t="s">
        <v>7</v>
      </c>
      <c r="B297" s="56" t="s">
        <v>254</v>
      </c>
    </row>
    <row r="298" spans="1:15" x14ac:dyDescent="0.25">
      <c r="A298" s="60" t="s">
        <v>9</v>
      </c>
    </row>
    <row r="299" spans="1:15" x14ac:dyDescent="0.25">
      <c r="A299" s="59" t="s">
        <v>10</v>
      </c>
      <c r="B299" s="59" t="s">
        <v>1</v>
      </c>
      <c r="C299" s="59" t="s">
        <v>2</v>
      </c>
      <c r="D299" s="59" t="s">
        <v>4</v>
      </c>
      <c r="E299" s="59" t="s">
        <v>5</v>
      </c>
      <c r="F299" s="59" t="s">
        <v>11</v>
      </c>
      <c r="G299" s="59" t="s">
        <v>12</v>
      </c>
      <c r="H299" s="59" t="s">
        <v>13</v>
      </c>
      <c r="I299" s="59" t="s">
        <v>14</v>
      </c>
      <c r="J299" s="59" t="s">
        <v>15</v>
      </c>
      <c r="K299" s="59" t="s">
        <v>16</v>
      </c>
      <c r="L299" s="59" t="s">
        <v>17</v>
      </c>
      <c r="M299" s="59" t="s">
        <v>18</v>
      </c>
      <c r="N299" s="59" t="s">
        <v>19</v>
      </c>
      <c r="O299" s="59" t="s">
        <v>7</v>
      </c>
    </row>
    <row r="300" spans="1:15" x14ac:dyDescent="0.25">
      <c r="A300" s="56" t="str">
        <f>B292</f>
        <v>Erbium oxide (Er2O3) production in China/Bayan Obo (Er content)</v>
      </c>
      <c r="B300" s="56" t="str">
        <f>B293</f>
        <v>Er2O3 (Er content)</v>
      </c>
      <c r="C300" s="56" t="str">
        <f>B294</f>
        <v>CN</v>
      </c>
      <c r="D300" s="64">
        <v>1</v>
      </c>
      <c r="E300" s="56" t="str">
        <f>B296</f>
        <v>kilogram</v>
      </c>
      <c r="F300" s="57" t="str">
        <f>F289</f>
        <v>Rare Earths</v>
      </c>
      <c r="G300" s="56" t="s">
        <v>20</v>
      </c>
    </row>
    <row r="301" spans="1:15" x14ac:dyDescent="0.25">
      <c r="A301" s="56" t="str">
        <f>A289</f>
        <v>Erbium oxide (Er2O3) production in China/Bayan Obo</v>
      </c>
      <c r="B301" s="56" t="str">
        <f t="shared" ref="B301:F301" si="12">B289</f>
        <v>Er2O3</v>
      </c>
      <c r="C301" s="56" t="str">
        <f t="shared" si="12"/>
        <v>CN</v>
      </c>
      <c r="D301" s="56">
        <v>1.1435105774728416</v>
      </c>
      <c r="E301" s="56" t="str">
        <f t="shared" si="12"/>
        <v>kilogram</v>
      </c>
      <c r="F301" s="57" t="str">
        <f t="shared" si="12"/>
        <v>Rare Earths</v>
      </c>
      <c r="G301" s="56" t="s">
        <v>25</v>
      </c>
    </row>
    <row r="302" spans="1:15" s="58" customFormat="1" x14ac:dyDescent="0.25"/>
    <row r="303" spans="1:15" x14ac:dyDescent="0.25">
      <c r="A303" s="59" t="s">
        <v>0</v>
      </c>
      <c r="B303" s="59" t="s">
        <v>429</v>
      </c>
    </row>
    <row r="304" spans="1:15" x14ac:dyDescent="0.25">
      <c r="A304" s="60" t="s">
        <v>1</v>
      </c>
      <c r="B304" s="56" t="s">
        <v>256</v>
      </c>
    </row>
    <row r="305" spans="1:15" x14ac:dyDescent="0.25">
      <c r="A305" s="60" t="s">
        <v>2</v>
      </c>
      <c r="B305" s="56" t="s">
        <v>35</v>
      </c>
    </row>
    <row r="306" spans="1:15" x14ac:dyDescent="0.25">
      <c r="A306" s="60" t="s">
        <v>4</v>
      </c>
      <c r="B306" s="56">
        <v>1</v>
      </c>
    </row>
    <row r="307" spans="1:15" x14ac:dyDescent="0.25">
      <c r="A307" s="60" t="s">
        <v>5</v>
      </c>
      <c r="B307" s="56" t="s">
        <v>6</v>
      </c>
    </row>
    <row r="308" spans="1:15" ht="30" x14ac:dyDescent="0.25">
      <c r="A308" s="60" t="s">
        <v>7</v>
      </c>
      <c r="B308" s="67" t="s">
        <v>246</v>
      </c>
    </row>
    <row r="309" spans="1:15" x14ac:dyDescent="0.25">
      <c r="A309" s="60" t="s">
        <v>9</v>
      </c>
    </row>
    <row r="310" spans="1:15" x14ac:dyDescent="0.25">
      <c r="A310" s="59" t="s">
        <v>10</v>
      </c>
      <c r="B310" s="59" t="s">
        <v>1</v>
      </c>
      <c r="C310" s="59" t="s">
        <v>2</v>
      </c>
      <c r="D310" s="59" t="s">
        <v>4</v>
      </c>
      <c r="E310" s="59" t="s">
        <v>5</v>
      </c>
      <c r="F310" s="59" t="s">
        <v>11</v>
      </c>
      <c r="G310" s="59" t="s">
        <v>12</v>
      </c>
      <c r="H310" s="59" t="s">
        <v>13</v>
      </c>
      <c r="I310" s="59" t="s">
        <v>14</v>
      </c>
      <c r="J310" s="59" t="s">
        <v>15</v>
      </c>
      <c r="K310" s="59" t="s">
        <v>16</v>
      </c>
      <c r="L310" s="59" t="s">
        <v>17</v>
      </c>
      <c r="M310" s="59" t="s">
        <v>18</v>
      </c>
      <c r="N310" s="59" t="s">
        <v>19</v>
      </c>
      <c r="O310" s="59" t="s">
        <v>7</v>
      </c>
    </row>
    <row r="311" spans="1:15" x14ac:dyDescent="0.25">
      <c r="A311" s="56" t="str">
        <f>B303</f>
        <v>Europium oxide (Eu2O3) production in China/Bayan Obo</v>
      </c>
      <c r="B311" s="56" t="str">
        <f>B304</f>
        <v>Eu2O3</v>
      </c>
      <c r="C311" s="56" t="str">
        <f>B305</f>
        <v>CN</v>
      </c>
      <c r="D311" s="64">
        <v>1</v>
      </c>
      <c r="E311" s="56" t="str">
        <f>B307</f>
        <v>kilogram</v>
      </c>
      <c r="F311" s="57" t="str">
        <f>F300</f>
        <v>Rare Earths</v>
      </c>
      <c r="G311" s="56" t="s">
        <v>20</v>
      </c>
    </row>
    <row r="312" spans="1:15" x14ac:dyDescent="0.25">
      <c r="A312" s="56" t="str">
        <f>A208</f>
        <v>Bastnaesite-monazite ore mining and REO production in China/Bayan Obo</v>
      </c>
      <c r="B312" s="56" t="str">
        <f t="shared" ref="B312:F312" si="13">B208</f>
        <v>REO</v>
      </c>
      <c r="C312" s="56" t="str">
        <f t="shared" si="13"/>
        <v>CN</v>
      </c>
      <c r="D312" s="56">
        <v>12.455927557759871</v>
      </c>
      <c r="E312" s="56" t="str">
        <f t="shared" si="13"/>
        <v>kilogram</v>
      </c>
      <c r="F312" s="57" t="str">
        <f t="shared" si="13"/>
        <v>Rare Earths</v>
      </c>
      <c r="G312" s="56" t="s">
        <v>25</v>
      </c>
    </row>
    <row r="313" spans="1:15" s="58" customFormat="1" x14ac:dyDescent="0.25"/>
    <row r="314" spans="1:15" x14ac:dyDescent="0.25">
      <c r="A314" s="59" t="s">
        <v>0</v>
      </c>
      <c r="B314" s="59" t="s">
        <v>430</v>
      </c>
    </row>
    <row r="315" spans="1:15" x14ac:dyDescent="0.25">
      <c r="A315" s="60" t="s">
        <v>1</v>
      </c>
      <c r="B315" s="56" t="s">
        <v>258</v>
      </c>
    </row>
    <row r="316" spans="1:15" x14ac:dyDescent="0.25">
      <c r="A316" s="60" t="s">
        <v>2</v>
      </c>
      <c r="B316" s="56" t="s">
        <v>35</v>
      </c>
    </row>
    <row r="317" spans="1:15" x14ac:dyDescent="0.25">
      <c r="A317" s="60" t="s">
        <v>4</v>
      </c>
      <c r="B317" s="56">
        <v>1</v>
      </c>
    </row>
    <row r="318" spans="1:15" x14ac:dyDescent="0.25">
      <c r="A318" s="60" t="s">
        <v>5</v>
      </c>
      <c r="B318" s="56" t="s">
        <v>6</v>
      </c>
    </row>
    <row r="319" spans="1:15" x14ac:dyDescent="0.25">
      <c r="A319" s="60" t="s">
        <v>7</v>
      </c>
      <c r="B319" s="56" t="s">
        <v>263</v>
      </c>
    </row>
    <row r="320" spans="1:15" x14ac:dyDescent="0.25">
      <c r="A320" s="60" t="s">
        <v>9</v>
      </c>
    </row>
    <row r="321" spans="1:15" x14ac:dyDescent="0.25">
      <c r="A321" s="59" t="s">
        <v>10</v>
      </c>
      <c r="B321" s="59" t="s">
        <v>1</v>
      </c>
      <c r="C321" s="59" t="s">
        <v>2</v>
      </c>
      <c r="D321" s="59" t="s">
        <v>4</v>
      </c>
      <c r="E321" s="59" t="s">
        <v>5</v>
      </c>
      <c r="F321" s="59" t="s">
        <v>11</v>
      </c>
      <c r="G321" s="59" t="s">
        <v>12</v>
      </c>
      <c r="H321" s="59" t="s">
        <v>13</v>
      </c>
      <c r="I321" s="59" t="s">
        <v>14</v>
      </c>
      <c r="J321" s="59" t="s">
        <v>15</v>
      </c>
      <c r="K321" s="59" t="s">
        <v>16</v>
      </c>
      <c r="L321" s="59" t="s">
        <v>17</v>
      </c>
      <c r="M321" s="59" t="s">
        <v>18</v>
      </c>
      <c r="N321" s="59" t="s">
        <v>19</v>
      </c>
      <c r="O321" s="59" t="s">
        <v>7</v>
      </c>
    </row>
    <row r="322" spans="1:15" x14ac:dyDescent="0.25">
      <c r="A322" s="56" t="str">
        <f>B314</f>
        <v>Europium oxide (Eu2O3) production in China/Bayan Obo (Eu content)</v>
      </c>
      <c r="B322" s="56" t="str">
        <f>B315</f>
        <v>Eu2O3 (Eu content)</v>
      </c>
      <c r="C322" s="56" t="str">
        <f>B316</f>
        <v>CN</v>
      </c>
      <c r="D322" s="64">
        <v>1</v>
      </c>
      <c r="E322" s="56" t="str">
        <f>B318</f>
        <v>kilogram</v>
      </c>
      <c r="F322" s="57" t="str">
        <f>F311</f>
        <v>Rare Earths</v>
      </c>
      <c r="G322" s="56" t="s">
        <v>20</v>
      </c>
    </row>
    <row r="323" spans="1:15" x14ac:dyDescent="0.25">
      <c r="A323" s="56" t="str">
        <f>A311</f>
        <v>Europium oxide (Eu2O3) production in China/Bayan Obo</v>
      </c>
      <c r="B323" s="56" t="str">
        <f t="shared" ref="B323:F323" si="14">B311</f>
        <v>Eu2O3</v>
      </c>
      <c r="C323" s="56" t="str">
        <f t="shared" si="14"/>
        <v>CN</v>
      </c>
      <c r="D323" s="56">
        <v>1.1579434923575729</v>
      </c>
      <c r="E323" s="56" t="str">
        <f t="shared" si="14"/>
        <v>kilogram</v>
      </c>
      <c r="F323" s="57" t="str">
        <f t="shared" si="14"/>
        <v>Rare Earths</v>
      </c>
      <c r="G323" s="56" t="s">
        <v>25</v>
      </c>
    </row>
    <row r="324" spans="1:15" s="58" customFormat="1" x14ac:dyDescent="0.25"/>
    <row r="325" spans="1:15" x14ac:dyDescent="0.25">
      <c r="A325" s="59" t="s">
        <v>0</v>
      </c>
      <c r="B325" s="59" t="s">
        <v>431</v>
      </c>
    </row>
    <row r="326" spans="1:15" x14ac:dyDescent="0.25">
      <c r="A326" s="60" t="s">
        <v>1</v>
      </c>
      <c r="B326" s="56" t="s">
        <v>260</v>
      </c>
    </row>
    <row r="327" spans="1:15" x14ac:dyDescent="0.25">
      <c r="A327" s="60" t="s">
        <v>2</v>
      </c>
      <c r="B327" s="56" t="s">
        <v>35</v>
      </c>
    </row>
    <row r="328" spans="1:15" x14ac:dyDescent="0.25">
      <c r="A328" s="60" t="s">
        <v>4</v>
      </c>
      <c r="B328" s="56">
        <v>1</v>
      </c>
    </row>
    <row r="329" spans="1:15" x14ac:dyDescent="0.25">
      <c r="A329" s="60" t="s">
        <v>5</v>
      </c>
      <c r="B329" s="56" t="s">
        <v>6</v>
      </c>
    </row>
    <row r="330" spans="1:15" ht="30" x14ac:dyDescent="0.25">
      <c r="A330" s="60" t="s">
        <v>7</v>
      </c>
      <c r="B330" s="67" t="s">
        <v>246</v>
      </c>
    </row>
    <row r="331" spans="1:15" x14ac:dyDescent="0.25">
      <c r="A331" s="60" t="s">
        <v>9</v>
      </c>
    </row>
    <row r="332" spans="1:15" x14ac:dyDescent="0.25">
      <c r="A332" s="59" t="s">
        <v>10</v>
      </c>
      <c r="B332" s="59" t="s">
        <v>1</v>
      </c>
      <c r="C332" s="59" t="s">
        <v>2</v>
      </c>
      <c r="D332" s="59" t="s">
        <v>4</v>
      </c>
      <c r="E332" s="59" t="s">
        <v>5</v>
      </c>
      <c r="F332" s="59" t="s">
        <v>11</v>
      </c>
      <c r="G332" s="59" t="s">
        <v>12</v>
      </c>
      <c r="H332" s="59" t="s">
        <v>13</v>
      </c>
      <c r="I332" s="59" t="s">
        <v>14</v>
      </c>
      <c r="J332" s="59" t="s">
        <v>15</v>
      </c>
      <c r="K332" s="59" t="s">
        <v>16</v>
      </c>
      <c r="L332" s="59" t="s">
        <v>17</v>
      </c>
      <c r="M332" s="59" t="s">
        <v>18</v>
      </c>
      <c r="N332" s="59" t="s">
        <v>19</v>
      </c>
      <c r="O332" s="59" t="s">
        <v>7</v>
      </c>
    </row>
    <row r="333" spans="1:15" x14ac:dyDescent="0.25">
      <c r="A333" s="56" t="str">
        <f>B325</f>
        <v>Gadolinium oxide (Gd2O3) production in China/Bayan Obo</v>
      </c>
      <c r="B333" s="56" t="str">
        <f>B326</f>
        <v>Gd2O3</v>
      </c>
      <c r="C333" s="56" t="str">
        <f>B327</f>
        <v>CN</v>
      </c>
      <c r="D333" s="64">
        <v>1</v>
      </c>
      <c r="E333" s="56" t="str">
        <f>B329</f>
        <v>kilogram</v>
      </c>
      <c r="F333" s="57" t="str">
        <f>F322</f>
        <v>Rare Earths</v>
      </c>
      <c r="G333" s="56" t="s">
        <v>20</v>
      </c>
    </row>
    <row r="334" spans="1:15" x14ac:dyDescent="0.25">
      <c r="A334" s="56" t="str">
        <f>A208</f>
        <v>Bastnaesite-monazite ore mining and REO production in China/Bayan Obo</v>
      </c>
      <c r="B334" s="56" t="str">
        <f t="shared" ref="B334:F334" si="15">B208</f>
        <v>REO</v>
      </c>
      <c r="C334" s="56" t="str">
        <f t="shared" si="15"/>
        <v>CN</v>
      </c>
      <c r="D334" s="56">
        <v>1.477500511595887</v>
      </c>
      <c r="E334" s="56" t="str">
        <f t="shared" si="15"/>
        <v>kilogram</v>
      </c>
      <c r="F334" s="57" t="str">
        <f t="shared" si="15"/>
        <v>Rare Earths</v>
      </c>
      <c r="G334" s="56" t="s">
        <v>25</v>
      </c>
    </row>
    <row r="335" spans="1:15" s="58" customFormat="1" x14ac:dyDescent="0.25"/>
    <row r="336" spans="1:15" x14ac:dyDescent="0.25">
      <c r="A336" s="59" t="s">
        <v>0</v>
      </c>
      <c r="B336" s="59" t="s">
        <v>432</v>
      </c>
    </row>
    <row r="337" spans="1:15" x14ac:dyDescent="0.25">
      <c r="A337" s="60" t="s">
        <v>1</v>
      </c>
      <c r="B337" s="56" t="s">
        <v>262</v>
      </c>
    </row>
    <row r="338" spans="1:15" x14ac:dyDescent="0.25">
      <c r="A338" s="60" t="s">
        <v>2</v>
      </c>
      <c r="B338" s="56" t="s">
        <v>35</v>
      </c>
    </row>
    <row r="339" spans="1:15" x14ac:dyDescent="0.25">
      <c r="A339" s="60" t="s">
        <v>4</v>
      </c>
      <c r="B339" s="56">
        <v>1</v>
      </c>
    </row>
    <row r="340" spans="1:15" x14ac:dyDescent="0.25">
      <c r="A340" s="60" t="s">
        <v>5</v>
      </c>
      <c r="B340" s="56" t="s">
        <v>6</v>
      </c>
    </row>
    <row r="341" spans="1:15" x14ac:dyDescent="0.25">
      <c r="A341" s="60" t="s">
        <v>7</v>
      </c>
      <c r="B341" s="56" t="s">
        <v>264</v>
      </c>
    </row>
    <row r="342" spans="1:15" x14ac:dyDescent="0.25">
      <c r="A342" s="60" t="s">
        <v>9</v>
      </c>
    </row>
    <row r="343" spans="1:15" x14ac:dyDescent="0.25">
      <c r="A343" s="59" t="s">
        <v>10</v>
      </c>
      <c r="B343" s="59" t="s">
        <v>1</v>
      </c>
      <c r="C343" s="59" t="s">
        <v>2</v>
      </c>
      <c r="D343" s="59" t="s">
        <v>4</v>
      </c>
      <c r="E343" s="59" t="s">
        <v>5</v>
      </c>
      <c r="F343" s="59" t="s">
        <v>11</v>
      </c>
      <c r="G343" s="59" t="s">
        <v>12</v>
      </c>
      <c r="H343" s="59" t="s">
        <v>13</v>
      </c>
      <c r="I343" s="59" t="s">
        <v>14</v>
      </c>
      <c r="J343" s="59" t="s">
        <v>15</v>
      </c>
      <c r="K343" s="59" t="s">
        <v>16</v>
      </c>
      <c r="L343" s="59" t="s">
        <v>17</v>
      </c>
      <c r="M343" s="59" t="s">
        <v>18</v>
      </c>
      <c r="N343" s="59" t="s">
        <v>19</v>
      </c>
      <c r="O343" s="59" t="s">
        <v>7</v>
      </c>
    </row>
    <row r="344" spans="1:15" x14ac:dyDescent="0.25">
      <c r="A344" s="56" t="str">
        <f>B336</f>
        <v>Gadolinium oxide (Gd2O3) production in China/Bayan Obo (Gd content)</v>
      </c>
      <c r="B344" s="56" t="str">
        <f>B337</f>
        <v>Gd2O3 (Gd content)</v>
      </c>
      <c r="C344" s="56" t="str">
        <f>B338</f>
        <v>CN</v>
      </c>
      <c r="D344" s="64">
        <v>1</v>
      </c>
      <c r="E344" s="56" t="str">
        <f>B340</f>
        <v>kilogram</v>
      </c>
      <c r="F344" s="57" t="str">
        <f>F333</f>
        <v>Rare Earths</v>
      </c>
      <c r="G344" s="56" t="s">
        <v>20</v>
      </c>
    </row>
    <row r="345" spans="1:15" x14ac:dyDescent="0.25">
      <c r="A345" s="56" t="str">
        <f>A333</f>
        <v>Gadolinium oxide (Gd2O3) production in China/Bayan Obo</v>
      </c>
      <c r="B345" s="56" t="str">
        <f t="shared" ref="B345:F345" si="16">B333</f>
        <v>Gd2O3</v>
      </c>
      <c r="C345" s="56" t="str">
        <f t="shared" si="16"/>
        <v>CN</v>
      </c>
      <c r="D345" s="56">
        <v>1.152604887044721</v>
      </c>
      <c r="E345" s="56" t="str">
        <f t="shared" si="16"/>
        <v>kilogram</v>
      </c>
      <c r="F345" s="57" t="str">
        <f t="shared" si="16"/>
        <v>Rare Earths</v>
      </c>
      <c r="G345" s="56" t="s">
        <v>25</v>
      </c>
    </row>
    <row r="346" spans="1:15" s="58" customFormat="1" x14ac:dyDescent="0.25"/>
    <row r="347" spans="1:15" x14ac:dyDescent="0.25">
      <c r="A347" s="59" t="s">
        <v>0</v>
      </c>
      <c r="B347" s="59" t="s">
        <v>433</v>
      </c>
    </row>
    <row r="348" spans="1:15" x14ac:dyDescent="0.25">
      <c r="A348" s="60" t="s">
        <v>1</v>
      </c>
      <c r="B348" s="56" t="s">
        <v>434</v>
      </c>
    </row>
    <row r="349" spans="1:15" x14ac:dyDescent="0.25">
      <c r="A349" s="60" t="s">
        <v>2</v>
      </c>
      <c r="B349" s="56" t="s">
        <v>35</v>
      </c>
    </row>
    <row r="350" spans="1:15" x14ac:dyDescent="0.25">
      <c r="A350" s="60" t="s">
        <v>4</v>
      </c>
      <c r="B350" s="56">
        <v>1</v>
      </c>
    </row>
    <row r="351" spans="1:15" x14ac:dyDescent="0.25">
      <c r="A351" s="60" t="s">
        <v>5</v>
      </c>
      <c r="B351" s="56" t="s">
        <v>6</v>
      </c>
    </row>
    <row r="352" spans="1:15" ht="30" x14ac:dyDescent="0.25">
      <c r="A352" s="60" t="s">
        <v>7</v>
      </c>
      <c r="B352" s="67" t="s">
        <v>246</v>
      </c>
    </row>
    <row r="353" spans="1:15" x14ac:dyDescent="0.25">
      <c r="A353" s="60" t="s">
        <v>9</v>
      </c>
    </row>
    <row r="354" spans="1:15" x14ac:dyDescent="0.25">
      <c r="A354" s="59" t="s">
        <v>10</v>
      </c>
      <c r="B354" s="59" t="s">
        <v>1</v>
      </c>
      <c r="C354" s="59" t="s">
        <v>2</v>
      </c>
      <c r="D354" s="59" t="s">
        <v>4</v>
      </c>
      <c r="E354" s="59" t="s">
        <v>5</v>
      </c>
      <c r="F354" s="59" t="s">
        <v>11</v>
      </c>
      <c r="G354" s="59" t="s">
        <v>12</v>
      </c>
      <c r="H354" s="59" t="s">
        <v>13</v>
      </c>
      <c r="I354" s="59" t="s">
        <v>14</v>
      </c>
      <c r="J354" s="59" t="s">
        <v>15</v>
      </c>
      <c r="K354" s="59" t="s">
        <v>16</v>
      </c>
      <c r="L354" s="59" t="s">
        <v>17</v>
      </c>
      <c r="M354" s="59" t="s">
        <v>18</v>
      </c>
      <c r="N354" s="59" t="s">
        <v>19</v>
      </c>
      <c r="O354" s="59" t="s">
        <v>7</v>
      </c>
    </row>
    <row r="355" spans="1:15" x14ac:dyDescent="0.25">
      <c r="A355" s="56" t="str">
        <f>B347</f>
        <v>Holmium oxide (Ho2O3) production in China/Bayan Obo</v>
      </c>
      <c r="B355" s="56" t="str">
        <f>B348</f>
        <v>Ho2O3</v>
      </c>
      <c r="C355" s="56" t="str">
        <f>B349</f>
        <v>CN</v>
      </c>
      <c r="D355" s="64">
        <v>1</v>
      </c>
      <c r="E355" s="56" t="str">
        <f>B351</f>
        <v>kilogram</v>
      </c>
      <c r="F355" s="57" t="str">
        <f>F344</f>
        <v>Rare Earths</v>
      </c>
      <c r="G355" s="56" t="s">
        <v>20</v>
      </c>
    </row>
    <row r="356" spans="1:15" x14ac:dyDescent="0.25">
      <c r="A356" s="56" t="str">
        <f>A208</f>
        <v>Bastnaesite-monazite ore mining and REO production in China/Bayan Obo</v>
      </c>
      <c r="B356" s="56" t="str">
        <f t="shared" ref="B356:F356" si="17">B208</f>
        <v>REO</v>
      </c>
      <c r="C356" s="56" t="str">
        <f t="shared" si="17"/>
        <v>CN</v>
      </c>
      <c r="D356" s="56">
        <v>0.75027607702510291</v>
      </c>
      <c r="E356" s="56" t="str">
        <f t="shared" si="17"/>
        <v>kilogram</v>
      </c>
      <c r="F356" s="57" t="str">
        <f t="shared" si="17"/>
        <v>Rare Earths</v>
      </c>
      <c r="G356" s="56" t="s">
        <v>25</v>
      </c>
    </row>
    <row r="357" spans="1:15" s="58" customFormat="1" x14ac:dyDescent="0.25"/>
    <row r="358" spans="1:15" x14ac:dyDescent="0.25">
      <c r="A358" s="59" t="s">
        <v>0</v>
      </c>
      <c r="B358" s="59" t="s">
        <v>437</v>
      </c>
    </row>
    <row r="359" spans="1:15" x14ac:dyDescent="0.25">
      <c r="A359" s="60" t="s">
        <v>1</v>
      </c>
      <c r="B359" s="56" t="s">
        <v>435</v>
      </c>
    </row>
    <row r="360" spans="1:15" x14ac:dyDescent="0.25">
      <c r="A360" s="60" t="s">
        <v>2</v>
      </c>
      <c r="B360" s="56" t="s">
        <v>35</v>
      </c>
    </row>
    <row r="361" spans="1:15" x14ac:dyDescent="0.25">
      <c r="A361" s="60" t="s">
        <v>4</v>
      </c>
      <c r="B361" s="56">
        <v>1</v>
      </c>
    </row>
    <row r="362" spans="1:15" x14ac:dyDescent="0.25">
      <c r="A362" s="60" t="s">
        <v>5</v>
      </c>
      <c r="B362" s="56" t="s">
        <v>6</v>
      </c>
    </row>
    <row r="363" spans="1:15" x14ac:dyDescent="0.25">
      <c r="A363" s="60" t="s">
        <v>7</v>
      </c>
      <c r="B363" s="56" t="s">
        <v>436</v>
      </c>
    </row>
    <row r="364" spans="1:15" x14ac:dyDescent="0.25">
      <c r="A364" s="60" t="s">
        <v>9</v>
      </c>
    </row>
    <row r="365" spans="1:15" x14ac:dyDescent="0.25">
      <c r="A365" s="59" t="s">
        <v>10</v>
      </c>
      <c r="B365" s="59" t="s">
        <v>1</v>
      </c>
      <c r="C365" s="59" t="s">
        <v>2</v>
      </c>
      <c r="D365" s="59" t="s">
        <v>4</v>
      </c>
      <c r="E365" s="59" t="s">
        <v>5</v>
      </c>
      <c r="F365" s="59" t="s">
        <v>11</v>
      </c>
      <c r="G365" s="59" t="s">
        <v>12</v>
      </c>
      <c r="H365" s="59" t="s">
        <v>13</v>
      </c>
      <c r="I365" s="59" t="s">
        <v>14</v>
      </c>
      <c r="J365" s="59" t="s">
        <v>15</v>
      </c>
      <c r="K365" s="59" t="s">
        <v>16</v>
      </c>
      <c r="L365" s="59" t="s">
        <v>17</v>
      </c>
      <c r="M365" s="59" t="s">
        <v>18</v>
      </c>
      <c r="N365" s="59" t="s">
        <v>19</v>
      </c>
      <c r="O365" s="59" t="s">
        <v>7</v>
      </c>
    </row>
    <row r="366" spans="1:15" x14ac:dyDescent="0.25">
      <c r="A366" s="56" t="str">
        <f>B358</f>
        <v>Holmium oxide (Ho2O3) production in China/Bayan Obo (Ho content)</v>
      </c>
      <c r="B366" s="56" t="str">
        <f>B359</f>
        <v>Ho2O3 (Ho content)</v>
      </c>
      <c r="C366" s="56" t="str">
        <f>B360</f>
        <v>CN</v>
      </c>
      <c r="D366" s="64">
        <v>1</v>
      </c>
      <c r="E366" s="56" t="str">
        <f>B362</f>
        <v>kilogram</v>
      </c>
      <c r="F366" s="57" t="str">
        <f>F355</f>
        <v>Rare Earths</v>
      </c>
      <c r="G366" s="56" t="s">
        <v>20</v>
      </c>
    </row>
    <row r="367" spans="1:15" x14ac:dyDescent="0.25">
      <c r="A367" s="56" t="str">
        <f>A355</f>
        <v>Holmium oxide (Ho2O3) production in China/Bayan Obo</v>
      </c>
      <c r="B367" s="56" t="str">
        <f t="shared" ref="B367:F367" si="18">B355</f>
        <v>Ho2O3</v>
      </c>
      <c r="C367" s="56" t="str">
        <f t="shared" si="18"/>
        <v>CN</v>
      </c>
      <c r="D367" s="56">
        <v>1.1454753722794959</v>
      </c>
      <c r="E367" s="56" t="str">
        <f t="shared" si="18"/>
        <v>kilogram</v>
      </c>
      <c r="F367" s="57" t="str">
        <f t="shared" si="18"/>
        <v>Rare Earths</v>
      </c>
      <c r="G367" s="56" t="s">
        <v>25</v>
      </c>
    </row>
    <row r="368" spans="1:15" s="58" customFormat="1" x14ac:dyDescent="0.25"/>
    <row r="369" spans="1:15" x14ac:dyDescent="0.25">
      <c r="A369" s="59" t="s">
        <v>0</v>
      </c>
      <c r="B369" s="59" t="s">
        <v>438</v>
      </c>
    </row>
    <row r="370" spans="1:15" x14ac:dyDescent="0.25">
      <c r="A370" s="60" t="s">
        <v>1</v>
      </c>
      <c r="B370" s="56" t="s">
        <v>266</v>
      </c>
    </row>
    <row r="371" spans="1:15" x14ac:dyDescent="0.25">
      <c r="A371" s="60" t="s">
        <v>2</v>
      </c>
      <c r="B371" s="56" t="s">
        <v>35</v>
      </c>
    </row>
    <row r="372" spans="1:15" x14ac:dyDescent="0.25">
      <c r="A372" s="60" t="s">
        <v>4</v>
      </c>
      <c r="B372" s="56">
        <v>1</v>
      </c>
    </row>
    <row r="373" spans="1:15" x14ac:dyDescent="0.25">
      <c r="A373" s="60" t="s">
        <v>5</v>
      </c>
      <c r="B373" s="56" t="s">
        <v>6</v>
      </c>
    </row>
    <row r="374" spans="1:15" ht="30" x14ac:dyDescent="0.25">
      <c r="A374" s="60" t="s">
        <v>7</v>
      </c>
      <c r="B374" s="67" t="s">
        <v>246</v>
      </c>
    </row>
    <row r="375" spans="1:15" x14ac:dyDescent="0.25">
      <c r="A375" s="60" t="s">
        <v>9</v>
      </c>
    </row>
    <row r="376" spans="1:15" x14ac:dyDescent="0.25">
      <c r="A376" s="59" t="s">
        <v>10</v>
      </c>
      <c r="B376" s="59" t="s">
        <v>1</v>
      </c>
      <c r="C376" s="59" t="s">
        <v>2</v>
      </c>
      <c r="D376" s="59" t="s">
        <v>4</v>
      </c>
      <c r="E376" s="59" t="s">
        <v>5</v>
      </c>
      <c r="F376" s="59" t="s">
        <v>11</v>
      </c>
      <c r="G376" s="59" t="s">
        <v>12</v>
      </c>
      <c r="H376" s="59" t="s">
        <v>13</v>
      </c>
      <c r="I376" s="59" t="s">
        <v>14</v>
      </c>
      <c r="J376" s="59" t="s">
        <v>15</v>
      </c>
      <c r="K376" s="59" t="s">
        <v>16</v>
      </c>
      <c r="L376" s="59" t="s">
        <v>17</v>
      </c>
      <c r="M376" s="59" t="s">
        <v>18</v>
      </c>
      <c r="N376" s="59" t="s">
        <v>19</v>
      </c>
      <c r="O376" s="59" t="s">
        <v>7</v>
      </c>
    </row>
    <row r="377" spans="1:15" x14ac:dyDescent="0.25">
      <c r="A377" s="56" t="str">
        <f>B369</f>
        <v>Lanthanum oxide (La2O3) production in China/Bayan Obo</v>
      </c>
      <c r="B377" s="56" t="str">
        <f>B370</f>
        <v>La2O3</v>
      </c>
      <c r="C377" s="56" t="str">
        <f>B371</f>
        <v>CN</v>
      </c>
      <c r="D377" s="64">
        <v>1</v>
      </c>
      <c r="E377" s="56" t="str">
        <f>B373</f>
        <v>kilogram</v>
      </c>
      <c r="F377" s="57" t="str">
        <f>F366</f>
        <v>Rare Earths</v>
      </c>
      <c r="G377" s="56" t="s">
        <v>20</v>
      </c>
    </row>
    <row r="378" spans="1:15" x14ac:dyDescent="0.25">
      <c r="A378" s="56" t="str">
        <f>A208</f>
        <v>Bastnaesite-monazite ore mining and REO production in China/Bayan Obo</v>
      </c>
      <c r="B378" s="56" t="str">
        <f t="shared" ref="B378:F378" si="19">B208</f>
        <v>REO</v>
      </c>
      <c r="C378" s="56" t="str">
        <f t="shared" si="19"/>
        <v>CN</v>
      </c>
      <c r="D378" s="56">
        <v>0.15247929687188477</v>
      </c>
      <c r="E378" s="56" t="str">
        <f t="shared" si="19"/>
        <v>kilogram</v>
      </c>
      <c r="F378" s="57" t="str">
        <f t="shared" si="19"/>
        <v>Rare Earths</v>
      </c>
      <c r="G378" s="56" t="s">
        <v>25</v>
      </c>
    </row>
    <row r="379" spans="1:15" s="58" customFormat="1" x14ac:dyDescent="0.25"/>
    <row r="380" spans="1:15" x14ac:dyDescent="0.25">
      <c r="A380" s="59" t="s">
        <v>0</v>
      </c>
      <c r="B380" s="59" t="s">
        <v>439</v>
      </c>
    </row>
    <row r="381" spans="1:15" x14ac:dyDescent="0.25">
      <c r="A381" s="60" t="s">
        <v>1</v>
      </c>
      <c r="B381" s="56" t="s">
        <v>268</v>
      </c>
    </row>
    <row r="382" spans="1:15" x14ac:dyDescent="0.25">
      <c r="A382" s="60" t="s">
        <v>2</v>
      </c>
      <c r="B382" s="56" t="s">
        <v>35</v>
      </c>
    </row>
    <row r="383" spans="1:15" x14ac:dyDescent="0.25">
      <c r="A383" s="60" t="s">
        <v>4</v>
      </c>
      <c r="B383" s="56">
        <v>1</v>
      </c>
    </row>
    <row r="384" spans="1:15" x14ac:dyDescent="0.25">
      <c r="A384" s="60" t="s">
        <v>5</v>
      </c>
      <c r="B384" s="56" t="s">
        <v>6</v>
      </c>
    </row>
    <row r="385" spans="1:15" x14ac:dyDescent="0.25">
      <c r="A385" s="60" t="s">
        <v>7</v>
      </c>
      <c r="B385" s="56" t="s">
        <v>269</v>
      </c>
    </row>
    <row r="386" spans="1:15" x14ac:dyDescent="0.25">
      <c r="A386" s="60" t="s">
        <v>9</v>
      </c>
    </row>
    <row r="387" spans="1:15" x14ac:dyDescent="0.25">
      <c r="A387" s="59" t="s">
        <v>10</v>
      </c>
      <c r="B387" s="59" t="s">
        <v>1</v>
      </c>
      <c r="C387" s="59" t="s">
        <v>2</v>
      </c>
      <c r="D387" s="59" t="s">
        <v>4</v>
      </c>
      <c r="E387" s="59" t="s">
        <v>5</v>
      </c>
      <c r="F387" s="59" t="s">
        <v>11</v>
      </c>
      <c r="G387" s="59" t="s">
        <v>12</v>
      </c>
      <c r="H387" s="59" t="s">
        <v>13</v>
      </c>
      <c r="I387" s="59" t="s">
        <v>14</v>
      </c>
      <c r="J387" s="59" t="s">
        <v>15</v>
      </c>
      <c r="K387" s="59" t="s">
        <v>16</v>
      </c>
      <c r="L387" s="59" t="s">
        <v>17</v>
      </c>
      <c r="M387" s="59" t="s">
        <v>18</v>
      </c>
      <c r="N387" s="59" t="s">
        <v>19</v>
      </c>
      <c r="O387" s="59" t="s">
        <v>7</v>
      </c>
    </row>
    <row r="388" spans="1:15" x14ac:dyDescent="0.25">
      <c r="A388" s="56" t="str">
        <f>B380</f>
        <v>Lanthanum oxide (La2O3) production in China/Bayan Obo (La content)</v>
      </c>
      <c r="B388" s="56" t="str">
        <f>B381</f>
        <v>La2O3 (La content)</v>
      </c>
      <c r="C388" s="56" t="str">
        <f>B382</f>
        <v>CN</v>
      </c>
      <c r="D388" s="64">
        <v>1</v>
      </c>
      <c r="E388" s="56" t="str">
        <f>B384</f>
        <v>kilogram</v>
      </c>
      <c r="F388" s="57" t="str">
        <f>F377</f>
        <v>Rare Earths</v>
      </c>
      <c r="G388" s="56" t="s">
        <v>20</v>
      </c>
    </row>
    <row r="389" spans="1:15" x14ac:dyDescent="0.25">
      <c r="A389" s="56" t="str">
        <f>A377</f>
        <v>Lanthanum oxide (La2O3) production in China/Bayan Obo</v>
      </c>
      <c r="B389" s="56" t="str">
        <f t="shared" ref="B389:F389" si="20">B377</f>
        <v>La2O3</v>
      </c>
      <c r="C389" s="56" t="str">
        <f t="shared" si="20"/>
        <v>CN</v>
      </c>
      <c r="D389" s="56">
        <v>1.1727453969743169</v>
      </c>
      <c r="E389" s="56" t="str">
        <f t="shared" si="20"/>
        <v>kilogram</v>
      </c>
      <c r="F389" s="57" t="str">
        <f t="shared" si="20"/>
        <v>Rare Earths</v>
      </c>
      <c r="G389" s="56" t="s">
        <v>25</v>
      </c>
    </row>
    <row r="390" spans="1:15" s="58" customFormat="1" x14ac:dyDescent="0.25"/>
    <row r="391" spans="1:15" x14ac:dyDescent="0.25">
      <c r="A391" s="59" t="s">
        <v>0</v>
      </c>
      <c r="B391" s="59" t="s">
        <v>440</v>
      </c>
    </row>
    <row r="392" spans="1:15" x14ac:dyDescent="0.25">
      <c r="A392" s="60" t="s">
        <v>1</v>
      </c>
      <c r="B392" s="56" t="s">
        <v>441</v>
      </c>
    </row>
    <row r="393" spans="1:15" x14ac:dyDescent="0.25">
      <c r="A393" s="60" t="s">
        <v>2</v>
      </c>
      <c r="B393" s="56" t="s">
        <v>35</v>
      </c>
    </row>
    <row r="394" spans="1:15" x14ac:dyDescent="0.25">
      <c r="A394" s="60" t="s">
        <v>4</v>
      </c>
      <c r="B394" s="56">
        <v>1</v>
      </c>
    </row>
    <row r="395" spans="1:15" x14ac:dyDescent="0.25">
      <c r="A395" s="60" t="s">
        <v>5</v>
      </c>
      <c r="B395" s="56" t="s">
        <v>6</v>
      </c>
    </row>
    <row r="396" spans="1:15" ht="30" x14ac:dyDescent="0.25">
      <c r="A396" s="60" t="s">
        <v>7</v>
      </c>
      <c r="B396" s="67" t="s">
        <v>246</v>
      </c>
    </row>
    <row r="397" spans="1:15" x14ac:dyDescent="0.25">
      <c r="A397" s="60" t="s">
        <v>9</v>
      </c>
    </row>
    <row r="398" spans="1:15" x14ac:dyDescent="0.25">
      <c r="A398" s="59" t="s">
        <v>10</v>
      </c>
      <c r="B398" s="59" t="s">
        <v>1</v>
      </c>
      <c r="C398" s="59" t="s">
        <v>2</v>
      </c>
      <c r="D398" s="59" t="s">
        <v>4</v>
      </c>
      <c r="E398" s="59" t="s">
        <v>5</v>
      </c>
      <c r="F398" s="59" t="s">
        <v>11</v>
      </c>
      <c r="G398" s="59" t="s">
        <v>12</v>
      </c>
      <c r="H398" s="59" t="s">
        <v>13</v>
      </c>
      <c r="I398" s="59" t="s">
        <v>14</v>
      </c>
      <c r="J398" s="59" t="s">
        <v>15</v>
      </c>
      <c r="K398" s="59" t="s">
        <v>16</v>
      </c>
      <c r="L398" s="59" t="s">
        <v>17</v>
      </c>
      <c r="M398" s="59" t="s">
        <v>18</v>
      </c>
      <c r="N398" s="59" t="s">
        <v>19</v>
      </c>
      <c r="O398" s="59" t="s">
        <v>7</v>
      </c>
    </row>
    <row r="399" spans="1:15" x14ac:dyDescent="0.25">
      <c r="A399" s="56" t="str">
        <f>B391</f>
        <v xml:space="preserve">Lutetium oxide (Lu2O3) production in China/Bayan Obo </v>
      </c>
      <c r="B399" s="56" t="str">
        <f>B392</f>
        <v>Lu2O3</v>
      </c>
      <c r="C399" s="56" t="str">
        <f>B393</f>
        <v>CN</v>
      </c>
      <c r="D399" s="64">
        <v>1</v>
      </c>
      <c r="E399" s="56" t="str">
        <f>B395</f>
        <v>kilogram</v>
      </c>
      <c r="F399" s="57" t="str">
        <f>F388</f>
        <v>Rare Earths</v>
      </c>
      <c r="G399" s="56" t="s">
        <v>20</v>
      </c>
    </row>
    <row r="400" spans="1:15" x14ac:dyDescent="0.25">
      <c r="A400" s="56" t="str">
        <f>A208</f>
        <v>Bastnaesite-monazite ore mining and REO production in China/Bayan Obo</v>
      </c>
      <c r="B400" s="56" t="str">
        <f t="shared" ref="B400:F400" si="21">B208</f>
        <v>REO</v>
      </c>
      <c r="C400" s="56" t="str">
        <f t="shared" si="21"/>
        <v>CN</v>
      </c>
      <c r="D400" s="56">
        <v>36.937512789897163</v>
      </c>
      <c r="E400" s="56" t="str">
        <f t="shared" si="21"/>
        <v>kilogram</v>
      </c>
      <c r="F400" s="57" t="str">
        <f t="shared" si="21"/>
        <v>Rare Earths</v>
      </c>
      <c r="G400" s="56" t="s">
        <v>25</v>
      </c>
    </row>
    <row r="401" spans="1:15" s="58" customFormat="1" x14ac:dyDescent="0.25"/>
    <row r="402" spans="1:15" x14ac:dyDescent="0.25">
      <c r="A402" s="59" t="s">
        <v>0</v>
      </c>
      <c r="B402" s="59" t="s">
        <v>442</v>
      </c>
    </row>
    <row r="403" spans="1:15" x14ac:dyDescent="0.25">
      <c r="A403" s="60" t="s">
        <v>1</v>
      </c>
      <c r="B403" s="56" t="s">
        <v>443</v>
      </c>
    </row>
    <row r="404" spans="1:15" x14ac:dyDescent="0.25">
      <c r="A404" s="60" t="s">
        <v>2</v>
      </c>
      <c r="B404" s="56" t="s">
        <v>35</v>
      </c>
    </row>
    <row r="405" spans="1:15" x14ac:dyDescent="0.25">
      <c r="A405" s="60" t="s">
        <v>4</v>
      </c>
      <c r="B405" s="56">
        <v>1</v>
      </c>
    </row>
    <row r="406" spans="1:15" x14ac:dyDescent="0.25">
      <c r="A406" s="60" t="s">
        <v>5</v>
      </c>
      <c r="B406" s="56" t="s">
        <v>6</v>
      </c>
    </row>
    <row r="407" spans="1:15" x14ac:dyDescent="0.25">
      <c r="A407" s="60" t="s">
        <v>7</v>
      </c>
      <c r="B407" s="56" t="s">
        <v>444</v>
      </c>
    </row>
    <row r="408" spans="1:15" x14ac:dyDescent="0.25">
      <c r="A408" s="60" t="s">
        <v>9</v>
      </c>
    </row>
    <row r="409" spans="1:15" x14ac:dyDescent="0.25">
      <c r="A409" s="59" t="s">
        <v>10</v>
      </c>
      <c r="B409" s="59" t="s">
        <v>1</v>
      </c>
      <c r="C409" s="59" t="s">
        <v>2</v>
      </c>
      <c r="D409" s="59" t="s">
        <v>4</v>
      </c>
      <c r="E409" s="59" t="s">
        <v>5</v>
      </c>
      <c r="F409" s="59" t="s">
        <v>11</v>
      </c>
      <c r="G409" s="59" t="s">
        <v>12</v>
      </c>
      <c r="H409" s="59" t="s">
        <v>13</v>
      </c>
      <c r="I409" s="59" t="s">
        <v>14</v>
      </c>
      <c r="J409" s="59" t="s">
        <v>15</v>
      </c>
      <c r="K409" s="59" t="s">
        <v>16</v>
      </c>
      <c r="L409" s="59" t="s">
        <v>17</v>
      </c>
      <c r="M409" s="59" t="s">
        <v>18</v>
      </c>
      <c r="N409" s="59" t="s">
        <v>19</v>
      </c>
      <c r="O409" s="59" t="s">
        <v>7</v>
      </c>
    </row>
    <row r="410" spans="1:15" x14ac:dyDescent="0.25">
      <c r="A410" s="56" t="str">
        <f>B402</f>
        <v>Lutetium oxide (Lu2O3) production in China/Bayan Obo (Lu content)</v>
      </c>
      <c r="B410" s="56" t="str">
        <f>B403</f>
        <v>Lu2O3 (Lu content)</v>
      </c>
      <c r="C410" s="56" t="str">
        <f>B404</f>
        <v>CN</v>
      </c>
      <c r="D410" s="64">
        <v>1</v>
      </c>
      <c r="E410" s="56" t="str">
        <f>B406</f>
        <v>kilogram</v>
      </c>
      <c r="F410" s="57" t="str">
        <f>F399</f>
        <v>Rare Earths</v>
      </c>
      <c r="G410" s="56" t="s">
        <v>20</v>
      </c>
    </row>
    <row r="411" spans="1:15" x14ac:dyDescent="0.25">
      <c r="A411" s="56" t="str">
        <f>A399</f>
        <v xml:space="preserve">Lutetium oxide (Lu2O3) production in China/Bayan Obo </v>
      </c>
      <c r="B411" s="56" t="str">
        <f t="shared" ref="B411:F411" si="22">B399</f>
        <v>Lu2O3</v>
      </c>
      <c r="C411" s="56" t="str">
        <f t="shared" si="22"/>
        <v>CN</v>
      </c>
      <c r="D411" s="56">
        <v>1.1371389583807141</v>
      </c>
      <c r="E411" s="56" t="str">
        <f t="shared" si="22"/>
        <v>kilogram</v>
      </c>
      <c r="F411" s="57" t="str">
        <f t="shared" si="22"/>
        <v>Rare Earths</v>
      </c>
      <c r="G411" s="56" t="s">
        <v>25</v>
      </c>
    </row>
    <row r="412" spans="1:15" s="58" customFormat="1" x14ac:dyDescent="0.25"/>
    <row r="413" spans="1:15" x14ac:dyDescent="0.25">
      <c r="A413" s="59" t="s">
        <v>0</v>
      </c>
      <c r="B413" s="59" t="s">
        <v>445</v>
      </c>
    </row>
    <row r="414" spans="1:15" x14ac:dyDescent="0.25">
      <c r="A414" s="60" t="s">
        <v>1</v>
      </c>
      <c r="B414" s="56" t="s">
        <v>276</v>
      </c>
    </row>
    <row r="415" spans="1:15" x14ac:dyDescent="0.25">
      <c r="A415" s="60" t="s">
        <v>2</v>
      </c>
      <c r="B415" s="56" t="s">
        <v>35</v>
      </c>
    </row>
    <row r="416" spans="1:15" x14ac:dyDescent="0.25">
      <c r="A416" s="60" t="s">
        <v>4</v>
      </c>
      <c r="B416" s="56">
        <v>1</v>
      </c>
    </row>
    <row r="417" spans="1:15" x14ac:dyDescent="0.25">
      <c r="A417" s="60" t="s">
        <v>5</v>
      </c>
      <c r="B417" s="56" t="s">
        <v>6</v>
      </c>
    </row>
    <row r="418" spans="1:15" ht="30" x14ac:dyDescent="0.25">
      <c r="A418" s="60" t="s">
        <v>7</v>
      </c>
      <c r="B418" s="67" t="s">
        <v>246</v>
      </c>
    </row>
    <row r="419" spans="1:15" x14ac:dyDescent="0.25">
      <c r="A419" s="60" t="s">
        <v>9</v>
      </c>
    </row>
    <row r="420" spans="1:15" x14ac:dyDescent="0.25">
      <c r="A420" s="59" t="s">
        <v>10</v>
      </c>
      <c r="B420" s="59" t="s">
        <v>1</v>
      </c>
      <c r="C420" s="59" t="s">
        <v>2</v>
      </c>
      <c r="D420" s="59" t="s">
        <v>4</v>
      </c>
      <c r="E420" s="59" t="s">
        <v>5</v>
      </c>
      <c r="F420" s="59" t="s">
        <v>11</v>
      </c>
      <c r="G420" s="59" t="s">
        <v>12</v>
      </c>
      <c r="H420" s="59" t="s">
        <v>13</v>
      </c>
      <c r="I420" s="59" t="s">
        <v>14</v>
      </c>
      <c r="J420" s="59" t="s">
        <v>15</v>
      </c>
      <c r="K420" s="59" t="s">
        <v>16</v>
      </c>
      <c r="L420" s="59" t="s">
        <v>17</v>
      </c>
      <c r="M420" s="59" t="s">
        <v>18</v>
      </c>
      <c r="N420" s="59" t="s">
        <v>19</v>
      </c>
      <c r="O420" s="59" t="s">
        <v>7</v>
      </c>
    </row>
    <row r="421" spans="1:15" x14ac:dyDescent="0.25">
      <c r="A421" s="56" t="str">
        <f>B413</f>
        <v xml:space="preserve">Praseodymium oxide (Pr6O11) production in China/Bayan Obo </v>
      </c>
      <c r="B421" s="56" t="str">
        <f>B414</f>
        <v>Pr6O11</v>
      </c>
      <c r="C421" s="56" t="str">
        <f>B415</f>
        <v>CN</v>
      </c>
      <c r="D421" s="64">
        <v>1</v>
      </c>
      <c r="E421" s="56" t="str">
        <f>B417</f>
        <v>kilogram</v>
      </c>
      <c r="F421" s="57" t="str">
        <f>F410</f>
        <v>Rare Earths</v>
      </c>
      <c r="G421" s="56" t="s">
        <v>20</v>
      </c>
    </row>
    <row r="422" spans="1:15" x14ac:dyDescent="0.25">
      <c r="A422" s="56" t="str">
        <f>A208</f>
        <v>Bastnaesite-monazite ore mining and REO production in China/Bayan Obo</v>
      </c>
      <c r="B422" s="56" t="str">
        <f t="shared" ref="B422:F422" si="23">B208</f>
        <v>REO</v>
      </c>
      <c r="C422" s="56" t="str">
        <f t="shared" si="23"/>
        <v>CN</v>
      </c>
      <c r="D422" s="56">
        <v>4.4523149703257747</v>
      </c>
      <c r="E422" s="56" t="str">
        <f t="shared" si="23"/>
        <v>kilogram</v>
      </c>
      <c r="F422" s="57" t="str">
        <f t="shared" si="23"/>
        <v>Rare Earths</v>
      </c>
      <c r="G422" s="56" t="s">
        <v>25</v>
      </c>
    </row>
    <row r="423" spans="1:15" s="58" customFormat="1" x14ac:dyDescent="0.25"/>
    <row r="424" spans="1:15" x14ac:dyDescent="0.25">
      <c r="A424" s="59" t="s">
        <v>0</v>
      </c>
      <c r="B424" s="59" t="s">
        <v>446</v>
      </c>
    </row>
    <row r="425" spans="1:15" x14ac:dyDescent="0.25">
      <c r="A425" s="60" t="s">
        <v>1</v>
      </c>
      <c r="B425" s="56" t="s">
        <v>278</v>
      </c>
    </row>
    <row r="426" spans="1:15" x14ac:dyDescent="0.25">
      <c r="A426" s="60" t="s">
        <v>2</v>
      </c>
      <c r="B426" s="56" t="s">
        <v>35</v>
      </c>
    </row>
    <row r="427" spans="1:15" x14ac:dyDescent="0.25">
      <c r="A427" s="60" t="s">
        <v>4</v>
      </c>
      <c r="B427" s="56">
        <v>1</v>
      </c>
    </row>
    <row r="428" spans="1:15" x14ac:dyDescent="0.25">
      <c r="A428" s="60" t="s">
        <v>5</v>
      </c>
      <c r="B428" s="56" t="s">
        <v>6</v>
      </c>
    </row>
    <row r="429" spans="1:15" x14ac:dyDescent="0.25">
      <c r="A429" s="60" t="s">
        <v>7</v>
      </c>
      <c r="B429" s="56" t="s">
        <v>279</v>
      </c>
    </row>
    <row r="430" spans="1:15" x14ac:dyDescent="0.25">
      <c r="A430" s="60" t="s">
        <v>9</v>
      </c>
    </row>
    <row r="431" spans="1:15" x14ac:dyDescent="0.25">
      <c r="A431" s="59" t="s">
        <v>10</v>
      </c>
      <c r="B431" s="59" t="s">
        <v>1</v>
      </c>
      <c r="C431" s="59" t="s">
        <v>2</v>
      </c>
      <c r="D431" s="59" t="s">
        <v>4</v>
      </c>
      <c r="E431" s="59" t="s">
        <v>5</v>
      </c>
      <c r="F431" s="59" t="s">
        <v>11</v>
      </c>
      <c r="G431" s="59" t="s">
        <v>12</v>
      </c>
      <c r="H431" s="59" t="s">
        <v>13</v>
      </c>
      <c r="I431" s="59" t="s">
        <v>14</v>
      </c>
      <c r="J431" s="59" t="s">
        <v>15</v>
      </c>
      <c r="K431" s="59" t="s">
        <v>16</v>
      </c>
      <c r="L431" s="59" t="s">
        <v>17</v>
      </c>
      <c r="M431" s="59" t="s">
        <v>18</v>
      </c>
      <c r="N431" s="59" t="s">
        <v>19</v>
      </c>
      <c r="O431" s="59" t="s">
        <v>7</v>
      </c>
    </row>
    <row r="432" spans="1:15" x14ac:dyDescent="0.25">
      <c r="A432" s="56" t="str">
        <f>B424</f>
        <v>Praseodymium oxide (Pr6O11) production in China/Bayan Obo (Pr content)</v>
      </c>
      <c r="B432" s="56" t="str">
        <f>B425</f>
        <v>Pr6O11 (Pr content)</v>
      </c>
      <c r="C432" s="56" t="str">
        <f>B426</f>
        <v>CN</v>
      </c>
      <c r="D432" s="64">
        <v>1</v>
      </c>
      <c r="E432" s="56" t="str">
        <f>B428</f>
        <v>kilogram</v>
      </c>
      <c r="F432" s="57" t="str">
        <f>F421</f>
        <v>Rare Earths</v>
      </c>
      <c r="G432" s="56" t="s">
        <v>20</v>
      </c>
    </row>
    <row r="433" spans="1:15" x14ac:dyDescent="0.25">
      <c r="A433" s="56" t="str">
        <f>A421</f>
        <v xml:space="preserve">Praseodymium oxide (Pr6O11) production in China/Bayan Obo </v>
      </c>
      <c r="B433" s="56" t="str">
        <f t="shared" ref="B433:F433" si="24">B421</f>
        <v>Pr6O11</v>
      </c>
      <c r="C433" s="56" t="str">
        <f t="shared" si="24"/>
        <v>CN</v>
      </c>
      <c r="D433" s="56">
        <v>1.2081672103419114</v>
      </c>
      <c r="E433" s="56" t="str">
        <f t="shared" si="24"/>
        <v>kilogram</v>
      </c>
      <c r="F433" s="57" t="str">
        <f t="shared" si="24"/>
        <v>Rare Earths</v>
      </c>
      <c r="G433" s="56" t="s">
        <v>25</v>
      </c>
    </row>
    <row r="434" spans="1:15" s="58" customFormat="1" x14ac:dyDescent="0.25"/>
    <row r="435" spans="1:15" x14ac:dyDescent="0.25">
      <c r="A435" s="59" t="s">
        <v>0</v>
      </c>
      <c r="B435" s="59" t="s">
        <v>447</v>
      </c>
    </row>
    <row r="436" spans="1:15" x14ac:dyDescent="0.25">
      <c r="A436" s="60" t="s">
        <v>1</v>
      </c>
      <c r="B436" s="56" t="s">
        <v>281</v>
      </c>
    </row>
    <row r="437" spans="1:15" x14ac:dyDescent="0.25">
      <c r="A437" s="60" t="s">
        <v>2</v>
      </c>
      <c r="B437" s="56" t="s">
        <v>35</v>
      </c>
    </row>
    <row r="438" spans="1:15" x14ac:dyDescent="0.25">
      <c r="A438" s="60" t="s">
        <v>4</v>
      </c>
      <c r="B438" s="56">
        <v>1</v>
      </c>
    </row>
    <row r="439" spans="1:15" x14ac:dyDescent="0.25">
      <c r="A439" s="60" t="s">
        <v>5</v>
      </c>
      <c r="B439" s="56" t="s">
        <v>6</v>
      </c>
    </row>
    <row r="440" spans="1:15" ht="30" x14ac:dyDescent="0.25">
      <c r="A440" s="60" t="s">
        <v>7</v>
      </c>
      <c r="B440" s="67" t="s">
        <v>246</v>
      </c>
    </row>
    <row r="441" spans="1:15" x14ac:dyDescent="0.25">
      <c r="A441" s="60" t="s">
        <v>9</v>
      </c>
    </row>
    <row r="442" spans="1:15" x14ac:dyDescent="0.25">
      <c r="A442" s="59" t="s">
        <v>10</v>
      </c>
      <c r="B442" s="59" t="s">
        <v>1</v>
      </c>
      <c r="C442" s="59" t="s">
        <v>2</v>
      </c>
      <c r="D442" s="59" t="s">
        <v>4</v>
      </c>
      <c r="E442" s="59" t="s">
        <v>5</v>
      </c>
      <c r="F442" s="59" t="s">
        <v>11</v>
      </c>
      <c r="G442" s="59" t="s">
        <v>12</v>
      </c>
      <c r="H442" s="59" t="s">
        <v>13</v>
      </c>
      <c r="I442" s="59" t="s">
        <v>14</v>
      </c>
      <c r="J442" s="59" t="s">
        <v>15</v>
      </c>
      <c r="K442" s="59" t="s">
        <v>16</v>
      </c>
      <c r="L442" s="59" t="s">
        <v>17</v>
      </c>
      <c r="M442" s="59" t="s">
        <v>18</v>
      </c>
      <c r="N442" s="59" t="s">
        <v>19</v>
      </c>
      <c r="O442" s="59" t="s">
        <v>7</v>
      </c>
    </row>
    <row r="443" spans="1:15" x14ac:dyDescent="0.25">
      <c r="A443" s="56" t="str">
        <f>B435</f>
        <v>Samarium oxide (Sm2O3) production in China/Bayan Obo</v>
      </c>
      <c r="B443" s="56" t="str">
        <f>B436</f>
        <v>Sm2O3</v>
      </c>
      <c r="C443" s="56" t="str">
        <f>B437</f>
        <v>CN</v>
      </c>
      <c r="D443" s="64">
        <v>1</v>
      </c>
      <c r="E443" s="56" t="str">
        <f>B439</f>
        <v>kilogram</v>
      </c>
      <c r="F443" s="57" t="str">
        <f>F432</f>
        <v>Rare Earths</v>
      </c>
      <c r="G443" s="56" t="s">
        <v>20</v>
      </c>
    </row>
    <row r="444" spans="1:15" x14ac:dyDescent="0.25">
      <c r="A444" s="56" t="str">
        <f>A208</f>
        <v>Bastnaesite-monazite ore mining and REO production in China/Bayan Obo</v>
      </c>
      <c r="B444" s="56" t="str">
        <f t="shared" ref="B444:F444" si="25">B208</f>
        <v>REO</v>
      </c>
      <c r="C444" s="56" t="str">
        <f t="shared" si="25"/>
        <v>CN</v>
      </c>
      <c r="D444" s="56">
        <v>0.20274468387203573</v>
      </c>
      <c r="E444" s="56" t="str">
        <f t="shared" si="25"/>
        <v>kilogram</v>
      </c>
      <c r="F444" s="57" t="str">
        <f t="shared" si="25"/>
        <v>Rare Earths</v>
      </c>
      <c r="G444" s="56" t="s">
        <v>25</v>
      </c>
    </row>
    <row r="445" spans="1:15" s="58" customFormat="1" x14ac:dyDescent="0.25"/>
    <row r="446" spans="1:15" x14ac:dyDescent="0.25">
      <c r="A446" s="59" t="s">
        <v>0</v>
      </c>
      <c r="B446" s="59" t="s">
        <v>448</v>
      </c>
    </row>
    <row r="447" spans="1:15" x14ac:dyDescent="0.25">
      <c r="A447" s="60" t="s">
        <v>1</v>
      </c>
      <c r="B447" s="56" t="s">
        <v>283</v>
      </c>
    </row>
    <row r="448" spans="1:15" x14ac:dyDescent="0.25">
      <c r="A448" s="60" t="s">
        <v>2</v>
      </c>
      <c r="B448" s="56" t="s">
        <v>35</v>
      </c>
    </row>
    <row r="449" spans="1:15" x14ac:dyDescent="0.25">
      <c r="A449" s="60" t="s">
        <v>4</v>
      </c>
      <c r="B449" s="56">
        <v>1</v>
      </c>
    </row>
    <row r="450" spans="1:15" x14ac:dyDescent="0.25">
      <c r="A450" s="60" t="s">
        <v>5</v>
      </c>
      <c r="B450" s="56" t="s">
        <v>6</v>
      </c>
    </row>
    <row r="451" spans="1:15" x14ac:dyDescent="0.25">
      <c r="A451" s="60" t="s">
        <v>7</v>
      </c>
      <c r="B451" s="56" t="s">
        <v>284</v>
      </c>
    </row>
    <row r="452" spans="1:15" x14ac:dyDescent="0.25">
      <c r="A452" s="60" t="s">
        <v>9</v>
      </c>
    </row>
    <row r="453" spans="1:15" x14ac:dyDescent="0.25">
      <c r="A453" s="59" t="s">
        <v>10</v>
      </c>
      <c r="B453" s="59" t="s">
        <v>1</v>
      </c>
      <c r="C453" s="59" t="s">
        <v>2</v>
      </c>
      <c r="D453" s="59" t="s">
        <v>4</v>
      </c>
      <c r="E453" s="59" t="s">
        <v>5</v>
      </c>
      <c r="F453" s="59" t="s">
        <v>11</v>
      </c>
      <c r="G453" s="59" t="s">
        <v>12</v>
      </c>
      <c r="H453" s="59" t="s">
        <v>13</v>
      </c>
      <c r="I453" s="59" t="s">
        <v>14</v>
      </c>
      <c r="J453" s="59" t="s">
        <v>15</v>
      </c>
      <c r="K453" s="59" t="s">
        <v>16</v>
      </c>
      <c r="L453" s="59" t="s">
        <v>17</v>
      </c>
      <c r="M453" s="59" t="s">
        <v>18</v>
      </c>
      <c r="N453" s="59" t="s">
        <v>19</v>
      </c>
      <c r="O453" s="59" t="s">
        <v>7</v>
      </c>
    </row>
    <row r="454" spans="1:15" x14ac:dyDescent="0.25">
      <c r="A454" s="56" t="str">
        <f>B446</f>
        <v>Samarium oxide (Sm2O3) production in China/Bayan Obo (Sm content)</v>
      </c>
      <c r="B454" s="56" t="str">
        <f>B447</f>
        <v>Sm2O3 (Sm content)</v>
      </c>
      <c r="C454" s="56" t="str">
        <f>B448</f>
        <v>CN</v>
      </c>
      <c r="D454" s="64">
        <v>1</v>
      </c>
      <c r="E454" s="56" t="str">
        <f>B450</f>
        <v>kilogram</v>
      </c>
      <c r="F454" s="57" t="str">
        <f>F443</f>
        <v>Rare Earths</v>
      </c>
      <c r="G454" s="56" t="s">
        <v>20</v>
      </c>
    </row>
    <row r="455" spans="1:15" x14ac:dyDescent="0.25">
      <c r="A455" s="56" t="str">
        <f>A443</f>
        <v>Samarium oxide (Sm2O3) production in China/Bayan Obo</v>
      </c>
      <c r="B455" s="56" t="str">
        <f t="shared" ref="B455:F455" si="26">B443</f>
        <v>Sm2O3</v>
      </c>
      <c r="C455" s="56" t="str">
        <f t="shared" si="26"/>
        <v>CN</v>
      </c>
      <c r="D455" s="56">
        <v>1.1595547309833025</v>
      </c>
      <c r="E455" s="56" t="str">
        <f t="shared" si="26"/>
        <v>kilogram</v>
      </c>
      <c r="F455" s="57" t="str">
        <f t="shared" si="26"/>
        <v>Rare Earths</v>
      </c>
      <c r="G455" s="56" t="s">
        <v>25</v>
      </c>
    </row>
    <row r="456" spans="1:15" s="58" customFormat="1" x14ac:dyDescent="0.25"/>
    <row r="457" spans="1:15" x14ac:dyDescent="0.25">
      <c r="A457" s="59" t="s">
        <v>0</v>
      </c>
      <c r="B457" s="59" t="s">
        <v>449</v>
      </c>
    </row>
    <row r="458" spans="1:15" x14ac:dyDescent="0.25">
      <c r="A458" s="60" t="s">
        <v>1</v>
      </c>
      <c r="B458" s="56" t="s">
        <v>451</v>
      </c>
    </row>
    <row r="459" spans="1:15" x14ac:dyDescent="0.25">
      <c r="A459" s="60" t="s">
        <v>2</v>
      </c>
      <c r="B459" s="56" t="s">
        <v>35</v>
      </c>
    </row>
    <row r="460" spans="1:15" x14ac:dyDescent="0.25">
      <c r="A460" s="60" t="s">
        <v>4</v>
      </c>
      <c r="B460" s="56">
        <v>1</v>
      </c>
    </row>
    <row r="461" spans="1:15" x14ac:dyDescent="0.25">
      <c r="A461" s="60" t="s">
        <v>5</v>
      </c>
      <c r="B461" s="56" t="s">
        <v>6</v>
      </c>
    </row>
    <row r="462" spans="1:15" ht="30" x14ac:dyDescent="0.25">
      <c r="A462" s="60" t="s">
        <v>7</v>
      </c>
      <c r="B462" s="67" t="s">
        <v>246</v>
      </c>
    </row>
    <row r="463" spans="1:15" x14ac:dyDescent="0.25">
      <c r="A463" s="60" t="s">
        <v>9</v>
      </c>
    </row>
    <row r="464" spans="1:15" x14ac:dyDescent="0.25">
      <c r="A464" s="59" t="s">
        <v>10</v>
      </c>
      <c r="B464" s="59" t="s">
        <v>1</v>
      </c>
      <c r="C464" s="59" t="s">
        <v>2</v>
      </c>
      <c r="D464" s="59" t="s">
        <v>4</v>
      </c>
      <c r="E464" s="59" t="s">
        <v>5</v>
      </c>
      <c r="F464" s="59" t="s">
        <v>11</v>
      </c>
      <c r="G464" s="59" t="s">
        <v>12</v>
      </c>
      <c r="H464" s="59" t="s">
        <v>13</v>
      </c>
      <c r="I464" s="59" t="s">
        <v>14</v>
      </c>
      <c r="J464" s="59" t="s">
        <v>15</v>
      </c>
      <c r="K464" s="59" t="s">
        <v>16</v>
      </c>
      <c r="L464" s="59" t="s">
        <v>17</v>
      </c>
      <c r="M464" s="59" t="s">
        <v>18</v>
      </c>
      <c r="N464" s="59" t="s">
        <v>19</v>
      </c>
      <c r="O464" s="59" t="s">
        <v>7</v>
      </c>
    </row>
    <row r="465" spans="1:15" x14ac:dyDescent="0.25">
      <c r="A465" s="56" t="str">
        <f>B457</f>
        <v xml:space="preserve">Terbium oxide (Tb4O7) production in China/Bayan Obo </v>
      </c>
      <c r="B465" s="56" t="str">
        <f>B458</f>
        <v>Tb4O7</v>
      </c>
      <c r="C465" s="56" t="str">
        <f>B459</f>
        <v>CN</v>
      </c>
      <c r="D465" s="64">
        <v>1</v>
      </c>
      <c r="E465" s="56" t="str">
        <f>B461</f>
        <v>kilogram</v>
      </c>
      <c r="F465" s="57" t="str">
        <f>F454</f>
        <v>Rare Earths</v>
      </c>
      <c r="G465" s="56" t="s">
        <v>20</v>
      </c>
    </row>
    <row r="466" spans="1:15" x14ac:dyDescent="0.25">
      <c r="A466" s="56" t="str">
        <f>A208</f>
        <v>Bastnaesite-monazite ore mining and REO production in China/Bayan Obo</v>
      </c>
      <c r="B466" s="56" t="str">
        <f>B208</f>
        <v>REO</v>
      </c>
      <c r="C466" s="56" t="str">
        <f t="shared" ref="C466:F466" si="27">C208</f>
        <v>CN</v>
      </c>
      <c r="D466" s="56">
        <v>43.75875906713847</v>
      </c>
      <c r="E466" s="56" t="str">
        <f t="shared" si="27"/>
        <v>kilogram</v>
      </c>
      <c r="F466" s="57" t="str">
        <f t="shared" si="27"/>
        <v>Rare Earths</v>
      </c>
      <c r="G466" s="56" t="s">
        <v>25</v>
      </c>
    </row>
    <row r="467" spans="1:15" s="58" customFormat="1" x14ac:dyDescent="0.25"/>
    <row r="468" spans="1:15" x14ac:dyDescent="0.25">
      <c r="A468" s="59" t="s">
        <v>0</v>
      </c>
      <c r="B468" s="59" t="s">
        <v>450</v>
      </c>
    </row>
    <row r="469" spans="1:15" x14ac:dyDescent="0.25">
      <c r="A469" s="60" t="s">
        <v>1</v>
      </c>
      <c r="B469" s="56" t="s">
        <v>452</v>
      </c>
    </row>
    <row r="470" spans="1:15" x14ac:dyDescent="0.25">
      <c r="A470" s="60" t="s">
        <v>2</v>
      </c>
      <c r="B470" s="56" t="s">
        <v>35</v>
      </c>
    </row>
    <row r="471" spans="1:15" x14ac:dyDescent="0.25">
      <c r="A471" s="60" t="s">
        <v>4</v>
      </c>
      <c r="B471" s="56">
        <v>1</v>
      </c>
    </row>
    <row r="472" spans="1:15" x14ac:dyDescent="0.25">
      <c r="A472" s="60" t="s">
        <v>5</v>
      </c>
      <c r="B472" s="56" t="s">
        <v>6</v>
      </c>
    </row>
    <row r="473" spans="1:15" x14ac:dyDescent="0.25">
      <c r="A473" s="60" t="s">
        <v>7</v>
      </c>
      <c r="B473" s="56" t="s">
        <v>453</v>
      </c>
    </row>
    <row r="474" spans="1:15" x14ac:dyDescent="0.25">
      <c r="A474" s="60" t="s">
        <v>9</v>
      </c>
    </row>
    <row r="475" spans="1:15" x14ac:dyDescent="0.25">
      <c r="A475" s="59" t="s">
        <v>10</v>
      </c>
      <c r="B475" s="59" t="s">
        <v>1</v>
      </c>
      <c r="C475" s="59" t="s">
        <v>2</v>
      </c>
      <c r="D475" s="59" t="s">
        <v>4</v>
      </c>
      <c r="E475" s="59" t="s">
        <v>5</v>
      </c>
      <c r="F475" s="59" t="s">
        <v>11</v>
      </c>
      <c r="G475" s="59" t="s">
        <v>12</v>
      </c>
      <c r="H475" s="59" t="s">
        <v>13</v>
      </c>
      <c r="I475" s="59" t="s">
        <v>14</v>
      </c>
      <c r="J475" s="59" t="s">
        <v>15</v>
      </c>
      <c r="K475" s="59" t="s">
        <v>16</v>
      </c>
      <c r="L475" s="59" t="s">
        <v>17</v>
      </c>
      <c r="M475" s="59" t="s">
        <v>18</v>
      </c>
      <c r="N475" s="59" t="s">
        <v>19</v>
      </c>
      <c r="O475" s="59" t="s">
        <v>7</v>
      </c>
    </row>
    <row r="476" spans="1:15" x14ac:dyDescent="0.25">
      <c r="A476" s="56" t="str">
        <f>B468</f>
        <v>Terbium oxide (Tb4O7) production in China/Bayan Obo (Tb content)</v>
      </c>
      <c r="B476" s="56" t="str">
        <f>B469</f>
        <v>Tb4O7 (Tb content)</v>
      </c>
      <c r="C476" s="56" t="str">
        <f>B470</f>
        <v>CN</v>
      </c>
      <c r="D476" s="64">
        <v>1</v>
      </c>
      <c r="E476" s="56" t="str">
        <f>B472</f>
        <v>kilogram</v>
      </c>
      <c r="F476" s="57" t="str">
        <f>F465</f>
        <v>Rare Earths</v>
      </c>
      <c r="G476" s="56" t="s">
        <v>20</v>
      </c>
    </row>
    <row r="477" spans="1:15" x14ac:dyDescent="0.25">
      <c r="A477" s="56" t="str">
        <f>A465</f>
        <v xml:space="preserve">Terbium oxide (Tb4O7) production in China/Bayan Obo </v>
      </c>
      <c r="B477" s="56" t="str">
        <f t="shared" ref="B477:F477" si="28">B465</f>
        <v>Tb4O7</v>
      </c>
      <c r="C477" s="56" t="str">
        <f t="shared" si="28"/>
        <v>CN</v>
      </c>
      <c r="D477" s="56">
        <v>1.1761938367442955</v>
      </c>
      <c r="E477" s="56" t="str">
        <f t="shared" si="28"/>
        <v>kilogram</v>
      </c>
      <c r="F477" s="57" t="str">
        <f t="shared" si="28"/>
        <v>Rare Earths</v>
      </c>
      <c r="G477" s="56" t="s">
        <v>25</v>
      </c>
    </row>
    <row r="478" spans="1:15" s="58" customFormat="1" x14ac:dyDescent="0.25"/>
    <row r="479" spans="1:15" x14ac:dyDescent="0.25">
      <c r="A479" s="59" t="s">
        <v>0</v>
      </c>
      <c r="B479" s="59" t="s">
        <v>454</v>
      </c>
    </row>
    <row r="480" spans="1:15" x14ac:dyDescent="0.25">
      <c r="A480" s="60" t="s">
        <v>1</v>
      </c>
      <c r="B480" s="56" t="s">
        <v>455</v>
      </c>
    </row>
    <row r="481" spans="1:15" x14ac:dyDescent="0.25">
      <c r="A481" s="60" t="s">
        <v>2</v>
      </c>
      <c r="B481" s="56" t="s">
        <v>35</v>
      </c>
    </row>
    <row r="482" spans="1:15" x14ac:dyDescent="0.25">
      <c r="A482" s="60" t="s">
        <v>4</v>
      </c>
      <c r="B482" s="56">
        <v>1</v>
      </c>
    </row>
    <row r="483" spans="1:15" x14ac:dyDescent="0.25">
      <c r="A483" s="60" t="s">
        <v>5</v>
      </c>
      <c r="B483" s="56" t="s">
        <v>6</v>
      </c>
    </row>
    <row r="484" spans="1:15" ht="30" x14ac:dyDescent="0.25">
      <c r="A484" s="60" t="s">
        <v>7</v>
      </c>
      <c r="B484" s="67" t="s">
        <v>246</v>
      </c>
    </row>
    <row r="485" spans="1:15" x14ac:dyDescent="0.25">
      <c r="A485" s="60" t="s">
        <v>9</v>
      </c>
    </row>
    <row r="486" spans="1:15" x14ac:dyDescent="0.25">
      <c r="A486" s="59" t="s">
        <v>10</v>
      </c>
      <c r="B486" s="59" t="s">
        <v>1</v>
      </c>
      <c r="C486" s="59" t="s">
        <v>2</v>
      </c>
      <c r="D486" s="59" t="s">
        <v>4</v>
      </c>
      <c r="E486" s="59" t="s">
        <v>5</v>
      </c>
      <c r="F486" s="59" t="s">
        <v>11</v>
      </c>
      <c r="G486" s="59" t="s">
        <v>12</v>
      </c>
      <c r="H486" s="59" t="s">
        <v>13</v>
      </c>
      <c r="I486" s="59" t="s">
        <v>14</v>
      </c>
      <c r="J486" s="59" t="s">
        <v>15</v>
      </c>
      <c r="K486" s="59" t="s">
        <v>16</v>
      </c>
      <c r="L486" s="59" t="s">
        <v>17</v>
      </c>
      <c r="M486" s="59" t="s">
        <v>18</v>
      </c>
      <c r="N486" s="59" t="s">
        <v>19</v>
      </c>
      <c r="O486" s="59" t="s">
        <v>7</v>
      </c>
    </row>
    <row r="487" spans="1:15" x14ac:dyDescent="0.25">
      <c r="A487" s="56" t="str">
        <f>B479</f>
        <v xml:space="preserve">Thulium oxide (Tm2O3) production in China/Bayan Obo </v>
      </c>
      <c r="B487" s="56" t="str">
        <f>B480</f>
        <v>Tm2O3</v>
      </c>
      <c r="C487" s="56" t="str">
        <f>B481</f>
        <v>CN</v>
      </c>
      <c r="D487" s="64">
        <v>1</v>
      </c>
      <c r="E487" s="56" t="str">
        <f>B483</f>
        <v>kilogram</v>
      </c>
      <c r="F487" s="57" t="str">
        <f>F476</f>
        <v>Rare Earths</v>
      </c>
      <c r="G487" s="56" t="s">
        <v>20</v>
      </c>
    </row>
    <row r="488" spans="1:15" x14ac:dyDescent="0.25">
      <c r="A488" s="56" t="str">
        <f>A208</f>
        <v>Bastnaesite-monazite ore mining and REO production in China/Bayan Obo</v>
      </c>
      <c r="B488" s="56" t="str">
        <f t="shared" ref="B488:F488" si="29">B208</f>
        <v>REO</v>
      </c>
      <c r="C488" s="56" t="str">
        <f t="shared" si="29"/>
        <v>CN</v>
      </c>
      <c r="D488" s="56">
        <v>6.0373349285121662</v>
      </c>
      <c r="E488" s="56" t="str">
        <f t="shared" si="29"/>
        <v>kilogram</v>
      </c>
      <c r="F488" s="57" t="str">
        <f t="shared" si="29"/>
        <v>Rare Earths</v>
      </c>
      <c r="G488" s="56" t="s">
        <v>25</v>
      </c>
    </row>
    <row r="489" spans="1:15" s="58" customFormat="1" x14ac:dyDescent="0.25"/>
    <row r="490" spans="1:15" x14ac:dyDescent="0.25">
      <c r="A490" s="59" t="s">
        <v>0</v>
      </c>
      <c r="B490" s="59" t="s">
        <v>662</v>
      </c>
    </row>
    <row r="491" spans="1:15" x14ac:dyDescent="0.25">
      <c r="A491" s="60" t="s">
        <v>1</v>
      </c>
      <c r="B491" s="56" t="s">
        <v>456</v>
      </c>
    </row>
    <row r="492" spans="1:15" x14ac:dyDescent="0.25">
      <c r="A492" s="60" t="s">
        <v>2</v>
      </c>
      <c r="B492" s="56" t="s">
        <v>35</v>
      </c>
    </row>
    <row r="493" spans="1:15" x14ac:dyDescent="0.25">
      <c r="A493" s="60" t="s">
        <v>4</v>
      </c>
      <c r="B493" s="56">
        <v>1</v>
      </c>
    </row>
    <row r="494" spans="1:15" x14ac:dyDescent="0.25">
      <c r="A494" s="60" t="s">
        <v>5</v>
      </c>
      <c r="B494" s="56" t="s">
        <v>6</v>
      </c>
    </row>
    <row r="495" spans="1:15" x14ac:dyDescent="0.25">
      <c r="A495" s="60" t="s">
        <v>7</v>
      </c>
      <c r="B495" s="56" t="s">
        <v>457</v>
      </c>
    </row>
    <row r="496" spans="1:15" x14ac:dyDescent="0.25">
      <c r="A496" s="60" t="s">
        <v>9</v>
      </c>
    </row>
    <row r="497" spans="1:15" x14ac:dyDescent="0.25">
      <c r="A497" s="59" t="s">
        <v>10</v>
      </c>
      <c r="B497" s="59" t="s">
        <v>1</v>
      </c>
      <c r="C497" s="59" t="s">
        <v>2</v>
      </c>
      <c r="D497" s="59" t="s">
        <v>4</v>
      </c>
      <c r="E497" s="59" t="s">
        <v>5</v>
      </c>
      <c r="F497" s="59" t="s">
        <v>11</v>
      </c>
      <c r="G497" s="59" t="s">
        <v>12</v>
      </c>
      <c r="H497" s="59" t="s">
        <v>13</v>
      </c>
      <c r="I497" s="59" t="s">
        <v>14</v>
      </c>
      <c r="J497" s="59" t="s">
        <v>15</v>
      </c>
      <c r="K497" s="59" t="s">
        <v>16</v>
      </c>
      <c r="L497" s="59" t="s">
        <v>17</v>
      </c>
      <c r="M497" s="59" t="s">
        <v>18</v>
      </c>
      <c r="N497" s="59" t="s">
        <v>19</v>
      </c>
      <c r="O497" s="59" t="s">
        <v>7</v>
      </c>
    </row>
    <row r="498" spans="1:15" x14ac:dyDescent="0.25">
      <c r="A498" s="56" t="str">
        <f>B490</f>
        <v>Thulium oxide (Tm2O3) production in China/Bayan Obo (Tm content)</v>
      </c>
      <c r="B498" s="56" t="str">
        <f>B491</f>
        <v>Tm2O3 (Tm content)</v>
      </c>
      <c r="C498" s="56" t="str">
        <f>B492</f>
        <v>CN</v>
      </c>
      <c r="D498" s="64">
        <v>1</v>
      </c>
      <c r="E498" s="56" t="str">
        <f>B494</f>
        <v>kilogram</v>
      </c>
      <c r="F498" s="57" t="str">
        <f>F487</f>
        <v>Rare Earths</v>
      </c>
      <c r="G498" s="56" t="s">
        <v>20</v>
      </c>
    </row>
    <row r="499" spans="1:15" x14ac:dyDescent="0.25">
      <c r="A499" s="56" t="str">
        <f>A487</f>
        <v xml:space="preserve">Thulium oxide (Tm2O3) production in China/Bayan Obo </v>
      </c>
      <c r="B499" s="56" t="str">
        <f t="shared" ref="B499:F499" si="30">B487</f>
        <v>Tm2O3</v>
      </c>
      <c r="C499" s="56" t="str">
        <f t="shared" si="30"/>
        <v>CN</v>
      </c>
      <c r="D499" s="56">
        <v>1.1420740063956143</v>
      </c>
      <c r="E499" s="56" t="str">
        <f t="shared" si="30"/>
        <v>kilogram</v>
      </c>
      <c r="F499" s="57" t="str">
        <f t="shared" si="30"/>
        <v>Rare Earths</v>
      </c>
      <c r="G499" s="56" t="s">
        <v>25</v>
      </c>
    </row>
    <row r="500" spans="1:15" s="58" customFormat="1" x14ac:dyDescent="0.25"/>
    <row r="501" spans="1:15" x14ac:dyDescent="0.25">
      <c r="A501" s="59" t="s">
        <v>0</v>
      </c>
      <c r="B501" s="59" t="s">
        <v>458</v>
      </c>
    </row>
    <row r="502" spans="1:15" x14ac:dyDescent="0.25">
      <c r="A502" s="60" t="s">
        <v>1</v>
      </c>
      <c r="B502" s="56" t="s">
        <v>460</v>
      </c>
    </row>
    <row r="503" spans="1:15" x14ac:dyDescent="0.25">
      <c r="A503" s="60" t="s">
        <v>2</v>
      </c>
      <c r="B503" s="56" t="s">
        <v>35</v>
      </c>
    </row>
    <row r="504" spans="1:15" x14ac:dyDescent="0.25">
      <c r="A504" s="60" t="s">
        <v>4</v>
      </c>
      <c r="B504" s="56">
        <v>1</v>
      </c>
    </row>
    <row r="505" spans="1:15" x14ac:dyDescent="0.25">
      <c r="A505" s="60" t="s">
        <v>5</v>
      </c>
      <c r="B505" s="56" t="s">
        <v>6</v>
      </c>
    </row>
    <row r="506" spans="1:15" ht="30" x14ac:dyDescent="0.25">
      <c r="A506" s="60" t="s">
        <v>7</v>
      </c>
      <c r="B506" s="67" t="s">
        <v>246</v>
      </c>
    </row>
    <row r="507" spans="1:15" x14ac:dyDescent="0.25">
      <c r="A507" s="60" t="s">
        <v>9</v>
      </c>
    </row>
    <row r="508" spans="1:15" x14ac:dyDescent="0.25">
      <c r="A508" s="59" t="s">
        <v>10</v>
      </c>
      <c r="B508" s="59" t="s">
        <v>1</v>
      </c>
      <c r="C508" s="59" t="s">
        <v>2</v>
      </c>
      <c r="D508" s="59" t="s">
        <v>4</v>
      </c>
      <c r="E508" s="59" t="s">
        <v>5</v>
      </c>
      <c r="F508" s="59" t="s">
        <v>11</v>
      </c>
      <c r="G508" s="59" t="s">
        <v>12</v>
      </c>
      <c r="H508" s="59" t="s">
        <v>13</v>
      </c>
      <c r="I508" s="59" t="s">
        <v>14</v>
      </c>
      <c r="J508" s="59" t="s">
        <v>15</v>
      </c>
      <c r="K508" s="59" t="s">
        <v>16</v>
      </c>
      <c r="L508" s="59" t="s">
        <v>17</v>
      </c>
      <c r="M508" s="59" t="s">
        <v>18</v>
      </c>
      <c r="N508" s="59" t="s">
        <v>19</v>
      </c>
      <c r="O508" s="59" t="s">
        <v>7</v>
      </c>
    </row>
    <row r="509" spans="1:15" x14ac:dyDescent="0.25">
      <c r="A509" s="56" t="str">
        <f>B501</f>
        <v>Ytterbium oxide (Yb2O3) production in China/Bayan Obo</v>
      </c>
      <c r="B509" s="56" t="str">
        <f>B502</f>
        <v>Yb2O3</v>
      </c>
      <c r="C509" s="56" t="str">
        <f>B503</f>
        <v>CN</v>
      </c>
      <c r="D509" s="64">
        <v>1</v>
      </c>
      <c r="E509" s="56" t="str">
        <f>B505</f>
        <v>kilogram</v>
      </c>
      <c r="F509" s="57" t="str">
        <f>F498</f>
        <v>Rare Earths</v>
      </c>
      <c r="G509" s="56" t="s">
        <v>20</v>
      </c>
    </row>
    <row r="510" spans="1:15" x14ac:dyDescent="0.25">
      <c r="A510" s="56" t="str">
        <f>A208</f>
        <v>Bastnaesite-monazite ore mining and REO production in China/Bayan Obo</v>
      </c>
      <c r="B510" s="56" t="str">
        <f t="shared" ref="B510:F510" si="31">B208</f>
        <v>REO</v>
      </c>
      <c r="C510" s="56" t="str">
        <f t="shared" si="31"/>
        <v>CN</v>
      </c>
      <c r="D510" s="56">
        <v>0.66849763117525618</v>
      </c>
      <c r="E510" s="56" t="str">
        <f t="shared" si="31"/>
        <v>kilogram</v>
      </c>
      <c r="F510" s="57" t="str">
        <f t="shared" si="31"/>
        <v>Rare Earths</v>
      </c>
      <c r="G510" s="56" t="s">
        <v>25</v>
      </c>
    </row>
    <row r="511" spans="1:15" s="58" customFormat="1" x14ac:dyDescent="0.25"/>
    <row r="512" spans="1:15" x14ac:dyDescent="0.25">
      <c r="A512" s="59" t="s">
        <v>0</v>
      </c>
      <c r="B512" s="59" t="s">
        <v>459</v>
      </c>
    </row>
    <row r="513" spans="1:15" x14ac:dyDescent="0.25">
      <c r="A513" s="60" t="s">
        <v>1</v>
      </c>
      <c r="B513" s="56" t="s">
        <v>461</v>
      </c>
    </row>
    <row r="514" spans="1:15" x14ac:dyDescent="0.25">
      <c r="A514" s="60" t="s">
        <v>2</v>
      </c>
      <c r="B514" s="56" t="s">
        <v>35</v>
      </c>
    </row>
    <row r="515" spans="1:15" x14ac:dyDescent="0.25">
      <c r="A515" s="60" t="s">
        <v>4</v>
      </c>
      <c r="B515" s="56">
        <v>1</v>
      </c>
    </row>
    <row r="516" spans="1:15" x14ac:dyDescent="0.25">
      <c r="A516" s="60" t="s">
        <v>5</v>
      </c>
      <c r="B516" s="56" t="s">
        <v>6</v>
      </c>
    </row>
    <row r="517" spans="1:15" x14ac:dyDescent="0.25">
      <c r="A517" s="60" t="s">
        <v>7</v>
      </c>
      <c r="B517" s="56" t="s">
        <v>463</v>
      </c>
    </row>
    <row r="518" spans="1:15" x14ac:dyDescent="0.25">
      <c r="A518" s="60" t="s">
        <v>9</v>
      </c>
    </row>
    <row r="519" spans="1:15" x14ac:dyDescent="0.25">
      <c r="A519" s="59" t="s">
        <v>10</v>
      </c>
      <c r="B519" s="59" t="s">
        <v>1</v>
      </c>
      <c r="C519" s="59" t="s">
        <v>2</v>
      </c>
      <c r="D519" s="59" t="s">
        <v>4</v>
      </c>
      <c r="E519" s="59" t="s">
        <v>5</v>
      </c>
      <c r="F519" s="59" t="s">
        <v>11</v>
      </c>
      <c r="G519" s="59" t="s">
        <v>12</v>
      </c>
      <c r="H519" s="59" t="s">
        <v>13</v>
      </c>
      <c r="I519" s="59" t="s">
        <v>14</v>
      </c>
      <c r="J519" s="59" t="s">
        <v>15</v>
      </c>
      <c r="K519" s="59" t="s">
        <v>16</v>
      </c>
      <c r="L519" s="59" t="s">
        <v>17</v>
      </c>
      <c r="M519" s="59" t="s">
        <v>18</v>
      </c>
      <c r="N519" s="59" t="s">
        <v>19</v>
      </c>
      <c r="O519" s="59" t="s">
        <v>7</v>
      </c>
    </row>
    <row r="520" spans="1:15" x14ac:dyDescent="0.25">
      <c r="A520" s="56" t="str">
        <f>B512</f>
        <v>Ytterbium oxide (Yb2O3) production in China/Bayan Obo (Yb content)</v>
      </c>
      <c r="B520" s="56" t="str">
        <f>B513</f>
        <v>Yb2O3 (Yb content)</v>
      </c>
      <c r="C520" s="56" t="str">
        <f>B514</f>
        <v>CN</v>
      </c>
      <c r="D520" s="64">
        <v>1</v>
      </c>
      <c r="E520" s="56" t="str">
        <f>B516</f>
        <v>kilogram</v>
      </c>
      <c r="F520" s="57" t="str">
        <f>F509</f>
        <v>Rare Earths</v>
      </c>
      <c r="G520" s="56" t="s">
        <v>20</v>
      </c>
    </row>
    <row r="521" spans="1:15" x14ac:dyDescent="0.25">
      <c r="A521" s="56" t="str">
        <f>A509</f>
        <v>Ytterbium oxide (Yb2O3) production in China/Bayan Obo</v>
      </c>
      <c r="B521" s="56" t="str">
        <f t="shared" ref="B521:F521" si="32">B509</f>
        <v>Yb2O3</v>
      </c>
      <c r="C521" s="56" t="str">
        <f t="shared" si="32"/>
        <v>CN</v>
      </c>
      <c r="D521" s="56">
        <v>1.1386927806877705</v>
      </c>
      <c r="E521" s="56" t="str">
        <f t="shared" si="32"/>
        <v>kilogram</v>
      </c>
      <c r="F521" s="57" t="str">
        <f t="shared" si="32"/>
        <v>Rare Earths</v>
      </c>
      <c r="G521" s="56" t="s">
        <v>25</v>
      </c>
    </row>
    <row r="522" spans="1:15" s="58" customFormat="1" x14ac:dyDescent="0.25"/>
    <row r="523" spans="1:15" x14ac:dyDescent="0.25">
      <c r="A523" s="59" t="s">
        <v>0</v>
      </c>
      <c r="B523" s="59" t="s">
        <v>464</v>
      </c>
    </row>
    <row r="524" spans="1:15" x14ac:dyDescent="0.25">
      <c r="A524" s="60" t="s">
        <v>1</v>
      </c>
      <c r="B524" s="56" t="s">
        <v>286</v>
      </c>
    </row>
    <row r="525" spans="1:15" x14ac:dyDescent="0.25">
      <c r="A525" s="60" t="s">
        <v>2</v>
      </c>
      <c r="B525" s="56" t="s">
        <v>35</v>
      </c>
    </row>
    <row r="526" spans="1:15" x14ac:dyDescent="0.25">
      <c r="A526" s="60" t="s">
        <v>4</v>
      </c>
      <c r="B526" s="56">
        <v>1</v>
      </c>
    </row>
    <row r="527" spans="1:15" x14ac:dyDescent="0.25">
      <c r="A527" s="60" t="s">
        <v>5</v>
      </c>
      <c r="B527" s="56" t="s">
        <v>6</v>
      </c>
    </row>
    <row r="528" spans="1:15" ht="30" x14ac:dyDescent="0.25">
      <c r="A528" s="60" t="s">
        <v>7</v>
      </c>
      <c r="B528" s="67" t="s">
        <v>246</v>
      </c>
    </row>
    <row r="529" spans="1:15" x14ac:dyDescent="0.25">
      <c r="A529" s="60" t="s">
        <v>9</v>
      </c>
    </row>
    <row r="530" spans="1:15" x14ac:dyDescent="0.25">
      <c r="A530" s="59" t="s">
        <v>10</v>
      </c>
      <c r="B530" s="59" t="s">
        <v>1</v>
      </c>
      <c r="C530" s="59" t="s">
        <v>2</v>
      </c>
      <c r="D530" s="59" t="s">
        <v>4</v>
      </c>
      <c r="E530" s="59" t="s">
        <v>5</v>
      </c>
      <c r="F530" s="59" t="s">
        <v>11</v>
      </c>
      <c r="G530" s="59" t="s">
        <v>12</v>
      </c>
      <c r="H530" s="59" t="s">
        <v>13</v>
      </c>
      <c r="I530" s="59" t="s">
        <v>14</v>
      </c>
      <c r="J530" s="59" t="s">
        <v>15</v>
      </c>
      <c r="K530" s="59" t="s">
        <v>16</v>
      </c>
      <c r="L530" s="59" t="s">
        <v>17</v>
      </c>
      <c r="M530" s="59" t="s">
        <v>18</v>
      </c>
      <c r="N530" s="59" t="s">
        <v>19</v>
      </c>
      <c r="O530" s="59" t="s">
        <v>7</v>
      </c>
    </row>
    <row r="531" spans="1:15" x14ac:dyDescent="0.25">
      <c r="A531" s="56" t="str">
        <f>B523</f>
        <v>Yttrium oxide (Y2O3) production in China/Bayan Obo</v>
      </c>
      <c r="B531" s="56" t="str">
        <f>B524</f>
        <v>Y2O3</v>
      </c>
      <c r="C531" s="56" t="str">
        <f>B525</f>
        <v>CN</v>
      </c>
      <c r="D531" s="64">
        <v>1</v>
      </c>
      <c r="E531" s="56" t="str">
        <f>B527</f>
        <v>kilogram</v>
      </c>
      <c r="F531" s="57" t="str">
        <f>F520</f>
        <v>Rare Earths</v>
      </c>
      <c r="G531" s="56" t="s">
        <v>20</v>
      </c>
    </row>
    <row r="532" spans="1:15" x14ac:dyDescent="0.25">
      <c r="A532" s="56" t="str">
        <f>A208</f>
        <v>Bastnaesite-monazite ore mining and REO production in China/Bayan Obo</v>
      </c>
      <c r="B532" s="56" t="str">
        <f t="shared" ref="B532:F532" si="33">B208</f>
        <v>REO</v>
      </c>
      <c r="C532" s="56" t="str">
        <f t="shared" si="33"/>
        <v>CN</v>
      </c>
      <c r="D532" s="56">
        <v>0.42832147074644489</v>
      </c>
      <c r="E532" s="56" t="str">
        <f t="shared" si="33"/>
        <v>kilogram</v>
      </c>
      <c r="F532" s="57" t="str">
        <f t="shared" si="33"/>
        <v>Rare Earths</v>
      </c>
      <c r="G532" s="56" t="s">
        <v>25</v>
      </c>
    </row>
    <row r="533" spans="1:15" s="58" customFormat="1" x14ac:dyDescent="0.25"/>
    <row r="534" spans="1:15" x14ac:dyDescent="0.25">
      <c r="A534" s="59" t="s">
        <v>0</v>
      </c>
      <c r="B534" s="59" t="s">
        <v>465</v>
      </c>
    </row>
    <row r="535" spans="1:15" x14ac:dyDescent="0.25">
      <c r="A535" s="60" t="s">
        <v>1</v>
      </c>
      <c r="B535" s="56" t="s">
        <v>288</v>
      </c>
    </row>
    <row r="536" spans="1:15" x14ac:dyDescent="0.25">
      <c r="A536" s="60" t="s">
        <v>2</v>
      </c>
      <c r="B536" s="56" t="s">
        <v>35</v>
      </c>
    </row>
    <row r="537" spans="1:15" x14ac:dyDescent="0.25">
      <c r="A537" s="60" t="s">
        <v>4</v>
      </c>
      <c r="B537" s="56">
        <v>1</v>
      </c>
    </row>
    <row r="538" spans="1:15" x14ac:dyDescent="0.25">
      <c r="A538" s="60" t="s">
        <v>5</v>
      </c>
      <c r="B538" s="56" t="s">
        <v>6</v>
      </c>
    </row>
    <row r="539" spans="1:15" x14ac:dyDescent="0.25">
      <c r="A539" s="60" t="s">
        <v>7</v>
      </c>
      <c r="B539" s="56" t="s">
        <v>462</v>
      </c>
    </row>
    <row r="540" spans="1:15" x14ac:dyDescent="0.25">
      <c r="A540" s="60" t="s">
        <v>9</v>
      </c>
    </row>
    <row r="541" spans="1:15" x14ac:dyDescent="0.25">
      <c r="A541" s="59" t="s">
        <v>10</v>
      </c>
      <c r="B541" s="59" t="s">
        <v>1</v>
      </c>
      <c r="C541" s="59" t="s">
        <v>2</v>
      </c>
      <c r="D541" s="59" t="s">
        <v>4</v>
      </c>
      <c r="E541" s="59" t="s">
        <v>5</v>
      </c>
      <c r="F541" s="59" t="s">
        <v>11</v>
      </c>
      <c r="G541" s="59" t="s">
        <v>12</v>
      </c>
      <c r="H541" s="59" t="s">
        <v>13</v>
      </c>
      <c r="I541" s="59" t="s">
        <v>14</v>
      </c>
      <c r="J541" s="59" t="s">
        <v>15</v>
      </c>
      <c r="K541" s="59" t="s">
        <v>16</v>
      </c>
      <c r="L541" s="59" t="s">
        <v>17</v>
      </c>
      <c r="M541" s="59" t="s">
        <v>18</v>
      </c>
      <c r="N541" s="59" t="s">
        <v>19</v>
      </c>
      <c r="O541" s="59" t="s">
        <v>7</v>
      </c>
    </row>
    <row r="542" spans="1:15" x14ac:dyDescent="0.25">
      <c r="A542" s="56" t="str">
        <f>B534</f>
        <v>Yttrium oxide (Y2O3) production in China/Bayan Obo (Y content)</v>
      </c>
      <c r="B542" s="56" t="str">
        <f>B535</f>
        <v>Y2O3 (Y content)</v>
      </c>
      <c r="C542" s="56" t="str">
        <f>B536</f>
        <v>CN</v>
      </c>
      <c r="D542" s="64">
        <v>1</v>
      </c>
      <c r="E542" s="56" t="str">
        <f>B538</f>
        <v>kilogram</v>
      </c>
      <c r="F542" s="57" t="str">
        <f>F531</f>
        <v>Rare Earths</v>
      </c>
      <c r="G542" s="56" t="s">
        <v>20</v>
      </c>
    </row>
    <row r="543" spans="1:15" x14ac:dyDescent="0.25">
      <c r="A543" s="56" t="str">
        <f>A531</f>
        <v>Yttrium oxide (Y2O3) production in China/Bayan Obo</v>
      </c>
      <c r="B543" s="56" t="str">
        <f t="shared" ref="B543:F543" si="34">B531</f>
        <v>Y2O3</v>
      </c>
      <c r="C543" s="56" t="str">
        <f t="shared" si="34"/>
        <v>CN</v>
      </c>
      <c r="D543" s="56">
        <v>1.2700025400050801</v>
      </c>
      <c r="E543" s="56" t="str">
        <f t="shared" si="34"/>
        <v>kilogram</v>
      </c>
      <c r="F543" s="57" t="str">
        <f t="shared" si="34"/>
        <v>Rare Earths</v>
      </c>
      <c r="G543" s="56" t="s">
        <v>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15793-4AB4-4AD6-B874-5F35147F043C}">
  <sheetPr>
    <tabColor theme="8" tint="0.39997558519241921"/>
  </sheetPr>
  <dimension ref="A1:O395"/>
  <sheetViews>
    <sheetView tabSelected="1" topLeftCell="A163" workbookViewId="0">
      <selection activeCell="D178" sqref="D178:D181"/>
    </sheetView>
  </sheetViews>
  <sheetFormatPr baseColWidth="10" defaultColWidth="10.85546875" defaultRowHeight="15" x14ac:dyDescent="0.25"/>
  <cols>
    <col min="1" max="1" width="85.85546875" style="56" bestFit="1" customWidth="1"/>
    <col min="2" max="2" width="67.5703125" style="56" bestFit="1" customWidth="1"/>
    <col min="3" max="3" width="8.140625" style="56" bestFit="1" customWidth="1"/>
    <col min="4" max="4" width="12.42578125" style="56" bestFit="1" customWidth="1"/>
    <col min="5" max="5" width="17.5703125" style="56" bestFit="1" customWidth="1"/>
    <col min="6" max="6" width="19.7109375" style="56" bestFit="1" customWidth="1"/>
    <col min="7" max="7" width="13.28515625" style="56" bestFit="1" customWidth="1"/>
    <col min="8" max="8" width="35.28515625" style="56" bestFit="1" customWidth="1"/>
    <col min="9" max="9" width="15.5703125" style="56" bestFit="1" customWidth="1"/>
    <col min="10" max="10" width="9" style="56" bestFit="1" customWidth="1"/>
    <col min="11" max="11" width="3.5703125" style="56" bestFit="1" customWidth="1"/>
    <col min="12" max="12" width="5.42578125" style="56" bestFit="1" customWidth="1"/>
    <col min="13" max="13" width="9.5703125" style="56" bestFit="1" customWidth="1"/>
    <col min="14" max="14" width="9.85546875" style="56" bestFit="1" customWidth="1"/>
    <col min="15" max="15" width="9.42578125" style="56" bestFit="1" customWidth="1"/>
    <col min="16" max="16384" width="10.85546875" style="56"/>
  </cols>
  <sheetData>
    <row r="1" spans="1:15" x14ac:dyDescent="0.25">
      <c r="A1" s="59" t="s">
        <v>0</v>
      </c>
      <c r="B1" s="59" t="s">
        <v>468</v>
      </c>
    </row>
    <row r="2" spans="1:15" x14ac:dyDescent="0.25">
      <c r="A2" s="60" t="s">
        <v>1</v>
      </c>
      <c r="B2" s="56" t="s">
        <v>469</v>
      </c>
    </row>
    <row r="3" spans="1:15" x14ac:dyDescent="0.25">
      <c r="A3" s="60" t="s">
        <v>2</v>
      </c>
      <c r="B3" s="56" t="s">
        <v>470</v>
      </c>
    </row>
    <row r="4" spans="1:15" x14ac:dyDescent="0.25">
      <c r="A4" s="60" t="s">
        <v>4</v>
      </c>
      <c r="B4" s="56">
        <v>1</v>
      </c>
    </row>
    <row r="5" spans="1:15" x14ac:dyDescent="0.25">
      <c r="A5" s="60" t="s">
        <v>5</v>
      </c>
      <c r="B5" s="56" t="s">
        <v>6</v>
      </c>
    </row>
    <row r="6" spans="1:15" x14ac:dyDescent="0.25">
      <c r="A6" s="60" t="s">
        <v>7</v>
      </c>
      <c r="B6" s="56" t="s">
        <v>8</v>
      </c>
    </row>
    <row r="7" spans="1:15" x14ac:dyDescent="0.25">
      <c r="A7" s="60" t="s">
        <v>9</v>
      </c>
    </row>
    <row r="8" spans="1:15" x14ac:dyDescent="0.25">
      <c r="A8" s="59" t="s">
        <v>10</v>
      </c>
      <c r="B8" s="59" t="s">
        <v>1</v>
      </c>
      <c r="C8" s="59" t="s">
        <v>2</v>
      </c>
      <c r="D8" s="59" t="s">
        <v>4</v>
      </c>
      <c r="E8" s="59" t="s">
        <v>5</v>
      </c>
      <c r="F8" s="59" t="s">
        <v>11</v>
      </c>
      <c r="G8" s="59" t="s">
        <v>12</v>
      </c>
      <c r="H8" s="59" t="s">
        <v>13</v>
      </c>
      <c r="I8" s="59" t="s">
        <v>14</v>
      </c>
      <c r="J8" s="59" t="s">
        <v>15</v>
      </c>
      <c r="K8" s="59" t="s">
        <v>16</v>
      </c>
      <c r="L8" s="59" t="s">
        <v>17</v>
      </c>
      <c r="M8" s="59" t="s">
        <v>18</v>
      </c>
      <c r="N8" s="59" t="s">
        <v>19</v>
      </c>
      <c r="O8" s="59" t="s">
        <v>7</v>
      </c>
    </row>
    <row r="9" spans="1:15" x14ac:dyDescent="0.25">
      <c r="A9" s="56" t="str">
        <f>B1</f>
        <v>[M] Monazite ore mining (Mt. Weld)</v>
      </c>
      <c r="B9" s="56" t="str">
        <f>B2</f>
        <v>Monazite ore</v>
      </c>
      <c r="C9" s="56" t="str">
        <f>B3</f>
        <v>AU</v>
      </c>
      <c r="D9" s="64">
        <v>1</v>
      </c>
      <c r="E9" s="56" t="s">
        <v>6</v>
      </c>
      <c r="F9" s="57" t="str">
        <f>RE_Market_GLO!B1</f>
        <v>Rare Earths</v>
      </c>
      <c r="G9" s="56" t="s">
        <v>20</v>
      </c>
    </row>
    <row r="10" spans="1:15" x14ac:dyDescent="0.25">
      <c r="A10" s="56" t="s">
        <v>333</v>
      </c>
      <c r="B10" s="56" t="s">
        <v>333</v>
      </c>
      <c r="C10" s="56" t="s">
        <v>23</v>
      </c>
      <c r="D10" s="56">
        <v>1.0070760806989789E-2</v>
      </c>
      <c r="E10" s="56" t="s">
        <v>78</v>
      </c>
      <c r="F10" s="56" t="s">
        <v>24</v>
      </c>
      <c r="G10" s="56" t="s">
        <v>25</v>
      </c>
    </row>
    <row r="11" spans="1:15" x14ac:dyDescent="0.25">
      <c r="A11" s="56" t="s">
        <v>471</v>
      </c>
      <c r="B11" s="56" t="s">
        <v>90</v>
      </c>
      <c r="C11" s="56" t="s">
        <v>29</v>
      </c>
      <c r="D11" s="56">
        <v>9.0634441087613293E-5</v>
      </c>
      <c r="E11" s="56" t="s">
        <v>6</v>
      </c>
      <c r="F11" s="56" t="s">
        <v>24</v>
      </c>
      <c r="G11" s="56" t="s">
        <v>25</v>
      </c>
    </row>
    <row r="12" spans="1:15" x14ac:dyDescent="0.25">
      <c r="A12" s="56" t="s">
        <v>332</v>
      </c>
      <c r="B12" s="56" t="s">
        <v>335</v>
      </c>
      <c r="C12" s="56" t="s">
        <v>23</v>
      </c>
      <c r="D12" s="56">
        <v>5.3247152000000005E-4</v>
      </c>
      <c r="E12" s="56" t="s">
        <v>6</v>
      </c>
      <c r="F12" s="56" t="s">
        <v>24</v>
      </c>
      <c r="G12" s="56" t="s">
        <v>25</v>
      </c>
    </row>
    <row r="13" spans="1:15" x14ac:dyDescent="0.25">
      <c r="A13" s="56" t="s">
        <v>76</v>
      </c>
      <c r="B13" s="56" t="s">
        <v>77</v>
      </c>
      <c r="C13" s="56" t="s">
        <v>23</v>
      </c>
      <c r="D13" s="63">
        <v>5.0150239999999999E-2</v>
      </c>
      <c r="E13" s="56" t="s">
        <v>78</v>
      </c>
      <c r="F13" s="56" t="s">
        <v>24</v>
      </c>
      <c r="G13" s="56" t="s">
        <v>25</v>
      </c>
    </row>
    <row r="14" spans="1:15" x14ac:dyDescent="0.25">
      <c r="A14" s="56" t="s">
        <v>334</v>
      </c>
      <c r="B14" s="56" t="s">
        <v>336</v>
      </c>
      <c r="C14" s="56" t="s">
        <v>23</v>
      </c>
      <c r="D14" s="63">
        <v>2.3504531722054378E-9</v>
      </c>
      <c r="E14" s="56" t="s">
        <v>102</v>
      </c>
      <c r="F14" s="56" t="s">
        <v>24</v>
      </c>
      <c r="G14" s="56" t="s">
        <v>25</v>
      </c>
    </row>
    <row r="15" spans="1:15" x14ac:dyDescent="0.25">
      <c r="A15" s="56" t="s">
        <v>148</v>
      </c>
      <c r="B15" s="56" t="s">
        <v>147</v>
      </c>
      <c r="C15" s="56" t="s">
        <v>29</v>
      </c>
      <c r="D15" s="56">
        <v>2.3867069486404832E-3</v>
      </c>
      <c r="E15" s="56" t="s">
        <v>85</v>
      </c>
      <c r="F15" s="56" t="s">
        <v>24</v>
      </c>
      <c r="G15" s="56" t="s">
        <v>25</v>
      </c>
    </row>
    <row r="16" spans="1:15" x14ac:dyDescent="0.25">
      <c r="A16" s="56" t="s">
        <v>386</v>
      </c>
      <c r="B16" s="56" t="s">
        <v>368</v>
      </c>
      <c r="C16" s="56" t="s">
        <v>29</v>
      </c>
      <c r="D16" s="56">
        <v>1.4501510574018127E-3</v>
      </c>
      <c r="E16" s="56" t="s">
        <v>85</v>
      </c>
      <c r="F16" s="56" t="s">
        <v>24</v>
      </c>
      <c r="G16" s="56" t="s">
        <v>25</v>
      </c>
    </row>
    <row r="17" spans="1:8" x14ac:dyDescent="0.25">
      <c r="A17" s="56" t="s">
        <v>472</v>
      </c>
      <c r="B17" s="56" t="s">
        <v>88</v>
      </c>
      <c r="C17" s="56" t="s">
        <v>23</v>
      </c>
      <c r="D17" s="56">
        <v>2.9305135951661628E-14</v>
      </c>
      <c r="E17" s="56" t="s">
        <v>5</v>
      </c>
      <c r="F17" s="56" t="s">
        <v>24</v>
      </c>
      <c r="G17" s="56" t="s">
        <v>25</v>
      </c>
    </row>
    <row r="18" spans="1:8" x14ac:dyDescent="0.25">
      <c r="A18" s="56" t="s">
        <v>473</v>
      </c>
      <c r="B18" s="56" t="s">
        <v>475</v>
      </c>
      <c r="C18" s="56" t="s">
        <v>29</v>
      </c>
      <c r="D18" s="56">
        <v>-2.3746223564954701E-3</v>
      </c>
      <c r="E18" s="56" t="s">
        <v>93</v>
      </c>
      <c r="F18" s="56" t="s">
        <v>24</v>
      </c>
      <c r="G18" s="56" t="s">
        <v>25</v>
      </c>
    </row>
    <row r="19" spans="1:8" x14ac:dyDescent="0.25">
      <c r="A19" s="56" t="s">
        <v>474</v>
      </c>
      <c r="B19" s="56" t="s">
        <v>476</v>
      </c>
      <c r="C19" s="56" t="s">
        <v>29</v>
      </c>
      <c r="D19" s="56">
        <v>-9.0634441087613307E-5</v>
      </c>
      <c r="E19" s="56" t="s">
        <v>6</v>
      </c>
      <c r="F19" s="56" t="s">
        <v>24</v>
      </c>
      <c r="G19" s="56" t="s">
        <v>25</v>
      </c>
    </row>
    <row r="20" spans="1:8" x14ac:dyDescent="0.25">
      <c r="A20" s="56" t="s">
        <v>337</v>
      </c>
      <c r="D20" s="56">
        <v>5.951661631419939E-2</v>
      </c>
      <c r="E20" s="56" t="s">
        <v>6</v>
      </c>
      <c r="F20" s="56" t="s">
        <v>66</v>
      </c>
      <c r="G20" s="56" t="s">
        <v>67</v>
      </c>
      <c r="H20" s="56" t="s">
        <v>120</v>
      </c>
    </row>
    <row r="21" spans="1:8" x14ac:dyDescent="0.25">
      <c r="A21" s="56" t="s">
        <v>338</v>
      </c>
      <c r="D21" s="56">
        <v>3.3534743202416921E-4</v>
      </c>
      <c r="E21" s="56" t="s">
        <v>6</v>
      </c>
      <c r="F21" s="56" t="s">
        <v>66</v>
      </c>
      <c r="G21" s="56" t="s">
        <v>67</v>
      </c>
      <c r="H21" s="56" t="s">
        <v>120</v>
      </c>
    </row>
    <row r="22" spans="1:8" x14ac:dyDescent="0.25">
      <c r="A22" s="56" t="s">
        <v>339</v>
      </c>
      <c r="D22" s="56">
        <v>8.0664652567975824E-5</v>
      </c>
      <c r="E22" s="56" t="s">
        <v>6</v>
      </c>
      <c r="F22" s="56" t="s">
        <v>66</v>
      </c>
      <c r="G22" s="56" t="s">
        <v>67</v>
      </c>
      <c r="H22" s="56" t="s">
        <v>120</v>
      </c>
    </row>
    <row r="23" spans="1:8" x14ac:dyDescent="0.25">
      <c r="A23" s="56" t="s">
        <v>340</v>
      </c>
      <c r="D23" s="56">
        <v>7.0392749244712987E-4</v>
      </c>
      <c r="E23" s="56" t="s">
        <v>6</v>
      </c>
      <c r="F23" s="56" t="s">
        <v>66</v>
      </c>
      <c r="G23" s="56" t="s">
        <v>67</v>
      </c>
      <c r="H23" s="56" t="s">
        <v>120</v>
      </c>
    </row>
    <row r="24" spans="1:8" x14ac:dyDescent="0.25">
      <c r="A24" s="56" t="s">
        <v>341</v>
      </c>
      <c r="D24" s="56">
        <v>1.4561933534743201E-3</v>
      </c>
      <c r="E24" s="56" t="s">
        <v>6</v>
      </c>
      <c r="F24" s="56" t="s">
        <v>66</v>
      </c>
      <c r="G24" s="56" t="s">
        <v>67</v>
      </c>
      <c r="H24" s="56" t="s">
        <v>120</v>
      </c>
    </row>
    <row r="25" spans="1:8" x14ac:dyDescent="0.25">
      <c r="A25" s="56" t="s">
        <v>343</v>
      </c>
      <c r="D25" s="56">
        <v>4.0181268882175226E-5</v>
      </c>
      <c r="E25" s="56" t="s">
        <v>6</v>
      </c>
      <c r="F25" s="56" t="s">
        <v>66</v>
      </c>
      <c r="G25" s="56" t="s">
        <v>67</v>
      </c>
      <c r="H25" s="56" t="s">
        <v>120</v>
      </c>
    </row>
    <row r="26" spans="1:8" x14ac:dyDescent="0.25">
      <c r="A26" s="56" t="s">
        <v>344</v>
      </c>
      <c r="D26" s="56">
        <v>0.24374978851963747</v>
      </c>
      <c r="E26" s="56" t="s">
        <v>6</v>
      </c>
      <c r="F26" s="56" t="s">
        <v>66</v>
      </c>
      <c r="G26" s="56" t="s">
        <v>67</v>
      </c>
      <c r="H26" s="56" t="s">
        <v>120</v>
      </c>
    </row>
    <row r="27" spans="1:8" x14ac:dyDescent="0.25">
      <c r="A27" s="56" t="s">
        <v>345</v>
      </c>
      <c r="D27" s="56">
        <v>3.1419939577039271E-2</v>
      </c>
      <c r="E27" s="56" t="s">
        <v>6</v>
      </c>
      <c r="F27" s="56" t="s">
        <v>66</v>
      </c>
      <c r="G27" s="56" t="s">
        <v>67</v>
      </c>
      <c r="H27" s="56" t="s">
        <v>120</v>
      </c>
    </row>
    <row r="28" spans="1:8" x14ac:dyDescent="0.25">
      <c r="A28" s="56" t="s">
        <v>347</v>
      </c>
      <c r="D28" s="56">
        <v>2.3927492447129911E-2</v>
      </c>
      <c r="E28" s="56" t="s">
        <v>6</v>
      </c>
      <c r="F28" s="56" t="s">
        <v>66</v>
      </c>
      <c r="G28" s="56" t="s">
        <v>67</v>
      </c>
      <c r="H28" s="56" t="s">
        <v>120</v>
      </c>
    </row>
    <row r="29" spans="1:8" x14ac:dyDescent="0.25">
      <c r="A29" s="56" t="s">
        <v>348</v>
      </c>
      <c r="D29" s="56">
        <v>1.3299999999999999E-2</v>
      </c>
      <c r="E29" s="56" t="s">
        <v>6</v>
      </c>
      <c r="F29" s="56" t="s">
        <v>66</v>
      </c>
      <c r="G29" s="56" t="s">
        <v>67</v>
      </c>
      <c r="H29" s="56" t="s">
        <v>120</v>
      </c>
    </row>
    <row r="30" spans="1:8" x14ac:dyDescent="0.25">
      <c r="A30" s="56" t="s">
        <v>98</v>
      </c>
      <c r="D30" s="56">
        <v>1.8688754064109697E-7</v>
      </c>
      <c r="E30" s="56" t="s">
        <v>99</v>
      </c>
      <c r="F30" s="56" t="s">
        <v>66</v>
      </c>
      <c r="G30" s="56" t="s">
        <v>67</v>
      </c>
      <c r="H30" s="56" t="s">
        <v>100</v>
      </c>
    </row>
    <row r="31" spans="1:8" x14ac:dyDescent="0.25">
      <c r="A31" s="56" t="s">
        <v>349</v>
      </c>
      <c r="D31" s="56">
        <v>6.7371601208459215E-6</v>
      </c>
      <c r="E31" s="56" t="s">
        <v>6</v>
      </c>
      <c r="F31" s="56" t="s">
        <v>66</v>
      </c>
      <c r="G31" s="56" t="s">
        <v>67</v>
      </c>
      <c r="H31" s="56" t="s">
        <v>379</v>
      </c>
    </row>
    <row r="32" spans="1:8" x14ac:dyDescent="0.25">
      <c r="A32" s="56" t="s">
        <v>350</v>
      </c>
      <c r="D32" s="56">
        <v>3.3836858006042293E-6</v>
      </c>
      <c r="E32" s="56" t="s">
        <v>6</v>
      </c>
      <c r="F32" s="56" t="s">
        <v>66</v>
      </c>
      <c r="G32" s="56" t="s">
        <v>67</v>
      </c>
      <c r="H32" s="56" t="s">
        <v>379</v>
      </c>
    </row>
    <row r="33" spans="1:8" x14ac:dyDescent="0.25">
      <c r="A33" s="56" t="s">
        <v>104</v>
      </c>
      <c r="D33" s="56">
        <v>3.836858006042296E-7</v>
      </c>
      <c r="E33" s="56" t="s">
        <v>6</v>
      </c>
      <c r="F33" s="56" t="s">
        <v>66</v>
      </c>
      <c r="G33" s="56" t="s">
        <v>67</v>
      </c>
      <c r="H33" s="56" t="s">
        <v>379</v>
      </c>
    </row>
    <row r="34" spans="1:8" x14ac:dyDescent="0.25">
      <c r="A34" s="56" t="s">
        <v>351</v>
      </c>
      <c r="D34" s="56">
        <v>6.5861027190332322E-3</v>
      </c>
      <c r="E34" s="56" t="s">
        <v>6</v>
      </c>
      <c r="F34" s="56" t="s">
        <v>66</v>
      </c>
      <c r="G34" s="56" t="s">
        <v>67</v>
      </c>
      <c r="H34" s="56" t="s">
        <v>120</v>
      </c>
    </row>
    <row r="35" spans="1:8" x14ac:dyDescent="0.25">
      <c r="A35" s="56" t="s">
        <v>353</v>
      </c>
      <c r="D35" s="56">
        <v>3.2326283987915406E-3</v>
      </c>
      <c r="E35" s="56" t="s">
        <v>6</v>
      </c>
      <c r="F35" s="56" t="s">
        <v>66</v>
      </c>
      <c r="G35" s="56" t="s">
        <v>67</v>
      </c>
      <c r="H35" s="56" t="s">
        <v>120</v>
      </c>
    </row>
    <row r="36" spans="1:8" x14ac:dyDescent="0.25">
      <c r="A36" s="56" t="s">
        <v>354</v>
      </c>
      <c r="D36" s="56">
        <v>1.1782477341389727E-4</v>
      </c>
      <c r="E36" s="56" t="s">
        <v>6</v>
      </c>
      <c r="F36" s="56" t="s">
        <v>66</v>
      </c>
      <c r="G36" s="56" t="s">
        <v>67</v>
      </c>
      <c r="H36" s="56" t="s">
        <v>120</v>
      </c>
    </row>
    <row r="37" spans="1:8" x14ac:dyDescent="0.25">
      <c r="A37" s="56" t="s">
        <v>73</v>
      </c>
      <c r="D37" s="56">
        <v>6.5910694864048335E-4</v>
      </c>
      <c r="E37" s="56" t="s">
        <v>6</v>
      </c>
      <c r="F37" s="56" t="s">
        <v>66</v>
      </c>
      <c r="G37" s="56" t="s">
        <v>67</v>
      </c>
      <c r="H37" s="56" t="s">
        <v>120</v>
      </c>
    </row>
    <row r="38" spans="1:8" x14ac:dyDescent="0.25">
      <c r="A38" s="56" t="s">
        <v>355</v>
      </c>
      <c r="D38" s="56">
        <v>1.3474320241691843E-5</v>
      </c>
      <c r="E38" s="56" t="s">
        <v>6</v>
      </c>
      <c r="F38" s="56" t="s">
        <v>66</v>
      </c>
      <c r="G38" s="56" t="s">
        <v>67</v>
      </c>
      <c r="H38" s="56" t="s">
        <v>120</v>
      </c>
    </row>
    <row r="39" spans="1:8" x14ac:dyDescent="0.25">
      <c r="A39" s="56" t="s">
        <v>101</v>
      </c>
      <c r="D39" s="56">
        <v>3.5649546827794561E-10</v>
      </c>
      <c r="E39" s="56" t="s">
        <v>102</v>
      </c>
      <c r="F39" s="56" t="s">
        <v>66</v>
      </c>
      <c r="G39" s="56" t="s">
        <v>67</v>
      </c>
      <c r="H39" s="56" t="s">
        <v>100</v>
      </c>
    </row>
    <row r="40" spans="1:8" x14ac:dyDescent="0.25">
      <c r="A40" s="56" t="s">
        <v>103</v>
      </c>
      <c r="D40" s="56">
        <v>3.5649546827794561E-10</v>
      </c>
      <c r="E40" s="56" t="s">
        <v>102</v>
      </c>
      <c r="F40" s="56" t="s">
        <v>66</v>
      </c>
      <c r="G40" s="56" t="s">
        <v>67</v>
      </c>
      <c r="H40" s="56" t="s">
        <v>100</v>
      </c>
    </row>
    <row r="41" spans="1:8" x14ac:dyDescent="0.25">
      <c r="A41" s="56" t="s">
        <v>132</v>
      </c>
      <c r="D41" s="56">
        <v>2.5438066465256797E-5</v>
      </c>
      <c r="E41" s="56" t="s">
        <v>6</v>
      </c>
      <c r="F41" s="56" t="s">
        <v>66</v>
      </c>
      <c r="G41" s="56" t="s">
        <v>67</v>
      </c>
      <c r="H41" s="56" t="s">
        <v>120</v>
      </c>
    </row>
    <row r="42" spans="1:8" x14ac:dyDescent="0.25">
      <c r="A42" s="56" t="s">
        <v>106</v>
      </c>
      <c r="D42" s="56">
        <v>7.2205438066465255E-5</v>
      </c>
      <c r="E42" s="56" t="s">
        <v>71</v>
      </c>
      <c r="F42" s="56" t="s">
        <v>66</v>
      </c>
      <c r="G42" s="56" t="s">
        <v>67</v>
      </c>
      <c r="H42" s="56" t="s">
        <v>379</v>
      </c>
    </row>
    <row r="43" spans="1:8" x14ac:dyDescent="0.25">
      <c r="A43" s="56" t="s">
        <v>119</v>
      </c>
      <c r="D43" s="56">
        <v>6.6767371601208457E-3</v>
      </c>
      <c r="E43" s="56" t="s">
        <v>93</v>
      </c>
      <c r="F43" s="56" t="s">
        <v>66</v>
      </c>
      <c r="G43" s="56" t="s">
        <v>67</v>
      </c>
      <c r="H43" s="56" t="s">
        <v>360</v>
      </c>
    </row>
    <row r="44" spans="1:8" x14ac:dyDescent="0.25">
      <c r="A44" s="56" t="s">
        <v>356</v>
      </c>
      <c r="D44" s="56">
        <v>4.0483383685800605E-5</v>
      </c>
      <c r="E44" s="56" t="s">
        <v>6</v>
      </c>
      <c r="F44" s="56" t="s">
        <v>66</v>
      </c>
      <c r="G44" s="56" t="s">
        <v>67</v>
      </c>
      <c r="H44" s="56" t="s">
        <v>120</v>
      </c>
    </row>
    <row r="45" spans="1:8" x14ac:dyDescent="0.25">
      <c r="A45" s="56" t="s">
        <v>357</v>
      </c>
      <c r="D45" s="56">
        <v>9.214501510574017E-4</v>
      </c>
      <c r="E45" s="56" t="s">
        <v>6</v>
      </c>
      <c r="F45" s="56" t="s">
        <v>66</v>
      </c>
      <c r="G45" s="56" t="s">
        <v>67</v>
      </c>
      <c r="H45" s="56" t="s">
        <v>120</v>
      </c>
    </row>
    <row r="46" spans="1:8" s="65" customFormat="1" x14ac:dyDescent="0.25"/>
    <row r="47" spans="1:8" x14ac:dyDescent="0.25">
      <c r="A47" s="59" t="s">
        <v>0</v>
      </c>
      <c r="B47" s="59" t="s">
        <v>477</v>
      </c>
    </row>
    <row r="48" spans="1:8" x14ac:dyDescent="0.25">
      <c r="A48" s="60" t="s">
        <v>1</v>
      </c>
      <c r="B48" s="56" t="s">
        <v>478</v>
      </c>
    </row>
    <row r="49" spans="1:15" x14ac:dyDescent="0.25">
      <c r="A49" s="60" t="s">
        <v>2</v>
      </c>
      <c r="B49" s="56" t="s">
        <v>470</v>
      </c>
    </row>
    <row r="50" spans="1:15" x14ac:dyDescent="0.25">
      <c r="A50" s="60" t="s">
        <v>4</v>
      </c>
      <c r="B50" s="56">
        <v>1</v>
      </c>
    </row>
    <row r="51" spans="1:15" x14ac:dyDescent="0.25">
      <c r="A51" s="60" t="s">
        <v>5</v>
      </c>
      <c r="B51" s="56" t="s">
        <v>6</v>
      </c>
    </row>
    <row r="52" spans="1:15" x14ac:dyDescent="0.25">
      <c r="A52" s="60" t="s">
        <v>7</v>
      </c>
      <c r="B52" s="56" t="s">
        <v>8</v>
      </c>
    </row>
    <row r="53" spans="1:15" x14ac:dyDescent="0.25">
      <c r="A53" s="60" t="s">
        <v>9</v>
      </c>
    </row>
    <row r="54" spans="1:15" x14ac:dyDescent="0.25">
      <c r="A54" s="59" t="s">
        <v>10</v>
      </c>
      <c r="B54" s="59" t="s">
        <v>1</v>
      </c>
      <c r="C54" s="59" t="s">
        <v>2</v>
      </c>
      <c r="D54" s="59" t="s">
        <v>4</v>
      </c>
      <c r="E54" s="59" t="s">
        <v>5</v>
      </c>
      <c r="F54" s="59" t="s">
        <v>11</v>
      </c>
      <c r="G54" s="59" t="s">
        <v>12</v>
      </c>
      <c r="H54" s="59" t="s">
        <v>13</v>
      </c>
      <c r="I54" s="59" t="s">
        <v>14</v>
      </c>
      <c r="J54" s="59" t="s">
        <v>15</v>
      </c>
      <c r="K54" s="59" t="s">
        <v>16</v>
      </c>
      <c r="L54" s="59" t="s">
        <v>17</v>
      </c>
      <c r="M54" s="59" t="s">
        <v>18</v>
      </c>
      <c r="N54" s="59" t="s">
        <v>19</v>
      </c>
      <c r="O54" s="59" t="s">
        <v>7</v>
      </c>
    </row>
    <row r="55" spans="1:15" x14ac:dyDescent="0.25">
      <c r="A55" s="56" t="str">
        <f>B47</f>
        <v>[C] Monazite ore crushing and milling (Mt. Weld)</v>
      </c>
      <c r="B55" s="56" t="str">
        <f>B48</f>
        <v>Monazite ore pulp</v>
      </c>
      <c r="C55" s="56" t="str">
        <f>B49</f>
        <v>AU</v>
      </c>
      <c r="D55" s="64">
        <v>1</v>
      </c>
      <c r="E55" s="56" t="s">
        <v>6</v>
      </c>
      <c r="F55" s="57" t="str">
        <f>F9</f>
        <v>Rare Earths</v>
      </c>
      <c r="G55" s="56" t="s">
        <v>20</v>
      </c>
    </row>
    <row r="56" spans="1:15" x14ac:dyDescent="0.25">
      <c r="A56" s="56" t="s">
        <v>57</v>
      </c>
      <c r="B56" s="56" t="s">
        <v>58</v>
      </c>
      <c r="C56" s="56" t="s">
        <v>470</v>
      </c>
      <c r="D56" s="56">
        <v>8.6864406779661001E-3</v>
      </c>
      <c r="E56" s="56" t="s">
        <v>59</v>
      </c>
      <c r="F56" s="56" t="s">
        <v>24</v>
      </c>
      <c r="G56" s="56" t="s">
        <v>25</v>
      </c>
    </row>
    <row r="57" spans="1:15" x14ac:dyDescent="0.25">
      <c r="A57" s="56" t="s">
        <v>479</v>
      </c>
      <c r="B57" s="56" t="s">
        <v>480</v>
      </c>
      <c r="C57" s="56" t="s">
        <v>23</v>
      </c>
      <c r="D57" s="56">
        <v>3.9788135593220341E-4</v>
      </c>
      <c r="E57" s="56" t="s">
        <v>6</v>
      </c>
      <c r="F57" s="56" t="s">
        <v>24</v>
      </c>
      <c r="G57" s="56" t="s">
        <v>25</v>
      </c>
    </row>
    <row r="58" spans="1:15" x14ac:dyDescent="0.25">
      <c r="A58" s="56" t="s">
        <v>386</v>
      </c>
      <c r="B58" s="56" t="s">
        <v>368</v>
      </c>
      <c r="C58" s="56" t="s">
        <v>29</v>
      </c>
      <c r="D58" s="56">
        <v>7.5423728813559313E-4</v>
      </c>
      <c r="E58" s="56" t="s">
        <v>85</v>
      </c>
      <c r="F58" s="56" t="s">
        <v>24</v>
      </c>
      <c r="G58" s="56" t="s">
        <v>25</v>
      </c>
    </row>
    <row r="59" spans="1:15" x14ac:dyDescent="0.25">
      <c r="A59" s="56" t="s">
        <v>62</v>
      </c>
      <c r="B59" s="56" t="s">
        <v>63</v>
      </c>
      <c r="C59" s="56" t="s">
        <v>29</v>
      </c>
      <c r="D59" s="56">
        <v>0.65010593220338975</v>
      </c>
      <c r="E59" s="56" t="s">
        <v>6</v>
      </c>
      <c r="F59" s="56" t="s">
        <v>24</v>
      </c>
      <c r="G59" s="56" t="s">
        <v>25</v>
      </c>
    </row>
    <row r="60" spans="1:15" x14ac:dyDescent="0.25">
      <c r="A60" s="56" t="s">
        <v>349</v>
      </c>
      <c r="D60" s="56">
        <v>5.3601694915254231E-4</v>
      </c>
      <c r="E60" s="56" t="s">
        <v>6</v>
      </c>
      <c r="F60" s="56" t="s">
        <v>66</v>
      </c>
      <c r="G60" s="56" t="s">
        <v>67</v>
      </c>
      <c r="H60" s="56" t="s">
        <v>379</v>
      </c>
    </row>
    <row r="61" spans="1:15" x14ac:dyDescent="0.25">
      <c r="A61" s="56" t="s">
        <v>106</v>
      </c>
      <c r="D61" s="56">
        <v>1.6038135593220339E-3</v>
      </c>
      <c r="E61" s="56" t="s">
        <v>71</v>
      </c>
      <c r="F61" s="56" t="s">
        <v>66</v>
      </c>
      <c r="G61" s="56" t="s">
        <v>67</v>
      </c>
      <c r="H61" s="56" t="s">
        <v>379</v>
      </c>
    </row>
    <row r="62" spans="1:15" x14ac:dyDescent="0.25">
      <c r="A62" s="56" t="s">
        <v>119</v>
      </c>
      <c r="D62" s="56">
        <v>6.5010593220338978E-4</v>
      </c>
      <c r="E62" s="56" t="s">
        <v>93</v>
      </c>
      <c r="F62" s="56" t="s">
        <v>66</v>
      </c>
      <c r="G62" s="56" t="s">
        <v>67</v>
      </c>
      <c r="H62" s="56" t="s">
        <v>360</v>
      </c>
    </row>
    <row r="63" spans="1:15" s="65" customFormat="1" x14ac:dyDescent="0.25"/>
    <row r="64" spans="1:15" x14ac:dyDescent="0.25">
      <c r="A64" s="59" t="s">
        <v>0</v>
      </c>
      <c r="B64" s="59" t="s">
        <v>481</v>
      </c>
    </row>
    <row r="65" spans="1:15" x14ac:dyDescent="0.25">
      <c r="A65" s="60" t="s">
        <v>1</v>
      </c>
      <c r="B65" s="56" t="s">
        <v>362</v>
      </c>
    </row>
    <row r="66" spans="1:15" x14ac:dyDescent="0.25">
      <c r="A66" s="60" t="s">
        <v>2</v>
      </c>
      <c r="B66" s="56" t="s">
        <v>470</v>
      </c>
    </row>
    <row r="67" spans="1:15" x14ac:dyDescent="0.25">
      <c r="A67" s="60" t="s">
        <v>4</v>
      </c>
      <c r="B67" s="56">
        <v>1</v>
      </c>
    </row>
    <row r="68" spans="1:15" x14ac:dyDescent="0.25">
      <c r="A68" s="60" t="s">
        <v>5</v>
      </c>
      <c r="B68" s="56" t="s">
        <v>6</v>
      </c>
    </row>
    <row r="69" spans="1:15" x14ac:dyDescent="0.25">
      <c r="A69" s="60" t="s">
        <v>7</v>
      </c>
      <c r="B69" s="56" t="s">
        <v>8</v>
      </c>
    </row>
    <row r="70" spans="1:15" x14ac:dyDescent="0.25">
      <c r="A70" s="60" t="s">
        <v>9</v>
      </c>
    </row>
    <row r="71" spans="1:15" x14ac:dyDescent="0.25">
      <c r="A71" s="59" t="s">
        <v>10</v>
      </c>
      <c r="B71" s="59" t="s">
        <v>1</v>
      </c>
      <c r="C71" s="59" t="s">
        <v>2</v>
      </c>
      <c r="D71" s="59" t="s">
        <v>4</v>
      </c>
      <c r="E71" s="59" t="s">
        <v>5</v>
      </c>
      <c r="F71" s="59" t="s">
        <v>11</v>
      </c>
      <c r="G71" s="59" t="s">
        <v>12</v>
      </c>
      <c r="H71" s="59" t="s">
        <v>13</v>
      </c>
      <c r="I71" s="59" t="s">
        <v>14</v>
      </c>
      <c r="J71" s="59" t="s">
        <v>15</v>
      </c>
      <c r="K71" s="59" t="s">
        <v>16</v>
      </c>
      <c r="L71" s="59" t="s">
        <v>17</v>
      </c>
      <c r="M71" s="59" t="s">
        <v>18</v>
      </c>
      <c r="N71" s="59" t="s">
        <v>19</v>
      </c>
      <c r="O71" s="59" t="s">
        <v>7</v>
      </c>
    </row>
    <row r="72" spans="1:15" x14ac:dyDescent="0.25">
      <c r="A72" s="56" t="str">
        <f>B64</f>
        <v>[C] Flotation (Mt. Weld)</v>
      </c>
      <c r="B72" s="56" t="str">
        <f>B65</f>
        <v>Rare Earths (RE) concentrate</v>
      </c>
      <c r="C72" s="56" t="str">
        <f>B66</f>
        <v>AU</v>
      </c>
      <c r="D72" s="64">
        <v>1</v>
      </c>
      <c r="E72" s="56" t="s">
        <v>6</v>
      </c>
      <c r="F72" s="57" t="str">
        <f>F55</f>
        <v>Rare Earths</v>
      </c>
      <c r="G72" s="56" t="s">
        <v>20</v>
      </c>
    </row>
    <row r="73" spans="1:15" x14ac:dyDescent="0.25">
      <c r="A73" s="56" t="str">
        <f>A178</f>
        <v>Tailings from beneficiation</v>
      </c>
      <c r="B73" s="56" t="str">
        <f t="shared" ref="B73:C73" si="0">B178</f>
        <v>Tailings</v>
      </c>
      <c r="C73" s="56" t="str">
        <f t="shared" si="0"/>
        <v>AU</v>
      </c>
      <c r="D73" s="124">
        <v>17.931034482758601</v>
      </c>
      <c r="E73" s="56" t="str">
        <f t="shared" ref="E73:F73" si="1">E178</f>
        <v>kilogram</v>
      </c>
      <c r="F73" s="57" t="str">
        <f t="shared" si="1"/>
        <v>Rare Earths</v>
      </c>
      <c r="G73" s="56" t="s">
        <v>25</v>
      </c>
    </row>
    <row r="74" spans="1:15" x14ac:dyDescent="0.25">
      <c r="A74" s="56" t="s">
        <v>483</v>
      </c>
      <c r="B74" s="56" t="s">
        <v>116</v>
      </c>
      <c r="C74" s="56" t="s">
        <v>29</v>
      </c>
      <c r="D74" s="56">
        <v>1.206896551724138E-11</v>
      </c>
      <c r="E74" s="56" t="s">
        <v>5</v>
      </c>
      <c r="F74" s="56" t="s">
        <v>24</v>
      </c>
      <c r="G74" s="56" t="s">
        <v>25</v>
      </c>
    </row>
    <row r="75" spans="1:15" x14ac:dyDescent="0.25">
      <c r="A75" s="56" t="s">
        <v>111</v>
      </c>
      <c r="B75" s="56" t="s">
        <v>112</v>
      </c>
      <c r="C75" s="56" t="s">
        <v>23</v>
      </c>
      <c r="D75" s="56">
        <v>1.706896551724138E-2</v>
      </c>
      <c r="E75" s="56" t="s">
        <v>6</v>
      </c>
      <c r="F75" s="56" t="s">
        <v>24</v>
      </c>
      <c r="G75" s="56" t="s">
        <v>25</v>
      </c>
    </row>
    <row r="76" spans="1:15" x14ac:dyDescent="0.25">
      <c r="A76" s="56" t="s">
        <v>57</v>
      </c>
      <c r="B76" s="56" t="s">
        <v>58</v>
      </c>
      <c r="C76" s="56" t="s">
        <v>470</v>
      </c>
      <c r="D76" s="56">
        <v>5.387931034482759E-2</v>
      </c>
      <c r="E76" s="56" t="s">
        <v>59</v>
      </c>
      <c r="F76" s="56" t="s">
        <v>24</v>
      </c>
      <c r="G76" s="56" t="s">
        <v>25</v>
      </c>
    </row>
    <row r="77" spans="1:15" x14ac:dyDescent="0.25">
      <c r="A77" s="56" t="s">
        <v>109</v>
      </c>
      <c r="B77" s="56" t="s">
        <v>110</v>
      </c>
      <c r="C77" s="56" t="s">
        <v>23</v>
      </c>
      <c r="D77" s="56">
        <v>6.9827586206896554E-3</v>
      </c>
      <c r="E77" s="56" t="s">
        <v>6</v>
      </c>
      <c r="F77" s="56" t="s">
        <v>24</v>
      </c>
      <c r="G77" s="56" t="s">
        <v>25</v>
      </c>
    </row>
    <row r="78" spans="1:15" x14ac:dyDescent="0.25">
      <c r="A78" s="56" t="s">
        <v>484</v>
      </c>
      <c r="B78" s="56" t="s">
        <v>487</v>
      </c>
      <c r="C78" s="56" t="s">
        <v>23</v>
      </c>
      <c r="D78" s="56">
        <v>6.9827586206896554E-3</v>
      </c>
      <c r="E78" s="56" t="s">
        <v>6</v>
      </c>
      <c r="F78" s="56" t="s">
        <v>24</v>
      </c>
      <c r="G78" s="56" t="s">
        <v>25</v>
      </c>
    </row>
    <row r="79" spans="1:15" x14ac:dyDescent="0.25">
      <c r="A79" s="56" t="s">
        <v>485</v>
      </c>
      <c r="B79" s="56" t="s">
        <v>488</v>
      </c>
      <c r="C79" s="56" t="s">
        <v>29</v>
      </c>
      <c r="D79" s="56">
        <v>3.4482758620689659E-3</v>
      </c>
      <c r="E79" s="56" t="s">
        <v>6</v>
      </c>
      <c r="F79" s="56" t="s">
        <v>24</v>
      </c>
      <c r="G79" s="56" t="s">
        <v>25</v>
      </c>
    </row>
    <row r="80" spans="1:15" x14ac:dyDescent="0.25">
      <c r="A80" s="56" t="s">
        <v>42</v>
      </c>
      <c r="B80" s="56" t="s">
        <v>43</v>
      </c>
      <c r="C80" s="56" t="s">
        <v>29</v>
      </c>
      <c r="D80" s="56">
        <v>2.8448275862068967E-3</v>
      </c>
      <c r="E80" s="56" t="s">
        <v>6</v>
      </c>
      <c r="F80" s="56" t="s">
        <v>24</v>
      </c>
      <c r="G80" s="56" t="s">
        <v>25</v>
      </c>
    </row>
    <row r="81" spans="1:15" x14ac:dyDescent="0.25">
      <c r="A81" s="56" t="s">
        <v>486</v>
      </c>
      <c r="B81" s="56" t="s">
        <v>371</v>
      </c>
      <c r="C81" s="56" t="s">
        <v>29</v>
      </c>
      <c r="D81" s="56">
        <v>2.2413793103448275E-3</v>
      </c>
      <c r="E81" s="56" t="s">
        <v>6</v>
      </c>
      <c r="F81" s="56" t="s">
        <v>24</v>
      </c>
      <c r="G81" s="56" t="s">
        <v>25</v>
      </c>
    </row>
    <row r="82" spans="1:15" x14ac:dyDescent="0.25">
      <c r="A82" s="56" t="s">
        <v>148</v>
      </c>
      <c r="B82" s="56" t="s">
        <v>147</v>
      </c>
      <c r="C82" s="56" t="s">
        <v>29</v>
      </c>
      <c r="D82" s="56">
        <v>2.7413793103448277E-2</v>
      </c>
      <c r="E82" s="56" t="s">
        <v>85</v>
      </c>
      <c r="F82" s="56" t="s">
        <v>24</v>
      </c>
      <c r="G82" s="56" t="s">
        <v>25</v>
      </c>
    </row>
    <row r="83" spans="1:15" x14ac:dyDescent="0.25">
      <c r="A83" s="56" t="s">
        <v>386</v>
      </c>
      <c r="B83" s="56" t="s">
        <v>368</v>
      </c>
      <c r="C83" s="56" t="s">
        <v>29</v>
      </c>
      <c r="D83" s="56">
        <v>1.6896551724137933E-2</v>
      </c>
      <c r="E83" s="56" t="s">
        <v>85</v>
      </c>
      <c r="F83" s="56" t="s">
        <v>24</v>
      </c>
      <c r="G83" s="56" t="s">
        <v>25</v>
      </c>
    </row>
    <row r="84" spans="1:15" x14ac:dyDescent="0.25">
      <c r="A84" s="56" t="s">
        <v>62</v>
      </c>
      <c r="B84" s="56" t="s">
        <v>63</v>
      </c>
      <c r="C84" s="56" t="s">
        <v>29</v>
      </c>
      <c r="D84" s="56">
        <v>12.853448275862069</v>
      </c>
      <c r="E84" s="56" t="s">
        <v>6</v>
      </c>
      <c r="F84" s="56" t="s">
        <v>24</v>
      </c>
      <c r="G84" s="56" t="s">
        <v>25</v>
      </c>
    </row>
    <row r="85" spans="1:15" s="65" customFormat="1" x14ac:dyDescent="0.25"/>
    <row r="86" spans="1:15" x14ac:dyDescent="0.25">
      <c r="A86" s="59" t="s">
        <v>0</v>
      </c>
      <c r="B86" s="59" t="s">
        <v>489</v>
      </c>
    </row>
    <row r="87" spans="1:15" x14ac:dyDescent="0.25">
      <c r="A87" s="60" t="s">
        <v>1</v>
      </c>
      <c r="B87" s="56" t="s">
        <v>382</v>
      </c>
    </row>
    <row r="88" spans="1:15" x14ac:dyDescent="0.25">
      <c r="A88" s="60" t="s">
        <v>2</v>
      </c>
      <c r="B88" s="56" t="s">
        <v>490</v>
      </c>
    </row>
    <row r="89" spans="1:15" x14ac:dyDescent="0.25">
      <c r="A89" s="60" t="s">
        <v>4</v>
      </c>
      <c r="B89" s="56">
        <v>1</v>
      </c>
    </row>
    <row r="90" spans="1:15" x14ac:dyDescent="0.25">
      <c r="A90" s="60" t="s">
        <v>5</v>
      </c>
      <c r="B90" s="56" t="s">
        <v>6</v>
      </c>
    </row>
    <row r="91" spans="1:15" x14ac:dyDescent="0.25">
      <c r="A91" s="60" t="s">
        <v>7</v>
      </c>
      <c r="B91" s="56" t="s">
        <v>8</v>
      </c>
    </row>
    <row r="92" spans="1:15" x14ac:dyDescent="0.25">
      <c r="A92" s="60" t="s">
        <v>9</v>
      </c>
    </row>
    <row r="93" spans="1:15" x14ac:dyDescent="0.25">
      <c r="A93" s="59" t="s">
        <v>10</v>
      </c>
      <c r="B93" s="59" t="s">
        <v>1</v>
      </c>
      <c r="C93" s="59" t="s">
        <v>2</v>
      </c>
      <c r="D93" s="59" t="s">
        <v>4</v>
      </c>
      <c r="E93" s="59" t="s">
        <v>5</v>
      </c>
      <c r="F93" s="59" t="s">
        <v>11</v>
      </c>
      <c r="G93" s="59" t="s">
        <v>12</v>
      </c>
      <c r="H93" s="59" t="s">
        <v>13</v>
      </c>
      <c r="I93" s="59" t="s">
        <v>14</v>
      </c>
      <c r="J93" s="59" t="s">
        <v>15</v>
      </c>
      <c r="K93" s="59" t="s">
        <v>16</v>
      </c>
      <c r="L93" s="59" t="s">
        <v>17</v>
      </c>
      <c r="M93" s="59" t="s">
        <v>18</v>
      </c>
      <c r="N93" s="59" t="s">
        <v>19</v>
      </c>
      <c r="O93" s="59" t="s">
        <v>7</v>
      </c>
    </row>
    <row r="94" spans="1:15" x14ac:dyDescent="0.25">
      <c r="A94" s="56" t="str">
        <f>B86</f>
        <v>[P] Roasting (Malaysia)</v>
      </c>
      <c r="B94" s="56" t="str">
        <f>B87</f>
        <v>RE sulfate</v>
      </c>
      <c r="C94" s="56" t="str">
        <f>B88</f>
        <v>MY</v>
      </c>
      <c r="D94" s="64">
        <v>1</v>
      </c>
      <c r="E94" s="56" t="s">
        <v>6</v>
      </c>
      <c r="F94" s="57" t="str">
        <f>F55</f>
        <v>Rare Earths</v>
      </c>
      <c r="G94" s="56" t="s">
        <v>20</v>
      </c>
    </row>
    <row r="95" spans="1:15" x14ac:dyDescent="0.25">
      <c r="A95" s="56" t="str">
        <f>A163</f>
        <v>Discharge of leaching sludge</v>
      </c>
      <c r="B95" s="56" t="str">
        <f t="shared" ref="B95:C95" si="2">B163</f>
        <v>Leaching sludge</v>
      </c>
      <c r="C95" s="56" t="str">
        <f t="shared" si="2"/>
        <v>AU</v>
      </c>
      <c r="D95" s="125">
        <v>0.74033613445378199</v>
      </c>
      <c r="E95" s="56" t="str">
        <f t="shared" ref="E95:F95" si="3">E163</f>
        <v>kilogram</v>
      </c>
      <c r="F95" s="57" t="str">
        <f t="shared" si="3"/>
        <v>Rare Earths</v>
      </c>
      <c r="G95" s="56" t="s">
        <v>25</v>
      </c>
    </row>
    <row r="96" spans="1:15" x14ac:dyDescent="0.25">
      <c r="A96" s="56" t="s">
        <v>492</v>
      </c>
      <c r="B96" s="56" t="s">
        <v>497</v>
      </c>
      <c r="C96" s="56" t="s">
        <v>29</v>
      </c>
      <c r="D96" s="56">
        <v>5.0420168067226888E-12</v>
      </c>
      <c r="E96" s="56" t="s">
        <v>5</v>
      </c>
      <c r="F96" s="56" t="s">
        <v>24</v>
      </c>
      <c r="G96" s="56" t="s">
        <v>25</v>
      </c>
    </row>
    <row r="97" spans="1:8" x14ac:dyDescent="0.25">
      <c r="A97" s="56" t="s">
        <v>493</v>
      </c>
      <c r="B97" s="56" t="s">
        <v>498</v>
      </c>
      <c r="C97" s="56" t="s">
        <v>29</v>
      </c>
      <c r="D97" s="56">
        <v>5.0168067226890756</v>
      </c>
      <c r="E97" s="56" t="s">
        <v>78</v>
      </c>
      <c r="F97" s="56" t="s">
        <v>24</v>
      </c>
      <c r="G97" s="56" t="s">
        <v>25</v>
      </c>
    </row>
    <row r="98" spans="1:8" x14ac:dyDescent="0.25">
      <c r="A98" s="56" t="s">
        <v>57</v>
      </c>
      <c r="B98" s="56" t="s">
        <v>58</v>
      </c>
      <c r="C98" s="56" t="s">
        <v>470</v>
      </c>
      <c r="D98" s="56">
        <v>7.0588235294117646E-2</v>
      </c>
      <c r="E98" s="56" t="s">
        <v>59</v>
      </c>
      <c r="F98" s="56" t="s">
        <v>24</v>
      </c>
      <c r="G98" s="56" t="s">
        <v>25</v>
      </c>
    </row>
    <row r="99" spans="1:8" x14ac:dyDescent="0.25">
      <c r="A99" s="56" t="s">
        <v>494</v>
      </c>
      <c r="B99" s="56" t="s">
        <v>499</v>
      </c>
      <c r="C99" s="56" t="s">
        <v>29</v>
      </c>
      <c r="D99" s="56">
        <v>0.38151260504201678</v>
      </c>
      <c r="E99" s="56" t="s">
        <v>6</v>
      </c>
      <c r="F99" s="56" t="s">
        <v>24</v>
      </c>
      <c r="G99" s="56" t="s">
        <v>25</v>
      </c>
    </row>
    <row r="100" spans="1:8" x14ac:dyDescent="0.25">
      <c r="A100" s="56" t="s">
        <v>27</v>
      </c>
      <c r="B100" s="56" t="s">
        <v>28</v>
      </c>
      <c r="C100" s="56" t="s">
        <v>29</v>
      </c>
      <c r="D100" s="56">
        <v>0.72941176470588232</v>
      </c>
      <c r="E100" s="56" t="s">
        <v>6</v>
      </c>
      <c r="F100" s="56" t="s">
        <v>24</v>
      </c>
      <c r="G100" s="56" t="s">
        <v>25</v>
      </c>
    </row>
    <row r="101" spans="1:8" x14ac:dyDescent="0.25">
      <c r="A101" s="56" t="s">
        <v>148</v>
      </c>
      <c r="B101" s="56" t="s">
        <v>147</v>
      </c>
      <c r="C101" s="56" t="s">
        <v>29</v>
      </c>
      <c r="D101" s="56">
        <v>0.83529411764705874</v>
      </c>
      <c r="E101" s="56" t="s">
        <v>85</v>
      </c>
      <c r="F101" s="56" t="s">
        <v>24</v>
      </c>
      <c r="G101" s="56" t="s">
        <v>25</v>
      </c>
    </row>
    <row r="102" spans="1:8" x14ac:dyDescent="0.25">
      <c r="A102" s="56" t="s">
        <v>495</v>
      </c>
      <c r="B102" s="56" t="s">
        <v>500</v>
      </c>
      <c r="C102" s="56" t="s">
        <v>29</v>
      </c>
      <c r="D102" s="56">
        <v>0.15378151260504203</v>
      </c>
      <c r="E102" s="56" t="s">
        <v>85</v>
      </c>
      <c r="F102" s="56" t="s">
        <v>24</v>
      </c>
      <c r="G102" s="56" t="s">
        <v>25</v>
      </c>
    </row>
    <row r="103" spans="1:8" x14ac:dyDescent="0.25">
      <c r="A103" s="56" t="s">
        <v>496</v>
      </c>
      <c r="B103" s="56" t="s">
        <v>501</v>
      </c>
      <c r="C103" s="56" t="s">
        <v>23</v>
      </c>
      <c r="D103" s="56">
        <v>4.2327731092436975</v>
      </c>
      <c r="E103" s="56" t="s">
        <v>85</v>
      </c>
      <c r="F103" s="56" t="s">
        <v>24</v>
      </c>
      <c r="G103" s="56" t="s">
        <v>25</v>
      </c>
    </row>
    <row r="104" spans="1:8" x14ac:dyDescent="0.25">
      <c r="A104" s="56" t="s">
        <v>72</v>
      </c>
      <c r="D104" s="56">
        <v>2.4705882352941174E-4</v>
      </c>
      <c r="E104" s="56" t="s">
        <v>6</v>
      </c>
      <c r="F104" s="56" t="s">
        <v>66</v>
      </c>
      <c r="G104" s="56" t="s">
        <v>67</v>
      </c>
      <c r="H104" s="56" t="s">
        <v>379</v>
      </c>
    </row>
    <row r="105" spans="1:8" x14ac:dyDescent="0.25">
      <c r="A105" s="56" t="s">
        <v>350</v>
      </c>
      <c r="D105" s="56">
        <v>5.0000000000000001E-4</v>
      </c>
      <c r="E105" s="56" t="s">
        <v>6</v>
      </c>
      <c r="F105" s="56" t="s">
        <v>66</v>
      </c>
      <c r="G105" s="56" t="s">
        <v>67</v>
      </c>
      <c r="H105" s="56" t="s">
        <v>379</v>
      </c>
    </row>
    <row r="106" spans="1:8" x14ac:dyDescent="0.25">
      <c r="A106" s="56" t="s">
        <v>502</v>
      </c>
      <c r="D106" s="56">
        <v>9.9075630252100843E-4</v>
      </c>
      <c r="E106" s="56" t="s">
        <v>6</v>
      </c>
      <c r="F106" s="56" t="s">
        <v>66</v>
      </c>
      <c r="G106" s="56" t="s">
        <v>67</v>
      </c>
      <c r="H106" s="56" t="s">
        <v>379</v>
      </c>
    </row>
    <row r="107" spans="1:8" x14ac:dyDescent="0.25">
      <c r="A107" s="56" t="s">
        <v>389</v>
      </c>
      <c r="D107" s="56">
        <v>2.4596638655462184E-3</v>
      </c>
      <c r="E107" s="56" t="s">
        <v>6</v>
      </c>
      <c r="F107" s="56" t="s">
        <v>66</v>
      </c>
      <c r="G107" s="56" t="s">
        <v>67</v>
      </c>
      <c r="H107" s="56" t="s">
        <v>379</v>
      </c>
    </row>
    <row r="108" spans="1:8" x14ac:dyDescent="0.25">
      <c r="A108" s="56" t="s">
        <v>154</v>
      </c>
      <c r="D108" s="56">
        <v>2.4621848739495798E-4</v>
      </c>
      <c r="E108" s="56" t="s">
        <v>6</v>
      </c>
      <c r="F108" s="56" t="s">
        <v>66</v>
      </c>
      <c r="G108" s="56" t="s">
        <v>67</v>
      </c>
      <c r="H108" s="56" t="s">
        <v>379</v>
      </c>
    </row>
    <row r="109" spans="1:8" s="65" customFormat="1" x14ac:dyDescent="0.25"/>
    <row r="110" spans="1:8" x14ac:dyDescent="0.25">
      <c r="A110" s="59" t="s">
        <v>0</v>
      </c>
      <c r="B110" s="59" t="s">
        <v>503</v>
      </c>
    </row>
    <row r="111" spans="1:8" x14ac:dyDescent="0.25">
      <c r="A111" s="60" t="s">
        <v>1</v>
      </c>
      <c r="B111" s="56" t="s">
        <v>392</v>
      </c>
    </row>
    <row r="112" spans="1:8" x14ac:dyDescent="0.25">
      <c r="A112" s="60" t="s">
        <v>2</v>
      </c>
      <c r="B112" s="56" t="s">
        <v>490</v>
      </c>
    </row>
    <row r="113" spans="1:15" x14ac:dyDescent="0.25">
      <c r="A113" s="60" t="s">
        <v>4</v>
      </c>
      <c r="B113" s="56">
        <v>1</v>
      </c>
    </row>
    <row r="114" spans="1:15" x14ac:dyDescent="0.25">
      <c r="A114" s="60" t="s">
        <v>5</v>
      </c>
      <c r="B114" s="56" t="s">
        <v>6</v>
      </c>
    </row>
    <row r="115" spans="1:15" x14ac:dyDescent="0.25">
      <c r="A115" s="60" t="s">
        <v>7</v>
      </c>
      <c r="B115" s="56" t="s">
        <v>8</v>
      </c>
    </row>
    <row r="116" spans="1:15" x14ac:dyDescent="0.25">
      <c r="A116" s="60" t="s">
        <v>9</v>
      </c>
    </row>
    <row r="117" spans="1:15" x14ac:dyDescent="0.25">
      <c r="A117" s="59" t="s">
        <v>10</v>
      </c>
      <c r="B117" s="59" t="s">
        <v>1</v>
      </c>
      <c r="C117" s="59" t="s">
        <v>2</v>
      </c>
      <c r="D117" s="59" t="s">
        <v>4</v>
      </c>
      <c r="E117" s="59" t="s">
        <v>5</v>
      </c>
      <c r="F117" s="59" t="s">
        <v>11</v>
      </c>
      <c r="G117" s="59" t="s">
        <v>12</v>
      </c>
      <c r="H117" s="59" t="s">
        <v>13</v>
      </c>
      <c r="I117" s="59" t="s">
        <v>14</v>
      </c>
      <c r="J117" s="59" t="s">
        <v>15</v>
      </c>
      <c r="K117" s="59" t="s">
        <v>16</v>
      </c>
      <c r="L117" s="59" t="s">
        <v>17</v>
      </c>
      <c r="M117" s="59" t="s">
        <v>18</v>
      </c>
      <c r="N117" s="59" t="s">
        <v>19</v>
      </c>
      <c r="O117" s="59" t="s">
        <v>7</v>
      </c>
    </row>
    <row r="118" spans="1:15" x14ac:dyDescent="0.25">
      <c r="A118" s="56" t="str">
        <f>B110</f>
        <v>[P] Leaching (Malaysia)</v>
      </c>
      <c r="B118" s="56" t="str">
        <f>B111</f>
        <v>RE chloride</v>
      </c>
      <c r="C118" s="56" t="str">
        <f>B112</f>
        <v>MY</v>
      </c>
      <c r="D118" s="64">
        <v>1</v>
      </c>
      <c r="E118" s="56" t="s">
        <v>6</v>
      </c>
      <c r="F118" s="57" t="str">
        <f>F94</f>
        <v>Rare Earths</v>
      </c>
      <c r="G118" s="56" t="s">
        <v>20</v>
      </c>
    </row>
    <row r="119" spans="1:15" x14ac:dyDescent="0.25">
      <c r="A119" s="56" t="str">
        <f>A163</f>
        <v>Discharge of leaching sludge</v>
      </c>
      <c r="B119" s="56" t="str">
        <f t="shared" ref="B119:C119" si="4">B163</f>
        <v>Leaching sludge</v>
      </c>
      <c r="C119" s="56" t="str">
        <f t="shared" si="4"/>
        <v>AU</v>
      </c>
      <c r="D119" s="124">
        <v>6.92753623188406E-2</v>
      </c>
      <c r="E119" s="56" t="str">
        <f t="shared" ref="E119:F119" si="5">E163</f>
        <v>kilogram</v>
      </c>
      <c r="F119" s="57" t="str">
        <f t="shared" si="5"/>
        <v>Rare Earths</v>
      </c>
      <c r="G119" s="56" t="s">
        <v>25</v>
      </c>
    </row>
    <row r="120" spans="1:15" x14ac:dyDescent="0.25">
      <c r="A120" s="56" t="s">
        <v>483</v>
      </c>
      <c r="B120" s="56" t="s">
        <v>116</v>
      </c>
      <c r="C120" s="56" t="s">
        <v>29</v>
      </c>
      <c r="D120" s="63">
        <v>1.4492753623188406E-12</v>
      </c>
      <c r="E120" s="123" t="s">
        <v>5</v>
      </c>
      <c r="F120" s="56" t="s">
        <v>24</v>
      </c>
      <c r="G120" s="56" t="s">
        <v>25</v>
      </c>
    </row>
    <row r="121" spans="1:15" x14ac:dyDescent="0.25">
      <c r="A121" s="56" t="s">
        <v>504</v>
      </c>
      <c r="B121" s="56" t="s">
        <v>505</v>
      </c>
      <c r="C121" s="56" t="s">
        <v>29</v>
      </c>
      <c r="D121" s="125">
        <v>2.1449275362318842E-2</v>
      </c>
      <c r="E121" s="123" t="s">
        <v>6</v>
      </c>
      <c r="F121" s="56" t="s">
        <v>24</v>
      </c>
      <c r="G121" s="56" t="s">
        <v>25</v>
      </c>
    </row>
    <row r="122" spans="1:15" x14ac:dyDescent="0.25">
      <c r="A122" s="56" t="s">
        <v>57</v>
      </c>
      <c r="B122" s="56" t="s">
        <v>58</v>
      </c>
      <c r="C122" s="56" t="s">
        <v>470</v>
      </c>
      <c r="D122" s="125">
        <v>2.1304347826086954E-3</v>
      </c>
      <c r="E122" s="123" t="s">
        <v>59</v>
      </c>
      <c r="F122" s="56" t="s">
        <v>24</v>
      </c>
      <c r="G122" s="56" t="s">
        <v>25</v>
      </c>
    </row>
    <row r="123" spans="1:15" x14ac:dyDescent="0.25">
      <c r="A123" s="56" t="s">
        <v>27</v>
      </c>
      <c r="B123" s="56" t="s">
        <v>28</v>
      </c>
      <c r="C123" s="56" t="s">
        <v>29</v>
      </c>
      <c r="D123" s="125">
        <v>5.3333333333333337E-2</v>
      </c>
      <c r="E123" s="123" t="s">
        <v>6</v>
      </c>
      <c r="F123" s="56" t="s">
        <v>24</v>
      </c>
      <c r="G123" s="56" t="s">
        <v>25</v>
      </c>
    </row>
    <row r="124" spans="1:15" x14ac:dyDescent="0.25">
      <c r="A124" s="56" t="s">
        <v>62</v>
      </c>
      <c r="B124" s="56" t="s">
        <v>63</v>
      </c>
      <c r="C124" s="56" t="s">
        <v>29</v>
      </c>
      <c r="D124" s="125">
        <v>0.95652173913043481</v>
      </c>
      <c r="E124" s="123" t="s">
        <v>6</v>
      </c>
      <c r="F124" s="56" t="s">
        <v>24</v>
      </c>
      <c r="G124" s="56" t="s">
        <v>25</v>
      </c>
    </row>
    <row r="125" spans="1:15" x14ac:dyDescent="0.25">
      <c r="A125" s="56" t="s">
        <v>495</v>
      </c>
      <c r="B125" s="56" t="s">
        <v>500</v>
      </c>
      <c r="C125" s="56" t="s">
        <v>29</v>
      </c>
      <c r="D125" s="128">
        <v>2.9710144927536233E-4</v>
      </c>
      <c r="E125" s="123" t="s">
        <v>85</v>
      </c>
      <c r="F125" s="56" t="s">
        <v>24</v>
      </c>
      <c r="G125" s="56" t="s">
        <v>25</v>
      </c>
    </row>
    <row r="126" spans="1:15" s="65" customFormat="1" x14ac:dyDescent="0.25"/>
    <row r="127" spans="1:15" x14ac:dyDescent="0.25">
      <c r="A127" s="59" t="s">
        <v>0</v>
      </c>
      <c r="B127" s="59" t="s">
        <v>506</v>
      </c>
    </row>
    <row r="128" spans="1:15" x14ac:dyDescent="0.25">
      <c r="A128" s="60" t="s">
        <v>1</v>
      </c>
      <c r="B128" s="56" t="s">
        <v>396</v>
      </c>
    </row>
    <row r="129" spans="1:15" x14ac:dyDescent="0.25">
      <c r="A129" s="60" t="s">
        <v>2</v>
      </c>
      <c r="B129" s="56" t="s">
        <v>490</v>
      </c>
    </row>
    <row r="130" spans="1:15" x14ac:dyDescent="0.25">
      <c r="A130" s="60" t="s">
        <v>4</v>
      </c>
      <c r="B130" s="56">
        <v>1</v>
      </c>
    </row>
    <row r="131" spans="1:15" x14ac:dyDescent="0.25">
      <c r="A131" s="60" t="s">
        <v>5</v>
      </c>
      <c r="B131" s="56" t="s">
        <v>6</v>
      </c>
    </row>
    <row r="132" spans="1:15" x14ac:dyDescent="0.25">
      <c r="A132" s="60" t="s">
        <v>7</v>
      </c>
      <c r="B132" s="56" t="s">
        <v>8</v>
      </c>
    </row>
    <row r="133" spans="1:15" x14ac:dyDescent="0.25">
      <c r="A133" s="60" t="s">
        <v>9</v>
      </c>
    </row>
    <row r="134" spans="1:15" x14ac:dyDescent="0.25">
      <c r="A134" s="59" t="s">
        <v>10</v>
      </c>
      <c r="B134" s="59" t="s">
        <v>1</v>
      </c>
      <c r="C134" s="59" t="s">
        <v>2</v>
      </c>
      <c r="D134" s="59" t="s">
        <v>4</v>
      </c>
      <c r="E134" s="59" t="s">
        <v>5</v>
      </c>
      <c r="F134" s="59" t="s">
        <v>11</v>
      </c>
      <c r="G134" s="59" t="s">
        <v>12</v>
      </c>
      <c r="H134" s="59" t="s">
        <v>13</v>
      </c>
      <c r="I134" s="59" t="s">
        <v>14</v>
      </c>
      <c r="J134" s="59" t="s">
        <v>15</v>
      </c>
      <c r="K134" s="59" t="s">
        <v>16</v>
      </c>
      <c r="L134" s="59" t="s">
        <v>17</v>
      </c>
      <c r="M134" s="59" t="s">
        <v>18</v>
      </c>
      <c r="N134" s="59" t="s">
        <v>19</v>
      </c>
      <c r="O134" s="59" t="s">
        <v>7</v>
      </c>
    </row>
    <row r="135" spans="1:15" x14ac:dyDescent="0.25">
      <c r="A135" s="56" t="str">
        <f>B127</f>
        <v>[P] Solvent extraction (Malaysia)</v>
      </c>
      <c r="B135" s="56" t="str">
        <f>B128</f>
        <v>Separated RE oxides (REO) mix</v>
      </c>
      <c r="C135" s="56" t="str">
        <f>B129</f>
        <v>MY</v>
      </c>
      <c r="D135" s="64">
        <v>1</v>
      </c>
      <c r="E135" s="56" t="s">
        <v>6</v>
      </c>
      <c r="F135" s="57" t="str">
        <f>F118</f>
        <v>Rare Earths</v>
      </c>
      <c r="G135" s="56" t="s">
        <v>20</v>
      </c>
    </row>
    <row r="136" spans="1:15" x14ac:dyDescent="0.25">
      <c r="A136" s="56" t="str">
        <f>'PR3_REO_CN_BayanObo_Bast-Mona'!A189</f>
        <v>Production of P204</v>
      </c>
      <c r="B136" s="56" t="str">
        <f>'PR3_REO_CN_BayanObo_Bast-Mona'!B189</f>
        <v>P204 extractant</v>
      </c>
      <c r="C136" s="56" t="str">
        <f>'PR3_REO_CN_BayanObo_Bast-Mona'!C189</f>
        <v>CN</v>
      </c>
      <c r="D136" s="124">
        <v>1.7357012623166398E-2</v>
      </c>
      <c r="E136" s="56" t="str">
        <f>'PR3_REO_CN_BayanObo_Bast-Mona'!E189</f>
        <v>kilogram</v>
      </c>
      <c r="F136" s="57" t="str">
        <f>'PR3_REO_CN_BayanObo_Bast-Mona'!F189</f>
        <v>Rare Earths</v>
      </c>
      <c r="G136" s="56" t="s">
        <v>25</v>
      </c>
    </row>
    <row r="137" spans="1:15" x14ac:dyDescent="0.25">
      <c r="A137" s="56" t="s">
        <v>507</v>
      </c>
      <c r="B137" s="56" t="s">
        <v>514</v>
      </c>
      <c r="C137" s="56" t="s">
        <v>29</v>
      </c>
      <c r="D137" s="56">
        <v>7.2047976926351084E-10</v>
      </c>
      <c r="E137" s="56" t="s">
        <v>5</v>
      </c>
      <c r="F137" s="56" t="s">
        <v>24</v>
      </c>
      <c r="G137" s="56" t="s">
        <v>25</v>
      </c>
    </row>
    <row r="138" spans="1:15" x14ac:dyDescent="0.25">
      <c r="A138" s="56" t="s">
        <v>508</v>
      </c>
      <c r="B138" s="56" t="s">
        <v>112</v>
      </c>
      <c r="C138" s="56" t="s">
        <v>23</v>
      </c>
      <c r="D138" s="56">
        <v>4.257380454738928E-2</v>
      </c>
      <c r="E138" s="56" t="s">
        <v>6</v>
      </c>
      <c r="F138" s="56" t="s">
        <v>24</v>
      </c>
      <c r="G138" s="56" t="s">
        <v>25</v>
      </c>
    </row>
    <row r="139" spans="1:15" x14ac:dyDescent="0.25">
      <c r="A139" s="56" t="s">
        <v>509</v>
      </c>
      <c r="B139" s="56" t="s">
        <v>43</v>
      </c>
      <c r="C139" s="56" t="s">
        <v>29</v>
      </c>
      <c r="D139" s="56">
        <v>2.2727861812221666</v>
      </c>
      <c r="E139" s="56" t="s">
        <v>6</v>
      </c>
      <c r="F139" s="56" t="s">
        <v>24</v>
      </c>
      <c r="G139" s="56" t="s">
        <v>25</v>
      </c>
    </row>
    <row r="140" spans="1:15" x14ac:dyDescent="0.25">
      <c r="A140" s="56" t="s">
        <v>510</v>
      </c>
      <c r="B140" s="56" t="s">
        <v>39</v>
      </c>
      <c r="C140" s="56" t="s">
        <v>29</v>
      </c>
      <c r="D140" s="56">
        <v>9.1697425178992306E-2</v>
      </c>
      <c r="E140" s="56" t="s">
        <v>6</v>
      </c>
      <c r="F140" s="56" t="s">
        <v>24</v>
      </c>
      <c r="G140" s="56" t="s">
        <v>25</v>
      </c>
    </row>
    <row r="141" spans="1:15" x14ac:dyDescent="0.25">
      <c r="A141" s="56" t="s">
        <v>511</v>
      </c>
      <c r="B141" s="56" t="s">
        <v>499</v>
      </c>
      <c r="C141" s="56" t="s">
        <v>29</v>
      </c>
      <c r="D141" s="56">
        <v>4.4014764085916305</v>
      </c>
      <c r="E141" s="56" t="s">
        <v>6</v>
      </c>
      <c r="F141" s="56" t="s">
        <v>24</v>
      </c>
      <c r="G141" s="56" t="s">
        <v>25</v>
      </c>
    </row>
    <row r="142" spans="1:15" x14ac:dyDescent="0.25">
      <c r="A142" s="56" t="s">
        <v>504</v>
      </c>
      <c r="B142" s="56" t="s">
        <v>505</v>
      </c>
      <c r="C142" s="56" t="s">
        <v>29</v>
      </c>
      <c r="D142" s="56">
        <v>0.17357012623166401</v>
      </c>
      <c r="E142" s="56" t="s">
        <v>6</v>
      </c>
      <c r="F142" s="56" t="s">
        <v>24</v>
      </c>
      <c r="G142" s="56" t="s">
        <v>25</v>
      </c>
    </row>
    <row r="143" spans="1:15" x14ac:dyDescent="0.25">
      <c r="A143" s="56" t="s">
        <v>57</v>
      </c>
      <c r="B143" s="56" t="s">
        <v>58</v>
      </c>
      <c r="C143" s="56" t="s">
        <v>470</v>
      </c>
      <c r="D143" s="56">
        <v>0.37006460875807601</v>
      </c>
      <c r="E143" s="56" t="s">
        <v>59</v>
      </c>
      <c r="F143" s="56" t="s">
        <v>24</v>
      </c>
      <c r="G143" s="56" t="s">
        <v>25</v>
      </c>
    </row>
    <row r="144" spans="1:15" x14ac:dyDescent="0.25">
      <c r="A144" s="56" t="s">
        <v>40</v>
      </c>
      <c r="B144" s="56" t="s">
        <v>41</v>
      </c>
      <c r="C144" s="56" t="s">
        <v>29</v>
      </c>
      <c r="D144" s="56">
        <v>7.6763844506984986</v>
      </c>
      <c r="E144" s="56" t="s">
        <v>6</v>
      </c>
      <c r="F144" s="56" t="s">
        <v>24</v>
      </c>
      <c r="G144" s="56" t="s">
        <v>25</v>
      </c>
    </row>
    <row r="145" spans="1:7" x14ac:dyDescent="0.25">
      <c r="A145" s="56" t="s">
        <v>512</v>
      </c>
      <c r="B145" s="56" t="s">
        <v>515</v>
      </c>
      <c r="C145" s="56" t="s">
        <v>23</v>
      </c>
      <c r="D145" s="56">
        <v>0.58948344757923621</v>
      </c>
      <c r="E145" s="56" t="s">
        <v>6</v>
      </c>
      <c r="F145" s="56" t="s">
        <v>24</v>
      </c>
      <c r="G145" s="56" t="s">
        <v>25</v>
      </c>
    </row>
    <row r="146" spans="1:7" x14ac:dyDescent="0.25">
      <c r="A146" s="56" t="s">
        <v>513</v>
      </c>
      <c r="B146" s="56" t="s">
        <v>516</v>
      </c>
      <c r="C146" s="56" t="s">
        <v>29</v>
      </c>
      <c r="D146" s="56">
        <v>4.9123620631603016E-3</v>
      </c>
      <c r="E146" s="56" t="s">
        <v>6</v>
      </c>
      <c r="F146" s="56" t="s">
        <v>24</v>
      </c>
      <c r="G146" s="56" t="s">
        <v>25</v>
      </c>
    </row>
    <row r="147" spans="1:7" x14ac:dyDescent="0.25">
      <c r="A147" s="56" t="s">
        <v>27</v>
      </c>
      <c r="B147" s="56" t="s">
        <v>28</v>
      </c>
      <c r="C147" s="56" t="s">
        <v>29</v>
      </c>
      <c r="D147" s="56">
        <v>0.14409595385270219</v>
      </c>
      <c r="E147" s="56" t="s">
        <v>6</v>
      </c>
      <c r="F147" s="56" t="s">
        <v>24</v>
      </c>
      <c r="G147" s="56" t="s">
        <v>25</v>
      </c>
    </row>
    <row r="148" spans="1:7" x14ac:dyDescent="0.25">
      <c r="A148" s="56" t="s">
        <v>495</v>
      </c>
      <c r="B148" s="56" t="s">
        <v>500</v>
      </c>
      <c r="C148" s="56" t="s">
        <v>29</v>
      </c>
      <c r="D148" s="56">
        <v>0.11134687343163351</v>
      </c>
      <c r="E148" s="56" t="s">
        <v>85</v>
      </c>
      <c r="F148" s="56" t="s">
        <v>24</v>
      </c>
      <c r="G148" s="56" t="s">
        <v>25</v>
      </c>
    </row>
    <row r="149" spans="1:7" x14ac:dyDescent="0.25">
      <c r="A149" s="56" t="s">
        <v>62</v>
      </c>
      <c r="B149" s="56" t="s">
        <v>63</v>
      </c>
      <c r="C149" s="56" t="s">
        <v>29</v>
      </c>
      <c r="D149" s="56">
        <v>22.84575850173751</v>
      </c>
      <c r="E149" s="56" t="s">
        <v>6</v>
      </c>
      <c r="F149" s="56" t="s">
        <v>24</v>
      </c>
      <c r="G149" s="56" t="s">
        <v>25</v>
      </c>
    </row>
    <row r="150" spans="1:7" x14ac:dyDescent="0.25">
      <c r="A150" s="56" t="s">
        <v>125</v>
      </c>
      <c r="B150" s="56" t="s">
        <v>126</v>
      </c>
      <c r="C150" s="56" t="s">
        <v>23</v>
      </c>
      <c r="D150" s="129">
        <v>1.7357012623166398E-2</v>
      </c>
      <c r="E150" s="56" t="s">
        <v>6</v>
      </c>
      <c r="F150" s="56" t="s">
        <v>24</v>
      </c>
      <c r="G150" s="56" t="s">
        <v>25</v>
      </c>
    </row>
    <row r="151" spans="1:7" x14ac:dyDescent="0.25">
      <c r="A151" s="56" t="s">
        <v>393</v>
      </c>
      <c r="B151" s="56" t="s">
        <v>399</v>
      </c>
      <c r="C151" s="56" t="s">
        <v>29</v>
      </c>
      <c r="D151" s="56">
        <v>1.0643451136847319</v>
      </c>
      <c r="E151" s="56" t="s">
        <v>6</v>
      </c>
      <c r="F151" s="56" t="s">
        <v>24</v>
      </c>
      <c r="G151" s="56" t="s">
        <v>25</v>
      </c>
    </row>
    <row r="152" spans="1:7" x14ac:dyDescent="0.25">
      <c r="A152" s="56" t="s">
        <v>127</v>
      </c>
      <c r="B152" s="56" t="s">
        <v>92</v>
      </c>
      <c r="C152" s="56" t="s">
        <v>29</v>
      </c>
      <c r="D152" s="56">
        <v>-9.1697425178992306E-2</v>
      </c>
      <c r="E152" s="56" t="s">
        <v>93</v>
      </c>
      <c r="F152" s="56" t="s">
        <v>24</v>
      </c>
      <c r="G152" s="56" t="s">
        <v>25</v>
      </c>
    </row>
    <row r="153" spans="1:7" x14ac:dyDescent="0.25">
      <c r="A153" s="56" t="s">
        <v>493</v>
      </c>
      <c r="B153" s="56" t="s">
        <v>498</v>
      </c>
      <c r="C153" s="56" t="s">
        <v>29</v>
      </c>
      <c r="D153" s="56">
        <v>26.149444500000001</v>
      </c>
      <c r="E153" s="56" t="s">
        <v>78</v>
      </c>
      <c r="F153" s="56" t="s">
        <v>24</v>
      </c>
      <c r="G153" s="56" t="s">
        <v>25</v>
      </c>
    </row>
    <row r="154" spans="1:7" s="65" customFormat="1" x14ac:dyDescent="0.25"/>
    <row r="155" spans="1:7" x14ac:dyDescent="0.25">
      <c r="A155" s="59" t="s">
        <v>0</v>
      </c>
      <c r="B155" s="59" t="s">
        <v>491</v>
      </c>
    </row>
    <row r="156" spans="1:7" x14ac:dyDescent="0.25">
      <c r="A156" s="60" t="s">
        <v>1</v>
      </c>
      <c r="B156" s="56" t="s">
        <v>517</v>
      </c>
    </row>
    <row r="157" spans="1:7" x14ac:dyDescent="0.25">
      <c r="A157" s="60" t="s">
        <v>2</v>
      </c>
      <c r="B157" s="56" t="s">
        <v>470</v>
      </c>
    </row>
    <row r="158" spans="1:7" x14ac:dyDescent="0.25">
      <c r="A158" s="60" t="s">
        <v>4</v>
      </c>
      <c r="B158" s="56">
        <v>1</v>
      </c>
    </row>
    <row r="159" spans="1:7" x14ac:dyDescent="0.25">
      <c r="A159" s="60" t="s">
        <v>5</v>
      </c>
      <c r="B159" s="56" t="s">
        <v>6</v>
      </c>
    </row>
    <row r="160" spans="1:7" x14ac:dyDescent="0.25">
      <c r="A160" s="60" t="s">
        <v>7</v>
      </c>
      <c r="B160" s="56" t="s">
        <v>8</v>
      </c>
    </row>
    <row r="161" spans="1:15" x14ac:dyDescent="0.25">
      <c r="A161" s="60" t="s">
        <v>9</v>
      </c>
    </row>
    <row r="162" spans="1:15" x14ac:dyDescent="0.25">
      <c r="A162" s="59" t="s">
        <v>10</v>
      </c>
      <c r="B162" s="59" t="s">
        <v>1</v>
      </c>
      <c r="C162" s="59" t="s">
        <v>2</v>
      </c>
      <c r="D162" s="59" t="s">
        <v>4</v>
      </c>
      <c r="E162" s="59" t="s">
        <v>5</v>
      </c>
      <c r="F162" s="59" t="s">
        <v>11</v>
      </c>
      <c r="G162" s="59" t="s">
        <v>12</v>
      </c>
      <c r="H162" s="59" t="s">
        <v>13</v>
      </c>
      <c r="I162" s="59" t="s">
        <v>14</v>
      </c>
      <c r="J162" s="59" t="s">
        <v>15</v>
      </c>
      <c r="K162" s="59" t="s">
        <v>16</v>
      </c>
      <c r="L162" s="59" t="s">
        <v>17</v>
      </c>
      <c r="M162" s="59" t="s">
        <v>18</v>
      </c>
      <c r="N162" s="59" t="s">
        <v>19</v>
      </c>
      <c r="O162" s="59" t="s">
        <v>7</v>
      </c>
    </row>
    <row r="163" spans="1:15" x14ac:dyDescent="0.25">
      <c r="A163" s="56" t="str">
        <f>B155</f>
        <v>Discharge of leaching sludge</v>
      </c>
      <c r="B163" s="56" t="str">
        <f>B156</f>
        <v>Leaching sludge</v>
      </c>
      <c r="C163" s="56" t="str">
        <f>B157</f>
        <v>AU</v>
      </c>
      <c r="D163" s="64">
        <f>B158</f>
        <v>1</v>
      </c>
      <c r="E163" s="56" t="s">
        <v>6</v>
      </c>
      <c r="F163" s="57" t="str">
        <f>F135</f>
        <v>Rare Earths</v>
      </c>
      <c r="G163" s="56" t="s">
        <v>20</v>
      </c>
    </row>
    <row r="164" spans="1:15" x14ac:dyDescent="0.25">
      <c r="A164" s="56" t="s">
        <v>518</v>
      </c>
      <c r="D164" s="63">
        <v>6.0104712041884814E-6</v>
      </c>
      <c r="E164" s="56" t="s">
        <v>6</v>
      </c>
      <c r="F164" s="56" t="s">
        <v>66</v>
      </c>
      <c r="G164" s="56" t="s">
        <v>67</v>
      </c>
      <c r="H164" s="56" t="s">
        <v>553</v>
      </c>
    </row>
    <row r="165" spans="1:15" x14ac:dyDescent="0.25">
      <c r="A165" s="56" t="s">
        <v>519</v>
      </c>
      <c r="D165" s="63">
        <v>6.0104712041884822E-8</v>
      </c>
      <c r="E165" s="56" t="s">
        <v>6</v>
      </c>
      <c r="F165" s="56" t="s">
        <v>66</v>
      </c>
      <c r="G165" s="56" t="s">
        <v>67</v>
      </c>
      <c r="H165" s="56" t="s">
        <v>553</v>
      </c>
    </row>
    <row r="166" spans="1:15" x14ac:dyDescent="0.25">
      <c r="A166" s="56" t="s">
        <v>520</v>
      </c>
      <c r="D166" s="129">
        <v>5.7319371727748685E-5</v>
      </c>
      <c r="E166" s="56" t="s">
        <v>99</v>
      </c>
      <c r="F166" s="56" t="s">
        <v>66</v>
      </c>
      <c r="G166" s="56" t="s">
        <v>67</v>
      </c>
      <c r="H166" s="56" t="s">
        <v>100</v>
      </c>
    </row>
    <row r="167" spans="1:15" x14ac:dyDescent="0.25">
      <c r="A167" s="56" t="s">
        <v>138</v>
      </c>
      <c r="D167" s="128">
        <v>3.9999999999999996E-4</v>
      </c>
      <c r="E167" s="56" t="s">
        <v>6</v>
      </c>
      <c r="F167" s="56" t="s">
        <v>66</v>
      </c>
      <c r="G167" s="56" t="s">
        <v>67</v>
      </c>
      <c r="H167" s="56" t="s">
        <v>553</v>
      </c>
    </row>
    <row r="168" spans="1:15" x14ac:dyDescent="0.25">
      <c r="A168" s="56" t="s">
        <v>143</v>
      </c>
      <c r="D168" s="63">
        <v>2.146596858638743E-7</v>
      </c>
      <c r="E168" s="56" t="s">
        <v>6</v>
      </c>
      <c r="F168" s="56" t="s">
        <v>66</v>
      </c>
      <c r="G168" s="56" t="s">
        <v>67</v>
      </c>
      <c r="H168" s="56" t="s">
        <v>553</v>
      </c>
    </row>
    <row r="169" spans="1:15" s="65" customFormat="1" x14ac:dyDescent="0.25"/>
    <row r="170" spans="1:15" x14ac:dyDescent="0.25">
      <c r="A170" s="59" t="s">
        <v>0</v>
      </c>
      <c r="B170" s="59" t="s">
        <v>482</v>
      </c>
    </row>
    <row r="171" spans="1:15" x14ac:dyDescent="0.25">
      <c r="A171" s="60" t="s">
        <v>1</v>
      </c>
      <c r="B171" s="56" t="s">
        <v>672</v>
      </c>
    </row>
    <row r="172" spans="1:15" x14ac:dyDescent="0.25">
      <c r="A172" s="60" t="s">
        <v>2</v>
      </c>
      <c r="B172" s="56" t="s">
        <v>470</v>
      </c>
    </row>
    <row r="173" spans="1:15" x14ac:dyDescent="0.25">
      <c r="A173" s="60" t="s">
        <v>4</v>
      </c>
      <c r="B173" s="56">
        <f>1</f>
        <v>1</v>
      </c>
    </row>
    <row r="174" spans="1:15" x14ac:dyDescent="0.25">
      <c r="A174" s="60" t="s">
        <v>5</v>
      </c>
      <c r="B174" s="56" t="s">
        <v>6</v>
      </c>
    </row>
    <row r="175" spans="1:15" x14ac:dyDescent="0.25">
      <c r="A175" s="60" t="s">
        <v>7</v>
      </c>
      <c r="B175" s="56" t="s">
        <v>8</v>
      </c>
    </row>
    <row r="176" spans="1:15" x14ac:dyDescent="0.25">
      <c r="A176" s="60" t="s">
        <v>9</v>
      </c>
    </row>
    <row r="177" spans="1:15" x14ac:dyDescent="0.25">
      <c r="A177" s="59" t="s">
        <v>10</v>
      </c>
      <c r="B177" s="59" t="s">
        <v>1</v>
      </c>
      <c r="C177" s="59" t="s">
        <v>2</v>
      </c>
      <c r="D177" s="59" t="s">
        <v>4</v>
      </c>
      <c r="E177" s="59" t="s">
        <v>5</v>
      </c>
      <c r="F177" s="59" t="s">
        <v>11</v>
      </c>
      <c r="G177" s="59" t="s">
        <v>12</v>
      </c>
      <c r="H177" s="59" t="s">
        <v>13</v>
      </c>
      <c r="I177" s="59" t="s">
        <v>14</v>
      </c>
      <c r="J177" s="59" t="s">
        <v>15</v>
      </c>
      <c r="K177" s="59" t="s">
        <v>16</v>
      </c>
      <c r="L177" s="59" t="s">
        <v>17</v>
      </c>
      <c r="M177" s="59" t="s">
        <v>18</v>
      </c>
      <c r="N177" s="59" t="s">
        <v>19</v>
      </c>
      <c r="O177" s="59" t="s">
        <v>7</v>
      </c>
    </row>
    <row r="178" spans="1:15" x14ac:dyDescent="0.25">
      <c r="A178" s="56" t="str">
        <f>B170</f>
        <v>Tailings from beneficiation</v>
      </c>
      <c r="B178" s="56" t="str">
        <f>B171</f>
        <v>Tailings</v>
      </c>
      <c r="C178" s="56" t="str">
        <f>B172</f>
        <v>AU</v>
      </c>
      <c r="D178" s="64">
        <v>1</v>
      </c>
      <c r="E178" s="56" t="s">
        <v>6</v>
      </c>
      <c r="F178" s="57" t="str">
        <f>F163</f>
        <v>Rare Earths</v>
      </c>
      <c r="G178" s="56" t="s">
        <v>20</v>
      </c>
    </row>
    <row r="179" spans="1:15" x14ac:dyDescent="0.25">
      <c r="A179" s="56" t="s">
        <v>519</v>
      </c>
      <c r="D179" s="63">
        <v>6.177606177606177E-8</v>
      </c>
      <c r="E179" s="56" t="s">
        <v>6</v>
      </c>
      <c r="F179" s="56" t="s">
        <v>66</v>
      </c>
      <c r="G179" s="56" t="s">
        <v>67</v>
      </c>
      <c r="H179" s="56" t="s">
        <v>553</v>
      </c>
    </row>
    <row r="180" spans="1:15" x14ac:dyDescent="0.25">
      <c r="A180" s="56" t="s">
        <v>520</v>
      </c>
      <c r="D180" s="63">
        <v>6.2625482625482633E-5</v>
      </c>
      <c r="E180" s="56" t="s">
        <v>99</v>
      </c>
      <c r="F180" s="56" t="s">
        <v>66</v>
      </c>
      <c r="G180" s="56" t="s">
        <v>67</v>
      </c>
      <c r="H180" s="56" t="s">
        <v>100</v>
      </c>
    </row>
    <row r="181" spans="1:15" x14ac:dyDescent="0.25">
      <c r="A181" s="56" t="s">
        <v>138</v>
      </c>
      <c r="D181" s="63">
        <v>1.054054054054054E-4</v>
      </c>
      <c r="E181" s="56" t="s">
        <v>6</v>
      </c>
      <c r="F181" s="56" t="s">
        <v>66</v>
      </c>
      <c r="G181" s="56" t="s">
        <v>67</v>
      </c>
      <c r="H181" s="56" t="s">
        <v>553</v>
      </c>
    </row>
    <row r="182" spans="1:15" s="58" customFormat="1" x14ac:dyDescent="0.25"/>
    <row r="183" spans="1:15" x14ac:dyDescent="0.25">
      <c r="A183" s="59" t="s">
        <v>0</v>
      </c>
      <c r="B183" s="59" t="s">
        <v>521</v>
      </c>
    </row>
    <row r="184" spans="1:15" x14ac:dyDescent="0.25">
      <c r="A184" s="60" t="s">
        <v>1</v>
      </c>
      <c r="B184" s="56" t="s">
        <v>243</v>
      </c>
    </row>
    <row r="185" spans="1:15" x14ac:dyDescent="0.25">
      <c r="A185" s="60" t="s">
        <v>2</v>
      </c>
      <c r="B185" s="56" t="s">
        <v>522</v>
      </c>
    </row>
    <row r="186" spans="1:15" x14ac:dyDescent="0.25">
      <c r="A186" s="60" t="s">
        <v>4</v>
      </c>
      <c r="B186" s="56">
        <v>1</v>
      </c>
    </row>
    <row r="187" spans="1:15" x14ac:dyDescent="0.25">
      <c r="A187" s="60" t="s">
        <v>5</v>
      </c>
      <c r="B187" s="56" t="s">
        <v>6</v>
      </c>
    </row>
    <row r="188" spans="1:15" x14ac:dyDescent="0.25">
      <c r="A188" s="60" t="s">
        <v>7</v>
      </c>
      <c r="B188" s="56" t="s">
        <v>8</v>
      </c>
    </row>
    <row r="189" spans="1:15" x14ac:dyDescent="0.25">
      <c r="A189" s="60" t="s">
        <v>9</v>
      </c>
    </row>
    <row r="190" spans="1:15" x14ac:dyDescent="0.25">
      <c r="A190" s="59" t="s">
        <v>10</v>
      </c>
      <c r="B190" s="59" t="s">
        <v>1</v>
      </c>
      <c r="C190" s="59" t="s">
        <v>2</v>
      </c>
      <c r="D190" s="59" t="s">
        <v>4</v>
      </c>
      <c r="E190" s="59" t="s">
        <v>5</v>
      </c>
      <c r="F190" s="59" t="s">
        <v>11</v>
      </c>
      <c r="G190" s="59" t="s">
        <v>12</v>
      </c>
      <c r="H190" s="59" t="s">
        <v>13</v>
      </c>
      <c r="I190" s="59" t="s">
        <v>14</v>
      </c>
      <c r="J190" s="59" t="s">
        <v>15</v>
      </c>
      <c r="K190" s="59" t="s">
        <v>16</v>
      </c>
      <c r="L190" s="59" t="s">
        <v>17</v>
      </c>
      <c r="M190" s="59" t="s">
        <v>18</v>
      </c>
      <c r="N190" s="59" t="s">
        <v>19</v>
      </c>
      <c r="O190" s="59" t="s">
        <v>7</v>
      </c>
    </row>
    <row r="191" spans="1:15" x14ac:dyDescent="0.25">
      <c r="A191" s="56" t="str">
        <f>B183</f>
        <v>Monazite ore mining in Australia/Mt. Weld and REO production in Malaysia</v>
      </c>
      <c r="B191" s="56" t="str">
        <f>B184</f>
        <v>REO</v>
      </c>
      <c r="C191" s="56" t="str">
        <f>B185</f>
        <v>AU-MY</v>
      </c>
      <c r="D191" s="64">
        <v>1</v>
      </c>
      <c r="E191" s="56" t="str">
        <f>B187</f>
        <v>kilogram</v>
      </c>
      <c r="F191" s="57" t="str">
        <f>F135</f>
        <v>Rare Earths</v>
      </c>
      <c r="G191" s="56" t="s">
        <v>20</v>
      </c>
    </row>
    <row r="192" spans="1:15" x14ac:dyDescent="0.25">
      <c r="A192" s="56" t="str">
        <f>A135</f>
        <v>[P] Solvent extraction (Malaysia)</v>
      </c>
      <c r="B192" s="56" t="str">
        <f>B135</f>
        <v>Separated RE oxides (REO) mix</v>
      </c>
      <c r="C192" s="56" t="str">
        <f>C135</f>
        <v>MY</v>
      </c>
      <c r="D192" s="64">
        <v>1</v>
      </c>
      <c r="E192" s="56" t="str">
        <f>E135</f>
        <v>kilogram</v>
      </c>
      <c r="F192" s="57" t="str">
        <f>F135</f>
        <v>Rare Earths</v>
      </c>
      <c r="G192" s="56" t="s">
        <v>25</v>
      </c>
    </row>
    <row r="193" spans="1:15" x14ac:dyDescent="0.25">
      <c r="A193" s="56" t="str">
        <f>A118</f>
        <v>[P] Leaching (Malaysia)</v>
      </c>
      <c r="B193" s="56" t="str">
        <f>B118</f>
        <v>RE chloride</v>
      </c>
      <c r="C193" s="56" t="str">
        <f>C118</f>
        <v>MY</v>
      </c>
      <c r="D193" s="56">
        <v>45.193730981074772</v>
      </c>
      <c r="E193" s="56" t="str">
        <f>E118</f>
        <v>kilogram</v>
      </c>
      <c r="F193" s="57" t="str">
        <f>F118</f>
        <v>Rare Earths</v>
      </c>
      <c r="G193" s="56" t="s">
        <v>25</v>
      </c>
    </row>
    <row r="194" spans="1:15" x14ac:dyDescent="0.25">
      <c r="A194" s="56" t="str">
        <f>A94</f>
        <v>[P] Roasting (Malaysia)</v>
      </c>
      <c r="B194" s="56" t="str">
        <f>B94</f>
        <v>RE sulfate</v>
      </c>
      <c r="C194" s="56" t="str">
        <f>C94</f>
        <v>MY</v>
      </c>
      <c r="D194" s="64">
        <v>3.8971405701071724</v>
      </c>
      <c r="E194" s="56" t="str">
        <f>E94</f>
        <v>kilogram</v>
      </c>
      <c r="F194" s="57" t="str">
        <f>F94</f>
        <v>Rare Earths</v>
      </c>
      <c r="G194" s="56" t="s">
        <v>25</v>
      </c>
    </row>
    <row r="195" spans="1:15" x14ac:dyDescent="0.25">
      <c r="A195" s="56" t="str">
        <f>A72</f>
        <v>[C] Flotation (Mt. Weld)</v>
      </c>
      <c r="B195" s="56" t="str">
        <f>B72</f>
        <v>Rare Earths (RE) concentrate</v>
      </c>
      <c r="C195" s="56" t="str">
        <f>C72</f>
        <v>AU</v>
      </c>
      <c r="D195" s="56">
        <v>3.7988933288439664</v>
      </c>
      <c r="E195" s="56" t="str">
        <f>E72</f>
        <v>kilogram</v>
      </c>
      <c r="F195" s="57" t="str">
        <f>F72</f>
        <v>Rare Earths</v>
      </c>
      <c r="G195" s="56" t="s">
        <v>25</v>
      </c>
    </row>
    <row r="196" spans="1:15" x14ac:dyDescent="0.25">
      <c r="A196" s="56" t="str">
        <f>A55</f>
        <v>[C] Monazite ore crushing and milling (Mt. Weld)</v>
      </c>
      <c r="B196" s="56" t="str">
        <f>B55</f>
        <v>Monazite ore pulp</v>
      </c>
      <c r="C196" s="56" t="str">
        <f>C55</f>
        <v>AU</v>
      </c>
      <c r="D196" s="56">
        <v>30.915131917488836</v>
      </c>
      <c r="E196" s="56" t="str">
        <f>E55</f>
        <v>kilogram</v>
      </c>
      <c r="F196" s="57" t="str">
        <f>F55</f>
        <v>Rare Earths</v>
      </c>
      <c r="G196" s="56" t="s">
        <v>25</v>
      </c>
    </row>
    <row r="197" spans="1:15" x14ac:dyDescent="0.25">
      <c r="A197" s="56" t="str">
        <f>A9</f>
        <v>[M] Monazite ore mining (Mt. Weld)</v>
      </c>
      <c r="B197" s="56" t="str">
        <f>B9</f>
        <v>Monazite ore</v>
      </c>
      <c r="C197" s="56" t="str">
        <f>C9</f>
        <v>AU</v>
      </c>
      <c r="D197" s="56">
        <v>10.839945619373735</v>
      </c>
      <c r="E197" s="56" t="str">
        <f>E9</f>
        <v>kilogram</v>
      </c>
      <c r="F197" s="57" t="str">
        <f>F9</f>
        <v>Rare Earths</v>
      </c>
      <c r="G197" s="56" t="s">
        <v>25</v>
      </c>
    </row>
    <row r="198" spans="1:15" s="58" customFormat="1" x14ac:dyDescent="0.25"/>
    <row r="199" spans="1:15" x14ac:dyDescent="0.25">
      <c r="A199" s="59" t="s">
        <v>0</v>
      </c>
      <c r="B199" s="59" t="s">
        <v>523</v>
      </c>
    </row>
    <row r="200" spans="1:15" x14ac:dyDescent="0.25">
      <c r="A200" s="60" t="s">
        <v>1</v>
      </c>
      <c r="B200" s="56" t="s">
        <v>271</v>
      </c>
    </row>
    <row r="201" spans="1:15" x14ac:dyDescent="0.25">
      <c r="A201" s="60" t="s">
        <v>2</v>
      </c>
      <c r="B201" s="56" t="s">
        <v>522</v>
      </c>
    </row>
    <row r="202" spans="1:15" x14ac:dyDescent="0.25">
      <c r="A202" s="60" t="s">
        <v>4</v>
      </c>
      <c r="B202" s="56">
        <v>1</v>
      </c>
    </row>
    <row r="203" spans="1:15" x14ac:dyDescent="0.25">
      <c r="A203" s="60" t="s">
        <v>5</v>
      </c>
      <c r="B203" s="56" t="s">
        <v>6</v>
      </c>
    </row>
    <row r="204" spans="1:15" ht="30" x14ac:dyDescent="0.25">
      <c r="A204" s="60" t="s">
        <v>7</v>
      </c>
      <c r="B204" s="67" t="s">
        <v>246</v>
      </c>
    </row>
    <row r="205" spans="1:15" x14ac:dyDescent="0.25">
      <c r="A205" s="60" t="s">
        <v>9</v>
      </c>
    </row>
    <row r="206" spans="1:15" x14ac:dyDescent="0.25">
      <c r="A206" s="59" t="s">
        <v>10</v>
      </c>
      <c r="B206" s="59" t="s">
        <v>1</v>
      </c>
      <c r="C206" s="59" t="s">
        <v>2</v>
      </c>
      <c r="D206" s="59" t="s">
        <v>4</v>
      </c>
      <c r="E206" s="59" t="s">
        <v>5</v>
      </c>
      <c r="F206" s="59" t="s">
        <v>11</v>
      </c>
      <c r="G206" s="59" t="s">
        <v>12</v>
      </c>
      <c r="H206" s="59" t="s">
        <v>13</v>
      </c>
      <c r="I206" s="59" t="s">
        <v>14</v>
      </c>
      <c r="J206" s="59" t="s">
        <v>15</v>
      </c>
      <c r="K206" s="59" t="s">
        <v>16</v>
      </c>
      <c r="L206" s="59" t="s">
        <v>17</v>
      </c>
      <c r="M206" s="59" t="s">
        <v>18</v>
      </c>
      <c r="N206" s="59" t="s">
        <v>19</v>
      </c>
      <c r="O206" s="59" t="s">
        <v>7</v>
      </c>
    </row>
    <row r="207" spans="1:15" x14ac:dyDescent="0.25">
      <c r="A207" s="56" t="str">
        <f>B199</f>
        <v>Neodymium oxide (Nd2O3) production in Australia/Mt. Weld - Malaysia</v>
      </c>
      <c r="B207" s="56" t="str">
        <f>B200</f>
        <v>Nd2O3</v>
      </c>
      <c r="C207" s="56" t="str">
        <f>B201</f>
        <v>AU-MY</v>
      </c>
      <c r="D207" s="64">
        <v>1</v>
      </c>
      <c r="E207" s="56" t="str">
        <f>B203</f>
        <v>kilogram</v>
      </c>
      <c r="F207" s="57" t="str">
        <f>F191</f>
        <v>Rare Earths</v>
      </c>
      <c r="G207" s="56" t="s">
        <v>20</v>
      </c>
    </row>
    <row r="208" spans="1:15" x14ac:dyDescent="0.25">
      <c r="A208" s="56" t="str">
        <f>A191</f>
        <v>Monazite ore mining in Australia/Mt. Weld and REO production in Malaysia</v>
      </c>
      <c r="B208" s="56" t="str">
        <f t="shared" ref="B208:F208" si="6">B191</f>
        <v>REO</v>
      </c>
      <c r="C208" s="56" t="str">
        <f t="shared" si="6"/>
        <v>AU-MY</v>
      </c>
      <c r="D208" s="56">
        <v>2.903648820612061</v>
      </c>
      <c r="E208" s="56" t="str">
        <f t="shared" si="6"/>
        <v>kilogram</v>
      </c>
      <c r="F208" s="57" t="str">
        <f t="shared" si="6"/>
        <v>Rare Earths</v>
      </c>
      <c r="G208" s="56" t="s">
        <v>25</v>
      </c>
    </row>
    <row r="209" spans="1:15" s="58" customFormat="1" x14ac:dyDescent="0.25"/>
    <row r="210" spans="1:15" x14ac:dyDescent="0.25">
      <c r="A210" s="59" t="s">
        <v>0</v>
      </c>
      <c r="B210" s="59" t="s">
        <v>524</v>
      </c>
    </row>
    <row r="211" spans="1:15" x14ac:dyDescent="0.25">
      <c r="A211" s="60" t="s">
        <v>1</v>
      </c>
      <c r="B211" s="56" t="s">
        <v>273</v>
      </c>
    </row>
    <row r="212" spans="1:15" x14ac:dyDescent="0.25">
      <c r="A212" s="60" t="s">
        <v>2</v>
      </c>
      <c r="B212" s="56" t="s">
        <v>522</v>
      </c>
    </row>
    <row r="213" spans="1:15" x14ac:dyDescent="0.25">
      <c r="A213" s="60" t="s">
        <v>4</v>
      </c>
      <c r="B213" s="56">
        <v>1</v>
      </c>
    </row>
    <row r="214" spans="1:15" x14ac:dyDescent="0.25">
      <c r="A214" s="60" t="s">
        <v>5</v>
      </c>
      <c r="B214" s="56" t="s">
        <v>6</v>
      </c>
    </row>
    <row r="215" spans="1:15" x14ac:dyDescent="0.25">
      <c r="A215" s="60" t="s">
        <v>7</v>
      </c>
      <c r="B215" s="56" t="s">
        <v>274</v>
      </c>
    </row>
    <row r="216" spans="1:15" x14ac:dyDescent="0.25">
      <c r="A216" s="60" t="s">
        <v>9</v>
      </c>
    </row>
    <row r="217" spans="1:15" x14ac:dyDescent="0.25">
      <c r="A217" s="59" t="s">
        <v>10</v>
      </c>
      <c r="B217" s="59" t="s">
        <v>1</v>
      </c>
      <c r="C217" s="59" t="s">
        <v>2</v>
      </c>
      <c r="D217" s="59" t="s">
        <v>4</v>
      </c>
      <c r="E217" s="59" t="s">
        <v>5</v>
      </c>
      <c r="F217" s="59" t="s">
        <v>11</v>
      </c>
      <c r="G217" s="59" t="s">
        <v>12</v>
      </c>
      <c r="H217" s="59" t="s">
        <v>13</v>
      </c>
      <c r="I217" s="59" t="s">
        <v>14</v>
      </c>
      <c r="J217" s="59" t="s">
        <v>15</v>
      </c>
      <c r="K217" s="59" t="s">
        <v>16</v>
      </c>
      <c r="L217" s="59" t="s">
        <v>17</v>
      </c>
      <c r="M217" s="59" t="s">
        <v>18</v>
      </c>
      <c r="N217" s="59" t="s">
        <v>19</v>
      </c>
      <c r="O217" s="59" t="s">
        <v>7</v>
      </c>
    </row>
    <row r="218" spans="1:15" x14ac:dyDescent="0.25">
      <c r="A218" s="56" t="str">
        <f>B210</f>
        <v>Neodymium oxide (Nd2O3) production in Australia/Mt. Weld - Malaysia (Nd content)</v>
      </c>
      <c r="B218" s="56" t="str">
        <f>B211</f>
        <v>Nd2O3 (Nd content)</v>
      </c>
      <c r="C218" s="56" t="str">
        <f>B212</f>
        <v>AU-MY</v>
      </c>
      <c r="D218" s="64">
        <v>1</v>
      </c>
      <c r="E218" s="56" t="str">
        <f>B214</f>
        <v>kilogram</v>
      </c>
      <c r="F218" s="57" t="str">
        <f>F207</f>
        <v>Rare Earths</v>
      </c>
      <c r="G218" s="56" t="s">
        <v>20</v>
      </c>
    </row>
    <row r="219" spans="1:15" x14ac:dyDescent="0.25">
      <c r="A219" s="56" t="str">
        <f>A207</f>
        <v>Neodymium oxide (Nd2O3) production in Australia/Mt. Weld - Malaysia</v>
      </c>
      <c r="B219" s="56" t="str">
        <f t="shared" ref="B219:F219" si="7">B207</f>
        <v>Nd2O3</v>
      </c>
      <c r="C219" s="56" t="str">
        <f t="shared" si="7"/>
        <v>AU-MY</v>
      </c>
      <c r="D219" s="56">
        <v>1.1663167716351761</v>
      </c>
      <c r="E219" s="56" t="str">
        <f t="shared" si="7"/>
        <v>kilogram</v>
      </c>
      <c r="F219" s="57" t="str">
        <f t="shared" si="7"/>
        <v>Rare Earths</v>
      </c>
      <c r="G219" s="56" t="s">
        <v>25</v>
      </c>
    </row>
    <row r="220" spans="1:15" s="58" customFormat="1" x14ac:dyDescent="0.25"/>
    <row r="221" spans="1:15" x14ac:dyDescent="0.25">
      <c r="A221" s="59" t="s">
        <v>0</v>
      </c>
      <c r="B221" s="59" t="s">
        <v>525</v>
      </c>
    </row>
    <row r="222" spans="1:15" x14ac:dyDescent="0.25">
      <c r="A222" s="60" t="s">
        <v>1</v>
      </c>
      <c r="B222" s="56" t="s">
        <v>245</v>
      </c>
    </row>
    <row r="223" spans="1:15" x14ac:dyDescent="0.25">
      <c r="A223" s="60" t="s">
        <v>2</v>
      </c>
      <c r="B223" s="56" t="s">
        <v>522</v>
      </c>
    </row>
    <row r="224" spans="1:15" x14ac:dyDescent="0.25">
      <c r="A224" s="60" t="s">
        <v>4</v>
      </c>
      <c r="B224" s="56">
        <v>1</v>
      </c>
    </row>
    <row r="225" spans="1:15" x14ac:dyDescent="0.25">
      <c r="A225" s="60" t="s">
        <v>5</v>
      </c>
      <c r="B225" s="56" t="s">
        <v>6</v>
      </c>
    </row>
    <row r="226" spans="1:15" ht="30" x14ac:dyDescent="0.25">
      <c r="A226" s="60" t="s">
        <v>7</v>
      </c>
      <c r="B226" s="67" t="s">
        <v>246</v>
      </c>
    </row>
    <row r="227" spans="1:15" x14ac:dyDescent="0.25">
      <c r="A227" s="60" t="s">
        <v>9</v>
      </c>
    </row>
    <row r="228" spans="1:15" x14ac:dyDescent="0.25">
      <c r="A228" s="59" t="s">
        <v>10</v>
      </c>
      <c r="B228" s="59" t="s">
        <v>1</v>
      </c>
      <c r="C228" s="59" t="s">
        <v>2</v>
      </c>
      <c r="D228" s="59" t="s">
        <v>4</v>
      </c>
      <c r="E228" s="59" t="s">
        <v>5</v>
      </c>
      <c r="F228" s="59" t="s">
        <v>11</v>
      </c>
      <c r="G228" s="59" t="s">
        <v>12</v>
      </c>
      <c r="H228" s="59" t="s">
        <v>13</v>
      </c>
      <c r="I228" s="59" t="s">
        <v>14</v>
      </c>
      <c r="J228" s="59" t="s">
        <v>15</v>
      </c>
      <c r="K228" s="59" t="s">
        <v>16</v>
      </c>
      <c r="L228" s="59" t="s">
        <v>17</v>
      </c>
      <c r="M228" s="59" t="s">
        <v>18</v>
      </c>
      <c r="N228" s="59" t="s">
        <v>19</v>
      </c>
      <c r="O228" s="59" t="s">
        <v>7</v>
      </c>
    </row>
    <row r="229" spans="1:15" x14ac:dyDescent="0.25">
      <c r="A229" s="56" t="str">
        <f>B221</f>
        <v>Cerium oxide (CeO2) production in Australia/Mt. Weld - Malaysia</v>
      </c>
      <c r="B229" s="56" t="str">
        <f>B222</f>
        <v>CeO2</v>
      </c>
      <c r="C229" s="56" t="str">
        <f>B223</f>
        <v>AU-MY</v>
      </c>
      <c r="D229" s="64">
        <v>1</v>
      </c>
      <c r="E229" s="56" t="str">
        <f>B225</f>
        <v>kilogram</v>
      </c>
      <c r="F229" s="57" t="str">
        <f>F218</f>
        <v>Rare Earths</v>
      </c>
      <c r="G229" s="56" t="s">
        <v>20</v>
      </c>
    </row>
    <row r="230" spans="1:15" x14ac:dyDescent="0.25">
      <c r="A230" s="56" t="str">
        <f>A191</f>
        <v>Monazite ore mining in Australia/Mt. Weld and REO production in Malaysia</v>
      </c>
      <c r="B230" s="56" t="str">
        <f t="shared" ref="B230:C230" si="8">B191</f>
        <v>REO</v>
      </c>
      <c r="C230" s="56" t="str">
        <f t="shared" si="8"/>
        <v>AU-MY</v>
      </c>
      <c r="D230" s="56">
        <v>0.11552193005495004</v>
      </c>
      <c r="E230" s="56" t="str">
        <f t="shared" ref="E230:F230" si="9">E191</f>
        <v>kilogram</v>
      </c>
      <c r="F230" s="57" t="str">
        <f t="shared" si="9"/>
        <v>Rare Earths</v>
      </c>
      <c r="G230" s="56" t="s">
        <v>25</v>
      </c>
    </row>
    <row r="231" spans="1:15" s="58" customFormat="1" x14ac:dyDescent="0.25"/>
    <row r="232" spans="1:15" x14ac:dyDescent="0.25">
      <c r="A232" s="59" t="s">
        <v>0</v>
      </c>
      <c r="B232" s="59" t="s">
        <v>526</v>
      </c>
    </row>
    <row r="233" spans="1:15" x14ac:dyDescent="0.25">
      <c r="A233" s="60" t="s">
        <v>1</v>
      </c>
      <c r="B233" s="56" t="s">
        <v>248</v>
      </c>
    </row>
    <row r="234" spans="1:15" x14ac:dyDescent="0.25">
      <c r="A234" s="60" t="s">
        <v>2</v>
      </c>
      <c r="B234" s="56" t="s">
        <v>522</v>
      </c>
    </row>
    <row r="235" spans="1:15" x14ac:dyDescent="0.25">
      <c r="A235" s="60" t="s">
        <v>4</v>
      </c>
      <c r="B235" s="56">
        <v>1</v>
      </c>
    </row>
    <row r="236" spans="1:15" x14ac:dyDescent="0.25">
      <c r="A236" s="60" t="s">
        <v>5</v>
      </c>
      <c r="B236" s="56" t="s">
        <v>6</v>
      </c>
    </row>
    <row r="237" spans="1:15" x14ac:dyDescent="0.25">
      <c r="A237" s="60" t="s">
        <v>7</v>
      </c>
      <c r="B237" s="56" t="s">
        <v>249</v>
      </c>
    </row>
    <row r="238" spans="1:15" x14ac:dyDescent="0.25">
      <c r="A238" s="60" t="s">
        <v>9</v>
      </c>
    </row>
    <row r="239" spans="1:15" x14ac:dyDescent="0.25">
      <c r="A239" s="59" t="s">
        <v>10</v>
      </c>
      <c r="B239" s="59" t="s">
        <v>1</v>
      </c>
      <c r="C239" s="59" t="s">
        <v>2</v>
      </c>
      <c r="D239" s="59" t="s">
        <v>4</v>
      </c>
      <c r="E239" s="59" t="s">
        <v>5</v>
      </c>
      <c r="F239" s="59" t="s">
        <v>11</v>
      </c>
      <c r="G239" s="59" t="s">
        <v>12</v>
      </c>
      <c r="H239" s="59" t="s">
        <v>13</v>
      </c>
      <c r="I239" s="59" t="s">
        <v>14</v>
      </c>
      <c r="J239" s="59" t="s">
        <v>15</v>
      </c>
      <c r="K239" s="59" t="s">
        <v>16</v>
      </c>
      <c r="L239" s="59" t="s">
        <v>17</v>
      </c>
      <c r="M239" s="59" t="s">
        <v>18</v>
      </c>
      <c r="N239" s="59" t="s">
        <v>19</v>
      </c>
      <c r="O239" s="59" t="s">
        <v>7</v>
      </c>
    </row>
    <row r="240" spans="1:15" x14ac:dyDescent="0.25">
      <c r="A240" s="56" t="str">
        <f>B232</f>
        <v>Cerium oxide (CeO2) production in Australia/Mt. Weld - Malaysia (Ce content)</v>
      </c>
      <c r="B240" s="56" t="str">
        <f>B233</f>
        <v>CeO2 (Ce content)</v>
      </c>
      <c r="C240" s="56" t="str">
        <f>B234</f>
        <v>AU-MY</v>
      </c>
      <c r="D240" s="64">
        <v>1</v>
      </c>
      <c r="E240" s="56" t="str">
        <f>B236</f>
        <v>kilogram</v>
      </c>
      <c r="F240" s="57" t="str">
        <f>F229</f>
        <v>Rare Earths</v>
      </c>
      <c r="G240" s="56" t="s">
        <v>20</v>
      </c>
    </row>
    <row r="241" spans="1:15" x14ac:dyDescent="0.25">
      <c r="A241" s="56" t="str">
        <f>A229</f>
        <v>Cerium oxide (CeO2) production in Australia/Mt. Weld - Malaysia</v>
      </c>
      <c r="B241" s="56" t="str">
        <f t="shared" ref="B241:F241" si="10">B229</f>
        <v>CeO2</v>
      </c>
      <c r="C241" s="56" t="str">
        <f t="shared" si="10"/>
        <v>AU-MY</v>
      </c>
      <c r="D241" s="56">
        <v>1.2283503255128363</v>
      </c>
      <c r="E241" s="56" t="str">
        <f t="shared" si="10"/>
        <v>kilogram</v>
      </c>
      <c r="F241" s="57" t="str">
        <f t="shared" si="10"/>
        <v>Rare Earths</v>
      </c>
      <c r="G241" s="56" t="s">
        <v>25</v>
      </c>
    </row>
    <row r="242" spans="1:15" s="58" customFormat="1" x14ac:dyDescent="0.25"/>
    <row r="243" spans="1:15" x14ac:dyDescent="0.25">
      <c r="A243" s="59" t="s">
        <v>0</v>
      </c>
      <c r="B243" s="59" t="s">
        <v>527</v>
      </c>
    </row>
    <row r="244" spans="1:15" x14ac:dyDescent="0.25">
      <c r="A244" s="60" t="s">
        <v>1</v>
      </c>
      <c r="B244" s="56" t="s">
        <v>423</v>
      </c>
    </row>
    <row r="245" spans="1:15" x14ac:dyDescent="0.25">
      <c r="A245" s="60" t="s">
        <v>2</v>
      </c>
      <c r="B245" s="56" t="s">
        <v>522</v>
      </c>
    </row>
    <row r="246" spans="1:15" x14ac:dyDescent="0.25">
      <c r="A246" s="60" t="s">
        <v>4</v>
      </c>
      <c r="B246" s="56">
        <v>1</v>
      </c>
    </row>
    <row r="247" spans="1:15" x14ac:dyDescent="0.25">
      <c r="A247" s="60" t="s">
        <v>5</v>
      </c>
      <c r="B247" s="56" t="s">
        <v>6</v>
      </c>
    </row>
    <row r="248" spans="1:15" ht="30" x14ac:dyDescent="0.25">
      <c r="A248" s="60" t="s">
        <v>7</v>
      </c>
      <c r="B248" s="67" t="s">
        <v>246</v>
      </c>
    </row>
    <row r="249" spans="1:15" x14ac:dyDescent="0.25">
      <c r="A249" s="60" t="s">
        <v>9</v>
      </c>
    </row>
    <row r="250" spans="1:15" x14ac:dyDescent="0.25">
      <c r="A250" s="59" t="s">
        <v>10</v>
      </c>
      <c r="B250" s="59" t="s">
        <v>1</v>
      </c>
      <c r="C250" s="59" t="s">
        <v>2</v>
      </c>
      <c r="D250" s="59" t="s">
        <v>4</v>
      </c>
      <c r="E250" s="59" t="s">
        <v>5</v>
      </c>
      <c r="F250" s="59" t="s">
        <v>11</v>
      </c>
      <c r="G250" s="59" t="s">
        <v>12</v>
      </c>
      <c r="H250" s="59" t="s">
        <v>13</v>
      </c>
      <c r="I250" s="59" t="s">
        <v>14</v>
      </c>
      <c r="J250" s="59" t="s">
        <v>15</v>
      </c>
      <c r="K250" s="59" t="s">
        <v>16</v>
      </c>
      <c r="L250" s="59" t="s">
        <v>17</v>
      </c>
      <c r="M250" s="59" t="s">
        <v>18</v>
      </c>
      <c r="N250" s="59" t="s">
        <v>19</v>
      </c>
      <c r="O250" s="59" t="s">
        <v>7</v>
      </c>
    </row>
    <row r="251" spans="1:15" x14ac:dyDescent="0.25">
      <c r="A251" s="56" t="str">
        <f>B243</f>
        <v>Dysprosium oxide (Dy2O3) production in Australia/Mt. Weld - Malaysia</v>
      </c>
      <c r="B251" s="56" t="str">
        <f>B244</f>
        <v>Dy2O3</v>
      </c>
      <c r="C251" s="56" t="str">
        <f>B245</f>
        <v>AU-MY</v>
      </c>
      <c r="D251" s="64">
        <v>1</v>
      </c>
      <c r="E251" s="56" t="str">
        <f>B247</f>
        <v>kilogram</v>
      </c>
      <c r="F251" s="57" t="str">
        <f>F240</f>
        <v>Rare Earths</v>
      </c>
      <c r="G251" s="56" t="s">
        <v>20</v>
      </c>
    </row>
    <row r="252" spans="1:15" x14ac:dyDescent="0.25">
      <c r="A252" s="56" t="str">
        <f>A191</f>
        <v>Monazite ore mining in Australia/Mt. Weld and REO production in Malaysia</v>
      </c>
      <c r="B252" s="56" t="str">
        <f t="shared" ref="B252:F252" si="11">B191</f>
        <v>REO</v>
      </c>
      <c r="C252" s="56" t="str">
        <f t="shared" si="11"/>
        <v>AU-MY</v>
      </c>
      <c r="D252" s="56">
        <v>12.048935864063303</v>
      </c>
      <c r="E252" s="56" t="str">
        <f t="shared" si="11"/>
        <v>kilogram</v>
      </c>
      <c r="F252" s="57" t="str">
        <f t="shared" si="11"/>
        <v>Rare Earths</v>
      </c>
      <c r="G252" s="56" t="s">
        <v>25</v>
      </c>
    </row>
    <row r="253" spans="1:15" s="58" customFormat="1" x14ac:dyDescent="0.25"/>
    <row r="254" spans="1:15" x14ac:dyDescent="0.25">
      <c r="A254" s="59" t="s">
        <v>0</v>
      </c>
      <c r="B254" s="59" t="s">
        <v>528</v>
      </c>
    </row>
    <row r="255" spans="1:15" x14ac:dyDescent="0.25">
      <c r="A255" s="60" t="s">
        <v>1</v>
      </c>
      <c r="B255" s="56" t="s">
        <v>425</v>
      </c>
    </row>
    <row r="256" spans="1:15" x14ac:dyDescent="0.25">
      <c r="A256" s="60" t="s">
        <v>2</v>
      </c>
      <c r="B256" s="56" t="s">
        <v>522</v>
      </c>
    </row>
    <row r="257" spans="1:15" x14ac:dyDescent="0.25">
      <c r="A257" s="60" t="s">
        <v>4</v>
      </c>
      <c r="B257" s="56">
        <v>1</v>
      </c>
    </row>
    <row r="258" spans="1:15" x14ac:dyDescent="0.25">
      <c r="A258" s="60" t="s">
        <v>5</v>
      </c>
      <c r="B258" s="56" t="s">
        <v>6</v>
      </c>
    </row>
    <row r="259" spans="1:15" x14ac:dyDescent="0.25">
      <c r="A259" s="60" t="s">
        <v>7</v>
      </c>
      <c r="B259" s="56" t="s">
        <v>426</v>
      </c>
    </row>
    <row r="260" spans="1:15" x14ac:dyDescent="0.25">
      <c r="A260" s="60" t="s">
        <v>9</v>
      </c>
    </row>
    <row r="261" spans="1:15" x14ac:dyDescent="0.25">
      <c r="A261" s="59" t="s">
        <v>10</v>
      </c>
      <c r="B261" s="59" t="s">
        <v>1</v>
      </c>
      <c r="C261" s="59" t="s">
        <v>2</v>
      </c>
      <c r="D261" s="59" t="s">
        <v>4</v>
      </c>
      <c r="E261" s="59" t="s">
        <v>5</v>
      </c>
      <c r="F261" s="59" t="s">
        <v>11</v>
      </c>
      <c r="G261" s="59" t="s">
        <v>12</v>
      </c>
      <c r="H261" s="59" t="s">
        <v>13</v>
      </c>
      <c r="I261" s="59" t="s">
        <v>14</v>
      </c>
      <c r="J261" s="59" t="s">
        <v>15</v>
      </c>
      <c r="K261" s="59" t="s">
        <v>16</v>
      </c>
      <c r="L261" s="59" t="s">
        <v>17</v>
      </c>
      <c r="M261" s="59" t="s">
        <v>18</v>
      </c>
      <c r="N261" s="59" t="s">
        <v>19</v>
      </c>
      <c r="O261" s="59" t="s">
        <v>7</v>
      </c>
    </row>
    <row r="262" spans="1:15" x14ac:dyDescent="0.25">
      <c r="A262" s="56" t="str">
        <f>B254</f>
        <v>Dysprosium oxide (Dy2O3) production in Australia/Mt. Weld - Malaysia (Dy content)</v>
      </c>
      <c r="B262" s="56" t="str">
        <f>B255</f>
        <v>Dy2O3 (Dy content)</v>
      </c>
      <c r="C262" s="56" t="str">
        <f>B256</f>
        <v>AU-MY</v>
      </c>
      <c r="D262" s="64">
        <v>1</v>
      </c>
      <c r="E262" s="56" t="str">
        <f>B258</f>
        <v>kilogram</v>
      </c>
      <c r="F262" s="57" t="str">
        <f>F251</f>
        <v>Rare Earths</v>
      </c>
      <c r="G262" s="56" t="s">
        <v>20</v>
      </c>
    </row>
    <row r="263" spans="1:15" x14ac:dyDescent="0.25">
      <c r="A263" s="56" t="str">
        <f>A251</f>
        <v>Dysprosium oxide (Dy2O3) production in Australia/Mt. Weld - Malaysia</v>
      </c>
      <c r="B263" s="56" t="str">
        <f t="shared" ref="B263:F263" si="12">B251</f>
        <v>Dy2O3</v>
      </c>
      <c r="C263" s="56" t="str">
        <f t="shared" si="12"/>
        <v>AU-MY</v>
      </c>
      <c r="D263" s="56">
        <v>1.1477103179157582</v>
      </c>
      <c r="E263" s="56" t="str">
        <f t="shared" si="12"/>
        <v>kilogram</v>
      </c>
      <c r="F263" s="57" t="str">
        <f t="shared" si="12"/>
        <v>Rare Earths</v>
      </c>
      <c r="G263" s="56" t="s">
        <v>25</v>
      </c>
    </row>
    <row r="264" spans="1:15" s="58" customFormat="1" x14ac:dyDescent="0.25"/>
    <row r="265" spans="1:15" x14ac:dyDescent="0.25">
      <c r="A265" s="59" t="s">
        <v>0</v>
      </c>
      <c r="B265" s="59" t="s">
        <v>529</v>
      </c>
    </row>
    <row r="266" spans="1:15" x14ac:dyDescent="0.25">
      <c r="A266" s="60" t="s">
        <v>1</v>
      </c>
      <c r="B266" s="56" t="s">
        <v>256</v>
      </c>
    </row>
    <row r="267" spans="1:15" x14ac:dyDescent="0.25">
      <c r="A267" s="60" t="s">
        <v>2</v>
      </c>
      <c r="B267" s="56" t="s">
        <v>522</v>
      </c>
    </row>
    <row r="268" spans="1:15" x14ac:dyDescent="0.25">
      <c r="A268" s="60" t="s">
        <v>4</v>
      </c>
      <c r="B268" s="56">
        <v>1</v>
      </c>
    </row>
    <row r="269" spans="1:15" x14ac:dyDescent="0.25">
      <c r="A269" s="60" t="s">
        <v>5</v>
      </c>
      <c r="B269" s="56" t="s">
        <v>6</v>
      </c>
    </row>
    <row r="270" spans="1:15" ht="30" x14ac:dyDescent="0.25">
      <c r="A270" s="60" t="s">
        <v>7</v>
      </c>
      <c r="B270" s="67" t="s">
        <v>246</v>
      </c>
    </row>
    <row r="271" spans="1:15" x14ac:dyDescent="0.25">
      <c r="A271" s="60" t="s">
        <v>9</v>
      </c>
    </row>
    <row r="272" spans="1:15" x14ac:dyDescent="0.25">
      <c r="A272" s="59" t="s">
        <v>10</v>
      </c>
      <c r="B272" s="59" t="s">
        <v>1</v>
      </c>
      <c r="C272" s="59" t="s">
        <v>2</v>
      </c>
      <c r="D272" s="59" t="s">
        <v>4</v>
      </c>
      <c r="E272" s="59" t="s">
        <v>5</v>
      </c>
      <c r="F272" s="59" t="s">
        <v>11</v>
      </c>
      <c r="G272" s="59" t="s">
        <v>12</v>
      </c>
      <c r="H272" s="59" t="s">
        <v>13</v>
      </c>
      <c r="I272" s="59" t="s">
        <v>14</v>
      </c>
      <c r="J272" s="59" t="s">
        <v>15</v>
      </c>
      <c r="K272" s="59" t="s">
        <v>16</v>
      </c>
      <c r="L272" s="59" t="s">
        <v>17</v>
      </c>
      <c r="M272" s="59" t="s">
        <v>18</v>
      </c>
      <c r="N272" s="59" t="s">
        <v>19</v>
      </c>
      <c r="O272" s="59" t="s">
        <v>7</v>
      </c>
    </row>
    <row r="273" spans="1:15" x14ac:dyDescent="0.25">
      <c r="A273" s="56" t="str">
        <f>B265</f>
        <v>Europium oxide (Eu2O3) production in Australia/Mt. Weld - Malaysia</v>
      </c>
      <c r="B273" s="56" t="str">
        <f>B266</f>
        <v>Eu2O3</v>
      </c>
      <c r="C273" s="56" t="str">
        <f>B267</f>
        <v>AU-MY</v>
      </c>
      <c r="D273" s="64">
        <v>1</v>
      </c>
      <c r="E273" s="56" t="str">
        <f>B269</f>
        <v>kilogram</v>
      </c>
      <c r="F273" s="57" t="str">
        <f>F262</f>
        <v>Rare Earths</v>
      </c>
      <c r="G273" s="56" t="s">
        <v>20</v>
      </c>
    </row>
    <row r="274" spans="1:15" x14ac:dyDescent="0.25">
      <c r="A274" s="56" t="str">
        <f>A191</f>
        <v>Monazite ore mining in Australia/Mt. Weld and REO production in Malaysia</v>
      </c>
      <c r="B274" s="56" t="str">
        <f>B191</f>
        <v>REO</v>
      </c>
      <c r="C274" s="56" t="str">
        <f>C191</f>
        <v>AU-MY</v>
      </c>
      <c r="D274" s="56">
        <v>9.7984169786780537</v>
      </c>
      <c r="E274" s="56" t="str">
        <f>E191</f>
        <v>kilogram</v>
      </c>
      <c r="F274" s="57" t="str">
        <f>F191</f>
        <v>Rare Earths</v>
      </c>
      <c r="G274" s="56" t="s">
        <v>25</v>
      </c>
    </row>
    <row r="275" spans="1:15" s="58" customFormat="1" x14ac:dyDescent="0.25"/>
    <row r="276" spans="1:15" x14ac:dyDescent="0.25">
      <c r="A276" s="59" t="s">
        <v>0</v>
      </c>
      <c r="B276" s="59" t="s">
        <v>530</v>
      </c>
    </row>
    <row r="277" spans="1:15" x14ac:dyDescent="0.25">
      <c r="A277" s="60" t="s">
        <v>1</v>
      </c>
      <c r="B277" s="56" t="s">
        <v>258</v>
      </c>
    </row>
    <row r="278" spans="1:15" x14ac:dyDescent="0.25">
      <c r="A278" s="60" t="s">
        <v>2</v>
      </c>
      <c r="B278" s="56" t="s">
        <v>522</v>
      </c>
    </row>
    <row r="279" spans="1:15" x14ac:dyDescent="0.25">
      <c r="A279" s="60" t="s">
        <v>4</v>
      </c>
      <c r="B279" s="56">
        <v>1</v>
      </c>
    </row>
    <row r="280" spans="1:15" x14ac:dyDescent="0.25">
      <c r="A280" s="60" t="s">
        <v>5</v>
      </c>
      <c r="B280" s="56" t="s">
        <v>6</v>
      </c>
    </row>
    <row r="281" spans="1:15" x14ac:dyDescent="0.25">
      <c r="A281" s="60" t="s">
        <v>7</v>
      </c>
      <c r="B281" s="56" t="s">
        <v>263</v>
      </c>
    </row>
    <row r="282" spans="1:15" x14ac:dyDescent="0.25">
      <c r="A282" s="60" t="s">
        <v>9</v>
      </c>
    </row>
    <row r="283" spans="1:15" x14ac:dyDescent="0.25">
      <c r="A283" s="59" t="s">
        <v>10</v>
      </c>
      <c r="B283" s="59" t="s">
        <v>1</v>
      </c>
      <c r="C283" s="59" t="s">
        <v>2</v>
      </c>
      <c r="D283" s="59" t="s">
        <v>4</v>
      </c>
      <c r="E283" s="59" t="s">
        <v>5</v>
      </c>
      <c r="F283" s="59" t="s">
        <v>11</v>
      </c>
      <c r="G283" s="59" t="s">
        <v>12</v>
      </c>
      <c r="H283" s="59" t="s">
        <v>13</v>
      </c>
      <c r="I283" s="59" t="s">
        <v>14</v>
      </c>
      <c r="J283" s="59" t="s">
        <v>15</v>
      </c>
      <c r="K283" s="59" t="s">
        <v>16</v>
      </c>
      <c r="L283" s="59" t="s">
        <v>17</v>
      </c>
      <c r="M283" s="59" t="s">
        <v>18</v>
      </c>
      <c r="N283" s="59" t="s">
        <v>19</v>
      </c>
      <c r="O283" s="59" t="s">
        <v>7</v>
      </c>
    </row>
    <row r="284" spans="1:15" x14ac:dyDescent="0.25">
      <c r="A284" s="56" t="str">
        <f>B276</f>
        <v>Europium oxide (Eu2O3) production in Australia/Mt. Weld - Malaysia (Eu content)</v>
      </c>
      <c r="B284" s="56" t="str">
        <f>B277</f>
        <v>Eu2O3 (Eu content)</v>
      </c>
      <c r="C284" s="56" t="str">
        <f>B278</f>
        <v>AU-MY</v>
      </c>
      <c r="D284" s="64">
        <v>1</v>
      </c>
      <c r="E284" s="56" t="str">
        <f>B280</f>
        <v>kilogram</v>
      </c>
      <c r="F284" s="57" t="str">
        <f>F273</f>
        <v>Rare Earths</v>
      </c>
      <c r="G284" s="56" t="s">
        <v>20</v>
      </c>
    </row>
    <row r="285" spans="1:15" x14ac:dyDescent="0.25">
      <c r="A285" s="56" t="str">
        <f>A273</f>
        <v>Europium oxide (Eu2O3) production in Australia/Mt. Weld - Malaysia</v>
      </c>
      <c r="B285" s="56" t="str">
        <f t="shared" ref="B285:F285" si="13">B273</f>
        <v>Eu2O3</v>
      </c>
      <c r="C285" s="56" t="str">
        <f t="shared" si="13"/>
        <v>AU-MY</v>
      </c>
      <c r="D285" s="56">
        <v>1.1579434923575729</v>
      </c>
      <c r="E285" s="56" t="str">
        <f t="shared" si="13"/>
        <v>kilogram</v>
      </c>
      <c r="F285" s="57" t="str">
        <f t="shared" si="13"/>
        <v>Rare Earths</v>
      </c>
      <c r="G285" s="56" t="s">
        <v>25</v>
      </c>
    </row>
    <row r="286" spans="1:15" s="58" customFormat="1" x14ac:dyDescent="0.25"/>
    <row r="287" spans="1:15" x14ac:dyDescent="0.25">
      <c r="A287" s="59" t="s">
        <v>0</v>
      </c>
      <c r="B287" s="59" t="s">
        <v>531</v>
      </c>
    </row>
    <row r="288" spans="1:15" x14ac:dyDescent="0.25">
      <c r="A288" s="60" t="s">
        <v>1</v>
      </c>
      <c r="B288" s="56" t="s">
        <v>260</v>
      </c>
    </row>
    <row r="289" spans="1:15" x14ac:dyDescent="0.25">
      <c r="A289" s="60" t="s">
        <v>2</v>
      </c>
      <c r="B289" s="56" t="s">
        <v>522</v>
      </c>
    </row>
    <row r="290" spans="1:15" x14ac:dyDescent="0.25">
      <c r="A290" s="60" t="s">
        <v>4</v>
      </c>
      <c r="B290" s="56">
        <v>1</v>
      </c>
    </row>
    <row r="291" spans="1:15" x14ac:dyDescent="0.25">
      <c r="A291" s="60" t="s">
        <v>5</v>
      </c>
      <c r="B291" s="56" t="s">
        <v>6</v>
      </c>
    </row>
    <row r="292" spans="1:15" ht="30" x14ac:dyDescent="0.25">
      <c r="A292" s="60" t="s">
        <v>7</v>
      </c>
      <c r="B292" s="67" t="s">
        <v>246</v>
      </c>
    </row>
    <row r="293" spans="1:15" x14ac:dyDescent="0.25">
      <c r="A293" s="60" t="s">
        <v>9</v>
      </c>
    </row>
    <row r="294" spans="1:15" x14ac:dyDescent="0.25">
      <c r="A294" s="59" t="s">
        <v>10</v>
      </c>
      <c r="B294" s="59" t="s">
        <v>1</v>
      </c>
      <c r="C294" s="59" t="s">
        <v>2</v>
      </c>
      <c r="D294" s="59" t="s">
        <v>4</v>
      </c>
      <c r="E294" s="59" t="s">
        <v>5</v>
      </c>
      <c r="F294" s="59" t="s">
        <v>11</v>
      </c>
      <c r="G294" s="59" t="s">
        <v>12</v>
      </c>
      <c r="H294" s="59" t="s">
        <v>13</v>
      </c>
      <c r="I294" s="59" t="s">
        <v>14</v>
      </c>
      <c r="J294" s="59" t="s">
        <v>15</v>
      </c>
      <c r="K294" s="59" t="s">
        <v>16</v>
      </c>
      <c r="L294" s="59" t="s">
        <v>17</v>
      </c>
      <c r="M294" s="59" t="s">
        <v>18</v>
      </c>
      <c r="N294" s="59" t="s">
        <v>19</v>
      </c>
      <c r="O294" s="59" t="s">
        <v>7</v>
      </c>
    </row>
    <row r="295" spans="1:15" x14ac:dyDescent="0.25">
      <c r="A295" s="56" t="str">
        <f>B287</f>
        <v>Gadolinium oxide (Gd2O3) production in Australia/Mt. Weld - Malaysia</v>
      </c>
      <c r="B295" s="56" t="str">
        <f>B288</f>
        <v>Gd2O3</v>
      </c>
      <c r="C295" s="56" t="str">
        <f>B289</f>
        <v>AU-MY</v>
      </c>
      <c r="D295" s="64">
        <v>1</v>
      </c>
      <c r="E295" s="56" t="str">
        <f>B291</f>
        <v>kilogram</v>
      </c>
      <c r="F295" s="57" t="str">
        <f>F284</f>
        <v>Rare Earths</v>
      </c>
      <c r="G295" s="56" t="s">
        <v>20</v>
      </c>
    </row>
    <row r="296" spans="1:15" x14ac:dyDescent="0.25">
      <c r="A296" s="56" t="str">
        <f>A191</f>
        <v>Monazite ore mining in Australia/Mt. Weld and REO production in Malaysia</v>
      </c>
      <c r="B296" s="56" t="str">
        <f>B191</f>
        <v>REO</v>
      </c>
      <c r="C296" s="56" t="str">
        <f>C191</f>
        <v>AU-MY</v>
      </c>
      <c r="D296" s="56">
        <v>5.8940040853517596E-2</v>
      </c>
      <c r="E296" s="56" t="str">
        <f>E191</f>
        <v>kilogram</v>
      </c>
      <c r="F296" s="57" t="str">
        <f>F191</f>
        <v>Rare Earths</v>
      </c>
      <c r="G296" s="56" t="s">
        <v>25</v>
      </c>
    </row>
    <row r="297" spans="1:15" s="58" customFormat="1" x14ac:dyDescent="0.25"/>
    <row r="298" spans="1:15" x14ac:dyDescent="0.25">
      <c r="A298" s="59" t="s">
        <v>0</v>
      </c>
      <c r="B298" s="59" t="s">
        <v>532</v>
      </c>
    </row>
    <row r="299" spans="1:15" x14ac:dyDescent="0.25">
      <c r="A299" s="60" t="s">
        <v>1</v>
      </c>
      <c r="B299" s="56" t="s">
        <v>262</v>
      </c>
    </row>
    <row r="300" spans="1:15" x14ac:dyDescent="0.25">
      <c r="A300" s="60" t="s">
        <v>2</v>
      </c>
      <c r="B300" s="56" t="s">
        <v>522</v>
      </c>
    </row>
    <row r="301" spans="1:15" x14ac:dyDescent="0.25">
      <c r="A301" s="60" t="s">
        <v>4</v>
      </c>
      <c r="B301" s="56">
        <v>1</v>
      </c>
    </row>
    <row r="302" spans="1:15" x14ac:dyDescent="0.25">
      <c r="A302" s="60" t="s">
        <v>5</v>
      </c>
      <c r="B302" s="56" t="s">
        <v>6</v>
      </c>
    </row>
    <row r="303" spans="1:15" x14ac:dyDescent="0.25">
      <c r="A303" s="60" t="s">
        <v>7</v>
      </c>
      <c r="B303" s="56" t="s">
        <v>264</v>
      </c>
    </row>
    <row r="304" spans="1:15" x14ac:dyDescent="0.25">
      <c r="A304" s="60" t="s">
        <v>9</v>
      </c>
    </row>
    <row r="305" spans="1:15" x14ac:dyDescent="0.25">
      <c r="A305" s="59" t="s">
        <v>10</v>
      </c>
      <c r="B305" s="59" t="s">
        <v>1</v>
      </c>
      <c r="C305" s="59" t="s">
        <v>2</v>
      </c>
      <c r="D305" s="59" t="s">
        <v>4</v>
      </c>
      <c r="E305" s="59" t="s">
        <v>5</v>
      </c>
      <c r="F305" s="59" t="s">
        <v>11</v>
      </c>
      <c r="G305" s="59" t="s">
        <v>12</v>
      </c>
      <c r="H305" s="59" t="s">
        <v>13</v>
      </c>
      <c r="I305" s="59" t="s">
        <v>14</v>
      </c>
      <c r="J305" s="59" t="s">
        <v>15</v>
      </c>
      <c r="K305" s="59" t="s">
        <v>16</v>
      </c>
      <c r="L305" s="59" t="s">
        <v>17</v>
      </c>
      <c r="M305" s="59" t="s">
        <v>18</v>
      </c>
      <c r="N305" s="59" t="s">
        <v>19</v>
      </c>
      <c r="O305" s="59" t="s">
        <v>7</v>
      </c>
    </row>
    <row r="306" spans="1:15" x14ac:dyDescent="0.25">
      <c r="A306" s="56" t="str">
        <f>B298</f>
        <v>Gadolinium oxide (Gd2O3) production in Australia/Mt. Weld - Malaysia (Gd content)</v>
      </c>
      <c r="B306" s="56" t="str">
        <f>B299</f>
        <v>Gd2O3 (Gd content)</v>
      </c>
      <c r="C306" s="56" t="str">
        <f>B300</f>
        <v>AU-MY</v>
      </c>
      <c r="D306" s="64">
        <v>1</v>
      </c>
      <c r="E306" s="56" t="str">
        <f>B302</f>
        <v>kilogram</v>
      </c>
      <c r="F306" s="57" t="str">
        <f>F295</f>
        <v>Rare Earths</v>
      </c>
      <c r="G306" s="56" t="s">
        <v>20</v>
      </c>
    </row>
    <row r="307" spans="1:15" x14ac:dyDescent="0.25">
      <c r="A307" s="56" t="str">
        <f>A295</f>
        <v>Gadolinium oxide (Gd2O3) production in Australia/Mt. Weld - Malaysia</v>
      </c>
      <c r="B307" s="56" t="str">
        <f t="shared" ref="B307:F307" si="14">B295</f>
        <v>Gd2O3</v>
      </c>
      <c r="C307" s="56" t="str">
        <f t="shared" si="14"/>
        <v>AU-MY</v>
      </c>
      <c r="D307" s="56">
        <v>1.152604887044721</v>
      </c>
      <c r="E307" s="56" t="str">
        <f t="shared" si="14"/>
        <v>kilogram</v>
      </c>
      <c r="F307" s="57" t="str">
        <f t="shared" si="14"/>
        <v>Rare Earths</v>
      </c>
      <c r="G307" s="56" t="s">
        <v>25</v>
      </c>
    </row>
    <row r="308" spans="1:15" s="58" customFormat="1" x14ac:dyDescent="0.25"/>
    <row r="309" spans="1:15" x14ac:dyDescent="0.25">
      <c r="A309" s="59" t="s">
        <v>0</v>
      </c>
      <c r="B309" s="59" t="s">
        <v>533</v>
      </c>
    </row>
    <row r="310" spans="1:15" x14ac:dyDescent="0.25">
      <c r="A310" s="60" t="s">
        <v>1</v>
      </c>
      <c r="B310" s="56" t="s">
        <v>266</v>
      </c>
    </row>
    <row r="311" spans="1:15" x14ac:dyDescent="0.25">
      <c r="A311" s="60" t="s">
        <v>2</v>
      </c>
      <c r="B311" s="56" t="s">
        <v>522</v>
      </c>
    </row>
    <row r="312" spans="1:15" x14ac:dyDescent="0.25">
      <c r="A312" s="60" t="s">
        <v>4</v>
      </c>
      <c r="B312" s="56">
        <v>1</v>
      </c>
    </row>
    <row r="313" spans="1:15" x14ac:dyDescent="0.25">
      <c r="A313" s="60" t="s">
        <v>5</v>
      </c>
      <c r="B313" s="56" t="s">
        <v>6</v>
      </c>
    </row>
    <row r="314" spans="1:15" ht="30" x14ac:dyDescent="0.25">
      <c r="A314" s="60" t="s">
        <v>7</v>
      </c>
      <c r="B314" s="67" t="s">
        <v>246</v>
      </c>
    </row>
    <row r="315" spans="1:15" x14ac:dyDescent="0.25">
      <c r="A315" s="60" t="s">
        <v>9</v>
      </c>
    </row>
    <row r="316" spans="1:15" x14ac:dyDescent="0.25">
      <c r="A316" s="59" t="s">
        <v>10</v>
      </c>
      <c r="B316" s="59" t="s">
        <v>1</v>
      </c>
      <c r="C316" s="59" t="s">
        <v>2</v>
      </c>
      <c r="D316" s="59" t="s">
        <v>4</v>
      </c>
      <c r="E316" s="59" t="s">
        <v>5</v>
      </c>
      <c r="F316" s="59" t="s">
        <v>11</v>
      </c>
      <c r="G316" s="59" t="s">
        <v>12</v>
      </c>
      <c r="H316" s="59" t="s">
        <v>13</v>
      </c>
      <c r="I316" s="59" t="s">
        <v>14</v>
      </c>
      <c r="J316" s="59" t="s">
        <v>15</v>
      </c>
      <c r="K316" s="59" t="s">
        <v>16</v>
      </c>
      <c r="L316" s="59" t="s">
        <v>17</v>
      </c>
      <c r="M316" s="59" t="s">
        <v>18</v>
      </c>
      <c r="N316" s="59" t="s">
        <v>19</v>
      </c>
      <c r="O316" s="59" t="s">
        <v>7</v>
      </c>
    </row>
    <row r="317" spans="1:15" x14ac:dyDescent="0.25">
      <c r="A317" s="56" t="str">
        <f>B309</f>
        <v>Lanthanum oxide (La2O3) production in Australia/Mt. Weld - Malaysia</v>
      </c>
      <c r="B317" s="56" t="str">
        <f>B310</f>
        <v>La2O3</v>
      </c>
      <c r="C317" s="56" t="str">
        <f>B311</f>
        <v>AU-MY</v>
      </c>
      <c r="D317" s="64">
        <v>1</v>
      </c>
      <c r="E317" s="56" t="str">
        <f>B313</f>
        <v>kilogram</v>
      </c>
      <c r="F317" s="57" t="str">
        <f>F306</f>
        <v>Rare Earths</v>
      </c>
      <c r="G317" s="56" t="s">
        <v>20</v>
      </c>
    </row>
    <row r="318" spans="1:15" x14ac:dyDescent="0.25">
      <c r="A318" s="56" t="str">
        <f>A191</f>
        <v>Monazite ore mining in Australia/Mt. Weld and REO production in Malaysia</v>
      </c>
      <c r="B318" s="56" t="str">
        <f>B191</f>
        <v>REO</v>
      </c>
      <c r="C318" s="56" t="str">
        <f>C191</f>
        <v>AU-MY</v>
      </c>
      <c r="D318" s="56">
        <v>0.11994736838651496</v>
      </c>
      <c r="E318" s="56" t="str">
        <f>E191</f>
        <v>kilogram</v>
      </c>
      <c r="F318" s="57" t="str">
        <f>F191</f>
        <v>Rare Earths</v>
      </c>
      <c r="G318" s="56" t="s">
        <v>25</v>
      </c>
    </row>
    <row r="319" spans="1:15" s="58" customFormat="1" x14ac:dyDescent="0.25"/>
    <row r="320" spans="1:15" x14ac:dyDescent="0.25">
      <c r="A320" s="59" t="s">
        <v>0</v>
      </c>
      <c r="B320" s="59" t="s">
        <v>534</v>
      </c>
    </row>
    <row r="321" spans="1:15" x14ac:dyDescent="0.25">
      <c r="A321" s="60" t="s">
        <v>1</v>
      </c>
      <c r="B321" s="56" t="s">
        <v>268</v>
      </c>
    </row>
    <row r="322" spans="1:15" x14ac:dyDescent="0.25">
      <c r="A322" s="60" t="s">
        <v>2</v>
      </c>
      <c r="B322" s="56" t="s">
        <v>522</v>
      </c>
    </row>
    <row r="323" spans="1:15" x14ac:dyDescent="0.25">
      <c r="A323" s="60" t="s">
        <v>4</v>
      </c>
      <c r="B323" s="56">
        <v>1</v>
      </c>
    </row>
    <row r="324" spans="1:15" x14ac:dyDescent="0.25">
      <c r="A324" s="60" t="s">
        <v>5</v>
      </c>
      <c r="B324" s="56" t="s">
        <v>6</v>
      </c>
    </row>
    <row r="325" spans="1:15" x14ac:dyDescent="0.25">
      <c r="A325" s="60" t="s">
        <v>7</v>
      </c>
      <c r="B325" s="56" t="s">
        <v>269</v>
      </c>
    </row>
    <row r="326" spans="1:15" x14ac:dyDescent="0.25">
      <c r="A326" s="60" t="s">
        <v>9</v>
      </c>
    </row>
    <row r="327" spans="1:15" x14ac:dyDescent="0.25">
      <c r="A327" s="59" t="s">
        <v>10</v>
      </c>
      <c r="B327" s="59" t="s">
        <v>1</v>
      </c>
      <c r="C327" s="59" t="s">
        <v>2</v>
      </c>
      <c r="D327" s="59" t="s">
        <v>4</v>
      </c>
      <c r="E327" s="59" t="s">
        <v>5</v>
      </c>
      <c r="F327" s="59" t="s">
        <v>11</v>
      </c>
      <c r="G327" s="59" t="s">
        <v>12</v>
      </c>
      <c r="H327" s="59" t="s">
        <v>13</v>
      </c>
      <c r="I327" s="59" t="s">
        <v>14</v>
      </c>
      <c r="J327" s="59" t="s">
        <v>15</v>
      </c>
      <c r="K327" s="59" t="s">
        <v>16</v>
      </c>
      <c r="L327" s="59" t="s">
        <v>17</v>
      </c>
      <c r="M327" s="59" t="s">
        <v>18</v>
      </c>
      <c r="N327" s="59" t="s">
        <v>19</v>
      </c>
      <c r="O327" s="59" t="s">
        <v>7</v>
      </c>
    </row>
    <row r="328" spans="1:15" x14ac:dyDescent="0.25">
      <c r="A328" s="56" t="str">
        <f>B320</f>
        <v>Lanthanum oxide (La2O3) production in Australia/Mt. Weld - Malaysia (La content)</v>
      </c>
      <c r="B328" s="56" t="str">
        <f>B321</f>
        <v>La2O3 (La content)</v>
      </c>
      <c r="C328" s="56" t="str">
        <f>B322</f>
        <v>AU-MY</v>
      </c>
      <c r="D328" s="64">
        <v>1</v>
      </c>
      <c r="E328" s="56" t="str">
        <f>B324</f>
        <v>kilogram</v>
      </c>
      <c r="F328" s="57" t="str">
        <f>F317</f>
        <v>Rare Earths</v>
      </c>
      <c r="G328" s="56" t="s">
        <v>20</v>
      </c>
    </row>
    <row r="329" spans="1:15" x14ac:dyDescent="0.25">
      <c r="A329" s="56" t="str">
        <f>A317</f>
        <v>Lanthanum oxide (La2O3) production in Australia/Mt. Weld - Malaysia</v>
      </c>
      <c r="B329" s="56" t="str">
        <f t="shared" ref="B329:F329" si="15">B317</f>
        <v>La2O3</v>
      </c>
      <c r="C329" s="56" t="str">
        <f t="shared" si="15"/>
        <v>AU-MY</v>
      </c>
      <c r="D329" s="56">
        <v>1.1727453969743169</v>
      </c>
      <c r="E329" s="56" t="str">
        <f t="shared" si="15"/>
        <v>kilogram</v>
      </c>
      <c r="F329" s="57" t="str">
        <f t="shared" si="15"/>
        <v>Rare Earths</v>
      </c>
      <c r="G329" s="56" t="s">
        <v>25</v>
      </c>
    </row>
    <row r="330" spans="1:15" s="58" customFormat="1" x14ac:dyDescent="0.25"/>
    <row r="331" spans="1:15" x14ac:dyDescent="0.25">
      <c r="A331" s="59" t="s">
        <v>0</v>
      </c>
      <c r="B331" s="59" t="s">
        <v>535</v>
      </c>
    </row>
    <row r="332" spans="1:15" x14ac:dyDescent="0.25">
      <c r="A332" s="60" t="s">
        <v>1</v>
      </c>
      <c r="B332" s="56" t="s">
        <v>276</v>
      </c>
    </row>
    <row r="333" spans="1:15" x14ac:dyDescent="0.25">
      <c r="A333" s="60" t="s">
        <v>2</v>
      </c>
      <c r="B333" s="56" t="s">
        <v>522</v>
      </c>
    </row>
    <row r="334" spans="1:15" x14ac:dyDescent="0.25">
      <c r="A334" s="60" t="s">
        <v>4</v>
      </c>
      <c r="B334" s="56">
        <v>1</v>
      </c>
    </row>
    <row r="335" spans="1:15" x14ac:dyDescent="0.25">
      <c r="A335" s="60" t="s">
        <v>5</v>
      </c>
      <c r="B335" s="56" t="s">
        <v>6</v>
      </c>
    </row>
    <row r="336" spans="1:15" ht="30" x14ac:dyDescent="0.25">
      <c r="A336" s="60" t="s">
        <v>7</v>
      </c>
      <c r="B336" s="67" t="s">
        <v>246</v>
      </c>
    </row>
    <row r="337" spans="1:15" x14ac:dyDescent="0.25">
      <c r="A337" s="60" t="s">
        <v>9</v>
      </c>
    </row>
    <row r="338" spans="1:15" x14ac:dyDescent="0.25">
      <c r="A338" s="59" t="s">
        <v>10</v>
      </c>
      <c r="B338" s="59" t="s">
        <v>1</v>
      </c>
      <c r="C338" s="59" t="s">
        <v>2</v>
      </c>
      <c r="D338" s="59" t="s">
        <v>4</v>
      </c>
      <c r="E338" s="59" t="s">
        <v>5</v>
      </c>
      <c r="F338" s="59" t="s">
        <v>11</v>
      </c>
      <c r="G338" s="59" t="s">
        <v>12</v>
      </c>
      <c r="H338" s="59" t="s">
        <v>13</v>
      </c>
      <c r="I338" s="59" t="s">
        <v>14</v>
      </c>
      <c r="J338" s="59" t="s">
        <v>15</v>
      </c>
      <c r="K338" s="59" t="s">
        <v>16</v>
      </c>
      <c r="L338" s="59" t="s">
        <v>17</v>
      </c>
      <c r="M338" s="59" t="s">
        <v>18</v>
      </c>
      <c r="N338" s="59" t="s">
        <v>19</v>
      </c>
      <c r="O338" s="59" t="s">
        <v>7</v>
      </c>
    </row>
    <row r="339" spans="1:15" x14ac:dyDescent="0.25">
      <c r="A339" s="56" t="str">
        <f>B331</f>
        <v>Praseodymium oxide (Pr6O11) production in Australia/Mt. Weld - Malaysia</v>
      </c>
      <c r="B339" s="56" t="str">
        <f>B332</f>
        <v>Pr6O11</v>
      </c>
      <c r="C339" s="56" t="str">
        <f>B333</f>
        <v>AU-MY</v>
      </c>
      <c r="D339" s="64">
        <v>1</v>
      </c>
      <c r="E339" s="56" t="str">
        <f>B335</f>
        <v>kilogram</v>
      </c>
      <c r="F339" s="57" t="str">
        <f>F328</f>
        <v>Rare Earths</v>
      </c>
      <c r="G339" s="56" t="s">
        <v>20</v>
      </c>
    </row>
    <row r="340" spans="1:15" x14ac:dyDescent="0.25">
      <c r="A340" s="56" t="str">
        <f>A191</f>
        <v>Monazite ore mining in Australia/Mt. Weld and REO production in Malaysia</v>
      </c>
      <c r="B340" s="56" t="str">
        <f>B191</f>
        <v>REO</v>
      </c>
      <c r="C340" s="56" t="str">
        <f>C191</f>
        <v>AU-MY</v>
      </c>
      <c r="D340" s="56">
        <v>3.5023998331207684</v>
      </c>
      <c r="E340" s="56" t="str">
        <f>E191</f>
        <v>kilogram</v>
      </c>
      <c r="F340" s="57" t="str">
        <f>F191</f>
        <v>Rare Earths</v>
      </c>
      <c r="G340" s="56" t="s">
        <v>25</v>
      </c>
    </row>
    <row r="341" spans="1:15" s="58" customFormat="1" x14ac:dyDescent="0.25"/>
    <row r="342" spans="1:15" x14ac:dyDescent="0.25">
      <c r="A342" s="59" t="s">
        <v>0</v>
      </c>
      <c r="B342" s="59" t="s">
        <v>536</v>
      </c>
    </row>
    <row r="343" spans="1:15" x14ac:dyDescent="0.25">
      <c r="A343" s="60" t="s">
        <v>1</v>
      </c>
      <c r="B343" s="56" t="s">
        <v>278</v>
      </c>
    </row>
    <row r="344" spans="1:15" x14ac:dyDescent="0.25">
      <c r="A344" s="60" t="s">
        <v>2</v>
      </c>
      <c r="B344" s="56" t="s">
        <v>522</v>
      </c>
    </row>
    <row r="345" spans="1:15" x14ac:dyDescent="0.25">
      <c r="A345" s="60" t="s">
        <v>4</v>
      </c>
      <c r="B345" s="56">
        <v>1</v>
      </c>
    </row>
    <row r="346" spans="1:15" x14ac:dyDescent="0.25">
      <c r="A346" s="60" t="s">
        <v>5</v>
      </c>
      <c r="B346" s="56" t="s">
        <v>6</v>
      </c>
    </row>
    <row r="347" spans="1:15" x14ac:dyDescent="0.25">
      <c r="A347" s="60" t="s">
        <v>7</v>
      </c>
      <c r="B347" s="56" t="s">
        <v>279</v>
      </c>
    </row>
    <row r="348" spans="1:15" x14ac:dyDescent="0.25">
      <c r="A348" s="60" t="s">
        <v>9</v>
      </c>
    </row>
    <row r="349" spans="1:15" x14ac:dyDescent="0.25">
      <c r="A349" s="59" t="s">
        <v>10</v>
      </c>
      <c r="B349" s="59" t="s">
        <v>1</v>
      </c>
      <c r="C349" s="59" t="s">
        <v>2</v>
      </c>
      <c r="D349" s="59" t="s">
        <v>4</v>
      </c>
      <c r="E349" s="59" t="s">
        <v>5</v>
      </c>
      <c r="F349" s="59" t="s">
        <v>11</v>
      </c>
      <c r="G349" s="59" t="s">
        <v>12</v>
      </c>
      <c r="H349" s="59" t="s">
        <v>13</v>
      </c>
      <c r="I349" s="59" t="s">
        <v>14</v>
      </c>
      <c r="J349" s="59" t="s">
        <v>15</v>
      </c>
      <c r="K349" s="59" t="s">
        <v>16</v>
      </c>
      <c r="L349" s="59" t="s">
        <v>17</v>
      </c>
      <c r="M349" s="59" t="s">
        <v>18</v>
      </c>
      <c r="N349" s="59" t="s">
        <v>19</v>
      </c>
      <c r="O349" s="59" t="s">
        <v>7</v>
      </c>
    </row>
    <row r="350" spans="1:15" x14ac:dyDescent="0.25">
      <c r="A350" s="56" t="str">
        <f>B342</f>
        <v>Praseodymium oxide (Pr6O11) production in Australia/Mt. Weld - Malaysia (Pr content)</v>
      </c>
      <c r="B350" s="56" t="str">
        <f>B343</f>
        <v>Pr6O11 (Pr content)</v>
      </c>
      <c r="C350" s="56" t="str">
        <f>B344</f>
        <v>AU-MY</v>
      </c>
      <c r="D350" s="64">
        <v>1</v>
      </c>
      <c r="E350" s="56" t="str">
        <f>B346</f>
        <v>kilogram</v>
      </c>
      <c r="F350" s="57" t="str">
        <f>F339</f>
        <v>Rare Earths</v>
      </c>
      <c r="G350" s="56" t="s">
        <v>20</v>
      </c>
    </row>
    <row r="351" spans="1:15" x14ac:dyDescent="0.25">
      <c r="A351" s="56" t="str">
        <f>A339</f>
        <v>Praseodymium oxide (Pr6O11) production in Australia/Mt. Weld - Malaysia</v>
      </c>
      <c r="B351" s="56" t="str">
        <f t="shared" ref="B351:F351" si="16">B339</f>
        <v>Pr6O11</v>
      </c>
      <c r="C351" s="56" t="str">
        <f t="shared" si="16"/>
        <v>AU-MY</v>
      </c>
      <c r="D351" s="56">
        <v>1.2081672103419114</v>
      </c>
      <c r="E351" s="56" t="str">
        <f t="shared" si="16"/>
        <v>kilogram</v>
      </c>
      <c r="F351" s="57" t="str">
        <f t="shared" si="16"/>
        <v>Rare Earths</v>
      </c>
      <c r="G351" s="56" t="s">
        <v>25</v>
      </c>
    </row>
    <row r="352" spans="1:15" s="58" customFormat="1" x14ac:dyDescent="0.25"/>
    <row r="353" spans="1:15" x14ac:dyDescent="0.25">
      <c r="A353" s="59" t="s">
        <v>0</v>
      </c>
      <c r="B353" s="59" t="s">
        <v>537</v>
      </c>
    </row>
    <row r="354" spans="1:15" x14ac:dyDescent="0.25">
      <c r="A354" s="60" t="s">
        <v>1</v>
      </c>
      <c r="B354" s="56" t="s">
        <v>281</v>
      </c>
    </row>
    <row r="355" spans="1:15" x14ac:dyDescent="0.25">
      <c r="A355" s="60" t="s">
        <v>2</v>
      </c>
      <c r="B355" s="56" t="s">
        <v>522</v>
      </c>
    </row>
    <row r="356" spans="1:15" x14ac:dyDescent="0.25">
      <c r="A356" s="60" t="s">
        <v>4</v>
      </c>
      <c r="B356" s="56">
        <v>1</v>
      </c>
    </row>
    <row r="357" spans="1:15" x14ac:dyDescent="0.25">
      <c r="A357" s="60" t="s">
        <v>5</v>
      </c>
      <c r="B357" s="56" t="s">
        <v>6</v>
      </c>
    </row>
    <row r="358" spans="1:15" ht="30" x14ac:dyDescent="0.25">
      <c r="A358" s="60" t="s">
        <v>7</v>
      </c>
      <c r="B358" s="67" t="s">
        <v>246</v>
      </c>
    </row>
    <row r="359" spans="1:15" x14ac:dyDescent="0.25">
      <c r="A359" s="60" t="s">
        <v>9</v>
      </c>
    </row>
    <row r="360" spans="1:15" x14ac:dyDescent="0.25">
      <c r="A360" s="59" t="s">
        <v>10</v>
      </c>
      <c r="B360" s="59" t="s">
        <v>1</v>
      </c>
      <c r="C360" s="59" t="s">
        <v>2</v>
      </c>
      <c r="D360" s="59" t="s">
        <v>4</v>
      </c>
      <c r="E360" s="59" t="s">
        <v>5</v>
      </c>
      <c r="F360" s="59" t="s">
        <v>11</v>
      </c>
      <c r="G360" s="59" t="s">
        <v>12</v>
      </c>
      <c r="H360" s="59" t="s">
        <v>13</v>
      </c>
      <c r="I360" s="59" t="s">
        <v>14</v>
      </c>
      <c r="J360" s="59" t="s">
        <v>15</v>
      </c>
      <c r="K360" s="59" t="s">
        <v>16</v>
      </c>
      <c r="L360" s="59" t="s">
        <v>17</v>
      </c>
      <c r="M360" s="59" t="s">
        <v>18</v>
      </c>
      <c r="N360" s="59" t="s">
        <v>19</v>
      </c>
      <c r="O360" s="59" t="s">
        <v>7</v>
      </c>
    </row>
    <row r="361" spans="1:15" x14ac:dyDescent="0.25">
      <c r="A361" s="56" t="str">
        <f>B353</f>
        <v>Samarium oxide (Sm2O3) production in Australia/Mt. Weld - Malaysia</v>
      </c>
      <c r="B361" s="56" t="str">
        <f>B354</f>
        <v>Sm2O3</v>
      </c>
      <c r="C361" s="56" t="str">
        <f>B355</f>
        <v>AU-MY</v>
      </c>
      <c r="D361" s="64">
        <v>1</v>
      </c>
      <c r="E361" s="56" t="str">
        <f>B357</f>
        <v>kilogram</v>
      </c>
      <c r="F361" s="57" t="str">
        <f>F350</f>
        <v>Rare Earths</v>
      </c>
      <c r="G361" s="56" t="s">
        <v>20</v>
      </c>
    </row>
    <row r="362" spans="1:15" x14ac:dyDescent="0.25">
      <c r="A362" s="56" t="str">
        <f>A191</f>
        <v>Monazite ore mining in Australia/Mt. Weld and REO production in Malaysia</v>
      </c>
      <c r="B362" s="56" t="str">
        <f>B191</f>
        <v>REO</v>
      </c>
      <c r="C362" s="56" t="str">
        <f>C191</f>
        <v>AU-MY</v>
      </c>
      <c r="D362" s="56">
        <v>0.15948847996878879</v>
      </c>
      <c r="E362" s="56" t="str">
        <f>E191</f>
        <v>kilogram</v>
      </c>
      <c r="F362" s="57" t="str">
        <f>F191</f>
        <v>Rare Earths</v>
      </c>
      <c r="G362" s="56" t="s">
        <v>25</v>
      </c>
    </row>
    <row r="363" spans="1:15" s="58" customFormat="1" x14ac:dyDescent="0.25"/>
    <row r="364" spans="1:15" x14ac:dyDescent="0.25">
      <c r="A364" s="59" t="s">
        <v>0</v>
      </c>
      <c r="B364" s="59" t="s">
        <v>538</v>
      </c>
    </row>
    <row r="365" spans="1:15" x14ac:dyDescent="0.25">
      <c r="A365" s="60" t="s">
        <v>1</v>
      </c>
      <c r="B365" s="56" t="s">
        <v>283</v>
      </c>
    </row>
    <row r="366" spans="1:15" x14ac:dyDescent="0.25">
      <c r="A366" s="60" t="s">
        <v>2</v>
      </c>
      <c r="B366" s="56" t="s">
        <v>522</v>
      </c>
    </row>
    <row r="367" spans="1:15" x14ac:dyDescent="0.25">
      <c r="A367" s="60" t="s">
        <v>4</v>
      </c>
      <c r="B367" s="56">
        <v>1</v>
      </c>
    </row>
    <row r="368" spans="1:15" x14ac:dyDescent="0.25">
      <c r="A368" s="60" t="s">
        <v>5</v>
      </c>
      <c r="B368" s="56" t="s">
        <v>6</v>
      </c>
    </row>
    <row r="369" spans="1:15" x14ac:dyDescent="0.25">
      <c r="A369" s="60" t="s">
        <v>7</v>
      </c>
      <c r="B369" s="56" t="s">
        <v>284</v>
      </c>
    </row>
    <row r="370" spans="1:15" x14ac:dyDescent="0.25">
      <c r="A370" s="60" t="s">
        <v>9</v>
      </c>
    </row>
    <row r="371" spans="1:15" x14ac:dyDescent="0.25">
      <c r="A371" s="59" t="s">
        <v>10</v>
      </c>
      <c r="B371" s="59" t="s">
        <v>1</v>
      </c>
      <c r="C371" s="59" t="s">
        <v>2</v>
      </c>
      <c r="D371" s="59" t="s">
        <v>4</v>
      </c>
      <c r="E371" s="59" t="s">
        <v>5</v>
      </c>
      <c r="F371" s="59" t="s">
        <v>11</v>
      </c>
      <c r="G371" s="59" t="s">
        <v>12</v>
      </c>
      <c r="H371" s="59" t="s">
        <v>13</v>
      </c>
      <c r="I371" s="59" t="s">
        <v>14</v>
      </c>
      <c r="J371" s="59" t="s">
        <v>15</v>
      </c>
      <c r="K371" s="59" t="s">
        <v>16</v>
      </c>
      <c r="L371" s="59" t="s">
        <v>17</v>
      </c>
      <c r="M371" s="59" t="s">
        <v>18</v>
      </c>
      <c r="N371" s="59" t="s">
        <v>19</v>
      </c>
      <c r="O371" s="59" t="s">
        <v>7</v>
      </c>
    </row>
    <row r="372" spans="1:15" x14ac:dyDescent="0.25">
      <c r="A372" s="56" t="str">
        <f>B364</f>
        <v>Samarium oxide (Sm2O3) production in Australia/Mt. Weld - Malaysia (Sm content)</v>
      </c>
      <c r="B372" s="56" t="str">
        <f>B365</f>
        <v>Sm2O3 (Sm content)</v>
      </c>
      <c r="C372" s="56" t="str">
        <f>B366</f>
        <v>AU-MY</v>
      </c>
      <c r="D372" s="64">
        <v>1</v>
      </c>
      <c r="E372" s="56" t="str">
        <f>B368</f>
        <v>kilogram</v>
      </c>
      <c r="F372" s="57" t="str">
        <f>F361</f>
        <v>Rare Earths</v>
      </c>
      <c r="G372" s="56" t="s">
        <v>20</v>
      </c>
    </row>
    <row r="373" spans="1:15" x14ac:dyDescent="0.25">
      <c r="A373" s="56" t="str">
        <f>A361</f>
        <v>Samarium oxide (Sm2O3) production in Australia/Mt. Weld - Malaysia</v>
      </c>
      <c r="B373" s="56" t="str">
        <f t="shared" ref="B373:F373" si="17">B361</f>
        <v>Sm2O3</v>
      </c>
      <c r="C373" s="56" t="str">
        <f t="shared" si="17"/>
        <v>AU-MY</v>
      </c>
      <c r="D373" s="56">
        <v>1.1595547309833025</v>
      </c>
      <c r="E373" s="56" t="str">
        <f t="shared" si="17"/>
        <v>kilogram</v>
      </c>
      <c r="F373" s="57" t="str">
        <f t="shared" si="17"/>
        <v>Rare Earths</v>
      </c>
      <c r="G373" s="56" t="s">
        <v>25</v>
      </c>
    </row>
    <row r="374" spans="1:15" s="58" customFormat="1" x14ac:dyDescent="0.25"/>
    <row r="375" spans="1:15" x14ac:dyDescent="0.25">
      <c r="A375" s="59" t="s">
        <v>0</v>
      </c>
      <c r="B375" s="59" t="s">
        <v>539</v>
      </c>
    </row>
    <row r="376" spans="1:15" x14ac:dyDescent="0.25">
      <c r="A376" s="60" t="s">
        <v>1</v>
      </c>
      <c r="B376" s="56" t="s">
        <v>451</v>
      </c>
    </row>
    <row r="377" spans="1:15" x14ac:dyDescent="0.25">
      <c r="A377" s="60" t="s">
        <v>2</v>
      </c>
      <c r="B377" s="56" t="s">
        <v>522</v>
      </c>
    </row>
    <row r="378" spans="1:15" x14ac:dyDescent="0.25">
      <c r="A378" s="60" t="s">
        <v>4</v>
      </c>
      <c r="B378" s="56">
        <v>1</v>
      </c>
    </row>
    <row r="379" spans="1:15" x14ac:dyDescent="0.25">
      <c r="A379" s="60" t="s">
        <v>5</v>
      </c>
      <c r="B379" s="56" t="s">
        <v>6</v>
      </c>
    </row>
    <row r="380" spans="1:15" ht="30" x14ac:dyDescent="0.25">
      <c r="A380" s="60" t="s">
        <v>7</v>
      </c>
      <c r="B380" s="67" t="s">
        <v>246</v>
      </c>
    </row>
    <row r="381" spans="1:15" x14ac:dyDescent="0.25">
      <c r="A381" s="60" t="s">
        <v>9</v>
      </c>
    </row>
    <row r="382" spans="1:15" x14ac:dyDescent="0.25">
      <c r="A382" s="59" t="s">
        <v>10</v>
      </c>
      <c r="B382" s="59" t="s">
        <v>1</v>
      </c>
      <c r="C382" s="59" t="s">
        <v>2</v>
      </c>
      <c r="D382" s="59" t="s">
        <v>4</v>
      </c>
      <c r="E382" s="59" t="s">
        <v>5</v>
      </c>
      <c r="F382" s="59" t="s">
        <v>11</v>
      </c>
      <c r="G382" s="59" t="s">
        <v>12</v>
      </c>
      <c r="H382" s="59" t="s">
        <v>13</v>
      </c>
      <c r="I382" s="59" t="s">
        <v>14</v>
      </c>
      <c r="J382" s="59" t="s">
        <v>15</v>
      </c>
      <c r="K382" s="59" t="s">
        <v>16</v>
      </c>
      <c r="L382" s="59" t="s">
        <v>17</v>
      </c>
      <c r="M382" s="59" t="s">
        <v>18</v>
      </c>
      <c r="N382" s="59" t="s">
        <v>19</v>
      </c>
      <c r="O382" s="59" t="s">
        <v>7</v>
      </c>
    </row>
    <row r="383" spans="1:15" x14ac:dyDescent="0.25">
      <c r="A383" s="56" t="str">
        <f>B375</f>
        <v>Terbium oxide (Tb4O7) production in Australia/Mt. Weld - Malaysia</v>
      </c>
      <c r="B383" s="56" t="str">
        <f>B376</f>
        <v>Tb4O7</v>
      </c>
      <c r="C383" s="56" t="str">
        <f>B377</f>
        <v>AU-MY</v>
      </c>
      <c r="D383" s="64">
        <v>1</v>
      </c>
      <c r="E383" s="56" t="str">
        <f>B379</f>
        <v>kilogram</v>
      </c>
      <c r="F383" s="57" t="str">
        <f>F372</f>
        <v>Rare Earths</v>
      </c>
      <c r="G383" s="56" t="s">
        <v>20</v>
      </c>
    </row>
    <row r="384" spans="1:15" x14ac:dyDescent="0.25">
      <c r="A384" s="56" t="str">
        <f>A191</f>
        <v>Monazite ore mining in Australia/Mt. Weld and REO production in Malaysia</v>
      </c>
      <c r="B384" s="56" t="str">
        <f>B191</f>
        <v>REO</v>
      </c>
      <c r="C384" s="56" t="str">
        <f>C191</f>
        <v>AU-MY</v>
      </c>
      <c r="D384" s="56">
        <v>34.422692795946467</v>
      </c>
      <c r="E384" s="56" t="str">
        <f>E191</f>
        <v>kilogram</v>
      </c>
      <c r="F384" s="57" t="str">
        <f>F191</f>
        <v>Rare Earths</v>
      </c>
      <c r="G384" s="56" t="s">
        <v>25</v>
      </c>
    </row>
    <row r="385" spans="1:15" s="58" customFormat="1" x14ac:dyDescent="0.25"/>
    <row r="386" spans="1:15" x14ac:dyDescent="0.25">
      <c r="A386" s="59" t="s">
        <v>0</v>
      </c>
      <c r="B386" s="59" t="s">
        <v>540</v>
      </c>
    </row>
    <row r="387" spans="1:15" x14ac:dyDescent="0.25">
      <c r="A387" s="60" t="s">
        <v>1</v>
      </c>
      <c r="B387" s="56" t="s">
        <v>452</v>
      </c>
    </row>
    <row r="388" spans="1:15" x14ac:dyDescent="0.25">
      <c r="A388" s="60" t="s">
        <v>2</v>
      </c>
      <c r="B388" s="56" t="s">
        <v>522</v>
      </c>
    </row>
    <row r="389" spans="1:15" x14ac:dyDescent="0.25">
      <c r="A389" s="60" t="s">
        <v>4</v>
      </c>
      <c r="B389" s="56">
        <v>1</v>
      </c>
    </row>
    <row r="390" spans="1:15" x14ac:dyDescent="0.25">
      <c r="A390" s="60" t="s">
        <v>5</v>
      </c>
      <c r="B390" s="56" t="s">
        <v>6</v>
      </c>
    </row>
    <row r="391" spans="1:15" x14ac:dyDescent="0.25">
      <c r="A391" s="60" t="s">
        <v>7</v>
      </c>
      <c r="B391" s="56" t="s">
        <v>453</v>
      </c>
    </row>
    <row r="392" spans="1:15" x14ac:dyDescent="0.25">
      <c r="A392" s="60" t="s">
        <v>9</v>
      </c>
    </row>
    <row r="393" spans="1:15" x14ac:dyDescent="0.25">
      <c r="A393" s="59" t="s">
        <v>10</v>
      </c>
      <c r="B393" s="59" t="s">
        <v>1</v>
      </c>
      <c r="C393" s="59" t="s">
        <v>2</v>
      </c>
      <c r="D393" s="59" t="s">
        <v>4</v>
      </c>
      <c r="E393" s="59" t="s">
        <v>5</v>
      </c>
      <c r="F393" s="59" t="s">
        <v>11</v>
      </c>
      <c r="G393" s="59" t="s">
        <v>12</v>
      </c>
      <c r="H393" s="59" t="s">
        <v>13</v>
      </c>
      <c r="I393" s="59" t="s">
        <v>14</v>
      </c>
      <c r="J393" s="59" t="s">
        <v>15</v>
      </c>
      <c r="K393" s="59" t="s">
        <v>16</v>
      </c>
      <c r="L393" s="59" t="s">
        <v>17</v>
      </c>
      <c r="M393" s="59" t="s">
        <v>18</v>
      </c>
      <c r="N393" s="59" t="s">
        <v>19</v>
      </c>
      <c r="O393" s="59" t="s">
        <v>7</v>
      </c>
    </row>
    <row r="394" spans="1:15" x14ac:dyDescent="0.25">
      <c r="A394" s="56" t="str">
        <f>B386</f>
        <v>Terbium oxide (Tb4O7) production in Australia/Mt. Weld - Malaysia (Tb content)</v>
      </c>
      <c r="B394" s="56" t="str">
        <f>B387</f>
        <v>Tb4O7 (Tb content)</v>
      </c>
      <c r="C394" s="56" t="str">
        <f>B388</f>
        <v>AU-MY</v>
      </c>
      <c r="D394" s="64">
        <v>1</v>
      </c>
      <c r="E394" s="56" t="str">
        <f>B390</f>
        <v>kilogram</v>
      </c>
      <c r="F394" s="57" t="str">
        <f>F383</f>
        <v>Rare Earths</v>
      </c>
      <c r="G394" s="56" t="s">
        <v>20</v>
      </c>
    </row>
    <row r="395" spans="1:15" x14ac:dyDescent="0.25">
      <c r="A395" s="56" t="str">
        <f>A383</f>
        <v>Terbium oxide (Tb4O7) production in Australia/Mt. Weld - Malaysia</v>
      </c>
      <c r="B395" s="56" t="str">
        <f t="shared" ref="B395:F395" si="18">B383</f>
        <v>Tb4O7</v>
      </c>
      <c r="C395" s="56" t="str">
        <f t="shared" si="18"/>
        <v>AU-MY</v>
      </c>
      <c r="D395" s="56">
        <v>1.1761938367442955</v>
      </c>
      <c r="E395" s="56" t="str">
        <f t="shared" si="18"/>
        <v>kilogram</v>
      </c>
      <c r="F395" s="57" t="str">
        <f t="shared" si="18"/>
        <v>Rare Earths</v>
      </c>
      <c r="G395" s="56" t="s">
        <v>25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F0F95-6A16-49EF-8661-F1E4E0880ABF}">
  <sheetPr>
    <tabColor theme="8" tint="0.39997558519241921"/>
  </sheetPr>
  <dimension ref="A1:O441"/>
  <sheetViews>
    <sheetView workbookViewId="0">
      <selection activeCell="A163" sqref="A163"/>
    </sheetView>
  </sheetViews>
  <sheetFormatPr baseColWidth="10" defaultColWidth="10.85546875" defaultRowHeight="15" x14ac:dyDescent="0.25"/>
  <cols>
    <col min="1" max="1" width="85.85546875" style="56" bestFit="1" customWidth="1"/>
    <col min="2" max="2" width="68.42578125" style="56" bestFit="1" customWidth="1"/>
    <col min="3" max="3" width="8.140625" style="56" bestFit="1" customWidth="1"/>
    <col min="4" max="4" width="12" style="56" bestFit="1" customWidth="1"/>
    <col min="5" max="5" width="17.5703125" style="56" bestFit="1" customWidth="1"/>
    <col min="6" max="6" width="19.7109375" style="56" bestFit="1" customWidth="1"/>
    <col min="7" max="7" width="13.28515625" style="56" bestFit="1" customWidth="1"/>
    <col min="8" max="8" width="35.28515625" style="56" bestFit="1" customWidth="1"/>
    <col min="9" max="9" width="15.5703125" style="56" bestFit="1" customWidth="1"/>
    <col min="10" max="10" width="9" style="56" bestFit="1" customWidth="1"/>
    <col min="11" max="11" width="3.5703125" style="56" bestFit="1" customWidth="1"/>
    <col min="12" max="12" width="5.42578125" style="56" bestFit="1" customWidth="1"/>
    <col min="13" max="13" width="9.5703125" style="56" bestFit="1" customWidth="1"/>
    <col min="14" max="14" width="9.85546875" style="56" bestFit="1" customWidth="1"/>
    <col min="15" max="15" width="9.42578125" style="56" bestFit="1" customWidth="1"/>
    <col min="16" max="16384" width="10.85546875" style="56"/>
  </cols>
  <sheetData>
    <row r="1" spans="1:15" x14ac:dyDescent="0.25">
      <c r="A1" s="59" t="s">
        <v>0</v>
      </c>
      <c r="B1" s="59" t="s">
        <v>554</v>
      </c>
    </row>
    <row r="2" spans="1:15" x14ac:dyDescent="0.25">
      <c r="A2" s="60" t="s">
        <v>1</v>
      </c>
      <c r="B2" s="56" t="s">
        <v>362</v>
      </c>
    </row>
    <row r="3" spans="1:15" x14ac:dyDescent="0.25">
      <c r="A3" s="60" t="s">
        <v>2</v>
      </c>
      <c r="B3" s="56" t="s">
        <v>35</v>
      </c>
    </row>
    <row r="4" spans="1:15" x14ac:dyDescent="0.25">
      <c r="A4" s="60" t="s">
        <v>4</v>
      </c>
      <c r="B4" s="56">
        <v>1</v>
      </c>
    </row>
    <row r="5" spans="1:15" x14ac:dyDescent="0.25">
      <c r="A5" s="60" t="s">
        <v>5</v>
      </c>
      <c r="B5" s="56" t="s">
        <v>6</v>
      </c>
    </row>
    <row r="6" spans="1:15" x14ac:dyDescent="0.25">
      <c r="A6" s="60" t="s">
        <v>7</v>
      </c>
      <c r="B6" s="56" t="s">
        <v>8</v>
      </c>
    </row>
    <row r="7" spans="1:15" x14ac:dyDescent="0.25">
      <c r="A7" s="60" t="s">
        <v>9</v>
      </c>
    </row>
    <row r="8" spans="1:15" x14ac:dyDescent="0.25">
      <c r="A8" s="59" t="s">
        <v>10</v>
      </c>
      <c r="B8" s="59" t="s">
        <v>1</v>
      </c>
      <c r="C8" s="59" t="s">
        <v>2</v>
      </c>
      <c r="D8" s="59" t="s">
        <v>4</v>
      </c>
      <c r="E8" s="59" t="s">
        <v>5</v>
      </c>
      <c r="F8" s="59" t="s">
        <v>11</v>
      </c>
      <c r="G8" s="59" t="s">
        <v>12</v>
      </c>
      <c r="H8" s="59" t="s">
        <v>13</v>
      </c>
      <c r="I8" s="59" t="s">
        <v>14</v>
      </c>
      <c r="J8" s="59" t="s">
        <v>15</v>
      </c>
      <c r="K8" s="59" t="s">
        <v>16</v>
      </c>
      <c r="L8" s="59" t="s">
        <v>17</v>
      </c>
      <c r="M8" s="59" t="s">
        <v>18</v>
      </c>
      <c r="N8" s="59" t="s">
        <v>19</v>
      </c>
      <c r="O8" s="59" t="s">
        <v>7</v>
      </c>
    </row>
    <row r="9" spans="1:15" x14ac:dyDescent="0.25">
      <c r="A9" s="56" t="str">
        <f>B1</f>
        <v>[M+C] Mining and in situ leaching from ion adsorption clay (IAC) deposits</v>
      </c>
      <c r="B9" s="56" t="str">
        <f>B2</f>
        <v>Rare Earths (RE) concentrate</v>
      </c>
      <c r="C9" s="56" t="str">
        <f>B3</f>
        <v>CN</v>
      </c>
      <c r="D9" s="64">
        <v>1</v>
      </c>
      <c r="E9" s="56" t="s">
        <v>6</v>
      </c>
      <c r="F9" s="57" t="str">
        <f>RE_Market_GLO!B1</f>
        <v>Rare Earths</v>
      </c>
      <c r="G9" s="56" t="s">
        <v>20</v>
      </c>
    </row>
    <row r="10" spans="1:15" x14ac:dyDescent="0.25">
      <c r="A10" s="56" t="s">
        <v>541</v>
      </c>
      <c r="B10" s="56" t="s">
        <v>47</v>
      </c>
      <c r="C10" s="56" t="s">
        <v>29</v>
      </c>
      <c r="D10" s="56">
        <v>3.35</v>
      </c>
      <c r="E10" s="56" t="s">
        <v>6</v>
      </c>
      <c r="F10" s="56" t="s">
        <v>24</v>
      </c>
      <c r="G10" s="56" t="s">
        <v>25</v>
      </c>
    </row>
    <row r="11" spans="1:15" x14ac:dyDescent="0.25">
      <c r="A11" s="56" t="s">
        <v>542</v>
      </c>
      <c r="B11" s="56" t="s">
        <v>547</v>
      </c>
      <c r="C11" s="56" t="s">
        <v>29</v>
      </c>
      <c r="D11" s="56">
        <v>38.915247700000002</v>
      </c>
      <c r="E11" s="56" t="s">
        <v>6</v>
      </c>
      <c r="F11" s="56" t="s">
        <v>24</v>
      </c>
      <c r="G11" s="56" t="s">
        <v>25</v>
      </c>
    </row>
    <row r="12" spans="1:15" x14ac:dyDescent="0.25">
      <c r="A12" s="56" t="s">
        <v>543</v>
      </c>
      <c r="B12" s="56" t="s">
        <v>543</v>
      </c>
      <c r="C12" s="56" t="s">
        <v>29</v>
      </c>
      <c r="D12" s="56">
        <v>1.1499999999999999</v>
      </c>
      <c r="E12" s="56" t="s">
        <v>93</v>
      </c>
      <c r="F12" s="56" t="s">
        <v>24</v>
      </c>
      <c r="G12" s="56" t="s">
        <v>25</v>
      </c>
    </row>
    <row r="13" spans="1:15" x14ac:dyDescent="0.25">
      <c r="A13" s="56" t="s">
        <v>544</v>
      </c>
      <c r="B13" s="56" t="s">
        <v>544</v>
      </c>
      <c r="C13" s="56" t="s">
        <v>29</v>
      </c>
      <c r="D13" s="63">
        <v>0.10100000000000001</v>
      </c>
      <c r="E13" s="56" t="s">
        <v>6</v>
      </c>
      <c r="F13" s="56" t="s">
        <v>24</v>
      </c>
      <c r="G13" s="56" t="s">
        <v>25</v>
      </c>
    </row>
    <row r="14" spans="1:15" x14ac:dyDescent="0.25">
      <c r="A14" s="56" t="s">
        <v>383</v>
      </c>
      <c r="B14" s="56" t="s">
        <v>387</v>
      </c>
      <c r="C14" s="56" t="s">
        <v>29</v>
      </c>
      <c r="D14" s="63">
        <v>24.3</v>
      </c>
      <c r="E14" s="56" t="s">
        <v>78</v>
      </c>
      <c r="F14" s="56" t="s">
        <v>24</v>
      </c>
      <c r="G14" s="56" t="s">
        <v>25</v>
      </c>
    </row>
    <row r="15" spans="1:15" x14ac:dyDescent="0.25">
      <c r="A15" s="56" t="s">
        <v>545</v>
      </c>
      <c r="B15" s="56" t="s">
        <v>548</v>
      </c>
      <c r="C15" s="56" t="s">
        <v>29</v>
      </c>
      <c r="D15" s="56">
        <v>5.0000000000000001E-3</v>
      </c>
      <c r="E15" s="56" t="s">
        <v>6</v>
      </c>
      <c r="F15" s="56" t="s">
        <v>24</v>
      </c>
      <c r="G15" s="56" t="s">
        <v>25</v>
      </c>
    </row>
    <row r="16" spans="1:15" x14ac:dyDescent="0.25">
      <c r="A16" s="56" t="s">
        <v>62</v>
      </c>
      <c r="B16" s="56" t="s">
        <v>63</v>
      </c>
      <c r="C16" s="56" t="s">
        <v>29</v>
      </c>
      <c r="D16" s="56">
        <v>1000</v>
      </c>
      <c r="E16" s="56" t="s">
        <v>6</v>
      </c>
      <c r="F16" s="56" t="s">
        <v>24</v>
      </c>
      <c r="G16" s="56" t="s">
        <v>25</v>
      </c>
    </row>
    <row r="17" spans="1:8" x14ac:dyDescent="0.25">
      <c r="A17" s="56" t="s">
        <v>365</v>
      </c>
      <c r="B17" s="56" t="s">
        <v>58</v>
      </c>
      <c r="C17" s="56" t="s">
        <v>35</v>
      </c>
      <c r="D17" s="56">
        <v>2.915</v>
      </c>
      <c r="E17" s="56" t="s">
        <v>59</v>
      </c>
      <c r="F17" s="56" t="s">
        <v>24</v>
      </c>
      <c r="G17" s="56" t="s">
        <v>25</v>
      </c>
    </row>
    <row r="18" spans="1:8" x14ac:dyDescent="0.25">
      <c r="A18" s="56" t="s">
        <v>546</v>
      </c>
      <c r="B18" s="56" t="s">
        <v>549</v>
      </c>
      <c r="C18" s="56" t="s">
        <v>29</v>
      </c>
      <c r="D18" s="56">
        <v>9.6000000000000002E-2</v>
      </c>
      <c r="E18" s="56" t="s">
        <v>6</v>
      </c>
      <c r="F18" s="56" t="s">
        <v>24</v>
      </c>
      <c r="G18" s="56" t="s">
        <v>25</v>
      </c>
    </row>
    <row r="19" spans="1:8" x14ac:dyDescent="0.25">
      <c r="A19" s="56" t="s">
        <v>384</v>
      </c>
      <c r="B19" s="56" t="s">
        <v>28</v>
      </c>
      <c r="C19" s="56" t="s">
        <v>29</v>
      </c>
      <c r="D19" s="56">
        <v>0.52500000000000002</v>
      </c>
      <c r="E19" s="56" t="s">
        <v>6</v>
      </c>
      <c r="F19" s="56" t="s">
        <v>24</v>
      </c>
      <c r="G19" s="56" t="s">
        <v>25</v>
      </c>
    </row>
    <row r="20" spans="1:8" x14ac:dyDescent="0.25">
      <c r="A20" s="56" t="s">
        <v>550</v>
      </c>
      <c r="D20" s="56">
        <v>4.0000000000000001E-3</v>
      </c>
      <c r="E20" s="56" t="s">
        <v>6</v>
      </c>
      <c r="F20" s="56" t="s">
        <v>66</v>
      </c>
      <c r="G20" s="56" t="s">
        <v>67</v>
      </c>
      <c r="H20" s="56" t="s">
        <v>129</v>
      </c>
    </row>
    <row r="21" spans="1:8" x14ac:dyDescent="0.25">
      <c r="A21" s="56" t="s">
        <v>69</v>
      </c>
      <c r="D21" s="56">
        <v>0.34</v>
      </c>
      <c r="E21" s="56" t="s">
        <v>6</v>
      </c>
      <c r="F21" s="56" t="s">
        <v>66</v>
      </c>
      <c r="G21" s="56" t="s">
        <v>67</v>
      </c>
      <c r="H21" s="56" t="s">
        <v>129</v>
      </c>
    </row>
    <row r="22" spans="1:8" x14ac:dyDescent="0.25">
      <c r="A22" s="56" t="s">
        <v>74</v>
      </c>
      <c r="D22" s="56">
        <v>0.95</v>
      </c>
      <c r="E22" s="56" t="s">
        <v>6</v>
      </c>
      <c r="F22" s="56" t="s">
        <v>66</v>
      </c>
      <c r="G22" s="56" t="s">
        <v>67</v>
      </c>
      <c r="H22" s="56" t="s">
        <v>130</v>
      </c>
    </row>
    <row r="23" spans="1:8" x14ac:dyDescent="0.25">
      <c r="A23" s="56" t="s">
        <v>337</v>
      </c>
      <c r="D23" s="56">
        <v>6.0632744000000002E-2</v>
      </c>
      <c r="E23" s="56" t="s">
        <v>6</v>
      </c>
      <c r="F23" s="56" t="s">
        <v>66</v>
      </c>
      <c r="G23" s="56" t="s">
        <v>67</v>
      </c>
      <c r="H23" s="56" t="s">
        <v>120</v>
      </c>
    </row>
    <row r="24" spans="1:8" x14ac:dyDescent="0.25">
      <c r="A24" s="56" t="s">
        <v>338</v>
      </c>
      <c r="D24" s="56">
        <v>7.4537369000000006E-2</v>
      </c>
      <c r="E24" s="56" t="s">
        <v>6</v>
      </c>
      <c r="F24" s="56" t="s">
        <v>66</v>
      </c>
      <c r="G24" s="56" t="s">
        <v>67</v>
      </c>
      <c r="H24" s="56" t="s">
        <v>120</v>
      </c>
    </row>
    <row r="25" spans="1:8" x14ac:dyDescent="0.25">
      <c r="A25" s="56" t="s">
        <v>339</v>
      </c>
      <c r="D25" s="56">
        <v>5.0003166000000002E-2</v>
      </c>
      <c r="E25" s="56" t="s">
        <v>6</v>
      </c>
      <c r="F25" s="56" t="s">
        <v>66</v>
      </c>
      <c r="G25" s="56" t="s">
        <v>67</v>
      </c>
      <c r="H25" s="56" t="s">
        <v>120</v>
      </c>
    </row>
    <row r="26" spans="1:8" x14ac:dyDescent="0.25">
      <c r="A26" s="56" t="s">
        <v>340</v>
      </c>
      <c r="D26" s="56">
        <v>1.8518857E-2</v>
      </c>
      <c r="E26" s="56" t="s">
        <v>6</v>
      </c>
      <c r="F26" s="56" t="s">
        <v>66</v>
      </c>
      <c r="G26" s="56" t="s">
        <v>67</v>
      </c>
      <c r="H26" s="56" t="s">
        <v>120</v>
      </c>
    </row>
    <row r="27" spans="1:8" x14ac:dyDescent="0.25">
      <c r="A27" s="56" t="s">
        <v>341</v>
      </c>
      <c r="D27" s="56">
        <v>0.11922908</v>
      </c>
      <c r="E27" s="56" t="s">
        <v>6</v>
      </c>
      <c r="F27" s="56" t="s">
        <v>66</v>
      </c>
      <c r="G27" s="56" t="s">
        <v>67</v>
      </c>
      <c r="H27" s="56" t="s">
        <v>120</v>
      </c>
    </row>
    <row r="28" spans="1:8" x14ac:dyDescent="0.25">
      <c r="A28" s="56" t="s">
        <v>343</v>
      </c>
      <c r="D28" s="56">
        <v>1.4895533000000001E-2</v>
      </c>
      <c r="E28" s="56" t="s">
        <v>6</v>
      </c>
      <c r="F28" s="56" t="s">
        <v>66</v>
      </c>
      <c r="G28" s="56" t="s">
        <v>67</v>
      </c>
      <c r="H28" s="56" t="s">
        <v>120</v>
      </c>
    </row>
    <row r="29" spans="1:8" x14ac:dyDescent="0.25">
      <c r="A29" s="56" t="s">
        <v>551</v>
      </c>
      <c r="D29" s="56">
        <v>766.07269120000001</v>
      </c>
      <c r="E29" s="56" t="s">
        <v>6</v>
      </c>
      <c r="F29" s="56" t="s">
        <v>66</v>
      </c>
      <c r="G29" s="56" t="s">
        <v>67</v>
      </c>
      <c r="H29" s="56" t="s">
        <v>120</v>
      </c>
    </row>
    <row r="30" spans="1:8" x14ac:dyDescent="0.25">
      <c r="A30" s="56" t="s">
        <v>345</v>
      </c>
      <c r="D30" s="56">
        <v>0.541878105</v>
      </c>
      <c r="E30" s="56" t="s">
        <v>6</v>
      </c>
      <c r="F30" s="56" t="s">
        <v>66</v>
      </c>
      <c r="G30" s="56" t="s">
        <v>67</v>
      </c>
      <c r="H30" s="56" t="s">
        <v>120</v>
      </c>
    </row>
    <row r="31" spans="1:8" x14ac:dyDescent="0.25">
      <c r="A31" s="56" t="s">
        <v>346</v>
      </c>
      <c r="D31" s="56">
        <v>4.2582119999999999E-3</v>
      </c>
      <c r="E31" s="56" t="s">
        <v>6</v>
      </c>
      <c r="F31" s="56" t="s">
        <v>66</v>
      </c>
      <c r="G31" s="56" t="s">
        <v>67</v>
      </c>
      <c r="H31" s="56" t="s">
        <v>120</v>
      </c>
    </row>
    <row r="32" spans="1:8" x14ac:dyDescent="0.25">
      <c r="A32" s="56" t="s">
        <v>347</v>
      </c>
      <c r="D32" s="56">
        <v>0.34694199199999998</v>
      </c>
      <c r="E32" s="56" t="s">
        <v>6</v>
      </c>
      <c r="F32" s="56" t="s">
        <v>66</v>
      </c>
      <c r="G32" s="56" t="s">
        <v>67</v>
      </c>
      <c r="H32" s="56" t="s">
        <v>120</v>
      </c>
    </row>
    <row r="33" spans="1:8" x14ac:dyDescent="0.25">
      <c r="A33" s="56" t="s">
        <v>98</v>
      </c>
      <c r="D33" s="56">
        <v>9.5500000000000004E-5</v>
      </c>
      <c r="E33" s="56" t="s">
        <v>99</v>
      </c>
      <c r="F33" s="56" t="s">
        <v>66</v>
      </c>
      <c r="G33" s="56" t="s">
        <v>67</v>
      </c>
      <c r="H33" s="56" t="s">
        <v>100</v>
      </c>
    </row>
    <row r="34" spans="1:8" x14ac:dyDescent="0.25">
      <c r="A34" s="56" t="s">
        <v>351</v>
      </c>
      <c r="D34" s="56">
        <v>0.107260499</v>
      </c>
      <c r="E34" s="56" t="s">
        <v>6</v>
      </c>
      <c r="F34" s="56" t="s">
        <v>66</v>
      </c>
      <c r="G34" s="56" t="s">
        <v>67</v>
      </c>
      <c r="H34" s="56" t="s">
        <v>120</v>
      </c>
    </row>
    <row r="35" spans="1:8" x14ac:dyDescent="0.25">
      <c r="A35" s="56" t="s">
        <v>353</v>
      </c>
      <c r="D35" s="56">
        <v>9.0274398000000006E-2</v>
      </c>
      <c r="E35" s="56" t="s">
        <v>6</v>
      </c>
      <c r="F35" s="56" t="s">
        <v>66</v>
      </c>
      <c r="G35" s="56" t="s">
        <v>67</v>
      </c>
      <c r="H35" s="56" t="s">
        <v>120</v>
      </c>
    </row>
    <row r="36" spans="1:8" x14ac:dyDescent="0.25">
      <c r="A36" s="56" t="s">
        <v>552</v>
      </c>
      <c r="D36" s="56">
        <v>0.95</v>
      </c>
      <c r="E36" s="56" t="s">
        <v>6</v>
      </c>
      <c r="F36" s="56" t="s">
        <v>66</v>
      </c>
      <c r="G36" s="56" t="s">
        <v>67</v>
      </c>
      <c r="H36" s="56" t="s">
        <v>553</v>
      </c>
    </row>
    <row r="37" spans="1:8" x14ac:dyDescent="0.25">
      <c r="A37" s="56" t="s">
        <v>552</v>
      </c>
      <c r="D37" s="56">
        <v>6.5</v>
      </c>
      <c r="E37" s="56" t="s">
        <v>6</v>
      </c>
      <c r="F37" s="56" t="s">
        <v>66</v>
      </c>
      <c r="G37" s="56" t="s">
        <v>67</v>
      </c>
      <c r="H37" s="56" t="s">
        <v>129</v>
      </c>
    </row>
    <row r="38" spans="1:8" x14ac:dyDescent="0.25">
      <c r="A38" s="56" t="s">
        <v>354</v>
      </c>
      <c r="D38" s="56">
        <v>1.3331295E-2</v>
      </c>
      <c r="E38" s="56" t="s">
        <v>6</v>
      </c>
      <c r="F38" s="56" t="s">
        <v>66</v>
      </c>
      <c r="G38" s="56" t="s">
        <v>67</v>
      </c>
      <c r="H38" s="56" t="s">
        <v>120</v>
      </c>
    </row>
    <row r="39" spans="1:8" x14ac:dyDescent="0.25">
      <c r="A39" s="56" t="s">
        <v>73</v>
      </c>
      <c r="D39" s="56">
        <v>5.0000000000000002E-5</v>
      </c>
      <c r="E39" s="56" t="s">
        <v>6</v>
      </c>
      <c r="F39" s="56" t="s">
        <v>66</v>
      </c>
      <c r="G39" s="56" t="s">
        <v>67</v>
      </c>
      <c r="H39" s="56" t="s">
        <v>120</v>
      </c>
    </row>
    <row r="40" spans="1:8" x14ac:dyDescent="0.25">
      <c r="A40" s="56" t="s">
        <v>70</v>
      </c>
      <c r="D40" s="56">
        <v>0.17830000000000001</v>
      </c>
      <c r="E40" s="56" t="s">
        <v>71</v>
      </c>
      <c r="F40" s="56" t="s">
        <v>66</v>
      </c>
      <c r="G40" s="56" t="s">
        <v>67</v>
      </c>
      <c r="H40" s="56" t="s">
        <v>379</v>
      </c>
    </row>
    <row r="41" spans="1:8" x14ac:dyDescent="0.25">
      <c r="A41" s="56" t="s">
        <v>355</v>
      </c>
      <c r="D41" s="56">
        <v>5.4511400000000002E-3</v>
      </c>
      <c r="E41" s="56" t="s">
        <v>6</v>
      </c>
      <c r="F41" s="56" t="s">
        <v>66</v>
      </c>
      <c r="G41" s="56" t="s">
        <v>67</v>
      </c>
      <c r="H41" s="56" t="s">
        <v>120</v>
      </c>
    </row>
    <row r="42" spans="1:8" x14ac:dyDescent="0.25">
      <c r="A42" s="56" t="s">
        <v>132</v>
      </c>
      <c r="D42" s="56">
        <v>5.0000000000000002E-5</v>
      </c>
      <c r="E42" s="56" t="s">
        <v>6</v>
      </c>
      <c r="F42" s="56" t="s">
        <v>66</v>
      </c>
      <c r="G42" s="56" t="s">
        <v>67</v>
      </c>
      <c r="H42" s="56" t="s">
        <v>120</v>
      </c>
    </row>
    <row r="43" spans="1:8" x14ac:dyDescent="0.25">
      <c r="A43" s="56" t="s">
        <v>106</v>
      </c>
      <c r="D43" s="56">
        <v>0.52350000000000008</v>
      </c>
      <c r="E43" s="56" t="s">
        <v>71</v>
      </c>
      <c r="F43" s="56" t="s">
        <v>66</v>
      </c>
      <c r="G43" s="56" t="s">
        <v>67</v>
      </c>
      <c r="H43" s="56" t="s">
        <v>379</v>
      </c>
    </row>
    <row r="44" spans="1:8" x14ac:dyDescent="0.25">
      <c r="A44" s="56" t="s">
        <v>103</v>
      </c>
      <c r="D44" s="56">
        <v>0.89500000000000002</v>
      </c>
      <c r="E44" s="56" t="s">
        <v>102</v>
      </c>
      <c r="F44" s="56" t="s">
        <v>66</v>
      </c>
      <c r="G44" s="56" t="s">
        <v>67</v>
      </c>
      <c r="H44" s="56" t="s">
        <v>100</v>
      </c>
    </row>
    <row r="45" spans="1:8" x14ac:dyDescent="0.25">
      <c r="A45" s="56" t="s">
        <v>356</v>
      </c>
      <c r="D45" s="56">
        <v>2.2883315000000001E-2</v>
      </c>
      <c r="E45" s="56" t="s">
        <v>6</v>
      </c>
      <c r="F45" s="56" t="s">
        <v>66</v>
      </c>
      <c r="G45" s="56" t="s">
        <v>67</v>
      </c>
      <c r="H45" s="56" t="s">
        <v>120</v>
      </c>
    </row>
    <row r="46" spans="1:8" x14ac:dyDescent="0.25">
      <c r="A46" s="56" t="s">
        <v>357</v>
      </c>
      <c r="D46" s="56">
        <v>0.440485874</v>
      </c>
      <c r="E46" s="56" t="s">
        <v>6</v>
      </c>
      <c r="F46" s="56" t="s">
        <v>66</v>
      </c>
      <c r="G46" s="56" t="s">
        <v>67</v>
      </c>
      <c r="H46" s="56" t="s">
        <v>120</v>
      </c>
    </row>
    <row r="47" spans="1:8" s="65" customFormat="1" x14ac:dyDescent="0.25"/>
    <row r="48" spans="1:8" x14ac:dyDescent="0.25">
      <c r="A48" s="59" t="s">
        <v>0</v>
      </c>
      <c r="B48" s="59" t="s">
        <v>555</v>
      </c>
    </row>
    <row r="49" spans="1:15" x14ac:dyDescent="0.25">
      <c r="A49" s="60" t="s">
        <v>1</v>
      </c>
      <c r="B49" s="56" t="s">
        <v>396</v>
      </c>
    </row>
    <row r="50" spans="1:15" x14ac:dyDescent="0.25">
      <c r="A50" s="60" t="s">
        <v>2</v>
      </c>
      <c r="B50" s="56" t="s">
        <v>35</v>
      </c>
    </row>
    <row r="51" spans="1:15" x14ac:dyDescent="0.25">
      <c r="A51" s="60" t="s">
        <v>4</v>
      </c>
      <c r="B51" s="56">
        <v>1</v>
      </c>
    </row>
    <row r="52" spans="1:15" x14ac:dyDescent="0.25">
      <c r="A52" s="60" t="s">
        <v>5</v>
      </c>
      <c r="B52" s="56" t="s">
        <v>6</v>
      </c>
    </row>
    <row r="53" spans="1:15" x14ac:dyDescent="0.25">
      <c r="A53" s="60" t="s">
        <v>7</v>
      </c>
      <c r="B53" s="56" t="s">
        <v>8</v>
      </c>
    </row>
    <row r="54" spans="1:15" x14ac:dyDescent="0.25">
      <c r="A54" s="60" t="s">
        <v>9</v>
      </c>
    </row>
    <row r="55" spans="1:15" x14ac:dyDescent="0.25">
      <c r="A55" s="59" t="s">
        <v>10</v>
      </c>
      <c r="B55" s="59" t="s">
        <v>1</v>
      </c>
      <c r="C55" s="59" t="s">
        <v>2</v>
      </c>
      <c r="D55" s="59" t="s">
        <v>4</v>
      </c>
      <c r="E55" s="59" t="s">
        <v>5</v>
      </c>
      <c r="F55" s="59" t="s">
        <v>11</v>
      </c>
      <c r="G55" s="59" t="s">
        <v>12</v>
      </c>
      <c r="H55" s="59" t="s">
        <v>13</v>
      </c>
      <c r="I55" s="59" t="s">
        <v>14</v>
      </c>
      <c r="J55" s="59" t="s">
        <v>15</v>
      </c>
      <c r="K55" s="59" t="s">
        <v>16</v>
      </c>
      <c r="L55" s="59" t="s">
        <v>17</v>
      </c>
      <c r="M55" s="59" t="s">
        <v>18</v>
      </c>
      <c r="N55" s="59" t="s">
        <v>19</v>
      </c>
      <c r="O55" s="59" t="s">
        <v>7</v>
      </c>
    </row>
    <row r="56" spans="1:15" x14ac:dyDescent="0.25">
      <c r="A56" s="56" t="str">
        <f>B48</f>
        <v>[P] Solvent extraction and calcination (IAC)</v>
      </c>
      <c r="B56" s="56" t="str">
        <f>B49</f>
        <v>Separated RE oxides (REO) mix</v>
      </c>
      <c r="C56" s="56" t="str">
        <f>B50</f>
        <v>CN</v>
      </c>
      <c r="D56" s="64">
        <v>1</v>
      </c>
      <c r="E56" s="56" t="s">
        <v>6</v>
      </c>
      <c r="F56" s="57" t="str">
        <f>F9</f>
        <v>Rare Earths</v>
      </c>
      <c r="G56" s="56" t="s">
        <v>20</v>
      </c>
    </row>
    <row r="57" spans="1:15" x14ac:dyDescent="0.25">
      <c r="A57" s="56" t="str">
        <f>'PR3_REO_CN_BayanObo_Bast-Mona'!A189</f>
        <v>Production of P204</v>
      </c>
      <c r="B57" s="56" t="str">
        <f>'PR3_REO_CN_BayanObo_Bast-Mona'!B189</f>
        <v>P204 extractant</v>
      </c>
      <c r="C57" s="56" t="str">
        <f>'PR3_REO_CN_BayanObo_Bast-Mona'!C189</f>
        <v>CN</v>
      </c>
      <c r="D57" s="124">
        <v>2.53E-2</v>
      </c>
      <c r="E57" s="56" t="str">
        <f>'PR3_REO_CN_BayanObo_Bast-Mona'!E189</f>
        <v>kilogram</v>
      </c>
      <c r="F57" s="57" t="str">
        <f>'PR3_REO_CN_BayanObo_Bast-Mona'!F189</f>
        <v>Rare Earths</v>
      </c>
      <c r="G57" s="56" t="s">
        <v>25</v>
      </c>
    </row>
    <row r="58" spans="1:15" x14ac:dyDescent="0.25">
      <c r="A58" s="56" t="str">
        <f>A92</f>
        <v>Production of heat for the calcination of rare earth oxalates</v>
      </c>
      <c r="B58" s="56" t="str">
        <f t="shared" ref="B58:C58" si="0">B92</f>
        <v>Heat for the calcination of rare earth oxalates</v>
      </c>
      <c r="C58" s="56" t="str">
        <f t="shared" si="0"/>
        <v>CN</v>
      </c>
      <c r="D58" s="64">
        <v>12.035577058279401</v>
      </c>
      <c r="E58" s="56" t="str">
        <f t="shared" ref="E58:F58" si="1">E92</f>
        <v>megajoule</v>
      </c>
      <c r="F58" s="57" t="str">
        <f t="shared" si="1"/>
        <v>Rare Earths</v>
      </c>
      <c r="G58" s="56" t="s">
        <v>25</v>
      </c>
    </row>
    <row r="59" spans="1:15" x14ac:dyDescent="0.25">
      <c r="A59" s="56" t="s">
        <v>557</v>
      </c>
      <c r="B59" s="56" t="s">
        <v>563</v>
      </c>
      <c r="C59" s="56" t="s">
        <v>29</v>
      </c>
      <c r="D59" s="56">
        <v>-2.6873859999999999E-3</v>
      </c>
      <c r="E59" s="56" t="s">
        <v>6</v>
      </c>
      <c r="F59" s="56" t="s">
        <v>24</v>
      </c>
      <c r="G59" s="56" t="s">
        <v>25</v>
      </c>
    </row>
    <row r="60" spans="1:15" x14ac:dyDescent="0.25">
      <c r="A60" s="56" t="s">
        <v>558</v>
      </c>
      <c r="B60" s="56" t="s">
        <v>564</v>
      </c>
      <c r="C60" s="56" t="s">
        <v>29</v>
      </c>
      <c r="D60" s="56">
        <v>-5.3016449999999998E-3</v>
      </c>
      <c r="E60" s="56" t="s">
        <v>6</v>
      </c>
      <c r="F60" s="56" t="s">
        <v>24</v>
      </c>
      <c r="G60" s="56" t="s">
        <v>25</v>
      </c>
    </row>
    <row r="61" spans="1:15" x14ac:dyDescent="0.25">
      <c r="A61" s="56" t="s">
        <v>559</v>
      </c>
      <c r="B61" s="56" t="s">
        <v>565</v>
      </c>
      <c r="C61" s="56" t="s">
        <v>29</v>
      </c>
      <c r="D61" s="56">
        <v>-2.1389400000000002E-3</v>
      </c>
      <c r="E61" s="56" t="s">
        <v>6</v>
      </c>
      <c r="F61" s="56" t="s">
        <v>24</v>
      </c>
      <c r="G61" s="56" t="s">
        <v>25</v>
      </c>
    </row>
    <row r="62" spans="1:15" x14ac:dyDescent="0.25">
      <c r="A62" s="56" t="s">
        <v>91</v>
      </c>
      <c r="B62" s="56" t="s">
        <v>92</v>
      </c>
      <c r="C62" s="56" t="s">
        <v>29</v>
      </c>
      <c r="D62" s="56">
        <v>-5.3875685999999999E-2</v>
      </c>
      <c r="E62" s="56" t="s">
        <v>93</v>
      </c>
      <c r="F62" s="56" t="s">
        <v>24</v>
      </c>
      <c r="G62" s="56" t="s">
        <v>25</v>
      </c>
    </row>
    <row r="63" spans="1:15" x14ac:dyDescent="0.25">
      <c r="A63" s="56" t="s">
        <v>560</v>
      </c>
      <c r="B63" s="56" t="s">
        <v>566</v>
      </c>
      <c r="C63" s="56" t="s">
        <v>29</v>
      </c>
      <c r="D63" s="56">
        <v>-4.3129800000000002E-5</v>
      </c>
      <c r="E63" s="56" t="s">
        <v>93</v>
      </c>
      <c r="F63" s="56" t="s">
        <v>24</v>
      </c>
      <c r="G63" s="56" t="s">
        <v>25</v>
      </c>
    </row>
    <row r="64" spans="1:15" x14ac:dyDescent="0.25">
      <c r="A64" s="56" t="s">
        <v>561</v>
      </c>
      <c r="B64" s="56" t="s">
        <v>567</v>
      </c>
      <c r="C64" s="56" t="s">
        <v>29</v>
      </c>
      <c r="D64" s="56">
        <v>-2.53E-2</v>
      </c>
      <c r="E64" s="56" t="s">
        <v>6</v>
      </c>
      <c r="F64" s="56" t="s">
        <v>24</v>
      </c>
      <c r="G64" s="56" t="s">
        <v>25</v>
      </c>
    </row>
    <row r="65" spans="1:8" x14ac:dyDescent="0.25">
      <c r="A65" s="56" t="s">
        <v>40</v>
      </c>
      <c r="B65" s="56" t="s">
        <v>41</v>
      </c>
      <c r="C65" s="56" t="s">
        <v>29</v>
      </c>
      <c r="D65" s="56">
        <v>3.126691042</v>
      </c>
      <c r="E65" s="56" t="s">
        <v>6</v>
      </c>
      <c r="F65" s="56" t="s">
        <v>24</v>
      </c>
      <c r="G65" s="56" t="s">
        <v>25</v>
      </c>
    </row>
    <row r="66" spans="1:8" x14ac:dyDescent="0.25">
      <c r="A66" s="56" t="s">
        <v>42</v>
      </c>
      <c r="B66" s="56" t="s">
        <v>43</v>
      </c>
      <c r="C66" s="56" t="s">
        <v>29</v>
      </c>
      <c r="D66" s="56">
        <v>2.393327239</v>
      </c>
      <c r="E66" s="56" t="s">
        <v>6</v>
      </c>
      <c r="F66" s="56" t="s">
        <v>24</v>
      </c>
      <c r="G66" s="56" t="s">
        <v>25</v>
      </c>
    </row>
    <row r="67" spans="1:8" x14ac:dyDescent="0.25">
      <c r="A67" s="56" t="s">
        <v>365</v>
      </c>
      <c r="B67" s="56" t="s">
        <v>58</v>
      </c>
      <c r="C67" s="56" t="s">
        <v>35</v>
      </c>
      <c r="D67" s="56">
        <v>5.32</v>
      </c>
      <c r="E67" s="56" t="s">
        <v>59</v>
      </c>
      <c r="F67" s="56" t="s">
        <v>24</v>
      </c>
      <c r="G67" s="56" t="s">
        <v>25</v>
      </c>
    </row>
    <row r="68" spans="1:8" x14ac:dyDescent="0.25">
      <c r="A68" s="56" t="s">
        <v>62</v>
      </c>
      <c r="B68" s="56" t="s">
        <v>63</v>
      </c>
      <c r="C68" s="56" t="s">
        <v>29</v>
      </c>
      <c r="D68" s="56">
        <v>56.3</v>
      </c>
      <c r="E68" s="56" t="s">
        <v>6</v>
      </c>
      <c r="F68" s="56" t="s">
        <v>24</v>
      </c>
      <c r="G68" s="56" t="s">
        <v>25</v>
      </c>
    </row>
    <row r="69" spans="1:8" x14ac:dyDescent="0.25">
      <c r="A69" s="56" t="s">
        <v>562</v>
      </c>
      <c r="B69" s="56" t="s">
        <v>515</v>
      </c>
      <c r="C69" s="56" t="s">
        <v>35</v>
      </c>
      <c r="D69" s="56">
        <v>0.79159049360146205</v>
      </c>
      <c r="E69" s="56" t="s">
        <v>6</v>
      </c>
      <c r="F69" s="56" t="s">
        <v>24</v>
      </c>
      <c r="G69" s="56" t="s">
        <v>25</v>
      </c>
    </row>
    <row r="70" spans="1:8" x14ac:dyDescent="0.25">
      <c r="A70" s="56" t="s">
        <v>69</v>
      </c>
      <c r="D70" s="56">
        <v>4.0025634637192299E-4</v>
      </c>
      <c r="E70" s="56" t="s">
        <v>6</v>
      </c>
      <c r="F70" s="56" t="s">
        <v>66</v>
      </c>
      <c r="G70" s="56" t="s">
        <v>67</v>
      </c>
      <c r="H70" s="56" t="s">
        <v>129</v>
      </c>
    </row>
    <row r="71" spans="1:8" x14ac:dyDescent="0.25">
      <c r="A71" s="56" t="s">
        <v>153</v>
      </c>
      <c r="D71" s="56">
        <v>4.8811700182815401E-3</v>
      </c>
      <c r="E71" s="56" t="s">
        <v>6</v>
      </c>
      <c r="F71" s="56" t="s">
        <v>66</v>
      </c>
      <c r="G71" s="56" t="s">
        <v>67</v>
      </c>
      <c r="H71" s="56" t="s">
        <v>129</v>
      </c>
    </row>
    <row r="72" spans="1:8" x14ac:dyDescent="0.25">
      <c r="A72" s="56" t="s">
        <v>74</v>
      </c>
      <c r="D72" s="56">
        <v>1.0149999999999999</v>
      </c>
      <c r="E72" s="56" t="s">
        <v>6</v>
      </c>
      <c r="F72" s="56" t="s">
        <v>66</v>
      </c>
      <c r="G72" s="56" t="s">
        <v>67</v>
      </c>
      <c r="H72" s="56" t="s">
        <v>130</v>
      </c>
    </row>
    <row r="73" spans="1:8" x14ac:dyDescent="0.25">
      <c r="A73" s="56" t="s">
        <v>568</v>
      </c>
      <c r="D73" s="56">
        <v>3.04</v>
      </c>
      <c r="E73" s="56" t="s">
        <v>6</v>
      </c>
      <c r="F73" s="56" t="s">
        <v>66</v>
      </c>
      <c r="G73" s="56" t="s">
        <v>67</v>
      </c>
      <c r="H73" s="56" t="s">
        <v>129</v>
      </c>
    </row>
    <row r="74" spans="1:8" x14ac:dyDescent="0.25">
      <c r="A74" s="56" t="s">
        <v>400</v>
      </c>
      <c r="D74" s="56">
        <v>1.27422303473492E-2</v>
      </c>
      <c r="E74" s="56" t="s">
        <v>6</v>
      </c>
      <c r="F74" s="56" t="s">
        <v>66</v>
      </c>
      <c r="G74" s="56" t="s">
        <v>67</v>
      </c>
      <c r="H74" s="56" t="s">
        <v>129</v>
      </c>
    </row>
    <row r="75" spans="1:8" x14ac:dyDescent="0.25">
      <c r="A75" s="56" t="s">
        <v>400</v>
      </c>
      <c r="D75" s="56">
        <v>2.1389396709323602E-6</v>
      </c>
      <c r="E75" s="56" t="s">
        <v>6</v>
      </c>
      <c r="F75" s="56" t="s">
        <v>66</v>
      </c>
      <c r="G75" s="56" t="s">
        <v>67</v>
      </c>
      <c r="H75" s="56" t="s">
        <v>130</v>
      </c>
    </row>
    <row r="76" spans="1:8" x14ac:dyDescent="0.25">
      <c r="A76" s="56" t="s">
        <v>569</v>
      </c>
      <c r="D76" s="56">
        <v>2.35831809872029E-5</v>
      </c>
      <c r="E76" s="56" t="s">
        <v>6</v>
      </c>
      <c r="F76" s="56" t="s">
        <v>66</v>
      </c>
      <c r="G76" s="56" t="s">
        <v>67</v>
      </c>
      <c r="H76" s="56" t="s">
        <v>358</v>
      </c>
    </row>
    <row r="77" spans="1:8" x14ac:dyDescent="0.25">
      <c r="A77" s="56" t="s">
        <v>401</v>
      </c>
      <c r="D77" s="56">
        <v>2.3217550274223001E-3</v>
      </c>
      <c r="E77" s="56" t="s">
        <v>6</v>
      </c>
      <c r="F77" s="56" t="s">
        <v>66</v>
      </c>
      <c r="G77" s="56" t="s">
        <v>67</v>
      </c>
      <c r="H77" s="56" t="s">
        <v>130</v>
      </c>
    </row>
    <row r="78" spans="1:8" x14ac:dyDescent="0.25">
      <c r="A78" s="56" t="s">
        <v>137</v>
      </c>
      <c r="D78" s="56">
        <v>3.6563071297988999E-5</v>
      </c>
      <c r="E78" s="56" t="s">
        <v>6</v>
      </c>
      <c r="F78" s="56" t="s">
        <v>66</v>
      </c>
      <c r="G78" s="56" t="s">
        <v>67</v>
      </c>
      <c r="H78" s="56" t="s">
        <v>129</v>
      </c>
    </row>
    <row r="79" spans="1:8" x14ac:dyDescent="0.25">
      <c r="A79" s="56" t="s">
        <v>350</v>
      </c>
      <c r="D79" s="56">
        <v>9.5429616087751396E-5</v>
      </c>
      <c r="E79" s="56" t="s">
        <v>6</v>
      </c>
      <c r="F79" s="56" t="s">
        <v>66</v>
      </c>
      <c r="G79" s="56" t="s">
        <v>67</v>
      </c>
      <c r="H79" s="56" t="s">
        <v>358</v>
      </c>
    </row>
    <row r="80" spans="1:8" x14ac:dyDescent="0.25">
      <c r="A80" s="56" t="s">
        <v>570</v>
      </c>
      <c r="D80" s="56">
        <v>1.44</v>
      </c>
      <c r="E80" s="56" t="s">
        <v>6</v>
      </c>
      <c r="F80" s="56" t="s">
        <v>66</v>
      </c>
      <c r="G80" s="56" t="s">
        <v>67</v>
      </c>
      <c r="H80" s="56" t="s">
        <v>129</v>
      </c>
    </row>
    <row r="81" spans="1:15" x14ac:dyDescent="0.25">
      <c r="A81" s="56" t="s">
        <v>389</v>
      </c>
      <c r="D81" s="56">
        <v>1.6106032906764198E-5</v>
      </c>
      <c r="E81" s="56" t="s">
        <v>6</v>
      </c>
      <c r="F81" s="56" t="s">
        <v>66</v>
      </c>
      <c r="G81" s="56" t="s">
        <v>67</v>
      </c>
      <c r="H81" s="56" t="s">
        <v>130</v>
      </c>
    </row>
    <row r="82" spans="1:15" x14ac:dyDescent="0.25">
      <c r="A82" s="56" t="s">
        <v>152</v>
      </c>
      <c r="D82" s="56">
        <v>8.0438756855575905E-4</v>
      </c>
      <c r="E82" s="56" t="s">
        <v>6</v>
      </c>
      <c r="F82" s="56" t="s">
        <v>66</v>
      </c>
      <c r="G82" s="56" t="s">
        <v>67</v>
      </c>
      <c r="H82" s="56" t="s">
        <v>129</v>
      </c>
    </row>
    <row r="83" spans="1:15" s="65" customFormat="1" x14ac:dyDescent="0.25"/>
    <row r="84" spans="1:15" x14ac:dyDescent="0.25">
      <c r="A84" s="59" t="s">
        <v>0</v>
      </c>
      <c r="B84" s="59" t="s">
        <v>556</v>
      </c>
    </row>
    <row r="85" spans="1:15" x14ac:dyDescent="0.25">
      <c r="A85" s="60" t="s">
        <v>1</v>
      </c>
      <c r="B85" s="56" t="s">
        <v>571</v>
      </c>
    </row>
    <row r="86" spans="1:15" x14ac:dyDescent="0.25">
      <c r="A86" s="60" t="s">
        <v>2</v>
      </c>
      <c r="B86" s="56" t="s">
        <v>35</v>
      </c>
    </row>
    <row r="87" spans="1:15" x14ac:dyDescent="0.25">
      <c r="A87" s="60" t="s">
        <v>4</v>
      </c>
      <c r="B87" s="56">
        <v>7</v>
      </c>
    </row>
    <row r="88" spans="1:15" x14ac:dyDescent="0.25">
      <c r="A88" s="60" t="s">
        <v>5</v>
      </c>
      <c r="B88" s="56" t="s">
        <v>78</v>
      </c>
    </row>
    <row r="89" spans="1:15" x14ac:dyDescent="0.25">
      <c r="A89" s="60" t="s">
        <v>7</v>
      </c>
      <c r="B89" s="56" t="s">
        <v>8</v>
      </c>
    </row>
    <row r="90" spans="1:15" x14ac:dyDescent="0.25">
      <c r="A90" s="60" t="s">
        <v>9</v>
      </c>
    </row>
    <row r="91" spans="1:15" x14ac:dyDescent="0.25">
      <c r="A91" s="59" t="s">
        <v>10</v>
      </c>
      <c r="B91" s="59" t="s">
        <v>1</v>
      </c>
      <c r="C91" s="59" t="s">
        <v>2</v>
      </c>
      <c r="D91" s="59" t="s">
        <v>4</v>
      </c>
      <c r="E91" s="59" t="s">
        <v>5</v>
      </c>
      <c r="F91" s="59" t="s">
        <v>11</v>
      </c>
      <c r="G91" s="59" t="s">
        <v>12</v>
      </c>
      <c r="H91" s="59" t="s">
        <v>13</v>
      </c>
      <c r="I91" s="59" t="s">
        <v>14</v>
      </c>
      <c r="J91" s="59" t="s">
        <v>15</v>
      </c>
      <c r="K91" s="59" t="s">
        <v>16</v>
      </c>
      <c r="L91" s="59" t="s">
        <v>17</v>
      </c>
      <c r="M91" s="59" t="s">
        <v>18</v>
      </c>
      <c r="N91" s="59" t="s">
        <v>19</v>
      </c>
      <c r="O91" s="59" t="s">
        <v>7</v>
      </c>
    </row>
    <row r="92" spans="1:15" x14ac:dyDescent="0.25">
      <c r="A92" s="56" t="str">
        <f>B84</f>
        <v>Production of heat for the calcination of rare earth oxalates</v>
      </c>
      <c r="B92" s="56" t="str">
        <f>B85</f>
        <v>Heat for the calcination of rare earth oxalates</v>
      </c>
      <c r="C92" s="56" t="str">
        <f>B86</f>
        <v>CN</v>
      </c>
      <c r="D92" s="64">
        <v>7</v>
      </c>
      <c r="E92" s="56" t="str">
        <f>B88</f>
        <v>megajoule</v>
      </c>
      <c r="F92" s="57" t="str">
        <f>F56</f>
        <v>Rare Earths</v>
      </c>
      <c r="G92" s="56" t="s">
        <v>20</v>
      </c>
    </row>
    <row r="93" spans="1:15" x14ac:dyDescent="0.25">
      <c r="A93" s="56" t="s">
        <v>572</v>
      </c>
      <c r="B93" s="56" t="s">
        <v>387</v>
      </c>
      <c r="C93" s="56" t="s">
        <v>573</v>
      </c>
      <c r="D93" s="64">
        <v>1</v>
      </c>
      <c r="E93" s="56" t="s">
        <v>78</v>
      </c>
      <c r="F93" s="56" t="s">
        <v>24</v>
      </c>
      <c r="G93" s="56" t="s">
        <v>25</v>
      </c>
    </row>
    <row r="94" spans="1:15" x14ac:dyDescent="0.25">
      <c r="A94" s="56" t="s">
        <v>572</v>
      </c>
      <c r="B94" s="56" t="s">
        <v>387</v>
      </c>
      <c r="C94" s="56" t="s">
        <v>574</v>
      </c>
      <c r="D94" s="64">
        <v>1</v>
      </c>
      <c r="E94" s="56" t="s">
        <v>78</v>
      </c>
      <c r="F94" s="56" t="s">
        <v>24</v>
      </c>
      <c r="G94" s="56" t="s">
        <v>25</v>
      </c>
    </row>
    <row r="95" spans="1:15" x14ac:dyDescent="0.25">
      <c r="A95" s="56" t="s">
        <v>572</v>
      </c>
      <c r="B95" s="56" t="s">
        <v>387</v>
      </c>
      <c r="C95" s="56" t="s">
        <v>575</v>
      </c>
      <c r="D95" s="64">
        <v>1</v>
      </c>
      <c r="E95" s="56" t="s">
        <v>78</v>
      </c>
      <c r="F95" s="56" t="s">
        <v>24</v>
      </c>
      <c r="G95" s="56" t="s">
        <v>25</v>
      </c>
    </row>
    <row r="96" spans="1:15" x14ac:dyDescent="0.25">
      <c r="A96" s="56" t="s">
        <v>572</v>
      </c>
      <c r="B96" s="56" t="s">
        <v>387</v>
      </c>
      <c r="C96" s="56" t="s">
        <v>576</v>
      </c>
      <c r="D96" s="64">
        <v>1</v>
      </c>
      <c r="E96" s="56" t="s">
        <v>78</v>
      </c>
      <c r="F96" s="56" t="s">
        <v>24</v>
      </c>
      <c r="G96" s="56" t="s">
        <v>25</v>
      </c>
    </row>
    <row r="97" spans="1:15" x14ac:dyDescent="0.25">
      <c r="A97" s="56" t="s">
        <v>572</v>
      </c>
      <c r="B97" s="56" t="s">
        <v>387</v>
      </c>
      <c r="C97" s="56" t="s">
        <v>577</v>
      </c>
      <c r="D97" s="56">
        <v>1</v>
      </c>
      <c r="E97" s="56" t="s">
        <v>78</v>
      </c>
      <c r="F97" s="56" t="s">
        <v>24</v>
      </c>
      <c r="G97" s="56" t="s">
        <v>25</v>
      </c>
    </row>
    <row r="98" spans="1:15" x14ac:dyDescent="0.25">
      <c r="A98" s="56" t="s">
        <v>572</v>
      </c>
      <c r="B98" s="56" t="s">
        <v>387</v>
      </c>
      <c r="C98" s="56" t="s">
        <v>578</v>
      </c>
      <c r="D98" s="56">
        <v>1</v>
      </c>
      <c r="E98" s="56" t="s">
        <v>78</v>
      </c>
      <c r="F98" s="56" t="s">
        <v>24</v>
      </c>
      <c r="G98" s="56" t="s">
        <v>25</v>
      </c>
    </row>
    <row r="99" spans="1:15" x14ac:dyDescent="0.25">
      <c r="A99" s="56" t="s">
        <v>572</v>
      </c>
      <c r="B99" s="56" t="s">
        <v>387</v>
      </c>
      <c r="C99" s="56" t="s">
        <v>579</v>
      </c>
      <c r="D99" s="56">
        <v>1</v>
      </c>
      <c r="E99" s="56" t="s">
        <v>78</v>
      </c>
      <c r="F99" s="56" t="s">
        <v>24</v>
      </c>
      <c r="G99" s="56" t="s">
        <v>25</v>
      </c>
    </row>
    <row r="100" spans="1:15" s="58" customFormat="1" x14ac:dyDescent="0.25"/>
    <row r="101" spans="1:15" x14ac:dyDescent="0.25">
      <c r="A101" s="59" t="s">
        <v>0</v>
      </c>
      <c r="B101" s="59" t="s">
        <v>580</v>
      </c>
    </row>
    <row r="102" spans="1:15" x14ac:dyDescent="0.25">
      <c r="A102" s="60" t="s">
        <v>1</v>
      </c>
      <c r="B102" s="56" t="s">
        <v>243</v>
      </c>
    </row>
    <row r="103" spans="1:15" x14ac:dyDescent="0.25">
      <c r="A103" s="60" t="s">
        <v>2</v>
      </c>
      <c r="B103" s="56" t="s">
        <v>35</v>
      </c>
    </row>
    <row r="104" spans="1:15" x14ac:dyDescent="0.25">
      <c r="A104" s="60" t="s">
        <v>4</v>
      </c>
      <c r="B104" s="56">
        <v>1</v>
      </c>
    </row>
    <row r="105" spans="1:15" x14ac:dyDescent="0.25">
      <c r="A105" s="60" t="s">
        <v>5</v>
      </c>
      <c r="B105" s="56" t="s">
        <v>6</v>
      </c>
    </row>
    <row r="106" spans="1:15" x14ac:dyDescent="0.25">
      <c r="A106" s="60" t="s">
        <v>7</v>
      </c>
      <c r="B106" s="56" t="s">
        <v>8</v>
      </c>
    </row>
    <row r="107" spans="1:15" x14ac:dyDescent="0.25">
      <c r="A107" s="60" t="s">
        <v>9</v>
      </c>
    </row>
    <row r="108" spans="1:15" x14ac:dyDescent="0.25">
      <c r="A108" s="59" t="s">
        <v>10</v>
      </c>
      <c r="B108" s="59" t="s">
        <v>1</v>
      </c>
      <c r="C108" s="59" t="s">
        <v>2</v>
      </c>
      <c r="D108" s="59" t="s">
        <v>4</v>
      </c>
      <c r="E108" s="59" t="s">
        <v>5</v>
      </c>
      <c r="F108" s="59" t="s">
        <v>11</v>
      </c>
      <c r="G108" s="59" t="s">
        <v>12</v>
      </c>
      <c r="H108" s="59" t="s">
        <v>13</v>
      </c>
      <c r="I108" s="59" t="s">
        <v>14</v>
      </c>
      <c r="J108" s="59" t="s">
        <v>15</v>
      </c>
      <c r="K108" s="59" t="s">
        <v>16</v>
      </c>
      <c r="L108" s="59" t="s">
        <v>17</v>
      </c>
      <c r="M108" s="59" t="s">
        <v>18</v>
      </c>
      <c r="N108" s="59" t="s">
        <v>19</v>
      </c>
      <c r="O108" s="59" t="s">
        <v>7</v>
      </c>
    </row>
    <row r="109" spans="1:15" x14ac:dyDescent="0.25">
      <c r="A109" s="56" t="str">
        <f>B101</f>
        <v>REO production from ion-adsorption clays in China</v>
      </c>
      <c r="B109" s="56" t="str">
        <f>B102</f>
        <v>REO</v>
      </c>
      <c r="C109" s="56" t="str">
        <f>B103</f>
        <v>CN</v>
      </c>
      <c r="D109" s="64">
        <v>1</v>
      </c>
      <c r="E109" s="56" t="str">
        <f>B105</f>
        <v>kilogram</v>
      </c>
      <c r="F109" s="57" t="str">
        <f>F56</f>
        <v>Rare Earths</v>
      </c>
      <c r="G109" s="56" t="s">
        <v>20</v>
      </c>
    </row>
    <row r="110" spans="1:15" x14ac:dyDescent="0.25">
      <c r="A110" s="56" t="str">
        <f>A56</f>
        <v>[P] Solvent extraction and calcination (IAC)</v>
      </c>
      <c r="B110" s="56" t="str">
        <f>B56</f>
        <v>Separated RE oxides (REO) mix</v>
      </c>
      <c r="C110" s="56" t="str">
        <f>C56</f>
        <v>CN</v>
      </c>
      <c r="D110" s="56">
        <v>1</v>
      </c>
      <c r="E110" s="56" t="str">
        <f>E56</f>
        <v>kilogram</v>
      </c>
      <c r="F110" s="57" t="str">
        <f>F56</f>
        <v>Rare Earths</v>
      </c>
      <c r="G110" s="56" t="s">
        <v>25</v>
      </c>
    </row>
    <row r="111" spans="1:15" x14ac:dyDescent="0.25">
      <c r="A111" s="56" t="str">
        <f>A9</f>
        <v>[M+C] Mining and in situ leaching from ion adsorption clay (IAC) deposits</v>
      </c>
      <c r="B111" s="56" t="str">
        <f>B9</f>
        <v>Rare Earths (RE) concentrate</v>
      </c>
      <c r="C111" s="56" t="str">
        <f>C9</f>
        <v>CN</v>
      </c>
      <c r="D111" s="56">
        <v>1.1563367252543899</v>
      </c>
      <c r="E111" s="56" t="str">
        <f>E9</f>
        <v>kilogram</v>
      </c>
      <c r="F111" s="57" t="str">
        <f>F9</f>
        <v>Rare Earths</v>
      </c>
      <c r="G111" s="56" t="s">
        <v>25</v>
      </c>
    </row>
    <row r="112" spans="1:15" s="58" customFormat="1" x14ac:dyDescent="0.25"/>
    <row r="113" spans="1:15" x14ac:dyDescent="0.25">
      <c r="A113" s="59" t="s">
        <v>0</v>
      </c>
      <c r="B113" s="59" t="s">
        <v>581</v>
      </c>
    </row>
    <row r="114" spans="1:15" x14ac:dyDescent="0.25">
      <c r="A114" s="60" t="s">
        <v>1</v>
      </c>
      <c r="B114" s="56" t="s">
        <v>271</v>
      </c>
    </row>
    <row r="115" spans="1:15" x14ac:dyDescent="0.25">
      <c r="A115" s="60" t="s">
        <v>2</v>
      </c>
      <c r="B115" s="56" t="s">
        <v>35</v>
      </c>
    </row>
    <row r="116" spans="1:15" x14ac:dyDescent="0.25">
      <c r="A116" s="60" t="s">
        <v>4</v>
      </c>
      <c r="B116" s="56">
        <v>1</v>
      </c>
    </row>
    <row r="117" spans="1:15" x14ac:dyDescent="0.25">
      <c r="A117" s="60" t="s">
        <v>5</v>
      </c>
      <c r="B117" s="56" t="s">
        <v>6</v>
      </c>
    </row>
    <row r="118" spans="1:15" ht="30" x14ac:dyDescent="0.25">
      <c r="A118" s="60" t="s">
        <v>7</v>
      </c>
      <c r="B118" s="67" t="s">
        <v>246</v>
      </c>
    </row>
    <row r="119" spans="1:15" x14ac:dyDescent="0.25">
      <c r="A119" s="60" t="s">
        <v>9</v>
      </c>
    </row>
    <row r="120" spans="1:15" x14ac:dyDescent="0.25">
      <c r="A120" s="59" t="s">
        <v>10</v>
      </c>
      <c r="B120" s="59" t="s">
        <v>1</v>
      </c>
      <c r="C120" s="59" t="s">
        <v>2</v>
      </c>
      <c r="D120" s="59" t="s">
        <v>4</v>
      </c>
      <c r="E120" s="59" t="s">
        <v>5</v>
      </c>
      <c r="F120" s="59" t="s">
        <v>11</v>
      </c>
      <c r="G120" s="59" t="s">
        <v>12</v>
      </c>
      <c r="H120" s="59" t="s">
        <v>13</v>
      </c>
      <c r="I120" s="59" t="s">
        <v>14</v>
      </c>
      <c r="J120" s="59" t="s">
        <v>15</v>
      </c>
      <c r="K120" s="59" t="s">
        <v>16</v>
      </c>
      <c r="L120" s="59" t="s">
        <v>17</v>
      </c>
      <c r="M120" s="59" t="s">
        <v>18</v>
      </c>
      <c r="N120" s="59" t="s">
        <v>19</v>
      </c>
      <c r="O120" s="59" t="s">
        <v>7</v>
      </c>
    </row>
    <row r="121" spans="1:15" x14ac:dyDescent="0.25">
      <c r="A121" s="56" t="str">
        <f>B113</f>
        <v>Neodymium oxide (Nd2O3) production from ion-adsorption clays in China</v>
      </c>
      <c r="B121" s="56" t="str">
        <f>B114</f>
        <v>Nd2O3</v>
      </c>
      <c r="C121" s="56" t="str">
        <f>B115</f>
        <v>CN</v>
      </c>
      <c r="D121" s="64">
        <v>1</v>
      </c>
      <c r="E121" s="56" t="str">
        <f>B117</f>
        <v>kilogram</v>
      </c>
      <c r="F121" s="57" t="str">
        <f>F109</f>
        <v>Rare Earths</v>
      </c>
      <c r="G121" s="56" t="s">
        <v>20</v>
      </c>
    </row>
    <row r="122" spans="1:15" x14ac:dyDescent="0.25">
      <c r="A122" s="56" t="str">
        <f>A109</f>
        <v>REO production from ion-adsorption clays in China</v>
      </c>
      <c r="B122" s="56" t="str">
        <f>B109</f>
        <v>REO</v>
      </c>
      <c r="C122" s="56" t="str">
        <f>C109</f>
        <v>CN</v>
      </c>
      <c r="D122" s="56">
        <v>1.6144472989411673</v>
      </c>
      <c r="E122" s="56" t="str">
        <f>E109</f>
        <v>kilogram</v>
      </c>
      <c r="F122" s="57" t="str">
        <f>F109</f>
        <v>Rare Earths</v>
      </c>
      <c r="G122" s="56" t="s">
        <v>25</v>
      </c>
    </row>
    <row r="123" spans="1:15" s="58" customFormat="1" x14ac:dyDescent="0.25"/>
    <row r="124" spans="1:15" x14ac:dyDescent="0.25">
      <c r="A124" s="59" t="s">
        <v>0</v>
      </c>
      <c r="B124" s="59" t="s">
        <v>582</v>
      </c>
    </row>
    <row r="125" spans="1:15" x14ac:dyDescent="0.25">
      <c r="A125" s="60" t="s">
        <v>1</v>
      </c>
      <c r="B125" s="56" t="s">
        <v>273</v>
      </c>
    </row>
    <row r="126" spans="1:15" x14ac:dyDescent="0.25">
      <c r="A126" s="60" t="s">
        <v>2</v>
      </c>
      <c r="B126" s="56" t="s">
        <v>35</v>
      </c>
    </row>
    <row r="127" spans="1:15" x14ac:dyDescent="0.25">
      <c r="A127" s="60" t="s">
        <v>4</v>
      </c>
      <c r="B127" s="56">
        <v>1</v>
      </c>
    </row>
    <row r="128" spans="1:15" x14ac:dyDescent="0.25">
      <c r="A128" s="60" t="s">
        <v>5</v>
      </c>
      <c r="B128" s="56" t="s">
        <v>6</v>
      </c>
    </row>
    <row r="129" spans="1:15" x14ac:dyDescent="0.25">
      <c r="A129" s="60" t="s">
        <v>7</v>
      </c>
      <c r="B129" s="56" t="s">
        <v>274</v>
      </c>
    </row>
    <row r="130" spans="1:15" x14ac:dyDescent="0.25">
      <c r="A130" s="60" t="s">
        <v>9</v>
      </c>
    </row>
    <row r="131" spans="1:15" x14ac:dyDescent="0.25">
      <c r="A131" s="59" t="s">
        <v>10</v>
      </c>
      <c r="B131" s="59" t="s">
        <v>1</v>
      </c>
      <c r="C131" s="59" t="s">
        <v>2</v>
      </c>
      <c r="D131" s="59" t="s">
        <v>4</v>
      </c>
      <c r="E131" s="59" t="s">
        <v>5</v>
      </c>
      <c r="F131" s="59" t="s">
        <v>11</v>
      </c>
      <c r="G131" s="59" t="s">
        <v>12</v>
      </c>
      <c r="H131" s="59" t="s">
        <v>13</v>
      </c>
      <c r="I131" s="59" t="s">
        <v>14</v>
      </c>
      <c r="J131" s="59" t="s">
        <v>15</v>
      </c>
      <c r="K131" s="59" t="s">
        <v>16</v>
      </c>
      <c r="L131" s="59" t="s">
        <v>17</v>
      </c>
      <c r="M131" s="59" t="s">
        <v>18</v>
      </c>
      <c r="N131" s="59" t="s">
        <v>19</v>
      </c>
      <c r="O131" s="59" t="s">
        <v>7</v>
      </c>
    </row>
    <row r="132" spans="1:15" x14ac:dyDescent="0.25">
      <c r="A132" s="56" t="str">
        <f>B124</f>
        <v>Neodymium oxide (Nd2O3) production from ion-adsorption clays in China (Nd content)</v>
      </c>
      <c r="B132" s="56" t="str">
        <f>B125</f>
        <v>Nd2O3 (Nd content)</v>
      </c>
      <c r="C132" s="56" t="str">
        <f>B126</f>
        <v>CN</v>
      </c>
      <c r="D132" s="64">
        <v>1</v>
      </c>
      <c r="E132" s="56" t="str">
        <f>B128</f>
        <v>kilogram</v>
      </c>
      <c r="F132" s="57" t="str">
        <f>F121</f>
        <v>Rare Earths</v>
      </c>
      <c r="G132" s="56" t="s">
        <v>20</v>
      </c>
    </row>
    <row r="133" spans="1:15" x14ac:dyDescent="0.25">
      <c r="A133" s="56" t="str">
        <f>A121</f>
        <v>Neodymium oxide (Nd2O3) production from ion-adsorption clays in China</v>
      </c>
      <c r="B133" s="56" t="str">
        <f t="shared" ref="B133:F133" si="2">B121</f>
        <v>Nd2O3</v>
      </c>
      <c r="C133" s="56" t="str">
        <f t="shared" si="2"/>
        <v>CN</v>
      </c>
      <c r="D133" s="56">
        <v>1.1663167716351761</v>
      </c>
      <c r="E133" s="56" t="str">
        <f t="shared" si="2"/>
        <v>kilogram</v>
      </c>
      <c r="F133" s="57" t="str">
        <f t="shared" si="2"/>
        <v>Rare Earths</v>
      </c>
      <c r="G133" s="56" t="s">
        <v>25</v>
      </c>
    </row>
    <row r="134" spans="1:15" s="58" customFormat="1" x14ac:dyDescent="0.25"/>
    <row r="135" spans="1:15" x14ac:dyDescent="0.25">
      <c r="A135" s="59" t="s">
        <v>0</v>
      </c>
      <c r="B135" s="59" t="s">
        <v>583</v>
      </c>
    </row>
    <row r="136" spans="1:15" x14ac:dyDescent="0.25">
      <c r="A136" s="60" t="s">
        <v>1</v>
      </c>
      <c r="B136" s="56" t="s">
        <v>245</v>
      </c>
    </row>
    <row r="137" spans="1:15" x14ac:dyDescent="0.25">
      <c r="A137" s="60" t="s">
        <v>2</v>
      </c>
      <c r="B137" s="56" t="s">
        <v>35</v>
      </c>
    </row>
    <row r="138" spans="1:15" x14ac:dyDescent="0.25">
      <c r="A138" s="60" t="s">
        <v>4</v>
      </c>
      <c r="B138" s="56">
        <v>1</v>
      </c>
    </row>
    <row r="139" spans="1:15" x14ac:dyDescent="0.25">
      <c r="A139" s="60" t="s">
        <v>5</v>
      </c>
      <c r="B139" s="56" t="s">
        <v>6</v>
      </c>
    </row>
    <row r="140" spans="1:15" ht="30" x14ac:dyDescent="0.25">
      <c r="A140" s="60" t="s">
        <v>7</v>
      </c>
      <c r="B140" s="67" t="s">
        <v>246</v>
      </c>
    </row>
    <row r="141" spans="1:15" x14ac:dyDescent="0.25">
      <c r="A141" s="60" t="s">
        <v>9</v>
      </c>
    </row>
    <row r="142" spans="1:15" x14ac:dyDescent="0.25">
      <c r="A142" s="59" t="s">
        <v>10</v>
      </c>
      <c r="B142" s="59" t="s">
        <v>1</v>
      </c>
      <c r="C142" s="59" t="s">
        <v>2</v>
      </c>
      <c r="D142" s="59" t="s">
        <v>4</v>
      </c>
      <c r="E142" s="59" t="s">
        <v>5</v>
      </c>
      <c r="F142" s="59" t="s">
        <v>11</v>
      </c>
      <c r="G142" s="59" t="s">
        <v>12</v>
      </c>
      <c r="H142" s="59" t="s">
        <v>13</v>
      </c>
      <c r="I142" s="59" t="s">
        <v>14</v>
      </c>
      <c r="J142" s="59" t="s">
        <v>15</v>
      </c>
      <c r="K142" s="59" t="s">
        <v>16</v>
      </c>
      <c r="L142" s="59" t="s">
        <v>17</v>
      </c>
      <c r="M142" s="59" t="s">
        <v>18</v>
      </c>
      <c r="N142" s="59" t="s">
        <v>19</v>
      </c>
      <c r="O142" s="59" t="s">
        <v>7</v>
      </c>
    </row>
    <row r="143" spans="1:15" x14ac:dyDescent="0.25">
      <c r="A143" s="56" t="str">
        <f>B135</f>
        <v>Cerium oxide (CeO2) production from ion-adsorption clays in China</v>
      </c>
      <c r="B143" s="56" t="str">
        <f>B136</f>
        <v>CeO2</v>
      </c>
      <c r="C143" s="56" t="str">
        <f>B137</f>
        <v>CN</v>
      </c>
      <c r="D143" s="64">
        <v>1</v>
      </c>
      <c r="E143" s="56" t="str">
        <f>B139</f>
        <v>kilogram</v>
      </c>
      <c r="F143" s="57" t="str">
        <f>F132</f>
        <v>Rare Earths</v>
      </c>
      <c r="G143" s="56" t="s">
        <v>20</v>
      </c>
    </row>
    <row r="144" spans="1:15" x14ac:dyDescent="0.25">
      <c r="A144" s="56" t="str">
        <f>A109</f>
        <v>REO production from ion-adsorption clays in China</v>
      </c>
      <c r="B144" s="56" t="str">
        <f>B109</f>
        <v>REO</v>
      </c>
      <c r="C144" s="56" t="str">
        <f>C109</f>
        <v>CN</v>
      </c>
      <c r="D144" s="56">
        <v>6.4230931310202757E-2</v>
      </c>
      <c r="E144" s="56" t="str">
        <f>E109</f>
        <v>kilogram</v>
      </c>
      <c r="F144" s="57" t="str">
        <f>F109</f>
        <v>Rare Earths</v>
      </c>
      <c r="G144" s="56" t="s">
        <v>25</v>
      </c>
    </row>
    <row r="145" spans="1:15" s="58" customFormat="1" x14ac:dyDescent="0.25"/>
    <row r="146" spans="1:15" x14ac:dyDescent="0.25">
      <c r="A146" s="59" t="s">
        <v>0</v>
      </c>
      <c r="B146" s="59" t="s">
        <v>584</v>
      </c>
    </row>
    <row r="147" spans="1:15" x14ac:dyDescent="0.25">
      <c r="A147" s="60" t="s">
        <v>1</v>
      </c>
      <c r="B147" s="56" t="s">
        <v>248</v>
      </c>
    </row>
    <row r="148" spans="1:15" x14ac:dyDescent="0.25">
      <c r="A148" s="60" t="s">
        <v>2</v>
      </c>
      <c r="B148" s="56" t="s">
        <v>35</v>
      </c>
    </row>
    <row r="149" spans="1:15" x14ac:dyDescent="0.25">
      <c r="A149" s="60" t="s">
        <v>4</v>
      </c>
      <c r="B149" s="56">
        <v>1</v>
      </c>
    </row>
    <row r="150" spans="1:15" x14ac:dyDescent="0.25">
      <c r="A150" s="60" t="s">
        <v>5</v>
      </c>
      <c r="B150" s="56" t="s">
        <v>6</v>
      </c>
    </row>
    <row r="151" spans="1:15" x14ac:dyDescent="0.25">
      <c r="A151" s="60" t="s">
        <v>7</v>
      </c>
      <c r="B151" s="56" t="s">
        <v>249</v>
      </c>
    </row>
    <row r="152" spans="1:15" x14ac:dyDescent="0.25">
      <c r="A152" s="60" t="s">
        <v>9</v>
      </c>
    </row>
    <row r="153" spans="1:15" x14ac:dyDescent="0.25">
      <c r="A153" s="59" t="s">
        <v>10</v>
      </c>
      <c r="B153" s="59" t="s">
        <v>1</v>
      </c>
      <c r="C153" s="59" t="s">
        <v>2</v>
      </c>
      <c r="D153" s="59" t="s">
        <v>4</v>
      </c>
      <c r="E153" s="59" t="s">
        <v>5</v>
      </c>
      <c r="F153" s="59" t="s">
        <v>11</v>
      </c>
      <c r="G153" s="59" t="s">
        <v>12</v>
      </c>
      <c r="H153" s="59" t="s">
        <v>13</v>
      </c>
      <c r="I153" s="59" t="s">
        <v>14</v>
      </c>
      <c r="J153" s="59" t="s">
        <v>15</v>
      </c>
      <c r="K153" s="59" t="s">
        <v>16</v>
      </c>
      <c r="L153" s="59" t="s">
        <v>17</v>
      </c>
      <c r="M153" s="59" t="s">
        <v>18</v>
      </c>
      <c r="N153" s="59" t="s">
        <v>19</v>
      </c>
      <c r="O153" s="59" t="s">
        <v>7</v>
      </c>
    </row>
    <row r="154" spans="1:15" x14ac:dyDescent="0.25">
      <c r="A154" s="56" t="str">
        <f>B146</f>
        <v>Cerium oxide (CeO2) production from ion-adsorption clays in China (Ce content)</v>
      </c>
      <c r="B154" s="56" t="str">
        <f>B147</f>
        <v>CeO2 (Ce content)</v>
      </c>
      <c r="C154" s="56" t="str">
        <f>B148</f>
        <v>CN</v>
      </c>
      <c r="D154" s="64">
        <v>1</v>
      </c>
      <c r="E154" s="56" t="str">
        <f>B150</f>
        <v>kilogram</v>
      </c>
      <c r="F154" s="57" t="str">
        <f>F143</f>
        <v>Rare Earths</v>
      </c>
      <c r="G154" s="56" t="s">
        <v>20</v>
      </c>
    </row>
    <row r="155" spans="1:15" x14ac:dyDescent="0.25">
      <c r="A155" s="56" t="str">
        <f>A143</f>
        <v>Cerium oxide (CeO2) production from ion-adsorption clays in China</v>
      </c>
      <c r="B155" s="56" t="str">
        <f t="shared" ref="B155:F155" si="3">B143</f>
        <v>CeO2</v>
      </c>
      <c r="C155" s="56" t="str">
        <f t="shared" si="3"/>
        <v>CN</v>
      </c>
      <c r="D155" s="56">
        <v>1.2283503255128363</v>
      </c>
      <c r="E155" s="56" t="str">
        <f t="shared" si="3"/>
        <v>kilogram</v>
      </c>
      <c r="F155" s="57" t="str">
        <f t="shared" si="3"/>
        <v>Rare Earths</v>
      </c>
      <c r="G155" s="56" t="s">
        <v>25</v>
      </c>
    </row>
    <row r="156" spans="1:15" s="58" customFormat="1" x14ac:dyDescent="0.25"/>
    <row r="157" spans="1:15" x14ac:dyDescent="0.25">
      <c r="A157" s="59" t="s">
        <v>0</v>
      </c>
      <c r="B157" s="59" t="s">
        <v>585</v>
      </c>
    </row>
    <row r="158" spans="1:15" x14ac:dyDescent="0.25">
      <c r="A158" s="60" t="s">
        <v>1</v>
      </c>
      <c r="B158" s="56" t="s">
        <v>423</v>
      </c>
    </row>
    <row r="159" spans="1:15" x14ac:dyDescent="0.25">
      <c r="A159" s="60" t="s">
        <v>2</v>
      </c>
      <c r="B159" s="56" t="s">
        <v>35</v>
      </c>
    </row>
    <row r="160" spans="1:15" x14ac:dyDescent="0.25">
      <c r="A160" s="60" t="s">
        <v>4</v>
      </c>
      <c r="B160" s="56">
        <v>1</v>
      </c>
    </row>
    <row r="161" spans="1:15" x14ac:dyDescent="0.25">
      <c r="A161" s="60" t="s">
        <v>5</v>
      </c>
      <c r="B161" s="56" t="s">
        <v>6</v>
      </c>
    </row>
    <row r="162" spans="1:15" ht="30" x14ac:dyDescent="0.25">
      <c r="A162" s="60" t="s">
        <v>7</v>
      </c>
      <c r="B162" s="67" t="s">
        <v>246</v>
      </c>
    </row>
    <row r="163" spans="1:15" x14ac:dyDescent="0.25">
      <c r="A163" s="60" t="s">
        <v>9</v>
      </c>
    </row>
    <row r="164" spans="1:15" x14ac:dyDescent="0.25">
      <c r="A164" s="59" t="s">
        <v>10</v>
      </c>
      <c r="B164" s="59" t="s">
        <v>1</v>
      </c>
      <c r="C164" s="59" t="s">
        <v>2</v>
      </c>
      <c r="D164" s="59" t="s">
        <v>4</v>
      </c>
      <c r="E164" s="59" t="s">
        <v>5</v>
      </c>
      <c r="F164" s="59" t="s">
        <v>11</v>
      </c>
      <c r="G164" s="59" t="s">
        <v>12</v>
      </c>
      <c r="H164" s="59" t="s">
        <v>13</v>
      </c>
      <c r="I164" s="59" t="s">
        <v>14</v>
      </c>
      <c r="J164" s="59" t="s">
        <v>15</v>
      </c>
      <c r="K164" s="59" t="s">
        <v>16</v>
      </c>
      <c r="L164" s="59" t="s">
        <v>17</v>
      </c>
      <c r="M164" s="59" t="s">
        <v>18</v>
      </c>
      <c r="N164" s="59" t="s">
        <v>19</v>
      </c>
      <c r="O164" s="59" t="s">
        <v>7</v>
      </c>
    </row>
    <row r="165" spans="1:15" x14ac:dyDescent="0.25">
      <c r="A165" s="56" t="str">
        <f>B157</f>
        <v>Dysprosium oxide (Dy2O3) production from ion-adsorption clays in China</v>
      </c>
      <c r="B165" s="56" t="str">
        <f>B158</f>
        <v>Dy2O3</v>
      </c>
      <c r="C165" s="56" t="str">
        <f>B159</f>
        <v>CN</v>
      </c>
      <c r="D165" s="64">
        <v>1</v>
      </c>
      <c r="E165" s="56" t="str">
        <f>B161</f>
        <v>kilogram</v>
      </c>
      <c r="F165" s="57" t="str">
        <f>F154</f>
        <v>Rare Earths</v>
      </c>
      <c r="G165" s="56" t="s">
        <v>20</v>
      </c>
    </row>
    <row r="166" spans="1:15" x14ac:dyDescent="0.25">
      <c r="A166" s="56" t="str">
        <f>A109</f>
        <v>REO production from ion-adsorption clays in China</v>
      </c>
      <c r="B166" s="56" t="str">
        <f>B109</f>
        <v>REO</v>
      </c>
      <c r="C166" s="56" t="str">
        <f>C109</f>
        <v>CN</v>
      </c>
      <c r="D166" s="56">
        <v>6.6992853346335393</v>
      </c>
      <c r="E166" s="56" t="str">
        <f>E109</f>
        <v>kilogram</v>
      </c>
      <c r="F166" s="57" t="str">
        <f>F109</f>
        <v>Rare Earths</v>
      </c>
      <c r="G166" s="56" t="s">
        <v>25</v>
      </c>
    </row>
    <row r="167" spans="1:15" s="58" customFormat="1" x14ac:dyDescent="0.25"/>
    <row r="168" spans="1:15" x14ac:dyDescent="0.25">
      <c r="A168" s="59" t="s">
        <v>0</v>
      </c>
      <c r="B168" s="59" t="s">
        <v>586</v>
      </c>
    </row>
    <row r="169" spans="1:15" x14ac:dyDescent="0.25">
      <c r="A169" s="60" t="s">
        <v>1</v>
      </c>
      <c r="B169" s="56" t="s">
        <v>425</v>
      </c>
    </row>
    <row r="170" spans="1:15" x14ac:dyDescent="0.25">
      <c r="A170" s="60" t="s">
        <v>2</v>
      </c>
      <c r="B170" s="56" t="s">
        <v>35</v>
      </c>
    </row>
    <row r="171" spans="1:15" x14ac:dyDescent="0.25">
      <c r="A171" s="60" t="s">
        <v>4</v>
      </c>
      <c r="B171" s="56">
        <v>1</v>
      </c>
    </row>
    <row r="172" spans="1:15" x14ac:dyDescent="0.25">
      <c r="A172" s="60" t="s">
        <v>5</v>
      </c>
      <c r="B172" s="56" t="s">
        <v>6</v>
      </c>
    </row>
    <row r="173" spans="1:15" x14ac:dyDescent="0.25">
      <c r="A173" s="60" t="s">
        <v>7</v>
      </c>
      <c r="B173" s="56" t="s">
        <v>426</v>
      </c>
    </row>
    <row r="174" spans="1:15" x14ac:dyDescent="0.25">
      <c r="A174" s="60" t="s">
        <v>9</v>
      </c>
    </row>
    <row r="175" spans="1:15" x14ac:dyDescent="0.25">
      <c r="A175" s="59" t="s">
        <v>10</v>
      </c>
      <c r="B175" s="59" t="s">
        <v>1</v>
      </c>
      <c r="C175" s="59" t="s">
        <v>2</v>
      </c>
      <c r="D175" s="59" t="s">
        <v>4</v>
      </c>
      <c r="E175" s="59" t="s">
        <v>5</v>
      </c>
      <c r="F175" s="59" t="s">
        <v>11</v>
      </c>
      <c r="G175" s="59" t="s">
        <v>12</v>
      </c>
      <c r="H175" s="59" t="s">
        <v>13</v>
      </c>
      <c r="I175" s="59" t="s">
        <v>14</v>
      </c>
      <c r="J175" s="59" t="s">
        <v>15</v>
      </c>
      <c r="K175" s="59" t="s">
        <v>16</v>
      </c>
      <c r="L175" s="59" t="s">
        <v>17</v>
      </c>
      <c r="M175" s="59" t="s">
        <v>18</v>
      </c>
      <c r="N175" s="59" t="s">
        <v>19</v>
      </c>
      <c r="O175" s="59" t="s">
        <v>7</v>
      </c>
    </row>
    <row r="176" spans="1:15" x14ac:dyDescent="0.25">
      <c r="A176" s="56" t="str">
        <f>B168</f>
        <v>Dysprosium oxide (Dy2O3) production in from ion-adsorption clays in China (Dy content)</v>
      </c>
      <c r="B176" s="56" t="str">
        <f>B169</f>
        <v>Dy2O3 (Dy content)</v>
      </c>
      <c r="C176" s="56" t="str">
        <f>B170</f>
        <v>CN</v>
      </c>
      <c r="D176" s="64">
        <v>1</v>
      </c>
      <c r="E176" s="56" t="str">
        <f>B172</f>
        <v>kilogram</v>
      </c>
      <c r="F176" s="57" t="str">
        <f>F165</f>
        <v>Rare Earths</v>
      </c>
      <c r="G176" s="56" t="s">
        <v>20</v>
      </c>
    </row>
    <row r="177" spans="1:15" x14ac:dyDescent="0.25">
      <c r="A177" s="56" t="str">
        <f>A165</f>
        <v>Dysprosium oxide (Dy2O3) production from ion-adsorption clays in China</v>
      </c>
      <c r="B177" s="56" t="str">
        <f t="shared" ref="B177:F177" si="4">B165</f>
        <v>Dy2O3</v>
      </c>
      <c r="C177" s="56" t="str">
        <f t="shared" si="4"/>
        <v>CN</v>
      </c>
      <c r="D177" s="56">
        <v>1.1477103179157582</v>
      </c>
      <c r="E177" s="56" t="str">
        <f t="shared" si="4"/>
        <v>kilogram</v>
      </c>
      <c r="F177" s="57" t="str">
        <f t="shared" si="4"/>
        <v>Rare Earths</v>
      </c>
      <c r="G177" s="56" t="s">
        <v>25</v>
      </c>
    </row>
    <row r="178" spans="1:15" s="58" customFormat="1" x14ac:dyDescent="0.25"/>
    <row r="179" spans="1:15" x14ac:dyDescent="0.25">
      <c r="A179" s="59" t="s">
        <v>0</v>
      </c>
      <c r="B179" s="59" t="s">
        <v>587</v>
      </c>
    </row>
    <row r="180" spans="1:15" x14ac:dyDescent="0.25">
      <c r="A180" s="60" t="s">
        <v>1</v>
      </c>
      <c r="B180" s="56" t="s">
        <v>251</v>
      </c>
    </row>
    <row r="181" spans="1:15" x14ac:dyDescent="0.25">
      <c r="A181" s="60" t="s">
        <v>2</v>
      </c>
      <c r="B181" s="56" t="s">
        <v>35</v>
      </c>
    </row>
    <row r="182" spans="1:15" x14ac:dyDescent="0.25">
      <c r="A182" s="60" t="s">
        <v>4</v>
      </c>
      <c r="B182" s="56">
        <v>1</v>
      </c>
    </row>
    <row r="183" spans="1:15" x14ac:dyDescent="0.25">
      <c r="A183" s="60" t="s">
        <v>5</v>
      </c>
      <c r="B183" s="56" t="s">
        <v>6</v>
      </c>
    </row>
    <row r="184" spans="1:15" ht="30" x14ac:dyDescent="0.25">
      <c r="A184" s="60" t="s">
        <v>7</v>
      </c>
      <c r="B184" s="67" t="s">
        <v>246</v>
      </c>
    </row>
    <row r="185" spans="1:15" x14ac:dyDescent="0.25">
      <c r="A185" s="60" t="s">
        <v>9</v>
      </c>
    </row>
    <row r="186" spans="1:15" x14ac:dyDescent="0.25">
      <c r="A186" s="59" t="s">
        <v>10</v>
      </c>
      <c r="B186" s="59" t="s">
        <v>1</v>
      </c>
      <c r="C186" s="59" t="s">
        <v>2</v>
      </c>
      <c r="D186" s="59" t="s">
        <v>4</v>
      </c>
      <c r="E186" s="59" t="s">
        <v>5</v>
      </c>
      <c r="F186" s="59" t="s">
        <v>11</v>
      </c>
      <c r="G186" s="59" t="s">
        <v>12</v>
      </c>
      <c r="H186" s="59" t="s">
        <v>13</v>
      </c>
      <c r="I186" s="59" t="s">
        <v>14</v>
      </c>
      <c r="J186" s="59" t="s">
        <v>15</v>
      </c>
      <c r="K186" s="59" t="s">
        <v>16</v>
      </c>
      <c r="L186" s="59" t="s">
        <v>17</v>
      </c>
      <c r="M186" s="59" t="s">
        <v>18</v>
      </c>
      <c r="N186" s="59" t="s">
        <v>19</v>
      </c>
      <c r="O186" s="59" t="s">
        <v>7</v>
      </c>
    </row>
    <row r="187" spans="1:15" x14ac:dyDescent="0.25">
      <c r="A187" s="56" t="str">
        <f>B179</f>
        <v>Erbium oxide (Er2O3) production from ion-adsorption clays in China</v>
      </c>
      <c r="B187" s="56" t="str">
        <f>B180</f>
        <v>Er2O3</v>
      </c>
      <c r="C187" s="56" t="str">
        <f>B181</f>
        <v>CN</v>
      </c>
      <c r="D187" s="64">
        <v>1</v>
      </c>
      <c r="E187" s="56" t="str">
        <f>B183</f>
        <v>kilogram</v>
      </c>
      <c r="F187" s="57" t="str">
        <f>F176</f>
        <v>Rare Earths</v>
      </c>
      <c r="G187" s="56" t="s">
        <v>20</v>
      </c>
    </row>
    <row r="188" spans="1:15" x14ac:dyDescent="0.25">
      <c r="A188" s="56" t="str">
        <f>A109</f>
        <v>REO production from ion-adsorption clays in China</v>
      </c>
      <c r="B188" s="56" t="str">
        <f>B109</f>
        <v>REO</v>
      </c>
      <c r="C188" s="56" t="str">
        <f>C109</f>
        <v>CN</v>
      </c>
      <c r="D188" s="56">
        <v>0.91261214845624994</v>
      </c>
      <c r="E188" s="56" t="str">
        <f>E109</f>
        <v>kilogram</v>
      </c>
      <c r="F188" s="57" t="str">
        <f>F109</f>
        <v>Rare Earths</v>
      </c>
      <c r="G188" s="56" t="s">
        <v>25</v>
      </c>
    </row>
    <row r="189" spans="1:15" s="58" customFormat="1" x14ac:dyDescent="0.25"/>
    <row r="190" spans="1:15" x14ac:dyDescent="0.25">
      <c r="A190" s="59" t="s">
        <v>0</v>
      </c>
      <c r="B190" s="59" t="s">
        <v>588</v>
      </c>
    </row>
    <row r="191" spans="1:15" x14ac:dyDescent="0.25">
      <c r="A191" s="60" t="s">
        <v>1</v>
      </c>
      <c r="B191" s="56" t="s">
        <v>253</v>
      </c>
    </row>
    <row r="192" spans="1:15" x14ac:dyDescent="0.25">
      <c r="A192" s="60" t="s">
        <v>2</v>
      </c>
      <c r="B192" s="56" t="s">
        <v>35</v>
      </c>
    </row>
    <row r="193" spans="1:15" x14ac:dyDescent="0.25">
      <c r="A193" s="60" t="s">
        <v>4</v>
      </c>
      <c r="B193" s="56">
        <v>1</v>
      </c>
    </row>
    <row r="194" spans="1:15" x14ac:dyDescent="0.25">
      <c r="A194" s="60" t="s">
        <v>5</v>
      </c>
      <c r="B194" s="56" t="s">
        <v>6</v>
      </c>
    </row>
    <row r="195" spans="1:15" x14ac:dyDescent="0.25">
      <c r="A195" s="60" t="s">
        <v>7</v>
      </c>
      <c r="B195" s="56" t="s">
        <v>254</v>
      </c>
    </row>
    <row r="196" spans="1:15" x14ac:dyDescent="0.25">
      <c r="A196" s="60" t="s">
        <v>9</v>
      </c>
    </row>
    <row r="197" spans="1:15" x14ac:dyDescent="0.25">
      <c r="A197" s="59" t="s">
        <v>10</v>
      </c>
      <c r="B197" s="59" t="s">
        <v>1</v>
      </c>
      <c r="C197" s="59" t="s">
        <v>2</v>
      </c>
      <c r="D197" s="59" t="s">
        <v>4</v>
      </c>
      <c r="E197" s="59" t="s">
        <v>5</v>
      </c>
      <c r="F197" s="59" t="s">
        <v>11</v>
      </c>
      <c r="G197" s="59" t="s">
        <v>12</v>
      </c>
      <c r="H197" s="59" t="s">
        <v>13</v>
      </c>
      <c r="I197" s="59" t="s">
        <v>14</v>
      </c>
      <c r="J197" s="59" t="s">
        <v>15</v>
      </c>
      <c r="K197" s="59" t="s">
        <v>16</v>
      </c>
      <c r="L197" s="59" t="s">
        <v>17</v>
      </c>
      <c r="M197" s="59" t="s">
        <v>18</v>
      </c>
      <c r="N197" s="59" t="s">
        <v>19</v>
      </c>
      <c r="O197" s="59" t="s">
        <v>7</v>
      </c>
    </row>
    <row r="198" spans="1:15" x14ac:dyDescent="0.25">
      <c r="A198" s="56" t="str">
        <f>B190</f>
        <v>Erbium oxide (Er2O3) production from ion-adsorption clays in China (Er content)</v>
      </c>
      <c r="B198" s="56" t="str">
        <f>B191</f>
        <v>Er2O3 (Er content)</v>
      </c>
      <c r="C198" s="56" t="str">
        <f>B192</f>
        <v>CN</v>
      </c>
      <c r="D198" s="64">
        <v>1</v>
      </c>
      <c r="E198" s="56" t="str">
        <f>B194</f>
        <v>kilogram</v>
      </c>
      <c r="F198" s="57" t="str">
        <f>F187</f>
        <v>Rare Earths</v>
      </c>
      <c r="G198" s="56" t="s">
        <v>20</v>
      </c>
    </row>
    <row r="199" spans="1:15" x14ac:dyDescent="0.25">
      <c r="A199" s="56" t="str">
        <f>A187</f>
        <v>Erbium oxide (Er2O3) production from ion-adsorption clays in China</v>
      </c>
      <c r="B199" s="56" t="str">
        <f t="shared" ref="B199:F199" si="5">B187</f>
        <v>Er2O3</v>
      </c>
      <c r="C199" s="56" t="str">
        <f t="shared" si="5"/>
        <v>CN</v>
      </c>
      <c r="D199" s="56">
        <v>1.1435105774728416</v>
      </c>
      <c r="E199" s="56" t="str">
        <f t="shared" si="5"/>
        <v>kilogram</v>
      </c>
      <c r="F199" s="57" t="str">
        <f t="shared" si="5"/>
        <v>Rare Earths</v>
      </c>
      <c r="G199" s="56" t="s">
        <v>25</v>
      </c>
    </row>
    <row r="200" spans="1:15" s="58" customFormat="1" x14ac:dyDescent="0.25"/>
    <row r="201" spans="1:15" x14ac:dyDescent="0.25">
      <c r="A201" s="59" t="s">
        <v>0</v>
      </c>
      <c r="B201" s="59" t="s">
        <v>589</v>
      </c>
    </row>
    <row r="202" spans="1:15" x14ac:dyDescent="0.25">
      <c r="A202" s="60" t="s">
        <v>1</v>
      </c>
      <c r="B202" s="56" t="s">
        <v>256</v>
      </c>
    </row>
    <row r="203" spans="1:15" x14ac:dyDescent="0.25">
      <c r="A203" s="60" t="s">
        <v>2</v>
      </c>
      <c r="B203" s="56" t="s">
        <v>35</v>
      </c>
    </row>
    <row r="204" spans="1:15" x14ac:dyDescent="0.25">
      <c r="A204" s="60" t="s">
        <v>4</v>
      </c>
      <c r="B204" s="56">
        <v>1</v>
      </c>
    </row>
    <row r="205" spans="1:15" x14ac:dyDescent="0.25">
      <c r="A205" s="60" t="s">
        <v>5</v>
      </c>
      <c r="B205" s="56" t="s">
        <v>6</v>
      </c>
    </row>
    <row r="206" spans="1:15" ht="30" x14ac:dyDescent="0.25">
      <c r="A206" s="60" t="s">
        <v>7</v>
      </c>
      <c r="B206" s="67" t="s">
        <v>246</v>
      </c>
    </row>
    <row r="207" spans="1:15" x14ac:dyDescent="0.25">
      <c r="A207" s="60" t="s">
        <v>9</v>
      </c>
    </row>
    <row r="208" spans="1:15" x14ac:dyDescent="0.25">
      <c r="A208" s="59" t="s">
        <v>10</v>
      </c>
      <c r="B208" s="59" t="s">
        <v>1</v>
      </c>
      <c r="C208" s="59" t="s">
        <v>2</v>
      </c>
      <c r="D208" s="59" t="s">
        <v>4</v>
      </c>
      <c r="E208" s="59" t="s">
        <v>5</v>
      </c>
      <c r="F208" s="59" t="s">
        <v>11</v>
      </c>
      <c r="G208" s="59" t="s">
        <v>12</v>
      </c>
      <c r="H208" s="59" t="s">
        <v>13</v>
      </c>
      <c r="I208" s="59" t="s">
        <v>14</v>
      </c>
      <c r="J208" s="59" t="s">
        <v>15</v>
      </c>
      <c r="K208" s="59" t="s">
        <v>16</v>
      </c>
      <c r="L208" s="59" t="s">
        <v>17</v>
      </c>
      <c r="M208" s="59" t="s">
        <v>18</v>
      </c>
      <c r="N208" s="59" t="s">
        <v>19</v>
      </c>
      <c r="O208" s="59" t="s">
        <v>7</v>
      </c>
    </row>
    <row r="209" spans="1:15" x14ac:dyDescent="0.25">
      <c r="A209" s="56" t="str">
        <f>B201</f>
        <v>Europium oxide (Eu2O3) production from ion-adsorption clays in China</v>
      </c>
      <c r="B209" s="56" t="str">
        <f>B202</f>
        <v>Eu2O3</v>
      </c>
      <c r="C209" s="56" t="str">
        <f>B203</f>
        <v>CN</v>
      </c>
      <c r="D209" s="64">
        <v>1</v>
      </c>
      <c r="E209" s="56" t="str">
        <f>B205</f>
        <v>kilogram</v>
      </c>
      <c r="F209" s="57" t="str">
        <f>F198</f>
        <v>Rare Earths</v>
      </c>
      <c r="G209" s="56" t="s">
        <v>20</v>
      </c>
    </row>
    <row r="210" spans="1:15" x14ac:dyDescent="0.25">
      <c r="A210" s="56" t="str">
        <f>A109</f>
        <v>REO production from ion-adsorption clays in China</v>
      </c>
      <c r="B210" s="56" t="str">
        <f>B109</f>
        <v>REO</v>
      </c>
      <c r="C210" s="56" t="str">
        <f>C109</f>
        <v>CN</v>
      </c>
      <c r="D210" s="56">
        <v>5.4479824532608427</v>
      </c>
      <c r="E210" s="56" t="str">
        <f>E109</f>
        <v>kilogram</v>
      </c>
      <c r="F210" s="57" t="str">
        <f>F109</f>
        <v>Rare Earths</v>
      </c>
      <c r="G210" s="56" t="s">
        <v>25</v>
      </c>
    </row>
    <row r="211" spans="1:15" s="58" customFormat="1" x14ac:dyDescent="0.25"/>
    <row r="212" spans="1:15" x14ac:dyDescent="0.25">
      <c r="A212" s="59" t="s">
        <v>0</v>
      </c>
      <c r="B212" s="59" t="s">
        <v>590</v>
      </c>
    </row>
    <row r="213" spans="1:15" x14ac:dyDescent="0.25">
      <c r="A213" s="60" t="s">
        <v>1</v>
      </c>
      <c r="B213" s="56" t="s">
        <v>258</v>
      </c>
    </row>
    <row r="214" spans="1:15" x14ac:dyDescent="0.25">
      <c r="A214" s="60" t="s">
        <v>2</v>
      </c>
      <c r="B214" s="56" t="s">
        <v>35</v>
      </c>
    </row>
    <row r="215" spans="1:15" x14ac:dyDescent="0.25">
      <c r="A215" s="60" t="s">
        <v>4</v>
      </c>
      <c r="B215" s="56">
        <v>1</v>
      </c>
    </row>
    <row r="216" spans="1:15" x14ac:dyDescent="0.25">
      <c r="A216" s="60" t="s">
        <v>5</v>
      </c>
      <c r="B216" s="56" t="s">
        <v>6</v>
      </c>
    </row>
    <row r="217" spans="1:15" x14ac:dyDescent="0.25">
      <c r="A217" s="60" t="s">
        <v>7</v>
      </c>
      <c r="B217" s="56" t="s">
        <v>263</v>
      </c>
    </row>
    <row r="218" spans="1:15" x14ac:dyDescent="0.25">
      <c r="A218" s="60" t="s">
        <v>9</v>
      </c>
    </row>
    <row r="219" spans="1:15" x14ac:dyDescent="0.25">
      <c r="A219" s="59" t="s">
        <v>10</v>
      </c>
      <c r="B219" s="59" t="s">
        <v>1</v>
      </c>
      <c r="C219" s="59" t="s">
        <v>2</v>
      </c>
      <c r="D219" s="59" t="s">
        <v>4</v>
      </c>
      <c r="E219" s="59" t="s">
        <v>5</v>
      </c>
      <c r="F219" s="59" t="s">
        <v>11</v>
      </c>
      <c r="G219" s="59" t="s">
        <v>12</v>
      </c>
      <c r="H219" s="59" t="s">
        <v>13</v>
      </c>
      <c r="I219" s="59" t="s">
        <v>14</v>
      </c>
      <c r="J219" s="59" t="s">
        <v>15</v>
      </c>
      <c r="K219" s="59" t="s">
        <v>16</v>
      </c>
      <c r="L219" s="59" t="s">
        <v>17</v>
      </c>
      <c r="M219" s="59" t="s">
        <v>18</v>
      </c>
      <c r="N219" s="59" t="s">
        <v>19</v>
      </c>
      <c r="O219" s="59" t="s">
        <v>7</v>
      </c>
    </row>
    <row r="220" spans="1:15" x14ac:dyDescent="0.25">
      <c r="A220" s="56" t="str">
        <f>B212</f>
        <v>Europium oxide (Eu2O3) production from ion-adsorption clays in China (Eu content)</v>
      </c>
      <c r="B220" s="56" t="str">
        <f>B213</f>
        <v>Eu2O3 (Eu content)</v>
      </c>
      <c r="C220" s="56" t="str">
        <f>B214</f>
        <v>CN</v>
      </c>
      <c r="D220" s="64">
        <v>1</v>
      </c>
      <c r="E220" s="56" t="str">
        <f>B216</f>
        <v>kilogram</v>
      </c>
      <c r="F220" s="57" t="str">
        <f>F209</f>
        <v>Rare Earths</v>
      </c>
      <c r="G220" s="56" t="s">
        <v>20</v>
      </c>
    </row>
    <row r="221" spans="1:15" x14ac:dyDescent="0.25">
      <c r="A221" s="56" t="str">
        <f>A209</f>
        <v>Europium oxide (Eu2O3) production from ion-adsorption clays in China</v>
      </c>
      <c r="B221" s="56" t="str">
        <f t="shared" ref="B221:F221" si="6">B209</f>
        <v>Eu2O3</v>
      </c>
      <c r="C221" s="56" t="str">
        <f t="shared" si="6"/>
        <v>CN</v>
      </c>
      <c r="D221" s="56">
        <v>1.1579434923575729</v>
      </c>
      <c r="E221" s="56" t="str">
        <f t="shared" si="6"/>
        <v>kilogram</v>
      </c>
      <c r="F221" s="57" t="str">
        <f t="shared" si="6"/>
        <v>Rare Earths</v>
      </c>
      <c r="G221" s="56" t="s">
        <v>25</v>
      </c>
    </row>
    <row r="222" spans="1:15" s="58" customFormat="1" x14ac:dyDescent="0.25"/>
    <row r="223" spans="1:15" x14ac:dyDescent="0.25">
      <c r="A223" s="59" t="s">
        <v>0</v>
      </c>
      <c r="B223" s="59" t="s">
        <v>591</v>
      </c>
    </row>
    <row r="224" spans="1:15" x14ac:dyDescent="0.25">
      <c r="A224" s="60" t="s">
        <v>1</v>
      </c>
      <c r="B224" s="56" t="s">
        <v>260</v>
      </c>
    </row>
    <row r="225" spans="1:15" x14ac:dyDescent="0.25">
      <c r="A225" s="60" t="s">
        <v>2</v>
      </c>
      <c r="B225" s="56" t="s">
        <v>35</v>
      </c>
    </row>
    <row r="226" spans="1:15" x14ac:dyDescent="0.25">
      <c r="A226" s="60" t="s">
        <v>4</v>
      </c>
      <c r="B226" s="56">
        <v>1</v>
      </c>
    </row>
    <row r="227" spans="1:15" x14ac:dyDescent="0.25">
      <c r="A227" s="60" t="s">
        <v>5</v>
      </c>
      <c r="B227" s="56" t="s">
        <v>6</v>
      </c>
    </row>
    <row r="228" spans="1:15" ht="30" x14ac:dyDescent="0.25">
      <c r="A228" s="60" t="s">
        <v>7</v>
      </c>
      <c r="B228" s="67" t="s">
        <v>246</v>
      </c>
    </row>
    <row r="229" spans="1:15" x14ac:dyDescent="0.25">
      <c r="A229" s="60" t="s">
        <v>9</v>
      </c>
    </row>
    <row r="230" spans="1:15" x14ac:dyDescent="0.25">
      <c r="A230" s="59" t="s">
        <v>10</v>
      </c>
      <c r="B230" s="59" t="s">
        <v>1</v>
      </c>
      <c r="C230" s="59" t="s">
        <v>2</v>
      </c>
      <c r="D230" s="59" t="s">
        <v>4</v>
      </c>
      <c r="E230" s="59" t="s">
        <v>5</v>
      </c>
      <c r="F230" s="59" t="s">
        <v>11</v>
      </c>
      <c r="G230" s="59" t="s">
        <v>12</v>
      </c>
      <c r="H230" s="59" t="s">
        <v>13</v>
      </c>
      <c r="I230" s="59" t="s">
        <v>14</v>
      </c>
      <c r="J230" s="59" t="s">
        <v>15</v>
      </c>
      <c r="K230" s="59" t="s">
        <v>16</v>
      </c>
      <c r="L230" s="59" t="s">
        <v>17</v>
      </c>
      <c r="M230" s="59" t="s">
        <v>18</v>
      </c>
      <c r="N230" s="59" t="s">
        <v>19</v>
      </c>
      <c r="O230" s="59" t="s">
        <v>7</v>
      </c>
    </row>
    <row r="231" spans="1:15" x14ac:dyDescent="0.25">
      <c r="A231" s="56" t="str">
        <f>B223</f>
        <v>Gadolinium oxide (Gd2O3) production from ion-adsorption clays in China</v>
      </c>
      <c r="B231" s="56" t="str">
        <f>B224</f>
        <v>Gd2O3</v>
      </c>
      <c r="C231" s="56" t="str">
        <f>B225</f>
        <v>CN</v>
      </c>
      <c r="D231" s="64">
        <v>1</v>
      </c>
      <c r="E231" s="56" t="str">
        <f>B227</f>
        <v>kilogram</v>
      </c>
      <c r="F231" s="57" t="str">
        <f>F220</f>
        <v>Rare Earths</v>
      </c>
      <c r="G231" s="56" t="s">
        <v>20</v>
      </c>
    </row>
    <row r="232" spans="1:15" x14ac:dyDescent="0.25">
      <c r="A232" s="56" t="str">
        <f>A109</f>
        <v>REO production from ion-adsorption clays in China</v>
      </c>
      <c r="B232" s="56" t="str">
        <f>B109</f>
        <v>REO</v>
      </c>
      <c r="C232" s="56" t="str">
        <f>C109</f>
        <v>CN</v>
      </c>
      <c r="D232" s="56">
        <v>0.64623022448807066</v>
      </c>
      <c r="E232" s="56" t="str">
        <f>E109</f>
        <v>kilogram</v>
      </c>
      <c r="F232" s="57" t="str">
        <f>F109</f>
        <v>Rare Earths</v>
      </c>
      <c r="G232" s="56" t="s">
        <v>25</v>
      </c>
    </row>
    <row r="233" spans="1:15" s="58" customFormat="1" x14ac:dyDescent="0.25"/>
    <row r="234" spans="1:15" x14ac:dyDescent="0.25">
      <c r="A234" s="59" t="s">
        <v>0</v>
      </c>
      <c r="B234" s="59" t="s">
        <v>592</v>
      </c>
    </row>
    <row r="235" spans="1:15" x14ac:dyDescent="0.25">
      <c r="A235" s="60" t="s">
        <v>1</v>
      </c>
      <c r="B235" s="56" t="s">
        <v>262</v>
      </c>
    </row>
    <row r="236" spans="1:15" x14ac:dyDescent="0.25">
      <c r="A236" s="60" t="s">
        <v>2</v>
      </c>
      <c r="B236" s="56" t="s">
        <v>35</v>
      </c>
    </row>
    <row r="237" spans="1:15" x14ac:dyDescent="0.25">
      <c r="A237" s="60" t="s">
        <v>4</v>
      </c>
      <c r="B237" s="56">
        <v>1</v>
      </c>
    </row>
    <row r="238" spans="1:15" x14ac:dyDescent="0.25">
      <c r="A238" s="60" t="s">
        <v>5</v>
      </c>
      <c r="B238" s="56" t="s">
        <v>6</v>
      </c>
    </row>
    <row r="239" spans="1:15" x14ac:dyDescent="0.25">
      <c r="A239" s="60" t="s">
        <v>7</v>
      </c>
      <c r="B239" s="56" t="s">
        <v>264</v>
      </c>
    </row>
    <row r="240" spans="1:15" x14ac:dyDescent="0.25">
      <c r="A240" s="60" t="s">
        <v>9</v>
      </c>
    </row>
    <row r="241" spans="1:15" x14ac:dyDescent="0.25">
      <c r="A241" s="59" t="s">
        <v>10</v>
      </c>
      <c r="B241" s="59" t="s">
        <v>1</v>
      </c>
      <c r="C241" s="59" t="s">
        <v>2</v>
      </c>
      <c r="D241" s="59" t="s">
        <v>4</v>
      </c>
      <c r="E241" s="59" t="s">
        <v>5</v>
      </c>
      <c r="F241" s="59" t="s">
        <v>11</v>
      </c>
      <c r="G241" s="59" t="s">
        <v>12</v>
      </c>
      <c r="H241" s="59" t="s">
        <v>13</v>
      </c>
      <c r="I241" s="59" t="s">
        <v>14</v>
      </c>
      <c r="J241" s="59" t="s">
        <v>15</v>
      </c>
      <c r="K241" s="59" t="s">
        <v>16</v>
      </c>
      <c r="L241" s="59" t="s">
        <v>17</v>
      </c>
      <c r="M241" s="59" t="s">
        <v>18</v>
      </c>
      <c r="N241" s="59" t="s">
        <v>19</v>
      </c>
      <c r="O241" s="59" t="s">
        <v>7</v>
      </c>
    </row>
    <row r="242" spans="1:15" x14ac:dyDescent="0.25">
      <c r="A242" s="56" t="str">
        <f>B234</f>
        <v>Gadolinium oxide (Gd2O3) production from ion-adsorption clays in China (Gd content)</v>
      </c>
      <c r="B242" s="56" t="str">
        <f>B235</f>
        <v>Gd2O3 (Gd content)</v>
      </c>
      <c r="C242" s="56" t="str">
        <f>B236</f>
        <v>CN</v>
      </c>
      <c r="D242" s="64">
        <v>1</v>
      </c>
      <c r="E242" s="56" t="str">
        <f>B238</f>
        <v>kilogram</v>
      </c>
      <c r="F242" s="57" t="str">
        <f>F231</f>
        <v>Rare Earths</v>
      </c>
      <c r="G242" s="56" t="s">
        <v>20</v>
      </c>
    </row>
    <row r="243" spans="1:15" x14ac:dyDescent="0.25">
      <c r="A243" s="56" t="str">
        <f>A231</f>
        <v>Gadolinium oxide (Gd2O3) production from ion-adsorption clays in China</v>
      </c>
      <c r="B243" s="56" t="str">
        <f t="shared" ref="B243:F243" si="7">B231</f>
        <v>Gd2O3</v>
      </c>
      <c r="C243" s="56" t="str">
        <f t="shared" si="7"/>
        <v>CN</v>
      </c>
      <c r="D243" s="56">
        <v>1.152604887044721</v>
      </c>
      <c r="E243" s="56" t="str">
        <f t="shared" si="7"/>
        <v>kilogram</v>
      </c>
      <c r="F243" s="57" t="str">
        <f t="shared" si="7"/>
        <v>Rare Earths</v>
      </c>
      <c r="G243" s="56" t="s">
        <v>25</v>
      </c>
    </row>
    <row r="244" spans="1:15" s="58" customFormat="1" x14ac:dyDescent="0.25"/>
    <row r="245" spans="1:15" x14ac:dyDescent="0.25">
      <c r="A245" s="59" t="s">
        <v>0</v>
      </c>
      <c r="B245" s="59" t="s">
        <v>593</v>
      </c>
    </row>
    <row r="246" spans="1:15" x14ac:dyDescent="0.25">
      <c r="A246" s="60" t="s">
        <v>1</v>
      </c>
      <c r="B246" s="56" t="s">
        <v>434</v>
      </c>
    </row>
    <row r="247" spans="1:15" x14ac:dyDescent="0.25">
      <c r="A247" s="60" t="s">
        <v>2</v>
      </c>
      <c r="B247" s="56" t="s">
        <v>35</v>
      </c>
    </row>
    <row r="248" spans="1:15" x14ac:dyDescent="0.25">
      <c r="A248" s="60" t="s">
        <v>4</v>
      </c>
      <c r="B248" s="56">
        <v>1</v>
      </c>
    </row>
    <row r="249" spans="1:15" x14ac:dyDescent="0.25">
      <c r="A249" s="60" t="s">
        <v>5</v>
      </c>
      <c r="B249" s="56" t="s">
        <v>6</v>
      </c>
    </row>
    <row r="250" spans="1:15" ht="30" x14ac:dyDescent="0.25">
      <c r="A250" s="60" t="s">
        <v>7</v>
      </c>
      <c r="B250" s="67" t="s">
        <v>246</v>
      </c>
    </row>
    <row r="251" spans="1:15" x14ac:dyDescent="0.25">
      <c r="A251" s="60" t="s">
        <v>9</v>
      </c>
    </row>
    <row r="252" spans="1:15" x14ac:dyDescent="0.25">
      <c r="A252" s="59" t="s">
        <v>10</v>
      </c>
      <c r="B252" s="59" t="s">
        <v>1</v>
      </c>
      <c r="C252" s="59" t="s">
        <v>2</v>
      </c>
      <c r="D252" s="59" t="s">
        <v>4</v>
      </c>
      <c r="E252" s="59" t="s">
        <v>5</v>
      </c>
      <c r="F252" s="59" t="s">
        <v>11</v>
      </c>
      <c r="G252" s="59" t="s">
        <v>12</v>
      </c>
      <c r="H252" s="59" t="s">
        <v>13</v>
      </c>
      <c r="I252" s="59" t="s">
        <v>14</v>
      </c>
      <c r="J252" s="59" t="s">
        <v>15</v>
      </c>
      <c r="K252" s="59" t="s">
        <v>16</v>
      </c>
      <c r="L252" s="59" t="s">
        <v>17</v>
      </c>
      <c r="M252" s="59" t="s">
        <v>18</v>
      </c>
      <c r="N252" s="59" t="s">
        <v>19</v>
      </c>
      <c r="O252" s="59" t="s">
        <v>7</v>
      </c>
    </row>
    <row r="253" spans="1:15" x14ac:dyDescent="0.25">
      <c r="A253" s="56" t="str">
        <f>B245</f>
        <v>Holmium oxide (Ho2O3) production from ion-adsorption clays in China</v>
      </c>
      <c r="B253" s="56" t="str">
        <f>B246</f>
        <v>Ho2O3</v>
      </c>
      <c r="C253" s="56" t="str">
        <f>B247</f>
        <v>CN</v>
      </c>
      <c r="D253" s="64">
        <v>1</v>
      </c>
      <c r="E253" s="56" t="str">
        <f>B249</f>
        <v>kilogram</v>
      </c>
      <c r="F253" s="57" t="str">
        <f>F242</f>
        <v>Rare Earths</v>
      </c>
      <c r="G253" s="56" t="s">
        <v>20</v>
      </c>
    </row>
    <row r="254" spans="1:15" x14ac:dyDescent="0.25">
      <c r="A254" s="56" t="str">
        <f>A109</f>
        <v>REO production from ion-adsorption clays in China</v>
      </c>
      <c r="B254" s="56" t="str">
        <f>B109</f>
        <v>REO</v>
      </c>
      <c r="C254" s="56" t="str">
        <f>C109</f>
        <v>CN</v>
      </c>
      <c r="D254" s="56">
        <v>0.32815628412897202</v>
      </c>
      <c r="E254" s="56" t="str">
        <f>E109</f>
        <v>kilogram</v>
      </c>
      <c r="F254" s="57" t="str">
        <f>F109</f>
        <v>Rare Earths</v>
      </c>
      <c r="G254" s="56" t="s">
        <v>25</v>
      </c>
    </row>
    <row r="255" spans="1:15" s="58" customFormat="1" x14ac:dyDescent="0.25"/>
    <row r="256" spans="1:15" x14ac:dyDescent="0.25">
      <c r="A256" s="59" t="s">
        <v>0</v>
      </c>
      <c r="B256" s="59" t="s">
        <v>594</v>
      </c>
    </row>
    <row r="257" spans="1:15" x14ac:dyDescent="0.25">
      <c r="A257" s="60" t="s">
        <v>1</v>
      </c>
      <c r="B257" s="56" t="s">
        <v>435</v>
      </c>
    </row>
    <row r="258" spans="1:15" x14ac:dyDescent="0.25">
      <c r="A258" s="60" t="s">
        <v>2</v>
      </c>
      <c r="B258" s="56" t="s">
        <v>35</v>
      </c>
    </row>
    <row r="259" spans="1:15" x14ac:dyDescent="0.25">
      <c r="A259" s="60" t="s">
        <v>4</v>
      </c>
      <c r="B259" s="56">
        <v>1</v>
      </c>
    </row>
    <row r="260" spans="1:15" x14ac:dyDescent="0.25">
      <c r="A260" s="60" t="s">
        <v>5</v>
      </c>
      <c r="B260" s="56" t="s">
        <v>6</v>
      </c>
    </row>
    <row r="261" spans="1:15" x14ac:dyDescent="0.25">
      <c r="A261" s="60" t="s">
        <v>7</v>
      </c>
      <c r="B261" s="56" t="s">
        <v>436</v>
      </c>
    </row>
    <row r="262" spans="1:15" x14ac:dyDescent="0.25">
      <c r="A262" s="60" t="s">
        <v>9</v>
      </c>
    </row>
    <row r="263" spans="1:15" x14ac:dyDescent="0.25">
      <c r="A263" s="59" t="s">
        <v>10</v>
      </c>
      <c r="B263" s="59" t="s">
        <v>1</v>
      </c>
      <c r="C263" s="59" t="s">
        <v>2</v>
      </c>
      <c r="D263" s="59" t="s">
        <v>4</v>
      </c>
      <c r="E263" s="59" t="s">
        <v>5</v>
      </c>
      <c r="F263" s="59" t="s">
        <v>11</v>
      </c>
      <c r="G263" s="59" t="s">
        <v>12</v>
      </c>
      <c r="H263" s="59" t="s">
        <v>13</v>
      </c>
      <c r="I263" s="59" t="s">
        <v>14</v>
      </c>
      <c r="J263" s="59" t="s">
        <v>15</v>
      </c>
      <c r="K263" s="59" t="s">
        <v>16</v>
      </c>
      <c r="L263" s="59" t="s">
        <v>17</v>
      </c>
      <c r="M263" s="59" t="s">
        <v>18</v>
      </c>
      <c r="N263" s="59" t="s">
        <v>19</v>
      </c>
      <c r="O263" s="59" t="s">
        <v>7</v>
      </c>
    </row>
    <row r="264" spans="1:15" x14ac:dyDescent="0.25">
      <c r="A264" s="56" t="str">
        <f>B256</f>
        <v>Holmium oxide (Ho2O3) production from ion-adsorption clays in China (Ho content)</v>
      </c>
      <c r="B264" s="56" t="str">
        <f>B257</f>
        <v>Ho2O3 (Ho content)</v>
      </c>
      <c r="C264" s="56" t="str">
        <f>B258</f>
        <v>CN</v>
      </c>
      <c r="D264" s="64">
        <v>1</v>
      </c>
      <c r="E264" s="56" t="str">
        <f>B260</f>
        <v>kilogram</v>
      </c>
      <c r="F264" s="57" t="str">
        <f>F253</f>
        <v>Rare Earths</v>
      </c>
      <c r="G264" s="56" t="s">
        <v>20</v>
      </c>
    </row>
    <row r="265" spans="1:15" x14ac:dyDescent="0.25">
      <c r="A265" s="56" t="str">
        <f>A253</f>
        <v>Holmium oxide (Ho2O3) production from ion-adsorption clays in China</v>
      </c>
      <c r="B265" s="56" t="str">
        <f t="shared" ref="B265:F265" si="8">B253</f>
        <v>Ho2O3</v>
      </c>
      <c r="C265" s="56" t="str">
        <f t="shared" si="8"/>
        <v>CN</v>
      </c>
      <c r="D265" s="56">
        <v>1.1454753722794959</v>
      </c>
      <c r="E265" s="56" t="str">
        <f t="shared" si="8"/>
        <v>kilogram</v>
      </c>
      <c r="F265" s="57" t="str">
        <f t="shared" si="8"/>
        <v>Rare Earths</v>
      </c>
      <c r="G265" s="56" t="s">
        <v>25</v>
      </c>
    </row>
    <row r="266" spans="1:15" s="58" customFormat="1" x14ac:dyDescent="0.25"/>
    <row r="267" spans="1:15" x14ac:dyDescent="0.25">
      <c r="A267" s="59" t="s">
        <v>0</v>
      </c>
      <c r="B267" s="59" t="s">
        <v>595</v>
      </c>
    </row>
    <row r="268" spans="1:15" x14ac:dyDescent="0.25">
      <c r="A268" s="60" t="s">
        <v>1</v>
      </c>
      <c r="B268" s="56" t="s">
        <v>266</v>
      </c>
    </row>
    <row r="269" spans="1:15" x14ac:dyDescent="0.25">
      <c r="A269" s="60" t="s">
        <v>2</v>
      </c>
      <c r="B269" s="56" t="s">
        <v>35</v>
      </c>
    </row>
    <row r="270" spans="1:15" x14ac:dyDescent="0.25">
      <c r="A270" s="60" t="s">
        <v>4</v>
      </c>
      <c r="B270" s="56">
        <v>1</v>
      </c>
    </row>
    <row r="271" spans="1:15" x14ac:dyDescent="0.25">
      <c r="A271" s="60" t="s">
        <v>5</v>
      </c>
      <c r="B271" s="56" t="s">
        <v>6</v>
      </c>
    </row>
    <row r="272" spans="1:15" ht="30" x14ac:dyDescent="0.25">
      <c r="A272" s="60" t="s">
        <v>7</v>
      </c>
      <c r="B272" s="67" t="s">
        <v>246</v>
      </c>
    </row>
    <row r="273" spans="1:15" x14ac:dyDescent="0.25">
      <c r="A273" s="60" t="s">
        <v>9</v>
      </c>
    </row>
    <row r="274" spans="1:15" x14ac:dyDescent="0.25">
      <c r="A274" s="59" t="s">
        <v>10</v>
      </c>
      <c r="B274" s="59" t="s">
        <v>1</v>
      </c>
      <c r="C274" s="59" t="s">
        <v>2</v>
      </c>
      <c r="D274" s="59" t="s">
        <v>4</v>
      </c>
      <c r="E274" s="59" t="s">
        <v>5</v>
      </c>
      <c r="F274" s="59" t="s">
        <v>11</v>
      </c>
      <c r="G274" s="59" t="s">
        <v>12</v>
      </c>
      <c r="H274" s="59" t="s">
        <v>13</v>
      </c>
      <c r="I274" s="59" t="s">
        <v>14</v>
      </c>
      <c r="J274" s="59" t="s">
        <v>15</v>
      </c>
      <c r="K274" s="59" t="s">
        <v>16</v>
      </c>
      <c r="L274" s="59" t="s">
        <v>17</v>
      </c>
      <c r="M274" s="59" t="s">
        <v>18</v>
      </c>
      <c r="N274" s="59" t="s">
        <v>19</v>
      </c>
      <c r="O274" s="59" t="s">
        <v>7</v>
      </c>
    </row>
    <row r="275" spans="1:15" x14ac:dyDescent="0.25">
      <c r="A275" s="56" t="str">
        <f>B267</f>
        <v>Lanthanum oxide (La2O3) production from ion-adsorption clays in China</v>
      </c>
      <c r="B275" s="56" t="str">
        <f>B268</f>
        <v>La2O3</v>
      </c>
      <c r="C275" s="56" t="str">
        <f>B269</f>
        <v>CN</v>
      </c>
      <c r="D275" s="64">
        <v>1</v>
      </c>
      <c r="E275" s="56" t="str">
        <f>B271</f>
        <v>kilogram</v>
      </c>
      <c r="F275" s="57" t="str">
        <f>F264</f>
        <v>Rare Earths</v>
      </c>
      <c r="G275" s="56" t="s">
        <v>20</v>
      </c>
    </row>
    <row r="276" spans="1:15" x14ac:dyDescent="0.25">
      <c r="A276" s="56" t="str">
        <f>A109</f>
        <v>REO production from ion-adsorption clays in China</v>
      </c>
      <c r="B276" s="56" t="str">
        <f>B109</f>
        <v>REO</v>
      </c>
      <c r="C276" s="56" t="str">
        <f>C109</f>
        <v>CN</v>
      </c>
      <c r="D276" s="56">
        <v>6.6691503301659932E-2</v>
      </c>
      <c r="E276" s="56" t="str">
        <f>E109</f>
        <v>kilogram</v>
      </c>
      <c r="F276" s="57" t="str">
        <f>F109</f>
        <v>Rare Earths</v>
      </c>
      <c r="G276" s="56" t="s">
        <v>25</v>
      </c>
    </row>
    <row r="277" spans="1:15" s="58" customFormat="1" x14ac:dyDescent="0.25"/>
    <row r="278" spans="1:15" x14ac:dyDescent="0.25">
      <c r="A278" s="59" t="s">
        <v>0</v>
      </c>
      <c r="B278" s="59" t="s">
        <v>596</v>
      </c>
    </row>
    <row r="279" spans="1:15" x14ac:dyDescent="0.25">
      <c r="A279" s="60" t="s">
        <v>1</v>
      </c>
      <c r="B279" s="56" t="s">
        <v>268</v>
      </c>
    </row>
    <row r="280" spans="1:15" x14ac:dyDescent="0.25">
      <c r="A280" s="60" t="s">
        <v>2</v>
      </c>
      <c r="B280" s="56" t="s">
        <v>35</v>
      </c>
    </row>
    <row r="281" spans="1:15" x14ac:dyDescent="0.25">
      <c r="A281" s="60" t="s">
        <v>4</v>
      </c>
      <c r="B281" s="56">
        <v>1</v>
      </c>
    </row>
    <row r="282" spans="1:15" x14ac:dyDescent="0.25">
      <c r="A282" s="60" t="s">
        <v>5</v>
      </c>
      <c r="B282" s="56" t="s">
        <v>6</v>
      </c>
    </row>
    <row r="283" spans="1:15" x14ac:dyDescent="0.25">
      <c r="A283" s="60" t="s">
        <v>7</v>
      </c>
      <c r="B283" s="56" t="s">
        <v>269</v>
      </c>
    </row>
    <row r="284" spans="1:15" x14ac:dyDescent="0.25">
      <c r="A284" s="60" t="s">
        <v>9</v>
      </c>
    </row>
    <row r="285" spans="1:15" x14ac:dyDescent="0.25">
      <c r="A285" s="59" t="s">
        <v>10</v>
      </c>
      <c r="B285" s="59" t="s">
        <v>1</v>
      </c>
      <c r="C285" s="59" t="s">
        <v>2</v>
      </c>
      <c r="D285" s="59" t="s">
        <v>4</v>
      </c>
      <c r="E285" s="59" t="s">
        <v>5</v>
      </c>
      <c r="F285" s="59" t="s">
        <v>11</v>
      </c>
      <c r="G285" s="59" t="s">
        <v>12</v>
      </c>
      <c r="H285" s="59" t="s">
        <v>13</v>
      </c>
      <c r="I285" s="59" t="s">
        <v>14</v>
      </c>
      <c r="J285" s="59" t="s">
        <v>15</v>
      </c>
      <c r="K285" s="59" t="s">
        <v>16</v>
      </c>
      <c r="L285" s="59" t="s">
        <v>17</v>
      </c>
      <c r="M285" s="59" t="s">
        <v>18</v>
      </c>
      <c r="N285" s="59" t="s">
        <v>19</v>
      </c>
      <c r="O285" s="59" t="s">
        <v>7</v>
      </c>
    </row>
    <row r="286" spans="1:15" x14ac:dyDescent="0.25">
      <c r="A286" s="56" t="str">
        <f>B278</f>
        <v>Lanthanum oxide (La2O3) production from ion-adsorption clays in China (La content)</v>
      </c>
      <c r="B286" s="56" t="str">
        <f>B279</f>
        <v>La2O3 (La content)</v>
      </c>
      <c r="C286" s="56" t="str">
        <f>B280</f>
        <v>CN</v>
      </c>
      <c r="D286" s="64">
        <v>1</v>
      </c>
      <c r="E286" s="56" t="str">
        <f>B282</f>
        <v>kilogram</v>
      </c>
      <c r="F286" s="57" t="str">
        <f>F275</f>
        <v>Rare Earths</v>
      </c>
      <c r="G286" s="56" t="s">
        <v>20</v>
      </c>
    </row>
    <row r="287" spans="1:15" x14ac:dyDescent="0.25">
      <c r="A287" s="56" t="str">
        <f>A275</f>
        <v>Lanthanum oxide (La2O3) production from ion-adsorption clays in China</v>
      </c>
      <c r="B287" s="56" t="str">
        <f t="shared" ref="B287:F287" si="9">B275</f>
        <v>La2O3</v>
      </c>
      <c r="C287" s="56" t="str">
        <f t="shared" si="9"/>
        <v>CN</v>
      </c>
      <c r="D287" s="56">
        <v>1.1727453969743169</v>
      </c>
      <c r="E287" s="56" t="str">
        <f t="shared" si="9"/>
        <v>kilogram</v>
      </c>
      <c r="F287" s="57" t="str">
        <f t="shared" si="9"/>
        <v>Rare Earths</v>
      </c>
      <c r="G287" s="56" t="s">
        <v>25</v>
      </c>
    </row>
    <row r="288" spans="1:15" s="58" customFormat="1" x14ac:dyDescent="0.25"/>
    <row r="289" spans="1:15" x14ac:dyDescent="0.25">
      <c r="A289" s="59" t="s">
        <v>0</v>
      </c>
      <c r="B289" s="59" t="s">
        <v>597</v>
      </c>
    </row>
    <row r="290" spans="1:15" x14ac:dyDescent="0.25">
      <c r="A290" s="60" t="s">
        <v>1</v>
      </c>
      <c r="B290" s="56" t="s">
        <v>441</v>
      </c>
    </row>
    <row r="291" spans="1:15" x14ac:dyDescent="0.25">
      <c r="A291" s="60" t="s">
        <v>2</v>
      </c>
      <c r="B291" s="56" t="s">
        <v>35</v>
      </c>
    </row>
    <row r="292" spans="1:15" x14ac:dyDescent="0.25">
      <c r="A292" s="60" t="s">
        <v>4</v>
      </c>
      <c r="B292" s="56">
        <v>1</v>
      </c>
    </row>
    <row r="293" spans="1:15" x14ac:dyDescent="0.25">
      <c r="A293" s="60" t="s">
        <v>5</v>
      </c>
      <c r="B293" s="56" t="s">
        <v>6</v>
      </c>
    </row>
    <row r="294" spans="1:15" ht="30" x14ac:dyDescent="0.25">
      <c r="A294" s="60" t="s">
        <v>7</v>
      </c>
      <c r="B294" s="67" t="s">
        <v>246</v>
      </c>
    </row>
    <row r="295" spans="1:15" x14ac:dyDescent="0.25">
      <c r="A295" s="60" t="s">
        <v>9</v>
      </c>
    </row>
    <row r="296" spans="1:15" x14ac:dyDescent="0.25">
      <c r="A296" s="59" t="s">
        <v>10</v>
      </c>
      <c r="B296" s="59" t="s">
        <v>1</v>
      </c>
      <c r="C296" s="59" t="s">
        <v>2</v>
      </c>
      <c r="D296" s="59" t="s">
        <v>4</v>
      </c>
      <c r="E296" s="59" t="s">
        <v>5</v>
      </c>
      <c r="F296" s="59" t="s">
        <v>11</v>
      </c>
      <c r="G296" s="59" t="s">
        <v>12</v>
      </c>
      <c r="H296" s="59" t="s">
        <v>13</v>
      </c>
      <c r="I296" s="59" t="s">
        <v>14</v>
      </c>
      <c r="J296" s="59" t="s">
        <v>15</v>
      </c>
      <c r="K296" s="59" t="s">
        <v>16</v>
      </c>
      <c r="L296" s="59" t="s">
        <v>17</v>
      </c>
      <c r="M296" s="59" t="s">
        <v>18</v>
      </c>
      <c r="N296" s="59" t="s">
        <v>19</v>
      </c>
      <c r="O296" s="59" t="s">
        <v>7</v>
      </c>
    </row>
    <row r="297" spans="1:15" x14ac:dyDescent="0.25">
      <c r="A297" s="56" t="str">
        <f>B289</f>
        <v>Lutetium oxide (Lu2O3) production from ion-adsorption clays in China</v>
      </c>
      <c r="B297" s="56" t="str">
        <f>B290</f>
        <v>Lu2O3</v>
      </c>
      <c r="C297" s="56" t="str">
        <f>B291</f>
        <v>CN</v>
      </c>
      <c r="D297" s="64">
        <v>1</v>
      </c>
      <c r="E297" s="56" t="str">
        <f>B293</f>
        <v>kilogram</v>
      </c>
      <c r="F297" s="57" t="str">
        <f>F286</f>
        <v>Rare Earths</v>
      </c>
      <c r="G297" s="56" t="s">
        <v>20</v>
      </c>
    </row>
    <row r="298" spans="1:15" x14ac:dyDescent="0.25">
      <c r="A298" s="56" t="str">
        <f>A109</f>
        <v>REO production from ion-adsorption clays in China</v>
      </c>
      <c r="B298" s="56" t="str">
        <f>B109</f>
        <v>REO</v>
      </c>
      <c r="C298" s="56" t="str">
        <f>C109</f>
        <v>CN</v>
      </c>
      <c r="D298" s="56">
        <v>16.155755612201766</v>
      </c>
      <c r="E298" s="56" t="str">
        <f>E109</f>
        <v>kilogram</v>
      </c>
      <c r="F298" s="57" t="str">
        <f>F109</f>
        <v>Rare Earths</v>
      </c>
      <c r="G298" s="56" t="s">
        <v>25</v>
      </c>
    </row>
    <row r="299" spans="1:15" s="58" customFormat="1" x14ac:dyDescent="0.25"/>
    <row r="300" spans="1:15" x14ac:dyDescent="0.25">
      <c r="A300" s="59" t="s">
        <v>0</v>
      </c>
      <c r="B300" s="59" t="s">
        <v>598</v>
      </c>
    </row>
    <row r="301" spans="1:15" x14ac:dyDescent="0.25">
      <c r="A301" s="60" t="s">
        <v>1</v>
      </c>
      <c r="B301" s="56" t="s">
        <v>443</v>
      </c>
    </row>
    <row r="302" spans="1:15" x14ac:dyDescent="0.25">
      <c r="A302" s="60" t="s">
        <v>2</v>
      </c>
      <c r="B302" s="56" t="s">
        <v>35</v>
      </c>
    </row>
    <row r="303" spans="1:15" x14ac:dyDescent="0.25">
      <c r="A303" s="60" t="s">
        <v>4</v>
      </c>
      <c r="B303" s="56">
        <v>1</v>
      </c>
    </row>
    <row r="304" spans="1:15" x14ac:dyDescent="0.25">
      <c r="A304" s="60" t="s">
        <v>5</v>
      </c>
      <c r="B304" s="56" t="s">
        <v>6</v>
      </c>
    </row>
    <row r="305" spans="1:15" x14ac:dyDescent="0.25">
      <c r="A305" s="60" t="s">
        <v>7</v>
      </c>
      <c r="B305" s="56" t="s">
        <v>444</v>
      </c>
    </row>
    <row r="306" spans="1:15" x14ac:dyDescent="0.25">
      <c r="A306" s="60" t="s">
        <v>9</v>
      </c>
    </row>
    <row r="307" spans="1:15" x14ac:dyDescent="0.25">
      <c r="A307" s="59" t="s">
        <v>10</v>
      </c>
      <c r="B307" s="59" t="s">
        <v>1</v>
      </c>
      <c r="C307" s="59" t="s">
        <v>2</v>
      </c>
      <c r="D307" s="59" t="s">
        <v>4</v>
      </c>
      <c r="E307" s="59" t="s">
        <v>5</v>
      </c>
      <c r="F307" s="59" t="s">
        <v>11</v>
      </c>
      <c r="G307" s="59" t="s">
        <v>12</v>
      </c>
      <c r="H307" s="59" t="s">
        <v>13</v>
      </c>
      <c r="I307" s="59" t="s">
        <v>14</v>
      </c>
      <c r="J307" s="59" t="s">
        <v>15</v>
      </c>
      <c r="K307" s="59" t="s">
        <v>16</v>
      </c>
      <c r="L307" s="59" t="s">
        <v>17</v>
      </c>
      <c r="M307" s="59" t="s">
        <v>18</v>
      </c>
      <c r="N307" s="59" t="s">
        <v>19</v>
      </c>
      <c r="O307" s="59" t="s">
        <v>7</v>
      </c>
    </row>
    <row r="308" spans="1:15" x14ac:dyDescent="0.25">
      <c r="A308" s="56" t="str">
        <f>B300</f>
        <v>Lutetium oxide (Lu2O3) production from ion-adsorption clays in China (Lu content)</v>
      </c>
      <c r="B308" s="56" t="str">
        <f>B301</f>
        <v>Lu2O3 (Lu content)</v>
      </c>
      <c r="C308" s="56" t="str">
        <f>B302</f>
        <v>CN</v>
      </c>
      <c r="D308" s="64">
        <v>1</v>
      </c>
      <c r="E308" s="56" t="str">
        <f>B304</f>
        <v>kilogram</v>
      </c>
      <c r="F308" s="57" t="str">
        <f>F297</f>
        <v>Rare Earths</v>
      </c>
      <c r="G308" s="56" t="s">
        <v>20</v>
      </c>
    </row>
    <row r="309" spans="1:15" x14ac:dyDescent="0.25">
      <c r="A309" s="56" t="str">
        <f>A297</f>
        <v>Lutetium oxide (Lu2O3) production from ion-adsorption clays in China</v>
      </c>
      <c r="B309" s="56" t="str">
        <f t="shared" ref="B309:F309" si="10">B297</f>
        <v>Lu2O3</v>
      </c>
      <c r="C309" s="56" t="str">
        <f t="shared" si="10"/>
        <v>CN</v>
      </c>
      <c r="D309" s="56">
        <v>1.1371389583807141</v>
      </c>
      <c r="E309" s="56" t="str">
        <f t="shared" si="10"/>
        <v>kilogram</v>
      </c>
      <c r="F309" s="57" t="str">
        <f t="shared" si="10"/>
        <v>Rare Earths</v>
      </c>
      <c r="G309" s="56" t="s">
        <v>25</v>
      </c>
    </row>
    <row r="310" spans="1:15" s="58" customFormat="1" x14ac:dyDescent="0.25"/>
    <row r="311" spans="1:15" x14ac:dyDescent="0.25">
      <c r="A311" s="59" t="s">
        <v>0</v>
      </c>
      <c r="B311" s="59" t="s">
        <v>599</v>
      </c>
    </row>
    <row r="312" spans="1:15" x14ac:dyDescent="0.25">
      <c r="A312" s="60" t="s">
        <v>1</v>
      </c>
      <c r="B312" s="56" t="s">
        <v>276</v>
      </c>
    </row>
    <row r="313" spans="1:15" x14ac:dyDescent="0.25">
      <c r="A313" s="60" t="s">
        <v>2</v>
      </c>
      <c r="B313" s="56" t="s">
        <v>35</v>
      </c>
    </row>
    <row r="314" spans="1:15" x14ac:dyDescent="0.25">
      <c r="A314" s="60" t="s">
        <v>4</v>
      </c>
      <c r="B314" s="56">
        <v>1</v>
      </c>
    </row>
    <row r="315" spans="1:15" x14ac:dyDescent="0.25">
      <c r="A315" s="60" t="s">
        <v>5</v>
      </c>
      <c r="B315" s="56" t="s">
        <v>6</v>
      </c>
    </row>
    <row r="316" spans="1:15" ht="30" x14ac:dyDescent="0.25">
      <c r="A316" s="60" t="s">
        <v>7</v>
      </c>
      <c r="B316" s="67" t="s">
        <v>246</v>
      </c>
    </row>
    <row r="317" spans="1:15" x14ac:dyDescent="0.25">
      <c r="A317" s="60" t="s">
        <v>9</v>
      </c>
    </row>
    <row r="318" spans="1:15" x14ac:dyDescent="0.25">
      <c r="A318" s="59" t="s">
        <v>10</v>
      </c>
      <c r="B318" s="59" t="s">
        <v>1</v>
      </c>
      <c r="C318" s="59" t="s">
        <v>2</v>
      </c>
      <c r="D318" s="59" t="s">
        <v>4</v>
      </c>
      <c r="E318" s="59" t="s">
        <v>5</v>
      </c>
      <c r="F318" s="59" t="s">
        <v>11</v>
      </c>
      <c r="G318" s="59" t="s">
        <v>12</v>
      </c>
      <c r="H318" s="59" t="s">
        <v>13</v>
      </c>
      <c r="I318" s="59" t="s">
        <v>14</v>
      </c>
      <c r="J318" s="59" t="s">
        <v>15</v>
      </c>
      <c r="K318" s="59" t="s">
        <v>16</v>
      </c>
      <c r="L318" s="59" t="s">
        <v>17</v>
      </c>
      <c r="M318" s="59" t="s">
        <v>18</v>
      </c>
      <c r="N318" s="59" t="s">
        <v>19</v>
      </c>
      <c r="O318" s="59" t="s">
        <v>7</v>
      </c>
    </row>
    <row r="319" spans="1:15" x14ac:dyDescent="0.25">
      <c r="A319" s="56" t="str">
        <f>B311</f>
        <v>Praseodymium oxide (Pr6O11) production from ion-adsorption clays in China</v>
      </c>
      <c r="B319" s="56" t="str">
        <f>B312</f>
        <v>Pr6O11</v>
      </c>
      <c r="C319" s="56" t="str">
        <f>B313</f>
        <v>CN</v>
      </c>
      <c r="D319" s="64">
        <v>1</v>
      </c>
      <c r="E319" s="56" t="str">
        <f>B315</f>
        <v>kilogram</v>
      </c>
      <c r="F319" s="57" t="str">
        <f>F308</f>
        <v>Rare Earths</v>
      </c>
      <c r="G319" s="56" t="s">
        <v>20</v>
      </c>
    </row>
    <row r="320" spans="1:15" x14ac:dyDescent="0.25">
      <c r="A320" s="56" t="str">
        <f>A109</f>
        <v>REO production from ion-adsorption clays in China</v>
      </c>
      <c r="B320" s="56" t="str">
        <f>B109</f>
        <v>REO</v>
      </c>
      <c r="C320" s="56" t="str">
        <f>C109</f>
        <v>CN</v>
      </c>
      <c r="D320" s="56">
        <v>1.9473566879902224</v>
      </c>
      <c r="E320" s="56" t="str">
        <f>E109</f>
        <v>kilogram</v>
      </c>
      <c r="F320" s="57" t="str">
        <f>F109</f>
        <v>Rare Earths</v>
      </c>
      <c r="G320" s="56" t="s">
        <v>25</v>
      </c>
    </row>
    <row r="321" spans="1:15" s="58" customFormat="1" x14ac:dyDescent="0.25"/>
    <row r="322" spans="1:15" x14ac:dyDescent="0.25">
      <c r="A322" s="59" t="s">
        <v>0</v>
      </c>
      <c r="B322" s="59" t="s">
        <v>600</v>
      </c>
    </row>
    <row r="323" spans="1:15" x14ac:dyDescent="0.25">
      <c r="A323" s="60" t="s">
        <v>1</v>
      </c>
      <c r="B323" s="56" t="s">
        <v>278</v>
      </c>
    </row>
    <row r="324" spans="1:15" x14ac:dyDescent="0.25">
      <c r="A324" s="60" t="s">
        <v>2</v>
      </c>
      <c r="B324" s="56" t="s">
        <v>35</v>
      </c>
    </row>
    <row r="325" spans="1:15" x14ac:dyDescent="0.25">
      <c r="A325" s="60" t="s">
        <v>4</v>
      </c>
      <c r="B325" s="56">
        <v>1</v>
      </c>
    </row>
    <row r="326" spans="1:15" x14ac:dyDescent="0.25">
      <c r="A326" s="60" t="s">
        <v>5</v>
      </c>
      <c r="B326" s="56" t="s">
        <v>6</v>
      </c>
    </row>
    <row r="327" spans="1:15" x14ac:dyDescent="0.25">
      <c r="A327" s="60" t="s">
        <v>7</v>
      </c>
      <c r="B327" s="56" t="s">
        <v>279</v>
      </c>
    </row>
    <row r="328" spans="1:15" x14ac:dyDescent="0.25">
      <c r="A328" s="60" t="s">
        <v>9</v>
      </c>
    </row>
    <row r="329" spans="1:15" x14ac:dyDescent="0.25">
      <c r="A329" s="59" t="s">
        <v>10</v>
      </c>
      <c r="B329" s="59" t="s">
        <v>1</v>
      </c>
      <c r="C329" s="59" t="s">
        <v>2</v>
      </c>
      <c r="D329" s="59" t="s">
        <v>4</v>
      </c>
      <c r="E329" s="59" t="s">
        <v>5</v>
      </c>
      <c r="F329" s="59" t="s">
        <v>11</v>
      </c>
      <c r="G329" s="59" t="s">
        <v>12</v>
      </c>
      <c r="H329" s="59" t="s">
        <v>13</v>
      </c>
      <c r="I329" s="59" t="s">
        <v>14</v>
      </c>
      <c r="J329" s="59" t="s">
        <v>15</v>
      </c>
      <c r="K329" s="59" t="s">
        <v>16</v>
      </c>
      <c r="L329" s="59" t="s">
        <v>17</v>
      </c>
      <c r="M329" s="59" t="s">
        <v>18</v>
      </c>
      <c r="N329" s="59" t="s">
        <v>19</v>
      </c>
      <c r="O329" s="59" t="s">
        <v>7</v>
      </c>
    </row>
    <row r="330" spans="1:15" x14ac:dyDescent="0.25">
      <c r="A330" s="56" t="str">
        <f>B322</f>
        <v>Praseodymium oxide (Pr6O11) production from ion-adsorption clays in China (Pr content)</v>
      </c>
      <c r="B330" s="56" t="str">
        <f>B323</f>
        <v>Pr6O11 (Pr content)</v>
      </c>
      <c r="C330" s="56" t="str">
        <f>B324</f>
        <v>CN</v>
      </c>
      <c r="D330" s="64">
        <v>1</v>
      </c>
      <c r="E330" s="56" t="str">
        <f>B326</f>
        <v>kilogram</v>
      </c>
      <c r="F330" s="57" t="str">
        <f>F319</f>
        <v>Rare Earths</v>
      </c>
      <c r="G330" s="56" t="s">
        <v>20</v>
      </c>
    </row>
    <row r="331" spans="1:15" x14ac:dyDescent="0.25">
      <c r="A331" s="56" t="str">
        <f>A319</f>
        <v>Praseodymium oxide (Pr6O11) production from ion-adsorption clays in China</v>
      </c>
      <c r="B331" s="56" t="str">
        <f t="shared" ref="B331:F331" si="11">B319</f>
        <v>Pr6O11</v>
      </c>
      <c r="C331" s="56" t="str">
        <f t="shared" si="11"/>
        <v>CN</v>
      </c>
      <c r="D331" s="56">
        <v>1.2081672103419114</v>
      </c>
      <c r="E331" s="56" t="str">
        <f t="shared" si="11"/>
        <v>kilogram</v>
      </c>
      <c r="F331" s="57" t="str">
        <f t="shared" si="11"/>
        <v>Rare Earths</v>
      </c>
      <c r="G331" s="56" t="s">
        <v>25</v>
      </c>
    </row>
    <row r="332" spans="1:15" s="58" customFormat="1" x14ac:dyDescent="0.25"/>
    <row r="333" spans="1:15" x14ac:dyDescent="0.25">
      <c r="A333" s="59" t="s">
        <v>0</v>
      </c>
      <c r="B333" s="59" t="s">
        <v>601</v>
      </c>
    </row>
    <row r="334" spans="1:15" x14ac:dyDescent="0.25">
      <c r="A334" s="60" t="s">
        <v>1</v>
      </c>
      <c r="B334" s="56" t="s">
        <v>281</v>
      </c>
    </row>
    <row r="335" spans="1:15" x14ac:dyDescent="0.25">
      <c r="A335" s="60" t="s">
        <v>2</v>
      </c>
      <c r="B335" s="56" t="s">
        <v>35</v>
      </c>
    </row>
    <row r="336" spans="1:15" x14ac:dyDescent="0.25">
      <c r="A336" s="60" t="s">
        <v>4</v>
      </c>
      <c r="B336" s="56">
        <v>1</v>
      </c>
    </row>
    <row r="337" spans="1:15" x14ac:dyDescent="0.25">
      <c r="A337" s="60" t="s">
        <v>5</v>
      </c>
      <c r="B337" s="56" t="s">
        <v>6</v>
      </c>
    </row>
    <row r="338" spans="1:15" ht="30" x14ac:dyDescent="0.25">
      <c r="A338" s="60" t="s">
        <v>7</v>
      </c>
      <c r="B338" s="67" t="s">
        <v>246</v>
      </c>
    </row>
    <row r="339" spans="1:15" x14ac:dyDescent="0.25">
      <c r="A339" s="60" t="s">
        <v>9</v>
      </c>
    </row>
    <row r="340" spans="1:15" x14ac:dyDescent="0.25">
      <c r="A340" s="59" t="s">
        <v>10</v>
      </c>
      <c r="B340" s="59" t="s">
        <v>1</v>
      </c>
      <c r="C340" s="59" t="s">
        <v>2</v>
      </c>
      <c r="D340" s="59" t="s">
        <v>4</v>
      </c>
      <c r="E340" s="59" t="s">
        <v>5</v>
      </c>
      <c r="F340" s="59" t="s">
        <v>11</v>
      </c>
      <c r="G340" s="59" t="s">
        <v>12</v>
      </c>
      <c r="H340" s="59" t="s">
        <v>13</v>
      </c>
      <c r="I340" s="59" t="s">
        <v>14</v>
      </c>
      <c r="J340" s="59" t="s">
        <v>15</v>
      </c>
      <c r="K340" s="59" t="s">
        <v>16</v>
      </c>
      <c r="L340" s="59" t="s">
        <v>17</v>
      </c>
      <c r="M340" s="59" t="s">
        <v>18</v>
      </c>
      <c r="N340" s="59" t="s">
        <v>19</v>
      </c>
      <c r="O340" s="59" t="s">
        <v>7</v>
      </c>
    </row>
    <row r="341" spans="1:15" x14ac:dyDescent="0.25">
      <c r="A341" s="56" t="str">
        <f>B333</f>
        <v>Samarium oxide (Sm2O3) production from ion-adsorption clays in China</v>
      </c>
      <c r="B341" s="56" t="str">
        <f>B334</f>
        <v>Sm2O3</v>
      </c>
      <c r="C341" s="56" t="str">
        <f>B335</f>
        <v>CN</v>
      </c>
      <c r="D341" s="64">
        <v>1</v>
      </c>
      <c r="E341" s="56" t="str">
        <f>B337</f>
        <v>kilogram</v>
      </c>
      <c r="F341" s="57" t="str">
        <f>F330</f>
        <v>Rare Earths</v>
      </c>
      <c r="G341" s="56" t="s">
        <v>20</v>
      </c>
    </row>
    <row r="342" spans="1:15" x14ac:dyDescent="0.25">
      <c r="A342" s="56" t="str">
        <f>A109</f>
        <v>REO production from ion-adsorption clays in China</v>
      </c>
      <c r="B342" s="56" t="str">
        <f>B109</f>
        <v>REO</v>
      </c>
      <c r="C342" s="56" t="str">
        <f>C109</f>
        <v>CN</v>
      </c>
      <c r="D342" s="56">
        <v>8.8676614014076269E-2</v>
      </c>
      <c r="E342" s="56" t="str">
        <f>E109</f>
        <v>kilogram</v>
      </c>
      <c r="F342" s="57" t="str">
        <f>F109</f>
        <v>Rare Earths</v>
      </c>
      <c r="G342" s="56" t="s">
        <v>25</v>
      </c>
    </row>
    <row r="343" spans="1:15" s="58" customFormat="1" x14ac:dyDescent="0.25"/>
    <row r="344" spans="1:15" x14ac:dyDescent="0.25">
      <c r="A344" s="59" t="s">
        <v>0</v>
      </c>
      <c r="B344" s="59" t="s">
        <v>602</v>
      </c>
    </row>
    <row r="345" spans="1:15" x14ac:dyDescent="0.25">
      <c r="A345" s="60" t="s">
        <v>1</v>
      </c>
      <c r="B345" s="56" t="s">
        <v>283</v>
      </c>
    </row>
    <row r="346" spans="1:15" x14ac:dyDescent="0.25">
      <c r="A346" s="60" t="s">
        <v>2</v>
      </c>
      <c r="B346" s="56" t="s">
        <v>35</v>
      </c>
    </row>
    <row r="347" spans="1:15" x14ac:dyDescent="0.25">
      <c r="A347" s="60" t="s">
        <v>4</v>
      </c>
      <c r="B347" s="56">
        <v>1</v>
      </c>
    </row>
    <row r="348" spans="1:15" x14ac:dyDescent="0.25">
      <c r="A348" s="60" t="s">
        <v>5</v>
      </c>
      <c r="B348" s="56" t="s">
        <v>6</v>
      </c>
    </row>
    <row r="349" spans="1:15" x14ac:dyDescent="0.25">
      <c r="A349" s="60" t="s">
        <v>7</v>
      </c>
      <c r="B349" s="56" t="s">
        <v>284</v>
      </c>
    </row>
    <row r="350" spans="1:15" x14ac:dyDescent="0.25">
      <c r="A350" s="60" t="s">
        <v>9</v>
      </c>
    </row>
    <row r="351" spans="1:15" x14ac:dyDescent="0.25">
      <c r="A351" s="59" t="s">
        <v>10</v>
      </c>
      <c r="B351" s="59" t="s">
        <v>1</v>
      </c>
      <c r="C351" s="59" t="s">
        <v>2</v>
      </c>
      <c r="D351" s="59" t="s">
        <v>4</v>
      </c>
      <c r="E351" s="59" t="s">
        <v>5</v>
      </c>
      <c r="F351" s="59" t="s">
        <v>11</v>
      </c>
      <c r="G351" s="59" t="s">
        <v>12</v>
      </c>
      <c r="H351" s="59" t="s">
        <v>13</v>
      </c>
      <c r="I351" s="59" t="s">
        <v>14</v>
      </c>
      <c r="J351" s="59" t="s">
        <v>15</v>
      </c>
      <c r="K351" s="59" t="s">
        <v>16</v>
      </c>
      <c r="L351" s="59" t="s">
        <v>17</v>
      </c>
      <c r="M351" s="59" t="s">
        <v>18</v>
      </c>
      <c r="N351" s="59" t="s">
        <v>19</v>
      </c>
      <c r="O351" s="59" t="s">
        <v>7</v>
      </c>
    </row>
    <row r="352" spans="1:15" x14ac:dyDescent="0.25">
      <c r="A352" s="56" t="str">
        <f>B344</f>
        <v>Samarium oxide (Sm2O3) production from ion-adsorption clays in China (Sm content)</v>
      </c>
      <c r="B352" s="56" t="str">
        <f>B345</f>
        <v>Sm2O3 (Sm content)</v>
      </c>
      <c r="C352" s="56" t="str">
        <f>B346</f>
        <v>CN</v>
      </c>
      <c r="D352" s="64">
        <v>1</v>
      </c>
      <c r="E352" s="56" t="str">
        <f>B348</f>
        <v>kilogram</v>
      </c>
      <c r="F352" s="57" t="str">
        <f>F341</f>
        <v>Rare Earths</v>
      </c>
      <c r="G352" s="56" t="s">
        <v>20</v>
      </c>
    </row>
    <row r="353" spans="1:15" x14ac:dyDescent="0.25">
      <c r="A353" s="56" t="str">
        <f>A341</f>
        <v>Samarium oxide (Sm2O3) production from ion-adsorption clays in China</v>
      </c>
      <c r="B353" s="56" t="str">
        <f t="shared" ref="B353:F353" si="12">B341</f>
        <v>Sm2O3</v>
      </c>
      <c r="C353" s="56" t="str">
        <f t="shared" si="12"/>
        <v>CN</v>
      </c>
      <c r="D353" s="56">
        <v>1.1595547309833025</v>
      </c>
      <c r="E353" s="56" t="str">
        <f t="shared" si="12"/>
        <v>kilogram</v>
      </c>
      <c r="F353" s="57" t="str">
        <f t="shared" si="12"/>
        <v>Rare Earths</v>
      </c>
      <c r="G353" s="56" t="s">
        <v>25</v>
      </c>
    </row>
    <row r="354" spans="1:15" s="58" customFormat="1" x14ac:dyDescent="0.25"/>
    <row r="355" spans="1:15" x14ac:dyDescent="0.25">
      <c r="A355" s="59" t="s">
        <v>0</v>
      </c>
      <c r="B355" s="59" t="s">
        <v>603</v>
      </c>
    </row>
    <row r="356" spans="1:15" x14ac:dyDescent="0.25">
      <c r="A356" s="60" t="s">
        <v>1</v>
      </c>
      <c r="B356" s="56" t="s">
        <v>451</v>
      </c>
    </row>
    <row r="357" spans="1:15" x14ac:dyDescent="0.25">
      <c r="A357" s="60" t="s">
        <v>2</v>
      </c>
      <c r="B357" s="56" t="s">
        <v>35</v>
      </c>
    </row>
    <row r="358" spans="1:15" x14ac:dyDescent="0.25">
      <c r="A358" s="60" t="s">
        <v>4</v>
      </c>
      <c r="B358" s="56">
        <v>1</v>
      </c>
    </row>
    <row r="359" spans="1:15" x14ac:dyDescent="0.25">
      <c r="A359" s="60" t="s">
        <v>5</v>
      </c>
      <c r="B359" s="56" t="s">
        <v>6</v>
      </c>
    </row>
    <row r="360" spans="1:15" ht="30" x14ac:dyDescent="0.25">
      <c r="A360" s="60" t="s">
        <v>7</v>
      </c>
      <c r="B360" s="67" t="s">
        <v>246</v>
      </c>
    </row>
    <row r="361" spans="1:15" x14ac:dyDescent="0.25">
      <c r="A361" s="60" t="s">
        <v>9</v>
      </c>
    </row>
    <row r="362" spans="1:15" x14ac:dyDescent="0.25">
      <c r="A362" s="59" t="s">
        <v>10</v>
      </c>
      <c r="B362" s="59" t="s">
        <v>1</v>
      </c>
      <c r="C362" s="59" t="s">
        <v>2</v>
      </c>
      <c r="D362" s="59" t="s">
        <v>4</v>
      </c>
      <c r="E362" s="59" t="s">
        <v>5</v>
      </c>
      <c r="F362" s="59" t="s">
        <v>11</v>
      </c>
      <c r="G362" s="59" t="s">
        <v>12</v>
      </c>
      <c r="H362" s="59" t="s">
        <v>13</v>
      </c>
      <c r="I362" s="59" t="s">
        <v>14</v>
      </c>
      <c r="J362" s="59" t="s">
        <v>15</v>
      </c>
      <c r="K362" s="59" t="s">
        <v>16</v>
      </c>
      <c r="L362" s="59" t="s">
        <v>17</v>
      </c>
      <c r="M362" s="59" t="s">
        <v>18</v>
      </c>
      <c r="N362" s="59" t="s">
        <v>19</v>
      </c>
      <c r="O362" s="59" t="s">
        <v>7</v>
      </c>
    </row>
    <row r="363" spans="1:15" x14ac:dyDescent="0.25">
      <c r="A363" s="56" t="str">
        <f>B355</f>
        <v>Terbium oxide (Tb4O7) production from ion-adsorption clays in China</v>
      </c>
      <c r="B363" s="56" t="str">
        <f>B356</f>
        <v>Tb4O7</v>
      </c>
      <c r="C363" s="56" t="str">
        <f>B357</f>
        <v>CN</v>
      </c>
      <c r="D363" s="64">
        <v>1</v>
      </c>
      <c r="E363" s="56" t="str">
        <f>B359</f>
        <v>kilogram</v>
      </c>
      <c r="F363" s="57" t="str">
        <f>F352</f>
        <v>Rare Earths</v>
      </c>
      <c r="G363" s="56" t="s">
        <v>20</v>
      </c>
    </row>
    <row r="364" spans="1:15" x14ac:dyDescent="0.25">
      <c r="A364" s="56" t="str">
        <f>A109</f>
        <v>REO production from ion-adsorption clays in China</v>
      </c>
      <c r="B364" s="56" t="str">
        <f>B109</f>
        <v>REO</v>
      </c>
      <c r="C364" s="56" t="str">
        <f>C109</f>
        <v>CN</v>
      </c>
      <c r="D364" s="56">
        <v>19.139237159879045</v>
      </c>
      <c r="E364" s="56" t="str">
        <f>E109</f>
        <v>kilogram</v>
      </c>
      <c r="F364" s="57" t="str">
        <f>F109</f>
        <v>Rare Earths</v>
      </c>
      <c r="G364" s="56" t="s">
        <v>25</v>
      </c>
    </row>
    <row r="365" spans="1:15" s="58" customFormat="1" x14ac:dyDescent="0.25"/>
    <row r="366" spans="1:15" x14ac:dyDescent="0.25">
      <c r="A366" s="59" t="s">
        <v>0</v>
      </c>
      <c r="B366" s="59" t="s">
        <v>604</v>
      </c>
    </row>
    <row r="367" spans="1:15" x14ac:dyDescent="0.25">
      <c r="A367" s="60" t="s">
        <v>1</v>
      </c>
      <c r="B367" s="56" t="s">
        <v>452</v>
      </c>
    </row>
    <row r="368" spans="1:15" x14ac:dyDescent="0.25">
      <c r="A368" s="60" t="s">
        <v>2</v>
      </c>
      <c r="B368" s="56" t="s">
        <v>35</v>
      </c>
    </row>
    <row r="369" spans="1:15" x14ac:dyDescent="0.25">
      <c r="A369" s="60" t="s">
        <v>4</v>
      </c>
      <c r="B369" s="56">
        <v>1</v>
      </c>
    </row>
    <row r="370" spans="1:15" x14ac:dyDescent="0.25">
      <c r="A370" s="60" t="s">
        <v>5</v>
      </c>
      <c r="B370" s="56" t="s">
        <v>6</v>
      </c>
    </row>
    <row r="371" spans="1:15" x14ac:dyDescent="0.25">
      <c r="A371" s="60" t="s">
        <v>7</v>
      </c>
      <c r="B371" s="56" t="s">
        <v>453</v>
      </c>
    </row>
    <row r="372" spans="1:15" x14ac:dyDescent="0.25">
      <c r="A372" s="60" t="s">
        <v>9</v>
      </c>
    </row>
    <row r="373" spans="1:15" x14ac:dyDescent="0.25">
      <c r="A373" s="59" t="s">
        <v>10</v>
      </c>
      <c r="B373" s="59" t="s">
        <v>1</v>
      </c>
      <c r="C373" s="59" t="s">
        <v>2</v>
      </c>
      <c r="D373" s="59" t="s">
        <v>4</v>
      </c>
      <c r="E373" s="59" t="s">
        <v>5</v>
      </c>
      <c r="F373" s="59" t="s">
        <v>11</v>
      </c>
      <c r="G373" s="59" t="s">
        <v>12</v>
      </c>
      <c r="H373" s="59" t="s">
        <v>13</v>
      </c>
      <c r="I373" s="59" t="s">
        <v>14</v>
      </c>
      <c r="J373" s="59" t="s">
        <v>15</v>
      </c>
      <c r="K373" s="59" t="s">
        <v>16</v>
      </c>
      <c r="L373" s="59" t="s">
        <v>17</v>
      </c>
      <c r="M373" s="59" t="s">
        <v>18</v>
      </c>
      <c r="N373" s="59" t="s">
        <v>19</v>
      </c>
      <c r="O373" s="59" t="s">
        <v>7</v>
      </c>
    </row>
    <row r="374" spans="1:15" x14ac:dyDescent="0.25">
      <c r="A374" s="56" t="str">
        <f>B366</f>
        <v>Terbium oxide (Tb4O7) production from ion-adsorption clays in China (Tb content)</v>
      </c>
      <c r="B374" s="56" t="str">
        <f>B367</f>
        <v>Tb4O7 (Tb content)</v>
      </c>
      <c r="C374" s="56" t="str">
        <f>B368</f>
        <v>CN</v>
      </c>
      <c r="D374" s="64">
        <v>1</v>
      </c>
      <c r="E374" s="56" t="str">
        <f>B370</f>
        <v>kilogram</v>
      </c>
      <c r="F374" s="57" t="str">
        <f>F363</f>
        <v>Rare Earths</v>
      </c>
      <c r="G374" s="56" t="s">
        <v>20</v>
      </c>
    </row>
    <row r="375" spans="1:15" x14ac:dyDescent="0.25">
      <c r="A375" s="56" t="str">
        <f>A363</f>
        <v>Terbium oxide (Tb4O7) production from ion-adsorption clays in China</v>
      </c>
      <c r="B375" s="56" t="str">
        <f t="shared" ref="B375:F375" si="13">B363</f>
        <v>Tb4O7</v>
      </c>
      <c r="C375" s="56" t="str">
        <f t="shared" si="13"/>
        <v>CN</v>
      </c>
      <c r="D375" s="56">
        <v>1.1761938367442955</v>
      </c>
      <c r="E375" s="56" t="str">
        <f t="shared" si="13"/>
        <v>kilogram</v>
      </c>
      <c r="F375" s="57" t="str">
        <f t="shared" si="13"/>
        <v>Rare Earths</v>
      </c>
      <c r="G375" s="56" t="s">
        <v>25</v>
      </c>
    </row>
    <row r="376" spans="1:15" s="58" customFormat="1" x14ac:dyDescent="0.25"/>
    <row r="377" spans="1:15" x14ac:dyDescent="0.25">
      <c r="A377" s="59" t="s">
        <v>0</v>
      </c>
      <c r="B377" s="59" t="s">
        <v>605</v>
      </c>
    </row>
    <row r="378" spans="1:15" x14ac:dyDescent="0.25">
      <c r="A378" s="60" t="s">
        <v>1</v>
      </c>
      <c r="B378" s="56" t="s">
        <v>455</v>
      </c>
    </row>
    <row r="379" spans="1:15" x14ac:dyDescent="0.25">
      <c r="A379" s="60" t="s">
        <v>2</v>
      </c>
      <c r="B379" s="56" t="s">
        <v>35</v>
      </c>
    </row>
    <row r="380" spans="1:15" x14ac:dyDescent="0.25">
      <c r="A380" s="60" t="s">
        <v>4</v>
      </c>
      <c r="B380" s="56">
        <v>1</v>
      </c>
    </row>
    <row r="381" spans="1:15" x14ac:dyDescent="0.25">
      <c r="A381" s="60" t="s">
        <v>5</v>
      </c>
      <c r="B381" s="56" t="s">
        <v>6</v>
      </c>
    </row>
    <row r="382" spans="1:15" ht="30" x14ac:dyDescent="0.25">
      <c r="A382" s="60" t="s">
        <v>7</v>
      </c>
      <c r="B382" s="67" t="s">
        <v>246</v>
      </c>
    </row>
    <row r="383" spans="1:15" x14ac:dyDescent="0.25">
      <c r="A383" s="60" t="s">
        <v>9</v>
      </c>
    </row>
    <row r="384" spans="1:15" x14ac:dyDescent="0.25">
      <c r="A384" s="59" t="s">
        <v>10</v>
      </c>
      <c r="B384" s="59" t="s">
        <v>1</v>
      </c>
      <c r="C384" s="59" t="s">
        <v>2</v>
      </c>
      <c r="D384" s="59" t="s">
        <v>4</v>
      </c>
      <c r="E384" s="59" t="s">
        <v>5</v>
      </c>
      <c r="F384" s="59" t="s">
        <v>11</v>
      </c>
      <c r="G384" s="59" t="s">
        <v>12</v>
      </c>
      <c r="H384" s="59" t="s">
        <v>13</v>
      </c>
      <c r="I384" s="59" t="s">
        <v>14</v>
      </c>
      <c r="J384" s="59" t="s">
        <v>15</v>
      </c>
      <c r="K384" s="59" t="s">
        <v>16</v>
      </c>
      <c r="L384" s="59" t="s">
        <v>17</v>
      </c>
      <c r="M384" s="59" t="s">
        <v>18</v>
      </c>
      <c r="N384" s="59" t="s">
        <v>19</v>
      </c>
      <c r="O384" s="59" t="s">
        <v>7</v>
      </c>
    </row>
    <row r="385" spans="1:15" x14ac:dyDescent="0.25">
      <c r="A385" s="56" t="str">
        <f>B377</f>
        <v>Thulium oxide (Tm2O3) production from ion-adsorption clays in China</v>
      </c>
      <c r="B385" s="56" t="str">
        <f>B378</f>
        <v>Tm2O3</v>
      </c>
      <c r="C385" s="56" t="str">
        <f>B379</f>
        <v>CN</v>
      </c>
      <c r="D385" s="64">
        <v>1</v>
      </c>
      <c r="E385" s="56" t="str">
        <f>B381</f>
        <v>kilogram</v>
      </c>
      <c r="F385" s="57" t="str">
        <f>F374</f>
        <v>Rare Earths</v>
      </c>
      <c r="G385" s="56" t="s">
        <v>20</v>
      </c>
    </row>
    <row r="386" spans="1:15" x14ac:dyDescent="0.25">
      <c r="A386" s="56" t="str">
        <f>A109</f>
        <v>REO production from ion-adsorption clays in China</v>
      </c>
      <c r="B386" s="56" t="str">
        <f>B109</f>
        <v>REO</v>
      </c>
      <c r="C386" s="56" t="str">
        <f>C109</f>
        <v>CN</v>
      </c>
      <c r="D386" s="56">
        <v>2.6406138444906304</v>
      </c>
      <c r="E386" s="56" t="str">
        <f>E109</f>
        <v>kilogram</v>
      </c>
      <c r="F386" s="57" t="str">
        <f>F109</f>
        <v>Rare Earths</v>
      </c>
      <c r="G386" s="56" t="s">
        <v>25</v>
      </c>
    </row>
    <row r="387" spans="1:15" s="58" customFormat="1" x14ac:dyDescent="0.25"/>
    <row r="388" spans="1:15" x14ac:dyDescent="0.25">
      <c r="A388" s="59" t="s">
        <v>0</v>
      </c>
      <c r="B388" s="59" t="s">
        <v>663</v>
      </c>
    </row>
    <row r="389" spans="1:15" x14ac:dyDescent="0.25">
      <c r="A389" s="60" t="s">
        <v>1</v>
      </c>
      <c r="B389" s="56" t="s">
        <v>456</v>
      </c>
    </row>
    <row r="390" spans="1:15" x14ac:dyDescent="0.25">
      <c r="A390" s="60" t="s">
        <v>2</v>
      </c>
      <c r="B390" s="56" t="s">
        <v>35</v>
      </c>
    </row>
    <row r="391" spans="1:15" x14ac:dyDescent="0.25">
      <c r="A391" s="60" t="s">
        <v>4</v>
      </c>
      <c r="B391" s="56">
        <v>1</v>
      </c>
    </row>
    <row r="392" spans="1:15" x14ac:dyDescent="0.25">
      <c r="A392" s="60" t="s">
        <v>5</v>
      </c>
      <c r="B392" s="56" t="s">
        <v>6</v>
      </c>
    </row>
    <row r="393" spans="1:15" x14ac:dyDescent="0.25">
      <c r="A393" s="60" t="s">
        <v>7</v>
      </c>
      <c r="B393" s="56" t="s">
        <v>457</v>
      </c>
    </row>
    <row r="394" spans="1:15" x14ac:dyDescent="0.25">
      <c r="A394" s="60" t="s">
        <v>9</v>
      </c>
    </row>
    <row r="395" spans="1:15" x14ac:dyDescent="0.25">
      <c r="A395" s="59" t="s">
        <v>10</v>
      </c>
      <c r="B395" s="59" t="s">
        <v>1</v>
      </c>
      <c r="C395" s="59" t="s">
        <v>2</v>
      </c>
      <c r="D395" s="59" t="s">
        <v>4</v>
      </c>
      <c r="E395" s="59" t="s">
        <v>5</v>
      </c>
      <c r="F395" s="59" t="s">
        <v>11</v>
      </c>
      <c r="G395" s="59" t="s">
        <v>12</v>
      </c>
      <c r="H395" s="59" t="s">
        <v>13</v>
      </c>
      <c r="I395" s="59" t="s">
        <v>14</v>
      </c>
      <c r="J395" s="59" t="s">
        <v>15</v>
      </c>
      <c r="K395" s="59" t="s">
        <v>16</v>
      </c>
      <c r="L395" s="59" t="s">
        <v>17</v>
      </c>
      <c r="M395" s="59" t="s">
        <v>18</v>
      </c>
      <c r="N395" s="59" t="s">
        <v>19</v>
      </c>
      <c r="O395" s="59" t="s">
        <v>7</v>
      </c>
    </row>
    <row r="396" spans="1:15" x14ac:dyDescent="0.25">
      <c r="A396" s="56" t="str">
        <f>B388</f>
        <v>Thulium oxide (Tm2O3) production from ion-adsorption clays in China (Tm content)</v>
      </c>
      <c r="B396" s="56" t="str">
        <f>B389</f>
        <v>Tm2O3 (Tm content)</v>
      </c>
      <c r="C396" s="56" t="str">
        <f>B390</f>
        <v>CN</v>
      </c>
      <c r="D396" s="64">
        <v>1</v>
      </c>
      <c r="E396" s="56" t="str">
        <f>B392</f>
        <v>kilogram</v>
      </c>
      <c r="F396" s="57" t="str">
        <f>F385</f>
        <v>Rare Earths</v>
      </c>
      <c r="G396" s="56" t="s">
        <v>20</v>
      </c>
    </row>
    <row r="397" spans="1:15" x14ac:dyDescent="0.25">
      <c r="A397" s="56" t="str">
        <f>A385</f>
        <v>Thulium oxide (Tm2O3) production from ion-adsorption clays in China</v>
      </c>
      <c r="B397" s="56" t="str">
        <f t="shared" ref="B397:F397" si="14">B385</f>
        <v>Tm2O3</v>
      </c>
      <c r="C397" s="56" t="str">
        <f t="shared" si="14"/>
        <v>CN</v>
      </c>
      <c r="D397" s="56">
        <v>1.1420740063956143</v>
      </c>
      <c r="E397" s="56" t="str">
        <f t="shared" si="14"/>
        <v>kilogram</v>
      </c>
      <c r="F397" s="57" t="str">
        <f t="shared" si="14"/>
        <v>Rare Earths</v>
      </c>
      <c r="G397" s="56" t="s">
        <v>25</v>
      </c>
    </row>
    <row r="398" spans="1:15" s="58" customFormat="1" x14ac:dyDescent="0.25"/>
    <row r="399" spans="1:15" x14ac:dyDescent="0.25">
      <c r="A399" s="59" t="s">
        <v>0</v>
      </c>
      <c r="B399" s="59" t="s">
        <v>606</v>
      </c>
    </row>
    <row r="400" spans="1:15" x14ac:dyDescent="0.25">
      <c r="A400" s="60" t="s">
        <v>1</v>
      </c>
      <c r="B400" s="56" t="s">
        <v>460</v>
      </c>
    </row>
    <row r="401" spans="1:15" x14ac:dyDescent="0.25">
      <c r="A401" s="60" t="s">
        <v>2</v>
      </c>
      <c r="B401" s="56" t="s">
        <v>35</v>
      </c>
    </row>
    <row r="402" spans="1:15" x14ac:dyDescent="0.25">
      <c r="A402" s="60" t="s">
        <v>4</v>
      </c>
      <c r="B402" s="56">
        <v>1</v>
      </c>
    </row>
    <row r="403" spans="1:15" x14ac:dyDescent="0.25">
      <c r="A403" s="60" t="s">
        <v>5</v>
      </c>
      <c r="B403" s="56" t="s">
        <v>6</v>
      </c>
    </row>
    <row r="404" spans="1:15" ht="30" x14ac:dyDescent="0.25">
      <c r="A404" s="60" t="s">
        <v>7</v>
      </c>
      <c r="B404" s="67" t="s">
        <v>246</v>
      </c>
    </row>
    <row r="405" spans="1:15" x14ac:dyDescent="0.25">
      <c r="A405" s="60" t="s">
        <v>9</v>
      </c>
    </row>
    <row r="406" spans="1:15" x14ac:dyDescent="0.25">
      <c r="A406" s="59" t="s">
        <v>10</v>
      </c>
      <c r="B406" s="59" t="s">
        <v>1</v>
      </c>
      <c r="C406" s="59" t="s">
        <v>2</v>
      </c>
      <c r="D406" s="59" t="s">
        <v>4</v>
      </c>
      <c r="E406" s="59" t="s">
        <v>5</v>
      </c>
      <c r="F406" s="59" t="s">
        <v>11</v>
      </c>
      <c r="G406" s="59" t="s">
        <v>12</v>
      </c>
      <c r="H406" s="59" t="s">
        <v>13</v>
      </c>
      <c r="I406" s="59" t="s">
        <v>14</v>
      </c>
      <c r="J406" s="59" t="s">
        <v>15</v>
      </c>
      <c r="K406" s="59" t="s">
        <v>16</v>
      </c>
      <c r="L406" s="59" t="s">
        <v>17</v>
      </c>
      <c r="M406" s="59" t="s">
        <v>18</v>
      </c>
      <c r="N406" s="59" t="s">
        <v>19</v>
      </c>
      <c r="O406" s="59" t="s">
        <v>7</v>
      </c>
    </row>
    <row r="407" spans="1:15" x14ac:dyDescent="0.25">
      <c r="A407" s="56" t="str">
        <f>B399</f>
        <v>Ytterbium oxide (Yb2O3) production from ion-adsorption clays in China</v>
      </c>
      <c r="B407" s="56" t="str">
        <f>B400</f>
        <v>Yb2O3</v>
      </c>
      <c r="C407" s="56" t="str">
        <f>B401</f>
        <v>CN</v>
      </c>
      <c r="D407" s="64">
        <v>1</v>
      </c>
      <c r="E407" s="56" t="str">
        <f>B403</f>
        <v>kilogram</v>
      </c>
      <c r="F407" s="57" t="str">
        <f>F396</f>
        <v>Rare Earths</v>
      </c>
      <c r="G407" s="56" t="s">
        <v>20</v>
      </c>
    </row>
    <row r="408" spans="1:15" x14ac:dyDescent="0.25">
      <c r="A408" s="56" t="str">
        <f>A109</f>
        <v>REO production from ion-adsorption clays in China</v>
      </c>
      <c r="B408" s="56" t="str">
        <f>B109</f>
        <v>REO</v>
      </c>
      <c r="C408" s="56" t="str">
        <f>C109</f>
        <v>CN</v>
      </c>
      <c r="D408" s="56">
        <v>0.29238796932632621</v>
      </c>
      <c r="E408" s="56" t="str">
        <f>E109</f>
        <v>kilogram</v>
      </c>
      <c r="F408" s="57" t="str">
        <f>F109</f>
        <v>Rare Earths</v>
      </c>
      <c r="G408" s="56" t="s">
        <v>25</v>
      </c>
    </row>
    <row r="409" spans="1:15" s="58" customFormat="1" x14ac:dyDescent="0.25"/>
    <row r="410" spans="1:15" x14ac:dyDescent="0.25">
      <c r="A410" s="59" t="s">
        <v>0</v>
      </c>
      <c r="B410" s="59" t="s">
        <v>607</v>
      </c>
    </row>
    <row r="411" spans="1:15" x14ac:dyDescent="0.25">
      <c r="A411" s="60" t="s">
        <v>1</v>
      </c>
      <c r="B411" s="56" t="s">
        <v>461</v>
      </c>
    </row>
    <row r="412" spans="1:15" x14ac:dyDescent="0.25">
      <c r="A412" s="60" t="s">
        <v>2</v>
      </c>
      <c r="B412" s="56" t="s">
        <v>35</v>
      </c>
    </row>
    <row r="413" spans="1:15" x14ac:dyDescent="0.25">
      <c r="A413" s="60" t="s">
        <v>4</v>
      </c>
      <c r="B413" s="56">
        <v>1</v>
      </c>
    </row>
    <row r="414" spans="1:15" x14ac:dyDescent="0.25">
      <c r="A414" s="60" t="s">
        <v>5</v>
      </c>
      <c r="B414" s="56" t="s">
        <v>6</v>
      </c>
    </row>
    <row r="415" spans="1:15" x14ac:dyDescent="0.25">
      <c r="A415" s="60" t="s">
        <v>7</v>
      </c>
      <c r="B415" s="56" t="s">
        <v>463</v>
      </c>
    </row>
    <row r="416" spans="1:15" x14ac:dyDescent="0.25">
      <c r="A416" s="60" t="s">
        <v>9</v>
      </c>
    </row>
    <row r="417" spans="1:15" x14ac:dyDescent="0.25">
      <c r="A417" s="59" t="s">
        <v>10</v>
      </c>
      <c r="B417" s="59" t="s">
        <v>1</v>
      </c>
      <c r="C417" s="59" t="s">
        <v>2</v>
      </c>
      <c r="D417" s="59" t="s">
        <v>4</v>
      </c>
      <c r="E417" s="59" t="s">
        <v>5</v>
      </c>
      <c r="F417" s="59" t="s">
        <v>11</v>
      </c>
      <c r="G417" s="59" t="s">
        <v>12</v>
      </c>
      <c r="H417" s="59" t="s">
        <v>13</v>
      </c>
      <c r="I417" s="59" t="s">
        <v>14</v>
      </c>
      <c r="J417" s="59" t="s">
        <v>15</v>
      </c>
      <c r="K417" s="59" t="s">
        <v>16</v>
      </c>
      <c r="L417" s="59" t="s">
        <v>17</v>
      </c>
      <c r="M417" s="59" t="s">
        <v>18</v>
      </c>
      <c r="N417" s="59" t="s">
        <v>19</v>
      </c>
      <c r="O417" s="59" t="s">
        <v>7</v>
      </c>
    </row>
    <row r="418" spans="1:15" x14ac:dyDescent="0.25">
      <c r="A418" s="56" t="str">
        <f>B410</f>
        <v>Ytterbium oxide (Yb2O3) production from ion-adsorption clays in China (Yb content)</v>
      </c>
      <c r="B418" s="56" t="str">
        <f>B411</f>
        <v>Yb2O3 (Yb content)</v>
      </c>
      <c r="C418" s="56" t="str">
        <f>B412</f>
        <v>CN</v>
      </c>
      <c r="D418" s="64">
        <v>1</v>
      </c>
      <c r="E418" s="56" t="str">
        <f>B414</f>
        <v>kilogram</v>
      </c>
      <c r="F418" s="57" t="str">
        <f>F407</f>
        <v>Rare Earths</v>
      </c>
      <c r="G418" s="56" t="s">
        <v>20</v>
      </c>
    </row>
    <row r="419" spans="1:15" x14ac:dyDescent="0.25">
      <c r="A419" s="56" t="str">
        <f>A407</f>
        <v>Ytterbium oxide (Yb2O3) production from ion-adsorption clays in China</v>
      </c>
      <c r="B419" s="56" t="str">
        <f t="shared" ref="B419:F419" si="15">B407</f>
        <v>Yb2O3</v>
      </c>
      <c r="C419" s="56" t="str">
        <f t="shared" si="15"/>
        <v>CN</v>
      </c>
      <c r="D419" s="56">
        <v>1.1386927806877705</v>
      </c>
      <c r="E419" s="56" t="str">
        <f t="shared" si="15"/>
        <v>kilogram</v>
      </c>
      <c r="F419" s="57" t="str">
        <f t="shared" si="15"/>
        <v>Rare Earths</v>
      </c>
      <c r="G419" s="56" t="s">
        <v>25</v>
      </c>
    </row>
    <row r="420" spans="1:15" s="58" customFormat="1" x14ac:dyDescent="0.25"/>
    <row r="421" spans="1:15" x14ac:dyDescent="0.25">
      <c r="A421" s="59" t="s">
        <v>0</v>
      </c>
      <c r="B421" s="59" t="s">
        <v>608</v>
      </c>
    </row>
    <row r="422" spans="1:15" x14ac:dyDescent="0.25">
      <c r="A422" s="60" t="s">
        <v>1</v>
      </c>
      <c r="B422" s="56" t="s">
        <v>286</v>
      </c>
    </row>
    <row r="423" spans="1:15" x14ac:dyDescent="0.25">
      <c r="A423" s="60" t="s">
        <v>2</v>
      </c>
      <c r="B423" s="56" t="s">
        <v>35</v>
      </c>
    </row>
    <row r="424" spans="1:15" x14ac:dyDescent="0.25">
      <c r="A424" s="60" t="s">
        <v>4</v>
      </c>
      <c r="B424" s="56">
        <v>1</v>
      </c>
    </row>
    <row r="425" spans="1:15" x14ac:dyDescent="0.25">
      <c r="A425" s="60" t="s">
        <v>5</v>
      </c>
      <c r="B425" s="56" t="s">
        <v>6</v>
      </c>
    </row>
    <row r="426" spans="1:15" ht="30" x14ac:dyDescent="0.25">
      <c r="A426" s="60" t="s">
        <v>7</v>
      </c>
      <c r="B426" s="67" t="s">
        <v>246</v>
      </c>
    </row>
    <row r="427" spans="1:15" x14ac:dyDescent="0.25">
      <c r="A427" s="60" t="s">
        <v>9</v>
      </c>
    </row>
    <row r="428" spans="1:15" x14ac:dyDescent="0.25">
      <c r="A428" s="59" t="s">
        <v>10</v>
      </c>
      <c r="B428" s="59" t="s">
        <v>1</v>
      </c>
      <c r="C428" s="59" t="s">
        <v>2</v>
      </c>
      <c r="D428" s="59" t="s">
        <v>4</v>
      </c>
      <c r="E428" s="59" t="s">
        <v>5</v>
      </c>
      <c r="F428" s="59" t="s">
        <v>11</v>
      </c>
      <c r="G428" s="59" t="s">
        <v>12</v>
      </c>
      <c r="H428" s="59" t="s">
        <v>13</v>
      </c>
      <c r="I428" s="59" t="s">
        <v>14</v>
      </c>
      <c r="J428" s="59" t="s">
        <v>15</v>
      </c>
      <c r="K428" s="59" t="s">
        <v>16</v>
      </c>
      <c r="L428" s="59" t="s">
        <v>17</v>
      </c>
      <c r="M428" s="59" t="s">
        <v>18</v>
      </c>
      <c r="N428" s="59" t="s">
        <v>19</v>
      </c>
      <c r="O428" s="59" t="s">
        <v>7</v>
      </c>
    </row>
    <row r="429" spans="1:15" x14ac:dyDescent="0.25">
      <c r="A429" s="56" t="str">
        <f>B421</f>
        <v>Yttrium oxide (Y2O3) production from ion-adsorption clays in China</v>
      </c>
      <c r="B429" s="56" t="str">
        <f>B422</f>
        <v>Y2O3</v>
      </c>
      <c r="C429" s="56" t="str">
        <f>B423</f>
        <v>CN</v>
      </c>
      <c r="D429" s="64">
        <v>1</v>
      </c>
      <c r="E429" s="56" t="str">
        <f>B425</f>
        <v>kilogram</v>
      </c>
      <c r="F429" s="57" t="str">
        <f>F418</f>
        <v>Rare Earths</v>
      </c>
      <c r="G429" s="56" t="s">
        <v>20</v>
      </c>
    </row>
    <row r="430" spans="1:15" x14ac:dyDescent="0.25">
      <c r="A430" s="56" t="str">
        <f>A109</f>
        <v>REO production from ion-adsorption clays in China</v>
      </c>
      <c r="B430" s="56" t="str">
        <f>B109</f>
        <v>REO</v>
      </c>
      <c r="C430" s="56" t="str">
        <f>C109</f>
        <v>CN</v>
      </c>
      <c r="D430" s="56">
        <v>0.18733954947640805</v>
      </c>
      <c r="E430" s="56" t="str">
        <f>E109</f>
        <v>kilogram</v>
      </c>
      <c r="F430" s="57" t="str">
        <f>F109</f>
        <v>Rare Earths</v>
      </c>
      <c r="G430" s="56" t="s">
        <v>25</v>
      </c>
    </row>
    <row r="431" spans="1:15" s="58" customFormat="1" x14ac:dyDescent="0.25"/>
    <row r="432" spans="1:15" x14ac:dyDescent="0.25">
      <c r="A432" s="59" t="s">
        <v>0</v>
      </c>
      <c r="B432" s="59" t="s">
        <v>609</v>
      </c>
    </row>
    <row r="433" spans="1:15" x14ac:dyDescent="0.25">
      <c r="A433" s="60" t="s">
        <v>1</v>
      </c>
      <c r="B433" s="56" t="s">
        <v>288</v>
      </c>
    </row>
    <row r="434" spans="1:15" x14ac:dyDescent="0.25">
      <c r="A434" s="60" t="s">
        <v>2</v>
      </c>
      <c r="B434" s="56" t="s">
        <v>35</v>
      </c>
    </row>
    <row r="435" spans="1:15" x14ac:dyDescent="0.25">
      <c r="A435" s="60" t="s">
        <v>4</v>
      </c>
      <c r="B435" s="56">
        <v>1</v>
      </c>
    </row>
    <row r="436" spans="1:15" x14ac:dyDescent="0.25">
      <c r="A436" s="60" t="s">
        <v>5</v>
      </c>
      <c r="B436" s="56" t="s">
        <v>6</v>
      </c>
    </row>
    <row r="437" spans="1:15" x14ac:dyDescent="0.25">
      <c r="A437" s="60" t="s">
        <v>7</v>
      </c>
      <c r="B437" s="56" t="s">
        <v>462</v>
      </c>
    </row>
    <row r="438" spans="1:15" x14ac:dyDescent="0.25">
      <c r="A438" s="60" t="s">
        <v>9</v>
      </c>
    </row>
    <row r="439" spans="1:15" x14ac:dyDescent="0.25">
      <c r="A439" s="59" t="s">
        <v>10</v>
      </c>
      <c r="B439" s="59" t="s">
        <v>1</v>
      </c>
      <c r="C439" s="59" t="s">
        <v>2</v>
      </c>
      <c r="D439" s="59" t="s">
        <v>4</v>
      </c>
      <c r="E439" s="59" t="s">
        <v>5</v>
      </c>
      <c r="F439" s="59" t="s">
        <v>11</v>
      </c>
      <c r="G439" s="59" t="s">
        <v>12</v>
      </c>
      <c r="H439" s="59" t="s">
        <v>13</v>
      </c>
      <c r="I439" s="59" t="s">
        <v>14</v>
      </c>
      <c r="J439" s="59" t="s">
        <v>15</v>
      </c>
      <c r="K439" s="59" t="s">
        <v>16</v>
      </c>
      <c r="L439" s="59" t="s">
        <v>17</v>
      </c>
      <c r="M439" s="59" t="s">
        <v>18</v>
      </c>
      <c r="N439" s="59" t="s">
        <v>19</v>
      </c>
      <c r="O439" s="59" t="s">
        <v>7</v>
      </c>
    </row>
    <row r="440" spans="1:15" x14ac:dyDescent="0.25">
      <c r="A440" s="56" t="str">
        <f>B432</f>
        <v>Yttrium oxide (Y2O3) production from ion-adsorption clays in China (Y content)</v>
      </c>
      <c r="B440" s="56" t="str">
        <f>B433</f>
        <v>Y2O3 (Y content)</v>
      </c>
      <c r="C440" s="56" t="str">
        <f>B434</f>
        <v>CN</v>
      </c>
      <c r="D440" s="64">
        <v>1</v>
      </c>
      <c r="E440" s="56" t="str">
        <f>B436</f>
        <v>kilogram</v>
      </c>
      <c r="F440" s="57" t="str">
        <f>F429</f>
        <v>Rare Earths</v>
      </c>
      <c r="G440" s="56" t="s">
        <v>20</v>
      </c>
    </row>
    <row r="441" spans="1:15" x14ac:dyDescent="0.25">
      <c r="A441" s="56" t="str">
        <f>A429</f>
        <v>Yttrium oxide (Y2O3) production from ion-adsorption clays in China</v>
      </c>
      <c r="B441" s="56" t="str">
        <f t="shared" ref="B441:F441" si="16">B429</f>
        <v>Y2O3</v>
      </c>
      <c r="C441" s="56" t="str">
        <f t="shared" si="16"/>
        <v>CN</v>
      </c>
      <c r="D441" s="56">
        <v>1.2700025400050801</v>
      </c>
      <c r="E441" s="56" t="str">
        <f t="shared" si="16"/>
        <v>kilogram</v>
      </c>
      <c r="F441" s="57" t="str">
        <f t="shared" si="16"/>
        <v>Rare Earths</v>
      </c>
      <c r="G441" s="56" t="s">
        <v>25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EE4D8-C101-4E67-B4E5-76BC3C9536E6}">
  <sheetPr>
    <tabColor theme="6"/>
    <pageSetUpPr autoPageBreaks="0"/>
  </sheetPr>
  <dimension ref="A1:O101"/>
  <sheetViews>
    <sheetView showGridLines="0" zoomScaleNormal="100" workbookViewId="0">
      <selection activeCell="N95" activeCellId="3" sqref="N13 N32 N51 N95"/>
    </sheetView>
  </sheetViews>
  <sheetFormatPr baseColWidth="10" defaultColWidth="8.7109375" defaultRowHeight="15" x14ac:dyDescent="0.25"/>
  <cols>
    <col min="1" max="1" width="17" customWidth="1"/>
    <col min="2" max="2" width="36.5703125" customWidth="1"/>
    <col min="3" max="3" width="22.5703125" bestFit="1" customWidth="1"/>
    <col min="4" max="4" width="16.42578125" bestFit="1" customWidth="1"/>
    <col min="5" max="5" width="14.5703125" bestFit="1" customWidth="1"/>
    <col min="6" max="6" width="95.42578125" bestFit="1" customWidth="1"/>
    <col min="9" max="9" width="17" customWidth="1"/>
    <col min="10" max="10" width="13.42578125" customWidth="1"/>
    <col min="11" max="12" width="11.140625" customWidth="1"/>
    <col min="13" max="13" width="8.85546875" customWidth="1"/>
    <col min="14" max="14" width="13.42578125" customWidth="1"/>
    <col min="15" max="15" width="62.85546875" customWidth="1"/>
  </cols>
  <sheetData>
    <row r="1" spans="1:14" x14ac:dyDescent="0.25">
      <c r="A1" t="s">
        <v>128</v>
      </c>
    </row>
    <row r="2" spans="1:14" ht="18" thickBot="1" x14ac:dyDescent="0.35">
      <c r="A2" s="2" t="s">
        <v>157</v>
      </c>
      <c r="B2" s="3"/>
      <c r="C2" s="3"/>
      <c r="D2" s="3"/>
      <c r="E2" s="3"/>
      <c r="F2" s="3"/>
      <c r="I2" s="2" t="s">
        <v>221</v>
      </c>
      <c r="J2" s="3"/>
      <c r="K2" s="3"/>
      <c r="L2" s="3"/>
      <c r="M2" s="3"/>
      <c r="N2" s="3"/>
    </row>
    <row r="3" spans="1:14" ht="29.45" customHeight="1" thickBot="1" x14ac:dyDescent="0.3">
      <c r="A3" s="4" t="s">
        <v>158</v>
      </c>
      <c r="B3" s="4" t="s">
        <v>159</v>
      </c>
      <c r="C3" s="5" t="s">
        <v>160</v>
      </c>
      <c r="D3" s="6" t="s">
        <v>161</v>
      </c>
      <c r="E3" s="7" t="s">
        <v>162</v>
      </c>
      <c r="F3" s="7" t="s">
        <v>163</v>
      </c>
      <c r="I3" s="8" t="s">
        <v>158</v>
      </c>
      <c r="J3" s="9" t="s">
        <v>164</v>
      </c>
      <c r="K3" s="5" t="s">
        <v>165</v>
      </c>
      <c r="L3" s="5" t="s">
        <v>166</v>
      </c>
      <c r="M3" s="5" t="s">
        <v>167</v>
      </c>
      <c r="N3" s="10" t="s">
        <v>131</v>
      </c>
    </row>
    <row r="4" spans="1:14" ht="18" x14ac:dyDescent="0.25">
      <c r="A4" s="11" t="s">
        <v>168</v>
      </c>
      <c r="B4" s="11" t="s">
        <v>169</v>
      </c>
      <c r="C4" s="12">
        <v>2.6756666670000002</v>
      </c>
      <c r="D4" s="13">
        <v>41275</v>
      </c>
      <c r="E4" s="14">
        <v>44926</v>
      </c>
      <c r="F4" s="15" t="s">
        <v>170</v>
      </c>
      <c r="I4" s="16" t="s">
        <v>168</v>
      </c>
      <c r="J4" s="17" t="s">
        <v>171</v>
      </c>
      <c r="K4" s="18">
        <f>VLOOKUP(I4,$A$4:$C$19,3,FALSE)</f>
        <v>2.6756666670000002</v>
      </c>
      <c r="L4" s="19">
        <v>0.49590000000000001</v>
      </c>
      <c r="M4" s="18">
        <f>IFERROR(K4*L4,0)</f>
        <v>1.3268631001653002</v>
      </c>
      <c r="N4" s="20">
        <f>M4/SUM($M$4:$M$18)</f>
        <v>9.8571333629717831E-2</v>
      </c>
    </row>
    <row r="5" spans="1:14" ht="18" x14ac:dyDescent="0.25">
      <c r="A5" s="21" t="s">
        <v>172</v>
      </c>
      <c r="B5" s="21" t="s">
        <v>173</v>
      </c>
      <c r="C5" s="22">
        <v>279.072</v>
      </c>
      <c r="D5" s="13">
        <v>41275</v>
      </c>
      <c r="E5" s="14">
        <v>44926</v>
      </c>
      <c r="F5" s="23" t="s">
        <v>170</v>
      </c>
      <c r="I5" s="24" t="s">
        <v>172</v>
      </c>
      <c r="J5" s="25" t="s">
        <v>174</v>
      </c>
      <c r="K5" s="26">
        <f t="shared" ref="K5:K18" si="0">VLOOKUP(I5,$A$4:$C$19,3,FALSE)</f>
        <v>279.072</v>
      </c>
      <c r="L5" s="54" t="s">
        <v>224</v>
      </c>
      <c r="M5" s="26">
        <f t="shared" ref="M5:M18" si="1">IFERROR(K5*L5,0)</f>
        <v>0</v>
      </c>
      <c r="N5" s="53">
        <f>M5/SUM($M$4:$M$18)</f>
        <v>0</v>
      </c>
    </row>
    <row r="6" spans="1:14" ht="18" x14ac:dyDescent="0.25">
      <c r="A6" s="21" t="s">
        <v>175</v>
      </c>
      <c r="B6" s="21" t="s">
        <v>176</v>
      </c>
      <c r="C6" s="22">
        <v>38.016666669999999</v>
      </c>
      <c r="D6" s="13">
        <v>41275</v>
      </c>
      <c r="E6" s="14">
        <v>44926</v>
      </c>
      <c r="F6" s="23" t="s">
        <v>170</v>
      </c>
      <c r="I6" s="24" t="s">
        <v>175</v>
      </c>
      <c r="J6" s="25" t="s">
        <v>177</v>
      </c>
      <c r="K6" s="26">
        <f t="shared" si="0"/>
        <v>38.016666669999999</v>
      </c>
      <c r="L6" s="54" t="s">
        <v>224</v>
      </c>
      <c r="M6" s="26">
        <f t="shared" si="1"/>
        <v>0</v>
      </c>
      <c r="N6" s="53">
        <f t="shared" ref="N6:N18" si="2">M6/SUM($M$4:$M$18)</f>
        <v>0</v>
      </c>
    </row>
    <row r="7" spans="1:14" ht="18" x14ac:dyDescent="0.25">
      <c r="A7" s="21" t="s">
        <v>178</v>
      </c>
      <c r="B7" s="21" t="s">
        <v>179</v>
      </c>
      <c r="C7" s="22">
        <v>226.94649999999999</v>
      </c>
      <c r="D7" s="13">
        <v>41275</v>
      </c>
      <c r="E7" s="14">
        <v>44926</v>
      </c>
      <c r="F7" s="23" t="s">
        <v>170</v>
      </c>
      <c r="I7" s="24" t="s">
        <v>178</v>
      </c>
      <c r="J7" s="25" t="s">
        <v>180</v>
      </c>
      <c r="K7" s="26">
        <f t="shared" si="0"/>
        <v>226.94649999999999</v>
      </c>
      <c r="L7" s="27">
        <v>1.1000000000000001E-3</v>
      </c>
      <c r="M7" s="26">
        <f t="shared" si="1"/>
        <v>0.24964115000000001</v>
      </c>
      <c r="N7" s="28">
        <f t="shared" si="2"/>
        <v>1.8545591539391549E-2</v>
      </c>
    </row>
    <row r="8" spans="1:14" ht="18" x14ac:dyDescent="0.25">
      <c r="A8" s="21" t="s">
        <v>181</v>
      </c>
      <c r="B8" s="21" t="s">
        <v>182</v>
      </c>
      <c r="C8" s="22">
        <v>2.7781666669999998</v>
      </c>
      <c r="D8" s="13">
        <v>41275</v>
      </c>
      <c r="E8" s="14">
        <v>44926</v>
      </c>
      <c r="F8" s="23" t="s">
        <v>170</v>
      </c>
      <c r="I8" s="24" t="s">
        <v>181</v>
      </c>
      <c r="J8" s="25" t="s">
        <v>183</v>
      </c>
      <c r="K8" s="26">
        <f t="shared" si="0"/>
        <v>2.7781666669999998</v>
      </c>
      <c r="L8" s="29">
        <v>0.33789999999999998</v>
      </c>
      <c r="M8" s="26">
        <f t="shared" si="1"/>
        <v>0.93874251677929987</v>
      </c>
      <c r="N8" s="28">
        <f t="shared" si="2"/>
        <v>6.9738243381947701E-2</v>
      </c>
    </row>
    <row r="9" spans="1:14" ht="18" x14ac:dyDescent="0.25">
      <c r="A9" s="21" t="s">
        <v>184</v>
      </c>
      <c r="B9" s="21" t="s">
        <v>185</v>
      </c>
      <c r="C9" s="22">
        <v>67.253</v>
      </c>
      <c r="D9" s="13">
        <v>41275</v>
      </c>
      <c r="E9" s="14">
        <v>44926</v>
      </c>
      <c r="F9" s="23" t="s">
        <v>170</v>
      </c>
      <c r="I9" s="24" t="s">
        <v>184</v>
      </c>
      <c r="J9" s="25" t="s">
        <v>186</v>
      </c>
      <c r="K9" s="26">
        <f t="shared" si="0"/>
        <v>67.253</v>
      </c>
      <c r="L9" s="29">
        <v>0.1116</v>
      </c>
      <c r="M9" s="26">
        <f t="shared" si="1"/>
        <v>7.5054348000000006</v>
      </c>
      <c r="N9" s="30">
        <f>M9/SUM($M$4:$M$18)</f>
        <v>0.55757125027798871</v>
      </c>
    </row>
    <row r="10" spans="1:14" ht="18" x14ac:dyDescent="0.25">
      <c r="A10" s="21" t="s">
        <v>187</v>
      </c>
      <c r="B10" s="21" t="s">
        <v>188</v>
      </c>
      <c r="C10" s="22">
        <v>81.120999999999995</v>
      </c>
      <c r="D10" s="13">
        <v>41275</v>
      </c>
      <c r="E10" s="14">
        <v>44926</v>
      </c>
      <c r="F10" s="23" t="s">
        <v>170</v>
      </c>
      <c r="I10" s="24" t="s">
        <v>187</v>
      </c>
      <c r="J10" s="25" t="s">
        <v>189</v>
      </c>
      <c r="K10" s="26">
        <f t="shared" si="0"/>
        <v>81.120999999999995</v>
      </c>
      <c r="L10" s="27">
        <v>4.1200000000000001E-2</v>
      </c>
      <c r="M10" s="26">
        <f t="shared" si="1"/>
        <v>3.3421851999999999</v>
      </c>
      <c r="N10" s="31">
        <f t="shared" si="2"/>
        <v>0.24828759829138608</v>
      </c>
    </row>
    <row r="11" spans="1:14" ht="18" x14ac:dyDescent="0.25">
      <c r="A11" s="21" t="s">
        <v>190</v>
      </c>
      <c r="B11" s="21" t="s">
        <v>191</v>
      </c>
      <c r="C11" s="22">
        <v>3.694</v>
      </c>
      <c r="D11" s="13">
        <v>41275</v>
      </c>
      <c r="E11" s="14">
        <v>44926</v>
      </c>
      <c r="F11" s="23" t="s">
        <v>170</v>
      </c>
      <c r="I11" s="24" t="s">
        <v>190</v>
      </c>
      <c r="J11" s="25" t="s">
        <v>192</v>
      </c>
      <c r="K11" s="26">
        <f t="shared" si="0"/>
        <v>3.694</v>
      </c>
      <c r="L11" s="27">
        <v>8.5000000000000006E-3</v>
      </c>
      <c r="M11" s="26">
        <f t="shared" si="1"/>
        <v>3.1399000000000003E-2</v>
      </c>
      <c r="N11" s="28">
        <f t="shared" si="2"/>
        <v>2.3326003294943777E-3</v>
      </c>
    </row>
    <row r="12" spans="1:14" ht="18" x14ac:dyDescent="0.25">
      <c r="A12" s="21" t="s">
        <v>193</v>
      </c>
      <c r="B12" s="21" t="s">
        <v>194</v>
      </c>
      <c r="C12" s="22">
        <v>797.28283329999999</v>
      </c>
      <c r="D12" s="13">
        <v>41275</v>
      </c>
      <c r="E12" s="14">
        <v>44926</v>
      </c>
      <c r="F12" s="23" t="s">
        <v>170</v>
      </c>
      <c r="I12" s="24" t="s">
        <v>193</v>
      </c>
      <c r="J12" s="25" t="s">
        <v>195</v>
      </c>
      <c r="K12" s="26">
        <f t="shared" si="0"/>
        <v>797.28283329999999</v>
      </c>
      <c r="L12" s="54" t="s">
        <v>224</v>
      </c>
      <c r="M12" s="26">
        <f t="shared" si="1"/>
        <v>0</v>
      </c>
      <c r="N12" s="53">
        <f t="shared" si="2"/>
        <v>0</v>
      </c>
    </row>
    <row r="13" spans="1:14" ht="18" x14ac:dyDescent="0.25">
      <c r="A13" s="21" t="s">
        <v>196</v>
      </c>
      <c r="B13" s="21" t="s">
        <v>197</v>
      </c>
      <c r="C13" s="22">
        <v>7.8040000000000003</v>
      </c>
      <c r="D13" s="13">
        <v>41275</v>
      </c>
      <c r="E13" s="14">
        <v>44926</v>
      </c>
      <c r="F13" s="23" t="s">
        <v>170</v>
      </c>
      <c r="I13" s="24" t="s">
        <v>196</v>
      </c>
      <c r="J13" s="25" t="s">
        <v>198</v>
      </c>
      <c r="K13" s="26">
        <f t="shared" si="0"/>
        <v>7.8040000000000003</v>
      </c>
      <c r="L13" s="27">
        <v>1.2999999999999999E-3</v>
      </c>
      <c r="M13" s="26">
        <f t="shared" si="1"/>
        <v>1.01452E-2</v>
      </c>
      <c r="N13" s="28">
        <f t="shared" si="2"/>
        <v>7.5367676877564113E-4</v>
      </c>
    </row>
    <row r="14" spans="1:14" ht="18" x14ac:dyDescent="0.25">
      <c r="A14" s="21" t="s">
        <v>199</v>
      </c>
      <c r="B14" s="21" t="s">
        <v>200</v>
      </c>
      <c r="C14" s="22">
        <v>0.100074227</v>
      </c>
      <c r="D14" s="32">
        <v>41275</v>
      </c>
      <c r="E14" s="33">
        <v>44926</v>
      </c>
      <c r="F14" s="23" t="s">
        <v>201</v>
      </c>
      <c r="I14" s="24" t="s">
        <v>202</v>
      </c>
      <c r="J14" s="25" t="s">
        <v>203</v>
      </c>
      <c r="K14" s="26">
        <f t="shared" si="0"/>
        <v>26.92</v>
      </c>
      <c r="L14" s="27">
        <v>2.0999999999999999E-3</v>
      </c>
      <c r="M14" s="26">
        <f t="shared" si="1"/>
        <v>5.6531999999999999E-2</v>
      </c>
      <c r="N14" s="28">
        <f t="shared" si="2"/>
        <v>4.1997057812980078E-3</v>
      </c>
    </row>
    <row r="15" spans="1:14" ht="30" x14ac:dyDescent="0.25">
      <c r="A15" s="21" t="s">
        <v>202</v>
      </c>
      <c r="B15" s="21" t="s">
        <v>204</v>
      </c>
      <c r="C15" s="22">
        <v>26.92</v>
      </c>
      <c r="D15" s="34">
        <v>2013</v>
      </c>
      <c r="E15" s="35">
        <v>2023</v>
      </c>
      <c r="F15" s="36" t="s">
        <v>205</v>
      </c>
      <c r="I15" s="24" t="s">
        <v>206</v>
      </c>
      <c r="J15" s="25" t="s">
        <v>207</v>
      </c>
      <c r="K15" s="26">
        <f t="shared" si="0"/>
        <v>12.18</v>
      </c>
      <c r="L15" s="54" t="s">
        <v>224</v>
      </c>
      <c r="M15" s="26">
        <f t="shared" si="1"/>
        <v>0</v>
      </c>
      <c r="N15" s="53">
        <f t="shared" si="2"/>
        <v>0</v>
      </c>
    </row>
    <row r="16" spans="1:14" ht="30" x14ac:dyDescent="0.25">
      <c r="A16" s="21" t="s">
        <v>206</v>
      </c>
      <c r="B16" s="21" t="s">
        <v>208</v>
      </c>
      <c r="C16" s="22">
        <v>12.18</v>
      </c>
      <c r="D16" s="34">
        <v>2020</v>
      </c>
      <c r="E16" s="35">
        <v>2023</v>
      </c>
      <c r="F16" s="36" t="s">
        <v>209</v>
      </c>
      <c r="I16" s="24" t="s">
        <v>210</v>
      </c>
      <c r="J16" s="25" t="s">
        <v>211</v>
      </c>
      <c r="K16" s="26">
        <f t="shared" si="0"/>
        <v>673</v>
      </c>
      <c r="L16" s="54" t="s">
        <v>224</v>
      </c>
      <c r="M16" s="26">
        <f t="shared" si="1"/>
        <v>0</v>
      </c>
      <c r="N16" s="53">
        <f t="shared" si="2"/>
        <v>0</v>
      </c>
    </row>
    <row r="17" spans="1:14" ht="30" x14ac:dyDescent="0.25">
      <c r="A17" s="21" t="s">
        <v>210</v>
      </c>
      <c r="B17" s="21" t="s">
        <v>212</v>
      </c>
      <c r="C17" s="22">
        <v>673</v>
      </c>
      <c r="D17" s="34">
        <v>2020</v>
      </c>
      <c r="E17" s="35">
        <v>2023</v>
      </c>
      <c r="F17" s="36" t="s">
        <v>209</v>
      </c>
      <c r="I17" s="24" t="s">
        <v>213</v>
      </c>
      <c r="J17" s="25" t="s">
        <v>214</v>
      </c>
      <c r="K17" s="26">
        <f t="shared" si="0"/>
        <v>13.67</v>
      </c>
      <c r="L17" s="54" t="s">
        <v>224</v>
      </c>
      <c r="M17" s="26">
        <f t="shared" si="1"/>
        <v>0</v>
      </c>
      <c r="N17" s="53">
        <f t="shared" si="2"/>
        <v>0</v>
      </c>
    </row>
    <row r="18" spans="1:14" ht="30.75" thickBot="1" x14ac:dyDescent="0.3">
      <c r="A18" s="21" t="s">
        <v>213</v>
      </c>
      <c r="B18" s="21" t="s">
        <v>215</v>
      </c>
      <c r="C18" s="22">
        <v>13.67</v>
      </c>
      <c r="D18" s="34">
        <v>2020</v>
      </c>
      <c r="E18" s="35">
        <v>2023</v>
      </c>
      <c r="F18" s="36" t="s">
        <v>209</v>
      </c>
      <c r="I18" s="37" t="s">
        <v>216</v>
      </c>
      <c r="J18" s="38" t="s">
        <v>217</v>
      </c>
      <c r="K18" s="39">
        <f t="shared" si="0"/>
        <v>110</v>
      </c>
      <c r="L18" s="55" t="s">
        <v>224</v>
      </c>
      <c r="M18" s="39">
        <f t="shared" si="1"/>
        <v>0</v>
      </c>
      <c r="N18" s="53">
        <f t="shared" si="2"/>
        <v>0</v>
      </c>
    </row>
    <row r="19" spans="1:14" ht="80.45" customHeight="1" thickBot="1" x14ac:dyDescent="0.3">
      <c r="A19" s="40" t="s">
        <v>216</v>
      </c>
      <c r="B19" s="40" t="s">
        <v>218</v>
      </c>
      <c r="C19" s="41">
        <v>110</v>
      </c>
      <c r="D19" s="42">
        <v>2017</v>
      </c>
      <c r="E19" s="43">
        <v>2023</v>
      </c>
      <c r="F19" s="36" t="s">
        <v>219</v>
      </c>
      <c r="I19" s="154" t="s">
        <v>222</v>
      </c>
      <c r="J19" s="154"/>
      <c r="K19" s="154"/>
      <c r="L19" s="154"/>
      <c r="M19" s="154"/>
      <c r="N19" s="154"/>
    </row>
    <row r="20" spans="1:14" ht="17.25" x14ac:dyDescent="0.3">
      <c r="A20" s="44" t="s">
        <v>220</v>
      </c>
      <c r="C20" s="45"/>
      <c r="D20" s="46"/>
      <c r="E20" s="46"/>
      <c r="F20" s="1"/>
      <c r="I20" s="47"/>
    </row>
    <row r="21" spans="1:14" ht="29.45" customHeight="1" thickBot="1" x14ac:dyDescent="0.35">
      <c r="C21" s="45"/>
      <c r="D21" s="46"/>
      <c r="E21" s="46"/>
      <c r="I21" s="2" t="s">
        <v>223</v>
      </c>
      <c r="J21" s="3"/>
      <c r="K21" s="3"/>
      <c r="L21" s="3"/>
      <c r="M21" s="3"/>
      <c r="N21" s="3"/>
    </row>
    <row r="22" spans="1:14" ht="30.75" thickBot="1" x14ac:dyDescent="0.3">
      <c r="C22" s="45"/>
      <c r="D22" s="46"/>
      <c r="E22" s="46"/>
      <c r="I22" s="8" t="s">
        <v>158</v>
      </c>
      <c r="J22" s="9" t="s">
        <v>164</v>
      </c>
      <c r="K22" s="5" t="s">
        <v>165</v>
      </c>
      <c r="L22" s="5" t="s">
        <v>166</v>
      </c>
      <c r="M22" s="5" t="s">
        <v>167</v>
      </c>
      <c r="N22" s="10" t="s">
        <v>131</v>
      </c>
    </row>
    <row r="23" spans="1:14" ht="18" x14ac:dyDescent="0.25">
      <c r="C23" s="45"/>
      <c r="D23" s="46"/>
      <c r="E23" s="46"/>
      <c r="I23" s="16" t="s">
        <v>168</v>
      </c>
      <c r="J23" s="17" t="s">
        <v>171</v>
      </c>
      <c r="K23" s="18">
        <f>VLOOKUP(I23,$A$4:$C$19,3,FALSE)</f>
        <v>2.6756666670000002</v>
      </c>
      <c r="L23" s="19">
        <v>0.5</v>
      </c>
      <c r="M23" s="18">
        <f>IFERROR(K23*L23,0)</f>
        <v>1.3378333335000001</v>
      </c>
      <c r="N23" s="20">
        <f>M23/SUM($M$23:$M$37)</f>
        <v>7.7610787449520199E-2</v>
      </c>
    </row>
    <row r="24" spans="1:14" ht="18" x14ac:dyDescent="0.25">
      <c r="C24" s="45"/>
      <c r="D24" s="46"/>
      <c r="E24" s="46"/>
      <c r="I24" s="24" t="s">
        <v>172</v>
      </c>
      <c r="J24" s="25" t="s">
        <v>174</v>
      </c>
      <c r="K24" s="26">
        <f t="shared" ref="K24:K37" si="3">VLOOKUP(I24,$A$4:$C$19,3,FALSE)</f>
        <v>279.072</v>
      </c>
      <c r="L24" s="54" t="s">
        <v>224</v>
      </c>
      <c r="M24" s="26">
        <f t="shared" ref="M24:M37" si="4">IFERROR(K24*L24,0)</f>
        <v>0</v>
      </c>
      <c r="N24" s="53">
        <f t="shared" ref="N24:N37" si="5">M24/SUM($M$23:$M$37)</f>
        <v>0</v>
      </c>
    </row>
    <row r="25" spans="1:14" ht="18" x14ac:dyDescent="0.25">
      <c r="C25" s="45"/>
      <c r="D25" s="46"/>
      <c r="E25" s="46"/>
      <c r="I25" s="24" t="s">
        <v>175</v>
      </c>
      <c r="J25" s="25" t="s">
        <v>177</v>
      </c>
      <c r="K25" s="26">
        <f t="shared" si="3"/>
        <v>38.016666669999999</v>
      </c>
      <c r="L25" s="54">
        <v>0.01</v>
      </c>
      <c r="M25" s="26">
        <f t="shared" si="4"/>
        <v>0.38016666669999999</v>
      </c>
      <c r="N25" s="28">
        <f t="shared" si="5"/>
        <v>2.2054342365245221E-2</v>
      </c>
    </row>
    <row r="26" spans="1:14" ht="18.75" thickBot="1" x14ac:dyDescent="0.35">
      <c r="C26" s="2" t="s">
        <v>328</v>
      </c>
      <c r="D26" s="3"/>
      <c r="E26" s="2"/>
      <c r="I26" s="24" t="s">
        <v>178</v>
      </c>
      <c r="J26" s="25" t="s">
        <v>180</v>
      </c>
      <c r="K26" s="26">
        <f t="shared" si="3"/>
        <v>226.94649999999999</v>
      </c>
      <c r="L26" s="27">
        <v>2E-3</v>
      </c>
      <c r="M26" s="26">
        <f t="shared" si="4"/>
        <v>0.45389299999999999</v>
      </c>
      <c r="N26" s="28">
        <f t="shared" si="5"/>
        <v>2.633137646201807E-2</v>
      </c>
    </row>
    <row r="27" spans="1:14" ht="18.75" thickBot="1" x14ac:dyDescent="0.3">
      <c r="C27" s="8" t="s">
        <v>158</v>
      </c>
      <c r="D27" s="9" t="s">
        <v>164</v>
      </c>
      <c r="E27" s="5" t="s">
        <v>166</v>
      </c>
      <c r="I27" s="24" t="s">
        <v>181</v>
      </c>
      <c r="J27" s="25" t="s">
        <v>183</v>
      </c>
      <c r="K27" s="26">
        <f t="shared" si="3"/>
        <v>2.7781666669999998</v>
      </c>
      <c r="L27" s="29">
        <v>0.27</v>
      </c>
      <c r="M27" s="26">
        <f t="shared" si="4"/>
        <v>0.75010500009000003</v>
      </c>
      <c r="N27" s="28">
        <f t="shared" si="5"/>
        <v>4.3515315599517705E-2</v>
      </c>
    </row>
    <row r="28" spans="1:14" ht="18" x14ac:dyDescent="0.25">
      <c r="C28" s="85" t="s">
        <v>168</v>
      </c>
      <c r="D28" s="86" t="s">
        <v>171</v>
      </c>
      <c r="E28" s="122">
        <v>0.47549999999999998</v>
      </c>
      <c r="I28" s="24" t="s">
        <v>184</v>
      </c>
      <c r="J28" s="25" t="s">
        <v>186</v>
      </c>
      <c r="K28" s="26">
        <f t="shared" si="3"/>
        <v>67.253</v>
      </c>
      <c r="L28" s="29">
        <v>0.15</v>
      </c>
      <c r="M28" s="26">
        <f t="shared" si="4"/>
        <v>10.087949999999999</v>
      </c>
      <c r="N28" s="30">
        <f t="shared" si="5"/>
        <v>0.58522517240850858</v>
      </c>
    </row>
    <row r="29" spans="1:14" ht="18" x14ac:dyDescent="0.25">
      <c r="C29" s="24" t="s">
        <v>172</v>
      </c>
      <c r="D29" s="25" t="s">
        <v>174</v>
      </c>
      <c r="E29" s="27">
        <v>2.5000000000000001E-3</v>
      </c>
      <c r="I29" s="24" t="s">
        <v>187</v>
      </c>
      <c r="J29" s="25" t="s">
        <v>189</v>
      </c>
      <c r="K29" s="26">
        <f t="shared" si="3"/>
        <v>81.120999999999995</v>
      </c>
      <c r="L29" s="27">
        <v>0.05</v>
      </c>
      <c r="M29" s="26">
        <f t="shared" si="4"/>
        <v>4.0560499999999999</v>
      </c>
      <c r="N29" s="31">
        <f t="shared" si="5"/>
        <v>0.23530078564500531</v>
      </c>
    </row>
    <row r="30" spans="1:14" ht="18" x14ac:dyDescent="0.25">
      <c r="C30" s="24" t="s">
        <v>175</v>
      </c>
      <c r="D30" s="25" t="s">
        <v>177</v>
      </c>
      <c r="E30" s="27">
        <v>5.9999999999999995E-4</v>
      </c>
      <c r="I30" s="24" t="s">
        <v>190</v>
      </c>
      <c r="J30" s="25" t="s">
        <v>192</v>
      </c>
      <c r="K30" s="26">
        <f t="shared" si="3"/>
        <v>3.694</v>
      </c>
      <c r="L30" s="27">
        <v>1.0999999999999999E-2</v>
      </c>
      <c r="M30" s="26">
        <f t="shared" si="4"/>
        <v>4.0633999999999997E-2</v>
      </c>
      <c r="N30" s="28">
        <f t="shared" si="5"/>
        <v>2.3572717604317364E-3</v>
      </c>
    </row>
    <row r="31" spans="1:14" ht="18" x14ac:dyDescent="0.25">
      <c r="C31" s="24" t="s">
        <v>178</v>
      </c>
      <c r="D31" s="25" t="s">
        <v>180</v>
      </c>
      <c r="E31" s="27">
        <v>5.3E-3</v>
      </c>
      <c r="I31" s="24" t="s">
        <v>193</v>
      </c>
      <c r="J31" s="25" t="s">
        <v>195</v>
      </c>
      <c r="K31" s="26">
        <f t="shared" si="3"/>
        <v>797.28283329999999</v>
      </c>
      <c r="L31" s="54" t="s">
        <v>224</v>
      </c>
      <c r="M31" s="26">
        <f t="shared" si="4"/>
        <v>0</v>
      </c>
      <c r="N31" s="53">
        <f t="shared" si="5"/>
        <v>0</v>
      </c>
    </row>
    <row r="32" spans="1:14" ht="18" x14ac:dyDescent="0.25">
      <c r="C32" s="24" t="s">
        <v>181</v>
      </c>
      <c r="D32" s="25" t="s">
        <v>183</v>
      </c>
      <c r="E32" s="29">
        <v>0.23880000000000001</v>
      </c>
      <c r="I32" s="24" t="s">
        <v>196</v>
      </c>
      <c r="J32" s="25" t="s">
        <v>198</v>
      </c>
      <c r="K32" s="26">
        <f t="shared" si="3"/>
        <v>7.8040000000000003</v>
      </c>
      <c r="L32" s="27">
        <v>3.0000000000000001E-3</v>
      </c>
      <c r="M32" s="26">
        <f t="shared" si="4"/>
        <v>2.3412000000000002E-2</v>
      </c>
      <c r="N32" s="28">
        <f t="shared" si="5"/>
        <v>1.3581839458391451E-3</v>
      </c>
    </row>
    <row r="33" spans="3:15" ht="18" x14ac:dyDescent="0.25">
      <c r="C33" s="24" t="s">
        <v>184</v>
      </c>
      <c r="D33" s="25" t="s">
        <v>186</v>
      </c>
      <c r="E33" s="29">
        <v>0.1812</v>
      </c>
      <c r="I33" s="24" t="s">
        <v>202</v>
      </c>
      <c r="J33" s="25" t="s">
        <v>203</v>
      </c>
      <c r="K33" s="26">
        <f t="shared" si="3"/>
        <v>26.92</v>
      </c>
      <c r="L33" s="27">
        <v>4.0000000000000001E-3</v>
      </c>
      <c r="M33" s="26">
        <f t="shared" si="4"/>
        <v>0.10768000000000001</v>
      </c>
      <c r="N33" s="28">
        <f t="shared" si="5"/>
        <v>6.2467643639141958E-3</v>
      </c>
    </row>
    <row r="34" spans="3:15" ht="18" x14ac:dyDescent="0.25">
      <c r="C34" s="24" t="s">
        <v>187</v>
      </c>
      <c r="D34" s="25" t="s">
        <v>189</v>
      </c>
      <c r="E34" s="27">
        <v>5.16E-2</v>
      </c>
      <c r="I34" s="24" t="s">
        <v>206</v>
      </c>
      <c r="J34" s="25" t="s">
        <v>207</v>
      </c>
      <c r="K34" s="26">
        <f t="shared" si="3"/>
        <v>12.18</v>
      </c>
      <c r="L34" s="54" t="s">
        <v>224</v>
      </c>
      <c r="M34" s="26">
        <f t="shared" si="4"/>
        <v>0</v>
      </c>
      <c r="N34" s="53">
        <f t="shared" si="5"/>
        <v>0</v>
      </c>
    </row>
    <row r="35" spans="3:15" ht="18" x14ac:dyDescent="0.25">
      <c r="C35" s="24" t="s">
        <v>190</v>
      </c>
      <c r="D35" s="25" t="s">
        <v>192</v>
      </c>
      <c r="E35" s="27">
        <v>2.4400000000000002E-2</v>
      </c>
      <c r="I35" s="24" t="s">
        <v>210</v>
      </c>
      <c r="J35" s="25" t="s">
        <v>211</v>
      </c>
      <c r="K35" s="26">
        <f t="shared" si="3"/>
        <v>673</v>
      </c>
      <c r="L35" s="54" t="s">
        <v>224</v>
      </c>
      <c r="M35" s="26">
        <f t="shared" si="4"/>
        <v>0</v>
      </c>
      <c r="N35" s="53">
        <f t="shared" si="5"/>
        <v>0</v>
      </c>
    </row>
    <row r="36" spans="3:15" ht="18" x14ac:dyDescent="0.25">
      <c r="C36" s="24" t="s">
        <v>193</v>
      </c>
      <c r="D36" s="25" t="s">
        <v>195</v>
      </c>
      <c r="E36" s="27">
        <v>8.9999999999999998E-4</v>
      </c>
      <c r="I36" s="24" t="s">
        <v>213</v>
      </c>
      <c r="J36" s="25" t="s">
        <v>214</v>
      </c>
      <c r="K36" s="26">
        <f t="shared" si="3"/>
        <v>13.67</v>
      </c>
      <c r="L36" s="54" t="s">
        <v>224</v>
      </c>
      <c r="M36" s="26">
        <f t="shared" si="4"/>
        <v>0</v>
      </c>
      <c r="N36" s="53">
        <f t="shared" si="5"/>
        <v>0</v>
      </c>
    </row>
    <row r="37" spans="3:15" ht="18.75" thickBot="1" x14ac:dyDescent="0.3">
      <c r="C37" s="24" t="s">
        <v>196</v>
      </c>
      <c r="D37" s="25" t="s">
        <v>198</v>
      </c>
      <c r="E37" s="27">
        <v>7.6E-3</v>
      </c>
      <c r="I37" s="37" t="s">
        <v>216</v>
      </c>
      <c r="J37" s="38" t="s">
        <v>217</v>
      </c>
      <c r="K37" s="39">
        <f t="shared" si="3"/>
        <v>110</v>
      </c>
      <c r="L37" s="55" t="s">
        <v>224</v>
      </c>
      <c r="M37" s="39">
        <f t="shared" si="4"/>
        <v>0</v>
      </c>
      <c r="N37" s="53">
        <f t="shared" si="5"/>
        <v>0</v>
      </c>
    </row>
    <row r="38" spans="3:15" ht="31.7" customHeight="1" x14ac:dyDescent="0.25">
      <c r="C38" s="24" t="s">
        <v>202</v>
      </c>
      <c r="D38" s="25" t="s">
        <v>203</v>
      </c>
      <c r="E38" s="27">
        <v>1.09E-2</v>
      </c>
      <c r="I38" s="154" t="s">
        <v>225</v>
      </c>
      <c r="J38" s="154"/>
      <c r="K38" s="154"/>
      <c r="L38" s="154"/>
      <c r="M38" s="154"/>
      <c r="N38" s="154"/>
      <c r="O38" s="1"/>
    </row>
    <row r="39" spans="3:15" ht="14.45" customHeight="1" x14ac:dyDescent="0.25">
      <c r="C39" s="24" t="s">
        <v>206</v>
      </c>
      <c r="D39" s="25" t="s">
        <v>207</v>
      </c>
      <c r="E39" s="27">
        <v>2.9999999999999997E-4</v>
      </c>
      <c r="J39" s="48"/>
      <c r="K39" s="49"/>
      <c r="L39" s="50"/>
      <c r="M39" s="51"/>
      <c r="N39" s="52"/>
    </row>
    <row r="40" spans="3:15" ht="18.75" thickBot="1" x14ac:dyDescent="0.35">
      <c r="C40" s="24" t="s">
        <v>210</v>
      </c>
      <c r="D40" s="25" t="s">
        <v>211</v>
      </c>
      <c r="E40" s="27">
        <v>0</v>
      </c>
      <c r="I40" s="2" t="s">
        <v>314</v>
      </c>
      <c r="J40" s="3"/>
      <c r="K40" s="3"/>
      <c r="L40" s="3"/>
      <c r="M40" s="3"/>
      <c r="N40" s="3"/>
    </row>
    <row r="41" spans="3:15" ht="30.75" thickBot="1" x14ac:dyDescent="0.3">
      <c r="C41" s="24" t="s">
        <v>213</v>
      </c>
      <c r="D41" s="25" t="s">
        <v>214</v>
      </c>
      <c r="E41" s="27">
        <v>2.9999999999999997E-4</v>
      </c>
      <c r="I41" s="8" t="s">
        <v>158</v>
      </c>
      <c r="J41" s="9" t="s">
        <v>164</v>
      </c>
      <c r="K41" s="5" t="s">
        <v>165</v>
      </c>
      <c r="L41" s="5" t="s">
        <v>166</v>
      </c>
      <c r="M41" s="5" t="s">
        <v>167</v>
      </c>
      <c r="N41" s="10" t="s">
        <v>131</v>
      </c>
    </row>
    <row r="42" spans="3:15" ht="18.75" thickBot="1" x14ac:dyDescent="0.3">
      <c r="C42" s="37" t="s">
        <v>216</v>
      </c>
      <c r="D42" s="38" t="s">
        <v>217</v>
      </c>
      <c r="E42" s="68">
        <v>1E-4</v>
      </c>
      <c r="I42" s="16" t="s">
        <v>168</v>
      </c>
      <c r="J42" s="17" t="s">
        <v>171</v>
      </c>
      <c r="K42" s="18">
        <v>2.6756666670000002</v>
      </c>
      <c r="L42" s="19">
        <v>0.50719999999999998</v>
      </c>
      <c r="M42" s="18">
        <v>1.3570981335024002</v>
      </c>
      <c r="N42" s="20">
        <v>7.4484145116479161E-2</v>
      </c>
    </row>
    <row r="43" spans="3:15" ht="48" customHeight="1" x14ac:dyDescent="0.25">
      <c r="C43" s="155" t="s">
        <v>329</v>
      </c>
      <c r="D43" s="155"/>
      <c r="E43" s="155"/>
      <c r="I43" s="24" t="s">
        <v>172</v>
      </c>
      <c r="J43" s="25" t="s">
        <v>174</v>
      </c>
      <c r="K43" s="26">
        <v>279.072</v>
      </c>
      <c r="L43" s="27">
        <v>1E-4</v>
      </c>
      <c r="M43" s="26">
        <v>2.79072E-2</v>
      </c>
      <c r="N43" s="28">
        <v>1.5316828483361339E-3</v>
      </c>
    </row>
    <row r="44" spans="3:15" ht="18" x14ac:dyDescent="0.25">
      <c r="I44" s="24" t="s">
        <v>175</v>
      </c>
      <c r="J44" s="25" t="s">
        <v>177</v>
      </c>
      <c r="K44" s="26">
        <v>38.016666669999999</v>
      </c>
      <c r="L44" s="27">
        <v>1E-4</v>
      </c>
      <c r="M44" s="26">
        <v>3.8016666669999999E-3</v>
      </c>
      <c r="N44" s="28">
        <v>2.086539541385412E-4</v>
      </c>
    </row>
    <row r="45" spans="3:15" ht="18" x14ac:dyDescent="0.25">
      <c r="I45" s="24" t="s">
        <v>178</v>
      </c>
      <c r="J45" s="25" t="s">
        <v>180</v>
      </c>
      <c r="K45" s="26">
        <v>226.94649999999999</v>
      </c>
      <c r="L45" s="27">
        <v>1.8E-3</v>
      </c>
      <c r="M45" s="26">
        <v>0.40850369999999997</v>
      </c>
      <c r="N45" s="28">
        <v>2.2420669603967776E-2</v>
      </c>
    </row>
    <row r="46" spans="3:15" ht="18" x14ac:dyDescent="0.25">
      <c r="I46" s="24" t="s">
        <v>181</v>
      </c>
      <c r="J46" s="25" t="s">
        <v>183</v>
      </c>
      <c r="K46" s="26">
        <v>2.7781666669999998</v>
      </c>
      <c r="L46" s="29">
        <v>0.25</v>
      </c>
      <c r="M46" s="26">
        <v>0.69454166674999995</v>
      </c>
      <c r="N46" s="28">
        <v>3.81198242179712E-2</v>
      </c>
    </row>
    <row r="47" spans="3:15" ht="18" x14ac:dyDescent="0.25">
      <c r="I47" s="24" t="s">
        <v>184</v>
      </c>
      <c r="J47" s="25" t="s">
        <v>186</v>
      </c>
      <c r="K47" s="26">
        <v>67.253</v>
      </c>
      <c r="L47" s="29">
        <v>0.16600000000000001</v>
      </c>
      <c r="M47" s="26">
        <v>11.163998000000001</v>
      </c>
      <c r="N47" s="30">
        <v>0.61273450061127255</v>
      </c>
    </row>
    <row r="48" spans="3:15" ht="18" x14ac:dyDescent="0.25">
      <c r="I48" s="24" t="s">
        <v>187</v>
      </c>
      <c r="J48" s="25" t="s">
        <v>189</v>
      </c>
      <c r="K48" s="26">
        <v>81.120999999999995</v>
      </c>
      <c r="L48" s="27">
        <v>5.0999999999999997E-2</v>
      </c>
      <c r="M48" s="26">
        <v>4.1371709999999995</v>
      </c>
      <c r="N48" s="31">
        <v>0.2270680634866146</v>
      </c>
    </row>
    <row r="49" spans="9:14" ht="18" x14ac:dyDescent="0.25">
      <c r="I49" s="24" t="s">
        <v>190</v>
      </c>
      <c r="J49" s="25" t="s">
        <v>192</v>
      </c>
      <c r="K49" s="26">
        <v>3.694</v>
      </c>
      <c r="L49" s="27">
        <v>1.2E-2</v>
      </c>
      <c r="M49" s="26">
        <v>4.4327999999999999E-2</v>
      </c>
      <c r="N49" s="28">
        <v>2.4329362064644303E-3</v>
      </c>
    </row>
    <row r="50" spans="9:14" ht="18" x14ac:dyDescent="0.25">
      <c r="I50" s="24" t="s">
        <v>193</v>
      </c>
      <c r="J50" s="25" t="s">
        <v>195</v>
      </c>
      <c r="K50" s="26">
        <v>797.28283329999999</v>
      </c>
      <c r="L50" s="27">
        <v>1E-4</v>
      </c>
      <c r="M50" s="26">
        <v>7.9728283329999997E-2</v>
      </c>
      <c r="N50" s="28">
        <v>4.3758759067138477E-3</v>
      </c>
    </row>
    <row r="51" spans="9:14" ht="18" x14ac:dyDescent="0.25">
      <c r="I51" s="24" t="s">
        <v>196</v>
      </c>
      <c r="J51" s="25" t="s">
        <v>198</v>
      </c>
      <c r="K51" s="26">
        <v>7.8040000000000003</v>
      </c>
      <c r="L51" s="27">
        <v>4.3E-3</v>
      </c>
      <c r="M51" s="26">
        <v>3.3557200000000002E-2</v>
      </c>
      <c r="N51" s="28">
        <v>1.8417823242097135E-3</v>
      </c>
    </row>
    <row r="52" spans="9:14" ht="18" x14ac:dyDescent="0.25">
      <c r="I52" s="24" t="s">
        <v>202</v>
      </c>
      <c r="J52" s="25" t="s">
        <v>203</v>
      </c>
      <c r="K52" s="26">
        <v>26.92</v>
      </c>
      <c r="L52" s="27">
        <v>7.0000000000000001E-3</v>
      </c>
      <c r="M52" s="26">
        <v>0.18844000000000002</v>
      </c>
      <c r="N52" s="28">
        <v>1.0342503581171208E-2</v>
      </c>
    </row>
    <row r="53" spans="9:14" ht="18" x14ac:dyDescent="0.25">
      <c r="I53" s="24" t="s">
        <v>206</v>
      </c>
      <c r="J53" s="25" t="s">
        <v>207</v>
      </c>
      <c r="K53" s="26">
        <v>12.18</v>
      </c>
      <c r="L53" s="27">
        <v>1E-4</v>
      </c>
      <c r="M53" s="26">
        <v>1.2180000000000001E-3</v>
      </c>
      <c r="N53" s="28">
        <v>6.6849763117525629E-5</v>
      </c>
    </row>
    <row r="54" spans="9:14" ht="18" x14ac:dyDescent="0.25">
      <c r="I54" s="24" t="s">
        <v>210</v>
      </c>
      <c r="J54" s="25" t="s">
        <v>211</v>
      </c>
      <c r="K54" s="26">
        <v>673</v>
      </c>
      <c r="L54" s="27">
        <v>1E-4</v>
      </c>
      <c r="M54" s="26">
        <v>6.7299999999999999E-2</v>
      </c>
      <c r="N54" s="28">
        <v>3.6937512789897162E-3</v>
      </c>
    </row>
    <row r="55" spans="9:14" ht="18" x14ac:dyDescent="0.25">
      <c r="I55" s="24" t="s">
        <v>213</v>
      </c>
      <c r="J55" s="25" t="s">
        <v>214</v>
      </c>
      <c r="K55" s="26">
        <v>13.67</v>
      </c>
      <c r="L55" s="27">
        <v>1E-4</v>
      </c>
      <c r="M55" s="26">
        <v>1.3670000000000002E-3</v>
      </c>
      <c r="N55" s="28">
        <v>7.5027607702510301E-5</v>
      </c>
    </row>
    <row r="56" spans="9:14" ht="18.75" thickBot="1" x14ac:dyDescent="0.3">
      <c r="I56" s="37" t="s">
        <v>216</v>
      </c>
      <c r="J56" s="38" t="s">
        <v>217</v>
      </c>
      <c r="K56" s="39">
        <v>110</v>
      </c>
      <c r="L56" s="68">
        <v>1E-4</v>
      </c>
      <c r="M56" s="39">
        <v>1.1000000000000001E-2</v>
      </c>
      <c r="N56" s="69">
        <v>6.0373349285121672E-4</v>
      </c>
    </row>
    <row r="57" spans="9:14" ht="29.45" customHeight="1" x14ac:dyDescent="0.25">
      <c r="I57" s="154" t="s">
        <v>315</v>
      </c>
      <c r="J57" s="154"/>
      <c r="K57" s="154"/>
      <c r="L57" s="154"/>
      <c r="M57" s="154"/>
      <c r="N57" s="154"/>
    </row>
    <row r="58" spans="9:14" ht="18" thickBot="1" x14ac:dyDescent="0.35">
      <c r="I58" s="2" t="s">
        <v>316</v>
      </c>
      <c r="J58" s="3"/>
      <c r="K58" s="3"/>
      <c r="L58" s="3"/>
      <c r="M58" s="3"/>
      <c r="N58" s="3"/>
    </row>
    <row r="59" spans="9:14" ht="30.75" thickBot="1" x14ac:dyDescent="0.3">
      <c r="I59" s="8" t="s">
        <v>158</v>
      </c>
      <c r="J59" s="9" t="s">
        <v>164</v>
      </c>
      <c r="K59" s="5" t="s">
        <v>165</v>
      </c>
      <c r="L59" s="5" t="s">
        <v>166</v>
      </c>
      <c r="M59" s="5" t="s">
        <v>167</v>
      </c>
      <c r="N59" s="10" t="s">
        <v>131</v>
      </c>
    </row>
    <row r="60" spans="9:14" x14ac:dyDescent="0.25">
      <c r="I60" s="70" t="s">
        <v>199</v>
      </c>
      <c r="J60" s="71" t="s">
        <v>317</v>
      </c>
      <c r="K60" s="72">
        <v>0.1</v>
      </c>
      <c r="L60" s="73">
        <v>41.53846153846154</v>
      </c>
      <c r="M60" s="73">
        <v>4.1538461538461542</v>
      </c>
      <c r="N60" s="74">
        <v>8.4815734893048667E-2</v>
      </c>
    </row>
    <row r="61" spans="9:14" ht="30" x14ac:dyDescent="0.25">
      <c r="I61" s="75" t="s">
        <v>318</v>
      </c>
      <c r="J61" s="76" t="s">
        <v>319</v>
      </c>
      <c r="K61" s="77">
        <v>11.114175508652133</v>
      </c>
      <c r="L61" s="78">
        <v>4.0327868852459012</v>
      </c>
      <c r="M61" s="78">
        <v>44.821101231613518</v>
      </c>
      <c r="N61" s="79">
        <v>0.91518426510695139</v>
      </c>
    </row>
    <row r="62" spans="9:14" ht="30.75" thickBot="1" x14ac:dyDescent="0.3">
      <c r="I62" s="80" t="s">
        <v>320</v>
      </c>
      <c r="J62" s="81" t="s">
        <v>321</v>
      </c>
      <c r="K62" s="82">
        <v>0</v>
      </c>
      <c r="L62" s="83">
        <v>2.603719599427754</v>
      </c>
      <c r="M62" s="83">
        <v>0</v>
      </c>
      <c r="N62" s="84">
        <v>0</v>
      </c>
    </row>
    <row r="64" spans="9:14" ht="18" thickBot="1" x14ac:dyDescent="0.35">
      <c r="I64" s="2" t="s">
        <v>322</v>
      </c>
      <c r="J64" s="3"/>
      <c r="K64" s="3"/>
      <c r="L64" s="3"/>
      <c r="M64" s="3"/>
      <c r="N64" s="3"/>
    </row>
    <row r="65" spans="9:15" ht="30.75" thickBot="1" x14ac:dyDescent="0.3">
      <c r="I65" s="8" t="s">
        <v>158</v>
      </c>
      <c r="J65" s="9" t="s">
        <v>164</v>
      </c>
      <c r="K65" s="5" t="s">
        <v>165</v>
      </c>
      <c r="L65" s="5" t="s">
        <v>166</v>
      </c>
      <c r="M65" s="5" t="s">
        <v>167</v>
      </c>
      <c r="N65" s="10" t="s">
        <v>131</v>
      </c>
      <c r="O65" s="10" t="s">
        <v>163</v>
      </c>
    </row>
    <row r="66" spans="9:15" ht="18" x14ac:dyDescent="0.25">
      <c r="I66" s="85" t="s">
        <v>168</v>
      </c>
      <c r="J66" s="86" t="s">
        <v>171</v>
      </c>
      <c r="K66" s="87">
        <v>2.6756666670000002</v>
      </c>
      <c r="L66" s="88">
        <v>0.22253312399999997</v>
      </c>
      <c r="M66" s="89">
        <v>0.59542446219017764</v>
      </c>
      <c r="N66" s="28">
        <v>2.570745598563752E-2</v>
      </c>
      <c r="O66" s="90"/>
    </row>
    <row r="67" spans="9:15" ht="30" x14ac:dyDescent="0.25">
      <c r="I67" s="75" t="s">
        <v>172</v>
      </c>
      <c r="J67" s="25" t="s">
        <v>174</v>
      </c>
      <c r="K67" s="91">
        <v>279.072</v>
      </c>
      <c r="L67" s="92">
        <v>2.6704545454545479E-3</v>
      </c>
      <c r="M67" s="93">
        <v>0.74524909090909164</v>
      </c>
      <c r="N67" s="94">
        <v>3.2176135546078163E-2</v>
      </c>
      <c r="O67" s="95" t="s">
        <v>323</v>
      </c>
    </row>
    <row r="68" spans="9:15" ht="18" x14ac:dyDescent="0.25">
      <c r="I68" s="24" t="s">
        <v>175</v>
      </c>
      <c r="J68" s="25" t="s">
        <v>177</v>
      </c>
      <c r="K68" s="91">
        <v>38.016666669999999</v>
      </c>
      <c r="L68" s="96">
        <v>0</v>
      </c>
      <c r="M68" s="97">
        <v>0</v>
      </c>
      <c r="N68" s="98">
        <v>0</v>
      </c>
      <c r="O68" s="21"/>
    </row>
    <row r="69" spans="9:15" ht="30" x14ac:dyDescent="0.25">
      <c r="I69" s="24" t="s">
        <v>178</v>
      </c>
      <c r="J69" s="25" t="s">
        <v>180</v>
      </c>
      <c r="K69" s="91">
        <v>226.94649999999999</v>
      </c>
      <c r="L69" s="27">
        <v>5.6613636363636423E-3</v>
      </c>
      <c r="M69" s="99">
        <v>1.2848266625000013</v>
      </c>
      <c r="N69" s="100">
        <v>5.5472401577016044E-2</v>
      </c>
      <c r="O69" s="95" t="s">
        <v>323</v>
      </c>
    </row>
    <row r="70" spans="9:15" ht="18" x14ac:dyDescent="0.25">
      <c r="I70" s="24" t="s">
        <v>181</v>
      </c>
      <c r="J70" s="25" t="s">
        <v>183</v>
      </c>
      <c r="K70" s="91">
        <v>2.7781666669999998</v>
      </c>
      <c r="L70" s="27">
        <v>0.11834262893199998</v>
      </c>
      <c r="M70" s="99">
        <v>0.32877554698403216</v>
      </c>
      <c r="N70" s="100">
        <v>1.4194886908335246E-2</v>
      </c>
      <c r="O70" s="21"/>
    </row>
    <row r="71" spans="9:15" ht="18" x14ac:dyDescent="0.25">
      <c r="I71" s="24" t="s">
        <v>184</v>
      </c>
      <c r="J71" s="25" t="s">
        <v>186</v>
      </c>
      <c r="K71" s="91">
        <v>67.253</v>
      </c>
      <c r="L71" s="27">
        <v>0.20623072673649601</v>
      </c>
      <c r="M71" s="99">
        <v>13.869635065209566</v>
      </c>
      <c r="N71" s="101">
        <v>0.59882160646239491</v>
      </c>
      <c r="O71" s="21"/>
    </row>
    <row r="72" spans="9:15" ht="18" x14ac:dyDescent="0.25">
      <c r="I72" s="24" t="s">
        <v>187</v>
      </c>
      <c r="J72" s="25" t="s">
        <v>189</v>
      </c>
      <c r="K72" s="91">
        <v>81.120999999999995</v>
      </c>
      <c r="L72" s="27">
        <v>6.0907520331503984E-2</v>
      </c>
      <c r="M72" s="99">
        <v>4.9408789568119342</v>
      </c>
      <c r="N72" s="100">
        <v>0.21332248904485934</v>
      </c>
      <c r="O72" s="21"/>
    </row>
    <row r="73" spans="9:15" ht="30" x14ac:dyDescent="0.25">
      <c r="I73" s="24" t="s">
        <v>190</v>
      </c>
      <c r="J73" s="25" t="s">
        <v>192</v>
      </c>
      <c r="K73" s="91">
        <v>3.694</v>
      </c>
      <c r="L73" s="27">
        <v>2.6063636363636386E-2</v>
      </c>
      <c r="M73" s="99">
        <v>9.6279072727272805E-2</v>
      </c>
      <c r="N73" s="100">
        <v>4.1568497460956174E-3</v>
      </c>
      <c r="O73" s="95" t="s">
        <v>323</v>
      </c>
    </row>
    <row r="74" spans="9:15" ht="30" x14ac:dyDescent="0.25">
      <c r="I74" s="24" t="s">
        <v>193</v>
      </c>
      <c r="J74" s="25" t="s">
        <v>195</v>
      </c>
      <c r="K74" s="91">
        <v>797.28283329999999</v>
      </c>
      <c r="L74" s="102">
        <v>9.6136363636363726E-4</v>
      </c>
      <c r="M74" s="99">
        <v>0.76647872383159166</v>
      </c>
      <c r="N74" s="100">
        <v>3.3092725119739479E-2</v>
      </c>
      <c r="O74" s="95" t="s">
        <v>323</v>
      </c>
    </row>
    <row r="75" spans="9:15" ht="18" x14ac:dyDescent="0.25">
      <c r="I75" s="24" t="s">
        <v>196</v>
      </c>
      <c r="J75" s="25" t="s">
        <v>198</v>
      </c>
      <c r="K75" s="91">
        <v>7.8040000000000003</v>
      </c>
      <c r="L75" s="96">
        <v>0</v>
      </c>
      <c r="M75" s="97">
        <v>0</v>
      </c>
      <c r="N75" s="98">
        <v>0</v>
      </c>
      <c r="O75" s="21"/>
    </row>
    <row r="76" spans="9:15" ht="30" x14ac:dyDescent="0.25">
      <c r="I76" s="24" t="s">
        <v>202</v>
      </c>
      <c r="J76" s="25" t="s">
        <v>203</v>
      </c>
      <c r="K76" s="91">
        <v>26.92</v>
      </c>
      <c r="L76" s="27">
        <v>1.1643181818181829E-2</v>
      </c>
      <c r="M76" s="99">
        <v>0.31343445454545482</v>
      </c>
      <c r="N76" s="100">
        <v>1.3532535117840016E-2</v>
      </c>
      <c r="O76" s="95" t="s">
        <v>323</v>
      </c>
    </row>
    <row r="77" spans="9:15" ht="18" x14ac:dyDescent="0.25">
      <c r="I77" s="24" t="s">
        <v>206</v>
      </c>
      <c r="J77" s="25" t="s">
        <v>207</v>
      </c>
      <c r="K77" s="91">
        <v>12.18</v>
      </c>
      <c r="L77" s="96">
        <v>0</v>
      </c>
      <c r="M77" s="97">
        <v>0</v>
      </c>
      <c r="N77" s="98">
        <v>0</v>
      </c>
      <c r="O77" s="21"/>
    </row>
    <row r="78" spans="9:15" ht="18" x14ac:dyDescent="0.25">
      <c r="I78" s="24" t="s">
        <v>210</v>
      </c>
      <c r="J78" s="25" t="s">
        <v>211</v>
      </c>
      <c r="K78" s="91">
        <v>673</v>
      </c>
      <c r="L78" s="103">
        <v>0</v>
      </c>
      <c r="M78" s="97">
        <v>0</v>
      </c>
      <c r="N78" s="98">
        <v>0</v>
      </c>
      <c r="O78" s="21"/>
    </row>
    <row r="79" spans="9:15" ht="18" x14ac:dyDescent="0.25">
      <c r="I79" s="24" t="s">
        <v>213</v>
      </c>
      <c r="J79" s="25" t="s">
        <v>214</v>
      </c>
      <c r="K79" s="91">
        <v>13.67</v>
      </c>
      <c r="L79" s="103">
        <v>0</v>
      </c>
      <c r="M79" s="97">
        <v>0</v>
      </c>
      <c r="N79" s="98">
        <v>0</v>
      </c>
      <c r="O79" s="21"/>
    </row>
    <row r="80" spans="9:15" ht="18" x14ac:dyDescent="0.25">
      <c r="I80" s="24" t="s">
        <v>216</v>
      </c>
      <c r="J80" s="25" t="s">
        <v>217</v>
      </c>
      <c r="K80" s="91">
        <v>110</v>
      </c>
      <c r="L80" s="103">
        <v>0</v>
      </c>
      <c r="M80" s="97">
        <v>0</v>
      </c>
      <c r="N80" s="98">
        <v>0</v>
      </c>
      <c r="O80" s="21"/>
    </row>
    <row r="81" spans="9:15" ht="45.75" thickBot="1" x14ac:dyDescent="0.3">
      <c r="I81" s="104" t="s">
        <v>324</v>
      </c>
      <c r="J81" s="38" t="str">
        <f>J70&amp;", "&amp;J66&amp;" mix"</f>
        <v>La2O3, CeO2 mix</v>
      </c>
      <c r="K81" s="105">
        <v>0.63934604904632142</v>
      </c>
      <c r="L81" s="106">
        <v>0.34498600000000001</v>
      </c>
      <c r="M81" s="107">
        <v>0.22056543607629425</v>
      </c>
      <c r="N81" s="84">
        <v>9.5229144920035806E-3</v>
      </c>
      <c r="O81" s="108" t="s">
        <v>325</v>
      </c>
    </row>
    <row r="82" spans="9:15" x14ac:dyDescent="0.25">
      <c r="I82" s="109" t="s">
        <v>326</v>
      </c>
    </row>
    <row r="84" spans="9:15" ht="15.75" thickBot="1" x14ac:dyDescent="0.3">
      <c r="I84" s="110" t="s">
        <v>327</v>
      </c>
      <c r="J84" s="3"/>
      <c r="K84" s="3"/>
      <c r="L84" s="3"/>
      <c r="M84" s="3"/>
      <c r="N84" s="3"/>
    </row>
    <row r="85" spans="9:15" ht="30.75" thickBot="1" x14ac:dyDescent="0.3">
      <c r="I85" s="111" t="s">
        <v>158</v>
      </c>
      <c r="J85" s="112" t="s">
        <v>164</v>
      </c>
      <c r="K85" s="113" t="s">
        <v>165</v>
      </c>
      <c r="L85" s="113" t="s">
        <v>166</v>
      </c>
      <c r="M85" s="113" t="s">
        <v>167</v>
      </c>
      <c r="N85" s="114" t="s">
        <v>131</v>
      </c>
    </row>
    <row r="86" spans="9:15" ht="18" x14ac:dyDescent="0.25">
      <c r="I86" s="85" t="s">
        <v>168</v>
      </c>
      <c r="J86" s="86" t="s">
        <v>171</v>
      </c>
      <c r="K86" s="18">
        <v>2.6756666670000002</v>
      </c>
      <c r="L86" s="88">
        <v>3.2300000000000002E-2</v>
      </c>
      <c r="M86" s="89">
        <v>8.642403334410001E-2</v>
      </c>
      <c r="N86" s="28">
        <v>2.0746590813195491E-3</v>
      </c>
    </row>
    <row r="87" spans="9:15" ht="18" x14ac:dyDescent="0.25">
      <c r="I87" s="24" t="s">
        <v>172</v>
      </c>
      <c r="J87" s="25" t="s">
        <v>174</v>
      </c>
      <c r="K87" s="115">
        <v>279.072</v>
      </c>
      <c r="L87" s="27">
        <v>3.7100000000000001E-2</v>
      </c>
      <c r="M87" s="115">
        <v>10.353571200000001</v>
      </c>
      <c r="N87" s="116">
        <v>0.24854348591490438</v>
      </c>
    </row>
    <row r="88" spans="9:15" ht="18" x14ac:dyDescent="0.25">
      <c r="I88" s="24" t="s">
        <v>175</v>
      </c>
      <c r="J88" s="25" t="s">
        <v>177</v>
      </c>
      <c r="K88" s="115">
        <v>38.016666669999999</v>
      </c>
      <c r="L88" s="27">
        <v>2.4799999999999999E-2</v>
      </c>
      <c r="M88" s="99">
        <v>0.94281333341599993</v>
      </c>
      <c r="N88" s="100">
        <v>2.2632781281715007E-2</v>
      </c>
    </row>
    <row r="89" spans="9:15" ht="18" x14ac:dyDescent="0.25">
      <c r="I89" s="24" t="s">
        <v>178</v>
      </c>
      <c r="J89" s="25" t="s">
        <v>180</v>
      </c>
      <c r="K89" s="115">
        <v>226.94649999999999</v>
      </c>
      <c r="L89" s="27">
        <v>9.2999999999999992E-3</v>
      </c>
      <c r="M89" s="117">
        <v>2.1106024499999996</v>
      </c>
      <c r="N89" s="100">
        <v>5.0666236815325859E-2</v>
      </c>
    </row>
    <row r="90" spans="9:15" ht="18" x14ac:dyDescent="0.25">
      <c r="I90" s="24" t="s">
        <v>181</v>
      </c>
      <c r="J90" s="25" t="s">
        <v>183</v>
      </c>
      <c r="K90" s="115">
        <v>2.7781666669999998</v>
      </c>
      <c r="L90" s="29">
        <v>0.27560000000000001</v>
      </c>
      <c r="M90" s="99">
        <v>0.76566273342519997</v>
      </c>
      <c r="N90" s="100">
        <v>1.8380178309937479E-2</v>
      </c>
    </row>
    <row r="91" spans="9:15" ht="18" x14ac:dyDescent="0.25">
      <c r="I91" s="24" t="s">
        <v>184</v>
      </c>
      <c r="J91" s="25" t="s">
        <v>186</v>
      </c>
      <c r="K91" s="115">
        <v>67.253</v>
      </c>
      <c r="L91" s="29">
        <v>0.17549999999999999</v>
      </c>
      <c r="M91" s="115">
        <v>11.802901499999999</v>
      </c>
      <c r="N91" s="118">
        <v>0.28333550096417487</v>
      </c>
    </row>
    <row r="92" spans="9:15" ht="18" x14ac:dyDescent="0.25">
      <c r="I92" s="24" t="s">
        <v>187</v>
      </c>
      <c r="J92" s="25" t="s">
        <v>189</v>
      </c>
      <c r="K92" s="115">
        <v>81.120999999999995</v>
      </c>
      <c r="L92" s="27">
        <v>5.62E-2</v>
      </c>
      <c r="M92" s="117">
        <v>4.5590001999999998</v>
      </c>
      <c r="N92" s="116">
        <v>0.10944144586505052</v>
      </c>
    </row>
    <row r="93" spans="9:15" ht="18" x14ac:dyDescent="0.25">
      <c r="I93" s="24" t="s">
        <v>190</v>
      </c>
      <c r="J93" s="25" t="s">
        <v>192</v>
      </c>
      <c r="K93" s="115">
        <v>3.694</v>
      </c>
      <c r="L93" s="27">
        <v>4.5400000000000003E-2</v>
      </c>
      <c r="M93" s="99">
        <v>0.16770760000000001</v>
      </c>
      <c r="N93" s="100">
        <v>4.0259182762390636E-3</v>
      </c>
    </row>
    <row r="94" spans="9:15" ht="18" x14ac:dyDescent="0.25">
      <c r="I94" s="24" t="s">
        <v>193</v>
      </c>
      <c r="J94" s="25" t="s">
        <v>195</v>
      </c>
      <c r="K94" s="115">
        <v>797.28283329999999</v>
      </c>
      <c r="L94" s="27">
        <v>6.7999999999999996E-3</v>
      </c>
      <c r="M94" s="117">
        <v>5.4215232664399995</v>
      </c>
      <c r="N94" s="116">
        <v>0.13014681268717757</v>
      </c>
    </row>
    <row r="95" spans="9:15" ht="18" x14ac:dyDescent="0.25">
      <c r="I95" s="24" t="s">
        <v>196</v>
      </c>
      <c r="J95" s="25" t="s">
        <v>198</v>
      </c>
      <c r="K95" s="115">
        <v>7.8040000000000003</v>
      </c>
      <c r="L95" s="29">
        <v>0.24260000000000001</v>
      </c>
      <c r="M95" s="117">
        <v>1.8932504000000001</v>
      </c>
      <c r="N95" s="100">
        <v>4.5448574702976599E-2</v>
      </c>
    </row>
    <row r="96" spans="9:15" ht="18" x14ac:dyDescent="0.25">
      <c r="I96" s="24" t="s">
        <v>202</v>
      </c>
      <c r="J96" s="25" t="s">
        <v>203</v>
      </c>
      <c r="K96" s="115">
        <v>26.92</v>
      </c>
      <c r="L96" s="27">
        <v>5.96E-2</v>
      </c>
      <c r="M96" s="117">
        <v>1.6044320000000001</v>
      </c>
      <c r="N96" s="100">
        <v>3.8515321379489022E-2</v>
      </c>
    </row>
    <row r="97" spans="9:14" ht="18" x14ac:dyDescent="0.25">
      <c r="I97" s="24" t="s">
        <v>206</v>
      </c>
      <c r="J97" s="25" t="s">
        <v>207</v>
      </c>
      <c r="K97" s="115">
        <v>12.18</v>
      </c>
      <c r="L97" s="27">
        <v>1.1299999999999999E-2</v>
      </c>
      <c r="M97" s="99">
        <v>0.13763399999999998</v>
      </c>
      <c r="N97" s="100">
        <v>3.3039840533874861E-3</v>
      </c>
    </row>
    <row r="98" spans="9:14" ht="18" x14ac:dyDescent="0.25">
      <c r="I98" s="24" t="s">
        <v>210</v>
      </c>
      <c r="J98" s="25" t="s">
        <v>211</v>
      </c>
      <c r="K98" s="115">
        <v>673</v>
      </c>
      <c r="L98" s="27">
        <v>2.0999999999999999E-3</v>
      </c>
      <c r="M98" s="117">
        <v>1.4133</v>
      </c>
      <c r="N98" s="100">
        <v>3.3927086785623721E-2</v>
      </c>
    </row>
    <row r="99" spans="9:14" ht="18" x14ac:dyDescent="0.25">
      <c r="I99" s="24" t="s">
        <v>213</v>
      </c>
      <c r="J99" s="25" t="s">
        <v>214</v>
      </c>
      <c r="K99" s="115">
        <v>13.67</v>
      </c>
      <c r="L99" s="27">
        <v>7.4000000000000003E-3</v>
      </c>
      <c r="M99" s="99">
        <v>0.101158</v>
      </c>
      <c r="N99" s="100">
        <v>2.4283565025543935E-3</v>
      </c>
    </row>
    <row r="100" spans="9:14" ht="18.75" thickBot="1" x14ac:dyDescent="0.3">
      <c r="I100" s="37" t="s">
        <v>216</v>
      </c>
      <c r="J100" s="38" t="s">
        <v>217</v>
      </c>
      <c r="K100" s="119">
        <v>110</v>
      </c>
      <c r="L100" s="68">
        <v>2.7000000000000001E-3</v>
      </c>
      <c r="M100" s="120">
        <v>0.29700000000000004</v>
      </c>
      <c r="N100" s="121">
        <v>7.1296573801247053E-3</v>
      </c>
    </row>
    <row r="101" spans="9:14" x14ac:dyDescent="0.25">
      <c r="I101" s="154" t="s">
        <v>315</v>
      </c>
      <c r="J101" s="154"/>
      <c r="K101" s="154"/>
      <c r="L101" s="154"/>
      <c r="M101" s="154"/>
      <c r="N101" s="154"/>
    </row>
  </sheetData>
  <mergeCells count="5">
    <mergeCell ref="I101:N101"/>
    <mergeCell ref="I19:N19"/>
    <mergeCell ref="C43:E43"/>
    <mergeCell ref="I38:N38"/>
    <mergeCell ref="I57:N57"/>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741122952C13D46BBBC92EEAE11CF32" ma:contentTypeVersion="13" ma:contentTypeDescription="Crée un document." ma:contentTypeScope="" ma:versionID="d96b5fa62e5213e7d24e66b2bac0c378">
  <xsd:schema xmlns:xsd="http://www.w3.org/2001/XMLSchema" xmlns:xs="http://www.w3.org/2001/XMLSchema" xmlns:p="http://schemas.microsoft.com/office/2006/metadata/properties" xmlns:ns2="d78c010b-218d-4be4-b2d9-423b1f51aae5" xmlns:ns3="adc0c41a-12c1-4165-8422-5f5ca88e9f6a" targetNamespace="http://schemas.microsoft.com/office/2006/metadata/properties" ma:root="true" ma:fieldsID="c2e8fc9a9c70fab2c0f7259df75af726" ns2:_="" ns3:_="">
    <xsd:import namespace="d78c010b-218d-4be4-b2d9-423b1f51aae5"/>
    <xsd:import namespace="adc0c41a-12c1-4165-8422-5f5ca88e9f6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8c010b-218d-4be4-b2d9-423b1f51aae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Balises d’images" ma:readOnly="false" ma:fieldId="{5cf76f15-5ced-4ddc-b409-7134ff3c332f}" ma:taxonomyMulti="true" ma:sspId="dd53d8bb-88b5-477e-9788-ab5cb1008ff7"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dc0c41a-12c1-4165-8422-5f5ca88e9f6a" elementFormDefault="qualified">
    <xsd:import namespace="http://schemas.microsoft.com/office/2006/documentManagement/types"/>
    <xsd:import namespace="http://schemas.microsoft.com/office/infopath/2007/PartnerControls"/>
    <xsd:element name="SharedWithUsers" ma:index="1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Partagé avec détails" ma:internalName="SharedWithDetails" ma:readOnly="true">
      <xsd:simpleType>
        <xsd:restriction base="dms:Note">
          <xsd:maxLength value="255"/>
        </xsd:restriction>
      </xsd:simpleType>
    </xsd:element>
    <xsd:element name="TaxCatchAll" ma:index="15" nillable="true" ma:displayName="Taxonomy Catch All Column" ma:hidden="true" ma:list="{9f8ce134-c725-4f6f-a6f6-5df0359a5c7e}" ma:internalName="TaxCatchAll" ma:showField="CatchAllData" ma:web="adc0c41a-12c1-4165-8422-5f5ca88e9f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adc0c41a-12c1-4165-8422-5f5ca88e9f6a" xsi:nil="true"/>
    <lcf76f155ced4ddcb4097134ff3c332f xmlns="d78c010b-218d-4be4-b2d9-423b1f51aae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D505759-2A1A-4E9E-BD90-2929A9AC264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8c010b-218d-4be4-b2d9-423b1f51aae5"/>
    <ds:schemaRef ds:uri="adc0c41a-12c1-4165-8422-5f5ca88e9f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23D3DCA-D989-4841-8BFB-46D8BB59BDE5}">
  <ds:schemaRefs>
    <ds:schemaRef ds:uri="http://www.w3.org/XML/1998/namespace"/>
    <ds:schemaRef ds:uri="http://purl.org/dc/dcmitype/"/>
    <ds:schemaRef ds:uri="http://purl.org/dc/elements/1.1/"/>
    <ds:schemaRef ds:uri="ed5f2952-b435-4f2e-a316-a69b8870e578"/>
    <ds:schemaRef ds:uri="http://schemas.openxmlformats.org/package/2006/metadata/core-properties"/>
    <ds:schemaRef ds:uri="http://schemas.microsoft.com/office/2006/documentManagement/types"/>
    <ds:schemaRef ds:uri="http://schemas.microsoft.com/office/2006/metadata/properties"/>
    <ds:schemaRef ds:uri="http://schemas.microsoft.com/office/infopath/2007/PartnerControls"/>
    <ds:schemaRef ds:uri="http://purl.org/dc/terms/"/>
    <ds:schemaRef ds:uri="adc0c41a-12c1-4165-8422-5f5ca88e9f6a"/>
    <ds:schemaRef ds:uri="d78c010b-218d-4be4-b2d9-423b1f51aae5"/>
  </ds:schemaRefs>
</ds:datastoreItem>
</file>

<file path=customXml/itemProps3.xml><?xml version="1.0" encoding="utf-8"?>
<ds:datastoreItem xmlns:ds="http://schemas.openxmlformats.org/officeDocument/2006/customXml" ds:itemID="{8A771F86-C0B6-4E45-9F69-EBAE9564243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Note</vt:lpstr>
      <vt:lpstr>RE_Market_GLO</vt:lpstr>
      <vt:lpstr>PR1_REO_CN_Sichuan_Bastnaesite</vt:lpstr>
      <vt:lpstr>PR2_REO_US_Mt.Pass_Bastnaesite</vt:lpstr>
      <vt:lpstr>PR3_REO_CN_BayanObo_Bast-Mona</vt:lpstr>
      <vt:lpstr>PR4_REO_AU-MY_MtWeld_Monazite</vt:lpstr>
      <vt:lpstr>PR5_REO_CN_IAC</vt:lpstr>
      <vt:lpstr>AllocationDetails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Lai Frederic</cp:lastModifiedBy>
  <dcterms:created xsi:type="dcterms:W3CDTF">2015-06-05T18:19:34Z</dcterms:created>
  <dcterms:modified xsi:type="dcterms:W3CDTF">2025-08-06T06:25:53Z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0x0101004741122952C13D46BBBC92EEAE11CF32</vt:lpwstr>
  </property>
  <property fmtid="{D5CDD505-2E9C-101B-9397-08002B2CF9AE}" pid="3" name="MediaServiceImageTags">
    <vt:lpwstr/>
  </property>
</Properties>
</file>