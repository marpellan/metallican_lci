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V_Vanadium/"/>
    </mc:Choice>
  </mc:AlternateContent>
  <xr:revisionPtr revIDLastSave="86" documentId="8_{A935F3C7-9D15-471B-BBA9-C8E492816B8C}" xr6:coauthVersionLast="47" xr6:coauthVersionMax="47" xr10:uidLastSave="{A5388257-A999-4B3F-8B88-4BE8A12A6BF9}"/>
  <bookViews>
    <workbookView xWindow="-23148" yWindow="-108" windowWidth="23256" windowHeight="12576" tabRatio="816" xr2:uid="{00000000-000D-0000-FFFF-FFFF00000000}"/>
  </bookViews>
  <sheets>
    <sheet name="Note" sheetId="1" r:id="rId1"/>
    <sheet name="V_Market_GLO" sheetId="6" r:id="rId2"/>
    <sheet name="PR1_V2O5_CN_CaRoasting" sheetId="2" r:id="rId3"/>
    <sheet name="PR2_V2O5_CN_SubMolten" sheetId="3" r:id="rId4"/>
    <sheet name="PR3_V2O5_CN_PanSteel" sheetId="7" r:id="rId5"/>
    <sheet name="PR3_V2O5_CN_PanSteel_Unallo" sheetId="4" state="hidden" r:id="rId6"/>
    <sheet name="PR4_V2O5_ZA_Mapochs" sheetId="8" r:id="rId7"/>
    <sheet name="PR4_V2O5_ZA_Mapochs_Unallo" sheetId="5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6" l="1"/>
  <c r="C29" i="6"/>
  <c r="E29" i="6"/>
  <c r="F29" i="6"/>
  <c r="A29" i="6"/>
  <c r="B28" i="6"/>
  <c r="C28" i="6"/>
  <c r="E28" i="6"/>
  <c r="F28" i="6"/>
  <c r="A28" i="6"/>
  <c r="B27" i="6"/>
  <c r="C27" i="6"/>
  <c r="E27" i="6"/>
  <c r="F27" i="6"/>
  <c r="A27" i="6"/>
  <c r="B26" i="6"/>
  <c r="C26" i="6"/>
  <c r="E26" i="6"/>
  <c r="F26" i="6"/>
  <c r="A26" i="6"/>
  <c r="B15" i="6"/>
  <c r="C15" i="6"/>
  <c r="E15" i="6"/>
  <c r="F15" i="6"/>
  <c r="A15" i="6"/>
  <c r="B14" i="6"/>
  <c r="C14" i="6"/>
  <c r="E14" i="6"/>
  <c r="F14" i="6"/>
  <c r="A14" i="6"/>
  <c r="B13" i="6"/>
  <c r="C13" i="6"/>
  <c r="E13" i="6"/>
  <c r="F13" i="6"/>
  <c r="A13" i="6"/>
  <c r="B12" i="6"/>
  <c r="C12" i="6"/>
  <c r="E12" i="6"/>
  <c r="F12" i="6"/>
  <c r="A12" i="6"/>
  <c r="E205" i="8"/>
  <c r="E204" i="8"/>
  <c r="E203" i="8"/>
  <c r="E192" i="8"/>
  <c r="E191" i="8"/>
  <c r="E190" i="8"/>
  <c r="C189" i="8"/>
  <c r="B189" i="8"/>
  <c r="A189" i="8"/>
  <c r="C152" i="8"/>
  <c r="C203" i="8" s="1"/>
  <c r="B152" i="8"/>
  <c r="B203" i="8" s="1"/>
  <c r="A152" i="8"/>
  <c r="A190" i="8" s="1"/>
  <c r="C115" i="8"/>
  <c r="C204" i="8" s="1"/>
  <c r="B115" i="8"/>
  <c r="B204" i="8" s="1"/>
  <c r="A115" i="8"/>
  <c r="A204" i="8" s="1"/>
  <c r="F9" i="8"/>
  <c r="F192" i="8" s="1"/>
  <c r="C9" i="8"/>
  <c r="C192" i="8" s="1"/>
  <c r="B9" i="8"/>
  <c r="B192" i="8" s="1"/>
  <c r="A9" i="8"/>
  <c r="A192" i="8" s="1"/>
  <c r="A203" i="8" l="1"/>
  <c r="A205" i="8"/>
  <c r="B190" i="8"/>
  <c r="B205" i="8"/>
  <c r="B191" i="8"/>
  <c r="C191" i="8"/>
  <c r="C205" i="8"/>
  <c r="A191" i="8"/>
  <c r="C190" i="8"/>
  <c r="F205" i="8"/>
  <c r="F115" i="8"/>
  <c r="F191" i="8" l="1"/>
  <c r="F152" i="8"/>
  <c r="F204" i="8"/>
  <c r="F190" i="8" l="1"/>
  <c r="F203" i="8"/>
  <c r="F189" i="8"/>
  <c r="F202" i="8" s="1"/>
  <c r="G142" i="7" l="1"/>
  <c r="G141" i="7"/>
  <c r="G140" i="7"/>
  <c r="C139" i="7"/>
  <c r="B139" i="7"/>
  <c r="A139" i="7"/>
  <c r="E129" i="7"/>
  <c r="E142" i="7" s="1"/>
  <c r="E128" i="7"/>
  <c r="E141" i="7" s="1"/>
  <c r="E127" i="7"/>
  <c r="E140" i="7" s="1"/>
  <c r="C126" i="7"/>
  <c r="B126" i="7"/>
  <c r="A126" i="7"/>
  <c r="E111" i="7"/>
  <c r="C109" i="7"/>
  <c r="C32" i="7" s="1"/>
  <c r="B109" i="7"/>
  <c r="B32" i="7" s="1"/>
  <c r="A109" i="7"/>
  <c r="A32" i="7" s="1"/>
  <c r="C92" i="7"/>
  <c r="C111" i="7" s="1"/>
  <c r="B92" i="7"/>
  <c r="B47" i="7" s="1"/>
  <c r="A92" i="7"/>
  <c r="A47" i="7" s="1"/>
  <c r="E73" i="7"/>
  <c r="C72" i="7"/>
  <c r="C127" i="7" s="1"/>
  <c r="C140" i="7" s="1"/>
  <c r="B72" i="7"/>
  <c r="B127" i="7" s="1"/>
  <c r="B140" i="7" s="1"/>
  <c r="A72" i="7"/>
  <c r="A127" i="7" s="1"/>
  <c r="A140" i="7" s="1"/>
  <c r="E47" i="7"/>
  <c r="E41" i="7"/>
  <c r="E40" i="7"/>
  <c r="E34" i="7"/>
  <c r="E33" i="7"/>
  <c r="E32" i="7"/>
  <c r="C29" i="7"/>
  <c r="C128" i="7" s="1"/>
  <c r="C141" i="7" s="1"/>
  <c r="B29" i="7"/>
  <c r="B128" i="7" s="1"/>
  <c r="B141" i="7" s="1"/>
  <c r="A29" i="7"/>
  <c r="A128" i="7" s="1"/>
  <c r="A141" i="7" s="1"/>
  <c r="F9" i="7"/>
  <c r="F129" i="7" s="1"/>
  <c r="F142" i="7" s="1"/>
  <c r="C9" i="7"/>
  <c r="C129" i="7" s="1"/>
  <c r="C142" i="7" s="1"/>
  <c r="B9" i="7"/>
  <c r="B129" i="7" s="1"/>
  <c r="B142" i="7" s="1"/>
  <c r="A9" i="7"/>
  <c r="A129" i="7" s="1"/>
  <c r="A142" i="7" s="1"/>
  <c r="C34" i="7" l="1"/>
  <c r="A111" i="7"/>
  <c r="B40" i="7"/>
  <c r="C40" i="7"/>
  <c r="B73" i="7"/>
  <c r="B34" i="7"/>
  <c r="C73" i="7"/>
  <c r="C47" i="7"/>
  <c r="F29" i="7"/>
  <c r="F72" i="7" s="1"/>
  <c r="F127" i="7" s="1"/>
  <c r="F140" i="7" s="1"/>
  <c r="A33" i="7"/>
  <c r="B33" i="7"/>
  <c r="C33" i="7"/>
  <c r="B41" i="7"/>
  <c r="A40" i="7"/>
  <c r="A41" i="7"/>
  <c r="A34" i="7"/>
  <c r="C41" i="7"/>
  <c r="A73" i="7"/>
  <c r="B111" i="7"/>
  <c r="F92" i="7" l="1"/>
  <c r="F109" i="7" s="1"/>
  <c r="F128" i="7"/>
  <c r="F141" i="7" s="1"/>
  <c r="F41" i="7" l="1"/>
  <c r="F34" i="7"/>
  <c r="F73" i="7"/>
  <c r="F47" i="7"/>
  <c r="F40" i="7"/>
  <c r="F33" i="7"/>
  <c r="F111" i="7"/>
  <c r="F126" i="7"/>
  <c r="F139" i="7" s="1"/>
  <c r="F32" i="7"/>
  <c r="D236" i="5" l="1"/>
  <c r="G48" i="2"/>
  <c r="G49" i="2"/>
  <c r="G47" i="2"/>
  <c r="B36" i="2"/>
  <c r="B49" i="2" s="1"/>
  <c r="C36" i="2"/>
  <c r="C49" i="2" s="1"/>
  <c r="E36" i="2"/>
  <c r="E49" i="2" s="1"/>
  <c r="A36" i="2"/>
  <c r="A49" i="2" s="1"/>
  <c r="B35" i="2"/>
  <c r="B48" i="2" s="1"/>
  <c r="C35" i="2"/>
  <c r="C48" i="2" s="1"/>
  <c r="E35" i="2"/>
  <c r="E48" i="2" s="1"/>
  <c r="A35" i="2"/>
  <c r="A48" i="2" s="1"/>
  <c r="E34" i="2"/>
  <c r="E47" i="2" s="1"/>
  <c r="D164" i="4"/>
  <c r="G50" i="3"/>
  <c r="G49" i="3"/>
  <c r="G48" i="3"/>
  <c r="B37" i="3"/>
  <c r="B50" i="3" s="1"/>
  <c r="C37" i="3"/>
  <c r="C50" i="3" s="1"/>
  <c r="E37" i="3"/>
  <c r="E50" i="3" s="1"/>
  <c r="A37" i="3"/>
  <c r="A50" i="3" s="1"/>
  <c r="B36" i="3"/>
  <c r="B49" i="3" s="1"/>
  <c r="C36" i="3"/>
  <c r="C49" i="3" s="1"/>
  <c r="E36" i="3"/>
  <c r="E49" i="3" s="1"/>
  <c r="A36" i="3"/>
  <c r="A49" i="3" s="1"/>
  <c r="E35" i="3"/>
  <c r="E48" i="3" s="1"/>
  <c r="D166" i="4"/>
  <c r="D165" i="4"/>
  <c r="B166" i="4"/>
  <c r="C166" i="4"/>
  <c r="E166" i="4"/>
  <c r="G166" i="4"/>
  <c r="A166" i="4"/>
  <c r="B165" i="4"/>
  <c r="C165" i="4"/>
  <c r="E165" i="4"/>
  <c r="G165" i="4"/>
  <c r="A165" i="4"/>
  <c r="B164" i="4"/>
  <c r="C164" i="4"/>
  <c r="E164" i="4"/>
  <c r="G164" i="4"/>
  <c r="A164" i="4"/>
  <c r="D238" i="5"/>
  <c r="D237" i="5"/>
  <c r="B238" i="5" l="1"/>
  <c r="C238" i="5"/>
  <c r="E238" i="5"/>
  <c r="A238" i="5"/>
  <c r="B237" i="5"/>
  <c r="C237" i="5"/>
  <c r="E237" i="5"/>
  <c r="A237" i="5"/>
  <c r="B236" i="5"/>
  <c r="C236" i="5"/>
  <c r="E236" i="5"/>
  <c r="A236" i="5"/>
  <c r="D225" i="5"/>
  <c r="D224" i="5"/>
  <c r="D223" i="5"/>
  <c r="E225" i="5"/>
  <c r="A225" i="5"/>
  <c r="E224" i="5"/>
  <c r="C223" i="5"/>
  <c r="E223" i="5"/>
  <c r="C222" i="5"/>
  <c r="B222" i="5"/>
  <c r="A222" i="5"/>
  <c r="C158" i="5"/>
  <c r="B158" i="5"/>
  <c r="B223" i="5" s="1"/>
  <c r="A158" i="5"/>
  <c r="A223" i="5" s="1"/>
  <c r="C117" i="5"/>
  <c r="C224" i="5" s="1"/>
  <c r="B117" i="5"/>
  <c r="B224" i="5" s="1"/>
  <c r="A117" i="5"/>
  <c r="A224" i="5" s="1"/>
  <c r="F9" i="5"/>
  <c r="F117" i="5" s="1"/>
  <c r="F158" i="5" s="1"/>
  <c r="F222" i="5" s="1"/>
  <c r="F235" i="5" s="1"/>
  <c r="C9" i="5"/>
  <c r="C225" i="5" s="1"/>
  <c r="B9" i="5"/>
  <c r="B225" i="5" s="1"/>
  <c r="A9" i="5"/>
  <c r="D153" i="4"/>
  <c r="D152" i="4"/>
  <c r="D151" i="4"/>
  <c r="B153" i="4"/>
  <c r="C153" i="4"/>
  <c r="E153" i="4"/>
  <c r="A153" i="4"/>
  <c r="C152" i="4"/>
  <c r="E152" i="4"/>
  <c r="A152" i="4"/>
  <c r="B151" i="4"/>
  <c r="C151" i="4"/>
  <c r="E151" i="4"/>
  <c r="A151" i="4"/>
  <c r="E134" i="4"/>
  <c r="B134" i="4"/>
  <c r="C134" i="4"/>
  <c r="A134" i="4"/>
  <c r="B37" i="4"/>
  <c r="C37" i="4"/>
  <c r="E37" i="4"/>
  <c r="A37" i="4"/>
  <c r="B36" i="4"/>
  <c r="C36" i="4"/>
  <c r="E36" i="4"/>
  <c r="A36" i="4"/>
  <c r="B35" i="4"/>
  <c r="C35" i="4"/>
  <c r="E35" i="4"/>
  <c r="A35" i="4"/>
  <c r="E89" i="4"/>
  <c r="E59" i="4"/>
  <c r="E49" i="4"/>
  <c r="E48" i="4"/>
  <c r="C163" i="4"/>
  <c r="B163" i="4"/>
  <c r="A163" i="4"/>
  <c r="C150" i="4"/>
  <c r="B150" i="4"/>
  <c r="A150" i="4"/>
  <c r="C132" i="4"/>
  <c r="B132" i="4"/>
  <c r="A132" i="4"/>
  <c r="C111" i="4"/>
  <c r="C49" i="4" s="1"/>
  <c r="B111" i="4"/>
  <c r="B49" i="4" s="1"/>
  <c r="A111" i="4"/>
  <c r="A49" i="4" s="1"/>
  <c r="C87" i="4"/>
  <c r="B87" i="4"/>
  <c r="A87" i="4"/>
  <c r="F237" i="5" l="1"/>
  <c r="F238" i="5"/>
  <c r="F236" i="5"/>
  <c r="F223" i="5"/>
  <c r="F224" i="5"/>
  <c r="F225" i="5"/>
  <c r="C59" i="4"/>
  <c r="A59" i="4"/>
  <c r="A48" i="4"/>
  <c r="C48" i="4"/>
  <c r="B48" i="4"/>
  <c r="B59" i="4"/>
  <c r="A89" i="4"/>
  <c r="C89" i="4"/>
  <c r="B89" i="4"/>
  <c r="C30" i="4" l="1"/>
  <c r="B30" i="4"/>
  <c r="B152" i="4" s="1"/>
  <c r="A30" i="4"/>
  <c r="F9" i="4" l="1"/>
  <c r="C9" i="4"/>
  <c r="B9" i="4"/>
  <c r="A9" i="4"/>
  <c r="F30" i="4" l="1"/>
  <c r="F36" i="2"/>
  <c r="F49" i="2" s="1"/>
  <c r="F37" i="3"/>
  <c r="F50" i="3" s="1"/>
  <c r="F153" i="4"/>
  <c r="F166" i="4" s="1"/>
  <c r="F87" i="4" l="1"/>
  <c r="F36" i="3"/>
  <c r="F49" i="3" s="1"/>
  <c r="F35" i="2"/>
  <c r="F48" i="2" s="1"/>
  <c r="F152" i="4"/>
  <c r="F165" i="4" s="1"/>
  <c r="C47" i="3"/>
  <c r="B47" i="3"/>
  <c r="A47" i="3"/>
  <c r="C34" i="3"/>
  <c r="B34" i="3"/>
  <c r="A34" i="3"/>
  <c r="F9" i="3"/>
  <c r="C9" i="3"/>
  <c r="C35" i="3" s="1"/>
  <c r="C48" i="3" s="1"/>
  <c r="B9" i="3"/>
  <c r="B35" i="3" s="1"/>
  <c r="B48" i="3" s="1"/>
  <c r="A9" i="3"/>
  <c r="A35" i="3" s="1"/>
  <c r="A48" i="3" s="1"/>
  <c r="C46" i="2"/>
  <c r="B46" i="2"/>
  <c r="A46" i="2"/>
  <c r="C33" i="2"/>
  <c r="B33" i="2"/>
  <c r="A33" i="2"/>
  <c r="F9" i="2"/>
  <c r="C9" i="2"/>
  <c r="C34" i="2" s="1"/>
  <c r="C47" i="2" s="1"/>
  <c r="B9" i="2"/>
  <c r="B34" i="2" s="1"/>
  <c r="B47" i="2" s="1"/>
  <c r="A9" i="2"/>
  <c r="A34" i="2" s="1"/>
  <c r="A47" i="2" s="1"/>
  <c r="E25" i="6"/>
  <c r="C25" i="6"/>
  <c r="B25" i="6"/>
  <c r="A25" i="6"/>
  <c r="F11" i="6"/>
  <c r="F25" i="6" s="1"/>
  <c r="E11" i="6"/>
  <c r="C11" i="6"/>
  <c r="B11" i="6"/>
  <c r="A11" i="6"/>
  <c r="F111" i="4" l="1"/>
  <c r="F151" i="4"/>
  <c r="F164" i="4" s="1"/>
  <c r="F33" i="2"/>
  <c r="F46" i="2" s="1"/>
  <c r="F34" i="2"/>
  <c r="F47" i="2" s="1"/>
  <c r="F34" i="3"/>
  <c r="F47" i="3" s="1"/>
  <c r="F35" i="3"/>
  <c r="F48" i="3" s="1"/>
  <c r="F37" i="4" l="1"/>
  <c r="F134" i="4"/>
  <c r="F36" i="4"/>
  <c r="F132" i="4"/>
  <c r="F89" i="4"/>
  <c r="F48" i="4"/>
  <c r="F49" i="4"/>
  <c r="F59" i="4"/>
  <c r="F150" i="4" l="1"/>
  <c r="F163" i="4" s="1"/>
  <c r="F35" i="4"/>
</calcChain>
</file>

<file path=xl/sharedStrings.xml><?xml version="1.0" encoding="utf-8"?>
<sst xmlns="http://schemas.openxmlformats.org/spreadsheetml/2006/main" count="4104" uniqueCount="308">
  <si>
    <t>Activity</t>
  </si>
  <si>
    <t>[P] Vanadium pentoxide (V2O5) production (Calcium Roasting process)</t>
  </si>
  <si>
    <t>reference product</t>
  </si>
  <si>
    <t>V2O5</t>
  </si>
  <si>
    <t>location</t>
  </si>
  <si>
    <t>CN</t>
  </si>
  <si>
    <t>amount</t>
  </si>
  <si>
    <t>1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</si>
  <si>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</si>
  <si>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</si>
  <si>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</si>
  <si>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</si>
  <si>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</si>
  <si>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</si>
  <si>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</si>
  <si>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</si>
  <si>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</si>
  <si>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</si>
  <si>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</si>
  <si>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</si>
  <si>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</si>
  <si>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</si>
  <si>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</si>
  <si>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</si>
  <si>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n/a (Vanadium slag)</t>
  </si>
  <si>
    <t>ecoinvent 3.10 cutoff</t>
  </si>
  <si>
    <t>technosphere</t>
  </si>
  <si>
    <t>(1,1,1,1,1)</t>
  </si>
  <si>
    <t>market group for electricity, medium voltage</t>
  </si>
  <si>
    <t>electricity, medium voltage</t>
  </si>
  <si>
    <t>kilowatt hour</t>
  </si>
  <si>
    <t>market for limestone, crushed, washed</t>
  </si>
  <si>
    <t>limestone, crushed, washed</t>
  </si>
  <si>
    <t>RoW</t>
  </si>
  <si>
    <t>market for sulfuric acid</t>
  </si>
  <si>
    <t>sulfuric acid</t>
  </si>
  <si>
    <t>market for tap water</t>
  </si>
  <si>
    <t>tap water</t>
  </si>
  <si>
    <t>market for natural gas, high pressure</t>
  </si>
  <si>
    <t>natural gas, high pressure</t>
  </si>
  <si>
    <t>cubic meter</t>
  </si>
  <si>
    <t>market for sulfidic tailings, from copper mine operation</t>
  </si>
  <si>
    <t>sulfidic tailings, from copper mine operation</t>
  </si>
  <si>
    <t>market for ammonium sulfate</t>
  </si>
  <si>
    <t>ammonium sulfate</t>
  </si>
  <si>
    <t>market for steam, in chemical industry</t>
  </si>
  <si>
    <t>steam, in chemical industry</t>
  </si>
  <si>
    <t>market for wastewater, average</t>
  </si>
  <si>
    <t>wastewater, average</t>
  </si>
  <si>
    <t>market for waste refinery gas</t>
  </si>
  <si>
    <t>waste refinery gas</t>
  </si>
  <si>
    <t>GLO</t>
  </si>
  <si>
    <t>megajoule</t>
  </si>
  <si>
    <t>V2O5 production in China through Ca-roasting</t>
  </si>
  <si>
    <t>V2O5 production in China through Ca-roasting (V content)</t>
  </si>
  <si>
    <t>V2O5 (V content)</t>
  </si>
  <si>
    <t>Activity expressed for 1 kg V contained</t>
  </si>
  <si>
    <t>[P] Vanadium pentoxide (V2O5) production (Sub-Molten Salt process)</t>
  </si>
  <si>
    <t>market for iron scrap, unsorted</t>
  </si>
  <si>
    <t>iron scrap, unsorted</t>
  </si>
  <si>
    <t>market for sodium hydroxide, without water, in 50% solution state</t>
  </si>
  <si>
    <t>sodium hydroxide, without water, in 50% solution state</t>
  </si>
  <si>
    <t>market for lime, packed</t>
  </si>
  <si>
    <t>lime, packed</t>
  </si>
  <si>
    <t>market for compressed air, 800 kPa gauge</t>
  </si>
  <si>
    <t>compressed air, 800 kPa gauge</t>
  </si>
  <si>
    <t>market for chemical, inorganic</t>
  </si>
  <si>
    <t>chemical, inorganic</t>
  </si>
  <si>
    <t>market for sodium dichromate</t>
  </si>
  <si>
    <t>sodium dichromate</t>
  </si>
  <si>
    <t>V2O5 production in China through Sub-Molten Salt Process</t>
  </si>
  <si>
    <t>V2O5 production in China through Sub-Molten Salt Process (V content)</t>
  </si>
  <si>
    <t>[M+C] Iron (Fe) ore mining and concentration</t>
  </si>
  <si>
    <t>Fe concentrate</t>
  </si>
  <si>
    <t>market for iron ore, crude ore, 46% Fe</t>
  </si>
  <si>
    <t>iron ore, crude ore, 46% Fe</t>
  </si>
  <si>
    <t>(1.0,1,5,1,1)</t>
  </si>
  <si>
    <t>market for steel, low-alloyed</t>
  </si>
  <si>
    <t>steel, low-alloyed</t>
  </si>
  <si>
    <t>n/a (Concentrate)</t>
  </si>
  <si>
    <t>Carbon dioxide, fossil</t>
  </si>
  <si>
    <t>biosphere3</t>
  </si>
  <si>
    <t>biosphere</t>
  </si>
  <si>
    <t>air</t>
  </si>
  <si>
    <t>(5.0,1,5,1,1)</t>
  </si>
  <si>
    <t>Sulfur dioxide</t>
  </si>
  <si>
    <t>Carbon monoxide, fossil</t>
  </si>
  <si>
    <t>Nitrogen oxides</t>
  </si>
  <si>
    <t>Methane, fossil</t>
  </si>
  <si>
    <t>Particulate Matter, &gt; 2.5 um and &lt; 10um</t>
  </si>
  <si>
    <t>[P+R] Crude steel production</t>
  </si>
  <si>
    <t>market for hard coal</t>
  </si>
  <si>
    <t>hard coal</t>
  </si>
  <si>
    <t>n/a (Common concentrate)</t>
  </si>
  <si>
    <t>n/a (VTMC)</t>
  </si>
  <si>
    <t>n/a (Sinter ores)</t>
  </si>
  <si>
    <t>market for bentonite</t>
  </si>
  <si>
    <t>bentonite</t>
  </si>
  <si>
    <t>n/a (Pellet ores)</t>
  </si>
  <si>
    <t>n/a (Coke)</t>
  </si>
  <si>
    <t>n/a (COG)</t>
  </si>
  <si>
    <t>n/a (BFG)</t>
  </si>
  <si>
    <t>n/a (Pig iron)</t>
  </si>
  <si>
    <t>market for blast furnace slag</t>
  </si>
  <si>
    <t>blast furnace slag</t>
  </si>
  <si>
    <t>(nan,1,5,1,1)</t>
  </si>
  <si>
    <t>market for fluorspar, 97% purity</t>
  </si>
  <si>
    <t>fluorspar, 97% purity</t>
  </si>
  <si>
    <t>n/a (Vanadium-bearing slag)</t>
  </si>
  <si>
    <t>n/a (Crude steel)</t>
  </si>
  <si>
    <t>market for basic oxygen furnace slag</t>
  </si>
  <si>
    <t>basic oxygen furnace slag</t>
  </si>
  <si>
    <t>[P] Vanadium pentoxide (V2O5) production</t>
  </si>
  <si>
    <t>Unallocated LCI</t>
  </si>
  <si>
    <t>market for salt</t>
  </si>
  <si>
    <t>salt</t>
  </si>
  <si>
    <t>n/a (V2O5)</t>
  </si>
  <si>
    <t>n/a (Iron)</t>
  </si>
  <si>
    <t>VTM ore mining and V2O5 production in China</t>
  </si>
  <si>
    <t>VTM ore mining and V2O5 production in China (V content)</t>
  </si>
  <si>
    <t>Coke production</t>
  </si>
  <si>
    <t>Coke</t>
  </si>
  <si>
    <t>Quicklime production</t>
  </si>
  <si>
    <t>Quicklime</t>
  </si>
  <si>
    <t>n/a (Quicklime)</t>
  </si>
  <si>
    <t>[M+C+P] Iron (Fe) production</t>
  </si>
  <si>
    <t xml:space="preserve">Fe </t>
  </si>
  <si>
    <t>ZA</t>
  </si>
  <si>
    <t>market for rock crushing</t>
  </si>
  <si>
    <t>rock crushing</t>
  </si>
  <si>
    <t>(2,5,3,5,5)</t>
  </si>
  <si>
    <t>market for electricity, medium voltage</t>
  </si>
  <si>
    <t>market for dolomite</t>
  </si>
  <si>
    <t>dolomite</t>
  </si>
  <si>
    <t>market for transport, freight train</t>
  </si>
  <si>
    <t>transport, freight train</t>
  </si>
  <si>
    <t>ton kilometer</t>
  </si>
  <si>
    <t>market for silica sand</t>
  </si>
  <si>
    <t>silica sand</t>
  </si>
  <si>
    <t>market for anode, for metal electrolysis</t>
  </si>
  <si>
    <t>anode, for metal electrolysis</t>
  </si>
  <si>
    <t>market for electric arc furnace converter</t>
  </si>
  <si>
    <t>electric arc furnace converter</t>
  </si>
  <si>
    <t>n/a (Iron and Vanadium)</t>
  </si>
  <si>
    <t>market for titania slag, 85% titanium dioxide</t>
  </si>
  <si>
    <t>titania slag, 85% titanium dioxide</t>
  </si>
  <si>
    <t>market for hard coal ash</t>
  </si>
  <si>
    <t>hard coal ash</t>
  </si>
  <si>
    <t>n/a (Waste)</t>
  </si>
  <si>
    <t>treatment of electric arc furnace slag, residual material landfill</t>
  </si>
  <si>
    <t>electric arc furnace slag</t>
  </si>
  <si>
    <t>air::non-urban air or from high stacks</t>
  </si>
  <si>
    <t>Radon-220</t>
  </si>
  <si>
    <t>kilo Becquerel</t>
  </si>
  <si>
    <t>Radon-222</t>
  </si>
  <si>
    <t>Water</t>
  </si>
  <si>
    <t>Polonium-210</t>
  </si>
  <si>
    <t>Lead-210</t>
  </si>
  <si>
    <t>Hydrochloric acid</t>
  </si>
  <si>
    <t>Potassium-40</t>
  </si>
  <si>
    <t>Particulate Matter, &gt; 10 um</t>
  </si>
  <si>
    <t>Radium-226</t>
  </si>
  <si>
    <t>Actinides, radioactive, unspecified</t>
  </si>
  <si>
    <t>Uranium-238</t>
  </si>
  <si>
    <t>Particulate Matter, &lt; 2.5 um</t>
  </si>
  <si>
    <t>Radium-228</t>
  </si>
  <si>
    <t>Thorium-232</t>
  </si>
  <si>
    <t>Thorium-228</t>
  </si>
  <si>
    <t>Hydrogen fluoride</t>
  </si>
  <si>
    <t>Uranium-234</t>
  </si>
  <si>
    <t>Dinitrogen monoxide</t>
  </si>
  <si>
    <t>Thorium-230</t>
  </si>
  <si>
    <t>Protactinium-234</t>
  </si>
  <si>
    <t>Thorium-234</t>
  </si>
  <si>
    <t>NMVOC, non-methane volatile organic compounds</t>
  </si>
  <si>
    <t>Xylenes, unspecified</t>
  </si>
  <si>
    <t>Boron</t>
  </si>
  <si>
    <t>Bromine</t>
  </si>
  <si>
    <t>Iodine</t>
  </si>
  <si>
    <t>Benzene</t>
  </si>
  <si>
    <t>Hydrocarbons, aliphatic, alkanes, unspecified</t>
  </si>
  <si>
    <t>Hydrocarbons, aliphatic, unsaturated</t>
  </si>
  <si>
    <t>Magnesium</t>
  </si>
  <si>
    <t>Pentane</t>
  </si>
  <si>
    <t>Toluene</t>
  </si>
  <si>
    <t>Barium II</t>
  </si>
  <si>
    <t>Strontium II</t>
  </si>
  <si>
    <t>Zinc II</t>
  </si>
  <si>
    <t>Lead II</t>
  </si>
  <si>
    <t>Formaldehyde</t>
  </si>
  <si>
    <t>Manganese II</t>
  </si>
  <si>
    <t>Ethane</t>
  </si>
  <si>
    <t>Propane</t>
  </si>
  <si>
    <t>Cyanide</t>
  </si>
  <si>
    <t>Nickel II</t>
  </si>
  <si>
    <t>Selenium IV</t>
  </si>
  <si>
    <t>Vanadium V</t>
  </si>
  <si>
    <t>Butane</t>
  </si>
  <si>
    <t>Arsenic ion</t>
  </si>
  <si>
    <t>Mercury II</t>
  </si>
  <si>
    <t>Copper ion</t>
  </si>
  <si>
    <t>Chromium III</t>
  </si>
  <si>
    <t>Aldehydes, unspecified</t>
  </si>
  <si>
    <t>PAH, polycyclic aromatic hydrocarbons</t>
  </si>
  <si>
    <t>Hydrocarbons, aliphatic, alkanes, cyclic</t>
  </si>
  <si>
    <t>Methane, bromo-, Halon 1001</t>
  </si>
  <si>
    <t>Cobalt II</t>
  </si>
  <si>
    <t>Dichloromethane</t>
  </si>
  <si>
    <t>Acrolein</t>
  </si>
  <si>
    <t>Hydrocarbons, chlorinated</t>
  </si>
  <si>
    <t>Chromium VI</t>
  </si>
  <si>
    <t>Antimony ion</t>
  </si>
  <si>
    <t>Molybdenum VI</t>
  </si>
  <si>
    <t>Carbon disulfide</t>
  </si>
  <si>
    <t>Cadmium II</t>
  </si>
  <si>
    <t>Chloroform</t>
  </si>
  <si>
    <t>Ethyl benzene</t>
  </si>
  <si>
    <t>Hexane</t>
  </si>
  <si>
    <t>Sulfate</t>
  </si>
  <si>
    <t>Tetrachloroethylene</t>
  </si>
  <si>
    <t>1,2-Dichloro-1,1,2,2-tetrafluoroethane</t>
  </si>
  <si>
    <t>Styrene</t>
  </si>
  <si>
    <t>Beryllium II</t>
  </si>
  <si>
    <t>1,1,1-Trichloroethane</t>
  </si>
  <si>
    <t>Phenol</t>
  </si>
  <si>
    <t>Cumene</t>
  </si>
  <si>
    <t>Acenaphthene</t>
  </si>
  <si>
    <t>Benzo(a)pyrene</t>
  </si>
  <si>
    <t>Furan</t>
  </si>
  <si>
    <t>Dioxins, measured as 2,3,7,8-tetrachlorodibenzo-p-dioxin</t>
  </si>
  <si>
    <t>[R] Steel production</t>
  </si>
  <si>
    <t>market for iron scrap, sorted, pressed</t>
  </si>
  <si>
    <t>iron scrap, sorted, pressed</t>
  </si>
  <si>
    <t>market for quicklime, milled, packed</t>
  </si>
  <si>
    <t>quicklime, milled, packed</t>
  </si>
  <si>
    <t>market for ferronickel</t>
  </si>
  <si>
    <t>ferronickel</t>
  </si>
  <si>
    <t>market for coke</t>
  </si>
  <si>
    <t>coke</t>
  </si>
  <si>
    <t>market for blast oxygen furnace converter</t>
  </si>
  <si>
    <t>blast oxygen furnace converter</t>
  </si>
  <si>
    <t>n/a (Steel)</t>
  </si>
  <si>
    <t>n/a (Vanadium slag, 24 wt%)</t>
  </si>
  <si>
    <t>market for basic oxygen furnace waste</t>
  </si>
  <si>
    <t>basic oxygen furnace waste</t>
  </si>
  <si>
    <t>market for inert waste, for final disposal</t>
  </si>
  <si>
    <t>inert waste, for final disposal</t>
  </si>
  <si>
    <t>market for electric arc furnace dust</t>
  </si>
  <si>
    <t>electric arc furnace dust</t>
  </si>
  <si>
    <t>Water, cooling, unspecified natural origin</t>
  </si>
  <si>
    <t>natural resource::in water</t>
  </si>
  <si>
    <t>Water, unspecified natural origin</t>
  </si>
  <si>
    <t>water</t>
  </si>
  <si>
    <t>(2,1,3,1,4)</t>
  </si>
  <si>
    <t>market for heat, district or industrial, natural gas</t>
  </si>
  <si>
    <t>heat, district or industrial, natural gas</t>
  </si>
  <si>
    <t>market for diesel, burned in building machine</t>
  </si>
  <si>
    <t>diesel, burned in building machine</t>
  </si>
  <si>
    <t>market for aluminium oxide factory</t>
  </si>
  <si>
    <t>aluminium oxide factory</t>
  </si>
  <si>
    <t>(1,1,3,1,1)</t>
  </si>
  <si>
    <t>market for soda ash, dense</t>
  </si>
  <si>
    <t>soda ash, dense</t>
  </si>
  <si>
    <t>n/a (Sodium metavanadate)</t>
  </si>
  <si>
    <t>market for water, deionised</t>
  </si>
  <si>
    <t>water, deionised</t>
  </si>
  <si>
    <t>n/a (H2VO4)</t>
  </si>
  <si>
    <t>market for ammonium nitrate</t>
  </si>
  <si>
    <t>ammonium nitrate</t>
  </si>
  <si>
    <t>n/a (NH4VO3)</t>
  </si>
  <si>
    <t>treatment of waste aluminium, sanitary landfill</t>
  </si>
  <si>
    <t>waste aluminium</t>
  </si>
  <si>
    <t>n/a (Vanadium Pentoxid)</t>
  </si>
  <si>
    <t>Oxygen</t>
  </si>
  <si>
    <t>natural resource::in air</t>
  </si>
  <si>
    <t>Titanium ion</t>
  </si>
  <si>
    <t>Iron ion</t>
  </si>
  <si>
    <t>Sodium I</t>
  </si>
  <si>
    <t>Ammonia</t>
  </si>
  <si>
    <t>VTM ore mining and V2O5 production in South Africa/Mapochs Mine</t>
  </si>
  <si>
    <t>VTM ore mining and V2O5 production in South Africa/Mapochs Mine (V content)</t>
  </si>
  <si>
    <t>Vanadium</t>
  </si>
  <si>
    <t>Vanadium (V) global market</t>
  </si>
  <si>
    <t>Vanadium (V) global market (V content)</t>
  </si>
  <si>
    <t>V content</t>
  </si>
  <si>
    <t>market for non-sulfidic tailing, off-site</t>
  </si>
  <si>
    <t>non-sulfidic tailing, off-site</t>
  </si>
  <si>
    <t>Applied AF</t>
  </si>
  <si>
    <t>Vanadium (V) slag</t>
  </si>
  <si>
    <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>0.6% for V (1 kg slag)</t>
    </r>
    <r>
      <rPr>
        <sz val="11"/>
        <color theme="5"/>
        <rFont val="Calibri"/>
        <family val="2"/>
        <scheme val="minor"/>
      </rPr>
      <t xml:space="preserve"> and 99.4% for Steel (36 kg).</t>
    </r>
  </si>
  <si>
    <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>48% for V (1 kg V2O5)</t>
    </r>
    <r>
      <rPr>
        <sz val="11"/>
        <color theme="5"/>
        <rFont val="Calibri"/>
        <family val="2"/>
        <scheme val="minor"/>
      </rPr>
      <t xml:space="preserve"> and 52% for Fe (1.2 kg).</t>
    </r>
  </si>
  <si>
    <r>
      <t xml:space="preserve">Applied AF: Vanadium (V) slag" input = </t>
    </r>
    <r>
      <rPr>
        <b/>
        <sz val="11"/>
        <color theme="5"/>
        <rFont val="Calibri"/>
        <family val="2"/>
        <scheme val="minor"/>
      </rPr>
      <t>48%</t>
    </r>
    <r>
      <rPr>
        <sz val="11"/>
        <color theme="5"/>
        <rFont val="Calibri"/>
        <family val="2"/>
        <scheme val="minor"/>
      </rPr>
      <t xml:space="preserve">; "Fe concentrate" input = </t>
    </r>
    <r>
      <rPr>
        <b/>
        <sz val="11"/>
        <color theme="5"/>
        <rFont val="Calibri"/>
        <family val="2"/>
        <scheme val="minor"/>
      </rPr>
      <t>0.6%</t>
    </r>
    <r>
      <rPr>
        <sz val="11"/>
        <color theme="5"/>
        <rFont val="Calibri"/>
        <family val="2"/>
        <scheme val="minor"/>
      </rPr>
      <t>.</t>
    </r>
  </si>
  <si>
    <r>
      <t xml:space="preserve">Activity expressed for 1 kg V contained
</t>
    </r>
    <r>
      <rPr>
        <sz val="11"/>
        <color theme="5"/>
        <rFont val="Calibri"/>
        <family val="2"/>
        <scheme val="minor"/>
      </rPr>
      <t xml:space="preserve">Applied AF: Vanadium (V) slag" input = </t>
    </r>
    <r>
      <rPr>
        <b/>
        <sz val="11"/>
        <color theme="5"/>
        <rFont val="Calibri"/>
        <family val="2"/>
        <scheme val="minor"/>
      </rPr>
      <t>48%</t>
    </r>
    <r>
      <rPr>
        <sz val="11"/>
        <color theme="5"/>
        <rFont val="Calibri"/>
        <family val="2"/>
        <scheme val="minor"/>
      </rPr>
      <t xml:space="preserve">; "Fe concentrate" input = </t>
    </r>
    <r>
      <rPr>
        <b/>
        <sz val="11"/>
        <color theme="5"/>
        <rFont val="Calibri"/>
        <family val="2"/>
        <scheme val="minor"/>
      </rPr>
      <t>0.6%</t>
    </r>
    <r>
      <rPr>
        <sz val="11"/>
        <color theme="5"/>
        <rFont val="Calibri"/>
        <family val="2"/>
        <scheme val="minor"/>
      </rPr>
      <t>.</t>
    </r>
  </si>
  <si>
    <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>1.7% for V (1 kg slag)</t>
    </r>
    <r>
      <rPr>
        <sz val="11"/>
        <color theme="5"/>
        <rFont val="Calibri"/>
        <family val="2"/>
        <scheme val="minor"/>
      </rPr>
      <t xml:space="preserve"> and 98.3% for Steel (13 kg).</t>
    </r>
  </si>
  <si>
    <r>
      <t xml:space="preserve">Applied AF: "Fe" input = </t>
    </r>
    <r>
      <rPr>
        <b/>
        <sz val="11"/>
        <color theme="5"/>
        <rFont val="Calibri"/>
        <family val="2"/>
        <scheme val="minor"/>
      </rPr>
      <t>1.7%</t>
    </r>
    <r>
      <rPr>
        <sz val="11"/>
        <color theme="5"/>
        <rFont val="Calibri"/>
        <family val="2"/>
        <scheme val="minor"/>
      </rPr>
      <t>.</t>
    </r>
  </si>
  <si>
    <r>
      <t xml:space="preserve">Activity expressed for 1 kg V contained
</t>
    </r>
    <r>
      <rPr>
        <sz val="11"/>
        <color theme="5"/>
        <rFont val="Calibri"/>
        <family val="2"/>
        <scheme val="minor"/>
      </rPr>
      <t xml:space="preserve">Applied AF: "Fe" input = </t>
    </r>
    <r>
      <rPr>
        <b/>
        <sz val="11"/>
        <color theme="5"/>
        <rFont val="Calibri"/>
        <family val="2"/>
        <scheme val="minor"/>
      </rPr>
      <t>1.7%</t>
    </r>
    <r>
      <rPr>
        <sz val="11"/>
        <color theme="5"/>
        <rFont val="Calibri"/>
        <family val="2"/>
        <scheme val="minor"/>
      </rPr>
      <t>.</t>
    </r>
  </si>
  <si>
    <r>
      <t xml:space="preserve">Applied AF: "Fe concentrate" input = </t>
    </r>
    <r>
      <rPr>
        <b/>
        <sz val="11"/>
        <color theme="5"/>
        <rFont val="Calibri"/>
        <family val="2"/>
        <scheme val="minor"/>
      </rPr>
      <t>0.6%</t>
    </r>
    <r>
      <rPr>
        <sz val="11"/>
        <color theme="5"/>
        <rFont val="Calibri"/>
        <family val="2"/>
        <scheme val="minor"/>
      </rPr>
      <t>.</t>
    </r>
  </si>
  <si>
    <r>
      <t xml:space="preserve">Activity expressed for 1 kg V contained
</t>
    </r>
    <r>
      <rPr>
        <sz val="11"/>
        <color theme="5"/>
        <rFont val="Calibri"/>
        <family val="2"/>
        <scheme val="minor"/>
      </rPr>
      <t xml:space="preserve">Applied AF: "Fe concentrate" input = </t>
    </r>
    <r>
      <rPr>
        <b/>
        <sz val="11"/>
        <color theme="5"/>
        <rFont val="Calibri"/>
        <family val="2"/>
        <scheme val="minor"/>
      </rPr>
      <t>0.6%</t>
    </r>
    <r>
      <rPr>
        <sz val="11"/>
        <color theme="5"/>
        <rFont val="Calibri"/>
        <family val="2"/>
        <scheme val="minor"/>
      </rPr>
      <t>.</t>
    </r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</si>
  <si>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</si>
  <si>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</si>
  <si>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</si>
  <si>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Vanadium (V)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</si>
  <si>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V_Market_GLO</t>
  </si>
  <si>
    <t>V global market</t>
  </si>
  <si>
    <t>PR1_V2O5_CN_CaRoasting</t>
  </si>
  <si>
    <t>PR2_V2O5_CN_SubMolten</t>
  </si>
  <si>
    <t>PR3_V2O5_CN_PanSteel</t>
  </si>
  <si>
    <t>PR4_V2O5_ZA_Mapochs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</si>
</sst>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0" fillId="2" borderId="0" xfId="0" applyFill="1"/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4" xfId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7" fillId="0" borderId="6" xfId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0" borderId="7" xfId="0" applyBorder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38"/>
  <sheetViews>
    <sheetView showGridLines="0" tabSelected="1" zoomScaleNormal="100" workbookViewId="0">
      <selection activeCell="D40" sqref="D40"/>
    </sheetView>
  </sheetViews>
  <sheetFormatPr baseColWidth="10" defaultRowHeight="14.5" x14ac:dyDescent="0.35"/>
  <cols>
    <col min="1" max="1" width="1.81640625" customWidth="1"/>
    <col min="2" max="2" width="31.81640625" bestFit="1" customWidth="1"/>
    <col min="3" max="3" width="11.453125" customWidth="1"/>
  </cols>
  <sheetData>
    <row r="1" spans="1:17" ht="15" thickBot="1" x14ac:dyDescent="0.4">
      <c r="A1" t="s">
        <v>298</v>
      </c>
    </row>
    <row r="2" spans="1:17" ht="15" customHeight="1" x14ac:dyDescent="0.35">
      <c r="B2" s="19" t="s">
        <v>301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1"/>
    </row>
    <row r="3" spans="1:17" x14ac:dyDescent="0.35">
      <c r="B3" s="22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4"/>
    </row>
    <row r="4" spans="1:17" x14ac:dyDescent="0.35">
      <c r="B4" s="22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4"/>
    </row>
    <row r="5" spans="1:17" x14ac:dyDescent="0.35">
      <c r="B5" s="22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4"/>
    </row>
    <row r="6" spans="1:17" x14ac:dyDescent="0.35"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4"/>
    </row>
    <row r="7" spans="1:17" x14ac:dyDescent="0.35"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4"/>
    </row>
    <row r="8" spans="1:17" x14ac:dyDescent="0.35">
      <c r="B8" s="22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4"/>
    </row>
    <row r="9" spans="1:17" x14ac:dyDescent="0.35">
      <c r="B9" s="22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4"/>
    </row>
    <row r="10" spans="1:17" x14ac:dyDescent="0.35"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4"/>
    </row>
    <row r="11" spans="1:17" x14ac:dyDescent="0.35"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4"/>
    </row>
    <row r="12" spans="1:17" x14ac:dyDescent="0.35">
      <c r="B12" s="22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4"/>
    </row>
    <row r="13" spans="1:17" x14ac:dyDescent="0.35">
      <c r="B13" s="22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4"/>
    </row>
    <row r="14" spans="1:17" x14ac:dyDescent="0.35"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</row>
    <row r="15" spans="1:17" x14ac:dyDescent="0.35"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/>
    </row>
    <row r="16" spans="1:17" x14ac:dyDescent="0.35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</row>
    <row r="17" spans="2:17" x14ac:dyDescent="0.35"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4"/>
    </row>
    <row r="18" spans="2:17" x14ac:dyDescent="0.35"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</row>
    <row r="19" spans="2:17" x14ac:dyDescent="0.35"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4"/>
    </row>
    <row r="20" spans="2:17" x14ac:dyDescent="0.35"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</row>
    <row r="21" spans="2:17" x14ac:dyDescent="0.35"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/>
    </row>
    <row r="22" spans="2:17" x14ac:dyDescent="0.35"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4"/>
    </row>
    <row r="23" spans="2:17" x14ac:dyDescent="0.35"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4"/>
    </row>
    <row r="24" spans="2:17" ht="15" customHeight="1" x14ac:dyDescent="0.35"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4"/>
    </row>
    <row r="25" spans="2:17" x14ac:dyDescent="0.35"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4"/>
    </row>
    <row r="26" spans="2:17" x14ac:dyDescent="0.35"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4"/>
    </row>
    <row r="27" spans="2:17" x14ac:dyDescent="0.35"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/>
    </row>
    <row r="28" spans="2:17" x14ac:dyDescent="0.35"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4"/>
    </row>
    <row r="29" spans="2:17" x14ac:dyDescent="0.35"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4"/>
    </row>
    <row r="30" spans="2:17" x14ac:dyDescent="0.35">
      <c r="B30" s="22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4"/>
    </row>
    <row r="31" spans="2:17" ht="15" thickBot="1" x14ac:dyDescent="0.4"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7"/>
    </row>
    <row r="32" spans="2:17" ht="15" thickBot="1" x14ac:dyDescent="0.4"/>
    <row r="33" spans="2:10" x14ac:dyDescent="0.35">
      <c r="B33" s="28" t="s">
        <v>299</v>
      </c>
      <c r="C33" s="29" t="s">
        <v>300</v>
      </c>
      <c r="D33" s="30"/>
      <c r="E33" s="30"/>
      <c r="F33" s="30"/>
      <c r="G33" s="30"/>
      <c r="H33" s="31"/>
      <c r="I33" s="37"/>
      <c r="J33" s="37"/>
    </row>
    <row r="34" spans="2:10" x14ac:dyDescent="0.35">
      <c r="B34" s="32" t="s">
        <v>302</v>
      </c>
      <c r="C34" s="38" t="s">
        <v>303</v>
      </c>
      <c r="D34" s="37"/>
      <c r="E34" s="37"/>
      <c r="F34" s="37"/>
      <c r="G34" s="37"/>
      <c r="H34" s="33"/>
      <c r="I34" s="37"/>
      <c r="J34" s="37"/>
    </row>
    <row r="35" spans="2:10" x14ac:dyDescent="0.35">
      <c r="B35" s="32" t="s">
        <v>304</v>
      </c>
      <c r="C35" s="39" t="s">
        <v>53</v>
      </c>
      <c r="D35" s="37"/>
      <c r="E35" s="37"/>
      <c r="F35" s="37"/>
      <c r="G35" s="37"/>
      <c r="H35" s="33"/>
      <c r="I35" s="37"/>
      <c r="J35" s="37"/>
    </row>
    <row r="36" spans="2:10" x14ac:dyDescent="0.35">
      <c r="B36" s="32" t="s">
        <v>305</v>
      </c>
      <c r="C36" s="39" t="s">
        <v>70</v>
      </c>
      <c r="D36" s="37"/>
      <c r="E36" s="37"/>
      <c r="F36" s="37"/>
      <c r="G36" s="37"/>
      <c r="H36" s="33"/>
      <c r="I36" s="37"/>
      <c r="J36" s="37"/>
    </row>
    <row r="37" spans="2:10" x14ac:dyDescent="0.35">
      <c r="B37" s="32" t="s">
        <v>306</v>
      </c>
      <c r="C37" s="39" t="s">
        <v>118</v>
      </c>
      <c r="D37" s="37"/>
      <c r="E37" s="37"/>
      <c r="F37" s="37"/>
      <c r="G37" s="37"/>
      <c r="H37" s="33"/>
      <c r="I37" s="37"/>
      <c r="J37" s="37"/>
    </row>
    <row r="38" spans="2:10" ht="15" thickBot="1" x14ac:dyDescent="0.4">
      <c r="B38" s="34" t="s">
        <v>307</v>
      </c>
      <c r="C38" s="40" t="s">
        <v>279</v>
      </c>
      <c r="D38" s="35"/>
      <c r="E38" s="35"/>
      <c r="F38" s="35"/>
      <c r="G38" s="35"/>
      <c r="H38" s="36"/>
      <c r="I38" s="37"/>
      <c r="J38" s="37"/>
    </row>
  </sheetData>
  <mergeCells count="1">
    <mergeCell ref="B2:Q31"/>
  </mergeCells>
  <hyperlinks>
    <hyperlink ref="B34" location="V_Market_GLO!A1" display="V_Market_GLO" xr:uid="{19223287-D9C9-41E3-8750-8DD6D8F48288}"/>
    <hyperlink ref="B35" location="PR1_V2O5_CN_CaRoasting!A1" display="PR1_V2O5_CN_CaRoasting" xr:uid="{4FD2DE4C-7CC5-453C-9B3E-3CC0ED8AC3E7}"/>
    <hyperlink ref="B36" location="PR2_V2O5_CN_SubMolten!A1" display="PR2_V2O5_CN_SubMolten" xr:uid="{7C6DCC7E-F566-4CF1-85C0-79DF19856120}"/>
    <hyperlink ref="B37" location="PR3_V2O5_CN_PanSteel!A1" display="PR3_V2O5_CN_PanSteel" xr:uid="{1718C758-037D-48BC-B391-524D09B26C40}"/>
    <hyperlink ref="B38" location="PR4_V2O5_ZA_Mapochs!A1" display="PR4_V2O5_ZA_Mapochs" xr:uid="{952EDCD6-7B78-4AC4-83F0-75882227CF1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4A3E-5475-4754-B9EC-B5DCC00DA6BB}">
  <sheetPr>
    <tabColor theme="8" tint="0.39997558519241921"/>
  </sheetPr>
  <dimension ref="A1:N30"/>
  <sheetViews>
    <sheetView workbookViewId="0"/>
  </sheetViews>
  <sheetFormatPr baseColWidth="10" defaultRowHeight="14.5" x14ac:dyDescent="0.35"/>
  <cols>
    <col min="1" max="1" width="68.54296875" bestFit="1" customWidth="1"/>
    <col min="2" max="2" width="40.54296875" bestFit="1" customWidth="1"/>
    <col min="3" max="3" width="7.6328125" bestFit="1" customWidth="1"/>
    <col min="4" max="4" width="7.54296875" bestFit="1" customWidth="1"/>
    <col min="5" max="5" width="8" bestFit="1" customWidth="1"/>
    <col min="6" max="6" width="12" bestFit="1" customWidth="1"/>
    <col min="7" max="7" width="12.26953125" bestFit="1" customWidth="1"/>
    <col min="8" max="8" width="9.36328125" bestFit="1" customWidth="1"/>
    <col min="9" max="9" width="14.6328125" bestFit="1" customWidth="1"/>
    <col min="10" max="10" width="8.1796875" bestFit="1" customWidth="1"/>
    <col min="11" max="11" width="3.36328125" bestFit="1" customWidth="1"/>
    <col min="12" max="12" width="5" bestFit="1" customWidth="1"/>
    <col min="13" max="13" width="8.90625" bestFit="1" customWidth="1"/>
    <col min="14" max="14" width="9.26953125" bestFit="1" customWidth="1"/>
  </cols>
  <sheetData>
    <row r="1" spans="1:14" x14ac:dyDescent="0.35">
      <c r="A1" t="s">
        <v>14</v>
      </c>
      <c r="B1" s="4" t="s">
        <v>281</v>
      </c>
    </row>
    <row r="2" spans="1:14" s="5" customFormat="1" x14ac:dyDescent="0.35"/>
    <row r="3" spans="1:14" x14ac:dyDescent="0.35">
      <c r="A3" s="6" t="s">
        <v>0</v>
      </c>
      <c r="B3" s="6" t="s">
        <v>282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5">
      <c r="A4" s="7" t="s">
        <v>2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5">
      <c r="A5" s="7" t="s">
        <v>4</v>
      </c>
      <c r="B5" s="1" t="s">
        <v>51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5">
      <c r="A6" s="7" t="s">
        <v>6</v>
      </c>
      <c r="B6" s="1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5">
      <c r="A7" s="7" t="s">
        <v>8</v>
      </c>
      <c r="B7" s="1" t="s">
        <v>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5">
      <c r="A8" s="7" t="s">
        <v>10</v>
      </c>
      <c r="B8" s="1" t="s">
        <v>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5">
      <c r="A9" s="7" t="s">
        <v>12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5">
      <c r="A10" s="6" t="s">
        <v>13</v>
      </c>
      <c r="B10" s="6" t="s">
        <v>2</v>
      </c>
      <c r="C10" s="6" t="s">
        <v>4</v>
      </c>
      <c r="D10" s="6" t="s">
        <v>6</v>
      </c>
      <c r="E10" s="6" t="s">
        <v>8</v>
      </c>
      <c r="F10" s="6" t="s">
        <v>14</v>
      </c>
      <c r="G10" s="6" t="s">
        <v>15</v>
      </c>
      <c r="H10" s="6" t="s">
        <v>16</v>
      </c>
      <c r="I10" s="6" t="s">
        <v>17</v>
      </c>
      <c r="J10" s="6" t="s">
        <v>18</v>
      </c>
      <c r="K10" s="6" t="s">
        <v>19</v>
      </c>
      <c r="L10" s="6" t="s">
        <v>20</v>
      </c>
      <c r="M10" s="6" t="s">
        <v>21</v>
      </c>
      <c r="N10" s="6" t="s">
        <v>22</v>
      </c>
    </row>
    <row r="11" spans="1:14" x14ac:dyDescent="0.35">
      <c r="A11" t="str">
        <f>B3</f>
        <v>Vanadium (V) global market</v>
      </c>
      <c r="B11" t="str">
        <f>B4</f>
        <v>V2O5</v>
      </c>
      <c r="C11" t="str">
        <f>B5</f>
        <v>GLO</v>
      </c>
      <c r="D11" s="1">
        <v>1</v>
      </c>
      <c r="E11" s="1" t="str">
        <f>B7</f>
        <v>kilogram</v>
      </c>
      <c r="F11" s="4" t="str">
        <f>B1</f>
        <v>Vanadium</v>
      </c>
      <c r="G11" s="1" t="s">
        <v>23</v>
      </c>
    </row>
    <row r="12" spans="1:14" s="1" customFormat="1" x14ac:dyDescent="0.35">
      <c r="A12" s="1" t="str">
        <f>PR1_V2O5_CN_CaRoasting!A33</f>
        <v>V2O5 production in China through Ca-roasting</v>
      </c>
      <c r="B12" s="1" t="str">
        <f>PR1_V2O5_CN_CaRoasting!B33</f>
        <v>V2O5</v>
      </c>
      <c r="C12" s="1" t="str">
        <f>PR1_V2O5_CN_CaRoasting!C33</f>
        <v>CN</v>
      </c>
      <c r="D12" s="1">
        <v>1.464702102267511E-2</v>
      </c>
      <c r="E12" s="1" t="str">
        <f>PR1_V2O5_CN_CaRoasting!E33</f>
        <v>kilogram</v>
      </c>
      <c r="F12" s="4" t="str">
        <f>PR1_V2O5_CN_CaRoasting!F33</f>
        <v>Vanadium</v>
      </c>
      <c r="G12" s="2" t="s">
        <v>26</v>
      </c>
    </row>
    <row r="13" spans="1:14" s="1" customFormat="1" x14ac:dyDescent="0.35">
      <c r="A13" s="1" t="str">
        <f>PR2_V2O5_CN_SubMolten!A34</f>
        <v>V2O5 production in China through Sub-Molten Salt Process</v>
      </c>
      <c r="B13" s="1" t="str">
        <f>PR2_V2O5_CN_SubMolten!B34</f>
        <v>V2O5</v>
      </c>
      <c r="C13" s="1" t="str">
        <f>PR2_V2O5_CN_SubMolten!C34</f>
        <v>CN</v>
      </c>
      <c r="D13" s="1">
        <v>7.323510511337554E-2</v>
      </c>
      <c r="E13" s="1" t="str">
        <f>PR2_V2O5_CN_SubMolten!E34</f>
        <v>kilogram</v>
      </c>
      <c r="F13" s="4" t="str">
        <f>PR2_V2O5_CN_SubMolten!F34</f>
        <v>Vanadium</v>
      </c>
      <c r="G13" s="2" t="s">
        <v>26</v>
      </c>
    </row>
    <row r="14" spans="1:14" s="1" customFormat="1" x14ac:dyDescent="0.35">
      <c r="A14" s="1" t="str">
        <f>PR3_V2O5_CN_PanSteel!A126</f>
        <v>VTM ore mining and V2O5 production in China</v>
      </c>
      <c r="B14" s="1" t="str">
        <f>PR3_V2O5_CN_PanSteel!B126</f>
        <v>V2O5</v>
      </c>
      <c r="C14" s="1" t="str">
        <f>PR3_V2O5_CN_PanSteel!C126</f>
        <v>CN</v>
      </c>
      <c r="D14" s="1">
        <v>0.79093913522445614</v>
      </c>
      <c r="E14" s="1" t="str">
        <f>PR3_V2O5_CN_PanSteel!E126</f>
        <v>kilogram</v>
      </c>
      <c r="F14" s="4" t="str">
        <f>PR3_V2O5_CN_PanSteel!F126</f>
        <v>Vanadium</v>
      </c>
      <c r="G14" s="2" t="s">
        <v>26</v>
      </c>
    </row>
    <row r="15" spans="1:14" s="1" customFormat="1" x14ac:dyDescent="0.35">
      <c r="A15" s="1" t="str">
        <f>PR4_V2O5_ZA_Mapochs!A189</f>
        <v>VTM ore mining and V2O5 production in South Africa/Mapochs Mine</v>
      </c>
      <c r="B15" s="1" t="str">
        <f>PR4_V2O5_ZA_Mapochs!B189</f>
        <v>V2O5</v>
      </c>
      <c r="C15" s="1" t="str">
        <f>PR4_V2O5_ZA_Mapochs!C189</f>
        <v>ZA</v>
      </c>
      <c r="D15" s="1">
        <v>0.12117873863949327</v>
      </c>
      <c r="E15" s="1" t="str">
        <f>PR4_V2O5_ZA_Mapochs!E189</f>
        <v>kilogram</v>
      </c>
      <c r="F15" s="4" t="str">
        <f>PR4_V2O5_ZA_Mapochs!F189</f>
        <v>Vanadium</v>
      </c>
      <c r="G15" s="2" t="s">
        <v>26</v>
      </c>
    </row>
    <row r="16" spans="1:14" s="5" customFormat="1" x14ac:dyDescent="0.35"/>
    <row r="17" spans="1:14" x14ac:dyDescent="0.35">
      <c r="A17" s="6" t="s">
        <v>0</v>
      </c>
      <c r="B17" s="6" t="s">
        <v>283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5">
      <c r="A18" s="7" t="s">
        <v>2</v>
      </c>
      <c r="B18" s="1" t="s">
        <v>284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5">
      <c r="A19" s="7" t="s">
        <v>4</v>
      </c>
      <c r="B19" s="1" t="s">
        <v>51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5">
      <c r="A20" s="7" t="s">
        <v>6</v>
      </c>
      <c r="B20" s="1">
        <v>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5">
      <c r="A21" s="7" t="s">
        <v>8</v>
      </c>
      <c r="B21" s="1" t="s">
        <v>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5">
      <c r="A22" s="7" t="s">
        <v>10</v>
      </c>
      <c r="B22" s="1" t="s">
        <v>56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5">
      <c r="A23" s="7" t="s">
        <v>12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5">
      <c r="A24" s="6" t="s">
        <v>13</v>
      </c>
      <c r="B24" s="6" t="s">
        <v>2</v>
      </c>
      <c r="C24" s="6" t="s">
        <v>4</v>
      </c>
      <c r="D24" s="6" t="s">
        <v>6</v>
      </c>
      <c r="E24" s="6" t="s">
        <v>8</v>
      </c>
      <c r="F24" s="6" t="s">
        <v>14</v>
      </c>
      <c r="G24" s="6" t="s">
        <v>15</v>
      </c>
      <c r="H24" s="6" t="s">
        <v>16</v>
      </c>
      <c r="I24" s="6" t="s">
        <v>17</v>
      </c>
      <c r="J24" s="6" t="s">
        <v>18</v>
      </c>
      <c r="K24" s="6" t="s">
        <v>19</v>
      </c>
      <c r="L24" s="6" t="s">
        <v>20</v>
      </c>
      <c r="M24" s="6" t="s">
        <v>21</v>
      </c>
      <c r="N24" s="6" t="s">
        <v>22</v>
      </c>
    </row>
    <row r="25" spans="1:14" x14ac:dyDescent="0.35">
      <c r="A25" t="str">
        <f>B17</f>
        <v>Vanadium (V) global market (V content)</v>
      </c>
      <c r="B25" t="str">
        <f>B18</f>
        <v>V content</v>
      </c>
      <c r="C25" t="str">
        <f>B19</f>
        <v>GLO</v>
      </c>
      <c r="D25" s="1">
        <v>1</v>
      </c>
      <c r="E25" s="1" t="str">
        <f>B21</f>
        <v>kilogram</v>
      </c>
      <c r="F25" s="4" t="str">
        <f>F11</f>
        <v>Vanadium</v>
      </c>
      <c r="G25" s="1" t="s">
        <v>23</v>
      </c>
    </row>
    <row r="26" spans="1:14" s="1" customFormat="1" x14ac:dyDescent="0.35">
      <c r="A26" s="1" t="str">
        <f>PR1_V2O5_CN_CaRoasting!A46</f>
        <v>V2O5 production in China through Ca-roasting (V content)</v>
      </c>
      <c r="B26" s="1" t="str">
        <f>PR1_V2O5_CN_CaRoasting!B46</f>
        <v>V2O5 (V content)</v>
      </c>
      <c r="C26" s="1" t="str">
        <f>PR1_V2O5_CN_CaRoasting!C46</f>
        <v>CN</v>
      </c>
      <c r="D26" s="1">
        <v>1.464702102267511E-2</v>
      </c>
      <c r="E26" s="1" t="str">
        <f>PR1_V2O5_CN_CaRoasting!E46</f>
        <v>kilogram</v>
      </c>
      <c r="F26" s="4" t="str">
        <f>PR1_V2O5_CN_CaRoasting!F46</f>
        <v>Vanadium</v>
      </c>
      <c r="G26" s="2" t="s">
        <v>26</v>
      </c>
    </row>
    <row r="27" spans="1:14" s="1" customFormat="1" x14ac:dyDescent="0.35">
      <c r="A27" s="1" t="str">
        <f>PR2_V2O5_CN_SubMolten!A47</f>
        <v>V2O5 production in China through Sub-Molten Salt Process (V content)</v>
      </c>
      <c r="B27" s="1" t="str">
        <f>PR2_V2O5_CN_SubMolten!B47</f>
        <v>V2O5 (V content)</v>
      </c>
      <c r="C27" s="1" t="str">
        <f>PR2_V2O5_CN_SubMolten!C47</f>
        <v>CN</v>
      </c>
      <c r="D27" s="1">
        <v>7.323510511337554E-2</v>
      </c>
      <c r="E27" s="1" t="str">
        <f>PR2_V2O5_CN_SubMolten!E47</f>
        <v>kilogram</v>
      </c>
      <c r="F27" s="4" t="str">
        <f>PR2_V2O5_CN_SubMolten!F47</f>
        <v>Vanadium</v>
      </c>
      <c r="G27" s="2" t="s">
        <v>26</v>
      </c>
    </row>
    <row r="28" spans="1:14" s="1" customFormat="1" x14ac:dyDescent="0.35">
      <c r="A28" s="1" t="str">
        <f>PR3_V2O5_CN_PanSteel!A139</f>
        <v>VTM ore mining and V2O5 production in China (V content)</v>
      </c>
      <c r="B28" s="1" t="str">
        <f>PR3_V2O5_CN_PanSteel!B139</f>
        <v>V2O5 (V content)</v>
      </c>
      <c r="C28" s="1" t="str">
        <f>PR3_V2O5_CN_PanSteel!C139</f>
        <v>CN</v>
      </c>
      <c r="D28" s="1">
        <v>0.79093913522445614</v>
      </c>
      <c r="E28" s="1" t="str">
        <f>PR3_V2O5_CN_PanSteel!E139</f>
        <v>kilogram</v>
      </c>
      <c r="F28" s="4" t="str">
        <f>PR3_V2O5_CN_PanSteel!F139</f>
        <v>Vanadium</v>
      </c>
      <c r="G28" s="2" t="s">
        <v>26</v>
      </c>
    </row>
    <row r="29" spans="1:14" s="1" customFormat="1" x14ac:dyDescent="0.35">
      <c r="A29" s="1" t="str">
        <f>PR4_V2O5_ZA_Mapochs!A202</f>
        <v>VTM ore mining and V2O5 production in South Africa/Mapochs Mine (V content)</v>
      </c>
      <c r="B29" s="1" t="str">
        <f>PR4_V2O5_ZA_Mapochs!B202</f>
        <v>V2O5 (V content)</v>
      </c>
      <c r="C29" s="1" t="str">
        <f>PR4_V2O5_ZA_Mapochs!C202</f>
        <v>ZA</v>
      </c>
      <c r="D29" s="1">
        <v>0.12117873863949327</v>
      </c>
      <c r="E29" s="1" t="str">
        <f>PR4_V2O5_ZA_Mapochs!E202</f>
        <v>kilogram</v>
      </c>
      <c r="F29" s="4" t="str">
        <f>PR4_V2O5_ZA_Mapochs!F202</f>
        <v>Vanadium</v>
      </c>
      <c r="G29" s="2" t="s">
        <v>26</v>
      </c>
    </row>
    <row r="30" spans="1:14" s="1" customFormat="1" x14ac:dyDescent="0.35">
      <c r="F3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N49"/>
  <sheetViews>
    <sheetView workbookViewId="0"/>
  </sheetViews>
  <sheetFormatPr baseColWidth="10" defaultColWidth="9.1796875" defaultRowHeight="14.5" x14ac:dyDescent="0.35"/>
  <cols>
    <col min="1" max="1" width="60.08984375" style="2" bestFit="1" customWidth="1"/>
    <col min="2" max="2" width="60.6328125" style="2" bestFit="1" customWidth="1"/>
    <col min="3" max="3" width="7.6328125" style="2" bestFit="1" customWidth="1"/>
    <col min="4" max="4" width="10.453125" style="2" bestFit="1" customWidth="1"/>
    <col min="5" max="5" width="11.90625" style="2" bestFit="1" customWidth="1"/>
    <col min="6" max="6" width="18.36328125" style="2" bestFit="1" customWidth="1"/>
    <col min="7" max="7" width="12.26953125" style="2" bestFit="1" customWidth="1"/>
    <col min="8" max="8" width="9.36328125" style="2" bestFit="1" customWidth="1"/>
    <col min="9" max="9" width="14.6328125" style="2" bestFit="1" customWidth="1"/>
    <col min="10" max="10" width="8.90625" style="2" bestFit="1" customWidth="1"/>
    <col min="11" max="11" width="3.36328125" style="2" bestFit="1" customWidth="1"/>
    <col min="12" max="12" width="5" style="2" bestFit="1" customWidth="1"/>
    <col min="13" max="13" width="8.90625" style="2" bestFit="1" customWidth="1"/>
    <col min="14" max="14" width="9.26953125" style="2" bestFit="1" customWidth="1"/>
    <col min="15" max="16384" width="9.1796875" style="2"/>
  </cols>
  <sheetData>
    <row r="1" spans="1:14" x14ac:dyDescent="0.35">
      <c r="A1" s="3" t="s">
        <v>0</v>
      </c>
      <c r="B1" s="3" t="s">
        <v>1</v>
      </c>
    </row>
    <row r="2" spans="1:14" x14ac:dyDescent="0.35">
      <c r="A2" s="8" t="s">
        <v>2</v>
      </c>
      <c r="B2" s="2" t="s">
        <v>3</v>
      </c>
    </row>
    <row r="3" spans="1:14" x14ac:dyDescent="0.35">
      <c r="A3" s="8" t="s">
        <v>4</v>
      </c>
      <c r="B3" s="2" t="s">
        <v>5</v>
      </c>
    </row>
    <row r="4" spans="1:14" x14ac:dyDescent="0.35">
      <c r="A4" s="8" t="s">
        <v>6</v>
      </c>
      <c r="B4" s="2">
        <v>1</v>
      </c>
    </row>
    <row r="5" spans="1:14" x14ac:dyDescent="0.35">
      <c r="A5" s="8" t="s">
        <v>8</v>
      </c>
      <c r="B5" s="2" t="s">
        <v>9</v>
      </c>
    </row>
    <row r="6" spans="1:14" x14ac:dyDescent="0.35">
      <c r="A6" s="8" t="s">
        <v>10</v>
      </c>
      <c r="B6" s="2" t="s">
        <v>11</v>
      </c>
    </row>
    <row r="7" spans="1:14" x14ac:dyDescent="0.35">
      <c r="A7" s="8" t="s">
        <v>12</v>
      </c>
    </row>
    <row r="8" spans="1:14" x14ac:dyDescent="0.35">
      <c r="A8" s="3" t="s">
        <v>13</v>
      </c>
      <c r="B8" s="3" t="s">
        <v>2</v>
      </c>
      <c r="C8" s="3" t="s">
        <v>4</v>
      </c>
      <c r="D8" s="3" t="s">
        <v>6</v>
      </c>
      <c r="E8" s="3" t="s">
        <v>8</v>
      </c>
      <c r="F8" s="3" t="s">
        <v>14</v>
      </c>
      <c r="G8" s="3" t="s">
        <v>15</v>
      </c>
      <c r="H8" s="3" t="s">
        <v>16</v>
      </c>
      <c r="I8" s="3" t="s">
        <v>17</v>
      </c>
      <c r="J8" s="3" t="s">
        <v>18</v>
      </c>
      <c r="K8" s="3" t="s">
        <v>19</v>
      </c>
      <c r="L8" s="3" t="s">
        <v>20</v>
      </c>
      <c r="M8" s="3" t="s">
        <v>21</v>
      </c>
      <c r="N8" s="3" t="s">
        <v>22</v>
      </c>
    </row>
    <row r="9" spans="1:14" x14ac:dyDescent="0.35">
      <c r="A9" s="2" t="str">
        <f>B1</f>
        <v>[P] Vanadium pentoxide (V2O5) production (Calcium Roasting process)</v>
      </c>
      <c r="B9" s="2" t="str">
        <f>B2</f>
        <v>V2O5</v>
      </c>
      <c r="C9" s="2" t="str">
        <f>B3</f>
        <v>CN</v>
      </c>
      <c r="D9" s="2">
        <v>1</v>
      </c>
      <c r="E9" s="2" t="s">
        <v>9</v>
      </c>
      <c r="F9" s="9" t="str">
        <f>V_Market_GLO!B1</f>
        <v>Vanadium</v>
      </c>
      <c r="G9" s="2" t="s">
        <v>23</v>
      </c>
    </row>
    <row r="10" spans="1:14" x14ac:dyDescent="0.35">
      <c r="A10" s="2" t="s">
        <v>28</v>
      </c>
      <c r="B10" s="2" t="s">
        <v>29</v>
      </c>
      <c r="C10" s="2" t="s">
        <v>5</v>
      </c>
      <c r="D10" s="2">
        <v>0.91510999999999998</v>
      </c>
      <c r="E10" s="2" t="s">
        <v>30</v>
      </c>
      <c r="F10" s="2" t="s">
        <v>25</v>
      </c>
      <c r="G10" s="2" t="s">
        <v>26</v>
      </c>
      <c r="J10" s="2" t="s">
        <v>27</v>
      </c>
    </row>
    <row r="11" spans="1:14" x14ac:dyDescent="0.35">
      <c r="A11" s="2" t="s">
        <v>31</v>
      </c>
      <c r="B11" s="2" t="s">
        <v>32</v>
      </c>
      <c r="C11" s="2" t="s">
        <v>33</v>
      </c>
      <c r="D11" s="2">
        <v>1.4</v>
      </c>
      <c r="E11" s="2" t="s">
        <v>9</v>
      </c>
      <c r="F11" s="2" t="s">
        <v>25</v>
      </c>
      <c r="G11" s="2" t="s">
        <v>26</v>
      </c>
      <c r="J11" s="2" t="s">
        <v>27</v>
      </c>
    </row>
    <row r="12" spans="1:14" x14ac:dyDescent="0.35">
      <c r="A12" s="2" t="s">
        <v>34</v>
      </c>
      <c r="B12" s="2" t="s">
        <v>35</v>
      </c>
      <c r="C12" s="2" t="s">
        <v>33</v>
      </c>
      <c r="D12" s="2">
        <v>0.78</v>
      </c>
      <c r="E12" s="2" t="s">
        <v>9</v>
      </c>
      <c r="F12" s="2" t="s">
        <v>25</v>
      </c>
      <c r="G12" s="2" t="s">
        <v>26</v>
      </c>
      <c r="J12" s="2" t="s">
        <v>27</v>
      </c>
    </row>
    <row r="13" spans="1:14" x14ac:dyDescent="0.35">
      <c r="A13" s="2" t="s">
        <v>36</v>
      </c>
      <c r="B13" s="2" t="s">
        <v>37</v>
      </c>
      <c r="C13" s="2" t="s">
        <v>33</v>
      </c>
      <c r="D13" s="2">
        <v>15.49</v>
      </c>
      <c r="E13" s="2" t="s">
        <v>9</v>
      </c>
      <c r="F13" s="2" t="s">
        <v>25</v>
      </c>
      <c r="G13" s="2" t="s">
        <v>26</v>
      </c>
      <c r="J13" s="2" t="s">
        <v>27</v>
      </c>
    </row>
    <row r="14" spans="1:14" x14ac:dyDescent="0.35">
      <c r="A14" s="2" t="s">
        <v>28</v>
      </c>
      <c r="B14" s="2" t="s">
        <v>29</v>
      </c>
      <c r="C14" s="2" t="s">
        <v>5</v>
      </c>
      <c r="D14" s="2">
        <v>0.72941</v>
      </c>
      <c r="E14" s="2" t="s">
        <v>30</v>
      </c>
      <c r="F14" s="2" t="s">
        <v>25</v>
      </c>
      <c r="G14" s="2" t="s">
        <v>26</v>
      </c>
      <c r="J14" s="2" t="s">
        <v>27</v>
      </c>
    </row>
    <row r="15" spans="1:14" x14ac:dyDescent="0.35">
      <c r="A15" s="2" t="s">
        <v>38</v>
      </c>
      <c r="B15" s="2" t="s">
        <v>39</v>
      </c>
      <c r="C15" s="2" t="s">
        <v>5</v>
      </c>
      <c r="D15" s="2">
        <v>23.012499999999999</v>
      </c>
      <c r="E15" s="2" t="s">
        <v>40</v>
      </c>
      <c r="F15" s="2" t="s">
        <v>25</v>
      </c>
      <c r="G15" s="2" t="s">
        <v>26</v>
      </c>
      <c r="J15" s="2" t="s">
        <v>27</v>
      </c>
    </row>
    <row r="16" spans="1:14" x14ac:dyDescent="0.35">
      <c r="A16" s="2" t="s">
        <v>41</v>
      </c>
      <c r="B16" s="2" t="s">
        <v>42</v>
      </c>
      <c r="C16" s="2" t="s">
        <v>5</v>
      </c>
      <c r="D16" s="2">
        <v>-7.6</v>
      </c>
      <c r="E16" s="2" t="s">
        <v>9</v>
      </c>
      <c r="F16" s="2" t="s">
        <v>25</v>
      </c>
      <c r="G16" s="2" t="s">
        <v>26</v>
      </c>
      <c r="J16" s="2" t="s">
        <v>27</v>
      </c>
    </row>
    <row r="17" spans="1:14" x14ac:dyDescent="0.35">
      <c r="A17" s="2" t="s">
        <v>34</v>
      </c>
      <c r="B17" s="2" t="s">
        <v>35</v>
      </c>
      <c r="C17" s="2" t="s">
        <v>33</v>
      </c>
      <c r="D17" s="2">
        <v>0.2</v>
      </c>
      <c r="E17" s="2" t="s">
        <v>9</v>
      </c>
      <c r="F17" s="2" t="s">
        <v>25</v>
      </c>
      <c r="G17" s="2" t="s">
        <v>26</v>
      </c>
      <c r="J17" s="2" t="s">
        <v>27</v>
      </c>
    </row>
    <row r="18" spans="1:14" x14ac:dyDescent="0.35">
      <c r="A18" s="2" t="s">
        <v>43</v>
      </c>
      <c r="B18" s="2" t="s">
        <v>44</v>
      </c>
      <c r="C18" s="2" t="s">
        <v>33</v>
      </c>
      <c r="D18" s="2">
        <v>0.62</v>
      </c>
      <c r="E18" s="2" t="s">
        <v>9</v>
      </c>
      <c r="F18" s="2" t="s">
        <v>25</v>
      </c>
      <c r="G18" s="2" t="s">
        <v>26</v>
      </c>
      <c r="J18" s="2" t="s">
        <v>27</v>
      </c>
    </row>
    <row r="19" spans="1:14" x14ac:dyDescent="0.35">
      <c r="A19" s="2" t="s">
        <v>45</v>
      </c>
      <c r="B19" s="2" t="s">
        <v>46</v>
      </c>
      <c r="C19" s="2" t="s">
        <v>33</v>
      </c>
      <c r="D19" s="2">
        <v>2.7</v>
      </c>
      <c r="E19" s="2" t="s">
        <v>9</v>
      </c>
      <c r="F19" s="2" t="s">
        <v>25</v>
      </c>
      <c r="G19" s="2" t="s">
        <v>26</v>
      </c>
      <c r="J19" s="2" t="s">
        <v>27</v>
      </c>
    </row>
    <row r="20" spans="1:14" x14ac:dyDescent="0.35">
      <c r="A20" s="2" t="s">
        <v>28</v>
      </c>
      <c r="B20" s="2" t="s">
        <v>29</v>
      </c>
      <c r="C20" s="2" t="s">
        <v>5</v>
      </c>
      <c r="D20" s="2">
        <v>0.35881999999999997</v>
      </c>
      <c r="E20" s="2" t="s">
        <v>30</v>
      </c>
      <c r="F20" s="2" t="s">
        <v>25</v>
      </c>
      <c r="G20" s="2" t="s">
        <v>26</v>
      </c>
      <c r="J20" s="2" t="s">
        <v>27</v>
      </c>
    </row>
    <row r="21" spans="1:14" x14ac:dyDescent="0.35">
      <c r="A21" s="2" t="s">
        <v>38</v>
      </c>
      <c r="B21" s="2" t="s">
        <v>39</v>
      </c>
      <c r="C21" s="2" t="s">
        <v>5</v>
      </c>
      <c r="D21" s="2">
        <v>21.387499999999999</v>
      </c>
      <c r="E21" s="2" t="s">
        <v>40</v>
      </c>
      <c r="F21" s="2" t="s">
        <v>25</v>
      </c>
      <c r="G21" s="2" t="s">
        <v>26</v>
      </c>
      <c r="J21" s="2" t="s">
        <v>27</v>
      </c>
    </row>
    <row r="22" spans="1:14" x14ac:dyDescent="0.35">
      <c r="A22" s="2" t="s">
        <v>47</v>
      </c>
      <c r="B22" s="2" t="s">
        <v>48</v>
      </c>
      <c r="C22" s="2" t="s">
        <v>33</v>
      </c>
      <c r="D22" s="2">
        <v>-1.7999999999999999E-2</v>
      </c>
      <c r="E22" s="2" t="s">
        <v>40</v>
      </c>
      <c r="F22" s="2" t="s">
        <v>25</v>
      </c>
      <c r="G22" s="2" t="s">
        <v>26</v>
      </c>
      <c r="J22" s="2" t="s">
        <v>27</v>
      </c>
    </row>
    <row r="23" spans="1:14" x14ac:dyDescent="0.35">
      <c r="A23" s="2" t="s">
        <v>49</v>
      </c>
      <c r="B23" s="2" t="s">
        <v>50</v>
      </c>
      <c r="C23" s="2" t="s">
        <v>51</v>
      </c>
      <c r="D23" s="2">
        <v>-1019.3145</v>
      </c>
      <c r="E23" s="2" t="s">
        <v>52</v>
      </c>
      <c r="F23" s="2" t="s">
        <v>25</v>
      </c>
      <c r="G23" s="2" t="s">
        <v>26</v>
      </c>
      <c r="J23" s="2" t="s">
        <v>27</v>
      </c>
    </row>
    <row r="24" spans="1:14" s="10" customFormat="1" x14ac:dyDescent="0.35"/>
    <row r="25" spans="1:14" x14ac:dyDescent="0.35">
      <c r="A25" s="3" t="s">
        <v>0</v>
      </c>
      <c r="B25" s="3" t="s">
        <v>53</v>
      </c>
    </row>
    <row r="26" spans="1:14" x14ac:dyDescent="0.35">
      <c r="A26" s="8" t="s">
        <v>2</v>
      </c>
      <c r="B26" s="2" t="s">
        <v>3</v>
      </c>
    </row>
    <row r="27" spans="1:14" x14ac:dyDescent="0.35">
      <c r="A27" s="8" t="s">
        <v>4</v>
      </c>
      <c r="B27" s="2" t="s">
        <v>5</v>
      </c>
    </row>
    <row r="28" spans="1:14" x14ac:dyDescent="0.35">
      <c r="A28" s="8" t="s">
        <v>6</v>
      </c>
      <c r="B28" s="2">
        <v>1</v>
      </c>
    </row>
    <row r="29" spans="1:14" x14ac:dyDescent="0.35">
      <c r="A29" s="8" t="s">
        <v>8</v>
      </c>
      <c r="B29" s="2" t="s">
        <v>9</v>
      </c>
    </row>
    <row r="30" spans="1:14" x14ac:dyDescent="0.35">
      <c r="A30" s="8" t="s">
        <v>10</v>
      </c>
      <c r="B30" s="13" t="s">
        <v>296</v>
      </c>
    </row>
    <row r="31" spans="1:14" x14ac:dyDescent="0.35">
      <c r="A31" s="8" t="s">
        <v>12</v>
      </c>
    </row>
    <row r="32" spans="1:14" x14ac:dyDescent="0.35">
      <c r="A32" s="3" t="s">
        <v>13</v>
      </c>
      <c r="B32" s="3" t="s">
        <v>2</v>
      </c>
      <c r="C32" s="3" t="s">
        <v>4</v>
      </c>
      <c r="D32" s="3" t="s">
        <v>6</v>
      </c>
      <c r="E32" s="3" t="s">
        <v>8</v>
      </c>
      <c r="F32" s="3" t="s">
        <v>14</v>
      </c>
      <c r="G32" s="3" t="s">
        <v>15</v>
      </c>
      <c r="H32" s="3" t="s">
        <v>16</v>
      </c>
      <c r="I32" s="3" t="s">
        <v>17</v>
      </c>
      <c r="J32" s="3" t="s">
        <v>18</v>
      </c>
      <c r="K32" s="3" t="s">
        <v>19</v>
      </c>
      <c r="L32" s="3" t="s">
        <v>20</v>
      </c>
      <c r="M32" s="3" t="s">
        <v>21</v>
      </c>
      <c r="N32" s="3" t="s">
        <v>22</v>
      </c>
    </row>
    <row r="33" spans="1:14" x14ac:dyDescent="0.35">
      <c r="A33" s="2" t="str">
        <f>B25</f>
        <v>V2O5 production in China through Ca-roasting</v>
      </c>
      <c r="B33" s="2" t="str">
        <f>B26</f>
        <v>V2O5</v>
      </c>
      <c r="C33" s="2" t="str">
        <f>B27</f>
        <v>CN</v>
      </c>
      <c r="D33" s="2">
        <v>1</v>
      </c>
      <c r="E33" s="2" t="s">
        <v>9</v>
      </c>
      <c r="F33" s="9" t="str">
        <f>F9</f>
        <v>Vanadium</v>
      </c>
      <c r="G33" s="2" t="s">
        <v>23</v>
      </c>
    </row>
    <row r="34" spans="1:14" x14ac:dyDescent="0.35">
      <c r="A34" s="2" t="str">
        <f>A9</f>
        <v>[P] Vanadium pentoxide (V2O5) production (Calcium Roasting process)</v>
      </c>
      <c r="B34" s="2" t="str">
        <f>B9</f>
        <v>V2O5</v>
      </c>
      <c r="C34" s="2" t="str">
        <f>C9</f>
        <v>CN</v>
      </c>
      <c r="D34" s="2">
        <v>1</v>
      </c>
      <c r="E34" s="2" t="str">
        <f>E9</f>
        <v>kilogram</v>
      </c>
      <c r="F34" s="9" t="str">
        <f>F9</f>
        <v>Vanadium</v>
      </c>
      <c r="G34" s="2" t="s">
        <v>26</v>
      </c>
    </row>
    <row r="35" spans="1:14" x14ac:dyDescent="0.35">
      <c r="A35" s="2" t="str">
        <f>PR3_V2O5_CN_PanSteel_Unallo!A30</f>
        <v>[P+R] Crude steel production</v>
      </c>
      <c r="B35" s="2" t="str">
        <f>PR3_V2O5_CN_PanSteel_Unallo!B30</f>
        <v>Vanadium (V) slag</v>
      </c>
      <c r="C35" s="2" t="str">
        <f>PR3_V2O5_CN_PanSteel_Unallo!C30</f>
        <v>CN</v>
      </c>
      <c r="D35" s="2">
        <v>7.01</v>
      </c>
      <c r="E35" s="2" t="str">
        <f>PR3_V2O5_CN_PanSteel_Unallo!E30</f>
        <v>kilogram</v>
      </c>
      <c r="F35" s="9" t="str">
        <f>PR3_V2O5_CN_PanSteel_Unallo!F30</f>
        <v>Vanadium</v>
      </c>
      <c r="G35" s="2" t="s">
        <v>26</v>
      </c>
    </row>
    <row r="36" spans="1:14" x14ac:dyDescent="0.35">
      <c r="A36" s="2" t="str">
        <f>PR3_V2O5_CN_PanSteel_Unallo!A9</f>
        <v>[M+C] Iron (Fe) ore mining and concentration</v>
      </c>
      <c r="B36" s="2" t="str">
        <f>PR3_V2O5_CN_PanSteel_Unallo!B9</f>
        <v>Fe concentrate</v>
      </c>
      <c r="C36" s="2" t="str">
        <f>PR3_V2O5_CN_PanSteel_Unallo!C9</f>
        <v>CN</v>
      </c>
      <c r="D36" s="14">
        <v>2.6161020548437062</v>
      </c>
      <c r="E36" s="2" t="str">
        <f>PR3_V2O5_CN_PanSteel_Unallo!E9</f>
        <v>kilogram</v>
      </c>
      <c r="F36" s="9" t="str">
        <f>PR3_V2O5_CN_PanSteel_Unallo!F9</f>
        <v>Vanadium</v>
      </c>
      <c r="G36" s="2" t="s">
        <v>26</v>
      </c>
    </row>
    <row r="37" spans="1:14" s="10" customFormat="1" x14ac:dyDescent="0.35"/>
    <row r="38" spans="1:14" x14ac:dyDescent="0.35">
      <c r="A38" s="3" t="s">
        <v>0</v>
      </c>
      <c r="B38" s="3" t="s">
        <v>54</v>
      </c>
    </row>
    <row r="39" spans="1:14" x14ac:dyDescent="0.35">
      <c r="A39" s="8" t="s">
        <v>2</v>
      </c>
      <c r="B39" s="2" t="s">
        <v>55</v>
      </c>
    </row>
    <row r="40" spans="1:14" x14ac:dyDescent="0.35">
      <c r="A40" s="8" t="s">
        <v>4</v>
      </c>
      <c r="B40" s="2" t="s">
        <v>5</v>
      </c>
    </row>
    <row r="41" spans="1:14" x14ac:dyDescent="0.35">
      <c r="A41" s="8" t="s">
        <v>6</v>
      </c>
      <c r="B41" s="2">
        <v>1</v>
      </c>
    </row>
    <row r="42" spans="1:14" x14ac:dyDescent="0.35">
      <c r="A42" s="8" t="s">
        <v>8</v>
      </c>
      <c r="B42" s="2" t="s">
        <v>9</v>
      </c>
    </row>
    <row r="43" spans="1:14" ht="29" x14ac:dyDescent="0.35">
      <c r="A43" s="8" t="s">
        <v>10</v>
      </c>
      <c r="B43" s="17" t="s">
        <v>297</v>
      </c>
    </row>
    <row r="44" spans="1:14" x14ac:dyDescent="0.35">
      <c r="A44" s="8" t="s">
        <v>12</v>
      </c>
    </row>
    <row r="45" spans="1:14" x14ac:dyDescent="0.35">
      <c r="A45" s="3" t="s">
        <v>13</v>
      </c>
      <c r="B45" s="3" t="s">
        <v>2</v>
      </c>
      <c r="C45" s="3" t="s">
        <v>4</v>
      </c>
      <c r="D45" s="3" t="s">
        <v>6</v>
      </c>
      <c r="E45" s="3" t="s">
        <v>8</v>
      </c>
      <c r="F45" s="3" t="s">
        <v>14</v>
      </c>
      <c r="G45" s="3" t="s">
        <v>15</v>
      </c>
      <c r="H45" s="3" t="s">
        <v>16</v>
      </c>
      <c r="I45" s="3" t="s">
        <v>17</v>
      </c>
      <c r="J45" s="3" t="s">
        <v>18</v>
      </c>
      <c r="K45" s="3" t="s">
        <v>19</v>
      </c>
      <c r="L45" s="3" t="s">
        <v>20</v>
      </c>
      <c r="M45" s="3" t="s">
        <v>21</v>
      </c>
      <c r="N45" s="3" t="s">
        <v>22</v>
      </c>
    </row>
    <row r="46" spans="1:14" x14ac:dyDescent="0.35">
      <c r="A46" s="2" t="str">
        <f>B38</f>
        <v>V2O5 production in China through Ca-roasting (V content)</v>
      </c>
      <c r="B46" s="2" t="str">
        <f>B39</f>
        <v>V2O5 (V content)</v>
      </c>
      <c r="C46" s="2" t="str">
        <f>B40</f>
        <v>CN</v>
      </c>
      <c r="D46" s="2">
        <v>1</v>
      </c>
      <c r="E46" s="2" t="s">
        <v>9</v>
      </c>
      <c r="F46" s="9" t="str">
        <f>F33</f>
        <v>Vanadium</v>
      </c>
      <c r="G46" s="2" t="s">
        <v>23</v>
      </c>
    </row>
    <row r="47" spans="1:14" x14ac:dyDescent="0.35">
      <c r="A47" s="2" t="str">
        <f>A34</f>
        <v>[P] Vanadium pentoxide (V2O5) production (Calcium Roasting process)</v>
      </c>
      <c r="B47" s="2" t="str">
        <f t="shared" ref="B47:G47" si="0">B34</f>
        <v>V2O5</v>
      </c>
      <c r="C47" s="2" t="str">
        <f t="shared" si="0"/>
        <v>CN</v>
      </c>
      <c r="D47" s="2">
        <v>1.7850767583006069</v>
      </c>
      <c r="E47" s="2" t="str">
        <f t="shared" si="0"/>
        <v>kilogram</v>
      </c>
      <c r="F47" s="9" t="str">
        <f t="shared" si="0"/>
        <v>Vanadium</v>
      </c>
      <c r="G47" s="2" t="str">
        <f t="shared" si="0"/>
        <v>technosphere</v>
      </c>
    </row>
    <row r="48" spans="1:14" x14ac:dyDescent="0.35">
      <c r="A48" s="2" t="str">
        <f t="shared" ref="A48:G48" si="1">A35</f>
        <v>[P+R] Crude steel production</v>
      </c>
      <c r="B48" s="2" t="str">
        <f t="shared" si="1"/>
        <v>Vanadium (V) slag</v>
      </c>
      <c r="C48" s="2" t="str">
        <f t="shared" si="1"/>
        <v>CN</v>
      </c>
      <c r="D48" s="2">
        <v>12.513388075687253</v>
      </c>
      <c r="E48" s="2" t="str">
        <f t="shared" si="1"/>
        <v>kilogram</v>
      </c>
      <c r="F48" s="9" t="str">
        <f t="shared" si="1"/>
        <v>Vanadium</v>
      </c>
      <c r="G48" s="2" t="str">
        <f t="shared" si="1"/>
        <v>technosphere</v>
      </c>
    </row>
    <row r="49" spans="1:7" x14ac:dyDescent="0.35">
      <c r="A49" s="2" t="str">
        <f t="shared" ref="A49:G49" si="2">A36</f>
        <v>[M+C] Iron (Fe) ore mining and concentration</v>
      </c>
      <c r="B49" s="2" t="str">
        <f t="shared" si="2"/>
        <v>Fe concentrate</v>
      </c>
      <c r="C49" s="2" t="str">
        <f t="shared" si="2"/>
        <v>CN</v>
      </c>
      <c r="D49" s="14">
        <v>4.6699429754439592</v>
      </c>
      <c r="E49" s="2" t="str">
        <f t="shared" si="2"/>
        <v>kilogram</v>
      </c>
      <c r="F49" s="9" t="str">
        <f t="shared" si="2"/>
        <v>Vanadium</v>
      </c>
      <c r="G49" s="2" t="str">
        <f t="shared" si="2"/>
        <v>technosphere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A1:N50"/>
  <sheetViews>
    <sheetView workbookViewId="0"/>
  </sheetViews>
  <sheetFormatPr baseColWidth="10" defaultColWidth="9.1796875" defaultRowHeight="14.5" x14ac:dyDescent="0.35"/>
  <cols>
    <col min="1" max="1" width="60" style="1" bestFit="1" customWidth="1"/>
    <col min="2" max="2" width="60.81640625" style="1" bestFit="1" customWidth="1"/>
    <col min="3" max="3" width="7.6328125" style="1" bestFit="1" customWidth="1"/>
    <col min="4" max="4" width="7.81640625" style="1" bestFit="1" customWidth="1"/>
    <col min="5" max="5" width="11.90625" style="1" bestFit="1" customWidth="1"/>
    <col min="6" max="6" width="18.36328125" style="1" bestFit="1" customWidth="1"/>
    <col min="7" max="7" width="12.26953125" style="1" bestFit="1" customWidth="1"/>
    <col min="8" max="8" width="9.36328125" style="1" bestFit="1" customWidth="1"/>
    <col min="9" max="9" width="14.6328125" style="1" bestFit="1" customWidth="1"/>
    <col min="10" max="10" width="8.90625" style="1" bestFit="1" customWidth="1"/>
    <col min="11" max="11" width="3.36328125" style="1" bestFit="1" customWidth="1"/>
    <col min="12" max="12" width="5" style="1" bestFit="1" customWidth="1"/>
    <col min="13" max="13" width="8.90625" style="1" bestFit="1" customWidth="1"/>
    <col min="14" max="14" width="9.26953125" style="1" bestFit="1" customWidth="1"/>
    <col min="15" max="16384" width="9.1796875" style="1"/>
  </cols>
  <sheetData>
    <row r="1" spans="1:14" x14ac:dyDescent="0.35">
      <c r="A1" s="6" t="s">
        <v>0</v>
      </c>
      <c r="B1" s="6" t="s">
        <v>57</v>
      </c>
    </row>
    <row r="2" spans="1:14" x14ac:dyDescent="0.35">
      <c r="A2" s="7" t="s">
        <v>2</v>
      </c>
      <c r="B2" s="1" t="s">
        <v>3</v>
      </c>
    </row>
    <row r="3" spans="1:14" x14ac:dyDescent="0.35">
      <c r="A3" s="7" t="s">
        <v>4</v>
      </c>
      <c r="B3" s="1" t="s">
        <v>5</v>
      </c>
    </row>
    <row r="4" spans="1:14" x14ac:dyDescent="0.35">
      <c r="A4" s="7" t="s">
        <v>6</v>
      </c>
      <c r="B4" s="1">
        <v>1</v>
      </c>
    </row>
    <row r="5" spans="1:14" x14ac:dyDescent="0.35">
      <c r="A5" s="7" t="s">
        <v>8</v>
      </c>
      <c r="B5" s="1" t="s">
        <v>9</v>
      </c>
    </row>
    <row r="6" spans="1:14" x14ac:dyDescent="0.35">
      <c r="A6" s="7" t="s">
        <v>10</v>
      </c>
      <c r="B6" s="1" t="s">
        <v>11</v>
      </c>
    </row>
    <row r="7" spans="1:14" x14ac:dyDescent="0.35">
      <c r="A7" s="7" t="s">
        <v>12</v>
      </c>
    </row>
    <row r="8" spans="1:14" x14ac:dyDescent="0.35">
      <c r="A8" s="6" t="s">
        <v>13</v>
      </c>
      <c r="B8" s="6" t="s">
        <v>2</v>
      </c>
      <c r="C8" s="6" t="s">
        <v>4</v>
      </c>
      <c r="D8" s="6" t="s">
        <v>6</v>
      </c>
      <c r="E8" s="6" t="s">
        <v>8</v>
      </c>
      <c r="F8" s="6" t="s">
        <v>14</v>
      </c>
      <c r="G8" s="6" t="s">
        <v>15</v>
      </c>
      <c r="H8" s="6" t="s">
        <v>16</v>
      </c>
      <c r="I8" s="6" t="s">
        <v>17</v>
      </c>
      <c r="J8" s="6" t="s">
        <v>18</v>
      </c>
      <c r="K8" s="6" t="s">
        <v>19</v>
      </c>
      <c r="L8" s="6" t="s">
        <v>20</v>
      </c>
      <c r="M8" s="6" t="s">
        <v>21</v>
      </c>
      <c r="N8" s="6" t="s">
        <v>22</v>
      </c>
    </row>
    <row r="9" spans="1:14" x14ac:dyDescent="0.35">
      <c r="A9" s="1" t="str">
        <f>B1</f>
        <v>[P] Vanadium pentoxide (V2O5) production (Sub-Molten Salt process)</v>
      </c>
      <c r="B9" s="1" t="str">
        <f>B2</f>
        <v>V2O5</v>
      </c>
      <c r="C9" s="1" t="str">
        <f>B3</f>
        <v>CN</v>
      </c>
      <c r="D9" s="1">
        <v>1</v>
      </c>
      <c r="E9" s="1" t="s">
        <v>9</v>
      </c>
      <c r="F9" s="4" t="str">
        <f>V_Market_GLO!B1</f>
        <v>Vanadium</v>
      </c>
      <c r="G9" s="1" t="s">
        <v>23</v>
      </c>
    </row>
    <row r="10" spans="1:14" x14ac:dyDescent="0.35">
      <c r="A10" s="1" t="s">
        <v>28</v>
      </c>
      <c r="B10" s="1" t="s">
        <v>29</v>
      </c>
      <c r="C10" s="1" t="s">
        <v>5</v>
      </c>
      <c r="D10" s="1">
        <v>1.2</v>
      </c>
      <c r="E10" s="1" t="s">
        <v>30</v>
      </c>
      <c r="F10" s="1" t="s">
        <v>25</v>
      </c>
      <c r="G10" s="1" t="s">
        <v>26</v>
      </c>
      <c r="J10" s="1" t="s">
        <v>27</v>
      </c>
    </row>
    <row r="11" spans="1:14" x14ac:dyDescent="0.35">
      <c r="A11" s="1" t="s">
        <v>58</v>
      </c>
      <c r="B11" s="1" t="s">
        <v>59</v>
      </c>
      <c r="C11" s="1" t="s">
        <v>51</v>
      </c>
      <c r="D11" s="1">
        <v>-0.95</v>
      </c>
      <c r="E11" s="1" t="s">
        <v>9</v>
      </c>
      <c r="F11" s="1" t="s">
        <v>25</v>
      </c>
      <c r="G11" s="1" t="s">
        <v>26</v>
      </c>
      <c r="J11" s="1" t="s">
        <v>27</v>
      </c>
    </row>
    <row r="12" spans="1:14" x14ac:dyDescent="0.35">
      <c r="A12" s="1" t="s">
        <v>60</v>
      </c>
      <c r="B12" s="1" t="s">
        <v>61</v>
      </c>
      <c r="C12" s="1" t="s">
        <v>33</v>
      </c>
      <c r="D12" s="1">
        <v>1.1100000000000001</v>
      </c>
      <c r="E12" s="1" t="s">
        <v>9</v>
      </c>
      <c r="F12" s="1" t="s">
        <v>25</v>
      </c>
      <c r="G12" s="1" t="s">
        <v>26</v>
      </c>
      <c r="J12" s="1" t="s">
        <v>27</v>
      </c>
    </row>
    <row r="13" spans="1:14" x14ac:dyDescent="0.35">
      <c r="A13" s="1" t="s">
        <v>62</v>
      </c>
      <c r="B13" s="1" t="s">
        <v>63</v>
      </c>
      <c r="C13" s="1" t="s">
        <v>33</v>
      </c>
      <c r="D13" s="1">
        <v>1.61</v>
      </c>
      <c r="E13" s="1" t="s">
        <v>9</v>
      </c>
      <c r="F13" s="1" t="s">
        <v>25</v>
      </c>
      <c r="G13" s="1" t="s">
        <v>26</v>
      </c>
      <c r="J13" s="1" t="s">
        <v>27</v>
      </c>
    </row>
    <row r="14" spans="1:14" x14ac:dyDescent="0.35">
      <c r="A14" s="1" t="s">
        <v>45</v>
      </c>
      <c r="B14" s="1" t="s">
        <v>46</v>
      </c>
      <c r="C14" s="1" t="s">
        <v>33</v>
      </c>
      <c r="D14" s="1">
        <v>9.76</v>
      </c>
      <c r="E14" s="1" t="s">
        <v>9</v>
      </c>
      <c r="F14" s="1" t="s">
        <v>25</v>
      </c>
      <c r="G14" s="1" t="s">
        <v>26</v>
      </c>
      <c r="J14" s="1" t="s">
        <v>27</v>
      </c>
    </row>
    <row r="15" spans="1:14" x14ac:dyDescent="0.35">
      <c r="A15" s="1" t="s">
        <v>28</v>
      </c>
      <c r="B15" s="1" t="s">
        <v>29</v>
      </c>
      <c r="C15" s="1" t="s">
        <v>5</v>
      </c>
      <c r="D15" s="1">
        <v>0.68292999999999993</v>
      </c>
      <c r="E15" s="1" t="s">
        <v>30</v>
      </c>
      <c r="F15" s="1" t="s">
        <v>25</v>
      </c>
      <c r="G15" s="1" t="s">
        <v>26</v>
      </c>
      <c r="J15" s="1" t="s">
        <v>27</v>
      </c>
    </row>
    <row r="16" spans="1:14" x14ac:dyDescent="0.35">
      <c r="A16" s="1" t="s">
        <v>64</v>
      </c>
      <c r="B16" s="1" t="s">
        <v>65</v>
      </c>
      <c r="C16" s="1" t="s">
        <v>33</v>
      </c>
      <c r="D16" s="1">
        <v>3.2</v>
      </c>
      <c r="E16" s="1" t="s">
        <v>40</v>
      </c>
      <c r="F16" s="1" t="s">
        <v>25</v>
      </c>
      <c r="G16" s="1" t="s">
        <v>26</v>
      </c>
      <c r="J16" s="1" t="s">
        <v>27</v>
      </c>
    </row>
    <row r="17" spans="1:10" x14ac:dyDescent="0.35">
      <c r="A17" s="1" t="s">
        <v>64</v>
      </c>
      <c r="B17" s="1" t="s">
        <v>65</v>
      </c>
      <c r="C17" s="1" t="s">
        <v>33</v>
      </c>
      <c r="D17" s="1">
        <v>0.29110999999999998</v>
      </c>
      <c r="E17" s="1" t="s">
        <v>40</v>
      </c>
      <c r="F17" s="1" t="s">
        <v>25</v>
      </c>
      <c r="G17" s="1" t="s">
        <v>26</v>
      </c>
      <c r="J17" s="1" t="s">
        <v>27</v>
      </c>
    </row>
    <row r="18" spans="1:10" x14ac:dyDescent="0.35">
      <c r="A18" s="1" t="s">
        <v>62</v>
      </c>
      <c r="B18" s="1" t="s">
        <v>63</v>
      </c>
      <c r="C18" s="1" t="s">
        <v>33</v>
      </c>
      <c r="D18" s="1">
        <v>1.2</v>
      </c>
      <c r="E18" s="1" t="s">
        <v>9</v>
      </c>
      <c r="F18" s="1" t="s">
        <v>25</v>
      </c>
      <c r="G18" s="1" t="s">
        <v>26</v>
      </c>
      <c r="J18" s="1" t="s">
        <v>27</v>
      </c>
    </row>
    <row r="19" spans="1:10" x14ac:dyDescent="0.35">
      <c r="A19" s="1" t="s">
        <v>43</v>
      </c>
      <c r="B19" s="1" t="s">
        <v>44</v>
      </c>
      <c r="C19" s="1" t="s">
        <v>33</v>
      </c>
      <c r="D19" s="1">
        <v>2.2000000000000002</v>
      </c>
      <c r="E19" s="1" t="s">
        <v>9</v>
      </c>
      <c r="F19" s="1" t="s">
        <v>25</v>
      </c>
      <c r="G19" s="1" t="s">
        <v>26</v>
      </c>
      <c r="J19" s="1" t="s">
        <v>27</v>
      </c>
    </row>
    <row r="20" spans="1:10" x14ac:dyDescent="0.35">
      <c r="A20" s="1" t="s">
        <v>66</v>
      </c>
      <c r="B20" s="1" t="s">
        <v>67</v>
      </c>
      <c r="C20" s="1" t="s">
        <v>51</v>
      </c>
      <c r="D20" s="1">
        <v>20.53</v>
      </c>
      <c r="E20" s="1" t="s">
        <v>9</v>
      </c>
      <c r="F20" s="1" t="s">
        <v>25</v>
      </c>
      <c r="G20" s="1" t="s">
        <v>26</v>
      </c>
      <c r="J20" s="1" t="s">
        <v>27</v>
      </c>
    </row>
    <row r="21" spans="1:10" x14ac:dyDescent="0.35">
      <c r="A21" s="1" t="s">
        <v>36</v>
      </c>
      <c r="B21" s="1" t="s">
        <v>37</v>
      </c>
      <c r="C21" s="1" t="s">
        <v>33</v>
      </c>
      <c r="D21" s="1">
        <v>5.08</v>
      </c>
      <c r="E21" s="1" t="s">
        <v>9</v>
      </c>
      <c r="F21" s="1" t="s">
        <v>25</v>
      </c>
      <c r="G21" s="1" t="s">
        <v>26</v>
      </c>
      <c r="J21" s="1" t="s">
        <v>27</v>
      </c>
    </row>
    <row r="22" spans="1:10" x14ac:dyDescent="0.35">
      <c r="A22" s="1" t="s">
        <v>45</v>
      </c>
      <c r="B22" s="1" t="s">
        <v>46</v>
      </c>
      <c r="C22" s="1" t="s">
        <v>33</v>
      </c>
      <c r="D22" s="1">
        <v>28.67</v>
      </c>
      <c r="E22" s="1" t="s">
        <v>9</v>
      </c>
      <c r="F22" s="1" t="s">
        <v>25</v>
      </c>
      <c r="G22" s="1" t="s">
        <v>26</v>
      </c>
      <c r="J22" s="1" t="s">
        <v>27</v>
      </c>
    </row>
    <row r="23" spans="1:10" x14ac:dyDescent="0.35">
      <c r="A23" s="1" t="s">
        <v>28</v>
      </c>
      <c r="B23" s="1" t="s">
        <v>29</v>
      </c>
      <c r="C23" s="1" t="s">
        <v>5</v>
      </c>
      <c r="D23" s="1">
        <v>0.53070000000000006</v>
      </c>
      <c r="E23" s="1" t="s">
        <v>30</v>
      </c>
      <c r="F23" s="1" t="s">
        <v>25</v>
      </c>
      <c r="G23" s="1" t="s">
        <v>26</v>
      </c>
      <c r="J23" s="1" t="s">
        <v>27</v>
      </c>
    </row>
    <row r="24" spans="1:10" ht="15" customHeight="1" x14ac:dyDescent="0.35">
      <c r="A24" s="1" t="s">
        <v>68</v>
      </c>
      <c r="B24" s="1" t="s">
        <v>69</v>
      </c>
      <c r="C24" s="1" t="s">
        <v>51</v>
      </c>
      <c r="D24" s="1">
        <v>-0.84</v>
      </c>
      <c r="E24" s="1" t="s">
        <v>9</v>
      </c>
      <c r="F24" s="1" t="s">
        <v>25</v>
      </c>
      <c r="G24" s="1" t="s">
        <v>26</v>
      </c>
      <c r="J24" s="1" t="s">
        <v>27</v>
      </c>
    </row>
    <row r="25" spans="1:10" s="10" customFormat="1" x14ac:dyDescent="0.35"/>
    <row r="26" spans="1:10" x14ac:dyDescent="0.35">
      <c r="A26" s="6" t="s">
        <v>0</v>
      </c>
      <c r="B26" s="6" t="s">
        <v>70</v>
      </c>
    </row>
    <row r="27" spans="1:10" x14ac:dyDescent="0.35">
      <c r="A27" s="7" t="s">
        <v>2</v>
      </c>
      <c r="B27" s="1" t="s">
        <v>3</v>
      </c>
    </row>
    <row r="28" spans="1:10" x14ac:dyDescent="0.35">
      <c r="A28" s="7" t="s">
        <v>4</v>
      </c>
      <c r="B28" s="1" t="s">
        <v>5</v>
      </c>
    </row>
    <row r="29" spans="1:10" x14ac:dyDescent="0.35">
      <c r="A29" s="7" t="s">
        <v>6</v>
      </c>
      <c r="B29" s="1">
        <v>1</v>
      </c>
    </row>
    <row r="30" spans="1:10" x14ac:dyDescent="0.35">
      <c r="A30" s="7" t="s">
        <v>8</v>
      </c>
      <c r="B30" s="1" t="s">
        <v>9</v>
      </c>
    </row>
    <row r="31" spans="1:10" x14ac:dyDescent="0.35">
      <c r="A31" s="7" t="s">
        <v>10</v>
      </c>
      <c r="B31" s="13" t="s">
        <v>296</v>
      </c>
    </row>
    <row r="32" spans="1:10" x14ac:dyDescent="0.35">
      <c r="A32" s="7" t="s">
        <v>12</v>
      </c>
    </row>
    <row r="33" spans="1:14" x14ac:dyDescent="0.35">
      <c r="A33" s="6" t="s">
        <v>13</v>
      </c>
      <c r="B33" s="6" t="s">
        <v>2</v>
      </c>
      <c r="C33" s="6" t="s">
        <v>4</v>
      </c>
      <c r="D33" s="6" t="s">
        <v>6</v>
      </c>
      <c r="E33" s="6" t="s">
        <v>8</v>
      </c>
      <c r="F33" s="6" t="s">
        <v>14</v>
      </c>
      <c r="G33" s="6" t="s">
        <v>15</v>
      </c>
      <c r="H33" s="6" t="s">
        <v>16</v>
      </c>
      <c r="I33" s="6" t="s">
        <v>17</v>
      </c>
      <c r="J33" s="6" t="s">
        <v>18</v>
      </c>
      <c r="K33" s="6" t="s">
        <v>19</v>
      </c>
      <c r="L33" s="6" t="s">
        <v>20</v>
      </c>
      <c r="M33" s="6" t="s">
        <v>21</v>
      </c>
      <c r="N33" s="6" t="s">
        <v>22</v>
      </c>
    </row>
    <row r="34" spans="1:14" x14ac:dyDescent="0.35">
      <c r="A34" s="1" t="str">
        <f>B26</f>
        <v>V2O5 production in China through Sub-Molten Salt Process</v>
      </c>
      <c r="B34" s="1" t="str">
        <f>B27</f>
        <v>V2O5</v>
      </c>
      <c r="C34" s="1" t="str">
        <f>B28</f>
        <v>CN</v>
      </c>
      <c r="D34" s="1">
        <v>1</v>
      </c>
      <c r="E34" s="1" t="s">
        <v>9</v>
      </c>
      <c r="F34" s="4" t="str">
        <f>F9</f>
        <v>Vanadium</v>
      </c>
      <c r="G34" s="1" t="s">
        <v>23</v>
      </c>
    </row>
    <row r="35" spans="1:14" x14ac:dyDescent="0.35">
      <c r="A35" s="1" t="str">
        <f>A9</f>
        <v>[P] Vanadium pentoxide (V2O5) production (Sub-Molten Salt process)</v>
      </c>
      <c r="B35" s="1" t="str">
        <f>B9</f>
        <v>V2O5</v>
      </c>
      <c r="C35" s="1" t="str">
        <f>C9</f>
        <v>CN</v>
      </c>
      <c r="D35" s="1">
        <v>1</v>
      </c>
      <c r="E35" s="1" t="str">
        <f>E9</f>
        <v>kilogram</v>
      </c>
      <c r="F35" s="4" t="str">
        <f>F9</f>
        <v>Vanadium</v>
      </c>
      <c r="G35" s="1" t="s">
        <v>26</v>
      </c>
    </row>
    <row r="36" spans="1:14" x14ac:dyDescent="0.35">
      <c r="A36" s="1" t="str">
        <f>PR3_V2O5_CN_PanSteel_Unallo!A30</f>
        <v>[P+R] Crude steel production</v>
      </c>
      <c r="B36" s="1" t="str">
        <f>PR3_V2O5_CN_PanSteel_Unallo!B30</f>
        <v>Vanadium (V) slag</v>
      </c>
      <c r="C36" s="1" t="str">
        <f>PR3_V2O5_CN_PanSteel_Unallo!C30</f>
        <v>CN</v>
      </c>
      <c r="D36" s="1">
        <v>10.95</v>
      </c>
      <c r="E36" s="1" t="str">
        <f>PR3_V2O5_CN_PanSteel_Unallo!E30</f>
        <v>kilogram</v>
      </c>
      <c r="F36" s="4" t="str">
        <f>PR3_V2O5_CN_PanSteel_Unallo!F30</f>
        <v>Vanadium</v>
      </c>
      <c r="G36" s="1" t="s">
        <v>26</v>
      </c>
    </row>
    <row r="37" spans="1:14" x14ac:dyDescent="0.35">
      <c r="A37" s="1" t="str">
        <f>PR3_V2O5_CN_PanSteel_Unallo!A9</f>
        <v>[M+C] Iron (Fe) ore mining and concentration</v>
      </c>
      <c r="B37" s="1" t="str">
        <f>PR3_V2O5_CN_PanSteel_Unallo!B9</f>
        <v>Fe concentrate</v>
      </c>
      <c r="C37" s="1" t="str">
        <f>PR3_V2O5_CN_PanSteel_Unallo!C9</f>
        <v>CN</v>
      </c>
      <c r="D37" s="16">
        <v>4.0864932240425942</v>
      </c>
      <c r="E37" s="1" t="str">
        <f>PR3_V2O5_CN_PanSteel_Unallo!E9</f>
        <v>kilogram</v>
      </c>
      <c r="F37" s="4" t="str">
        <f>PR3_V2O5_CN_PanSteel_Unallo!F9</f>
        <v>Vanadium</v>
      </c>
      <c r="G37" s="1" t="s">
        <v>26</v>
      </c>
    </row>
    <row r="38" spans="1:14" s="10" customFormat="1" x14ac:dyDescent="0.35"/>
    <row r="39" spans="1:14" x14ac:dyDescent="0.35">
      <c r="A39" s="6" t="s">
        <v>0</v>
      </c>
      <c r="B39" s="6" t="s">
        <v>71</v>
      </c>
    </row>
    <row r="40" spans="1:14" x14ac:dyDescent="0.35">
      <c r="A40" s="7" t="s">
        <v>2</v>
      </c>
      <c r="B40" s="1" t="s">
        <v>55</v>
      </c>
    </row>
    <row r="41" spans="1:14" x14ac:dyDescent="0.35">
      <c r="A41" s="7" t="s">
        <v>4</v>
      </c>
      <c r="B41" s="1" t="s">
        <v>5</v>
      </c>
    </row>
    <row r="42" spans="1:14" x14ac:dyDescent="0.35">
      <c r="A42" s="7" t="s">
        <v>6</v>
      </c>
      <c r="B42" s="1">
        <v>1</v>
      </c>
    </row>
    <row r="43" spans="1:14" x14ac:dyDescent="0.35">
      <c r="A43" s="7" t="s">
        <v>8</v>
      </c>
      <c r="B43" s="1" t="s">
        <v>9</v>
      </c>
    </row>
    <row r="44" spans="1:14" ht="29" x14ac:dyDescent="0.35">
      <c r="A44" s="7" t="s">
        <v>10</v>
      </c>
      <c r="B44" s="17" t="s">
        <v>297</v>
      </c>
    </row>
    <row r="45" spans="1:14" x14ac:dyDescent="0.35">
      <c r="A45" s="7" t="s">
        <v>12</v>
      </c>
    </row>
    <row r="46" spans="1:14" x14ac:dyDescent="0.35">
      <c r="A46" s="6" t="s">
        <v>13</v>
      </c>
      <c r="B46" s="6" t="s">
        <v>2</v>
      </c>
      <c r="C46" s="6" t="s">
        <v>4</v>
      </c>
      <c r="D46" s="6" t="s">
        <v>6</v>
      </c>
      <c r="E46" s="6" t="s">
        <v>8</v>
      </c>
      <c r="F46" s="6" t="s">
        <v>14</v>
      </c>
      <c r="G46" s="6" t="s">
        <v>15</v>
      </c>
      <c r="H46" s="6" t="s">
        <v>16</v>
      </c>
      <c r="I46" s="6" t="s">
        <v>17</v>
      </c>
      <c r="J46" s="6" t="s">
        <v>18</v>
      </c>
      <c r="K46" s="6" t="s">
        <v>19</v>
      </c>
      <c r="L46" s="6" t="s">
        <v>20</v>
      </c>
      <c r="M46" s="6" t="s">
        <v>21</v>
      </c>
      <c r="N46" s="6" t="s">
        <v>22</v>
      </c>
    </row>
    <row r="47" spans="1:14" x14ac:dyDescent="0.35">
      <c r="A47" s="1" t="str">
        <f>B39</f>
        <v>V2O5 production in China through Sub-Molten Salt Process (V content)</v>
      </c>
      <c r="B47" s="1" t="str">
        <f>B40</f>
        <v>V2O5 (V content)</v>
      </c>
      <c r="C47" s="1" t="str">
        <f>B41</f>
        <v>CN</v>
      </c>
      <c r="D47" s="1">
        <v>1</v>
      </c>
      <c r="E47" s="1" t="s">
        <v>9</v>
      </c>
      <c r="F47" s="4" t="str">
        <f>F34</f>
        <v>Vanadium</v>
      </c>
      <c r="G47" s="1" t="s">
        <v>23</v>
      </c>
    </row>
    <row r="48" spans="1:14" x14ac:dyDescent="0.35">
      <c r="A48" s="1" t="str">
        <f>A35</f>
        <v>[P] Vanadium pentoxide (V2O5) production (Sub-Molten Salt process)</v>
      </c>
      <c r="B48" s="1" t="str">
        <f t="shared" ref="B48:G48" si="0">B35</f>
        <v>V2O5</v>
      </c>
      <c r="C48" s="1" t="str">
        <f t="shared" si="0"/>
        <v>CN</v>
      </c>
      <c r="D48" s="1">
        <v>1.7850767583006069</v>
      </c>
      <c r="E48" s="1" t="str">
        <f t="shared" si="0"/>
        <v>kilogram</v>
      </c>
      <c r="F48" s="4" t="str">
        <f t="shared" si="0"/>
        <v>Vanadium</v>
      </c>
      <c r="G48" s="1" t="str">
        <f t="shared" si="0"/>
        <v>technosphere</v>
      </c>
    </row>
    <row r="49" spans="1:7" x14ac:dyDescent="0.35">
      <c r="A49" s="1" t="str">
        <f>A36</f>
        <v>[P+R] Crude steel production</v>
      </c>
      <c r="B49" s="1" t="str">
        <f t="shared" ref="B49:G49" si="1">B36</f>
        <v>Vanadium (V) slag</v>
      </c>
      <c r="C49" s="1" t="str">
        <f t="shared" si="1"/>
        <v>CN</v>
      </c>
      <c r="D49" s="1">
        <v>19.546590503391645</v>
      </c>
      <c r="E49" s="1" t="str">
        <f t="shared" si="1"/>
        <v>kilogram</v>
      </c>
      <c r="F49" s="4" t="str">
        <f t="shared" si="1"/>
        <v>Vanadium</v>
      </c>
      <c r="G49" s="1" t="str">
        <f t="shared" si="1"/>
        <v>technosphere</v>
      </c>
    </row>
    <row r="50" spans="1:7" x14ac:dyDescent="0.35">
      <c r="A50" s="1" t="str">
        <f>A37</f>
        <v>[M+C] Iron (Fe) ore mining and concentration</v>
      </c>
      <c r="B50" s="1" t="str">
        <f t="shared" ref="B50:G50" si="2">B37</f>
        <v>Fe concentrate</v>
      </c>
      <c r="C50" s="1" t="str">
        <f t="shared" si="2"/>
        <v>CN</v>
      </c>
      <c r="D50" s="16">
        <v>7.2947040771913496</v>
      </c>
      <c r="E50" s="1" t="str">
        <f t="shared" si="2"/>
        <v>kilogram</v>
      </c>
      <c r="F50" s="4" t="str">
        <f t="shared" si="2"/>
        <v>Vanadium</v>
      </c>
      <c r="G50" s="1" t="str">
        <f t="shared" si="2"/>
        <v>technosphere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989C-4BF4-42BE-8A3D-64D720BB7699}">
  <sheetPr>
    <tabColor theme="8" tint="0.39997558519241921"/>
  </sheetPr>
  <dimension ref="A1:N142"/>
  <sheetViews>
    <sheetView workbookViewId="0"/>
  </sheetViews>
  <sheetFormatPr baseColWidth="10" defaultColWidth="9.1796875" defaultRowHeight="14.5" x14ac:dyDescent="0.35"/>
  <cols>
    <col min="1" max="1" width="56.6328125" style="2" bestFit="1" customWidth="1"/>
    <col min="2" max="2" width="50.1796875" style="2" bestFit="1" customWidth="1"/>
    <col min="3" max="3" width="7.6328125" style="2" bestFit="1" customWidth="1"/>
    <col min="4" max="4" width="12.453125" style="2" bestFit="1" customWidth="1"/>
    <col min="5" max="5" width="11.90625" style="2" bestFit="1" customWidth="1"/>
    <col min="6" max="6" width="18.36328125" style="2" bestFit="1" customWidth="1"/>
    <col min="7" max="7" width="12.26953125" style="2" bestFit="1" customWidth="1"/>
    <col min="8" max="8" width="9.36328125" style="2" bestFit="1" customWidth="1"/>
    <col min="9" max="9" width="14.6328125" style="2" bestFit="1" customWidth="1"/>
    <col min="10" max="10" width="11.08984375" style="2" bestFit="1" customWidth="1"/>
    <col min="11" max="11" width="3.36328125" style="2" bestFit="1" customWidth="1"/>
    <col min="12" max="12" width="5" style="2" bestFit="1" customWidth="1"/>
    <col min="13" max="13" width="8.90625" style="2" bestFit="1" customWidth="1"/>
    <col min="14" max="14" width="9.26953125" style="2" bestFit="1" customWidth="1"/>
    <col min="15" max="16384" width="9.1796875" style="2"/>
  </cols>
  <sheetData>
    <row r="1" spans="1:14" x14ac:dyDescent="0.35">
      <c r="A1" s="3" t="s">
        <v>0</v>
      </c>
      <c r="B1" s="3" t="s">
        <v>72</v>
      </c>
    </row>
    <row r="2" spans="1:14" x14ac:dyDescent="0.35">
      <c r="A2" s="8" t="s">
        <v>2</v>
      </c>
      <c r="B2" s="2" t="s">
        <v>73</v>
      </c>
    </row>
    <row r="3" spans="1:14" x14ac:dyDescent="0.35">
      <c r="A3" s="8" t="s">
        <v>4</v>
      </c>
      <c r="B3" s="2" t="s">
        <v>5</v>
      </c>
    </row>
    <row r="4" spans="1:14" x14ac:dyDescent="0.35">
      <c r="A4" s="8" t="s">
        <v>6</v>
      </c>
      <c r="B4" s="2">
        <v>1</v>
      </c>
    </row>
    <row r="5" spans="1:14" x14ac:dyDescent="0.35">
      <c r="A5" s="8" t="s">
        <v>8</v>
      </c>
      <c r="B5" s="2" t="s">
        <v>9</v>
      </c>
    </row>
    <row r="6" spans="1:14" x14ac:dyDescent="0.35">
      <c r="A6" s="8" t="s">
        <v>10</v>
      </c>
      <c r="B6" s="2" t="s">
        <v>11</v>
      </c>
    </row>
    <row r="7" spans="1:14" x14ac:dyDescent="0.35">
      <c r="A7" s="8" t="s">
        <v>12</v>
      </c>
    </row>
    <row r="8" spans="1:14" x14ac:dyDescent="0.35">
      <c r="A8" s="3" t="s">
        <v>13</v>
      </c>
      <c r="B8" s="3" t="s">
        <v>2</v>
      </c>
      <c r="C8" s="3" t="s">
        <v>4</v>
      </c>
      <c r="D8" s="3" t="s">
        <v>6</v>
      </c>
      <c r="E8" s="3" t="s">
        <v>8</v>
      </c>
      <c r="F8" s="3" t="s">
        <v>14</v>
      </c>
      <c r="G8" s="3" t="s">
        <v>15</v>
      </c>
      <c r="H8" s="3" t="s">
        <v>16</v>
      </c>
      <c r="I8" s="3" t="s">
        <v>17</v>
      </c>
      <c r="J8" s="3" t="s">
        <v>18</v>
      </c>
      <c r="K8" s="3" t="s">
        <v>19</v>
      </c>
      <c r="L8" s="3" t="s">
        <v>20</v>
      </c>
      <c r="M8" s="3" t="s">
        <v>21</v>
      </c>
      <c r="N8" s="3" t="s">
        <v>22</v>
      </c>
    </row>
    <row r="9" spans="1:14" x14ac:dyDescent="0.35">
      <c r="A9" s="2" t="str">
        <f>B1</f>
        <v>[M+C] Iron (Fe) ore mining and concentration</v>
      </c>
      <c r="B9" s="2" t="str">
        <f>B2</f>
        <v>Fe concentrate</v>
      </c>
      <c r="C9" s="2" t="str">
        <f>B3</f>
        <v>CN</v>
      </c>
      <c r="D9" s="2">
        <v>1</v>
      </c>
      <c r="E9" s="2" t="s">
        <v>9</v>
      </c>
      <c r="F9" s="9" t="str">
        <f>V_Market_GLO!B1</f>
        <v>Vanadium</v>
      </c>
      <c r="G9" s="2" t="s">
        <v>23</v>
      </c>
    </row>
    <row r="10" spans="1:14" x14ac:dyDescent="0.35">
      <c r="A10" s="2" t="s">
        <v>74</v>
      </c>
      <c r="B10" s="2" t="s">
        <v>75</v>
      </c>
      <c r="C10" s="2" t="s">
        <v>51</v>
      </c>
      <c r="D10" s="2">
        <v>2.2998477929984782</v>
      </c>
      <c r="E10" s="2" t="s">
        <v>9</v>
      </c>
      <c r="F10" s="2" t="s">
        <v>25</v>
      </c>
      <c r="G10" s="2" t="s">
        <v>26</v>
      </c>
      <c r="J10" s="2" t="s">
        <v>76</v>
      </c>
    </row>
    <row r="11" spans="1:14" x14ac:dyDescent="0.35">
      <c r="A11" s="2" t="s">
        <v>77</v>
      </c>
      <c r="B11" s="2" t="s">
        <v>78</v>
      </c>
      <c r="C11" s="2" t="s">
        <v>51</v>
      </c>
      <c r="D11" s="2">
        <v>1.0147133434804669E-3</v>
      </c>
      <c r="E11" s="2" t="s">
        <v>9</v>
      </c>
      <c r="F11" s="2" t="s">
        <v>25</v>
      </c>
      <c r="G11" s="2" t="s">
        <v>26</v>
      </c>
      <c r="J11" s="2" t="s">
        <v>76</v>
      </c>
    </row>
    <row r="12" spans="1:14" x14ac:dyDescent="0.35">
      <c r="A12" s="2" t="s">
        <v>28</v>
      </c>
      <c r="B12" s="2" t="s">
        <v>29</v>
      </c>
      <c r="C12" s="2" t="s">
        <v>5</v>
      </c>
      <c r="D12" s="2">
        <v>3.7544393708777268E-2</v>
      </c>
      <c r="E12" s="2" t="s">
        <v>30</v>
      </c>
      <c r="F12" s="2" t="s">
        <v>25</v>
      </c>
      <c r="G12" s="2" t="s">
        <v>26</v>
      </c>
      <c r="J12" s="2" t="s">
        <v>76</v>
      </c>
    </row>
    <row r="13" spans="1:14" x14ac:dyDescent="0.35">
      <c r="A13" s="2" t="s">
        <v>285</v>
      </c>
      <c r="B13" s="2" t="s">
        <v>286</v>
      </c>
      <c r="C13" s="2" t="s">
        <v>51</v>
      </c>
      <c r="D13" s="2">
        <v>-1.072552004058853</v>
      </c>
      <c r="E13" s="2" t="s">
        <v>9</v>
      </c>
      <c r="F13" s="2" t="s">
        <v>25</v>
      </c>
      <c r="G13" s="2" t="s">
        <v>26</v>
      </c>
      <c r="J13" s="2" t="s">
        <v>76</v>
      </c>
    </row>
    <row r="14" spans="1:14" x14ac:dyDescent="0.35">
      <c r="A14" s="2" t="s">
        <v>80</v>
      </c>
      <c r="D14" s="2">
        <v>0.1839675291730086</v>
      </c>
      <c r="E14" s="2" t="s">
        <v>9</v>
      </c>
      <c r="F14" s="2" t="s">
        <v>81</v>
      </c>
      <c r="G14" s="2" t="s">
        <v>82</v>
      </c>
      <c r="H14" s="2" t="s">
        <v>83</v>
      </c>
      <c r="J14" s="2" t="s">
        <v>84</v>
      </c>
    </row>
    <row r="15" spans="1:14" x14ac:dyDescent="0.35">
      <c r="A15" s="2" t="s">
        <v>85</v>
      </c>
      <c r="D15" s="2">
        <v>1.563876204972095E-2</v>
      </c>
      <c r="E15" s="2" t="s">
        <v>9</v>
      </c>
      <c r="F15" s="2" t="s">
        <v>81</v>
      </c>
      <c r="G15" s="2" t="s">
        <v>82</v>
      </c>
      <c r="H15" s="2" t="s">
        <v>83</v>
      </c>
      <c r="J15" s="2" t="s">
        <v>84</v>
      </c>
    </row>
    <row r="16" spans="1:14" x14ac:dyDescent="0.35">
      <c r="A16" s="2" t="s">
        <v>86</v>
      </c>
      <c r="D16" s="2">
        <v>0.11499238964992391</v>
      </c>
      <c r="E16" s="2" t="s">
        <v>9</v>
      </c>
      <c r="F16" s="2" t="s">
        <v>81</v>
      </c>
      <c r="G16" s="2" t="s">
        <v>82</v>
      </c>
      <c r="H16" s="2" t="s">
        <v>83</v>
      </c>
      <c r="J16" s="2" t="s">
        <v>84</v>
      </c>
    </row>
    <row r="17" spans="1:14" x14ac:dyDescent="0.35">
      <c r="A17" s="2" t="s">
        <v>87</v>
      </c>
      <c r="D17" s="2">
        <v>7.3597158802638264E-3</v>
      </c>
      <c r="E17" s="2" t="s">
        <v>9</v>
      </c>
      <c r="F17" s="2" t="s">
        <v>81</v>
      </c>
      <c r="G17" s="2" t="s">
        <v>82</v>
      </c>
      <c r="H17" s="2" t="s">
        <v>83</v>
      </c>
      <c r="J17" s="2" t="s">
        <v>84</v>
      </c>
    </row>
    <row r="18" spans="1:14" x14ac:dyDescent="0.35">
      <c r="A18" s="2" t="s">
        <v>88</v>
      </c>
      <c r="D18" s="2">
        <v>5.2897006595636733E-3</v>
      </c>
      <c r="E18" s="2" t="s">
        <v>9</v>
      </c>
      <c r="F18" s="2" t="s">
        <v>81</v>
      </c>
      <c r="G18" s="2" t="s">
        <v>82</v>
      </c>
      <c r="H18" s="2" t="s">
        <v>83</v>
      </c>
      <c r="J18" s="2" t="s">
        <v>84</v>
      </c>
    </row>
    <row r="19" spans="1:14" x14ac:dyDescent="0.35">
      <c r="A19" s="2" t="s">
        <v>89</v>
      </c>
      <c r="D19" s="2">
        <v>7.5895484525621518E-2</v>
      </c>
      <c r="E19" s="2" t="s">
        <v>9</v>
      </c>
      <c r="F19" s="2" t="s">
        <v>81</v>
      </c>
      <c r="G19" s="2" t="s">
        <v>82</v>
      </c>
      <c r="H19" s="2" t="s">
        <v>83</v>
      </c>
      <c r="J19" s="2" t="s">
        <v>84</v>
      </c>
    </row>
    <row r="20" spans="1:14" s="11" customFormat="1" x14ac:dyDescent="0.35"/>
    <row r="21" spans="1:14" x14ac:dyDescent="0.35">
      <c r="A21" s="3" t="s">
        <v>0</v>
      </c>
      <c r="B21" s="3" t="s">
        <v>90</v>
      </c>
    </row>
    <row r="22" spans="1:14" x14ac:dyDescent="0.35">
      <c r="A22" s="8" t="s">
        <v>2</v>
      </c>
      <c r="B22" s="2" t="s">
        <v>288</v>
      </c>
    </row>
    <row r="23" spans="1:14" x14ac:dyDescent="0.35">
      <c r="A23" s="8" t="s">
        <v>4</v>
      </c>
      <c r="B23" s="2" t="s">
        <v>5</v>
      </c>
    </row>
    <row r="24" spans="1:14" x14ac:dyDescent="0.35">
      <c r="A24" s="8" t="s">
        <v>6</v>
      </c>
      <c r="B24" s="2">
        <v>1</v>
      </c>
    </row>
    <row r="25" spans="1:14" x14ac:dyDescent="0.35">
      <c r="A25" s="8" t="s">
        <v>8</v>
      </c>
      <c r="B25" s="2" t="s">
        <v>9</v>
      </c>
    </row>
    <row r="26" spans="1:14" ht="29" x14ac:dyDescent="0.35">
      <c r="A26" s="8" t="s">
        <v>10</v>
      </c>
      <c r="B26" s="13" t="s">
        <v>289</v>
      </c>
    </row>
    <row r="27" spans="1:14" x14ac:dyDescent="0.35">
      <c r="A27" s="8" t="s">
        <v>12</v>
      </c>
    </row>
    <row r="28" spans="1:14" x14ac:dyDescent="0.35">
      <c r="A28" s="3" t="s">
        <v>13</v>
      </c>
      <c r="B28" s="3" t="s">
        <v>2</v>
      </c>
      <c r="C28" s="3" t="s">
        <v>4</v>
      </c>
      <c r="D28" s="3" t="s">
        <v>6</v>
      </c>
      <c r="E28" s="3" t="s">
        <v>8</v>
      </c>
      <c r="F28" s="3" t="s">
        <v>14</v>
      </c>
      <c r="G28" s="3" t="s">
        <v>15</v>
      </c>
      <c r="H28" s="3" t="s">
        <v>16</v>
      </c>
      <c r="I28" s="3" t="s">
        <v>17</v>
      </c>
      <c r="J28" s="3" t="s">
        <v>18</v>
      </c>
      <c r="K28" s="3" t="s">
        <v>19</v>
      </c>
      <c r="L28" s="3" t="s">
        <v>20</v>
      </c>
      <c r="M28" s="3" t="s">
        <v>21</v>
      </c>
      <c r="N28" s="3" t="s">
        <v>22</v>
      </c>
    </row>
    <row r="29" spans="1:14" x14ac:dyDescent="0.35">
      <c r="A29" s="2" t="str">
        <f>B21</f>
        <v>[P+R] Crude steel production</v>
      </c>
      <c r="B29" s="2" t="str">
        <f>B22</f>
        <v>Vanadium (V) slag</v>
      </c>
      <c r="C29" s="2" t="str">
        <f>B23</f>
        <v>CN</v>
      </c>
      <c r="D29" s="2">
        <v>1</v>
      </c>
      <c r="E29" s="2" t="s">
        <v>9</v>
      </c>
      <c r="F29" s="9" t="str">
        <f>F9</f>
        <v>Vanadium</v>
      </c>
      <c r="G29" s="2" t="s">
        <v>23</v>
      </c>
    </row>
    <row r="30" spans="1:14" x14ac:dyDescent="0.35">
      <c r="A30" s="2" t="s">
        <v>91</v>
      </c>
      <c r="B30" s="2" t="s">
        <v>92</v>
      </c>
      <c r="C30" s="2" t="s">
        <v>5</v>
      </c>
      <c r="D30" s="14">
        <v>1.3101552161022599E-2</v>
      </c>
      <c r="E30" s="2" t="s">
        <v>9</v>
      </c>
      <c r="F30" s="2" t="s">
        <v>25</v>
      </c>
      <c r="G30" s="2" t="s">
        <v>26</v>
      </c>
      <c r="J30" s="2" t="s">
        <v>76</v>
      </c>
    </row>
    <row r="31" spans="1:14" x14ac:dyDescent="0.35">
      <c r="A31" s="2" t="s">
        <v>31</v>
      </c>
      <c r="B31" s="2" t="s">
        <v>32</v>
      </c>
      <c r="C31" s="2" t="s">
        <v>33</v>
      </c>
      <c r="D31" s="14">
        <v>4.0870666926557025E-2</v>
      </c>
      <c r="E31" s="2" t="s">
        <v>9</v>
      </c>
      <c r="F31" s="2" t="s">
        <v>25</v>
      </c>
      <c r="G31" s="2" t="s">
        <v>26</v>
      </c>
      <c r="J31" s="2" t="s">
        <v>76</v>
      </c>
    </row>
    <row r="32" spans="1:14" x14ac:dyDescent="0.35">
      <c r="A32" s="2" t="str">
        <f>A109</f>
        <v>Quicklime production</v>
      </c>
      <c r="B32" s="2" t="str">
        <f t="shared" ref="B32:F32" si="0">B109</f>
        <v>Quicklime</v>
      </c>
      <c r="C32" s="2" t="str">
        <f t="shared" si="0"/>
        <v>CN</v>
      </c>
      <c r="D32" s="14">
        <v>2.1174225714783997E-2</v>
      </c>
      <c r="E32" s="2" t="str">
        <f t="shared" si="0"/>
        <v>kilogram</v>
      </c>
      <c r="F32" s="9" t="str">
        <f t="shared" si="0"/>
        <v>Vanadium</v>
      </c>
      <c r="G32" s="2" t="s">
        <v>26</v>
      </c>
    </row>
    <row r="33" spans="1:10" x14ac:dyDescent="0.35">
      <c r="A33" s="2" t="str">
        <f>A92</f>
        <v>Coke production</v>
      </c>
      <c r="B33" s="2" t="str">
        <f t="shared" ref="B33:F33" si="1">B92</f>
        <v>Coke</v>
      </c>
      <c r="C33" s="2" t="str">
        <f t="shared" si="1"/>
        <v>CN</v>
      </c>
      <c r="D33" s="14">
        <v>1.8968577202827328E-2</v>
      </c>
      <c r="E33" s="2" t="str">
        <f t="shared" si="1"/>
        <v>kilogram</v>
      </c>
      <c r="F33" s="9" t="str">
        <f t="shared" si="1"/>
        <v>Vanadium</v>
      </c>
      <c r="G33" s="2" t="s">
        <v>26</v>
      </c>
    </row>
    <row r="34" spans="1:10" x14ac:dyDescent="0.35">
      <c r="A34" s="2" t="str">
        <f>A92</f>
        <v>Coke production</v>
      </c>
      <c r="B34" s="2" t="str">
        <f t="shared" ref="B34:F34" si="2">B92</f>
        <v>Coke</v>
      </c>
      <c r="C34" s="2" t="str">
        <f t="shared" si="2"/>
        <v>CN</v>
      </c>
      <c r="D34" s="14">
        <v>1.3895585625326998E-3</v>
      </c>
      <c r="E34" s="2" t="str">
        <f t="shared" si="2"/>
        <v>kilogram</v>
      </c>
      <c r="F34" s="9" t="str">
        <f t="shared" si="2"/>
        <v>Vanadium</v>
      </c>
      <c r="G34" s="2" t="s">
        <v>26</v>
      </c>
    </row>
    <row r="35" spans="1:10" x14ac:dyDescent="0.35">
      <c r="A35" s="2" t="s">
        <v>28</v>
      </c>
      <c r="B35" s="2" t="s">
        <v>29</v>
      </c>
      <c r="C35" s="2" t="s">
        <v>5</v>
      </c>
      <c r="D35" s="14">
        <v>2.0314022795120894E-2</v>
      </c>
      <c r="E35" s="2" t="s">
        <v>30</v>
      </c>
      <c r="F35" s="2" t="s">
        <v>25</v>
      </c>
      <c r="G35" s="2" t="s">
        <v>26</v>
      </c>
      <c r="J35" s="2" t="s">
        <v>76</v>
      </c>
    </row>
    <row r="36" spans="1:10" x14ac:dyDescent="0.35">
      <c r="A36" s="2" t="s">
        <v>96</v>
      </c>
      <c r="B36" s="2" t="s">
        <v>97</v>
      </c>
      <c r="C36" s="2" t="s">
        <v>51</v>
      </c>
      <c r="D36" s="14">
        <v>1.5439539583696664E-3</v>
      </c>
      <c r="E36" s="2" t="s">
        <v>9</v>
      </c>
      <c r="F36" s="2" t="s">
        <v>25</v>
      </c>
      <c r="G36" s="2" t="s">
        <v>26</v>
      </c>
      <c r="J36" s="2" t="s">
        <v>76</v>
      </c>
    </row>
    <row r="37" spans="1:10" x14ac:dyDescent="0.35">
      <c r="A37" s="2" t="s">
        <v>28</v>
      </c>
      <c r="B37" s="2" t="s">
        <v>29</v>
      </c>
      <c r="C37" s="2" t="s">
        <v>5</v>
      </c>
      <c r="D37" s="14">
        <v>3.0217384613806329E-3</v>
      </c>
      <c r="E37" s="2" t="s">
        <v>30</v>
      </c>
      <c r="F37" s="2" t="s">
        <v>25</v>
      </c>
      <c r="G37" s="2" t="s">
        <v>26</v>
      </c>
      <c r="J37" s="2" t="s">
        <v>76</v>
      </c>
    </row>
    <row r="38" spans="1:10" x14ac:dyDescent="0.35">
      <c r="A38" s="2" t="s">
        <v>74</v>
      </c>
      <c r="B38" s="2" t="s">
        <v>75</v>
      </c>
      <c r="C38" s="2" t="s">
        <v>51</v>
      </c>
      <c r="D38" s="14">
        <v>2.5144393036305994E-2</v>
      </c>
      <c r="E38" s="2" t="s">
        <v>9</v>
      </c>
      <c r="F38" s="2" t="s">
        <v>25</v>
      </c>
      <c r="G38" s="2" t="s">
        <v>26</v>
      </c>
      <c r="J38" s="2" t="s">
        <v>76</v>
      </c>
    </row>
    <row r="39" spans="1:10" x14ac:dyDescent="0.35">
      <c r="A39" s="2" t="s">
        <v>91</v>
      </c>
      <c r="B39" s="2" t="s">
        <v>92</v>
      </c>
      <c r="C39" s="2" t="s">
        <v>5</v>
      </c>
      <c r="D39" s="14">
        <v>3.0437949465001998E-2</v>
      </c>
      <c r="E39" s="2" t="s">
        <v>9</v>
      </c>
      <c r="F39" s="2" t="s">
        <v>25</v>
      </c>
      <c r="G39" s="2" t="s">
        <v>26</v>
      </c>
      <c r="J39" s="2" t="s">
        <v>76</v>
      </c>
    </row>
    <row r="40" spans="1:10" s="9" customFormat="1" x14ac:dyDescent="0.35">
      <c r="A40" s="12" t="str">
        <f>A92</f>
        <v>Coke production</v>
      </c>
      <c r="B40" s="12" t="str">
        <f t="shared" ref="B40:C40" si="3">B92</f>
        <v>Coke</v>
      </c>
      <c r="C40" s="12" t="str">
        <f t="shared" si="3"/>
        <v>CN</v>
      </c>
      <c r="D40" s="14">
        <v>0.10763564738348531</v>
      </c>
      <c r="E40" s="12" t="str">
        <f>E92</f>
        <v>kilogram</v>
      </c>
      <c r="F40" s="9" t="str">
        <f t="shared" ref="F40" si="4">F92</f>
        <v>Vanadium</v>
      </c>
      <c r="G40" s="12" t="s">
        <v>26</v>
      </c>
      <c r="J40" s="9" t="s">
        <v>76</v>
      </c>
    </row>
    <row r="41" spans="1:10" s="9" customFormat="1" x14ac:dyDescent="0.35">
      <c r="A41" s="12" t="str">
        <f>A92</f>
        <v>Coke production</v>
      </c>
      <c r="B41" s="12" t="str">
        <f t="shared" ref="B41:C41" si="5">B92</f>
        <v>Coke</v>
      </c>
      <c r="C41" s="12" t="str">
        <f t="shared" si="5"/>
        <v>CN</v>
      </c>
      <c r="D41" s="14">
        <v>7.2786400894569992E-4</v>
      </c>
      <c r="E41" s="12" t="str">
        <f>E92</f>
        <v>kilogram</v>
      </c>
      <c r="F41" s="9" t="str">
        <f t="shared" ref="F41" si="6">F92</f>
        <v>Vanadium</v>
      </c>
      <c r="G41" s="12" t="s">
        <v>26</v>
      </c>
      <c r="J41" s="9" t="s">
        <v>76</v>
      </c>
    </row>
    <row r="42" spans="1:10" x14ac:dyDescent="0.35">
      <c r="A42" s="2" t="s">
        <v>28</v>
      </c>
      <c r="B42" s="2" t="s">
        <v>29</v>
      </c>
      <c r="C42" s="2" t="s">
        <v>5</v>
      </c>
      <c r="D42" s="14">
        <v>4.675974845348132E-3</v>
      </c>
      <c r="E42" s="2" t="s">
        <v>30</v>
      </c>
      <c r="F42" s="2" t="s">
        <v>25</v>
      </c>
      <c r="G42" s="2" t="s">
        <v>26</v>
      </c>
      <c r="J42" s="2" t="s">
        <v>76</v>
      </c>
    </row>
    <row r="43" spans="1:10" x14ac:dyDescent="0.35">
      <c r="A43" s="2" t="s">
        <v>103</v>
      </c>
      <c r="B43" s="2" t="s">
        <v>104</v>
      </c>
      <c r="C43" s="2" t="s">
        <v>33</v>
      </c>
      <c r="D43" s="14">
        <v>-0.15483652553935798</v>
      </c>
      <c r="E43" s="2" t="s">
        <v>9</v>
      </c>
      <c r="F43" s="2" t="s">
        <v>25</v>
      </c>
      <c r="G43" s="2" t="s">
        <v>26</v>
      </c>
      <c r="J43" s="2" t="s">
        <v>76</v>
      </c>
    </row>
    <row r="44" spans="1:10" x14ac:dyDescent="0.35">
      <c r="A44" s="2" t="s">
        <v>66</v>
      </c>
      <c r="B44" s="2" t="s">
        <v>67</v>
      </c>
      <c r="C44" s="2" t="s">
        <v>51</v>
      </c>
      <c r="D44" s="14">
        <v>3.3084727679349992E-3</v>
      </c>
      <c r="E44" s="2" t="s">
        <v>9</v>
      </c>
      <c r="F44" s="2" t="s">
        <v>25</v>
      </c>
      <c r="G44" s="2" t="s">
        <v>26</v>
      </c>
      <c r="J44" s="2" t="s">
        <v>76</v>
      </c>
    </row>
    <row r="45" spans="1:10" x14ac:dyDescent="0.35">
      <c r="A45" s="2" t="s">
        <v>106</v>
      </c>
      <c r="B45" s="2" t="s">
        <v>107</v>
      </c>
      <c r="C45" s="2" t="s">
        <v>51</v>
      </c>
      <c r="D45" s="14">
        <v>1.3233891071739998E-3</v>
      </c>
      <c r="E45" s="2" t="s">
        <v>9</v>
      </c>
      <c r="F45" s="2" t="s">
        <v>25</v>
      </c>
      <c r="G45" s="2" t="s">
        <v>26</v>
      </c>
      <c r="J45" s="2" t="s">
        <v>76</v>
      </c>
    </row>
    <row r="46" spans="1:10" x14ac:dyDescent="0.35">
      <c r="A46" s="2" t="s">
        <v>31</v>
      </c>
      <c r="B46" s="2" t="s">
        <v>32</v>
      </c>
      <c r="C46" s="2" t="s">
        <v>33</v>
      </c>
      <c r="D46" s="14">
        <v>1.4336715327718332E-2</v>
      </c>
      <c r="E46" s="2" t="s">
        <v>9</v>
      </c>
      <c r="F46" s="2" t="s">
        <v>25</v>
      </c>
      <c r="G46" s="2" t="s">
        <v>26</v>
      </c>
      <c r="J46" s="2" t="s">
        <v>76</v>
      </c>
    </row>
    <row r="47" spans="1:10" s="9" customFormat="1" x14ac:dyDescent="0.35">
      <c r="A47" s="12" t="str">
        <f>A92</f>
        <v>Coke production</v>
      </c>
      <c r="B47" s="12" t="str">
        <f t="shared" ref="B47:C47" si="7">B92</f>
        <v>Coke</v>
      </c>
      <c r="C47" s="12" t="str">
        <f t="shared" si="7"/>
        <v>CN</v>
      </c>
      <c r="D47" s="14">
        <v>3.5290376191306658E-5</v>
      </c>
      <c r="E47" s="12" t="str">
        <f>E92</f>
        <v>kilogram</v>
      </c>
      <c r="F47" s="9" t="str">
        <f>F92</f>
        <v>Vanadium</v>
      </c>
      <c r="G47" s="12" t="s">
        <v>26</v>
      </c>
      <c r="J47" s="9" t="s">
        <v>76</v>
      </c>
    </row>
    <row r="48" spans="1:10" x14ac:dyDescent="0.35">
      <c r="A48" s="2" t="s">
        <v>28</v>
      </c>
      <c r="B48" s="2" t="s">
        <v>29</v>
      </c>
      <c r="C48" s="2" t="s">
        <v>5</v>
      </c>
      <c r="D48" s="14">
        <v>4.4112970239133329E-3</v>
      </c>
      <c r="E48" s="2" t="s">
        <v>30</v>
      </c>
      <c r="F48" s="2" t="s">
        <v>25</v>
      </c>
      <c r="G48" s="2" t="s">
        <v>26</v>
      </c>
      <c r="J48" s="2" t="s">
        <v>76</v>
      </c>
    </row>
    <row r="49" spans="1:10" x14ac:dyDescent="0.35">
      <c r="A49" s="2" t="s">
        <v>110</v>
      </c>
      <c r="B49" s="2" t="s">
        <v>111</v>
      </c>
      <c r="C49" s="2" t="s">
        <v>33</v>
      </c>
      <c r="D49" s="14">
        <v>-2.6467782143479994E-2</v>
      </c>
      <c r="E49" s="2" t="s">
        <v>9</v>
      </c>
      <c r="F49" s="2" t="s">
        <v>25</v>
      </c>
      <c r="G49" s="2" t="s">
        <v>26</v>
      </c>
      <c r="J49" s="2" t="s">
        <v>76</v>
      </c>
    </row>
    <row r="50" spans="1:10" x14ac:dyDescent="0.35">
      <c r="A50" s="2" t="s">
        <v>80</v>
      </c>
      <c r="D50" s="14">
        <v>8.5821783600233875E-2</v>
      </c>
      <c r="E50" s="2" t="s">
        <v>9</v>
      </c>
      <c r="F50" s="2" t="s">
        <v>81</v>
      </c>
      <c r="G50" s="2" t="s">
        <v>82</v>
      </c>
      <c r="H50" s="2" t="s">
        <v>83</v>
      </c>
      <c r="J50" s="2" t="s">
        <v>84</v>
      </c>
    </row>
    <row r="51" spans="1:10" x14ac:dyDescent="0.35">
      <c r="A51" s="2" t="s">
        <v>85</v>
      </c>
      <c r="D51" s="14">
        <v>3.6307180155318681E-3</v>
      </c>
      <c r="E51" s="2" t="s">
        <v>9</v>
      </c>
      <c r="F51" s="2" t="s">
        <v>81</v>
      </c>
      <c r="G51" s="2" t="s">
        <v>82</v>
      </c>
      <c r="H51" s="2" t="s">
        <v>83</v>
      </c>
      <c r="J51" s="2" t="s">
        <v>84</v>
      </c>
    </row>
    <row r="52" spans="1:10" x14ac:dyDescent="0.35">
      <c r="A52" s="2" t="s">
        <v>86</v>
      </c>
      <c r="D52" s="14">
        <v>1.1795808241944251E-2</v>
      </c>
      <c r="E52" s="2" t="s">
        <v>9</v>
      </c>
      <c r="F52" s="2" t="s">
        <v>81</v>
      </c>
      <c r="G52" s="2" t="s">
        <v>82</v>
      </c>
      <c r="H52" s="2" t="s">
        <v>83</v>
      </c>
      <c r="J52" s="2" t="s">
        <v>84</v>
      </c>
    </row>
    <row r="53" spans="1:10" x14ac:dyDescent="0.35">
      <c r="A53" s="2" t="s">
        <v>87</v>
      </c>
      <c r="D53" s="14">
        <v>1.3480923705079144E-3</v>
      </c>
      <c r="E53" s="2" t="s">
        <v>9</v>
      </c>
      <c r="F53" s="2" t="s">
        <v>81</v>
      </c>
      <c r="G53" s="2" t="s">
        <v>82</v>
      </c>
      <c r="H53" s="2" t="s">
        <v>83</v>
      </c>
      <c r="J53" s="2" t="s">
        <v>84</v>
      </c>
    </row>
    <row r="54" spans="1:10" x14ac:dyDescent="0.35">
      <c r="A54" s="2" t="s">
        <v>89</v>
      </c>
      <c r="D54" s="14">
        <v>1.0066579808570224E-2</v>
      </c>
      <c r="E54" s="2" t="s">
        <v>9</v>
      </c>
      <c r="F54" s="2" t="s">
        <v>81</v>
      </c>
      <c r="G54" s="2" t="s">
        <v>82</v>
      </c>
      <c r="H54" s="2" t="s">
        <v>83</v>
      </c>
      <c r="J54" s="2" t="s">
        <v>84</v>
      </c>
    </row>
    <row r="55" spans="1:10" x14ac:dyDescent="0.35">
      <c r="A55" s="2" t="s">
        <v>80</v>
      </c>
      <c r="D55" s="14">
        <v>0.19191347702534953</v>
      </c>
      <c r="E55" s="2" t="s">
        <v>9</v>
      </c>
      <c r="F55" s="2" t="s">
        <v>81</v>
      </c>
      <c r="G55" s="2" t="s">
        <v>82</v>
      </c>
      <c r="H55" s="2" t="s">
        <v>83</v>
      </c>
      <c r="J55" s="2" t="s">
        <v>84</v>
      </c>
    </row>
    <row r="56" spans="1:10" x14ac:dyDescent="0.35">
      <c r="A56" s="2" t="s">
        <v>85</v>
      </c>
      <c r="D56" s="14">
        <v>1.5046934148568378E-3</v>
      </c>
      <c r="E56" s="2" t="s">
        <v>9</v>
      </c>
      <c r="F56" s="2" t="s">
        <v>81</v>
      </c>
      <c r="G56" s="2" t="s">
        <v>82</v>
      </c>
      <c r="H56" s="2" t="s">
        <v>83</v>
      </c>
      <c r="J56" s="2" t="s">
        <v>84</v>
      </c>
    </row>
    <row r="57" spans="1:10" x14ac:dyDescent="0.35">
      <c r="A57" s="2" t="s">
        <v>87</v>
      </c>
      <c r="D57" s="14">
        <v>1.346327851698349E-3</v>
      </c>
      <c r="E57" s="2" t="s">
        <v>9</v>
      </c>
      <c r="F57" s="2" t="s">
        <v>81</v>
      </c>
      <c r="G57" s="2" t="s">
        <v>82</v>
      </c>
      <c r="H57" s="2" t="s">
        <v>83</v>
      </c>
      <c r="J57" s="2" t="s">
        <v>84</v>
      </c>
    </row>
    <row r="58" spans="1:10" x14ac:dyDescent="0.35">
      <c r="A58" s="2" t="s">
        <v>89</v>
      </c>
      <c r="D58" s="14">
        <v>2.4041568780327665E-3</v>
      </c>
      <c r="E58" s="2" t="s">
        <v>9</v>
      </c>
      <c r="F58" s="2" t="s">
        <v>81</v>
      </c>
      <c r="G58" s="2" t="s">
        <v>82</v>
      </c>
      <c r="H58" s="2" t="s">
        <v>83</v>
      </c>
      <c r="J58" s="2" t="s">
        <v>84</v>
      </c>
    </row>
    <row r="59" spans="1:10" x14ac:dyDescent="0.35">
      <c r="A59" s="2" t="s">
        <v>80</v>
      </c>
      <c r="D59" s="14">
        <v>3.6613765298480663E-2</v>
      </c>
      <c r="E59" s="2" t="s">
        <v>9</v>
      </c>
      <c r="F59" s="2" t="s">
        <v>81</v>
      </c>
      <c r="G59" s="2" t="s">
        <v>82</v>
      </c>
      <c r="H59" s="2" t="s">
        <v>83</v>
      </c>
      <c r="J59" s="2" t="s">
        <v>84</v>
      </c>
    </row>
    <row r="60" spans="1:10" x14ac:dyDescent="0.35">
      <c r="A60" s="2" t="s">
        <v>85</v>
      </c>
      <c r="D60" s="14">
        <v>2.2762292643392794E-4</v>
      </c>
      <c r="E60" s="2" t="s">
        <v>9</v>
      </c>
      <c r="F60" s="2" t="s">
        <v>81</v>
      </c>
      <c r="G60" s="2" t="s">
        <v>82</v>
      </c>
      <c r="H60" s="2" t="s">
        <v>83</v>
      </c>
      <c r="J60" s="2" t="s">
        <v>84</v>
      </c>
    </row>
    <row r="61" spans="1:10" x14ac:dyDescent="0.35">
      <c r="A61" s="2" t="s">
        <v>86</v>
      </c>
      <c r="D61" s="14">
        <v>1.7671655877796811E-3</v>
      </c>
      <c r="E61" s="2" t="s">
        <v>9</v>
      </c>
      <c r="F61" s="2" t="s">
        <v>81</v>
      </c>
      <c r="G61" s="2" t="s">
        <v>82</v>
      </c>
      <c r="H61" s="2" t="s">
        <v>83</v>
      </c>
      <c r="J61" s="2" t="s">
        <v>84</v>
      </c>
    </row>
    <row r="62" spans="1:10" x14ac:dyDescent="0.35">
      <c r="A62" s="2" t="s">
        <v>89</v>
      </c>
      <c r="D62" s="14">
        <v>5.7810047498384224E-3</v>
      </c>
      <c r="E62" s="2" t="s">
        <v>9</v>
      </c>
      <c r="F62" s="2" t="s">
        <v>81</v>
      </c>
      <c r="G62" s="2" t="s">
        <v>82</v>
      </c>
      <c r="H62" s="2" t="s">
        <v>83</v>
      </c>
      <c r="J62" s="2" t="s">
        <v>84</v>
      </c>
    </row>
    <row r="63" spans="1:10" s="11" customFormat="1" x14ac:dyDescent="0.35"/>
    <row r="64" spans="1:10" x14ac:dyDescent="0.35">
      <c r="A64" s="3" t="s">
        <v>0</v>
      </c>
      <c r="B64" s="3" t="s">
        <v>112</v>
      </c>
    </row>
    <row r="65" spans="1:14" x14ac:dyDescent="0.35">
      <c r="A65" s="8" t="s">
        <v>2</v>
      </c>
      <c r="B65" s="2" t="s">
        <v>3</v>
      </c>
    </row>
    <row r="66" spans="1:14" x14ac:dyDescent="0.35">
      <c r="A66" s="8" t="s">
        <v>4</v>
      </c>
      <c r="B66" s="2" t="s">
        <v>5</v>
      </c>
    </row>
    <row r="67" spans="1:14" x14ac:dyDescent="0.35">
      <c r="A67" s="8" t="s">
        <v>6</v>
      </c>
      <c r="B67" s="2">
        <v>1</v>
      </c>
    </row>
    <row r="68" spans="1:14" x14ac:dyDescent="0.35">
      <c r="A68" s="8" t="s">
        <v>8</v>
      </c>
      <c r="B68" s="2" t="s">
        <v>9</v>
      </c>
    </row>
    <row r="69" spans="1:14" ht="29" x14ac:dyDescent="0.35">
      <c r="A69" s="8" t="s">
        <v>10</v>
      </c>
      <c r="B69" s="13" t="s">
        <v>290</v>
      </c>
    </row>
    <row r="70" spans="1:14" x14ac:dyDescent="0.35">
      <c r="A70" s="8" t="s">
        <v>12</v>
      </c>
    </row>
    <row r="71" spans="1:14" x14ac:dyDescent="0.35">
      <c r="A71" s="3" t="s">
        <v>13</v>
      </c>
      <c r="B71" s="3" t="s">
        <v>2</v>
      </c>
      <c r="C71" s="3" t="s">
        <v>4</v>
      </c>
      <c r="D71" s="3" t="s">
        <v>6</v>
      </c>
      <c r="E71" s="3" t="s">
        <v>8</v>
      </c>
      <c r="F71" s="3" t="s">
        <v>14</v>
      </c>
      <c r="G71" s="3" t="s">
        <v>15</v>
      </c>
      <c r="H71" s="3" t="s">
        <v>16</v>
      </c>
      <c r="I71" s="3" t="s">
        <v>17</v>
      </c>
      <c r="J71" s="3" t="s">
        <v>18</v>
      </c>
      <c r="K71" s="3" t="s">
        <v>19</v>
      </c>
      <c r="L71" s="3" t="s">
        <v>20</v>
      </c>
      <c r="M71" s="3" t="s">
        <v>21</v>
      </c>
      <c r="N71" s="3" t="s">
        <v>22</v>
      </c>
    </row>
    <row r="72" spans="1:14" x14ac:dyDescent="0.35">
      <c r="A72" s="2" t="str">
        <f>B64</f>
        <v>[P] Vanadium pentoxide (V2O5) production</v>
      </c>
      <c r="B72" s="2" t="str">
        <f>B65</f>
        <v>V2O5</v>
      </c>
      <c r="C72" s="2" t="str">
        <f>B66</f>
        <v>CN</v>
      </c>
      <c r="D72" s="2">
        <v>1</v>
      </c>
      <c r="E72" s="2" t="s">
        <v>9</v>
      </c>
      <c r="F72" s="9" t="str">
        <f>F29</f>
        <v>Vanadium</v>
      </c>
      <c r="G72" s="2" t="s">
        <v>23</v>
      </c>
    </row>
    <row r="73" spans="1:14" s="9" customFormat="1" x14ac:dyDescent="0.35">
      <c r="A73" s="12" t="str">
        <f>A92</f>
        <v>Coke production</v>
      </c>
      <c r="B73" s="12" t="str">
        <f t="shared" ref="B73:C73" si="8">B92</f>
        <v>Coke</v>
      </c>
      <c r="C73" s="12" t="str">
        <f t="shared" si="8"/>
        <v>CN</v>
      </c>
      <c r="D73" s="14">
        <v>0.76718171290454584</v>
      </c>
      <c r="E73" s="12" t="str">
        <f>E92</f>
        <v>kilogram</v>
      </c>
      <c r="F73" s="9" t="str">
        <f>F92</f>
        <v>Vanadium</v>
      </c>
      <c r="G73" s="12" t="s">
        <v>26</v>
      </c>
      <c r="J73" s="9" t="s">
        <v>76</v>
      </c>
    </row>
    <row r="74" spans="1:14" x14ac:dyDescent="0.35">
      <c r="A74" s="2" t="s">
        <v>43</v>
      </c>
      <c r="B74" s="2" t="s">
        <v>44</v>
      </c>
      <c r="C74" s="2" t="s">
        <v>33</v>
      </c>
      <c r="D74" s="14">
        <v>0.37713037886991874</v>
      </c>
      <c r="E74" s="2" t="s">
        <v>9</v>
      </c>
      <c r="F74" s="2" t="s">
        <v>25</v>
      </c>
      <c r="G74" s="2" t="s">
        <v>26</v>
      </c>
      <c r="J74" s="2" t="s">
        <v>76</v>
      </c>
    </row>
    <row r="75" spans="1:14" x14ac:dyDescent="0.35">
      <c r="A75" s="2" t="s">
        <v>114</v>
      </c>
      <c r="B75" s="2" t="s">
        <v>115</v>
      </c>
      <c r="C75" s="2" t="s">
        <v>51</v>
      </c>
      <c r="D75" s="14">
        <v>0.28042510505905627</v>
      </c>
      <c r="E75" s="2" t="s">
        <v>9</v>
      </c>
      <c r="F75" s="2" t="s">
        <v>25</v>
      </c>
      <c r="G75" s="2" t="s">
        <v>26</v>
      </c>
      <c r="J75" s="2" t="s">
        <v>76</v>
      </c>
    </row>
    <row r="76" spans="1:14" x14ac:dyDescent="0.35">
      <c r="A76" s="2" t="s">
        <v>34</v>
      </c>
      <c r="B76" s="2" t="s">
        <v>35</v>
      </c>
      <c r="C76" s="2" t="s">
        <v>33</v>
      </c>
      <c r="D76" s="14">
        <v>0.33372404511347736</v>
      </c>
      <c r="E76" s="2" t="s">
        <v>9</v>
      </c>
      <c r="F76" s="2" t="s">
        <v>25</v>
      </c>
      <c r="G76" s="2" t="s">
        <v>26</v>
      </c>
      <c r="J76" s="2" t="s">
        <v>76</v>
      </c>
    </row>
    <row r="77" spans="1:14" x14ac:dyDescent="0.35">
      <c r="A77" s="2" t="s">
        <v>60</v>
      </c>
      <c r="B77" s="2" t="s">
        <v>61</v>
      </c>
      <c r="C77" s="2" t="s">
        <v>33</v>
      </c>
      <c r="D77" s="14">
        <v>0.72054514035692707</v>
      </c>
      <c r="E77" s="2" t="s">
        <v>9</v>
      </c>
      <c r="F77" s="2" t="s">
        <v>25</v>
      </c>
      <c r="G77" s="2" t="s">
        <v>26</v>
      </c>
      <c r="J77" s="2" t="s">
        <v>76</v>
      </c>
    </row>
    <row r="78" spans="1:14" x14ac:dyDescent="0.35">
      <c r="A78" s="2" t="s">
        <v>28</v>
      </c>
      <c r="B78" s="2" t="s">
        <v>29</v>
      </c>
      <c r="C78" s="2" t="s">
        <v>5</v>
      </c>
      <c r="D78" s="14">
        <v>1.2517175315811011</v>
      </c>
      <c r="E78" s="2" t="s">
        <v>30</v>
      </c>
      <c r="F78" s="2" t="s">
        <v>25</v>
      </c>
      <c r="G78" s="2" t="s">
        <v>26</v>
      </c>
      <c r="J78" s="2" t="s">
        <v>76</v>
      </c>
    </row>
    <row r="79" spans="1:14" x14ac:dyDescent="0.35">
      <c r="A79" s="2" t="s">
        <v>110</v>
      </c>
      <c r="B79" s="2" t="s">
        <v>111</v>
      </c>
      <c r="C79" s="2" t="s">
        <v>33</v>
      </c>
      <c r="D79" s="14">
        <v>-5.1360796779714848</v>
      </c>
      <c r="E79" s="2" t="s">
        <v>9</v>
      </c>
      <c r="F79" s="2" t="s">
        <v>25</v>
      </c>
      <c r="G79" s="2" t="s">
        <v>26</v>
      </c>
      <c r="J79" s="2" t="s">
        <v>76</v>
      </c>
    </row>
    <row r="80" spans="1:14" x14ac:dyDescent="0.35">
      <c r="A80" s="2" t="s">
        <v>80</v>
      </c>
      <c r="D80" s="14">
        <v>2.4630570782724881</v>
      </c>
      <c r="E80" s="2" t="s">
        <v>9</v>
      </c>
      <c r="F80" s="2" t="s">
        <v>81</v>
      </c>
      <c r="G80" s="2" t="s">
        <v>82</v>
      </c>
      <c r="H80" s="2" t="s">
        <v>83</v>
      </c>
      <c r="J80" s="2" t="s">
        <v>84</v>
      </c>
    </row>
    <row r="81" spans="1:14" x14ac:dyDescent="0.35">
      <c r="A81" s="2" t="s">
        <v>85</v>
      </c>
      <c r="D81" s="14">
        <v>1.0296386146876797E-2</v>
      </c>
      <c r="E81" s="2" t="s">
        <v>9</v>
      </c>
      <c r="F81" s="2" t="s">
        <v>81</v>
      </c>
      <c r="G81" s="2" t="s">
        <v>82</v>
      </c>
      <c r="H81" s="2" t="s">
        <v>83</v>
      </c>
      <c r="J81" s="2" t="s">
        <v>84</v>
      </c>
    </row>
    <row r="82" spans="1:14" x14ac:dyDescent="0.35">
      <c r="A82" s="2" t="s">
        <v>89</v>
      </c>
      <c r="D82" s="14">
        <v>0.18977652898165073</v>
      </c>
      <c r="E82" s="2" t="s">
        <v>9</v>
      </c>
      <c r="F82" s="2" t="s">
        <v>81</v>
      </c>
      <c r="G82" s="2" t="s">
        <v>82</v>
      </c>
      <c r="H82" s="2" t="s">
        <v>83</v>
      </c>
      <c r="J82" s="2" t="s">
        <v>84</v>
      </c>
    </row>
    <row r="83" spans="1:14" s="11" customFormat="1" x14ac:dyDescent="0.35"/>
    <row r="84" spans="1:14" x14ac:dyDescent="0.35">
      <c r="A84" s="3" t="s">
        <v>0</v>
      </c>
      <c r="B84" s="3" t="s">
        <v>120</v>
      </c>
    </row>
    <row r="85" spans="1:14" x14ac:dyDescent="0.35">
      <c r="A85" s="8" t="s">
        <v>2</v>
      </c>
      <c r="B85" s="2" t="s">
        <v>121</v>
      </c>
    </row>
    <row r="86" spans="1:14" x14ac:dyDescent="0.35">
      <c r="A86" s="8" t="s">
        <v>4</v>
      </c>
      <c r="B86" s="2" t="s">
        <v>5</v>
      </c>
    </row>
    <row r="87" spans="1:14" x14ac:dyDescent="0.35">
      <c r="A87" s="8" t="s">
        <v>6</v>
      </c>
      <c r="B87" s="2">
        <v>1</v>
      </c>
    </row>
    <row r="88" spans="1:14" x14ac:dyDescent="0.35">
      <c r="A88" s="8" t="s">
        <v>8</v>
      </c>
      <c r="B88" s="2" t="s">
        <v>9</v>
      </c>
    </row>
    <row r="89" spans="1:14" x14ac:dyDescent="0.35">
      <c r="A89" s="8" t="s">
        <v>10</v>
      </c>
      <c r="B89" s="2" t="s">
        <v>11</v>
      </c>
    </row>
    <row r="90" spans="1:14" x14ac:dyDescent="0.35">
      <c r="A90" s="8" t="s">
        <v>12</v>
      </c>
    </row>
    <row r="91" spans="1:14" x14ac:dyDescent="0.35">
      <c r="A91" s="3" t="s">
        <v>13</v>
      </c>
      <c r="B91" s="3" t="s">
        <v>2</v>
      </c>
      <c r="C91" s="3" t="s">
        <v>4</v>
      </c>
      <c r="D91" s="3" t="s">
        <v>6</v>
      </c>
      <c r="E91" s="3" t="s">
        <v>8</v>
      </c>
      <c r="F91" s="3" t="s">
        <v>14</v>
      </c>
      <c r="G91" s="3" t="s">
        <v>15</v>
      </c>
      <c r="H91" s="3" t="s">
        <v>16</v>
      </c>
      <c r="I91" s="3" t="s">
        <v>17</v>
      </c>
      <c r="J91" s="3" t="s">
        <v>18</v>
      </c>
      <c r="K91" s="3" t="s">
        <v>19</v>
      </c>
      <c r="L91" s="3" t="s">
        <v>20</v>
      </c>
      <c r="M91" s="3" t="s">
        <v>21</v>
      </c>
      <c r="N91" s="3" t="s">
        <v>22</v>
      </c>
    </row>
    <row r="92" spans="1:14" x14ac:dyDescent="0.35">
      <c r="A92" s="2" t="str">
        <f>B84</f>
        <v>Coke production</v>
      </c>
      <c r="B92" s="2" t="str">
        <f>B85</f>
        <v>Coke</v>
      </c>
      <c r="C92" s="2" t="str">
        <f>B86</f>
        <v>CN</v>
      </c>
      <c r="D92" s="2">
        <v>1</v>
      </c>
      <c r="E92" s="2" t="s">
        <v>9</v>
      </c>
      <c r="F92" s="9" t="str">
        <f>F72</f>
        <v>Vanadium</v>
      </c>
      <c r="G92" s="2" t="s">
        <v>23</v>
      </c>
    </row>
    <row r="93" spans="1:14" x14ac:dyDescent="0.35">
      <c r="A93" s="2" t="s">
        <v>91</v>
      </c>
      <c r="B93" s="2" t="s">
        <v>92</v>
      </c>
      <c r="C93" s="2" t="s">
        <v>5</v>
      </c>
      <c r="D93" s="2">
        <v>1.479522184300341</v>
      </c>
      <c r="E93" s="2" t="s">
        <v>9</v>
      </c>
      <c r="F93" s="2" t="s">
        <v>25</v>
      </c>
      <c r="G93" s="2" t="s">
        <v>26</v>
      </c>
      <c r="J93" s="2" t="s">
        <v>76</v>
      </c>
    </row>
    <row r="94" spans="1:14" x14ac:dyDescent="0.35">
      <c r="A94" s="2" t="s">
        <v>28</v>
      </c>
      <c r="B94" s="2" t="s">
        <v>29</v>
      </c>
      <c r="C94" s="2" t="s">
        <v>5</v>
      </c>
      <c r="D94" s="2">
        <v>3.4982935153583618E-2</v>
      </c>
      <c r="E94" s="2" t="s">
        <v>30</v>
      </c>
      <c r="F94" s="2" t="s">
        <v>25</v>
      </c>
      <c r="G94" s="2" t="s">
        <v>26</v>
      </c>
      <c r="J94" s="2" t="s">
        <v>76</v>
      </c>
    </row>
    <row r="95" spans="1:14" x14ac:dyDescent="0.35">
      <c r="A95" s="2" t="s">
        <v>80</v>
      </c>
      <c r="D95" s="2">
        <v>0.42116040955631401</v>
      </c>
      <c r="E95" s="2" t="s">
        <v>9</v>
      </c>
      <c r="F95" s="2" t="s">
        <v>81</v>
      </c>
      <c r="G95" s="2" t="s">
        <v>82</v>
      </c>
      <c r="H95" s="2" t="s">
        <v>83</v>
      </c>
      <c r="J95" s="2" t="s">
        <v>84</v>
      </c>
    </row>
    <row r="96" spans="1:14" x14ac:dyDescent="0.35">
      <c r="A96" s="2" t="s">
        <v>85</v>
      </c>
      <c r="D96" s="2">
        <v>2.131399317406143E-3</v>
      </c>
      <c r="E96" s="2" t="s">
        <v>9</v>
      </c>
      <c r="F96" s="2" t="s">
        <v>81</v>
      </c>
      <c r="G96" s="2" t="s">
        <v>82</v>
      </c>
      <c r="H96" s="2" t="s">
        <v>83</v>
      </c>
      <c r="J96" s="2" t="s">
        <v>84</v>
      </c>
    </row>
    <row r="97" spans="1:14" x14ac:dyDescent="0.35">
      <c r="A97" s="2" t="s">
        <v>86</v>
      </c>
      <c r="D97" s="2">
        <v>3.003412969283276E-4</v>
      </c>
      <c r="E97" s="2" t="s">
        <v>9</v>
      </c>
      <c r="F97" s="2" t="s">
        <v>81</v>
      </c>
      <c r="G97" s="2" t="s">
        <v>82</v>
      </c>
      <c r="H97" s="2" t="s">
        <v>83</v>
      </c>
      <c r="J97" s="2" t="s">
        <v>84</v>
      </c>
    </row>
    <row r="98" spans="1:14" x14ac:dyDescent="0.35">
      <c r="A98" s="2" t="s">
        <v>87</v>
      </c>
      <c r="D98" s="2">
        <v>3.7030716723549488E-4</v>
      </c>
      <c r="E98" s="2" t="s">
        <v>9</v>
      </c>
      <c r="F98" s="2" t="s">
        <v>81</v>
      </c>
      <c r="G98" s="2" t="s">
        <v>82</v>
      </c>
      <c r="H98" s="2" t="s">
        <v>83</v>
      </c>
      <c r="J98" s="2" t="s">
        <v>84</v>
      </c>
    </row>
    <row r="99" spans="1:14" x14ac:dyDescent="0.35">
      <c r="A99" s="2" t="s">
        <v>89</v>
      </c>
      <c r="D99" s="2">
        <v>6.484641638225256E-4</v>
      </c>
      <c r="E99" s="2" t="s">
        <v>9</v>
      </c>
      <c r="F99" s="2" t="s">
        <v>81</v>
      </c>
      <c r="G99" s="2" t="s">
        <v>82</v>
      </c>
      <c r="H99" s="2" t="s">
        <v>83</v>
      </c>
      <c r="J99" s="2" t="s">
        <v>84</v>
      </c>
    </row>
    <row r="100" spans="1:14" s="11" customFormat="1" x14ac:dyDescent="0.35"/>
    <row r="101" spans="1:14" x14ac:dyDescent="0.35">
      <c r="A101" s="3" t="s">
        <v>0</v>
      </c>
      <c r="B101" s="3" t="s">
        <v>122</v>
      </c>
    </row>
    <row r="102" spans="1:14" x14ac:dyDescent="0.35">
      <c r="A102" s="8" t="s">
        <v>2</v>
      </c>
      <c r="B102" s="2" t="s">
        <v>123</v>
      </c>
    </row>
    <row r="103" spans="1:14" x14ac:dyDescent="0.35">
      <c r="A103" s="8" t="s">
        <v>4</v>
      </c>
      <c r="B103" s="2" t="s">
        <v>5</v>
      </c>
    </row>
    <row r="104" spans="1:14" x14ac:dyDescent="0.35">
      <c r="A104" s="8" t="s">
        <v>6</v>
      </c>
      <c r="B104" s="2">
        <v>1</v>
      </c>
    </row>
    <row r="105" spans="1:14" x14ac:dyDescent="0.35">
      <c r="A105" s="8" t="s">
        <v>8</v>
      </c>
      <c r="B105" s="2" t="s">
        <v>9</v>
      </c>
    </row>
    <row r="106" spans="1:14" x14ac:dyDescent="0.35">
      <c r="A106" s="8" t="s">
        <v>10</v>
      </c>
      <c r="B106" s="2" t="s">
        <v>11</v>
      </c>
    </row>
    <row r="107" spans="1:14" x14ac:dyDescent="0.35">
      <c r="A107" s="8" t="s">
        <v>12</v>
      </c>
    </row>
    <row r="108" spans="1:14" x14ac:dyDescent="0.35">
      <c r="A108" s="3" t="s">
        <v>13</v>
      </c>
      <c r="B108" s="3" t="s">
        <v>2</v>
      </c>
      <c r="C108" s="3" t="s">
        <v>4</v>
      </c>
      <c r="D108" s="3" t="s">
        <v>6</v>
      </c>
      <c r="E108" s="3" t="s">
        <v>8</v>
      </c>
      <c r="F108" s="3" t="s">
        <v>14</v>
      </c>
      <c r="G108" s="3" t="s">
        <v>15</v>
      </c>
      <c r="H108" s="3" t="s">
        <v>16</v>
      </c>
      <c r="I108" s="3" t="s">
        <v>17</v>
      </c>
      <c r="J108" s="3" t="s">
        <v>18</v>
      </c>
      <c r="K108" s="3" t="s">
        <v>19</v>
      </c>
      <c r="L108" s="3" t="s">
        <v>20</v>
      </c>
      <c r="M108" s="3" t="s">
        <v>21</v>
      </c>
      <c r="N108" s="3" t="s">
        <v>22</v>
      </c>
    </row>
    <row r="109" spans="1:14" x14ac:dyDescent="0.35">
      <c r="A109" s="2" t="str">
        <f>B101</f>
        <v>Quicklime production</v>
      </c>
      <c r="B109" s="2" t="str">
        <f>B102</f>
        <v>Quicklime</v>
      </c>
      <c r="C109" s="2" t="str">
        <f>B103</f>
        <v>CN</v>
      </c>
      <c r="D109" s="2">
        <v>1</v>
      </c>
      <c r="E109" s="2" t="s">
        <v>9</v>
      </c>
      <c r="F109" s="9" t="str">
        <f>F92</f>
        <v>Vanadium</v>
      </c>
      <c r="G109" s="2" t="s">
        <v>23</v>
      </c>
    </row>
    <row r="110" spans="1:14" x14ac:dyDescent="0.35">
      <c r="A110" s="2" t="s">
        <v>31</v>
      </c>
      <c r="B110" s="2" t="s">
        <v>32</v>
      </c>
      <c r="C110" s="2" t="s">
        <v>33</v>
      </c>
      <c r="D110" s="2">
        <v>1.667015706806283</v>
      </c>
      <c r="E110" s="2" t="s">
        <v>9</v>
      </c>
      <c r="F110" s="2" t="s">
        <v>25</v>
      </c>
      <c r="G110" s="2" t="s">
        <v>26</v>
      </c>
      <c r="J110" s="2" t="s">
        <v>76</v>
      </c>
    </row>
    <row r="111" spans="1:14" s="9" customFormat="1" x14ac:dyDescent="0.35">
      <c r="A111" s="2" t="str">
        <f>A92</f>
        <v>Coke production</v>
      </c>
      <c r="B111" s="2" t="str">
        <f>B92</f>
        <v>Coke</v>
      </c>
      <c r="C111" s="2" t="str">
        <f>C92</f>
        <v>CN</v>
      </c>
      <c r="D111" s="2">
        <v>0.12879581151832459</v>
      </c>
      <c r="E111" s="2" t="str">
        <f>E92</f>
        <v>kilogram</v>
      </c>
      <c r="F111" s="9" t="str">
        <f>F92</f>
        <v>Vanadium</v>
      </c>
      <c r="G111" s="2" t="s">
        <v>26</v>
      </c>
      <c r="J111" s="9" t="s">
        <v>76</v>
      </c>
    </row>
    <row r="112" spans="1:14" x14ac:dyDescent="0.35">
      <c r="A112" s="2" t="s">
        <v>28</v>
      </c>
      <c r="B112" s="2" t="s">
        <v>29</v>
      </c>
      <c r="C112" s="2" t="s">
        <v>5</v>
      </c>
      <c r="D112" s="2">
        <v>2.0942408376963349E-3</v>
      </c>
      <c r="E112" s="2" t="s">
        <v>30</v>
      </c>
      <c r="F112" s="2" t="s">
        <v>25</v>
      </c>
      <c r="G112" s="2" t="s">
        <v>26</v>
      </c>
      <c r="J112" s="2" t="s">
        <v>76</v>
      </c>
    </row>
    <row r="113" spans="1:14" x14ac:dyDescent="0.35">
      <c r="A113" s="2" t="s">
        <v>80</v>
      </c>
      <c r="D113" s="2">
        <v>0.78638743455497373</v>
      </c>
      <c r="E113" s="2" t="s">
        <v>9</v>
      </c>
      <c r="F113" s="2" t="s">
        <v>81</v>
      </c>
      <c r="G113" s="2" t="s">
        <v>82</v>
      </c>
      <c r="H113" s="2" t="s">
        <v>83</v>
      </c>
      <c r="J113" s="2" t="s">
        <v>84</v>
      </c>
    </row>
    <row r="114" spans="1:14" x14ac:dyDescent="0.35">
      <c r="A114" s="2" t="s">
        <v>85</v>
      </c>
      <c r="D114" s="2">
        <v>5.8638743455497388E-4</v>
      </c>
      <c r="E114" s="2" t="s">
        <v>9</v>
      </c>
      <c r="F114" s="2" t="s">
        <v>81</v>
      </c>
      <c r="G114" s="2" t="s">
        <v>82</v>
      </c>
      <c r="H114" s="2" t="s">
        <v>83</v>
      </c>
      <c r="J114" s="2" t="s">
        <v>84</v>
      </c>
    </row>
    <row r="115" spans="1:14" x14ac:dyDescent="0.35">
      <c r="A115" s="2" t="s">
        <v>86</v>
      </c>
      <c r="D115" s="2">
        <v>1.4973821989528789E-3</v>
      </c>
      <c r="E115" s="2" t="s">
        <v>9</v>
      </c>
      <c r="F115" s="2" t="s">
        <v>81</v>
      </c>
      <c r="G115" s="2" t="s">
        <v>82</v>
      </c>
      <c r="H115" s="2" t="s">
        <v>83</v>
      </c>
      <c r="J115" s="2" t="s">
        <v>84</v>
      </c>
    </row>
    <row r="116" spans="1:14" x14ac:dyDescent="0.35">
      <c r="A116" s="2" t="s">
        <v>89</v>
      </c>
      <c r="D116" s="2">
        <v>2.1361256544502619E-2</v>
      </c>
      <c r="E116" s="2" t="s">
        <v>9</v>
      </c>
      <c r="F116" s="2" t="s">
        <v>81</v>
      </c>
      <c r="G116" s="2" t="s">
        <v>82</v>
      </c>
      <c r="H116" s="2" t="s">
        <v>83</v>
      </c>
      <c r="J116" s="2" t="s">
        <v>84</v>
      </c>
    </row>
    <row r="117" spans="1:14" s="10" customFormat="1" x14ac:dyDescent="0.35"/>
    <row r="118" spans="1:14" x14ac:dyDescent="0.35">
      <c r="A118" s="3" t="s">
        <v>0</v>
      </c>
      <c r="B118" s="3" t="s">
        <v>118</v>
      </c>
    </row>
    <row r="119" spans="1:14" x14ac:dyDescent="0.35">
      <c r="A119" s="8" t="s">
        <v>2</v>
      </c>
      <c r="B119" s="2" t="s">
        <v>3</v>
      </c>
    </row>
    <row r="120" spans="1:14" x14ac:dyDescent="0.35">
      <c r="A120" s="8" t="s">
        <v>4</v>
      </c>
      <c r="B120" s="2" t="s">
        <v>5</v>
      </c>
    </row>
    <row r="121" spans="1:14" x14ac:dyDescent="0.35">
      <c r="A121" s="8" t="s">
        <v>6</v>
      </c>
      <c r="B121" s="2">
        <v>1</v>
      </c>
    </row>
    <row r="122" spans="1:14" x14ac:dyDescent="0.35">
      <c r="A122" s="8" t="s">
        <v>8</v>
      </c>
      <c r="B122" s="2" t="s">
        <v>9</v>
      </c>
    </row>
    <row r="123" spans="1:14" ht="29" x14ac:dyDescent="0.35">
      <c r="A123" s="8" t="s">
        <v>10</v>
      </c>
      <c r="B123" s="13" t="s">
        <v>291</v>
      </c>
    </row>
    <row r="124" spans="1:14" x14ac:dyDescent="0.35">
      <c r="A124" s="8" t="s">
        <v>12</v>
      </c>
    </row>
    <row r="125" spans="1:14" x14ac:dyDescent="0.35">
      <c r="A125" s="3" t="s">
        <v>13</v>
      </c>
      <c r="B125" s="3" t="s">
        <v>2</v>
      </c>
      <c r="C125" s="3" t="s">
        <v>4</v>
      </c>
      <c r="D125" s="3" t="s">
        <v>6</v>
      </c>
      <c r="E125" s="3" t="s">
        <v>8</v>
      </c>
      <c r="F125" s="3" t="s">
        <v>14</v>
      </c>
      <c r="G125" s="3" t="s">
        <v>15</v>
      </c>
      <c r="H125" s="3" t="s">
        <v>16</v>
      </c>
      <c r="I125" s="3" t="s">
        <v>17</v>
      </c>
      <c r="J125" s="3" t="s">
        <v>18</v>
      </c>
      <c r="K125" s="3" t="s">
        <v>19</v>
      </c>
      <c r="L125" s="3" t="s">
        <v>20</v>
      </c>
      <c r="M125" s="3" t="s">
        <v>21</v>
      </c>
      <c r="N125" s="3" t="s">
        <v>22</v>
      </c>
    </row>
    <row r="126" spans="1:14" x14ac:dyDescent="0.35">
      <c r="A126" s="2" t="str">
        <f>B118</f>
        <v>VTM ore mining and V2O5 production in China</v>
      </c>
      <c r="B126" s="2" t="str">
        <f>B119</f>
        <v>V2O5</v>
      </c>
      <c r="C126" s="2" t="str">
        <f>B120</f>
        <v>CN</v>
      </c>
      <c r="D126" s="2">
        <v>1</v>
      </c>
      <c r="E126" s="2" t="s">
        <v>9</v>
      </c>
      <c r="F126" s="9" t="str">
        <f>F109</f>
        <v>Vanadium</v>
      </c>
      <c r="G126" s="2" t="s">
        <v>23</v>
      </c>
    </row>
    <row r="127" spans="1:14" x14ac:dyDescent="0.35">
      <c r="A127" s="2" t="str">
        <f>A72</f>
        <v>[P] Vanadium pentoxide (V2O5) production</v>
      </c>
      <c r="B127" s="2" t="str">
        <f>B72</f>
        <v>V2O5</v>
      </c>
      <c r="C127" s="2" t="str">
        <f>C72</f>
        <v>CN</v>
      </c>
      <c r="D127" s="2">
        <v>1</v>
      </c>
      <c r="E127" s="2" t="str">
        <f>E72</f>
        <v>kilogram</v>
      </c>
      <c r="F127" s="9" t="str">
        <f>F72</f>
        <v>Vanadium</v>
      </c>
      <c r="G127" s="2" t="s">
        <v>26</v>
      </c>
    </row>
    <row r="128" spans="1:14" x14ac:dyDescent="0.35">
      <c r="A128" s="2" t="str">
        <f>A29</f>
        <v>[P+R] Crude steel production</v>
      </c>
      <c r="B128" s="2" t="str">
        <f>B29</f>
        <v>Vanadium (V) slag</v>
      </c>
      <c r="C128" s="2" t="str">
        <f>C29</f>
        <v>CN</v>
      </c>
      <c r="D128" s="14">
        <v>5.6529178845598125</v>
      </c>
      <c r="E128" s="2" t="str">
        <f>E29</f>
        <v>kilogram</v>
      </c>
      <c r="F128" s="9" t="str">
        <f>F29</f>
        <v>Vanadium</v>
      </c>
      <c r="G128" s="2" t="s">
        <v>26</v>
      </c>
    </row>
    <row r="129" spans="1:14" x14ac:dyDescent="0.35">
      <c r="A129" s="2" t="str">
        <f>A9</f>
        <v>[M+C] Iron (Fe) ore mining and concentration</v>
      </c>
      <c r="B129" s="2" t="str">
        <f>B9</f>
        <v>Fe concentrate</v>
      </c>
      <c r="C129" s="2" t="str">
        <f>C9</f>
        <v>CN</v>
      </c>
      <c r="D129" s="14">
        <v>2.1096448065135038</v>
      </c>
      <c r="E129" s="2" t="str">
        <f>E9</f>
        <v>kilogram</v>
      </c>
      <c r="F129" s="9" t="str">
        <f>F9</f>
        <v>Vanadium</v>
      </c>
      <c r="G129" s="2" t="s">
        <v>26</v>
      </c>
    </row>
    <row r="130" spans="1:14" s="10" customFormat="1" x14ac:dyDescent="0.35"/>
    <row r="131" spans="1:14" x14ac:dyDescent="0.35">
      <c r="A131" s="3" t="s">
        <v>0</v>
      </c>
      <c r="B131" s="3" t="s">
        <v>119</v>
      </c>
    </row>
    <row r="132" spans="1:14" x14ac:dyDescent="0.35">
      <c r="A132" s="8" t="s">
        <v>2</v>
      </c>
      <c r="B132" s="2" t="s">
        <v>55</v>
      </c>
    </row>
    <row r="133" spans="1:14" x14ac:dyDescent="0.35">
      <c r="A133" s="8" t="s">
        <v>4</v>
      </c>
      <c r="B133" s="2" t="s">
        <v>5</v>
      </c>
    </row>
    <row r="134" spans="1:14" x14ac:dyDescent="0.35">
      <c r="A134" s="8" t="s">
        <v>6</v>
      </c>
      <c r="B134" s="2">
        <v>1</v>
      </c>
    </row>
    <row r="135" spans="1:14" x14ac:dyDescent="0.35">
      <c r="A135" s="8" t="s">
        <v>8</v>
      </c>
      <c r="B135" s="2" t="s">
        <v>9</v>
      </c>
    </row>
    <row r="136" spans="1:14" ht="43.5" x14ac:dyDescent="0.35">
      <c r="A136" s="8" t="s">
        <v>10</v>
      </c>
      <c r="B136" s="15" t="s">
        <v>292</v>
      </c>
    </row>
    <row r="137" spans="1:14" x14ac:dyDescent="0.35">
      <c r="A137" s="8" t="s">
        <v>12</v>
      </c>
    </row>
    <row r="138" spans="1:14" x14ac:dyDescent="0.35">
      <c r="A138" s="3" t="s">
        <v>13</v>
      </c>
      <c r="B138" s="3" t="s">
        <v>2</v>
      </c>
      <c r="C138" s="3" t="s">
        <v>4</v>
      </c>
      <c r="D138" s="3" t="s">
        <v>6</v>
      </c>
      <c r="E138" s="3" t="s">
        <v>8</v>
      </c>
      <c r="F138" s="3" t="s">
        <v>14</v>
      </c>
      <c r="G138" s="3" t="s">
        <v>15</v>
      </c>
      <c r="H138" s="3" t="s">
        <v>16</v>
      </c>
      <c r="I138" s="3" t="s">
        <v>17</v>
      </c>
      <c r="J138" s="3" t="s">
        <v>18</v>
      </c>
      <c r="K138" s="3" t="s">
        <v>19</v>
      </c>
      <c r="L138" s="3" t="s">
        <v>20</v>
      </c>
      <c r="M138" s="3" t="s">
        <v>21</v>
      </c>
      <c r="N138" s="3" t="s">
        <v>22</v>
      </c>
    </row>
    <row r="139" spans="1:14" x14ac:dyDescent="0.35">
      <c r="A139" s="2" t="str">
        <f>B131</f>
        <v>VTM ore mining and V2O5 production in China (V content)</v>
      </c>
      <c r="B139" s="2" t="str">
        <f>B132</f>
        <v>V2O5 (V content)</v>
      </c>
      <c r="C139" s="2" t="str">
        <f>B133</f>
        <v>CN</v>
      </c>
      <c r="D139" s="2">
        <v>1</v>
      </c>
      <c r="E139" s="2" t="s">
        <v>9</v>
      </c>
      <c r="F139" s="9" t="str">
        <f>F126</f>
        <v>Vanadium</v>
      </c>
      <c r="G139" s="2" t="s">
        <v>23</v>
      </c>
    </row>
    <row r="140" spans="1:14" x14ac:dyDescent="0.35">
      <c r="A140" s="2" t="str">
        <f>A127</f>
        <v>[P] Vanadium pentoxide (V2O5) production</v>
      </c>
      <c r="B140" s="2" t="str">
        <f t="shared" ref="B140:G142" si="9">B127</f>
        <v>V2O5</v>
      </c>
      <c r="C140" s="2" t="str">
        <f t="shared" si="9"/>
        <v>CN</v>
      </c>
      <c r="D140" s="2">
        <v>1.7850767583006069</v>
      </c>
      <c r="E140" s="2" t="str">
        <f t="shared" si="9"/>
        <v>kilogram</v>
      </c>
      <c r="F140" s="9" t="str">
        <f t="shared" si="9"/>
        <v>Vanadium</v>
      </c>
      <c r="G140" s="2" t="str">
        <f t="shared" si="9"/>
        <v>technosphere</v>
      </c>
    </row>
    <row r="141" spans="1:14" x14ac:dyDescent="0.35">
      <c r="A141" s="2" t="str">
        <f>A128</f>
        <v>[P+R] Crude steel production</v>
      </c>
      <c r="B141" s="2" t="str">
        <f t="shared" si="9"/>
        <v>Vanadium (V) slag</v>
      </c>
      <c r="C141" s="2" t="str">
        <f t="shared" si="9"/>
        <v>CN</v>
      </c>
      <c r="D141" s="14">
        <v>10.090892332309554</v>
      </c>
      <c r="E141" s="2" t="str">
        <f t="shared" si="9"/>
        <v>kilogram</v>
      </c>
      <c r="F141" s="9" t="str">
        <f t="shared" si="9"/>
        <v>Vanadium</v>
      </c>
      <c r="G141" s="2" t="str">
        <f t="shared" si="9"/>
        <v>technosphere</v>
      </c>
    </row>
    <row r="142" spans="1:14" x14ac:dyDescent="0.35">
      <c r="A142" s="2" t="str">
        <f>A129</f>
        <v>[M+C] Iron (Fe) ore mining and concentration</v>
      </c>
      <c r="B142" s="2" t="str">
        <f t="shared" si="9"/>
        <v>Fe concentrate</v>
      </c>
      <c r="C142" s="2" t="str">
        <f t="shared" si="9"/>
        <v>CN</v>
      </c>
      <c r="D142" s="14">
        <v>3.7658779123768364</v>
      </c>
      <c r="E142" s="2" t="str">
        <f t="shared" si="9"/>
        <v>kilogram</v>
      </c>
      <c r="F142" s="9" t="str">
        <f t="shared" si="9"/>
        <v>Vanadium</v>
      </c>
      <c r="G142" s="2" t="str">
        <f t="shared" si="9"/>
        <v>technosphere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N166"/>
  <sheetViews>
    <sheetView topLeftCell="A58" workbookViewId="0">
      <selection activeCell="D62" sqref="D62"/>
    </sheetView>
  </sheetViews>
  <sheetFormatPr baseColWidth="10" defaultColWidth="9.1796875" defaultRowHeight="14.5" x14ac:dyDescent="0.35"/>
  <cols>
    <col min="1" max="1" width="56.6328125" style="2" bestFit="1" customWidth="1"/>
    <col min="2" max="2" width="50.1796875" style="2" bestFit="1" customWidth="1"/>
    <col min="3" max="3" width="7.6328125" style="2" bestFit="1" customWidth="1"/>
    <col min="4" max="4" width="12.453125" style="2" bestFit="1" customWidth="1"/>
    <col min="5" max="5" width="11.90625" style="2" bestFit="1" customWidth="1"/>
    <col min="6" max="6" width="18.36328125" style="2" bestFit="1" customWidth="1"/>
    <col min="7" max="7" width="12.26953125" style="2" bestFit="1" customWidth="1"/>
    <col min="8" max="8" width="9.36328125" style="2" bestFit="1" customWidth="1"/>
    <col min="9" max="9" width="14.6328125" style="2" bestFit="1" customWidth="1"/>
    <col min="10" max="10" width="11.08984375" style="2" bestFit="1" customWidth="1"/>
    <col min="11" max="11" width="3.36328125" style="2" bestFit="1" customWidth="1"/>
    <col min="12" max="12" width="5" style="2" bestFit="1" customWidth="1"/>
    <col min="13" max="13" width="8.90625" style="2" bestFit="1" customWidth="1"/>
    <col min="14" max="14" width="9.26953125" style="2" bestFit="1" customWidth="1"/>
    <col min="15" max="16384" width="9.1796875" style="2"/>
  </cols>
  <sheetData>
    <row r="1" spans="1:14" x14ac:dyDescent="0.35">
      <c r="A1" s="3" t="s">
        <v>0</v>
      </c>
      <c r="B1" s="3" t="s">
        <v>72</v>
      </c>
    </row>
    <row r="2" spans="1:14" x14ac:dyDescent="0.35">
      <c r="A2" s="8" t="s">
        <v>2</v>
      </c>
      <c r="B2" s="2" t="s">
        <v>73</v>
      </c>
    </row>
    <row r="3" spans="1:14" x14ac:dyDescent="0.35">
      <c r="A3" s="8" t="s">
        <v>4</v>
      </c>
      <c r="B3" s="2" t="s">
        <v>5</v>
      </c>
    </row>
    <row r="4" spans="1:14" x14ac:dyDescent="0.35">
      <c r="A4" s="8" t="s">
        <v>6</v>
      </c>
      <c r="B4" s="2">
        <v>1</v>
      </c>
    </row>
    <row r="5" spans="1:14" x14ac:dyDescent="0.35">
      <c r="A5" s="8" t="s">
        <v>8</v>
      </c>
      <c r="B5" s="2" t="s">
        <v>9</v>
      </c>
    </row>
    <row r="6" spans="1:14" x14ac:dyDescent="0.35">
      <c r="A6" s="8" t="s">
        <v>10</v>
      </c>
      <c r="B6" s="2" t="s">
        <v>11</v>
      </c>
    </row>
    <row r="7" spans="1:14" x14ac:dyDescent="0.35">
      <c r="A7" s="8" t="s">
        <v>12</v>
      </c>
    </row>
    <row r="8" spans="1:14" x14ac:dyDescent="0.35">
      <c r="A8" s="3" t="s">
        <v>13</v>
      </c>
      <c r="B8" s="3" t="s">
        <v>2</v>
      </c>
      <c r="C8" s="3" t="s">
        <v>4</v>
      </c>
      <c r="D8" s="3" t="s">
        <v>6</v>
      </c>
      <c r="E8" s="3" t="s">
        <v>8</v>
      </c>
      <c r="F8" s="3" t="s">
        <v>14</v>
      </c>
      <c r="G8" s="3" t="s">
        <v>15</v>
      </c>
      <c r="H8" s="3" t="s">
        <v>16</v>
      </c>
      <c r="I8" s="3" t="s">
        <v>17</v>
      </c>
      <c r="J8" s="3" t="s">
        <v>18</v>
      </c>
      <c r="K8" s="3" t="s">
        <v>19</v>
      </c>
      <c r="L8" s="3" t="s">
        <v>20</v>
      </c>
      <c r="M8" s="3" t="s">
        <v>21</v>
      </c>
      <c r="N8" s="3" t="s">
        <v>22</v>
      </c>
    </row>
    <row r="9" spans="1:14" x14ac:dyDescent="0.35">
      <c r="A9" s="2" t="str">
        <f>B1</f>
        <v>[M+C] Iron (Fe) ore mining and concentration</v>
      </c>
      <c r="B9" s="2" t="str">
        <f>B2</f>
        <v>Fe concentrate</v>
      </c>
      <c r="C9" s="2" t="str">
        <f>B3</f>
        <v>CN</v>
      </c>
      <c r="D9" s="2">
        <v>1</v>
      </c>
      <c r="E9" s="2" t="s">
        <v>9</v>
      </c>
      <c r="F9" s="9" t="str">
        <f>V_Market_GLO!B1</f>
        <v>Vanadium</v>
      </c>
      <c r="G9" s="2" t="s">
        <v>23</v>
      </c>
    </row>
    <row r="10" spans="1:14" x14ac:dyDescent="0.35">
      <c r="A10" s="2" t="s">
        <v>74</v>
      </c>
      <c r="B10" s="2" t="s">
        <v>75</v>
      </c>
      <c r="C10" s="2" t="s">
        <v>51</v>
      </c>
      <c r="D10" s="2">
        <v>2.2998477929984782</v>
      </c>
      <c r="E10" s="2" t="s">
        <v>9</v>
      </c>
      <c r="F10" s="2" t="s">
        <v>25</v>
      </c>
      <c r="G10" s="2" t="s">
        <v>26</v>
      </c>
      <c r="J10" s="2" t="s">
        <v>76</v>
      </c>
    </row>
    <row r="11" spans="1:14" x14ac:dyDescent="0.35">
      <c r="A11" s="2" t="s">
        <v>77</v>
      </c>
      <c r="B11" s="2" t="s">
        <v>78</v>
      </c>
      <c r="C11" s="2" t="s">
        <v>51</v>
      </c>
      <c r="D11" s="2">
        <v>1.0147133434804669E-3</v>
      </c>
      <c r="E11" s="2" t="s">
        <v>9</v>
      </c>
      <c r="F11" s="2" t="s">
        <v>25</v>
      </c>
      <c r="G11" s="2" t="s">
        <v>26</v>
      </c>
      <c r="J11" s="2" t="s">
        <v>76</v>
      </c>
    </row>
    <row r="12" spans="1:14" x14ac:dyDescent="0.35">
      <c r="A12" s="2" t="s">
        <v>28</v>
      </c>
      <c r="B12" s="2" t="s">
        <v>29</v>
      </c>
      <c r="C12" s="2" t="s">
        <v>5</v>
      </c>
      <c r="D12" s="2">
        <v>3.7544393708777268E-2</v>
      </c>
      <c r="E12" s="2" t="s">
        <v>30</v>
      </c>
      <c r="F12" s="2" t="s">
        <v>25</v>
      </c>
      <c r="G12" s="2" t="s">
        <v>26</v>
      </c>
      <c r="J12" s="2" t="s">
        <v>76</v>
      </c>
    </row>
    <row r="13" spans="1:14" s="9" customFormat="1" x14ac:dyDescent="0.35">
      <c r="A13" s="9" t="s">
        <v>79</v>
      </c>
      <c r="D13" s="9">
        <v>1</v>
      </c>
      <c r="E13" s="9" t="s">
        <v>9</v>
      </c>
      <c r="F13" s="9" t="s">
        <v>25</v>
      </c>
      <c r="G13" s="9" t="s">
        <v>26</v>
      </c>
      <c r="J13" s="9" t="s">
        <v>76</v>
      </c>
    </row>
    <row r="14" spans="1:14" x14ac:dyDescent="0.35">
      <c r="A14" s="2" t="s">
        <v>285</v>
      </c>
      <c r="B14" s="2" t="s">
        <v>286</v>
      </c>
      <c r="C14" s="2" t="s">
        <v>51</v>
      </c>
      <c r="D14" s="2">
        <v>-1.072552004058853</v>
      </c>
      <c r="E14" s="2" t="s">
        <v>9</v>
      </c>
      <c r="F14" s="2" t="s">
        <v>25</v>
      </c>
      <c r="G14" s="2" t="s">
        <v>26</v>
      </c>
      <c r="J14" s="2" t="s">
        <v>76</v>
      </c>
    </row>
    <row r="15" spans="1:14" x14ac:dyDescent="0.35">
      <c r="A15" s="2" t="s">
        <v>80</v>
      </c>
      <c r="D15" s="2">
        <v>0.1839675291730086</v>
      </c>
      <c r="E15" s="2" t="s">
        <v>9</v>
      </c>
      <c r="F15" s="2" t="s">
        <v>81</v>
      </c>
      <c r="G15" s="2" t="s">
        <v>82</v>
      </c>
      <c r="H15" s="2" t="s">
        <v>83</v>
      </c>
      <c r="J15" s="2" t="s">
        <v>84</v>
      </c>
    </row>
    <row r="16" spans="1:14" x14ac:dyDescent="0.35">
      <c r="A16" s="2" t="s">
        <v>85</v>
      </c>
      <c r="D16" s="2">
        <v>1.563876204972095E-2</v>
      </c>
      <c r="E16" s="2" t="s">
        <v>9</v>
      </c>
      <c r="F16" s="2" t="s">
        <v>81</v>
      </c>
      <c r="G16" s="2" t="s">
        <v>82</v>
      </c>
      <c r="H16" s="2" t="s">
        <v>83</v>
      </c>
      <c r="J16" s="2" t="s">
        <v>84</v>
      </c>
    </row>
    <row r="17" spans="1:14" x14ac:dyDescent="0.35">
      <c r="A17" s="2" t="s">
        <v>86</v>
      </c>
      <c r="D17" s="2">
        <v>0.11499238964992391</v>
      </c>
      <c r="E17" s="2" t="s">
        <v>9</v>
      </c>
      <c r="F17" s="2" t="s">
        <v>81</v>
      </c>
      <c r="G17" s="2" t="s">
        <v>82</v>
      </c>
      <c r="H17" s="2" t="s">
        <v>83</v>
      </c>
      <c r="J17" s="2" t="s">
        <v>84</v>
      </c>
    </row>
    <row r="18" spans="1:14" x14ac:dyDescent="0.35">
      <c r="A18" s="2" t="s">
        <v>87</v>
      </c>
      <c r="D18" s="2">
        <v>7.3597158802638264E-3</v>
      </c>
      <c r="E18" s="2" t="s">
        <v>9</v>
      </c>
      <c r="F18" s="2" t="s">
        <v>81</v>
      </c>
      <c r="G18" s="2" t="s">
        <v>82</v>
      </c>
      <c r="H18" s="2" t="s">
        <v>83</v>
      </c>
      <c r="J18" s="2" t="s">
        <v>84</v>
      </c>
    </row>
    <row r="19" spans="1:14" x14ac:dyDescent="0.35">
      <c r="A19" s="2" t="s">
        <v>88</v>
      </c>
      <c r="D19" s="2">
        <v>5.2897006595636733E-3</v>
      </c>
      <c r="E19" s="2" t="s">
        <v>9</v>
      </c>
      <c r="F19" s="2" t="s">
        <v>81</v>
      </c>
      <c r="G19" s="2" t="s">
        <v>82</v>
      </c>
      <c r="H19" s="2" t="s">
        <v>83</v>
      </c>
      <c r="J19" s="2" t="s">
        <v>84</v>
      </c>
    </row>
    <row r="20" spans="1:14" x14ac:dyDescent="0.35">
      <c r="A20" s="2" t="s">
        <v>89</v>
      </c>
      <c r="D20" s="2">
        <v>7.5895484525621518E-2</v>
      </c>
      <c r="E20" s="2" t="s">
        <v>9</v>
      </c>
      <c r="F20" s="2" t="s">
        <v>81</v>
      </c>
      <c r="G20" s="2" t="s">
        <v>82</v>
      </c>
      <c r="H20" s="2" t="s">
        <v>83</v>
      </c>
      <c r="J20" s="2" t="s">
        <v>84</v>
      </c>
    </row>
    <row r="21" spans="1:14" s="11" customFormat="1" x14ac:dyDescent="0.35"/>
    <row r="22" spans="1:14" x14ac:dyDescent="0.35">
      <c r="A22" s="3" t="s">
        <v>0</v>
      </c>
      <c r="B22" s="3" t="s">
        <v>90</v>
      </c>
    </row>
    <row r="23" spans="1:14" x14ac:dyDescent="0.35">
      <c r="A23" s="8" t="s">
        <v>2</v>
      </c>
      <c r="B23" s="2" t="s">
        <v>288</v>
      </c>
    </row>
    <row r="24" spans="1:14" x14ac:dyDescent="0.35">
      <c r="A24" s="8" t="s">
        <v>4</v>
      </c>
      <c r="B24" s="2" t="s">
        <v>5</v>
      </c>
    </row>
    <row r="25" spans="1:14" x14ac:dyDescent="0.35">
      <c r="A25" s="8" t="s">
        <v>6</v>
      </c>
      <c r="B25" s="2">
        <v>1</v>
      </c>
    </row>
    <row r="26" spans="1:14" x14ac:dyDescent="0.35">
      <c r="A26" s="8" t="s">
        <v>8</v>
      </c>
      <c r="B26" s="2" t="s">
        <v>9</v>
      </c>
    </row>
    <row r="27" spans="1:14" x14ac:dyDescent="0.35">
      <c r="A27" s="8" t="s">
        <v>10</v>
      </c>
      <c r="B27" s="9" t="s">
        <v>113</v>
      </c>
    </row>
    <row r="28" spans="1:14" x14ac:dyDescent="0.35">
      <c r="A28" s="8" t="s">
        <v>12</v>
      </c>
    </row>
    <row r="29" spans="1:14" x14ac:dyDescent="0.35">
      <c r="A29" s="3" t="s">
        <v>13</v>
      </c>
      <c r="B29" s="3" t="s">
        <v>2</v>
      </c>
      <c r="C29" s="3" t="s">
        <v>4</v>
      </c>
      <c r="D29" s="3" t="s">
        <v>6</v>
      </c>
      <c r="E29" s="3" t="s">
        <v>8</v>
      </c>
      <c r="F29" s="3" t="s">
        <v>14</v>
      </c>
      <c r="G29" s="3" t="s">
        <v>15</v>
      </c>
      <c r="H29" s="3" t="s">
        <v>16</v>
      </c>
      <c r="I29" s="3" t="s">
        <v>17</v>
      </c>
      <c r="J29" s="3" t="s">
        <v>18</v>
      </c>
      <c r="K29" s="3" t="s">
        <v>19</v>
      </c>
      <c r="L29" s="3" t="s">
        <v>20</v>
      </c>
      <c r="M29" s="3" t="s">
        <v>21</v>
      </c>
      <c r="N29" s="3" t="s">
        <v>22</v>
      </c>
    </row>
    <row r="30" spans="1:14" x14ac:dyDescent="0.35">
      <c r="A30" s="2" t="str">
        <f>B22</f>
        <v>[P+R] Crude steel production</v>
      </c>
      <c r="B30" s="2" t="str">
        <f>B23</f>
        <v>Vanadium (V) slag</v>
      </c>
      <c r="C30" s="2" t="str">
        <f>B24</f>
        <v>CN</v>
      </c>
      <c r="D30" s="2">
        <v>1</v>
      </c>
      <c r="E30" s="2" t="s">
        <v>9</v>
      </c>
      <c r="F30" s="9" t="str">
        <f>F9</f>
        <v>Vanadium</v>
      </c>
      <c r="G30" s="2" t="s">
        <v>23</v>
      </c>
    </row>
    <row r="31" spans="1:14" x14ac:dyDescent="0.35">
      <c r="A31" s="2" t="s">
        <v>91</v>
      </c>
      <c r="B31" s="2" t="s">
        <v>92</v>
      </c>
      <c r="C31" s="2" t="s">
        <v>5</v>
      </c>
      <c r="D31" s="2">
        <v>5.9400000000000001E-2</v>
      </c>
      <c r="E31" s="2" t="s">
        <v>9</v>
      </c>
      <c r="F31" s="2" t="s">
        <v>25</v>
      </c>
      <c r="G31" s="2" t="s">
        <v>26</v>
      </c>
      <c r="J31" s="2" t="s">
        <v>76</v>
      </c>
    </row>
    <row r="32" spans="1:14" s="9" customFormat="1" x14ac:dyDescent="0.35">
      <c r="A32" s="9" t="s">
        <v>93</v>
      </c>
      <c r="D32" s="9">
        <v>0.27900000000000003</v>
      </c>
      <c r="E32" s="9" t="s">
        <v>9</v>
      </c>
      <c r="F32" s="9" t="s">
        <v>25</v>
      </c>
      <c r="G32" s="9" t="s">
        <v>26</v>
      </c>
      <c r="J32" s="9" t="s">
        <v>76</v>
      </c>
    </row>
    <row r="33" spans="1:10" s="9" customFormat="1" x14ac:dyDescent="0.35">
      <c r="A33" s="9" t="s">
        <v>94</v>
      </c>
      <c r="D33" s="9">
        <v>1.2410000000000001</v>
      </c>
      <c r="E33" s="9" t="s">
        <v>9</v>
      </c>
      <c r="F33" s="9" t="s">
        <v>25</v>
      </c>
      <c r="G33" s="9" t="s">
        <v>26</v>
      </c>
      <c r="J33" s="9" t="s">
        <v>76</v>
      </c>
    </row>
    <row r="34" spans="1:10" x14ac:dyDescent="0.35">
      <c r="A34" s="2" t="s">
        <v>31</v>
      </c>
      <c r="B34" s="2" t="s">
        <v>32</v>
      </c>
      <c r="C34" s="2" t="s">
        <v>33</v>
      </c>
      <c r="D34" s="2">
        <v>0.18529999999999999</v>
      </c>
      <c r="E34" s="2" t="s">
        <v>9</v>
      </c>
      <c r="F34" s="2" t="s">
        <v>25</v>
      </c>
      <c r="G34" s="2" t="s">
        <v>26</v>
      </c>
      <c r="J34" s="2" t="s">
        <v>76</v>
      </c>
    </row>
    <row r="35" spans="1:10" x14ac:dyDescent="0.35">
      <c r="A35" s="2" t="str">
        <f>A132</f>
        <v>Quicklime production</v>
      </c>
      <c r="B35" s="2" t="str">
        <f t="shared" ref="B35:F35" si="0">B132</f>
        <v>Quicklime</v>
      </c>
      <c r="C35" s="2" t="str">
        <f t="shared" si="0"/>
        <v>CN</v>
      </c>
      <c r="D35" s="2">
        <v>9.6000000000000002E-2</v>
      </c>
      <c r="E35" s="2" t="str">
        <f t="shared" si="0"/>
        <v>kilogram</v>
      </c>
      <c r="F35" s="9" t="str">
        <f t="shared" si="0"/>
        <v>Vanadium</v>
      </c>
      <c r="G35" s="2" t="s">
        <v>26</v>
      </c>
    </row>
    <row r="36" spans="1:10" x14ac:dyDescent="0.35">
      <c r="A36" s="2" t="str">
        <f>A111</f>
        <v>Coke production</v>
      </c>
      <c r="B36" s="2" t="str">
        <f t="shared" ref="B36:F36" si="1">B111</f>
        <v>Coke</v>
      </c>
      <c r="C36" s="2" t="str">
        <f t="shared" si="1"/>
        <v>CN</v>
      </c>
      <c r="D36" s="2">
        <v>8.5999999999999993E-2</v>
      </c>
      <c r="E36" s="2" t="str">
        <f t="shared" si="1"/>
        <v>kilogram</v>
      </c>
      <c r="F36" s="9" t="str">
        <f t="shared" si="1"/>
        <v>Vanadium</v>
      </c>
      <c r="G36" s="2" t="s">
        <v>26</v>
      </c>
    </row>
    <row r="37" spans="1:10" x14ac:dyDescent="0.35">
      <c r="A37" s="2" t="str">
        <f>A111</f>
        <v>Coke production</v>
      </c>
      <c r="B37" s="2" t="str">
        <f t="shared" ref="B37:F37" si="2">B111</f>
        <v>Coke</v>
      </c>
      <c r="C37" s="2" t="str">
        <f t="shared" si="2"/>
        <v>CN</v>
      </c>
      <c r="D37" s="2">
        <v>6.3E-3</v>
      </c>
      <c r="E37" s="2" t="str">
        <f t="shared" si="2"/>
        <v>kilogram</v>
      </c>
      <c r="F37" s="9" t="str">
        <f t="shared" si="2"/>
        <v>Vanadium</v>
      </c>
      <c r="G37" s="2" t="s">
        <v>26</v>
      </c>
    </row>
    <row r="38" spans="1:10" x14ac:dyDescent="0.35">
      <c r="A38" s="2" t="s">
        <v>28</v>
      </c>
      <c r="B38" s="2" t="s">
        <v>29</v>
      </c>
      <c r="C38" s="2" t="s">
        <v>5</v>
      </c>
      <c r="D38" s="2">
        <v>9.2099999999999987E-2</v>
      </c>
      <c r="E38" s="2" t="s">
        <v>30</v>
      </c>
      <c r="F38" s="2" t="s">
        <v>25</v>
      </c>
      <c r="G38" s="2" t="s">
        <v>26</v>
      </c>
      <c r="J38" s="2" t="s">
        <v>76</v>
      </c>
    </row>
    <row r="39" spans="1:10" s="9" customFormat="1" x14ac:dyDescent="0.35">
      <c r="A39" s="9" t="s">
        <v>95</v>
      </c>
      <c r="D39" s="9">
        <v>1.718</v>
      </c>
      <c r="E39" s="9" t="s">
        <v>9</v>
      </c>
      <c r="F39" s="9" t="s">
        <v>25</v>
      </c>
      <c r="G39" s="9" t="s">
        <v>26</v>
      </c>
      <c r="J39" s="9" t="s">
        <v>76</v>
      </c>
    </row>
    <row r="40" spans="1:10" s="9" customFormat="1" x14ac:dyDescent="0.35">
      <c r="A40" s="9" t="s">
        <v>94</v>
      </c>
      <c r="D40" s="9">
        <v>0.45100000000000001</v>
      </c>
      <c r="E40" s="9" t="s">
        <v>9</v>
      </c>
      <c r="F40" s="9" t="s">
        <v>25</v>
      </c>
      <c r="G40" s="9" t="s">
        <v>26</v>
      </c>
      <c r="J40" s="9" t="s">
        <v>76</v>
      </c>
    </row>
    <row r="41" spans="1:10" x14ac:dyDescent="0.35">
      <c r="A41" s="2" t="s">
        <v>96</v>
      </c>
      <c r="B41" s="2" t="s">
        <v>97</v>
      </c>
      <c r="C41" s="2" t="s">
        <v>51</v>
      </c>
      <c r="D41" s="2">
        <v>7.0000000000000001E-3</v>
      </c>
      <c r="E41" s="2" t="s">
        <v>9</v>
      </c>
      <c r="F41" s="2" t="s">
        <v>25</v>
      </c>
      <c r="G41" s="2" t="s">
        <v>26</v>
      </c>
      <c r="J41" s="2" t="s">
        <v>76</v>
      </c>
    </row>
    <row r="42" spans="1:10" x14ac:dyDescent="0.35">
      <c r="A42" s="2" t="s">
        <v>28</v>
      </c>
      <c r="B42" s="2" t="s">
        <v>29</v>
      </c>
      <c r="C42" s="2" t="s">
        <v>5</v>
      </c>
      <c r="D42" s="2">
        <v>1.37E-2</v>
      </c>
      <c r="E42" s="2" t="s">
        <v>30</v>
      </c>
      <c r="F42" s="2" t="s">
        <v>25</v>
      </c>
      <c r="G42" s="2" t="s">
        <v>26</v>
      </c>
      <c r="J42" s="2" t="s">
        <v>76</v>
      </c>
    </row>
    <row r="43" spans="1:10" s="9" customFormat="1" x14ac:dyDescent="0.35">
      <c r="A43" s="9" t="s">
        <v>98</v>
      </c>
      <c r="D43" s="9">
        <v>0.45800000000000002</v>
      </c>
      <c r="E43" s="9" t="s">
        <v>9</v>
      </c>
      <c r="F43" s="9" t="s">
        <v>25</v>
      </c>
      <c r="G43" s="9" t="s">
        <v>26</v>
      </c>
      <c r="J43" s="9" t="s">
        <v>76</v>
      </c>
    </row>
    <row r="44" spans="1:10" x14ac:dyDescent="0.35">
      <c r="A44" s="2" t="s">
        <v>74</v>
      </c>
      <c r="B44" s="2" t="s">
        <v>75</v>
      </c>
      <c r="C44" s="2" t="s">
        <v>51</v>
      </c>
      <c r="D44" s="2">
        <v>0.114</v>
      </c>
      <c r="E44" s="2" t="s">
        <v>9</v>
      </c>
      <c r="F44" s="2" t="s">
        <v>25</v>
      </c>
      <c r="G44" s="2" t="s">
        <v>26</v>
      </c>
      <c r="J44" s="2" t="s">
        <v>76</v>
      </c>
    </row>
    <row r="45" spans="1:10" s="9" customFormat="1" x14ac:dyDescent="0.35">
      <c r="A45" s="9" t="s">
        <v>95</v>
      </c>
      <c r="D45" s="9">
        <v>1.718</v>
      </c>
      <c r="E45" s="9" t="s">
        <v>9</v>
      </c>
      <c r="F45" s="9" t="s">
        <v>25</v>
      </c>
      <c r="G45" s="9" t="s">
        <v>26</v>
      </c>
      <c r="J45" s="9" t="s">
        <v>76</v>
      </c>
    </row>
    <row r="46" spans="1:10" s="9" customFormat="1" x14ac:dyDescent="0.35">
      <c r="A46" s="9" t="s">
        <v>98</v>
      </c>
      <c r="D46" s="9">
        <v>0.45800000000000002</v>
      </c>
      <c r="E46" s="9" t="s">
        <v>9</v>
      </c>
      <c r="F46" s="9" t="s">
        <v>25</v>
      </c>
      <c r="G46" s="9" t="s">
        <v>26</v>
      </c>
      <c r="J46" s="9" t="s">
        <v>76</v>
      </c>
    </row>
    <row r="47" spans="1:10" x14ac:dyDescent="0.35">
      <c r="A47" s="2" t="s">
        <v>91</v>
      </c>
      <c r="B47" s="2" t="s">
        <v>92</v>
      </c>
      <c r="C47" s="2" t="s">
        <v>5</v>
      </c>
      <c r="D47" s="2">
        <v>0.13800000000000001</v>
      </c>
      <c r="E47" s="2" t="s">
        <v>9</v>
      </c>
      <c r="F47" s="2" t="s">
        <v>25</v>
      </c>
      <c r="G47" s="2" t="s">
        <v>26</v>
      </c>
      <c r="J47" s="2" t="s">
        <v>76</v>
      </c>
    </row>
    <row r="48" spans="1:10" s="9" customFormat="1" x14ac:dyDescent="0.35">
      <c r="A48" s="12" t="str">
        <f>A111</f>
        <v>Coke production</v>
      </c>
      <c r="B48" s="12" t="str">
        <f t="shared" ref="B48:C48" si="3">B111</f>
        <v>Coke</v>
      </c>
      <c r="C48" s="12" t="str">
        <f t="shared" si="3"/>
        <v>CN</v>
      </c>
      <c r="D48" s="12">
        <v>0.48799999999999999</v>
      </c>
      <c r="E48" s="12" t="str">
        <f>E111</f>
        <v>kilogram</v>
      </c>
      <c r="F48" s="9" t="str">
        <f t="shared" ref="F48" si="4">F111</f>
        <v>Vanadium</v>
      </c>
      <c r="G48" s="12" t="s">
        <v>26</v>
      </c>
      <c r="J48" s="9" t="s">
        <v>76</v>
      </c>
    </row>
    <row r="49" spans="1:10" s="9" customFormat="1" x14ac:dyDescent="0.35">
      <c r="A49" s="12" t="str">
        <f>A111</f>
        <v>Coke production</v>
      </c>
      <c r="B49" s="12" t="str">
        <f t="shared" ref="B49:C49" si="5">B111</f>
        <v>Coke</v>
      </c>
      <c r="C49" s="12" t="str">
        <f t="shared" si="5"/>
        <v>CN</v>
      </c>
      <c r="D49" s="12">
        <v>3.3E-3</v>
      </c>
      <c r="E49" s="12" t="str">
        <f>E111</f>
        <v>kilogram</v>
      </c>
      <c r="F49" s="9" t="str">
        <f t="shared" ref="F49" si="6">F111</f>
        <v>Vanadium</v>
      </c>
      <c r="G49" s="12" t="s">
        <v>26</v>
      </c>
      <c r="J49" s="9" t="s">
        <v>76</v>
      </c>
    </row>
    <row r="50" spans="1:10" s="9" customFormat="1" x14ac:dyDescent="0.35">
      <c r="A50" s="9" t="s">
        <v>101</v>
      </c>
      <c r="D50" s="9">
        <v>1.0609999999999999</v>
      </c>
      <c r="E50" s="9" t="s">
        <v>9</v>
      </c>
      <c r="F50" s="9" t="s">
        <v>25</v>
      </c>
      <c r="G50" s="9" t="s">
        <v>26</v>
      </c>
      <c r="J50" s="9" t="s">
        <v>76</v>
      </c>
    </row>
    <row r="51" spans="1:10" x14ac:dyDescent="0.35">
      <c r="A51" s="2" t="s">
        <v>28</v>
      </c>
      <c r="B51" s="2" t="s">
        <v>29</v>
      </c>
      <c r="C51" s="2" t="s">
        <v>5</v>
      </c>
      <c r="D51" s="2">
        <v>2.12E-2</v>
      </c>
      <c r="E51" s="2" t="s">
        <v>30</v>
      </c>
      <c r="F51" s="2" t="s">
        <v>25</v>
      </c>
      <c r="G51" s="2" t="s">
        <v>26</v>
      </c>
      <c r="J51" s="2" t="s">
        <v>76</v>
      </c>
    </row>
    <row r="52" spans="1:10" s="9" customFormat="1" x14ac:dyDescent="0.35">
      <c r="A52" s="9" t="s">
        <v>102</v>
      </c>
      <c r="D52" s="9">
        <v>1.08</v>
      </c>
      <c r="E52" s="9" t="s">
        <v>9</v>
      </c>
      <c r="F52" s="9" t="s">
        <v>25</v>
      </c>
      <c r="G52" s="9" t="s">
        <v>26</v>
      </c>
      <c r="J52" s="9" t="s">
        <v>76</v>
      </c>
    </row>
    <row r="53" spans="1:10" x14ac:dyDescent="0.35">
      <c r="A53" s="2" t="s">
        <v>103</v>
      </c>
      <c r="B53" s="2" t="s">
        <v>104</v>
      </c>
      <c r="C53" s="2" t="s">
        <v>33</v>
      </c>
      <c r="D53" s="2">
        <v>-0.70199999999999996</v>
      </c>
      <c r="E53" s="2" t="s">
        <v>9</v>
      </c>
      <c r="F53" s="2" t="s">
        <v>25</v>
      </c>
      <c r="G53" s="2" t="s">
        <v>26</v>
      </c>
      <c r="J53" s="2" t="s">
        <v>76</v>
      </c>
    </row>
    <row r="54" spans="1:10" s="9" customFormat="1" x14ac:dyDescent="0.35">
      <c r="A54" s="9" t="s">
        <v>101</v>
      </c>
      <c r="D54" s="9">
        <v>2.91</v>
      </c>
      <c r="E54" s="9" t="s">
        <v>9</v>
      </c>
      <c r="F54" s="9" t="s">
        <v>25</v>
      </c>
      <c r="G54" s="9" t="s">
        <v>26</v>
      </c>
      <c r="J54" s="9" t="s">
        <v>105</v>
      </c>
    </row>
    <row r="55" spans="1:10" x14ac:dyDescent="0.35">
      <c r="A55" s="2" t="s">
        <v>66</v>
      </c>
      <c r="B55" s="2" t="s">
        <v>67</v>
      </c>
      <c r="C55" s="2" t="s">
        <v>51</v>
      </c>
      <c r="D55" s="2">
        <v>1.4999999999999999E-2</v>
      </c>
      <c r="E55" s="2" t="s">
        <v>9</v>
      </c>
      <c r="F55" s="2" t="s">
        <v>25</v>
      </c>
      <c r="G55" s="2" t="s">
        <v>26</v>
      </c>
      <c r="J55" s="2" t="s">
        <v>76</v>
      </c>
    </row>
    <row r="56" spans="1:10" x14ac:dyDescent="0.35">
      <c r="A56" s="2" t="s">
        <v>106</v>
      </c>
      <c r="B56" s="2" t="s">
        <v>107</v>
      </c>
      <c r="C56" s="2" t="s">
        <v>51</v>
      </c>
      <c r="D56" s="2">
        <v>6.0000000000000001E-3</v>
      </c>
      <c r="E56" s="2" t="s">
        <v>9</v>
      </c>
      <c r="F56" s="2" t="s">
        <v>25</v>
      </c>
      <c r="G56" s="2" t="s">
        <v>26</v>
      </c>
      <c r="J56" s="2" t="s">
        <v>76</v>
      </c>
    </row>
    <row r="57" spans="1:10" s="9" customFormat="1" x14ac:dyDescent="0.35">
      <c r="A57" s="9" t="s">
        <v>102</v>
      </c>
      <c r="D57" s="9">
        <v>1.08</v>
      </c>
      <c r="E57" s="9" t="s">
        <v>9</v>
      </c>
      <c r="F57" s="9" t="s">
        <v>25</v>
      </c>
      <c r="G57" s="9" t="s">
        <v>26</v>
      </c>
      <c r="J57" s="9" t="s">
        <v>76</v>
      </c>
    </row>
    <row r="58" spans="1:10" x14ac:dyDescent="0.35">
      <c r="A58" s="2" t="s">
        <v>31</v>
      </c>
      <c r="B58" s="2" t="s">
        <v>32</v>
      </c>
      <c r="C58" s="2" t="s">
        <v>33</v>
      </c>
      <c r="D58" s="2">
        <v>6.5000000000000002E-2</v>
      </c>
      <c r="E58" s="2" t="s">
        <v>9</v>
      </c>
      <c r="F58" s="2" t="s">
        <v>25</v>
      </c>
      <c r="G58" s="2" t="s">
        <v>26</v>
      </c>
      <c r="J58" s="2" t="s">
        <v>76</v>
      </c>
    </row>
    <row r="59" spans="1:10" s="9" customFormat="1" x14ac:dyDescent="0.35">
      <c r="A59" s="12" t="str">
        <f>A111</f>
        <v>Coke production</v>
      </c>
      <c r="B59" s="12" t="str">
        <f t="shared" ref="B59:C59" si="7">B111</f>
        <v>Coke</v>
      </c>
      <c r="C59" s="12" t="str">
        <f t="shared" si="7"/>
        <v>CN</v>
      </c>
      <c r="D59" s="12">
        <v>1.6000000000000001E-4</v>
      </c>
      <c r="E59" s="12" t="str">
        <f>E111</f>
        <v>kilogram</v>
      </c>
      <c r="F59" s="9" t="str">
        <f>F111</f>
        <v>Vanadium</v>
      </c>
      <c r="G59" s="12" t="s">
        <v>26</v>
      </c>
      <c r="J59" s="9" t="s">
        <v>76</v>
      </c>
    </row>
    <row r="60" spans="1:10" s="9" customFormat="1" x14ac:dyDescent="0.35">
      <c r="A60" s="9" t="s">
        <v>101</v>
      </c>
      <c r="D60" s="9">
        <v>2E-3</v>
      </c>
      <c r="E60" s="9" t="s">
        <v>9</v>
      </c>
      <c r="F60" s="9" t="s">
        <v>25</v>
      </c>
      <c r="G60" s="9" t="s">
        <v>26</v>
      </c>
      <c r="J60" s="9" t="s">
        <v>76</v>
      </c>
    </row>
    <row r="61" spans="1:10" x14ac:dyDescent="0.35">
      <c r="A61" s="2" t="s">
        <v>28</v>
      </c>
      <c r="B61" s="2" t="s">
        <v>29</v>
      </c>
      <c r="C61" s="2" t="s">
        <v>5</v>
      </c>
      <c r="D61" s="2">
        <v>0.02</v>
      </c>
      <c r="E61" s="2" t="s">
        <v>30</v>
      </c>
      <c r="F61" s="2" t="s">
        <v>25</v>
      </c>
      <c r="G61" s="2" t="s">
        <v>26</v>
      </c>
      <c r="J61" s="2" t="s">
        <v>76</v>
      </c>
    </row>
    <row r="62" spans="1:10" s="9" customFormat="1" x14ac:dyDescent="0.35">
      <c r="A62" s="9" t="s">
        <v>108</v>
      </c>
      <c r="D62" s="9">
        <v>2.8000000000000001E-2</v>
      </c>
      <c r="E62" s="9" t="s">
        <v>9</v>
      </c>
      <c r="F62" s="9" t="s">
        <v>25</v>
      </c>
      <c r="G62" s="9" t="s">
        <v>26</v>
      </c>
      <c r="J62" s="9" t="s">
        <v>76</v>
      </c>
    </row>
    <row r="63" spans="1:10" s="9" customFormat="1" x14ac:dyDescent="0.35">
      <c r="A63" s="9" t="s">
        <v>109</v>
      </c>
      <c r="D63" s="9">
        <v>1</v>
      </c>
      <c r="E63" s="9" t="s">
        <v>9</v>
      </c>
      <c r="F63" s="9" t="s">
        <v>25</v>
      </c>
      <c r="G63" s="9" t="s">
        <v>26</v>
      </c>
      <c r="J63" s="9" t="s">
        <v>76</v>
      </c>
    </row>
    <row r="64" spans="1:10" x14ac:dyDescent="0.35">
      <c r="A64" s="2" t="s">
        <v>110</v>
      </c>
      <c r="B64" s="2" t="s">
        <v>111</v>
      </c>
      <c r="C64" s="2" t="s">
        <v>33</v>
      </c>
      <c r="D64" s="2">
        <v>-0.12</v>
      </c>
      <c r="E64" s="2" t="s">
        <v>9</v>
      </c>
      <c r="F64" s="2" t="s">
        <v>25</v>
      </c>
      <c r="G64" s="2" t="s">
        <v>26</v>
      </c>
      <c r="J64" s="2" t="s">
        <v>76</v>
      </c>
    </row>
    <row r="65" spans="1:10" x14ac:dyDescent="0.35">
      <c r="A65" s="2" t="s">
        <v>80</v>
      </c>
      <c r="D65" s="2">
        <v>0.3891</v>
      </c>
      <c r="E65" s="2" t="s">
        <v>9</v>
      </c>
      <c r="F65" s="2" t="s">
        <v>81</v>
      </c>
      <c r="G65" s="2" t="s">
        <v>82</v>
      </c>
      <c r="H65" s="2" t="s">
        <v>83</v>
      </c>
      <c r="J65" s="2" t="s">
        <v>84</v>
      </c>
    </row>
    <row r="66" spans="1:10" x14ac:dyDescent="0.35">
      <c r="A66" s="2" t="s">
        <v>85</v>
      </c>
      <c r="D66" s="2">
        <v>1.6461E-2</v>
      </c>
      <c r="E66" s="2" t="s">
        <v>9</v>
      </c>
      <c r="F66" s="2" t="s">
        <v>81</v>
      </c>
      <c r="G66" s="2" t="s">
        <v>82</v>
      </c>
      <c r="H66" s="2" t="s">
        <v>83</v>
      </c>
      <c r="J66" s="2" t="s">
        <v>84</v>
      </c>
    </row>
    <row r="67" spans="1:10" x14ac:dyDescent="0.35">
      <c r="A67" s="2" t="s">
        <v>86</v>
      </c>
      <c r="D67" s="2">
        <v>5.348E-2</v>
      </c>
      <c r="E67" s="2" t="s">
        <v>9</v>
      </c>
      <c r="F67" s="2" t="s">
        <v>81</v>
      </c>
      <c r="G67" s="2" t="s">
        <v>82</v>
      </c>
      <c r="H67" s="2" t="s">
        <v>83</v>
      </c>
      <c r="J67" s="2" t="s">
        <v>84</v>
      </c>
    </row>
    <row r="68" spans="1:10" x14ac:dyDescent="0.35">
      <c r="A68" s="2" t="s">
        <v>87</v>
      </c>
      <c r="D68" s="2">
        <v>6.1120000000000002E-3</v>
      </c>
      <c r="E68" s="2" t="s">
        <v>9</v>
      </c>
      <c r="F68" s="2" t="s">
        <v>81</v>
      </c>
      <c r="G68" s="2" t="s">
        <v>82</v>
      </c>
      <c r="H68" s="2" t="s">
        <v>83</v>
      </c>
      <c r="J68" s="2" t="s">
        <v>84</v>
      </c>
    </row>
    <row r="69" spans="1:10" x14ac:dyDescent="0.35">
      <c r="A69" s="2" t="s">
        <v>89</v>
      </c>
      <c r="D69" s="2">
        <v>4.564E-2</v>
      </c>
      <c r="E69" s="2" t="s">
        <v>9</v>
      </c>
      <c r="F69" s="2" t="s">
        <v>81</v>
      </c>
      <c r="G69" s="2" t="s">
        <v>82</v>
      </c>
      <c r="H69" s="2" t="s">
        <v>83</v>
      </c>
      <c r="J69" s="2" t="s">
        <v>84</v>
      </c>
    </row>
    <row r="70" spans="1:10" x14ac:dyDescent="0.35">
      <c r="A70" s="2" t="s">
        <v>80</v>
      </c>
      <c r="D70" s="2">
        <v>0.87009999999999998</v>
      </c>
      <c r="E70" s="2" t="s">
        <v>9</v>
      </c>
      <c r="F70" s="2" t="s">
        <v>81</v>
      </c>
      <c r="G70" s="2" t="s">
        <v>82</v>
      </c>
      <c r="H70" s="2" t="s">
        <v>83</v>
      </c>
      <c r="J70" s="2" t="s">
        <v>84</v>
      </c>
    </row>
    <row r="71" spans="1:10" x14ac:dyDescent="0.35">
      <c r="A71" s="2" t="s">
        <v>85</v>
      </c>
      <c r="D71" s="2">
        <v>6.8219999999999999E-3</v>
      </c>
      <c r="E71" s="2" t="s">
        <v>9</v>
      </c>
      <c r="F71" s="2" t="s">
        <v>81</v>
      </c>
      <c r="G71" s="2" t="s">
        <v>82</v>
      </c>
      <c r="H71" s="2" t="s">
        <v>83</v>
      </c>
      <c r="J71" s="2" t="s">
        <v>84</v>
      </c>
    </row>
    <row r="72" spans="1:10" x14ac:dyDescent="0.35">
      <c r="A72" s="2" t="s">
        <v>87</v>
      </c>
      <c r="D72" s="2">
        <v>6.1040000000000001E-3</v>
      </c>
      <c r="E72" s="2" t="s">
        <v>9</v>
      </c>
      <c r="F72" s="2" t="s">
        <v>81</v>
      </c>
      <c r="G72" s="2" t="s">
        <v>82</v>
      </c>
      <c r="H72" s="2" t="s">
        <v>83</v>
      </c>
      <c r="J72" s="2" t="s">
        <v>84</v>
      </c>
    </row>
    <row r="73" spans="1:10" x14ac:dyDescent="0.35">
      <c r="A73" s="2" t="s">
        <v>89</v>
      </c>
      <c r="D73" s="2">
        <v>1.09E-2</v>
      </c>
      <c r="E73" s="2" t="s">
        <v>9</v>
      </c>
      <c r="F73" s="2" t="s">
        <v>81</v>
      </c>
      <c r="G73" s="2" t="s">
        <v>82</v>
      </c>
      <c r="H73" s="2" t="s">
        <v>83</v>
      </c>
      <c r="J73" s="2" t="s">
        <v>84</v>
      </c>
    </row>
    <row r="74" spans="1:10" x14ac:dyDescent="0.35">
      <c r="A74" s="2" t="s">
        <v>80</v>
      </c>
      <c r="D74" s="2">
        <v>0.16600000000000001</v>
      </c>
      <c r="E74" s="2" t="s">
        <v>9</v>
      </c>
      <c r="F74" s="2" t="s">
        <v>81</v>
      </c>
      <c r="G74" s="2" t="s">
        <v>82</v>
      </c>
      <c r="H74" s="2" t="s">
        <v>83</v>
      </c>
      <c r="J74" s="2" t="s">
        <v>84</v>
      </c>
    </row>
    <row r="75" spans="1:10" x14ac:dyDescent="0.35">
      <c r="A75" s="2" t="s">
        <v>85</v>
      </c>
      <c r="D75" s="2">
        <v>1.0319999999999999E-3</v>
      </c>
      <c r="E75" s="2" t="s">
        <v>9</v>
      </c>
      <c r="F75" s="2" t="s">
        <v>81</v>
      </c>
      <c r="G75" s="2" t="s">
        <v>82</v>
      </c>
      <c r="H75" s="2" t="s">
        <v>83</v>
      </c>
      <c r="J75" s="2" t="s">
        <v>84</v>
      </c>
    </row>
    <row r="76" spans="1:10" x14ac:dyDescent="0.35">
      <c r="A76" s="2" t="s">
        <v>86</v>
      </c>
      <c r="D76" s="2">
        <v>8.012E-3</v>
      </c>
      <c r="E76" s="2" t="s">
        <v>9</v>
      </c>
      <c r="F76" s="2" t="s">
        <v>81</v>
      </c>
      <c r="G76" s="2" t="s">
        <v>82</v>
      </c>
      <c r="H76" s="2" t="s">
        <v>83</v>
      </c>
      <c r="J76" s="2" t="s">
        <v>84</v>
      </c>
    </row>
    <row r="77" spans="1:10" x14ac:dyDescent="0.35">
      <c r="A77" s="2" t="s">
        <v>89</v>
      </c>
      <c r="D77" s="2">
        <v>2.6210000000000001E-2</v>
      </c>
      <c r="E77" s="2" t="s">
        <v>9</v>
      </c>
      <c r="F77" s="2" t="s">
        <v>81</v>
      </c>
      <c r="G77" s="2" t="s">
        <v>82</v>
      </c>
      <c r="H77" s="2" t="s">
        <v>83</v>
      </c>
      <c r="J77" s="2" t="s">
        <v>84</v>
      </c>
    </row>
    <row r="78" spans="1:10" s="11" customFormat="1" x14ac:dyDescent="0.35"/>
    <row r="79" spans="1:10" x14ac:dyDescent="0.35">
      <c r="A79" s="3" t="s">
        <v>0</v>
      </c>
      <c r="B79" s="3" t="s">
        <v>112</v>
      </c>
    </row>
    <row r="80" spans="1:10" x14ac:dyDescent="0.35">
      <c r="A80" s="8" t="s">
        <v>2</v>
      </c>
      <c r="B80" s="2" t="s">
        <v>3</v>
      </c>
    </row>
    <row r="81" spans="1:14" x14ac:dyDescent="0.35">
      <c r="A81" s="8" t="s">
        <v>4</v>
      </c>
      <c r="B81" s="2" t="s">
        <v>5</v>
      </c>
    </row>
    <row r="82" spans="1:14" x14ac:dyDescent="0.35">
      <c r="A82" s="8" t="s">
        <v>6</v>
      </c>
      <c r="B82" s="2">
        <v>1</v>
      </c>
    </row>
    <row r="83" spans="1:14" x14ac:dyDescent="0.35">
      <c r="A83" s="8" t="s">
        <v>8</v>
      </c>
      <c r="B83" s="2" t="s">
        <v>9</v>
      </c>
    </row>
    <row r="84" spans="1:14" x14ac:dyDescent="0.35">
      <c r="A84" s="8" t="s">
        <v>10</v>
      </c>
      <c r="B84" s="9" t="s">
        <v>113</v>
      </c>
    </row>
    <row r="85" spans="1:14" x14ac:dyDescent="0.35">
      <c r="A85" s="8" t="s">
        <v>12</v>
      </c>
    </row>
    <row r="86" spans="1:14" x14ac:dyDescent="0.35">
      <c r="A86" s="3" t="s">
        <v>13</v>
      </c>
      <c r="B86" s="3" t="s">
        <v>2</v>
      </c>
      <c r="C86" s="3" t="s">
        <v>4</v>
      </c>
      <c r="D86" s="3" t="s">
        <v>6</v>
      </c>
      <c r="E86" s="3" t="s">
        <v>8</v>
      </c>
      <c r="F86" s="3" t="s">
        <v>14</v>
      </c>
      <c r="G86" s="3" t="s">
        <v>15</v>
      </c>
      <c r="H86" s="3" t="s">
        <v>16</v>
      </c>
      <c r="I86" s="3" t="s">
        <v>17</v>
      </c>
      <c r="J86" s="3" t="s">
        <v>18</v>
      </c>
      <c r="K86" s="3" t="s">
        <v>19</v>
      </c>
      <c r="L86" s="3" t="s">
        <v>20</v>
      </c>
      <c r="M86" s="3" t="s">
        <v>21</v>
      </c>
      <c r="N86" s="3" t="s">
        <v>22</v>
      </c>
    </row>
    <row r="87" spans="1:14" x14ac:dyDescent="0.35">
      <c r="A87" s="2" t="str">
        <f>B79</f>
        <v>[P] Vanadium pentoxide (V2O5) production</v>
      </c>
      <c r="B87" s="2" t="str">
        <f>B80</f>
        <v>V2O5</v>
      </c>
      <c r="C87" s="2" t="str">
        <f>B81</f>
        <v>CN</v>
      </c>
      <c r="D87" s="2">
        <v>1</v>
      </c>
      <c r="E87" s="2" t="s">
        <v>9</v>
      </c>
      <c r="F87" s="9" t="str">
        <f>F30</f>
        <v>Vanadium</v>
      </c>
      <c r="G87" s="2" t="s">
        <v>23</v>
      </c>
    </row>
    <row r="88" spans="1:14" s="9" customFormat="1" x14ac:dyDescent="0.35">
      <c r="A88" s="9" t="s">
        <v>108</v>
      </c>
      <c r="D88" s="9">
        <v>11.691022964509401</v>
      </c>
      <c r="E88" s="9" t="s">
        <v>9</v>
      </c>
      <c r="F88" s="9" t="s">
        <v>25</v>
      </c>
      <c r="G88" s="9" t="s">
        <v>26</v>
      </c>
      <c r="J88" s="9" t="s">
        <v>76</v>
      </c>
    </row>
    <row r="89" spans="1:14" s="9" customFormat="1" x14ac:dyDescent="0.35">
      <c r="A89" s="12" t="str">
        <f>A111</f>
        <v>Coke production</v>
      </c>
      <c r="B89" s="12" t="str">
        <f t="shared" ref="B89:C89" si="8">B111</f>
        <v>Coke</v>
      </c>
      <c r="C89" s="12" t="str">
        <f t="shared" si="8"/>
        <v>CN</v>
      </c>
      <c r="D89" s="12">
        <v>1.586638830897704</v>
      </c>
      <c r="E89" s="12" t="str">
        <f>E111</f>
        <v>kilogram</v>
      </c>
      <c r="F89" s="9" t="str">
        <f>F111</f>
        <v>Vanadium</v>
      </c>
      <c r="G89" s="12" t="s">
        <v>26</v>
      </c>
      <c r="J89" s="9" t="s">
        <v>76</v>
      </c>
    </row>
    <row r="90" spans="1:14" x14ac:dyDescent="0.35">
      <c r="A90" s="2" t="s">
        <v>43</v>
      </c>
      <c r="B90" s="2" t="s">
        <v>44</v>
      </c>
      <c r="C90" s="2" t="s">
        <v>33</v>
      </c>
      <c r="D90" s="2">
        <v>0.77995824634655531</v>
      </c>
      <c r="E90" s="2" t="s">
        <v>9</v>
      </c>
      <c r="F90" s="2" t="s">
        <v>25</v>
      </c>
      <c r="G90" s="2" t="s">
        <v>26</v>
      </c>
      <c r="J90" s="2" t="s">
        <v>76</v>
      </c>
    </row>
    <row r="91" spans="1:14" x14ac:dyDescent="0.35">
      <c r="A91" s="2" t="s">
        <v>114</v>
      </c>
      <c r="B91" s="2" t="s">
        <v>115</v>
      </c>
      <c r="C91" s="2" t="s">
        <v>51</v>
      </c>
      <c r="D91" s="2">
        <v>0.57995824634655535</v>
      </c>
      <c r="E91" s="2" t="s">
        <v>9</v>
      </c>
      <c r="F91" s="2" t="s">
        <v>25</v>
      </c>
      <c r="G91" s="2" t="s">
        <v>26</v>
      </c>
      <c r="J91" s="2" t="s">
        <v>76</v>
      </c>
    </row>
    <row r="92" spans="1:14" x14ac:dyDescent="0.35">
      <c r="A92" s="2" t="s">
        <v>34</v>
      </c>
      <c r="B92" s="2" t="s">
        <v>35</v>
      </c>
      <c r="C92" s="2" t="s">
        <v>33</v>
      </c>
      <c r="D92" s="2">
        <v>0.69018789144050108</v>
      </c>
      <c r="E92" s="2" t="s">
        <v>9</v>
      </c>
      <c r="F92" s="2" t="s">
        <v>25</v>
      </c>
      <c r="G92" s="2" t="s">
        <v>26</v>
      </c>
      <c r="J92" s="2" t="s">
        <v>76</v>
      </c>
    </row>
    <row r="93" spans="1:14" s="9" customFormat="1" x14ac:dyDescent="0.35">
      <c r="A93" s="9" t="s">
        <v>101</v>
      </c>
      <c r="D93" s="9">
        <v>7.473903966597077</v>
      </c>
      <c r="E93" s="9" t="s">
        <v>9</v>
      </c>
      <c r="F93" s="9" t="s">
        <v>25</v>
      </c>
      <c r="G93" s="9" t="s">
        <v>26</v>
      </c>
      <c r="J93" s="9" t="s">
        <v>76</v>
      </c>
    </row>
    <row r="94" spans="1:14" x14ac:dyDescent="0.35">
      <c r="A94" s="2" t="s">
        <v>60</v>
      </c>
      <c r="B94" s="2" t="s">
        <v>61</v>
      </c>
      <c r="C94" s="2" t="s">
        <v>33</v>
      </c>
      <c r="D94" s="2">
        <v>1.4901878914405009</v>
      </c>
      <c r="E94" s="2" t="s">
        <v>9</v>
      </c>
      <c r="F94" s="2" t="s">
        <v>25</v>
      </c>
      <c r="G94" s="2" t="s">
        <v>26</v>
      </c>
      <c r="J94" s="2" t="s">
        <v>76</v>
      </c>
    </row>
    <row r="95" spans="1:14" x14ac:dyDescent="0.35">
      <c r="A95" s="2" t="s">
        <v>28</v>
      </c>
      <c r="B95" s="2" t="s">
        <v>29</v>
      </c>
      <c r="C95" s="2" t="s">
        <v>5</v>
      </c>
      <c r="D95" s="2">
        <v>2.588726513569938</v>
      </c>
      <c r="E95" s="2" t="s">
        <v>30</v>
      </c>
      <c r="F95" s="2" t="s">
        <v>25</v>
      </c>
      <c r="G95" s="2" t="s">
        <v>26</v>
      </c>
      <c r="J95" s="2" t="s">
        <v>76</v>
      </c>
    </row>
    <row r="96" spans="1:14" s="9" customFormat="1" x14ac:dyDescent="0.35">
      <c r="A96" s="9" t="s">
        <v>116</v>
      </c>
      <c r="D96" s="9">
        <v>1</v>
      </c>
      <c r="E96" s="9" t="s">
        <v>9</v>
      </c>
      <c r="F96" s="9" t="s">
        <v>25</v>
      </c>
      <c r="G96" s="9" t="s">
        <v>26</v>
      </c>
      <c r="J96" s="9" t="s">
        <v>76</v>
      </c>
    </row>
    <row r="97" spans="1:14" s="9" customFormat="1" x14ac:dyDescent="0.35">
      <c r="A97" s="9" t="s">
        <v>117</v>
      </c>
      <c r="D97" s="9">
        <v>1.2</v>
      </c>
      <c r="E97" s="9" t="s">
        <v>9</v>
      </c>
      <c r="F97" s="9" t="s">
        <v>25</v>
      </c>
      <c r="G97" s="9" t="s">
        <v>26</v>
      </c>
      <c r="J97" s="9" t="s">
        <v>76</v>
      </c>
    </row>
    <row r="98" spans="1:14" x14ac:dyDescent="0.35">
      <c r="A98" s="2" t="s">
        <v>110</v>
      </c>
      <c r="B98" s="2" t="s">
        <v>111</v>
      </c>
      <c r="C98" s="2" t="s">
        <v>33</v>
      </c>
      <c r="D98" s="2">
        <v>-10.622129436325681</v>
      </c>
      <c r="E98" s="2" t="s">
        <v>9</v>
      </c>
      <c r="F98" s="2" t="s">
        <v>25</v>
      </c>
      <c r="G98" s="2" t="s">
        <v>26</v>
      </c>
      <c r="J98" s="2" t="s">
        <v>76</v>
      </c>
    </row>
    <row r="99" spans="1:14" x14ac:dyDescent="0.35">
      <c r="A99" s="2" t="s">
        <v>80</v>
      </c>
      <c r="D99" s="2">
        <v>5.0939457202505212</v>
      </c>
      <c r="E99" s="2" t="s">
        <v>9</v>
      </c>
      <c r="F99" s="2" t="s">
        <v>81</v>
      </c>
      <c r="G99" s="2" t="s">
        <v>82</v>
      </c>
      <c r="H99" s="2" t="s">
        <v>83</v>
      </c>
      <c r="J99" s="2" t="s">
        <v>84</v>
      </c>
    </row>
    <row r="100" spans="1:14" x14ac:dyDescent="0.35">
      <c r="A100" s="2" t="s">
        <v>85</v>
      </c>
      <c r="D100" s="2">
        <v>2.1294363256784968E-2</v>
      </c>
      <c r="E100" s="2" t="s">
        <v>9</v>
      </c>
      <c r="F100" s="2" t="s">
        <v>81</v>
      </c>
      <c r="G100" s="2" t="s">
        <v>82</v>
      </c>
      <c r="H100" s="2" t="s">
        <v>83</v>
      </c>
      <c r="J100" s="2" t="s">
        <v>84</v>
      </c>
    </row>
    <row r="101" spans="1:14" x14ac:dyDescent="0.35">
      <c r="A101" s="2" t="s">
        <v>89</v>
      </c>
      <c r="D101" s="2">
        <v>0.39248434237995822</v>
      </c>
      <c r="E101" s="2" t="s">
        <v>9</v>
      </c>
      <c r="F101" s="2" t="s">
        <v>81</v>
      </c>
      <c r="G101" s="2" t="s">
        <v>82</v>
      </c>
      <c r="H101" s="2" t="s">
        <v>83</v>
      </c>
      <c r="J101" s="2" t="s">
        <v>84</v>
      </c>
    </row>
    <row r="102" spans="1:14" s="11" customFormat="1" x14ac:dyDescent="0.35"/>
    <row r="103" spans="1:14" x14ac:dyDescent="0.35">
      <c r="A103" s="3" t="s">
        <v>0</v>
      </c>
      <c r="B103" s="3" t="s">
        <v>120</v>
      </c>
    </row>
    <row r="104" spans="1:14" x14ac:dyDescent="0.35">
      <c r="A104" s="8" t="s">
        <v>2</v>
      </c>
      <c r="B104" s="2" t="s">
        <v>121</v>
      </c>
    </row>
    <row r="105" spans="1:14" x14ac:dyDescent="0.35">
      <c r="A105" s="8" t="s">
        <v>4</v>
      </c>
      <c r="B105" s="2" t="s">
        <v>5</v>
      </c>
    </row>
    <row r="106" spans="1:14" x14ac:dyDescent="0.35">
      <c r="A106" s="8" t="s">
        <v>6</v>
      </c>
      <c r="B106" s="2">
        <v>1</v>
      </c>
    </row>
    <row r="107" spans="1:14" x14ac:dyDescent="0.35">
      <c r="A107" s="8" t="s">
        <v>8</v>
      </c>
      <c r="B107" s="2" t="s">
        <v>9</v>
      </c>
    </row>
    <row r="108" spans="1:14" x14ac:dyDescent="0.35">
      <c r="A108" s="8" t="s">
        <v>10</v>
      </c>
      <c r="B108" s="2" t="s">
        <v>11</v>
      </c>
    </row>
    <row r="109" spans="1:14" x14ac:dyDescent="0.35">
      <c r="A109" s="8" t="s">
        <v>12</v>
      </c>
    </row>
    <row r="110" spans="1:14" x14ac:dyDescent="0.35">
      <c r="A110" s="3" t="s">
        <v>13</v>
      </c>
      <c r="B110" s="3" t="s">
        <v>2</v>
      </c>
      <c r="C110" s="3" t="s">
        <v>4</v>
      </c>
      <c r="D110" s="3" t="s">
        <v>6</v>
      </c>
      <c r="E110" s="3" t="s">
        <v>8</v>
      </c>
      <c r="F110" s="3" t="s">
        <v>14</v>
      </c>
      <c r="G110" s="3" t="s">
        <v>15</v>
      </c>
      <c r="H110" s="3" t="s">
        <v>16</v>
      </c>
      <c r="I110" s="3" t="s">
        <v>17</v>
      </c>
      <c r="J110" s="3" t="s">
        <v>18</v>
      </c>
      <c r="K110" s="3" t="s">
        <v>19</v>
      </c>
      <c r="L110" s="3" t="s">
        <v>20</v>
      </c>
      <c r="M110" s="3" t="s">
        <v>21</v>
      </c>
      <c r="N110" s="3" t="s">
        <v>22</v>
      </c>
    </row>
    <row r="111" spans="1:14" x14ac:dyDescent="0.35">
      <c r="A111" s="2" t="str">
        <f>B103</f>
        <v>Coke production</v>
      </c>
      <c r="B111" s="2" t="str">
        <f>B104</f>
        <v>Coke</v>
      </c>
      <c r="C111" s="2" t="str">
        <f>B105</f>
        <v>CN</v>
      </c>
      <c r="D111" s="2">
        <v>1</v>
      </c>
      <c r="E111" s="2" t="s">
        <v>9</v>
      </c>
      <c r="F111" s="9" t="str">
        <f>F87</f>
        <v>Vanadium</v>
      </c>
      <c r="G111" s="2" t="s">
        <v>23</v>
      </c>
    </row>
    <row r="112" spans="1:14" x14ac:dyDescent="0.35">
      <c r="A112" s="2" t="s">
        <v>91</v>
      </c>
      <c r="B112" s="2" t="s">
        <v>92</v>
      </c>
      <c r="C112" s="2" t="s">
        <v>5</v>
      </c>
      <c r="D112" s="2">
        <v>1.479522184300341</v>
      </c>
      <c r="E112" s="2" t="s">
        <v>9</v>
      </c>
      <c r="F112" s="2" t="s">
        <v>25</v>
      </c>
      <c r="G112" s="2" t="s">
        <v>26</v>
      </c>
      <c r="J112" s="2" t="s">
        <v>76</v>
      </c>
    </row>
    <row r="113" spans="1:10" s="9" customFormat="1" x14ac:dyDescent="0.35">
      <c r="A113" s="9" t="s">
        <v>100</v>
      </c>
      <c r="D113" s="9">
        <v>3.9419795221843003E-2</v>
      </c>
      <c r="E113" s="9" t="s">
        <v>9</v>
      </c>
      <c r="F113" s="9" t="s">
        <v>25</v>
      </c>
      <c r="G113" s="9" t="s">
        <v>26</v>
      </c>
      <c r="J113" s="9" t="s">
        <v>76</v>
      </c>
    </row>
    <row r="114" spans="1:10" s="9" customFormat="1" x14ac:dyDescent="0.35">
      <c r="A114" s="9" t="s">
        <v>101</v>
      </c>
      <c r="D114" s="9">
        <v>0.62286689419795227</v>
      </c>
      <c r="E114" s="9" t="s">
        <v>9</v>
      </c>
      <c r="F114" s="9" t="s">
        <v>25</v>
      </c>
      <c r="G114" s="9" t="s">
        <v>26</v>
      </c>
      <c r="J114" s="9" t="s">
        <v>76</v>
      </c>
    </row>
    <row r="115" spans="1:10" x14ac:dyDescent="0.35">
      <c r="A115" s="2" t="s">
        <v>28</v>
      </c>
      <c r="B115" s="2" t="s">
        <v>29</v>
      </c>
      <c r="C115" s="2" t="s">
        <v>5</v>
      </c>
      <c r="D115" s="2">
        <v>3.4982935153583618E-2</v>
      </c>
      <c r="E115" s="2" t="s">
        <v>30</v>
      </c>
      <c r="F115" s="2" t="s">
        <v>25</v>
      </c>
      <c r="G115" s="2" t="s">
        <v>26</v>
      </c>
      <c r="J115" s="2" t="s">
        <v>76</v>
      </c>
    </row>
    <row r="116" spans="1:10" s="9" customFormat="1" x14ac:dyDescent="0.35">
      <c r="A116" s="9" t="s">
        <v>100</v>
      </c>
      <c r="D116" s="9">
        <v>0.20051194539249151</v>
      </c>
      <c r="E116" s="9" t="s">
        <v>9</v>
      </c>
      <c r="F116" s="9" t="s">
        <v>25</v>
      </c>
      <c r="G116" s="9" t="s">
        <v>26</v>
      </c>
      <c r="J116" s="9" t="s">
        <v>76</v>
      </c>
    </row>
    <row r="117" spans="1:10" s="9" customFormat="1" x14ac:dyDescent="0.35">
      <c r="A117" s="9" t="s">
        <v>99</v>
      </c>
      <c r="D117" s="9">
        <v>1</v>
      </c>
      <c r="E117" s="9" t="s">
        <v>9</v>
      </c>
      <c r="F117" s="9" t="s">
        <v>25</v>
      </c>
      <c r="G117" s="9" t="s">
        <v>26</v>
      </c>
      <c r="J117" s="9" t="s">
        <v>76</v>
      </c>
    </row>
    <row r="118" spans="1:10" x14ac:dyDescent="0.35">
      <c r="A118" s="2" t="s">
        <v>80</v>
      </c>
      <c r="D118" s="2">
        <v>0.42116040955631401</v>
      </c>
      <c r="E118" s="2" t="s">
        <v>9</v>
      </c>
      <c r="F118" s="2" t="s">
        <v>81</v>
      </c>
      <c r="G118" s="2" t="s">
        <v>82</v>
      </c>
      <c r="H118" s="2" t="s">
        <v>83</v>
      </c>
      <c r="J118" s="2" t="s">
        <v>84</v>
      </c>
    </row>
    <row r="119" spans="1:10" x14ac:dyDescent="0.35">
      <c r="A119" s="2" t="s">
        <v>85</v>
      </c>
      <c r="D119" s="2">
        <v>2.131399317406143E-3</v>
      </c>
      <c r="E119" s="2" t="s">
        <v>9</v>
      </c>
      <c r="F119" s="2" t="s">
        <v>81</v>
      </c>
      <c r="G119" s="2" t="s">
        <v>82</v>
      </c>
      <c r="H119" s="2" t="s">
        <v>83</v>
      </c>
      <c r="J119" s="2" t="s">
        <v>84</v>
      </c>
    </row>
    <row r="120" spans="1:10" x14ac:dyDescent="0.35">
      <c r="A120" s="2" t="s">
        <v>86</v>
      </c>
      <c r="D120" s="2">
        <v>3.003412969283276E-4</v>
      </c>
      <c r="E120" s="2" t="s">
        <v>9</v>
      </c>
      <c r="F120" s="2" t="s">
        <v>81</v>
      </c>
      <c r="G120" s="2" t="s">
        <v>82</v>
      </c>
      <c r="H120" s="2" t="s">
        <v>83</v>
      </c>
      <c r="J120" s="2" t="s">
        <v>84</v>
      </c>
    </row>
    <row r="121" spans="1:10" x14ac:dyDescent="0.35">
      <c r="A121" s="2" t="s">
        <v>87</v>
      </c>
      <c r="D121" s="2">
        <v>3.7030716723549488E-4</v>
      </c>
      <c r="E121" s="2" t="s">
        <v>9</v>
      </c>
      <c r="F121" s="2" t="s">
        <v>81</v>
      </c>
      <c r="G121" s="2" t="s">
        <v>82</v>
      </c>
      <c r="H121" s="2" t="s">
        <v>83</v>
      </c>
      <c r="J121" s="2" t="s">
        <v>84</v>
      </c>
    </row>
    <row r="122" spans="1:10" x14ac:dyDescent="0.35">
      <c r="A122" s="2" t="s">
        <v>89</v>
      </c>
      <c r="D122" s="2">
        <v>6.484641638225256E-4</v>
      </c>
      <c r="E122" s="2" t="s">
        <v>9</v>
      </c>
      <c r="F122" s="2" t="s">
        <v>81</v>
      </c>
      <c r="G122" s="2" t="s">
        <v>82</v>
      </c>
      <c r="H122" s="2" t="s">
        <v>83</v>
      </c>
      <c r="J122" s="2" t="s">
        <v>84</v>
      </c>
    </row>
    <row r="123" spans="1:10" s="11" customFormat="1" x14ac:dyDescent="0.35"/>
    <row r="124" spans="1:10" x14ac:dyDescent="0.35">
      <c r="A124" s="3" t="s">
        <v>0</v>
      </c>
      <c r="B124" s="3" t="s">
        <v>122</v>
      </c>
    </row>
    <row r="125" spans="1:10" x14ac:dyDescent="0.35">
      <c r="A125" s="8" t="s">
        <v>2</v>
      </c>
      <c r="B125" s="2" t="s">
        <v>123</v>
      </c>
    </row>
    <row r="126" spans="1:10" x14ac:dyDescent="0.35">
      <c r="A126" s="8" t="s">
        <v>4</v>
      </c>
      <c r="B126" s="2" t="s">
        <v>5</v>
      </c>
    </row>
    <row r="127" spans="1:10" x14ac:dyDescent="0.35">
      <c r="A127" s="8" t="s">
        <v>6</v>
      </c>
      <c r="B127" s="2">
        <v>1</v>
      </c>
    </row>
    <row r="128" spans="1:10" x14ac:dyDescent="0.35">
      <c r="A128" s="8" t="s">
        <v>8</v>
      </c>
      <c r="B128" s="2" t="s">
        <v>9</v>
      </c>
    </row>
    <row r="129" spans="1:14" x14ac:dyDescent="0.35">
      <c r="A129" s="8" t="s">
        <v>10</v>
      </c>
      <c r="B129" s="2" t="s">
        <v>11</v>
      </c>
    </row>
    <row r="130" spans="1:14" x14ac:dyDescent="0.35">
      <c r="A130" s="8" t="s">
        <v>12</v>
      </c>
    </row>
    <row r="131" spans="1:14" x14ac:dyDescent="0.35">
      <c r="A131" s="3" t="s">
        <v>13</v>
      </c>
      <c r="B131" s="3" t="s">
        <v>2</v>
      </c>
      <c r="C131" s="3" t="s">
        <v>4</v>
      </c>
      <c r="D131" s="3" t="s">
        <v>6</v>
      </c>
      <c r="E131" s="3" t="s">
        <v>8</v>
      </c>
      <c r="F131" s="3" t="s">
        <v>14</v>
      </c>
      <c r="G131" s="3" t="s">
        <v>15</v>
      </c>
      <c r="H131" s="3" t="s">
        <v>16</v>
      </c>
      <c r="I131" s="3" t="s">
        <v>17</v>
      </c>
      <c r="J131" s="3" t="s">
        <v>18</v>
      </c>
      <c r="K131" s="3" t="s">
        <v>19</v>
      </c>
      <c r="L131" s="3" t="s">
        <v>20</v>
      </c>
      <c r="M131" s="3" t="s">
        <v>21</v>
      </c>
      <c r="N131" s="3" t="s">
        <v>22</v>
      </c>
    </row>
    <row r="132" spans="1:14" x14ac:dyDescent="0.35">
      <c r="A132" s="2" t="str">
        <f>B124</f>
        <v>Quicklime production</v>
      </c>
      <c r="B132" s="2" t="str">
        <f>B125</f>
        <v>Quicklime</v>
      </c>
      <c r="C132" s="2" t="str">
        <f>B126</f>
        <v>CN</v>
      </c>
      <c r="D132" s="2">
        <v>1</v>
      </c>
      <c r="E132" s="2" t="s">
        <v>9</v>
      </c>
      <c r="F132" s="9" t="str">
        <f>F111</f>
        <v>Vanadium</v>
      </c>
      <c r="G132" s="2" t="s">
        <v>23</v>
      </c>
    </row>
    <row r="133" spans="1:14" x14ac:dyDescent="0.35">
      <c r="A133" s="2" t="s">
        <v>31</v>
      </c>
      <c r="B133" s="2" t="s">
        <v>32</v>
      </c>
      <c r="C133" s="2" t="s">
        <v>33</v>
      </c>
      <c r="D133" s="2">
        <v>1.667015706806283</v>
      </c>
      <c r="E133" s="2" t="s">
        <v>9</v>
      </c>
      <c r="F133" s="2" t="s">
        <v>25</v>
      </c>
      <c r="G133" s="2" t="s">
        <v>26</v>
      </c>
      <c r="J133" s="2" t="s">
        <v>76</v>
      </c>
    </row>
    <row r="134" spans="1:14" s="9" customFormat="1" x14ac:dyDescent="0.35">
      <c r="A134" s="2" t="str">
        <f>A111</f>
        <v>Coke production</v>
      </c>
      <c r="B134" s="2" t="str">
        <f t="shared" ref="B134:C134" si="9">B111</f>
        <v>Coke</v>
      </c>
      <c r="C134" s="2" t="str">
        <f t="shared" si="9"/>
        <v>CN</v>
      </c>
      <c r="D134" s="2">
        <v>0.12879581151832459</v>
      </c>
      <c r="E134" s="2" t="str">
        <f>E111</f>
        <v>kilogram</v>
      </c>
      <c r="F134" s="9" t="str">
        <f>F111</f>
        <v>Vanadium</v>
      </c>
      <c r="G134" s="2" t="s">
        <v>26</v>
      </c>
      <c r="J134" s="9" t="s">
        <v>76</v>
      </c>
    </row>
    <row r="135" spans="1:14" x14ac:dyDescent="0.35">
      <c r="A135" s="2" t="s">
        <v>28</v>
      </c>
      <c r="B135" s="2" t="s">
        <v>29</v>
      </c>
      <c r="C135" s="2" t="s">
        <v>5</v>
      </c>
      <c r="D135" s="2">
        <v>2.0942408376963349E-3</v>
      </c>
      <c r="E135" s="2" t="s">
        <v>30</v>
      </c>
      <c r="F135" s="2" t="s">
        <v>25</v>
      </c>
      <c r="G135" s="2" t="s">
        <v>26</v>
      </c>
      <c r="J135" s="2" t="s">
        <v>76</v>
      </c>
    </row>
    <row r="136" spans="1:14" s="9" customFormat="1" x14ac:dyDescent="0.35">
      <c r="A136" s="9" t="s">
        <v>124</v>
      </c>
      <c r="D136" s="9">
        <v>1</v>
      </c>
      <c r="E136" s="9" t="s">
        <v>9</v>
      </c>
      <c r="F136" s="9" t="s">
        <v>25</v>
      </c>
      <c r="G136" s="9" t="s">
        <v>26</v>
      </c>
      <c r="J136" s="9" t="s">
        <v>76</v>
      </c>
    </row>
    <row r="137" spans="1:14" x14ac:dyDescent="0.35">
      <c r="A137" s="2" t="s">
        <v>80</v>
      </c>
      <c r="D137" s="2">
        <v>0.78638743455497373</v>
      </c>
      <c r="E137" s="2" t="s">
        <v>9</v>
      </c>
      <c r="F137" s="2" t="s">
        <v>81</v>
      </c>
      <c r="G137" s="2" t="s">
        <v>82</v>
      </c>
      <c r="H137" s="2" t="s">
        <v>83</v>
      </c>
      <c r="J137" s="2" t="s">
        <v>84</v>
      </c>
    </row>
    <row r="138" spans="1:14" x14ac:dyDescent="0.35">
      <c r="A138" s="2" t="s">
        <v>85</v>
      </c>
      <c r="D138" s="2">
        <v>5.8638743455497388E-4</v>
      </c>
      <c r="E138" s="2" t="s">
        <v>9</v>
      </c>
      <c r="F138" s="2" t="s">
        <v>81</v>
      </c>
      <c r="G138" s="2" t="s">
        <v>82</v>
      </c>
      <c r="H138" s="2" t="s">
        <v>83</v>
      </c>
      <c r="J138" s="2" t="s">
        <v>84</v>
      </c>
    </row>
    <row r="139" spans="1:14" x14ac:dyDescent="0.35">
      <c r="A139" s="2" t="s">
        <v>86</v>
      </c>
      <c r="D139" s="2">
        <v>1.4973821989528789E-3</v>
      </c>
      <c r="E139" s="2" t="s">
        <v>9</v>
      </c>
      <c r="F139" s="2" t="s">
        <v>81</v>
      </c>
      <c r="G139" s="2" t="s">
        <v>82</v>
      </c>
      <c r="H139" s="2" t="s">
        <v>83</v>
      </c>
      <c r="J139" s="2" t="s">
        <v>84</v>
      </c>
    </row>
    <row r="140" spans="1:14" x14ac:dyDescent="0.35">
      <c r="A140" s="2" t="s">
        <v>89</v>
      </c>
      <c r="D140" s="2">
        <v>2.1361256544502619E-2</v>
      </c>
      <c r="E140" s="2" t="s">
        <v>9</v>
      </c>
      <c r="F140" s="2" t="s">
        <v>81</v>
      </c>
      <c r="G140" s="2" t="s">
        <v>82</v>
      </c>
      <c r="H140" s="2" t="s">
        <v>83</v>
      </c>
      <c r="J140" s="2" t="s">
        <v>84</v>
      </c>
    </row>
    <row r="141" spans="1:14" s="10" customFormat="1" x14ac:dyDescent="0.35"/>
    <row r="142" spans="1:14" x14ac:dyDescent="0.35">
      <c r="A142" s="3" t="s">
        <v>0</v>
      </c>
      <c r="B142" s="3" t="s">
        <v>118</v>
      </c>
    </row>
    <row r="143" spans="1:14" x14ac:dyDescent="0.35">
      <c r="A143" s="8" t="s">
        <v>2</v>
      </c>
      <c r="B143" s="2" t="s">
        <v>3</v>
      </c>
    </row>
    <row r="144" spans="1:14" x14ac:dyDescent="0.35">
      <c r="A144" s="8" t="s">
        <v>4</v>
      </c>
      <c r="B144" s="2" t="s">
        <v>5</v>
      </c>
    </row>
    <row r="145" spans="1:14" x14ac:dyDescent="0.35">
      <c r="A145" s="8" t="s">
        <v>6</v>
      </c>
      <c r="B145" s="2">
        <v>1</v>
      </c>
    </row>
    <row r="146" spans="1:14" x14ac:dyDescent="0.35">
      <c r="A146" s="8" t="s">
        <v>8</v>
      </c>
      <c r="B146" s="2" t="s">
        <v>9</v>
      </c>
    </row>
    <row r="147" spans="1:14" x14ac:dyDescent="0.35">
      <c r="A147" s="8" t="s">
        <v>10</v>
      </c>
      <c r="B147" s="9" t="s">
        <v>287</v>
      </c>
    </row>
    <row r="148" spans="1:14" x14ac:dyDescent="0.35">
      <c r="A148" s="8" t="s">
        <v>12</v>
      </c>
    </row>
    <row r="149" spans="1:14" x14ac:dyDescent="0.35">
      <c r="A149" s="3" t="s">
        <v>13</v>
      </c>
      <c r="B149" s="3" t="s">
        <v>2</v>
      </c>
      <c r="C149" s="3" t="s">
        <v>4</v>
      </c>
      <c r="D149" s="3" t="s">
        <v>6</v>
      </c>
      <c r="E149" s="3" t="s">
        <v>8</v>
      </c>
      <c r="F149" s="3" t="s">
        <v>14</v>
      </c>
      <c r="G149" s="3" t="s">
        <v>15</v>
      </c>
      <c r="H149" s="3" t="s">
        <v>16</v>
      </c>
      <c r="I149" s="3" t="s">
        <v>17</v>
      </c>
      <c r="J149" s="3" t="s">
        <v>18</v>
      </c>
      <c r="K149" s="3" t="s">
        <v>19</v>
      </c>
      <c r="L149" s="3" t="s">
        <v>20</v>
      </c>
      <c r="M149" s="3" t="s">
        <v>21</v>
      </c>
      <c r="N149" s="3" t="s">
        <v>22</v>
      </c>
    </row>
    <row r="150" spans="1:14" x14ac:dyDescent="0.35">
      <c r="A150" s="2" t="str">
        <f>B142</f>
        <v>VTM ore mining and V2O5 production in China</v>
      </c>
      <c r="B150" s="2" t="str">
        <f>B143</f>
        <v>V2O5</v>
      </c>
      <c r="C150" s="2" t="str">
        <f>B144</f>
        <v>CN</v>
      </c>
      <c r="D150" s="2">
        <v>1</v>
      </c>
      <c r="E150" s="2" t="s">
        <v>9</v>
      </c>
      <c r="F150" s="9" t="str">
        <f>F132</f>
        <v>Vanadium</v>
      </c>
      <c r="G150" s="2" t="s">
        <v>23</v>
      </c>
    </row>
    <row r="151" spans="1:14" x14ac:dyDescent="0.35">
      <c r="A151" s="2" t="str">
        <f>A87</f>
        <v>[P] Vanadium pentoxide (V2O5) production</v>
      </c>
      <c r="B151" s="2" t="str">
        <f t="shared" ref="B151:F151" si="10">B87</f>
        <v>V2O5</v>
      </c>
      <c r="C151" s="2" t="str">
        <f t="shared" si="10"/>
        <v>CN</v>
      </c>
      <c r="D151" s="2">
        <f>D87</f>
        <v>1</v>
      </c>
      <c r="E151" s="2" t="str">
        <f t="shared" si="10"/>
        <v>kilogram</v>
      </c>
      <c r="F151" s="9" t="str">
        <f t="shared" si="10"/>
        <v>Vanadium</v>
      </c>
      <c r="G151" s="2" t="s">
        <v>26</v>
      </c>
    </row>
    <row r="152" spans="1:14" x14ac:dyDescent="0.35">
      <c r="A152" s="2" t="str">
        <f>A30</f>
        <v>[P+R] Crude steel production</v>
      </c>
      <c r="B152" s="2" t="str">
        <f t="shared" ref="B152:F152" si="11">B30</f>
        <v>Vanadium (V) slag</v>
      </c>
      <c r="C152" s="2" t="str">
        <f t="shared" si="11"/>
        <v>CN</v>
      </c>
      <c r="D152" s="2">
        <f>D88</f>
        <v>11.691022964509401</v>
      </c>
      <c r="E152" s="2" t="str">
        <f t="shared" si="11"/>
        <v>kilogram</v>
      </c>
      <c r="F152" s="9" t="str">
        <f t="shared" si="11"/>
        <v>Vanadium</v>
      </c>
      <c r="G152" s="2" t="s">
        <v>26</v>
      </c>
    </row>
    <row r="153" spans="1:14" x14ac:dyDescent="0.35">
      <c r="A153" s="2" t="str">
        <f>A9</f>
        <v>[M+C] Iron (Fe) ore mining and concentration</v>
      </c>
      <c r="B153" s="2" t="str">
        <f t="shared" ref="B153:F153" si="12">B9</f>
        <v>Fe concentrate</v>
      </c>
      <c r="C153" s="2" t="str">
        <f t="shared" si="12"/>
        <v>CN</v>
      </c>
      <c r="D153" s="9">
        <f>D88*((D33+D40)/D62)</f>
        <v>706.47181628392525</v>
      </c>
      <c r="E153" s="2" t="str">
        <f t="shared" si="12"/>
        <v>kilogram</v>
      </c>
      <c r="F153" s="9" t="str">
        <f t="shared" si="12"/>
        <v>Vanadium</v>
      </c>
      <c r="G153" s="2" t="s">
        <v>26</v>
      </c>
    </row>
    <row r="154" spans="1:14" s="10" customFormat="1" x14ac:dyDescent="0.35"/>
    <row r="155" spans="1:14" x14ac:dyDescent="0.35">
      <c r="A155" s="3" t="s">
        <v>0</v>
      </c>
      <c r="B155" s="3" t="s">
        <v>119</v>
      </c>
    </row>
    <row r="156" spans="1:14" x14ac:dyDescent="0.35">
      <c r="A156" s="8" t="s">
        <v>2</v>
      </c>
      <c r="B156" s="2" t="s">
        <v>55</v>
      </c>
    </row>
    <row r="157" spans="1:14" x14ac:dyDescent="0.35">
      <c r="A157" s="8" t="s">
        <v>4</v>
      </c>
      <c r="B157" s="2" t="s">
        <v>5</v>
      </c>
    </row>
    <row r="158" spans="1:14" x14ac:dyDescent="0.35">
      <c r="A158" s="8" t="s">
        <v>6</v>
      </c>
      <c r="B158" s="2">
        <v>1</v>
      </c>
    </row>
    <row r="159" spans="1:14" x14ac:dyDescent="0.35">
      <c r="A159" s="8" t="s">
        <v>8</v>
      </c>
      <c r="B159" s="2" t="s">
        <v>9</v>
      </c>
    </row>
    <row r="160" spans="1:14" x14ac:dyDescent="0.35">
      <c r="A160" s="8" t="s">
        <v>10</v>
      </c>
      <c r="B160" s="2" t="s">
        <v>56</v>
      </c>
    </row>
    <row r="161" spans="1:14" x14ac:dyDescent="0.35">
      <c r="A161" s="8" t="s">
        <v>12</v>
      </c>
    </row>
    <row r="162" spans="1:14" x14ac:dyDescent="0.35">
      <c r="A162" s="3" t="s">
        <v>13</v>
      </c>
      <c r="B162" s="3" t="s">
        <v>2</v>
      </c>
      <c r="C162" s="3" t="s">
        <v>4</v>
      </c>
      <c r="D162" s="3" t="s">
        <v>6</v>
      </c>
      <c r="E162" s="3" t="s">
        <v>8</v>
      </c>
      <c r="F162" s="3" t="s">
        <v>14</v>
      </c>
      <c r="G162" s="3" t="s">
        <v>15</v>
      </c>
      <c r="H162" s="3" t="s">
        <v>16</v>
      </c>
      <c r="I162" s="3" t="s">
        <v>17</v>
      </c>
      <c r="J162" s="3" t="s">
        <v>18</v>
      </c>
      <c r="K162" s="3" t="s">
        <v>19</v>
      </c>
      <c r="L162" s="3" t="s">
        <v>20</v>
      </c>
      <c r="M162" s="3" t="s">
        <v>21</v>
      </c>
      <c r="N162" s="3" t="s">
        <v>22</v>
      </c>
    </row>
    <row r="163" spans="1:14" x14ac:dyDescent="0.35">
      <c r="A163" s="2" t="str">
        <f>B155</f>
        <v>VTM ore mining and V2O5 production in China (V content)</v>
      </c>
      <c r="B163" s="2" t="str">
        <f>B156</f>
        <v>V2O5 (V content)</v>
      </c>
      <c r="C163" s="2" t="str">
        <f>B157</f>
        <v>CN</v>
      </c>
      <c r="D163" s="2">
        <v>1</v>
      </c>
      <c r="E163" s="2" t="s">
        <v>9</v>
      </c>
      <c r="F163" s="9" t="str">
        <f>F150</f>
        <v>Vanadium</v>
      </c>
      <c r="G163" s="2" t="s">
        <v>23</v>
      </c>
    </row>
    <row r="164" spans="1:14" x14ac:dyDescent="0.35">
      <c r="A164" s="2" t="str">
        <f>A151</f>
        <v>[P] Vanadium pentoxide (V2O5) production</v>
      </c>
      <c r="B164" s="2" t="str">
        <f t="shared" ref="B164:G164" si="13">B151</f>
        <v>V2O5</v>
      </c>
      <c r="C164" s="2" t="str">
        <f t="shared" si="13"/>
        <v>CN</v>
      </c>
      <c r="D164" s="2">
        <f>D151/(56.02/100)</f>
        <v>1.7850767583006069</v>
      </c>
      <c r="E164" s="2" t="str">
        <f t="shared" si="13"/>
        <v>kilogram</v>
      </c>
      <c r="F164" s="9" t="str">
        <f t="shared" si="13"/>
        <v>Vanadium</v>
      </c>
      <c r="G164" s="2" t="str">
        <f t="shared" si="13"/>
        <v>technosphere</v>
      </c>
    </row>
    <row r="165" spans="1:14" x14ac:dyDescent="0.35">
      <c r="A165" s="2" t="str">
        <f>A152</f>
        <v>[P+R] Crude steel production</v>
      </c>
      <c r="B165" s="2" t="str">
        <f t="shared" ref="B165:G165" si="14">B152</f>
        <v>Vanadium (V) slag</v>
      </c>
      <c r="C165" s="2" t="str">
        <f t="shared" si="14"/>
        <v>CN</v>
      </c>
      <c r="D165" s="2">
        <f>D152/(56.02/100)</f>
        <v>20.869373374704391</v>
      </c>
      <c r="E165" s="2" t="str">
        <f t="shared" si="14"/>
        <v>kilogram</v>
      </c>
      <c r="F165" s="9" t="str">
        <f t="shared" si="14"/>
        <v>Vanadium</v>
      </c>
      <c r="G165" s="2" t="str">
        <f t="shared" si="14"/>
        <v>technosphere</v>
      </c>
    </row>
    <row r="166" spans="1:14" x14ac:dyDescent="0.35">
      <c r="A166" s="2" t="str">
        <f>A153</f>
        <v>[M+C] Iron (Fe) ore mining and concentration</v>
      </c>
      <c r="B166" s="2" t="str">
        <f t="shared" ref="B166:G166" si="15">B153</f>
        <v>Fe concentrate</v>
      </c>
      <c r="C166" s="2" t="str">
        <f t="shared" si="15"/>
        <v>CN</v>
      </c>
      <c r="D166" s="9">
        <f>D153/(56.02/100)</f>
        <v>1261.1064196428511</v>
      </c>
      <c r="E166" s="2" t="str">
        <f t="shared" si="15"/>
        <v>kilogram</v>
      </c>
      <c r="F166" s="9" t="str">
        <f t="shared" si="15"/>
        <v>Vanadium</v>
      </c>
      <c r="G166" s="2" t="str">
        <f t="shared" si="15"/>
        <v>technosphere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3258-0F9E-4FF7-A93E-BE5E545F759F}">
  <sheetPr>
    <tabColor theme="8" tint="0.39997558519241921"/>
  </sheetPr>
  <dimension ref="A1:N205"/>
  <sheetViews>
    <sheetView workbookViewId="0"/>
  </sheetViews>
  <sheetFormatPr baseColWidth="10" defaultColWidth="9.1796875" defaultRowHeight="14.5" x14ac:dyDescent="0.35"/>
  <cols>
    <col min="1" max="1" width="68.54296875" style="2" bestFit="1" customWidth="1"/>
    <col min="2" max="2" width="69.1796875" style="2" bestFit="1" customWidth="1"/>
    <col min="3" max="3" width="7.6328125" style="2" bestFit="1" customWidth="1"/>
    <col min="4" max="5" width="12.453125" style="2" bestFit="1" customWidth="1"/>
    <col min="6" max="6" width="18.36328125" style="2" bestFit="1" customWidth="1"/>
    <col min="7" max="7" width="12.26953125" style="2" bestFit="1" customWidth="1"/>
    <col min="8" max="8" width="32.26953125" style="2" bestFit="1" customWidth="1"/>
    <col min="9" max="9" width="14.6328125" style="2" bestFit="1" customWidth="1"/>
    <col min="10" max="10" width="8.90625" style="2" bestFit="1" customWidth="1"/>
    <col min="11" max="11" width="3.36328125" style="2" bestFit="1" customWidth="1"/>
    <col min="12" max="12" width="5" style="2" bestFit="1" customWidth="1"/>
    <col min="13" max="13" width="8.90625" style="2" bestFit="1" customWidth="1"/>
    <col min="14" max="14" width="9.26953125" style="2" bestFit="1" customWidth="1"/>
    <col min="15" max="16384" width="9.1796875" style="2"/>
  </cols>
  <sheetData>
    <row r="1" spans="1:14" x14ac:dyDescent="0.35">
      <c r="A1" s="3" t="s">
        <v>0</v>
      </c>
      <c r="B1" s="3" t="s">
        <v>125</v>
      </c>
    </row>
    <row r="2" spans="1:14" x14ac:dyDescent="0.35">
      <c r="A2" s="8" t="s">
        <v>2</v>
      </c>
      <c r="B2" s="2" t="s">
        <v>126</v>
      </c>
    </row>
    <row r="3" spans="1:14" x14ac:dyDescent="0.35">
      <c r="A3" s="8" t="s">
        <v>4</v>
      </c>
      <c r="B3" s="2" t="s">
        <v>127</v>
      </c>
    </row>
    <row r="4" spans="1:14" x14ac:dyDescent="0.35">
      <c r="A4" s="8" t="s">
        <v>6</v>
      </c>
      <c r="B4" s="2">
        <v>1</v>
      </c>
    </row>
    <row r="5" spans="1:14" x14ac:dyDescent="0.35">
      <c r="A5" s="8" t="s">
        <v>8</v>
      </c>
      <c r="B5" s="2" t="s">
        <v>9</v>
      </c>
    </row>
    <row r="6" spans="1:14" x14ac:dyDescent="0.35">
      <c r="A6" s="8" t="s">
        <v>10</v>
      </c>
      <c r="B6" s="2" t="s">
        <v>11</v>
      </c>
    </row>
    <row r="7" spans="1:14" x14ac:dyDescent="0.35">
      <c r="A7" s="8" t="s">
        <v>12</v>
      </c>
    </row>
    <row r="8" spans="1:14" x14ac:dyDescent="0.35">
      <c r="A8" s="3" t="s">
        <v>13</v>
      </c>
      <c r="B8" s="3" t="s">
        <v>2</v>
      </c>
      <c r="C8" s="3" t="s">
        <v>4</v>
      </c>
      <c r="D8" s="3" t="s">
        <v>6</v>
      </c>
      <c r="E8" s="3" t="s">
        <v>8</v>
      </c>
      <c r="F8" s="3" t="s">
        <v>14</v>
      </c>
      <c r="G8" s="3" t="s">
        <v>15</v>
      </c>
      <c r="H8" s="3" t="s">
        <v>16</v>
      </c>
      <c r="I8" s="3" t="s">
        <v>17</v>
      </c>
      <c r="J8" s="3" t="s">
        <v>18</v>
      </c>
      <c r="K8" s="3" t="s">
        <v>19</v>
      </c>
      <c r="L8" s="3" t="s">
        <v>20</v>
      </c>
      <c r="M8" s="3" t="s">
        <v>21</v>
      </c>
      <c r="N8" s="3" t="s">
        <v>22</v>
      </c>
    </row>
    <row r="9" spans="1:14" x14ac:dyDescent="0.35">
      <c r="A9" s="2" t="str">
        <f>B1</f>
        <v>[M+C+P] Iron (Fe) production</v>
      </c>
      <c r="B9" s="2" t="str">
        <f>B2</f>
        <v xml:space="preserve">Fe </v>
      </c>
      <c r="C9" s="2" t="str">
        <f>B3</f>
        <v>ZA</v>
      </c>
      <c r="D9" s="2">
        <v>1</v>
      </c>
      <c r="E9" s="2" t="s">
        <v>9</v>
      </c>
      <c r="F9" s="9" t="str">
        <f>V_Market_GLO!B1</f>
        <v>Vanadium</v>
      </c>
      <c r="G9" s="2" t="s">
        <v>23</v>
      </c>
    </row>
    <row r="10" spans="1:14" x14ac:dyDescent="0.35">
      <c r="A10" s="2" t="s">
        <v>128</v>
      </c>
      <c r="B10" s="2" t="s">
        <v>129</v>
      </c>
      <c r="C10" s="2" t="s">
        <v>51</v>
      </c>
      <c r="D10" s="2">
        <v>1.824817518248175</v>
      </c>
      <c r="E10" s="2" t="s">
        <v>9</v>
      </c>
      <c r="F10" s="2" t="s">
        <v>25</v>
      </c>
      <c r="G10" s="2" t="s">
        <v>26</v>
      </c>
      <c r="J10" s="2" t="s">
        <v>130</v>
      </c>
    </row>
    <row r="11" spans="1:14" x14ac:dyDescent="0.35">
      <c r="A11" s="2" t="s">
        <v>131</v>
      </c>
      <c r="B11" s="2" t="s">
        <v>29</v>
      </c>
      <c r="C11" s="2" t="s">
        <v>127</v>
      </c>
      <c r="D11" s="2">
        <v>1.647657481751825</v>
      </c>
      <c r="E11" s="2" t="s">
        <v>30</v>
      </c>
      <c r="F11" s="2" t="s">
        <v>25</v>
      </c>
      <c r="G11" s="2" t="s">
        <v>26</v>
      </c>
      <c r="J11" s="2" t="s">
        <v>130</v>
      </c>
    </row>
    <row r="12" spans="1:14" x14ac:dyDescent="0.35">
      <c r="A12" s="2" t="s">
        <v>91</v>
      </c>
      <c r="B12" s="2" t="s">
        <v>92</v>
      </c>
      <c r="C12" s="2" t="s">
        <v>127</v>
      </c>
      <c r="D12" s="2">
        <v>0.80291970802919699</v>
      </c>
      <c r="E12" s="2" t="s">
        <v>9</v>
      </c>
      <c r="F12" s="2" t="s">
        <v>25</v>
      </c>
      <c r="G12" s="2" t="s">
        <v>26</v>
      </c>
      <c r="J12" s="2" t="s">
        <v>130</v>
      </c>
    </row>
    <row r="13" spans="1:14" x14ac:dyDescent="0.35">
      <c r="A13" s="2" t="s">
        <v>132</v>
      </c>
      <c r="B13" s="2" t="s">
        <v>133</v>
      </c>
      <c r="C13" s="2" t="s">
        <v>33</v>
      </c>
      <c r="D13" s="2">
        <v>0.40145985401459849</v>
      </c>
      <c r="E13" s="2" t="s">
        <v>9</v>
      </c>
      <c r="F13" s="2" t="s">
        <v>25</v>
      </c>
      <c r="G13" s="2" t="s">
        <v>26</v>
      </c>
      <c r="J13" s="2" t="s">
        <v>130</v>
      </c>
    </row>
    <row r="14" spans="1:14" x14ac:dyDescent="0.35">
      <c r="A14" s="2" t="s">
        <v>134</v>
      </c>
      <c r="B14" s="2" t="s">
        <v>135</v>
      </c>
      <c r="C14" s="2" t="s">
        <v>127</v>
      </c>
      <c r="D14" s="2">
        <v>0.20072992700729919</v>
      </c>
      <c r="E14" s="2" t="s">
        <v>136</v>
      </c>
      <c r="F14" s="2" t="s">
        <v>25</v>
      </c>
      <c r="G14" s="2" t="s">
        <v>26</v>
      </c>
      <c r="J14" s="2" t="s">
        <v>130</v>
      </c>
    </row>
    <row r="15" spans="1:14" x14ac:dyDescent="0.35">
      <c r="A15" s="2" t="s">
        <v>137</v>
      </c>
      <c r="B15" s="2" t="s">
        <v>138</v>
      </c>
      <c r="C15" s="2" t="s">
        <v>51</v>
      </c>
      <c r="D15" s="2">
        <v>2.7372262773722629E-2</v>
      </c>
      <c r="E15" s="2" t="s">
        <v>9</v>
      </c>
      <c r="F15" s="2" t="s">
        <v>25</v>
      </c>
      <c r="G15" s="2" t="s">
        <v>26</v>
      </c>
      <c r="J15" s="2" t="s">
        <v>130</v>
      </c>
    </row>
    <row r="16" spans="1:14" x14ac:dyDescent="0.35">
      <c r="A16" s="2" t="s">
        <v>139</v>
      </c>
      <c r="B16" s="2" t="s">
        <v>140</v>
      </c>
      <c r="C16" s="2" t="s">
        <v>51</v>
      </c>
      <c r="D16" s="2">
        <v>5.4744525547445249E-3</v>
      </c>
      <c r="E16" s="2" t="s">
        <v>9</v>
      </c>
      <c r="F16" s="2" t="s">
        <v>25</v>
      </c>
      <c r="G16" s="2" t="s">
        <v>26</v>
      </c>
      <c r="J16" s="2" t="s">
        <v>130</v>
      </c>
    </row>
    <row r="17" spans="1:10" x14ac:dyDescent="0.35">
      <c r="A17" s="2" t="s">
        <v>141</v>
      </c>
      <c r="B17" s="2" t="s">
        <v>142</v>
      </c>
      <c r="C17" s="2" t="s">
        <v>51</v>
      </c>
      <c r="D17" s="2">
        <v>7.2992700729927003E-11</v>
      </c>
      <c r="E17" s="2" t="s">
        <v>8</v>
      </c>
      <c r="F17" s="2" t="s">
        <v>25</v>
      </c>
      <c r="G17" s="2" t="s">
        <v>26</v>
      </c>
      <c r="J17" s="2" t="s">
        <v>130</v>
      </c>
    </row>
    <row r="18" spans="1:10" x14ac:dyDescent="0.35">
      <c r="A18" s="2" t="s">
        <v>74</v>
      </c>
      <c r="B18" s="2" t="s">
        <v>75</v>
      </c>
      <c r="C18" s="2" t="s">
        <v>51</v>
      </c>
      <c r="D18" s="2">
        <v>1.824817518248175</v>
      </c>
      <c r="E18" s="2" t="s">
        <v>9</v>
      </c>
      <c r="F18" s="2" t="s">
        <v>25</v>
      </c>
      <c r="G18" s="2" t="s">
        <v>26</v>
      </c>
      <c r="J18" s="2" t="s">
        <v>130</v>
      </c>
    </row>
    <row r="19" spans="1:10" x14ac:dyDescent="0.35">
      <c r="A19" s="2" t="s">
        <v>144</v>
      </c>
      <c r="B19" s="2" t="s">
        <v>145</v>
      </c>
      <c r="C19" s="2" t="s">
        <v>51</v>
      </c>
      <c r="D19" s="2">
        <v>-0.81751824817518248</v>
      </c>
      <c r="E19" s="2" t="s">
        <v>9</v>
      </c>
      <c r="F19" s="2" t="s">
        <v>25</v>
      </c>
      <c r="G19" s="2" t="s">
        <v>26</v>
      </c>
      <c r="J19" s="2" t="s">
        <v>130</v>
      </c>
    </row>
    <row r="20" spans="1:10" x14ac:dyDescent="0.35">
      <c r="A20" s="2" t="s">
        <v>146</v>
      </c>
      <c r="B20" s="2" t="s">
        <v>147</v>
      </c>
      <c r="C20" s="2" t="s">
        <v>33</v>
      </c>
      <c r="D20" s="2">
        <v>-0.80291970802919699</v>
      </c>
      <c r="E20" s="2" t="s">
        <v>9</v>
      </c>
      <c r="F20" s="2" t="s">
        <v>25</v>
      </c>
      <c r="G20" s="2" t="s">
        <v>26</v>
      </c>
      <c r="J20" s="2" t="s">
        <v>130</v>
      </c>
    </row>
    <row r="21" spans="1:10" x14ac:dyDescent="0.35">
      <c r="A21" s="2" t="s">
        <v>149</v>
      </c>
      <c r="B21" s="2" t="s">
        <v>150</v>
      </c>
      <c r="C21" s="2" t="s">
        <v>33</v>
      </c>
      <c r="D21" s="2">
        <v>-0.43613138686131381</v>
      </c>
      <c r="E21" s="2" t="s">
        <v>9</v>
      </c>
      <c r="F21" s="2" t="s">
        <v>25</v>
      </c>
      <c r="G21" s="2" t="s">
        <v>26</v>
      </c>
      <c r="J21" s="2" t="s">
        <v>130</v>
      </c>
    </row>
    <row r="22" spans="1:10" x14ac:dyDescent="0.35">
      <c r="A22" s="2" t="s">
        <v>80</v>
      </c>
      <c r="D22" s="2">
        <v>1.4071326111922151</v>
      </c>
      <c r="E22" s="2" t="s">
        <v>9</v>
      </c>
      <c r="F22" s="2" t="s">
        <v>81</v>
      </c>
      <c r="G22" s="2" t="s">
        <v>82</v>
      </c>
      <c r="H22" s="2" t="s">
        <v>151</v>
      </c>
      <c r="J22" s="2" t="s">
        <v>130</v>
      </c>
    </row>
    <row r="23" spans="1:10" x14ac:dyDescent="0.35">
      <c r="A23" s="2" t="s">
        <v>85</v>
      </c>
      <c r="D23" s="2">
        <v>1.1712779973844289E-2</v>
      </c>
      <c r="E23" s="2" t="s">
        <v>9</v>
      </c>
      <c r="F23" s="2" t="s">
        <v>81</v>
      </c>
      <c r="G23" s="2" t="s">
        <v>82</v>
      </c>
      <c r="H23" s="2" t="s">
        <v>151</v>
      </c>
      <c r="J23" s="2" t="s">
        <v>130</v>
      </c>
    </row>
    <row r="24" spans="1:10" x14ac:dyDescent="0.35">
      <c r="A24" s="2" t="s">
        <v>152</v>
      </c>
      <c r="D24" s="2">
        <v>7.6722422627737196E-3</v>
      </c>
      <c r="E24" s="2" t="s">
        <v>153</v>
      </c>
      <c r="F24" s="2" t="s">
        <v>81</v>
      </c>
      <c r="G24" s="2" t="s">
        <v>82</v>
      </c>
      <c r="H24" s="2" t="s">
        <v>151</v>
      </c>
      <c r="J24" s="2" t="s">
        <v>130</v>
      </c>
    </row>
    <row r="25" spans="1:10" x14ac:dyDescent="0.35">
      <c r="A25" s="2" t="s">
        <v>154</v>
      </c>
      <c r="D25" s="2">
        <v>7.5360486131386866E-3</v>
      </c>
      <c r="E25" s="2" t="s">
        <v>153</v>
      </c>
      <c r="F25" s="2" t="s">
        <v>81</v>
      </c>
      <c r="G25" s="2" t="s">
        <v>82</v>
      </c>
      <c r="H25" s="2" t="s">
        <v>151</v>
      </c>
      <c r="J25" s="2" t="s">
        <v>130</v>
      </c>
    </row>
    <row r="26" spans="1:10" x14ac:dyDescent="0.35">
      <c r="A26" s="2" t="s">
        <v>87</v>
      </c>
      <c r="D26" s="2">
        <v>5.8763776660583954E-3</v>
      </c>
      <c r="E26" s="2" t="s">
        <v>9</v>
      </c>
      <c r="F26" s="2" t="s">
        <v>81</v>
      </c>
      <c r="G26" s="2" t="s">
        <v>82</v>
      </c>
      <c r="H26" s="2" t="s">
        <v>151</v>
      </c>
      <c r="J26" s="2" t="s">
        <v>130</v>
      </c>
    </row>
    <row r="27" spans="1:10" x14ac:dyDescent="0.35">
      <c r="A27" s="2" t="s">
        <v>155</v>
      </c>
      <c r="D27" s="2">
        <v>1.9091303899154599E-3</v>
      </c>
      <c r="E27" s="2" t="s">
        <v>40</v>
      </c>
      <c r="F27" s="2" t="s">
        <v>81</v>
      </c>
      <c r="G27" s="2" t="s">
        <v>82</v>
      </c>
      <c r="H27" s="2" t="s">
        <v>83</v>
      </c>
      <c r="J27" s="2" t="s">
        <v>130</v>
      </c>
    </row>
    <row r="28" spans="1:10" x14ac:dyDescent="0.35">
      <c r="A28" s="2" t="s">
        <v>156</v>
      </c>
      <c r="D28" s="2">
        <v>1.861313211678836E-3</v>
      </c>
      <c r="E28" s="2" t="s">
        <v>153</v>
      </c>
      <c r="F28" s="2" t="s">
        <v>81</v>
      </c>
      <c r="G28" s="2" t="s">
        <v>82</v>
      </c>
      <c r="H28" s="2" t="s">
        <v>151</v>
      </c>
      <c r="J28" s="2" t="s">
        <v>130</v>
      </c>
    </row>
    <row r="29" spans="1:10" x14ac:dyDescent="0.35">
      <c r="A29" s="2" t="s">
        <v>157</v>
      </c>
      <c r="D29" s="2">
        <v>1.048691102189781E-3</v>
      </c>
      <c r="E29" s="2" t="s">
        <v>153</v>
      </c>
      <c r="F29" s="2" t="s">
        <v>81</v>
      </c>
      <c r="G29" s="2" t="s">
        <v>82</v>
      </c>
      <c r="H29" s="2" t="s">
        <v>151</v>
      </c>
      <c r="J29" s="2" t="s">
        <v>130</v>
      </c>
    </row>
    <row r="30" spans="1:10" x14ac:dyDescent="0.35">
      <c r="A30" s="2" t="s">
        <v>158</v>
      </c>
      <c r="D30" s="2">
        <v>4.0101463503649582E-4</v>
      </c>
      <c r="E30" s="2" t="s">
        <v>9</v>
      </c>
      <c r="F30" s="2" t="s">
        <v>81</v>
      </c>
      <c r="G30" s="2" t="s">
        <v>82</v>
      </c>
      <c r="H30" s="2" t="s">
        <v>151</v>
      </c>
      <c r="J30" s="2" t="s">
        <v>130</v>
      </c>
    </row>
    <row r="31" spans="1:10" x14ac:dyDescent="0.35">
      <c r="A31" s="2" t="s">
        <v>159</v>
      </c>
      <c r="D31" s="2">
        <v>3.4805043795620448E-4</v>
      </c>
      <c r="E31" s="2" t="s">
        <v>153</v>
      </c>
      <c r="F31" s="2" t="s">
        <v>81</v>
      </c>
      <c r="G31" s="2" t="s">
        <v>82</v>
      </c>
      <c r="H31" s="2" t="s">
        <v>151</v>
      </c>
      <c r="J31" s="2" t="s">
        <v>130</v>
      </c>
    </row>
    <row r="32" spans="1:10" x14ac:dyDescent="0.35">
      <c r="A32" s="2" t="s">
        <v>160</v>
      </c>
      <c r="D32" s="2">
        <v>3.1180779452554761E-4</v>
      </c>
      <c r="E32" s="2" t="s">
        <v>9</v>
      </c>
      <c r="F32" s="2" t="s">
        <v>81</v>
      </c>
      <c r="G32" s="2" t="s">
        <v>82</v>
      </c>
      <c r="H32" s="2" t="s">
        <v>151</v>
      </c>
      <c r="J32" s="2" t="s">
        <v>130</v>
      </c>
    </row>
    <row r="33" spans="1:10" x14ac:dyDescent="0.35">
      <c r="A33" s="2" t="s">
        <v>161</v>
      </c>
      <c r="D33" s="2">
        <v>2.7692708759124052E-4</v>
      </c>
      <c r="E33" s="2" t="s">
        <v>153</v>
      </c>
      <c r="F33" s="2" t="s">
        <v>81</v>
      </c>
      <c r="G33" s="2" t="s">
        <v>82</v>
      </c>
      <c r="H33" s="2" t="s">
        <v>151</v>
      </c>
      <c r="J33" s="2" t="s">
        <v>130</v>
      </c>
    </row>
    <row r="34" spans="1:10" x14ac:dyDescent="0.35">
      <c r="A34" s="2" t="s">
        <v>162</v>
      </c>
      <c r="D34" s="2">
        <v>2.5876793430656882E-4</v>
      </c>
      <c r="E34" s="2" t="s">
        <v>153</v>
      </c>
      <c r="F34" s="2" t="s">
        <v>81</v>
      </c>
      <c r="G34" s="2" t="s">
        <v>82</v>
      </c>
      <c r="H34" s="2" t="s">
        <v>151</v>
      </c>
      <c r="J34" s="2" t="s">
        <v>130</v>
      </c>
    </row>
    <row r="35" spans="1:10" x14ac:dyDescent="0.35">
      <c r="A35" s="2" t="s">
        <v>163</v>
      </c>
      <c r="D35" s="2">
        <v>2.4060878102189699E-4</v>
      </c>
      <c r="E35" s="2" t="s">
        <v>153</v>
      </c>
      <c r="F35" s="2" t="s">
        <v>81</v>
      </c>
      <c r="G35" s="2" t="s">
        <v>82</v>
      </c>
      <c r="H35" s="2" t="s">
        <v>151</v>
      </c>
      <c r="J35" s="2" t="s">
        <v>130</v>
      </c>
    </row>
    <row r="36" spans="1:10" x14ac:dyDescent="0.35">
      <c r="A36" s="2" t="s">
        <v>86</v>
      </c>
      <c r="D36" s="2">
        <v>1.334697766423364E-4</v>
      </c>
      <c r="E36" s="2" t="s">
        <v>9</v>
      </c>
      <c r="F36" s="2" t="s">
        <v>81</v>
      </c>
      <c r="G36" s="2" t="s">
        <v>82</v>
      </c>
      <c r="H36" s="2" t="s">
        <v>151</v>
      </c>
      <c r="J36" s="2" t="s">
        <v>130</v>
      </c>
    </row>
    <row r="37" spans="1:10" x14ac:dyDescent="0.35">
      <c r="A37" s="2" t="s">
        <v>164</v>
      </c>
      <c r="D37" s="2">
        <v>1.0780021614152479E-4</v>
      </c>
      <c r="E37" s="2" t="s">
        <v>9</v>
      </c>
      <c r="F37" s="2" t="s">
        <v>81</v>
      </c>
      <c r="G37" s="2" t="s">
        <v>82</v>
      </c>
      <c r="H37" s="2" t="s">
        <v>151</v>
      </c>
      <c r="J37" s="2" t="s">
        <v>130</v>
      </c>
    </row>
    <row r="38" spans="1:10" x14ac:dyDescent="0.35">
      <c r="A38" s="2" t="s">
        <v>165</v>
      </c>
      <c r="D38" s="2">
        <v>8.9433829927007335E-5</v>
      </c>
      <c r="E38" s="2" t="s">
        <v>153</v>
      </c>
      <c r="F38" s="2" t="s">
        <v>81</v>
      </c>
      <c r="G38" s="2" t="s">
        <v>82</v>
      </c>
      <c r="H38" s="2" t="s">
        <v>151</v>
      </c>
      <c r="J38" s="2" t="s">
        <v>130</v>
      </c>
    </row>
    <row r="39" spans="1:10" x14ac:dyDescent="0.35">
      <c r="A39" s="2" t="s">
        <v>166</v>
      </c>
      <c r="D39" s="2">
        <v>7.3090591970802868E-5</v>
      </c>
      <c r="E39" s="2" t="s">
        <v>153</v>
      </c>
      <c r="F39" s="2" t="s">
        <v>81</v>
      </c>
      <c r="G39" s="2" t="s">
        <v>82</v>
      </c>
      <c r="H39" s="2" t="s">
        <v>151</v>
      </c>
      <c r="J39" s="2" t="s">
        <v>130</v>
      </c>
    </row>
    <row r="40" spans="1:10" x14ac:dyDescent="0.35">
      <c r="A40" s="2" t="s">
        <v>167</v>
      </c>
      <c r="D40" s="2">
        <v>4.9937671532846718E-5</v>
      </c>
      <c r="E40" s="2" t="s">
        <v>153</v>
      </c>
      <c r="F40" s="2" t="s">
        <v>81</v>
      </c>
      <c r="G40" s="2" t="s">
        <v>82</v>
      </c>
      <c r="H40" s="2" t="s">
        <v>151</v>
      </c>
      <c r="J40" s="2" t="s">
        <v>130</v>
      </c>
    </row>
    <row r="41" spans="1:10" x14ac:dyDescent="0.35">
      <c r="A41" s="2" t="s">
        <v>168</v>
      </c>
      <c r="D41" s="2">
        <v>4.2825336496350333E-5</v>
      </c>
      <c r="E41" s="2" t="s">
        <v>9</v>
      </c>
      <c r="F41" s="2" t="s">
        <v>81</v>
      </c>
      <c r="G41" s="2" t="s">
        <v>82</v>
      </c>
      <c r="H41" s="2" t="s">
        <v>151</v>
      </c>
      <c r="J41" s="2" t="s">
        <v>130</v>
      </c>
    </row>
    <row r="42" spans="1:10" x14ac:dyDescent="0.35">
      <c r="A42" s="2" t="s">
        <v>169</v>
      </c>
      <c r="D42" s="2">
        <v>3.0567908029197027E-5</v>
      </c>
      <c r="E42" s="2" t="s">
        <v>153</v>
      </c>
      <c r="F42" s="2" t="s">
        <v>81</v>
      </c>
      <c r="G42" s="2" t="s">
        <v>82</v>
      </c>
      <c r="H42" s="2" t="s">
        <v>151</v>
      </c>
      <c r="J42" s="2" t="s">
        <v>130</v>
      </c>
    </row>
    <row r="43" spans="1:10" x14ac:dyDescent="0.35">
      <c r="A43" s="2" t="s">
        <v>170</v>
      </c>
      <c r="D43" s="2">
        <v>1.8521915999594481E-5</v>
      </c>
      <c r="E43" s="2" t="s">
        <v>9</v>
      </c>
      <c r="F43" s="2" t="s">
        <v>81</v>
      </c>
      <c r="G43" s="2" t="s">
        <v>82</v>
      </c>
      <c r="H43" s="2" t="s">
        <v>151</v>
      </c>
      <c r="J43" s="2" t="s">
        <v>130</v>
      </c>
    </row>
    <row r="44" spans="1:10" x14ac:dyDescent="0.35">
      <c r="A44" s="2" t="s">
        <v>171</v>
      </c>
      <c r="D44" s="2">
        <v>1.5586606569342991E-5</v>
      </c>
      <c r="E44" s="2" t="s">
        <v>153</v>
      </c>
      <c r="F44" s="2" t="s">
        <v>81</v>
      </c>
      <c r="G44" s="2" t="s">
        <v>82</v>
      </c>
      <c r="H44" s="2" t="s">
        <v>151</v>
      </c>
      <c r="J44" s="2" t="s">
        <v>130</v>
      </c>
    </row>
    <row r="45" spans="1:10" x14ac:dyDescent="0.35">
      <c r="A45" s="2" t="s">
        <v>172</v>
      </c>
      <c r="D45" s="2">
        <v>1.5586606569342991E-5</v>
      </c>
      <c r="E45" s="2" t="s">
        <v>153</v>
      </c>
      <c r="F45" s="2" t="s">
        <v>81</v>
      </c>
      <c r="G45" s="2" t="s">
        <v>82</v>
      </c>
      <c r="H45" s="2" t="s">
        <v>151</v>
      </c>
      <c r="J45" s="2" t="s">
        <v>130</v>
      </c>
    </row>
    <row r="46" spans="1:10" x14ac:dyDescent="0.35">
      <c r="A46" s="2" t="s">
        <v>173</v>
      </c>
      <c r="D46" s="2">
        <v>1.5586606569342991E-5</v>
      </c>
      <c r="E46" s="2" t="s">
        <v>153</v>
      </c>
      <c r="F46" s="2" t="s">
        <v>81</v>
      </c>
      <c r="G46" s="2" t="s">
        <v>82</v>
      </c>
      <c r="H46" s="2" t="s">
        <v>151</v>
      </c>
      <c r="J46" s="2" t="s">
        <v>130</v>
      </c>
    </row>
    <row r="47" spans="1:10" x14ac:dyDescent="0.35">
      <c r="A47" s="2" t="s">
        <v>174</v>
      </c>
      <c r="D47" s="2">
        <v>1.407334379562045E-5</v>
      </c>
      <c r="E47" s="2" t="s">
        <v>9</v>
      </c>
      <c r="F47" s="2" t="s">
        <v>81</v>
      </c>
      <c r="G47" s="2" t="s">
        <v>82</v>
      </c>
      <c r="H47" s="2" t="s">
        <v>151</v>
      </c>
      <c r="J47" s="2" t="s">
        <v>130</v>
      </c>
    </row>
    <row r="48" spans="1:10" x14ac:dyDescent="0.35">
      <c r="A48" s="2" t="s">
        <v>88</v>
      </c>
      <c r="D48" s="2">
        <v>1.364963021897812E-5</v>
      </c>
      <c r="E48" s="2" t="s">
        <v>9</v>
      </c>
      <c r="F48" s="2" t="s">
        <v>81</v>
      </c>
      <c r="G48" s="2" t="s">
        <v>82</v>
      </c>
      <c r="H48" s="2" t="s">
        <v>151</v>
      </c>
      <c r="J48" s="2" t="s">
        <v>130</v>
      </c>
    </row>
    <row r="49" spans="1:10" x14ac:dyDescent="0.35">
      <c r="A49" s="2" t="s">
        <v>89</v>
      </c>
      <c r="D49" s="2">
        <v>1.293869096086781E-5</v>
      </c>
      <c r="E49" s="2" t="s">
        <v>9</v>
      </c>
      <c r="F49" s="2" t="s">
        <v>81</v>
      </c>
      <c r="G49" s="2" t="s">
        <v>82</v>
      </c>
      <c r="H49" s="2" t="s">
        <v>151</v>
      </c>
      <c r="J49" s="2" t="s">
        <v>130</v>
      </c>
    </row>
    <row r="50" spans="1:10" x14ac:dyDescent="0.35">
      <c r="A50" s="2" t="s">
        <v>175</v>
      </c>
      <c r="D50" s="2">
        <v>8.2624147445255407E-6</v>
      </c>
      <c r="E50" s="2" t="s">
        <v>9</v>
      </c>
      <c r="F50" s="2" t="s">
        <v>81</v>
      </c>
      <c r="G50" s="2" t="s">
        <v>82</v>
      </c>
      <c r="H50" s="2" t="s">
        <v>151</v>
      </c>
      <c r="J50" s="2" t="s">
        <v>130</v>
      </c>
    </row>
    <row r="51" spans="1:10" x14ac:dyDescent="0.35">
      <c r="A51" s="2" t="s">
        <v>176</v>
      </c>
      <c r="D51" s="2">
        <v>5.7957964233576579E-6</v>
      </c>
      <c r="E51" s="2" t="s">
        <v>9</v>
      </c>
      <c r="F51" s="2" t="s">
        <v>81</v>
      </c>
      <c r="G51" s="2" t="s">
        <v>82</v>
      </c>
      <c r="H51" s="2" t="s">
        <v>151</v>
      </c>
      <c r="J51" s="2" t="s">
        <v>130</v>
      </c>
    </row>
    <row r="52" spans="1:10" x14ac:dyDescent="0.35">
      <c r="A52" s="2" t="s">
        <v>177</v>
      </c>
      <c r="D52" s="2">
        <v>4.7365124817518224E-6</v>
      </c>
      <c r="E52" s="2" t="s">
        <v>9</v>
      </c>
      <c r="F52" s="2" t="s">
        <v>81</v>
      </c>
      <c r="G52" s="2" t="s">
        <v>82</v>
      </c>
      <c r="H52" s="2" t="s">
        <v>151</v>
      </c>
      <c r="J52" s="2" t="s">
        <v>130</v>
      </c>
    </row>
    <row r="53" spans="1:10" x14ac:dyDescent="0.35">
      <c r="A53" s="2" t="s">
        <v>178</v>
      </c>
      <c r="D53" s="2">
        <v>2.4060878102189722E-6</v>
      </c>
      <c r="E53" s="2" t="s">
        <v>9</v>
      </c>
      <c r="F53" s="2" t="s">
        <v>81</v>
      </c>
      <c r="G53" s="2" t="s">
        <v>82</v>
      </c>
      <c r="H53" s="2" t="s">
        <v>151</v>
      </c>
      <c r="J53" s="2" t="s">
        <v>130</v>
      </c>
    </row>
    <row r="54" spans="1:10" x14ac:dyDescent="0.35">
      <c r="A54" s="2" t="s">
        <v>179</v>
      </c>
      <c r="D54" s="2">
        <v>2.1034352554744491E-6</v>
      </c>
      <c r="E54" s="2" t="s">
        <v>9</v>
      </c>
      <c r="F54" s="2" t="s">
        <v>81</v>
      </c>
      <c r="G54" s="2" t="s">
        <v>82</v>
      </c>
      <c r="H54" s="2" t="s">
        <v>151</v>
      </c>
      <c r="J54" s="2" t="s">
        <v>130</v>
      </c>
    </row>
    <row r="55" spans="1:10" x14ac:dyDescent="0.35">
      <c r="A55" s="2" t="s">
        <v>180</v>
      </c>
      <c r="D55" s="2">
        <v>2.0429047445255528E-6</v>
      </c>
      <c r="E55" s="2" t="s">
        <v>9</v>
      </c>
      <c r="F55" s="2" t="s">
        <v>81</v>
      </c>
      <c r="G55" s="2" t="s">
        <v>82</v>
      </c>
      <c r="H55" s="2" t="s">
        <v>151</v>
      </c>
      <c r="J55" s="2" t="s">
        <v>130</v>
      </c>
    </row>
    <row r="56" spans="1:10" x14ac:dyDescent="0.35">
      <c r="A56" s="2" t="s">
        <v>181</v>
      </c>
      <c r="D56" s="2">
        <v>1.9369763503649558E-6</v>
      </c>
      <c r="E56" s="2" t="s">
        <v>9</v>
      </c>
      <c r="F56" s="2" t="s">
        <v>81</v>
      </c>
      <c r="G56" s="2" t="s">
        <v>82</v>
      </c>
      <c r="H56" s="2" t="s">
        <v>151</v>
      </c>
      <c r="J56" s="2" t="s">
        <v>130</v>
      </c>
    </row>
    <row r="57" spans="1:10" x14ac:dyDescent="0.35">
      <c r="A57" s="2" t="s">
        <v>182</v>
      </c>
      <c r="D57" s="2">
        <v>1.3710160729927039E-6</v>
      </c>
      <c r="E57" s="2" t="s">
        <v>9</v>
      </c>
      <c r="F57" s="2" t="s">
        <v>81</v>
      </c>
      <c r="G57" s="2" t="s">
        <v>82</v>
      </c>
      <c r="H57" s="2" t="s">
        <v>151</v>
      </c>
      <c r="J57" s="2" t="s">
        <v>130</v>
      </c>
    </row>
    <row r="58" spans="1:10" x14ac:dyDescent="0.35">
      <c r="A58" s="2" t="s">
        <v>183</v>
      </c>
      <c r="D58" s="2">
        <v>1.3165386131386849E-6</v>
      </c>
      <c r="E58" s="2" t="s">
        <v>9</v>
      </c>
      <c r="F58" s="2" t="s">
        <v>81</v>
      </c>
      <c r="G58" s="2" t="s">
        <v>82</v>
      </c>
      <c r="H58" s="2" t="s">
        <v>151</v>
      </c>
      <c r="J58" s="2" t="s">
        <v>130</v>
      </c>
    </row>
    <row r="59" spans="1:10" x14ac:dyDescent="0.35">
      <c r="A59" s="2" t="s">
        <v>184</v>
      </c>
      <c r="D59" s="2">
        <v>1.006319744525548E-6</v>
      </c>
      <c r="E59" s="2" t="s">
        <v>9</v>
      </c>
      <c r="F59" s="2" t="s">
        <v>81</v>
      </c>
      <c r="G59" s="2" t="s">
        <v>82</v>
      </c>
      <c r="H59" s="2" t="s">
        <v>151</v>
      </c>
      <c r="J59" s="2" t="s">
        <v>130</v>
      </c>
    </row>
    <row r="60" spans="1:10" x14ac:dyDescent="0.35">
      <c r="A60" s="2" t="s">
        <v>185</v>
      </c>
      <c r="D60" s="2">
        <v>9.821075401459852E-7</v>
      </c>
      <c r="E60" s="2" t="s">
        <v>9</v>
      </c>
      <c r="F60" s="2" t="s">
        <v>81</v>
      </c>
      <c r="G60" s="2" t="s">
        <v>82</v>
      </c>
      <c r="H60" s="2" t="s">
        <v>151</v>
      </c>
      <c r="J60" s="2" t="s">
        <v>130</v>
      </c>
    </row>
    <row r="61" spans="1:10" x14ac:dyDescent="0.35">
      <c r="A61" s="2" t="s">
        <v>186</v>
      </c>
      <c r="D61" s="2">
        <v>8.9585156204379565E-7</v>
      </c>
      <c r="E61" s="2" t="s">
        <v>9</v>
      </c>
      <c r="F61" s="2" t="s">
        <v>81</v>
      </c>
      <c r="G61" s="2" t="s">
        <v>82</v>
      </c>
      <c r="H61" s="2" t="s">
        <v>151</v>
      </c>
      <c r="J61" s="2" t="s">
        <v>130</v>
      </c>
    </row>
    <row r="62" spans="1:10" x14ac:dyDescent="0.35">
      <c r="A62" s="2" t="s">
        <v>187</v>
      </c>
      <c r="D62" s="2">
        <v>6.2951731386861353E-7</v>
      </c>
      <c r="E62" s="2" t="s">
        <v>9</v>
      </c>
      <c r="F62" s="2" t="s">
        <v>81</v>
      </c>
      <c r="G62" s="2" t="s">
        <v>82</v>
      </c>
      <c r="H62" s="2" t="s">
        <v>151</v>
      </c>
      <c r="J62" s="2" t="s">
        <v>130</v>
      </c>
    </row>
    <row r="63" spans="1:10" x14ac:dyDescent="0.35">
      <c r="A63" s="2" t="s">
        <v>188</v>
      </c>
      <c r="D63" s="2">
        <v>5.6142048905109423E-7</v>
      </c>
      <c r="E63" s="2" t="s">
        <v>9</v>
      </c>
      <c r="F63" s="2" t="s">
        <v>81</v>
      </c>
      <c r="G63" s="2" t="s">
        <v>82</v>
      </c>
      <c r="H63" s="2" t="s">
        <v>151</v>
      </c>
      <c r="J63" s="2" t="s">
        <v>130</v>
      </c>
    </row>
    <row r="64" spans="1:10" x14ac:dyDescent="0.35">
      <c r="A64" s="2" t="s">
        <v>189</v>
      </c>
      <c r="D64" s="2">
        <v>5.4931438686131346E-7</v>
      </c>
      <c r="E64" s="2" t="s">
        <v>9</v>
      </c>
      <c r="F64" s="2" t="s">
        <v>81</v>
      </c>
      <c r="G64" s="2" t="s">
        <v>82</v>
      </c>
      <c r="H64" s="2" t="s">
        <v>151</v>
      </c>
      <c r="J64" s="2" t="s">
        <v>130</v>
      </c>
    </row>
    <row r="65" spans="1:10" x14ac:dyDescent="0.35">
      <c r="A65" s="2" t="s">
        <v>190</v>
      </c>
      <c r="D65" s="2">
        <v>5.417480729927001E-7</v>
      </c>
      <c r="E65" s="2" t="s">
        <v>9</v>
      </c>
      <c r="F65" s="2" t="s">
        <v>81</v>
      </c>
      <c r="G65" s="2" t="s">
        <v>82</v>
      </c>
      <c r="H65" s="2" t="s">
        <v>151</v>
      </c>
      <c r="J65" s="2" t="s">
        <v>130</v>
      </c>
    </row>
    <row r="66" spans="1:10" x14ac:dyDescent="0.35">
      <c r="A66" s="2" t="s">
        <v>191</v>
      </c>
      <c r="D66" s="2">
        <v>3.677228540145985E-7</v>
      </c>
      <c r="E66" s="2" t="s">
        <v>9</v>
      </c>
      <c r="F66" s="2" t="s">
        <v>81</v>
      </c>
      <c r="G66" s="2" t="s">
        <v>82</v>
      </c>
      <c r="H66" s="2" t="s">
        <v>151</v>
      </c>
      <c r="J66" s="2" t="s">
        <v>130</v>
      </c>
    </row>
    <row r="67" spans="1:10" x14ac:dyDescent="0.35">
      <c r="A67" s="2" t="s">
        <v>192</v>
      </c>
      <c r="D67" s="2">
        <v>3.1324539416058368E-7</v>
      </c>
      <c r="E67" s="2" t="s">
        <v>9</v>
      </c>
      <c r="F67" s="2" t="s">
        <v>81</v>
      </c>
      <c r="G67" s="2" t="s">
        <v>82</v>
      </c>
      <c r="H67" s="2" t="s">
        <v>151</v>
      </c>
      <c r="J67" s="2" t="s">
        <v>130</v>
      </c>
    </row>
    <row r="68" spans="1:10" x14ac:dyDescent="0.35">
      <c r="A68" s="2" t="s">
        <v>193</v>
      </c>
      <c r="D68" s="2">
        <v>3.1173213138686128E-7</v>
      </c>
      <c r="E68" s="2" t="s">
        <v>9</v>
      </c>
      <c r="F68" s="2" t="s">
        <v>81</v>
      </c>
      <c r="G68" s="2" t="s">
        <v>82</v>
      </c>
      <c r="H68" s="2" t="s">
        <v>151</v>
      </c>
      <c r="J68" s="2" t="s">
        <v>130</v>
      </c>
    </row>
    <row r="69" spans="1:10" x14ac:dyDescent="0.35">
      <c r="A69" s="2" t="s">
        <v>194</v>
      </c>
      <c r="D69" s="2">
        <v>3.0265255474452552E-7</v>
      </c>
      <c r="E69" s="2" t="s">
        <v>9</v>
      </c>
      <c r="F69" s="2" t="s">
        <v>81</v>
      </c>
      <c r="G69" s="2" t="s">
        <v>82</v>
      </c>
      <c r="H69" s="2" t="s">
        <v>151</v>
      </c>
      <c r="J69" s="2" t="s">
        <v>130</v>
      </c>
    </row>
    <row r="70" spans="1:10" x14ac:dyDescent="0.35">
      <c r="A70" s="2" t="s">
        <v>195</v>
      </c>
      <c r="D70" s="2">
        <v>2.49688357664233E-7</v>
      </c>
      <c r="E70" s="2" t="s">
        <v>9</v>
      </c>
      <c r="F70" s="2" t="s">
        <v>81</v>
      </c>
      <c r="G70" s="2" t="s">
        <v>82</v>
      </c>
      <c r="H70" s="2" t="s">
        <v>151</v>
      </c>
      <c r="J70" s="2" t="s">
        <v>130</v>
      </c>
    </row>
    <row r="71" spans="1:10" x14ac:dyDescent="0.35">
      <c r="A71" s="2" t="s">
        <v>196</v>
      </c>
      <c r="D71" s="2">
        <v>2.2396289051094931E-7</v>
      </c>
      <c r="E71" s="2" t="s">
        <v>9</v>
      </c>
      <c r="F71" s="2" t="s">
        <v>81</v>
      </c>
      <c r="G71" s="2" t="s">
        <v>82</v>
      </c>
      <c r="H71" s="2" t="s">
        <v>151</v>
      </c>
      <c r="J71" s="2" t="s">
        <v>130</v>
      </c>
    </row>
    <row r="72" spans="1:10" x14ac:dyDescent="0.35">
      <c r="A72" s="2" t="s">
        <v>197</v>
      </c>
      <c r="D72" s="2">
        <v>1.6948543065693441E-7</v>
      </c>
      <c r="E72" s="2" t="s">
        <v>9</v>
      </c>
      <c r="F72" s="2" t="s">
        <v>81</v>
      </c>
      <c r="G72" s="2" t="s">
        <v>82</v>
      </c>
      <c r="H72" s="2" t="s">
        <v>151</v>
      </c>
      <c r="J72" s="2" t="s">
        <v>130</v>
      </c>
    </row>
    <row r="73" spans="1:10" x14ac:dyDescent="0.35">
      <c r="A73" s="2" t="s">
        <v>198</v>
      </c>
      <c r="D73" s="2">
        <v>1.5087229854014611E-7</v>
      </c>
      <c r="E73" s="2" t="s">
        <v>9</v>
      </c>
      <c r="F73" s="2" t="s">
        <v>81</v>
      </c>
      <c r="G73" s="2" t="s">
        <v>82</v>
      </c>
      <c r="H73" s="2" t="s">
        <v>151</v>
      </c>
      <c r="J73" s="2" t="s">
        <v>130</v>
      </c>
    </row>
    <row r="74" spans="1:10" x14ac:dyDescent="0.35">
      <c r="A74" s="2" t="s">
        <v>192</v>
      </c>
      <c r="D74" s="2">
        <v>1.4330598467153269E-7</v>
      </c>
      <c r="E74" s="2" t="s">
        <v>9</v>
      </c>
      <c r="F74" s="2" t="s">
        <v>81</v>
      </c>
      <c r="G74" s="2" t="s">
        <v>82</v>
      </c>
      <c r="H74" s="2" t="s">
        <v>151</v>
      </c>
      <c r="J74" s="2" t="s">
        <v>130</v>
      </c>
    </row>
    <row r="75" spans="1:10" x14ac:dyDescent="0.35">
      <c r="A75" s="2" t="s">
        <v>199</v>
      </c>
      <c r="D75" s="2">
        <v>1.3071942155109489E-7</v>
      </c>
      <c r="E75" s="2" t="s">
        <v>9</v>
      </c>
      <c r="F75" s="2" t="s">
        <v>81</v>
      </c>
      <c r="G75" s="2" t="s">
        <v>82</v>
      </c>
      <c r="H75" s="2" t="s">
        <v>151</v>
      </c>
      <c r="J75" s="2" t="s">
        <v>130</v>
      </c>
    </row>
    <row r="76" spans="1:10" x14ac:dyDescent="0.35">
      <c r="A76" s="2" t="s">
        <v>200</v>
      </c>
      <c r="D76" s="2">
        <v>1.242388737226277E-7</v>
      </c>
      <c r="E76" s="2" t="s">
        <v>9</v>
      </c>
      <c r="F76" s="2" t="s">
        <v>81</v>
      </c>
      <c r="G76" s="2" t="s">
        <v>82</v>
      </c>
      <c r="H76" s="2" t="s">
        <v>151</v>
      </c>
      <c r="J76" s="2" t="s">
        <v>130</v>
      </c>
    </row>
    <row r="77" spans="1:10" x14ac:dyDescent="0.35">
      <c r="A77" s="2" t="s">
        <v>201</v>
      </c>
      <c r="D77" s="2">
        <v>1.2408754744525541E-7</v>
      </c>
      <c r="E77" s="2" t="s">
        <v>9</v>
      </c>
      <c r="F77" s="2" t="s">
        <v>81</v>
      </c>
      <c r="G77" s="2" t="s">
        <v>82</v>
      </c>
      <c r="H77" s="2" t="s">
        <v>151</v>
      </c>
      <c r="J77" s="2" t="s">
        <v>130</v>
      </c>
    </row>
    <row r="78" spans="1:10" x14ac:dyDescent="0.35">
      <c r="A78" s="2" t="s">
        <v>202</v>
      </c>
      <c r="D78" s="2">
        <v>1.1848847518248171E-7</v>
      </c>
      <c r="E78" s="2" t="s">
        <v>9</v>
      </c>
      <c r="F78" s="2" t="s">
        <v>81</v>
      </c>
      <c r="G78" s="2" t="s">
        <v>82</v>
      </c>
      <c r="H78" s="2" t="s">
        <v>151</v>
      </c>
      <c r="J78" s="2" t="s">
        <v>130</v>
      </c>
    </row>
    <row r="79" spans="1:10" x14ac:dyDescent="0.35">
      <c r="A79" s="2" t="s">
        <v>203</v>
      </c>
      <c r="D79" s="2">
        <v>1.1334338175182481E-7</v>
      </c>
      <c r="E79" s="2" t="s">
        <v>9</v>
      </c>
      <c r="F79" s="2" t="s">
        <v>81</v>
      </c>
      <c r="G79" s="2" t="s">
        <v>82</v>
      </c>
      <c r="H79" s="2" t="s">
        <v>151</v>
      </c>
      <c r="J79" s="2" t="s">
        <v>130</v>
      </c>
    </row>
    <row r="80" spans="1:10" x14ac:dyDescent="0.35">
      <c r="A80" s="2" t="s">
        <v>204</v>
      </c>
      <c r="D80" s="2">
        <v>7.2182634306569283E-8</v>
      </c>
      <c r="E80" s="2" t="s">
        <v>9</v>
      </c>
      <c r="F80" s="2" t="s">
        <v>81</v>
      </c>
      <c r="G80" s="2" t="s">
        <v>82</v>
      </c>
      <c r="H80" s="2" t="s">
        <v>151</v>
      </c>
      <c r="J80" s="2" t="s">
        <v>130</v>
      </c>
    </row>
    <row r="81" spans="1:10" x14ac:dyDescent="0.35">
      <c r="A81" s="2" t="s">
        <v>205</v>
      </c>
      <c r="D81" s="2">
        <v>6.6129583211678808E-8</v>
      </c>
      <c r="E81" s="2" t="s">
        <v>9</v>
      </c>
      <c r="F81" s="2" t="s">
        <v>81</v>
      </c>
      <c r="G81" s="2" t="s">
        <v>82</v>
      </c>
      <c r="H81" s="2" t="s">
        <v>151</v>
      </c>
      <c r="J81" s="2" t="s">
        <v>130</v>
      </c>
    </row>
    <row r="82" spans="1:10" x14ac:dyDescent="0.35">
      <c r="A82" s="2" t="s">
        <v>206</v>
      </c>
      <c r="D82" s="2">
        <v>5.0542976642335693E-8</v>
      </c>
      <c r="E82" s="2" t="s">
        <v>9</v>
      </c>
      <c r="F82" s="2" t="s">
        <v>81</v>
      </c>
      <c r="G82" s="2" t="s">
        <v>82</v>
      </c>
      <c r="H82" s="2" t="s">
        <v>151</v>
      </c>
      <c r="J82" s="2" t="s">
        <v>130</v>
      </c>
    </row>
    <row r="83" spans="1:10" x14ac:dyDescent="0.35">
      <c r="A83" s="2" t="s">
        <v>207</v>
      </c>
      <c r="D83" s="2">
        <v>3.6166980291970757E-8</v>
      </c>
      <c r="E83" s="2" t="s">
        <v>9</v>
      </c>
      <c r="F83" s="2" t="s">
        <v>81</v>
      </c>
      <c r="G83" s="2" t="s">
        <v>82</v>
      </c>
      <c r="H83" s="2" t="s">
        <v>151</v>
      </c>
      <c r="J83" s="2" t="s">
        <v>130</v>
      </c>
    </row>
    <row r="84" spans="1:10" x14ac:dyDescent="0.35">
      <c r="A84" s="2" t="s">
        <v>208</v>
      </c>
      <c r="D84" s="2">
        <v>3.6166980291970757E-8</v>
      </c>
      <c r="E84" s="2" t="s">
        <v>9</v>
      </c>
      <c r="F84" s="2" t="s">
        <v>81</v>
      </c>
      <c r="G84" s="2" t="s">
        <v>82</v>
      </c>
      <c r="H84" s="2" t="s">
        <v>151</v>
      </c>
      <c r="J84" s="2" t="s">
        <v>130</v>
      </c>
    </row>
    <row r="85" spans="1:10" x14ac:dyDescent="0.35">
      <c r="A85" s="2" t="s">
        <v>209</v>
      </c>
      <c r="D85" s="2">
        <v>2.5271488321167919E-8</v>
      </c>
      <c r="E85" s="2" t="s">
        <v>9</v>
      </c>
      <c r="F85" s="2" t="s">
        <v>81</v>
      </c>
      <c r="G85" s="2" t="s">
        <v>82</v>
      </c>
      <c r="H85" s="2" t="s">
        <v>151</v>
      </c>
      <c r="J85" s="2" t="s">
        <v>130</v>
      </c>
    </row>
    <row r="86" spans="1:10" x14ac:dyDescent="0.35">
      <c r="A86" s="2" t="s">
        <v>210</v>
      </c>
      <c r="D86" s="2">
        <v>2.1185678832116729E-8</v>
      </c>
      <c r="E86" s="2" t="s">
        <v>9</v>
      </c>
      <c r="F86" s="2" t="s">
        <v>81</v>
      </c>
      <c r="G86" s="2" t="s">
        <v>82</v>
      </c>
      <c r="H86" s="2" t="s">
        <v>151</v>
      </c>
      <c r="J86" s="2" t="s">
        <v>130</v>
      </c>
    </row>
    <row r="87" spans="1:10" x14ac:dyDescent="0.35">
      <c r="A87" s="2" t="s">
        <v>211</v>
      </c>
      <c r="D87" s="2">
        <v>1.8159153284671501E-8</v>
      </c>
      <c r="E87" s="2" t="s">
        <v>9</v>
      </c>
      <c r="F87" s="2" t="s">
        <v>81</v>
      </c>
      <c r="G87" s="2" t="s">
        <v>82</v>
      </c>
      <c r="H87" s="2" t="s">
        <v>151</v>
      </c>
      <c r="J87" s="2" t="s">
        <v>130</v>
      </c>
    </row>
    <row r="88" spans="1:10" x14ac:dyDescent="0.35">
      <c r="A88" s="2" t="s">
        <v>212</v>
      </c>
      <c r="D88" s="2">
        <v>1.740252189781016E-8</v>
      </c>
      <c r="E88" s="2" t="s">
        <v>9</v>
      </c>
      <c r="F88" s="2" t="s">
        <v>81</v>
      </c>
      <c r="G88" s="2" t="s">
        <v>82</v>
      </c>
      <c r="H88" s="2" t="s">
        <v>151</v>
      </c>
      <c r="J88" s="2" t="s">
        <v>130</v>
      </c>
    </row>
    <row r="89" spans="1:10" x14ac:dyDescent="0.35">
      <c r="A89" s="2" t="s">
        <v>213</v>
      </c>
      <c r="D89" s="2">
        <v>1.6191911678832091E-8</v>
      </c>
      <c r="E89" s="2" t="s">
        <v>9</v>
      </c>
      <c r="F89" s="2" t="s">
        <v>81</v>
      </c>
      <c r="G89" s="2" t="s">
        <v>82</v>
      </c>
      <c r="H89" s="2" t="s">
        <v>151</v>
      </c>
      <c r="J89" s="2" t="s">
        <v>130</v>
      </c>
    </row>
    <row r="90" spans="1:10" x14ac:dyDescent="0.35">
      <c r="A90" s="2" t="s">
        <v>214</v>
      </c>
      <c r="D90" s="2">
        <v>1.5737932846715369E-8</v>
      </c>
      <c r="E90" s="2" t="s">
        <v>9</v>
      </c>
      <c r="F90" s="2" t="s">
        <v>81</v>
      </c>
      <c r="G90" s="2" t="s">
        <v>82</v>
      </c>
      <c r="H90" s="2" t="s">
        <v>151</v>
      </c>
      <c r="J90" s="2" t="s">
        <v>130</v>
      </c>
    </row>
    <row r="91" spans="1:10" x14ac:dyDescent="0.35">
      <c r="A91" s="2" t="s">
        <v>215</v>
      </c>
      <c r="D91" s="2">
        <v>1.2227163211678821E-8</v>
      </c>
      <c r="E91" s="2" t="s">
        <v>9</v>
      </c>
      <c r="F91" s="2" t="s">
        <v>81</v>
      </c>
      <c r="G91" s="2" t="s">
        <v>82</v>
      </c>
      <c r="H91" s="2" t="s">
        <v>151</v>
      </c>
      <c r="J91" s="2" t="s">
        <v>130</v>
      </c>
    </row>
    <row r="92" spans="1:10" x14ac:dyDescent="0.35">
      <c r="A92" s="2" t="s">
        <v>216</v>
      </c>
      <c r="D92" s="2">
        <v>1.1727786496350361E-8</v>
      </c>
      <c r="E92" s="2" t="s">
        <v>9</v>
      </c>
      <c r="F92" s="2" t="s">
        <v>81</v>
      </c>
      <c r="G92" s="2" t="s">
        <v>82</v>
      </c>
      <c r="H92" s="2" t="s">
        <v>151</v>
      </c>
      <c r="J92" s="2" t="s">
        <v>130</v>
      </c>
    </row>
    <row r="93" spans="1:10" x14ac:dyDescent="0.35">
      <c r="A93" s="2" t="s">
        <v>217</v>
      </c>
      <c r="D93" s="2">
        <v>8.3986083941605852E-9</v>
      </c>
      <c r="E93" s="2" t="s">
        <v>9</v>
      </c>
      <c r="F93" s="2" t="s">
        <v>81</v>
      </c>
      <c r="G93" s="2" t="s">
        <v>82</v>
      </c>
      <c r="H93" s="2" t="s">
        <v>151</v>
      </c>
      <c r="J93" s="2" t="s">
        <v>130</v>
      </c>
    </row>
    <row r="94" spans="1:10" x14ac:dyDescent="0.35">
      <c r="A94" s="2" t="s">
        <v>218</v>
      </c>
      <c r="D94" s="2">
        <v>5.9622553284671513E-9</v>
      </c>
      <c r="E94" s="2" t="s">
        <v>9</v>
      </c>
      <c r="F94" s="2" t="s">
        <v>81</v>
      </c>
      <c r="G94" s="2" t="s">
        <v>82</v>
      </c>
      <c r="H94" s="2" t="s">
        <v>151</v>
      </c>
      <c r="J94" s="2" t="s">
        <v>130</v>
      </c>
    </row>
    <row r="95" spans="1:10" x14ac:dyDescent="0.35">
      <c r="A95" s="2" t="s">
        <v>219</v>
      </c>
      <c r="D95" s="2">
        <v>5.356950218978106E-9</v>
      </c>
      <c r="E95" s="2" t="s">
        <v>9</v>
      </c>
      <c r="F95" s="2" t="s">
        <v>81</v>
      </c>
      <c r="G95" s="2" t="s">
        <v>82</v>
      </c>
      <c r="H95" s="2" t="s">
        <v>151</v>
      </c>
      <c r="J95" s="2" t="s">
        <v>130</v>
      </c>
    </row>
    <row r="96" spans="1:10" x14ac:dyDescent="0.35">
      <c r="A96" s="2" t="s">
        <v>220</v>
      </c>
      <c r="D96" s="2">
        <v>4.9786345255474488E-9</v>
      </c>
      <c r="E96" s="2" t="s">
        <v>9</v>
      </c>
      <c r="F96" s="2" t="s">
        <v>81</v>
      </c>
      <c r="G96" s="2" t="s">
        <v>82</v>
      </c>
      <c r="H96" s="2" t="s">
        <v>151</v>
      </c>
      <c r="J96" s="2" t="s">
        <v>130</v>
      </c>
    </row>
    <row r="97" spans="1:10" x14ac:dyDescent="0.35">
      <c r="A97" s="2" t="s">
        <v>221</v>
      </c>
      <c r="D97" s="2">
        <v>3.0870560583941642E-9</v>
      </c>
      <c r="E97" s="2" t="s">
        <v>9</v>
      </c>
      <c r="F97" s="2" t="s">
        <v>81</v>
      </c>
      <c r="G97" s="2" t="s">
        <v>82</v>
      </c>
      <c r="H97" s="2" t="s">
        <v>151</v>
      </c>
      <c r="J97" s="2" t="s">
        <v>130</v>
      </c>
    </row>
    <row r="98" spans="1:10" x14ac:dyDescent="0.35">
      <c r="A98" s="2" t="s">
        <v>222</v>
      </c>
      <c r="D98" s="2">
        <v>2.617944598540149E-9</v>
      </c>
      <c r="E98" s="2" t="s">
        <v>9</v>
      </c>
      <c r="F98" s="2" t="s">
        <v>81</v>
      </c>
      <c r="G98" s="2" t="s">
        <v>82</v>
      </c>
      <c r="H98" s="2" t="s">
        <v>151</v>
      </c>
      <c r="J98" s="2" t="s">
        <v>130</v>
      </c>
    </row>
    <row r="99" spans="1:10" x14ac:dyDescent="0.35">
      <c r="A99" s="2" t="s">
        <v>223</v>
      </c>
      <c r="D99" s="2">
        <v>2.49688357664233E-9</v>
      </c>
      <c r="E99" s="2" t="s">
        <v>9</v>
      </c>
      <c r="F99" s="2" t="s">
        <v>81</v>
      </c>
      <c r="G99" s="2" t="s">
        <v>82</v>
      </c>
      <c r="H99" s="2" t="s">
        <v>151</v>
      </c>
      <c r="J99" s="2" t="s">
        <v>130</v>
      </c>
    </row>
    <row r="100" spans="1:10" x14ac:dyDescent="0.35">
      <c r="A100" s="2" t="s">
        <v>224</v>
      </c>
      <c r="D100" s="2">
        <v>1.9975068613138669E-9</v>
      </c>
      <c r="E100" s="2" t="s">
        <v>9</v>
      </c>
      <c r="F100" s="2" t="s">
        <v>81</v>
      </c>
      <c r="G100" s="2" t="s">
        <v>82</v>
      </c>
      <c r="H100" s="2" t="s">
        <v>151</v>
      </c>
      <c r="J100" s="2" t="s">
        <v>130</v>
      </c>
    </row>
    <row r="101" spans="1:10" x14ac:dyDescent="0.35">
      <c r="A101" s="2" t="s">
        <v>225</v>
      </c>
      <c r="D101" s="2">
        <v>6.7945498540145975E-10</v>
      </c>
      <c r="E101" s="2" t="s">
        <v>9</v>
      </c>
      <c r="F101" s="2" t="s">
        <v>81</v>
      </c>
      <c r="G101" s="2" t="s">
        <v>82</v>
      </c>
      <c r="H101" s="2" t="s">
        <v>151</v>
      </c>
      <c r="J101" s="2" t="s">
        <v>130</v>
      </c>
    </row>
    <row r="102" spans="1:10" x14ac:dyDescent="0.35">
      <c r="A102" s="2" t="s">
        <v>226</v>
      </c>
      <c r="D102" s="2">
        <v>6.3557036496350327E-11</v>
      </c>
      <c r="E102" s="2" t="s">
        <v>9</v>
      </c>
      <c r="F102" s="2" t="s">
        <v>81</v>
      </c>
      <c r="G102" s="2" t="s">
        <v>82</v>
      </c>
      <c r="H102" s="2" t="s">
        <v>151</v>
      </c>
      <c r="J102" s="2" t="s">
        <v>130</v>
      </c>
    </row>
    <row r="103" spans="1:10" x14ac:dyDescent="0.35">
      <c r="A103" s="2" t="s">
        <v>227</v>
      </c>
      <c r="D103" s="2">
        <v>6.522162554744523E-12</v>
      </c>
      <c r="E103" s="2" t="s">
        <v>9</v>
      </c>
      <c r="F103" s="2" t="s">
        <v>81</v>
      </c>
      <c r="G103" s="2" t="s">
        <v>82</v>
      </c>
      <c r="H103" s="2" t="s">
        <v>151</v>
      </c>
      <c r="J103" s="2" t="s">
        <v>130</v>
      </c>
    </row>
    <row r="104" spans="1:10" x14ac:dyDescent="0.35">
      <c r="A104" s="2" t="s">
        <v>228</v>
      </c>
      <c r="D104" s="2">
        <v>6.2346426277372255E-13</v>
      </c>
      <c r="E104" s="2" t="s">
        <v>9</v>
      </c>
      <c r="F104" s="2" t="s">
        <v>81</v>
      </c>
      <c r="G104" s="2" t="s">
        <v>82</v>
      </c>
      <c r="H104" s="2" t="s">
        <v>151</v>
      </c>
      <c r="J104" s="2" t="s">
        <v>130</v>
      </c>
    </row>
    <row r="105" spans="1:10" x14ac:dyDescent="0.35">
      <c r="A105" s="2" t="s">
        <v>229</v>
      </c>
      <c r="D105" s="2">
        <v>1.6040585401459849E-13</v>
      </c>
      <c r="E105" s="2" t="s">
        <v>9</v>
      </c>
      <c r="F105" s="2" t="s">
        <v>81</v>
      </c>
      <c r="G105" s="2" t="s">
        <v>82</v>
      </c>
      <c r="H105" s="2" t="s">
        <v>151</v>
      </c>
      <c r="J105" s="2" t="s">
        <v>130</v>
      </c>
    </row>
    <row r="106" spans="1:10" s="11" customFormat="1" x14ac:dyDescent="0.35"/>
    <row r="107" spans="1:10" x14ac:dyDescent="0.35">
      <c r="A107" s="3" t="s">
        <v>0</v>
      </c>
      <c r="B107" s="3" t="s">
        <v>230</v>
      </c>
    </row>
    <row r="108" spans="1:10" x14ac:dyDescent="0.35">
      <c r="A108" s="8" t="s">
        <v>2</v>
      </c>
      <c r="B108" s="2" t="s">
        <v>288</v>
      </c>
    </row>
    <row r="109" spans="1:10" x14ac:dyDescent="0.35">
      <c r="A109" s="8" t="s">
        <v>4</v>
      </c>
      <c r="B109" s="2" t="s">
        <v>127</v>
      </c>
    </row>
    <row r="110" spans="1:10" x14ac:dyDescent="0.35">
      <c r="A110" s="8" t="s">
        <v>6</v>
      </c>
      <c r="B110" s="2">
        <v>1</v>
      </c>
    </row>
    <row r="111" spans="1:10" x14ac:dyDescent="0.35">
      <c r="A111" s="8" t="s">
        <v>8</v>
      </c>
      <c r="B111" s="2" t="s">
        <v>9</v>
      </c>
    </row>
    <row r="112" spans="1:10" ht="29" x14ac:dyDescent="0.35">
      <c r="A112" s="8" t="s">
        <v>10</v>
      </c>
      <c r="B112" s="13" t="s">
        <v>293</v>
      </c>
    </row>
    <row r="113" spans="1:14" x14ac:dyDescent="0.35">
      <c r="A113" s="8" t="s">
        <v>12</v>
      </c>
    </row>
    <row r="114" spans="1:14" x14ac:dyDescent="0.35">
      <c r="A114" s="3" t="s">
        <v>13</v>
      </c>
      <c r="B114" s="3" t="s">
        <v>2</v>
      </c>
      <c r="C114" s="3" t="s">
        <v>4</v>
      </c>
      <c r="D114" s="3" t="s">
        <v>6</v>
      </c>
      <c r="E114" s="3" t="s">
        <v>8</v>
      </c>
      <c r="F114" s="3" t="s">
        <v>14</v>
      </c>
      <c r="G114" s="3" t="s">
        <v>15</v>
      </c>
      <c r="H114" s="3" t="s">
        <v>16</v>
      </c>
      <c r="I114" s="3" t="s">
        <v>17</v>
      </c>
      <c r="J114" s="3" t="s">
        <v>18</v>
      </c>
      <c r="K114" s="3" t="s">
        <v>19</v>
      </c>
      <c r="L114" s="3" t="s">
        <v>20</v>
      </c>
      <c r="M114" s="3" t="s">
        <v>21</v>
      </c>
      <c r="N114" s="3" t="s">
        <v>22</v>
      </c>
    </row>
    <row r="115" spans="1:14" x14ac:dyDescent="0.35">
      <c r="A115" s="2" t="str">
        <f>B107</f>
        <v>[R] Steel production</v>
      </c>
      <c r="B115" s="2" t="str">
        <f>B108</f>
        <v>Vanadium (V) slag</v>
      </c>
      <c r="C115" s="2" t="str">
        <f>B109</f>
        <v>ZA</v>
      </c>
      <c r="D115" s="2">
        <v>1</v>
      </c>
      <c r="E115" s="2" t="s">
        <v>9</v>
      </c>
      <c r="F115" s="9" t="str">
        <f>F9</f>
        <v>Vanadium</v>
      </c>
      <c r="G115" s="2" t="s">
        <v>23</v>
      </c>
    </row>
    <row r="116" spans="1:14" x14ac:dyDescent="0.35">
      <c r="A116" s="2" t="s">
        <v>231</v>
      </c>
      <c r="B116" s="2" t="s">
        <v>232</v>
      </c>
      <c r="C116" s="2" t="s">
        <v>33</v>
      </c>
      <c r="D116" s="14">
        <v>4.6378049781837148E-2</v>
      </c>
      <c r="E116" s="2" t="s">
        <v>9</v>
      </c>
      <c r="F116" s="2" t="s">
        <v>25</v>
      </c>
      <c r="G116" s="2" t="s">
        <v>26</v>
      </c>
      <c r="J116" s="2" t="s">
        <v>130</v>
      </c>
    </row>
    <row r="117" spans="1:14" x14ac:dyDescent="0.35">
      <c r="A117" s="2" t="s">
        <v>64</v>
      </c>
      <c r="B117" s="2" t="s">
        <v>65</v>
      </c>
      <c r="C117" s="2" t="s">
        <v>33</v>
      </c>
      <c r="D117" s="14">
        <v>1.641467069029601E-3</v>
      </c>
      <c r="E117" s="2" t="s">
        <v>40</v>
      </c>
      <c r="F117" s="2" t="s">
        <v>25</v>
      </c>
      <c r="G117" s="2" t="s">
        <v>26</v>
      </c>
      <c r="J117" s="2" t="s">
        <v>130</v>
      </c>
    </row>
    <row r="118" spans="1:14" x14ac:dyDescent="0.35">
      <c r="A118" s="2" t="s">
        <v>233</v>
      </c>
      <c r="B118" s="2" t="s">
        <v>234</v>
      </c>
      <c r="C118" s="2" t="s">
        <v>33</v>
      </c>
      <c r="D118" s="14">
        <v>9.27561002805527E-3</v>
      </c>
      <c r="E118" s="2" t="s">
        <v>9</v>
      </c>
      <c r="F118" s="2" t="s">
        <v>25</v>
      </c>
      <c r="G118" s="2" t="s">
        <v>26</v>
      </c>
      <c r="J118" s="2" t="s">
        <v>130</v>
      </c>
    </row>
    <row r="119" spans="1:14" x14ac:dyDescent="0.35">
      <c r="A119" s="2" t="s">
        <v>74</v>
      </c>
      <c r="B119" s="2" t="s">
        <v>75</v>
      </c>
      <c r="C119" s="2" t="s">
        <v>51</v>
      </c>
      <c r="D119" s="14">
        <v>4.8014923678909348E-3</v>
      </c>
      <c r="E119" s="2" t="s">
        <v>9</v>
      </c>
      <c r="F119" s="2" t="s">
        <v>25</v>
      </c>
      <c r="G119" s="2" t="s">
        <v>26</v>
      </c>
      <c r="J119" s="2" t="s">
        <v>130</v>
      </c>
    </row>
    <row r="120" spans="1:14" x14ac:dyDescent="0.35">
      <c r="A120" s="2" t="s">
        <v>131</v>
      </c>
      <c r="B120" s="2" t="s">
        <v>29</v>
      </c>
      <c r="C120" s="2" t="s">
        <v>127</v>
      </c>
      <c r="D120" s="14">
        <v>4.789270308070471E-3</v>
      </c>
      <c r="E120" s="2" t="s">
        <v>30</v>
      </c>
      <c r="F120" s="2" t="s">
        <v>25</v>
      </c>
      <c r="G120" s="2" t="s">
        <v>26</v>
      </c>
      <c r="J120" s="2" t="s">
        <v>130</v>
      </c>
    </row>
    <row r="121" spans="1:14" x14ac:dyDescent="0.35">
      <c r="A121" s="2" t="s">
        <v>235</v>
      </c>
      <c r="B121" s="2" t="s">
        <v>236</v>
      </c>
      <c r="C121" s="2" t="s">
        <v>51</v>
      </c>
      <c r="D121" s="14">
        <v>1.3094977555888005E-3</v>
      </c>
      <c r="E121" s="2" t="s">
        <v>9</v>
      </c>
      <c r="F121" s="2" t="s">
        <v>25</v>
      </c>
      <c r="G121" s="2" t="s">
        <v>26</v>
      </c>
      <c r="J121" s="2" t="s">
        <v>130</v>
      </c>
    </row>
    <row r="122" spans="1:14" x14ac:dyDescent="0.35">
      <c r="A122" s="2" t="s">
        <v>132</v>
      </c>
      <c r="B122" s="2" t="s">
        <v>133</v>
      </c>
      <c r="C122" s="2" t="s">
        <v>33</v>
      </c>
      <c r="D122" s="14">
        <v>6.0018636676676708E-4</v>
      </c>
      <c r="E122" s="2" t="s">
        <v>9</v>
      </c>
      <c r="F122" s="2" t="s">
        <v>25</v>
      </c>
      <c r="G122" s="2" t="s">
        <v>26</v>
      </c>
      <c r="J122" s="2" t="s">
        <v>130</v>
      </c>
    </row>
    <row r="123" spans="1:14" x14ac:dyDescent="0.35">
      <c r="A123" s="2" t="s">
        <v>38</v>
      </c>
      <c r="B123" s="2" t="s">
        <v>39</v>
      </c>
      <c r="C123" s="2" t="s">
        <v>33</v>
      </c>
      <c r="D123" s="14">
        <v>2.0985539806105138E-4</v>
      </c>
      <c r="E123" s="2" t="s">
        <v>40</v>
      </c>
      <c r="F123" s="2" t="s">
        <v>25</v>
      </c>
      <c r="G123" s="2" t="s">
        <v>26</v>
      </c>
      <c r="J123" s="2" t="s">
        <v>130</v>
      </c>
    </row>
    <row r="124" spans="1:14" x14ac:dyDescent="0.35">
      <c r="A124" s="2" t="s">
        <v>237</v>
      </c>
      <c r="B124" s="2" t="s">
        <v>238</v>
      </c>
      <c r="C124" s="2" t="s">
        <v>33</v>
      </c>
      <c r="D124" s="14">
        <v>5.4562331808033493E-5</v>
      </c>
      <c r="E124" s="2" t="s">
        <v>52</v>
      </c>
      <c r="F124" s="2" t="s">
        <v>25</v>
      </c>
      <c r="G124" s="2" t="s">
        <v>26</v>
      </c>
      <c r="J124" s="2" t="s">
        <v>130</v>
      </c>
    </row>
    <row r="125" spans="1:14" x14ac:dyDescent="0.35">
      <c r="A125" s="2" t="s">
        <v>239</v>
      </c>
      <c r="B125" s="2" t="s">
        <v>240</v>
      </c>
      <c r="C125" s="2" t="s">
        <v>51</v>
      </c>
      <c r="D125" s="14">
        <v>2.9099241211112347E-12</v>
      </c>
      <c r="E125" s="2" t="s">
        <v>8</v>
      </c>
      <c r="F125" s="2" t="s">
        <v>25</v>
      </c>
      <c r="G125" s="2" t="s">
        <v>26</v>
      </c>
      <c r="J125" s="2" t="s">
        <v>130</v>
      </c>
    </row>
    <row r="126" spans="1:14" x14ac:dyDescent="0.35">
      <c r="A126" s="2" t="s">
        <v>243</v>
      </c>
      <c r="B126" s="2" t="s">
        <v>244</v>
      </c>
      <c r="C126" s="2" t="s">
        <v>33</v>
      </c>
      <c r="D126" s="14">
        <v>-7.0007939295888034E-3</v>
      </c>
      <c r="E126" s="2" t="s">
        <v>9</v>
      </c>
      <c r="F126" s="2" t="s">
        <v>25</v>
      </c>
      <c r="G126" s="2" t="s">
        <v>26</v>
      </c>
      <c r="J126" s="2" t="s">
        <v>130</v>
      </c>
    </row>
    <row r="127" spans="1:14" x14ac:dyDescent="0.35">
      <c r="A127" s="2" t="s">
        <v>245</v>
      </c>
      <c r="B127" s="2" t="s">
        <v>246</v>
      </c>
      <c r="C127" s="2" t="s">
        <v>33</v>
      </c>
      <c r="D127" s="14">
        <v>-6.3292405260294651E-4</v>
      </c>
      <c r="E127" s="2" t="s">
        <v>9</v>
      </c>
      <c r="F127" s="2" t="s">
        <v>25</v>
      </c>
      <c r="G127" s="2" t="s">
        <v>26</v>
      </c>
      <c r="J127" s="2" t="s">
        <v>130</v>
      </c>
    </row>
    <row r="128" spans="1:14" x14ac:dyDescent="0.35">
      <c r="A128" s="2" t="s">
        <v>247</v>
      </c>
      <c r="B128" s="2" t="s">
        <v>248</v>
      </c>
      <c r="C128" s="2" t="s">
        <v>33</v>
      </c>
      <c r="D128" s="14">
        <v>-2.3189008940374201E-4</v>
      </c>
      <c r="E128" s="2" t="s">
        <v>9</v>
      </c>
      <c r="F128" s="2" t="s">
        <v>25</v>
      </c>
      <c r="G128" s="2" t="s">
        <v>26</v>
      </c>
      <c r="J128" s="2" t="s">
        <v>130</v>
      </c>
    </row>
    <row r="129" spans="1:10" x14ac:dyDescent="0.35">
      <c r="A129" s="2" t="s">
        <v>249</v>
      </c>
      <c r="D129" s="14">
        <v>2.2948843923613579E-3</v>
      </c>
      <c r="E129" s="2" t="s">
        <v>40</v>
      </c>
      <c r="F129" s="2" t="s">
        <v>81</v>
      </c>
      <c r="G129" s="2" t="s">
        <v>82</v>
      </c>
      <c r="H129" s="2" t="s">
        <v>250</v>
      </c>
      <c r="J129" s="2" t="s">
        <v>130</v>
      </c>
    </row>
    <row r="130" spans="1:10" x14ac:dyDescent="0.35">
      <c r="A130" s="2" t="s">
        <v>251</v>
      </c>
      <c r="D130" s="14">
        <v>5.2847737897798893E-4</v>
      </c>
      <c r="E130" s="2" t="s">
        <v>40</v>
      </c>
      <c r="F130" s="2" t="s">
        <v>81</v>
      </c>
      <c r="G130" s="2" t="s">
        <v>82</v>
      </c>
      <c r="H130" s="2" t="s">
        <v>250</v>
      </c>
      <c r="J130" s="2" t="s">
        <v>130</v>
      </c>
    </row>
    <row r="131" spans="1:10" x14ac:dyDescent="0.35">
      <c r="A131" s="2" t="s">
        <v>80</v>
      </c>
      <c r="D131" s="14">
        <v>1.6499673225863525E-2</v>
      </c>
      <c r="E131" s="2" t="s">
        <v>9</v>
      </c>
      <c r="F131" s="2" t="s">
        <v>81</v>
      </c>
      <c r="G131" s="2" t="s">
        <v>82</v>
      </c>
      <c r="H131" s="2" t="s">
        <v>83</v>
      </c>
      <c r="J131" s="2" t="s">
        <v>130</v>
      </c>
    </row>
    <row r="132" spans="1:10" x14ac:dyDescent="0.35">
      <c r="A132" s="2" t="s">
        <v>155</v>
      </c>
      <c r="D132" s="14">
        <v>1.4880209079144416E-3</v>
      </c>
      <c r="E132" s="2" t="s">
        <v>40</v>
      </c>
      <c r="F132" s="2" t="s">
        <v>81</v>
      </c>
      <c r="G132" s="2" t="s">
        <v>82</v>
      </c>
      <c r="H132" s="2" t="s">
        <v>252</v>
      </c>
      <c r="J132" s="2" t="s">
        <v>130</v>
      </c>
    </row>
    <row r="133" spans="1:10" x14ac:dyDescent="0.35">
      <c r="A133" s="2" t="s">
        <v>155</v>
      </c>
      <c r="D133" s="14">
        <v>1.3353405049857051E-3</v>
      </c>
      <c r="E133" s="2" t="s">
        <v>40</v>
      </c>
      <c r="F133" s="2" t="s">
        <v>81</v>
      </c>
      <c r="G133" s="2" t="s">
        <v>82</v>
      </c>
      <c r="H133" s="2" t="s">
        <v>83</v>
      </c>
      <c r="J133" s="2" t="s">
        <v>130</v>
      </c>
    </row>
    <row r="134" spans="1:10" x14ac:dyDescent="0.35">
      <c r="A134" s="2" t="s">
        <v>86</v>
      </c>
      <c r="D134" s="14">
        <v>1.0323206655393831E-3</v>
      </c>
      <c r="E134" s="2" t="s">
        <v>9</v>
      </c>
      <c r="F134" s="2" t="s">
        <v>81</v>
      </c>
      <c r="G134" s="2" t="s">
        <v>82</v>
      </c>
      <c r="H134" s="2" t="s">
        <v>83</v>
      </c>
      <c r="J134" s="2" t="s">
        <v>130</v>
      </c>
    </row>
    <row r="135" spans="1:10" x14ac:dyDescent="0.35">
      <c r="A135" s="2" t="s">
        <v>87</v>
      </c>
      <c r="D135" s="14">
        <v>2.7241379152885563E-5</v>
      </c>
      <c r="E135" s="2" t="s">
        <v>9</v>
      </c>
      <c r="F135" s="2" t="s">
        <v>81</v>
      </c>
      <c r="G135" s="2" t="s">
        <v>82</v>
      </c>
      <c r="H135" s="2" t="s">
        <v>83</v>
      </c>
      <c r="J135" s="2" t="s">
        <v>130</v>
      </c>
    </row>
    <row r="136" spans="1:10" x14ac:dyDescent="0.35">
      <c r="A136" s="2" t="s">
        <v>190</v>
      </c>
      <c r="D136" s="14">
        <v>1.3192354733183588E-5</v>
      </c>
      <c r="E136" s="2" t="s">
        <v>9</v>
      </c>
      <c r="F136" s="2" t="s">
        <v>81</v>
      </c>
      <c r="G136" s="2" t="s">
        <v>82</v>
      </c>
      <c r="H136" s="2" t="s">
        <v>83</v>
      </c>
      <c r="J136" s="2" t="s">
        <v>130</v>
      </c>
    </row>
    <row r="137" spans="1:10" x14ac:dyDescent="0.35">
      <c r="A137" s="2" t="s">
        <v>164</v>
      </c>
      <c r="D137" s="14">
        <v>1.0358892862084111E-5</v>
      </c>
      <c r="E137" s="2" t="s">
        <v>9</v>
      </c>
      <c r="F137" s="2" t="s">
        <v>81</v>
      </c>
      <c r="G137" s="2" t="s">
        <v>82</v>
      </c>
      <c r="H137" s="2" t="s">
        <v>83</v>
      </c>
      <c r="J137" s="2" t="s">
        <v>130</v>
      </c>
    </row>
    <row r="138" spans="1:10" x14ac:dyDescent="0.35">
      <c r="A138" s="2" t="s">
        <v>188</v>
      </c>
      <c r="D138" s="14">
        <v>1.1219146940596288E-7</v>
      </c>
      <c r="E138" s="2" t="s">
        <v>9</v>
      </c>
      <c r="F138" s="2" t="s">
        <v>81</v>
      </c>
      <c r="G138" s="2" t="s">
        <v>82</v>
      </c>
      <c r="H138" s="2" t="s">
        <v>83</v>
      </c>
      <c r="J138" s="2" t="s">
        <v>130</v>
      </c>
    </row>
    <row r="139" spans="1:10" x14ac:dyDescent="0.35">
      <c r="A139" s="2" t="s">
        <v>201</v>
      </c>
      <c r="D139" s="14">
        <v>4.0376025174968951E-8</v>
      </c>
      <c r="E139" s="2" t="s">
        <v>9</v>
      </c>
      <c r="F139" s="2" t="s">
        <v>81</v>
      </c>
      <c r="G139" s="2" t="s">
        <v>82</v>
      </c>
      <c r="H139" s="2" t="s">
        <v>83</v>
      </c>
      <c r="J139" s="2" t="s">
        <v>130</v>
      </c>
    </row>
    <row r="140" spans="1:10" x14ac:dyDescent="0.35">
      <c r="A140" s="2" t="s">
        <v>200</v>
      </c>
      <c r="D140" s="14">
        <v>5.4562331808033491E-9</v>
      </c>
      <c r="E140" s="2" t="s">
        <v>9</v>
      </c>
      <c r="F140" s="2" t="s">
        <v>81</v>
      </c>
      <c r="G140" s="2" t="s">
        <v>82</v>
      </c>
      <c r="H140" s="2" t="s">
        <v>83</v>
      </c>
      <c r="J140" s="2" t="s">
        <v>130</v>
      </c>
    </row>
    <row r="141" spans="1:10" x14ac:dyDescent="0.35">
      <c r="A141" s="2" t="s">
        <v>203</v>
      </c>
      <c r="D141" s="14">
        <v>2.6189969449343977E-11</v>
      </c>
      <c r="E141" s="2" t="s">
        <v>9</v>
      </c>
      <c r="F141" s="2" t="s">
        <v>81</v>
      </c>
      <c r="G141" s="2" t="s">
        <v>82</v>
      </c>
      <c r="H141" s="2" t="s">
        <v>83</v>
      </c>
      <c r="J141" s="2" t="s">
        <v>130</v>
      </c>
    </row>
    <row r="142" spans="1:10" x14ac:dyDescent="0.35">
      <c r="A142" s="2" t="s">
        <v>229</v>
      </c>
      <c r="D142" s="14">
        <v>6.6566102156072752E-15</v>
      </c>
      <c r="E142" s="2" t="s">
        <v>9</v>
      </c>
      <c r="F142" s="2" t="s">
        <v>81</v>
      </c>
      <c r="G142" s="2" t="s">
        <v>82</v>
      </c>
      <c r="H142" s="2" t="s">
        <v>83</v>
      </c>
      <c r="J142" s="2" t="s">
        <v>130</v>
      </c>
    </row>
    <row r="143" spans="1:10" s="11" customFormat="1" x14ac:dyDescent="0.35"/>
    <row r="144" spans="1:10" x14ac:dyDescent="0.35">
      <c r="A144" s="3" t="s">
        <v>0</v>
      </c>
      <c r="B144" s="3" t="s">
        <v>112</v>
      </c>
    </row>
    <row r="145" spans="1:14" x14ac:dyDescent="0.35">
      <c r="A145" s="8" t="s">
        <v>2</v>
      </c>
      <c r="B145" s="2" t="s">
        <v>3</v>
      </c>
    </row>
    <row r="146" spans="1:14" x14ac:dyDescent="0.35">
      <c r="A146" s="8" t="s">
        <v>4</v>
      </c>
      <c r="B146" s="2" t="s">
        <v>127</v>
      </c>
    </row>
    <row r="147" spans="1:14" x14ac:dyDescent="0.35">
      <c r="A147" s="8" t="s">
        <v>6</v>
      </c>
      <c r="B147" s="2">
        <v>1</v>
      </c>
    </row>
    <row r="148" spans="1:14" x14ac:dyDescent="0.35">
      <c r="A148" s="8" t="s">
        <v>8</v>
      </c>
      <c r="B148" s="2" t="s">
        <v>9</v>
      </c>
    </row>
    <row r="149" spans="1:14" x14ac:dyDescent="0.35">
      <c r="A149" s="8" t="s">
        <v>10</v>
      </c>
      <c r="B149" s="2" t="s">
        <v>11</v>
      </c>
    </row>
    <row r="150" spans="1:14" x14ac:dyDescent="0.35">
      <c r="A150" s="8" t="s">
        <v>12</v>
      </c>
    </row>
    <row r="151" spans="1:14" x14ac:dyDescent="0.35">
      <c r="A151" s="3" t="s">
        <v>13</v>
      </c>
      <c r="B151" s="3" t="s">
        <v>2</v>
      </c>
      <c r="C151" s="3" t="s">
        <v>4</v>
      </c>
      <c r="D151" s="3" t="s">
        <v>6</v>
      </c>
      <c r="E151" s="3" t="s">
        <v>8</v>
      </c>
      <c r="F151" s="3" t="s">
        <v>14</v>
      </c>
      <c r="G151" s="3" t="s">
        <v>15</v>
      </c>
      <c r="H151" s="3" t="s">
        <v>16</v>
      </c>
      <c r="I151" s="3" t="s">
        <v>17</v>
      </c>
      <c r="J151" s="3" t="s">
        <v>18</v>
      </c>
      <c r="K151" s="3" t="s">
        <v>19</v>
      </c>
      <c r="L151" s="3" t="s">
        <v>20</v>
      </c>
      <c r="M151" s="3" t="s">
        <v>21</v>
      </c>
      <c r="N151" s="3" t="s">
        <v>22</v>
      </c>
    </row>
    <row r="152" spans="1:14" x14ac:dyDescent="0.35">
      <c r="A152" s="2" t="str">
        <f>B144</f>
        <v>[P] Vanadium pentoxide (V2O5) production</v>
      </c>
      <c r="B152" s="2" t="str">
        <f>B145</f>
        <v>V2O5</v>
      </c>
      <c r="C152" s="2" t="str">
        <f>B146</f>
        <v>ZA</v>
      </c>
      <c r="D152" s="2">
        <v>1</v>
      </c>
      <c r="E152" s="2" t="s">
        <v>9</v>
      </c>
      <c r="F152" s="9" t="str">
        <f>F115</f>
        <v>Vanadium</v>
      </c>
      <c r="G152" s="2" t="s">
        <v>23</v>
      </c>
    </row>
    <row r="153" spans="1:14" x14ac:dyDescent="0.35">
      <c r="A153" s="2" t="s">
        <v>128</v>
      </c>
      <c r="B153" s="2" t="s">
        <v>129</v>
      </c>
      <c r="C153" s="2" t="s">
        <v>51</v>
      </c>
      <c r="D153" s="2">
        <v>4.7621140891687412</v>
      </c>
      <c r="E153" s="2" t="s">
        <v>9</v>
      </c>
      <c r="F153" s="2" t="s">
        <v>25</v>
      </c>
      <c r="G153" s="2" t="s">
        <v>26</v>
      </c>
      <c r="J153" s="2" t="s">
        <v>130</v>
      </c>
    </row>
    <row r="154" spans="1:14" x14ac:dyDescent="0.35">
      <c r="A154" s="2" t="s">
        <v>237</v>
      </c>
      <c r="B154" s="2" t="s">
        <v>238</v>
      </c>
      <c r="C154" s="2" t="s">
        <v>33</v>
      </c>
      <c r="D154" s="2">
        <v>5.5401455588312132</v>
      </c>
      <c r="E154" s="2" t="s">
        <v>52</v>
      </c>
      <c r="F154" s="2" t="s">
        <v>25</v>
      </c>
      <c r="G154" s="2" t="s">
        <v>26</v>
      </c>
      <c r="J154" s="2" t="s">
        <v>253</v>
      </c>
    </row>
    <row r="155" spans="1:14" x14ac:dyDescent="0.35">
      <c r="A155" s="2" t="s">
        <v>254</v>
      </c>
      <c r="B155" s="2" t="s">
        <v>255</v>
      </c>
      <c r="C155" s="2" t="s">
        <v>33</v>
      </c>
      <c r="D155" s="2">
        <v>0.21226501862745151</v>
      </c>
      <c r="E155" s="2" t="s">
        <v>52</v>
      </c>
      <c r="F155" s="2" t="s">
        <v>25</v>
      </c>
      <c r="G155" s="2" t="s">
        <v>26</v>
      </c>
      <c r="J155" s="2" t="s">
        <v>253</v>
      </c>
    </row>
    <row r="156" spans="1:14" x14ac:dyDescent="0.35">
      <c r="A156" s="2" t="s">
        <v>131</v>
      </c>
      <c r="B156" s="2" t="s">
        <v>29</v>
      </c>
      <c r="C156" s="2" t="s">
        <v>127</v>
      </c>
      <c r="D156" s="2">
        <v>0.18731924102129921</v>
      </c>
      <c r="E156" s="2" t="s">
        <v>30</v>
      </c>
      <c r="F156" s="2" t="s">
        <v>25</v>
      </c>
      <c r="G156" s="2" t="s">
        <v>26</v>
      </c>
      <c r="J156" s="2" t="s">
        <v>253</v>
      </c>
    </row>
    <row r="157" spans="1:14" x14ac:dyDescent="0.35">
      <c r="A157" s="2" t="s">
        <v>91</v>
      </c>
      <c r="B157" s="2" t="s">
        <v>92</v>
      </c>
      <c r="C157" s="2" t="s">
        <v>127</v>
      </c>
      <c r="D157" s="2">
        <v>5.0293627965177397E-2</v>
      </c>
      <c r="E157" s="2" t="s">
        <v>9</v>
      </c>
      <c r="F157" s="2" t="s">
        <v>25</v>
      </c>
      <c r="G157" s="2" t="s">
        <v>26</v>
      </c>
      <c r="J157" s="2" t="s">
        <v>253</v>
      </c>
    </row>
    <row r="158" spans="1:14" x14ac:dyDescent="0.35">
      <c r="A158" s="2" t="s">
        <v>64</v>
      </c>
      <c r="B158" s="2" t="s">
        <v>65</v>
      </c>
      <c r="C158" s="2" t="s">
        <v>33</v>
      </c>
      <c r="D158" s="2">
        <v>9.2855269446236871E-3</v>
      </c>
      <c r="E158" s="2" t="s">
        <v>40</v>
      </c>
      <c r="F158" s="2" t="s">
        <v>25</v>
      </c>
      <c r="G158" s="2" t="s">
        <v>26</v>
      </c>
      <c r="J158" s="2" t="s">
        <v>253</v>
      </c>
    </row>
    <row r="159" spans="1:14" x14ac:dyDescent="0.35">
      <c r="A159" s="2" t="s">
        <v>256</v>
      </c>
      <c r="B159" s="2" t="s">
        <v>257</v>
      </c>
      <c r="C159" s="2" t="s">
        <v>51</v>
      </c>
      <c r="D159" s="2">
        <v>3.3391669341153302E-4</v>
      </c>
      <c r="E159" s="2" t="s">
        <v>52</v>
      </c>
      <c r="F159" s="2" t="s">
        <v>25</v>
      </c>
      <c r="G159" s="2" t="s">
        <v>26</v>
      </c>
      <c r="J159" s="2" t="s">
        <v>253</v>
      </c>
    </row>
    <row r="160" spans="1:14" x14ac:dyDescent="0.35">
      <c r="A160" s="2" t="s">
        <v>258</v>
      </c>
      <c r="B160" s="2" t="s">
        <v>259</v>
      </c>
      <c r="C160" s="2" t="s">
        <v>51</v>
      </c>
      <c r="D160" s="2">
        <v>1.2568370803950079E-10</v>
      </c>
      <c r="E160" s="2" t="s">
        <v>8</v>
      </c>
      <c r="F160" s="2" t="s">
        <v>25</v>
      </c>
      <c r="G160" s="2" t="s">
        <v>26</v>
      </c>
      <c r="J160" s="2" t="s">
        <v>253</v>
      </c>
    </row>
    <row r="161" spans="1:10" x14ac:dyDescent="0.35">
      <c r="A161" s="2" t="s">
        <v>261</v>
      </c>
      <c r="B161" s="2" t="s">
        <v>262</v>
      </c>
      <c r="C161" s="2" t="s">
        <v>51</v>
      </c>
      <c r="D161" s="2">
        <v>0.69538780669421441</v>
      </c>
      <c r="E161" s="2" t="s">
        <v>9</v>
      </c>
      <c r="F161" s="2" t="s">
        <v>25</v>
      </c>
      <c r="G161" s="2" t="s">
        <v>26</v>
      </c>
      <c r="J161" s="2" t="s">
        <v>260</v>
      </c>
    </row>
    <row r="162" spans="1:10" x14ac:dyDescent="0.35">
      <c r="A162" s="2" t="s">
        <v>264</v>
      </c>
      <c r="B162" s="2" t="s">
        <v>265</v>
      </c>
      <c r="C162" s="2" t="s">
        <v>33</v>
      </c>
      <c r="D162" s="2">
        <v>0.2364118406582302</v>
      </c>
      <c r="E162" s="2" t="s">
        <v>9</v>
      </c>
      <c r="F162" s="2" t="s">
        <v>25</v>
      </c>
      <c r="G162" s="2" t="s">
        <v>26</v>
      </c>
      <c r="J162" s="2" t="s">
        <v>260</v>
      </c>
    </row>
    <row r="163" spans="1:10" x14ac:dyDescent="0.35">
      <c r="A163" s="2" t="s">
        <v>245</v>
      </c>
      <c r="B163" s="2" t="s">
        <v>246</v>
      </c>
      <c r="C163" s="2" t="s">
        <v>33</v>
      </c>
      <c r="D163" s="2">
        <v>-0.2148692926279642</v>
      </c>
      <c r="E163" s="2" t="s">
        <v>9</v>
      </c>
      <c r="F163" s="2" t="s">
        <v>25</v>
      </c>
      <c r="G163" s="2" t="s">
        <v>26</v>
      </c>
      <c r="J163" s="2" t="s">
        <v>260</v>
      </c>
    </row>
    <row r="164" spans="1:10" x14ac:dyDescent="0.35">
      <c r="A164" s="2" t="s">
        <v>267</v>
      </c>
      <c r="B164" s="2" t="s">
        <v>268</v>
      </c>
      <c r="C164" s="2" t="s">
        <v>33</v>
      </c>
      <c r="D164" s="2">
        <v>0.20357546435174281</v>
      </c>
      <c r="E164" s="2" t="s">
        <v>9</v>
      </c>
      <c r="F164" s="2" t="s">
        <v>25</v>
      </c>
      <c r="G164" s="2" t="s">
        <v>26</v>
      </c>
      <c r="J164" s="2" t="s">
        <v>260</v>
      </c>
    </row>
    <row r="165" spans="1:10" x14ac:dyDescent="0.35">
      <c r="A165" s="2" t="s">
        <v>245</v>
      </c>
      <c r="B165" s="2" t="s">
        <v>246</v>
      </c>
      <c r="C165" s="2" t="s">
        <v>33</v>
      </c>
      <c r="D165" s="2">
        <v>-6.600865000636584E-2</v>
      </c>
      <c r="E165" s="2" t="s">
        <v>9</v>
      </c>
      <c r="F165" s="2" t="s">
        <v>25</v>
      </c>
      <c r="G165" s="2" t="s">
        <v>26</v>
      </c>
      <c r="J165" s="2" t="s">
        <v>260</v>
      </c>
    </row>
    <row r="166" spans="1:10" x14ac:dyDescent="0.35">
      <c r="A166" s="2" t="s">
        <v>270</v>
      </c>
      <c r="B166" s="2" t="s">
        <v>271</v>
      </c>
      <c r="C166" s="2" t="s">
        <v>33</v>
      </c>
      <c r="D166" s="2">
        <v>-1.7060028809957519</v>
      </c>
      <c r="E166" s="2" t="s">
        <v>9</v>
      </c>
      <c r="F166" s="2" t="s">
        <v>25</v>
      </c>
      <c r="G166" s="2" t="s">
        <v>26</v>
      </c>
      <c r="J166" s="2" t="s">
        <v>260</v>
      </c>
    </row>
    <row r="167" spans="1:10" x14ac:dyDescent="0.35">
      <c r="A167" s="2" t="s">
        <v>80</v>
      </c>
      <c r="D167" s="2">
        <v>0.76415797267350072</v>
      </c>
      <c r="E167" s="2" t="s">
        <v>9</v>
      </c>
      <c r="F167" s="2" t="s">
        <v>81</v>
      </c>
      <c r="G167" s="2" t="s">
        <v>82</v>
      </c>
      <c r="H167" s="2" t="s">
        <v>83</v>
      </c>
      <c r="J167" s="2" t="s">
        <v>253</v>
      </c>
    </row>
    <row r="168" spans="1:10" x14ac:dyDescent="0.35">
      <c r="A168" s="2" t="s">
        <v>86</v>
      </c>
      <c r="D168" s="2">
        <v>0.12909742082424469</v>
      </c>
      <c r="E168" s="2" t="s">
        <v>9</v>
      </c>
      <c r="F168" s="2" t="s">
        <v>81</v>
      </c>
      <c r="G168" s="2" t="s">
        <v>82</v>
      </c>
      <c r="H168" s="2" t="s">
        <v>83</v>
      </c>
      <c r="J168" s="2" t="s">
        <v>253</v>
      </c>
    </row>
    <row r="169" spans="1:10" x14ac:dyDescent="0.35">
      <c r="A169" s="2" t="s">
        <v>85</v>
      </c>
      <c r="D169" s="2">
        <v>6.3407397302644771E-3</v>
      </c>
      <c r="E169" s="2" t="s">
        <v>9</v>
      </c>
      <c r="F169" s="2" t="s">
        <v>81</v>
      </c>
      <c r="G169" s="2" t="s">
        <v>82</v>
      </c>
      <c r="H169" s="2" t="s">
        <v>83</v>
      </c>
      <c r="J169" s="2" t="s">
        <v>253</v>
      </c>
    </row>
    <row r="170" spans="1:10" x14ac:dyDescent="0.35">
      <c r="A170" s="2" t="s">
        <v>87</v>
      </c>
      <c r="D170" s="2">
        <v>2.6510798518216299E-3</v>
      </c>
      <c r="E170" s="2" t="s">
        <v>9</v>
      </c>
      <c r="F170" s="2" t="s">
        <v>81</v>
      </c>
      <c r="G170" s="2" t="s">
        <v>82</v>
      </c>
      <c r="H170" s="2" t="s">
        <v>83</v>
      </c>
      <c r="J170" s="2" t="s">
        <v>253</v>
      </c>
    </row>
    <row r="171" spans="1:10" x14ac:dyDescent="0.35">
      <c r="A171" s="2" t="s">
        <v>164</v>
      </c>
      <c r="D171" s="2">
        <v>1.037392925318639E-3</v>
      </c>
      <c r="E171" s="2" t="s">
        <v>9</v>
      </c>
      <c r="F171" s="2" t="s">
        <v>81</v>
      </c>
      <c r="G171" s="2" t="s">
        <v>82</v>
      </c>
      <c r="H171" s="2" t="s">
        <v>83</v>
      </c>
      <c r="J171" s="2" t="s">
        <v>253</v>
      </c>
    </row>
    <row r="172" spans="1:10" x14ac:dyDescent="0.35">
      <c r="A172" s="2" t="s">
        <v>273</v>
      </c>
      <c r="D172" s="2">
        <v>0.2099403556610718</v>
      </c>
      <c r="E172" s="2" t="s">
        <v>9</v>
      </c>
      <c r="F172" s="2" t="s">
        <v>81</v>
      </c>
      <c r="G172" s="2" t="s">
        <v>82</v>
      </c>
      <c r="H172" s="2" t="s">
        <v>274</v>
      </c>
      <c r="J172" s="2" t="s">
        <v>260</v>
      </c>
    </row>
    <row r="173" spans="1:10" x14ac:dyDescent="0.35">
      <c r="A173" s="2" t="s">
        <v>80</v>
      </c>
      <c r="D173" s="2">
        <v>0.28861814105719891</v>
      </c>
      <c r="E173" s="2" t="s">
        <v>9</v>
      </c>
      <c r="F173" s="2" t="s">
        <v>81</v>
      </c>
      <c r="G173" s="2" t="s">
        <v>82</v>
      </c>
      <c r="H173" s="2" t="s">
        <v>83</v>
      </c>
      <c r="J173" s="2" t="s">
        <v>260</v>
      </c>
    </row>
    <row r="174" spans="1:10" x14ac:dyDescent="0.35">
      <c r="A174" s="2" t="s">
        <v>275</v>
      </c>
      <c r="D174" s="2">
        <v>0.4474848970882353</v>
      </c>
      <c r="E174" s="2" t="s">
        <v>9</v>
      </c>
      <c r="F174" s="2" t="s">
        <v>81</v>
      </c>
      <c r="G174" s="2" t="s">
        <v>82</v>
      </c>
      <c r="H174" s="2" t="s">
        <v>83</v>
      </c>
      <c r="J174" s="2" t="s">
        <v>260</v>
      </c>
    </row>
    <row r="175" spans="1:10" x14ac:dyDescent="0.35">
      <c r="A175" s="2" t="s">
        <v>276</v>
      </c>
      <c r="D175" s="2">
        <v>1.4418957795065359</v>
      </c>
      <c r="E175" s="2" t="s">
        <v>9</v>
      </c>
      <c r="F175" s="2" t="s">
        <v>81</v>
      </c>
      <c r="G175" s="2" t="s">
        <v>82</v>
      </c>
      <c r="H175" s="2" t="s">
        <v>83</v>
      </c>
      <c r="J175" s="2" t="s">
        <v>260</v>
      </c>
    </row>
    <row r="176" spans="1:10" x14ac:dyDescent="0.35">
      <c r="A176" s="2" t="s">
        <v>277</v>
      </c>
      <c r="D176" s="2">
        <v>0.30169387722487268</v>
      </c>
      <c r="E176" s="2" t="s">
        <v>9</v>
      </c>
      <c r="F176" s="2" t="s">
        <v>81</v>
      </c>
      <c r="G176" s="2" t="s">
        <v>82</v>
      </c>
      <c r="H176" s="2" t="s">
        <v>83</v>
      </c>
      <c r="J176" s="2" t="s">
        <v>260</v>
      </c>
    </row>
    <row r="177" spans="1:14" x14ac:dyDescent="0.35">
      <c r="A177" s="2" t="s">
        <v>155</v>
      </c>
      <c r="D177" s="2">
        <v>0.20331383322477001</v>
      </c>
      <c r="E177" s="2" t="s">
        <v>40</v>
      </c>
      <c r="F177" s="2" t="s">
        <v>81</v>
      </c>
      <c r="G177" s="2" t="s">
        <v>82</v>
      </c>
      <c r="H177" s="2" t="s">
        <v>83</v>
      </c>
      <c r="J177" s="2" t="s">
        <v>260</v>
      </c>
    </row>
    <row r="178" spans="1:14" x14ac:dyDescent="0.35">
      <c r="A178" s="2" t="s">
        <v>155</v>
      </c>
      <c r="D178" s="2">
        <v>9.6574103804706408E-5</v>
      </c>
      <c r="E178" s="2" t="s">
        <v>40</v>
      </c>
      <c r="F178" s="2" t="s">
        <v>81</v>
      </c>
      <c r="G178" s="2" t="s">
        <v>82</v>
      </c>
      <c r="H178" s="2" t="s">
        <v>83</v>
      </c>
      <c r="J178" s="2" t="s">
        <v>260</v>
      </c>
    </row>
    <row r="179" spans="1:14" x14ac:dyDescent="0.35">
      <c r="A179" s="2" t="s">
        <v>278</v>
      </c>
      <c r="D179" s="2">
        <v>0.18259024631625251</v>
      </c>
      <c r="E179" s="2" t="s">
        <v>9</v>
      </c>
      <c r="F179" s="2" t="s">
        <v>81</v>
      </c>
      <c r="G179" s="2" t="s">
        <v>82</v>
      </c>
      <c r="H179" s="2" t="s">
        <v>83</v>
      </c>
      <c r="J179" s="2" t="s">
        <v>260</v>
      </c>
    </row>
    <row r="180" spans="1:14" s="10" customFormat="1" x14ac:dyDescent="0.35"/>
    <row r="181" spans="1:14" x14ac:dyDescent="0.35">
      <c r="A181" s="3" t="s">
        <v>0</v>
      </c>
      <c r="B181" s="3" t="s">
        <v>279</v>
      </c>
    </row>
    <row r="182" spans="1:14" x14ac:dyDescent="0.35">
      <c r="A182" s="8" t="s">
        <v>2</v>
      </c>
      <c r="B182" s="2" t="s">
        <v>3</v>
      </c>
    </row>
    <row r="183" spans="1:14" x14ac:dyDescent="0.35">
      <c r="A183" s="8" t="s">
        <v>4</v>
      </c>
      <c r="B183" s="2" t="s">
        <v>127</v>
      </c>
    </row>
    <row r="184" spans="1:14" x14ac:dyDescent="0.35">
      <c r="A184" s="8" t="s">
        <v>6</v>
      </c>
      <c r="B184" s="2">
        <v>1</v>
      </c>
    </row>
    <row r="185" spans="1:14" x14ac:dyDescent="0.35">
      <c r="A185" s="8" t="s">
        <v>8</v>
      </c>
      <c r="B185" s="2" t="s">
        <v>9</v>
      </c>
    </row>
    <row r="186" spans="1:14" x14ac:dyDescent="0.35">
      <c r="A186" s="8" t="s">
        <v>10</v>
      </c>
      <c r="B186" s="13" t="s">
        <v>294</v>
      </c>
    </row>
    <row r="187" spans="1:14" x14ac:dyDescent="0.35">
      <c r="A187" s="8" t="s">
        <v>12</v>
      </c>
    </row>
    <row r="188" spans="1:14" x14ac:dyDescent="0.35">
      <c r="A188" s="3" t="s">
        <v>13</v>
      </c>
      <c r="B188" s="3" t="s">
        <v>2</v>
      </c>
      <c r="C188" s="3" t="s">
        <v>4</v>
      </c>
      <c r="D188" s="3" t="s">
        <v>6</v>
      </c>
      <c r="E188" s="3" t="s">
        <v>8</v>
      </c>
      <c r="F188" s="3" t="s">
        <v>14</v>
      </c>
      <c r="G188" s="3" t="s">
        <v>15</v>
      </c>
      <c r="H188" s="3" t="s">
        <v>16</v>
      </c>
      <c r="I188" s="3" t="s">
        <v>17</v>
      </c>
      <c r="J188" s="3" t="s">
        <v>18</v>
      </c>
      <c r="K188" s="3" t="s">
        <v>19</v>
      </c>
      <c r="L188" s="3" t="s">
        <v>20</v>
      </c>
      <c r="M188" s="3" t="s">
        <v>21</v>
      </c>
      <c r="N188" s="3" t="s">
        <v>22</v>
      </c>
    </row>
    <row r="189" spans="1:14" x14ac:dyDescent="0.35">
      <c r="A189" s="2" t="str">
        <f>B181</f>
        <v>VTM ore mining and V2O5 production in South Africa/Mapochs Mine</v>
      </c>
      <c r="B189" s="2" t="str">
        <f>B182</f>
        <v>V2O5</v>
      </c>
      <c r="C189" s="2" t="str">
        <f>B183</f>
        <v>ZA</v>
      </c>
      <c r="D189" s="2">
        <v>1</v>
      </c>
      <c r="E189" s="2" t="s">
        <v>9</v>
      </c>
      <c r="F189" s="9" t="str">
        <f>F152</f>
        <v>Vanadium</v>
      </c>
      <c r="G189" s="2" t="s">
        <v>23</v>
      </c>
    </row>
    <row r="190" spans="1:14" x14ac:dyDescent="0.35">
      <c r="A190" s="2" t="str">
        <f>A152</f>
        <v>[P] Vanadium pentoxide (V2O5) production</v>
      </c>
      <c r="B190" s="2" t="str">
        <f t="shared" ref="B190:F190" si="0">B152</f>
        <v>V2O5</v>
      </c>
      <c r="C190" s="2" t="str">
        <f t="shared" si="0"/>
        <v>ZA</v>
      </c>
      <c r="D190" s="2">
        <v>1</v>
      </c>
      <c r="E190" s="2" t="str">
        <f t="shared" si="0"/>
        <v>kilogram</v>
      </c>
      <c r="F190" s="9" t="str">
        <f t="shared" si="0"/>
        <v>Vanadium</v>
      </c>
      <c r="G190" s="2" t="s">
        <v>26</v>
      </c>
    </row>
    <row r="191" spans="1:14" x14ac:dyDescent="0.35">
      <c r="A191" s="2" t="str">
        <f>A115</f>
        <v>[R] Steel production</v>
      </c>
      <c r="B191" s="2" t="str">
        <f>B115</f>
        <v>Vanadium (V) slag</v>
      </c>
      <c r="C191" s="2" t="str">
        <f>C115</f>
        <v>ZA</v>
      </c>
      <c r="D191" s="2">
        <v>4.7621140891687412</v>
      </c>
      <c r="E191" s="2" t="str">
        <f>E115</f>
        <v>kilogram</v>
      </c>
      <c r="F191" s="9" t="str">
        <f>F115</f>
        <v>Vanadium</v>
      </c>
      <c r="G191" s="2" t="s">
        <v>26</v>
      </c>
    </row>
    <row r="192" spans="1:14" x14ac:dyDescent="0.35">
      <c r="A192" s="2" t="str">
        <f>A9</f>
        <v>[M+C+P] Iron (Fe) production</v>
      </c>
      <c r="B192" s="2" t="str">
        <f>B9</f>
        <v xml:space="preserve">Fe </v>
      </c>
      <c r="C192" s="2" t="str">
        <f>C9</f>
        <v>ZA</v>
      </c>
      <c r="D192" s="14">
        <v>0.93539674209005896</v>
      </c>
      <c r="E192" s="2" t="str">
        <f>E9</f>
        <v>kilogram</v>
      </c>
      <c r="F192" s="9" t="str">
        <f>F9</f>
        <v>Vanadium</v>
      </c>
      <c r="G192" s="2" t="s">
        <v>26</v>
      </c>
    </row>
    <row r="193" spans="1:14" s="10" customFormat="1" x14ac:dyDescent="0.35"/>
    <row r="194" spans="1:14" x14ac:dyDescent="0.35">
      <c r="A194" s="3" t="s">
        <v>0</v>
      </c>
      <c r="B194" s="3" t="s">
        <v>280</v>
      </c>
    </row>
    <row r="195" spans="1:14" x14ac:dyDescent="0.35">
      <c r="A195" s="8" t="s">
        <v>2</v>
      </c>
      <c r="B195" s="2" t="s">
        <v>55</v>
      </c>
    </row>
    <row r="196" spans="1:14" x14ac:dyDescent="0.35">
      <c r="A196" s="8" t="s">
        <v>4</v>
      </c>
      <c r="B196" s="2" t="s">
        <v>127</v>
      </c>
    </row>
    <row r="197" spans="1:14" x14ac:dyDescent="0.35">
      <c r="A197" s="8" t="s">
        <v>6</v>
      </c>
      <c r="B197" s="2">
        <v>1</v>
      </c>
    </row>
    <row r="198" spans="1:14" x14ac:dyDescent="0.35">
      <c r="A198" s="8" t="s">
        <v>8</v>
      </c>
      <c r="B198" s="2" t="s">
        <v>9</v>
      </c>
    </row>
    <row r="199" spans="1:14" ht="29" x14ac:dyDescent="0.35">
      <c r="A199" s="8" t="s">
        <v>10</v>
      </c>
      <c r="B199" s="15" t="s">
        <v>295</v>
      </c>
    </row>
    <row r="200" spans="1:14" x14ac:dyDescent="0.35">
      <c r="A200" s="8" t="s">
        <v>12</v>
      </c>
    </row>
    <row r="201" spans="1:14" x14ac:dyDescent="0.35">
      <c r="A201" s="3" t="s">
        <v>13</v>
      </c>
      <c r="B201" s="3" t="s">
        <v>2</v>
      </c>
      <c r="C201" s="3" t="s">
        <v>4</v>
      </c>
      <c r="D201" s="3" t="s">
        <v>6</v>
      </c>
      <c r="E201" s="3" t="s">
        <v>8</v>
      </c>
      <c r="F201" s="3" t="s">
        <v>14</v>
      </c>
      <c r="G201" s="3" t="s">
        <v>15</v>
      </c>
      <c r="H201" s="3" t="s">
        <v>16</v>
      </c>
      <c r="I201" s="3" t="s">
        <v>17</v>
      </c>
      <c r="J201" s="3" t="s">
        <v>18</v>
      </c>
      <c r="K201" s="3" t="s">
        <v>19</v>
      </c>
      <c r="L201" s="3" t="s">
        <v>20</v>
      </c>
      <c r="M201" s="3" t="s">
        <v>21</v>
      </c>
      <c r="N201" s="3" t="s">
        <v>22</v>
      </c>
    </row>
    <row r="202" spans="1:14" x14ac:dyDescent="0.35">
      <c r="A202" s="2" t="s">
        <v>280</v>
      </c>
      <c r="B202" s="2" t="s">
        <v>55</v>
      </c>
      <c r="C202" s="2" t="s">
        <v>127</v>
      </c>
      <c r="D202" s="18">
        <v>1</v>
      </c>
      <c r="E202" s="2" t="s">
        <v>9</v>
      </c>
      <c r="F202" s="9" t="str">
        <f>F189</f>
        <v>Vanadium</v>
      </c>
      <c r="G202" s="2" t="s">
        <v>23</v>
      </c>
    </row>
    <row r="203" spans="1:14" x14ac:dyDescent="0.35">
      <c r="A203" s="2" t="str">
        <f>A152</f>
        <v>[P] Vanadium pentoxide (V2O5) production</v>
      </c>
      <c r="B203" s="2" t="str">
        <f t="shared" ref="B203:F203" si="1">B152</f>
        <v>V2O5</v>
      </c>
      <c r="C203" s="2" t="str">
        <f t="shared" si="1"/>
        <v>ZA</v>
      </c>
      <c r="D203" s="2">
        <v>1.7850767583006069</v>
      </c>
      <c r="E203" s="2" t="str">
        <f t="shared" si="1"/>
        <v>kilogram</v>
      </c>
      <c r="F203" s="9" t="str">
        <f t="shared" si="1"/>
        <v>Vanadium</v>
      </c>
      <c r="G203" s="2" t="s">
        <v>26</v>
      </c>
    </row>
    <row r="204" spans="1:14" x14ac:dyDescent="0.35">
      <c r="A204" s="2" t="str">
        <f>A115</f>
        <v>[R] Steel production</v>
      </c>
      <c r="B204" s="2" t="str">
        <f t="shared" ref="B204:F204" si="2">B115</f>
        <v>Vanadium (V) slag</v>
      </c>
      <c r="C204" s="2" t="str">
        <f t="shared" si="2"/>
        <v>ZA</v>
      </c>
      <c r="D204" s="2">
        <v>8.5007391809509834</v>
      </c>
      <c r="E204" s="2" t="str">
        <f t="shared" si="2"/>
        <v>kilogram</v>
      </c>
      <c r="F204" s="9" t="str">
        <f t="shared" si="2"/>
        <v>Vanadium</v>
      </c>
      <c r="G204" s="2" t="s">
        <v>26</v>
      </c>
    </row>
    <row r="205" spans="1:14" x14ac:dyDescent="0.35">
      <c r="A205" s="2" t="str">
        <f>A9</f>
        <v>[M+C+P] Iron (Fe) production</v>
      </c>
      <c r="B205" s="2" t="str">
        <f t="shared" ref="B205:F205" si="3">B9</f>
        <v xml:space="preserve">Fe </v>
      </c>
      <c r="C205" s="2" t="str">
        <f t="shared" si="3"/>
        <v>ZA</v>
      </c>
      <c r="D205" s="14">
        <v>1.6697549840950712</v>
      </c>
      <c r="E205" s="2" t="str">
        <f t="shared" si="3"/>
        <v>kilogram</v>
      </c>
      <c r="F205" s="9" t="str">
        <f t="shared" si="3"/>
        <v>Vanadium</v>
      </c>
      <c r="G205" s="2" t="s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</sheetPr>
  <dimension ref="A1:N238"/>
  <sheetViews>
    <sheetView topLeftCell="A121" workbookViewId="0">
      <selection activeCell="B243" sqref="B243"/>
    </sheetView>
  </sheetViews>
  <sheetFormatPr baseColWidth="10" defaultColWidth="9.1796875" defaultRowHeight="14.5" x14ac:dyDescent="0.35"/>
  <cols>
    <col min="1" max="1" width="68.54296875" style="2" bestFit="1" customWidth="1"/>
    <col min="2" max="2" width="69.1796875" style="2" bestFit="1" customWidth="1"/>
    <col min="3" max="3" width="7.6328125" style="2" bestFit="1" customWidth="1"/>
    <col min="4" max="5" width="12.453125" style="2" bestFit="1" customWidth="1"/>
    <col min="6" max="6" width="18.36328125" style="2" bestFit="1" customWidth="1"/>
    <col min="7" max="7" width="12.26953125" style="2" bestFit="1" customWidth="1"/>
    <col min="8" max="8" width="32.26953125" style="2" bestFit="1" customWidth="1"/>
    <col min="9" max="9" width="14.6328125" style="2" bestFit="1" customWidth="1"/>
    <col min="10" max="10" width="8.90625" style="2" bestFit="1" customWidth="1"/>
    <col min="11" max="11" width="3.36328125" style="2" bestFit="1" customWidth="1"/>
    <col min="12" max="12" width="5" style="2" bestFit="1" customWidth="1"/>
    <col min="13" max="13" width="8.90625" style="2" bestFit="1" customWidth="1"/>
    <col min="14" max="14" width="9.26953125" style="2" bestFit="1" customWidth="1"/>
    <col min="15" max="16384" width="9.1796875" style="2"/>
  </cols>
  <sheetData>
    <row r="1" spans="1:14" x14ac:dyDescent="0.35">
      <c r="A1" s="3" t="s">
        <v>0</v>
      </c>
      <c r="B1" s="3" t="s">
        <v>125</v>
      </c>
    </row>
    <row r="2" spans="1:14" x14ac:dyDescent="0.35">
      <c r="A2" s="8" t="s">
        <v>2</v>
      </c>
      <c r="B2" s="2" t="s">
        <v>126</v>
      </c>
    </row>
    <row r="3" spans="1:14" x14ac:dyDescent="0.35">
      <c r="A3" s="8" t="s">
        <v>4</v>
      </c>
      <c r="B3" s="2" t="s">
        <v>127</v>
      </c>
    </row>
    <row r="4" spans="1:14" x14ac:dyDescent="0.35">
      <c r="A4" s="8" t="s">
        <v>6</v>
      </c>
      <c r="B4" s="2">
        <v>1</v>
      </c>
    </row>
    <row r="5" spans="1:14" x14ac:dyDescent="0.35">
      <c r="A5" s="8" t="s">
        <v>8</v>
      </c>
      <c r="B5" s="2" t="s">
        <v>9</v>
      </c>
    </row>
    <row r="6" spans="1:14" x14ac:dyDescent="0.35">
      <c r="A6" s="8" t="s">
        <v>10</v>
      </c>
      <c r="B6" s="2" t="s">
        <v>11</v>
      </c>
    </row>
    <row r="7" spans="1:14" x14ac:dyDescent="0.35">
      <c r="A7" s="8" t="s">
        <v>12</v>
      </c>
    </row>
    <row r="8" spans="1:14" x14ac:dyDescent="0.35">
      <c r="A8" s="3" t="s">
        <v>13</v>
      </c>
      <c r="B8" s="3" t="s">
        <v>2</v>
      </c>
      <c r="C8" s="3" t="s">
        <v>4</v>
      </c>
      <c r="D8" s="3" t="s">
        <v>6</v>
      </c>
      <c r="E8" s="3" t="s">
        <v>8</v>
      </c>
      <c r="F8" s="3" t="s">
        <v>14</v>
      </c>
      <c r="G8" s="3" t="s">
        <v>15</v>
      </c>
      <c r="H8" s="3" t="s">
        <v>16</v>
      </c>
      <c r="I8" s="3" t="s">
        <v>17</v>
      </c>
      <c r="J8" s="3" t="s">
        <v>18</v>
      </c>
      <c r="K8" s="3" t="s">
        <v>19</v>
      </c>
      <c r="L8" s="3" t="s">
        <v>20</v>
      </c>
      <c r="M8" s="3" t="s">
        <v>21</v>
      </c>
      <c r="N8" s="3" t="s">
        <v>22</v>
      </c>
    </row>
    <row r="9" spans="1:14" x14ac:dyDescent="0.35">
      <c r="A9" s="2" t="str">
        <f>B1</f>
        <v>[M+C+P] Iron (Fe) production</v>
      </c>
      <c r="B9" s="2" t="str">
        <f>B2</f>
        <v xml:space="preserve">Fe </v>
      </c>
      <c r="C9" s="2" t="str">
        <f>B3</f>
        <v>ZA</v>
      </c>
      <c r="D9" s="2">
        <v>1</v>
      </c>
      <c r="E9" s="2" t="s">
        <v>9</v>
      </c>
      <c r="F9" s="9" t="str">
        <f>V_Market_GLO!B1</f>
        <v>Vanadium</v>
      </c>
      <c r="G9" s="2" t="s">
        <v>23</v>
      </c>
    </row>
    <row r="10" spans="1:14" x14ac:dyDescent="0.35">
      <c r="A10" s="2" t="s">
        <v>128</v>
      </c>
      <c r="B10" s="2" t="s">
        <v>129</v>
      </c>
      <c r="C10" s="2" t="s">
        <v>51</v>
      </c>
      <c r="D10" s="2">
        <v>1.824817518248175</v>
      </c>
      <c r="E10" s="2" t="s">
        <v>9</v>
      </c>
      <c r="F10" s="2" t="s">
        <v>25</v>
      </c>
      <c r="G10" s="2" t="s">
        <v>26</v>
      </c>
      <c r="J10" s="2" t="s">
        <v>130</v>
      </c>
    </row>
    <row r="11" spans="1:14" x14ac:dyDescent="0.35">
      <c r="A11" s="2" t="s">
        <v>131</v>
      </c>
      <c r="B11" s="2" t="s">
        <v>29</v>
      </c>
      <c r="C11" s="2" t="s">
        <v>127</v>
      </c>
      <c r="D11" s="2">
        <v>1.647657481751825</v>
      </c>
      <c r="E11" s="2" t="s">
        <v>30</v>
      </c>
      <c r="F11" s="2" t="s">
        <v>25</v>
      </c>
      <c r="G11" s="2" t="s">
        <v>26</v>
      </c>
      <c r="J11" s="2" t="s">
        <v>130</v>
      </c>
    </row>
    <row r="12" spans="1:14" x14ac:dyDescent="0.35">
      <c r="A12" s="2" t="s">
        <v>91</v>
      </c>
      <c r="B12" s="2" t="s">
        <v>92</v>
      </c>
      <c r="C12" s="2" t="s">
        <v>127</v>
      </c>
      <c r="D12" s="2">
        <v>0.80291970802919699</v>
      </c>
      <c r="E12" s="2" t="s">
        <v>9</v>
      </c>
      <c r="F12" s="2" t="s">
        <v>25</v>
      </c>
      <c r="G12" s="2" t="s">
        <v>26</v>
      </c>
      <c r="J12" s="2" t="s">
        <v>130</v>
      </c>
    </row>
    <row r="13" spans="1:14" x14ac:dyDescent="0.35">
      <c r="A13" s="2" t="s">
        <v>132</v>
      </c>
      <c r="B13" s="2" t="s">
        <v>133</v>
      </c>
      <c r="C13" s="2" t="s">
        <v>33</v>
      </c>
      <c r="D13" s="2">
        <v>0.40145985401459849</v>
      </c>
      <c r="E13" s="2" t="s">
        <v>9</v>
      </c>
      <c r="F13" s="2" t="s">
        <v>25</v>
      </c>
      <c r="G13" s="2" t="s">
        <v>26</v>
      </c>
      <c r="J13" s="2" t="s">
        <v>130</v>
      </c>
    </row>
    <row r="14" spans="1:14" x14ac:dyDescent="0.35">
      <c r="A14" s="2" t="s">
        <v>134</v>
      </c>
      <c r="B14" s="2" t="s">
        <v>135</v>
      </c>
      <c r="C14" s="2" t="s">
        <v>127</v>
      </c>
      <c r="D14" s="2">
        <v>0.20072992700729919</v>
      </c>
      <c r="E14" s="2" t="s">
        <v>136</v>
      </c>
      <c r="F14" s="2" t="s">
        <v>25</v>
      </c>
      <c r="G14" s="2" t="s">
        <v>26</v>
      </c>
      <c r="J14" s="2" t="s">
        <v>130</v>
      </c>
    </row>
    <row r="15" spans="1:14" x14ac:dyDescent="0.35">
      <c r="A15" s="2" t="s">
        <v>137</v>
      </c>
      <c r="B15" s="2" t="s">
        <v>138</v>
      </c>
      <c r="C15" s="2" t="s">
        <v>51</v>
      </c>
      <c r="D15" s="2">
        <v>2.7372262773722629E-2</v>
      </c>
      <c r="E15" s="2" t="s">
        <v>9</v>
      </c>
      <c r="F15" s="2" t="s">
        <v>25</v>
      </c>
      <c r="G15" s="2" t="s">
        <v>26</v>
      </c>
      <c r="J15" s="2" t="s">
        <v>130</v>
      </c>
    </row>
    <row r="16" spans="1:14" x14ac:dyDescent="0.35">
      <c r="A16" s="2" t="s">
        <v>139</v>
      </c>
      <c r="B16" s="2" t="s">
        <v>140</v>
      </c>
      <c r="C16" s="2" t="s">
        <v>51</v>
      </c>
      <c r="D16" s="2">
        <v>5.4744525547445249E-3</v>
      </c>
      <c r="E16" s="2" t="s">
        <v>9</v>
      </c>
      <c r="F16" s="2" t="s">
        <v>25</v>
      </c>
      <c r="G16" s="2" t="s">
        <v>26</v>
      </c>
      <c r="J16" s="2" t="s">
        <v>130</v>
      </c>
    </row>
    <row r="17" spans="1:10" x14ac:dyDescent="0.35">
      <c r="A17" s="2" t="s">
        <v>141</v>
      </c>
      <c r="B17" s="2" t="s">
        <v>142</v>
      </c>
      <c r="C17" s="2" t="s">
        <v>51</v>
      </c>
      <c r="D17" s="2">
        <v>7.2992700729927003E-11</v>
      </c>
      <c r="E17" s="2" t="s">
        <v>8</v>
      </c>
      <c r="F17" s="2" t="s">
        <v>25</v>
      </c>
      <c r="G17" s="2" t="s">
        <v>26</v>
      </c>
      <c r="J17" s="2" t="s">
        <v>130</v>
      </c>
    </row>
    <row r="18" spans="1:10" x14ac:dyDescent="0.35">
      <c r="A18" s="2" t="s">
        <v>74</v>
      </c>
      <c r="B18" s="2" t="s">
        <v>75</v>
      </c>
      <c r="C18" s="2" t="s">
        <v>51</v>
      </c>
      <c r="D18" s="2">
        <v>1.824817518248175</v>
      </c>
      <c r="E18" s="2" t="s">
        <v>9</v>
      </c>
      <c r="F18" s="2" t="s">
        <v>25</v>
      </c>
      <c r="G18" s="2" t="s">
        <v>26</v>
      </c>
      <c r="J18" s="2" t="s">
        <v>130</v>
      </c>
    </row>
    <row r="19" spans="1:10" s="9" customFormat="1" x14ac:dyDescent="0.35">
      <c r="A19" s="9" t="s">
        <v>143</v>
      </c>
      <c r="D19" s="9">
        <v>1</v>
      </c>
      <c r="E19" s="9" t="s">
        <v>9</v>
      </c>
      <c r="F19" s="9" t="s">
        <v>25</v>
      </c>
      <c r="G19" s="9" t="s">
        <v>26</v>
      </c>
      <c r="J19" s="9" t="s">
        <v>130</v>
      </c>
    </row>
    <row r="20" spans="1:10" x14ac:dyDescent="0.35">
      <c r="A20" s="2" t="s">
        <v>144</v>
      </c>
      <c r="B20" s="2" t="s">
        <v>145</v>
      </c>
      <c r="C20" s="2" t="s">
        <v>51</v>
      </c>
      <c r="D20" s="2">
        <v>-0.81751824817518248</v>
      </c>
      <c r="E20" s="2" t="s">
        <v>9</v>
      </c>
      <c r="F20" s="2" t="s">
        <v>25</v>
      </c>
      <c r="G20" s="2" t="s">
        <v>26</v>
      </c>
      <c r="J20" s="2" t="s">
        <v>130</v>
      </c>
    </row>
    <row r="21" spans="1:10" x14ac:dyDescent="0.35">
      <c r="A21" s="2" t="s">
        <v>146</v>
      </c>
      <c r="B21" s="2" t="s">
        <v>147</v>
      </c>
      <c r="C21" s="2" t="s">
        <v>33</v>
      </c>
      <c r="D21" s="2">
        <v>-0.80291970802919699</v>
      </c>
      <c r="E21" s="2" t="s">
        <v>9</v>
      </c>
      <c r="F21" s="2" t="s">
        <v>25</v>
      </c>
      <c r="G21" s="2" t="s">
        <v>26</v>
      </c>
      <c r="J21" s="2" t="s">
        <v>130</v>
      </c>
    </row>
    <row r="22" spans="1:10" s="9" customFormat="1" x14ac:dyDescent="0.35">
      <c r="A22" s="9" t="s">
        <v>148</v>
      </c>
      <c r="D22" s="9">
        <v>-0.43613138686131381</v>
      </c>
      <c r="F22" s="9" t="s">
        <v>25</v>
      </c>
      <c r="G22" s="9" t="s">
        <v>26</v>
      </c>
      <c r="J22" s="9" t="s">
        <v>130</v>
      </c>
    </row>
    <row r="23" spans="1:10" x14ac:dyDescent="0.35">
      <c r="A23" s="2" t="s">
        <v>149</v>
      </c>
      <c r="B23" s="2" t="s">
        <v>150</v>
      </c>
      <c r="C23" s="2" t="s">
        <v>33</v>
      </c>
      <c r="D23" s="2">
        <v>-0.43613138686131381</v>
      </c>
      <c r="E23" s="2" t="s">
        <v>9</v>
      </c>
      <c r="F23" s="2" t="s">
        <v>25</v>
      </c>
      <c r="G23" s="2" t="s">
        <v>26</v>
      </c>
      <c r="J23" s="2" t="s">
        <v>130</v>
      </c>
    </row>
    <row r="24" spans="1:10" x14ac:dyDescent="0.35">
      <c r="A24" s="2" t="s">
        <v>80</v>
      </c>
      <c r="D24" s="2">
        <v>1.4071326111922151</v>
      </c>
      <c r="E24" s="2" t="s">
        <v>9</v>
      </c>
      <c r="F24" s="2" t="s">
        <v>81</v>
      </c>
      <c r="G24" s="2" t="s">
        <v>82</v>
      </c>
      <c r="H24" s="2" t="s">
        <v>151</v>
      </c>
      <c r="J24" s="2" t="s">
        <v>130</v>
      </c>
    </row>
    <row r="25" spans="1:10" x14ac:dyDescent="0.35">
      <c r="A25" s="2" t="s">
        <v>85</v>
      </c>
      <c r="D25" s="2">
        <v>1.1712779973844289E-2</v>
      </c>
      <c r="E25" s="2" t="s">
        <v>9</v>
      </c>
      <c r="F25" s="2" t="s">
        <v>81</v>
      </c>
      <c r="G25" s="2" t="s">
        <v>82</v>
      </c>
      <c r="H25" s="2" t="s">
        <v>151</v>
      </c>
      <c r="J25" s="2" t="s">
        <v>130</v>
      </c>
    </row>
    <row r="26" spans="1:10" x14ac:dyDescent="0.35">
      <c r="A26" s="2" t="s">
        <v>152</v>
      </c>
      <c r="D26" s="2">
        <v>7.6722422627737196E-3</v>
      </c>
      <c r="E26" s="2" t="s">
        <v>153</v>
      </c>
      <c r="F26" s="2" t="s">
        <v>81</v>
      </c>
      <c r="G26" s="2" t="s">
        <v>82</v>
      </c>
      <c r="H26" s="2" t="s">
        <v>151</v>
      </c>
      <c r="J26" s="2" t="s">
        <v>130</v>
      </c>
    </row>
    <row r="27" spans="1:10" x14ac:dyDescent="0.35">
      <c r="A27" s="2" t="s">
        <v>154</v>
      </c>
      <c r="D27" s="2">
        <v>7.5360486131386866E-3</v>
      </c>
      <c r="E27" s="2" t="s">
        <v>153</v>
      </c>
      <c r="F27" s="2" t="s">
        <v>81</v>
      </c>
      <c r="G27" s="2" t="s">
        <v>82</v>
      </c>
      <c r="H27" s="2" t="s">
        <v>151</v>
      </c>
      <c r="J27" s="2" t="s">
        <v>130</v>
      </c>
    </row>
    <row r="28" spans="1:10" x14ac:dyDescent="0.35">
      <c r="A28" s="2" t="s">
        <v>87</v>
      </c>
      <c r="D28" s="2">
        <v>5.8763776660583954E-3</v>
      </c>
      <c r="E28" s="2" t="s">
        <v>9</v>
      </c>
      <c r="F28" s="2" t="s">
        <v>81</v>
      </c>
      <c r="G28" s="2" t="s">
        <v>82</v>
      </c>
      <c r="H28" s="2" t="s">
        <v>151</v>
      </c>
      <c r="J28" s="2" t="s">
        <v>130</v>
      </c>
    </row>
    <row r="29" spans="1:10" x14ac:dyDescent="0.35">
      <c r="A29" s="2" t="s">
        <v>155</v>
      </c>
      <c r="D29" s="2">
        <v>1.9091303899154599E-3</v>
      </c>
      <c r="E29" s="2" t="s">
        <v>40</v>
      </c>
      <c r="F29" s="2" t="s">
        <v>81</v>
      </c>
      <c r="G29" s="2" t="s">
        <v>82</v>
      </c>
      <c r="H29" s="2" t="s">
        <v>83</v>
      </c>
      <c r="J29" s="2" t="s">
        <v>130</v>
      </c>
    </row>
    <row r="30" spans="1:10" x14ac:dyDescent="0.35">
      <c r="A30" s="2" t="s">
        <v>156</v>
      </c>
      <c r="D30" s="2">
        <v>1.861313211678836E-3</v>
      </c>
      <c r="E30" s="2" t="s">
        <v>153</v>
      </c>
      <c r="F30" s="2" t="s">
        <v>81</v>
      </c>
      <c r="G30" s="2" t="s">
        <v>82</v>
      </c>
      <c r="H30" s="2" t="s">
        <v>151</v>
      </c>
      <c r="J30" s="2" t="s">
        <v>130</v>
      </c>
    </row>
    <row r="31" spans="1:10" x14ac:dyDescent="0.35">
      <c r="A31" s="2" t="s">
        <v>157</v>
      </c>
      <c r="D31" s="2">
        <v>1.048691102189781E-3</v>
      </c>
      <c r="E31" s="2" t="s">
        <v>153</v>
      </c>
      <c r="F31" s="2" t="s">
        <v>81</v>
      </c>
      <c r="G31" s="2" t="s">
        <v>82</v>
      </c>
      <c r="H31" s="2" t="s">
        <v>151</v>
      </c>
      <c r="J31" s="2" t="s">
        <v>130</v>
      </c>
    </row>
    <row r="32" spans="1:10" x14ac:dyDescent="0.35">
      <c r="A32" s="2" t="s">
        <v>158</v>
      </c>
      <c r="D32" s="2">
        <v>4.0101463503649582E-4</v>
      </c>
      <c r="E32" s="2" t="s">
        <v>9</v>
      </c>
      <c r="F32" s="2" t="s">
        <v>81</v>
      </c>
      <c r="G32" s="2" t="s">
        <v>82</v>
      </c>
      <c r="H32" s="2" t="s">
        <v>151</v>
      </c>
      <c r="J32" s="2" t="s">
        <v>130</v>
      </c>
    </row>
    <row r="33" spans="1:10" x14ac:dyDescent="0.35">
      <c r="A33" s="2" t="s">
        <v>159</v>
      </c>
      <c r="D33" s="2">
        <v>3.4805043795620448E-4</v>
      </c>
      <c r="E33" s="2" t="s">
        <v>153</v>
      </c>
      <c r="F33" s="2" t="s">
        <v>81</v>
      </c>
      <c r="G33" s="2" t="s">
        <v>82</v>
      </c>
      <c r="H33" s="2" t="s">
        <v>151</v>
      </c>
      <c r="J33" s="2" t="s">
        <v>130</v>
      </c>
    </row>
    <row r="34" spans="1:10" x14ac:dyDescent="0.35">
      <c r="A34" s="2" t="s">
        <v>160</v>
      </c>
      <c r="D34" s="2">
        <v>3.1180779452554761E-4</v>
      </c>
      <c r="E34" s="2" t="s">
        <v>9</v>
      </c>
      <c r="F34" s="2" t="s">
        <v>81</v>
      </c>
      <c r="G34" s="2" t="s">
        <v>82</v>
      </c>
      <c r="H34" s="2" t="s">
        <v>151</v>
      </c>
      <c r="J34" s="2" t="s">
        <v>130</v>
      </c>
    </row>
    <row r="35" spans="1:10" x14ac:dyDescent="0.35">
      <c r="A35" s="2" t="s">
        <v>161</v>
      </c>
      <c r="D35" s="2">
        <v>2.7692708759124052E-4</v>
      </c>
      <c r="E35" s="2" t="s">
        <v>153</v>
      </c>
      <c r="F35" s="2" t="s">
        <v>81</v>
      </c>
      <c r="G35" s="2" t="s">
        <v>82</v>
      </c>
      <c r="H35" s="2" t="s">
        <v>151</v>
      </c>
      <c r="J35" s="2" t="s">
        <v>130</v>
      </c>
    </row>
    <row r="36" spans="1:10" x14ac:dyDescent="0.35">
      <c r="A36" s="2" t="s">
        <v>162</v>
      </c>
      <c r="D36" s="2">
        <v>2.5876793430656882E-4</v>
      </c>
      <c r="E36" s="2" t="s">
        <v>153</v>
      </c>
      <c r="F36" s="2" t="s">
        <v>81</v>
      </c>
      <c r="G36" s="2" t="s">
        <v>82</v>
      </c>
      <c r="H36" s="2" t="s">
        <v>151</v>
      </c>
      <c r="J36" s="2" t="s">
        <v>130</v>
      </c>
    </row>
    <row r="37" spans="1:10" x14ac:dyDescent="0.35">
      <c r="A37" s="2" t="s">
        <v>163</v>
      </c>
      <c r="D37" s="2">
        <v>2.4060878102189699E-4</v>
      </c>
      <c r="E37" s="2" t="s">
        <v>153</v>
      </c>
      <c r="F37" s="2" t="s">
        <v>81</v>
      </c>
      <c r="G37" s="2" t="s">
        <v>82</v>
      </c>
      <c r="H37" s="2" t="s">
        <v>151</v>
      </c>
      <c r="J37" s="2" t="s">
        <v>130</v>
      </c>
    </row>
    <row r="38" spans="1:10" x14ac:dyDescent="0.35">
      <c r="A38" s="2" t="s">
        <v>86</v>
      </c>
      <c r="D38" s="2">
        <v>1.334697766423364E-4</v>
      </c>
      <c r="E38" s="2" t="s">
        <v>9</v>
      </c>
      <c r="F38" s="2" t="s">
        <v>81</v>
      </c>
      <c r="G38" s="2" t="s">
        <v>82</v>
      </c>
      <c r="H38" s="2" t="s">
        <v>151</v>
      </c>
      <c r="J38" s="2" t="s">
        <v>130</v>
      </c>
    </row>
    <row r="39" spans="1:10" x14ac:dyDescent="0.35">
      <c r="A39" s="2" t="s">
        <v>164</v>
      </c>
      <c r="D39" s="2">
        <v>1.0780021614152479E-4</v>
      </c>
      <c r="E39" s="2" t="s">
        <v>9</v>
      </c>
      <c r="F39" s="2" t="s">
        <v>81</v>
      </c>
      <c r="G39" s="2" t="s">
        <v>82</v>
      </c>
      <c r="H39" s="2" t="s">
        <v>151</v>
      </c>
      <c r="J39" s="2" t="s">
        <v>130</v>
      </c>
    </row>
    <row r="40" spans="1:10" x14ac:dyDescent="0.35">
      <c r="A40" s="2" t="s">
        <v>165</v>
      </c>
      <c r="D40" s="2">
        <v>8.9433829927007335E-5</v>
      </c>
      <c r="E40" s="2" t="s">
        <v>153</v>
      </c>
      <c r="F40" s="2" t="s">
        <v>81</v>
      </c>
      <c r="G40" s="2" t="s">
        <v>82</v>
      </c>
      <c r="H40" s="2" t="s">
        <v>151</v>
      </c>
      <c r="J40" s="2" t="s">
        <v>130</v>
      </c>
    </row>
    <row r="41" spans="1:10" x14ac:dyDescent="0.35">
      <c r="A41" s="2" t="s">
        <v>166</v>
      </c>
      <c r="D41" s="2">
        <v>7.3090591970802868E-5</v>
      </c>
      <c r="E41" s="2" t="s">
        <v>153</v>
      </c>
      <c r="F41" s="2" t="s">
        <v>81</v>
      </c>
      <c r="G41" s="2" t="s">
        <v>82</v>
      </c>
      <c r="H41" s="2" t="s">
        <v>151</v>
      </c>
      <c r="J41" s="2" t="s">
        <v>130</v>
      </c>
    </row>
    <row r="42" spans="1:10" x14ac:dyDescent="0.35">
      <c r="A42" s="2" t="s">
        <v>167</v>
      </c>
      <c r="D42" s="2">
        <v>4.9937671532846718E-5</v>
      </c>
      <c r="E42" s="2" t="s">
        <v>153</v>
      </c>
      <c r="F42" s="2" t="s">
        <v>81</v>
      </c>
      <c r="G42" s="2" t="s">
        <v>82</v>
      </c>
      <c r="H42" s="2" t="s">
        <v>151</v>
      </c>
      <c r="J42" s="2" t="s">
        <v>130</v>
      </c>
    </row>
    <row r="43" spans="1:10" x14ac:dyDescent="0.35">
      <c r="A43" s="2" t="s">
        <v>168</v>
      </c>
      <c r="D43" s="2">
        <v>4.2825336496350333E-5</v>
      </c>
      <c r="E43" s="2" t="s">
        <v>9</v>
      </c>
      <c r="F43" s="2" t="s">
        <v>81</v>
      </c>
      <c r="G43" s="2" t="s">
        <v>82</v>
      </c>
      <c r="H43" s="2" t="s">
        <v>151</v>
      </c>
      <c r="J43" s="2" t="s">
        <v>130</v>
      </c>
    </row>
    <row r="44" spans="1:10" x14ac:dyDescent="0.35">
      <c r="A44" s="2" t="s">
        <v>169</v>
      </c>
      <c r="D44" s="2">
        <v>3.0567908029197027E-5</v>
      </c>
      <c r="E44" s="2" t="s">
        <v>153</v>
      </c>
      <c r="F44" s="2" t="s">
        <v>81</v>
      </c>
      <c r="G44" s="2" t="s">
        <v>82</v>
      </c>
      <c r="H44" s="2" t="s">
        <v>151</v>
      </c>
      <c r="J44" s="2" t="s">
        <v>130</v>
      </c>
    </row>
    <row r="45" spans="1:10" x14ac:dyDescent="0.35">
      <c r="A45" s="2" t="s">
        <v>170</v>
      </c>
      <c r="D45" s="2">
        <v>1.8521915999594481E-5</v>
      </c>
      <c r="E45" s="2" t="s">
        <v>9</v>
      </c>
      <c r="F45" s="2" t="s">
        <v>81</v>
      </c>
      <c r="G45" s="2" t="s">
        <v>82</v>
      </c>
      <c r="H45" s="2" t="s">
        <v>151</v>
      </c>
      <c r="J45" s="2" t="s">
        <v>130</v>
      </c>
    </row>
    <row r="46" spans="1:10" x14ac:dyDescent="0.35">
      <c r="A46" s="2" t="s">
        <v>171</v>
      </c>
      <c r="D46" s="2">
        <v>1.5586606569342991E-5</v>
      </c>
      <c r="E46" s="2" t="s">
        <v>153</v>
      </c>
      <c r="F46" s="2" t="s">
        <v>81</v>
      </c>
      <c r="G46" s="2" t="s">
        <v>82</v>
      </c>
      <c r="H46" s="2" t="s">
        <v>151</v>
      </c>
      <c r="J46" s="2" t="s">
        <v>130</v>
      </c>
    </row>
    <row r="47" spans="1:10" x14ac:dyDescent="0.35">
      <c r="A47" s="2" t="s">
        <v>172</v>
      </c>
      <c r="D47" s="2">
        <v>1.5586606569342991E-5</v>
      </c>
      <c r="E47" s="2" t="s">
        <v>153</v>
      </c>
      <c r="F47" s="2" t="s">
        <v>81</v>
      </c>
      <c r="G47" s="2" t="s">
        <v>82</v>
      </c>
      <c r="H47" s="2" t="s">
        <v>151</v>
      </c>
      <c r="J47" s="2" t="s">
        <v>130</v>
      </c>
    </row>
    <row r="48" spans="1:10" x14ac:dyDescent="0.35">
      <c r="A48" s="2" t="s">
        <v>173</v>
      </c>
      <c r="D48" s="2">
        <v>1.5586606569342991E-5</v>
      </c>
      <c r="E48" s="2" t="s">
        <v>153</v>
      </c>
      <c r="F48" s="2" t="s">
        <v>81</v>
      </c>
      <c r="G48" s="2" t="s">
        <v>82</v>
      </c>
      <c r="H48" s="2" t="s">
        <v>151</v>
      </c>
      <c r="J48" s="2" t="s">
        <v>130</v>
      </c>
    </row>
    <row r="49" spans="1:10" x14ac:dyDescent="0.35">
      <c r="A49" s="2" t="s">
        <v>174</v>
      </c>
      <c r="D49" s="2">
        <v>1.407334379562045E-5</v>
      </c>
      <c r="E49" s="2" t="s">
        <v>9</v>
      </c>
      <c r="F49" s="2" t="s">
        <v>81</v>
      </c>
      <c r="G49" s="2" t="s">
        <v>82</v>
      </c>
      <c r="H49" s="2" t="s">
        <v>151</v>
      </c>
      <c r="J49" s="2" t="s">
        <v>130</v>
      </c>
    </row>
    <row r="50" spans="1:10" x14ac:dyDescent="0.35">
      <c r="A50" s="2" t="s">
        <v>88</v>
      </c>
      <c r="D50" s="2">
        <v>1.364963021897812E-5</v>
      </c>
      <c r="E50" s="2" t="s">
        <v>9</v>
      </c>
      <c r="F50" s="2" t="s">
        <v>81</v>
      </c>
      <c r="G50" s="2" t="s">
        <v>82</v>
      </c>
      <c r="H50" s="2" t="s">
        <v>151</v>
      </c>
      <c r="J50" s="2" t="s">
        <v>130</v>
      </c>
    </row>
    <row r="51" spans="1:10" x14ac:dyDescent="0.35">
      <c r="A51" s="2" t="s">
        <v>89</v>
      </c>
      <c r="D51" s="2">
        <v>1.293869096086781E-5</v>
      </c>
      <c r="E51" s="2" t="s">
        <v>9</v>
      </c>
      <c r="F51" s="2" t="s">
        <v>81</v>
      </c>
      <c r="G51" s="2" t="s">
        <v>82</v>
      </c>
      <c r="H51" s="2" t="s">
        <v>151</v>
      </c>
      <c r="J51" s="2" t="s">
        <v>130</v>
      </c>
    </row>
    <row r="52" spans="1:10" x14ac:dyDescent="0.35">
      <c r="A52" s="2" t="s">
        <v>175</v>
      </c>
      <c r="D52" s="2">
        <v>8.2624147445255407E-6</v>
      </c>
      <c r="E52" s="2" t="s">
        <v>9</v>
      </c>
      <c r="F52" s="2" t="s">
        <v>81</v>
      </c>
      <c r="G52" s="2" t="s">
        <v>82</v>
      </c>
      <c r="H52" s="2" t="s">
        <v>151</v>
      </c>
      <c r="J52" s="2" t="s">
        <v>130</v>
      </c>
    </row>
    <row r="53" spans="1:10" x14ac:dyDescent="0.35">
      <c r="A53" s="2" t="s">
        <v>176</v>
      </c>
      <c r="D53" s="2">
        <v>5.7957964233576579E-6</v>
      </c>
      <c r="E53" s="2" t="s">
        <v>9</v>
      </c>
      <c r="F53" s="2" t="s">
        <v>81</v>
      </c>
      <c r="G53" s="2" t="s">
        <v>82</v>
      </c>
      <c r="H53" s="2" t="s">
        <v>151</v>
      </c>
      <c r="J53" s="2" t="s">
        <v>130</v>
      </c>
    </row>
    <row r="54" spans="1:10" x14ac:dyDescent="0.35">
      <c r="A54" s="2" t="s">
        <v>177</v>
      </c>
      <c r="D54" s="2">
        <v>4.7365124817518224E-6</v>
      </c>
      <c r="E54" s="2" t="s">
        <v>9</v>
      </c>
      <c r="F54" s="2" t="s">
        <v>81</v>
      </c>
      <c r="G54" s="2" t="s">
        <v>82</v>
      </c>
      <c r="H54" s="2" t="s">
        <v>151</v>
      </c>
      <c r="J54" s="2" t="s">
        <v>130</v>
      </c>
    </row>
    <row r="55" spans="1:10" x14ac:dyDescent="0.35">
      <c r="A55" s="2" t="s">
        <v>178</v>
      </c>
      <c r="D55" s="2">
        <v>2.4060878102189722E-6</v>
      </c>
      <c r="E55" s="2" t="s">
        <v>9</v>
      </c>
      <c r="F55" s="2" t="s">
        <v>81</v>
      </c>
      <c r="G55" s="2" t="s">
        <v>82</v>
      </c>
      <c r="H55" s="2" t="s">
        <v>151</v>
      </c>
      <c r="J55" s="2" t="s">
        <v>130</v>
      </c>
    </row>
    <row r="56" spans="1:10" x14ac:dyDescent="0.35">
      <c r="A56" s="2" t="s">
        <v>179</v>
      </c>
      <c r="D56" s="2">
        <v>2.1034352554744491E-6</v>
      </c>
      <c r="E56" s="2" t="s">
        <v>9</v>
      </c>
      <c r="F56" s="2" t="s">
        <v>81</v>
      </c>
      <c r="G56" s="2" t="s">
        <v>82</v>
      </c>
      <c r="H56" s="2" t="s">
        <v>151</v>
      </c>
      <c r="J56" s="2" t="s">
        <v>130</v>
      </c>
    </row>
    <row r="57" spans="1:10" x14ac:dyDescent="0.35">
      <c r="A57" s="2" t="s">
        <v>180</v>
      </c>
      <c r="D57" s="2">
        <v>2.0429047445255528E-6</v>
      </c>
      <c r="E57" s="2" t="s">
        <v>9</v>
      </c>
      <c r="F57" s="2" t="s">
        <v>81</v>
      </c>
      <c r="G57" s="2" t="s">
        <v>82</v>
      </c>
      <c r="H57" s="2" t="s">
        <v>151</v>
      </c>
      <c r="J57" s="2" t="s">
        <v>130</v>
      </c>
    </row>
    <row r="58" spans="1:10" x14ac:dyDescent="0.35">
      <c r="A58" s="2" t="s">
        <v>181</v>
      </c>
      <c r="D58" s="2">
        <v>1.9369763503649558E-6</v>
      </c>
      <c r="E58" s="2" t="s">
        <v>9</v>
      </c>
      <c r="F58" s="2" t="s">
        <v>81</v>
      </c>
      <c r="G58" s="2" t="s">
        <v>82</v>
      </c>
      <c r="H58" s="2" t="s">
        <v>151</v>
      </c>
      <c r="J58" s="2" t="s">
        <v>130</v>
      </c>
    </row>
    <row r="59" spans="1:10" x14ac:dyDescent="0.35">
      <c r="A59" s="2" t="s">
        <v>182</v>
      </c>
      <c r="D59" s="2">
        <v>1.3710160729927039E-6</v>
      </c>
      <c r="E59" s="2" t="s">
        <v>9</v>
      </c>
      <c r="F59" s="2" t="s">
        <v>81</v>
      </c>
      <c r="G59" s="2" t="s">
        <v>82</v>
      </c>
      <c r="H59" s="2" t="s">
        <v>151</v>
      </c>
      <c r="J59" s="2" t="s">
        <v>130</v>
      </c>
    </row>
    <row r="60" spans="1:10" x14ac:dyDescent="0.35">
      <c r="A60" s="2" t="s">
        <v>183</v>
      </c>
      <c r="D60" s="2">
        <v>1.3165386131386849E-6</v>
      </c>
      <c r="E60" s="2" t="s">
        <v>9</v>
      </c>
      <c r="F60" s="2" t="s">
        <v>81</v>
      </c>
      <c r="G60" s="2" t="s">
        <v>82</v>
      </c>
      <c r="H60" s="2" t="s">
        <v>151</v>
      </c>
      <c r="J60" s="2" t="s">
        <v>130</v>
      </c>
    </row>
    <row r="61" spans="1:10" x14ac:dyDescent="0.35">
      <c r="A61" s="2" t="s">
        <v>184</v>
      </c>
      <c r="D61" s="2">
        <v>1.006319744525548E-6</v>
      </c>
      <c r="E61" s="2" t="s">
        <v>9</v>
      </c>
      <c r="F61" s="2" t="s">
        <v>81</v>
      </c>
      <c r="G61" s="2" t="s">
        <v>82</v>
      </c>
      <c r="H61" s="2" t="s">
        <v>151</v>
      </c>
      <c r="J61" s="2" t="s">
        <v>130</v>
      </c>
    </row>
    <row r="62" spans="1:10" x14ac:dyDescent="0.35">
      <c r="A62" s="2" t="s">
        <v>185</v>
      </c>
      <c r="D62" s="2">
        <v>9.821075401459852E-7</v>
      </c>
      <c r="E62" s="2" t="s">
        <v>9</v>
      </c>
      <c r="F62" s="2" t="s">
        <v>81</v>
      </c>
      <c r="G62" s="2" t="s">
        <v>82</v>
      </c>
      <c r="H62" s="2" t="s">
        <v>151</v>
      </c>
      <c r="J62" s="2" t="s">
        <v>130</v>
      </c>
    </row>
    <row r="63" spans="1:10" x14ac:dyDescent="0.35">
      <c r="A63" s="2" t="s">
        <v>186</v>
      </c>
      <c r="D63" s="2">
        <v>8.9585156204379565E-7</v>
      </c>
      <c r="E63" s="2" t="s">
        <v>9</v>
      </c>
      <c r="F63" s="2" t="s">
        <v>81</v>
      </c>
      <c r="G63" s="2" t="s">
        <v>82</v>
      </c>
      <c r="H63" s="2" t="s">
        <v>151</v>
      </c>
      <c r="J63" s="2" t="s">
        <v>130</v>
      </c>
    </row>
    <row r="64" spans="1:10" x14ac:dyDescent="0.35">
      <c r="A64" s="2" t="s">
        <v>187</v>
      </c>
      <c r="D64" s="2">
        <v>6.2951731386861353E-7</v>
      </c>
      <c r="E64" s="2" t="s">
        <v>9</v>
      </c>
      <c r="F64" s="2" t="s">
        <v>81</v>
      </c>
      <c r="G64" s="2" t="s">
        <v>82</v>
      </c>
      <c r="H64" s="2" t="s">
        <v>151</v>
      </c>
      <c r="J64" s="2" t="s">
        <v>130</v>
      </c>
    </row>
    <row r="65" spans="1:10" x14ac:dyDescent="0.35">
      <c r="A65" s="2" t="s">
        <v>188</v>
      </c>
      <c r="D65" s="2">
        <v>5.6142048905109423E-7</v>
      </c>
      <c r="E65" s="2" t="s">
        <v>9</v>
      </c>
      <c r="F65" s="2" t="s">
        <v>81</v>
      </c>
      <c r="G65" s="2" t="s">
        <v>82</v>
      </c>
      <c r="H65" s="2" t="s">
        <v>151</v>
      </c>
      <c r="J65" s="2" t="s">
        <v>130</v>
      </c>
    </row>
    <row r="66" spans="1:10" x14ac:dyDescent="0.35">
      <c r="A66" s="2" t="s">
        <v>189</v>
      </c>
      <c r="D66" s="2">
        <v>5.4931438686131346E-7</v>
      </c>
      <c r="E66" s="2" t="s">
        <v>9</v>
      </c>
      <c r="F66" s="2" t="s">
        <v>81</v>
      </c>
      <c r="G66" s="2" t="s">
        <v>82</v>
      </c>
      <c r="H66" s="2" t="s">
        <v>151</v>
      </c>
      <c r="J66" s="2" t="s">
        <v>130</v>
      </c>
    </row>
    <row r="67" spans="1:10" x14ac:dyDescent="0.35">
      <c r="A67" s="2" t="s">
        <v>190</v>
      </c>
      <c r="D67" s="2">
        <v>5.417480729927001E-7</v>
      </c>
      <c r="E67" s="2" t="s">
        <v>9</v>
      </c>
      <c r="F67" s="2" t="s">
        <v>81</v>
      </c>
      <c r="G67" s="2" t="s">
        <v>82</v>
      </c>
      <c r="H67" s="2" t="s">
        <v>151</v>
      </c>
      <c r="J67" s="2" t="s">
        <v>130</v>
      </c>
    </row>
    <row r="68" spans="1:10" x14ac:dyDescent="0.35">
      <c r="A68" s="2" t="s">
        <v>191</v>
      </c>
      <c r="D68" s="2">
        <v>3.677228540145985E-7</v>
      </c>
      <c r="E68" s="2" t="s">
        <v>9</v>
      </c>
      <c r="F68" s="2" t="s">
        <v>81</v>
      </c>
      <c r="G68" s="2" t="s">
        <v>82</v>
      </c>
      <c r="H68" s="2" t="s">
        <v>151</v>
      </c>
      <c r="J68" s="2" t="s">
        <v>130</v>
      </c>
    </row>
    <row r="69" spans="1:10" x14ac:dyDescent="0.35">
      <c r="A69" s="2" t="s">
        <v>192</v>
      </c>
      <c r="D69" s="2">
        <v>3.1324539416058368E-7</v>
      </c>
      <c r="E69" s="2" t="s">
        <v>9</v>
      </c>
      <c r="F69" s="2" t="s">
        <v>81</v>
      </c>
      <c r="G69" s="2" t="s">
        <v>82</v>
      </c>
      <c r="H69" s="2" t="s">
        <v>151</v>
      </c>
      <c r="J69" s="2" t="s">
        <v>130</v>
      </c>
    </row>
    <row r="70" spans="1:10" x14ac:dyDescent="0.35">
      <c r="A70" s="2" t="s">
        <v>193</v>
      </c>
      <c r="D70" s="2">
        <v>3.1173213138686128E-7</v>
      </c>
      <c r="E70" s="2" t="s">
        <v>9</v>
      </c>
      <c r="F70" s="2" t="s">
        <v>81</v>
      </c>
      <c r="G70" s="2" t="s">
        <v>82</v>
      </c>
      <c r="H70" s="2" t="s">
        <v>151</v>
      </c>
      <c r="J70" s="2" t="s">
        <v>130</v>
      </c>
    </row>
    <row r="71" spans="1:10" x14ac:dyDescent="0.35">
      <c r="A71" s="2" t="s">
        <v>194</v>
      </c>
      <c r="D71" s="2">
        <v>3.0265255474452552E-7</v>
      </c>
      <c r="E71" s="2" t="s">
        <v>9</v>
      </c>
      <c r="F71" s="2" t="s">
        <v>81</v>
      </c>
      <c r="G71" s="2" t="s">
        <v>82</v>
      </c>
      <c r="H71" s="2" t="s">
        <v>151</v>
      </c>
      <c r="J71" s="2" t="s">
        <v>130</v>
      </c>
    </row>
    <row r="72" spans="1:10" x14ac:dyDescent="0.35">
      <c r="A72" s="2" t="s">
        <v>195</v>
      </c>
      <c r="D72" s="2">
        <v>2.49688357664233E-7</v>
      </c>
      <c r="E72" s="2" t="s">
        <v>9</v>
      </c>
      <c r="F72" s="2" t="s">
        <v>81</v>
      </c>
      <c r="G72" s="2" t="s">
        <v>82</v>
      </c>
      <c r="H72" s="2" t="s">
        <v>151</v>
      </c>
      <c r="J72" s="2" t="s">
        <v>130</v>
      </c>
    </row>
    <row r="73" spans="1:10" x14ac:dyDescent="0.35">
      <c r="A73" s="2" t="s">
        <v>196</v>
      </c>
      <c r="D73" s="2">
        <v>2.2396289051094931E-7</v>
      </c>
      <c r="E73" s="2" t="s">
        <v>9</v>
      </c>
      <c r="F73" s="2" t="s">
        <v>81</v>
      </c>
      <c r="G73" s="2" t="s">
        <v>82</v>
      </c>
      <c r="H73" s="2" t="s">
        <v>151</v>
      </c>
      <c r="J73" s="2" t="s">
        <v>130</v>
      </c>
    </row>
    <row r="74" spans="1:10" x14ac:dyDescent="0.35">
      <c r="A74" s="2" t="s">
        <v>197</v>
      </c>
      <c r="D74" s="2">
        <v>1.6948543065693441E-7</v>
      </c>
      <c r="E74" s="2" t="s">
        <v>9</v>
      </c>
      <c r="F74" s="2" t="s">
        <v>81</v>
      </c>
      <c r="G74" s="2" t="s">
        <v>82</v>
      </c>
      <c r="H74" s="2" t="s">
        <v>151</v>
      </c>
      <c r="J74" s="2" t="s">
        <v>130</v>
      </c>
    </row>
    <row r="75" spans="1:10" x14ac:dyDescent="0.35">
      <c r="A75" s="2" t="s">
        <v>198</v>
      </c>
      <c r="D75" s="2">
        <v>1.5087229854014611E-7</v>
      </c>
      <c r="E75" s="2" t="s">
        <v>9</v>
      </c>
      <c r="F75" s="2" t="s">
        <v>81</v>
      </c>
      <c r="G75" s="2" t="s">
        <v>82</v>
      </c>
      <c r="H75" s="2" t="s">
        <v>151</v>
      </c>
      <c r="J75" s="2" t="s">
        <v>130</v>
      </c>
    </row>
    <row r="76" spans="1:10" x14ac:dyDescent="0.35">
      <c r="A76" s="2" t="s">
        <v>192</v>
      </c>
      <c r="D76" s="2">
        <v>1.4330598467153269E-7</v>
      </c>
      <c r="E76" s="2" t="s">
        <v>9</v>
      </c>
      <c r="F76" s="2" t="s">
        <v>81</v>
      </c>
      <c r="G76" s="2" t="s">
        <v>82</v>
      </c>
      <c r="H76" s="2" t="s">
        <v>151</v>
      </c>
      <c r="J76" s="2" t="s">
        <v>130</v>
      </c>
    </row>
    <row r="77" spans="1:10" x14ac:dyDescent="0.35">
      <c r="A77" s="2" t="s">
        <v>199</v>
      </c>
      <c r="D77" s="2">
        <v>1.3071942155109489E-7</v>
      </c>
      <c r="E77" s="2" t="s">
        <v>9</v>
      </c>
      <c r="F77" s="2" t="s">
        <v>81</v>
      </c>
      <c r="G77" s="2" t="s">
        <v>82</v>
      </c>
      <c r="H77" s="2" t="s">
        <v>151</v>
      </c>
      <c r="J77" s="2" t="s">
        <v>130</v>
      </c>
    </row>
    <row r="78" spans="1:10" x14ac:dyDescent="0.35">
      <c r="A78" s="2" t="s">
        <v>200</v>
      </c>
      <c r="D78" s="2">
        <v>1.242388737226277E-7</v>
      </c>
      <c r="E78" s="2" t="s">
        <v>9</v>
      </c>
      <c r="F78" s="2" t="s">
        <v>81</v>
      </c>
      <c r="G78" s="2" t="s">
        <v>82</v>
      </c>
      <c r="H78" s="2" t="s">
        <v>151</v>
      </c>
      <c r="J78" s="2" t="s">
        <v>130</v>
      </c>
    </row>
    <row r="79" spans="1:10" x14ac:dyDescent="0.35">
      <c r="A79" s="2" t="s">
        <v>201</v>
      </c>
      <c r="D79" s="2">
        <v>1.2408754744525541E-7</v>
      </c>
      <c r="E79" s="2" t="s">
        <v>9</v>
      </c>
      <c r="F79" s="2" t="s">
        <v>81</v>
      </c>
      <c r="G79" s="2" t="s">
        <v>82</v>
      </c>
      <c r="H79" s="2" t="s">
        <v>151</v>
      </c>
      <c r="J79" s="2" t="s">
        <v>130</v>
      </c>
    </row>
    <row r="80" spans="1:10" x14ac:dyDescent="0.35">
      <c r="A80" s="2" t="s">
        <v>202</v>
      </c>
      <c r="D80" s="2">
        <v>1.1848847518248171E-7</v>
      </c>
      <c r="E80" s="2" t="s">
        <v>9</v>
      </c>
      <c r="F80" s="2" t="s">
        <v>81</v>
      </c>
      <c r="G80" s="2" t="s">
        <v>82</v>
      </c>
      <c r="H80" s="2" t="s">
        <v>151</v>
      </c>
      <c r="J80" s="2" t="s">
        <v>130</v>
      </c>
    </row>
    <row r="81" spans="1:10" x14ac:dyDescent="0.35">
      <c r="A81" s="2" t="s">
        <v>203</v>
      </c>
      <c r="D81" s="2">
        <v>1.1334338175182481E-7</v>
      </c>
      <c r="E81" s="2" t="s">
        <v>9</v>
      </c>
      <c r="F81" s="2" t="s">
        <v>81</v>
      </c>
      <c r="G81" s="2" t="s">
        <v>82</v>
      </c>
      <c r="H81" s="2" t="s">
        <v>151</v>
      </c>
      <c r="J81" s="2" t="s">
        <v>130</v>
      </c>
    </row>
    <row r="82" spans="1:10" x14ac:dyDescent="0.35">
      <c r="A82" s="2" t="s">
        <v>204</v>
      </c>
      <c r="D82" s="2">
        <v>7.2182634306569283E-8</v>
      </c>
      <c r="E82" s="2" t="s">
        <v>9</v>
      </c>
      <c r="F82" s="2" t="s">
        <v>81</v>
      </c>
      <c r="G82" s="2" t="s">
        <v>82</v>
      </c>
      <c r="H82" s="2" t="s">
        <v>151</v>
      </c>
      <c r="J82" s="2" t="s">
        <v>130</v>
      </c>
    </row>
    <row r="83" spans="1:10" x14ac:dyDescent="0.35">
      <c r="A83" s="2" t="s">
        <v>205</v>
      </c>
      <c r="D83" s="2">
        <v>6.6129583211678808E-8</v>
      </c>
      <c r="E83" s="2" t="s">
        <v>9</v>
      </c>
      <c r="F83" s="2" t="s">
        <v>81</v>
      </c>
      <c r="G83" s="2" t="s">
        <v>82</v>
      </c>
      <c r="H83" s="2" t="s">
        <v>151</v>
      </c>
      <c r="J83" s="2" t="s">
        <v>130</v>
      </c>
    </row>
    <row r="84" spans="1:10" x14ac:dyDescent="0.35">
      <c r="A84" s="2" t="s">
        <v>206</v>
      </c>
      <c r="D84" s="2">
        <v>5.0542976642335693E-8</v>
      </c>
      <c r="E84" s="2" t="s">
        <v>9</v>
      </c>
      <c r="F84" s="2" t="s">
        <v>81</v>
      </c>
      <c r="G84" s="2" t="s">
        <v>82</v>
      </c>
      <c r="H84" s="2" t="s">
        <v>151</v>
      </c>
      <c r="J84" s="2" t="s">
        <v>130</v>
      </c>
    </row>
    <row r="85" spans="1:10" x14ac:dyDescent="0.35">
      <c r="A85" s="2" t="s">
        <v>207</v>
      </c>
      <c r="D85" s="2">
        <v>3.6166980291970757E-8</v>
      </c>
      <c r="E85" s="2" t="s">
        <v>9</v>
      </c>
      <c r="F85" s="2" t="s">
        <v>81</v>
      </c>
      <c r="G85" s="2" t="s">
        <v>82</v>
      </c>
      <c r="H85" s="2" t="s">
        <v>151</v>
      </c>
      <c r="J85" s="2" t="s">
        <v>130</v>
      </c>
    </row>
    <row r="86" spans="1:10" x14ac:dyDescent="0.35">
      <c r="A86" s="2" t="s">
        <v>208</v>
      </c>
      <c r="D86" s="2">
        <v>3.6166980291970757E-8</v>
      </c>
      <c r="E86" s="2" t="s">
        <v>9</v>
      </c>
      <c r="F86" s="2" t="s">
        <v>81</v>
      </c>
      <c r="G86" s="2" t="s">
        <v>82</v>
      </c>
      <c r="H86" s="2" t="s">
        <v>151</v>
      </c>
      <c r="J86" s="2" t="s">
        <v>130</v>
      </c>
    </row>
    <row r="87" spans="1:10" x14ac:dyDescent="0.35">
      <c r="A87" s="2" t="s">
        <v>209</v>
      </c>
      <c r="D87" s="2">
        <v>2.5271488321167919E-8</v>
      </c>
      <c r="E87" s="2" t="s">
        <v>9</v>
      </c>
      <c r="F87" s="2" t="s">
        <v>81</v>
      </c>
      <c r="G87" s="2" t="s">
        <v>82</v>
      </c>
      <c r="H87" s="2" t="s">
        <v>151</v>
      </c>
      <c r="J87" s="2" t="s">
        <v>130</v>
      </c>
    </row>
    <row r="88" spans="1:10" x14ac:dyDescent="0.35">
      <c r="A88" s="2" t="s">
        <v>210</v>
      </c>
      <c r="D88" s="2">
        <v>2.1185678832116729E-8</v>
      </c>
      <c r="E88" s="2" t="s">
        <v>9</v>
      </c>
      <c r="F88" s="2" t="s">
        <v>81</v>
      </c>
      <c r="G88" s="2" t="s">
        <v>82</v>
      </c>
      <c r="H88" s="2" t="s">
        <v>151</v>
      </c>
      <c r="J88" s="2" t="s">
        <v>130</v>
      </c>
    </row>
    <row r="89" spans="1:10" x14ac:dyDescent="0.35">
      <c r="A89" s="2" t="s">
        <v>211</v>
      </c>
      <c r="D89" s="2">
        <v>1.8159153284671501E-8</v>
      </c>
      <c r="E89" s="2" t="s">
        <v>9</v>
      </c>
      <c r="F89" s="2" t="s">
        <v>81</v>
      </c>
      <c r="G89" s="2" t="s">
        <v>82</v>
      </c>
      <c r="H89" s="2" t="s">
        <v>151</v>
      </c>
      <c r="J89" s="2" t="s">
        <v>130</v>
      </c>
    </row>
    <row r="90" spans="1:10" x14ac:dyDescent="0.35">
      <c r="A90" s="2" t="s">
        <v>212</v>
      </c>
      <c r="D90" s="2">
        <v>1.740252189781016E-8</v>
      </c>
      <c r="E90" s="2" t="s">
        <v>9</v>
      </c>
      <c r="F90" s="2" t="s">
        <v>81</v>
      </c>
      <c r="G90" s="2" t="s">
        <v>82</v>
      </c>
      <c r="H90" s="2" t="s">
        <v>151</v>
      </c>
      <c r="J90" s="2" t="s">
        <v>130</v>
      </c>
    </row>
    <row r="91" spans="1:10" x14ac:dyDescent="0.35">
      <c r="A91" s="2" t="s">
        <v>213</v>
      </c>
      <c r="D91" s="2">
        <v>1.6191911678832091E-8</v>
      </c>
      <c r="E91" s="2" t="s">
        <v>9</v>
      </c>
      <c r="F91" s="2" t="s">
        <v>81</v>
      </c>
      <c r="G91" s="2" t="s">
        <v>82</v>
      </c>
      <c r="H91" s="2" t="s">
        <v>151</v>
      </c>
      <c r="J91" s="2" t="s">
        <v>130</v>
      </c>
    </row>
    <row r="92" spans="1:10" x14ac:dyDescent="0.35">
      <c r="A92" s="2" t="s">
        <v>214</v>
      </c>
      <c r="D92" s="2">
        <v>1.5737932846715369E-8</v>
      </c>
      <c r="E92" s="2" t="s">
        <v>9</v>
      </c>
      <c r="F92" s="2" t="s">
        <v>81</v>
      </c>
      <c r="G92" s="2" t="s">
        <v>82</v>
      </c>
      <c r="H92" s="2" t="s">
        <v>151</v>
      </c>
      <c r="J92" s="2" t="s">
        <v>130</v>
      </c>
    </row>
    <row r="93" spans="1:10" x14ac:dyDescent="0.35">
      <c r="A93" s="2" t="s">
        <v>215</v>
      </c>
      <c r="D93" s="2">
        <v>1.2227163211678821E-8</v>
      </c>
      <c r="E93" s="2" t="s">
        <v>9</v>
      </c>
      <c r="F93" s="2" t="s">
        <v>81</v>
      </c>
      <c r="G93" s="2" t="s">
        <v>82</v>
      </c>
      <c r="H93" s="2" t="s">
        <v>151</v>
      </c>
      <c r="J93" s="2" t="s">
        <v>130</v>
      </c>
    </row>
    <row r="94" spans="1:10" x14ac:dyDescent="0.35">
      <c r="A94" s="2" t="s">
        <v>216</v>
      </c>
      <c r="D94" s="2">
        <v>1.1727786496350361E-8</v>
      </c>
      <c r="E94" s="2" t="s">
        <v>9</v>
      </c>
      <c r="F94" s="2" t="s">
        <v>81</v>
      </c>
      <c r="G94" s="2" t="s">
        <v>82</v>
      </c>
      <c r="H94" s="2" t="s">
        <v>151</v>
      </c>
      <c r="J94" s="2" t="s">
        <v>130</v>
      </c>
    </row>
    <row r="95" spans="1:10" x14ac:dyDescent="0.35">
      <c r="A95" s="2" t="s">
        <v>217</v>
      </c>
      <c r="D95" s="2">
        <v>8.3986083941605852E-9</v>
      </c>
      <c r="E95" s="2" t="s">
        <v>9</v>
      </c>
      <c r="F95" s="2" t="s">
        <v>81</v>
      </c>
      <c r="G95" s="2" t="s">
        <v>82</v>
      </c>
      <c r="H95" s="2" t="s">
        <v>151</v>
      </c>
      <c r="J95" s="2" t="s">
        <v>130</v>
      </c>
    </row>
    <row r="96" spans="1:10" x14ac:dyDescent="0.35">
      <c r="A96" s="2" t="s">
        <v>218</v>
      </c>
      <c r="D96" s="2">
        <v>5.9622553284671513E-9</v>
      </c>
      <c r="E96" s="2" t="s">
        <v>9</v>
      </c>
      <c r="F96" s="2" t="s">
        <v>81</v>
      </c>
      <c r="G96" s="2" t="s">
        <v>82</v>
      </c>
      <c r="H96" s="2" t="s">
        <v>151</v>
      </c>
      <c r="J96" s="2" t="s">
        <v>130</v>
      </c>
    </row>
    <row r="97" spans="1:10" x14ac:dyDescent="0.35">
      <c r="A97" s="2" t="s">
        <v>219</v>
      </c>
      <c r="D97" s="2">
        <v>5.356950218978106E-9</v>
      </c>
      <c r="E97" s="2" t="s">
        <v>9</v>
      </c>
      <c r="F97" s="2" t="s">
        <v>81</v>
      </c>
      <c r="G97" s="2" t="s">
        <v>82</v>
      </c>
      <c r="H97" s="2" t="s">
        <v>151</v>
      </c>
      <c r="J97" s="2" t="s">
        <v>130</v>
      </c>
    </row>
    <row r="98" spans="1:10" x14ac:dyDescent="0.35">
      <c r="A98" s="2" t="s">
        <v>220</v>
      </c>
      <c r="D98" s="2">
        <v>4.9786345255474488E-9</v>
      </c>
      <c r="E98" s="2" t="s">
        <v>9</v>
      </c>
      <c r="F98" s="2" t="s">
        <v>81</v>
      </c>
      <c r="G98" s="2" t="s">
        <v>82</v>
      </c>
      <c r="H98" s="2" t="s">
        <v>151</v>
      </c>
      <c r="J98" s="2" t="s">
        <v>130</v>
      </c>
    </row>
    <row r="99" spans="1:10" x14ac:dyDescent="0.35">
      <c r="A99" s="2" t="s">
        <v>221</v>
      </c>
      <c r="D99" s="2">
        <v>3.0870560583941642E-9</v>
      </c>
      <c r="E99" s="2" t="s">
        <v>9</v>
      </c>
      <c r="F99" s="2" t="s">
        <v>81</v>
      </c>
      <c r="G99" s="2" t="s">
        <v>82</v>
      </c>
      <c r="H99" s="2" t="s">
        <v>151</v>
      </c>
      <c r="J99" s="2" t="s">
        <v>130</v>
      </c>
    </row>
    <row r="100" spans="1:10" x14ac:dyDescent="0.35">
      <c r="A100" s="2" t="s">
        <v>222</v>
      </c>
      <c r="D100" s="2">
        <v>2.617944598540149E-9</v>
      </c>
      <c r="E100" s="2" t="s">
        <v>9</v>
      </c>
      <c r="F100" s="2" t="s">
        <v>81</v>
      </c>
      <c r="G100" s="2" t="s">
        <v>82</v>
      </c>
      <c r="H100" s="2" t="s">
        <v>151</v>
      </c>
      <c r="J100" s="2" t="s">
        <v>130</v>
      </c>
    </row>
    <row r="101" spans="1:10" x14ac:dyDescent="0.35">
      <c r="A101" s="2" t="s">
        <v>223</v>
      </c>
      <c r="D101" s="2">
        <v>2.49688357664233E-9</v>
      </c>
      <c r="E101" s="2" t="s">
        <v>9</v>
      </c>
      <c r="F101" s="2" t="s">
        <v>81</v>
      </c>
      <c r="G101" s="2" t="s">
        <v>82</v>
      </c>
      <c r="H101" s="2" t="s">
        <v>151</v>
      </c>
      <c r="J101" s="2" t="s">
        <v>130</v>
      </c>
    </row>
    <row r="102" spans="1:10" x14ac:dyDescent="0.35">
      <c r="A102" s="2" t="s">
        <v>224</v>
      </c>
      <c r="D102" s="2">
        <v>1.9975068613138669E-9</v>
      </c>
      <c r="E102" s="2" t="s">
        <v>9</v>
      </c>
      <c r="F102" s="2" t="s">
        <v>81</v>
      </c>
      <c r="G102" s="2" t="s">
        <v>82</v>
      </c>
      <c r="H102" s="2" t="s">
        <v>151</v>
      </c>
      <c r="J102" s="2" t="s">
        <v>130</v>
      </c>
    </row>
    <row r="103" spans="1:10" x14ac:dyDescent="0.35">
      <c r="A103" s="2" t="s">
        <v>225</v>
      </c>
      <c r="D103" s="2">
        <v>6.7945498540145975E-10</v>
      </c>
      <c r="E103" s="2" t="s">
        <v>9</v>
      </c>
      <c r="F103" s="2" t="s">
        <v>81</v>
      </c>
      <c r="G103" s="2" t="s">
        <v>82</v>
      </c>
      <c r="H103" s="2" t="s">
        <v>151</v>
      </c>
      <c r="J103" s="2" t="s">
        <v>130</v>
      </c>
    </row>
    <row r="104" spans="1:10" x14ac:dyDescent="0.35">
      <c r="A104" s="2" t="s">
        <v>226</v>
      </c>
      <c r="D104" s="2">
        <v>6.3557036496350327E-11</v>
      </c>
      <c r="E104" s="2" t="s">
        <v>9</v>
      </c>
      <c r="F104" s="2" t="s">
        <v>81</v>
      </c>
      <c r="G104" s="2" t="s">
        <v>82</v>
      </c>
      <c r="H104" s="2" t="s">
        <v>151</v>
      </c>
      <c r="J104" s="2" t="s">
        <v>130</v>
      </c>
    </row>
    <row r="105" spans="1:10" x14ac:dyDescent="0.35">
      <c r="A105" s="2" t="s">
        <v>227</v>
      </c>
      <c r="D105" s="2">
        <v>6.522162554744523E-12</v>
      </c>
      <c r="E105" s="2" t="s">
        <v>9</v>
      </c>
      <c r="F105" s="2" t="s">
        <v>81</v>
      </c>
      <c r="G105" s="2" t="s">
        <v>82</v>
      </c>
      <c r="H105" s="2" t="s">
        <v>151</v>
      </c>
      <c r="J105" s="2" t="s">
        <v>130</v>
      </c>
    </row>
    <row r="106" spans="1:10" x14ac:dyDescent="0.35">
      <c r="A106" s="2" t="s">
        <v>228</v>
      </c>
      <c r="D106" s="2">
        <v>6.2346426277372255E-13</v>
      </c>
      <c r="E106" s="2" t="s">
        <v>9</v>
      </c>
      <c r="F106" s="2" t="s">
        <v>81</v>
      </c>
      <c r="G106" s="2" t="s">
        <v>82</v>
      </c>
      <c r="H106" s="2" t="s">
        <v>151</v>
      </c>
      <c r="J106" s="2" t="s">
        <v>130</v>
      </c>
    </row>
    <row r="107" spans="1:10" x14ac:dyDescent="0.35">
      <c r="A107" s="2" t="s">
        <v>229</v>
      </c>
      <c r="D107" s="2">
        <v>1.6040585401459849E-13</v>
      </c>
      <c r="E107" s="2" t="s">
        <v>9</v>
      </c>
      <c r="F107" s="2" t="s">
        <v>81</v>
      </c>
      <c r="G107" s="2" t="s">
        <v>82</v>
      </c>
      <c r="H107" s="2" t="s">
        <v>151</v>
      </c>
      <c r="J107" s="2" t="s">
        <v>130</v>
      </c>
    </row>
    <row r="108" spans="1:10" s="11" customFormat="1" x14ac:dyDescent="0.35"/>
    <row r="109" spans="1:10" x14ac:dyDescent="0.35">
      <c r="A109" s="3" t="s">
        <v>0</v>
      </c>
      <c r="B109" s="3" t="s">
        <v>230</v>
      </c>
    </row>
    <row r="110" spans="1:10" x14ac:dyDescent="0.35">
      <c r="A110" s="8" t="s">
        <v>2</v>
      </c>
      <c r="B110" s="2" t="s">
        <v>288</v>
      </c>
    </row>
    <row r="111" spans="1:10" x14ac:dyDescent="0.35">
      <c r="A111" s="8" t="s">
        <v>4</v>
      </c>
      <c r="B111" s="2" t="s">
        <v>127</v>
      </c>
    </row>
    <row r="112" spans="1:10" x14ac:dyDescent="0.35">
      <c r="A112" s="8" t="s">
        <v>6</v>
      </c>
      <c r="B112" s="2">
        <v>1</v>
      </c>
    </row>
    <row r="113" spans="1:14" x14ac:dyDescent="0.35">
      <c r="A113" s="8" t="s">
        <v>8</v>
      </c>
      <c r="B113" s="2" t="s">
        <v>9</v>
      </c>
    </row>
    <row r="114" spans="1:14" x14ac:dyDescent="0.35">
      <c r="A114" s="8" t="s">
        <v>10</v>
      </c>
      <c r="B114" s="9" t="s">
        <v>113</v>
      </c>
    </row>
    <row r="115" spans="1:14" x14ac:dyDescent="0.35">
      <c r="A115" s="8" t="s">
        <v>12</v>
      </c>
    </row>
    <row r="116" spans="1:14" x14ac:dyDescent="0.35">
      <c r="A116" s="3" t="s">
        <v>13</v>
      </c>
      <c r="B116" s="3" t="s">
        <v>2</v>
      </c>
      <c r="C116" s="3" t="s">
        <v>4</v>
      </c>
      <c r="D116" s="3" t="s">
        <v>6</v>
      </c>
      <c r="E116" s="3" t="s">
        <v>8</v>
      </c>
      <c r="F116" s="3" t="s">
        <v>14</v>
      </c>
      <c r="G116" s="3" t="s">
        <v>15</v>
      </c>
      <c r="H116" s="3" t="s">
        <v>16</v>
      </c>
      <c r="I116" s="3" t="s">
        <v>17</v>
      </c>
      <c r="J116" s="3" t="s">
        <v>18</v>
      </c>
      <c r="K116" s="3" t="s">
        <v>19</v>
      </c>
      <c r="L116" s="3" t="s">
        <v>20</v>
      </c>
      <c r="M116" s="3" t="s">
        <v>21</v>
      </c>
      <c r="N116" s="3" t="s">
        <v>22</v>
      </c>
    </row>
    <row r="117" spans="1:14" x14ac:dyDescent="0.35">
      <c r="A117" s="2" t="str">
        <f>B109</f>
        <v>[R] Steel production</v>
      </c>
      <c r="B117" s="2" t="str">
        <f>B110</f>
        <v>Vanadium (V) slag</v>
      </c>
      <c r="C117" s="2" t="str">
        <f>B111</f>
        <v>ZA</v>
      </c>
      <c r="D117" s="2">
        <v>1</v>
      </c>
      <c r="E117" s="2" t="s">
        <v>9</v>
      </c>
      <c r="F117" s="9" t="str">
        <f>F9</f>
        <v>Vanadium</v>
      </c>
      <c r="G117" s="2" t="s">
        <v>23</v>
      </c>
    </row>
    <row r="118" spans="1:14" s="9" customFormat="1" x14ac:dyDescent="0.35">
      <c r="A118" s="9" t="s">
        <v>143</v>
      </c>
      <c r="D118" s="9">
        <v>0.8999999998357664</v>
      </c>
      <c r="E118" s="9" t="s">
        <v>9</v>
      </c>
      <c r="F118" s="9" t="s">
        <v>25</v>
      </c>
      <c r="G118" s="9" t="s">
        <v>26</v>
      </c>
      <c r="J118" s="9" t="s">
        <v>130</v>
      </c>
    </row>
    <row r="119" spans="1:14" x14ac:dyDescent="0.35">
      <c r="A119" s="2" t="s">
        <v>231</v>
      </c>
      <c r="B119" s="2" t="s">
        <v>232</v>
      </c>
      <c r="C119" s="2" t="s">
        <v>33</v>
      </c>
      <c r="D119" s="2">
        <v>0.2125000001437044</v>
      </c>
      <c r="E119" s="2" t="s">
        <v>9</v>
      </c>
      <c r="F119" s="2" t="s">
        <v>25</v>
      </c>
      <c r="G119" s="2" t="s">
        <v>26</v>
      </c>
      <c r="J119" s="2" t="s">
        <v>130</v>
      </c>
    </row>
    <row r="120" spans="1:14" x14ac:dyDescent="0.35">
      <c r="A120" s="2" t="s">
        <v>64</v>
      </c>
      <c r="B120" s="2" t="s">
        <v>65</v>
      </c>
      <c r="C120" s="2" t="s">
        <v>33</v>
      </c>
      <c r="D120" s="2">
        <v>7.5210526109978863E-3</v>
      </c>
      <c r="E120" s="2" t="s">
        <v>40</v>
      </c>
      <c r="F120" s="2" t="s">
        <v>25</v>
      </c>
      <c r="G120" s="2" t="s">
        <v>26</v>
      </c>
      <c r="J120" s="2" t="s">
        <v>130</v>
      </c>
    </row>
    <row r="121" spans="1:14" x14ac:dyDescent="0.35">
      <c r="A121" s="2" t="s">
        <v>233</v>
      </c>
      <c r="B121" s="2" t="s">
        <v>234</v>
      </c>
      <c r="C121" s="2" t="s">
        <v>33</v>
      </c>
      <c r="D121" s="2">
        <v>4.250000035720803E-2</v>
      </c>
      <c r="E121" s="2" t="s">
        <v>9</v>
      </c>
      <c r="F121" s="2" t="s">
        <v>25</v>
      </c>
      <c r="G121" s="2" t="s">
        <v>26</v>
      </c>
      <c r="J121" s="2" t="s">
        <v>130</v>
      </c>
    </row>
    <row r="122" spans="1:14" x14ac:dyDescent="0.35">
      <c r="A122" s="2" t="s">
        <v>74</v>
      </c>
      <c r="B122" s="2" t="s">
        <v>75</v>
      </c>
      <c r="C122" s="2" t="s">
        <v>51</v>
      </c>
      <c r="D122" s="2">
        <v>2.2000000725912409E-2</v>
      </c>
      <c r="E122" s="2" t="s">
        <v>9</v>
      </c>
      <c r="F122" s="2" t="s">
        <v>25</v>
      </c>
      <c r="G122" s="2" t="s">
        <v>26</v>
      </c>
      <c r="J122" s="2" t="s">
        <v>130</v>
      </c>
    </row>
    <row r="123" spans="1:14" x14ac:dyDescent="0.35">
      <c r="A123" s="2" t="s">
        <v>131</v>
      </c>
      <c r="B123" s="2" t="s">
        <v>29</v>
      </c>
      <c r="C123" s="2" t="s">
        <v>127</v>
      </c>
      <c r="D123" s="2">
        <v>2.1944000360959118E-2</v>
      </c>
      <c r="E123" s="2" t="s">
        <v>30</v>
      </c>
      <c r="F123" s="2" t="s">
        <v>25</v>
      </c>
      <c r="G123" s="2" t="s">
        <v>26</v>
      </c>
      <c r="J123" s="2" t="s">
        <v>130</v>
      </c>
    </row>
    <row r="124" spans="1:14" x14ac:dyDescent="0.35">
      <c r="A124" s="2" t="s">
        <v>235</v>
      </c>
      <c r="B124" s="2" t="s">
        <v>236</v>
      </c>
      <c r="C124" s="2" t="s">
        <v>51</v>
      </c>
      <c r="D124" s="2">
        <v>5.9999994514598537E-3</v>
      </c>
      <c r="E124" s="2" t="s">
        <v>9</v>
      </c>
      <c r="F124" s="2" t="s">
        <v>25</v>
      </c>
      <c r="G124" s="2" t="s">
        <v>26</v>
      </c>
      <c r="J124" s="2" t="s">
        <v>130</v>
      </c>
    </row>
    <row r="125" spans="1:14" x14ac:dyDescent="0.35">
      <c r="A125" s="2" t="s">
        <v>132</v>
      </c>
      <c r="B125" s="2" t="s">
        <v>133</v>
      </c>
      <c r="C125" s="2" t="s">
        <v>33</v>
      </c>
      <c r="D125" s="2">
        <v>2.7499992695711678E-3</v>
      </c>
      <c r="E125" s="2" t="s">
        <v>9</v>
      </c>
      <c r="F125" s="2" t="s">
        <v>25</v>
      </c>
      <c r="G125" s="2" t="s">
        <v>26</v>
      </c>
      <c r="J125" s="2" t="s">
        <v>130</v>
      </c>
    </row>
    <row r="126" spans="1:14" x14ac:dyDescent="0.35">
      <c r="A126" s="2" t="s">
        <v>38</v>
      </c>
      <c r="B126" s="2" t="s">
        <v>39</v>
      </c>
      <c r="C126" s="2" t="s">
        <v>33</v>
      </c>
      <c r="D126" s="2">
        <v>9.6153832099241999E-4</v>
      </c>
      <c r="E126" s="2" t="s">
        <v>40</v>
      </c>
      <c r="F126" s="2" t="s">
        <v>25</v>
      </c>
      <c r="G126" s="2" t="s">
        <v>26</v>
      </c>
      <c r="J126" s="2" t="s">
        <v>130</v>
      </c>
    </row>
    <row r="127" spans="1:14" x14ac:dyDescent="0.35">
      <c r="A127" s="2" t="s">
        <v>237</v>
      </c>
      <c r="B127" s="2" t="s">
        <v>238</v>
      </c>
      <c r="C127" s="2" t="s">
        <v>33</v>
      </c>
      <c r="D127" s="2">
        <v>2.4999963499087601E-4</v>
      </c>
      <c r="E127" s="2" t="s">
        <v>52</v>
      </c>
      <c r="F127" s="2" t="s">
        <v>25</v>
      </c>
      <c r="G127" s="2" t="s">
        <v>26</v>
      </c>
      <c r="J127" s="2" t="s">
        <v>130</v>
      </c>
    </row>
    <row r="128" spans="1:14" x14ac:dyDescent="0.35">
      <c r="A128" s="2" t="s">
        <v>239</v>
      </c>
      <c r="B128" s="2" t="s">
        <v>240</v>
      </c>
      <c r="C128" s="2" t="s">
        <v>51</v>
      </c>
      <c r="D128" s="2">
        <v>1.3333007296837041E-11</v>
      </c>
      <c r="E128" s="2" t="s">
        <v>8</v>
      </c>
      <c r="F128" s="2" t="s">
        <v>25</v>
      </c>
      <c r="G128" s="2" t="s">
        <v>26</v>
      </c>
      <c r="J128" s="2" t="s">
        <v>130</v>
      </c>
    </row>
    <row r="129" spans="1:10" s="9" customFormat="1" x14ac:dyDescent="0.35">
      <c r="A129" s="9" t="s">
        <v>241</v>
      </c>
      <c r="D129" s="9">
        <v>1</v>
      </c>
      <c r="E129" s="9" t="s">
        <v>9</v>
      </c>
      <c r="F129" s="9" t="s">
        <v>25</v>
      </c>
      <c r="G129" s="9" t="s">
        <v>26</v>
      </c>
      <c r="J129" s="9" t="s">
        <v>130</v>
      </c>
    </row>
    <row r="130" spans="1:10" s="9" customFormat="1" x14ac:dyDescent="0.35">
      <c r="A130" s="9" t="s">
        <v>242</v>
      </c>
      <c r="D130" s="9">
        <v>1.5713230599293922E-2</v>
      </c>
      <c r="E130" s="9" t="s">
        <v>9</v>
      </c>
      <c r="F130" s="9" t="s">
        <v>25</v>
      </c>
      <c r="G130" s="9" t="s">
        <v>26</v>
      </c>
      <c r="J130" s="9" t="s">
        <v>130</v>
      </c>
    </row>
    <row r="131" spans="1:10" s="9" customFormat="1" x14ac:dyDescent="0.35">
      <c r="A131" s="9" t="s">
        <v>242</v>
      </c>
      <c r="D131" s="9">
        <v>6.0381739278166077E-2</v>
      </c>
      <c r="E131" s="9" t="s">
        <v>9</v>
      </c>
      <c r="F131" s="9" t="s">
        <v>25</v>
      </c>
      <c r="G131" s="9" t="s">
        <v>26</v>
      </c>
      <c r="J131" s="9" t="s">
        <v>130</v>
      </c>
    </row>
    <row r="132" spans="1:10" x14ac:dyDescent="0.35">
      <c r="A132" s="2" t="s">
        <v>243</v>
      </c>
      <c r="B132" s="2" t="s">
        <v>244</v>
      </c>
      <c r="C132" s="2" t="s">
        <v>33</v>
      </c>
      <c r="D132" s="2">
        <v>-3.2077000176628283E-2</v>
      </c>
      <c r="E132" s="2" t="s">
        <v>9</v>
      </c>
      <c r="F132" s="2" t="s">
        <v>25</v>
      </c>
      <c r="G132" s="2" t="s">
        <v>26</v>
      </c>
      <c r="J132" s="2" t="s">
        <v>130</v>
      </c>
    </row>
    <row r="133" spans="1:10" x14ac:dyDescent="0.35">
      <c r="A133" s="2" t="s">
        <v>245</v>
      </c>
      <c r="B133" s="2" t="s">
        <v>246</v>
      </c>
      <c r="C133" s="2" t="s">
        <v>33</v>
      </c>
      <c r="D133" s="2">
        <v>-2.9000003644343059E-3</v>
      </c>
      <c r="E133" s="2" t="s">
        <v>9</v>
      </c>
      <c r="F133" s="2" t="s">
        <v>25</v>
      </c>
      <c r="G133" s="2" t="s">
        <v>26</v>
      </c>
      <c r="J133" s="2" t="s">
        <v>130</v>
      </c>
    </row>
    <row r="134" spans="1:10" x14ac:dyDescent="0.35">
      <c r="A134" s="2" t="s">
        <v>247</v>
      </c>
      <c r="B134" s="2" t="s">
        <v>248</v>
      </c>
      <c r="C134" s="2" t="s">
        <v>33</v>
      </c>
      <c r="D134" s="2">
        <v>-1.062499269879106E-3</v>
      </c>
      <c r="E134" s="2" t="s">
        <v>9</v>
      </c>
      <c r="F134" s="2" t="s">
        <v>25</v>
      </c>
      <c r="G134" s="2" t="s">
        <v>26</v>
      </c>
      <c r="J134" s="2" t="s">
        <v>130</v>
      </c>
    </row>
    <row r="135" spans="1:10" x14ac:dyDescent="0.35">
      <c r="A135" s="2" t="s">
        <v>249</v>
      </c>
      <c r="D135" s="2">
        <v>1.0514951275453479E-2</v>
      </c>
      <c r="E135" s="2" t="s">
        <v>40</v>
      </c>
      <c r="F135" s="2" t="s">
        <v>81</v>
      </c>
      <c r="G135" s="2" t="s">
        <v>82</v>
      </c>
      <c r="H135" s="2" t="s">
        <v>250</v>
      </c>
      <c r="J135" s="2" t="s">
        <v>130</v>
      </c>
    </row>
    <row r="136" spans="1:10" x14ac:dyDescent="0.35">
      <c r="A136" s="2" t="s">
        <v>251</v>
      </c>
      <c r="D136" s="2">
        <v>2.4214352185362338E-3</v>
      </c>
      <c r="E136" s="2" t="s">
        <v>40</v>
      </c>
      <c r="F136" s="2" t="s">
        <v>81</v>
      </c>
      <c r="G136" s="2" t="s">
        <v>82</v>
      </c>
      <c r="H136" s="2" t="s">
        <v>250</v>
      </c>
      <c r="J136" s="2" t="s">
        <v>130</v>
      </c>
    </row>
    <row r="137" spans="1:10" x14ac:dyDescent="0.35">
      <c r="A137" s="2" t="s">
        <v>80</v>
      </c>
      <c r="D137" s="2">
        <v>7.5599999986204383E-2</v>
      </c>
      <c r="E137" s="2" t="s">
        <v>9</v>
      </c>
      <c r="F137" s="2" t="s">
        <v>81</v>
      </c>
      <c r="G137" s="2" t="s">
        <v>82</v>
      </c>
      <c r="H137" s="2" t="s">
        <v>83</v>
      </c>
      <c r="J137" s="2" t="s">
        <v>130</v>
      </c>
    </row>
    <row r="138" spans="1:10" x14ac:dyDescent="0.35">
      <c r="A138" s="2" t="s">
        <v>155</v>
      </c>
      <c r="D138" s="2">
        <v>6.8179762761281064E-3</v>
      </c>
      <c r="E138" s="2" t="s">
        <v>40</v>
      </c>
      <c r="F138" s="2" t="s">
        <v>81</v>
      </c>
      <c r="G138" s="2" t="s">
        <v>82</v>
      </c>
      <c r="H138" s="2" t="s">
        <v>252</v>
      </c>
      <c r="J138" s="2" t="s">
        <v>130</v>
      </c>
    </row>
    <row r="139" spans="1:10" x14ac:dyDescent="0.35">
      <c r="A139" s="2" t="s">
        <v>155</v>
      </c>
      <c r="D139" s="2">
        <v>6.1184085755258376E-3</v>
      </c>
      <c r="E139" s="2" t="s">
        <v>40</v>
      </c>
      <c r="F139" s="2" t="s">
        <v>81</v>
      </c>
      <c r="G139" s="2" t="s">
        <v>82</v>
      </c>
      <c r="H139" s="2" t="s">
        <v>83</v>
      </c>
      <c r="J139" s="2" t="s">
        <v>130</v>
      </c>
    </row>
    <row r="140" spans="1:10" x14ac:dyDescent="0.35">
      <c r="A140" s="2" t="s">
        <v>86</v>
      </c>
      <c r="D140" s="2">
        <v>4.7299992692098544E-3</v>
      </c>
      <c r="E140" s="2" t="s">
        <v>9</v>
      </c>
      <c r="F140" s="2" t="s">
        <v>81</v>
      </c>
      <c r="G140" s="2" t="s">
        <v>82</v>
      </c>
      <c r="H140" s="2" t="s">
        <v>83</v>
      </c>
      <c r="J140" s="2" t="s">
        <v>130</v>
      </c>
    </row>
    <row r="141" spans="1:10" x14ac:dyDescent="0.35">
      <c r="A141" s="2" t="s">
        <v>87</v>
      </c>
      <c r="D141" s="2">
        <v>1.248175182253983E-4</v>
      </c>
      <c r="E141" s="2" t="s">
        <v>9</v>
      </c>
      <c r="F141" s="2" t="s">
        <v>81</v>
      </c>
      <c r="G141" s="2" t="s">
        <v>82</v>
      </c>
      <c r="H141" s="2" t="s">
        <v>83</v>
      </c>
      <c r="J141" s="2" t="s">
        <v>130</v>
      </c>
    </row>
    <row r="142" spans="1:10" x14ac:dyDescent="0.35">
      <c r="A142" s="2" t="s">
        <v>190</v>
      </c>
      <c r="D142" s="2">
        <v>6.0446167872181349E-5</v>
      </c>
      <c r="E142" s="2" t="s">
        <v>9</v>
      </c>
      <c r="F142" s="2" t="s">
        <v>81</v>
      </c>
      <c r="G142" s="2" t="s">
        <v>82</v>
      </c>
      <c r="H142" s="2" t="s">
        <v>83</v>
      </c>
      <c r="J142" s="2" t="s">
        <v>130</v>
      </c>
    </row>
    <row r="143" spans="1:10" x14ac:dyDescent="0.35">
      <c r="A143" s="2" t="s">
        <v>164</v>
      </c>
      <c r="D143" s="2">
        <v>4.7463503640973811E-5</v>
      </c>
      <c r="E143" s="2" t="s">
        <v>9</v>
      </c>
      <c r="F143" s="2" t="s">
        <v>81</v>
      </c>
      <c r="G143" s="2" t="s">
        <v>82</v>
      </c>
      <c r="H143" s="2" t="s">
        <v>83</v>
      </c>
      <c r="J143" s="2" t="s">
        <v>130</v>
      </c>
    </row>
    <row r="144" spans="1:10" x14ac:dyDescent="0.35">
      <c r="A144" s="2" t="s">
        <v>188</v>
      </c>
      <c r="D144" s="2">
        <v>5.1405109479670598E-7</v>
      </c>
      <c r="E144" s="2" t="s">
        <v>9</v>
      </c>
      <c r="F144" s="2" t="s">
        <v>81</v>
      </c>
      <c r="G144" s="2" t="s">
        <v>82</v>
      </c>
      <c r="H144" s="2" t="s">
        <v>83</v>
      </c>
      <c r="J144" s="2" t="s">
        <v>130</v>
      </c>
    </row>
    <row r="145" spans="1:14" x14ac:dyDescent="0.35">
      <c r="A145" s="2" t="s">
        <v>201</v>
      </c>
      <c r="D145" s="2">
        <v>1.8499927003923369E-7</v>
      </c>
      <c r="E145" s="2" t="s">
        <v>9</v>
      </c>
      <c r="F145" s="2" t="s">
        <v>81</v>
      </c>
      <c r="G145" s="2" t="s">
        <v>82</v>
      </c>
      <c r="H145" s="2" t="s">
        <v>83</v>
      </c>
      <c r="J145" s="2" t="s">
        <v>130</v>
      </c>
    </row>
    <row r="146" spans="1:14" x14ac:dyDescent="0.35">
      <c r="A146" s="2" t="s">
        <v>200</v>
      </c>
      <c r="D146" s="2">
        <v>2.4999963499087599E-8</v>
      </c>
      <c r="E146" s="2" t="s">
        <v>9</v>
      </c>
      <c r="F146" s="2" t="s">
        <v>81</v>
      </c>
      <c r="G146" s="2" t="s">
        <v>82</v>
      </c>
      <c r="H146" s="2" t="s">
        <v>83</v>
      </c>
      <c r="J146" s="2" t="s">
        <v>130</v>
      </c>
    </row>
    <row r="147" spans="1:14" x14ac:dyDescent="0.35">
      <c r="A147" s="2" t="s">
        <v>203</v>
      </c>
      <c r="D147" s="2">
        <v>1.2000005472262769E-10</v>
      </c>
      <c r="E147" s="2" t="s">
        <v>9</v>
      </c>
      <c r="F147" s="2" t="s">
        <v>81</v>
      </c>
      <c r="G147" s="2" t="s">
        <v>82</v>
      </c>
      <c r="H147" s="2" t="s">
        <v>83</v>
      </c>
      <c r="J147" s="2" t="s">
        <v>130</v>
      </c>
    </row>
    <row r="148" spans="1:14" x14ac:dyDescent="0.35">
      <c r="A148" s="2" t="s">
        <v>229</v>
      </c>
      <c r="D148" s="2">
        <v>3.0499981746259128E-14</v>
      </c>
      <c r="E148" s="2" t="s">
        <v>9</v>
      </c>
      <c r="F148" s="2" t="s">
        <v>81</v>
      </c>
      <c r="G148" s="2" t="s">
        <v>82</v>
      </c>
      <c r="H148" s="2" t="s">
        <v>83</v>
      </c>
      <c r="J148" s="2" t="s">
        <v>130</v>
      </c>
    </row>
    <row r="149" spans="1:14" s="11" customFormat="1" x14ac:dyDescent="0.35"/>
    <row r="150" spans="1:14" x14ac:dyDescent="0.35">
      <c r="A150" s="3" t="s">
        <v>0</v>
      </c>
      <c r="B150" s="3" t="s">
        <v>112</v>
      </c>
    </row>
    <row r="151" spans="1:14" x14ac:dyDescent="0.35">
      <c r="A151" s="8" t="s">
        <v>2</v>
      </c>
      <c r="B151" s="2" t="s">
        <v>3</v>
      </c>
    </row>
    <row r="152" spans="1:14" x14ac:dyDescent="0.35">
      <c r="A152" s="8" t="s">
        <v>4</v>
      </c>
      <c r="B152" s="2" t="s">
        <v>127</v>
      </c>
    </row>
    <row r="153" spans="1:14" x14ac:dyDescent="0.35">
      <c r="A153" s="8" t="s">
        <v>6</v>
      </c>
      <c r="B153" s="2">
        <v>1</v>
      </c>
    </row>
    <row r="154" spans="1:14" x14ac:dyDescent="0.35">
      <c r="A154" s="8" t="s">
        <v>8</v>
      </c>
      <c r="B154" s="2" t="s">
        <v>9</v>
      </c>
    </row>
    <row r="155" spans="1:14" x14ac:dyDescent="0.35">
      <c r="A155" s="8" t="s">
        <v>10</v>
      </c>
      <c r="B155" s="2" t="s">
        <v>11</v>
      </c>
    </row>
    <row r="156" spans="1:14" x14ac:dyDescent="0.35">
      <c r="A156" s="8" t="s">
        <v>12</v>
      </c>
    </row>
    <row r="157" spans="1:14" x14ac:dyDescent="0.35">
      <c r="A157" s="3" t="s">
        <v>13</v>
      </c>
      <c r="B157" s="3" t="s">
        <v>2</v>
      </c>
      <c r="C157" s="3" t="s">
        <v>4</v>
      </c>
      <c r="D157" s="3" t="s">
        <v>6</v>
      </c>
      <c r="E157" s="3" t="s">
        <v>8</v>
      </c>
      <c r="F157" s="3" t="s">
        <v>14</v>
      </c>
      <c r="G157" s="3" t="s">
        <v>15</v>
      </c>
      <c r="H157" s="3" t="s">
        <v>16</v>
      </c>
      <c r="I157" s="3" t="s">
        <v>17</v>
      </c>
      <c r="J157" s="3" t="s">
        <v>18</v>
      </c>
      <c r="K157" s="3" t="s">
        <v>19</v>
      </c>
      <c r="L157" s="3" t="s">
        <v>20</v>
      </c>
      <c r="M157" s="3" t="s">
        <v>21</v>
      </c>
      <c r="N157" s="3" t="s">
        <v>22</v>
      </c>
    </row>
    <row r="158" spans="1:14" x14ac:dyDescent="0.35">
      <c r="A158" s="2" t="str">
        <f>B150</f>
        <v>[P] Vanadium pentoxide (V2O5) production</v>
      </c>
      <c r="B158" s="2" t="str">
        <f>B151</f>
        <v>V2O5</v>
      </c>
      <c r="C158" s="2" t="str">
        <f>B152</f>
        <v>ZA</v>
      </c>
      <c r="D158" s="2">
        <v>1</v>
      </c>
      <c r="E158" s="2" t="s">
        <v>9</v>
      </c>
      <c r="F158" s="9" t="str">
        <f>F117</f>
        <v>Vanadium</v>
      </c>
      <c r="G158" s="2" t="s">
        <v>23</v>
      </c>
    </row>
    <row r="159" spans="1:14" s="9" customFormat="1" x14ac:dyDescent="0.35">
      <c r="A159" s="9" t="s">
        <v>242</v>
      </c>
      <c r="D159" s="9">
        <v>0.98335273597919803</v>
      </c>
      <c r="E159" s="9" t="s">
        <v>9</v>
      </c>
      <c r="F159" s="9" t="s">
        <v>25</v>
      </c>
      <c r="G159" s="9" t="s">
        <v>26</v>
      </c>
      <c r="J159" s="9" t="s">
        <v>130</v>
      </c>
    </row>
    <row r="160" spans="1:14" s="9" customFormat="1" x14ac:dyDescent="0.35">
      <c r="A160" s="9" t="s">
        <v>242</v>
      </c>
      <c r="D160" s="9">
        <v>3.7787613531895432</v>
      </c>
      <c r="E160" s="9" t="s">
        <v>9</v>
      </c>
      <c r="F160" s="9" t="s">
        <v>25</v>
      </c>
      <c r="G160" s="9" t="s">
        <v>26</v>
      </c>
      <c r="J160" s="9" t="s">
        <v>130</v>
      </c>
    </row>
    <row r="161" spans="1:10" x14ac:dyDescent="0.35">
      <c r="A161" s="2" t="s">
        <v>128</v>
      </c>
      <c r="B161" s="2" t="s">
        <v>129</v>
      </c>
      <c r="C161" s="2" t="s">
        <v>51</v>
      </c>
      <c r="D161" s="2">
        <v>4.7621140891687412</v>
      </c>
      <c r="E161" s="2" t="s">
        <v>9</v>
      </c>
      <c r="F161" s="2" t="s">
        <v>25</v>
      </c>
      <c r="G161" s="2" t="s">
        <v>26</v>
      </c>
      <c r="J161" s="2" t="s">
        <v>130</v>
      </c>
    </row>
    <row r="162" spans="1:10" s="9" customFormat="1" x14ac:dyDescent="0.35">
      <c r="A162" s="9" t="s">
        <v>242</v>
      </c>
      <c r="D162" s="9">
        <v>0.98335273597919803</v>
      </c>
      <c r="E162" s="9" t="s">
        <v>9</v>
      </c>
      <c r="F162" s="9" t="s">
        <v>25</v>
      </c>
      <c r="G162" s="9" t="s">
        <v>26</v>
      </c>
      <c r="J162" s="9" t="s">
        <v>130</v>
      </c>
    </row>
    <row r="163" spans="1:10" s="9" customFormat="1" x14ac:dyDescent="0.35">
      <c r="A163" s="9" t="s">
        <v>242</v>
      </c>
      <c r="D163" s="9">
        <v>3.7787613531895432</v>
      </c>
      <c r="E163" s="9" t="s">
        <v>9</v>
      </c>
      <c r="F163" s="9" t="s">
        <v>25</v>
      </c>
      <c r="G163" s="9" t="s">
        <v>26</v>
      </c>
      <c r="J163" s="9" t="s">
        <v>130</v>
      </c>
    </row>
    <row r="164" spans="1:10" s="9" customFormat="1" x14ac:dyDescent="0.35">
      <c r="A164" s="9" t="s">
        <v>242</v>
      </c>
      <c r="D164" s="9">
        <v>0.98335273597919803</v>
      </c>
      <c r="E164" s="9" t="s">
        <v>9</v>
      </c>
      <c r="F164" s="9" t="s">
        <v>25</v>
      </c>
      <c r="G164" s="9" t="s">
        <v>26</v>
      </c>
      <c r="J164" s="9" t="s">
        <v>253</v>
      </c>
    </row>
    <row r="165" spans="1:10" s="9" customFormat="1" x14ac:dyDescent="0.35">
      <c r="A165" s="9" t="s">
        <v>242</v>
      </c>
      <c r="D165" s="9">
        <v>3.7787613531895432</v>
      </c>
      <c r="E165" s="9" t="s">
        <v>9</v>
      </c>
      <c r="F165" s="9" t="s">
        <v>25</v>
      </c>
      <c r="G165" s="9" t="s">
        <v>26</v>
      </c>
      <c r="J165" s="9" t="s">
        <v>253</v>
      </c>
    </row>
    <row r="166" spans="1:10" x14ac:dyDescent="0.35">
      <c r="A166" s="2" t="s">
        <v>237</v>
      </c>
      <c r="B166" s="2" t="s">
        <v>238</v>
      </c>
      <c r="C166" s="2" t="s">
        <v>33</v>
      </c>
      <c r="D166" s="2">
        <v>5.5401455588312132</v>
      </c>
      <c r="E166" s="2" t="s">
        <v>52</v>
      </c>
      <c r="F166" s="2" t="s">
        <v>25</v>
      </c>
      <c r="G166" s="2" t="s">
        <v>26</v>
      </c>
      <c r="J166" s="2" t="s">
        <v>253</v>
      </c>
    </row>
    <row r="167" spans="1:10" x14ac:dyDescent="0.35">
      <c r="A167" s="2" t="s">
        <v>254</v>
      </c>
      <c r="B167" s="2" t="s">
        <v>255</v>
      </c>
      <c r="C167" s="2" t="s">
        <v>33</v>
      </c>
      <c r="D167" s="2">
        <v>0.21226501862745151</v>
      </c>
      <c r="E167" s="2" t="s">
        <v>52</v>
      </c>
      <c r="F167" s="2" t="s">
        <v>25</v>
      </c>
      <c r="G167" s="2" t="s">
        <v>26</v>
      </c>
      <c r="J167" s="2" t="s">
        <v>253</v>
      </c>
    </row>
    <row r="168" spans="1:10" x14ac:dyDescent="0.35">
      <c r="A168" s="2" t="s">
        <v>131</v>
      </c>
      <c r="B168" s="2" t="s">
        <v>29</v>
      </c>
      <c r="C168" s="2" t="s">
        <v>127</v>
      </c>
      <c r="D168" s="2">
        <v>0.18731924102129921</v>
      </c>
      <c r="E168" s="2" t="s">
        <v>30</v>
      </c>
      <c r="F168" s="2" t="s">
        <v>25</v>
      </c>
      <c r="G168" s="2" t="s">
        <v>26</v>
      </c>
      <c r="J168" s="2" t="s">
        <v>253</v>
      </c>
    </row>
    <row r="169" spans="1:10" x14ac:dyDescent="0.35">
      <c r="A169" s="2" t="s">
        <v>91</v>
      </c>
      <c r="B169" s="2" t="s">
        <v>92</v>
      </c>
      <c r="C169" s="2" t="s">
        <v>127</v>
      </c>
      <c r="D169" s="2">
        <v>5.0293627965177397E-2</v>
      </c>
      <c r="E169" s="2" t="s">
        <v>9</v>
      </c>
      <c r="F169" s="2" t="s">
        <v>25</v>
      </c>
      <c r="G169" s="2" t="s">
        <v>26</v>
      </c>
      <c r="J169" s="2" t="s">
        <v>253</v>
      </c>
    </row>
    <row r="170" spans="1:10" x14ac:dyDescent="0.35">
      <c r="A170" s="2" t="s">
        <v>64</v>
      </c>
      <c r="B170" s="2" t="s">
        <v>65</v>
      </c>
      <c r="C170" s="2" t="s">
        <v>33</v>
      </c>
      <c r="D170" s="2">
        <v>9.2855269446236871E-3</v>
      </c>
      <c r="E170" s="2" t="s">
        <v>40</v>
      </c>
      <c r="F170" s="2" t="s">
        <v>25</v>
      </c>
      <c r="G170" s="2" t="s">
        <v>26</v>
      </c>
      <c r="J170" s="2" t="s">
        <v>253</v>
      </c>
    </row>
    <row r="171" spans="1:10" x14ac:dyDescent="0.35">
      <c r="A171" s="2" t="s">
        <v>256</v>
      </c>
      <c r="B171" s="2" t="s">
        <v>257</v>
      </c>
      <c r="C171" s="2" t="s">
        <v>51</v>
      </c>
      <c r="D171" s="2">
        <v>3.3391669341153302E-4</v>
      </c>
      <c r="E171" s="2" t="s">
        <v>52</v>
      </c>
      <c r="F171" s="2" t="s">
        <v>25</v>
      </c>
      <c r="G171" s="2" t="s">
        <v>26</v>
      </c>
      <c r="J171" s="2" t="s">
        <v>253</v>
      </c>
    </row>
    <row r="172" spans="1:10" x14ac:dyDescent="0.35">
      <c r="A172" s="2" t="s">
        <v>258</v>
      </c>
      <c r="B172" s="2" t="s">
        <v>259</v>
      </c>
      <c r="C172" s="2" t="s">
        <v>51</v>
      </c>
      <c r="D172" s="2">
        <v>1.2568370803950079E-10</v>
      </c>
      <c r="E172" s="2" t="s">
        <v>8</v>
      </c>
      <c r="F172" s="2" t="s">
        <v>25</v>
      </c>
      <c r="G172" s="2" t="s">
        <v>26</v>
      </c>
      <c r="J172" s="2" t="s">
        <v>253</v>
      </c>
    </row>
    <row r="173" spans="1:10" s="9" customFormat="1" x14ac:dyDescent="0.35">
      <c r="A173" s="9" t="s">
        <v>242</v>
      </c>
      <c r="D173" s="9">
        <v>0.98335273597919803</v>
      </c>
      <c r="E173" s="9" t="s">
        <v>9</v>
      </c>
      <c r="F173" s="9" t="s">
        <v>25</v>
      </c>
      <c r="G173" s="9" t="s">
        <v>26</v>
      </c>
      <c r="J173" s="9" t="s">
        <v>253</v>
      </c>
    </row>
    <row r="174" spans="1:10" s="9" customFormat="1" x14ac:dyDescent="0.35">
      <c r="A174" s="9" t="s">
        <v>242</v>
      </c>
      <c r="D174" s="9">
        <v>3.7787613531895432</v>
      </c>
      <c r="E174" s="9" t="s">
        <v>9</v>
      </c>
      <c r="F174" s="9" t="s">
        <v>25</v>
      </c>
      <c r="G174" s="9" t="s">
        <v>26</v>
      </c>
      <c r="J174" s="9" t="s">
        <v>253</v>
      </c>
    </row>
    <row r="175" spans="1:10" s="9" customFormat="1" x14ac:dyDescent="0.35">
      <c r="A175" s="9" t="s">
        <v>242</v>
      </c>
      <c r="D175" s="9">
        <v>0.98335273597919803</v>
      </c>
      <c r="E175" s="9" t="s">
        <v>9</v>
      </c>
      <c r="F175" s="9" t="s">
        <v>25</v>
      </c>
      <c r="G175" s="9" t="s">
        <v>26</v>
      </c>
      <c r="J175" s="9" t="s">
        <v>260</v>
      </c>
    </row>
    <row r="176" spans="1:10" s="9" customFormat="1" x14ac:dyDescent="0.35">
      <c r="A176" s="9" t="s">
        <v>242</v>
      </c>
      <c r="D176" s="9">
        <v>3.7787613531895432</v>
      </c>
      <c r="E176" s="9" t="s">
        <v>9</v>
      </c>
      <c r="F176" s="9" t="s">
        <v>25</v>
      </c>
      <c r="G176" s="9" t="s">
        <v>26</v>
      </c>
      <c r="J176" s="9" t="s">
        <v>260</v>
      </c>
    </row>
    <row r="177" spans="1:10" x14ac:dyDescent="0.35">
      <c r="A177" s="2" t="s">
        <v>261</v>
      </c>
      <c r="B177" s="2" t="s">
        <v>262</v>
      </c>
      <c r="C177" s="2" t="s">
        <v>51</v>
      </c>
      <c r="D177" s="2">
        <v>0.69538780669421441</v>
      </c>
      <c r="E177" s="2" t="s">
        <v>9</v>
      </c>
      <c r="F177" s="2" t="s">
        <v>25</v>
      </c>
      <c r="G177" s="2" t="s">
        <v>26</v>
      </c>
      <c r="J177" s="2" t="s">
        <v>260</v>
      </c>
    </row>
    <row r="178" spans="1:10" s="9" customFormat="1" x14ac:dyDescent="0.35">
      <c r="A178" s="9" t="s">
        <v>24</v>
      </c>
      <c r="D178" s="9">
        <v>3.7787613531895432</v>
      </c>
      <c r="E178" s="9" t="s">
        <v>9</v>
      </c>
      <c r="F178" s="9" t="s">
        <v>25</v>
      </c>
      <c r="G178" s="9" t="s">
        <v>26</v>
      </c>
      <c r="J178" s="9" t="s">
        <v>260</v>
      </c>
    </row>
    <row r="179" spans="1:10" s="9" customFormat="1" x14ac:dyDescent="0.35">
      <c r="A179" s="9" t="s">
        <v>263</v>
      </c>
      <c r="D179" s="9">
        <v>1.600062703605416</v>
      </c>
      <c r="E179" s="9" t="s">
        <v>9</v>
      </c>
      <c r="F179" s="9" t="s">
        <v>25</v>
      </c>
      <c r="G179" s="9" t="s">
        <v>26</v>
      </c>
      <c r="J179" s="9" t="s">
        <v>260</v>
      </c>
    </row>
    <row r="180" spans="1:10" s="9" customFormat="1" x14ac:dyDescent="0.35">
      <c r="A180" s="9" t="s">
        <v>24</v>
      </c>
      <c r="D180" s="9">
        <v>3.7787613531895432</v>
      </c>
      <c r="E180" s="9" t="s">
        <v>9</v>
      </c>
      <c r="F180" s="9" t="s">
        <v>25</v>
      </c>
      <c r="G180" s="9" t="s">
        <v>26</v>
      </c>
      <c r="J180" s="9" t="s">
        <v>260</v>
      </c>
    </row>
    <row r="181" spans="1:10" s="9" customFormat="1" x14ac:dyDescent="0.35">
      <c r="A181" s="9" t="s">
        <v>263</v>
      </c>
      <c r="D181" s="9">
        <v>1.600062703605416</v>
      </c>
      <c r="E181" s="9" t="s">
        <v>9</v>
      </c>
      <c r="F181" s="9" t="s">
        <v>25</v>
      </c>
      <c r="G181" s="9" t="s">
        <v>26</v>
      </c>
      <c r="J181" s="9" t="s">
        <v>260</v>
      </c>
    </row>
    <row r="182" spans="1:10" x14ac:dyDescent="0.35">
      <c r="A182" s="2" t="s">
        <v>264</v>
      </c>
      <c r="B182" s="2" t="s">
        <v>265</v>
      </c>
      <c r="C182" s="2" t="s">
        <v>33</v>
      </c>
      <c r="D182" s="2">
        <v>0.2364118406582302</v>
      </c>
      <c r="E182" s="2" t="s">
        <v>9</v>
      </c>
      <c r="F182" s="2" t="s">
        <v>25</v>
      </c>
      <c r="G182" s="2" t="s">
        <v>26</v>
      </c>
      <c r="J182" s="2" t="s">
        <v>260</v>
      </c>
    </row>
    <row r="183" spans="1:10" s="9" customFormat="1" x14ac:dyDescent="0.35">
      <c r="A183" s="9" t="s">
        <v>24</v>
      </c>
      <c r="D183" s="9">
        <v>1.889380676594772</v>
      </c>
      <c r="E183" s="9" t="s">
        <v>9</v>
      </c>
      <c r="F183" s="9" t="s">
        <v>25</v>
      </c>
      <c r="G183" s="9" t="s">
        <v>26</v>
      </c>
      <c r="J183" s="9" t="s">
        <v>260</v>
      </c>
    </row>
    <row r="184" spans="1:10" x14ac:dyDescent="0.35">
      <c r="A184" s="2" t="s">
        <v>245</v>
      </c>
      <c r="B184" s="2" t="s">
        <v>246</v>
      </c>
      <c r="C184" s="2" t="s">
        <v>33</v>
      </c>
      <c r="D184" s="2">
        <v>-0.2148692926279642</v>
      </c>
      <c r="E184" s="2" t="s">
        <v>9</v>
      </c>
      <c r="F184" s="2" t="s">
        <v>25</v>
      </c>
      <c r="G184" s="2" t="s">
        <v>26</v>
      </c>
      <c r="J184" s="2" t="s">
        <v>260</v>
      </c>
    </row>
    <row r="185" spans="1:10" s="9" customFormat="1" x14ac:dyDescent="0.35">
      <c r="A185" s="9" t="s">
        <v>266</v>
      </c>
      <c r="D185" s="9">
        <v>1.319911369000351</v>
      </c>
      <c r="E185" s="9" t="s">
        <v>9</v>
      </c>
      <c r="F185" s="9" t="s">
        <v>25</v>
      </c>
      <c r="G185" s="9" t="s">
        <v>26</v>
      </c>
      <c r="J185" s="9" t="s">
        <v>260</v>
      </c>
    </row>
    <row r="186" spans="1:10" s="9" customFormat="1" x14ac:dyDescent="0.35">
      <c r="A186" s="9" t="s">
        <v>24</v>
      </c>
      <c r="D186" s="9">
        <v>1.889380676594772</v>
      </c>
      <c r="E186" s="9" t="s">
        <v>9</v>
      </c>
      <c r="F186" s="9" t="s">
        <v>25</v>
      </c>
      <c r="G186" s="9" t="s">
        <v>26</v>
      </c>
      <c r="J186" s="9" t="s">
        <v>260</v>
      </c>
    </row>
    <row r="187" spans="1:10" s="9" customFormat="1" x14ac:dyDescent="0.35">
      <c r="A187" s="9" t="s">
        <v>266</v>
      </c>
      <c r="D187" s="9">
        <v>1.319911369000351</v>
      </c>
      <c r="E187" s="9" t="s">
        <v>9</v>
      </c>
      <c r="F187" s="9" t="s">
        <v>25</v>
      </c>
      <c r="G187" s="9" t="s">
        <v>26</v>
      </c>
      <c r="J187" s="9" t="s">
        <v>260</v>
      </c>
    </row>
    <row r="188" spans="1:10" x14ac:dyDescent="0.35">
      <c r="A188" s="2" t="s">
        <v>267</v>
      </c>
      <c r="B188" s="2" t="s">
        <v>268</v>
      </c>
      <c r="C188" s="2" t="s">
        <v>33</v>
      </c>
      <c r="D188" s="2">
        <v>0.20357546435174281</v>
      </c>
      <c r="E188" s="2" t="s">
        <v>9</v>
      </c>
      <c r="F188" s="2" t="s">
        <v>25</v>
      </c>
      <c r="G188" s="2" t="s">
        <v>26</v>
      </c>
      <c r="J188" s="2" t="s">
        <v>260</v>
      </c>
    </row>
    <row r="189" spans="1:10" s="9" customFormat="1" x14ac:dyDescent="0.35">
      <c r="A189" s="9" t="s">
        <v>24</v>
      </c>
      <c r="D189" s="9">
        <v>2.527805864509608E-2</v>
      </c>
      <c r="E189" s="9" t="s">
        <v>9</v>
      </c>
      <c r="F189" s="9" t="s">
        <v>25</v>
      </c>
      <c r="G189" s="9" t="s">
        <v>26</v>
      </c>
      <c r="J189" s="9" t="s">
        <v>260</v>
      </c>
    </row>
    <row r="190" spans="1:10" s="9" customFormat="1" x14ac:dyDescent="0.35">
      <c r="A190" s="9" t="s">
        <v>269</v>
      </c>
      <c r="D190" s="9">
        <v>1.2541643501209581</v>
      </c>
      <c r="E190" s="9" t="s">
        <v>9</v>
      </c>
      <c r="F190" s="9" t="s">
        <v>25</v>
      </c>
      <c r="G190" s="9" t="s">
        <v>26</v>
      </c>
      <c r="J190" s="9" t="s">
        <v>260</v>
      </c>
    </row>
    <row r="191" spans="1:10" x14ac:dyDescent="0.35">
      <c r="A191" s="2" t="s">
        <v>245</v>
      </c>
      <c r="B191" s="2" t="s">
        <v>246</v>
      </c>
      <c r="C191" s="2" t="s">
        <v>33</v>
      </c>
      <c r="D191" s="2">
        <v>-6.600865000636584E-2</v>
      </c>
      <c r="E191" s="2" t="s">
        <v>9</v>
      </c>
      <c r="F191" s="2" t="s">
        <v>25</v>
      </c>
      <c r="G191" s="2" t="s">
        <v>26</v>
      </c>
      <c r="J191" s="2" t="s">
        <v>260</v>
      </c>
    </row>
    <row r="192" spans="1:10" x14ac:dyDescent="0.35">
      <c r="A192" s="2" t="s">
        <v>270</v>
      </c>
      <c r="B192" s="2" t="s">
        <v>271</v>
      </c>
      <c r="C192" s="2" t="s">
        <v>33</v>
      </c>
      <c r="D192" s="2">
        <v>-1.7060028809957519</v>
      </c>
      <c r="E192" s="2" t="s">
        <v>9</v>
      </c>
      <c r="F192" s="2" t="s">
        <v>25</v>
      </c>
      <c r="G192" s="2" t="s">
        <v>26</v>
      </c>
      <c r="J192" s="2" t="s">
        <v>260</v>
      </c>
    </row>
    <row r="193" spans="1:10" s="9" customFormat="1" x14ac:dyDescent="0.35">
      <c r="A193" s="9" t="s">
        <v>24</v>
      </c>
      <c r="D193" s="9">
        <v>2.527805864509608E-2</v>
      </c>
      <c r="E193" s="9" t="s">
        <v>9</v>
      </c>
      <c r="F193" s="9" t="s">
        <v>25</v>
      </c>
      <c r="G193" s="9" t="s">
        <v>26</v>
      </c>
      <c r="J193" s="9" t="s">
        <v>260</v>
      </c>
    </row>
    <row r="194" spans="1:10" s="9" customFormat="1" x14ac:dyDescent="0.35">
      <c r="A194" s="9" t="s">
        <v>269</v>
      </c>
      <c r="D194" s="9">
        <v>1.2541643501209581</v>
      </c>
      <c r="E194" s="9" t="s">
        <v>9</v>
      </c>
      <c r="F194" s="9" t="s">
        <v>25</v>
      </c>
      <c r="G194" s="9" t="s">
        <v>26</v>
      </c>
      <c r="J194" s="9" t="s">
        <v>260</v>
      </c>
    </row>
    <row r="195" spans="1:10" s="9" customFormat="1" x14ac:dyDescent="0.35">
      <c r="A195" s="9" t="s">
        <v>272</v>
      </c>
      <c r="D195" s="9">
        <v>0.97499999999999998</v>
      </c>
      <c r="E195" s="9" t="s">
        <v>9</v>
      </c>
      <c r="F195" s="9" t="s">
        <v>25</v>
      </c>
      <c r="G195" s="9" t="s">
        <v>26</v>
      </c>
      <c r="J195" s="9" t="s">
        <v>260</v>
      </c>
    </row>
    <row r="196" spans="1:10" s="9" customFormat="1" x14ac:dyDescent="0.35">
      <c r="A196" s="9" t="s">
        <v>242</v>
      </c>
      <c r="D196" s="9">
        <v>2.4999999999999981E-2</v>
      </c>
      <c r="E196" s="9" t="s">
        <v>9</v>
      </c>
      <c r="F196" s="9" t="s">
        <v>25</v>
      </c>
      <c r="G196" s="9" t="s">
        <v>26</v>
      </c>
      <c r="J196" s="9" t="s">
        <v>260</v>
      </c>
    </row>
    <row r="197" spans="1:10" s="9" customFormat="1" x14ac:dyDescent="0.35">
      <c r="A197" s="9" t="s">
        <v>272</v>
      </c>
      <c r="D197" s="9">
        <v>0.97499999999999998</v>
      </c>
      <c r="E197" s="9" t="s">
        <v>9</v>
      </c>
      <c r="F197" s="9" t="s">
        <v>25</v>
      </c>
      <c r="G197" s="9" t="s">
        <v>26</v>
      </c>
      <c r="J197" s="9" t="s">
        <v>260</v>
      </c>
    </row>
    <row r="198" spans="1:10" s="9" customFormat="1" x14ac:dyDescent="0.35">
      <c r="A198" s="9" t="s">
        <v>242</v>
      </c>
      <c r="D198" s="9">
        <v>2.4999999999999981E-2</v>
      </c>
      <c r="E198" s="9" t="s">
        <v>9</v>
      </c>
      <c r="F198" s="9" t="s">
        <v>25</v>
      </c>
      <c r="G198" s="9" t="s">
        <v>26</v>
      </c>
      <c r="J198" s="9" t="s">
        <v>260</v>
      </c>
    </row>
    <row r="199" spans="1:10" s="9" customFormat="1" x14ac:dyDescent="0.35">
      <c r="A199" s="9" t="s">
        <v>272</v>
      </c>
      <c r="D199" s="9">
        <v>1</v>
      </c>
      <c r="E199" s="9" t="s">
        <v>9</v>
      </c>
      <c r="F199" s="9" t="s">
        <v>25</v>
      </c>
      <c r="G199" s="9" t="s">
        <v>26</v>
      </c>
      <c r="J199" s="9" t="s">
        <v>260</v>
      </c>
    </row>
    <row r="200" spans="1:10" x14ac:dyDescent="0.35">
      <c r="A200" s="2" t="s">
        <v>80</v>
      </c>
      <c r="D200" s="2">
        <v>0.76415797267350072</v>
      </c>
      <c r="E200" s="2" t="s">
        <v>9</v>
      </c>
      <c r="F200" s="2" t="s">
        <v>81</v>
      </c>
      <c r="G200" s="2" t="s">
        <v>82</v>
      </c>
      <c r="H200" s="2" t="s">
        <v>83</v>
      </c>
      <c r="J200" s="2" t="s">
        <v>253</v>
      </c>
    </row>
    <row r="201" spans="1:10" x14ac:dyDescent="0.35">
      <c r="A201" s="2" t="s">
        <v>86</v>
      </c>
      <c r="D201" s="2">
        <v>0.12909742082424469</v>
      </c>
      <c r="E201" s="2" t="s">
        <v>9</v>
      </c>
      <c r="F201" s="2" t="s">
        <v>81</v>
      </c>
      <c r="G201" s="2" t="s">
        <v>82</v>
      </c>
      <c r="H201" s="2" t="s">
        <v>83</v>
      </c>
      <c r="J201" s="2" t="s">
        <v>253</v>
      </c>
    </row>
    <row r="202" spans="1:10" x14ac:dyDescent="0.35">
      <c r="A202" s="2" t="s">
        <v>85</v>
      </c>
      <c r="D202" s="2">
        <v>6.3407397302644771E-3</v>
      </c>
      <c r="E202" s="2" t="s">
        <v>9</v>
      </c>
      <c r="F202" s="2" t="s">
        <v>81</v>
      </c>
      <c r="G202" s="2" t="s">
        <v>82</v>
      </c>
      <c r="H202" s="2" t="s">
        <v>83</v>
      </c>
      <c r="J202" s="2" t="s">
        <v>253</v>
      </c>
    </row>
    <row r="203" spans="1:10" x14ac:dyDescent="0.35">
      <c r="A203" s="2" t="s">
        <v>87</v>
      </c>
      <c r="D203" s="2">
        <v>2.6510798518216299E-3</v>
      </c>
      <c r="E203" s="2" t="s">
        <v>9</v>
      </c>
      <c r="F203" s="2" t="s">
        <v>81</v>
      </c>
      <c r="G203" s="2" t="s">
        <v>82</v>
      </c>
      <c r="H203" s="2" t="s">
        <v>83</v>
      </c>
      <c r="J203" s="2" t="s">
        <v>253</v>
      </c>
    </row>
    <row r="204" spans="1:10" x14ac:dyDescent="0.35">
      <c r="A204" s="2" t="s">
        <v>164</v>
      </c>
      <c r="D204" s="2">
        <v>1.037392925318639E-3</v>
      </c>
      <c r="E204" s="2" t="s">
        <v>9</v>
      </c>
      <c r="F204" s="2" t="s">
        <v>81</v>
      </c>
      <c r="G204" s="2" t="s">
        <v>82</v>
      </c>
      <c r="H204" s="2" t="s">
        <v>83</v>
      </c>
      <c r="J204" s="2" t="s">
        <v>253</v>
      </c>
    </row>
    <row r="205" spans="1:10" x14ac:dyDescent="0.35">
      <c r="A205" s="2" t="s">
        <v>273</v>
      </c>
      <c r="D205" s="2">
        <v>0.2099403556610718</v>
      </c>
      <c r="E205" s="2" t="s">
        <v>9</v>
      </c>
      <c r="F205" s="2" t="s">
        <v>81</v>
      </c>
      <c r="G205" s="2" t="s">
        <v>82</v>
      </c>
      <c r="H205" s="2" t="s">
        <v>274</v>
      </c>
      <c r="J205" s="2" t="s">
        <v>260</v>
      </c>
    </row>
    <row r="206" spans="1:10" x14ac:dyDescent="0.35">
      <c r="A206" s="2" t="s">
        <v>80</v>
      </c>
      <c r="D206" s="2">
        <v>0.28861814105719891</v>
      </c>
      <c r="E206" s="2" t="s">
        <v>9</v>
      </c>
      <c r="F206" s="2" t="s">
        <v>81</v>
      </c>
      <c r="G206" s="2" t="s">
        <v>82</v>
      </c>
      <c r="H206" s="2" t="s">
        <v>83</v>
      </c>
      <c r="J206" s="2" t="s">
        <v>260</v>
      </c>
    </row>
    <row r="207" spans="1:10" x14ac:dyDescent="0.35">
      <c r="A207" s="2" t="s">
        <v>275</v>
      </c>
      <c r="D207" s="2">
        <v>0.4474848970882353</v>
      </c>
      <c r="E207" s="2" t="s">
        <v>9</v>
      </c>
      <c r="F207" s="2" t="s">
        <v>81</v>
      </c>
      <c r="G207" s="2" t="s">
        <v>82</v>
      </c>
      <c r="H207" s="2" t="s">
        <v>83</v>
      </c>
      <c r="J207" s="2" t="s">
        <v>260</v>
      </c>
    </row>
    <row r="208" spans="1:10" x14ac:dyDescent="0.35">
      <c r="A208" s="2" t="s">
        <v>276</v>
      </c>
      <c r="D208" s="2">
        <v>1.4418957795065359</v>
      </c>
      <c r="E208" s="2" t="s">
        <v>9</v>
      </c>
      <c r="F208" s="2" t="s">
        <v>81</v>
      </c>
      <c r="G208" s="2" t="s">
        <v>82</v>
      </c>
      <c r="H208" s="2" t="s">
        <v>83</v>
      </c>
      <c r="J208" s="2" t="s">
        <v>260</v>
      </c>
    </row>
    <row r="209" spans="1:14" x14ac:dyDescent="0.35">
      <c r="A209" s="2" t="s">
        <v>277</v>
      </c>
      <c r="D209" s="2">
        <v>0.30169387722487268</v>
      </c>
      <c r="E209" s="2" t="s">
        <v>9</v>
      </c>
      <c r="F209" s="2" t="s">
        <v>81</v>
      </c>
      <c r="G209" s="2" t="s">
        <v>82</v>
      </c>
      <c r="H209" s="2" t="s">
        <v>83</v>
      </c>
      <c r="J209" s="2" t="s">
        <v>260</v>
      </c>
    </row>
    <row r="210" spans="1:14" x14ac:dyDescent="0.35">
      <c r="A210" s="2" t="s">
        <v>155</v>
      </c>
      <c r="D210" s="2">
        <v>0.20331383322477001</v>
      </c>
      <c r="E210" s="2" t="s">
        <v>40</v>
      </c>
      <c r="F210" s="2" t="s">
        <v>81</v>
      </c>
      <c r="G210" s="2" t="s">
        <v>82</v>
      </c>
      <c r="H210" s="2" t="s">
        <v>83</v>
      </c>
      <c r="J210" s="2" t="s">
        <v>260</v>
      </c>
    </row>
    <row r="211" spans="1:14" x14ac:dyDescent="0.35">
      <c r="A211" s="2" t="s">
        <v>155</v>
      </c>
      <c r="D211" s="2">
        <v>9.6574103804706408E-5</v>
      </c>
      <c r="E211" s="2" t="s">
        <v>40</v>
      </c>
      <c r="F211" s="2" t="s">
        <v>81</v>
      </c>
      <c r="G211" s="2" t="s">
        <v>82</v>
      </c>
      <c r="H211" s="2" t="s">
        <v>83</v>
      </c>
      <c r="J211" s="2" t="s">
        <v>260</v>
      </c>
    </row>
    <row r="212" spans="1:14" x14ac:dyDescent="0.35">
      <c r="A212" s="2" t="s">
        <v>278</v>
      </c>
      <c r="D212" s="2">
        <v>0.18259024631625251</v>
      </c>
      <c r="E212" s="2" t="s">
        <v>9</v>
      </c>
      <c r="F212" s="2" t="s">
        <v>81</v>
      </c>
      <c r="G212" s="2" t="s">
        <v>82</v>
      </c>
      <c r="H212" s="2" t="s">
        <v>83</v>
      </c>
      <c r="J212" s="2" t="s">
        <v>260</v>
      </c>
    </row>
    <row r="213" spans="1:14" s="10" customFormat="1" x14ac:dyDescent="0.35"/>
    <row r="214" spans="1:14" x14ac:dyDescent="0.35">
      <c r="A214" s="3" t="s">
        <v>0</v>
      </c>
      <c r="B214" s="3" t="s">
        <v>279</v>
      </c>
    </row>
    <row r="215" spans="1:14" x14ac:dyDescent="0.35">
      <c r="A215" s="8" t="s">
        <v>2</v>
      </c>
      <c r="B215" s="2" t="s">
        <v>3</v>
      </c>
    </row>
    <row r="216" spans="1:14" x14ac:dyDescent="0.35">
      <c r="A216" s="8" t="s">
        <v>4</v>
      </c>
      <c r="B216" s="2" t="s">
        <v>127</v>
      </c>
    </row>
    <row r="217" spans="1:14" x14ac:dyDescent="0.35">
      <c r="A217" s="8" t="s">
        <v>6</v>
      </c>
      <c r="B217" s="2">
        <v>1</v>
      </c>
    </row>
    <row r="218" spans="1:14" x14ac:dyDescent="0.35">
      <c r="A218" s="8" t="s">
        <v>8</v>
      </c>
      <c r="B218" s="2" t="s">
        <v>9</v>
      </c>
    </row>
    <row r="219" spans="1:14" x14ac:dyDescent="0.35">
      <c r="A219" s="8" t="s">
        <v>10</v>
      </c>
      <c r="B219" s="9" t="s">
        <v>287</v>
      </c>
    </row>
    <row r="220" spans="1:14" x14ac:dyDescent="0.35">
      <c r="A220" s="8" t="s">
        <v>12</v>
      </c>
    </row>
    <row r="221" spans="1:14" x14ac:dyDescent="0.35">
      <c r="A221" s="3" t="s">
        <v>13</v>
      </c>
      <c r="B221" s="3" t="s">
        <v>2</v>
      </c>
      <c r="C221" s="3" t="s">
        <v>4</v>
      </c>
      <c r="D221" s="3" t="s">
        <v>6</v>
      </c>
      <c r="E221" s="3" t="s">
        <v>8</v>
      </c>
      <c r="F221" s="3" t="s">
        <v>14</v>
      </c>
      <c r="G221" s="3" t="s">
        <v>15</v>
      </c>
      <c r="H221" s="3" t="s">
        <v>16</v>
      </c>
      <c r="I221" s="3" t="s">
        <v>17</v>
      </c>
      <c r="J221" s="3" t="s">
        <v>18</v>
      </c>
      <c r="K221" s="3" t="s">
        <v>19</v>
      </c>
      <c r="L221" s="3" t="s">
        <v>20</v>
      </c>
      <c r="M221" s="3" t="s">
        <v>21</v>
      </c>
      <c r="N221" s="3" t="s">
        <v>22</v>
      </c>
    </row>
    <row r="222" spans="1:14" x14ac:dyDescent="0.35">
      <c r="A222" s="2" t="str">
        <f>B214</f>
        <v>VTM ore mining and V2O5 production in South Africa/Mapochs Mine</v>
      </c>
      <c r="B222" s="2" t="str">
        <f>B215</f>
        <v>V2O5</v>
      </c>
      <c r="C222" s="2" t="str">
        <f>B216</f>
        <v>ZA</v>
      </c>
      <c r="D222" s="2">
        <v>1</v>
      </c>
      <c r="E222" s="2" t="s">
        <v>9</v>
      </c>
      <c r="F222" s="9" t="str">
        <f>F158</f>
        <v>Vanadium</v>
      </c>
      <c r="G222" s="2" t="s">
        <v>23</v>
      </c>
    </row>
    <row r="223" spans="1:14" x14ac:dyDescent="0.35">
      <c r="A223" s="2" t="str">
        <f>A158</f>
        <v>[P] Vanadium pentoxide (V2O5) production</v>
      </c>
      <c r="B223" s="2" t="str">
        <f t="shared" ref="B223:F223" si="0">B158</f>
        <v>V2O5</v>
      </c>
      <c r="C223" s="2" t="str">
        <f t="shared" si="0"/>
        <v>ZA</v>
      </c>
      <c r="D223" s="2">
        <f>D158</f>
        <v>1</v>
      </c>
      <c r="E223" s="2" t="str">
        <f t="shared" si="0"/>
        <v>kilogram</v>
      </c>
      <c r="F223" s="9" t="str">
        <f t="shared" si="0"/>
        <v>Vanadium</v>
      </c>
      <c r="G223" s="2" t="s">
        <v>26</v>
      </c>
    </row>
    <row r="224" spans="1:14" x14ac:dyDescent="0.35">
      <c r="A224" s="2" t="str">
        <f>A117</f>
        <v>[R] Steel production</v>
      </c>
      <c r="B224" s="2" t="str">
        <f t="shared" ref="B224:F224" si="1">B117</f>
        <v>Vanadium (V) slag</v>
      </c>
      <c r="C224" s="2" t="str">
        <f t="shared" si="1"/>
        <v>ZA</v>
      </c>
      <c r="D224" s="2">
        <f>D159+D160</f>
        <v>4.7621140891687412</v>
      </c>
      <c r="E224" s="2" t="str">
        <f t="shared" si="1"/>
        <v>kilogram</v>
      </c>
      <c r="F224" s="9" t="str">
        <f t="shared" si="1"/>
        <v>Vanadium</v>
      </c>
      <c r="G224" s="2" t="s">
        <v>26</v>
      </c>
    </row>
    <row r="225" spans="1:14" x14ac:dyDescent="0.35">
      <c r="A225" s="2" t="str">
        <f>A9</f>
        <v>[M+C+P] Iron (Fe) production</v>
      </c>
      <c r="B225" s="2" t="str">
        <f t="shared" ref="B225:F225" si="2">B9</f>
        <v xml:space="preserve">Fe </v>
      </c>
      <c r="C225" s="2" t="str">
        <f t="shared" si="2"/>
        <v>ZA</v>
      </c>
      <c r="D225" s="9">
        <f>(D118/(D130+D131))*D224</f>
        <v>56.323074788932786</v>
      </c>
      <c r="E225" s="2" t="str">
        <f t="shared" si="2"/>
        <v>kilogram</v>
      </c>
      <c r="F225" s="9" t="str">
        <f t="shared" si="2"/>
        <v>Vanadium</v>
      </c>
      <c r="G225" s="2" t="s">
        <v>26</v>
      </c>
    </row>
    <row r="226" spans="1:14" s="10" customFormat="1" x14ac:dyDescent="0.35"/>
    <row r="227" spans="1:14" x14ac:dyDescent="0.35">
      <c r="A227" s="3" t="s">
        <v>0</v>
      </c>
      <c r="B227" s="3" t="s">
        <v>280</v>
      </c>
    </row>
    <row r="228" spans="1:14" x14ac:dyDescent="0.35">
      <c r="A228" s="8" t="s">
        <v>2</v>
      </c>
      <c r="B228" s="2" t="s">
        <v>55</v>
      </c>
    </row>
    <row r="229" spans="1:14" x14ac:dyDescent="0.35">
      <c r="A229" s="8" t="s">
        <v>4</v>
      </c>
      <c r="B229" s="2" t="s">
        <v>127</v>
      </c>
    </row>
    <row r="230" spans="1:14" x14ac:dyDescent="0.35">
      <c r="A230" s="8" t="s">
        <v>6</v>
      </c>
      <c r="B230" s="2">
        <v>1</v>
      </c>
    </row>
    <row r="231" spans="1:14" x14ac:dyDescent="0.35">
      <c r="A231" s="8" t="s">
        <v>8</v>
      </c>
      <c r="B231" s="2" t="s">
        <v>9</v>
      </c>
    </row>
    <row r="232" spans="1:14" x14ac:dyDescent="0.35">
      <c r="A232" s="8" t="s">
        <v>10</v>
      </c>
      <c r="B232" s="2" t="s">
        <v>56</v>
      </c>
    </row>
    <row r="233" spans="1:14" x14ac:dyDescent="0.35">
      <c r="A233" s="8" t="s">
        <v>12</v>
      </c>
    </row>
    <row r="234" spans="1:14" x14ac:dyDescent="0.35">
      <c r="A234" s="3" t="s">
        <v>13</v>
      </c>
      <c r="B234" s="3" t="s">
        <v>2</v>
      </c>
      <c r="C234" s="3" t="s">
        <v>4</v>
      </c>
      <c r="D234" s="3" t="s">
        <v>6</v>
      </c>
      <c r="E234" s="3" t="s">
        <v>8</v>
      </c>
      <c r="F234" s="3" t="s">
        <v>14</v>
      </c>
      <c r="G234" s="3" t="s">
        <v>15</v>
      </c>
      <c r="H234" s="3" t="s">
        <v>16</v>
      </c>
      <c r="I234" s="3" t="s">
        <v>17</v>
      </c>
      <c r="J234" s="3" t="s">
        <v>18</v>
      </c>
      <c r="K234" s="3" t="s">
        <v>19</v>
      </c>
      <c r="L234" s="3" t="s">
        <v>20</v>
      </c>
      <c r="M234" s="3" t="s">
        <v>21</v>
      </c>
      <c r="N234" s="3" t="s">
        <v>22</v>
      </c>
    </row>
    <row r="235" spans="1:14" x14ac:dyDescent="0.35">
      <c r="A235" s="2" t="s">
        <v>280</v>
      </c>
      <c r="B235" s="2" t="s">
        <v>55</v>
      </c>
      <c r="C235" s="2" t="s">
        <v>127</v>
      </c>
      <c r="D235" s="2" t="s">
        <v>7</v>
      </c>
      <c r="E235" s="2" t="s">
        <v>9</v>
      </c>
      <c r="F235" s="9" t="str">
        <f>F222</f>
        <v>Vanadium</v>
      </c>
      <c r="G235" s="2" t="s">
        <v>23</v>
      </c>
    </row>
    <row r="236" spans="1:14" x14ac:dyDescent="0.35">
      <c r="A236" s="2" t="str">
        <f>A158</f>
        <v>[P] Vanadium pentoxide (V2O5) production</v>
      </c>
      <c r="B236" s="2" t="str">
        <f t="shared" ref="B236:F236" si="3">B158</f>
        <v>V2O5</v>
      </c>
      <c r="C236" s="2" t="str">
        <f t="shared" si="3"/>
        <v>ZA</v>
      </c>
      <c r="D236" s="2">
        <f>D223/(56.02/100)</f>
        <v>1.7850767583006069</v>
      </c>
      <c r="E236" s="2" t="str">
        <f t="shared" si="3"/>
        <v>kilogram</v>
      </c>
      <c r="F236" s="9" t="str">
        <f t="shared" si="3"/>
        <v>Vanadium</v>
      </c>
      <c r="G236" s="2" t="s">
        <v>26</v>
      </c>
    </row>
    <row r="237" spans="1:14" x14ac:dyDescent="0.35">
      <c r="A237" s="2" t="str">
        <f>A117</f>
        <v>[R] Steel production</v>
      </c>
      <c r="B237" s="2" t="str">
        <f t="shared" ref="B237:F237" si="4">B117</f>
        <v>Vanadium (V) slag</v>
      </c>
      <c r="C237" s="2" t="str">
        <f t="shared" si="4"/>
        <v>ZA</v>
      </c>
      <c r="D237" s="2">
        <f>D224/(56.02/100)</f>
        <v>8.5007391809509834</v>
      </c>
      <c r="E237" s="2" t="str">
        <f t="shared" si="4"/>
        <v>kilogram</v>
      </c>
      <c r="F237" s="9" t="str">
        <f t="shared" si="4"/>
        <v>Vanadium</v>
      </c>
      <c r="G237" s="2" t="s">
        <v>26</v>
      </c>
    </row>
    <row r="238" spans="1:14" x14ac:dyDescent="0.35">
      <c r="A238" s="2" t="str">
        <f>A9</f>
        <v>[M+C+P] Iron (Fe) production</v>
      </c>
      <c r="B238" s="2" t="str">
        <f t="shared" ref="B238:F238" si="5">B9</f>
        <v xml:space="preserve">Fe </v>
      </c>
      <c r="C238" s="2" t="str">
        <f t="shared" si="5"/>
        <v>ZA</v>
      </c>
      <c r="D238" s="9">
        <f>D225/(56.02/100)</f>
        <v>100.54101176175077</v>
      </c>
      <c r="E238" s="2" t="str">
        <f t="shared" si="5"/>
        <v>kilogram</v>
      </c>
      <c r="F238" s="9" t="str">
        <f t="shared" si="5"/>
        <v>Vanadium</v>
      </c>
      <c r="G238" s="2" t="s">
        <v>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Props1.xml><?xml version="1.0" encoding="utf-8"?>
<ds:datastoreItem xmlns:ds="http://schemas.openxmlformats.org/officeDocument/2006/customXml" ds:itemID="{095A6598-DB14-4CC5-9F5A-83A01E2C9F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0E5F8A-6B04-4A26-9C7C-A42FDF640E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6AFCD2-B60E-4283-AD49-084B1EF57081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Note</vt:lpstr>
      <vt:lpstr>V_Market_GLO</vt:lpstr>
      <vt:lpstr>PR1_V2O5_CN_CaRoasting</vt:lpstr>
      <vt:lpstr>PR2_V2O5_CN_SubMolten</vt:lpstr>
      <vt:lpstr>PR3_V2O5_CN_PanSteel</vt:lpstr>
      <vt:lpstr>PR3_V2O5_CN_PanSteel_Unallo</vt:lpstr>
      <vt:lpstr>PR4_V2O5_ZA_Mapochs</vt:lpstr>
      <vt:lpstr>PR4_V2O5_ZA_Mapochs_Unallo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2025-06-30T14:20:58Z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