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Fe_Iron/"/>
    </mc:Choice>
  </mc:AlternateContent>
  <xr:revisionPtr revIDLastSave="193" documentId="8_{B3DF3029-223A-4BE5-BC97-540480211356}" xr6:coauthVersionLast="47" xr6:coauthVersionMax="47" xr10:uidLastSave="{82993B67-270A-429E-AC8F-3093F19ED6DD}"/>
  <bookViews>
    <workbookView xWindow="-110" yWindow="-110" windowWidth="19420" windowHeight="10420" tabRatio="830" xr2:uid="{00000000-000D-0000-FFFF-FFFF00000000}"/>
  </bookViews>
  <sheets>
    <sheet name="Note" sheetId="1" r:id="rId1"/>
    <sheet name="Fe_Market_GLO" sheetId="18" r:id="rId2"/>
    <sheet name="FeMine_Market_GLO" sheetId="23" r:id="rId3"/>
    <sheet name="PR1_CrudeSteel_BR" sheetId="19" r:id="rId4"/>
    <sheet name="PR2_SteelAHSS_CN" sheetId="4" r:id="rId5"/>
    <sheet name="PR3_Steel_CN_Shandong" sheetId="5" r:id="rId6"/>
    <sheet name="PR4_CrudeSteel_CN" sheetId="6" r:id="rId7"/>
    <sheet name="PR5_FeLiquid_CN" sheetId="7" r:id="rId8"/>
    <sheet name="PR6_Steel_IT" sheetId="8" r:id="rId9"/>
    <sheet name="PR7_CrudeSteel_IN" sheetId="13" r:id="rId10"/>
    <sheet name="PR8_CrudeSteel_DE" sheetId="14" r:id="rId11"/>
    <sheet name="PR9_CrudeSteel_KR" sheetId="21" r:id="rId12"/>
    <sheet name="PR10_CrudeSteel_RU" sheetId="16" r:id="rId13"/>
    <sheet name="PR11_CrudeSteel_TR" sheetId="17" r:id="rId14"/>
    <sheet name="PR12_Fe_CN_Recycling_CDW" sheetId="24" r:id="rId15"/>
    <sheet name="PR13_Fe_CN_Recycling_ELV" sheetId="2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8" l="1"/>
  <c r="C24" i="18"/>
  <c r="E24" i="18"/>
  <c r="F24" i="18"/>
  <c r="A24" i="18"/>
  <c r="B23" i="18"/>
  <c r="C23" i="18"/>
  <c r="E23" i="18"/>
  <c r="F23" i="18"/>
  <c r="A23" i="18"/>
  <c r="B22" i="18"/>
  <c r="C22" i="18"/>
  <c r="E22" i="18"/>
  <c r="F22" i="18"/>
  <c r="A22" i="18"/>
  <c r="B21" i="18"/>
  <c r="C21" i="18"/>
  <c r="E21" i="18"/>
  <c r="F21" i="18"/>
  <c r="A21" i="18"/>
  <c r="B20" i="18"/>
  <c r="C20" i="18"/>
  <c r="E20" i="18"/>
  <c r="F20" i="18"/>
  <c r="A20" i="18"/>
  <c r="B19" i="18"/>
  <c r="C19" i="18"/>
  <c r="E19" i="18"/>
  <c r="F19" i="18"/>
  <c r="A19" i="18"/>
  <c r="B18" i="18"/>
  <c r="C18" i="18"/>
  <c r="E18" i="18"/>
  <c r="F18" i="18"/>
  <c r="A18" i="18"/>
  <c r="B17" i="18"/>
  <c r="C17" i="18"/>
  <c r="E17" i="18"/>
  <c r="F17" i="18"/>
  <c r="A17" i="18"/>
  <c r="B16" i="18"/>
  <c r="C16" i="18"/>
  <c r="E16" i="18"/>
  <c r="F16" i="18"/>
  <c r="A16" i="18"/>
  <c r="B15" i="18"/>
  <c r="C15" i="18"/>
  <c r="E15" i="18"/>
  <c r="F15" i="18"/>
  <c r="A15" i="18"/>
  <c r="B14" i="18"/>
  <c r="C14" i="18"/>
  <c r="E14" i="18"/>
  <c r="F14" i="18"/>
  <c r="A14" i="18"/>
  <c r="B13" i="18"/>
  <c r="C13" i="18"/>
  <c r="E13" i="18"/>
  <c r="F13" i="18"/>
  <c r="A13" i="18"/>
  <c r="B12" i="18"/>
  <c r="C12" i="18"/>
  <c r="E12" i="18"/>
  <c r="F12" i="18"/>
  <c r="A12" i="18"/>
  <c r="F36" i="24"/>
  <c r="F9" i="25"/>
  <c r="F19" i="25" s="1"/>
  <c r="F35" i="25" s="1"/>
  <c r="E39" i="25"/>
  <c r="C39" i="25"/>
  <c r="E38" i="25"/>
  <c r="C38" i="25"/>
  <c r="B35" i="25"/>
  <c r="A35" i="25"/>
  <c r="B19" i="25"/>
  <c r="B38" i="25" s="1"/>
  <c r="A19" i="25"/>
  <c r="A38" i="25" s="1"/>
  <c r="B9" i="25"/>
  <c r="B39" i="25" s="1"/>
  <c r="A9" i="25"/>
  <c r="A39" i="25" s="1"/>
  <c r="F39" i="25" l="1"/>
  <c r="F38" i="25"/>
  <c r="F9" i="24" l="1"/>
  <c r="F40" i="24" s="1"/>
  <c r="E40" i="24"/>
  <c r="C40" i="24"/>
  <c r="E39" i="24"/>
  <c r="C39" i="24"/>
  <c r="B36" i="24"/>
  <c r="A36" i="24"/>
  <c r="B19" i="24"/>
  <c r="B39" i="24" s="1"/>
  <c r="A19" i="24"/>
  <c r="A39" i="24" s="1"/>
  <c r="B9" i="24"/>
  <c r="B40" i="24" s="1"/>
  <c r="A9" i="24"/>
  <c r="A40" i="24" s="1"/>
  <c r="F19" i="24" l="1"/>
  <c r="F39" i="24" s="1"/>
  <c r="E88" i="23" l="1"/>
  <c r="E87" i="23"/>
  <c r="E86" i="23"/>
  <c r="E85" i="23"/>
  <c r="E84" i="23"/>
  <c r="E83" i="23"/>
  <c r="E82" i="23"/>
  <c r="E31" i="16" s="1"/>
  <c r="C82" i="23"/>
  <c r="C141" i="8" s="1"/>
  <c r="B82" i="23"/>
  <c r="B141" i="8" s="1"/>
  <c r="A82" i="23"/>
  <c r="A141" i="8" s="1"/>
  <c r="C64" i="23"/>
  <c r="C88" i="23" s="1"/>
  <c r="B64" i="23"/>
  <c r="B88" i="23" s="1"/>
  <c r="A64" i="23"/>
  <c r="A88" i="23" s="1"/>
  <c r="C46" i="23"/>
  <c r="C87" i="23" s="1"/>
  <c r="B46" i="23"/>
  <c r="B87" i="23" s="1"/>
  <c r="A46" i="23"/>
  <c r="A87" i="23" s="1"/>
  <c r="C28" i="23"/>
  <c r="C86" i="23" s="1"/>
  <c r="B28" i="23"/>
  <c r="B86" i="23" s="1"/>
  <c r="A28" i="23"/>
  <c r="A86" i="23" s="1"/>
  <c r="F9" i="23"/>
  <c r="F85" i="23" s="1"/>
  <c r="C9" i="23"/>
  <c r="C85" i="23" s="1"/>
  <c r="B9" i="23"/>
  <c r="B85" i="23" s="1"/>
  <c r="A9" i="23"/>
  <c r="A85" i="23" s="1"/>
  <c r="E141" i="8" l="1"/>
  <c r="A29" i="21"/>
  <c r="B29" i="21"/>
  <c r="E29" i="21"/>
  <c r="F28" i="23"/>
  <c r="C29" i="21"/>
  <c r="A31" i="16"/>
  <c r="C31" i="16"/>
  <c r="B31" i="16"/>
  <c r="E49" i="17"/>
  <c r="F49" i="17"/>
  <c r="A49" i="17"/>
  <c r="C48" i="17"/>
  <c r="B48" i="17"/>
  <c r="A48" i="17"/>
  <c r="F9" i="17"/>
  <c r="F48" i="17" s="1"/>
  <c r="C9" i="17"/>
  <c r="C49" i="17" s="1"/>
  <c r="B9" i="17"/>
  <c r="B49" i="17" s="1"/>
  <c r="A9" i="17"/>
  <c r="B30" i="16"/>
  <c r="E30" i="16"/>
  <c r="F30" i="16"/>
  <c r="F29" i="16"/>
  <c r="C29" i="16"/>
  <c r="B29" i="16"/>
  <c r="A29" i="16"/>
  <c r="F9" i="16"/>
  <c r="C9" i="16"/>
  <c r="C30" i="16" s="1"/>
  <c r="B9" i="16"/>
  <c r="A9" i="16"/>
  <c r="A30" i="16" s="1"/>
  <c r="E28" i="21"/>
  <c r="C28" i="21"/>
  <c r="A28" i="21"/>
  <c r="C27" i="21"/>
  <c r="B27" i="21"/>
  <c r="A27" i="21"/>
  <c r="F9" i="21"/>
  <c r="F28" i="21" s="1"/>
  <c r="C9" i="21"/>
  <c r="B9" i="21"/>
  <c r="B28" i="21" s="1"/>
  <c r="A9" i="21"/>
  <c r="E42" i="14"/>
  <c r="C41" i="14"/>
  <c r="B41" i="14"/>
  <c r="A41" i="14"/>
  <c r="F9" i="14"/>
  <c r="F41" i="14" s="1"/>
  <c r="C9" i="14"/>
  <c r="C42" i="14" s="1"/>
  <c r="B9" i="14"/>
  <c r="B42" i="14" s="1"/>
  <c r="A9" i="14"/>
  <c r="A42" i="14" s="1"/>
  <c r="C35" i="13"/>
  <c r="E35" i="13"/>
  <c r="C34" i="13"/>
  <c r="B34" i="13"/>
  <c r="A34" i="13"/>
  <c r="F9" i="13"/>
  <c r="F35" i="13" s="1"/>
  <c r="C9" i="13"/>
  <c r="B9" i="13"/>
  <c r="B35" i="13" s="1"/>
  <c r="A9" i="13"/>
  <c r="A35" i="13" s="1"/>
  <c r="A38" i="24" l="1"/>
  <c r="A37" i="25"/>
  <c r="F38" i="24"/>
  <c r="F37" i="25"/>
  <c r="C37" i="25"/>
  <c r="C38" i="24"/>
  <c r="B37" i="25"/>
  <c r="B38" i="24"/>
  <c r="E38" i="24"/>
  <c r="E37" i="25"/>
  <c r="F42" i="14"/>
  <c r="F36" i="25" s="1"/>
  <c r="A36" i="25"/>
  <c r="A37" i="24"/>
  <c r="B37" i="24"/>
  <c r="B36" i="25"/>
  <c r="C37" i="24"/>
  <c r="C36" i="25"/>
  <c r="E36" i="25"/>
  <c r="E37" i="24"/>
  <c r="F34" i="13"/>
  <c r="F86" i="23"/>
  <c r="F46" i="23"/>
  <c r="F27" i="21"/>
  <c r="E140" i="8"/>
  <c r="E138" i="8"/>
  <c r="C137" i="8"/>
  <c r="B137" i="8"/>
  <c r="A137" i="8"/>
  <c r="C102" i="8"/>
  <c r="C14" i="8" s="1"/>
  <c r="B102" i="8"/>
  <c r="B47" i="8" s="1"/>
  <c r="A102" i="8"/>
  <c r="A14" i="8" s="1"/>
  <c r="C72" i="8"/>
  <c r="C138" i="8" s="1"/>
  <c r="B72" i="8"/>
  <c r="B138" i="8" s="1"/>
  <c r="A72" i="8"/>
  <c r="A138" i="8" s="1"/>
  <c r="E41" i="8"/>
  <c r="E139" i="8" s="1"/>
  <c r="C41" i="8"/>
  <c r="C139" i="8" s="1"/>
  <c r="B41" i="8"/>
  <c r="B139" i="8" s="1"/>
  <c r="A41" i="8"/>
  <c r="A139" i="8" s="1"/>
  <c r="F9" i="8"/>
  <c r="F140" i="8" s="1"/>
  <c r="C9" i="8"/>
  <c r="C140" i="8" s="1"/>
  <c r="B9" i="8"/>
  <c r="B140" i="8" s="1"/>
  <c r="A9" i="8"/>
  <c r="A140" i="8" s="1"/>
  <c r="F37" i="24" l="1"/>
  <c r="B14" i="8"/>
  <c r="A47" i="8"/>
  <c r="C47" i="8"/>
  <c r="F41" i="8"/>
  <c r="F72" i="8" s="1"/>
  <c r="F138" i="8" s="1"/>
  <c r="F139" i="8"/>
  <c r="F64" i="23"/>
  <c r="F87" i="23"/>
  <c r="F102" i="8" l="1"/>
  <c r="F14" i="8" s="1"/>
  <c r="F82" i="23"/>
  <c r="F88" i="23"/>
  <c r="E77" i="7"/>
  <c r="B79" i="7"/>
  <c r="E79" i="7"/>
  <c r="E78" i="7"/>
  <c r="C76" i="7"/>
  <c r="B76" i="7"/>
  <c r="A76" i="7"/>
  <c r="C55" i="7"/>
  <c r="C34" i="7" s="1"/>
  <c r="B55" i="7"/>
  <c r="B34" i="7" s="1"/>
  <c r="A55" i="7"/>
  <c r="A34" i="7" s="1"/>
  <c r="C33" i="7"/>
  <c r="C78" i="7" s="1"/>
  <c r="B33" i="7"/>
  <c r="B78" i="7" s="1"/>
  <c r="A33" i="7"/>
  <c r="A78" i="7" s="1"/>
  <c r="F9" i="7"/>
  <c r="F33" i="7" s="1"/>
  <c r="F55" i="7" s="1"/>
  <c r="F34" i="7" s="1"/>
  <c r="C9" i="7"/>
  <c r="C79" i="7" s="1"/>
  <c r="B9" i="7"/>
  <c r="A9" i="7"/>
  <c r="A79" i="7" s="1"/>
  <c r="E151" i="6"/>
  <c r="E150" i="6"/>
  <c r="E149" i="6"/>
  <c r="E148" i="6"/>
  <c r="E147" i="6"/>
  <c r="C146" i="6"/>
  <c r="B146" i="6"/>
  <c r="A146" i="6"/>
  <c r="C122" i="6"/>
  <c r="C62" i="6" s="1"/>
  <c r="B122" i="6"/>
  <c r="B62" i="6" s="1"/>
  <c r="A122" i="6"/>
  <c r="A87" i="6" s="1"/>
  <c r="C102" i="6"/>
  <c r="B102" i="6"/>
  <c r="A102" i="6"/>
  <c r="C80" i="6"/>
  <c r="C147" i="6" s="1"/>
  <c r="B80" i="6"/>
  <c r="B147" i="6" s="1"/>
  <c r="A80" i="6"/>
  <c r="A147" i="6" s="1"/>
  <c r="C56" i="6"/>
  <c r="C148" i="6" s="1"/>
  <c r="B56" i="6"/>
  <c r="B148" i="6" s="1"/>
  <c r="A56" i="6"/>
  <c r="A148" i="6" s="1"/>
  <c r="C31" i="6"/>
  <c r="C149" i="6" s="1"/>
  <c r="B31" i="6"/>
  <c r="B149" i="6" s="1"/>
  <c r="A31" i="6"/>
  <c r="A149" i="6" s="1"/>
  <c r="F9" i="6"/>
  <c r="F150" i="6" s="1"/>
  <c r="C9" i="6"/>
  <c r="C150" i="6" s="1"/>
  <c r="B9" i="6"/>
  <c r="B150" i="6" s="1"/>
  <c r="A9" i="6"/>
  <c r="A150" i="6" s="1"/>
  <c r="F47" i="8" l="1"/>
  <c r="F137" i="8"/>
  <c r="F76" i="7"/>
  <c r="F78" i="7"/>
  <c r="F79" i="7"/>
  <c r="C87" i="6"/>
  <c r="B87" i="6"/>
  <c r="F31" i="6"/>
  <c r="F56" i="6" s="1"/>
  <c r="F148" i="6" s="1"/>
  <c r="A62" i="6"/>
  <c r="F31" i="16"/>
  <c r="F29" i="21"/>
  <c r="F141" i="8"/>
  <c r="E128" i="5"/>
  <c r="A128" i="5"/>
  <c r="E127" i="5"/>
  <c r="E126" i="5"/>
  <c r="E125" i="5"/>
  <c r="C106" i="5"/>
  <c r="B106" i="5"/>
  <c r="A106" i="5"/>
  <c r="C61" i="5"/>
  <c r="C77" i="7" s="1"/>
  <c r="B61" i="5"/>
  <c r="B77" i="7" s="1"/>
  <c r="A61" i="5"/>
  <c r="A77" i="7" s="1"/>
  <c r="C30" i="5"/>
  <c r="C126" i="5" s="1"/>
  <c r="B30" i="5"/>
  <c r="B126" i="5" s="1"/>
  <c r="A30" i="5"/>
  <c r="A126" i="5" s="1"/>
  <c r="F9" i="5"/>
  <c r="F127" i="5" s="1"/>
  <c r="C9" i="5"/>
  <c r="C127" i="5" s="1"/>
  <c r="B9" i="5"/>
  <c r="B127" i="5" s="1"/>
  <c r="A9" i="5"/>
  <c r="A127" i="5" s="1"/>
  <c r="E58" i="4"/>
  <c r="E80" i="7" s="1"/>
  <c r="F58" i="4"/>
  <c r="F80" i="7" s="1"/>
  <c r="E57" i="4"/>
  <c r="C56" i="4"/>
  <c r="B56" i="4"/>
  <c r="A56" i="4"/>
  <c r="F9" i="4"/>
  <c r="C9" i="4"/>
  <c r="B9" i="4"/>
  <c r="B58" i="4" s="1"/>
  <c r="B80" i="7" s="1"/>
  <c r="A9" i="4"/>
  <c r="F29" i="4"/>
  <c r="F57" i="4" s="1"/>
  <c r="C29" i="4"/>
  <c r="C57" i="4" s="1"/>
  <c r="B29" i="4"/>
  <c r="B57" i="4" s="1"/>
  <c r="A29" i="4"/>
  <c r="A57" i="4" s="1"/>
  <c r="E95" i="19"/>
  <c r="E94" i="19"/>
  <c r="B94" i="19"/>
  <c r="C93" i="19"/>
  <c r="B93" i="19"/>
  <c r="A93" i="19"/>
  <c r="F53" i="19"/>
  <c r="F94" i="19" s="1"/>
  <c r="C53" i="19"/>
  <c r="C94" i="19" s="1"/>
  <c r="B53" i="19"/>
  <c r="A53" i="19"/>
  <c r="A94" i="19" s="1"/>
  <c r="F9" i="19"/>
  <c r="F83" i="23" s="1"/>
  <c r="C9" i="19"/>
  <c r="B9" i="19"/>
  <c r="A9" i="19"/>
  <c r="F80" i="6" l="1"/>
  <c r="F102" i="6" s="1"/>
  <c r="F122" i="6" s="1"/>
  <c r="F149" i="6"/>
  <c r="A125" i="5"/>
  <c r="C125" i="5"/>
  <c r="F30" i="5"/>
  <c r="F126" i="5" s="1"/>
  <c r="B125" i="5"/>
  <c r="A39" i="5"/>
  <c r="A16" i="5"/>
  <c r="B16" i="5"/>
  <c r="B39" i="5"/>
  <c r="C16" i="5"/>
  <c r="C39" i="5"/>
  <c r="F56" i="4"/>
  <c r="C84" i="23"/>
  <c r="C151" i="6"/>
  <c r="B84" i="23"/>
  <c r="B151" i="6"/>
  <c r="F84" i="23"/>
  <c r="F151" i="6"/>
  <c r="C58" i="4"/>
  <c r="C80" i="7" s="1"/>
  <c r="F128" i="5"/>
  <c r="C128" i="5"/>
  <c r="B128" i="5"/>
  <c r="A58" i="4"/>
  <c r="A80" i="7" s="1"/>
  <c r="A84" i="23"/>
  <c r="A151" i="6"/>
  <c r="F93" i="19"/>
  <c r="A95" i="19"/>
  <c r="A83" i="23"/>
  <c r="B95" i="19"/>
  <c r="B83" i="23"/>
  <c r="C95" i="19"/>
  <c r="C83" i="23"/>
  <c r="F95" i="19"/>
  <c r="F11" i="18"/>
  <c r="E11" i="18"/>
  <c r="C11" i="18"/>
  <c r="B11" i="18"/>
  <c r="A11" i="18"/>
  <c r="F147" i="6" l="1"/>
  <c r="F87" i="6"/>
  <c r="F62" i="6"/>
  <c r="F146" i="6"/>
  <c r="F61" i="5"/>
  <c r="F125" i="5" s="1"/>
  <c r="F77" i="7" l="1"/>
  <c r="F106" i="5"/>
  <c r="F16" i="5" s="1"/>
  <c r="F124" i="5" l="1"/>
  <c r="F39" i="5"/>
</calcChain>
</file>

<file path=xl/sharedStrings.xml><?xml version="1.0" encoding="utf-8"?>
<sst xmlns="http://schemas.openxmlformats.org/spreadsheetml/2006/main" count="4747" uniqueCount="370">
  <si>
    <t>Activity</t>
  </si>
  <si>
    <t>[M+C] Iron (Fe) ore mining and concentration (Brazil)</t>
  </si>
  <si>
    <t>reference product</t>
  </si>
  <si>
    <t>Fe concentrate</t>
  </si>
  <si>
    <t>location</t>
  </si>
  <si>
    <t>BR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</si>
  <si>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</si>
  <si>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</si>
  <si>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</si>
  <si>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</si>
  <si>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</si>
  <si>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</si>
  <si>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</si>
  <si>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</si>
  <si>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</si>
  <si>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</si>
  <si>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</si>
  <si>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</si>
  <si>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</si>
  <si>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</si>
  <si>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</si>
  <si>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</si>
  <si>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</si>
  <si>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diesel, burned in building machine</t>
  </si>
  <si>
    <t>diesel, burned in building machine</t>
  </si>
  <si>
    <t>GLO</t>
  </si>
  <si>
    <t>megajoule</t>
  </si>
  <si>
    <t>ecoinvent 3.10 cutoff</t>
  </si>
  <si>
    <t>technosphere</t>
  </si>
  <si>
    <t>(1,1,3,1,1)</t>
  </si>
  <si>
    <t>market for conveyor belt</t>
  </si>
  <si>
    <t>conveyor belt</t>
  </si>
  <si>
    <t>meter</t>
  </si>
  <si>
    <t>market group for electricity, medium voltage</t>
  </si>
  <si>
    <t>electricity, medium voltage</t>
  </si>
  <si>
    <t>kilowatt hour</t>
  </si>
  <si>
    <t>market for explosive, tovex</t>
  </si>
  <si>
    <t>explosive, tovex</t>
  </si>
  <si>
    <t>market for industrial machine, heavy, unspecified</t>
  </si>
  <si>
    <t>industrial machine, heavy, unspecified</t>
  </si>
  <si>
    <t>RoW</t>
  </si>
  <si>
    <t>market for amine oxides</t>
  </si>
  <si>
    <t>amine oxides</t>
  </si>
  <si>
    <t>market for chemical, inorganic</t>
  </si>
  <si>
    <t>chemical, inorganic</t>
  </si>
  <si>
    <t>market for chemical, organic</t>
  </si>
  <si>
    <t>chemical, organic</t>
  </si>
  <si>
    <t>market for potato starch</t>
  </si>
  <si>
    <t>potato starch</t>
  </si>
  <si>
    <t>market for sodium hydroxide, without water, in 50% solution state</t>
  </si>
  <si>
    <t>sodium hydroxide, without water, in 50% solution state</t>
  </si>
  <si>
    <t>market for lime, hydrated, packed</t>
  </si>
  <si>
    <t>lime, hydrated, packed</t>
  </si>
  <si>
    <t>market for steel, low-alloyed</t>
  </si>
  <si>
    <t>steel, low-alloyed</t>
  </si>
  <si>
    <t>market for inert waste, for final disposal</t>
  </si>
  <si>
    <t>inert waste, for final disposal</t>
  </si>
  <si>
    <t>market for transport, passenger car</t>
  </si>
  <si>
    <t>transport, passenger car</t>
  </si>
  <si>
    <t>kilometer</t>
  </si>
  <si>
    <t>market for hazardous waste, for incineration</t>
  </si>
  <si>
    <t>hazardous waste, for incineration</t>
  </si>
  <si>
    <t>Occupation, mineral extraction site</t>
  </si>
  <si>
    <t>square meter-year</t>
  </si>
  <si>
    <t>biosphere3</t>
  </si>
  <si>
    <t>biosphere</t>
  </si>
  <si>
    <t>natural resource::land</t>
  </si>
  <si>
    <t>Transformation, from unspecified</t>
  </si>
  <si>
    <t>square meter</t>
  </si>
  <si>
    <t>Transformation, to mineral extraction site</t>
  </si>
  <si>
    <t>Occupation, industrial area</t>
  </si>
  <si>
    <t>Transformation, to industrial area</t>
  </si>
  <si>
    <t>Transformation, to unspecified, natural (non-use)</t>
  </si>
  <si>
    <t>Iron</t>
  </si>
  <si>
    <t>natural resource::in ground</t>
  </si>
  <si>
    <t>Water, unspecified natural origin</t>
  </si>
  <si>
    <t>cubic meter</t>
  </si>
  <si>
    <t>[M+C] Iron (Fe) ore mining and concentration (Australia)</t>
  </si>
  <si>
    <t>AU</t>
  </si>
  <si>
    <t>(3,5,4,1,2)</t>
  </si>
  <si>
    <t>market for electricity, medium voltage</t>
  </si>
  <si>
    <t>market for non-sulfidic overburden, off-site</t>
  </si>
  <si>
    <t>non-sulfidic overburden, off-site</t>
  </si>
  <si>
    <t>[M+C] Iron (Fe) ore mining and concentration (China)</t>
  </si>
  <si>
    <t>CN</t>
  </si>
  <si>
    <t>(4,1,3,2,2)</t>
  </si>
  <si>
    <t>market for light fuel oil</t>
  </si>
  <si>
    <t>light fuel oil</t>
  </si>
  <si>
    <t>market for natural gas, high pressure</t>
  </si>
  <si>
    <t>natural gas, high pressure</t>
  </si>
  <si>
    <t>market for hard coal</t>
  </si>
  <si>
    <t>hard coal</t>
  </si>
  <si>
    <t>[P+R] Steel production (AHSS)</t>
  </si>
  <si>
    <t>market for limestone, crushed, washed</t>
  </si>
  <si>
    <t>limestone, crushed, washed</t>
  </si>
  <si>
    <t>Iron ore mining and steel (AHSS) production in China</t>
  </si>
  <si>
    <t>[P] Sintering (Shandong)</t>
  </si>
  <si>
    <t>Iron (Fe) sinter</t>
  </si>
  <si>
    <t>(1,1,2,1,1)</t>
  </si>
  <si>
    <t>market for ferrite</t>
  </si>
  <si>
    <t>ferrite</t>
  </si>
  <si>
    <t>market for quicklime, milled, packed</t>
  </si>
  <si>
    <t>quicklime, milled, packed</t>
  </si>
  <si>
    <t>market for dolomite</t>
  </si>
  <si>
    <t>dolomite</t>
  </si>
  <si>
    <t>market for water, completely softened</t>
  </si>
  <si>
    <t>water, completely softened</t>
  </si>
  <si>
    <t>market for charcoal</t>
  </si>
  <si>
    <t>charcoal</t>
  </si>
  <si>
    <t>market for gypsum, mineral</t>
  </si>
  <si>
    <t>gypsum, mineral</t>
  </si>
  <si>
    <t>Sulfur dioxide</t>
  </si>
  <si>
    <t>air</t>
  </si>
  <si>
    <t>Particulate Matter, &gt; 2.5 um and &lt; 10um</t>
  </si>
  <si>
    <t>[R] Fe production - Blast Furnace (Shandong)</t>
  </si>
  <si>
    <t>Fe</t>
  </si>
  <si>
    <t>market for compressed air, 800 kPa gauge</t>
  </si>
  <si>
    <t>compressed air, 800 kPa gauge</t>
  </si>
  <si>
    <t>market for nitrogen, liquid</t>
  </si>
  <si>
    <t>nitrogen, liquid</t>
  </si>
  <si>
    <t>market for iron ore, crude ore, 46% Fe</t>
  </si>
  <si>
    <t>iron ore, crude ore, 46% Fe</t>
  </si>
  <si>
    <t>market for steam, in chemical industry</t>
  </si>
  <si>
    <t>steam, in chemical industry</t>
  </si>
  <si>
    <t>market for water, ultrapure</t>
  </si>
  <si>
    <t>water, ultrapure</t>
  </si>
  <si>
    <t>market for refinery sludge</t>
  </si>
  <si>
    <t>refinery sludge</t>
  </si>
  <si>
    <t>market for waste mineral oil</t>
  </si>
  <si>
    <t>waste mineral oil</t>
  </si>
  <si>
    <t>market for hazardous waste, for underground deposit</t>
  </si>
  <si>
    <t>hazardous waste, for underground deposit</t>
  </si>
  <si>
    <t>market for municipal solid waste</t>
  </si>
  <si>
    <t>municipal solid waste</t>
  </si>
  <si>
    <t>market for wastewater, average</t>
  </si>
  <si>
    <t>wastewater, average</t>
  </si>
  <si>
    <t>Nitrogen oxides</t>
  </si>
  <si>
    <t>[R] Steel production (Shandong)</t>
  </si>
  <si>
    <t>Steel</t>
  </si>
  <si>
    <t>market for pig iron</t>
  </si>
  <si>
    <t>pig iron</t>
  </si>
  <si>
    <t>market for scrap steel</t>
  </si>
  <si>
    <t>scrap steel</t>
  </si>
  <si>
    <t>market for lime, packed</t>
  </si>
  <si>
    <t>lime, packed</t>
  </si>
  <si>
    <t>ferrosilicon production</t>
  </si>
  <si>
    <t>ferrosilicon</t>
  </si>
  <si>
    <t>market for ferromanganese, high-coal, 74.5% Mn</t>
  </si>
  <si>
    <t>ferromanganese, high-coal, 74.5% Mn</t>
  </si>
  <si>
    <t>market for manganese(III) oxide</t>
  </si>
  <si>
    <t>manganese(III) oxide</t>
  </si>
  <si>
    <t>market for aluminium, wrought alloy</t>
  </si>
  <si>
    <t>aluminium, wrought alloy</t>
  </si>
  <si>
    <t>market for magnesium</t>
  </si>
  <si>
    <t>magnesium</t>
  </si>
  <si>
    <t>market for anode, for metal electrolysis</t>
  </si>
  <si>
    <t>anode, for metal electrolysis</t>
  </si>
  <si>
    <t>market for blast furnace slag</t>
  </si>
  <si>
    <t>blast furnace slag</t>
  </si>
  <si>
    <t>market for argon, liquid</t>
  </si>
  <si>
    <t>argon, liquid</t>
  </si>
  <si>
    <t>market for synthetic gas</t>
  </si>
  <si>
    <t>synthetic gas</t>
  </si>
  <si>
    <t>market for iron scrap, sorted, pressed</t>
  </si>
  <si>
    <t>iron scrap, sorted, pressed</t>
  </si>
  <si>
    <t>Coke production (Shandong)</t>
  </si>
  <si>
    <t>Coke</t>
  </si>
  <si>
    <t>market for liquefied petroleum gas</t>
  </si>
  <si>
    <t>liquefied petroleum gas</t>
  </si>
  <si>
    <t>Steel billet production in China/Shandong</t>
  </si>
  <si>
    <t>[P] Pelletizing</t>
  </si>
  <si>
    <t>Iron (Fe) pellets</t>
  </si>
  <si>
    <t>(1,1,1,1,1)</t>
  </si>
  <si>
    <t>market for diesel</t>
  </si>
  <si>
    <t>diesel</t>
  </si>
  <si>
    <t>market for bentonite</t>
  </si>
  <si>
    <t>bentonite</t>
  </si>
  <si>
    <t>Carbon dioxide, fossil</t>
  </si>
  <si>
    <t>Carbon monoxide, fossil</t>
  </si>
  <si>
    <t>[P] Sintering</t>
  </si>
  <si>
    <t>Fe sinter</t>
  </si>
  <si>
    <t>market for ammonia, anhydrous, liquid</t>
  </si>
  <si>
    <t>ammonia, anhydrous, liquid</t>
  </si>
  <si>
    <t>market for coke</t>
  </si>
  <si>
    <t>coke</t>
  </si>
  <si>
    <t>[R] Fe production - Blast Furnace</t>
  </si>
  <si>
    <t>[R] Crude steel production - Basic oxygen furnace</t>
  </si>
  <si>
    <t>market for basic oxygen furnace slag</t>
  </si>
  <si>
    <t>basic oxygen furnace slag</t>
  </si>
  <si>
    <t>Coal production</t>
  </si>
  <si>
    <t>Coal</t>
  </si>
  <si>
    <t>Coke production (China)</t>
  </si>
  <si>
    <t>market for sulfuric acid</t>
  </si>
  <si>
    <t>sulfuric acid</t>
  </si>
  <si>
    <t>market for sulfur</t>
  </si>
  <si>
    <t>sulfur</t>
  </si>
  <si>
    <t>market for benzene</t>
  </si>
  <si>
    <t>benzene</t>
  </si>
  <si>
    <t>market for coal tar</t>
  </si>
  <si>
    <t>coal tar</t>
  </si>
  <si>
    <t>Crude steel production in China through Blast Furnace-Basic Oxygen Furnace (BF-BOF)</t>
  </si>
  <si>
    <t>[P] Sintering (Liquid iron)</t>
  </si>
  <si>
    <t>Methane, fossil</t>
  </si>
  <si>
    <t>[R] Fe production (Liquid)</t>
  </si>
  <si>
    <t xml:space="preserve">Fe </t>
  </si>
  <si>
    <t>Liquid iron production in China</t>
  </si>
  <si>
    <t>[P] Sintering (Italy)</t>
  </si>
  <si>
    <t>IT</t>
  </si>
  <si>
    <t>Europe without Switzerland</t>
  </si>
  <si>
    <t>RER</t>
  </si>
  <si>
    <t>(2,1,3,1,2)</t>
  </si>
  <si>
    <t>Lead II</t>
  </si>
  <si>
    <t>VOC, volatile organic compounds</t>
  </si>
  <si>
    <t>Zinc II</t>
  </si>
  <si>
    <t>Hydrochloric acid</t>
  </si>
  <si>
    <t>Hydrogen fluoride</t>
  </si>
  <si>
    <t>PAH, polycyclic aromatic hydrocarbons</t>
  </si>
  <si>
    <t>Polychlorinated biphenyls</t>
  </si>
  <si>
    <t>[R] Pig iron production - Blast Furnace</t>
  </si>
  <si>
    <t>Pig iron</t>
  </si>
  <si>
    <t>market for iron pellet</t>
  </si>
  <si>
    <t>iron pellet</t>
  </si>
  <si>
    <t>market for polyester resin, unsaturated</t>
  </si>
  <si>
    <t>polyester resin, unsaturated</t>
  </si>
  <si>
    <t>market for oxygen, liquid</t>
  </si>
  <si>
    <t>oxygen, liquid</t>
  </si>
  <si>
    <t>COD, Chemical Oxygen Demand</t>
  </si>
  <si>
    <t>water</t>
  </si>
  <si>
    <t>Nitrogen</t>
  </si>
  <si>
    <t>Suspended solids, unspecified</t>
  </si>
  <si>
    <t>[R] Steel production - Basic oxygen furnace (Italy)</t>
  </si>
  <si>
    <t>Coke production (Italy)</t>
  </si>
  <si>
    <t>Europe, without Russia and Türkiye</t>
  </si>
  <si>
    <t>market for ammonium sulfate</t>
  </si>
  <si>
    <t>ammonium sulfate</t>
  </si>
  <si>
    <t>Benzene</t>
  </si>
  <si>
    <t>Hydrogen cyanide</t>
  </si>
  <si>
    <t>Benzo(a)pyrene</t>
  </si>
  <si>
    <t>Ammonium</t>
  </si>
  <si>
    <t>Phenol</t>
  </si>
  <si>
    <t>Steel production in Italy</t>
  </si>
  <si>
    <t>[M+C] Iron (Fe) ore mining and concentration (Canada)</t>
  </si>
  <si>
    <t>CA</t>
  </si>
  <si>
    <t>(4,5,4,5,4)</t>
  </si>
  <si>
    <t>market for rock crushing</t>
  </si>
  <si>
    <t>rock crushing</t>
  </si>
  <si>
    <t>Particulate Matter, &lt; 2.5 um</t>
  </si>
  <si>
    <t>Particulate Matter, &gt; 10 um</t>
  </si>
  <si>
    <t>[M+C] Iron (Fe) ore mining and concentration (South Africa)</t>
  </si>
  <si>
    <t>ZA</t>
  </si>
  <si>
    <t>[M+C] Iron (Fe) ore mining and concentration (Ukraine)</t>
  </si>
  <si>
    <t>UA</t>
  </si>
  <si>
    <t>[P+R] Crude steel production (Brazil)</t>
  </si>
  <si>
    <t>market for clay</t>
  </si>
  <si>
    <t>clay</t>
  </si>
  <si>
    <t>(5,5,5,5,5)</t>
  </si>
  <si>
    <t>market for ilmenite, 54% titanium dioxide</t>
  </si>
  <si>
    <t>ilmenite, 54% titanium dioxide</t>
  </si>
  <si>
    <t>market for manganese</t>
  </si>
  <si>
    <t>manganese</t>
  </si>
  <si>
    <t>market for basalt</t>
  </si>
  <si>
    <t>basalt</t>
  </si>
  <si>
    <t>market for sand</t>
  </si>
  <si>
    <t>sand</t>
  </si>
  <si>
    <t>market for sodium chloride, powder</t>
  </si>
  <si>
    <t>sodium chloride, powder</t>
  </si>
  <si>
    <t>market for uranium ore, as U</t>
  </si>
  <si>
    <t>uranium ore, as U</t>
  </si>
  <si>
    <t>market for zinc</t>
  </si>
  <si>
    <t>zinc</t>
  </si>
  <si>
    <t>Dissolved solids</t>
  </si>
  <si>
    <t>Hydrocarbons, unspecified</t>
  </si>
  <si>
    <t>air::non-urban air or from high stacks</t>
  </si>
  <si>
    <t>Phosphate</t>
  </si>
  <si>
    <t>Sulfur oxides</t>
  </si>
  <si>
    <t>Iron ore mining and steel production in Brazil</t>
  </si>
  <si>
    <t>[R] Crude steel production (India)</t>
  </si>
  <si>
    <t>IN</t>
  </si>
  <si>
    <t>market group for electricity, low voltage</t>
  </si>
  <si>
    <t>electricity, low voltage</t>
  </si>
  <si>
    <t>market for activated carbon, granular</t>
  </si>
  <si>
    <t>activated carbon, granular</t>
  </si>
  <si>
    <t>Chromium III</t>
  </si>
  <si>
    <t>Phosphoric acid</t>
  </si>
  <si>
    <t>Steel production in India</t>
  </si>
  <si>
    <t>[R] Crude steel production (Germany)</t>
  </si>
  <si>
    <t>DE</t>
  </si>
  <si>
    <t>(1,3,4,3,3)</t>
  </si>
  <si>
    <t>market for electricity, low voltage</t>
  </si>
  <si>
    <t>market for cast iron</t>
  </si>
  <si>
    <t>cast iron</t>
  </si>
  <si>
    <t>market for refractory, basic, packed</t>
  </si>
  <si>
    <t>refractory, basic, packed</t>
  </si>
  <si>
    <t>Nickel II</t>
  </si>
  <si>
    <t>Cadmium II</t>
  </si>
  <si>
    <t>Copper ion</t>
  </si>
  <si>
    <t>Steel production in Germany</t>
  </si>
  <si>
    <t>[P+R] Crude steel production (South Korea)</t>
  </si>
  <si>
    <t>KR</t>
  </si>
  <si>
    <t>(nan,nan,nan,nan,nan)</t>
  </si>
  <si>
    <t>Steel production in Korea</t>
  </si>
  <si>
    <t>[P+R] Crude steel production (Russia)</t>
  </si>
  <si>
    <t>RU</t>
  </si>
  <si>
    <t>(1,1,5,2,3)</t>
  </si>
  <si>
    <t>market for electricity, high voltage</t>
  </si>
  <si>
    <t>electricity, high voltage</t>
  </si>
  <si>
    <t>Steel production in Russia</t>
  </si>
  <si>
    <t>[R] Crude steel production (Turkey)</t>
  </si>
  <si>
    <t>TR</t>
  </si>
  <si>
    <t>(1,1,3,1,3)</t>
  </si>
  <si>
    <t>market for graphite</t>
  </si>
  <si>
    <t>graphite</t>
  </si>
  <si>
    <t>market for ferrosilicon</t>
  </si>
  <si>
    <t>market for fluorspar, 97% purity</t>
  </si>
  <si>
    <t>fluorspar, 97% purity</t>
  </si>
  <si>
    <t>market for transport, freight, lorry, unspecified</t>
  </si>
  <si>
    <t>transport, freight, lorry, unspecified</t>
  </si>
  <si>
    <t>ton kilometer</t>
  </si>
  <si>
    <t>Fluoride</t>
  </si>
  <si>
    <t>Mercury II</t>
  </si>
  <si>
    <t>Steel production in Turkey</t>
  </si>
  <si>
    <t>Iron (Fe) global market</t>
  </si>
  <si>
    <t>(1.0,1,5,1,1)</t>
  </si>
  <si>
    <t>market for non-sulfidic tailing, off-site</t>
  </si>
  <si>
    <t>non-sulfidic tailing, off-site</t>
  </si>
  <si>
    <t>(5.0,1,5,1,1)</t>
  </si>
  <si>
    <t>Coke production (Liquid iron)</t>
  </si>
  <si>
    <t>Iron ore mining and concentration - Global market</t>
  </si>
  <si>
    <t>Construction &amp; Demolition (C&amp;D) wastes</t>
  </si>
  <si>
    <t>C&amp;D wastes</t>
  </si>
  <si>
    <t>Empty activity representing the Fe scraps input in the recycling process (following the "cut-off" modelling approach)</t>
  </si>
  <si>
    <t>[C] C&amp;D wastes collection and pre-treatment</t>
  </si>
  <si>
    <t>Iron (Fe) scraps</t>
  </si>
  <si>
    <t>market for transport, freight, lorry &gt;32 metric ton, EURO3</t>
  </si>
  <si>
    <t>transport, freight, lorry &gt;32 metric ton, EURO3</t>
  </si>
  <si>
    <t>(4,5,1,1,1)</t>
  </si>
  <si>
    <t>(1,1,1,1,3)</t>
  </si>
  <si>
    <t>pig iron production</t>
  </si>
  <si>
    <t>market group for electricity, high voltage</t>
  </si>
  <si>
    <t>Fe production in China through C&amp;D wastes recycling</t>
  </si>
  <si>
    <t>End-of-life vehicles (ELV) wastes</t>
  </si>
  <si>
    <t>ELV wastes</t>
  </si>
  <si>
    <t>[C] ELV wastes collection and pre-treatment</t>
  </si>
  <si>
    <t>(2,1,1,1,1)</t>
  </si>
  <si>
    <t>market for acetylene</t>
  </si>
  <si>
    <t>acetylene</t>
  </si>
  <si>
    <t>Fe production in China through ELV wastes recycling</t>
  </si>
  <si>
    <r>
      <t xml:space="preserve">Allocated unit process, considering as allocation factors: 1.5% for Cu (1 kg), 7.5% for Al (18 kg) and </t>
    </r>
    <r>
      <rPr>
        <b/>
        <sz val="11"/>
        <color theme="5"/>
        <rFont val="Calibri"/>
        <family val="2"/>
        <scheme val="minor"/>
      </rPr>
      <t>91% (28 kg) for Fe</t>
    </r>
    <r>
      <rPr>
        <sz val="11"/>
        <color theme="5"/>
        <rFont val="Calibri"/>
        <family val="2"/>
        <scheme val="minor"/>
      </rPr>
      <t>.</t>
    </r>
  </si>
  <si>
    <r>
      <t xml:space="preserve">Applied AF: "C&amp;D wastes" input = </t>
    </r>
    <r>
      <rPr>
        <b/>
        <sz val="11"/>
        <color theme="5"/>
        <rFont val="Calibri"/>
        <family val="2"/>
        <scheme val="minor"/>
      </rPr>
      <t>91%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</si>
  <si>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1% for Cu (1 kg), 4.8% for Al (16 kg) and </t>
    </r>
    <r>
      <rPr>
        <b/>
        <sz val="11"/>
        <color theme="5"/>
        <rFont val="Calibri"/>
        <family val="2"/>
        <scheme val="minor"/>
      </rPr>
      <t>94.2% for Fe (42 kg)</t>
    </r>
    <r>
      <rPr>
        <sz val="11"/>
        <color theme="5"/>
        <rFont val="Calibri"/>
        <family val="2"/>
        <scheme val="minor"/>
      </rPr>
      <t>.</t>
    </r>
  </si>
  <si>
    <r>
      <t xml:space="preserve">Applied AF: "ELV wastes" input = </t>
    </r>
    <r>
      <rPr>
        <b/>
        <sz val="11"/>
        <color theme="5"/>
        <rFont val="Calibri"/>
        <family val="2"/>
        <scheme val="minor"/>
      </rPr>
      <t>94%</t>
    </r>
    <r>
      <rPr>
        <sz val="11"/>
        <color theme="5"/>
        <rFont val="Calibri"/>
        <family val="2"/>
        <scheme val="minor"/>
      </rPr>
      <t>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</si>
  <si>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</si>
  <si>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</si>
  <si>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</si>
  <si>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Iron (Fe)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</si>
  <si>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Fe global market</t>
  </si>
  <si>
    <t>Fe_Market_GLO</t>
  </si>
  <si>
    <t>PR1_CrudeSteel_BR</t>
  </si>
  <si>
    <t>PR2_SteelAHSS_CN</t>
  </si>
  <si>
    <t>PR3_Steel_CN_Shandong</t>
  </si>
  <si>
    <t>PR4_CrudeSteel_CN</t>
  </si>
  <si>
    <t>PR5_FeLiquid_CN</t>
  </si>
  <si>
    <t>PR6_Steel_IT</t>
  </si>
  <si>
    <t>PR7_CrudeSteel_IN</t>
  </si>
  <si>
    <t>PR8_CrudeSteel_DE</t>
  </si>
  <si>
    <t>PR9_CrudeSteel_KR</t>
  </si>
  <si>
    <t>PR10_CrudeSteel_RU</t>
  </si>
  <si>
    <t>PR11_CrudeSteel_TR</t>
  </si>
  <si>
    <t>PR12_Fe_CN_Recycling_CDW</t>
  </si>
  <si>
    <t>PR13_Fe_CN_Recycling_ELV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</si>
</sst>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8" fillId="0" borderId="4" xfId="1" applyBorder="1" applyAlignment="1">
      <alignment horizontal="left" vertical="center"/>
    </xf>
    <xf numFmtId="0" fontId="8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8" fillId="0" borderId="0" xfId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51"/>
  <sheetViews>
    <sheetView showGridLines="0" tabSelected="1" topLeftCell="A30" zoomScaleNormal="100" workbookViewId="0">
      <selection activeCell="B38" sqref="B38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351</v>
      </c>
    </row>
    <row r="2" spans="1:17" ht="15" customHeight="1" x14ac:dyDescent="0.35">
      <c r="B2" s="17" t="s">
        <v>354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17" x14ac:dyDescent="0.35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7" x14ac:dyDescent="0.35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</row>
    <row r="5" spans="1:17" x14ac:dyDescent="0.35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</row>
    <row r="6" spans="1:17" x14ac:dyDescent="0.35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</row>
    <row r="7" spans="1:17" x14ac:dyDescent="0.35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</row>
    <row r="8" spans="1:17" x14ac:dyDescent="0.35"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</row>
    <row r="9" spans="1:17" x14ac:dyDescent="0.35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0" spans="1:17" x14ac:dyDescent="0.35"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2"/>
    </row>
    <row r="11" spans="1:17" x14ac:dyDescent="0.35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2"/>
    </row>
    <row r="12" spans="1:17" x14ac:dyDescent="0.35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2"/>
    </row>
    <row r="13" spans="1:17" x14ac:dyDescent="0.35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2"/>
    </row>
    <row r="14" spans="1:17" x14ac:dyDescent="0.35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2"/>
    </row>
    <row r="15" spans="1:17" x14ac:dyDescent="0.35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2"/>
    </row>
    <row r="16" spans="1:17" x14ac:dyDescent="0.35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2"/>
    </row>
    <row r="17" spans="2:17" x14ac:dyDescent="0.35"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2"/>
    </row>
    <row r="18" spans="2:17" x14ac:dyDescent="0.35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</row>
    <row r="19" spans="2:17" x14ac:dyDescent="0.35"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2"/>
    </row>
    <row r="20" spans="2:17" x14ac:dyDescent="0.35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2"/>
    </row>
    <row r="21" spans="2:17" x14ac:dyDescent="0.35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2"/>
    </row>
    <row r="22" spans="2:17" x14ac:dyDescent="0.35"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2"/>
    </row>
    <row r="23" spans="2:17" x14ac:dyDescent="0.35"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/>
    </row>
    <row r="24" spans="2:17" ht="15" customHeight="1" x14ac:dyDescent="0.35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2"/>
    </row>
    <row r="25" spans="2:17" x14ac:dyDescent="0.3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2"/>
    </row>
    <row r="26" spans="2:17" x14ac:dyDescent="0.35"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2"/>
    </row>
    <row r="27" spans="2:17" x14ac:dyDescent="0.35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2"/>
    </row>
    <row r="28" spans="2:17" x14ac:dyDescent="0.35"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2"/>
    </row>
    <row r="29" spans="2:17" x14ac:dyDescent="0.35"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2"/>
    </row>
    <row r="30" spans="2:17" x14ac:dyDescent="0.35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2"/>
    </row>
    <row r="31" spans="2:17" ht="15" thickBot="1" x14ac:dyDescent="0.4"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</row>
    <row r="32" spans="2:17" ht="15" thickBot="1" x14ac:dyDescent="0.4"/>
    <row r="33" spans="2:11" x14ac:dyDescent="0.35">
      <c r="B33" s="26" t="s">
        <v>352</v>
      </c>
      <c r="C33" s="27" t="s">
        <v>353</v>
      </c>
      <c r="D33" s="28"/>
      <c r="E33" s="28"/>
      <c r="F33" s="28"/>
      <c r="G33" s="28"/>
      <c r="H33" s="28"/>
      <c r="I33" s="28"/>
      <c r="J33" s="37"/>
      <c r="K33" s="34"/>
    </row>
    <row r="34" spans="2:11" x14ac:dyDescent="0.35">
      <c r="B34" s="29" t="s">
        <v>356</v>
      </c>
      <c r="C34" s="36" t="s">
        <v>355</v>
      </c>
      <c r="D34" s="33"/>
      <c r="E34" s="33"/>
      <c r="F34" s="33"/>
      <c r="G34" s="33"/>
      <c r="H34" s="33"/>
      <c r="I34" s="33"/>
      <c r="J34" s="38"/>
      <c r="K34" s="34"/>
    </row>
    <row r="35" spans="2:11" x14ac:dyDescent="0.35">
      <c r="B35" s="29" t="s">
        <v>357</v>
      </c>
      <c r="C35" s="36" t="s">
        <v>275</v>
      </c>
      <c r="D35" s="33"/>
      <c r="E35" s="33"/>
      <c r="F35" s="33"/>
      <c r="G35" s="33"/>
      <c r="H35" s="33"/>
      <c r="I35" s="33"/>
      <c r="J35" s="38"/>
      <c r="K35" s="34"/>
    </row>
    <row r="36" spans="2:11" x14ac:dyDescent="0.35">
      <c r="B36" s="29" t="s">
        <v>358</v>
      </c>
      <c r="C36" s="36" t="s">
        <v>95</v>
      </c>
      <c r="D36" s="33"/>
      <c r="E36" s="33"/>
      <c r="F36" s="33"/>
      <c r="G36" s="33"/>
      <c r="H36" s="33"/>
      <c r="I36" s="33"/>
      <c r="J36" s="38"/>
      <c r="K36" s="34"/>
    </row>
    <row r="37" spans="2:11" x14ac:dyDescent="0.35">
      <c r="B37" s="29" t="s">
        <v>359</v>
      </c>
      <c r="C37" s="36" t="s">
        <v>169</v>
      </c>
      <c r="D37" s="33"/>
      <c r="E37" s="33"/>
      <c r="F37" s="33"/>
      <c r="G37" s="33"/>
      <c r="H37" s="33"/>
      <c r="I37" s="33"/>
      <c r="J37" s="38"/>
      <c r="K37" s="34"/>
    </row>
    <row r="38" spans="2:11" x14ac:dyDescent="0.35">
      <c r="B38" s="29" t="s">
        <v>360</v>
      </c>
      <c r="C38" s="36" t="s">
        <v>200</v>
      </c>
      <c r="D38" s="33"/>
      <c r="E38" s="33"/>
      <c r="F38" s="33"/>
      <c r="G38" s="33"/>
      <c r="H38" s="33"/>
      <c r="I38" s="33"/>
      <c r="J38" s="38"/>
      <c r="K38" s="34"/>
    </row>
    <row r="39" spans="2:11" x14ac:dyDescent="0.35">
      <c r="B39" s="29" t="s">
        <v>361</v>
      </c>
      <c r="C39" s="36" t="s">
        <v>205</v>
      </c>
      <c r="D39" s="33"/>
      <c r="E39" s="33"/>
      <c r="F39" s="33"/>
      <c r="G39" s="33"/>
      <c r="H39" s="33"/>
      <c r="I39" s="33"/>
      <c r="J39" s="38"/>
      <c r="K39" s="34"/>
    </row>
    <row r="40" spans="2:11" x14ac:dyDescent="0.35">
      <c r="B40" s="29" t="s">
        <v>362</v>
      </c>
      <c r="C40" s="36" t="s">
        <v>240</v>
      </c>
      <c r="D40" s="33"/>
      <c r="E40" s="33"/>
      <c r="F40" s="33"/>
      <c r="G40" s="33"/>
      <c r="H40" s="33"/>
      <c r="I40" s="33"/>
      <c r="J40" s="38"/>
      <c r="K40" s="34"/>
    </row>
    <row r="41" spans="2:11" x14ac:dyDescent="0.35">
      <c r="B41" s="29" t="s">
        <v>363</v>
      </c>
      <c r="C41" s="36" t="s">
        <v>284</v>
      </c>
      <c r="D41" s="33"/>
      <c r="E41" s="33"/>
      <c r="F41" s="33"/>
      <c r="G41" s="33"/>
      <c r="H41" s="33"/>
      <c r="I41" s="33"/>
      <c r="J41" s="38"/>
      <c r="K41" s="34"/>
    </row>
    <row r="42" spans="2:11" x14ac:dyDescent="0.35">
      <c r="B42" s="29" t="s">
        <v>364</v>
      </c>
      <c r="C42" s="36" t="s">
        <v>296</v>
      </c>
      <c r="D42" s="33"/>
      <c r="E42" s="33"/>
      <c r="F42" s="33"/>
      <c r="G42" s="33"/>
      <c r="H42" s="33"/>
      <c r="I42" s="33"/>
      <c r="J42" s="38"/>
      <c r="K42" s="34"/>
    </row>
    <row r="43" spans="2:11" x14ac:dyDescent="0.35">
      <c r="B43" s="29" t="s">
        <v>365</v>
      </c>
      <c r="C43" s="36" t="s">
        <v>300</v>
      </c>
      <c r="D43" s="33"/>
      <c r="E43" s="33"/>
      <c r="F43" s="33"/>
      <c r="G43" s="33"/>
      <c r="H43" s="33"/>
      <c r="I43" s="33"/>
      <c r="J43" s="38"/>
      <c r="K43" s="34"/>
    </row>
    <row r="44" spans="2:11" x14ac:dyDescent="0.35">
      <c r="B44" s="29" t="s">
        <v>366</v>
      </c>
      <c r="C44" s="36" t="s">
        <v>306</v>
      </c>
      <c r="D44" s="33"/>
      <c r="E44" s="33"/>
      <c r="F44" s="33"/>
      <c r="G44" s="33"/>
      <c r="H44" s="33"/>
      <c r="I44" s="33"/>
      <c r="J44" s="38"/>
      <c r="K44" s="34"/>
    </row>
    <row r="45" spans="2:11" x14ac:dyDescent="0.35">
      <c r="B45" s="29" t="s">
        <v>367</v>
      </c>
      <c r="C45" s="36" t="s">
        <v>320</v>
      </c>
      <c r="D45" s="33"/>
      <c r="E45" s="33"/>
      <c r="F45" s="33"/>
      <c r="G45" s="33"/>
      <c r="H45" s="33"/>
      <c r="I45" s="33"/>
      <c r="J45" s="38"/>
      <c r="K45" s="34"/>
    </row>
    <row r="46" spans="2:11" x14ac:dyDescent="0.35">
      <c r="B46" s="29" t="s">
        <v>368</v>
      </c>
      <c r="C46" s="36" t="s">
        <v>339</v>
      </c>
      <c r="D46" s="33"/>
      <c r="E46" s="33"/>
      <c r="F46" s="33"/>
      <c r="G46" s="33"/>
      <c r="H46" s="33"/>
      <c r="I46" s="33"/>
      <c r="J46" s="38"/>
      <c r="K46" s="34"/>
    </row>
    <row r="47" spans="2:11" ht="15" thickBot="1" x14ac:dyDescent="0.4">
      <c r="B47" s="30" t="s">
        <v>369</v>
      </c>
      <c r="C47" s="31" t="s">
        <v>346</v>
      </c>
      <c r="D47" s="32"/>
      <c r="E47" s="32"/>
      <c r="F47" s="32"/>
      <c r="G47" s="32"/>
      <c r="H47" s="32"/>
      <c r="I47" s="32"/>
      <c r="J47" s="39"/>
      <c r="K47" s="34"/>
    </row>
    <row r="48" spans="2:11" x14ac:dyDescent="0.35">
      <c r="B48" s="35"/>
      <c r="C48" s="36"/>
      <c r="D48" s="33"/>
      <c r="E48" s="33"/>
      <c r="F48" s="33"/>
      <c r="G48" s="33"/>
      <c r="H48" s="33"/>
      <c r="I48" s="33"/>
      <c r="J48" s="33"/>
      <c r="K48" s="34"/>
    </row>
    <row r="49" spans="2:11" x14ac:dyDescent="0.35">
      <c r="B49" s="35"/>
      <c r="C49" s="36"/>
      <c r="D49" s="33"/>
      <c r="E49" s="33"/>
      <c r="F49" s="33"/>
      <c r="G49" s="33"/>
      <c r="H49" s="33"/>
      <c r="I49" s="33"/>
      <c r="J49" s="33"/>
      <c r="K49" s="34"/>
    </row>
    <row r="50" spans="2:11" x14ac:dyDescent="0.35">
      <c r="B50" s="35"/>
      <c r="C50" s="36"/>
      <c r="D50" s="33"/>
      <c r="E50" s="33"/>
      <c r="F50" s="33"/>
      <c r="G50" s="33"/>
      <c r="H50" s="33"/>
      <c r="I50" s="33"/>
      <c r="J50" s="33"/>
      <c r="K50" s="34"/>
    </row>
    <row r="51" spans="2:11" x14ac:dyDescent="0.35">
      <c r="B51" s="35"/>
      <c r="C51" s="36"/>
      <c r="D51" s="33"/>
      <c r="E51" s="33"/>
      <c r="F51" s="33"/>
      <c r="G51" s="33"/>
      <c r="H51" s="33"/>
      <c r="I51" s="33"/>
      <c r="J51" s="33"/>
      <c r="K51" s="34"/>
    </row>
  </sheetData>
  <mergeCells count="1">
    <mergeCell ref="B2:Q31"/>
  </mergeCells>
  <hyperlinks>
    <hyperlink ref="B34" location="Fe_Market_GLO!A1" display="Fe_Market_GLO" xr:uid="{4EADD631-D109-43ED-BBC1-67358DE4791C}"/>
    <hyperlink ref="B35" location="PR1_CrudeSteel_BR!A1" display="PR1_CrudeSteel_BR" xr:uid="{4AB69880-C807-4DDD-BDA6-F0DCD69271CB}"/>
    <hyperlink ref="B36" location="PR2_SteelAHSS_CN!A1" display="PR2_SteelAHSS_CN" xr:uid="{F5B957B6-D788-43E1-91D1-C0793F63D358}"/>
    <hyperlink ref="B37" location="PR3_Steel_CN_Shandong!A1" display="PR3_Steel_CN_Shandong" xr:uid="{64204982-8D65-421B-BF65-7BFA30AD351B}"/>
    <hyperlink ref="B38" location="PR4_CrudeSteel_CN!A1" display="PR4_CrudeSteel_CN" xr:uid="{3414A170-1464-4C83-8B64-E25AA4C303A4}"/>
    <hyperlink ref="B39" location="PR5_FeLiquid_CN!A1" display="PR5_FeLiquid_CN" xr:uid="{D14C03D3-9885-401B-AD5E-C25FAA09BBED}"/>
    <hyperlink ref="B40" location="PR6_Steel_IT!A1" display="PR6_Steel_IT" xr:uid="{10EA2881-721B-4D1E-8E4D-46A9D0B4BAA9}"/>
    <hyperlink ref="B41" location="PR7_CrudeSteel_IN!A1" display="PR7_CrudeSteel_IN" xr:uid="{AEDC13CC-AB73-4A6C-8127-730AD2693819}"/>
    <hyperlink ref="B42" location="PR8_CrudeSteel_DE!A1" display="PR8_CrudeSteel_DE" xr:uid="{6278149A-0D44-45FB-944D-E97213A3BEDD}"/>
    <hyperlink ref="B43" location="PR9_CrudeSteel_KR!A1" display="PR9_CrudeSteel_KR" xr:uid="{38D738D1-045A-4B41-8B4D-D89B201DB9AD}"/>
    <hyperlink ref="B44" location="PR10_CrudeSteel_RU!A1" display="PR10_CrudeSteel_RU" xr:uid="{5F732BEA-4F30-40FF-BD6F-8494BDF76558}"/>
    <hyperlink ref="B45" location="PR11_CrudeSteel_TR!A1" display="PR11_CrudeSteel_TR" xr:uid="{E3E206CB-41E2-4AC3-B0E5-FCCB0D180301}"/>
    <hyperlink ref="B46" location="PR12_Fe_CN_Recycling_CDW!A1" display="PR12_Fe_CN_Recycling_CDW" xr:uid="{AB3863A3-4E65-452F-973C-6C5604F6994D}"/>
    <hyperlink ref="B47" location="PR13_Fe_CN_Recycling_ELV!A1" display="PR13_Fe_CN_Recycling_ELV" xr:uid="{A535CB1B-97B0-47D7-896A-6B56063DBB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757D-2069-48DC-AF43-9E15A4E209C1}">
  <sheetPr>
    <tabColor theme="8" tint="0.39997558519241921"/>
  </sheetPr>
  <dimension ref="A1:N24"/>
  <sheetViews>
    <sheetView workbookViewId="0"/>
  </sheetViews>
  <sheetFormatPr baseColWidth="10" defaultRowHeight="14.5" x14ac:dyDescent="0.35"/>
  <cols>
    <col min="1" max="1" width="73.1796875" bestFit="1" customWidth="1"/>
    <col min="2" max="2" width="36.81640625" bestFit="1" customWidth="1"/>
    <col min="3" max="3" width="8.1796875" bestFit="1" customWidth="1"/>
    <col min="4" max="4" width="12" bestFit="1" customWidth="1"/>
    <col min="5" max="5" width="8.7265625" bestFit="1" customWidth="1"/>
    <col min="6" max="6" width="10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13</v>
      </c>
      <c r="B1" s="4" t="s">
        <v>73</v>
      </c>
    </row>
    <row r="2" spans="1:14" s="5" customFormat="1" x14ac:dyDescent="0.35"/>
    <row r="3" spans="1:14" s="1" customFormat="1" x14ac:dyDescent="0.35">
      <c r="A3" s="12" t="s">
        <v>0</v>
      </c>
      <c r="B3" s="12" t="s">
        <v>321</v>
      </c>
    </row>
    <row r="4" spans="1:14" s="1" customFormat="1" x14ac:dyDescent="0.35">
      <c r="A4" s="3" t="s">
        <v>2</v>
      </c>
      <c r="B4" s="1" t="s">
        <v>138</v>
      </c>
    </row>
    <row r="5" spans="1:14" s="1" customFormat="1" x14ac:dyDescent="0.35">
      <c r="A5" s="3" t="s">
        <v>4</v>
      </c>
      <c r="B5" s="1" t="s">
        <v>25</v>
      </c>
    </row>
    <row r="6" spans="1:14" s="1" customFormat="1" x14ac:dyDescent="0.35">
      <c r="A6" s="3" t="s">
        <v>6</v>
      </c>
      <c r="B6" s="1">
        <v>1</v>
      </c>
    </row>
    <row r="7" spans="1:14" s="1" customFormat="1" x14ac:dyDescent="0.35">
      <c r="A7" s="3" t="s">
        <v>7</v>
      </c>
      <c r="B7" s="1" t="s">
        <v>8</v>
      </c>
    </row>
    <row r="8" spans="1:14" s="1" customFormat="1" x14ac:dyDescent="0.35">
      <c r="A8" s="3" t="s">
        <v>9</v>
      </c>
      <c r="B8" s="1" t="s">
        <v>10</v>
      </c>
    </row>
    <row r="9" spans="1:14" s="1" customFormat="1" x14ac:dyDescent="0.35">
      <c r="A9" s="3" t="s">
        <v>11</v>
      </c>
    </row>
    <row r="10" spans="1:14" s="1" customFormat="1" x14ac:dyDescent="0.35">
      <c r="A10" s="12" t="s">
        <v>12</v>
      </c>
      <c r="B10" s="12" t="s">
        <v>2</v>
      </c>
      <c r="C10" s="12" t="s">
        <v>4</v>
      </c>
      <c r="D10" s="12" t="s">
        <v>6</v>
      </c>
      <c r="E10" s="12" t="s">
        <v>7</v>
      </c>
      <c r="F10" s="12" t="s">
        <v>13</v>
      </c>
      <c r="G10" s="12" t="s">
        <v>14</v>
      </c>
      <c r="H10" s="12" t="s">
        <v>15</v>
      </c>
      <c r="I10" s="12" t="s">
        <v>16</v>
      </c>
      <c r="J10" s="12" t="s">
        <v>17</v>
      </c>
      <c r="K10" s="12" t="s">
        <v>18</v>
      </c>
      <c r="L10" s="12" t="s">
        <v>19</v>
      </c>
      <c r="M10" s="12" t="s">
        <v>20</v>
      </c>
      <c r="N10" s="12" t="s">
        <v>21</v>
      </c>
    </row>
    <row r="11" spans="1:14" s="1" customFormat="1" x14ac:dyDescent="0.35">
      <c r="A11" s="1" t="str">
        <f>B3</f>
        <v>Iron (Fe) global market</v>
      </c>
      <c r="B11" s="1" t="str">
        <f>B4</f>
        <v>Steel</v>
      </c>
      <c r="C11" s="1" t="str">
        <f>B5</f>
        <v>GLO</v>
      </c>
      <c r="D11" s="1">
        <v>1</v>
      </c>
      <c r="E11" s="1" t="str">
        <f>B7</f>
        <v>kilogram</v>
      </c>
      <c r="F11" s="9" t="str">
        <f>B1</f>
        <v>Iron</v>
      </c>
      <c r="G11" s="1" t="s">
        <v>22</v>
      </c>
    </row>
    <row r="12" spans="1:14" s="1" customFormat="1" x14ac:dyDescent="0.35">
      <c r="A12" s="1" t="str">
        <f>PR1_CrudeSteel_BR!A93</f>
        <v>Iron ore mining and steel production in Brazil</v>
      </c>
      <c r="B12" s="1" t="str">
        <f>PR1_CrudeSteel_BR!B93</f>
        <v>Steel</v>
      </c>
      <c r="C12" s="1" t="str">
        <f>PR1_CrudeSteel_BR!C93</f>
        <v>BR</v>
      </c>
      <c r="D12" s="1">
        <v>2.1149674317622769E-2</v>
      </c>
      <c r="E12" s="1" t="str">
        <f>PR1_CrudeSteel_BR!E93</f>
        <v>kilogram</v>
      </c>
      <c r="F12" s="9" t="str">
        <f>PR1_CrudeSteel_BR!F93</f>
        <v>Iron</v>
      </c>
      <c r="G12" s="1" t="s">
        <v>28</v>
      </c>
    </row>
    <row r="13" spans="1:14" s="1" customFormat="1" x14ac:dyDescent="0.35">
      <c r="A13" s="1" t="str">
        <f>PR2_SteelAHSS_CN!A56</f>
        <v>Iron ore mining and steel (AHSS) production in China</v>
      </c>
      <c r="B13" s="1" t="str">
        <f>PR2_SteelAHSS_CN!B56</f>
        <v>Steel</v>
      </c>
      <c r="C13" s="1" t="str">
        <f>PR2_SteelAHSS_CN!C56</f>
        <v>CN</v>
      </c>
      <c r="D13" s="1">
        <v>0.53226101489300881</v>
      </c>
      <c r="E13" s="1" t="str">
        <f>PR2_SteelAHSS_CN!E56</f>
        <v>kilogram</v>
      </c>
      <c r="F13" s="9" t="str">
        <f>PR2_SteelAHSS_CN!F56</f>
        <v>Iron</v>
      </c>
      <c r="G13" s="1" t="s">
        <v>28</v>
      </c>
    </row>
    <row r="14" spans="1:14" s="1" customFormat="1" x14ac:dyDescent="0.35">
      <c r="A14" s="1" t="str">
        <f>PR3_Steel_CN_Shandong!A124</f>
        <v>Steel billet production in China/Shandong</v>
      </c>
      <c r="B14" s="1" t="str">
        <f>PR3_Steel_CN_Shandong!B124</f>
        <v>Steel</v>
      </c>
      <c r="C14" s="1" t="str">
        <f>PR3_Steel_CN_Shandong!C124</f>
        <v>CN</v>
      </c>
      <c r="D14" s="1">
        <v>6.3138910426216947E-3</v>
      </c>
      <c r="E14" s="1" t="str">
        <f>PR3_Steel_CN_Shandong!E124</f>
        <v>kilogram</v>
      </c>
      <c r="F14" s="9" t="str">
        <f>PR3_Steel_CN_Shandong!F124</f>
        <v>Iron</v>
      </c>
      <c r="G14" s="1" t="s">
        <v>28</v>
      </c>
    </row>
    <row r="15" spans="1:14" s="1" customFormat="1" x14ac:dyDescent="0.35">
      <c r="A15" s="1" t="str">
        <f>PR4_CrudeSteel_CN!A146</f>
        <v>Crude steel production in China through Blast Furnace-Basic Oxygen Furnace (BF-BOF)</v>
      </c>
      <c r="B15" s="1" t="str">
        <f>PR4_CrudeSteel_CN!B146</f>
        <v>Steel</v>
      </c>
      <c r="C15" s="1" t="str">
        <f>PR4_CrudeSteel_CN!C146</f>
        <v>CN</v>
      </c>
      <c r="D15" s="1">
        <v>4.6407099163269461E-2</v>
      </c>
      <c r="E15" s="1" t="str">
        <f>PR4_CrudeSteel_CN!E146</f>
        <v>kilogram</v>
      </c>
      <c r="F15" s="9" t="str">
        <f>PR4_CrudeSteel_CN!F146</f>
        <v>Iron</v>
      </c>
      <c r="G15" s="1" t="s">
        <v>28</v>
      </c>
    </row>
    <row r="16" spans="1:14" s="1" customFormat="1" x14ac:dyDescent="0.35">
      <c r="A16" s="1" t="str">
        <f>PR5_FeLiquid_CN!A76</f>
        <v>Liquid iron production in China</v>
      </c>
      <c r="B16" s="1" t="str">
        <f>PR5_FeLiquid_CN!B76</f>
        <v>Steel</v>
      </c>
      <c r="C16" s="1" t="str">
        <f>PR5_FeLiquid_CN!C76</f>
        <v>CN</v>
      </c>
      <c r="D16" s="1">
        <v>4.6407099163269461E-2</v>
      </c>
      <c r="E16" s="1" t="str">
        <f>PR5_FeLiquid_CN!E76</f>
        <v>kilogram</v>
      </c>
      <c r="F16" s="9" t="str">
        <f>PR5_FeLiquid_CN!F76</f>
        <v>Iron</v>
      </c>
      <c r="G16" s="1" t="s">
        <v>28</v>
      </c>
    </row>
    <row r="17" spans="1:7" s="1" customFormat="1" x14ac:dyDescent="0.35">
      <c r="A17" s="1" t="str">
        <f>PR6_Steel_IT!A137</f>
        <v>Steel production in Italy</v>
      </c>
      <c r="B17" s="1" t="str">
        <f>PR6_Steel_IT!B137</f>
        <v>Steel</v>
      </c>
      <c r="C17" s="1" t="str">
        <f>PR6_Steel_IT!C137</f>
        <v>IT</v>
      </c>
      <c r="D17" s="1">
        <v>1.3396861151338764E-2</v>
      </c>
      <c r="E17" s="1" t="str">
        <f>PR6_Steel_IT!E137</f>
        <v>kilogram</v>
      </c>
      <c r="F17" s="9" t="str">
        <f>PR6_Steel_IT!F137</f>
        <v>Iron</v>
      </c>
      <c r="G17" s="1" t="s">
        <v>28</v>
      </c>
    </row>
    <row r="18" spans="1:7" s="1" customFormat="1" x14ac:dyDescent="0.35">
      <c r="A18" s="1" t="str">
        <f>PR7_CrudeSteel_IN!A34</f>
        <v>Steel production in India</v>
      </c>
      <c r="B18" s="1" t="str">
        <f>PR7_CrudeSteel_IN!B34</f>
        <v>Steel</v>
      </c>
      <c r="C18" s="1" t="str">
        <f>PR7_CrudeSteel_IN!C34</f>
        <v>IN</v>
      </c>
      <c r="D18" s="1">
        <v>7.7714199178830878E-2</v>
      </c>
      <c r="E18" s="1" t="str">
        <f>PR7_CrudeSteel_IN!E34</f>
        <v>kilogram</v>
      </c>
      <c r="F18" s="9" t="str">
        <f>PR7_CrudeSteel_IN!F34</f>
        <v>Iron</v>
      </c>
      <c r="G18" s="1" t="s">
        <v>28</v>
      </c>
    </row>
    <row r="19" spans="1:7" s="1" customFormat="1" x14ac:dyDescent="0.35">
      <c r="A19" s="1" t="str">
        <f>PR8_CrudeSteel_DE!A41</f>
        <v>Steel production in Germany</v>
      </c>
      <c r="B19" s="1" t="str">
        <f>PR8_CrudeSteel_DE!B41</f>
        <v>Steel</v>
      </c>
      <c r="C19" s="1" t="str">
        <f>PR8_CrudeSteel_DE!C41</f>
        <v>DE</v>
      </c>
      <c r="D19" s="1">
        <v>2.2824281961540117E-2</v>
      </c>
      <c r="E19" s="1" t="str">
        <f>PR8_CrudeSteel_DE!E41</f>
        <v>kilogram</v>
      </c>
      <c r="F19" s="9" t="str">
        <f>PR8_CrudeSteel_DE!F41</f>
        <v>Iron</v>
      </c>
      <c r="G19" s="1" t="s">
        <v>28</v>
      </c>
    </row>
    <row r="20" spans="1:7" s="1" customFormat="1" x14ac:dyDescent="0.35">
      <c r="A20" s="1" t="str">
        <f>PR9_CrudeSteel_KR!A27</f>
        <v>Steel production in Korea</v>
      </c>
      <c r="B20" s="1" t="str">
        <f>PR9_CrudeSteel_KR!B27</f>
        <v>Steel</v>
      </c>
      <c r="C20" s="1" t="str">
        <f>PR9_CrudeSteel_KR!C27</f>
        <v>KR</v>
      </c>
      <c r="D20" s="1">
        <v>4.0810808507319003E-2</v>
      </c>
      <c r="E20" s="1" t="str">
        <f>PR9_CrudeSteel_KR!E27</f>
        <v>kilogram</v>
      </c>
      <c r="F20" s="9" t="str">
        <f>PR9_CrudeSteel_KR!F27</f>
        <v>Iron</v>
      </c>
      <c r="G20" s="1" t="s">
        <v>28</v>
      </c>
    </row>
    <row r="21" spans="1:7" s="1" customFormat="1" x14ac:dyDescent="0.35">
      <c r="A21" s="1" t="str">
        <f>PR10_CrudeSteel_RU!A29</f>
        <v>Steel production in Russia</v>
      </c>
      <c r="B21" s="1" t="str">
        <f>PR10_CrudeSteel_RU!B29</f>
        <v>Steel</v>
      </c>
      <c r="C21" s="1" t="str">
        <f>PR10_CrudeSteel_RU!C29</f>
        <v>RU</v>
      </c>
      <c r="D21" s="1">
        <v>4.4346091311144517E-2</v>
      </c>
      <c r="E21" s="1" t="str">
        <f>PR10_CrudeSteel_RU!E29</f>
        <v>kilogram</v>
      </c>
      <c r="F21" s="9" t="str">
        <f>PR10_CrudeSteel_RU!F29</f>
        <v>Iron</v>
      </c>
      <c r="G21" s="1" t="s">
        <v>28</v>
      </c>
    </row>
    <row r="22" spans="1:7" s="1" customFormat="1" x14ac:dyDescent="0.35">
      <c r="A22" s="1" t="str">
        <f>PR11_CrudeSteel_TR!A48</f>
        <v>Steel production in Turkey</v>
      </c>
      <c r="B22" s="1" t="str">
        <f>PR11_CrudeSteel_TR!B48</f>
        <v>Steel</v>
      </c>
      <c r="C22" s="1" t="str">
        <f>PR11_CrudeSteel_TR!C48</f>
        <v>TR</v>
      </c>
      <c r="D22" s="1">
        <v>2.1769899370925491E-2</v>
      </c>
      <c r="E22" s="1" t="str">
        <f>PR11_CrudeSteel_TR!E48</f>
        <v>kilogram</v>
      </c>
      <c r="F22" s="9" t="str">
        <f>PR11_CrudeSteel_TR!F48</f>
        <v>Iron</v>
      </c>
      <c r="G22" s="1" t="s">
        <v>28</v>
      </c>
    </row>
    <row r="23" spans="1:7" s="1" customFormat="1" x14ac:dyDescent="0.35">
      <c r="A23" s="1" t="str">
        <f>PR12_Fe_CN_Recycling_CDW!A36</f>
        <v>Fe production in China through C&amp;D wastes recycling</v>
      </c>
      <c r="B23" s="1" t="str">
        <f>PR12_Fe_CN_Recycling_CDW!B36</f>
        <v>Steel</v>
      </c>
      <c r="C23" s="1" t="str">
        <f>PR12_Fe_CN_Recycling_CDW!C36</f>
        <v>CN</v>
      </c>
      <c r="D23" s="1">
        <v>0.10680142722599521</v>
      </c>
      <c r="E23" s="1" t="str">
        <f>PR12_Fe_CN_Recycling_CDW!E36</f>
        <v>kilogram</v>
      </c>
      <c r="F23" s="9" t="str">
        <f>PR12_Fe_CN_Recycling_CDW!F36</f>
        <v>Iron</v>
      </c>
      <c r="G23" s="1" t="s">
        <v>28</v>
      </c>
    </row>
    <row r="24" spans="1:7" s="1" customFormat="1" x14ac:dyDescent="0.35">
      <c r="A24" s="1" t="str">
        <f>PR13_Fe_CN_Recycling_ELV!A35</f>
        <v>Fe production in China through ELV wastes recycling</v>
      </c>
      <c r="B24" s="1" t="str">
        <f>PR13_Fe_CN_Recycling_ELV!B35</f>
        <v>Steel</v>
      </c>
      <c r="C24" s="1" t="str">
        <f>PR13_Fe_CN_Recycling_ELV!C35</f>
        <v>CN</v>
      </c>
      <c r="D24" s="1">
        <v>1.9797652713113748E-2</v>
      </c>
      <c r="E24" s="1" t="str">
        <f>PR13_Fe_CN_Recycling_ELV!E35</f>
        <v>kilogram</v>
      </c>
      <c r="F24" s="9" t="str">
        <f>PR13_Fe_CN_Recycling_ELV!F35</f>
        <v>Iron</v>
      </c>
      <c r="G24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65CC-D35E-45BF-BC1C-0112F191CB94}">
  <sheetPr>
    <tabColor theme="8" tint="0.39997558519241921"/>
  </sheetPr>
  <dimension ref="A1:N88"/>
  <sheetViews>
    <sheetView zoomScaleNormal="100" workbookViewId="0">
      <selection activeCell="F88" sqref="F88"/>
    </sheetView>
  </sheetViews>
  <sheetFormatPr baseColWidth="10" defaultColWidth="48.36328125" defaultRowHeight="14.5" x14ac:dyDescent="0.35"/>
  <cols>
    <col min="1" max="1" width="50.90625" style="7" bestFit="1" customWidth="1"/>
    <col min="2" max="2" width="51.1796875" style="7" bestFit="1" customWidth="1"/>
    <col min="3" max="3" width="7.6328125" style="7" bestFit="1" customWidth="1"/>
    <col min="4" max="4" width="7.81640625" style="7" bestFit="1" customWidth="1"/>
    <col min="5" max="5" width="11.90625" style="7" bestFit="1" customWidth="1"/>
    <col min="6" max="6" width="18.36328125" style="7" bestFit="1" customWidth="1"/>
    <col min="7" max="7" width="12.26953125" style="7" bestFit="1" customWidth="1"/>
    <col min="8" max="8" width="23.81640625" style="7" bestFit="1" customWidth="1"/>
    <col min="9" max="9" width="14.6328125" style="7" bestFit="1" customWidth="1"/>
    <col min="10" max="10" width="8.90625" style="7" bestFit="1" customWidth="1"/>
    <col min="11" max="11" width="3.36328125" style="7" bestFit="1" customWidth="1"/>
    <col min="12" max="12" width="5" style="7" bestFit="1" customWidth="1"/>
    <col min="13" max="13" width="8.90625" style="7" bestFit="1" customWidth="1"/>
    <col min="14" max="14" width="9.26953125" style="7" bestFit="1" customWidth="1"/>
    <col min="15" max="16384" width="48.36328125" style="7"/>
  </cols>
  <sheetData>
    <row r="1" spans="1:14" s="1" customFormat="1" x14ac:dyDescent="0.35">
      <c r="A1" s="2" t="s">
        <v>0</v>
      </c>
      <c r="B1" s="2" t="s">
        <v>77</v>
      </c>
    </row>
    <row r="2" spans="1:14" s="1" customFormat="1" x14ac:dyDescent="0.35">
      <c r="A2" s="3" t="s">
        <v>2</v>
      </c>
      <c r="B2" s="1" t="s">
        <v>3</v>
      </c>
    </row>
    <row r="3" spans="1:14" s="1" customFormat="1" x14ac:dyDescent="0.35">
      <c r="A3" s="3" t="s">
        <v>4</v>
      </c>
      <c r="B3" s="1" t="s">
        <v>78</v>
      </c>
    </row>
    <row r="4" spans="1:14" s="1" customFormat="1" x14ac:dyDescent="0.35">
      <c r="A4" s="3" t="s">
        <v>6</v>
      </c>
      <c r="B4" s="1">
        <v>1</v>
      </c>
    </row>
    <row r="5" spans="1:14" s="1" customFormat="1" x14ac:dyDescent="0.35">
      <c r="A5" s="3" t="s">
        <v>7</v>
      </c>
      <c r="B5" s="1" t="s">
        <v>8</v>
      </c>
    </row>
    <row r="6" spans="1:14" s="1" customFormat="1" x14ac:dyDescent="0.35">
      <c r="A6" s="3" t="s">
        <v>9</v>
      </c>
      <c r="B6" s="1" t="s">
        <v>10</v>
      </c>
    </row>
    <row r="7" spans="1:14" s="1" customFormat="1" x14ac:dyDescent="0.35">
      <c r="A7" s="3" t="s">
        <v>11</v>
      </c>
    </row>
    <row r="8" spans="1:14" s="1" customFormat="1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s="1" customFormat="1" x14ac:dyDescent="0.35">
      <c r="A9" s="1" t="str">
        <f>B1</f>
        <v>[M+C] Iron (Fe) ore mining and concentration (Australia)</v>
      </c>
      <c r="B9" s="1" t="str">
        <f>B2</f>
        <v>Fe concentrate</v>
      </c>
      <c r="C9" s="1" t="str">
        <f>B3</f>
        <v>AU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s="1" customFormat="1" x14ac:dyDescent="0.35">
      <c r="A10" s="1" t="s">
        <v>23</v>
      </c>
      <c r="B10" s="1" t="s">
        <v>24</v>
      </c>
      <c r="C10" s="1" t="s">
        <v>25</v>
      </c>
      <c r="D10" s="1">
        <v>1.3500000000000001E-3</v>
      </c>
      <c r="E10" s="1" t="s">
        <v>26</v>
      </c>
      <c r="F10" s="1" t="s">
        <v>27</v>
      </c>
      <c r="G10" s="1" t="s">
        <v>28</v>
      </c>
      <c r="J10" s="1" t="s">
        <v>79</v>
      </c>
    </row>
    <row r="11" spans="1:14" s="1" customFormat="1" x14ac:dyDescent="0.35">
      <c r="A11" s="1" t="s">
        <v>36</v>
      </c>
      <c r="B11" s="1" t="s">
        <v>37</v>
      </c>
      <c r="C11" s="1" t="s">
        <v>25</v>
      </c>
      <c r="D11" s="1">
        <v>5.0000000000000001E-4</v>
      </c>
      <c r="E11" s="1" t="s">
        <v>8</v>
      </c>
      <c r="F11" s="1" t="s">
        <v>27</v>
      </c>
      <c r="G11" s="1" t="s">
        <v>28</v>
      </c>
      <c r="J11" s="1" t="s">
        <v>79</v>
      </c>
    </row>
    <row r="12" spans="1:14" s="1" customFormat="1" x14ac:dyDescent="0.35">
      <c r="A12" s="1" t="s">
        <v>23</v>
      </c>
      <c r="B12" s="1" t="s">
        <v>24</v>
      </c>
      <c r="C12" s="1" t="s">
        <v>25</v>
      </c>
      <c r="D12" s="1">
        <v>9.9000000000000019E-2</v>
      </c>
      <c r="E12" s="1" t="s">
        <v>26</v>
      </c>
      <c r="F12" s="1" t="s">
        <v>27</v>
      </c>
      <c r="G12" s="1" t="s">
        <v>28</v>
      </c>
      <c r="J12" s="1" t="s">
        <v>79</v>
      </c>
    </row>
    <row r="13" spans="1:14" s="1" customFormat="1" x14ac:dyDescent="0.35">
      <c r="A13" s="1" t="s">
        <v>80</v>
      </c>
      <c r="B13" s="1" t="s">
        <v>34</v>
      </c>
      <c r="C13" s="1" t="s">
        <v>78</v>
      </c>
      <c r="D13" s="1">
        <v>2.5000000000000001E-3</v>
      </c>
      <c r="E13" s="1" t="s">
        <v>35</v>
      </c>
      <c r="F13" s="1" t="s">
        <v>27</v>
      </c>
      <c r="G13" s="1" t="s">
        <v>28</v>
      </c>
      <c r="J13" s="1" t="s">
        <v>79</v>
      </c>
    </row>
    <row r="14" spans="1:14" s="1" customFormat="1" x14ac:dyDescent="0.35">
      <c r="A14" s="1" t="s">
        <v>80</v>
      </c>
      <c r="B14" s="1" t="s">
        <v>34</v>
      </c>
      <c r="C14" s="1" t="s">
        <v>78</v>
      </c>
      <c r="D14" s="1">
        <v>5.0000000000000001E-4</v>
      </c>
      <c r="E14" s="1" t="s">
        <v>35</v>
      </c>
      <c r="F14" s="1" t="s">
        <v>27</v>
      </c>
      <c r="G14" s="1" t="s">
        <v>28</v>
      </c>
      <c r="J14" s="1" t="s">
        <v>79</v>
      </c>
    </row>
    <row r="15" spans="1:14" s="1" customFormat="1" x14ac:dyDescent="0.35">
      <c r="A15" s="1" t="s">
        <v>23</v>
      </c>
      <c r="B15" s="1" t="s">
        <v>24</v>
      </c>
      <c r="C15" s="1" t="s">
        <v>25</v>
      </c>
      <c r="D15" s="1">
        <v>2.2499999999999999E-2</v>
      </c>
      <c r="E15" s="1" t="s">
        <v>26</v>
      </c>
      <c r="F15" s="1" t="s">
        <v>27</v>
      </c>
      <c r="G15" s="1" t="s">
        <v>28</v>
      </c>
      <c r="J15" s="1" t="s">
        <v>79</v>
      </c>
    </row>
    <row r="16" spans="1:14" s="1" customFormat="1" x14ac:dyDescent="0.35">
      <c r="A16" s="1" t="s">
        <v>80</v>
      </c>
      <c r="B16" s="1" t="s">
        <v>34</v>
      </c>
      <c r="C16" s="1" t="s">
        <v>78</v>
      </c>
      <c r="D16" s="1">
        <v>8.0000000000000004E-4</v>
      </c>
      <c r="E16" s="1" t="s">
        <v>35</v>
      </c>
      <c r="F16" s="1" t="s">
        <v>27</v>
      </c>
      <c r="G16" s="1" t="s">
        <v>28</v>
      </c>
      <c r="J16" s="1" t="s">
        <v>79</v>
      </c>
    </row>
    <row r="17" spans="1:14" s="1" customFormat="1" x14ac:dyDescent="0.35">
      <c r="A17" s="1" t="s">
        <v>81</v>
      </c>
      <c r="B17" s="1" t="s">
        <v>82</v>
      </c>
      <c r="C17" s="1" t="s">
        <v>25</v>
      </c>
      <c r="D17" s="1">
        <v>-1.2999999999999999E-3</v>
      </c>
      <c r="E17" s="1" t="s">
        <v>8</v>
      </c>
      <c r="F17" s="1" t="s">
        <v>27</v>
      </c>
      <c r="G17" s="1" t="s">
        <v>28</v>
      </c>
      <c r="J17" s="1" t="s">
        <v>79</v>
      </c>
    </row>
    <row r="18" spans="1:14" s="1" customFormat="1" x14ac:dyDescent="0.35">
      <c r="A18" s="1" t="s">
        <v>75</v>
      </c>
      <c r="D18" s="1">
        <v>2.1000000000000001E-4</v>
      </c>
      <c r="E18" s="1" t="s">
        <v>76</v>
      </c>
      <c r="F18" s="1" t="s">
        <v>64</v>
      </c>
      <c r="G18" s="1" t="s">
        <v>65</v>
      </c>
      <c r="H18" s="1" t="s">
        <v>74</v>
      </c>
      <c r="J18" s="1" t="s">
        <v>79</v>
      </c>
    </row>
    <row r="19" spans="1:14" s="11" customFormat="1" x14ac:dyDescent="0.35"/>
    <row r="20" spans="1:14" s="1" customFormat="1" x14ac:dyDescent="0.35">
      <c r="A20" s="2" t="s">
        <v>0</v>
      </c>
      <c r="B20" s="2" t="s">
        <v>241</v>
      </c>
    </row>
    <row r="21" spans="1:14" s="1" customFormat="1" x14ac:dyDescent="0.35">
      <c r="A21" s="3" t="s">
        <v>2</v>
      </c>
      <c r="B21" s="1" t="s">
        <v>3</v>
      </c>
    </row>
    <row r="22" spans="1:14" s="1" customFormat="1" x14ac:dyDescent="0.35">
      <c r="A22" s="3" t="s">
        <v>4</v>
      </c>
      <c r="B22" s="1" t="s">
        <v>242</v>
      </c>
    </row>
    <row r="23" spans="1:14" s="1" customFormat="1" x14ac:dyDescent="0.35">
      <c r="A23" s="3" t="s">
        <v>6</v>
      </c>
      <c r="B23" s="1">
        <v>1</v>
      </c>
    </row>
    <row r="24" spans="1:14" s="1" customFormat="1" x14ac:dyDescent="0.35">
      <c r="A24" s="3" t="s">
        <v>7</v>
      </c>
      <c r="B24" s="1" t="s">
        <v>8</v>
      </c>
    </row>
    <row r="25" spans="1:14" s="1" customFormat="1" x14ac:dyDescent="0.35">
      <c r="A25" s="3" t="s">
        <v>9</v>
      </c>
      <c r="B25" s="1" t="s">
        <v>10</v>
      </c>
    </row>
    <row r="26" spans="1:14" s="1" customFormat="1" x14ac:dyDescent="0.35">
      <c r="A26" s="3" t="s">
        <v>11</v>
      </c>
    </row>
    <row r="27" spans="1:14" s="1" customFormat="1" x14ac:dyDescent="0.35">
      <c r="A27" s="2" t="s">
        <v>12</v>
      </c>
      <c r="B27" s="2" t="s">
        <v>2</v>
      </c>
      <c r="C27" s="2" t="s">
        <v>4</v>
      </c>
      <c r="D27" s="2" t="s">
        <v>6</v>
      </c>
      <c r="E27" s="2" t="s">
        <v>7</v>
      </c>
      <c r="F27" s="2" t="s">
        <v>13</v>
      </c>
      <c r="G27" s="2" t="s">
        <v>14</v>
      </c>
      <c r="H27" s="2" t="s">
        <v>15</v>
      </c>
      <c r="I27" s="2" t="s">
        <v>16</v>
      </c>
      <c r="J27" s="2" t="s">
        <v>17</v>
      </c>
      <c r="K27" s="2" t="s">
        <v>18</v>
      </c>
      <c r="L27" s="2" t="s">
        <v>19</v>
      </c>
      <c r="M27" s="2" t="s">
        <v>20</v>
      </c>
      <c r="N27" s="2" t="s">
        <v>21</v>
      </c>
    </row>
    <row r="28" spans="1:14" s="1" customFormat="1" x14ac:dyDescent="0.35">
      <c r="A28" s="1" t="str">
        <f>B20</f>
        <v>[M+C] Iron (Fe) ore mining and concentration (Canada)</v>
      </c>
      <c r="B28" s="1" t="str">
        <f>B21</f>
        <v>Fe concentrate</v>
      </c>
      <c r="C28" s="1" t="str">
        <f>B22</f>
        <v>CA</v>
      </c>
      <c r="D28" s="1">
        <v>1</v>
      </c>
      <c r="E28" s="1" t="s">
        <v>8</v>
      </c>
      <c r="F28" s="9" t="str">
        <f>F9</f>
        <v>Iron</v>
      </c>
      <c r="G28" s="1" t="s">
        <v>22</v>
      </c>
    </row>
    <row r="29" spans="1:14" s="1" customFormat="1" x14ac:dyDescent="0.35">
      <c r="A29" s="1" t="s">
        <v>23</v>
      </c>
      <c r="B29" s="1" t="s">
        <v>24</v>
      </c>
      <c r="C29" s="1" t="s">
        <v>25</v>
      </c>
      <c r="D29" s="1">
        <v>5.8999999999999997E-2</v>
      </c>
      <c r="E29" s="1" t="s">
        <v>26</v>
      </c>
      <c r="F29" s="1" t="s">
        <v>27</v>
      </c>
      <c r="G29" s="1" t="s">
        <v>28</v>
      </c>
      <c r="J29" s="1" t="s">
        <v>243</v>
      </c>
    </row>
    <row r="30" spans="1:14" s="1" customFormat="1" x14ac:dyDescent="0.35">
      <c r="A30" s="1" t="s">
        <v>33</v>
      </c>
      <c r="B30" s="1" t="s">
        <v>34</v>
      </c>
      <c r="C30" s="1" t="s">
        <v>242</v>
      </c>
      <c r="D30" s="1">
        <v>2.3999999999999998E-3</v>
      </c>
      <c r="E30" s="1" t="s">
        <v>35</v>
      </c>
      <c r="F30" s="1" t="s">
        <v>27</v>
      </c>
      <c r="G30" s="1" t="s">
        <v>28</v>
      </c>
      <c r="J30" s="1" t="s">
        <v>243</v>
      </c>
    </row>
    <row r="31" spans="1:14" s="1" customFormat="1" x14ac:dyDescent="0.35">
      <c r="A31" s="1" t="s">
        <v>36</v>
      </c>
      <c r="B31" s="1" t="s">
        <v>37</v>
      </c>
      <c r="C31" s="1" t="s">
        <v>25</v>
      </c>
      <c r="D31" s="1">
        <v>4.7000000000000002E-3</v>
      </c>
      <c r="E31" s="1" t="s">
        <v>8</v>
      </c>
      <c r="F31" s="1" t="s">
        <v>27</v>
      </c>
      <c r="G31" s="1" t="s">
        <v>28</v>
      </c>
      <c r="J31" s="1" t="s">
        <v>243</v>
      </c>
    </row>
    <row r="32" spans="1:14" s="1" customFormat="1" x14ac:dyDescent="0.35">
      <c r="A32" s="1" t="s">
        <v>244</v>
      </c>
      <c r="B32" s="1" t="s">
        <v>245</v>
      </c>
      <c r="C32" s="1" t="s">
        <v>25</v>
      </c>
      <c r="D32" s="1">
        <v>2.4E-10</v>
      </c>
      <c r="E32" s="1" t="s">
        <v>8</v>
      </c>
      <c r="F32" s="1" t="s">
        <v>27</v>
      </c>
      <c r="G32" s="1" t="s">
        <v>28</v>
      </c>
      <c r="J32" s="1" t="s">
        <v>243</v>
      </c>
    </row>
    <row r="33" spans="1:14" s="1" customFormat="1" x14ac:dyDescent="0.35">
      <c r="A33" s="1" t="s">
        <v>75</v>
      </c>
      <c r="D33" s="1">
        <v>2.0000000000000001E-4</v>
      </c>
      <c r="E33" s="1" t="s">
        <v>76</v>
      </c>
      <c r="F33" s="1" t="s">
        <v>64</v>
      </c>
      <c r="G33" s="1" t="s">
        <v>65</v>
      </c>
      <c r="H33" s="1" t="s">
        <v>74</v>
      </c>
      <c r="J33" s="1" t="s">
        <v>243</v>
      </c>
    </row>
    <row r="34" spans="1:14" s="1" customFormat="1" x14ac:dyDescent="0.35">
      <c r="A34" s="1" t="s">
        <v>246</v>
      </c>
      <c r="D34" s="1">
        <v>1.2999999999999999E-3</v>
      </c>
      <c r="E34" s="1" t="s">
        <v>8</v>
      </c>
      <c r="F34" s="1" t="s">
        <v>64</v>
      </c>
      <c r="G34" s="1" t="s">
        <v>65</v>
      </c>
      <c r="H34" s="1" t="s">
        <v>112</v>
      </c>
      <c r="J34" s="1" t="s">
        <v>243</v>
      </c>
    </row>
    <row r="35" spans="1:14" s="1" customFormat="1" x14ac:dyDescent="0.35">
      <c r="A35" s="1" t="s">
        <v>247</v>
      </c>
      <c r="D35" s="1">
        <v>1.4E-3</v>
      </c>
      <c r="E35" s="1" t="s">
        <v>8</v>
      </c>
      <c r="F35" s="1" t="s">
        <v>64</v>
      </c>
      <c r="G35" s="1" t="s">
        <v>65</v>
      </c>
      <c r="H35" s="1" t="s">
        <v>112</v>
      </c>
      <c r="J35" s="1" t="s">
        <v>243</v>
      </c>
    </row>
    <row r="36" spans="1:14" s="1" customFormat="1" x14ac:dyDescent="0.35">
      <c r="A36" s="1" t="s">
        <v>113</v>
      </c>
      <c r="D36" s="1">
        <v>1.3999999999999999E-4</v>
      </c>
      <c r="E36" s="1" t="s">
        <v>8</v>
      </c>
      <c r="F36" s="1" t="s">
        <v>64</v>
      </c>
      <c r="G36" s="1" t="s">
        <v>65</v>
      </c>
      <c r="H36" s="1" t="s">
        <v>112</v>
      </c>
      <c r="J36" s="1" t="s">
        <v>243</v>
      </c>
    </row>
    <row r="37" spans="1:14" s="11" customFormat="1" x14ac:dyDescent="0.35"/>
    <row r="38" spans="1:14" s="1" customFormat="1" x14ac:dyDescent="0.35">
      <c r="A38" s="2" t="s">
        <v>0</v>
      </c>
      <c r="B38" s="2" t="s">
        <v>248</v>
      </c>
    </row>
    <row r="39" spans="1:14" s="1" customFormat="1" x14ac:dyDescent="0.35">
      <c r="A39" s="3" t="s">
        <v>2</v>
      </c>
      <c r="B39" s="1" t="s">
        <v>3</v>
      </c>
    </row>
    <row r="40" spans="1:14" s="1" customFormat="1" x14ac:dyDescent="0.35">
      <c r="A40" s="3" t="s">
        <v>4</v>
      </c>
      <c r="B40" s="1" t="s">
        <v>249</v>
      </c>
    </row>
    <row r="41" spans="1:14" s="1" customFormat="1" x14ac:dyDescent="0.35">
      <c r="A41" s="3" t="s">
        <v>6</v>
      </c>
      <c r="B41" s="1">
        <v>1</v>
      </c>
    </row>
    <row r="42" spans="1:14" s="1" customFormat="1" x14ac:dyDescent="0.35">
      <c r="A42" s="3" t="s">
        <v>7</v>
      </c>
      <c r="B42" s="1" t="s">
        <v>8</v>
      </c>
    </row>
    <row r="43" spans="1:14" s="1" customFormat="1" x14ac:dyDescent="0.35">
      <c r="A43" s="3" t="s">
        <v>9</v>
      </c>
      <c r="B43" s="1" t="s">
        <v>10</v>
      </c>
    </row>
    <row r="44" spans="1:14" s="1" customFormat="1" x14ac:dyDescent="0.35">
      <c r="A44" s="3" t="s">
        <v>11</v>
      </c>
    </row>
    <row r="45" spans="1:14" s="1" customFormat="1" x14ac:dyDescent="0.35">
      <c r="A45" s="2" t="s">
        <v>12</v>
      </c>
      <c r="B45" s="2" t="s">
        <v>2</v>
      </c>
      <c r="C45" s="2" t="s">
        <v>4</v>
      </c>
      <c r="D45" s="2" t="s">
        <v>6</v>
      </c>
      <c r="E45" s="2" t="s">
        <v>7</v>
      </c>
      <c r="F45" s="2" t="s">
        <v>13</v>
      </c>
      <c r="G45" s="2" t="s">
        <v>14</v>
      </c>
      <c r="H45" s="2" t="s">
        <v>15</v>
      </c>
      <c r="I45" s="2" t="s">
        <v>16</v>
      </c>
      <c r="J45" s="2" t="s">
        <v>17</v>
      </c>
      <c r="K45" s="2" t="s">
        <v>18</v>
      </c>
      <c r="L45" s="2" t="s">
        <v>19</v>
      </c>
      <c r="M45" s="2" t="s">
        <v>20</v>
      </c>
      <c r="N45" s="2" t="s">
        <v>21</v>
      </c>
    </row>
    <row r="46" spans="1:14" s="1" customFormat="1" x14ac:dyDescent="0.35">
      <c r="A46" s="1" t="str">
        <f>B38</f>
        <v>[M+C] Iron (Fe) ore mining and concentration (South Africa)</v>
      </c>
      <c r="B46" s="1" t="str">
        <f>B39</f>
        <v>Fe concentrate</v>
      </c>
      <c r="C46" s="1" t="str">
        <f>B40</f>
        <v>ZA</v>
      </c>
      <c r="D46" s="1">
        <v>1</v>
      </c>
      <c r="E46" s="1" t="s">
        <v>8</v>
      </c>
      <c r="F46" s="9" t="str">
        <f>F28</f>
        <v>Iron</v>
      </c>
      <c r="G46" s="1" t="s">
        <v>22</v>
      </c>
    </row>
    <row r="47" spans="1:14" s="1" customFormat="1" x14ac:dyDescent="0.35">
      <c r="A47" s="1" t="s">
        <v>23</v>
      </c>
      <c r="B47" s="1" t="s">
        <v>24</v>
      </c>
      <c r="C47" s="1" t="s">
        <v>25</v>
      </c>
      <c r="D47" s="1">
        <v>5.8999999999999997E-2</v>
      </c>
      <c r="E47" s="1" t="s">
        <v>26</v>
      </c>
      <c r="F47" s="1" t="s">
        <v>27</v>
      </c>
      <c r="G47" s="1" t="s">
        <v>28</v>
      </c>
      <c r="J47" s="1" t="s">
        <v>243</v>
      </c>
    </row>
    <row r="48" spans="1:14" s="1" customFormat="1" x14ac:dyDescent="0.35">
      <c r="A48" s="1" t="s">
        <v>80</v>
      </c>
      <c r="B48" s="1" t="s">
        <v>34</v>
      </c>
      <c r="C48" s="1" t="s">
        <v>249</v>
      </c>
      <c r="D48" s="1">
        <v>2.5000000000000001E-3</v>
      </c>
      <c r="E48" s="1" t="s">
        <v>35</v>
      </c>
      <c r="F48" s="1" t="s">
        <v>27</v>
      </c>
      <c r="G48" s="1" t="s">
        <v>28</v>
      </c>
      <c r="J48" s="1" t="s">
        <v>243</v>
      </c>
    </row>
    <row r="49" spans="1:14" s="1" customFormat="1" x14ac:dyDescent="0.35">
      <c r="A49" s="1" t="s">
        <v>36</v>
      </c>
      <c r="B49" s="1" t="s">
        <v>37</v>
      </c>
      <c r="C49" s="1" t="s">
        <v>25</v>
      </c>
      <c r="D49" s="1">
        <v>4.7000000000000002E-3</v>
      </c>
      <c r="E49" s="1" t="s">
        <v>8</v>
      </c>
      <c r="F49" s="1" t="s">
        <v>27</v>
      </c>
      <c r="G49" s="1" t="s">
        <v>28</v>
      </c>
      <c r="J49" s="1" t="s">
        <v>243</v>
      </c>
    </row>
    <row r="50" spans="1:14" s="1" customFormat="1" x14ac:dyDescent="0.35">
      <c r="A50" s="1" t="s">
        <v>244</v>
      </c>
      <c r="B50" s="1" t="s">
        <v>245</v>
      </c>
      <c r="C50" s="1" t="s">
        <v>25</v>
      </c>
      <c r="D50" s="1">
        <v>2.4E-10</v>
      </c>
      <c r="E50" s="1" t="s">
        <v>8</v>
      </c>
      <c r="F50" s="1" t="s">
        <v>27</v>
      </c>
      <c r="G50" s="1" t="s">
        <v>28</v>
      </c>
      <c r="J50" s="1" t="s">
        <v>243</v>
      </c>
    </row>
    <row r="51" spans="1:14" s="1" customFormat="1" x14ac:dyDescent="0.35">
      <c r="A51" s="1" t="s">
        <v>75</v>
      </c>
      <c r="D51" s="1">
        <v>2.1000000000000001E-4</v>
      </c>
      <c r="E51" s="1" t="s">
        <v>76</v>
      </c>
      <c r="F51" s="1" t="s">
        <v>64</v>
      </c>
      <c r="G51" s="1" t="s">
        <v>65</v>
      </c>
      <c r="H51" s="1" t="s">
        <v>74</v>
      </c>
      <c r="J51" s="1" t="s">
        <v>243</v>
      </c>
    </row>
    <row r="52" spans="1:14" s="1" customFormat="1" x14ac:dyDescent="0.35">
      <c r="A52" s="1" t="s">
        <v>246</v>
      </c>
      <c r="D52" s="1">
        <v>1.3999999999999999E-4</v>
      </c>
      <c r="E52" s="1" t="s">
        <v>8</v>
      </c>
      <c r="F52" s="1" t="s">
        <v>64</v>
      </c>
      <c r="G52" s="1" t="s">
        <v>65</v>
      </c>
      <c r="H52" s="1" t="s">
        <v>112</v>
      </c>
      <c r="J52" s="1" t="s">
        <v>243</v>
      </c>
    </row>
    <row r="53" spans="1:14" s="1" customFormat="1" x14ac:dyDescent="0.35">
      <c r="A53" s="1" t="s">
        <v>247</v>
      </c>
      <c r="D53" s="1">
        <v>1.4E-3</v>
      </c>
      <c r="E53" s="1" t="s">
        <v>8</v>
      </c>
      <c r="F53" s="1" t="s">
        <v>64</v>
      </c>
      <c r="G53" s="1" t="s">
        <v>65</v>
      </c>
      <c r="H53" s="1" t="s">
        <v>112</v>
      </c>
      <c r="J53" s="1" t="s">
        <v>243</v>
      </c>
    </row>
    <row r="54" spans="1:14" s="1" customFormat="1" x14ac:dyDescent="0.35">
      <c r="A54" s="1" t="s">
        <v>113</v>
      </c>
      <c r="D54" s="1">
        <v>1.2999999999999999E-3</v>
      </c>
      <c r="E54" s="1" t="s">
        <v>8</v>
      </c>
      <c r="F54" s="1" t="s">
        <v>64</v>
      </c>
      <c r="G54" s="1" t="s">
        <v>65</v>
      </c>
      <c r="H54" s="1" t="s">
        <v>112</v>
      </c>
      <c r="J54" s="1" t="s">
        <v>243</v>
      </c>
    </row>
    <row r="55" spans="1:14" s="11" customFormat="1" x14ac:dyDescent="0.35"/>
    <row r="56" spans="1:14" s="1" customFormat="1" x14ac:dyDescent="0.35">
      <c r="A56" s="2" t="s">
        <v>0</v>
      </c>
      <c r="B56" s="2" t="s">
        <v>250</v>
      </c>
    </row>
    <row r="57" spans="1:14" s="1" customFormat="1" x14ac:dyDescent="0.35">
      <c r="A57" s="3" t="s">
        <v>2</v>
      </c>
      <c r="B57" s="1" t="s">
        <v>3</v>
      </c>
    </row>
    <row r="58" spans="1:14" s="1" customFormat="1" x14ac:dyDescent="0.35">
      <c r="A58" s="3" t="s">
        <v>4</v>
      </c>
      <c r="B58" s="1" t="s">
        <v>251</v>
      </c>
    </row>
    <row r="59" spans="1:14" s="1" customFormat="1" x14ac:dyDescent="0.35">
      <c r="A59" s="3" t="s">
        <v>6</v>
      </c>
      <c r="B59" s="1">
        <v>1</v>
      </c>
    </row>
    <row r="60" spans="1:14" s="1" customFormat="1" x14ac:dyDescent="0.35">
      <c r="A60" s="3" t="s">
        <v>7</v>
      </c>
      <c r="B60" s="1" t="s">
        <v>8</v>
      </c>
    </row>
    <row r="61" spans="1:14" s="1" customFormat="1" x14ac:dyDescent="0.35">
      <c r="A61" s="3" t="s">
        <v>9</v>
      </c>
      <c r="B61" s="1" t="s">
        <v>10</v>
      </c>
    </row>
    <row r="62" spans="1:14" s="1" customFormat="1" x14ac:dyDescent="0.35">
      <c r="A62" s="3" t="s">
        <v>11</v>
      </c>
    </row>
    <row r="63" spans="1:14" s="1" customFormat="1" x14ac:dyDescent="0.35">
      <c r="A63" s="2" t="s">
        <v>12</v>
      </c>
      <c r="B63" s="2" t="s">
        <v>2</v>
      </c>
      <c r="C63" s="2" t="s">
        <v>4</v>
      </c>
      <c r="D63" s="2" t="s">
        <v>6</v>
      </c>
      <c r="E63" s="2" t="s">
        <v>7</v>
      </c>
      <c r="F63" s="2" t="s">
        <v>13</v>
      </c>
      <c r="G63" s="2" t="s">
        <v>14</v>
      </c>
      <c r="H63" s="2" t="s">
        <v>15</v>
      </c>
      <c r="I63" s="2" t="s">
        <v>16</v>
      </c>
      <c r="J63" s="2" t="s">
        <v>17</v>
      </c>
      <c r="K63" s="2" t="s">
        <v>18</v>
      </c>
      <c r="L63" s="2" t="s">
        <v>19</v>
      </c>
      <c r="M63" s="2" t="s">
        <v>20</v>
      </c>
      <c r="N63" s="2" t="s">
        <v>21</v>
      </c>
    </row>
    <row r="64" spans="1:14" s="1" customFormat="1" x14ac:dyDescent="0.35">
      <c r="A64" s="1" t="str">
        <f>B56</f>
        <v>[M+C] Iron (Fe) ore mining and concentration (Ukraine)</v>
      </c>
      <c r="B64" s="1" t="str">
        <f>B57</f>
        <v>Fe concentrate</v>
      </c>
      <c r="C64" s="1" t="str">
        <f>B58</f>
        <v>UA</v>
      </c>
      <c r="D64" s="1">
        <v>1</v>
      </c>
      <c r="E64" s="1" t="s">
        <v>8</v>
      </c>
      <c r="F64" s="9" t="str">
        <f>F46</f>
        <v>Iron</v>
      </c>
      <c r="G64" s="1" t="s">
        <v>22</v>
      </c>
    </row>
    <row r="65" spans="1:10" s="1" customFormat="1" x14ac:dyDescent="0.35">
      <c r="A65" s="1" t="s">
        <v>23</v>
      </c>
      <c r="B65" s="1" t="s">
        <v>24</v>
      </c>
      <c r="C65" s="1" t="s">
        <v>25</v>
      </c>
      <c r="D65" s="1">
        <v>0.06</v>
      </c>
      <c r="E65" s="1" t="s">
        <v>26</v>
      </c>
      <c r="F65" s="1" t="s">
        <v>27</v>
      </c>
      <c r="G65" s="1" t="s">
        <v>28</v>
      </c>
      <c r="J65" s="1" t="s">
        <v>243</v>
      </c>
    </row>
    <row r="66" spans="1:10" s="1" customFormat="1" x14ac:dyDescent="0.35">
      <c r="A66" s="1" t="s">
        <v>80</v>
      </c>
      <c r="B66" s="1" t="s">
        <v>34</v>
      </c>
      <c r="C66" s="1" t="s">
        <v>251</v>
      </c>
      <c r="D66" s="1">
        <v>2.5000000000000001E-3</v>
      </c>
      <c r="E66" s="1" t="s">
        <v>35</v>
      </c>
      <c r="F66" s="1" t="s">
        <v>27</v>
      </c>
      <c r="G66" s="1" t="s">
        <v>28</v>
      </c>
      <c r="J66" s="1" t="s">
        <v>243</v>
      </c>
    </row>
    <row r="67" spans="1:10" s="1" customFormat="1" x14ac:dyDescent="0.35">
      <c r="A67" s="1" t="s">
        <v>36</v>
      </c>
      <c r="B67" s="1" t="s">
        <v>37</v>
      </c>
      <c r="C67" s="1" t="s">
        <v>25</v>
      </c>
      <c r="D67" s="1">
        <v>4.7999999999999996E-3</v>
      </c>
      <c r="E67" s="1" t="s">
        <v>8</v>
      </c>
      <c r="F67" s="1" t="s">
        <v>27</v>
      </c>
      <c r="G67" s="1" t="s">
        <v>28</v>
      </c>
      <c r="J67" s="1" t="s">
        <v>243</v>
      </c>
    </row>
    <row r="68" spans="1:10" s="1" customFormat="1" x14ac:dyDescent="0.35">
      <c r="A68" s="1" t="s">
        <v>244</v>
      </c>
      <c r="B68" s="1" t="s">
        <v>245</v>
      </c>
      <c r="C68" s="1" t="s">
        <v>25</v>
      </c>
      <c r="D68" s="1">
        <v>2.4E-10</v>
      </c>
      <c r="E68" s="1" t="s">
        <v>8</v>
      </c>
      <c r="F68" s="1" t="s">
        <v>27</v>
      </c>
      <c r="G68" s="1" t="s">
        <v>28</v>
      </c>
      <c r="J68" s="1" t="s">
        <v>243</v>
      </c>
    </row>
    <row r="69" spans="1:10" s="1" customFormat="1" x14ac:dyDescent="0.35">
      <c r="A69" s="1" t="s">
        <v>75</v>
      </c>
      <c r="D69" s="1">
        <v>2.1000000000000001E-4</v>
      </c>
      <c r="E69" s="1" t="s">
        <v>76</v>
      </c>
      <c r="F69" s="1" t="s">
        <v>64</v>
      </c>
      <c r="G69" s="1" t="s">
        <v>65</v>
      </c>
      <c r="H69" s="1" t="s">
        <v>74</v>
      </c>
      <c r="J69" s="1" t="s">
        <v>243</v>
      </c>
    </row>
    <row r="70" spans="1:10" s="1" customFormat="1" x14ac:dyDescent="0.35">
      <c r="A70" s="1" t="s">
        <v>246</v>
      </c>
      <c r="D70" s="1">
        <v>1.3999999999999999E-4</v>
      </c>
      <c r="E70" s="1" t="s">
        <v>8</v>
      </c>
      <c r="F70" s="1" t="s">
        <v>64</v>
      </c>
      <c r="G70" s="1" t="s">
        <v>65</v>
      </c>
      <c r="H70" s="1" t="s">
        <v>112</v>
      </c>
      <c r="J70" s="1" t="s">
        <v>243</v>
      </c>
    </row>
    <row r="71" spans="1:10" s="1" customFormat="1" x14ac:dyDescent="0.35">
      <c r="A71" s="1" t="s">
        <v>247</v>
      </c>
      <c r="D71" s="1">
        <v>1.5E-3</v>
      </c>
      <c r="E71" s="1" t="s">
        <v>8</v>
      </c>
      <c r="F71" s="1" t="s">
        <v>64</v>
      </c>
      <c r="G71" s="1" t="s">
        <v>65</v>
      </c>
      <c r="H71" s="1" t="s">
        <v>112</v>
      </c>
      <c r="J71" s="1" t="s">
        <v>243</v>
      </c>
    </row>
    <row r="72" spans="1:10" s="1" customFormat="1" x14ac:dyDescent="0.35">
      <c r="A72" s="1" t="s">
        <v>113</v>
      </c>
      <c r="D72" s="1">
        <v>1.2999999999999999E-3</v>
      </c>
      <c r="E72" s="1" t="s">
        <v>8</v>
      </c>
      <c r="F72" s="1" t="s">
        <v>64</v>
      </c>
      <c r="G72" s="1" t="s">
        <v>65</v>
      </c>
      <c r="H72" s="1" t="s">
        <v>112</v>
      </c>
      <c r="J72" s="1" t="s">
        <v>243</v>
      </c>
    </row>
    <row r="73" spans="1:10" s="10" customFormat="1" x14ac:dyDescent="0.35"/>
    <row r="74" spans="1:10" x14ac:dyDescent="0.35">
      <c r="A74" s="6" t="s">
        <v>0</v>
      </c>
      <c r="B74" s="6" t="s">
        <v>327</v>
      </c>
    </row>
    <row r="75" spans="1:10" x14ac:dyDescent="0.35">
      <c r="A75" s="8" t="s">
        <v>2</v>
      </c>
      <c r="B75" s="7" t="s">
        <v>3</v>
      </c>
    </row>
    <row r="76" spans="1:10" x14ac:dyDescent="0.35">
      <c r="A76" s="8" t="s">
        <v>4</v>
      </c>
      <c r="B76" s="7" t="s">
        <v>25</v>
      </c>
    </row>
    <row r="77" spans="1:10" x14ac:dyDescent="0.35">
      <c r="A77" s="8" t="s">
        <v>6</v>
      </c>
      <c r="B77" s="7">
        <v>1</v>
      </c>
    </row>
    <row r="78" spans="1:10" x14ac:dyDescent="0.35">
      <c r="A78" s="8" t="s">
        <v>7</v>
      </c>
      <c r="B78" s="7" t="s">
        <v>8</v>
      </c>
    </row>
    <row r="79" spans="1:10" x14ac:dyDescent="0.35">
      <c r="A79" s="8" t="s">
        <v>9</v>
      </c>
      <c r="B79" s="7" t="s">
        <v>10</v>
      </c>
    </row>
    <row r="80" spans="1:10" x14ac:dyDescent="0.35">
      <c r="A80" s="8" t="s">
        <v>11</v>
      </c>
    </row>
    <row r="81" spans="1:14" x14ac:dyDescent="0.35">
      <c r="A81" s="6" t="s">
        <v>12</v>
      </c>
      <c r="B81" s="6" t="s">
        <v>2</v>
      </c>
      <c r="C81" s="6" t="s">
        <v>4</v>
      </c>
      <c r="D81" s="6" t="s">
        <v>6</v>
      </c>
      <c r="E81" s="6" t="s">
        <v>7</v>
      </c>
      <c r="F81" s="6" t="s">
        <v>13</v>
      </c>
      <c r="G81" s="6" t="s">
        <v>14</v>
      </c>
      <c r="H81" s="6" t="s">
        <v>15</v>
      </c>
      <c r="I81" s="6" t="s">
        <v>16</v>
      </c>
      <c r="J81" s="6" t="s">
        <v>17</v>
      </c>
      <c r="K81" s="6" t="s">
        <v>18</v>
      </c>
      <c r="L81" s="6" t="s">
        <v>19</v>
      </c>
      <c r="M81" s="6" t="s">
        <v>20</v>
      </c>
      <c r="N81" s="6" t="s">
        <v>21</v>
      </c>
    </row>
    <row r="82" spans="1:14" x14ac:dyDescent="0.35">
      <c r="A82" s="7" t="str">
        <f>B74</f>
        <v>Iron ore mining and concentration - Global market</v>
      </c>
      <c r="B82" s="7" t="str">
        <f>B75</f>
        <v>Fe concentrate</v>
      </c>
      <c r="C82" s="7" t="str">
        <f>B76</f>
        <v>GLO</v>
      </c>
      <c r="D82" s="7">
        <v>1</v>
      </c>
      <c r="E82" s="7" t="str">
        <f>B78</f>
        <v>kilogram</v>
      </c>
      <c r="F82" s="4" t="str">
        <f>F64</f>
        <v>Iron</v>
      </c>
      <c r="G82" s="7" t="s">
        <v>22</v>
      </c>
    </row>
    <row r="83" spans="1:14" x14ac:dyDescent="0.35">
      <c r="A83" s="7" t="str">
        <f>PR1_CrudeSteel_BR!A9</f>
        <v>[M+C] Iron (Fe) ore mining and concentration (Brazil)</v>
      </c>
      <c r="B83" s="7" t="str">
        <f>PR1_CrudeSteel_BR!B9</f>
        <v>Fe concentrate</v>
      </c>
      <c r="C83" s="7" t="str">
        <f>PR1_CrudeSteel_BR!C9</f>
        <v>BR</v>
      </c>
      <c r="D83" s="7">
        <v>0.22143576326435782</v>
      </c>
      <c r="E83" s="7" t="str">
        <f>PR1_CrudeSteel_BR!E9</f>
        <v>kilogram</v>
      </c>
      <c r="F83" s="4" t="str">
        <f>PR1_CrudeSteel_BR!F9</f>
        <v>Iron</v>
      </c>
      <c r="G83" s="1" t="s">
        <v>28</v>
      </c>
    </row>
    <row r="84" spans="1:14" x14ac:dyDescent="0.35">
      <c r="A84" s="7" t="str">
        <f>PR2_SteelAHSS_CN!A9</f>
        <v>[M+C] Iron (Fe) ore mining and concentration (China)</v>
      </c>
      <c r="B84" s="7" t="str">
        <f>PR2_SteelAHSS_CN!B9</f>
        <v>Fe concentrate</v>
      </c>
      <c r="C84" s="7" t="str">
        <f>PR2_SteelAHSS_CN!C9</f>
        <v>CN</v>
      </c>
      <c r="D84" s="7">
        <v>0.20650477533745981</v>
      </c>
      <c r="E84" s="7" t="str">
        <f>PR2_SteelAHSS_CN!E9</f>
        <v>kilogram</v>
      </c>
      <c r="F84" s="4" t="str">
        <f>PR2_SteelAHSS_CN!F9</f>
        <v>Iron</v>
      </c>
      <c r="G84" s="1" t="s">
        <v>28</v>
      </c>
    </row>
    <row r="85" spans="1:14" x14ac:dyDescent="0.35">
      <c r="A85" s="7" t="str">
        <f>A9</f>
        <v>[M+C] Iron (Fe) ore mining and concentration (Australia)</v>
      </c>
      <c r="B85" s="7" t="str">
        <f>B9</f>
        <v>Fe concentrate</v>
      </c>
      <c r="C85" s="7" t="str">
        <f>C9</f>
        <v>AU</v>
      </c>
      <c r="D85" s="7">
        <v>0.46268241267982024</v>
      </c>
      <c r="E85" s="7" t="str">
        <f>E9</f>
        <v>kilogram</v>
      </c>
      <c r="F85" s="4" t="str">
        <f>F9</f>
        <v>Iron</v>
      </c>
      <c r="G85" s="1" t="s">
        <v>28</v>
      </c>
    </row>
    <row r="86" spans="1:14" x14ac:dyDescent="0.35">
      <c r="A86" s="7" t="str">
        <f>A28</f>
        <v>[M+C] Iron (Fe) ore mining and concentration (Canada)</v>
      </c>
      <c r="B86" s="7" t="str">
        <f>B28</f>
        <v>Fe concentrate</v>
      </c>
      <c r="C86" s="7" t="str">
        <f>C28</f>
        <v>CA</v>
      </c>
      <c r="D86" s="7">
        <v>2.8411622091348437E-2</v>
      </c>
      <c r="E86" s="7" t="str">
        <f>E28</f>
        <v>kilogram</v>
      </c>
      <c r="F86" s="4" t="str">
        <f>F28</f>
        <v>Iron</v>
      </c>
      <c r="G86" s="1" t="s">
        <v>28</v>
      </c>
    </row>
    <row r="87" spans="1:14" x14ac:dyDescent="0.35">
      <c r="A87" s="7" t="str">
        <f>A46</f>
        <v>[M+C] Iron (Fe) ore mining and concentration (South Africa)</v>
      </c>
      <c r="B87" s="7" t="str">
        <f>B46</f>
        <v>Fe concentrate</v>
      </c>
      <c r="C87" s="7" t="str">
        <f>C46</f>
        <v>ZA</v>
      </c>
      <c r="D87" s="7">
        <v>3.8488957910974418E-2</v>
      </c>
      <c r="E87" s="7" t="str">
        <f>E46</f>
        <v>kilogram</v>
      </c>
      <c r="F87" s="4" t="str">
        <f>F46</f>
        <v>Iron</v>
      </c>
      <c r="G87" s="1" t="s">
        <v>28</v>
      </c>
    </row>
    <row r="88" spans="1:14" x14ac:dyDescent="0.35">
      <c r="A88" s="7" t="str">
        <f>A64</f>
        <v>[M+C] Iron (Fe) ore mining and concentration (Ukraine)</v>
      </c>
      <c r="B88" s="7" t="str">
        <f>B64</f>
        <v>Fe concentrate</v>
      </c>
      <c r="C88" s="7" t="str">
        <f>C64</f>
        <v>UA</v>
      </c>
      <c r="D88" s="7">
        <v>4.2476468716039065E-2</v>
      </c>
      <c r="E88" s="7" t="str">
        <f>E64</f>
        <v>kilogram</v>
      </c>
      <c r="F88" s="4" t="str">
        <f>F64</f>
        <v>Iron</v>
      </c>
      <c r="G88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52B2-5072-4725-8752-3F19BE9D639C}">
  <sheetPr>
    <tabColor theme="8" tint="0.39997558519241921"/>
  </sheetPr>
  <dimension ref="A1:N95"/>
  <sheetViews>
    <sheetView workbookViewId="0"/>
  </sheetViews>
  <sheetFormatPr baseColWidth="10" defaultColWidth="9.1796875" defaultRowHeight="14.5" x14ac:dyDescent="0.35"/>
  <cols>
    <col min="1" max="1" width="60.81640625" style="1" bestFit="1" customWidth="1"/>
    <col min="2" max="2" width="50.81640625" style="1" bestFit="1" customWidth="1"/>
    <col min="3" max="3" width="8.1796875" style="1" bestFit="1" customWidth="1"/>
    <col min="4" max="4" width="12.7265625" style="1" bestFit="1" customWidth="1"/>
    <col min="5" max="5" width="17.54296875" style="1" bestFit="1" customWidth="1"/>
    <col min="6" max="6" width="19.7265625" style="1" bestFit="1" customWidth="1"/>
    <col min="7" max="7" width="13.26953125" style="1" bestFit="1" customWidth="1"/>
    <col min="8" max="8" width="34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1</v>
      </c>
    </row>
    <row r="2" spans="1:14" x14ac:dyDescent="0.35">
      <c r="A2" s="3" t="s">
        <v>2</v>
      </c>
      <c r="B2" s="1" t="s">
        <v>3</v>
      </c>
    </row>
    <row r="3" spans="1:14" x14ac:dyDescent="0.35">
      <c r="A3" s="3" t="s">
        <v>4</v>
      </c>
      <c r="B3" s="1" t="s">
        <v>5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[M+C] Iron (Fe) ore mining and concentration (Brazil)</v>
      </c>
      <c r="B9" s="1" t="str">
        <f>B2</f>
        <v>Fe concentrate</v>
      </c>
      <c r="C9" s="1" t="str">
        <f>B3</f>
        <v>BR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23</v>
      </c>
      <c r="B10" s="1" t="s">
        <v>24</v>
      </c>
      <c r="C10" s="1" t="s">
        <v>25</v>
      </c>
      <c r="D10" s="1">
        <v>2.1923999999999999E-2</v>
      </c>
      <c r="E10" s="1" t="s">
        <v>26</v>
      </c>
      <c r="F10" s="1" t="s">
        <v>27</v>
      </c>
      <c r="G10" s="1" t="s">
        <v>28</v>
      </c>
      <c r="J10" s="1" t="s">
        <v>29</v>
      </c>
    </row>
    <row r="11" spans="1:14" x14ac:dyDescent="0.35">
      <c r="A11" s="1" t="s">
        <v>30</v>
      </c>
      <c r="B11" s="1" t="s">
        <v>31</v>
      </c>
      <c r="C11" s="1" t="s">
        <v>25</v>
      </c>
      <c r="D11" s="1">
        <v>1.0973599999999999E-8</v>
      </c>
      <c r="E11" s="1" t="s">
        <v>32</v>
      </c>
      <c r="F11" s="1" t="s">
        <v>27</v>
      </c>
      <c r="G11" s="1" t="s">
        <v>28</v>
      </c>
      <c r="J11" s="1" t="s">
        <v>29</v>
      </c>
    </row>
    <row r="12" spans="1:14" x14ac:dyDescent="0.35">
      <c r="A12" s="1" t="s">
        <v>33</v>
      </c>
      <c r="B12" s="1" t="s">
        <v>34</v>
      </c>
      <c r="C12" s="1" t="s">
        <v>5</v>
      </c>
      <c r="D12" s="1">
        <v>2.6216E-3</v>
      </c>
      <c r="E12" s="1" t="s">
        <v>35</v>
      </c>
      <c r="F12" s="1" t="s">
        <v>27</v>
      </c>
      <c r="G12" s="1" t="s">
        <v>28</v>
      </c>
      <c r="J12" s="1" t="s">
        <v>29</v>
      </c>
    </row>
    <row r="13" spans="1:14" x14ac:dyDescent="0.35">
      <c r="A13" s="1" t="s">
        <v>36</v>
      </c>
      <c r="B13" s="1" t="s">
        <v>37</v>
      </c>
      <c r="C13" s="1" t="s">
        <v>25</v>
      </c>
      <c r="D13" s="1">
        <v>2.0369600000000002E-2</v>
      </c>
      <c r="E13" s="1" t="s">
        <v>8</v>
      </c>
      <c r="F13" s="1" t="s">
        <v>27</v>
      </c>
      <c r="G13" s="1" t="s">
        <v>28</v>
      </c>
      <c r="J13" s="1" t="s">
        <v>29</v>
      </c>
    </row>
    <row r="14" spans="1:14" x14ac:dyDescent="0.35">
      <c r="A14" s="1" t="s">
        <v>38</v>
      </c>
      <c r="B14" s="1" t="s">
        <v>39</v>
      </c>
      <c r="C14" s="1" t="s">
        <v>40</v>
      </c>
      <c r="D14" s="1">
        <v>5.5215999999999998E-10</v>
      </c>
      <c r="E14" s="1" t="s">
        <v>8</v>
      </c>
      <c r="F14" s="1" t="s">
        <v>27</v>
      </c>
      <c r="G14" s="1" t="s">
        <v>28</v>
      </c>
      <c r="J14" s="1" t="s">
        <v>29</v>
      </c>
    </row>
    <row r="15" spans="1:14" x14ac:dyDescent="0.35">
      <c r="A15" s="1" t="s">
        <v>23</v>
      </c>
      <c r="B15" s="1" t="s">
        <v>24</v>
      </c>
      <c r="C15" s="1" t="s">
        <v>25</v>
      </c>
      <c r="D15" s="1">
        <v>2.05784E-2</v>
      </c>
      <c r="E15" s="1" t="s">
        <v>26</v>
      </c>
      <c r="F15" s="1" t="s">
        <v>27</v>
      </c>
      <c r="G15" s="1" t="s">
        <v>28</v>
      </c>
      <c r="J15" s="1" t="s">
        <v>29</v>
      </c>
    </row>
    <row r="16" spans="1:14" x14ac:dyDescent="0.35">
      <c r="A16" s="1" t="s">
        <v>33</v>
      </c>
      <c r="B16" s="1" t="s">
        <v>34</v>
      </c>
      <c r="C16" s="1" t="s">
        <v>5</v>
      </c>
      <c r="D16" s="1">
        <v>0.98599999999999999</v>
      </c>
      <c r="E16" s="1" t="s">
        <v>35</v>
      </c>
      <c r="F16" s="1" t="s">
        <v>27</v>
      </c>
      <c r="G16" s="1" t="s">
        <v>28</v>
      </c>
      <c r="J16" s="1" t="s">
        <v>29</v>
      </c>
    </row>
    <row r="17" spans="1:10" x14ac:dyDescent="0.35">
      <c r="A17" s="1" t="s">
        <v>41</v>
      </c>
      <c r="B17" s="1" t="s">
        <v>42</v>
      </c>
      <c r="C17" s="1" t="s">
        <v>25</v>
      </c>
      <c r="D17" s="1">
        <v>1.21E-4</v>
      </c>
      <c r="E17" s="1" t="s">
        <v>8</v>
      </c>
      <c r="F17" s="1" t="s">
        <v>27</v>
      </c>
      <c r="G17" s="1" t="s">
        <v>28</v>
      </c>
      <c r="J17" s="1" t="s">
        <v>29</v>
      </c>
    </row>
    <row r="18" spans="1:10" x14ac:dyDescent="0.35">
      <c r="A18" s="1" t="s">
        <v>43</v>
      </c>
      <c r="B18" s="1" t="s">
        <v>44</v>
      </c>
      <c r="C18" s="1" t="s">
        <v>25</v>
      </c>
      <c r="D18" s="1">
        <v>6.8399999999999997E-6</v>
      </c>
      <c r="E18" s="1" t="s">
        <v>8</v>
      </c>
      <c r="F18" s="1" t="s">
        <v>27</v>
      </c>
      <c r="G18" s="1" t="s">
        <v>28</v>
      </c>
      <c r="J18" s="1" t="s">
        <v>29</v>
      </c>
    </row>
    <row r="19" spans="1:10" x14ac:dyDescent="0.35">
      <c r="A19" s="1" t="s">
        <v>45</v>
      </c>
      <c r="B19" s="1" t="s">
        <v>46</v>
      </c>
      <c r="C19" s="1" t="s">
        <v>25</v>
      </c>
      <c r="D19" s="1">
        <v>3.1300000000000002E-5</v>
      </c>
      <c r="E19" s="1" t="s">
        <v>8</v>
      </c>
      <c r="F19" s="1" t="s">
        <v>27</v>
      </c>
      <c r="G19" s="1" t="s">
        <v>28</v>
      </c>
      <c r="J19" s="1" t="s">
        <v>29</v>
      </c>
    </row>
    <row r="20" spans="1:10" x14ac:dyDescent="0.35">
      <c r="A20" s="1" t="s">
        <v>45</v>
      </c>
      <c r="B20" s="1" t="s">
        <v>46</v>
      </c>
      <c r="C20" s="1" t="s">
        <v>25</v>
      </c>
      <c r="D20" s="1">
        <v>1.6700000000000001E-6</v>
      </c>
      <c r="E20" s="1" t="s">
        <v>8</v>
      </c>
      <c r="F20" s="1" t="s">
        <v>27</v>
      </c>
      <c r="G20" s="1" t="s">
        <v>28</v>
      </c>
      <c r="J20" s="1" t="s">
        <v>29</v>
      </c>
    </row>
    <row r="21" spans="1:10" x14ac:dyDescent="0.35">
      <c r="A21" s="1" t="s">
        <v>47</v>
      </c>
      <c r="B21" s="1" t="s">
        <v>48</v>
      </c>
      <c r="C21" s="1" t="s">
        <v>25</v>
      </c>
      <c r="D21" s="1">
        <v>1.17E-3</v>
      </c>
      <c r="E21" s="1" t="s">
        <v>8</v>
      </c>
      <c r="F21" s="1" t="s">
        <v>27</v>
      </c>
      <c r="G21" s="1" t="s">
        <v>28</v>
      </c>
      <c r="J21" s="1" t="s">
        <v>29</v>
      </c>
    </row>
    <row r="22" spans="1:10" x14ac:dyDescent="0.35">
      <c r="A22" s="1" t="s">
        <v>49</v>
      </c>
      <c r="B22" s="1" t="s">
        <v>50</v>
      </c>
      <c r="C22" s="1" t="s">
        <v>40</v>
      </c>
      <c r="D22" s="1">
        <v>6.8400000000000004E-4</v>
      </c>
      <c r="E22" s="1" t="s">
        <v>8</v>
      </c>
      <c r="F22" s="1" t="s">
        <v>27</v>
      </c>
      <c r="G22" s="1" t="s">
        <v>28</v>
      </c>
      <c r="J22" s="1" t="s">
        <v>29</v>
      </c>
    </row>
    <row r="23" spans="1:10" x14ac:dyDescent="0.35">
      <c r="A23" s="1" t="s">
        <v>51</v>
      </c>
      <c r="B23" s="1" t="s">
        <v>52</v>
      </c>
      <c r="C23" s="1" t="s">
        <v>40</v>
      </c>
      <c r="D23" s="1">
        <v>9.73E-6</v>
      </c>
      <c r="E23" s="1" t="s">
        <v>8</v>
      </c>
      <c r="F23" s="1" t="s">
        <v>27</v>
      </c>
      <c r="G23" s="1" t="s">
        <v>28</v>
      </c>
      <c r="J23" s="1" t="s">
        <v>29</v>
      </c>
    </row>
    <row r="24" spans="1:10" x14ac:dyDescent="0.35">
      <c r="A24" s="1" t="s">
        <v>53</v>
      </c>
      <c r="B24" s="1" t="s">
        <v>54</v>
      </c>
      <c r="C24" s="1" t="s">
        <v>25</v>
      </c>
      <c r="D24" s="1">
        <v>1.15E-3</v>
      </c>
      <c r="E24" s="1" t="s">
        <v>8</v>
      </c>
      <c r="F24" s="1" t="s">
        <v>27</v>
      </c>
      <c r="G24" s="1" t="s">
        <v>28</v>
      </c>
      <c r="J24" s="1" t="s">
        <v>29</v>
      </c>
    </row>
    <row r="25" spans="1:10" x14ac:dyDescent="0.35">
      <c r="A25" s="1" t="s">
        <v>55</v>
      </c>
      <c r="B25" s="1" t="s">
        <v>56</v>
      </c>
      <c r="C25" s="1" t="s">
        <v>40</v>
      </c>
      <c r="D25" s="1">
        <v>-0.43</v>
      </c>
      <c r="E25" s="1" t="s">
        <v>8</v>
      </c>
      <c r="F25" s="1" t="s">
        <v>27</v>
      </c>
      <c r="G25" s="1" t="s">
        <v>28</v>
      </c>
      <c r="J25" s="1" t="s">
        <v>29</v>
      </c>
    </row>
    <row r="26" spans="1:10" x14ac:dyDescent="0.35">
      <c r="A26" s="1" t="s">
        <v>57</v>
      </c>
      <c r="B26" s="1" t="s">
        <v>58</v>
      </c>
      <c r="C26" s="1" t="s">
        <v>40</v>
      </c>
      <c r="D26" s="1">
        <v>3.1000000000000001E-5</v>
      </c>
      <c r="E26" s="1" t="s">
        <v>59</v>
      </c>
      <c r="F26" s="1" t="s">
        <v>27</v>
      </c>
      <c r="G26" s="1" t="s">
        <v>28</v>
      </c>
      <c r="J26" s="1" t="s">
        <v>29</v>
      </c>
    </row>
    <row r="27" spans="1:10" x14ac:dyDescent="0.35">
      <c r="A27" s="1" t="s">
        <v>57</v>
      </c>
      <c r="B27" s="1" t="s">
        <v>58</v>
      </c>
      <c r="C27" s="1" t="s">
        <v>40</v>
      </c>
      <c r="D27" s="1">
        <v>8.5000000000000006E-5</v>
      </c>
      <c r="E27" s="1" t="s">
        <v>59</v>
      </c>
      <c r="F27" s="1" t="s">
        <v>27</v>
      </c>
      <c r="G27" s="1" t="s">
        <v>28</v>
      </c>
      <c r="J27" s="1" t="s">
        <v>29</v>
      </c>
    </row>
    <row r="28" spans="1:10" x14ac:dyDescent="0.35">
      <c r="A28" s="1" t="s">
        <v>57</v>
      </c>
      <c r="B28" s="1" t="s">
        <v>58</v>
      </c>
      <c r="C28" s="1" t="s">
        <v>40</v>
      </c>
      <c r="D28" s="1">
        <v>3.1000000000000001E-5</v>
      </c>
      <c r="E28" s="1" t="s">
        <v>59</v>
      </c>
      <c r="F28" s="1" t="s">
        <v>27</v>
      </c>
      <c r="G28" s="1" t="s">
        <v>28</v>
      </c>
      <c r="J28" s="1" t="s">
        <v>29</v>
      </c>
    </row>
    <row r="29" spans="1:10" x14ac:dyDescent="0.35">
      <c r="A29" s="1" t="s">
        <v>23</v>
      </c>
      <c r="B29" s="1" t="s">
        <v>24</v>
      </c>
      <c r="C29" s="1" t="s">
        <v>25</v>
      </c>
      <c r="D29" s="1">
        <v>8.9999999999999992E-5</v>
      </c>
      <c r="E29" s="1" t="s">
        <v>26</v>
      </c>
      <c r="F29" s="1" t="s">
        <v>27</v>
      </c>
      <c r="G29" s="1" t="s">
        <v>28</v>
      </c>
      <c r="J29" s="1" t="s">
        <v>29</v>
      </c>
    </row>
    <row r="30" spans="1:10" x14ac:dyDescent="0.35">
      <c r="A30" s="1" t="s">
        <v>55</v>
      </c>
      <c r="B30" s="1" t="s">
        <v>56</v>
      </c>
      <c r="C30" s="1" t="s">
        <v>40</v>
      </c>
      <c r="D30" s="1">
        <v>-1.35E-6</v>
      </c>
      <c r="E30" s="1" t="s">
        <v>8</v>
      </c>
      <c r="F30" s="1" t="s">
        <v>27</v>
      </c>
      <c r="G30" s="1" t="s">
        <v>28</v>
      </c>
      <c r="J30" s="1" t="s">
        <v>29</v>
      </c>
    </row>
    <row r="31" spans="1:10" x14ac:dyDescent="0.35">
      <c r="A31" s="1" t="s">
        <v>55</v>
      </c>
      <c r="B31" s="1" t="s">
        <v>56</v>
      </c>
      <c r="C31" s="1" t="s">
        <v>40</v>
      </c>
      <c r="D31" s="1">
        <v>-1.03E-5</v>
      </c>
      <c r="E31" s="1" t="s">
        <v>8</v>
      </c>
      <c r="F31" s="1" t="s">
        <v>27</v>
      </c>
      <c r="G31" s="1" t="s">
        <v>28</v>
      </c>
      <c r="J31" s="1" t="s">
        <v>29</v>
      </c>
    </row>
    <row r="32" spans="1:10" x14ac:dyDescent="0.35">
      <c r="A32" s="1" t="s">
        <v>55</v>
      </c>
      <c r="B32" s="1" t="s">
        <v>56</v>
      </c>
      <c r="C32" s="1" t="s">
        <v>40</v>
      </c>
      <c r="D32" s="1">
        <v>-5.4399999999999996E-6</v>
      </c>
      <c r="E32" s="1" t="s">
        <v>8</v>
      </c>
      <c r="F32" s="1" t="s">
        <v>27</v>
      </c>
      <c r="G32" s="1" t="s">
        <v>28</v>
      </c>
      <c r="J32" s="1" t="s">
        <v>29</v>
      </c>
    </row>
    <row r="33" spans="1:10" x14ac:dyDescent="0.35">
      <c r="A33" s="1" t="s">
        <v>60</v>
      </c>
      <c r="B33" s="1" t="s">
        <v>61</v>
      </c>
      <c r="C33" s="1" t="s">
        <v>40</v>
      </c>
      <c r="D33" s="1">
        <v>-1.9999999999999999E-6</v>
      </c>
      <c r="E33" s="1" t="s">
        <v>8</v>
      </c>
      <c r="F33" s="1" t="s">
        <v>27</v>
      </c>
      <c r="G33" s="1" t="s">
        <v>28</v>
      </c>
      <c r="J33" s="1" t="s">
        <v>29</v>
      </c>
    </row>
    <row r="34" spans="1:10" x14ac:dyDescent="0.35">
      <c r="A34" s="1" t="s">
        <v>62</v>
      </c>
      <c r="D34" s="1">
        <v>2.0996000000000002E-6</v>
      </c>
      <c r="E34" s="1" t="s">
        <v>63</v>
      </c>
      <c r="F34" s="1" t="s">
        <v>64</v>
      </c>
      <c r="G34" s="1" t="s">
        <v>65</v>
      </c>
      <c r="H34" s="1" t="s">
        <v>66</v>
      </c>
      <c r="J34" s="1" t="s">
        <v>29</v>
      </c>
    </row>
    <row r="35" spans="1:10" x14ac:dyDescent="0.35">
      <c r="A35" s="1" t="s">
        <v>67</v>
      </c>
      <c r="D35" s="1">
        <v>2.8072000000000001E-8</v>
      </c>
      <c r="E35" s="1" t="s">
        <v>68</v>
      </c>
      <c r="F35" s="1" t="s">
        <v>64</v>
      </c>
      <c r="G35" s="1" t="s">
        <v>65</v>
      </c>
      <c r="H35" s="1" t="s">
        <v>66</v>
      </c>
      <c r="J35" s="1" t="s">
        <v>29</v>
      </c>
    </row>
    <row r="36" spans="1:10" x14ac:dyDescent="0.35">
      <c r="A36" s="1" t="s">
        <v>69</v>
      </c>
      <c r="D36" s="1">
        <v>2.8072000000000001E-8</v>
      </c>
      <c r="E36" s="1" t="s">
        <v>68</v>
      </c>
      <c r="F36" s="1" t="s">
        <v>64</v>
      </c>
      <c r="G36" s="1" t="s">
        <v>65</v>
      </c>
      <c r="H36" s="1" t="s">
        <v>66</v>
      </c>
      <c r="J36" s="1" t="s">
        <v>29</v>
      </c>
    </row>
    <row r="37" spans="1:10" x14ac:dyDescent="0.35">
      <c r="A37" s="1" t="s">
        <v>70</v>
      </c>
      <c r="D37" s="1">
        <v>2.15992E-6</v>
      </c>
      <c r="E37" s="1" t="s">
        <v>63</v>
      </c>
      <c r="F37" s="1" t="s">
        <v>64</v>
      </c>
      <c r="G37" s="1" t="s">
        <v>65</v>
      </c>
      <c r="H37" s="1" t="s">
        <v>66</v>
      </c>
      <c r="J37" s="1" t="s">
        <v>29</v>
      </c>
    </row>
    <row r="38" spans="1:10" x14ac:dyDescent="0.35">
      <c r="A38" s="1" t="s">
        <v>67</v>
      </c>
      <c r="D38" s="1">
        <v>2.8767999999999998E-10</v>
      </c>
      <c r="E38" s="1" t="s">
        <v>68</v>
      </c>
      <c r="F38" s="1" t="s">
        <v>64</v>
      </c>
      <c r="G38" s="1" t="s">
        <v>65</v>
      </c>
      <c r="H38" s="1" t="s">
        <v>66</v>
      </c>
      <c r="J38" s="1" t="s">
        <v>29</v>
      </c>
    </row>
    <row r="39" spans="1:10" x14ac:dyDescent="0.35">
      <c r="A39" s="1" t="s">
        <v>71</v>
      </c>
      <c r="D39" s="1">
        <v>2.8767999999999998E-10</v>
      </c>
      <c r="E39" s="1" t="s">
        <v>68</v>
      </c>
      <c r="F39" s="1" t="s">
        <v>64</v>
      </c>
      <c r="G39" s="1" t="s">
        <v>65</v>
      </c>
      <c r="H39" s="1" t="s">
        <v>66</v>
      </c>
      <c r="J39" s="1" t="s">
        <v>29</v>
      </c>
    </row>
    <row r="40" spans="1:10" x14ac:dyDescent="0.35">
      <c r="A40" s="1" t="s">
        <v>71</v>
      </c>
      <c r="D40" s="1">
        <v>1.10664E-10</v>
      </c>
      <c r="E40" s="1" t="s">
        <v>68</v>
      </c>
      <c r="F40" s="1" t="s">
        <v>64</v>
      </c>
      <c r="G40" s="1" t="s">
        <v>65</v>
      </c>
      <c r="H40" s="1" t="s">
        <v>66</v>
      </c>
      <c r="J40" s="1" t="s">
        <v>29</v>
      </c>
    </row>
    <row r="41" spans="1:10" x14ac:dyDescent="0.35">
      <c r="A41" s="1" t="s">
        <v>72</v>
      </c>
      <c r="D41" s="1">
        <v>2.8072000000000001E-8</v>
      </c>
      <c r="E41" s="1" t="s">
        <v>68</v>
      </c>
      <c r="F41" s="1" t="s">
        <v>64</v>
      </c>
      <c r="G41" s="1" t="s">
        <v>65</v>
      </c>
      <c r="H41" s="1" t="s">
        <v>66</v>
      </c>
      <c r="J41" s="1" t="s">
        <v>29</v>
      </c>
    </row>
    <row r="42" spans="1:10" x14ac:dyDescent="0.35">
      <c r="A42" s="1" t="s">
        <v>73</v>
      </c>
      <c r="D42" s="1">
        <v>0.99759999999999993</v>
      </c>
      <c r="E42" s="1" t="s">
        <v>8</v>
      </c>
      <c r="F42" s="1" t="s">
        <v>64</v>
      </c>
      <c r="G42" s="1" t="s">
        <v>65</v>
      </c>
      <c r="H42" s="1" t="s">
        <v>74</v>
      </c>
      <c r="J42" s="1" t="s">
        <v>29</v>
      </c>
    </row>
    <row r="43" spans="1:10" x14ac:dyDescent="0.35">
      <c r="A43" s="1" t="s">
        <v>75</v>
      </c>
      <c r="D43" s="1">
        <v>8.7399999999999999E-4</v>
      </c>
      <c r="E43" s="1" t="s">
        <v>76</v>
      </c>
      <c r="F43" s="1" t="s">
        <v>64</v>
      </c>
      <c r="G43" s="1" t="s">
        <v>65</v>
      </c>
      <c r="H43" s="1" t="s">
        <v>74</v>
      </c>
      <c r="J43" s="1" t="s">
        <v>29</v>
      </c>
    </row>
    <row r="44" spans="1:10" s="11" customFormat="1" x14ac:dyDescent="0.35"/>
    <row r="45" spans="1:10" x14ac:dyDescent="0.35">
      <c r="A45" s="2" t="s">
        <v>0</v>
      </c>
      <c r="B45" s="2" t="s">
        <v>252</v>
      </c>
    </row>
    <row r="46" spans="1:10" x14ac:dyDescent="0.35">
      <c r="A46" s="3" t="s">
        <v>2</v>
      </c>
      <c r="B46" s="1" t="s">
        <v>138</v>
      </c>
    </row>
    <row r="47" spans="1:10" x14ac:dyDescent="0.35">
      <c r="A47" s="3" t="s">
        <v>4</v>
      </c>
      <c r="B47" s="1" t="s">
        <v>5</v>
      </c>
    </row>
    <row r="48" spans="1:10" x14ac:dyDescent="0.35">
      <c r="A48" s="3" t="s">
        <v>6</v>
      </c>
      <c r="B48" s="1">
        <v>1</v>
      </c>
    </row>
    <row r="49" spans="1:14" x14ac:dyDescent="0.35">
      <c r="A49" s="3" t="s">
        <v>7</v>
      </c>
      <c r="B49" s="1" t="s">
        <v>8</v>
      </c>
    </row>
    <row r="50" spans="1:14" x14ac:dyDescent="0.35">
      <c r="A50" s="3" t="s">
        <v>9</v>
      </c>
      <c r="B50" s="1" t="s">
        <v>10</v>
      </c>
    </row>
    <row r="51" spans="1:14" x14ac:dyDescent="0.35">
      <c r="A51" s="3" t="s">
        <v>11</v>
      </c>
    </row>
    <row r="52" spans="1:14" x14ac:dyDescent="0.35">
      <c r="A52" s="2" t="s">
        <v>12</v>
      </c>
      <c r="B52" s="2" t="s">
        <v>2</v>
      </c>
      <c r="C52" s="2" t="s">
        <v>4</v>
      </c>
      <c r="D52" s="2" t="s">
        <v>6</v>
      </c>
      <c r="E52" s="2" t="s">
        <v>7</v>
      </c>
      <c r="F52" s="2" t="s">
        <v>13</v>
      </c>
      <c r="G52" s="2" t="s">
        <v>14</v>
      </c>
      <c r="H52" s="2" t="s">
        <v>15</v>
      </c>
      <c r="I52" s="2" t="s">
        <v>16</v>
      </c>
      <c r="J52" s="2" t="s">
        <v>17</v>
      </c>
      <c r="K52" s="2" t="s">
        <v>18</v>
      </c>
      <c r="L52" s="2" t="s">
        <v>19</v>
      </c>
      <c r="M52" s="2" t="s">
        <v>20</v>
      </c>
      <c r="N52" s="2" t="s">
        <v>21</v>
      </c>
    </row>
    <row r="53" spans="1:14" x14ac:dyDescent="0.35">
      <c r="A53" s="1" t="str">
        <f>B45</f>
        <v>[P+R] Crude steel production (Brazil)</v>
      </c>
      <c r="B53" s="1" t="str">
        <f>B46</f>
        <v>Steel</v>
      </c>
      <c r="C53" s="1" t="str">
        <f>B47</f>
        <v>BR</v>
      </c>
      <c r="D53" s="1">
        <v>1</v>
      </c>
      <c r="E53" s="1" t="s">
        <v>8</v>
      </c>
      <c r="F53" s="9" t="str">
        <f>Fe_Market_GLO!B1</f>
        <v>Iron</v>
      </c>
      <c r="G53" s="1" t="s">
        <v>22</v>
      </c>
    </row>
    <row r="54" spans="1:14" x14ac:dyDescent="0.35">
      <c r="A54" s="1" t="s">
        <v>253</v>
      </c>
      <c r="B54" s="1" t="s">
        <v>254</v>
      </c>
      <c r="C54" s="1" t="s">
        <v>40</v>
      </c>
      <c r="D54" s="1">
        <v>1.90055048E-2</v>
      </c>
      <c r="E54" s="1" t="s">
        <v>8</v>
      </c>
      <c r="F54" s="1" t="s">
        <v>27</v>
      </c>
      <c r="G54" s="1" t="s">
        <v>28</v>
      </c>
      <c r="J54" s="1" t="s">
        <v>255</v>
      </c>
    </row>
    <row r="55" spans="1:14" x14ac:dyDescent="0.35">
      <c r="A55" s="1" t="s">
        <v>103</v>
      </c>
      <c r="B55" s="1" t="s">
        <v>104</v>
      </c>
      <c r="C55" s="1" t="s">
        <v>40</v>
      </c>
      <c r="D55" s="1">
        <v>0.17399999999999999</v>
      </c>
      <c r="E55" s="1" t="s">
        <v>8</v>
      </c>
      <c r="F55" s="1" t="s">
        <v>27</v>
      </c>
      <c r="G55" s="1" t="s">
        <v>28</v>
      </c>
      <c r="J55" s="1" t="s">
        <v>255</v>
      </c>
    </row>
    <row r="56" spans="1:14" x14ac:dyDescent="0.35">
      <c r="A56" s="1" t="s">
        <v>90</v>
      </c>
      <c r="B56" s="1" t="s">
        <v>91</v>
      </c>
      <c r="C56" s="1" t="s">
        <v>40</v>
      </c>
      <c r="D56" s="1">
        <v>1.1000000000000001</v>
      </c>
      <c r="E56" s="1" t="s">
        <v>8</v>
      </c>
      <c r="F56" s="1" t="s">
        <v>27</v>
      </c>
      <c r="G56" s="1" t="s">
        <v>28</v>
      </c>
      <c r="J56" s="1" t="s">
        <v>255</v>
      </c>
    </row>
    <row r="57" spans="1:14" x14ac:dyDescent="0.35">
      <c r="A57" s="1" t="s">
        <v>256</v>
      </c>
      <c r="B57" s="1" t="s">
        <v>257</v>
      </c>
      <c r="C57" s="1" t="s">
        <v>25</v>
      </c>
      <c r="D57" s="1">
        <v>1.9005504800000001E-4</v>
      </c>
      <c r="E57" s="1" t="s">
        <v>8</v>
      </c>
      <c r="F57" s="1" t="s">
        <v>27</v>
      </c>
      <c r="G57" s="1" t="s">
        <v>28</v>
      </c>
      <c r="J57" s="1" t="s">
        <v>255</v>
      </c>
    </row>
    <row r="58" spans="1:14" x14ac:dyDescent="0.35">
      <c r="A58" s="1" t="s">
        <v>93</v>
      </c>
      <c r="B58" s="1" t="s">
        <v>94</v>
      </c>
      <c r="C58" s="1" t="s">
        <v>40</v>
      </c>
      <c r="D58" s="1">
        <v>0.17100000000000001</v>
      </c>
      <c r="E58" s="1" t="s">
        <v>8</v>
      </c>
      <c r="F58" s="1" t="s">
        <v>27</v>
      </c>
      <c r="G58" s="1" t="s">
        <v>28</v>
      </c>
      <c r="J58" s="1" t="s">
        <v>255</v>
      </c>
    </row>
    <row r="59" spans="1:14" x14ac:dyDescent="0.35">
      <c r="A59" s="1" t="s">
        <v>258</v>
      </c>
      <c r="B59" s="1" t="s">
        <v>259</v>
      </c>
      <c r="C59" s="1" t="s">
        <v>25</v>
      </c>
      <c r="D59" s="1">
        <v>1.46510216E-2</v>
      </c>
      <c r="E59" s="1" t="s">
        <v>8</v>
      </c>
      <c r="F59" s="1" t="s">
        <v>27</v>
      </c>
      <c r="G59" s="1" t="s">
        <v>28</v>
      </c>
      <c r="J59" s="1" t="s">
        <v>255</v>
      </c>
    </row>
    <row r="60" spans="1:14" x14ac:dyDescent="0.35">
      <c r="A60" s="1" t="s">
        <v>88</v>
      </c>
      <c r="B60" s="1" t="s">
        <v>89</v>
      </c>
      <c r="C60" s="1" t="s">
        <v>5</v>
      </c>
      <c r="D60" s="1">
        <v>7.0689655172413796E-2</v>
      </c>
      <c r="E60" s="1" t="s">
        <v>76</v>
      </c>
      <c r="F60" s="1" t="s">
        <v>27</v>
      </c>
      <c r="G60" s="1" t="s">
        <v>28</v>
      </c>
      <c r="J60" s="1" t="s">
        <v>255</v>
      </c>
    </row>
    <row r="61" spans="1:14" x14ac:dyDescent="0.35">
      <c r="A61" s="1" t="s">
        <v>86</v>
      </c>
      <c r="B61" s="1" t="s">
        <v>87</v>
      </c>
      <c r="C61" s="1" t="s">
        <v>5</v>
      </c>
      <c r="D61" s="1">
        <v>1.1300000000000001E-2</v>
      </c>
      <c r="E61" s="1" t="s">
        <v>8</v>
      </c>
      <c r="F61" s="1" t="s">
        <v>27</v>
      </c>
      <c r="G61" s="1" t="s">
        <v>28</v>
      </c>
      <c r="J61" s="1" t="s">
        <v>255</v>
      </c>
    </row>
    <row r="62" spans="1:14" x14ac:dyDescent="0.35">
      <c r="A62" s="1" t="s">
        <v>260</v>
      </c>
      <c r="B62" s="1" t="s">
        <v>261</v>
      </c>
      <c r="C62" s="1" t="s">
        <v>25</v>
      </c>
      <c r="D62" s="1">
        <v>5.9874143999999992E-3</v>
      </c>
      <c r="E62" s="1" t="s">
        <v>8</v>
      </c>
      <c r="F62" s="1" t="s">
        <v>27</v>
      </c>
      <c r="G62" s="1" t="s">
        <v>28</v>
      </c>
      <c r="J62" s="1" t="s">
        <v>255</v>
      </c>
    </row>
    <row r="63" spans="1:14" x14ac:dyDescent="0.35">
      <c r="A63" s="1" t="s">
        <v>262</v>
      </c>
      <c r="B63" s="1" t="s">
        <v>263</v>
      </c>
      <c r="C63" s="1" t="s">
        <v>5</v>
      </c>
      <c r="D63" s="1">
        <v>6.4410064000000003E-4</v>
      </c>
      <c r="E63" s="1" t="s">
        <v>8</v>
      </c>
      <c r="F63" s="1" t="s">
        <v>27</v>
      </c>
      <c r="G63" s="1" t="s">
        <v>28</v>
      </c>
      <c r="J63" s="1" t="s">
        <v>255</v>
      </c>
    </row>
    <row r="64" spans="1:14" x14ac:dyDescent="0.35">
      <c r="A64" s="1" t="s">
        <v>163</v>
      </c>
      <c r="B64" s="1" t="s">
        <v>164</v>
      </c>
      <c r="C64" s="1" t="s">
        <v>40</v>
      </c>
      <c r="D64" s="1">
        <v>0.190055048</v>
      </c>
      <c r="E64" s="1" t="s">
        <v>8</v>
      </c>
      <c r="F64" s="1" t="s">
        <v>27</v>
      </c>
      <c r="G64" s="1" t="s">
        <v>28</v>
      </c>
      <c r="J64" s="1" t="s">
        <v>255</v>
      </c>
    </row>
    <row r="65" spans="1:10" x14ac:dyDescent="0.35">
      <c r="A65" s="1" t="s">
        <v>264</v>
      </c>
      <c r="B65" s="1" t="s">
        <v>265</v>
      </c>
      <c r="C65" s="1" t="s">
        <v>25</v>
      </c>
      <c r="D65" s="1">
        <v>1.4061352E-3</v>
      </c>
      <c r="E65" s="1" t="s">
        <v>8</v>
      </c>
      <c r="F65" s="1" t="s">
        <v>27</v>
      </c>
      <c r="G65" s="1" t="s">
        <v>28</v>
      </c>
      <c r="J65" s="1" t="s">
        <v>255</v>
      </c>
    </row>
    <row r="66" spans="1:10" x14ac:dyDescent="0.35">
      <c r="A66" s="1" t="s">
        <v>266</v>
      </c>
      <c r="B66" s="1" t="s">
        <v>267</v>
      </c>
      <c r="C66" s="1" t="s">
        <v>25</v>
      </c>
      <c r="D66" s="1">
        <v>3.5108020799999998E-6</v>
      </c>
      <c r="E66" s="1" t="s">
        <v>8</v>
      </c>
      <c r="F66" s="1" t="s">
        <v>27</v>
      </c>
      <c r="G66" s="1" t="s">
        <v>28</v>
      </c>
      <c r="J66" s="1" t="s">
        <v>255</v>
      </c>
    </row>
    <row r="67" spans="1:10" x14ac:dyDescent="0.35">
      <c r="A67" s="1" t="s">
        <v>268</v>
      </c>
      <c r="B67" s="1" t="s">
        <v>269</v>
      </c>
      <c r="C67" s="1" t="s">
        <v>25</v>
      </c>
      <c r="D67" s="1">
        <v>1.6102516E-8</v>
      </c>
      <c r="E67" s="1" t="s">
        <v>8</v>
      </c>
      <c r="F67" s="1" t="s">
        <v>27</v>
      </c>
      <c r="G67" s="1" t="s">
        <v>28</v>
      </c>
      <c r="J67" s="1" t="s">
        <v>255</v>
      </c>
    </row>
    <row r="68" spans="1:10" x14ac:dyDescent="0.35">
      <c r="A68" s="1" t="s">
        <v>187</v>
      </c>
      <c r="B68" s="1" t="s">
        <v>188</v>
      </c>
      <c r="C68" s="1" t="s">
        <v>40</v>
      </c>
      <c r="D68" s="1">
        <v>-0.871</v>
      </c>
      <c r="E68" s="1" t="s">
        <v>8</v>
      </c>
      <c r="F68" s="1" t="s">
        <v>27</v>
      </c>
      <c r="G68" s="1" t="s">
        <v>28</v>
      </c>
      <c r="J68" s="1" t="s">
        <v>255</v>
      </c>
    </row>
    <row r="69" spans="1:10" x14ac:dyDescent="0.35">
      <c r="A69" s="1" t="s">
        <v>128</v>
      </c>
      <c r="B69" s="1" t="s">
        <v>129</v>
      </c>
      <c r="C69" s="1" t="s">
        <v>40</v>
      </c>
      <c r="D69" s="1">
        <v>-9.6615095999999998E-6</v>
      </c>
      <c r="E69" s="1" t="s">
        <v>8</v>
      </c>
      <c r="F69" s="1" t="s">
        <v>27</v>
      </c>
      <c r="G69" s="1" t="s">
        <v>28</v>
      </c>
      <c r="J69" s="1" t="s">
        <v>255</v>
      </c>
    </row>
    <row r="70" spans="1:10" x14ac:dyDescent="0.35">
      <c r="A70" s="1" t="s">
        <v>75</v>
      </c>
      <c r="D70" s="1">
        <v>7.0999999999999998E-7</v>
      </c>
      <c r="E70" s="1" t="s">
        <v>76</v>
      </c>
      <c r="F70" s="1" t="s">
        <v>64</v>
      </c>
      <c r="G70" s="1" t="s">
        <v>65</v>
      </c>
      <c r="H70" s="1" t="s">
        <v>74</v>
      </c>
      <c r="J70" s="1" t="s">
        <v>255</v>
      </c>
    </row>
    <row r="71" spans="1:10" x14ac:dyDescent="0.35">
      <c r="A71" s="1" t="s">
        <v>238</v>
      </c>
      <c r="D71" s="1">
        <v>0.123</v>
      </c>
      <c r="E71" s="1" t="s">
        <v>8</v>
      </c>
      <c r="F71" s="1" t="s">
        <v>64</v>
      </c>
      <c r="G71" s="1" t="s">
        <v>65</v>
      </c>
      <c r="H71" s="1" t="s">
        <v>227</v>
      </c>
      <c r="J71" s="1" t="s">
        <v>255</v>
      </c>
    </row>
    <row r="72" spans="1:10" x14ac:dyDescent="0.35">
      <c r="A72" s="1" t="s">
        <v>177</v>
      </c>
      <c r="D72" s="1">
        <v>3.55</v>
      </c>
      <c r="E72" s="1" t="s">
        <v>8</v>
      </c>
      <c r="F72" s="1" t="s">
        <v>64</v>
      </c>
      <c r="G72" s="1" t="s">
        <v>65</v>
      </c>
      <c r="H72" s="1" t="s">
        <v>112</v>
      </c>
      <c r="J72" s="1" t="s">
        <v>255</v>
      </c>
    </row>
    <row r="73" spans="1:10" x14ac:dyDescent="0.35">
      <c r="A73" s="1" t="s">
        <v>178</v>
      </c>
      <c r="D73" s="1">
        <v>3.8700000000000005E-2</v>
      </c>
      <c r="E73" s="1" t="s">
        <v>8</v>
      </c>
      <c r="F73" s="1" t="s">
        <v>64</v>
      </c>
      <c r="G73" s="1" t="s">
        <v>65</v>
      </c>
      <c r="H73" s="1" t="s">
        <v>112</v>
      </c>
      <c r="J73" s="1" t="s">
        <v>255</v>
      </c>
    </row>
    <row r="74" spans="1:10" x14ac:dyDescent="0.35">
      <c r="A74" s="1" t="s">
        <v>270</v>
      </c>
      <c r="D74" s="1">
        <v>7.8925007999999992E-4</v>
      </c>
      <c r="E74" s="1" t="s">
        <v>8</v>
      </c>
      <c r="F74" s="1" t="s">
        <v>64</v>
      </c>
      <c r="G74" s="1" t="s">
        <v>65</v>
      </c>
      <c r="H74" s="1" t="s">
        <v>227</v>
      </c>
      <c r="J74" s="1" t="s">
        <v>255</v>
      </c>
    </row>
    <row r="75" spans="1:10" x14ac:dyDescent="0.35">
      <c r="A75" s="1" t="s">
        <v>271</v>
      </c>
      <c r="D75" s="1">
        <v>1.23E-2</v>
      </c>
      <c r="E75" s="1" t="s">
        <v>8</v>
      </c>
      <c r="F75" s="1" t="s">
        <v>64</v>
      </c>
      <c r="G75" s="1" t="s">
        <v>65</v>
      </c>
      <c r="H75" s="1" t="s">
        <v>272</v>
      </c>
      <c r="J75" s="1" t="s">
        <v>255</v>
      </c>
    </row>
    <row r="76" spans="1:10" x14ac:dyDescent="0.35">
      <c r="A76" s="1" t="s">
        <v>214</v>
      </c>
      <c r="D76" s="1">
        <v>6.3049288000000014E-5</v>
      </c>
      <c r="E76" s="1" t="s">
        <v>8</v>
      </c>
      <c r="F76" s="1" t="s">
        <v>64</v>
      </c>
      <c r="G76" s="1" t="s">
        <v>65</v>
      </c>
      <c r="H76" s="1" t="s">
        <v>112</v>
      </c>
      <c r="J76" s="1" t="s">
        <v>255</v>
      </c>
    </row>
    <row r="77" spans="1:10" x14ac:dyDescent="0.35">
      <c r="A77" s="1" t="s">
        <v>211</v>
      </c>
      <c r="D77" s="1">
        <v>2.2900000000000001E-4</v>
      </c>
      <c r="E77" s="1" t="s">
        <v>8</v>
      </c>
      <c r="F77" s="1" t="s">
        <v>64</v>
      </c>
      <c r="G77" s="1" t="s">
        <v>65</v>
      </c>
      <c r="H77" s="1" t="s">
        <v>112</v>
      </c>
      <c r="J77" s="1" t="s">
        <v>255</v>
      </c>
    </row>
    <row r="78" spans="1:10" x14ac:dyDescent="0.35">
      <c r="A78" s="1" t="s">
        <v>202</v>
      </c>
      <c r="D78" s="1">
        <v>4.5199999999999997E-3</v>
      </c>
      <c r="E78" s="1" t="s">
        <v>8</v>
      </c>
      <c r="F78" s="1" t="s">
        <v>64</v>
      </c>
      <c r="G78" s="1" t="s">
        <v>65</v>
      </c>
      <c r="H78" s="1" t="s">
        <v>112</v>
      </c>
      <c r="J78" s="1" t="s">
        <v>255</v>
      </c>
    </row>
    <row r="79" spans="1:10" x14ac:dyDescent="0.35">
      <c r="A79" s="1" t="s">
        <v>136</v>
      </c>
      <c r="D79" s="1">
        <v>5.4800000000000005E-3</v>
      </c>
      <c r="E79" s="1" t="s">
        <v>8</v>
      </c>
      <c r="F79" s="1" t="s">
        <v>64</v>
      </c>
      <c r="G79" s="1" t="s">
        <v>65</v>
      </c>
      <c r="H79" s="1" t="s">
        <v>112</v>
      </c>
      <c r="J79" s="1" t="s">
        <v>255</v>
      </c>
    </row>
    <row r="80" spans="1:10" x14ac:dyDescent="0.35">
      <c r="A80" s="1" t="s">
        <v>113</v>
      </c>
      <c r="D80" s="1">
        <v>2.6499999999999999E-2</v>
      </c>
      <c r="E80" s="1" t="s">
        <v>8</v>
      </c>
      <c r="F80" s="1" t="s">
        <v>64</v>
      </c>
      <c r="G80" s="1" t="s">
        <v>65</v>
      </c>
      <c r="H80" s="1" t="s">
        <v>112</v>
      </c>
      <c r="J80" s="1" t="s">
        <v>255</v>
      </c>
    </row>
    <row r="81" spans="1:14" x14ac:dyDescent="0.35">
      <c r="A81" s="1" t="s">
        <v>273</v>
      </c>
      <c r="D81" s="1">
        <v>1.2600000000000001E-3</v>
      </c>
      <c r="E81" s="1" t="s">
        <v>8</v>
      </c>
      <c r="F81" s="1" t="s">
        <v>64</v>
      </c>
      <c r="G81" s="1" t="s">
        <v>65</v>
      </c>
      <c r="H81" s="1" t="s">
        <v>227</v>
      </c>
      <c r="J81" s="1" t="s">
        <v>255</v>
      </c>
    </row>
    <row r="82" spans="1:14" x14ac:dyDescent="0.35">
      <c r="A82" s="1" t="s">
        <v>274</v>
      </c>
      <c r="D82" s="1">
        <v>0.01</v>
      </c>
      <c r="E82" s="1" t="s">
        <v>8</v>
      </c>
      <c r="F82" s="1" t="s">
        <v>64</v>
      </c>
      <c r="G82" s="1" t="s">
        <v>65</v>
      </c>
      <c r="H82" s="1" t="s">
        <v>112</v>
      </c>
      <c r="J82" s="1" t="s">
        <v>255</v>
      </c>
    </row>
    <row r="83" spans="1:14" x14ac:dyDescent="0.35">
      <c r="A83" s="1" t="s">
        <v>229</v>
      </c>
      <c r="D83" s="1">
        <v>0.67700000000000005</v>
      </c>
      <c r="E83" s="1" t="s">
        <v>8</v>
      </c>
      <c r="F83" s="1" t="s">
        <v>64</v>
      </c>
      <c r="G83" s="1" t="s">
        <v>65</v>
      </c>
      <c r="H83" s="1" t="s">
        <v>227</v>
      </c>
      <c r="J83" s="1" t="s">
        <v>255</v>
      </c>
    </row>
    <row r="84" spans="1:14" s="10" customFormat="1" x14ac:dyDescent="0.35"/>
    <row r="85" spans="1:14" x14ac:dyDescent="0.35">
      <c r="A85" s="2" t="s">
        <v>0</v>
      </c>
      <c r="B85" s="2" t="s">
        <v>275</v>
      </c>
    </row>
    <row r="86" spans="1:14" x14ac:dyDescent="0.35">
      <c r="A86" s="3" t="s">
        <v>2</v>
      </c>
      <c r="B86" s="1" t="s">
        <v>138</v>
      </c>
    </row>
    <row r="87" spans="1:14" x14ac:dyDescent="0.35">
      <c r="A87" s="3" t="s">
        <v>4</v>
      </c>
      <c r="B87" s="1" t="s">
        <v>5</v>
      </c>
    </row>
    <row r="88" spans="1:14" x14ac:dyDescent="0.35">
      <c r="A88" s="3" t="s">
        <v>6</v>
      </c>
      <c r="B88" s="1">
        <v>1</v>
      </c>
    </row>
    <row r="89" spans="1:14" x14ac:dyDescent="0.35">
      <c r="A89" s="3" t="s">
        <v>7</v>
      </c>
      <c r="B89" s="1" t="s">
        <v>8</v>
      </c>
    </row>
    <row r="90" spans="1:14" x14ac:dyDescent="0.35">
      <c r="A90" s="3" t="s">
        <v>9</v>
      </c>
      <c r="B90" s="1" t="s">
        <v>10</v>
      </c>
    </row>
    <row r="91" spans="1:14" x14ac:dyDescent="0.35">
      <c r="A91" s="3" t="s">
        <v>11</v>
      </c>
    </row>
    <row r="92" spans="1:14" x14ac:dyDescent="0.35">
      <c r="A92" s="2" t="s">
        <v>12</v>
      </c>
      <c r="B92" s="2" t="s">
        <v>2</v>
      </c>
      <c r="C92" s="2" t="s">
        <v>4</v>
      </c>
      <c r="D92" s="2" t="s">
        <v>6</v>
      </c>
      <c r="E92" s="2" t="s">
        <v>7</v>
      </c>
      <c r="F92" s="2" t="s">
        <v>13</v>
      </c>
      <c r="G92" s="2" t="s">
        <v>14</v>
      </c>
      <c r="H92" s="2" t="s">
        <v>15</v>
      </c>
      <c r="I92" s="2" t="s">
        <v>16</v>
      </c>
      <c r="J92" s="2" t="s">
        <v>17</v>
      </c>
      <c r="K92" s="2" t="s">
        <v>18</v>
      </c>
      <c r="L92" s="2" t="s">
        <v>19</v>
      </c>
      <c r="M92" s="2" t="s">
        <v>20</v>
      </c>
      <c r="N92" s="2" t="s">
        <v>21</v>
      </c>
    </row>
    <row r="93" spans="1:14" x14ac:dyDescent="0.35">
      <c r="A93" s="1" t="str">
        <f>B85</f>
        <v>Iron ore mining and steel production in Brazil</v>
      </c>
      <c r="B93" s="1" t="str">
        <f>B86</f>
        <v>Steel</v>
      </c>
      <c r="C93" s="1" t="str">
        <f>B87</f>
        <v>BR</v>
      </c>
      <c r="D93" s="1">
        <v>1</v>
      </c>
      <c r="E93" s="1" t="s">
        <v>8</v>
      </c>
      <c r="F93" s="9" t="str">
        <f>F53</f>
        <v>Iron</v>
      </c>
      <c r="G93" s="1" t="s">
        <v>22</v>
      </c>
    </row>
    <row r="94" spans="1:14" x14ac:dyDescent="0.35">
      <c r="A94" s="1" t="str">
        <f>A53</f>
        <v>[P+R] Crude steel production (Brazil)</v>
      </c>
      <c r="B94" s="1" t="str">
        <f>B53</f>
        <v>Steel</v>
      </c>
      <c r="C94" s="1" t="str">
        <f>C53</f>
        <v>BR</v>
      </c>
      <c r="D94" s="1">
        <v>1</v>
      </c>
      <c r="E94" s="1" t="str">
        <f>E53</f>
        <v>kilogram</v>
      </c>
      <c r="F94" s="9" t="str">
        <f>F53</f>
        <v>Iron</v>
      </c>
      <c r="G94" s="1" t="s">
        <v>28</v>
      </c>
    </row>
    <row r="95" spans="1:14" x14ac:dyDescent="0.35">
      <c r="A95" s="1" t="str">
        <f>A9</f>
        <v>[M+C] Iron (Fe) ore mining and concentration (Brazil)</v>
      </c>
      <c r="B95" s="1" t="str">
        <f t="shared" ref="B95:F95" si="0">B9</f>
        <v>Fe concentrate</v>
      </c>
      <c r="C95" s="1" t="str">
        <f t="shared" si="0"/>
        <v>BR</v>
      </c>
      <c r="D95" s="1">
        <v>2.61</v>
      </c>
      <c r="E95" s="1" t="str">
        <f t="shared" si="0"/>
        <v>kilogram</v>
      </c>
      <c r="F95" s="9" t="str">
        <f t="shared" si="0"/>
        <v>Iron</v>
      </c>
      <c r="G95" s="1" t="s">
        <v>28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N58"/>
  <sheetViews>
    <sheetView workbookViewId="0"/>
  </sheetViews>
  <sheetFormatPr baseColWidth="10" defaultColWidth="9.1796875" defaultRowHeight="14.5" x14ac:dyDescent="0.35"/>
  <cols>
    <col min="1" max="1" width="48.54296875" style="1" bestFit="1" customWidth="1"/>
    <col min="2" max="2" width="48.7265625" style="1" bestFit="1" customWidth="1"/>
    <col min="3" max="3" width="8.1796875" style="1" bestFit="1" customWidth="1"/>
    <col min="4" max="4" width="12" style="1" bestFit="1" customWidth="1"/>
    <col min="5" max="5" width="12.81640625" style="1" bestFit="1" customWidth="1"/>
    <col min="6" max="6" width="19.7265625" style="1" bestFit="1" customWidth="1"/>
    <col min="7" max="7" width="13.26953125" style="1" bestFit="1" customWidth="1"/>
    <col min="8" max="8" width="10.1796875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12" t="s">
        <v>0</v>
      </c>
      <c r="B1" s="12" t="s">
        <v>83</v>
      </c>
    </row>
    <row r="2" spans="1:14" x14ac:dyDescent="0.35">
      <c r="A2" s="3" t="s">
        <v>2</v>
      </c>
      <c r="B2" s="1" t="s">
        <v>3</v>
      </c>
    </row>
    <row r="3" spans="1:14" x14ac:dyDescent="0.35">
      <c r="A3" s="3" t="s">
        <v>4</v>
      </c>
      <c r="B3" s="1" t="s">
        <v>84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12" t="s">
        <v>12</v>
      </c>
      <c r="B8" s="12" t="s">
        <v>2</v>
      </c>
      <c r="C8" s="12" t="s">
        <v>4</v>
      </c>
      <c r="D8" s="12" t="s">
        <v>6</v>
      </c>
      <c r="E8" s="12" t="s">
        <v>7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  <c r="M8" s="12" t="s">
        <v>20</v>
      </c>
      <c r="N8" s="12" t="s">
        <v>21</v>
      </c>
    </row>
    <row r="9" spans="1:14" x14ac:dyDescent="0.35">
      <c r="A9" s="1" t="str">
        <f>B1</f>
        <v>[M+C] Iron (Fe) ore mining and concentration (China)</v>
      </c>
      <c r="B9" s="1" t="str">
        <f>B2</f>
        <v>Fe concentrate</v>
      </c>
      <c r="C9" s="1" t="str">
        <f>B3</f>
        <v>CN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120</v>
      </c>
      <c r="B10" s="1" t="s">
        <v>121</v>
      </c>
      <c r="C10" s="1" t="s">
        <v>25</v>
      </c>
      <c r="D10" s="1">
        <v>2.2998477929984782</v>
      </c>
      <c r="E10" s="1" t="s">
        <v>8</v>
      </c>
      <c r="F10" s="1" t="s">
        <v>27</v>
      </c>
      <c r="G10" s="1" t="s">
        <v>28</v>
      </c>
      <c r="J10" s="1" t="s">
        <v>322</v>
      </c>
    </row>
    <row r="11" spans="1:14" x14ac:dyDescent="0.35">
      <c r="A11" s="1" t="s">
        <v>53</v>
      </c>
      <c r="B11" s="1" t="s">
        <v>54</v>
      </c>
      <c r="C11" s="1" t="s">
        <v>25</v>
      </c>
      <c r="D11" s="1">
        <v>1.0147133434804669E-3</v>
      </c>
      <c r="E11" s="1" t="s">
        <v>8</v>
      </c>
      <c r="F11" s="1" t="s">
        <v>27</v>
      </c>
      <c r="G11" s="1" t="s">
        <v>28</v>
      </c>
      <c r="J11" s="1" t="s">
        <v>322</v>
      </c>
    </row>
    <row r="12" spans="1:14" x14ac:dyDescent="0.35">
      <c r="A12" s="1" t="s">
        <v>33</v>
      </c>
      <c r="B12" s="1" t="s">
        <v>34</v>
      </c>
      <c r="C12" s="1" t="s">
        <v>84</v>
      </c>
      <c r="D12" s="1">
        <v>3.7544393708777268E-2</v>
      </c>
      <c r="E12" s="1" t="s">
        <v>35</v>
      </c>
      <c r="F12" s="1" t="s">
        <v>27</v>
      </c>
      <c r="G12" s="1" t="s">
        <v>28</v>
      </c>
      <c r="J12" s="1" t="s">
        <v>322</v>
      </c>
    </row>
    <row r="13" spans="1:14" x14ac:dyDescent="0.35">
      <c r="A13" s="1" t="s">
        <v>323</v>
      </c>
      <c r="B13" s="1" t="s">
        <v>324</v>
      </c>
      <c r="C13" s="1" t="s">
        <v>25</v>
      </c>
      <c r="D13" s="1">
        <v>-1.072552004058853</v>
      </c>
      <c r="E13" s="1" t="s">
        <v>8</v>
      </c>
      <c r="F13" s="1" t="s">
        <v>27</v>
      </c>
      <c r="G13" s="1" t="s">
        <v>28</v>
      </c>
      <c r="J13" s="1" t="s">
        <v>322</v>
      </c>
    </row>
    <row r="14" spans="1:14" x14ac:dyDescent="0.35">
      <c r="A14" s="1" t="s">
        <v>177</v>
      </c>
      <c r="D14" s="1">
        <v>0.1839675291730086</v>
      </c>
      <c r="E14" s="1" t="s">
        <v>8</v>
      </c>
      <c r="F14" s="1" t="s">
        <v>64</v>
      </c>
      <c r="G14" s="1" t="s">
        <v>65</v>
      </c>
      <c r="H14" s="1" t="s">
        <v>112</v>
      </c>
      <c r="J14" s="1" t="s">
        <v>325</v>
      </c>
    </row>
    <row r="15" spans="1:14" x14ac:dyDescent="0.35">
      <c r="A15" s="1" t="s">
        <v>111</v>
      </c>
      <c r="D15" s="1">
        <v>1.563876204972095E-2</v>
      </c>
      <c r="E15" s="1" t="s">
        <v>8</v>
      </c>
      <c r="F15" s="1" t="s">
        <v>64</v>
      </c>
      <c r="G15" s="1" t="s">
        <v>65</v>
      </c>
      <c r="H15" s="1" t="s">
        <v>112</v>
      </c>
      <c r="J15" s="1" t="s">
        <v>325</v>
      </c>
    </row>
    <row r="16" spans="1:14" x14ac:dyDescent="0.35">
      <c r="A16" s="1" t="s">
        <v>178</v>
      </c>
      <c r="D16" s="1">
        <v>0.11499238964992391</v>
      </c>
      <c r="E16" s="1" t="s">
        <v>8</v>
      </c>
      <c r="F16" s="1" t="s">
        <v>64</v>
      </c>
      <c r="G16" s="1" t="s">
        <v>65</v>
      </c>
      <c r="H16" s="1" t="s">
        <v>112</v>
      </c>
      <c r="J16" s="1" t="s">
        <v>325</v>
      </c>
    </row>
    <row r="17" spans="1:14" x14ac:dyDescent="0.35">
      <c r="A17" s="1" t="s">
        <v>136</v>
      </c>
      <c r="D17" s="1">
        <v>7.3597158802638264E-3</v>
      </c>
      <c r="E17" s="1" t="s">
        <v>8</v>
      </c>
      <c r="F17" s="1" t="s">
        <v>64</v>
      </c>
      <c r="G17" s="1" t="s">
        <v>65</v>
      </c>
      <c r="H17" s="1" t="s">
        <v>112</v>
      </c>
      <c r="J17" s="1" t="s">
        <v>325</v>
      </c>
    </row>
    <row r="18" spans="1:14" x14ac:dyDescent="0.35">
      <c r="A18" s="1" t="s">
        <v>202</v>
      </c>
      <c r="D18" s="1">
        <v>5.2897006595636733E-3</v>
      </c>
      <c r="E18" s="1" t="s">
        <v>8</v>
      </c>
      <c r="F18" s="1" t="s">
        <v>64</v>
      </c>
      <c r="G18" s="1" t="s">
        <v>65</v>
      </c>
      <c r="H18" s="1" t="s">
        <v>112</v>
      </c>
      <c r="J18" s="1" t="s">
        <v>325</v>
      </c>
    </row>
    <row r="19" spans="1:14" x14ac:dyDescent="0.35">
      <c r="A19" s="1" t="s">
        <v>113</v>
      </c>
      <c r="D19" s="1">
        <v>7.5895484525621518E-2</v>
      </c>
      <c r="E19" s="1" t="s">
        <v>8</v>
      </c>
      <c r="F19" s="1" t="s">
        <v>64</v>
      </c>
      <c r="G19" s="1" t="s">
        <v>65</v>
      </c>
      <c r="H19" s="1" t="s">
        <v>112</v>
      </c>
      <c r="J19" s="1" t="s">
        <v>325</v>
      </c>
    </row>
    <row r="20" spans="1:14" s="11" customFormat="1" x14ac:dyDescent="0.35"/>
    <row r="21" spans="1:14" x14ac:dyDescent="0.35">
      <c r="A21" s="2" t="s">
        <v>0</v>
      </c>
      <c r="B21" s="2" t="s">
        <v>92</v>
      </c>
    </row>
    <row r="22" spans="1:14" x14ac:dyDescent="0.35">
      <c r="A22" s="3" t="s">
        <v>2</v>
      </c>
      <c r="B22" s="1" t="s">
        <v>138</v>
      </c>
    </row>
    <row r="23" spans="1:14" x14ac:dyDescent="0.35">
      <c r="A23" s="3" t="s">
        <v>4</v>
      </c>
      <c r="B23" s="1" t="s">
        <v>84</v>
      </c>
    </row>
    <row r="24" spans="1:14" x14ac:dyDescent="0.35">
      <c r="A24" s="3" t="s">
        <v>6</v>
      </c>
      <c r="B24" s="1">
        <v>1</v>
      </c>
    </row>
    <row r="25" spans="1:14" x14ac:dyDescent="0.35">
      <c r="A25" s="3" t="s">
        <v>7</v>
      </c>
      <c r="B25" s="1" t="s">
        <v>8</v>
      </c>
    </row>
    <row r="26" spans="1:14" x14ac:dyDescent="0.35">
      <c r="A26" s="3" t="s">
        <v>9</v>
      </c>
      <c r="B26" s="1" t="s">
        <v>10</v>
      </c>
    </row>
    <row r="27" spans="1:14" x14ac:dyDescent="0.35">
      <c r="A27" s="3" t="s">
        <v>11</v>
      </c>
    </row>
    <row r="28" spans="1:14" x14ac:dyDescent="0.35">
      <c r="A28" s="2" t="s">
        <v>12</v>
      </c>
      <c r="B28" s="2" t="s">
        <v>2</v>
      </c>
      <c r="C28" s="2" t="s">
        <v>4</v>
      </c>
      <c r="D28" s="2" t="s">
        <v>6</v>
      </c>
      <c r="E28" s="2" t="s">
        <v>7</v>
      </c>
      <c r="F28" s="2" t="s">
        <v>13</v>
      </c>
      <c r="G28" s="2" t="s">
        <v>14</v>
      </c>
      <c r="H28" s="2" t="s">
        <v>15</v>
      </c>
      <c r="I28" s="2" t="s">
        <v>16</v>
      </c>
      <c r="J28" s="2" t="s">
        <v>17</v>
      </c>
      <c r="K28" s="2" t="s">
        <v>18</v>
      </c>
      <c r="L28" s="2" t="s">
        <v>19</v>
      </c>
      <c r="M28" s="2" t="s">
        <v>20</v>
      </c>
      <c r="N28" s="2" t="s">
        <v>21</v>
      </c>
    </row>
    <row r="29" spans="1:14" x14ac:dyDescent="0.35">
      <c r="A29" s="1" t="str">
        <f>B21</f>
        <v>[P+R] Steel production (AHSS)</v>
      </c>
      <c r="B29" s="1" t="str">
        <f>B22</f>
        <v>Steel</v>
      </c>
      <c r="C29" s="1" t="str">
        <f>B23</f>
        <v>CN</v>
      </c>
      <c r="D29" s="1">
        <v>1</v>
      </c>
      <c r="E29" s="1" t="s">
        <v>8</v>
      </c>
      <c r="F29" s="9" t="str">
        <f>Fe_Market_GLO!B1</f>
        <v>Iron</v>
      </c>
      <c r="G29" s="1" t="s">
        <v>22</v>
      </c>
    </row>
    <row r="30" spans="1:14" x14ac:dyDescent="0.35">
      <c r="A30" s="1" t="s">
        <v>90</v>
      </c>
      <c r="B30" s="1" t="s">
        <v>91</v>
      </c>
      <c r="C30" s="1" t="s">
        <v>84</v>
      </c>
      <c r="D30" s="1">
        <v>4.3083333333333328E-2</v>
      </c>
      <c r="E30" s="1" t="s">
        <v>8</v>
      </c>
      <c r="F30" s="1" t="s">
        <v>27</v>
      </c>
      <c r="G30" s="1" t="s">
        <v>28</v>
      </c>
      <c r="J30" s="1" t="s">
        <v>85</v>
      </c>
    </row>
    <row r="31" spans="1:14" x14ac:dyDescent="0.35">
      <c r="A31" s="1" t="s">
        <v>33</v>
      </c>
      <c r="B31" s="1" t="s">
        <v>34</v>
      </c>
      <c r="C31" s="1" t="s">
        <v>84</v>
      </c>
      <c r="D31" s="1">
        <v>0.1366965012205045</v>
      </c>
      <c r="E31" s="1" t="s">
        <v>35</v>
      </c>
      <c r="F31" s="1" t="s">
        <v>27</v>
      </c>
      <c r="G31" s="1" t="s">
        <v>28</v>
      </c>
      <c r="J31" s="1" t="s">
        <v>85</v>
      </c>
    </row>
    <row r="32" spans="1:14" x14ac:dyDescent="0.35">
      <c r="A32" s="1" t="s">
        <v>93</v>
      </c>
      <c r="B32" s="1" t="s">
        <v>94</v>
      </c>
      <c r="C32" s="1" t="s">
        <v>40</v>
      </c>
      <c r="D32" s="1">
        <v>8.9999999999999993E-3</v>
      </c>
      <c r="E32" s="1" t="s">
        <v>8</v>
      </c>
      <c r="F32" s="1" t="s">
        <v>27</v>
      </c>
      <c r="G32" s="1" t="s">
        <v>28</v>
      </c>
      <c r="J32" s="1" t="s">
        <v>85</v>
      </c>
    </row>
    <row r="33" spans="1:10" x14ac:dyDescent="0.35">
      <c r="A33" s="1" t="s">
        <v>90</v>
      </c>
      <c r="B33" s="1" t="s">
        <v>91</v>
      </c>
      <c r="C33" s="1" t="s">
        <v>84</v>
      </c>
      <c r="D33" s="1">
        <v>0.98916666666666675</v>
      </c>
      <c r="E33" s="1" t="s">
        <v>8</v>
      </c>
      <c r="F33" s="1" t="s">
        <v>27</v>
      </c>
      <c r="G33" s="1" t="s">
        <v>28</v>
      </c>
      <c r="J33" s="1" t="s">
        <v>85</v>
      </c>
    </row>
    <row r="34" spans="1:10" x14ac:dyDescent="0.35">
      <c r="A34" s="1" t="s">
        <v>33</v>
      </c>
      <c r="B34" s="1" t="s">
        <v>34</v>
      </c>
      <c r="C34" s="1" t="s">
        <v>84</v>
      </c>
      <c r="D34" s="1">
        <v>0.23759153783563869</v>
      </c>
      <c r="E34" s="1" t="s">
        <v>35</v>
      </c>
      <c r="F34" s="1" t="s">
        <v>27</v>
      </c>
      <c r="G34" s="1" t="s">
        <v>28</v>
      </c>
      <c r="J34" s="1" t="s">
        <v>85</v>
      </c>
    </row>
    <row r="35" spans="1:10" x14ac:dyDescent="0.35">
      <c r="A35" s="1" t="s">
        <v>90</v>
      </c>
      <c r="B35" s="1" t="s">
        <v>91</v>
      </c>
      <c r="C35" s="1" t="s">
        <v>84</v>
      </c>
      <c r="D35" s="1">
        <v>5.1833333333333342E-2</v>
      </c>
      <c r="E35" s="1" t="s">
        <v>8</v>
      </c>
      <c r="F35" s="1" t="s">
        <v>27</v>
      </c>
      <c r="G35" s="1" t="s">
        <v>28</v>
      </c>
      <c r="J35" s="1" t="s">
        <v>85</v>
      </c>
    </row>
    <row r="36" spans="1:10" x14ac:dyDescent="0.35">
      <c r="A36" s="1" t="s">
        <v>33</v>
      </c>
      <c r="B36" s="1" t="s">
        <v>34</v>
      </c>
      <c r="C36" s="1" t="s">
        <v>84</v>
      </c>
      <c r="D36" s="1">
        <v>9.7640358014646059E-2</v>
      </c>
      <c r="E36" s="1" t="s">
        <v>35</v>
      </c>
      <c r="F36" s="1" t="s">
        <v>27</v>
      </c>
      <c r="G36" s="1" t="s">
        <v>28</v>
      </c>
      <c r="J36" s="1" t="s">
        <v>85</v>
      </c>
    </row>
    <row r="37" spans="1:10" x14ac:dyDescent="0.35">
      <c r="A37" s="1" t="s">
        <v>93</v>
      </c>
      <c r="B37" s="1" t="s">
        <v>94</v>
      </c>
      <c r="C37" s="1" t="s">
        <v>40</v>
      </c>
      <c r="D37" s="1">
        <v>4.2999999999999997E-2</v>
      </c>
      <c r="E37" s="1" t="s">
        <v>8</v>
      </c>
      <c r="F37" s="1" t="s">
        <v>27</v>
      </c>
      <c r="G37" s="1" t="s">
        <v>28</v>
      </c>
      <c r="J37" s="1" t="s">
        <v>85</v>
      </c>
    </row>
    <row r="38" spans="1:10" x14ac:dyDescent="0.35">
      <c r="A38" s="1" t="s">
        <v>33</v>
      </c>
      <c r="B38" s="1" t="s">
        <v>34</v>
      </c>
      <c r="C38" s="1" t="s">
        <v>84</v>
      </c>
      <c r="D38" s="1">
        <v>0.16842961757526451</v>
      </c>
      <c r="E38" s="1" t="s">
        <v>35</v>
      </c>
      <c r="F38" s="1" t="s">
        <v>27</v>
      </c>
      <c r="G38" s="1" t="s">
        <v>28</v>
      </c>
      <c r="J38" s="1" t="s">
        <v>85</v>
      </c>
    </row>
    <row r="39" spans="1:10" x14ac:dyDescent="0.35">
      <c r="A39" s="1" t="s">
        <v>93</v>
      </c>
      <c r="B39" s="1" t="s">
        <v>94</v>
      </c>
      <c r="C39" s="1" t="s">
        <v>40</v>
      </c>
      <c r="D39" s="1">
        <v>6.3E-2</v>
      </c>
      <c r="E39" s="1" t="s">
        <v>8</v>
      </c>
      <c r="F39" s="1" t="s">
        <v>27</v>
      </c>
      <c r="G39" s="1" t="s">
        <v>28</v>
      </c>
      <c r="J39" s="1" t="s">
        <v>85</v>
      </c>
    </row>
    <row r="40" spans="1:10" x14ac:dyDescent="0.35">
      <c r="A40" s="1" t="s">
        <v>88</v>
      </c>
      <c r="B40" s="1" t="s">
        <v>89</v>
      </c>
      <c r="C40" s="1" t="s">
        <v>84</v>
      </c>
      <c r="D40" s="1">
        <v>3.216666666666667E-2</v>
      </c>
      <c r="E40" s="1" t="s">
        <v>76</v>
      </c>
      <c r="F40" s="1" t="s">
        <v>27</v>
      </c>
      <c r="G40" s="1" t="s">
        <v>28</v>
      </c>
      <c r="J40" s="1" t="s">
        <v>85</v>
      </c>
    </row>
    <row r="41" spans="1:10" x14ac:dyDescent="0.35">
      <c r="A41" s="1" t="s">
        <v>33</v>
      </c>
      <c r="B41" s="1" t="s">
        <v>34</v>
      </c>
      <c r="C41" s="1" t="s">
        <v>84</v>
      </c>
      <c r="D41" s="1">
        <v>0.15703824247355569</v>
      </c>
      <c r="E41" s="1" t="s">
        <v>35</v>
      </c>
      <c r="F41" s="1" t="s">
        <v>27</v>
      </c>
      <c r="G41" s="1" t="s">
        <v>28</v>
      </c>
      <c r="J41" s="1" t="s">
        <v>85</v>
      </c>
    </row>
    <row r="42" spans="1:10" x14ac:dyDescent="0.35">
      <c r="A42" s="1" t="s">
        <v>90</v>
      </c>
      <c r="B42" s="1" t="s">
        <v>91</v>
      </c>
      <c r="C42" s="1" t="s">
        <v>84</v>
      </c>
      <c r="D42" s="1">
        <v>3.7099258014839688E-2</v>
      </c>
      <c r="E42" s="1" t="s">
        <v>8</v>
      </c>
      <c r="F42" s="1" t="s">
        <v>27</v>
      </c>
      <c r="G42" s="1" t="s">
        <v>28</v>
      </c>
      <c r="J42" s="1" t="s">
        <v>85</v>
      </c>
    </row>
    <row r="43" spans="1:10" x14ac:dyDescent="0.35">
      <c r="A43" s="1" t="s">
        <v>33</v>
      </c>
      <c r="B43" s="1" t="s">
        <v>34</v>
      </c>
      <c r="C43" s="1" t="s">
        <v>84</v>
      </c>
      <c r="D43" s="1">
        <v>0.23352318958502849</v>
      </c>
      <c r="E43" s="1" t="s">
        <v>35</v>
      </c>
      <c r="F43" s="1" t="s">
        <v>27</v>
      </c>
      <c r="G43" s="1" t="s">
        <v>28</v>
      </c>
      <c r="J43" s="1" t="s">
        <v>85</v>
      </c>
    </row>
    <row r="44" spans="1:10" x14ac:dyDescent="0.35">
      <c r="A44" s="1" t="s">
        <v>90</v>
      </c>
      <c r="B44" s="1" t="s">
        <v>91</v>
      </c>
      <c r="C44" s="1" t="s">
        <v>84</v>
      </c>
      <c r="D44" s="1">
        <v>1.3999720005599891E-3</v>
      </c>
      <c r="E44" s="1" t="s">
        <v>8</v>
      </c>
      <c r="F44" s="1" t="s">
        <v>27</v>
      </c>
      <c r="G44" s="1" t="s">
        <v>28</v>
      </c>
      <c r="J44" s="1" t="s">
        <v>85</v>
      </c>
    </row>
    <row r="45" spans="1:10" x14ac:dyDescent="0.35">
      <c r="A45" s="1" t="s">
        <v>33</v>
      </c>
      <c r="B45" s="1" t="s">
        <v>34</v>
      </c>
      <c r="C45" s="1" t="s">
        <v>84</v>
      </c>
      <c r="D45" s="1">
        <v>0.16761594792514239</v>
      </c>
      <c r="E45" s="1" t="s">
        <v>35</v>
      </c>
      <c r="F45" s="1" t="s">
        <v>27</v>
      </c>
      <c r="G45" s="1" t="s">
        <v>28</v>
      </c>
      <c r="J45" s="1" t="s">
        <v>85</v>
      </c>
    </row>
    <row r="46" spans="1:10" x14ac:dyDescent="0.35">
      <c r="A46" s="1" t="s">
        <v>33</v>
      </c>
      <c r="B46" s="1" t="s">
        <v>34</v>
      </c>
      <c r="C46" s="1" t="s">
        <v>84</v>
      </c>
      <c r="D46" s="1">
        <v>2.4410089503661509E-3</v>
      </c>
      <c r="E46" s="1" t="s">
        <v>35</v>
      </c>
      <c r="F46" s="1" t="s">
        <v>27</v>
      </c>
      <c r="G46" s="1" t="s">
        <v>28</v>
      </c>
      <c r="J46" s="1" t="s">
        <v>85</v>
      </c>
    </row>
    <row r="47" spans="1:10" s="10" customFormat="1" x14ac:dyDescent="0.35"/>
    <row r="48" spans="1:10" x14ac:dyDescent="0.35">
      <c r="A48" s="2" t="s">
        <v>0</v>
      </c>
      <c r="B48" s="2" t="s">
        <v>95</v>
      </c>
    </row>
    <row r="49" spans="1:14" x14ac:dyDescent="0.35">
      <c r="A49" s="3" t="s">
        <v>2</v>
      </c>
      <c r="B49" s="1" t="s">
        <v>138</v>
      </c>
    </row>
    <row r="50" spans="1:14" x14ac:dyDescent="0.35">
      <c r="A50" s="3" t="s">
        <v>4</v>
      </c>
      <c r="B50" s="1" t="s">
        <v>84</v>
      </c>
    </row>
    <row r="51" spans="1:14" x14ac:dyDescent="0.35">
      <c r="A51" s="3" t="s">
        <v>6</v>
      </c>
      <c r="B51" s="1">
        <v>1</v>
      </c>
    </row>
    <row r="52" spans="1:14" x14ac:dyDescent="0.35">
      <c r="A52" s="3" t="s">
        <v>7</v>
      </c>
      <c r="B52" s="1" t="s">
        <v>8</v>
      </c>
    </row>
    <row r="53" spans="1:14" x14ac:dyDescent="0.35">
      <c r="A53" s="3" t="s">
        <v>9</v>
      </c>
      <c r="B53" s="1" t="s">
        <v>10</v>
      </c>
    </row>
    <row r="54" spans="1:14" x14ac:dyDescent="0.35">
      <c r="A54" s="3" t="s">
        <v>11</v>
      </c>
    </row>
    <row r="55" spans="1:14" x14ac:dyDescent="0.35">
      <c r="A55" s="2" t="s">
        <v>12</v>
      </c>
      <c r="B55" s="2" t="s">
        <v>2</v>
      </c>
      <c r="C55" s="2" t="s">
        <v>4</v>
      </c>
      <c r="D55" s="2" t="s">
        <v>6</v>
      </c>
      <c r="E55" s="2" t="s">
        <v>7</v>
      </c>
      <c r="F55" s="2" t="s">
        <v>13</v>
      </c>
      <c r="G55" s="2" t="s">
        <v>14</v>
      </c>
      <c r="H55" s="2" t="s">
        <v>15</v>
      </c>
      <c r="I55" s="2" t="s">
        <v>16</v>
      </c>
      <c r="J55" s="2" t="s">
        <v>17</v>
      </c>
      <c r="K55" s="2" t="s">
        <v>18</v>
      </c>
      <c r="L55" s="2" t="s">
        <v>19</v>
      </c>
      <c r="M55" s="2" t="s">
        <v>20</v>
      </c>
      <c r="N55" s="2" t="s">
        <v>21</v>
      </c>
    </row>
    <row r="56" spans="1:14" x14ac:dyDescent="0.35">
      <c r="A56" s="1" t="str">
        <f>B48</f>
        <v>Iron ore mining and steel (AHSS) production in China</v>
      </c>
      <c r="B56" s="1" t="str">
        <f>B49</f>
        <v>Steel</v>
      </c>
      <c r="C56" s="1" t="str">
        <f>B50</f>
        <v>CN</v>
      </c>
      <c r="D56" s="1">
        <v>1</v>
      </c>
      <c r="E56" s="1" t="s">
        <v>8</v>
      </c>
      <c r="F56" s="9" t="str">
        <f>F29</f>
        <v>Iron</v>
      </c>
      <c r="G56" s="1" t="s">
        <v>22</v>
      </c>
    </row>
    <row r="57" spans="1:14" x14ac:dyDescent="0.35">
      <c r="A57" s="1" t="str">
        <f>A29</f>
        <v>[P+R] Steel production (AHSS)</v>
      </c>
      <c r="B57" s="1" t="str">
        <f>B29</f>
        <v>Steel</v>
      </c>
      <c r="C57" s="1" t="str">
        <f>C29</f>
        <v>CN</v>
      </c>
      <c r="D57" s="1">
        <v>1</v>
      </c>
      <c r="E57" s="1" t="str">
        <f>E29</f>
        <v>kilogram</v>
      </c>
      <c r="F57" s="9" t="str">
        <f>F29</f>
        <v>Iron</v>
      </c>
      <c r="G57" s="1" t="s">
        <v>28</v>
      </c>
    </row>
    <row r="58" spans="1:14" x14ac:dyDescent="0.35">
      <c r="A58" s="1" t="str">
        <f>A9</f>
        <v>[M+C] Iron (Fe) ore mining and concentration (China)</v>
      </c>
      <c r="B58" s="1" t="str">
        <f t="shared" ref="B58:F58" si="0">B9</f>
        <v>Fe concentrate</v>
      </c>
      <c r="C58" s="1" t="str">
        <f t="shared" si="0"/>
        <v>CN</v>
      </c>
      <c r="D58" s="1">
        <v>1.17</v>
      </c>
      <c r="E58" s="1" t="str">
        <f t="shared" si="0"/>
        <v>kilogram</v>
      </c>
      <c r="F58" s="9" t="str">
        <f t="shared" si="0"/>
        <v>Iron</v>
      </c>
      <c r="G58" s="1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N128"/>
  <sheetViews>
    <sheetView workbookViewId="0"/>
  </sheetViews>
  <sheetFormatPr baseColWidth="10" defaultColWidth="9.1796875" defaultRowHeight="14.5" x14ac:dyDescent="0.35"/>
  <cols>
    <col min="1" max="1" width="49.1796875" style="1" bestFit="1" customWidth="1"/>
    <col min="2" max="2" width="40.81640625" style="1" bestFit="1" customWidth="1"/>
    <col min="3" max="3" width="8.1796875" style="1" bestFit="1" customWidth="1"/>
    <col min="4" max="4" width="12.7265625" style="1" bestFit="1" customWidth="1"/>
    <col min="5" max="5" width="12.81640625" style="1" bestFit="1" customWidth="1"/>
    <col min="6" max="6" width="19.7265625" style="1" bestFit="1" customWidth="1"/>
    <col min="7" max="7" width="13.26953125" style="1" bestFit="1" customWidth="1"/>
    <col min="8" max="8" width="25.26953125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96</v>
      </c>
    </row>
    <row r="2" spans="1:14" x14ac:dyDescent="0.35">
      <c r="A2" s="3" t="s">
        <v>2</v>
      </c>
      <c r="B2" s="1" t="s">
        <v>97</v>
      </c>
    </row>
    <row r="3" spans="1:14" x14ac:dyDescent="0.35">
      <c r="A3" s="3" t="s">
        <v>4</v>
      </c>
      <c r="B3" s="1" t="s">
        <v>84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[P] Sintering (Shandong)</v>
      </c>
      <c r="B9" s="1" t="str">
        <f>B2</f>
        <v>Iron (Fe) sinter</v>
      </c>
      <c r="C9" s="1" t="str">
        <f>B3</f>
        <v>CN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99</v>
      </c>
      <c r="B10" s="1" t="s">
        <v>100</v>
      </c>
      <c r="C10" s="1" t="s">
        <v>25</v>
      </c>
      <c r="D10" s="1">
        <v>0.16923076923076921</v>
      </c>
      <c r="E10" s="1" t="s">
        <v>8</v>
      </c>
      <c r="F10" s="1" t="s">
        <v>27</v>
      </c>
      <c r="G10" s="1" t="s">
        <v>28</v>
      </c>
      <c r="J10" s="1" t="s">
        <v>98</v>
      </c>
    </row>
    <row r="11" spans="1:14" x14ac:dyDescent="0.35">
      <c r="A11" s="1" t="s">
        <v>101</v>
      </c>
      <c r="B11" s="1" t="s">
        <v>102</v>
      </c>
      <c r="C11" s="1" t="s">
        <v>40</v>
      </c>
      <c r="D11" s="1">
        <v>0.1076923076923077</v>
      </c>
      <c r="E11" s="1" t="s">
        <v>8</v>
      </c>
      <c r="F11" s="1" t="s">
        <v>27</v>
      </c>
      <c r="G11" s="1" t="s">
        <v>28</v>
      </c>
      <c r="J11" s="1" t="s">
        <v>98</v>
      </c>
    </row>
    <row r="12" spans="1:14" x14ac:dyDescent="0.35">
      <c r="A12" s="1" t="s">
        <v>103</v>
      </c>
      <c r="B12" s="1" t="s">
        <v>104</v>
      </c>
      <c r="C12" s="1" t="s">
        <v>40</v>
      </c>
      <c r="D12" s="1">
        <v>6.1538461538461542E-2</v>
      </c>
      <c r="E12" s="1" t="s">
        <v>8</v>
      </c>
      <c r="F12" s="1" t="s">
        <v>27</v>
      </c>
      <c r="G12" s="1" t="s">
        <v>28</v>
      </c>
      <c r="J12" s="1" t="s">
        <v>98</v>
      </c>
    </row>
    <row r="13" spans="1:14" x14ac:dyDescent="0.35">
      <c r="A13" s="1" t="s">
        <v>105</v>
      </c>
      <c r="B13" s="1" t="s">
        <v>106</v>
      </c>
      <c r="C13" s="1" t="s">
        <v>40</v>
      </c>
      <c r="D13" s="1">
        <v>4.4615384615384612E-4</v>
      </c>
      <c r="E13" s="1" t="s">
        <v>8</v>
      </c>
      <c r="F13" s="1" t="s">
        <v>27</v>
      </c>
      <c r="G13" s="1" t="s">
        <v>28</v>
      </c>
      <c r="J13" s="1" t="s">
        <v>98</v>
      </c>
    </row>
    <row r="14" spans="1:14" x14ac:dyDescent="0.35">
      <c r="A14" s="1" t="s">
        <v>33</v>
      </c>
      <c r="B14" s="1" t="s">
        <v>34</v>
      </c>
      <c r="C14" s="1" t="s">
        <v>84</v>
      </c>
      <c r="D14" s="1">
        <v>3.3215384615384612E-2</v>
      </c>
      <c r="E14" s="1" t="s">
        <v>35</v>
      </c>
      <c r="F14" s="1" t="s">
        <v>27</v>
      </c>
      <c r="G14" s="1" t="s">
        <v>28</v>
      </c>
      <c r="J14" s="1" t="s">
        <v>98</v>
      </c>
    </row>
    <row r="15" spans="1:14" x14ac:dyDescent="0.35">
      <c r="A15" s="1" t="s">
        <v>107</v>
      </c>
      <c r="B15" s="1" t="s">
        <v>108</v>
      </c>
      <c r="C15" s="1" t="s">
        <v>25</v>
      </c>
      <c r="D15" s="1">
        <v>3.0769230769230771E-2</v>
      </c>
      <c r="E15" s="1" t="s">
        <v>8</v>
      </c>
      <c r="F15" s="1" t="s">
        <v>27</v>
      </c>
      <c r="G15" s="1" t="s">
        <v>28</v>
      </c>
      <c r="J15" s="1" t="s">
        <v>98</v>
      </c>
    </row>
    <row r="16" spans="1:14" x14ac:dyDescent="0.35">
      <c r="A16" s="1" t="str">
        <f>A106</f>
        <v>Coke production (Shandong)</v>
      </c>
      <c r="B16" s="1" t="str">
        <f t="shared" ref="B16:C16" si="0">B106</f>
        <v>Coke</v>
      </c>
      <c r="C16" s="1" t="str">
        <f t="shared" si="0"/>
        <v>CN</v>
      </c>
      <c r="D16" s="1">
        <v>3.0769230769230771E-2</v>
      </c>
      <c r="E16" s="1" t="s">
        <v>8</v>
      </c>
      <c r="F16" s="9" t="str">
        <f t="shared" ref="F16" si="1">F106</f>
        <v>Iron</v>
      </c>
      <c r="G16" s="1" t="s">
        <v>28</v>
      </c>
      <c r="J16" s="1" t="s">
        <v>98</v>
      </c>
    </row>
    <row r="17" spans="1:14" x14ac:dyDescent="0.35">
      <c r="A17" s="1" t="s">
        <v>109</v>
      </c>
      <c r="B17" s="1" t="s">
        <v>110</v>
      </c>
      <c r="C17" s="1" t="s">
        <v>40</v>
      </c>
      <c r="D17" s="1">
        <v>-4.9076923076923074E-3</v>
      </c>
      <c r="E17" s="1" t="s">
        <v>8</v>
      </c>
      <c r="F17" s="1" t="s">
        <v>27</v>
      </c>
      <c r="G17" s="1" t="s">
        <v>28</v>
      </c>
      <c r="J17" s="1" t="s">
        <v>98</v>
      </c>
    </row>
    <row r="18" spans="1:14" x14ac:dyDescent="0.35">
      <c r="A18" s="1" t="s">
        <v>75</v>
      </c>
      <c r="D18" s="1">
        <v>1.0769230769230769E-4</v>
      </c>
      <c r="E18" s="1" t="s">
        <v>76</v>
      </c>
      <c r="F18" s="1" t="s">
        <v>64</v>
      </c>
      <c r="G18" s="1" t="s">
        <v>65</v>
      </c>
      <c r="H18" s="1" t="s">
        <v>74</v>
      </c>
      <c r="J18" s="1" t="s">
        <v>98</v>
      </c>
    </row>
    <row r="19" spans="1:14" x14ac:dyDescent="0.35">
      <c r="A19" s="1" t="s">
        <v>111</v>
      </c>
      <c r="D19" s="1">
        <v>3.6923076923076921E-4</v>
      </c>
      <c r="E19" s="1" t="s">
        <v>8</v>
      </c>
      <c r="F19" s="1" t="s">
        <v>64</v>
      </c>
      <c r="G19" s="1" t="s">
        <v>65</v>
      </c>
      <c r="H19" s="1" t="s">
        <v>112</v>
      </c>
      <c r="J19" s="1" t="s">
        <v>98</v>
      </c>
    </row>
    <row r="20" spans="1:14" x14ac:dyDescent="0.35">
      <c r="A20" s="1" t="s">
        <v>113</v>
      </c>
      <c r="D20" s="1">
        <v>2.3076923076923079E-5</v>
      </c>
      <c r="E20" s="1" t="s">
        <v>8</v>
      </c>
      <c r="F20" s="1" t="s">
        <v>64</v>
      </c>
      <c r="G20" s="1" t="s">
        <v>65</v>
      </c>
      <c r="H20" s="1" t="s">
        <v>112</v>
      </c>
      <c r="J20" s="1" t="s">
        <v>98</v>
      </c>
    </row>
    <row r="21" spans="1:14" s="11" customFormat="1" x14ac:dyDescent="0.35"/>
    <row r="22" spans="1:14" x14ac:dyDescent="0.35">
      <c r="A22" s="2" t="s">
        <v>0</v>
      </c>
      <c r="B22" s="2" t="s">
        <v>114</v>
      </c>
    </row>
    <row r="23" spans="1:14" x14ac:dyDescent="0.35">
      <c r="A23" s="3" t="s">
        <v>2</v>
      </c>
      <c r="B23" s="1" t="s">
        <v>115</v>
      </c>
    </row>
    <row r="24" spans="1:14" x14ac:dyDescent="0.35">
      <c r="A24" s="3" t="s">
        <v>4</v>
      </c>
      <c r="B24" s="1" t="s">
        <v>84</v>
      </c>
    </row>
    <row r="25" spans="1:14" x14ac:dyDescent="0.35">
      <c r="A25" s="3" t="s">
        <v>6</v>
      </c>
      <c r="B25" s="1">
        <v>1</v>
      </c>
    </row>
    <row r="26" spans="1:14" x14ac:dyDescent="0.35">
      <c r="A26" s="3" t="s">
        <v>7</v>
      </c>
      <c r="B26" s="1" t="s">
        <v>8</v>
      </c>
    </row>
    <row r="27" spans="1:14" x14ac:dyDescent="0.35">
      <c r="A27" s="3" t="s">
        <v>9</v>
      </c>
      <c r="B27" s="1" t="s">
        <v>10</v>
      </c>
    </row>
    <row r="28" spans="1:14" x14ac:dyDescent="0.35">
      <c r="A28" s="3" t="s">
        <v>11</v>
      </c>
    </row>
    <row r="29" spans="1:14" x14ac:dyDescent="0.35">
      <c r="A29" s="2" t="s">
        <v>12</v>
      </c>
      <c r="B29" s="2" t="s">
        <v>2</v>
      </c>
      <c r="C29" s="2" t="s">
        <v>4</v>
      </c>
      <c r="D29" s="2" t="s">
        <v>6</v>
      </c>
      <c r="E29" s="2" t="s">
        <v>7</v>
      </c>
      <c r="F29" s="2" t="s">
        <v>13</v>
      </c>
      <c r="G29" s="2" t="s">
        <v>14</v>
      </c>
      <c r="H29" s="2" t="s">
        <v>15</v>
      </c>
      <c r="I29" s="2" t="s">
        <v>16</v>
      </c>
      <c r="J29" s="2" t="s">
        <v>17</v>
      </c>
      <c r="K29" s="2" t="s">
        <v>18</v>
      </c>
      <c r="L29" s="2" t="s">
        <v>19</v>
      </c>
      <c r="M29" s="2" t="s">
        <v>20</v>
      </c>
      <c r="N29" s="2" t="s">
        <v>21</v>
      </c>
    </row>
    <row r="30" spans="1:14" x14ac:dyDescent="0.35">
      <c r="A30" s="1" t="str">
        <f>B22</f>
        <v>[R] Fe production - Blast Furnace (Shandong)</v>
      </c>
      <c r="B30" s="1" t="str">
        <f>B23</f>
        <v>Fe</v>
      </c>
      <c r="C30" s="1" t="str">
        <f>B24</f>
        <v>CN</v>
      </c>
      <c r="D30" s="1">
        <v>1</v>
      </c>
      <c r="E30" s="1" t="s">
        <v>8</v>
      </c>
      <c r="F30" s="9" t="str">
        <f>F9</f>
        <v>Iron</v>
      </c>
      <c r="G30" s="1" t="s">
        <v>22</v>
      </c>
    </row>
    <row r="31" spans="1:14" x14ac:dyDescent="0.35">
      <c r="A31" s="1" t="s">
        <v>116</v>
      </c>
      <c r="B31" s="1" t="s">
        <v>117</v>
      </c>
      <c r="C31" s="1" t="s">
        <v>40</v>
      </c>
      <c r="D31" s="1">
        <v>9.28393351800554</v>
      </c>
      <c r="E31" s="1" t="s">
        <v>76</v>
      </c>
      <c r="F31" s="1" t="s">
        <v>27</v>
      </c>
      <c r="G31" s="1" t="s">
        <v>28</v>
      </c>
      <c r="J31" s="1" t="s">
        <v>98</v>
      </c>
    </row>
    <row r="32" spans="1:14" x14ac:dyDescent="0.35">
      <c r="A32" s="1" t="s">
        <v>116</v>
      </c>
      <c r="B32" s="1" t="s">
        <v>117</v>
      </c>
      <c r="C32" s="1" t="s">
        <v>40</v>
      </c>
      <c r="D32" s="1">
        <v>1.172276315789474</v>
      </c>
      <c r="E32" s="1" t="s">
        <v>76</v>
      </c>
      <c r="F32" s="1" t="s">
        <v>27</v>
      </c>
      <c r="G32" s="1" t="s">
        <v>28</v>
      </c>
      <c r="J32" s="1" t="s">
        <v>98</v>
      </c>
    </row>
    <row r="33" spans="1:10" x14ac:dyDescent="0.35">
      <c r="A33" s="1" t="s">
        <v>116</v>
      </c>
      <c r="B33" s="1" t="s">
        <v>117</v>
      </c>
      <c r="C33" s="1" t="s">
        <v>40</v>
      </c>
      <c r="D33" s="1">
        <v>4.5184210526315792E-2</v>
      </c>
      <c r="E33" s="1" t="s">
        <v>76</v>
      </c>
      <c r="F33" s="1" t="s">
        <v>27</v>
      </c>
      <c r="G33" s="1" t="s">
        <v>28</v>
      </c>
      <c r="J33" s="1" t="s">
        <v>98</v>
      </c>
    </row>
    <row r="34" spans="1:10" x14ac:dyDescent="0.35">
      <c r="A34" s="1" t="s">
        <v>118</v>
      </c>
      <c r="B34" s="1" t="s">
        <v>119</v>
      </c>
      <c r="C34" s="1" t="s">
        <v>40</v>
      </c>
      <c r="D34" s="1">
        <v>9.7648026315789463E-2</v>
      </c>
      <c r="E34" s="1" t="s">
        <v>8</v>
      </c>
      <c r="F34" s="1" t="s">
        <v>27</v>
      </c>
      <c r="G34" s="1" t="s">
        <v>28</v>
      </c>
      <c r="J34" s="1" t="s">
        <v>98</v>
      </c>
    </row>
    <row r="35" spans="1:10" x14ac:dyDescent="0.35">
      <c r="A35" s="1" t="s">
        <v>120</v>
      </c>
      <c r="B35" s="1" t="s">
        <v>121</v>
      </c>
      <c r="C35" s="1" t="s">
        <v>25</v>
      </c>
      <c r="D35" s="1">
        <v>0.19736842105263161</v>
      </c>
      <c r="E35" s="1" t="s">
        <v>8</v>
      </c>
      <c r="F35" s="1" t="s">
        <v>27</v>
      </c>
      <c r="G35" s="1" t="s">
        <v>28</v>
      </c>
      <c r="J35" s="1" t="s">
        <v>98</v>
      </c>
    </row>
    <row r="36" spans="1:10" x14ac:dyDescent="0.35">
      <c r="A36" s="1" t="s">
        <v>122</v>
      </c>
      <c r="B36" s="1" t="s">
        <v>123</v>
      </c>
      <c r="C36" s="1" t="s">
        <v>40</v>
      </c>
      <c r="D36" s="1">
        <v>2.6315789473684209E-2</v>
      </c>
      <c r="E36" s="1" t="s">
        <v>8</v>
      </c>
      <c r="F36" s="1" t="s">
        <v>27</v>
      </c>
      <c r="G36" s="1" t="s">
        <v>28</v>
      </c>
      <c r="J36" s="1" t="s">
        <v>98</v>
      </c>
    </row>
    <row r="37" spans="1:10" x14ac:dyDescent="0.35">
      <c r="A37" s="1" t="s">
        <v>124</v>
      </c>
      <c r="B37" s="1" t="s">
        <v>125</v>
      </c>
      <c r="C37" s="1" t="s">
        <v>40</v>
      </c>
      <c r="D37" s="1">
        <v>2.6315789473684209E-2</v>
      </c>
      <c r="E37" s="1" t="s">
        <v>8</v>
      </c>
      <c r="F37" s="1" t="s">
        <v>27</v>
      </c>
      <c r="G37" s="1" t="s">
        <v>28</v>
      </c>
      <c r="J37" s="1" t="s">
        <v>98</v>
      </c>
    </row>
    <row r="38" spans="1:10" x14ac:dyDescent="0.35">
      <c r="A38" s="1" t="s">
        <v>33</v>
      </c>
      <c r="B38" s="1" t="s">
        <v>34</v>
      </c>
      <c r="C38" s="1" t="s">
        <v>84</v>
      </c>
      <c r="D38" s="1">
        <v>2.721052631578947E-2</v>
      </c>
      <c r="E38" s="1" t="s">
        <v>35</v>
      </c>
      <c r="F38" s="1" t="s">
        <v>27</v>
      </c>
      <c r="G38" s="1" t="s">
        <v>28</v>
      </c>
      <c r="J38" s="1" t="s">
        <v>98</v>
      </c>
    </row>
    <row r="39" spans="1:10" x14ac:dyDescent="0.35">
      <c r="A39" s="1" t="str">
        <f>A106</f>
        <v>Coke production (Shandong)</v>
      </c>
      <c r="B39" s="1" t="str">
        <f t="shared" ref="B39:C39" si="2">B106</f>
        <v>Coke</v>
      </c>
      <c r="C39" s="1" t="str">
        <f t="shared" si="2"/>
        <v>CN</v>
      </c>
      <c r="D39" s="1">
        <v>0.40789473684210531</v>
      </c>
      <c r="E39" s="1" t="s">
        <v>8</v>
      </c>
      <c r="F39" s="9" t="str">
        <f t="shared" ref="F39" si="3">F106</f>
        <v>Iron</v>
      </c>
      <c r="G39" s="1" t="s">
        <v>28</v>
      </c>
      <c r="J39" s="1" t="s">
        <v>98</v>
      </c>
    </row>
    <row r="40" spans="1:10" x14ac:dyDescent="0.35">
      <c r="A40" s="1" t="s">
        <v>90</v>
      </c>
      <c r="B40" s="1" t="s">
        <v>91</v>
      </c>
      <c r="C40" s="1" t="s">
        <v>84</v>
      </c>
      <c r="D40" s="1">
        <v>0.13157894736842099</v>
      </c>
      <c r="E40" s="1" t="s">
        <v>8</v>
      </c>
      <c r="F40" s="1" t="s">
        <v>27</v>
      </c>
      <c r="G40" s="1" t="s">
        <v>28</v>
      </c>
      <c r="J40" s="1" t="s">
        <v>98</v>
      </c>
    </row>
    <row r="41" spans="1:10" x14ac:dyDescent="0.35">
      <c r="A41" s="1" t="s">
        <v>55</v>
      </c>
      <c r="B41" s="1" t="s">
        <v>56</v>
      </c>
      <c r="C41" s="1" t="s">
        <v>40</v>
      </c>
      <c r="D41" s="1">
        <v>-5.7499999999999999E-3</v>
      </c>
      <c r="E41" s="1" t="s">
        <v>8</v>
      </c>
      <c r="F41" s="1" t="s">
        <v>27</v>
      </c>
      <c r="G41" s="1" t="s">
        <v>28</v>
      </c>
      <c r="J41" s="1" t="s">
        <v>98</v>
      </c>
    </row>
    <row r="42" spans="1:10" x14ac:dyDescent="0.35">
      <c r="A42" s="1" t="s">
        <v>126</v>
      </c>
      <c r="B42" s="1" t="s">
        <v>127</v>
      </c>
      <c r="C42" s="1" t="s">
        <v>40</v>
      </c>
      <c r="D42" s="1">
        <v>-1.7105263157894741E-2</v>
      </c>
      <c r="E42" s="1" t="s">
        <v>8</v>
      </c>
      <c r="F42" s="1" t="s">
        <v>27</v>
      </c>
      <c r="G42" s="1" t="s">
        <v>28</v>
      </c>
      <c r="J42" s="1" t="s">
        <v>98</v>
      </c>
    </row>
    <row r="43" spans="1:10" x14ac:dyDescent="0.35">
      <c r="A43" s="1" t="s">
        <v>55</v>
      </c>
      <c r="B43" s="1" t="s">
        <v>56</v>
      </c>
      <c r="C43" s="1" t="s">
        <v>40</v>
      </c>
      <c r="D43" s="1">
        <v>-1.052631578947368E-3</v>
      </c>
      <c r="E43" s="1" t="s">
        <v>8</v>
      </c>
      <c r="F43" s="1" t="s">
        <v>27</v>
      </c>
      <c r="G43" s="1" t="s">
        <v>28</v>
      </c>
      <c r="J43" s="1" t="s">
        <v>98</v>
      </c>
    </row>
    <row r="44" spans="1:10" x14ac:dyDescent="0.35">
      <c r="A44" s="1" t="s">
        <v>128</v>
      </c>
      <c r="B44" s="1" t="s">
        <v>129</v>
      </c>
      <c r="C44" s="1" t="s">
        <v>40</v>
      </c>
      <c r="D44" s="1">
        <v>-1.1447368421052631E-3</v>
      </c>
      <c r="E44" s="1" t="s">
        <v>8</v>
      </c>
      <c r="F44" s="1" t="s">
        <v>27</v>
      </c>
      <c r="G44" s="1" t="s">
        <v>28</v>
      </c>
      <c r="J44" s="1" t="s">
        <v>98</v>
      </c>
    </row>
    <row r="45" spans="1:10" x14ac:dyDescent="0.35">
      <c r="A45" s="1" t="s">
        <v>130</v>
      </c>
      <c r="B45" s="1" t="s">
        <v>131</v>
      </c>
      <c r="C45" s="1" t="s">
        <v>40</v>
      </c>
      <c r="D45" s="1">
        <v>-5.7894736842105267E-6</v>
      </c>
      <c r="E45" s="1" t="s">
        <v>8</v>
      </c>
      <c r="F45" s="1" t="s">
        <v>27</v>
      </c>
      <c r="G45" s="1" t="s">
        <v>28</v>
      </c>
      <c r="J45" s="1" t="s">
        <v>98</v>
      </c>
    </row>
    <row r="46" spans="1:10" x14ac:dyDescent="0.35">
      <c r="A46" s="1" t="s">
        <v>132</v>
      </c>
      <c r="B46" s="1" t="s">
        <v>133</v>
      </c>
      <c r="C46" s="1" t="s">
        <v>40</v>
      </c>
      <c r="D46" s="1">
        <v>-1.8421052631578951E-4</v>
      </c>
      <c r="E46" s="1" t="s">
        <v>8</v>
      </c>
      <c r="F46" s="1" t="s">
        <v>27</v>
      </c>
      <c r="G46" s="1" t="s">
        <v>28</v>
      </c>
      <c r="J46" s="1" t="s">
        <v>98</v>
      </c>
    </row>
    <row r="47" spans="1:10" x14ac:dyDescent="0.35">
      <c r="A47" s="1" t="s">
        <v>134</v>
      </c>
      <c r="B47" s="1" t="s">
        <v>135</v>
      </c>
      <c r="C47" s="1" t="s">
        <v>40</v>
      </c>
      <c r="D47" s="1">
        <v>-7.5526315789473694E-6</v>
      </c>
      <c r="E47" s="1" t="s">
        <v>76</v>
      </c>
      <c r="F47" s="1" t="s">
        <v>27</v>
      </c>
      <c r="G47" s="1" t="s">
        <v>28</v>
      </c>
      <c r="J47" s="1" t="s">
        <v>98</v>
      </c>
    </row>
    <row r="48" spans="1:10" x14ac:dyDescent="0.35">
      <c r="A48" s="1" t="s">
        <v>75</v>
      </c>
      <c r="D48" s="1">
        <v>2.7631578947368419E-4</v>
      </c>
      <c r="E48" s="1" t="s">
        <v>76</v>
      </c>
      <c r="F48" s="1" t="s">
        <v>64</v>
      </c>
      <c r="G48" s="1" t="s">
        <v>65</v>
      </c>
      <c r="H48" s="1" t="s">
        <v>74</v>
      </c>
      <c r="J48" s="1" t="s">
        <v>98</v>
      </c>
    </row>
    <row r="49" spans="1:14" x14ac:dyDescent="0.35">
      <c r="A49" s="1" t="s">
        <v>111</v>
      </c>
      <c r="D49" s="1">
        <v>7.1052631578947373E-4</v>
      </c>
      <c r="E49" s="1" t="s">
        <v>8</v>
      </c>
      <c r="F49" s="1" t="s">
        <v>64</v>
      </c>
      <c r="G49" s="1" t="s">
        <v>65</v>
      </c>
      <c r="H49" s="1" t="s">
        <v>112</v>
      </c>
      <c r="J49" s="1" t="s">
        <v>98</v>
      </c>
    </row>
    <row r="50" spans="1:14" x14ac:dyDescent="0.35">
      <c r="A50" s="1" t="s">
        <v>113</v>
      </c>
      <c r="D50" s="1">
        <v>1.0986842105263159E-2</v>
      </c>
      <c r="E50" s="1" t="s">
        <v>8</v>
      </c>
      <c r="F50" s="1" t="s">
        <v>64</v>
      </c>
      <c r="G50" s="1" t="s">
        <v>65</v>
      </c>
      <c r="H50" s="1" t="s">
        <v>112</v>
      </c>
      <c r="J50" s="1" t="s">
        <v>98</v>
      </c>
    </row>
    <row r="51" spans="1:14" x14ac:dyDescent="0.35">
      <c r="A51" s="1" t="s">
        <v>136</v>
      </c>
      <c r="D51" s="1">
        <v>4.6052631578947367E-4</v>
      </c>
      <c r="E51" s="1" t="s">
        <v>8</v>
      </c>
      <c r="F51" s="1" t="s">
        <v>64</v>
      </c>
      <c r="G51" s="1" t="s">
        <v>65</v>
      </c>
      <c r="H51" s="1" t="s">
        <v>112</v>
      </c>
      <c r="J51" s="1" t="s">
        <v>98</v>
      </c>
    </row>
    <row r="52" spans="1:14" s="11" customFormat="1" x14ac:dyDescent="0.35"/>
    <row r="53" spans="1:14" x14ac:dyDescent="0.35">
      <c r="A53" s="2" t="s">
        <v>0</v>
      </c>
      <c r="B53" s="2" t="s">
        <v>137</v>
      </c>
    </row>
    <row r="54" spans="1:14" x14ac:dyDescent="0.35">
      <c r="A54" s="3" t="s">
        <v>2</v>
      </c>
      <c r="B54" s="1" t="s">
        <v>138</v>
      </c>
    </row>
    <row r="55" spans="1:14" x14ac:dyDescent="0.35">
      <c r="A55" s="3" t="s">
        <v>4</v>
      </c>
      <c r="B55" s="1" t="s">
        <v>84</v>
      </c>
    </row>
    <row r="56" spans="1:14" x14ac:dyDescent="0.35">
      <c r="A56" s="3" t="s">
        <v>6</v>
      </c>
      <c r="B56" s="1">
        <v>1</v>
      </c>
    </row>
    <row r="57" spans="1:14" x14ac:dyDescent="0.35">
      <c r="A57" s="3" t="s">
        <v>7</v>
      </c>
      <c r="B57" s="1" t="s">
        <v>8</v>
      </c>
    </row>
    <row r="58" spans="1:14" x14ac:dyDescent="0.35">
      <c r="A58" s="3" t="s">
        <v>9</v>
      </c>
      <c r="B58" s="1" t="s">
        <v>10</v>
      </c>
    </row>
    <row r="59" spans="1:14" x14ac:dyDescent="0.35">
      <c r="A59" s="3" t="s">
        <v>11</v>
      </c>
    </row>
    <row r="60" spans="1:14" x14ac:dyDescent="0.35">
      <c r="A60" s="2" t="s">
        <v>12</v>
      </c>
      <c r="B60" s="2" t="s">
        <v>2</v>
      </c>
      <c r="C60" s="2" t="s">
        <v>4</v>
      </c>
      <c r="D60" s="2" t="s">
        <v>6</v>
      </c>
      <c r="E60" s="2" t="s">
        <v>7</v>
      </c>
      <c r="F60" s="2" t="s">
        <v>13</v>
      </c>
      <c r="G60" s="2" t="s">
        <v>14</v>
      </c>
      <c r="H60" s="2" t="s">
        <v>15</v>
      </c>
      <c r="I60" s="2" t="s">
        <v>16</v>
      </c>
      <c r="J60" s="2" t="s">
        <v>17</v>
      </c>
      <c r="K60" s="2" t="s">
        <v>18</v>
      </c>
      <c r="L60" s="2" t="s">
        <v>19</v>
      </c>
      <c r="M60" s="2" t="s">
        <v>20</v>
      </c>
      <c r="N60" s="2" t="s">
        <v>21</v>
      </c>
    </row>
    <row r="61" spans="1:14" x14ac:dyDescent="0.35">
      <c r="A61" s="1" t="str">
        <f>B53</f>
        <v>[R] Steel production (Shandong)</v>
      </c>
      <c r="B61" s="1" t="str">
        <f>B54</f>
        <v>Steel</v>
      </c>
      <c r="C61" s="1" t="str">
        <f>B55</f>
        <v>CN</v>
      </c>
      <c r="D61" s="1">
        <v>1</v>
      </c>
      <c r="E61" s="1" t="s">
        <v>8</v>
      </c>
      <c r="F61" s="9" t="str">
        <f>F30</f>
        <v>Iron</v>
      </c>
      <c r="G61" s="1" t="s">
        <v>22</v>
      </c>
    </row>
    <row r="62" spans="1:14" x14ac:dyDescent="0.35">
      <c r="A62" s="1" t="s">
        <v>139</v>
      </c>
      <c r="B62" s="1" t="s">
        <v>140</v>
      </c>
      <c r="C62" s="1" t="s">
        <v>40</v>
      </c>
      <c r="D62" s="1">
        <v>1.6393442622950821E-2</v>
      </c>
      <c r="E62" s="1" t="s">
        <v>8</v>
      </c>
      <c r="F62" s="1" t="s">
        <v>27</v>
      </c>
      <c r="G62" s="1" t="s">
        <v>28</v>
      </c>
      <c r="J62" s="1" t="s">
        <v>98</v>
      </c>
    </row>
    <row r="63" spans="1:14" x14ac:dyDescent="0.35">
      <c r="A63" s="1" t="s">
        <v>141</v>
      </c>
      <c r="B63" s="1" t="s">
        <v>142</v>
      </c>
      <c r="C63" s="1" t="s">
        <v>40</v>
      </c>
      <c r="D63" s="1">
        <v>6.5573770491803282E-2</v>
      </c>
      <c r="E63" s="1" t="s">
        <v>8</v>
      </c>
      <c r="F63" s="1" t="s">
        <v>27</v>
      </c>
      <c r="G63" s="1" t="s">
        <v>28</v>
      </c>
      <c r="J63" s="1" t="s">
        <v>98</v>
      </c>
    </row>
    <row r="64" spans="1:14" x14ac:dyDescent="0.35">
      <c r="A64" s="1" t="s">
        <v>120</v>
      </c>
      <c r="B64" s="1" t="s">
        <v>121</v>
      </c>
      <c r="C64" s="1" t="s">
        <v>25</v>
      </c>
      <c r="D64" s="1">
        <v>1.6393442622950821E-2</v>
      </c>
      <c r="E64" s="1" t="s">
        <v>8</v>
      </c>
      <c r="F64" s="1" t="s">
        <v>27</v>
      </c>
      <c r="G64" s="1" t="s">
        <v>28</v>
      </c>
      <c r="J64" s="1" t="s">
        <v>98</v>
      </c>
    </row>
    <row r="65" spans="1:10" x14ac:dyDescent="0.35">
      <c r="A65" s="1" t="s">
        <v>38</v>
      </c>
      <c r="B65" s="1" t="s">
        <v>39</v>
      </c>
      <c r="C65" s="1" t="s">
        <v>40</v>
      </c>
      <c r="D65" s="1">
        <v>8.5409836065573775E-3</v>
      </c>
      <c r="E65" s="1" t="s">
        <v>8</v>
      </c>
      <c r="F65" s="1" t="s">
        <v>27</v>
      </c>
      <c r="G65" s="1" t="s">
        <v>28</v>
      </c>
      <c r="J65" s="1" t="s">
        <v>98</v>
      </c>
    </row>
    <row r="66" spans="1:10" x14ac:dyDescent="0.35">
      <c r="A66" s="1" t="s">
        <v>103</v>
      </c>
      <c r="B66" s="1" t="s">
        <v>104</v>
      </c>
      <c r="C66" s="1" t="s">
        <v>40</v>
      </c>
      <c r="D66" s="1">
        <v>3.2786885245901641E-2</v>
      </c>
      <c r="E66" s="1" t="s">
        <v>8</v>
      </c>
      <c r="F66" s="1" t="s">
        <v>27</v>
      </c>
      <c r="G66" s="1" t="s">
        <v>28</v>
      </c>
      <c r="J66" s="1" t="s">
        <v>98</v>
      </c>
    </row>
    <row r="67" spans="1:10" x14ac:dyDescent="0.35">
      <c r="A67" s="1" t="s">
        <v>143</v>
      </c>
      <c r="B67" s="1" t="s">
        <v>144</v>
      </c>
      <c r="C67" s="1" t="s">
        <v>40</v>
      </c>
      <c r="D67" s="1">
        <v>3.2786885245901641E-2</v>
      </c>
      <c r="E67" s="1" t="s">
        <v>8</v>
      </c>
      <c r="F67" s="1" t="s">
        <v>27</v>
      </c>
      <c r="G67" s="1" t="s">
        <v>28</v>
      </c>
      <c r="J67" s="1" t="s">
        <v>98</v>
      </c>
    </row>
    <row r="68" spans="1:10" x14ac:dyDescent="0.35">
      <c r="A68" s="1" t="s">
        <v>145</v>
      </c>
      <c r="B68" s="1" t="s">
        <v>146</v>
      </c>
      <c r="C68" s="1" t="s">
        <v>84</v>
      </c>
      <c r="D68" s="1">
        <v>6.8852459016393436E-4</v>
      </c>
      <c r="E68" s="1" t="s">
        <v>8</v>
      </c>
      <c r="F68" s="1" t="s">
        <v>27</v>
      </c>
      <c r="G68" s="1" t="s">
        <v>28</v>
      </c>
      <c r="J68" s="1" t="s">
        <v>98</v>
      </c>
    </row>
    <row r="69" spans="1:10" x14ac:dyDescent="0.35">
      <c r="A69" s="1" t="s">
        <v>147</v>
      </c>
      <c r="B69" s="1" t="s">
        <v>148</v>
      </c>
      <c r="C69" s="1" t="s">
        <v>25</v>
      </c>
      <c r="D69" s="1">
        <v>2.6229508196721308E-4</v>
      </c>
      <c r="E69" s="1" t="s">
        <v>8</v>
      </c>
      <c r="F69" s="1" t="s">
        <v>27</v>
      </c>
      <c r="G69" s="1" t="s">
        <v>28</v>
      </c>
      <c r="J69" s="1" t="s">
        <v>98</v>
      </c>
    </row>
    <row r="70" spans="1:10" x14ac:dyDescent="0.35">
      <c r="A70" s="1" t="s">
        <v>147</v>
      </c>
      <c r="B70" s="1" t="s">
        <v>148</v>
      </c>
      <c r="C70" s="1" t="s">
        <v>25</v>
      </c>
      <c r="D70" s="1">
        <v>2.5573770491803282E-3</v>
      </c>
      <c r="E70" s="1" t="s">
        <v>8</v>
      </c>
      <c r="F70" s="1" t="s">
        <v>27</v>
      </c>
      <c r="G70" s="1" t="s">
        <v>28</v>
      </c>
      <c r="J70" s="1" t="s">
        <v>98</v>
      </c>
    </row>
    <row r="71" spans="1:10" x14ac:dyDescent="0.35">
      <c r="A71" s="1" t="s">
        <v>149</v>
      </c>
      <c r="B71" s="1" t="s">
        <v>150</v>
      </c>
      <c r="C71" s="1" t="s">
        <v>25</v>
      </c>
      <c r="D71" s="1">
        <v>6.9016393442622951E-3</v>
      </c>
      <c r="E71" s="1" t="s">
        <v>8</v>
      </c>
      <c r="F71" s="1" t="s">
        <v>27</v>
      </c>
      <c r="G71" s="1" t="s">
        <v>28</v>
      </c>
      <c r="J71" s="1" t="s">
        <v>98</v>
      </c>
    </row>
    <row r="72" spans="1:10" x14ac:dyDescent="0.35">
      <c r="A72" s="1" t="s">
        <v>151</v>
      </c>
      <c r="B72" s="1" t="s">
        <v>152</v>
      </c>
      <c r="C72" s="1" t="s">
        <v>25</v>
      </c>
      <c r="D72" s="1">
        <v>1.6393442622950821E-5</v>
      </c>
      <c r="E72" s="1" t="s">
        <v>8</v>
      </c>
      <c r="F72" s="1" t="s">
        <v>27</v>
      </c>
      <c r="G72" s="1" t="s">
        <v>28</v>
      </c>
      <c r="J72" s="1" t="s">
        <v>98</v>
      </c>
    </row>
    <row r="73" spans="1:10" x14ac:dyDescent="0.35">
      <c r="A73" s="1" t="s">
        <v>153</v>
      </c>
      <c r="B73" s="1" t="s">
        <v>154</v>
      </c>
      <c r="C73" s="1" t="s">
        <v>25</v>
      </c>
      <c r="D73" s="1">
        <v>4.0983606557377051E-3</v>
      </c>
      <c r="E73" s="1" t="s">
        <v>8</v>
      </c>
      <c r="F73" s="1" t="s">
        <v>27</v>
      </c>
      <c r="G73" s="1" t="s">
        <v>28</v>
      </c>
      <c r="J73" s="1" t="s">
        <v>98</v>
      </c>
    </row>
    <row r="74" spans="1:10" x14ac:dyDescent="0.35">
      <c r="A74" s="1" t="s">
        <v>155</v>
      </c>
      <c r="B74" s="1" t="s">
        <v>156</v>
      </c>
      <c r="C74" s="1" t="s">
        <v>25</v>
      </c>
      <c r="D74" s="1">
        <v>2.2950819672131151E-4</v>
      </c>
      <c r="E74" s="1" t="s">
        <v>8</v>
      </c>
      <c r="F74" s="1" t="s">
        <v>27</v>
      </c>
      <c r="G74" s="1" t="s">
        <v>28</v>
      </c>
      <c r="J74" s="1" t="s">
        <v>98</v>
      </c>
    </row>
    <row r="75" spans="1:10" x14ac:dyDescent="0.35">
      <c r="A75" s="1" t="s">
        <v>143</v>
      </c>
      <c r="B75" s="1" t="s">
        <v>144</v>
      </c>
      <c r="C75" s="1" t="s">
        <v>40</v>
      </c>
      <c r="D75" s="1">
        <v>4.049180327868853E-3</v>
      </c>
      <c r="E75" s="1" t="s">
        <v>8</v>
      </c>
      <c r="F75" s="1" t="s">
        <v>27</v>
      </c>
      <c r="G75" s="1" t="s">
        <v>28</v>
      </c>
      <c r="J75" s="1" t="s">
        <v>98</v>
      </c>
    </row>
    <row r="76" spans="1:10" x14ac:dyDescent="0.35">
      <c r="A76" s="1" t="s">
        <v>43</v>
      </c>
      <c r="B76" s="1" t="s">
        <v>44</v>
      </c>
      <c r="C76" s="1" t="s">
        <v>25</v>
      </c>
      <c r="D76" s="1">
        <v>5.4098360655737711E-4</v>
      </c>
      <c r="E76" s="1" t="s">
        <v>8</v>
      </c>
      <c r="F76" s="1" t="s">
        <v>27</v>
      </c>
      <c r="G76" s="1" t="s">
        <v>28</v>
      </c>
      <c r="J76" s="1" t="s">
        <v>98</v>
      </c>
    </row>
    <row r="77" spans="1:10" x14ac:dyDescent="0.35">
      <c r="A77" s="1" t="s">
        <v>157</v>
      </c>
      <c r="B77" s="1" t="s">
        <v>158</v>
      </c>
      <c r="C77" s="1" t="s">
        <v>40</v>
      </c>
      <c r="D77" s="1">
        <v>3.6065573770491802E-4</v>
      </c>
      <c r="E77" s="1" t="s">
        <v>8</v>
      </c>
      <c r="F77" s="1" t="s">
        <v>27</v>
      </c>
      <c r="G77" s="1" t="s">
        <v>28</v>
      </c>
      <c r="J77" s="1" t="s">
        <v>98</v>
      </c>
    </row>
    <row r="78" spans="1:10" x14ac:dyDescent="0.35">
      <c r="A78" s="1" t="s">
        <v>116</v>
      </c>
      <c r="B78" s="1" t="s">
        <v>117</v>
      </c>
      <c r="C78" s="1" t="s">
        <v>40</v>
      </c>
      <c r="D78" s="1">
        <v>5.4049180327868852E-2</v>
      </c>
      <c r="E78" s="1" t="s">
        <v>76</v>
      </c>
      <c r="F78" s="1" t="s">
        <v>27</v>
      </c>
      <c r="G78" s="1" t="s">
        <v>28</v>
      </c>
      <c r="J78" s="1" t="s">
        <v>98</v>
      </c>
    </row>
    <row r="79" spans="1:10" x14ac:dyDescent="0.35">
      <c r="A79" s="1" t="s">
        <v>118</v>
      </c>
      <c r="B79" s="1" t="s">
        <v>119</v>
      </c>
      <c r="C79" s="1" t="s">
        <v>40</v>
      </c>
      <c r="D79" s="1">
        <v>7.5286885245901644E-2</v>
      </c>
      <c r="E79" s="1" t="s">
        <v>8</v>
      </c>
      <c r="F79" s="1" t="s">
        <v>27</v>
      </c>
      <c r="G79" s="1" t="s">
        <v>28</v>
      </c>
      <c r="J79" s="1" t="s">
        <v>98</v>
      </c>
    </row>
    <row r="80" spans="1:10" x14ac:dyDescent="0.35">
      <c r="A80" s="1" t="s">
        <v>159</v>
      </c>
      <c r="B80" s="1" t="s">
        <v>160</v>
      </c>
      <c r="C80" s="1" t="s">
        <v>40</v>
      </c>
      <c r="D80" s="1">
        <v>2.655409836065574E-3</v>
      </c>
      <c r="E80" s="1" t="s">
        <v>8</v>
      </c>
      <c r="F80" s="1" t="s">
        <v>27</v>
      </c>
      <c r="G80" s="1" t="s">
        <v>28</v>
      </c>
      <c r="J80" s="1" t="s">
        <v>98</v>
      </c>
    </row>
    <row r="81" spans="1:10" x14ac:dyDescent="0.35">
      <c r="A81" s="1" t="s">
        <v>116</v>
      </c>
      <c r="B81" s="1" t="s">
        <v>117</v>
      </c>
      <c r="C81" s="1" t="s">
        <v>40</v>
      </c>
      <c r="D81" s="1">
        <v>5.2196721311475409E-2</v>
      </c>
      <c r="E81" s="1" t="s">
        <v>76</v>
      </c>
      <c r="F81" s="1" t="s">
        <v>27</v>
      </c>
      <c r="G81" s="1" t="s">
        <v>28</v>
      </c>
      <c r="J81" s="1" t="s">
        <v>98</v>
      </c>
    </row>
    <row r="82" spans="1:10" x14ac:dyDescent="0.35">
      <c r="A82" s="1" t="s">
        <v>105</v>
      </c>
      <c r="B82" s="1" t="s">
        <v>106</v>
      </c>
      <c r="C82" s="1" t="s">
        <v>40</v>
      </c>
      <c r="D82" s="1">
        <v>0.1967213114754098</v>
      </c>
      <c r="E82" s="1" t="s">
        <v>8</v>
      </c>
      <c r="F82" s="1" t="s">
        <v>27</v>
      </c>
      <c r="G82" s="1" t="s">
        <v>28</v>
      </c>
      <c r="J82" s="1" t="s">
        <v>98</v>
      </c>
    </row>
    <row r="83" spans="1:10" x14ac:dyDescent="0.35">
      <c r="A83" s="1" t="s">
        <v>161</v>
      </c>
      <c r="B83" s="1" t="s">
        <v>162</v>
      </c>
      <c r="C83" s="1" t="s">
        <v>40</v>
      </c>
      <c r="D83" s="1">
        <v>2.883606557377049E-2</v>
      </c>
      <c r="E83" s="1" t="s">
        <v>76</v>
      </c>
      <c r="F83" s="1" t="s">
        <v>27</v>
      </c>
      <c r="G83" s="1" t="s">
        <v>28</v>
      </c>
      <c r="J83" s="1" t="s">
        <v>98</v>
      </c>
    </row>
    <row r="84" spans="1:10" x14ac:dyDescent="0.35">
      <c r="A84" s="1" t="s">
        <v>33</v>
      </c>
      <c r="B84" s="1" t="s">
        <v>34</v>
      </c>
      <c r="C84" s="1" t="s">
        <v>84</v>
      </c>
      <c r="D84" s="1">
        <v>7.972131147540984E-2</v>
      </c>
      <c r="E84" s="1" t="s">
        <v>35</v>
      </c>
      <c r="F84" s="1" t="s">
        <v>27</v>
      </c>
      <c r="G84" s="1" t="s">
        <v>28</v>
      </c>
      <c r="J84" s="1" t="s">
        <v>98</v>
      </c>
    </row>
    <row r="85" spans="1:10" x14ac:dyDescent="0.35">
      <c r="A85" s="1" t="s">
        <v>126</v>
      </c>
      <c r="B85" s="1" t="s">
        <v>127</v>
      </c>
      <c r="C85" s="1" t="s">
        <v>40</v>
      </c>
      <c r="D85" s="1">
        <v>-3.1803278688524589E-3</v>
      </c>
      <c r="E85" s="1" t="s">
        <v>8</v>
      </c>
      <c r="F85" s="1" t="s">
        <v>27</v>
      </c>
      <c r="G85" s="1" t="s">
        <v>28</v>
      </c>
      <c r="J85" s="1" t="s">
        <v>98</v>
      </c>
    </row>
    <row r="86" spans="1:10" x14ac:dyDescent="0.35">
      <c r="A86" s="1" t="s">
        <v>141</v>
      </c>
      <c r="B86" s="1" t="s">
        <v>142</v>
      </c>
      <c r="C86" s="1" t="s">
        <v>40</v>
      </c>
      <c r="D86" s="1">
        <v>-1.6278688524590159E-2</v>
      </c>
      <c r="E86" s="1" t="s">
        <v>8</v>
      </c>
      <c r="F86" s="1" t="s">
        <v>27</v>
      </c>
      <c r="G86" s="1" t="s">
        <v>28</v>
      </c>
      <c r="J86" s="1" t="s">
        <v>98</v>
      </c>
    </row>
    <row r="87" spans="1:10" x14ac:dyDescent="0.35">
      <c r="A87" s="1" t="s">
        <v>134</v>
      </c>
      <c r="B87" s="1" t="s">
        <v>135</v>
      </c>
      <c r="C87" s="1" t="s">
        <v>40</v>
      </c>
      <c r="D87" s="1">
        <v>-6.5573770491803284E-6</v>
      </c>
      <c r="E87" s="1" t="s">
        <v>76</v>
      </c>
      <c r="F87" s="1" t="s">
        <v>27</v>
      </c>
      <c r="G87" s="1" t="s">
        <v>28</v>
      </c>
      <c r="J87" s="1" t="s">
        <v>98</v>
      </c>
    </row>
    <row r="88" spans="1:10" x14ac:dyDescent="0.35">
      <c r="A88" s="1" t="s">
        <v>134</v>
      </c>
      <c r="B88" s="1" t="s">
        <v>135</v>
      </c>
      <c r="C88" s="1" t="s">
        <v>40</v>
      </c>
      <c r="D88" s="1">
        <v>-4.6065573770491808E-3</v>
      </c>
      <c r="E88" s="1" t="s">
        <v>76</v>
      </c>
      <c r="F88" s="1" t="s">
        <v>27</v>
      </c>
      <c r="G88" s="1" t="s">
        <v>28</v>
      </c>
      <c r="J88" s="1" t="s">
        <v>98</v>
      </c>
    </row>
    <row r="89" spans="1:10" x14ac:dyDescent="0.35">
      <c r="A89" s="1" t="s">
        <v>130</v>
      </c>
      <c r="B89" s="1" t="s">
        <v>131</v>
      </c>
      <c r="C89" s="1" t="s">
        <v>40</v>
      </c>
      <c r="D89" s="1">
        <v>-4.7377049180327876E-6</v>
      </c>
      <c r="E89" s="1" t="s">
        <v>8</v>
      </c>
      <c r="F89" s="1" t="s">
        <v>27</v>
      </c>
      <c r="G89" s="1" t="s">
        <v>28</v>
      </c>
      <c r="J89" s="1" t="s">
        <v>98</v>
      </c>
    </row>
    <row r="90" spans="1:10" x14ac:dyDescent="0.35">
      <c r="A90" s="1" t="s">
        <v>132</v>
      </c>
      <c r="B90" s="1" t="s">
        <v>133</v>
      </c>
      <c r="C90" s="1" t="s">
        <v>40</v>
      </c>
      <c r="D90" s="1">
        <v>-1.967213114754098E-4</v>
      </c>
      <c r="E90" s="1" t="s">
        <v>8</v>
      </c>
      <c r="F90" s="1" t="s">
        <v>27</v>
      </c>
      <c r="G90" s="1" t="s">
        <v>28</v>
      </c>
      <c r="J90" s="1" t="s">
        <v>98</v>
      </c>
    </row>
    <row r="91" spans="1:10" x14ac:dyDescent="0.35">
      <c r="A91" s="1" t="s">
        <v>163</v>
      </c>
      <c r="B91" s="1" t="s">
        <v>164</v>
      </c>
      <c r="C91" s="1" t="s">
        <v>40</v>
      </c>
      <c r="D91" s="1">
        <v>-3.2459016393442618E-3</v>
      </c>
      <c r="E91" s="1" t="s">
        <v>8</v>
      </c>
      <c r="F91" s="1" t="s">
        <v>27</v>
      </c>
      <c r="G91" s="1" t="s">
        <v>28</v>
      </c>
      <c r="J91" s="1" t="s">
        <v>98</v>
      </c>
    </row>
    <row r="92" spans="1:10" x14ac:dyDescent="0.35">
      <c r="A92" s="1" t="s">
        <v>55</v>
      </c>
      <c r="B92" s="1" t="s">
        <v>56</v>
      </c>
      <c r="C92" s="1" t="s">
        <v>40</v>
      </c>
      <c r="D92" s="1">
        <v>-1.4426229508196721E-3</v>
      </c>
      <c r="E92" s="1" t="s">
        <v>8</v>
      </c>
      <c r="F92" s="1" t="s">
        <v>27</v>
      </c>
      <c r="G92" s="1" t="s">
        <v>28</v>
      </c>
      <c r="J92" s="1" t="s">
        <v>98</v>
      </c>
    </row>
    <row r="93" spans="1:10" x14ac:dyDescent="0.35">
      <c r="A93" s="1" t="s">
        <v>126</v>
      </c>
      <c r="B93" s="1" t="s">
        <v>127</v>
      </c>
      <c r="C93" s="1" t="s">
        <v>40</v>
      </c>
      <c r="D93" s="1">
        <v>-1.539344262295082E-2</v>
      </c>
      <c r="E93" s="1" t="s">
        <v>8</v>
      </c>
      <c r="F93" s="1" t="s">
        <v>27</v>
      </c>
      <c r="G93" s="1" t="s">
        <v>28</v>
      </c>
      <c r="J93" s="1" t="s">
        <v>98</v>
      </c>
    </row>
    <row r="94" spans="1:10" x14ac:dyDescent="0.35">
      <c r="A94" s="1" t="s">
        <v>141</v>
      </c>
      <c r="B94" s="1" t="s">
        <v>142</v>
      </c>
      <c r="C94" s="1" t="s">
        <v>40</v>
      </c>
      <c r="D94" s="1">
        <v>0.1475409836065574</v>
      </c>
      <c r="E94" s="1" t="s">
        <v>8</v>
      </c>
      <c r="F94" s="1" t="s">
        <v>27</v>
      </c>
      <c r="G94" s="1" t="s">
        <v>28</v>
      </c>
      <c r="J94" s="1" t="s">
        <v>98</v>
      </c>
    </row>
    <row r="95" spans="1:10" x14ac:dyDescent="0.35">
      <c r="A95" s="1" t="s">
        <v>75</v>
      </c>
      <c r="D95" s="1">
        <v>3.4426229508196718E-4</v>
      </c>
      <c r="E95" s="1" t="s">
        <v>76</v>
      </c>
      <c r="F95" s="1" t="s">
        <v>64</v>
      </c>
      <c r="G95" s="1" t="s">
        <v>65</v>
      </c>
      <c r="H95" s="1" t="s">
        <v>74</v>
      </c>
      <c r="J95" s="1" t="s">
        <v>98</v>
      </c>
    </row>
    <row r="96" spans="1:10" x14ac:dyDescent="0.35">
      <c r="A96" s="1" t="s">
        <v>113</v>
      </c>
      <c r="D96" s="1">
        <v>3.2786885245901642E-5</v>
      </c>
      <c r="E96" s="1" t="s">
        <v>8</v>
      </c>
      <c r="F96" s="1" t="s">
        <v>64</v>
      </c>
      <c r="G96" s="1" t="s">
        <v>65</v>
      </c>
      <c r="H96" s="1" t="s">
        <v>112</v>
      </c>
      <c r="J96" s="1" t="s">
        <v>98</v>
      </c>
    </row>
    <row r="97" spans="1:14" s="11" customFormat="1" x14ac:dyDescent="0.35"/>
    <row r="98" spans="1:14" x14ac:dyDescent="0.35">
      <c r="A98" s="2" t="s">
        <v>0</v>
      </c>
      <c r="B98" s="2" t="s">
        <v>165</v>
      </c>
    </row>
    <row r="99" spans="1:14" x14ac:dyDescent="0.35">
      <c r="A99" s="3" t="s">
        <v>2</v>
      </c>
      <c r="B99" s="1" t="s">
        <v>166</v>
      </c>
    </row>
    <row r="100" spans="1:14" x14ac:dyDescent="0.35">
      <c r="A100" s="3" t="s">
        <v>4</v>
      </c>
      <c r="B100" s="1" t="s">
        <v>84</v>
      </c>
    </row>
    <row r="101" spans="1:14" x14ac:dyDescent="0.35">
      <c r="A101" s="3" t="s">
        <v>6</v>
      </c>
      <c r="B101" s="1">
        <v>1</v>
      </c>
    </row>
    <row r="102" spans="1:14" x14ac:dyDescent="0.35">
      <c r="A102" s="3" t="s">
        <v>7</v>
      </c>
      <c r="B102" s="1" t="s">
        <v>8</v>
      </c>
    </row>
    <row r="103" spans="1:14" x14ac:dyDescent="0.35">
      <c r="A103" s="3" t="s">
        <v>9</v>
      </c>
      <c r="B103" s="1" t="s">
        <v>10</v>
      </c>
    </row>
    <row r="104" spans="1:14" x14ac:dyDescent="0.35">
      <c r="A104" s="3" t="s">
        <v>11</v>
      </c>
    </row>
    <row r="105" spans="1:14" x14ac:dyDescent="0.35">
      <c r="A105" s="2" t="s">
        <v>12</v>
      </c>
      <c r="B105" s="2" t="s">
        <v>2</v>
      </c>
      <c r="C105" s="2" t="s">
        <v>4</v>
      </c>
      <c r="D105" s="2" t="s">
        <v>6</v>
      </c>
      <c r="E105" s="2" t="s">
        <v>7</v>
      </c>
      <c r="F105" s="2" t="s">
        <v>13</v>
      </c>
      <c r="G105" s="2" t="s">
        <v>14</v>
      </c>
      <c r="H105" s="2" t="s">
        <v>15</v>
      </c>
      <c r="I105" s="2" t="s">
        <v>16</v>
      </c>
      <c r="J105" s="2" t="s">
        <v>17</v>
      </c>
      <c r="K105" s="2" t="s">
        <v>18</v>
      </c>
      <c r="L105" s="2" t="s">
        <v>19</v>
      </c>
      <c r="M105" s="2" t="s">
        <v>20</v>
      </c>
      <c r="N105" s="2" t="s">
        <v>21</v>
      </c>
    </row>
    <row r="106" spans="1:14" x14ac:dyDescent="0.35">
      <c r="A106" s="1" t="str">
        <f>B98</f>
        <v>Coke production (Shandong)</v>
      </c>
      <c r="B106" s="1" t="str">
        <f>B99</f>
        <v>Coke</v>
      </c>
      <c r="C106" s="1" t="str">
        <f>B100</f>
        <v>CN</v>
      </c>
      <c r="D106" s="1">
        <v>1</v>
      </c>
      <c r="E106" s="1" t="s">
        <v>8</v>
      </c>
      <c r="F106" s="9" t="str">
        <f>F61</f>
        <v>Iron</v>
      </c>
      <c r="G106" s="1" t="s">
        <v>22</v>
      </c>
    </row>
    <row r="107" spans="1:14" x14ac:dyDescent="0.35">
      <c r="A107" s="1" t="s">
        <v>90</v>
      </c>
      <c r="B107" s="1" t="s">
        <v>91</v>
      </c>
      <c r="C107" s="1" t="s">
        <v>84</v>
      </c>
      <c r="D107" s="1">
        <v>1.333333333333333</v>
      </c>
      <c r="E107" s="1" t="s">
        <v>8</v>
      </c>
      <c r="F107" s="1" t="s">
        <v>27</v>
      </c>
      <c r="G107" s="1" t="s">
        <v>28</v>
      </c>
      <c r="J107" s="1" t="s">
        <v>98</v>
      </c>
    </row>
    <row r="108" spans="1:14" x14ac:dyDescent="0.35">
      <c r="A108" s="1" t="s">
        <v>116</v>
      </c>
      <c r="B108" s="1" t="s">
        <v>117</v>
      </c>
      <c r="C108" s="1" t="s">
        <v>40</v>
      </c>
      <c r="D108" s="1">
        <v>33.725146198830409</v>
      </c>
      <c r="E108" s="1" t="s">
        <v>76</v>
      </c>
      <c r="F108" s="1" t="s">
        <v>27</v>
      </c>
      <c r="G108" s="1" t="s">
        <v>28</v>
      </c>
      <c r="J108" s="1" t="s">
        <v>98</v>
      </c>
    </row>
    <row r="109" spans="1:14" x14ac:dyDescent="0.35">
      <c r="A109" s="1" t="s">
        <v>122</v>
      </c>
      <c r="B109" s="1" t="s">
        <v>123</v>
      </c>
      <c r="C109" s="1" t="s">
        <v>40</v>
      </c>
      <c r="D109" s="1">
        <v>21.444444444444439</v>
      </c>
      <c r="E109" s="1" t="s">
        <v>8</v>
      </c>
      <c r="F109" s="1" t="s">
        <v>27</v>
      </c>
      <c r="G109" s="1" t="s">
        <v>28</v>
      </c>
      <c r="J109" s="1" t="s">
        <v>98</v>
      </c>
    </row>
    <row r="110" spans="1:14" x14ac:dyDescent="0.35">
      <c r="A110" s="1" t="s">
        <v>33</v>
      </c>
      <c r="B110" s="1" t="s">
        <v>34</v>
      </c>
      <c r="C110" s="1" t="s">
        <v>84</v>
      </c>
      <c r="D110" s="1">
        <v>3.472222222222222E-3</v>
      </c>
      <c r="E110" s="1" t="s">
        <v>35</v>
      </c>
      <c r="F110" s="1" t="s">
        <v>27</v>
      </c>
      <c r="G110" s="1" t="s">
        <v>28</v>
      </c>
      <c r="J110" s="1" t="s">
        <v>98</v>
      </c>
    </row>
    <row r="111" spans="1:14" x14ac:dyDescent="0.35">
      <c r="A111" s="1" t="s">
        <v>167</v>
      </c>
      <c r="B111" s="1" t="s">
        <v>168</v>
      </c>
      <c r="C111" s="1" t="s">
        <v>40</v>
      </c>
      <c r="D111" s="1">
        <v>0.3703333333333334</v>
      </c>
      <c r="E111" s="1" t="s">
        <v>8</v>
      </c>
      <c r="F111" s="1" t="s">
        <v>27</v>
      </c>
      <c r="G111" s="1" t="s">
        <v>28</v>
      </c>
      <c r="J111" s="1" t="s">
        <v>98</v>
      </c>
    </row>
    <row r="112" spans="1:14" x14ac:dyDescent="0.35">
      <c r="A112" s="1" t="s">
        <v>75</v>
      </c>
      <c r="D112" s="1">
        <v>3.3333333333333332E-4</v>
      </c>
      <c r="E112" s="1" t="s">
        <v>76</v>
      </c>
      <c r="F112" s="1" t="s">
        <v>64</v>
      </c>
      <c r="G112" s="1" t="s">
        <v>65</v>
      </c>
      <c r="H112" s="1" t="s">
        <v>74</v>
      </c>
      <c r="J112" s="1" t="s">
        <v>98</v>
      </c>
    </row>
    <row r="113" spans="1:14" x14ac:dyDescent="0.35">
      <c r="A113" s="1" t="s">
        <v>111</v>
      </c>
      <c r="D113" s="1">
        <v>1.111111111111111E-4</v>
      </c>
      <c r="E113" s="1" t="s">
        <v>8</v>
      </c>
      <c r="F113" s="1" t="s">
        <v>64</v>
      </c>
      <c r="G113" s="1" t="s">
        <v>65</v>
      </c>
      <c r="H113" s="1" t="s">
        <v>112</v>
      </c>
      <c r="J113" s="1" t="s">
        <v>98</v>
      </c>
    </row>
    <row r="114" spans="1:14" x14ac:dyDescent="0.35">
      <c r="A114" s="1" t="s">
        <v>113</v>
      </c>
      <c r="D114" s="1">
        <v>8.3333333333333331E-5</v>
      </c>
      <c r="E114" s="1" t="s">
        <v>8</v>
      </c>
      <c r="F114" s="1" t="s">
        <v>64</v>
      </c>
      <c r="G114" s="1" t="s">
        <v>65</v>
      </c>
      <c r="H114" s="1" t="s">
        <v>112</v>
      </c>
      <c r="J114" s="1" t="s">
        <v>98</v>
      </c>
    </row>
    <row r="115" spans="1:14" s="10" customFormat="1" x14ac:dyDescent="0.35"/>
    <row r="116" spans="1:14" x14ac:dyDescent="0.35">
      <c r="A116" s="2" t="s">
        <v>0</v>
      </c>
      <c r="B116" s="2" t="s">
        <v>169</v>
      </c>
    </row>
    <row r="117" spans="1:14" x14ac:dyDescent="0.35">
      <c r="A117" s="3" t="s">
        <v>2</v>
      </c>
      <c r="B117" s="1" t="s">
        <v>138</v>
      </c>
    </row>
    <row r="118" spans="1:14" x14ac:dyDescent="0.35">
      <c r="A118" s="3" t="s">
        <v>4</v>
      </c>
      <c r="B118" s="1" t="s">
        <v>84</v>
      </c>
    </row>
    <row r="119" spans="1:14" x14ac:dyDescent="0.35">
      <c r="A119" s="3" t="s">
        <v>6</v>
      </c>
      <c r="B119" s="1">
        <v>1</v>
      </c>
    </row>
    <row r="120" spans="1:14" x14ac:dyDescent="0.35">
      <c r="A120" s="3" t="s">
        <v>7</v>
      </c>
      <c r="B120" s="1" t="s">
        <v>8</v>
      </c>
    </row>
    <row r="121" spans="1:14" x14ac:dyDescent="0.35">
      <c r="A121" s="3" t="s">
        <v>9</v>
      </c>
      <c r="B121" s="1" t="s">
        <v>10</v>
      </c>
    </row>
    <row r="122" spans="1:14" x14ac:dyDescent="0.35">
      <c r="A122" s="3" t="s">
        <v>11</v>
      </c>
    </row>
    <row r="123" spans="1:14" x14ac:dyDescent="0.35">
      <c r="A123" s="2" t="s">
        <v>12</v>
      </c>
      <c r="B123" s="2" t="s">
        <v>2</v>
      </c>
      <c r="C123" s="2" t="s">
        <v>4</v>
      </c>
      <c r="D123" s="2" t="s">
        <v>6</v>
      </c>
      <c r="E123" s="2" t="s">
        <v>7</v>
      </c>
      <c r="F123" s="2" t="s">
        <v>13</v>
      </c>
      <c r="G123" s="2" t="s">
        <v>14</v>
      </c>
      <c r="H123" s="2" t="s">
        <v>15</v>
      </c>
      <c r="I123" s="2" t="s">
        <v>16</v>
      </c>
      <c r="J123" s="2" t="s">
        <v>17</v>
      </c>
      <c r="K123" s="2" t="s">
        <v>18</v>
      </c>
      <c r="L123" s="2" t="s">
        <v>19</v>
      </c>
      <c r="M123" s="2" t="s">
        <v>20</v>
      </c>
      <c r="N123" s="2" t="s">
        <v>21</v>
      </c>
    </row>
    <row r="124" spans="1:14" x14ac:dyDescent="0.35">
      <c r="A124" s="1" t="s">
        <v>169</v>
      </c>
      <c r="B124" s="1" t="s">
        <v>138</v>
      </c>
      <c r="C124" s="1" t="s">
        <v>84</v>
      </c>
      <c r="D124" s="1">
        <v>1</v>
      </c>
      <c r="E124" s="1" t="s">
        <v>8</v>
      </c>
      <c r="F124" s="9" t="str">
        <f>F106</f>
        <v>Iron</v>
      </c>
      <c r="G124" s="1" t="s">
        <v>22</v>
      </c>
    </row>
    <row r="125" spans="1:14" x14ac:dyDescent="0.35">
      <c r="A125" s="1" t="str">
        <f>A61</f>
        <v>[R] Steel production (Shandong)</v>
      </c>
      <c r="B125" s="1" t="str">
        <f>B61</f>
        <v>Steel</v>
      </c>
      <c r="C125" s="1" t="str">
        <f>C61</f>
        <v>CN</v>
      </c>
      <c r="D125" s="1">
        <v>1</v>
      </c>
      <c r="E125" s="1" t="str">
        <f>E61</f>
        <v>kilogram</v>
      </c>
      <c r="F125" s="9" t="str">
        <f>F61</f>
        <v>Iron</v>
      </c>
      <c r="G125" s="1" t="s">
        <v>28</v>
      </c>
    </row>
    <row r="126" spans="1:14" x14ac:dyDescent="0.35">
      <c r="A126" s="1" t="str">
        <f>A30</f>
        <v>[R] Fe production - Blast Furnace (Shandong)</v>
      </c>
      <c r="B126" s="1" t="str">
        <f t="shared" ref="B126:F126" si="4">B30</f>
        <v>Fe</v>
      </c>
      <c r="C126" s="1" t="str">
        <f t="shared" si="4"/>
        <v>CN</v>
      </c>
      <c r="D126" s="1">
        <v>0.98360655737704916</v>
      </c>
      <c r="E126" s="1" t="str">
        <f t="shared" si="4"/>
        <v>kilogram</v>
      </c>
      <c r="F126" s="9" t="str">
        <f t="shared" si="4"/>
        <v>Iron</v>
      </c>
      <c r="G126" s="1" t="s">
        <v>28</v>
      </c>
    </row>
    <row r="127" spans="1:14" x14ac:dyDescent="0.35">
      <c r="A127" s="1" t="str">
        <f>A9</f>
        <v>[P] Sintering (Shandong)</v>
      </c>
      <c r="B127" s="1" t="str">
        <f t="shared" ref="B127:F127" si="5">B9</f>
        <v>Iron (Fe) sinter</v>
      </c>
      <c r="C127" s="1" t="str">
        <f t="shared" si="5"/>
        <v>CN</v>
      </c>
      <c r="D127" s="1">
        <v>1.6824849007765317</v>
      </c>
      <c r="E127" s="1" t="str">
        <f t="shared" si="5"/>
        <v>kilogram</v>
      </c>
      <c r="F127" s="9" t="str">
        <f t="shared" si="5"/>
        <v>Iron</v>
      </c>
      <c r="G127" s="1" t="s">
        <v>28</v>
      </c>
    </row>
    <row r="128" spans="1:14" x14ac:dyDescent="0.35">
      <c r="A128" s="1" t="str">
        <f>PR2_SteelAHSS_CN!A9</f>
        <v>[M+C] Iron (Fe) ore mining and concentration (China)</v>
      </c>
      <c r="B128" s="1" t="str">
        <f>PR2_SteelAHSS_CN!B9</f>
        <v>Fe concentrate</v>
      </c>
      <c r="C128" s="1" t="str">
        <f>PR2_SteelAHSS_CN!C9</f>
        <v>CN</v>
      </c>
      <c r="D128" s="1">
        <v>1.3201035375323555</v>
      </c>
      <c r="E128" s="1" t="str">
        <f>PR2_SteelAHSS_CN!E9</f>
        <v>kilogram</v>
      </c>
      <c r="F128" s="9" t="str">
        <f>PR2_SteelAHSS_CN!F9</f>
        <v>Iron</v>
      </c>
      <c r="G128" s="1" t="s">
        <v>28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N151"/>
  <sheetViews>
    <sheetView workbookViewId="0"/>
  </sheetViews>
  <sheetFormatPr baseColWidth="10" defaultColWidth="9.1796875" defaultRowHeight="14.5" x14ac:dyDescent="0.35"/>
  <cols>
    <col min="1" max="2" width="78.26953125" style="1" bestFit="1" customWidth="1"/>
    <col min="3" max="3" width="8.1796875" style="1" bestFit="1" customWidth="1"/>
    <col min="4" max="4" width="12.7265625" style="1" bestFit="1" customWidth="1"/>
    <col min="5" max="5" width="12.81640625" style="1" bestFit="1" customWidth="1"/>
    <col min="6" max="6" width="19.7265625" style="1" bestFit="1" customWidth="1"/>
    <col min="7" max="7" width="13.26953125" style="1" bestFit="1" customWidth="1"/>
    <col min="8" max="8" width="25.26953125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170</v>
      </c>
    </row>
    <row r="2" spans="1:14" x14ac:dyDescent="0.35">
      <c r="A2" s="3" t="s">
        <v>2</v>
      </c>
      <c r="B2" s="1" t="s">
        <v>171</v>
      </c>
    </row>
    <row r="3" spans="1:14" x14ac:dyDescent="0.35">
      <c r="A3" s="3" t="s">
        <v>4</v>
      </c>
      <c r="B3" s="1" t="s">
        <v>84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[P] Pelletizing</v>
      </c>
      <c r="B9" s="1" t="str">
        <f>B2</f>
        <v>Iron (Fe) pellets</v>
      </c>
      <c r="C9" s="1" t="str">
        <f>B3</f>
        <v>CN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90</v>
      </c>
      <c r="B10" s="1" t="s">
        <v>91</v>
      </c>
      <c r="C10" s="1" t="s">
        <v>84</v>
      </c>
      <c r="D10" s="1">
        <v>3.1088488645262331E-2</v>
      </c>
      <c r="E10" s="1" t="s">
        <v>8</v>
      </c>
      <c r="F10" s="1" t="s">
        <v>27</v>
      </c>
      <c r="G10" s="1" t="s">
        <v>28</v>
      </c>
      <c r="J10" s="1" t="s">
        <v>172</v>
      </c>
    </row>
    <row r="11" spans="1:14" x14ac:dyDescent="0.35">
      <c r="A11" s="1" t="s">
        <v>173</v>
      </c>
      <c r="B11" s="1" t="s">
        <v>174</v>
      </c>
      <c r="C11" s="1" t="s">
        <v>40</v>
      </c>
      <c r="D11" s="1">
        <v>1.4487079091620989E-3</v>
      </c>
      <c r="E11" s="1" t="s">
        <v>8</v>
      </c>
      <c r="F11" s="1" t="s">
        <v>27</v>
      </c>
      <c r="G11" s="1" t="s">
        <v>28</v>
      </c>
      <c r="J11" s="1" t="s">
        <v>172</v>
      </c>
    </row>
    <row r="12" spans="1:14" x14ac:dyDescent="0.35">
      <c r="A12" s="1" t="s">
        <v>86</v>
      </c>
      <c r="B12" s="1" t="s">
        <v>87</v>
      </c>
      <c r="C12" s="1" t="s">
        <v>40</v>
      </c>
      <c r="D12" s="1">
        <v>3.014878621769773E-4</v>
      </c>
      <c r="E12" s="1" t="s">
        <v>8</v>
      </c>
      <c r="F12" s="1" t="s">
        <v>27</v>
      </c>
      <c r="G12" s="1" t="s">
        <v>28</v>
      </c>
      <c r="J12" s="1" t="s">
        <v>172</v>
      </c>
    </row>
    <row r="13" spans="1:14" x14ac:dyDescent="0.35">
      <c r="A13" s="1" t="s">
        <v>86</v>
      </c>
      <c r="B13" s="1" t="s">
        <v>87</v>
      </c>
      <c r="C13" s="1" t="s">
        <v>40</v>
      </c>
      <c r="D13" s="1">
        <v>1.2920908379013311E-3</v>
      </c>
      <c r="E13" s="1" t="s">
        <v>8</v>
      </c>
      <c r="F13" s="1" t="s">
        <v>27</v>
      </c>
      <c r="G13" s="1" t="s">
        <v>28</v>
      </c>
      <c r="J13" s="1" t="s">
        <v>172</v>
      </c>
    </row>
    <row r="14" spans="1:14" x14ac:dyDescent="0.35">
      <c r="A14" s="1" t="s">
        <v>33</v>
      </c>
      <c r="B14" s="1" t="s">
        <v>34</v>
      </c>
      <c r="C14" s="1" t="s">
        <v>84</v>
      </c>
      <c r="D14" s="1">
        <v>2.4862960062646829E-2</v>
      </c>
      <c r="E14" s="1" t="s">
        <v>35</v>
      </c>
      <c r="F14" s="1" t="s">
        <v>27</v>
      </c>
      <c r="G14" s="1" t="s">
        <v>28</v>
      </c>
      <c r="J14" s="1" t="s">
        <v>172</v>
      </c>
    </row>
    <row r="15" spans="1:14" x14ac:dyDescent="0.35">
      <c r="A15" s="1" t="s">
        <v>175</v>
      </c>
      <c r="B15" s="1" t="s">
        <v>176</v>
      </c>
      <c r="C15" s="1" t="s">
        <v>25</v>
      </c>
      <c r="D15" s="1">
        <v>1.562255285826155E-2</v>
      </c>
      <c r="E15" s="1" t="s">
        <v>8</v>
      </c>
      <c r="F15" s="1" t="s">
        <v>27</v>
      </c>
      <c r="G15" s="1" t="s">
        <v>28</v>
      </c>
      <c r="J15" s="1" t="s">
        <v>172</v>
      </c>
    </row>
    <row r="16" spans="1:14" x14ac:dyDescent="0.35">
      <c r="A16" s="1" t="s">
        <v>75</v>
      </c>
      <c r="D16" s="1">
        <v>1.0422866092404069E-4</v>
      </c>
      <c r="E16" s="1" t="s">
        <v>76</v>
      </c>
      <c r="F16" s="1" t="s">
        <v>64</v>
      </c>
      <c r="G16" s="1" t="s">
        <v>65</v>
      </c>
      <c r="H16" s="1" t="s">
        <v>74</v>
      </c>
      <c r="J16" s="1" t="s">
        <v>172</v>
      </c>
    </row>
    <row r="17" spans="1:14" x14ac:dyDescent="0.35">
      <c r="A17" s="1" t="s">
        <v>177</v>
      </c>
      <c r="D17" s="1">
        <v>5.3346318659914287E-2</v>
      </c>
      <c r="E17" s="1" t="s">
        <v>8</v>
      </c>
      <c r="F17" s="1" t="s">
        <v>64</v>
      </c>
      <c r="G17" s="1" t="s">
        <v>65</v>
      </c>
      <c r="H17" s="1" t="s">
        <v>112</v>
      </c>
      <c r="J17" s="1" t="s">
        <v>172</v>
      </c>
    </row>
    <row r="18" spans="1:14" x14ac:dyDescent="0.35">
      <c r="A18" s="1" t="s">
        <v>178</v>
      </c>
      <c r="D18" s="1">
        <v>2.890533696922477E-3</v>
      </c>
      <c r="E18" s="1" t="s">
        <v>8</v>
      </c>
      <c r="F18" s="1" t="s">
        <v>64</v>
      </c>
      <c r="G18" s="1" t="s">
        <v>65</v>
      </c>
      <c r="H18" s="1" t="s">
        <v>112</v>
      </c>
      <c r="J18" s="1" t="s">
        <v>172</v>
      </c>
    </row>
    <row r="19" spans="1:14" x14ac:dyDescent="0.35">
      <c r="A19" s="1" t="s">
        <v>111</v>
      </c>
      <c r="D19" s="1">
        <v>1.012855473315154E-4</v>
      </c>
      <c r="E19" s="1" t="s">
        <v>8</v>
      </c>
      <c r="F19" s="1" t="s">
        <v>64</v>
      </c>
      <c r="G19" s="1" t="s">
        <v>65</v>
      </c>
      <c r="H19" s="1" t="s">
        <v>112</v>
      </c>
      <c r="J19" s="1" t="s">
        <v>172</v>
      </c>
    </row>
    <row r="20" spans="1:14" x14ac:dyDescent="0.35">
      <c r="A20" s="1" t="s">
        <v>136</v>
      </c>
      <c r="D20" s="1">
        <v>1.012855473315154E-4</v>
      </c>
      <c r="E20" s="1" t="s">
        <v>8</v>
      </c>
      <c r="F20" s="1" t="s">
        <v>64</v>
      </c>
      <c r="G20" s="1" t="s">
        <v>65</v>
      </c>
      <c r="H20" s="1" t="s">
        <v>112</v>
      </c>
      <c r="J20" s="1" t="s">
        <v>172</v>
      </c>
    </row>
    <row r="21" spans="1:14" x14ac:dyDescent="0.35">
      <c r="A21" s="1" t="s">
        <v>113</v>
      </c>
      <c r="D21" s="1">
        <v>4.5188936501753022E-4</v>
      </c>
      <c r="E21" s="1" t="s">
        <v>8</v>
      </c>
      <c r="F21" s="1" t="s">
        <v>64</v>
      </c>
      <c r="G21" s="1" t="s">
        <v>65</v>
      </c>
      <c r="H21" s="1" t="s">
        <v>112</v>
      </c>
      <c r="J21" s="1" t="s">
        <v>172</v>
      </c>
    </row>
    <row r="22" spans="1:14" s="11" customFormat="1" x14ac:dyDescent="0.35"/>
    <row r="23" spans="1:14" x14ac:dyDescent="0.35">
      <c r="A23" s="2" t="s">
        <v>0</v>
      </c>
      <c r="B23" s="2" t="s">
        <v>179</v>
      </c>
    </row>
    <row r="24" spans="1:14" x14ac:dyDescent="0.35">
      <c r="A24" s="3" t="s">
        <v>2</v>
      </c>
      <c r="B24" s="1" t="s">
        <v>180</v>
      </c>
    </row>
    <row r="25" spans="1:14" x14ac:dyDescent="0.35">
      <c r="A25" s="3" t="s">
        <v>4</v>
      </c>
      <c r="B25" s="1" t="s">
        <v>84</v>
      </c>
    </row>
    <row r="26" spans="1:14" x14ac:dyDescent="0.35">
      <c r="A26" s="3" t="s">
        <v>6</v>
      </c>
      <c r="B26" s="1">
        <v>1</v>
      </c>
    </row>
    <row r="27" spans="1:14" x14ac:dyDescent="0.35">
      <c r="A27" s="3" t="s">
        <v>7</v>
      </c>
      <c r="B27" s="1" t="s">
        <v>8</v>
      </c>
    </row>
    <row r="28" spans="1:14" x14ac:dyDescent="0.35">
      <c r="A28" s="3" t="s">
        <v>9</v>
      </c>
      <c r="B28" s="1" t="s">
        <v>10</v>
      </c>
    </row>
    <row r="29" spans="1:14" x14ac:dyDescent="0.35">
      <c r="A29" s="3" t="s">
        <v>11</v>
      </c>
    </row>
    <row r="30" spans="1:14" x14ac:dyDescent="0.35">
      <c r="A30" s="2" t="s">
        <v>12</v>
      </c>
      <c r="B30" s="2" t="s">
        <v>2</v>
      </c>
      <c r="C30" s="2" t="s">
        <v>4</v>
      </c>
      <c r="D30" s="2" t="s">
        <v>6</v>
      </c>
      <c r="E30" s="2" t="s">
        <v>7</v>
      </c>
      <c r="F30" s="2" t="s">
        <v>13</v>
      </c>
      <c r="G30" s="2" t="s">
        <v>14</v>
      </c>
      <c r="H30" s="2" t="s">
        <v>15</v>
      </c>
      <c r="I30" s="2" t="s">
        <v>16</v>
      </c>
      <c r="J30" s="2" t="s">
        <v>17</v>
      </c>
      <c r="K30" s="2" t="s">
        <v>18</v>
      </c>
      <c r="L30" s="2" t="s">
        <v>19</v>
      </c>
      <c r="M30" s="2" t="s">
        <v>20</v>
      </c>
      <c r="N30" s="2" t="s">
        <v>21</v>
      </c>
    </row>
    <row r="31" spans="1:14" x14ac:dyDescent="0.35">
      <c r="A31" s="1" t="str">
        <f>B23</f>
        <v>[P] Sintering</v>
      </c>
      <c r="B31" s="1" t="str">
        <f>B24</f>
        <v>Fe sinter</v>
      </c>
      <c r="C31" s="1" t="str">
        <f>B25</f>
        <v>CN</v>
      </c>
      <c r="D31" s="1">
        <v>1</v>
      </c>
      <c r="E31" s="1" t="s">
        <v>8</v>
      </c>
      <c r="F31" s="9" t="str">
        <f>F9</f>
        <v>Iron</v>
      </c>
      <c r="G31" s="1" t="s">
        <v>22</v>
      </c>
    </row>
    <row r="32" spans="1:14" x14ac:dyDescent="0.35">
      <c r="A32" s="1" t="s">
        <v>107</v>
      </c>
      <c r="B32" s="1" t="s">
        <v>108</v>
      </c>
      <c r="C32" s="1" t="s">
        <v>25</v>
      </c>
      <c r="D32" s="1">
        <v>3.2107518504090382E-2</v>
      </c>
      <c r="E32" s="1" t="s">
        <v>8</v>
      </c>
      <c r="F32" s="1" t="s">
        <v>27</v>
      </c>
      <c r="G32" s="1" t="s">
        <v>28</v>
      </c>
      <c r="J32" s="1" t="s">
        <v>172</v>
      </c>
    </row>
    <row r="33" spans="1:10" x14ac:dyDescent="0.35">
      <c r="A33" s="1" t="s">
        <v>33</v>
      </c>
      <c r="B33" s="1" t="s">
        <v>34</v>
      </c>
      <c r="C33" s="1" t="s">
        <v>84</v>
      </c>
      <c r="D33" s="1">
        <v>4.5040903778730039E-2</v>
      </c>
      <c r="E33" s="1" t="s">
        <v>35</v>
      </c>
      <c r="F33" s="1" t="s">
        <v>27</v>
      </c>
      <c r="G33" s="1" t="s">
        <v>28</v>
      </c>
      <c r="J33" s="1" t="s">
        <v>172</v>
      </c>
    </row>
    <row r="34" spans="1:10" x14ac:dyDescent="0.35">
      <c r="A34" s="1" t="s">
        <v>122</v>
      </c>
      <c r="B34" s="1" t="s">
        <v>123</v>
      </c>
      <c r="C34" s="1" t="s">
        <v>40</v>
      </c>
      <c r="D34" s="1">
        <v>2.46980911569926E-3</v>
      </c>
      <c r="E34" s="1" t="s">
        <v>8</v>
      </c>
      <c r="F34" s="1" t="s">
        <v>27</v>
      </c>
      <c r="G34" s="1" t="s">
        <v>28</v>
      </c>
      <c r="J34" s="1" t="s">
        <v>172</v>
      </c>
    </row>
    <row r="35" spans="1:10" x14ac:dyDescent="0.35">
      <c r="A35" s="1" t="s">
        <v>101</v>
      </c>
      <c r="B35" s="1" t="s">
        <v>102</v>
      </c>
      <c r="C35" s="1" t="s">
        <v>40</v>
      </c>
      <c r="D35" s="1">
        <v>6.6225165562913907E-3</v>
      </c>
      <c r="E35" s="1" t="s">
        <v>8</v>
      </c>
      <c r="F35" s="1" t="s">
        <v>27</v>
      </c>
      <c r="G35" s="1" t="s">
        <v>28</v>
      </c>
      <c r="J35" s="1" t="s">
        <v>172</v>
      </c>
    </row>
    <row r="36" spans="1:10" x14ac:dyDescent="0.35">
      <c r="A36" s="1" t="s">
        <v>181</v>
      </c>
      <c r="B36" s="1" t="s">
        <v>182</v>
      </c>
      <c r="C36" s="1" t="s">
        <v>84</v>
      </c>
      <c r="D36" s="1">
        <v>6.3887806778340471E-4</v>
      </c>
      <c r="E36" s="1" t="s">
        <v>8</v>
      </c>
      <c r="F36" s="1" t="s">
        <v>27</v>
      </c>
      <c r="G36" s="1" t="s">
        <v>28</v>
      </c>
      <c r="J36" s="1" t="s">
        <v>172</v>
      </c>
    </row>
    <row r="37" spans="1:10" x14ac:dyDescent="0.35">
      <c r="A37" s="1" t="s">
        <v>183</v>
      </c>
      <c r="B37" s="1" t="s">
        <v>184</v>
      </c>
      <c r="C37" s="1" t="s">
        <v>84</v>
      </c>
      <c r="D37" s="1">
        <v>0.71608881963381377</v>
      </c>
      <c r="E37" s="1" t="s">
        <v>26</v>
      </c>
      <c r="F37" s="1" t="s">
        <v>27</v>
      </c>
      <c r="G37" s="1" t="s">
        <v>28</v>
      </c>
      <c r="J37" s="1" t="s">
        <v>172</v>
      </c>
    </row>
    <row r="38" spans="1:10" x14ac:dyDescent="0.35">
      <c r="A38" s="1" t="s">
        <v>116</v>
      </c>
      <c r="B38" s="1" t="s">
        <v>117</v>
      </c>
      <c r="C38" s="1" t="s">
        <v>40</v>
      </c>
      <c r="D38" s="1">
        <v>2.9606544604596799E-4</v>
      </c>
      <c r="E38" s="1" t="s">
        <v>76</v>
      </c>
      <c r="F38" s="1" t="s">
        <v>27</v>
      </c>
      <c r="G38" s="1" t="s">
        <v>28</v>
      </c>
      <c r="J38" s="1" t="s">
        <v>172</v>
      </c>
    </row>
    <row r="39" spans="1:10" x14ac:dyDescent="0.35">
      <c r="A39" s="1" t="s">
        <v>93</v>
      </c>
      <c r="B39" s="1" t="s">
        <v>94</v>
      </c>
      <c r="C39" s="1" t="s">
        <v>40</v>
      </c>
      <c r="D39" s="1">
        <v>0.14031943903389171</v>
      </c>
      <c r="E39" s="1" t="s">
        <v>8</v>
      </c>
      <c r="F39" s="1" t="s">
        <v>27</v>
      </c>
      <c r="G39" s="1" t="s">
        <v>28</v>
      </c>
      <c r="J39" s="1" t="s">
        <v>172</v>
      </c>
    </row>
    <row r="40" spans="1:10" x14ac:dyDescent="0.35">
      <c r="A40" s="1" t="s">
        <v>134</v>
      </c>
      <c r="B40" s="1" t="s">
        <v>135</v>
      </c>
      <c r="C40" s="1" t="s">
        <v>40</v>
      </c>
      <c r="D40" s="1">
        <v>-3.0385664199454608E-7</v>
      </c>
      <c r="E40" s="1" t="s">
        <v>76</v>
      </c>
      <c r="F40" s="1" t="s">
        <v>27</v>
      </c>
      <c r="G40" s="1" t="s">
        <v>28</v>
      </c>
      <c r="J40" s="1" t="s">
        <v>172</v>
      </c>
    </row>
    <row r="41" spans="1:10" x14ac:dyDescent="0.35">
      <c r="A41" s="1" t="s">
        <v>75</v>
      </c>
      <c r="D41" s="1">
        <v>6.9770159719516941E-5</v>
      </c>
      <c r="E41" s="1" t="s">
        <v>76</v>
      </c>
      <c r="F41" s="1" t="s">
        <v>64</v>
      </c>
      <c r="G41" s="1" t="s">
        <v>65</v>
      </c>
      <c r="H41" s="1" t="s">
        <v>74</v>
      </c>
      <c r="J41" s="1" t="s">
        <v>172</v>
      </c>
    </row>
    <row r="42" spans="1:10" x14ac:dyDescent="0.35">
      <c r="A42" s="1" t="s">
        <v>177</v>
      </c>
      <c r="D42" s="1">
        <v>0.30908453447604212</v>
      </c>
      <c r="E42" s="1" t="s">
        <v>8</v>
      </c>
      <c r="F42" s="1" t="s">
        <v>64</v>
      </c>
      <c r="G42" s="1" t="s">
        <v>65</v>
      </c>
      <c r="H42" s="1" t="s">
        <v>112</v>
      </c>
      <c r="J42" s="1" t="s">
        <v>172</v>
      </c>
    </row>
    <row r="43" spans="1:10" x14ac:dyDescent="0.35">
      <c r="A43" s="1" t="s">
        <v>178</v>
      </c>
      <c r="D43" s="1">
        <v>2.6996493961823138E-2</v>
      </c>
      <c r="E43" s="1" t="s">
        <v>8</v>
      </c>
      <c r="F43" s="1" t="s">
        <v>64</v>
      </c>
      <c r="G43" s="1" t="s">
        <v>65</v>
      </c>
      <c r="H43" s="1" t="s">
        <v>112</v>
      </c>
      <c r="J43" s="1" t="s">
        <v>172</v>
      </c>
    </row>
    <row r="44" spans="1:10" x14ac:dyDescent="0.35">
      <c r="A44" s="1" t="s">
        <v>111</v>
      </c>
      <c r="D44" s="1">
        <v>5.2201012855473321E-4</v>
      </c>
      <c r="E44" s="1" t="s">
        <v>8</v>
      </c>
      <c r="F44" s="1" t="s">
        <v>64</v>
      </c>
      <c r="G44" s="1" t="s">
        <v>65</v>
      </c>
      <c r="H44" s="1" t="s">
        <v>112</v>
      </c>
      <c r="J44" s="1" t="s">
        <v>172</v>
      </c>
    </row>
    <row r="45" spans="1:10" x14ac:dyDescent="0.35">
      <c r="A45" s="1" t="s">
        <v>136</v>
      </c>
      <c r="D45" s="1">
        <v>5.6096610829762367E-4</v>
      </c>
      <c r="E45" s="1" t="s">
        <v>8</v>
      </c>
      <c r="F45" s="1" t="s">
        <v>64</v>
      </c>
      <c r="G45" s="1" t="s">
        <v>65</v>
      </c>
      <c r="H45" s="1" t="s">
        <v>112</v>
      </c>
      <c r="J45" s="1" t="s">
        <v>172</v>
      </c>
    </row>
    <row r="46" spans="1:10" x14ac:dyDescent="0.35">
      <c r="A46" s="1" t="s">
        <v>113</v>
      </c>
      <c r="D46" s="1">
        <v>1.7919750681729649E-4</v>
      </c>
      <c r="E46" s="1" t="s">
        <v>8</v>
      </c>
      <c r="F46" s="1" t="s">
        <v>64</v>
      </c>
      <c r="G46" s="1" t="s">
        <v>65</v>
      </c>
      <c r="H46" s="1" t="s">
        <v>112</v>
      </c>
      <c r="J46" s="1" t="s">
        <v>172</v>
      </c>
    </row>
    <row r="47" spans="1:10" s="11" customFormat="1" x14ac:dyDescent="0.35"/>
    <row r="48" spans="1:10" x14ac:dyDescent="0.35">
      <c r="A48" s="2" t="s">
        <v>0</v>
      </c>
      <c r="B48" s="2" t="s">
        <v>185</v>
      </c>
    </row>
    <row r="49" spans="1:14" x14ac:dyDescent="0.35">
      <c r="A49" s="3" t="s">
        <v>2</v>
      </c>
      <c r="B49" s="1" t="s">
        <v>115</v>
      </c>
    </row>
    <row r="50" spans="1:14" x14ac:dyDescent="0.35">
      <c r="A50" s="3" t="s">
        <v>4</v>
      </c>
      <c r="B50" s="1" t="s">
        <v>84</v>
      </c>
    </row>
    <row r="51" spans="1:14" x14ac:dyDescent="0.35">
      <c r="A51" s="3" t="s">
        <v>6</v>
      </c>
      <c r="B51" s="1">
        <v>1</v>
      </c>
    </row>
    <row r="52" spans="1:14" x14ac:dyDescent="0.35">
      <c r="A52" s="3" t="s">
        <v>7</v>
      </c>
      <c r="B52" s="1" t="s">
        <v>8</v>
      </c>
    </row>
    <row r="53" spans="1:14" x14ac:dyDescent="0.35">
      <c r="A53" s="3" t="s">
        <v>9</v>
      </c>
      <c r="B53" s="1" t="s">
        <v>10</v>
      </c>
    </row>
    <row r="54" spans="1:14" x14ac:dyDescent="0.35">
      <c r="A54" s="3" t="s">
        <v>11</v>
      </c>
    </row>
    <row r="55" spans="1:14" x14ac:dyDescent="0.35">
      <c r="A55" s="2" t="s">
        <v>12</v>
      </c>
      <c r="B55" s="2" t="s">
        <v>2</v>
      </c>
      <c r="C55" s="2" t="s">
        <v>4</v>
      </c>
      <c r="D55" s="2" t="s">
        <v>6</v>
      </c>
      <c r="E55" s="2" t="s">
        <v>7</v>
      </c>
      <c r="F55" s="2" t="s">
        <v>13</v>
      </c>
      <c r="G55" s="2" t="s">
        <v>14</v>
      </c>
      <c r="H55" s="2" t="s">
        <v>15</v>
      </c>
      <c r="I55" s="2" t="s">
        <v>16</v>
      </c>
      <c r="J55" s="2" t="s">
        <v>17</v>
      </c>
      <c r="K55" s="2" t="s">
        <v>18</v>
      </c>
      <c r="L55" s="2" t="s">
        <v>19</v>
      </c>
      <c r="M55" s="2" t="s">
        <v>20</v>
      </c>
      <c r="N55" s="2" t="s">
        <v>21</v>
      </c>
    </row>
    <row r="56" spans="1:14" x14ac:dyDescent="0.35">
      <c r="A56" s="1" t="str">
        <f>B48</f>
        <v>[R] Fe production - Blast Furnace</v>
      </c>
      <c r="B56" s="1" t="str">
        <f>B49</f>
        <v>Fe</v>
      </c>
      <c r="C56" s="1" t="str">
        <f>B50</f>
        <v>CN</v>
      </c>
      <c r="D56" s="1">
        <v>1</v>
      </c>
      <c r="E56" s="1" t="s">
        <v>8</v>
      </c>
      <c r="F56" s="9" t="str">
        <f>F31</f>
        <v>Iron</v>
      </c>
      <c r="G56" s="1" t="s">
        <v>22</v>
      </c>
    </row>
    <row r="57" spans="1:14" x14ac:dyDescent="0.35">
      <c r="A57" s="1" t="s">
        <v>107</v>
      </c>
      <c r="B57" s="1" t="s">
        <v>108</v>
      </c>
      <c r="C57" s="1" t="s">
        <v>25</v>
      </c>
      <c r="D57" s="1">
        <v>7.3419689119170975E-2</v>
      </c>
      <c r="E57" s="1" t="s">
        <v>8</v>
      </c>
      <c r="F57" s="1" t="s">
        <v>27</v>
      </c>
      <c r="G57" s="1" t="s">
        <v>28</v>
      </c>
      <c r="J57" s="1" t="s">
        <v>172</v>
      </c>
    </row>
    <row r="58" spans="1:14" x14ac:dyDescent="0.35">
      <c r="A58" s="1" t="s">
        <v>90</v>
      </c>
      <c r="B58" s="1" t="s">
        <v>91</v>
      </c>
      <c r="C58" s="1" t="s">
        <v>84</v>
      </c>
      <c r="D58" s="1">
        <v>6.8922279792746122E-2</v>
      </c>
      <c r="E58" s="1" t="s">
        <v>8</v>
      </c>
      <c r="F58" s="1" t="s">
        <v>27</v>
      </c>
      <c r="G58" s="1" t="s">
        <v>28</v>
      </c>
      <c r="J58" s="1" t="s">
        <v>172</v>
      </c>
    </row>
    <row r="59" spans="1:14" x14ac:dyDescent="0.35">
      <c r="A59" s="1" t="s">
        <v>33</v>
      </c>
      <c r="B59" s="1" t="s">
        <v>34</v>
      </c>
      <c r="C59" s="1" t="s">
        <v>84</v>
      </c>
      <c r="D59" s="1">
        <v>2.3647668393782389E-2</v>
      </c>
      <c r="E59" s="1" t="s">
        <v>35</v>
      </c>
      <c r="F59" s="1" t="s">
        <v>27</v>
      </c>
      <c r="G59" s="1" t="s">
        <v>28</v>
      </c>
      <c r="J59" s="1" t="s">
        <v>172</v>
      </c>
    </row>
    <row r="60" spans="1:14" x14ac:dyDescent="0.35">
      <c r="A60" s="1" t="s">
        <v>116</v>
      </c>
      <c r="B60" s="1" t="s">
        <v>117</v>
      </c>
      <c r="C60" s="1" t="s">
        <v>40</v>
      </c>
      <c r="D60" s="1">
        <v>7.6476683937823836E-2</v>
      </c>
      <c r="E60" s="1" t="s">
        <v>76</v>
      </c>
      <c r="F60" s="1" t="s">
        <v>27</v>
      </c>
      <c r="G60" s="1" t="s">
        <v>28</v>
      </c>
      <c r="J60" s="1" t="s">
        <v>172</v>
      </c>
    </row>
    <row r="61" spans="1:14" x14ac:dyDescent="0.35">
      <c r="A61" s="1" t="s">
        <v>116</v>
      </c>
      <c r="B61" s="1" t="s">
        <v>117</v>
      </c>
      <c r="C61" s="1" t="s">
        <v>40</v>
      </c>
      <c r="D61" s="1">
        <v>5.5699481865284971E-2</v>
      </c>
      <c r="E61" s="1" t="s">
        <v>76</v>
      </c>
      <c r="F61" s="1" t="s">
        <v>27</v>
      </c>
      <c r="G61" s="1" t="s">
        <v>28</v>
      </c>
      <c r="J61" s="1" t="s">
        <v>172</v>
      </c>
    </row>
    <row r="62" spans="1:14" x14ac:dyDescent="0.35">
      <c r="A62" s="1" t="str">
        <f>A122</f>
        <v>Coke production (China)</v>
      </c>
      <c r="B62" s="1" t="str">
        <f t="shared" ref="B62:C62" si="0">B122</f>
        <v>Coke</v>
      </c>
      <c r="C62" s="1" t="str">
        <f t="shared" si="0"/>
        <v>CN</v>
      </c>
      <c r="D62" s="1">
        <v>0.37420725388601039</v>
      </c>
      <c r="E62" s="1" t="s">
        <v>8</v>
      </c>
      <c r="F62" s="9" t="str">
        <f t="shared" ref="F62" si="1">F122</f>
        <v>Iron</v>
      </c>
      <c r="G62" s="1" t="s">
        <v>28</v>
      </c>
      <c r="J62" s="1" t="s">
        <v>172</v>
      </c>
    </row>
    <row r="63" spans="1:14" x14ac:dyDescent="0.35">
      <c r="A63" s="1" t="s">
        <v>157</v>
      </c>
      <c r="B63" s="1" t="s">
        <v>158</v>
      </c>
      <c r="C63" s="1" t="s">
        <v>40</v>
      </c>
      <c r="D63" s="1">
        <v>-0.33</v>
      </c>
      <c r="E63" s="1" t="s">
        <v>8</v>
      </c>
      <c r="F63" s="1" t="s">
        <v>27</v>
      </c>
      <c r="G63" s="1" t="s">
        <v>28</v>
      </c>
      <c r="J63" s="1" t="s">
        <v>172</v>
      </c>
    </row>
    <row r="64" spans="1:14" x14ac:dyDescent="0.35">
      <c r="A64" s="1" t="s">
        <v>134</v>
      </c>
      <c r="B64" s="1" t="s">
        <v>135</v>
      </c>
      <c r="C64" s="1" t="s">
        <v>40</v>
      </c>
      <c r="D64" s="1">
        <v>-2.072538860103627E-7</v>
      </c>
      <c r="E64" s="1" t="s">
        <v>76</v>
      </c>
      <c r="F64" s="1" t="s">
        <v>27</v>
      </c>
      <c r="G64" s="1" t="s">
        <v>28</v>
      </c>
      <c r="J64" s="1" t="s">
        <v>172</v>
      </c>
    </row>
    <row r="65" spans="1:14" x14ac:dyDescent="0.35">
      <c r="A65" s="1" t="s">
        <v>75</v>
      </c>
      <c r="D65" s="1">
        <v>2.7999999999999998E-4</v>
      </c>
      <c r="E65" s="1" t="s">
        <v>76</v>
      </c>
      <c r="F65" s="1" t="s">
        <v>64</v>
      </c>
      <c r="G65" s="1" t="s">
        <v>65</v>
      </c>
      <c r="H65" s="1" t="s">
        <v>74</v>
      </c>
      <c r="J65" s="1" t="s">
        <v>172</v>
      </c>
    </row>
    <row r="66" spans="1:14" x14ac:dyDescent="0.35">
      <c r="A66" s="1" t="s">
        <v>177</v>
      </c>
      <c r="D66" s="1">
        <v>1.2878860103626939</v>
      </c>
      <c r="E66" s="1" t="s">
        <v>8</v>
      </c>
      <c r="F66" s="1" t="s">
        <v>64</v>
      </c>
      <c r="G66" s="1" t="s">
        <v>65</v>
      </c>
      <c r="H66" s="1" t="s">
        <v>112</v>
      </c>
      <c r="J66" s="1" t="s">
        <v>172</v>
      </c>
    </row>
    <row r="67" spans="1:14" x14ac:dyDescent="0.35">
      <c r="A67" s="1" t="s">
        <v>178</v>
      </c>
      <c r="D67" s="1">
        <v>1.553367875647668E-2</v>
      </c>
      <c r="E67" s="1" t="s">
        <v>8</v>
      </c>
      <c r="F67" s="1" t="s">
        <v>64</v>
      </c>
      <c r="G67" s="1" t="s">
        <v>65</v>
      </c>
      <c r="H67" s="1" t="s">
        <v>112</v>
      </c>
      <c r="J67" s="1" t="s">
        <v>172</v>
      </c>
    </row>
    <row r="68" spans="1:14" x14ac:dyDescent="0.35">
      <c r="A68" s="1" t="s">
        <v>111</v>
      </c>
      <c r="D68" s="1">
        <v>1.740932642487047E-3</v>
      </c>
      <c r="E68" s="1" t="s">
        <v>8</v>
      </c>
      <c r="F68" s="1" t="s">
        <v>64</v>
      </c>
      <c r="G68" s="1" t="s">
        <v>65</v>
      </c>
      <c r="H68" s="1" t="s">
        <v>112</v>
      </c>
      <c r="J68" s="1" t="s">
        <v>172</v>
      </c>
    </row>
    <row r="69" spans="1:14" x14ac:dyDescent="0.35">
      <c r="A69" s="1" t="s">
        <v>136</v>
      </c>
      <c r="D69" s="1">
        <v>1.5544041450777201E-4</v>
      </c>
      <c r="E69" s="1" t="s">
        <v>8</v>
      </c>
      <c r="F69" s="1" t="s">
        <v>64</v>
      </c>
      <c r="G69" s="1" t="s">
        <v>65</v>
      </c>
      <c r="H69" s="1" t="s">
        <v>112</v>
      </c>
      <c r="J69" s="1" t="s">
        <v>172</v>
      </c>
    </row>
    <row r="70" spans="1:14" x14ac:dyDescent="0.35">
      <c r="A70" s="1" t="s">
        <v>113</v>
      </c>
      <c r="D70" s="1">
        <v>1.3160621761658031E-3</v>
      </c>
      <c r="E70" s="1" t="s">
        <v>8</v>
      </c>
      <c r="F70" s="1" t="s">
        <v>64</v>
      </c>
      <c r="G70" s="1" t="s">
        <v>65</v>
      </c>
      <c r="H70" s="1" t="s">
        <v>112</v>
      </c>
      <c r="J70" s="1" t="s">
        <v>172</v>
      </c>
    </row>
    <row r="71" spans="1:14" s="11" customFormat="1" x14ac:dyDescent="0.35"/>
    <row r="72" spans="1:14" x14ac:dyDescent="0.35">
      <c r="A72" s="2" t="s">
        <v>0</v>
      </c>
      <c r="B72" s="2" t="s">
        <v>186</v>
      </c>
    </row>
    <row r="73" spans="1:14" x14ac:dyDescent="0.35">
      <c r="A73" s="3" t="s">
        <v>2</v>
      </c>
      <c r="B73" s="1" t="s">
        <v>138</v>
      </c>
    </row>
    <row r="74" spans="1:14" x14ac:dyDescent="0.35">
      <c r="A74" s="3" t="s">
        <v>4</v>
      </c>
      <c r="B74" s="1" t="s">
        <v>84</v>
      </c>
    </row>
    <row r="75" spans="1:14" x14ac:dyDescent="0.35">
      <c r="A75" s="3" t="s">
        <v>6</v>
      </c>
      <c r="B75" s="1">
        <v>1</v>
      </c>
    </row>
    <row r="76" spans="1:14" x14ac:dyDescent="0.35">
      <c r="A76" s="3" t="s">
        <v>7</v>
      </c>
      <c r="B76" s="1" t="s">
        <v>8</v>
      </c>
    </row>
    <row r="77" spans="1:14" x14ac:dyDescent="0.35">
      <c r="A77" s="3" t="s">
        <v>9</v>
      </c>
      <c r="B77" s="1" t="s">
        <v>10</v>
      </c>
    </row>
    <row r="78" spans="1:14" x14ac:dyDescent="0.35">
      <c r="A78" s="3" t="s">
        <v>11</v>
      </c>
    </row>
    <row r="79" spans="1:14" x14ac:dyDescent="0.35">
      <c r="A79" s="2" t="s">
        <v>12</v>
      </c>
      <c r="B79" s="2" t="s">
        <v>2</v>
      </c>
      <c r="C79" s="2" t="s">
        <v>4</v>
      </c>
      <c r="D79" s="2" t="s">
        <v>6</v>
      </c>
      <c r="E79" s="2" t="s">
        <v>7</v>
      </c>
      <c r="F79" s="2" t="s">
        <v>13</v>
      </c>
      <c r="G79" s="2" t="s">
        <v>14</v>
      </c>
      <c r="H79" s="2" t="s">
        <v>15</v>
      </c>
      <c r="I79" s="2" t="s">
        <v>16</v>
      </c>
      <c r="J79" s="2" t="s">
        <v>17</v>
      </c>
      <c r="K79" s="2" t="s">
        <v>18</v>
      </c>
      <c r="L79" s="2" t="s">
        <v>19</v>
      </c>
      <c r="M79" s="2" t="s">
        <v>20</v>
      </c>
      <c r="N79" s="2" t="s">
        <v>21</v>
      </c>
    </row>
    <row r="80" spans="1:14" x14ac:dyDescent="0.35">
      <c r="A80" s="1" t="str">
        <f>B72</f>
        <v>[R] Crude steel production - Basic oxygen furnace</v>
      </c>
      <c r="B80" s="1" t="str">
        <f>B73</f>
        <v>Steel</v>
      </c>
      <c r="C80" s="1" t="str">
        <f>B74</f>
        <v>CN</v>
      </c>
      <c r="D80" s="1">
        <v>1</v>
      </c>
      <c r="E80" s="1" t="s">
        <v>8</v>
      </c>
      <c r="F80" s="9" t="str">
        <f>F56</f>
        <v>Iron</v>
      </c>
      <c r="G80" s="1" t="s">
        <v>22</v>
      </c>
    </row>
    <row r="81" spans="1:10" x14ac:dyDescent="0.35">
      <c r="A81" s="1" t="s">
        <v>33</v>
      </c>
      <c r="B81" s="1" t="s">
        <v>34</v>
      </c>
      <c r="C81" s="1" t="s">
        <v>84</v>
      </c>
      <c r="D81" s="1">
        <v>3.6830000000000002E-2</v>
      </c>
      <c r="E81" s="1" t="s">
        <v>35</v>
      </c>
      <c r="F81" s="1" t="s">
        <v>27</v>
      </c>
      <c r="G81" s="1" t="s">
        <v>28</v>
      </c>
      <c r="J81" s="1" t="s">
        <v>172</v>
      </c>
    </row>
    <row r="82" spans="1:10" x14ac:dyDescent="0.35">
      <c r="A82" s="1" t="s">
        <v>116</v>
      </c>
      <c r="B82" s="1" t="s">
        <v>117</v>
      </c>
      <c r="C82" s="1" t="s">
        <v>40</v>
      </c>
      <c r="D82" s="1">
        <v>5.373E-2</v>
      </c>
      <c r="E82" s="1" t="s">
        <v>76</v>
      </c>
      <c r="F82" s="1" t="s">
        <v>27</v>
      </c>
      <c r="G82" s="1" t="s">
        <v>28</v>
      </c>
      <c r="J82" s="1" t="s">
        <v>172</v>
      </c>
    </row>
    <row r="83" spans="1:10" x14ac:dyDescent="0.35">
      <c r="A83" s="1" t="s">
        <v>93</v>
      </c>
      <c r="B83" s="1" t="s">
        <v>94</v>
      </c>
      <c r="C83" s="1" t="s">
        <v>40</v>
      </c>
      <c r="D83" s="1">
        <v>4.8500000000000001E-2</v>
      </c>
      <c r="E83" s="1" t="s">
        <v>8</v>
      </c>
      <c r="F83" s="1" t="s">
        <v>27</v>
      </c>
      <c r="G83" s="1" t="s">
        <v>28</v>
      </c>
      <c r="J83" s="1" t="s">
        <v>172</v>
      </c>
    </row>
    <row r="84" spans="1:10" x14ac:dyDescent="0.35">
      <c r="A84" s="1" t="s">
        <v>163</v>
      </c>
      <c r="B84" s="1" t="s">
        <v>164</v>
      </c>
      <c r="C84" s="1" t="s">
        <v>40</v>
      </c>
      <c r="D84" s="1">
        <v>0.13</v>
      </c>
      <c r="E84" s="1" t="s">
        <v>8</v>
      </c>
      <c r="F84" s="1" t="s">
        <v>27</v>
      </c>
      <c r="G84" s="1" t="s">
        <v>28</v>
      </c>
      <c r="J84" s="1" t="s">
        <v>172</v>
      </c>
    </row>
    <row r="85" spans="1:10" x14ac:dyDescent="0.35">
      <c r="A85" s="1" t="s">
        <v>187</v>
      </c>
      <c r="B85" s="1" t="s">
        <v>188</v>
      </c>
      <c r="C85" s="1" t="s">
        <v>40</v>
      </c>
      <c r="D85" s="1">
        <v>-0.18082000000000001</v>
      </c>
      <c r="E85" s="1" t="s">
        <v>8</v>
      </c>
      <c r="F85" s="1" t="s">
        <v>27</v>
      </c>
      <c r="G85" s="1" t="s">
        <v>28</v>
      </c>
      <c r="J85" s="1" t="s">
        <v>172</v>
      </c>
    </row>
    <row r="86" spans="1:10" x14ac:dyDescent="0.35">
      <c r="A86" s="1" t="s">
        <v>134</v>
      </c>
      <c r="B86" s="1" t="s">
        <v>135</v>
      </c>
      <c r="C86" s="1" t="s">
        <v>40</v>
      </c>
      <c r="D86" s="1">
        <v>-1.1199999999999999E-3</v>
      </c>
      <c r="E86" s="1" t="s">
        <v>76</v>
      </c>
      <c r="F86" s="1" t="s">
        <v>27</v>
      </c>
      <c r="G86" s="1" t="s">
        <v>28</v>
      </c>
      <c r="J86" s="1" t="s">
        <v>172</v>
      </c>
    </row>
    <row r="87" spans="1:10" x14ac:dyDescent="0.35">
      <c r="A87" s="1" t="str">
        <f>A122</f>
        <v>Coke production (China)</v>
      </c>
      <c r="B87" s="1" t="str">
        <f t="shared" ref="B87:C87" si="2">B122</f>
        <v>Coke</v>
      </c>
      <c r="C87" s="1" t="str">
        <f t="shared" si="2"/>
        <v>CN</v>
      </c>
      <c r="D87" s="1">
        <v>0.36110999999999999</v>
      </c>
      <c r="E87" s="1" t="s">
        <v>8</v>
      </c>
      <c r="F87" s="9" t="str">
        <f t="shared" ref="F87" si="3">F122</f>
        <v>Iron</v>
      </c>
      <c r="G87" s="1" t="s">
        <v>28</v>
      </c>
      <c r="J87" s="1" t="s">
        <v>172</v>
      </c>
    </row>
    <row r="88" spans="1:10" x14ac:dyDescent="0.35">
      <c r="A88" s="1" t="s">
        <v>177</v>
      </c>
      <c r="D88" s="1">
        <v>2.9499999999999998E-2</v>
      </c>
      <c r="E88" s="1" t="s">
        <v>8</v>
      </c>
      <c r="F88" s="1" t="s">
        <v>64</v>
      </c>
      <c r="G88" s="1" t="s">
        <v>65</v>
      </c>
      <c r="H88" s="1" t="s">
        <v>112</v>
      </c>
      <c r="J88" s="1" t="s">
        <v>172</v>
      </c>
    </row>
    <row r="89" spans="1:10" x14ac:dyDescent="0.35">
      <c r="A89" s="1" t="s">
        <v>178</v>
      </c>
      <c r="D89" s="1">
        <v>1.1E-4</v>
      </c>
      <c r="E89" s="1" t="s">
        <v>8</v>
      </c>
      <c r="F89" s="1" t="s">
        <v>64</v>
      </c>
      <c r="G89" s="1" t="s">
        <v>65</v>
      </c>
      <c r="H89" s="1" t="s">
        <v>112</v>
      </c>
      <c r="J89" s="1" t="s">
        <v>172</v>
      </c>
    </row>
    <row r="90" spans="1:10" x14ac:dyDescent="0.35">
      <c r="A90" s="1" t="s">
        <v>111</v>
      </c>
      <c r="D90" s="1">
        <v>2.1199999999999999E-3</v>
      </c>
      <c r="E90" s="1" t="s">
        <v>8</v>
      </c>
      <c r="F90" s="1" t="s">
        <v>64</v>
      </c>
      <c r="G90" s="1" t="s">
        <v>65</v>
      </c>
      <c r="H90" s="1" t="s">
        <v>112</v>
      </c>
      <c r="J90" s="1" t="s">
        <v>172</v>
      </c>
    </row>
    <row r="91" spans="1:10" x14ac:dyDescent="0.35">
      <c r="A91" s="1" t="s">
        <v>136</v>
      </c>
      <c r="D91" s="1">
        <v>7.8999999999999996E-5</v>
      </c>
      <c r="E91" s="1" t="s">
        <v>8</v>
      </c>
      <c r="F91" s="1" t="s">
        <v>64</v>
      </c>
      <c r="G91" s="1" t="s">
        <v>65</v>
      </c>
      <c r="H91" s="1" t="s">
        <v>112</v>
      </c>
      <c r="J91" s="1" t="s">
        <v>172</v>
      </c>
    </row>
    <row r="92" spans="1:10" x14ac:dyDescent="0.35">
      <c r="A92" s="1" t="s">
        <v>113</v>
      </c>
      <c r="D92" s="1">
        <v>6.4000000000000005E-4</v>
      </c>
      <c r="E92" s="1" t="s">
        <v>8</v>
      </c>
      <c r="F92" s="1" t="s">
        <v>64</v>
      </c>
      <c r="G92" s="1" t="s">
        <v>65</v>
      </c>
      <c r="H92" s="1" t="s">
        <v>112</v>
      </c>
      <c r="J92" s="1" t="s">
        <v>172</v>
      </c>
    </row>
    <row r="93" spans="1:10" s="11" customFormat="1" x14ac:dyDescent="0.35"/>
    <row r="94" spans="1:10" x14ac:dyDescent="0.35">
      <c r="A94" s="2" t="s">
        <v>0</v>
      </c>
      <c r="B94" s="2" t="s">
        <v>189</v>
      </c>
    </row>
    <row r="95" spans="1:10" x14ac:dyDescent="0.35">
      <c r="A95" s="3" t="s">
        <v>2</v>
      </c>
      <c r="B95" s="1" t="s">
        <v>190</v>
      </c>
    </row>
    <row r="96" spans="1:10" x14ac:dyDescent="0.35">
      <c r="A96" s="3" t="s">
        <v>4</v>
      </c>
      <c r="B96" s="1" t="s">
        <v>84</v>
      </c>
    </row>
    <row r="97" spans="1:14" x14ac:dyDescent="0.35">
      <c r="A97" s="3" t="s">
        <v>6</v>
      </c>
      <c r="B97" s="1">
        <v>1</v>
      </c>
    </row>
    <row r="98" spans="1:14" x14ac:dyDescent="0.35">
      <c r="A98" s="3" t="s">
        <v>7</v>
      </c>
      <c r="B98" s="1" t="s">
        <v>8</v>
      </c>
    </row>
    <row r="99" spans="1:14" x14ac:dyDescent="0.35">
      <c r="A99" s="3" t="s">
        <v>9</v>
      </c>
      <c r="B99" s="1" t="s">
        <v>10</v>
      </c>
    </row>
    <row r="100" spans="1:14" x14ac:dyDescent="0.35">
      <c r="A100" s="3" t="s">
        <v>11</v>
      </c>
    </row>
    <row r="101" spans="1:14" x14ac:dyDescent="0.35">
      <c r="A101" s="2" t="s">
        <v>12</v>
      </c>
      <c r="B101" s="2" t="s">
        <v>2</v>
      </c>
      <c r="C101" s="2" t="s">
        <v>4</v>
      </c>
      <c r="D101" s="2" t="s">
        <v>6</v>
      </c>
      <c r="E101" s="2" t="s">
        <v>7</v>
      </c>
      <c r="F101" s="2" t="s">
        <v>13</v>
      </c>
      <c r="G101" s="2" t="s">
        <v>14</v>
      </c>
      <c r="H101" s="2" t="s">
        <v>15</v>
      </c>
      <c r="I101" s="2" t="s">
        <v>16</v>
      </c>
      <c r="J101" s="2" t="s">
        <v>17</v>
      </c>
      <c r="K101" s="2" t="s">
        <v>18</v>
      </c>
      <c r="L101" s="2" t="s">
        <v>19</v>
      </c>
      <c r="M101" s="2" t="s">
        <v>20</v>
      </c>
      <c r="N101" s="2" t="s">
        <v>21</v>
      </c>
    </row>
    <row r="102" spans="1:14" x14ac:dyDescent="0.35">
      <c r="A102" s="1" t="str">
        <f>B94</f>
        <v>Coal production</v>
      </c>
      <c r="B102" s="1" t="str">
        <f>B95</f>
        <v>Coal</v>
      </c>
      <c r="C102" s="1" t="str">
        <f>B96</f>
        <v>CN</v>
      </c>
      <c r="D102" s="1">
        <v>1</v>
      </c>
      <c r="E102" s="1" t="s">
        <v>8</v>
      </c>
      <c r="F102" s="9" t="str">
        <f>F80</f>
        <v>Iron</v>
      </c>
      <c r="G102" s="1" t="s">
        <v>22</v>
      </c>
    </row>
    <row r="103" spans="1:14" x14ac:dyDescent="0.35">
      <c r="A103" s="1" t="s">
        <v>90</v>
      </c>
      <c r="B103" s="1" t="s">
        <v>91</v>
      </c>
      <c r="C103" s="1" t="s">
        <v>84</v>
      </c>
      <c r="D103" s="1">
        <v>1.259437372837181E-2</v>
      </c>
      <c r="E103" s="1" t="s">
        <v>8</v>
      </c>
      <c r="F103" s="1" t="s">
        <v>27</v>
      </c>
      <c r="G103" s="1" t="s">
        <v>28</v>
      </c>
      <c r="J103" s="1" t="s">
        <v>172</v>
      </c>
    </row>
    <row r="104" spans="1:14" x14ac:dyDescent="0.35">
      <c r="A104" s="1" t="s">
        <v>88</v>
      </c>
      <c r="B104" s="1" t="s">
        <v>89</v>
      </c>
      <c r="C104" s="1" t="s">
        <v>84</v>
      </c>
      <c r="D104" s="1">
        <v>9.9208017352995573E-3</v>
      </c>
      <c r="E104" s="1" t="s">
        <v>76</v>
      </c>
      <c r="F104" s="1" t="s">
        <v>27</v>
      </c>
      <c r="G104" s="1" t="s">
        <v>28</v>
      </c>
      <c r="J104" s="1" t="s">
        <v>172</v>
      </c>
    </row>
    <row r="105" spans="1:14" x14ac:dyDescent="0.35">
      <c r="A105" s="1" t="s">
        <v>173</v>
      </c>
      <c r="B105" s="1" t="s">
        <v>174</v>
      </c>
      <c r="C105" s="1" t="s">
        <v>40</v>
      </c>
      <c r="D105" s="1">
        <v>1.6646769013468751E-3</v>
      </c>
      <c r="E105" s="1" t="s">
        <v>8</v>
      </c>
      <c r="F105" s="1" t="s">
        <v>27</v>
      </c>
      <c r="G105" s="1" t="s">
        <v>28</v>
      </c>
      <c r="J105" s="1" t="s">
        <v>172</v>
      </c>
    </row>
    <row r="106" spans="1:14" x14ac:dyDescent="0.35">
      <c r="A106" s="1" t="s">
        <v>86</v>
      </c>
      <c r="B106" s="1" t="s">
        <v>87</v>
      </c>
      <c r="C106" s="1" t="s">
        <v>40</v>
      </c>
      <c r="D106" s="1">
        <v>5.952481041179734E-3</v>
      </c>
      <c r="E106" s="1" t="s">
        <v>8</v>
      </c>
      <c r="F106" s="1" t="s">
        <v>27</v>
      </c>
      <c r="G106" s="1" t="s">
        <v>28</v>
      </c>
      <c r="J106" s="1" t="s">
        <v>172</v>
      </c>
    </row>
    <row r="107" spans="1:14" x14ac:dyDescent="0.35">
      <c r="A107" s="1" t="s">
        <v>134</v>
      </c>
      <c r="B107" s="1" t="s">
        <v>135</v>
      </c>
      <c r="C107" s="1" t="s">
        <v>40</v>
      </c>
      <c r="D107" s="1">
        <v>-5.2580249197087649E-5</v>
      </c>
      <c r="E107" s="1" t="s">
        <v>76</v>
      </c>
      <c r="F107" s="1" t="s">
        <v>27</v>
      </c>
      <c r="G107" s="1" t="s">
        <v>28</v>
      </c>
      <c r="J107" s="1" t="s">
        <v>172</v>
      </c>
    </row>
    <row r="108" spans="1:14" x14ac:dyDescent="0.35">
      <c r="A108" s="1" t="s">
        <v>177</v>
      </c>
      <c r="D108" s="1">
        <v>1.5570614248961679E-2</v>
      </c>
      <c r="E108" s="1" t="s">
        <v>8</v>
      </c>
      <c r="F108" s="1" t="s">
        <v>64</v>
      </c>
      <c r="G108" s="1" t="s">
        <v>65</v>
      </c>
      <c r="H108" s="1" t="s">
        <v>112</v>
      </c>
      <c r="J108" s="1" t="s">
        <v>172</v>
      </c>
    </row>
    <row r="109" spans="1:14" x14ac:dyDescent="0.35">
      <c r="A109" s="1" t="s">
        <v>178</v>
      </c>
      <c r="D109" s="1">
        <v>3.8674311849472849E-5</v>
      </c>
      <c r="E109" s="1" t="s">
        <v>8</v>
      </c>
      <c r="F109" s="1" t="s">
        <v>64</v>
      </c>
      <c r="G109" s="1" t="s">
        <v>65</v>
      </c>
      <c r="H109" s="1" t="s">
        <v>112</v>
      </c>
      <c r="J109" s="1" t="s">
        <v>172</v>
      </c>
    </row>
    <row r="110" spans="1:14" x14ac:dyDescent="0.35">
      <c r="A110" s="1" t="s">
        <v>111</v>
      </c>
      <c r="D110" s="1">
        <v>9.2482050074826379E-5</v>
      </c>
      <c r="E110" s="1" t="s">
        <v>8</v>
      </c>
      <c r="F110" s="1" t="s">
        <v>64</v>
      </c>
      <c r="G110" s="1" t="s">
        <v>65</v>
      </c>
      <c r="H110" s="1" t="s">
        <v>112</v>
      </c>
      <c r="J110" s="1" t="s">
        <v>172</v>
      </c>
    </row>
    <row r="111" spans="1:14" x14ac:dyDescent="0.35">
      <c r="A111" s="1" t="s">
        <v>136</v>
      </c>
      <c r="D111" s="1">
        <v>1.8496410014965281E-4</v>
      </c>
      <c r="E111" s="1" t="s">
        <v>8</v>
      </c>
      <c r="F111" s="1" t="s">
        <v>64</v>
      </c>
      <c r="G111" s="1" t="s">
        <v>65</v>
      </c>
      <c r="H111" s="1" t="s">
        <v>112</v>
      </c>
      <c r="J111" s="1" t="s">
        <v>172</v>
      </c>
    </row>
    <row r="112" spans="1:14" x14ac:dyDescent="0.35">
      <c r="A112" s="1" t="s">
        <v>113</v>
      </c>
      <c r="D112" s="1">
        <v>1.210674110070454E-4</v>
      </c>
      <c r="E112" s="1" t="s">
        <v>8</v>
      </c>
      <c r="F112" s="1" t="s">
        <v>64</v>
      </c>
      <c r="G112" s="1" t="s">
        <v>65</v>
      </c>
      <c r="H112" s="1" t="s">
        <v>112</v>
      </c>
      <c r="J112" s="1" t="s">
        <v>172</v>
      </c>
    </row>
    <row r="113" spans="1:14" s="11" customFormat="1" x14ac:dyDescent="0.35"/>
    <row r="114" spans="1:14" x14ac:dyDescent="0.35">
      <c r="A114" s="2" t="s">
        <v>0</v>
      </c>
      <c r="B114" s="2" t="s">
        <v>191</v>
      </c>
    </row>
    <row r="115" spans="1:14" x14ac:dyDescent="0.35">
      <c r="A115" s="3" t="s">
        <v>2</v>
      </c>
      <c r="B115" s="1" t="s">
        <v>166</v>
      </c>
    </row>
    <row r="116" spans="1:14" x14ac:dyDescent="0.35">
      <c r="A116" s="3" t="s">
        <v>4</v>
      </c>
      <c r="B116" s="1" t="s">
        <v>84</v>
      </c>
    </row>
    <row r="117" spans="1:14" x14ac:dyDescent="0.35">
      <c r="A117" s="3" t="s">
        <v>6</v>
      </c>
      <c r="B117" s="1">
        <v>1</v>
      </c>
    </row>
    <row r="118" spans="1:14" x14ac:dyDescent="0.35">
      <c r="A118" s="3" t="s">
        <v>7</v>
      </c>
      <c r="B118" s="1" t="s">
        <v>8</v>
      </c>
    </row>
    <row r="119" spans="1:14" x14ac:dyDescent="0.35">
      <c r="A119" s="3" t="s">
        <v>9</v>
      </c>
      <c r="B119" s="1" t="s">
        <v>10</v>
      </c>
    </row>
    <row r="120" spans="1:14" x14ac:dyDescent="0.35">
      <c r="A120" s="3" t="s">
        <v>11</v>
      </c>
    </row>
    <row r="121" spans="1:14" x14ac:dyDescent="0.35">
      <c r="A121" s="2" t="s">
        <v>12</v>
      </c>
      <c r="B121" s="2" t="s">
        <v>2</v>
      </c>
      <c r="C121" s="2" t="s">
        <v>4</v>
      </c>
      <c r="D121" s="2" t="s">
        <v>6</v>
      </c>
      <c r="E121" s="2" t="s">
        <v>7</v>
      </c>
      <c r="F121" s="2" t="s">
        <v>13</v>
      </c>
      <c r="G121" s="2" t="s">
        <v>14</v>
      </c>
      <c r="H121" s="2" t="s">
        <v>15</v>
      </c>
      <c r="I121" s="2" t="s">
        <v>16</v>
      </c>
      <c r="J121" s="2" t="s">
        <v>17</v>
      </c>
      <c r="K121" s="2" t="s">
        <v>18</v>
      </c>
      <c r="L121" s="2" t="s">
        <v>19</v>
      </c>
      <c r="M121" s="2" t="s">
        <v>20</v>
      </c>
      <c r="N121" s="2" t="s">
        <v>21</v>
      </c>
    </row>
    <row r="122" spans="1:14" x14ac:dyDescent="0.35">
      <c r="A122" s="1" t="str">
        <f>B114</f>
        <v>Coke production (China)</v>
      </c>
      <c r="B122" s="1" t="str">
        <f>B115</f>
        <v>Coke</v>
      </c>
      <c r="C122" s="1" t="str">
        <f>B116</f>
        <v>CN</v>
      </c>
      <c r="D122" s="1">
        <v>1</v>
      </c>
      <c r="E122" s="1" t="s">
        <v>8</v>
      </c>
      <c r="F122" s="9" t="str">
        <f>F102</f>
        <v>Iron</v>
      </c>
      <c r="G122" s="1" t="s">
        <v>22</v>
      </c>
    </row>
    <row r="123" spans="1:14" x14ac:dyDescent="0.35">
      <c r="A123" s="1" t="s">
        <v>33</v>
      </c>
      <c r="B123" s="1" t="s">
        <v>34</v>
      </c>
      <c r="C123" s="1" t="s">
        <v>84</v>
      </c>
      <c r="D123" s="1">
        <v>4.7326299465536813E-2</v>
      </c>
      <c r="E123" s="1" t="s">
        <v>35</v>
      </c>
      <c r="F123" s="1" t="s">
        <v>27</v>
      </c>
      <c r="G123" s="1" t="s">
        <v>28</v>
      </c>
      <c r="J123" s="1" t="s">
        <v>172</v>
      </c>
    </row>
    <row r="124" spans="1:14" x14ac:dyDescent="0.35">
      <c r="A124" s="1" t="s">
        <v>122</v>
      </c>
      <c r="B124" s="1" t="s">
        <v>123</v>
      </c>
      <c r="C124" s="1" t="s">
        <v>40</v>
      </c>
      <c r="D124" s="1">
        <v>0.14740660740494579</v>
      </c>
      <c r="E124" s="1" t="s">
        <v>8</v>
      </c>
      <c r="F124" s="1" t="s">
        <v>27</v>
      </c>
      <c r="G124" s="1" t="s">
        <v>28</v>
      </c>
      <c r="J124" s="1" t="s">
        <v>172</v>
      </c>
    </row>
    <row r="125" spans="1:14" x14ac:dyDescent="0.35">
      <c r="A125" s="1" t="s">
        <v>192</v>
      </c>
      <c r="B125" s="1" t="s">
        <v>193</v>
      </c>
      <c r="C125" s="1" t="s">
        <v>40</v>
      </c>
      <c r="D125" s="1">
        <v>8.4461798343994903E-3</v>
      </c>
      <c r="E125" s="1" t="s">
        <v>8</v>
      </c>
      <c r="F125" s="1" t="s">
        <v>27</v>
      </c>
      <c r="G125" s="1" t="s">
        <v>28</v>
      </c>
      <c r="J125" s="1" t="s">
        <v>172</v>
      </c>
    </row>
    <row r="126" spans="1:14" x14ac:dyDescent="0.35">
      <c r="A126" s="1" t="s">
        <v>101</v>
      </c>
      <c r="B126" s="1" t="s">
        <v>102</v>
      </c>
      <c r="C126" s="1" t="s">
        <v>40</v>
      </c>
      <c r="D126" s="1">
        <v>4.6523220071446368E-3</v>
      </c>
      <c r="E126" s="1" t="s">
        <v>8</v>
      </c>
      <c r="F126" s="1" t="s">
        <v>27</v>
      </c>
      <c r="G126" s="1" t="s">
        <v>28</v>
      </c>
      <c r="J126" s="1" t="s">
        <v>172</v>
      </c>
    </row>
    <row r="127" spans="1:14" x14ac:dyDescent="0.35">
      <c r="A127" s="1" t="s">
        <v>116</v>
      </c>
      <c r="B127" s="1" t="s">
        <v>117</v>
      </c>
      <c r="C127" s="1" t="s">
        <v>40</v>
      </c>
      <c r="D127" s="1">
        <v>1.032926255157708E-2</v>
      </c>
      <c r="E127" s="1" t="s">
        <v>76</v>
      </c>
      <c r="F127" s="1" t="s">
        <v>27</v>
      </c>
      <c r="G127" s="1" t="s">
        <v>28</v>
      </c>
      <c r="J127" s="1" t="s">
        <v>172</v>
      </c>
    </row>
    <row r="128" spans="1:14" x14ac:dyDescent="0.35">
      <c r="A128" s="1" t="s">
        <v>194</v>
      </c>
      <c r="B128" s="1" t="s">
        <v>195</v>
      </c>
      <c r="C128" s="1" t="s">
        <v>25</v>
      </c>
      <c r="D128" s="1">
        <v>-1.5784663952812159E-3</v>
      </c>
      <c r="E128" s="1" t="s">
        <v>8</v>
      </c>
      <c r="F128" s="1" t="s">
        <v>27</v>
      </c>
      <c r="G128" s="1" t="s">
        <v>28</v>
      </c>
      <c r="J128" s="1" t="s">
        <v>172</v>
      </c>
    </row>
    <row r="129" spans="1:10" x14ac:dyDescent="0.35">
      <c r="A129" s="1" t="s">
        <v>196</v>
      </c>
      <c r="B129" s="1" t="s">
        <v>197</v>
      </c>
      <c r="C129" s="1" t="s">
        <v>40</v>
      </c>
      <c r="D129" s="1">
        <v>-1.1686189803660931E-2</v>
      </c>
      <c r="E129" s="1" t="s">
        <v>8</v>
      </c>
      <c r="F129" s="1" t="s">
        <v>27</v>
      </c>
      <c r="G129" s="1" t="s">
        <v>28</v>
      </c>
      <c r="J129" s="1" t="s">
        <v>172</v>
      </c>
    </row>
    <row r="130" spans="1:10" x14ac:dyDescent="0.35">
      <c r="A130" s="1" t="s">
        <v>198</v>
      </c>
      <c r="B130" s="1" t="s">
        <v>199</v>
      </c>
      <c r="C130" s="1" t="s">
        <v>25</v>
      </c>
      <c r="D130" s="1">
        <v>-4.1566281742405363E-2</v>
      </c>
      <c r="E130" s="1" t="s">
        <v>8</v>
      </c>
      <c r="F130" s="1" t="s">
        <v>27</v>
      </c>
      <c r="G130" s="1" t="s">
        <v>28</v>
      </c>
      <c r="J130" s="1" t="s">
        <v>172</v>
      </c>
    </row>
    <row r="131" spans="1:10" x14ac:dyDescent="0.35">
      <c r="A131" s="1" t="s">
        <v>75</v>
      </c>
      <c r="D131" s="1">
        <v>9.6203372933455181E-5</v>
      </c>
      <c r="E131" s="1" t="s">
        <v>76</v>
      </c>
      <c r="F131" s="1" t="s">
        <v>64</v>
      </c>
      <c r="G131" s="1" t="s">
        <v>65</v>
      </c>
      <c r="H131" s="1" t="s">
        <v>74</v>
      </c>
      <c r="J131" s="1" t="s">
        <v>172</v>
      </c>
    </row>
    <row r="132" spans="1:10" x14ac:dyDescent="0.35">
      <c r="A132" s="1" t="s">
        <v>177</v>
      </c>
      <c r="D132" s="1">
        <v>0.84040873971919916</v>
      </c>
      <c r="E132" s="1" t="s">
        <v>8</v>
      </c>
      <c r="F132" s="1" t="s">
        <v>64</v>
      </c>
      <c r="G132" s="1" t="s">
        <v>65</v>
      </c>
      <c r="H132" s="1" t="s">
        <v>112</v>
      </c>
      <c r="J132" s="1" t="s">
        <v>172</v>
      </c>
    </row>
    <row r="133" spans="1:10" x14ac:dyDescent="0.35">
      <c r="A133" s="1" t="s">
        <v>178</v>
      </c>
      <c r="D133" s="1">
        <v>1.1907728946858301E-3</v>
      </c>
      <c r="E133" s="1" t="s">
        <v>8</v>
      </c>
      <c r="F133" s="1" t="s">
        <v>64</v>
      </c>
      <c r="G133" s="1" t="s">
        <v>65</v>
      </c>
      <c r="H133" s="1" t="s">
        <v>112</v>
      </c>
      <c r="J133" s="1" t="s">
        <v>172</v>
      </c>
    </row>
    <row r="134" spans="1:10" x14ac:dyDescent="0.35">
      <c r="A134" s="1" t="s">
        <v>111</v>
      </c>
      <c r="D134" s="1">
        <v>1.301542466284512E-3</v>
      </c>
      <c r="E134" s="1" t="s">
        <v>8</v>
      </c>
      <c r="F134" s="1" t="s">
        <v>64</v>
      </c>
      <c r="G134" s="1" t="s">
        <v>65</v>
      </c>
      <c r="H134" s="1" t="s">
        <v>112</v>
      </c>
      <c r="J134" s="1" t="s">
        <v>172</v>
      </c>
    </row>
    <row r="135" spans="1:10" x14ac:dyDescent="0.35">
      <c r="A135" s="1" t="s">
        <v>136</v>
      </c>
      <c r="D135" s="1">
        <v>9.6923375148846597E-4</v>
      </c>
      <c r="E135" s="1" t="s">
        <v>8</v>
      </c>
      <c r="F135" s="1" t="s">
        <v>64</v>
      </c>
      <c r="G135" s="1" t="s">
        <v>65</v>
      </c>
      <c r="H135" s="1" t="s">
        <v>112</v>
      </c>
      <c r="J135" s="1" t="s">
        <v>172</v>
      </c>
    </row>
    <row r="136" spans="1:10" x14ac:dyDescent="0.35">
      <c r="A136" s="1" t="s">
        <v>113</v>
      </c>
      <c r="D136" s="1">
        <v>8.3077178699011371E-4</v>
      </c>
      <c r="E136" s="1" t="s">
        <v>8</v>
      </c>
      <c r="F136" s="1" t="s">
        <v>64</v>
      </c>
      <c r="G136" s="1" t="s">
        <v>65</v>
      </c>
      <c r="H136" s="1" t="s">
        <v>112</v>
      </c>
      <c r="J136" s="1" t="s">
        <v>172</v>
      </c>
    </row>
    <row r="137" spans="1:10" s="10" customFormat="1" x14ac:dyDescent="0.35"/>
    <row r="138" spans="1:10" x14ac:dyDescent="0.35">
      <c r="A138" s="2" t="s">
        <v>0</v>
      </c>
      <c r="B138" s="2" t="s">
        <v>200</v>
      </c>
    </row>
    <row r="139" spans="1:10" x14ac:dyDescent="0.35">
      <c r="A139" s="3" t="s">
        <v>2</v>
      </c>
      <c r="B139" s="1" t="s">
        <v>138</v>
      </c>
    </row>
    <row r="140" spans="1:10" x14ac:dyDescent="0.35">
      <c r="A140" s="3" t="s">
        <v>4</v>
      </c>
      <c r="B140" s="1" t="s">
        <v>84</v>
      </c>
    </row>
    <row r="141" spans="1:10" x14ac:dyDescent="0.35">
      <c r="A141" s="3" t="s">
        <v>6</v>
      </c>
      <c r="B141" s="1">
        <v>1</v>
      </c>
    </row>
    <row r="142" spans="1:10" x14ac:dyDescent="0.35">
      <c r="A142" s="3" t="s">
        <v>7</v>
      </c>
      <c r="B142" s="1" t="s">
        <v>8</v>
      </c>
    </row>
    <row r="143" spans="1:10" x14ac:dyDescent="0.35">
      <c r="A143" s="3" t="s">
        <v>9</v>
      </c>
      <c r="B143" s="1" t="s">
        <v>10</v>
      </c>
    </row>
    <row r="144" spans="1:10" x14ac:dyDescent="0.35">
      <c r="A144" s="3" t="s">
        <v>11</v>
      </c>
    </row>
    <row r="145" spans="1:14" x14ac:dyDescent="0.35">
      <c r="A145" s="2" t="s">
        <v>12</v>
      </c>
      <c r="B145" s="2" t="s">
        <v>2</v>
      </c>
      <c r="C145" s="2" t="s">
        <v>4</v>
      </c>
      <c r="D145" s="2" t="s">
        <v>6</v>
      </c>
      <c r="E145" s="2" t="s">
        <v>7</v>
      </c>
      <c r="F145" s="2" t="s">
        <v>13</v>
      </c>
      <c r="G145" s="2" t="s">
        <v>14</v>
      </c>
      <c r="H145" s="2" t="s">
        <v>15</v>
      </c>
      <c r="I145" s="2" t="s">
        <v>16</v>
      </c>
      <c r="J145" s="2" t="s">
        <v>17</v>
      </c>
      <c r="K145" s="2" t="s">
        <v>18</v>
      </c>
      <c r="L145" s="2" t="s">
        <v>19</v>
      </c>
      <c r="M145" s="2" t="s">
        <v>20</v>
      </c>
      <c r="N145" s="2" t="s">
        <v>21</v>
      </c>
    </row>
    <row r="146" spans="1:14" x14ac:dyDescent="0.35">
      <c r="A146" s="1" t="str">
        <f>B138</f>
        <v>Crude steel production in China through Blast Furnace-Basic Oxygen Furnace (BF-BOF)</v>
      </c>
      <c r="B146" s="1" t="str">
        <f>B139</f>
        <v>Steel</v>
      </c>
      <c r="C146" s="1" t="str">
        <f>B140</f>
        <v>CN</v>
      </c>
      <c r="D146" s="1">
        <v>1</v>
      </c>
      <c r="E146" s="1" t="s">
        <v>8</v>
      </c>
      <c r="F146" s="9" t="str">
        <f>F122</f>
        <v>Iron</v>
      </c>
      <c r="G146" s="1" t="s">
        <v>22</v>
      </c>
    </row>
    <row r="147" spans="1:14" x14ac:dyDescent="0.35">
      <c r="A147" s="1" t="str">
        <f>A80</f>
        <v>[R] Crude steel production - Basic oxygen furnace</v>
      </c>
      <c r="B147" s="1" t="str">
        <f>B80</f>
        <v>Steel</v>
      </c>
      <c r="C147" s="1" t="str">
        <f>C80</f>
        <v>CN</v>
      </c>
      <c r="D147" s="1">
        <v>1</v>
      </c>
      <c r="E147" s="1" t="str">
        <f>E80</f>
        <v>kilogram</v>
      </c>
      <c r="F147" s="9" t="str">
        <f>F80</f>
        <v>Iron</v>
      </c>
      <c r="G147" s="1" t="s">
        <v>28</v>
      </c>
    </row>
    <row r="148" spans="1:14" x14ac:dyDescent="0.35">
      <c r="A148" s="1" t="str">
        <f>A56</f>
        <v>[R] Fe production - Blast Furnace</v>
      </c>
      <c r="B148" s="1" t="str">
        <f t="shared" ref="B148:F148" si="4">B56</f>
        <v>Fe</v>
      </c>
      <c r="C148" s="1" t="str">
        <f t="shared" si="4"/>
        <v>CN</v>
      </c>
      <c r="D148" s="1">
        <v>0.96499999999999997</v>
      </c>
      <c r="E148" s="1" t="str">
        <f t="shared" si="4"/>
        <v>kilogram</v>
      </c>
      <c r="F148" s="9" t="str">
        <f t="shared" si="4"/>
        <v>Iron</v>
      </c>
      <c r="G148" s="1" t="s">
        <v>28</v>
      </c>
    </row>
    <row r="149" spans="1:14" x14ac:dyDescent="0.35">
      <c r="A149" s="1" t="str">
        <f>A31</f>
        <v>[P] Sintering</v>
      </c>
      <c r="B149" s="1" t="str">
        <f t="shared" ref="B149:F149" si="5">B31</f>
        <v>Fe sinter</v>
      </c>
      <c r="C149" s="1" t="str">
        <f t="shared" si="5"/>
        <v>CN</v>
      </c>
      <c r="D149" s="1">
        <v>1.23858</v>
      </c>
      <c r="E149" s="1" t="str">
        <f t="shared" si="5"/>
        <v>kilogram</v>
      </c>
      <c r="F149" s="9" t="str">
        <f t="shared" si="5"/>
        <v>Iron</v>
      </c>
      <c r="G149" s="1" t="s">
        <v>28</v>
      </c>
    </row>
    <row r="150" spans="1:14" x14ac:dyDescent="0.35">
      <c r="A150" s="1" t="str">
        <f>A9</f>
        <v>[P] Pelletizing</v>
      </c>
      <c r="B150" s="1" t="str">
        <f t="shared" ref="B150:F150" si="6">B9</f>
        <v>Iron (Fe) pellets</v>
      </c>
      <c r="C150" s="1" t="str">
        <f t="shared" si="6"/>
        <v>CN</v>
      </c>
      <c r="D150" s="1">
        <v>0.24646000000000001</v>
      </c>
      <c r="E150" s="1" t="str">
        <f t="shared" si="6"/>
        <v>kilogram</v>
      </c>
      <c r="F150" s="9" t="str">
        <f t="shared" si="6"/>
        <v>Iron</v>
      </c>
      <c r="G150" s="1" t="s">
        <v>28</v>
      </c>
    </row>
    <row r="151" spans="1:14" x14ac:dyDescent="0.35">
      <c r="A151" s="1" t="str">
        <f>PR2_SteelAHSS_CN!A9</f>
        <v>[M+C] Iron (Fe) ore mining and concentration (China)</v>
      </c>
      <c r="B151" s="1" t="str">
        <f>PR2_SteelAHSS_CN!B9</f>
        <v>Fe concentrate</v>
      </c>
      <c r="C151" s="1" t="str">
        <f>PR2_SteelAHSS_CN!C9</f>
        <v>CN</v>
      </c>
      <c r="D151" s="1">
        <v>1.3498045638298763</v>
      </c>
      <c r="E151" s="1" t="str">
        <f>PR2_SteelAHSS_CN!E9</f>
        <v>kilogram</v>
      </c>
      <c r="F151" s="9" t="str">
        <f>PR2_SteelAHSS_CN!F9</f>
        <v>Iron</v>
      </c>
      <c r="G151" s="1" t="s">
        <v>28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N80"/>
  <sheetViews>
    <sheetView topLeftCell="A61" workbookViewId="0">
      <selection activeCell="D79" sqref="D79"/>
    </sheetView>
  </sheetViews>
  <sheetFormatPr baseColWidth="10" defaultColWidth="9.1796875" defaultRowHeight="14.5" x14ac:dyDescent="0.35"/>
  <cols>
    <col min="1" max="1" width="48.54296875" style="1" bestFit="1" customWidth="1"/>
    <col min="2" max="2" width="28.54296875" style="1" bestFit="1" customWidth="1"/>
    <col min="3" max="3" width="8.1796875" style="1" bestFit="1" customWidth="1"/>
    <col min="4" max="4" width="12.7265625" style="1" bestFit="1" customWidth="1"/>
    <col min="5" max="5" width="12.81640625" style="1" bestFit="1" customWidth="1"/>
    <col min="6" max="6" width="19.7265625" style="1" bestFit="1" customWidth="1"/>
    <col min="7" max="7" width="13.26953125" style="1" bestFit="1" customWidth="1"/>
    <col min="8" max="8" width="25.26953125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201</v>
      </c>
    </row>
    <row r="2" spans="1:14" x14ac:dyDescent="0.35">
      <c r="A2" s="3" t="s">
        <v>2</v>
      </c>
      <c r="B2" s="1" t="s">
        <v>97</v>
      </c>
    </row>
    <row r="3" spans="1:14" x14ac:dyDescent="0.35">
      <c r="A3" s="3" t="s">
        <v>4</v>
      </c>
      <c r="B3" s="1" t="s">
        <v>84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[P] Sintering (Liquid iron)</v>
      </c>
      <c r="B9" s="1" t="str">
        <f>B2</f>
        <v>Iron (Fe) sinter</v>
      </c>
      <c r="C9" s="1" t="str">
        <f>B3</f>
        <v>CN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107</v>
      </c>
      <c r="B10" s="1" t="s">
        <v>108</v>
      </c>
      <c r="C10" s="1" t="s">
        <v>25</v>
      </c>
      <c r="D10" s="1">
        <v>3.2107518504090382E-2</v>
      </c>
      <c r="E10" s="1" t="s">
        <v>8</v>
      </c>
      <c r="F10" s="1" t="s">
        <v>27</v>
      </c>
      <c r="G10" s="1" t="s">
        <v>28</v>
      </c>
      <c r="J10" s="1" t="s">
        <v>172</v>
      </c>
    </row>
    <row r="11" spans="1:14" s="13" customFormat="1" x14ac:dyDescent="0.35">
      <c r="A11" s="13" t="s">
        <v>33</v>
      </c>
      <c r="B11" s="13" t="s">
        <v>34</v>
      </c>
      <c r="C11" s="13" t="s">
        <v>84</v>
      </c>
      <c r="D11" s="13">
        <v>4.5040903778730039E-2</v>
      </c>
      <c r="E11" s="13" t="s">
        <v>35</v>
      </c>
      <c r="F11" s="13" t="s">
        <v>27</v>
      </c>
      <c r="G11" s="13" t="s">
        <v>28</v>
      </c>
      <c r="J11" s="13" t="s">
        <v>172</v>
      </c>
    </row>
    <row r="12" spans="1:14" x14ac:dyDescent="0.35">
      <c r="A12" s="1" t="s">
        <v>122</v>
      </c>
      <c r="B12" s="1" t="s">
        <v>123</v>
      </c>
      <c r="C12" s="1" t="s">
        <v>40</v>
      </c>
      <c r="D12" s="1">
        <v>2.46980911569926E-3</v>
      </c>
      <c r="E12" s="1" t="s">
        <v>8</v>
      </c>
      <c r="F12" s="1" t="s">
        <v>27</v>
      </c>
      <c r="G12" s="1" t="s">
        <v>28</v>
      </c>
      <c r="J12" s="1" t="s">
        <v>172</v>
      </c>
    </row>
    <row r="13" spans="1:14" x14ac:dyDescent="0.35">
      <c r="A13" s="1" t="s">
        <v>101</v>
      </c>
      <c r="B13" s="1" t="s">
        <v>102</v>
      </c>
      <c r="C13" s="1" t="s">
        <v>40</v>
      </c>
      <c r="D13" s="1">
        <v>6.6225165562913907E-3</v>
      </c>
      <c r="E13" s="1" t="s">
        <v>8</v>
      </c>
      <c r="F13" s="1" t="s">
        <v>27</v>
      </c>
      <c r="G13" s="1" t="s">
        <v>28</v>
      </c>
      <c r="J13" s="1" t="s">
        <v>172</v>
      </c>
    </row>
    <row r="14" spans="1:14" x14ac:dyDescent="0.35">
      <c r="A14" s="1" t="s">
        <v>181</v>
      </c>
      <c r="B14" s="1" t="s">
        <v>182</v>
      </c>
      <c r="C14" s="1" t="s">
        <v>84</v>
      </c>
      <c r="D14" s="1">
        <v>6.3887806778340471E-4</v>
      </c>
      <c r="E14" s="1" t="s">
        <v>8</v>
      </c>
      <c r="F14" s="1" t="s">
        <v>27</v>
      </c>
      <c r="G14" s="1" t="s">
        <v>28</v>
      </c>
      <c r="J14" s="1" t="s">
        <v>172</v>
      </c>
    </row>
    <row r="15" spans="1:14" x14ac:dyDescent="0.35">
      <c r="A15" s="1" t="s">
        <v>183</v>
      </c>
      <c r="B15" s="1" t="s">
        <v>184</v>
      </c>
      <c r="C15" s="1" t="s">
        <v>84</v>
      </c>
      <c r="D15" s="1">
        <v>0.71608881963381377</v>
      </c>
      <c r="E15" s="1" t="s">
        <v>26</v>
      </c>
      <c r="F15" s="1" t="s">
        <v>27</v>
      </c>
      <c r="G15" s="1" t="s">
        <v>28</v>
      </c>
      <c r="J15" s="1" t="s">
        <v>172</v>
      </c>
    </row>
    <row r="16" spans="1:14" x14ac:dyDescent="0.35">
      <c r="A16" s="1" t="s">
        <v>116</v>
      </c>
      <c r="B16" s="1" t="s">
        <v>117</v>
      </c>
      <c r="C16" s="1" t="s">
        <v>40</v>
      </c>
      <c r="D16" s="1">
        <v>2.9606544604596799E-4</v>
      </c>
      <c r="E16" s="1" t="s">
        <v>76</v>
      </c>
      <c r="F16" s="1" t="s">
        <v>27</v>
      </c>
      <c r="G16" s="1" t="s">
        <v>28</v>
      </c>
      <c r="J16" s="1" t="s">
        <v>172</v>
      </c>
    </row>
    <row r="17" spans="1:14" x14ac:dyDescent="0.35">
      <c r="A17" s="1" t="s">
        <v>93</v>
      </c>
      <c r="B17" s="1" t="s">
        <v>94</v>
      </c>
      <c r="C17" s="1" t="s">
        <v>40</v>
      </c>
      <c r="D17" s="1">
        <v>0.14031943903389171</v>
      </c>
      <c r="E17" s="1" t="s">
        <v>8</v>
      </c>
      <c r="F17" s="1" t="s">
        <v>27</v>
      </c>
      <c r="G17" s="1" t="s">
        <v>28</v>
      </c>
      <c r="J17" s="1" t="s">
        <v>172</v>
      </c>
    </row>
    <row r="18" spans="1:14" x14ac:dyDescent="0.35">
      <c r="A18" s="1" t="s">
        <v>134</v>
      </c>
      <c r="B18" s="1" t="s">
        <v>135</v>
      </c>
      <c r="C18" s="1" t="s">
        <v>40</v>
      </c>
      <c r="D18" s="1">
        <v>-3.0385664199454608E-7</v>
      </c>
      <c r="E18" s="1" t="s">
        <v>76</v>
      </c>
      <c r="F18" s="1" t="s">
        <v>27</v>
      </c>
      <c r="G18" s="1" t="s">
        <v>28</v>
      </c>
      <c r="J18" s="1" t="s">
        <v>172</v>
      </c>
    </row>
    <row r="19" spans="1:14" x14ac:dyDescent="0.35">
      <c r="A19" s="1" t="s">
        <v>177</v>
      </c>
      <c r="D19" s="1">
        <v>3.0100000000000001E-3</v>
      </c>
      <c r="E19" s="1" t="s">
        <v>8</v>
      </c>
      <c r="F19" s="1" t="s">
        <v>64</v>
      </c>
      <c r="G19" s="1" t="s">
        <v>65</v>
      </c>
      <c r="H19" s="1" t="s">
        <v>112</v>
      </c>
      <c r="J19" s="1" t="s">
        <v>98</v>
      </c>
    </row>
    <row r="20" spans="1:14" x14ac:dyDescent="0.35">
      <c r="A20" s="1" t="s">
        <v>202</v>
      </c>
      <c r="D20" s="1">
        <v>5.8437500000000003E-8</v>
      </c>
      <c r="E20" s="1" t="s">
        <v>8</v>
      </c>
      <c r="F20" s="1" t="s">
        <v>64</v>
      </c>
      <c r="G20" s="1" t="s">
        <v>65</v>
      </c>
      <c r="H20" s="1" t="s">
        <v>112</v>
      </c>
      <c r="J20" s="1" t="s">
        <v>98</v>
      </c>
    </row>
    <row r="21" spans="1:14" x14ac:dyDescent="0.35">
      <c r="A21" s="1" t="s">
        <v>136</v>
      </c>
      <c r="D21" s="1">
        <v>5.8437499999999998E-9</v>
      </c>
      <c r="E21" s="1" t="s">
        <v>8</v>
      </c>
      <c r="F21" s="1" t="s">
        <v>64</v>
      </c>
      <c r="G21" s="1" t="s">
        <v>65</v>
      </c>
      <c r="H21" s="1" t="s">
        <v>112</v>
      </c>
      <c r="J21" s="1" t="s">
        <v>98</v>
      </c>
    </row>
    <row r="22" spans="1:14" x14ac:dyDescent="0.35">
      <c r="A22" s="1" t="s">
        <v>75</v>
      </c>
      <c r="D22" s="1">
        <v>6.9770159719516941E-5</v>
      </c>
      <c r="E22" s="1" t="s">
        <v>76</v>
      </c>
      <c r="F22" s="1" t="s">
        <v>64</v>
      </c>
      <c r="G22" s="1" t="s">
        <v>65</v>
      </c>
      <c r="H22" s="1" t="s">
        <v>74</v>
      </c>
      <c r="J22" s="1" t="s">
        <v>172</v>
      </c>
    </row>
    <row r="23" spans="1:14" x14ac:dyDescent="0.35">
      <c r="A23" s="1" t="s">
        <v>113</v>
      </c>
      <c r="D23" s="1">
        <v>1.7919750681729649E-4</v>
      </c>
      <c r="E23" s="1" t="s">
        <v>8</v>
      </c>
      <c r="F23" s="1" t="s">
        <v>64</v>
      </c>
      <c r="G23" s="1" t="s">
        <v>65</v>
      </c>
      <c r="H23" s="1" t="s">
        <v>112</v>
      </c>
      <c r="J23" s="1" t="s">
        <v>172</v>
      </c>
    </row>
    <row r="24" spans="1:14" s="11" customFormat="1" x14ac:dyDescent="0.35"/>
    <row r="25" spans="1:14" x14ac:dyDescent="0.35">
      <c r="A25" s="2" t="s">
        <v>0</v>
      </c>
      <c r="B25" s="2" t="s">
        <v>203</v>
      </c>
    </row>
    <row r="26" spans="1:14" x14ac:dyDescent="0.35">
      <c r="A26" s="3" t="s">
        <v>2</v>
      </c>
      <c r="B26" s="1" t="s">
        <v>204</v>
      </c>
    </row>
    <row r="27" spans="1:14" x14ac:dyDescent="0.35">
      <c r="A27" s="3" t="s">
        <v>4</v>
      </c>
      <c r="B27" s="1" t="s">
        <v>84</v>
      </c>
    </row>
    <row r="28" spans="1:14" x14ac:dyDescent="0.35">
      <c r="A28" s="3" t="s">
        <v>6</v>
      </c>
      <c r="B28" s="1">
        <v>1</v>
      </c>
    </row>
    <row r="29" spans="1:14" x14ac:dyDescent="0.35">
      <c r="A29" s="3" t="s">
        <v>7</v>
      </c>
      <c r="B29" s="1" t="s">
        <v>8</v>
      </c>
    </row>
    <row r="30" spans="1:14" x14ac:dyDescent="0.35">
      <c r="A30" s="3" t="s">
        <v>9</v>
      </c>
      <c r="B30" s="1" t="s">
        <v>10</v>
      </c>
    </row>
    <row r="31" spans="1:14" x14ac:dyDescent="0.35">
      <c r="A31" s="3" t="s">
        <v>11</v>
      </c>
    </row>
    <row r="32" spans="1:14" x14ac:dyDescent="0.35">
      <c r="A32" s="2" t="s">
        <v>12</v>
      </c>
      <c r="B32" s="2" t="s">
        <v>2</v>
      </c>
      <c r="C32" s="2" t="s">
        <v>4</v>
      </c>
      <c r="D32" s="2" t="s">
        <v>6</v>
      </c>
      <c r="E32" s="2" t="s">
        <v>7</v>
      </c>
      <c r="F32" s="2" t="s">
        <v>13</v>
      </c>
      <c r="G32" s="2" t="s">
        <v>14</v>
      </c>
      <c r="H32" s="2" t="s">
        <v>15</v>
      </c>
      <c r="I32" s="2" t="s">
        <v>16</v>
      </c>
      <c r="J32" s="2" t="s">
        <v>17</v>
      </c>
      <c r="K32" s="2" t="s">
        <v>18</v>
      </c>
      <c r="L32" s="2" t="s">
        <v>19</v>
      </c>
      <c r="M32" s="2" t="s">
        <v>20</v>
      </c>
      <c r="N32" s="2" t="s">
        <v>21</v>
      </c>
    </row>
    <row r="33" spans="1:10" x14ac:dyDescent="0.35">
      <c r="A33" s="1" t="str">
        <f>B25</f>
        <v>[R] Fe production (Liquid)</v>
      </c>
      <c r="B33" s="1" t="str">
        <f>B26</f>
        <v xml:space="preserve">Fe </v>
      </c>
      <c r="C33" s="1" t="str">
        <f>B27</f>
        <v>CN</v>
      </c>
      <c r="D33" s="1">
        <v>1</v>
      </c>
      <c r="E33" s="1" t="s">
        <v>8</v>
      </c>
      <c r="F33" s="9" t="str">
        <f>F9</f>
        <v>Iron</v>
      </c>
      <c r="G33" s="1" t="s">
        <v>22</v>
      </c>
    </row>
    <row r="34" spans="1:10" s="13" customFormat="1" x14ac:dyDescent="0.35">
      <c r="A34" s="13" t="str">
        <f>A55</f>
        <v>Coke production (Liquid iron)</v>
      </c>
      <c r="B34" s="13" t="str">
        <f t="shared" ref="B34:C34" si="0">B55</f>
        <v>Coke</v>
      </c>
      <c r="C34" s="13" t="str">
        <f t="shared" si="0"/>
        <v>CN</v>
      </c>
      <c r="D34" s="13">
        <v>0.4</v>
      </c>
      <c r="E34" s="13" t="s">
        <v>8</v>
      </c>
      <c r="F34" s="9" t="str">
        <f t="shared" ref="F34" si="1">F55</f>
        <v>Iron</v>
      </c>
      <c r="G34" s="13" t="s">
        <v>28</v>
      </c>
      <c r="J34" s="13" t="s">
        <v>98</v>
      </c>
    </row>
    <row r="35" spans="1:10" x14ac:dyDescent="0.35">
      <c r="A35" s="1" t="s">
        <v>107</v>
      </c>
      <c r="B35" s="1" t="s">
        <v>108</v>
      </c>
      <c r="C35" s="1" t="s">
        <v>25</v>
      </c>
      <c r="D35" s="1">
        <v>7.3419689119170975E-2</v>
      </c>
      <c r="E35" s="1" t="s">
        <v>8</v>
      </c>
      <c r="F35" s="1" t="s">
        <v>27</v>
      </c>
      <c r="G35" s="1" t="s">
        <v>28</v>
      </c>
      <c r="J35" s="1" t="s">
        <v>172</v>
      </c>
    </row>
    <row r="36" spans="1:10" x14ac:dyDescent="0.35">
      <c r="A36" s="1" t="s">
        <v>90</v>
      </c>
      <c r="B36" s="1" t="s">
        <v>91</v>
      </c>
      <c r="C36" s="1" t="s">
        <v>84</v>
      </c>
      <c r="D36" s="1">
        <v>6.8922279792746122E-2</v>
      </c>
      <c r="E36" s="1" t="s">
        <v>8</v>
      </c>
      <c r="F36" s="1" t="s">
        <v>27</v>
      </c>
      <c r="G36" s="1" t="s">
        <v>28</v>
      </c>
      <c r="J36" s="1" t="s">
        <v>172</v>
      </c>
    </row>
    <row r="37" spans="1:10" s="13" customFormat="1" x14ac:dyDescent="0.35">
      <c r="A37" s="13" t="s">
        <v>33</v>
      </c>
      <c r="B37" s="13" t="s">
        <v>34</v>
      </c>
      <c r="C37" s="13" t="s">
        <v>84</v>
      </c>
      <c r="D37" s="13">
        <v>2.3647668393782389E-2</v>
      </c>
      <c r="E37" s="13" t="s">
        <v>35</v>
      </c>
      <c r="F37" s="13" t="s">
        <v>27</v>
      </c>
      <c r="G37" s="13" t="s">
        <v>28</v>
      </c>
      <c r="J37" s="13" t="s">
        <v>172</v>
      </c>
    </row>
    <row r="38" spans="1:10" x14ac:dyDescent="0.35">
      <c r="A38" s="1" t="s">
        <v>116</v>
      </c>
      <c r="B38" s="1" t="s">
        <v>117</v>
      </c>
      <c r="C38" s="1" t="s">
        <v>40</v>
      </c>
      <c r="D38" s="1">
        <v>7.6476683937823836E-2</v>
      </c>
      <c r="E38" s="1" t="s">
        <v>76</v>
      </c>
      <c r="F38" s="1" t="s">
        <v>27</v>
      </c>
      <c r="G38" s="1" t="s">
        <v>28</v>
      </c>
      <c r="J38" s="1" t="s">
        <v>172</v>
      </c>
    </row>
    <row r="39" spans="1:10" x14ac:dyDescent="0.35">
      <c r="A39" s="1" t="s">
        <v>116</v>
      </c>
      <c r="B39" s="1" t="s">
        <v>117</v>
      </c>
      <c r="C39" s="1" t="s">
        <v>40</v>
      </c>
      <c r="D39" s="1">
        <v>5.5699481865284971E-2</v>
      </c>
      <c r="E39" s="1" t="s">
        <v>76</v>
      </c>
      <c r="F39" s="1" t="s">
        <v>27</v>
      </c>
      <c r="G39" s="1" t="s">
        <v>28</v>
      </c>
      <c r="J39" s="1" t="s">
        <v>172</v>
      </c>
    </row>
    <row r="40" spans="1:10" x14ac:dyDescent="0.35">
      <c r="A40" s="1" t="s">
        <v>134</v>
      </c>
      <c r="B40" s="1" t="s">
        <v>135</v>
      </c>
      <c r="C40" s="1" t="s">
        <v>40</v>
      </c>
      <c r="D40" s="1">
        <v>-2.072538860103627E-7</v>
      </c>
      <c r="E40" s="1" t="s">
        <v>76</v>
      </c>
      <c r="F40" s="1" t="s">
        <v>27</v>
      </c>
      <c r="G40" s="1" t="s">
        <v>28</v>
      </c>
      <c r="J40" s="1" t="s">
        <v>172</v>
      </c>
    </row>
    <row r="41" spans="1:10" x14ac:dyDescent="0.35">
      <c r="A41" s="1" t="s">
        <v>177</v>
      </c>
      <c r="D41" s="1">
        <v>0.80920000000000003</v>
      </c>
      <c r="E41" s="1" t="s">
        <v>8</v>
      </c>
      <c r="F41" s="1" t="s">
        <v>64</v>
      </c>
      <c r="G41" s="1" t="s">
        <v>65</v>
      </c>
      <c r="H41" s="1" t="s">
        <v>112</v>
      </c>
      <c r="J41" s="1" t="s">
        <v>98</v>
      </c>
    </row>
    <row r="42" spans="1:10" x14ac:dyDescent="0.35">
      <c r="A42" s="1" t="s">
        <v>202</v>
      </c>
      <c r="D42" s="1">
        <v>0.34399999999999997</v>
      </c>
      <c r="E42" s="1" t="s">
        <v>8</v>
      </c>
      <c r="F42" s="1" t="s">
        <v>64</v>
      </c>
      <c r="G42" s="1" t="s">
        <v>65</v>
      </c>
      <c r="H42" s="1" t="s">
        <v>112</v>
      </c>
      <c r="J42" s="1" t="s">
        <v>98</v>
      </c>
    </row>
    <row r="43" spans="1:10" x14ac:dyDescent="0.35">
      <c r="A43" s="1" t="s">
        <v>136</v>
      </c>
      <c r="D43" s="1">
        <v>7.0140000000000007E-7</v>
      </c>
      <c r="E43" s="1" t="s">
        <v>8</v>
      </c>
      <c r="F43" s="1" t="s">
        <v>64</v>
      </c>
      <c r="G43" s="1" t="s">
        <v>65</v>
      </c>
      <c r="H43" s="1" t="s">
        <v>112</v>
      </c>
      <c r="J43" s="1" t="s">
        <v>98</v>
      </c>
    </row>
    <row r="44" spans="1:10" x14ac:dyDescent="0.35">
      <c r="A44" s="1" t="s">
        <v>75</v>
      </c>
      <c r="D44" s="1">
        <v>2.7999999999999998E-4</v>
      </c>
      <c r="E44" s="1" t="s">
        <v>76</v>
      </c>
      <c r="F44" s="1" t="s">
        <v>64</v>
      </c>
      <c r="G44" s="1" t="s">
        <v>65</v>
      </c>
      <c r="H44" s="1" t="s">
        <v>74</v>
      </c>
      <c r="J44" s="1" t="s">
        <v>172</v>
      </c>
    </row>
    <row r="45" spans="1:10" x14ac:dyDescent="0.35">
      <c r="A45" s="1" t="s">
        <v>113</v>
      </c>
      <c r="D45" s="1">
        <v>1.3160621761658031E-3</v>
      </c>
      <c r="E45" s="1" t="s">
        <v>8</v>
      </c>
      <c r="F45" s="1" t="s">
        <v>64</v>
      </c>
      <c r="G45" s="1" t="s">
        <v>65</v>
      </c>
      <c r="H45" s="1" t="s">
        <v>112</v>
      </c>
      <c r="J45" s="1" t="s">
        <v>172</v>
      </c>
    </row>
    <row r="46" spans="1:10" s="11" customFormat="1" x14ac:dyDescent="0.35"/>
    <row r="47" spans="1:10" x14ac:dyDescent="0.35">
      <c r="A47" s="2" t="s">
        <v>0</v>
      </c>
      <c r="B47" s="12" t="s">
        <v>326</v>
      </c>
    </row>
    <row r="48" spans="1:10" x14ac:dyDescent="0.35">
      <c r="A48" s="3" t="s">
        <v>2</v>
      </c>
      <c r="B48" s="1" t="s">
        <v>166</v>
      </c>
    </row>
    <row r="49" spans="1:14" x14ac:dyDescent="0.35">
      <c r="A49" s="3" t="s">
        <v>4</v>
      </c>
      <c r="B49" s="1" t="s">
        <v>84</v>
      </c>
    </row>
    <row r="50" spans="1:14" x14ac:dyDescent="0.35">
      <c r="A50" s="3" t="s">
        <v>6</v>
      </c>
      <c r="B50" s="1">
        <v>1</v>
      </c>
    </row>
    <row r="51" spans="1:14" x14ac:dyDescent="0.35">
      <c r="A51" s="3" t="s">
        <v>7</v>
      </c>
      <c r="B51" s="1" t="s">
        <v>8</v>
      </c>
    </row>
    <row r="52" spans="1:14" x14ac:dyDescent="0.35">
      <c r="A52" s="3" t="s">
        <v>9</v>
      </c>
      <c r="B52" s="1" t="s">
        <v>10</v>
      </c>
    </row>
    <row r="53" spans="1:14" x14ac:dyDescent="0.35">
      <c r="A53" s="3" t="s">
        <v>11</v>
      </c>
    </row>
    <row r="54" spans="1:14" x14ac:dyDescent="0.35">
      <c r="A54" s="2" t="s">
        <v>12</v>
      </c>
      <c r="B54" s="2" t="s">
        <v>2</v>
      </c>
      <c r="C54" s="2" t="s">
        <v>4</v>
      </c>
      <c r="D54" s="2" t="s">
        <v>6</v>
      </c>
      <c r="E54" s="2" t="s">
        <v>7</v>
      </c>
      <c r="F54" s="2" t="s">
        <v>13</v>
      </c>
      <c r="G54" s="2" t="s">
        <v>14</v>
      </c>
      <c r="H54" s="2" t="s">
        <v>15</v>
      </c>
      <c r="I54" s="2" t="s">
        <v>16</v>
      </c>
      <c r="J54" s="2" t="s">
        <v>17</v>
      </c>
      <c r="K54" s="2" t="s">
        <v>18</v>
      </c>
      <c r="L54" s="2" t="s">
        <v>19</v>
      </c>
      <c r="M54" s="2" t="s">
        <v>20</v>
      </c>
      <c r="N54" s="2" t="s">
        <v>21</v>
      </c>
    </row>
    <row r="55" spans="1:14" x14ac:dyDescent="0.35">
      <c r="A55" s="1" t="str">
        <f>B47</f>
        <v>Coke production (Liquid iron)</v>
      </c>
      <c r="B55" s="1" t="str">
        <f>B48</f>
        <v>Coke</v>
      </c>
      <c r="C55" s="1" t="str">
        <f>B49</f>
        <v>CN</v>
      </c>
      <c r="D55" s="1">
        <v>1</v>
      </c>
      <c r="E55" s="1" t="s">
        <v>8</v>
      </c>
      <c r="F55" s="9" t="str">
        <f>F33</f>
        <v>Iron</v>
      </c>
      <c r="G55" s="1" t="s">
        <v>22</v>
      </c>
    </row>
    <row r="56" spans="1:14" x14ac:dyDescent="0.35">
      <c r="A56" s="1" t="s">
        <v>90</v>
      </c>
      <c r="B56" s="1" t="s">
        <v>91</v>
      </c>
      <c r="C56" s="1" t="s">
        <v>84</v>
      </c>
      <c r="D56" s="1">
        <v>1.3</v>
      </c>
      <c r="E56" s="1" t="s">
        <v>8</v>
      </c>
      <c r="F56" s="1" t="s">
        <v>27</v>
      </c>
      <c r="G56" s="1" t="s">
        <v>28</v>
      </c>
      <c r="J56" s="1" t="s">
        <v>98</v>
      </c>
    </row>
    <row r="57" spans="1:14" s="13" customFormat="1" x14ac:dyDescent="0.35">
      <c r="A57" s="13" t="s">
        <v>33</v>
      </c>
      <c r="B57" s="13" t="s">
        <v>34</v>
      </c>
      <c r="C57" s="13" t="s">
        <v>84</v>
      </c>
      <c r="D57" s="13">
        <v>4.7326299465536813E-2</v>
      </c>
      <c r="E57" s="13" t="s">
        <v>35</v>
      </c>
      <c r="F57" s="13" t="s">
        <v>27</v>
      </c>
      <c r="G57" s="13" t="s">
        <v>28</v>
      </c>
      <c r="J57" s="13" t="s">
        <v>172</v>
      </c>
    </row>
    <row r="58" spans="1:14" x14ac:dyDescent="0.35">
      <c r="A58" s="1" t="s">
        <v>122</v>
      </c>
      <c r="B58" s="1" t="s">
        <v>123</v>
      </c>
      <c r="C58" s="1" t="s">
        <v>40</v>
      </c>
      <c r="D58" s="1">
        <v>0.14740660740494579</v>
      </c>
      <c r="E58" s="1" t="s">
        <v>8</v>
      </c>
      <c r="F58" s="1" t="s">
        <v>27</v>
      </c>
      <c r="G58" s="1" t="s">
        <v>28</v>
      </c>
      <c r="J58" s="1" t="s">
        <v>172</v>
      </c>
    </row>
    <row r="59" spans="1:14" x14ac:dyDescent="0.35">
      <c r="A59" s="1" t="s">
        <v>192</v>
      </c>
      <c r="B59" s="1" t="s">
        <v>193</v>
      </c>
      <c r="C59" s="1" t="s">
        <v>40</v>
      </c>
      <c r="D59" s="1">
        <v>8.4461798343994903E-3</v>
      </c>
      <c r="E59" s="1" t="s">
        <v>8</v>
      </c>
      <c r="F59" s="1" t="s">
        <v>27</v>
      </c>
      <c r="G59" s="1" t="s">
        <v>28</v>
      </c>
      <c r="J59" s="1" t="s">
        <v>172</v>
      </c>
    </row>
    <row r="60" spans="1:14" x14ac:dyDescent="0.35">
      <c r="A60" s="1" t="s">
        <v>101</v>
      </c>
      <c r="B60" s="1" t="s">
        <v>102</v>
      </c>
      <c r="C60" s="1" t="s">
        <v>40</v>
      </c>
      <c r="D60" s="1">
        <v>4.6523220071446368E-3</v>
      </c>
      <c r="E60" s="1" t="s">
        <v>8</v>
      </c>
      <c r="F60" s="1" t="s">
        <v>27</v>
      </c>
      <c r="G60" s="1" t="s">
        <v>28</v>
      </c>
      <c r="J60" s="1" t="s">
        <v>172</v>
      </c>
    </row>
    <row r="61" spans="1:14" x14ac:dyDescent="0.35">
      <c r="A61" s="1" t="s">
        <v>116</v>
      </c>
      <c r="B61" s="1" t="s">
        <v>117</v>
      </c>
      <c r="C61" s="1" t="s">
        <v>40</v>
      </c>
      <c r="D61" s="1">
        <v>1.032926255157708E-2</v>
      </c>
      <c r="E61" s="1" t="s">
        <v>76</v>
      </c>
      <c r="F61" s="1" t="s">
        <v>27</v>
      </c>
      <c r="G61" s="1" t="s">
        <v>28</v>
      </c>
      <c r="J61" s="1" t="s">
        <v>172</v>
      </c>
    </row>
    <row r="62" spans="1:14" x14ac:dyDescent="0.35">
      <c r="A62" s="1" t="s">
        <v>177</v>
      </c>
      <c r="D62" s="1">
        <v>3.2724000000000002</v>
      </c>
      <c r="E62" s="1" t="s">
        <v>8</v>
      </c>
      <c r="F62" s="1" t="s">
        <v>64</v>
      </c>
      <c r="G62" s="1" t="s">
        <v>65</v>
      </c>
      <c r="H62" s="1" t="s">
        <v>112</v>
      </c>
      <c r="J62" s="1" t="s">
        <v>98</v>
      </c>
    </row>
    <row r="63" spans="1:14" x14ac:dyDescent="0.35">
      <c r="A63" s="1" t="s">
        <v>202</v>
      </c>
      <c r="D63" s="1">
        <v>2.9875000000000001E-5</v>
      </c>
      <c r="E63" s="1" t="s">
        <v>8</v>
      </c>
      <c r="F63" s="1" t="s">
        <v>64</v>
      </c>
      <c r="G63" s="1" t="s">
        <v>65</v>
      </c>
      <c r="H63" s="1" t="s">
        <v>112</v>
      </c>
      <c r="J63" s="1" t="s">
        <v>98</v>
      </c>
    </row>
    <row r="64" spans="1:14" x14ac:dyDescent="0.35">
      <c r="A64" s="1" t="s">
        <v>136</v>
      </c>
      <c r="D64" s="1">
        <v>4.1E-5</v>
      </c>
      <c r="E64" s="1" t="s">
        <v>8</v>
      </c>
      <c r="F64" s="1" t="s">
        <v>64</v>
      </c>
      <c r="G64" s="1" t="s">
        <v>65</v>
      </c>
      <c r="H64" s="1" t="s">
        <v>112</v>
      </c>
      <c r="J64" s="1" t="s">
        <v>98</v>
      </c>
    </row>
    <row r="65" spans="1:14" x14ac:dyDescent="0.35">
      <c r="A65" s="1" t="s">
        <v>75</v>
      </c>
      <c r="D65" s="1">
        <v>9.6203372933455181E-5</v>
      </c>
      <c r="E65" s="1" t="s">
        <v>76</v>
      </c>
      <c r="F65" s="1" t="s">
        <v>64</v>
      </c>
      <c r="G65" s="1" t="s">
        <v>65</v>
      </c>
      <c r="H65" s="1" t="s">
        <v>74</v>
      </c>
      <c r="J65" s="1" t="s">
        <v>172</v>
      </c>
    </row>
    <row r="66" spans="1:14" x14ac:dyDescent="0.35">
      <c r="A66" s="1" t="s">
        <v>113</v>
      </c>
      <c r="D66" s="1">
        <v>8.3077178699011371E-4</v>
      </c>
      <c r="E66" s="1" t="s">
        <v>8</v>
      </c>
      <c r="F66" s="1" t="s">
        <v>64</v>
      </c>
      <c r="G66" s="1" t="s">
        <v>65</v>
      </c>
      <c r="H66" s="1" t="s">
        <v>112</v>
      </c>
      <c r="J66" s="1" t="s">
        <v>172</v>
      </c>
    </row>
    <row r="67" spans="1:14" s="10" customFormat="1" x14ac:dyDescent="0.35"/>
    <row r="68" spans="1:14" x14ac:dyDescent="0.35">
      <c r="A68" s="2" t="s">
        <v>0</v>
      </c>
      <c r="B68" s="2" t="s">
        <v>205</v>
      </c>
    </row>
    <row r="69" spans="1:14" x14ac:dyDescent="0.35">
      <c r="A69" s="3" t="s">
        <v>2</v>
      </c>
      <c r="B69" s="1" t="s">
        <v>138</v>
      </c>
    </row>
    <row r="70" spans="1:14" x14ac:dyDescent="0.35">
      <c r="A70" s="3" t="s">
        <v>4</v>
      </c>
      <c r="B70" s="1" t="s">
        <v>84</v>
      </c>
    </row>
    <row r="71" spans="1:14" x14ac:dyDescent="0.35">
      <c r="A71" s="3" t="s">
        <v>6</v>
      </c>
      <c r="B71" s="1">
        <v>1</v>
      </c>
    </row>
    <row r="72" spans="1:14" x14ac:dyDescent="0.35">
      <c r="A72" s="3" t="s">
        <v>7</v>
      </c>
      <c r="B72" s="1" t="s">
        <v>8</v>
      </c>
    </row>
    <row r="73" spans="1:14" x14ac:dyDescent="0.35">
      <c r="A73" s="3" t="s">
        <v>9</v>
      </c>
      <c r="B73" s="1" t="s">
        <v>10</v>
      </c>
    </row>
    <row r="74" spans="1:14" x14ac:dyDescent="0.35">
      <c r="A74" s="3" t="s">
        <v>11</v>
      </c>
    </row>
    <row r="75" spans="1:14" x14ac:dyDescent="0.35">
      <c r="A75" s="2" t="s">
        <v>12</v>
      </c>
      <c r="B75" s="2" t="s">
        <v>2</v>
      </c>
      <c r="C75" s="2" t="s">
        <v>4</v>
      </c>
      <c r="D75" s="2" t="s">
        <v>6</v>
      </c>
      <c r="E75" s="2" t="s">
        <v>7</v>
      </c>
      <c r="F75" s="2" t="s">
        <v>13</v>
      </c>
      <c r="G75" s="2" t="s">
        <v>14</v>
      </c>
      <c r="H75" s="2" t="s">
        <v>15</v>
      </c>
      <c r="I75" s="2" t="s">
        <v>16</v>
      </c>
      <c r="J75" s="2" t="s">
        <v>17</v>
      </c>
      <c r="K75" s="2" t="s">
        <v>18</v>
      </c>
      <c r="L75" s="2" t="s">
        <v>19</v>
      </c>
      <c r="M75" s="2" t="s">
        <v>20</v>
      </c>
      <c r="N75" s="2" t="s">
        <v>21</v>
      </c>
    </row>
    <row r="76" spans="1:14" x14ac:dyDescent="0.35">
      <c r="A76" s="1" t="str">
        <f>B68</f>
        <v>Liquid iron production in China</v>
      </c>
      <c r="B76" s="1" t="str">
        <f>B69</f>
        <v>Steel</v>
      </c>
      <c r="C76" s="1" t="str">
        <f>B70</f>
        <v>CN</v>
      </c>
      <c r="D76" s="1">
        <v>1</v>
      </c>
      <c r="E76" s="1" t="s">
        <v>8</v>
      </c>
      <c r="F76" s="9" t="str">
        <f>F55</f>
        <v>Iron</v>
      </c>
      <c r="G76" s="1" t="s">
        <v>22</v>
      </c>
    </row>
    <row r="77" spans="1:14" x14ac:dyDescent="0.35">
      <c r="A77" s="1" t="str">
        <f>PR3_Steel_CN_Shandong!A61</f>
        <v>[R] Steel production (Shandong)</v>
      </c>
      <c r="B77" s="1" t="str">
        <f>PR3_Steel_CN_Shandong!B61</f>
        <v>Steel</v>
      </c>
      <c r="C77" s="1" t="str">
        <f>PR3_Steel_CN_Shandong!C61</f>
        <v>CN</v>
      </c>
      <c r="D77" s="1">
        <v>1</v>
      </c>
      <c r="E77" s="1" t="str">
        <f>PR3_Steel_CN_Shandong!E61</f>
        <v>kilogram</v>
      </c>
      <c r="F77" s="9" t="str">
        <f>PR3_Steel_CN_Shandong!F61</f>
        <v>Iron</v>
      </c>
      <c r="G77" s="1" t="s">
        <v>28</v>
      </c>
    </row>
    <row r="78" spans="1:14" x14ac:dyDescent="0.35">
      <c r="A78" s="1" t="str">
        <f>A33</f>
        <v>[R] Fe production (Liquid)</v>
      </c>
      <c r="B78" s="1" t="str">
        <f>B33</f>
        <v xml:space="preserve">Fe </v>
      </c>
      <c r="C78" s="1" t="str">
        <f>C33</f>
        <v>CN</v>
      </c>
      <c r="D78" s="1">
        <v>0.98360655737704916</v>
      </c>
      <c r="E78" s="1" t="str">
        <f>E33</f>
        <v>kilogram</v>
      </c>
      <c r="F78" s="9" t="str">
        <f>F33</f>
        <v>Iron</v>
      </c>
      <c r="G78" s="1" t="s">
        <v>28</v>
      </c>
    </row>
    <row r="79" spans="1:14" x14ac:dyDescent="0.35">
      <c r="A79" s="1" t="str">
        <f>A9</f>
        <v>[P] Sintering (Liquid iron)</v>
      </c>
      <c r="B79" s="1" t="str">
        <f>B9</f>
        <v>Iron (Fe) sinter</v>
      </c>
      <c r="C79" s="1" t="str">
        <f>C9</f>
        <v>CN</v>
      </c>
      <c r="D79" s="1">
        <v>1.5737704918032787</v>
      </c>
      <c r="E79" s="1" t="str">
        <f>E9</f>
        <v>kilogram</v>
      </c>
      <c r="F79" s="9" t="str">
        <f>F9</f>
        <v>Iron</v>
      </c>
      <c r="G79" s="1" t="s">
        <v>28</v>
      </c>
    </row>
    <row r="80" spans="1:14" x14ac:dyDescent="0.35">
      <c r="A80" s="1" t="str">
        <f>PR2_SteelAHSS_CN!A58</f>
        <v>[M+C] Iron (Fe) ore mining and concentration (China)</v>
      </c>
      <c r="B80" s="1" t="str">
        <f>PR2_SteelAHSS_CN!B58</f>
        <v>Fe concentrate</v>
      </c>
      <c r="C80" s="1" t="str">
        <f>PR2_SteelAHSS_CN!C58</f>
        <v>CN</v>
      </c>
      <c r="D80" s="1">
        <v>2.0459016393442622</v>
      </c>
      <c r="E80" s="1" t="str">
        <f>PR2_SteelAHSS_CN!E58</f>
        <v>kilogram</v>
      </c>
      <c r="F80" s="9" t="str">
        <f>PR2_SteelAHSS_CN!F58</f>
        <v>Iron</v>
      </c>
      <c r="G80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N141"/>
  <sheetViews>
    <sheetView topLeftCell="A127" workbookViewId="0">
      <selection activeCell="D137" sqref="D137"/>
    </sheetView>
  </sheetViews>
  <sheetFormatPr baseColWidth="10" defaultColWidth="9.1796875" defaultRowHeight="14.5" x14ac:dyDescent="0.35"/>
  <cols>
    <col min="1" max="1" width="60.81640625" style="1" bestFit="1" customWidth="1"/>
    <col min="2" max="2" width="50.81640625" style="1" bestFit="1" customWidth="1"/>
    <col min="3" max="3" width="32.54296875" style="1" bestFit="1" customWidth="1"/>
    <col min="4" max="4" width="12.7265625" style="1" bestFit="1" customWidth="1"/>
    <col min="5" max="5" width="12.81640625" style="1" bestFit="1" customWidth="1"/>
    <col min="6" max="6" width="19.7265625" style="1" bestFit="1" customWidth="1"/>
    <col min="7" max="7" width="13.26953125" style="1" bestFit="1" customWidth="1"/>
    <col min="8" max="8" width="25.26953125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206</v>
      </c>
    </row>
    <row r="2" spans="1:14" x14ac:dyDescent="0.35">
      <c r="A2" s="3" t="s">
        <v>2</v>
      </c>
      <c r="B2" s="1" t="s">
        <v>97</v>
      </c>
    </row>
    <row r="3" spans="1:14" x14ac:dyDescent="0.35">
      <c r="A3" s="3" t="s">
        <v>4</v>
      </c>
      <c r="B3" s="1" t="s">
        <v>207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[P] Sintering (Italy)</v>
      </c>
      <c r="B9" s="1" t="str">
        <f>B2</f>
        <v>Iron (Fe) sinter</v>
      </c>
      <c r="C9" s="1" t="str">
        <f>B3</f>
        <v>IT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93</v>
      </c>
      <c r="B10" s="1" t="s">
        <v>94</v>
      </c>
      <c r="C10" s="1" t="s">
        <v>40</v>
      </c>
      <c r="D10" s="1">
        <v>0.15613368513027259</v>
      </c>
      <c r="E10" s="1" t="s">
        <v>8</v>
      </c>
      <c r="F10" s="1" t="s">
        <v>27</v>
      </c>
      <c r="G10" s="1" t="s">
        <v>28</v>
      </c>
      <c r="J10" s="1" t="s">
        <v>29</v>
      </c>
    </row>
    <row r="11" spans="1:14" x14ac:dyDescent="0.35">
      <c r="A11" s="1" t="s">
        <v>143</v>
      </c>
      <c r="B11" s="1" t="s">
        <v>144</v>
      </c>
      <c r="C11" s="1" t="s">
        <v>208</v>
      </c>
      <c r="D11" s="1">
        <v>4.2610372276383049E-2</v>
      </c>
      <c r="E11" s="1" t="s">
        <v>8</v>
      </c>
      <c r="F11" s="1" t="s">
        <v>27</v>
      </c>
      <c r="G11" s="1" t="s">
        <v>28</v>
      </c>
      <c r="J11" s="1" t="s">
        <v>29</v>
      </c>
    </row>
    <row r="12" spans="1:14" x14ac:dyDescent="0.35">
      <c r="A12" s="1" t="s">
        <v>51</v>
      </c>
      <c r="B12" s="1" t="s">
        <v>52</v>
      </c>
      <c r="C12" s="1" t="s">
        <v>209</v>
      </c>
      <c r="D12" s="1">
        <v>6.0862131834412336E-3</v>
      </c>
      <c r="E12" s="1" t="s">
        <v>8</v>
      </c>
      <c r="F12" s="1" t="s">
        <v>27</v>
      </c>
      <c r="G12" s="1" t="s">
        <v>28</v>
      </c>
      <c r="J12" s="1" t="s">
        <v>29</v>
      </c>
    </row>
    <row r="13" spans="1:14" x14ac:dyDescent="0.35">
      <c r="A13" s="1" t="s">
        <v>163</v>
      </c>
      <c r="B13" s="1" t="s">
        <v>164</v>
      </c>
      <c r="C13" s="1" t="s">
        <v>209</v>
      </c>
      <c r="D13" s="1">
        <v>1.527186289551356E-2</v>
      </c>
      <c r="E13" s="1" t="s">
        <v>8</v>
      </c>
      <c r="F13" s="1" t="s">
        <v>27</v>
      </c>
      <c r="G13" s="1" t="s">
        <v>28</v>
      </c>
      <c r="J13" s="1" t="s">
        <v>29</v>
      </c>
    </row>
    <row r="14" spans="1:14" x14ac:dyDescent="0.35">
      <c r="A14" s="1" t="str">
        <f>A102</f>
        <v>Coke production (Italy)</v>
      </c>
      <c r="B14" s="1" t="str">
        <f t="shared" ref="B14:C14" si="0">B102</f>
        <v>Coke</v>
      </c>
      <c r="C14" s="1" t="str">
        <f t="shared" si="0"/>
        <v>IT</v>
      </c>
      <c r="D14" s="1">
        <v>4.7525266771701213E-2</v>
      </c>
      <c r="E14" s="1" t="s">
        <v>8</v>
      </c>
      <c r="F14" s="9" t="str">
        <f t="shared" ref="F14" si="1">F102</f>
        <v>Iron</v>
      </c>
      <c r="G14" s="1" t="s">
        <v>28</v>
      </c>
      <c r="J14" s="1" t="s">
        <v>29</v>
      </c>
    </row>
    <row r="15" spans="1:14" x14ac:dyDescent="0.35">
      <c r="A15" s="1" t="s">
        <v>122</v>
      </c>
      <c r="B15" s="1" t="s">
        <v>123</v>
      </c>
      <c r="C15" s="1" t="s">
        <v>209</v>
      </c>
      <c r="D15" s="1">
        <v>1.5657142464000441E-2</v>
      </c>
      <c r="E15" s="1" t="s">
        <v>8</v>
      </c>
      <c r="F15" s="1" t="s">
        <v>27</v>
      </c>
      <c r="G15" s="1" t="s">
        <v>28</v>
      </c>
      <c r="J15" s="1" t="s">
        <v>29</v>
      </c>
    </row>
    <row r="16" spans="1:14" x14ac:dyDescent="0.35">
      <c r="A16" s="1" t="s">
        <v>80</v>
      </c>
      <c r="B16" s="1" t="s">
        <v>34</v>
      </c>
      <c r="C16" s="1" t="s">
        <v>207</v>
      </c>
      <c r="D16" s="1">
        <v>4.1758113230913177E-2</v>
      </c>
      <c r="E16" s="1" t="s">
        <v>35</v>
      </c>
      <c r="F16" s="1" t="s">
        <v>27</v>
      </c>
      <c r="G16" s="1" t="s">
        <v>28</v>
      </c>
      <c r="J16" s="1" t="s">
        <v>29</v>
      </c>
    </row>
    <row r="17" spans="1:10" x14ac:dyDescent="0.35">
      <c r="A17" s="1" t="s">
        <v>55</v>
      </c>
      <c r="B17" s="1" t="s">
        <v>56</v>
      </c>
      <c r="C17" s="1" t="s">
        <v>40</v>
      </c>
      <c r="D17" s="1">
        <v>-1.1781986804174779E-4</v>
      </c>
      <c r="E17" s="1" t="s">
        <v>8</v>
      </c>
      <c r="F17" s="1" t="s">
        <v>27</v>
      </c>
      <c r="G17" s="1" t="s">
        <v>28</v>
      </c>
      <c r="J17" s="1" t="s">
        <v>210</v>
      </c>
    </row>
    <row r="18" spans="1:10" x14ac:dyDescent="0.35">
      <c r="A18" s="1" t="s">
        <v>177</v>
      </c>
      <c r="D18" s="1">
        <v>0.21132240331890831</v>
      </c>
      <c r="E18" s="1" t="s">
        <v>8</v>
      </c>
      <c r="F18" s="1" t="s">
        <v>64</v>
      </c>
      <c r="G18" s="1" t="s">
        <v>65</v>
      </c>
      <c r="H18" s="1" t="s">
        <v>112</v>
      </c>
      <c r="J18" s="1" t="s">
        <v>210</v>
      </c>
    </row>
    <row r="19" spans="1:10" x14ac:dyDescent="0.35">
      <c r="A19" s="1" t="s">
        <v>178</v>
      </c>
      <c r="D19" s="1">
        <v>2.9583966865957112E-4</v>
      </c>
      <c r="E19" s="1" t="s">
        <v>8</v>
      </c>
      <c r="F19" s="1" t="s">
        <v>64</v>
      </c>
      <c r="G19" s="1" t="s">
        <v>65</v>
      </c>
      <c r="H19" s="1" t="s">
        <v>112</v>
      </c>
      <c r="J19" s="1" t="s">
        <v>210</v>
      </c>
    </row>
    <row r="20" spans="1:10" x14ac:dyDescent="0.35">
      <c r="A20" s="1" t="s">
        <v>113</v>
      </c>
      <c r="D20" s="1">
        <v>3.190596426532003E-4</v>
      </c>
      <c r="E20" s="1" t="s">
        <v>8</v>
      </c>
      <c r="F20" s="1" t="s">
        <v>64</v>
      </c>
      <c r="G20" s="1" t="s">
        <v>65</v>
      </c>
      <c r="H20" s="1" t="s">
        <v>112</v>
      </c>
      <c r="J20" s="1" t="s">
        <v>210</v>
      </c>
    </row>
    <row r="21" spans="1:10" x14ac:dyDescent="0.35">
      <c r="A21" s="1" t="s">
        <v>136</v>
      </c>
      <c r="D21" s="1">
        <v>8.9439899827312196E-4</v>
      </c>
      <c r="E21" s="1" t="s">
        <v>8</v>
      </c>
      <c r="F21" s="1" t="s">
        <v>64</v>
      </c>
      <c r="G21" s="1" t="s">
        <v>65</v>
      </c>
      <c r="H21" s="1" t="s">
        <v>112</v>
      </c>
      <c r="J21" s="1" t="s">
        <v>210</v>
      </c>
    </row>
    <row r="22" spans="1:10" x14ac:dyDescent="0.35">
      <c r="A22" s="1" t="s">
        <v>111</v>
      </c>
      <c r="D22" s="1">
        <v>1.3906184425073441E-3</v>
      </c>
      <c r="E22" s="1" t="s">
        <v>8</v>
      </c>
      <c r="F22" s="1" t="s">
        <v>64</v>
      </c>
      <c r="G22" s="1" t="s">
        <v>65</v>
      </c>
      <c r="H22" s="1" t="s">
        <v>112</v>
      </c>
      <c r="J22" s="1" t="s">
        <v>210</v>
      </c>
    </row>
    <row r="23" spans="1:10" x14ac:dyDescent="0.35">
      <c r="A23" s="1" t="s">
        <v>211</v>
      </c>
      <c r="D23" s="1">
        <v>6.0199932576075517E-6</v>
      </c>
      <c r="E23" s="1" t="s">
        <v>8</v>
      </c>
      <c r="F23" s="1" t="s">
        <v>64</v>
      </c>
      <c r="G23" s="1" t="s">
        <v>65</v>
      </c>
      <c r="H23" s="1" t="s">
        <v>112</v>
      </c>
      <c r="J23" s="1" t="s">
        <v>210</v>
      </c>
    </row>
    <row r="24" spans="1:10" x14ac:dyDescent="0.35">
      <c r="A24" s="1" t="s">
        <v>212</v>
      </c>
      <c r="D24" s="1">
        <v>5.3319940281666882E-5</v>
      </c>
      <c r="E24" s="1" t="s">
        <v>8</v>
      </c>
      <c r="F24" s="1" t="s">
        <v>64</v>
      </c>
      <c r="G24" s="1" t="s">
        <v>65</v>
      </c>
      <c r="H24" s="1" t="s">
        <v>112</v>
      </c>
      <c r="J24" s="1" t="s">
        <v>210</v>
      </c>
    </row>
    <row r="25" spans="1:10" x14ac:dyDescent="0.35">
      <c r="A25" s="1" t="s">
        <v>213</v>
      </c>
      <c r="D25" s="1">
        <v>1.719998073602158E-6</v>
      </c>
      <c r="E25" s="1" t="s">
        <v>8</v>
      </c>
      <c r="F25" s="1" t="s">
        <v>64</v>
      </c>
      <c r="G25" s="1" t="s">
        <v>65</v>
      </c>
      <c r="H25" s="1" t="s">
        <v>112</v>
      </c>
      <c r="J25" s="1" t="s">
        <v>210</v>
      </c>
    </row>
    <row r="26" spans="1:10" x14ac:dyDescent="0.35">
      <c r="A26" s="1" t="s">
        <v>214</v>
      </c>
      <c r="D26" s="1">
        <v>8.5999903680107878E-7</v>
      </c>
      <c r="E26" s="1" t="s">
        <v>8</v>
      </c>
      <c r="F26" s="1" t="s">
        <v>64</v>
      </c>
      <c r="G26" s="1" t="s">
        <v>65</v>
      </c>
      <c r="H26" s="1" t="s">
        <v>112</v>
      </c>
      <c r="J26" s="1" t="s">
        <v>210</v>
      </c>
    </row>
    <row r="27" spans="1:10" x14ac:dyDescent="0.35">
      <c r="A27" s="1" t="s">
        <v>215</v>
      </c>
      <c r="D27" s="1">
        <v>4.6439947987258253E-5</v>
      </c>
      <c r="E27" s="1" t="s">
        <v>8</v>
      </c>
      <c r="F27" s="1" t="s">
        <v>64</v>
      </c>
      <c r="G27" s="1" t="s">
        <v>65</v>
      </c>
      <c r="H27" s="1" t="s">
        <v>112</v>
      </c>
      <c r="J27" s="1" t="s">
        <v>210</v>
      </c>
    </row>
    <row r="28" spans="1:10" x14ac:dyDescent="0.35">
      <c r="A28" s="1" t="s">
        <v>212</v>
      </c>
      <c r="D28" s="1">
        <v>8.5999903680107878E-7</v>
      </c>
      <c r="E28" s="1" t="s">
        <v>8</v>
      </c>
      <c r="F28" s="1" t="s">
        <v>64</v>
      </c>
      <c r="G28" s="1" t="s">
        <v>65</v>
      </c>
      <c r="H28" s="1" t="s">
        <v>112</v>
      </c>
      <c r="J28" s="1" t="s">
        <v>210</v>
      </c>
    </row>
    <row r="29" spans="1:10" x14ac:dyDescent="0.35">
      <c r="A29" s="1" t="s">
        <v>216</v>
      </c>
      <c r="D29" s="1">
        <v>8.5999903680107878E-7</v>
      </c>
      <c r="E29" s="1" t="s">
        <v>8</v>
      </c>
      <c r="F29" s="1" t="s">
        <v>64</v>
      </c>
      <c r="G29" s="1" t="s">
        <v>65</v>
      </c>
      <c r="H29" s="1" t="s">
        <v>112</v>
      </c>
      <c r="J29" s="1" t="s">
        <v>210</v>
      </c>
    </row>
    <row r="30" spans="1:10" x14ac:dyDescent="0.35">
      <c r="A30" s="1" t="s">
        <v>217</v>
      </c>
      <c r="D30" s="1">
        <v>4.8589945579260958E-12</v>
      </c>
      <c r="E30" s="1" t="s">
        <v>8</v>
      </c>
      <c r="F30" s="1" t="s">
        <v>64</v>
      </c>
      <c r="G30" s="1" t="s">
        <v>65</v>
      </c>
      <c r="H30" s="1" t="s">
        <v>112</v>
      </c>
      <c r="J30" s="1" t="s">
        <v>210</v>
      </c>
    </row>
    <row r="31" spans="1:10" x14ac:dyDescent="0.35">
      <c r="A31" s="1" t="s">
        <v>217</v>
      </c>
      <c r="D31" s="1">
        <v>6.1059931612876592E-9</v>
      </c>
      <c r="E31" s="1" t="s">
        <v>8</v>
      </c>
      <c r="F31" s="1" t="s">
        <v>64</v>
      </c>
      <c r="G31" s="1" t="s">
        <v>65</v>
      </c>
      <c r="H31" s="1" t="s">
        <v>112</v>
      </c>
      <c r="J31" s="1" t="s">
        <v>210</v>
      </c>
    </row>
    <row r="32" spans="1:10" s="11" customFormat="1" x14ac:dyDescent="0.35"/>
    <row r="33" spans="1:14" x14ac:dyDescent="0.35">
      <c r="A33" s="2" t="s">
        <v>0</v>
      </c>
      <c r="B33" s="2" t="s">
        <v>218</v>
      </c>
    </row>
    <row r="34" spans="1:14" x14ac:dyDescent="0.35">
      <c r="A34" s="3" t="s">
        <v>2</v>
      </c>
      <c r="B34" s="1" t="s">
        <v>219</v>
      </c>
    </row>
    <row r="35" spans="1:14" x14ac:dyDescent="0.35">
      <c r="A35" s="3" t="s">
        <v>4</v>
      </c>
      <c r="B35" s="1" t="s">
        <v>207</v>
      </c>
    </row>
    <row r="36" spans="1:14" x14ac:dyDescent="0.35">
      <c r="A36" s="3" t="s">
        <v>6</v>
      </c>
      <c r="B36" s="1">
        <v>1</v>
      </c>
    </row>
    <row r="37" spans="1:14" x14ac:dyDescent="0.35">
      <c r="A37" s="3" t="s">
        <v>7</v>
      </c>
      <c r="B37" s="1" t="s">
        <v>8</v>
      </c>
    </row>
    <row r="38" spans="1:14" x14ac:dyDescent="0.35">
      <c r="A38" s="3" t="s">
        <v>9</v>
      </c>
      <c r="B38" s="1" t="s">
        <v>10</v>
      </c>
    </row>
    <row r="39" spans="1:14" x14ac:dyDescent="0.35">
      <c r="A39" s="3" t="s">
        <v>11</v>
      </c>
    </row>
    <row r="40" spans="1:14" x14ac:dyDescent="0.35">
      <c r="A40" s="2" t="s">
        <v>12</v>
      </c>
      <c r="B40" s="2" t="s">
        <v>2</v>
      </c>
      <c r="C40" s="2" t="s">
        <v>4</v>
      </c>
      <c r="D40" s="2" t="s">
        <v>6</v>
      </c>
      <c r="E40" s="2" t="s">
        <v>7</v>
      </c>
      <c r="F40" s="2" t="s">
        <v>13</v>
      </c>
      <c r="G40" s="2" t="s">
        <v>14</v>
      </c>
      <c r="H40" s="2" t="s">
        <v>15</v>
      </c>
      <c r="I40" s="2" t="s">
        <v>16</v>
      </c>
      <c r="J40" s="2" t="s">
        <v>17</v>
      </c>
      <c r="K40" s="2" t="s">
        <v>18</v>
      </c>
      <c r="L40" s="2" t="s">
        <v>19</v>
      </c>
      <c r="M40" s="2" t="s">
        <v>20</v>
      </c>
      <c r="N40" s="2" t="s">
        <v>21</v>
      </c>
    </row>
    <row r="41" spans="1:14" x14ac:dyDescent="0.35">
      <c r="A41" s="1" t="str">
        <f>B33</f>
        <v>[R] Pig iron production - Blast Furnace</v>
      </c>
      <c r="B41" s="1" t="str">
        <f>B34</f>
        <v>Pig iron</v>
      </c>
      <c r="C41" s="1" t="str">
        <f>B35</f>
        <v>IT</v>
      </c>
      <c r="D41" s="1">
        <v>1</v>
      </c>
      <c r="E41" s="1" t="str">
        <f>B37</f>
        <v>kilogram</v>
      </c>
      <c r="F41" s="9" t="str">
        <f>F9</f>
        <v>Iron</v>
      </c>
      <c r="G41" s="1" t="s">
        <v>22</v>
      </c>
    </row>
    <row r="42" spans="1:14" x14ac:dyDescent="0.35">
      <c r="A42" s="1" t="s">
        <v>120</v>
      </c>
      <c r="B42" s="1" t="s">
        <v>121</v>
      </c>
      <c r="C42" s="1" t="s">
        <v>25</v>
      </c>
      <c r="D42" s="1">
        <v>0.1783903499699824</v>
      </c>
      <c r="E42" s="1" t="s">
        <v>8</v>
      </c>
      <c r="F42" s="1" t="s">
        <v>27</v>
      </c>
      <c r="G42" s="1" t="s">
        <v>28</v>
      </c>
      <c r="J42" s="1" t="s">
        <v>29</v>
      </c>
    </row>
    <row r="43" spans="1:14" x14ac:dyDescent="0.35">
      <c r="A43" s="1" t="s">
        <v>143</v>
      </c>
      <c r="B43" s="1" t="s">
        <v>144</v>
      </c>
      <c r="C43" s="1" t="s">
        <v>208</v>
      </c>
      <c r="D43" s="1">
        <v>1.4832229324427269E-3</v>
      </c>
      <c r="E43" s="1" t="s">
        <v>8</v>
      </c>
      <c r="F43" s="1" t="s">
        <v>27</v>
      </c>
      <c r="G43" s="1" t="s">
        <v>28</v>
      </c>
      <c r="J43" s="1" t="s">
        <v>29</v>
      </c>
    </row>
    <row r="44" spans="1:14" x14ac:dyDescent="0.35">
      <c r="A44" s="1" t="s">
        <v>220</v>
      </c>
      <c r="B44" s="1" t="s">
        <v>221</v>
      </c>
      <c r="C44" s="1" t="s">
        <v>25</v>
      </c>
      <c r="D44" s="1">
        <v>0.31431108330768798</v>
      </c>
      <c r="E44" s="1" t="s">
        <v>8</v>
      </c>
      <c r="F44" s="1" t="s">
        <v>27</v>
      </c>
      <c r="G44" s="1" t="s">
        <v>28</v>
      </c>
      <c r="J44" s="1" t="s">
        <v>29</v>
      </c>
    </row>
    <row r="45" spans="1:14" x14ac:dyDescent="0.35">
      <c r="A45" s="1" t="s">
        <v>222</v>
      </c>
      <c r="B45" s="1" t="s">
        <v>223</v>
      </c>
      <c r="C45" s="1" t="s">
        <v>209</v>
      </c>
      <c r="D45" s="1">
        <v>0.16034346196340371</v>
      </c>
      <c r="E45" s="1" t="s">
        <v>8</v>
      </c>
      <c r="F45" s="1" t="s">
        <v>27</v>
      </c>
      <c r="G45" s="1" t="s">
        <v>28</v>
      </c>
      <c r="J45" s="1" t="s">
        <v>29</v>
      </c>
    </row>
    <row r="46" spans="1:14" x14ac:dyDescent="0.35">
      <c r="A46" s="1" t="s">
        <v>224</v>
      </c>
      <c r="B46" s="1" t="s">
        <v>225</v>
      </c>
      <c r="C46" s="1" t="s">
        <v>209</v>
      </c>
      <c r="D46" s="1">
        <v>0.14852913725866099</v>
      </c>
      <c r="E46" s="1" t="s">
        <v>8</v>
      </c>
      <c r="F46" s="1" t="s">
        <v>27</v>
      </c>
      <c r="G46" s="1" t="s">
        <v>28</v>
      </c>
      <c r="J46" s="1" t="s">
        <v>29</v>
      </c>
    </row>
    <row r="47" spans="1:14" x14ac:dyDescent="0.35">
      <c r="A47" s="1" t="str">
        <f>A102</f>
        <v>Coke production (Italy)</v>
      </c>
      <c r="B47" s="1" t="str">
        <f t="shared" ref="B47:C47" si="2">B102</f>
        <v>Coke</v>
      </c>
      <c r="C47" s="1" t="str">
        <f t="shared" si="2"/>
        <v>IT</v>
      </c>
      <c r="D47" s="1">
        <v>0.38777804123763349</v>
      </c>
      <c r="E47" s="1" t="s">
        <v>8</v>
      </c>
      <c r="F47" s="9" t="str">
        <f t="shared" ref="F47" si="3">F102</f>
        <v>Iron</v>
      </c>
      <c r="G47" s="1" t="s">
        <v>28</v>
      </c>
      <c r="J47" s="1" t="s">
        <v>29</v>
      </c>
    </row>
    <row r="48" spans="1:14" x14ac:dyDescent="0.35">
      <c r="A48" s="1" t="s">
        <v>122</v>
      </c>
      <c r="B48" s="1" t="s">
        <v>123</v>
      </c>
      <c r="C48" s="1" t="s">
        <v>209</v>
      </c>
      <c r="D48" s="1">
        <v>0.1230742065514058</v>
      </c>
      <c r="E48" s="1" t="s">
        <v>8</v>
      </c>
      <c r="F48" s="1" t="s">
        <v>27</v>
      </c>
      <c r="G48" s="1" t="s">
        <v>28</v>
      </c>
      <c r="J48" s="1" t="s">
        <v>29</v>
      </c>
    </row>
    <row r="49" spans="1:10" x14ac:dyDescent="0.35">
      <c r="A49" s="1" t="s">
        <v>80</v>
      </c>
      <c r="B49" s="1" t="s">
        <v>34</v>
      </c>
      <c r="C49" s="1" t="s">
        <v>207</v>
      </c>
      <c r="D49" s="1">
        <v>5.0298410328074777E-2</v>
      </c>
      <c r="E49" s="1" t="s">
        <v>35</v>
      </c>
      <c r="F49" s="1" t="s">
        <v>27</v>
      </c>
      <c r="G49" s="1" t="s">
        <v>28</v>
      </c>
      <c r="J49" s="1" t="s">
        <v>29</v>
      </c>
    </row>
    <row r="50" spans="1:10" x14ac:dyDescent="0.35">
      <c r="A50" s="1" t="s">
        <v>55</v>
      </c>
      <c r="B50" s="1" t="s">
        <v>56</v>
      </c>
      <c r="C50" s="1" t="s">
        <v>40</v>
      </c>
      <c r="D50" s="1">
        <v>3.0976152398633819E-3</v>
      </c>
      <c r="E50" s="1" t="s">
        <v>8</v>
      </c>
      <c r="F50" s="1" t="s">
        <v>27</v>
      </c>
      <c r="G50" s="1" t="s">
        <v>28</v>
      </c>
      <c r="J50" s="1" t="s">
        <v>210</v>
      </c>
    </row>
    <row r="51" spans="1:10" x14ac:dyDescent="0.35">
      <c r="A51" s="1" t="s">
        <v>126</v>
      </c>
      <c r="B51" s="1" t="s">
        <v>127</v>
      </c>
      <c r="C51" s="1" t="s">
        <v>208</v>
      </c>
      <c r="D51" s="1">
        <v>3.5239157085416493E-2</v>
      </c>
      <c r="E51" s="1" t="s">
        <v>8</v>
      </c>
      <c r="F51" s="1" t="s">
        <v>27</v>
      </c>
      <c r="G51" s="1" t="s">
        <v>28</v>
      </c>
      <c r="J51" s="1" t="s">
        <v>210</v>
      </c>
    </row>
    <row r="52" spans="1:10" x14ac:dyDescent="0.35">
      <c r="A52" s="1" t="s">
        <v>75</v>
      </c>
      <c r="D52" s="1">
        <v>1.4543051302360539E-4</v>
      </c>
      <c r="E52" s="1" t="s">
        <v>76</v>
      </c>
      <c r="F52" s="1" t="s">
        <v>64</v>
      </c>
      <c r="G52" s="1" t="s">
        <v>65</v>
      </c>
      <c r="H52" s="1" t="s">
        <v>74</v>
      </c>
      <c r="J52" s="1" t="s">
        <v>29</v>
      </c>
    </row>
    <row r="53" spans="1:10" x14ac:dyDescent="0.35">
      <c r="A53" s="1" t="s">
        <v>177</v>
      </c>
      <c r="D53" s="1">
        <v>0.55680895180534462</v>
      </c>
      <c r="E53" s="1" t="s">
        <v>8</v>
      </c>
      <c r="F53" s="1" t="s">
        <v>64</v>
      </c>
      <c r="G53" s="1" t="s">
        <v>65</v>
      </c>
      <c r="H53" s="1" t="s">
        <v>112</v>
      </c>
      <c r="J53" s="1" t="s">
        <v>210</v>
      </c>
    </row>
    <row r="54" spans="1:10" x14ac:dyDescent="0.35">
      <c r="A54" s="1" t="s">
        <v>178</v>
      </c>
      <c r="D54" s="1">
        <v>3.22878461484131E-5</v>
      </c>
      <c r="E54" s="1" t="s">
        <v>8</v>
      </c>
      <c r="F54" s="1" t="s">
        <v>64</v>
      </c>
      <c r="G54" s="1" t="s">
        <v>65</v>
      </c>
      <c r="H54" s="1" t="s">
        <v>112</v>
      </c>
      <c r="J54" s="1" t="s">
        <v>210</v>
      </c>
    </row>
    <row r="55" spans="1:10" x14ac:dyDescent="0.35">
      <c r="A55" s="1" t="s">
        <v>113</v>
      </c>
      <c r="D55" s="1">
        <v>3.1581549513916572E-4</v>
      </c>
      <c r="E55" s="1" t="s">
        <v>8</v>
      </c>
      <c r="F55" s="1" t="s">
        <v>64</v>
      </c>
      <c r="G55" s="1" t="s">
        <v>65</v>
      </c>
      <c r="H55" s="1" t="s">
        <v>112</v>
      </c>
      <c r="J55" s="1" t="s">
        <v>210</v>
      </c>
    </row>
    <row r="56" spans="1:10" x14ac:dyDescent="0.35">
      <c r="A56" s="1" t="s">
        <v>136</v>
      </c>
      <c r="D56" s="1">
        <v>6.0438812009060779E-4</v>
      </c>
      <c r="E56" s="1" t="s">
        <v>8</v>
      </c>
      <c r="F56" s="1" t="s">
        <v>64</v>
      </c>
      <c r="G56" s="1" t="s">
        <v>65</v>
      </c>
      <c r="H56" s="1" t="s">
        <v>112</v>
      </c>
      <c r="J56" s="1" t="s">
        <v>210</v>
      </c>
    </row>
    <row r="57" spans="1:10" x14ac:dyDescent="0.35">
      <c r="A57" s="1" t="s">
        <v>111</v>
      </c>
      <c r="D57" s="1">
        <v>1.331873653622041E-3</v>
      </c>
      <c r="E57" s="1" t="s">
        <v>8</v>
      </c>
      <c r="F57" s="1" t="s">
        <v>64</v>
      </c>
      <c r="G57" s="1" t="s">
        <v>65</v>
      </c>
      <c r="H57" s="1" t="s">
        <v>112</v>
      </c>
      <c r="J57" s="1" t="s">
        <v>210</v>
      </c>
    </row>
    <row r="58" spans="1:10" x14ac:dyDescent="0.35">
      <c r="A58" s="1" t="s">
        <v>212</v>
      </c>
      <c r="D58" s="1">
        <v>2.0684401438827139E-4</v>
      </c>
      <c r="E58" s="1" t="s">
        <v>8</v>
      </c>
      <c r="F58" s="1" t="s">
        <v>64</v>
      </c>
      <c r="G58" s="1" t="s">
        <v>65</v>
      </c>
      <c r="H58" s="1" t="s">
        <v>112</v>
      </c>
      <c r="J58" s="1" t="s">
        <v>210</v>
      </c>
    </row>
    <row r="59" spans="1:10" x14ac:dyDescent="0.35">
      <c r="A59" s="1" t="s">
        <v>217</v>
      </c>
      <c r="D59" s="1">
        <v>5.7512725951860848E-15</v>
      </c>
      <c r="E59" s="1" t="s">
        <v>8</v>
      </c>
      <c r="F59" s="1" t="s">
        <v>64</v>
      </c>
      <c r="G59" s="1" t="s">
        <v>65</v>
      </c>
      <c r="H59" s="1" t="s">
        <v>112</v>
      </c>
      <c r="J59" s="1" t="s">
        <v>210</v>
      </c>
    </row>
    <row r="60" spans="1:10" x14ac:dyDescent="0.35">
      <c r="A60" s="1" t="s">
        <v>226</v>
      </c>
      <c r="D60" s="1">
        <v>1.7152918266344461E-5</v>
      </c>
      <c r="E60" s="1" t="s">
        <v>8</v>
      </c>
      <c r="F60" s="1" t="s">
        <v>64</v>
      </c>
      <c r="G60" s="1" t="s">
        <v>65</v>
      </c>
      <c r="H60" s="1" t="s">
        <v>227</v>
      </c>
      <c r="J60" s="1" t="s">
        <v>210</v>
      </c>
    </row>
    <row r="61" spans="1:10" x14ac:dyDescent="0.35">
      <c r="A61" s="1" t="s">
        <v>228</v>
      </c>
      <c r="D61" s="1">
        <v>3.0269855764137288E-5</v>
      </c>
      <c r="E61" s="1" t="s">
        <v>8</v>
      </c>
      <c r="F61" s="1" t="s">
        <v>64</v>
      </c>
      <c r="G61" s="1" t="s">
        <v>65</v>
      </c>
      <c r="H61" s="1" t="s">
        <v>227</v>
      </c>
      <c r="J61" s="1" t="s">
        <v>210</v>
      </c>
    </row>
    <row r="62" spans="1:10" x14ac:dyDescent="0.35">
      <c r="A62" s="1" t="s">
        <v>229</v>
      </c>
      <c r="D62" s="1">
        <v>4.0359807685516384E-6</v>
      </c>
      <c r="E62" s="1" t="s">
        <v>8</v>
      </c>
      <c r="F62" s="1" t="s">
        <v>64</v>
      </c>
      <c r="G62" s="1" t="s">
        <v>65</v>
      </c>
      <c r="H62" s="1" t="s">
        <v>227</v>
      </c>
      <c r="J62" s="1" t="s">
        <v>210</v>
      </c>
    </row>
    <row r="63" spans="1:10" s="11" customFormat="1" x14ac:dyDescent="0.35"/>
    <row r="64" spans="1:10" x14ac:dyDescent="0.35">
      <c r="A64" s="2" t="s">
        <v>0</v>
      </c>
      <c r="B64" s="2" t="s">
        <v>230</v>
      </c>
    </row>
    <row r="65" spans="1:14" x14ac:dyDescent="0.35">
      <c r="A65" s="3" t="s">
        <v>2</v>
      </c>
      <c r="B65" s="1" t="s">
        <v>138</v>
      </c>
    </row>
    <row r="66" spans="1:14" x14ac:dyDescent="0.35">
      <c r="A66" s="3" t="s">
        <v>4</v>
      </c>
      <c r="B66" s="1" t="s">
        <v>207</v>
      </c>
    </row>
    <row r="67" spans="1:14" x14ac:dyDescent="0.35">
      <c r="A67" s="3" t="s">
        <v>6</v>
      </c>
      <c r="B67" s="1">
        <v>1</v>
      </c>
    </row>
    <row r="68" spans="1:14" x14ac:dyDescent="0.35">
      <c r="A68" s="3" t="s">
        <v>7</v>
      </c>
      <c r="B68" s="1" t="s">
        <v>8</v>
      </c>
    </row>
    <row r="69" spans="1:14" x14ac:dyDescent="0.35">
      <c r="A69" s="3" t="s">
        <v>9</v>
      </c>
      <c r="B69" s="1" t="s">
        <v>10</v>
      </c>
    </row>
    <row r="70" spans="1:14" x14ac:dyDescent="0.35">
      <c r="A70" s="3" t="s">
        <v>11</v>
      </c>
    </row>
    <row r="71" spans="1:14" x14ac:dyDescent="0.35">
      <c r="A71" s="2" t="s">
        <v>12</v>
      </c>
      <c r="B71" s="2" t="s">
        <v>2</v>
      </c>
      <c r="C71" s="2" t="s">
        <v>4</v>
      </c>
      <c r="D71" s="2" t="s">
        <v>6</v>
      </c>
      <c r="E71" s="2" t="s">
        <v>7</v>
      </c>
      <c r="F71" s="2" t="s">
        <v>13</v>
      </c>
      <c r="G71" s="2" t="s">
        <v>14</v>
      </c>
      <c r="H71" s="2" t="s">
        <v>15</v>
      </c>
      <c r="I71" s="2" t="s">
        <v>16</v>
      </c>
      <c r="J71" s="2" t="s">
        <v>17</v>
      </c>
      <c r="K71" s="2" t="s">
        <v>18</v>
      </c>
      <c r="L71" s="2" t="s">
        <v>19</v>
      </c>
      <c r="M71" s="2" t="s">
        <v>20</v>
      </c>
      <c r="N71" s="2" t="s">
        <v>21</v>
      </c>
    </row>
    <row r="72" spans="1:14" x14ac:dyDescent="0.35">
      <c r="A72" s="1" t="str">
        <f>B64</f>
        <v>[R] Steel production - Basic oxygen furnace (Italy)</v>
      </c>
      <c r="B72" s="1" t="str">
        <f>B65</f>
        <v>Steel</v>
      </c>
      <c r="C72" s="1" t="str">
        <f>B66</f>
        <v>IT</v>
      </c>
      <c r="D72" s="1">
        <v>1</v>
      </c>
      <c r="E72" s="1" t="s">
        <v>8</v>
      </c>
      <c r="F72" s="9" t="str">
        <f>F41</f>
        <v>Iron</v>
      </c>
      <c r="G72" s="1" t="s">
        <v>22</v>
      </c>
    </row>
    <row r="73" spans="1:14" x14ac:dyDescent="0.35">
      <c r="A73" s="1" t="s">
        <v>120</v>
      </c>
      <c r="B73" s="1" t="s">
        <v>121</v>
      </c>
      <c r="C73" s="1" t="s">
        <v>25</v>
      </c>
      <c r="D73" s="1">
        <v>5.5560000000000002E-3</v>
      </c>
      <c r="E73" s="1" t="s">
        <v>8</v>
      </c>
      <c r="F73" s="1" t="s">
        <v>27</v>
      </c>
      <c r="G73" s="1" t="s">
        <v>28</v>
      </c>
      <c r="J73" s="1" t="s">
        <v>29</v>
      </c>
    </row>
    <row r="74" spans="1:14" x14ac:dyDescent="0.35">
      <c r="A74" s="1" t="s">
        <v>143</v>
      </c>
      <c r="B74" s="1" t="s">
        <v>144</v>
      </c>
      <c r="C74" s="1" t="s">
        <v>208</v>
      </c>
      <c r="D74" s="1">
        <v>7.0219000000000004E-2</v>
      </c>
      <c r="E74" s="1" t="s">
        <v>8</v>
      </c>
      <c r="F74" s="1" t="s">
        <v>27</v>
      </c>
      <c r="G74" s="1" t="s">
        <v>28</v>
      </c>
      <c r="J74" s="1" t="s">
        <v>29</v>
      </c>
    </row>
    <row r="75" spans="1:14" x14ac:dyDescent="0.35">
      <c r="A75" s="1" t="s">
        <v>224</v>
      </c>
      <c r="B75" s="1" t="s">
        <v>225</v>
      </c>
      <c r="C75" s="1" t="s">
        <v>209</v>
      </c>
      <c r="D75" s="1">
        <v>6.8621000000000001E-2</v>
      </c>
      <c r="E75" s="1" t="s">
        <v>8</v>
      </c>
      <c r="F75" s="1" t="s">
        <v>27</v>
      </c>
      <c r="G75" s="1" t="s">
        <v>28</v>
      </c>
      <c r="J75" s="1" t="s">
        <v>29</v>
      </c>
    </row>
    <row r="76" spans="1:14" x14ac:dyDescent="0.35">
      <c r="A76" s="1" t="s">
        <v>163</v>
      </c>
      <c r="B76" s="1" t="s">
        <v>164</v>
      </c>
      <c r="C76" s="1" t="s">
        <v>209</v>
      </c>
      <c r="D76" s="1">
        <v>0.128914</v>
      </c>
      <c r="E76" s="1" t="s">
        <v>8</v>
      </c>
      <c r="F76" s="1" t="s">
        <v>27</v>
      </c>
      <c r="G76" s="1" t="s">
        <v>28</v>
      </c>
      <c r="J76" s="1" t="s">
        <v>29</v>
      </c>
    </row>
    <row r="77" spans="1:14" x14ac:dyDescent="0.35">
      <c r="A77" s="1" t="s">
        <v>118</v>
      </c>
      <c r="B77" s="1" t="s">
        <v>119</v>
      </c>
      <c r="C77" s="1" t="s">
        <v>209</v>
      </c>
      <c r="D77" s="1">
        <v>5.7675999999999998E-2</v>
      </c>
      <c r="E77" s="1" t="s">
        <v>8</v>
      </c>
      <c r="F77" s="1" t="s">
        <v>27</v>
      </c>
      <c r="G77" s="1" t="s">
        <v>28</v>
      </c>
      <c r="J77" s="1" t="s">
        <v>29</v>
      </c>
    </row>
    <row r="78" spans="1:14" x14ac:dyDescent="0.35">
      <c r="A78" s="1" t="s">
        <v>122</v>
      </c>
      <c r="B78" s="1" t="s">
        <v>123</v>
      </c>
      <c r="C78" s="1" t="s">
        <v>209</v>
      </c>
      <c r="D78" s="1">
        <v>7.2820000000000003E-3</v>
      </c>
      <c r="E78" s="1" t="s">
        <v>8</v>
      </c>
      <c r="F78" s="1" t="s">
        <v>27</v>
      </c>
      <c r="G78" s="1" t="s">
        <v>28</v>
      </c>
      <c r="J78" s="1" t="s">
        <v>29</v>
      </c>
    </row>
    <row r="79" spans="1:14" x14ac:dyDescent="0.35">
      <c r="A79" s="1" t="s">
        <v>80</v>
      </c>
      <c r="B79" s="1" t="s">
        <v>34</v>
      </c>
      <c r="C79" s="1" t="s">
        <v>207</v>
      </c>
      <c r="D79" s="1">
        <v>8.0565999999999999E-2</v>
      </c>
      <c r="E79" s="1" t="s">
        <v>35</v>
      </c>
      <c r="F79" s="1" t="s">
        <v>27</v>
      </c>
      <c r="G79" s="1" t="s">
        <v>28</v>
      </c>
      <c r="J79" s="1" t="s">
        <v>29</v>
      </c>
    </row>
    <row r="80" spans="1:14" x14ac:dyDescent="0.35">
      <c r="A80" s="1" t="s">
        <v>55</v>
      </c>
      <c r="B80" s="1" t="s">
        <v>56</v>
      </c>
      <c r="C80" s="1" t="s">
        <v>40</v>
      </c>
      <c r="D80" s="1">
        <v>-2.0000000000000002E-5</v>
      </c>
      <c r="E80" s="1" t="s">
        <v>8</v>
      </c>
      <c r="F80" s="1" t="s">
        <v>27</v>
      </c>
      <c r="G80" s="1" t="s">
        <v>28</v>
      </c>
      <c r="J80" s="1" t="s">
        <v>210</v>
      </c>
    </row>
    <row r="81" spans="1:10" x14ac:dyDescent="0.35">
      <c r="A81" s="1" t="s">
        <v>128</v>
      </c>
      <c r="B81" s="1" t="s">
        <v>129</v>
      </c>
      <c r="C81" s="1" t="s">
        <v>208</v>
      </c>
      <c r="D81" s="1">
        <v>-1.9999999999999999E-6</v>
      </c>
      <c r="E81" s="1" t="s">
        <v>8</v>
      </c>
      <c r="F81" s="1" t="s">
        <v>27</v>
      </c>
      <c r="G81" s="1" t="s">
        <v>28</v>
      </c>
      <c r="J81" s="1" t="s">
        <v>210</v>
      </c>
    </row>
    <row r="82" spans="1:10" x14ac:dyDescent="0.35">
      <c r="A82" s="1" t="s">
        <v>55</v>
      </c>
      <c r="B82" s="1" t="s">
        <v>56</v>
      </c>
      <c r="C82" s="1" t="s">
        <v>40</v>
      </c>
      <c r="D82" s="1">
        <v>-4.4499999999999997E-4</v>
      </c>
      <c r="E82" s="1" t="s">
        <v>8</v>
      </c>
      <c r="F82" s="1" t="s">
        <v>27</v>
      </c>
      <c r="G82" s="1" t="s">
        <v>28</v>
      </c>
      <c r="J82" s="1" t="s">
        <v>210</v>
      </c>
    </row>
    <row r="83" spans="1:10" x14ac:dyDescent="0.35">
      <c r="A83" s="1" t="s">
        <v>157</v>
      </c>
      <c r="B83" s="1" t="s">
        <v>158</v>
      </c>
      <c r="C83" s="1" t="s">
        <v>40</v>
      </c>
      <c r="D83" s="1">
        <v>-0.146672</v>
      </c>
      <c r="E83" s="1" t="s">
        <v>8</v>
      </c>
      <c r="F83" s="1" t="s">
        <v>27</v>
      </c>
      <c r="G83" s="1" t="s">
        <v>28</v>
      </c>
      <c r="J83" s="1" t="s">
        <v>210</v>
      </c>
    </row>
    <row r="84" spans="1:10" x14ac:dyDescent="0.35">
      <c r="A84" s="1" t="s">
        <v>75</v>
      </c>
      <c r="D84" s="1">
        <v>8.5383000000000006E-5</v>
      </c>
      <c r="E84" s="1" t="s">
        <v>76</v>
      </c>
      <c r="F84" s="1" t="s">
        <v>64</v>
      </c>
      <c r="G84" s="1" t="s">
        <v>65</v>
      </c>
      <c r="H84" s="1" t="s">
        <v>74</v>
      </c>
      <c r="J84" s="1" t="s">
        <v>29</v>
      </c>
    </row>
    <row r="85" spans="1:10" x14ac:dyDescent="0.35">
      <c r="A85" s="1" t="s">
        <v>177</v>
      </c>
      <c r="D85" s="1">
        <v>5.0873000000000002E-2</v>
      </c>
      <c r="E85" s="1" t="s">
        <v>8</v>
      </c>
      <c r="F85" s="1" t="s">
        <v>64</v>
      </c>
      <c r="G85" s="1" t="s">
        <v>65</v>
      </c>
      <c r="H85" s="1" t="s">
        <v>112</v>
      </c>
      <c r="J85" s="1" t="s">
        <v>210</v>
      </c>
    </row>
    <row r="86" spans="1:10" x14ac:dyDescent="0.35">
      <c r="A86" s="1" t="s">
        <v>178</v>
      </c>
      <c r="D86" s="1">
        <v>8.0000000000000007E-5</v>
      </c>
      <c r="E86" s="1" t="s">
        <v>8</v>
      </c>
      <c r="F86" s="1" t="s">
        <v>64</v>
      </c>
      <c r="G86" s="1" t="s">
        <v>65</v>
      </c>
      <c r="H86" s="1" t="s">
        <v>112</v>
      </c>
      <c r="J86" s="1" t="s">
        <v>210</v>
      </c>
    </row>
    <row r="87" spans="1:10" x14ac:dyDescent="0.35">
      <c r="A87" s="1" t="s">
        <v>113</v>
      </c>
      <c r="D87" s="1">
        <v>2.63E-4</v>
      </c>
      <c r="E87" s="1" t="s">
        <v>8</v>
      </c>
      <c r="F87" s="1" t="s">
        <v>64</v>
      </c>
      <c r="G87" s="1" t="s">
        <v>65</v>
      </c>
      <c r="H87" s="1" t="s">
        <v>112</v>
      </c>
      <c r="J87" s="1" t="s">
        <v>210</v>
      </c>
    </row>
    <row r="88" spans="1:10" x14ac:dyDescent="0.35">
      <c r="A88" s="1" t="s">
        <v>136</v>
      </c>
      <c r="D88" s="1">
        <v>7.3999999999999996E-5</v>
      </c>
      <c r="E88" s="1" t="s">
        <v>8</v>
      </c>
      <c r="F88" s="1" t="s">
        <v>64</v>
      </c>
      <c r="G88" s="1" t="s">
        <v>65</v>
      </c>
      <c r="H88" s="1" t="s">
        <v>112</v>
      </c>
      <c r="J88" s="1" t="s">
        <v>210</v>
      </c>
    </row>
    <row r="89" spans="1:10" x14ac:dyDescent="0.35">
      <c r="A89" s="1" t="s">
        <v>111</v>
      </c>
      <c r="D89" s="1">
        <v>6.4999999999999994E-5</v>
      </c>
      <c r="E89" s="1" t="s">
        <v>8</v>
      </c>
      <c r="F89" s="1" t="s">
        <v>64</v>
      </c>
      <c r="G89" s="1" t="s">
        <v>65</v>
      </c>
      <c r="H89" s="1" t="s">
        <v>112</v>
      </c>
      <c r="J89" s="1" t="s">
        <v>210</v>
      </c>
    </row>
    <row r="90" spans="1:10" x14ac:dyDescent="0.35">
      <c r="A90" s="1" t="s">
        <v>215</v>
      </c>
      <c r="D90" s="1">
        <v>9.9999999999999995E-7</v>
      </c>
      <c r="E90" s="1" t="s">
        <v>8</v>
      </c>
      <c r="F90" s="1" t="s">
        <v>64</v>
      </c>
      <c r="G90" s="1" t="s">
        <v>65</v>
      </c>
      <c r="H90" s="1" t="s">
        <v>112</v>
      </c>
      <c r="J90" s="1" t="s">
        <v>210</v>
      </c>
    </row>
    <row r="91" spans="1:10" x14ac:dyDescent="0.35">
      <c r="A91" s="1" t="s">
        <v>211</v>
      </c>
      <c r="D91" s="1">
        <v>9.9999999999999995E-7</v>
      </c>
      <c r="E91" s="1" t="s">
        <v>8</v>
      </c>
      <c r="F91" s="1" t="s">
        <v>64</v>
      </c>
      <c r="G91" s="1" t="s">
        <v>65</v>
      </c>
      <c r="H91" s="1" t="s">
        <v>112</v>
      </c>
      <c r="J91" s="1" t="s">
        <v>210</v>
      </c>
    </row>
    <row r="92" spans="1:10" x14ac:dyDescent="0.35">
      <c r="A92" s="1" t="s">
        <v>212</v>
      </c>
      <c r="D92" s="1">
        <v>6.2000000000000003E-5</v>
      </c>
      <c r="E92" s="1" t="s">
        <v>8</v>
      </c>
      <c r="F92" s="1" t="s">
        <v>64</v>
      </c>
      <c r="G92" s="1" t="s">
        <v>65</v>
      </c>
      <c r="H92" s="1" t="s">
        <v>112</v>
      </c>
      <c r="J92" s="1" t="s">
        <v>210</v>
      </c>
    </row>
    <row r="93" spans="1:10" s="11" customFormat="1" x14ac:dyDescent="0.35"/>
    <row r="94" spans="1:10" x14ac:dyDescent="0.35">
      <c r="A94" s="2" t="s">
        <v>0</v>
      </c>
      <c r="B94" s="2" t="s">
        <v>231</v>
      </c>
    </row>
    <row r="95" spans="1:10" x14ac:dyDescent="0.35">
      <c r="A95" s="3" t="s">
        <v>2</v>
      </c>
      <c r="B95" s="1" t="s">
        <v>166</v>
      </c>
    </row>
    <row r="96" spans="1:10" x14ac:dyDescent="0.35">
      <c r="A96" s="3" t="s">
        <v>4</v>
      </c>
      <c r="B96" s="1" t="s">
        <v>207</v>
      </c>
    </row>
    <row r="97" spans="1:14" x14ac:dyDescent="0.35">
      <c r="A97" s="3" t="s">
        <v>6</v>
      </c>
      <c r="B97" s="1">
        <v>1</v>
      </c>
    </row>
    <row r="98" spans="1:14" x14ac:dyDescent="0.35">
      <c r="A98" s="3" t="s">
        <v>7</v>
      </c>
      <c r="B98" s="1" t="s">
        <v>8</v>
      </c>
    </row>
    <row r="99" spans="1:14" x14ac:dyDescent="0.35">
      <c r="A99" s="3" t="s">
        <v>9</v>
      </c>
      <c r="B99" s="1" t="s">
        <v>10</v>
      </c>
    </row>
    <row r="100" spans="1:14" x14ac:dyDescent="0.35">
      <c r="A100" s="3" t="s">
        <v>11</v>
      </c>
    </row>
    <row r="101" spans="1:14" x14ac:dyDescent="0.35">
      <c r="A101" s="2" t="s">
        <v>12</v>
      </c>
      <c r="B101" s="2" t="s">
        <v>2</v>
      </c>
      <c r="C101" s="2" t="s">
        <v>4</v>
      </c>
      <c r="D101" s="2" t="s">
        <v>6</v>
      </c>
      <c r="E101" s="2" t="s">
        <v>7</v>
      </c>
      <c r="F101" s="2" t="s">
        <v>13</v>
      </c>
      <c r="G101" s="2" t="s">
        <v>14</v>
      </c>
      <c r="H101" s="2" t="s">
        <v>15</v>
      </c>
      <c r="I101" s="2" t="s">
        <v>16</v>
      </c>
      <c r="J101" s="2" t="s">
        <v>17</v>
      </c>
      <c r="K101" s="2" t="s">
        <v>18</v>
      </c>
      <c r="L101" s="2" t="s">
        <v>19</v>
      </c>
      <c r="M101" s="2" t="s">
        <v>20</v>
      </c>
      <c r="N101" s="2" t="s">
        <v>21</v>
      </c>
    </row>
    <row r="102" spans="1:14" x14ac:dyDescent="0.35">
      <c r="A102" s="1" t="str">
        <f>B94</f>
        <v>Coke production (Italy)</v>
      </c>
      <c r="B102" s="1" t="str">
        <f>B95</f>
        <v>Coke</v>
      </c>
      <c r="C102" s="1" t="str">
        <f>B96</f>
        <v>IT</v>
      </c>
      <c r="D102" s="1">
        <v>1</v>
      </c>
      <c r="E102" s="1" t="s">
        <v>8</v>
      </c>
      <c r="F102" s="9" t="str">
        <f>F72</f>
        <v>Iron</v>
      </c>
      <c r="G102" s="1" t="s">
        <v>22</v>
      </c>
    </row>
    <row r="103" spans="1:14" x14ac:dyDescent="0.35">
      <c r="A103" s="1" t="s">
        <v>90</v>
      </c>
      <c r="B103" s="1" t="s">
        <v>91</v>
      </c>
      <c r="C103" s="1" t="s">
        <v>232</v>
      </c>
      <c r="D103" s="1">
        <v>1.32312896540585</v>
      </c>
      <c r="E103" s="1" t="s">
        <v>8</v>
      </c>
      <c r="F103" s="1" t="s">
        <v>27</v>
      </c>
      <c r="G103" s="1" t="s">
        <v>28</v>
      </c>
      <c r="J103" s="1" t="s">
        <v>29</v>
      </c>
    </row>
    <row r="104" spans="1:14" x14ac:dyDescent="0.35">
      <c r="A104" s="1" t="s">
        <v>192</v>
      </c>
      <c r="B104" s="1" t="s">
        <v>193</v>
      </c>
      <c r="C104" s="1" t="s">
        <v>209</v>
      </c>
      <c r="D104" s="1">
        <v>1.678863832313806E-3</v>
      </c>
      <c r="E104" s="1" t="s">
        <v>8</v>
      </c>
      <c r="F104" s="1" t="s">
        <v>27</v>
      </c>
      <c r="G104" s="1" t="s">
        <v>28</v>
      </c>
      <c r="J104" s="1" t="s">
        <v>29</v>
      </c>
    </row>
    <row r="105" spans="1:14" x14ac:dyDescent="0.35">
      <c r="A105" s="1" t="s">
        <v>86</v>
      </c>
      <c r="B105" s="1" t="s">
        <v>87</v>
      </c>
      <c r="C105" s="1" t="s">
        <v>208</v>
      </c>
      <c r="D105" s="1">
        <v>3.8218038459176081E-4</v>
      </c>
      <c r="E105" s="1" t="s">
        <v>8</v>
      </c>
      <c r="F105" s="1" t="s">
        <v>27</v>
      </c>
      <c r="G105" s="1" t="s">
        <v>28</v>
      </c>
      <c r="J105" s="1" t="s">
        <v>29</v>
      </c>
    </row>
    <row r="106" spans="1:14" x14ac:dyDescent="0.35">
      <c r="A106" s="1" t="s">
        <v>49</v>
      </c>
      <c r="B106" s="1" t="s">
        <v>50</v>
      </c>
      <c r="C106" s="1" t="s">
        <v>209</v>
      </c>
      <c r="D106" s="1">
        <v>4.0720410024955468E-4</v>
      </c>
      <c r="E106" s="1" t="s">
        <v>8</v>
      </c>
      <c r="F106" s="1" t="s">
        <v>27</v>
      </c>
      <c r="G106" s="1" t="s">
        <v>28</v>
      </c>
      <c r="J106" s="1" t="s">
        <v>29</v>
      </c>
    </row>
    <row r="107" spans="1:14" x14ac:dyDescent="0.35">
      <c r="A107" s="1" t="s">
        <v>122</v>
      </c>
      <c r="B107" s="1" t="s">
        <v>123</v>
      </c>
      <c r="C107" s="1" t="s">
        <v>209</v>
      </c>
      <c r="D107" s="1">
        <v>7.8690486210795232E-2</v>
      </c>
      <c r="E107" s="1" t="s">
        <v>8</v>
      </c>
      <c r="F107" s="1" t="s">
        <v>27</v>
      </c>
      <c r="G107" s="1" t="s">
        <v>28</v>
      </c>
      <c r="J107" s="1" t="s">
        <v>29</v>
      </c>
    </row>
    <row r="108" spans="1:14" x14ac:dyDescent="0.35">
      <c r="A108" s="1" t="s">
        <v>80</v>
      </c>
      <c r="B108" s="1" t="s">
        <v>34</v>
      </c>
      <c r="C108" s="1" t="s">
        <v>207</v>
      </c>
      <c r="D108" s="1">
        <v>5.0445535882870811E-2</v>
      </c>
      <c r="E108" s="1" t="s">
        <v>35</v>
      </c>
      <c r="F108" s="1" t="s">
        <v>27</v>
      </c>
      <c r="G108" s="1" t="s">
        <v>28</v>
      </c>
      <c r="J108" s="1" t="s">
        <v>29</v>
      </c>
    </row>
    <row r="109" spans="1:14" x14ac:dyDescent="0.35">
      <c r="A109" s="1" t="s">
        <v>198</v>
      </c>
      <c r="B109" s="1" t="s">
        <v>199</v>
      </c>
      <c r="C109" s="1" t="s">
        <v>25</v>
      </c>
      <c r="D109" s="1">
        <v>-3.0883814888200859E-2</v>
      </c>
      <c r="E109" s="1" t="s">
        <v>8</v>
      </c>
      <c r="F109" s="1" t="s">
        <v>27</v>
      </c>
      <c r="G109" s="1" t="s">
        <v>28</v>
      </c>
      <c r="J109" s="1" t="s">
        <v>29</v>
      </c>
    </row>
    <row r="110" spans="1:14" x14ac:dyDescent="0.35">
      <c r="A110" s="1" t="s">
        <v>233</v>
      </c>
      <c r="B110" s="1" t="s">
        <v>234</v>
      </c>
      <c r="C110" s="1" t="s">
        <v>209</v>
      </c>
      <c r="D110" s="1">
        <v>-1.318749815165737E-2</v>
      </c>
      <c r="E110" s="1" t="s">
        <v>8</v>
      </c>
      <c r="F110" s="1" t="s">
        <v>27</v>
      </c>
      <c r="G110" s="1" t="s">
        <v>28</v>
      </c>
      <c r="J110" s="1" t="s">
        <v>29</v>
      </c>
    </row>
    <row r="111" spans="1:14" x14ac:dyDescent="0.35">
      <c r="A111" s="1" t="s">
        <v>75</v>
      </c>
      <c r="D111" s="1">
        <v>1.647948169060223E-4</v>
      </c>
      <c r="E111" s="1" t="s">
        <v>76</v>
      </c>
      <c r="F111" s="1" t="s">
        <v>64</v>
      </c>
      <c r="G111" s="1" t="s">
        <v>65</v>
      </c>
      <c r="H111" s="1" t="s">
        <v>74</v>
      </c>
      <c r="J111" s="1" t="s">
        <v>29</v>
      </c>
    </row>
    <row r="112" spans="1:14" x14ac:dyDescent="0.35">
      <c r="A112" s="1" t="s">
        <v>202</v>
      </c>
      <c r="D112" s="1">
        <v>2.2748832416176239E-6</v>
      </c>
      <c r="E112" s="1" t="s">
        <v>8</v>
      </c>
      <c r="F112" s="1" t="s">
        <v>64</v>
      </c>
      <c r="G112" s="1" t="s">
        <v>65</v>
      </c>
      <c r="H112" s="1" t="s">
        <v>112</v>
      </c>
      <c r="J112" s="1" t="s">
        <v>210</v>
      </c>
    </row>
    <row r="113" spans="1:10" x14ac:dyDescent="0.35">
      <c r="A113" s="1" t="s">
        <v>235</v>
      </c>
      <c r="D113" s="1">
        <v>7.2796263731763966E-5</v>
      </c>
      <c r="E113" s="1" t="s">
        <v>8</v>
      </c>
      <c r="F113" s="1" t="s">
        <v>64</v>
      </c>
      <c r="G113" s="1" t="s">
        <v>65</v>
      </c>
      <c r="H113" s="1" t="s">
        <v>112</v>
      </c>
      <c r="J113" s="1" t="s">
        <v>210</v>
      </c>
    </row>
    <row r="114" spans="1:10" x14ac:dyDescent="0.35">
      <c r="A114" s="1" t="s">
        <v>177</v>
      </c>
      <c r="D114" s="1">
        <v>0.70551636437259857</v>
      </c>
      <c r="E114" s="1" t="s">
        <v>8</v>
      </c>
      <c r="F114" s="1" t="s">
        <v>64</v>
      </c>
      <c r="G114" s="1" t="s">
        <v>65</v>
      </c>
      <c r="H114" s="1" t="s">
        <v>112</v>
      </c>
      <c r="J114" s="1" t="s">
        <v>210</v>
      </c>
    </row>
    <row r="115" spans="1:10" x14ac:dyDescent="0.35">
      <c r="A115" s="1" t="s">
        <v>178</v>
      </c>
      <c r="D115" s="1">
        <v>4.5497664832352482E-5</v>
      </c>
      <c r="E115" s="1" t="s">
        <v>8</v>
      </c>
      <c r="F115" s="1" t="s">
        <v>64</v>
      </c>
      <c r="G115" s="1" t="s">
        <v>65</v>
      </c>
      <c r="H115" s="1" t="s">
        <v>112</v>
      </c>
      <c r="J115" s="1" t="s">
        <v>210</v>
      </c>
    </row>
    <row r="116" spans="1:10" x14ac:dyDescent="0.35">
      <c r="A116" s="1" t="s">
        <v>113</v>
      </c>
      <c r="D116" s="1">
        <v>2.7526087223573252E-4</v>
      </c>
      <c r="E116" s="1" t="s">
        <v>8</v>
      </c>
      <c r="F116" s="1" t="s">
        <v>64</v>
      </c>
      <c r="G116" s="1" t="s">
        <v>65</v>
      </c>
      <c r="H116" s="1" t="s">
        <v>112</v>
      </c>
      <c r="J116" s="1" t="s">
        <v>210</v>
      </c>
    </row>
    <row r="117" spans="1:10" x14ac:dyDescent="0.35">
      <c r="A117" s="1" t="s">
        <v>136</v>
      </c>
      <c r="D117" s="1">
        <v>1.442275975185574E-3</v>
      </c>
      <c r="E117" s="1" t="s">
        <v>8</v>
      </c>
      <c r="F117" s="1" t="s">
        <v>64</v>
      </c>
      <c r="G117" s="1" t="s">
        <v>65</v>
      </c>
      <c r="H117" s="1" t="s">
        <v>112</v>
      </c>
      <c r="J117" s="1" t="s">
        <v>210</v>
      </c>
    </row>
    <row r="118" spans="1:10" x14ac:dyDescent="0.35">
      <c r="A118" s="1" t="s">
        <v>111</v>
      </c>
      <c r="D118" s="1">
        <v>1.860854491643216E-3</v>
      </c>
      <c r="E118" s="1" t="s">
        <v>8</v>
      </c>
      <c r="F118" s="1" t="s">
        <v>64</v>
      </c>
      <c r="G118" s="1" t="s">
        <v>65</v>
      </c>
      <c r="H118" s="1" t="s">
        <v>112</v>
      </c>
      <c r="J118" s="1" t="s">
        <v>210</v>
      </c>
    </row>
    <row r="119" spans="1:10" x14ac:dyDescent="0.35">
      <c r="A119" s="1" t="s">
        <v>236</v>
      </c>
      <c r="D119" s="1">
        <v>2.2748832416176239E-6</v>
      </c>
      <c r="E119" s="1" t="s">
        <v>8</v>
      </c>
      <c r="F119" s="1" t="s">
        <v>64</v>
      </c>
      <c r="G119" s="1" t="s">
        <v>65</v>
      </c>
      <c r="H119" s="1" t="s">
        <v>112</v>
      </c>
      <c r="J119" s="1" t="s">
        <v>210</v>
      </c>
    </row>
    <row r="120" spans="1:10" x14ac:dyDescent="0.35">
      <c r="A120" s="1" t="s">
        <v>212</v>
      </c>
      <c r="D120" s="1">
        <v>1.956399587791157E-4</v>
      </c>
      <c r="E120" s="1" t="s">
        <v>8</v>
      </c>
      <c r="F120" s="1" t="s">
        <v>64</v>
      </c>
      <c r="G120" s="1" t="s">
        <v>65</v>
      </c>
      <c r="H120" s="1" t="s">
        <v>112</v>
      </c>
      <c r="J120" s="1" t="s">
        <v>210</v>
      </c>
    </row>
    <row r="121" spans="1:10" x14ac:dyDescent="0.35">
      <c r="A121" s="1" t="s">
        <v>216</v>
      </c>
      <c r="D121" s="1">
        <v>6.8246497248528718E-6</v>
      </c>
      <c r="E121" s="1" t="s">
        <v>8</v>
      </c>
      <c r="F121" s="1" t="s">
        <v>64</v>
      </c>
      <c r="G121" s="1" t="s">
        <v>65</v>
      </c>
      <c r="H121" s="1" t="s">
        <v>112</v>
      </c>
      <c r="J121" s="1" t="s">
        <v>210</v>
      </c>
    </row>
    <row r="122" spans="1:10" x14ac:dyDescent="0.35">
      <c r="A122" s="1" t="s">
        <v>217</v>
      </c>
      <c r="D122" s="1">
        <v>6.3696730765293469E-14</v>
      </c>
      <c r="E122" s="1" t="s">
        <v>8</v>
      </c>
      <c r="F122" s="1" t="s">
        <v>64</v>
      </c>
      <c r="G122" s="1" t="s">
        <v>65</v>
      </c>
      <c r="H122" s="1" t="s">
        <v>112</v>
      </c>
      <c r="J122" s="1" t="s">
        <v>210</v>
      </c>
    </row>
    <row r="123" spans="1:10" x14ac:dyDescent="0.35">
      <c r="A123" s="1" t="s">
        <v>237</v>
      </c>
      <c r="D123" s="1">
        <v>8.4170679939852082E-8</v>
      </c>
      <c r="E123" s="1" t="s">
        <v>8</v>
      </c>
      <c r="F123" s="1" t="s">
        <v>64</v>
      </c>
      <c r="G123" s="1" t="s">
        <v>65</v>
      </c>
      <c r="H123" s="1" t="s">
        <v>112</v>
      </c>
      <c r="J123" s="1" t="s">
        <v>210</v>
      </c>
    </row>
    <row r="124" spans="1:10" x14ac:dyDescent="0.35">
      <c r="A124" s="1" t="s">
        <v>226</v>
      </c>
      <c r="D124" s="1">
        <v>3.6170643541720218E-4</v>
      </c>
      <c r="E124" s="1" t="s">
        <v>8</v>
      </c>
      <c r="F124" s="1" t="s">
        <v>64</v>
      </c>
      <c r="G124" s="1" t="s">
        <v>65</v>
      </c>
      <c r="H124" s="1" t="s">
        <v>227</v>
      </c>
      <c r="J124" s="1" t="s">
        <v>210</v>
      </c>
    </row>
    <row r="125" spans="1:10" x14ac:dyDescent="0.35">
      <c r="A125" s="1" t="s">
        <v>228</v>
      </c>
      <c r="D125" s="1">
        <v>1.182939285641164E-4</v>
      </c>
      <c r="E125" s="1" t="s">
        <v>8</v>
      </c>
      <c r="F125" s="1" t="s">
        <v>64</v>
      </c>
      <c r="G125" s="1" t="s">
        <v>65</v>
      </c>
      <c r="H125" s="1" t="s">
        <v>227</v>
      </c>
      <c r="J125" s="1" t="s">
        <v>210</v>
      </c>
    </row>
    <row r="126" spans="1:10" x14ac:dyDescent="0.35">
      <c r="A126" s="1" t="s">
        <v>238</v>
      </c>
      <c r="D126" s="1">
        <v>1.2284369504735171E-4</v>
      </c>
      <c r="E126" s="1" t="s">
        <v>8</v>
      </c>
      <c r="F126" s="1" t="s">
        <v>64</v>
      </c>
      <c r="G126" s="1" t="s">
        <v>65</v>
      </c>
      <c r="H126" s="1" t="s">
        <v>227</v>
      </c>
      <c r="J126" s="1" t="s">
        <v>210</v>
      </c>
    </row>
    <row r="127" spans="1:10" x14ac:dyDescent="0.35">
      <c r="A127" s="1" t="s">
        <v>239</v>
      </c>
      <c r="D127" s="1">
        <v>4.5497664832352478E-6</v>
      </c>
      <c r="E127" s="1" t="s">
        <v>8</v>
      </c>
      <c r="F127" s="1" t="s">
        <v>64</v>
      </c>
      <c r="G127" s="1" t="s">
        <v>65</v>
      </c>
      <c r="H127" s="1" t="s">
        <v>227</v>
      </c>
      <c r="J127" s="1" t="s">
        <v>210</v>
      </c>
    </row>
    <row r="128" spans="1:10" s="10" customFormat="1" x14ac:dyDescent="0.35"/>
    <row r="129" spans="1:14" x14ac:dyDescent="0.35">
      <c r="A129" s="2" t="s">
        <v>0</v>
      </c>
      <c r="B129" s="2" t="s">
        <v>240</v>
      </c>
    </row>
    <row r="130" spans="1:14" x14ac:dyDescent="0.35">
      <c r="A130" s="3" t="s">
        <v>2</v>
      </c>
      <c r="B130" s="1" t="s">
        <v>138</v>
      </c>
    </row>
    <row r="131" spans="1:14" x14ac:dyDescent="0.35">
      <c r="A131" s="3" t="s">
        <v>4</v>
      </c>
      <c r="B131" s="1" t="s">
        <v>207</v>
      </c>
    </row>
    <row r="132" spans="1:14" x14ac:dyDescent="0.35">
      <c r="A132" s="3" t="s">
        <v>6</v>
      </c>
      <c r="B132" s="1">
        <v>1</v>
      </c>
    </row>
    <row r="133" spans="1:14" x14ac:dyDescent="0.35">
      <c r="A133" s="3" t="s">
        <v>7</v>
      </c>
      <c r="B133" s="1" t="s">
        <v>8</v>
      </c>
    </row>
    <row r="134" spans="1:14" x14ac:dyDescent="0.35">
      <c r="A134" s="3" t="s">
        <v>9</v>
      </c>
      <c r="B134" s="1" t="s">
        <v>10</v>
      </c>
    </row>
    <row r="135" spans="1:14" x14ac:dyDescent="0.35">
      <c r="A135" s="3" t="s">
        <v>11</v>
      </c>
    </row>
    <row r="136" spans="1:14" x14ac:dyDescent="0.35">
      <c r="A136" s="2" t="s">
        <v>12</v>
      </c>
      <c r="B136" s="2" t="s">
        <v>2</v>
      </c>
      <c r="C136" s="2" t="s">
        <v>4</v>
      </c>
      <c r="D136" s="2" t="s">
        <v>6</v>
      </c>
      <c r="E136" s="2" t="s">
        <v>7</v>
      </c>
      <c r="F136" s="2" t="s">
        <v>13</v>
      </c>
      <c r="G136" s="2" t="s">
        <v>14</v>
      </c>
      <c r="H136" s="2" t="s">
        <v>15</v>
      </c>
      <c r="I136" s="2" t="s">
        <v>16</v>
      </c>
      <c r="J136" s="2" t="s">
        <v>17</v>
      </c>
      <c r="K136" s="2" t="s">
        <v>18</v>
      </c>
      <c r="L136" s="2" t="s">
        <v>19</v>
      </c>
      <c r="M136" s="2" t="s">
        <v>20</v>
      </c>
      <c r="N136" s="2" t="s">
        <v>21</v>
      </c>
    </row>
    <row r="137" spans="1:14" x14ac:dyDescent="0.35">
      <c r="A137" s="1" t="str">
        <f>B129</f>
        <v>Steel production in Italy</v>
      </c>
      <c r="B137" s="1" t="str">
        <f>B130</f>
        <v>Steel</v>
      </c>
      <c r="C137" s="1" t="str">
        <f>B131</f>
        <v>IT</v>
      </c>
      <c r="D137" s="1">
        <v>1</v>
      </c>
      <c r="E137" s="1" t="s">
        <v>8</v>
      </c>
      <c r="F137" s="9" t="str">
        <f>F102</f>
        <v>Iron</v>
      </c>
      <c r="G137" s="1" t="s">
        <v>22</v>
      </c>
    </row>
    <row r="138" spans="1:14" x14ac:dyDescent="0.35">
      <c r="A138" s="1" t="str">
        <f>A72</f>
        <v>[R] Steel production - Basic oxygen furnace (Italy)</v>
      </c>
      <c r="B138" s="1" t="str">
        <f>B72</f>
        <v>Steel</v>
      </c>
      <c r="C138" s="1" t="str">
        <f>C72</f>
        <v>IT</v>
      </c>
      <c r="D138" s="1">
        <v>1</v>
      </c>
      <c r="E138" s="1" t="str">
        <f>E72</f>
        <v>kilogram</v>
      </c>
      <c r="F138" s="9" t="str">
        <f>F72</f>
        <v>Iron</v>
      </c>
      <c r="G138" s="1" t="s">
        <v>28</v>
      </c>
    </row>
    <row r="139" spans="1:14" x14ac:dyDescent="0.35">
      <c r="A139" s="1" t="str">
        <f>A41</f>
        <v>[R] Pig iron production - Blast Furnace</v>
      </c>
      <c r="B139" s="1" t="str">
        <f t="shared" ref="B139:F139" si="4">B41</f>
        <v>Pig iron</v>
      </c>
      <c r="C139" s="1" t="str">
        <f t="shared" si="4"/>
        <v>IT</v>
      </c>
      <c r="D139" s="1">
        <v>0.99108499999999999</v>
      </c>
      <c r="E139" s="1" t="str">
        <f t="shared" si="4"/>
        <v>kilogram</v>
      </c>
      <c r="F139" s="9" t="str">
        <f t="shared" si="4"/>
        <v>Iron</v>
      </c>
      <c r="G139" s="1" t="s">
        <v>28</v>
      </c>
    </row>
    <row r="140" spans="1:14" x14ac:dyDescent="0.35">
      <c r="A140" s="1" t="str">
        <f>A9</f>
        <v>[P] Sintering (Italy)</v>
      </c>
      <c r="B140" s="1" t="str">
        <f t="shared" ref="B140:F140" si="5">B9</f>
        <v>Iron (Fe) sinter</v>
      </c>
      <c r="C140" s="1" t="str">
        <f t="shared" si="5"/>
        <v>IT</v>
      </c>
      <c r="D140" s="1">
        <v>1.162792</v>
      </c>
      <c r="E140" s="1" t="str">
        <f t="shared" si="5"/>
        <v>kilogram</v>
      </c>
      <c r="F140" s="9" t="str">
        <f t="shared" si="5"/>
        <v>Iron</v>
      </c>
      <c r="G140" s="1" t="s">
        <v>28</v>
      </c>
    </row>
    <row r="141" spans="1:14" x14ac:dyDescent="0.35">
      <c r="A141" s="1" t="str">
        <f>FeMine_Market_GLO!A82</f>
        <v>Iron ore mining and concentration - Global market</v>
      </c>
      <c r="B141" s="1" t="str">
        <f>FeMine_Market_GLO!B82</f>
        <v>Fe concentrate</v>
      </c>
      <c r="C141" s="1" t="str">
        <f>FeMine_Market_GLO!C82</f>
        <v>GLO</v>
      </c>
      <c r="D141" s="1">
        <v>1.0465260000000001</v>
      </c>
      <c r="E141" s="1" t="str">
        <f>FeMine_Market_GLO!E82</f>
        <v>kilogram</v>
      </c>
      <c r="F141" s="9" t="str">
        <f>FeMine_Market_GLO!F82</f>
        <v>Iron</v>
      </c>
      <c r="G141" s="1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39997558519241921"/>
  </sheetPr>
  <dimension ref="A1:N36"/>
  <sheetViews>
    <sheetView topLeftCell="A22" workbookViewId="0">
      <selection activeCell="E51" sqref="E51"/>
    </sheetView>
  </sheetViews>
  <sheetFormatPr baseColWidth="10" defaultColWidth="9.1796875" defaultRowHeight="14.5" x14ac:dyDescent="0.35"/>
  <cols>
    <col min="1" max="1" width="38.1796875" style="1" bestFit="1" customWidth="1"/>
    <col min="2" max="2" width="31" style="1" bestFit="1" customWidth="1"/>
    <col min="3" max="3" width="8.1796875" style="1" bestFit="1" customWidth="1"/>
    <col min="4" max="4" width="12" style="1" bestFit="1" customWidth="1"/>
    <col min="5" max="5" width="12.81640625" style="1" bestFit="1" customWidth="1"/>
    <col min="6" max="6" width="19.7265625" style="1" bestFit="1" customWidth="1"/>
    <col min="7" max="7" width="13.26953125" style="1" bestFit="1" customWidth="1"/>
    <col min="8" max="8" width="34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276</v>
      </c>
    </row>
    <row r="2" spans="1:14" x14ac:dyDescent="0.35">
      <c r="A2" s="3" t="s">
        <v>2</v>
      </c>
      <c r="B2" s="1" t="s">
        <v>138</v>
      </c>
    </row>
    <row r="3" spans="1:14" x14ac:dyDescent="0.35">
      <c r="A3" s="3" t="s">
        <v>4</v>
      </c>
      <c r="B3" s="1" t="s">
        <v>277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[R] Crude steel production (India)</v>
      </c>
      <c r="B9" s="1" t="str">
        <f>B2</f>
        <v>Steel</v>
      </c>
      <c r="C9" s="1" t="str">
        <f>B3</f>
        <v>IN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93</v>
      </c>
      <c r="B10" s="1" t="s">
        <v>94</v>
      </c>
      <c r="C10" s="1" t="s">
        <v>40</v>
      </c>
      <c r="D10" s="1">
        <v>9.4700000000000006E-11</v>
      </c>
      <c r="E10" s="1" t="s">
        <v>8</v>
      </c>
      <c r="F10" s="1" t="s">
        <v>27</v>
      </c>
      <c r="G10" s="1" t="s">
        <v>28</v>
      </c>
      <c r="J10" s="1" t="s">
        <v>255</v>
      </c>
    </row>
    <row r="11" spans="1:14" x14ac:dyDescent="0.35">
      <c r="A11" s="1" t="s">
        <v>278</v>
      </c>
      <c r="B11" s="1" t="s">
        <v>279</v>
      </c>
      <c r="C11" s="1" t="s">
        <v>277</v>
      </c>
      <c r="D11" s="1">
        <v>0.41099999999999998</v>
      </c>
      <c r="E11" s="1" t="s">
        <v>35</v>
      </c>
      <c r="F11" s="1" t="s">
        <v>27</v>
      </c>
      <c r="G11" s="1" t="s">
        <v>28</v>
      </c>
      <c r="J11" s="1" t="s">
        <v>255</v>
      </c>
    </row>
    <row r="12" spans="1:14" x14ac:dyDescent="0.35">
      <c r="A12" s="1" t="s">
        <v>155</v>
      </c>
      <c r="B12" s="1" t="s">
        <v>156</v>
      </c>
      <c r="C12" s="1" t="s">
        <v>25</v>
      </c>
      <c r="D12" s="1">
        <v>1.7899999999999999E-3</v>
      </c>
      <c r="E12" s="1" t="s">
        <v>8</v>
      </c>
      <c r="F12" s="1" t="s">
        <v>27</v>
      </c>
      <c r="G12" s="1" t="s">
        <v>28</v>
      </c>
      <c r="J12" s="1" t="s">
        <v>255</v>
      </c>
    </row>
    <row r="13" spans="1:14" x14ac:dyDescent="0.35">
      <c r="A13" s="1" t="s">
        <v>280</v>
      </c>
      <c r="B13" s="1" t="s">
        <v>281</v>
      </c>
      <c r="C13" s="1" t="s">
        <v>25</v>
      </c>
      <c r="D13" s="1">
        <v>8.7400000000000005E-2</v>
      </c>
      <c r="E13" s="1" t="s">
        <v>8</v>
      </c>
      <c r="F13" s="1" t="s">
        <v>27</v>
      </c>
      <c r="G13" s="1" t="s">
        <v>28</v>
      </c>
      <c r="J13" s="1" t="s">
        <v>255</v>
      </c>
    </row>
    <row r="14" spans="1:14" x14ac:dyDescent="0.35">
      <c r="A14" s="1" t="s">
        <v>116</v>
      </c>
      <c r="B14" s="1" t="s">
        <v>117</v>
      </c>
      <c r="C14" s="1" t="s">
        <v>40</v>
      </c>
      <c r="D14" s="1">
        <v>5.094736842105263E-3</v>
      </c>
      <c r="E14" s="1" t="s">
        <v>76</v>
      </c>
      <c r="F14" s="1" t="s">
        <v>27</v>
      </c>
      <c r="G14" s="1" t="s">
        <v>28</v>
      </c>
      <c r="J14" s="1" t="s">
        <v>255</v>
      </c>
    </row>
    <row r="15" spans="1:14" x14ac:dyDescent="0.35">
      <c r="A15" s="1" t="s">
        <v>177</v>
      </c>
      <c r="D15" s="1">
        <v>2</v>
      </c>
      <c r="E15" s="1" t="s">
        <v>8</v>
      </c>
      <c r="F15" s="1" t="s">
        <v>64</v>
      </c>
      <c r="G15" s="1" t="s">
        <v>65</v>
      </c>
      <c r="H15" s="1" t="s">
        <v>112</v>
      </c>
      <c r="J15" s="1" t="s">
        <v>255</v>
      </c>
    </row>
    <row r="16" spans="1:14" x14ac:dyDescent="0.35">
      <c r="A16" s="1" t="s">
        <v>271</v>
      </c>
      <c r="D16" s="1">
        <v>7.26E-3</v>
      </c>
      <c r="E16" s="1" t="s">
        <v>8</v>
      </c>
      <c r="F16" s="1" t="s">
        <v>64</v>
      </c>
      <c r="G16" s="1" t="s">
        <v>65</v>
      </c>
      <c r="H16" s="1" t="s">
        <v>272</v>
      </c>
      <c r="J16" s="1" t="s">
        <v>255</v>
      </c>
    </row>
    <row r="17" spans="1:10" x14ac:dyDescent="0.35">
      <c r="A17" s="1" t="s">
        <v>202</v>
      </c>
      <c r="D17" s="1">
        <v>6.9499999999999996E-3</v>
      </c>
      <c r="E17" s="1" t="s">
        <v>8</v>
      </c>
      <c r="F17" s="1" t="s">
        <v>64</v>
      </c>
      <c r="G17" s="1" t="s">
        <v>65</v>
      </c>
      <c r="H17" s="1" t="s">
        <v>112</v>
      </c>
      <c r="J17" s="1" t="s">
        <v>255</v>
      </c>
    </row>
    <row r="18" spans="1:10" x14ac:dyDescent="0.35">
      <c r="A18" s="1" t="s">
        <v>282</v>
      </c>
      <c r="D18" s="1">
        <v>9.05E-9</v>
      </c>
      <c r="E18" s="1" t="s">
        <v>8</v>
      </c>
      <c r="F18" s="1" t="s">
        <v>64</v>
      </c>
      <c r="G18" s="1" t="s">
        <v>65</v>
      </c>
      <c r="H18" s="1" t="s">
        <v>227</v>
      </c>
      <c r="J18" s="1" t="s">
        <v>255</v>
      </c>
    </row>
    <row r="19" spans="1:10" x14ac:dyDescent="0.35">
      <c r="A19" s="1" t="s">
        <v>228</v>
      </c>
      <c r="D19" s="1">
        <v>1.9999999999999999E-7</v>
      </c>
      <c r="E19" s="1" t="s">
        <v>8</v>
      </c>
      <c r="F19" s="1" t="s">
        <v>64</v>
      </c>
      <c r="G19" s="1" t="s">
        <v>65</v>
      </c>
      <c r="H19" s="1" t="s">
        <v>112</v>
      </c>
      <c r="J19" s="1" t="s">
        <v>255</v>
      </c>
    </row>
    <row r="20" spans="1:10" x14ac:dyDescent="0.35">
      <c r="A20" s="1" t="s">
        <v>226</v>
      </c>
      <c r="D20" s="1">
        <v>3.0499999999999999E-7</v>
      </c>
      <c r="E20" s="1" t="s">
        <v>8</v>
      </c>
      <c r="F20" s="1" t="s">
        <v>64</v>
      </c>
      <c r="G20" s="1" t="s">
        <v>65</v>
      </c>
      <c r="H20" s="1" t="s">
        <v>227</v>
      </c>
      <c r="J20" s="1" t="s">
        <v>255</v>
      </c>
    </row>
    <row r="21" spans="1:10" x14ac:dyDescent="0.35">
      <c r="A21" s="1" t="s">
        <v>136</v>
      </c>
      <c r="D21" s="1">
        <v>4.2099999999999999E-4</v>
      </c>
      <c r="E21" s="1" t="s">
        <v>8</v>
      </c>
      <c r="F21" s="1" t="s">
        <v>64</v>
      </c>
      <c r="G21" s="1" t="s">
        <v>65</v>
      </c>
      <c r="H21" s="1" t="s">
        <v>112</v>
      </c>
      <c r="J21" s="1" t="s">
        <v>255</v>
      </c>
    </row>
    <row r="22" spans="1:10" x14ac:dyDescent="0.35">
      <c r="A22" s="1" t="s">
        <v>111</v>
      </c>
      <c r="D22" s="1">
        <v>2.9499999999999999E-3</v>
      </c>
      <c r="E22" s="1" t="s">
        <v>8</v>
      </c>
      <c r="F22" s="1" t="s">
        <v>64</v>
      </c>
      <c r="G22" s="1" t="s">
        <v>65</v>
      </c>
      <c r="H22" s="1" t="s">
        <v>112</v>
      </c>
      <c r="J22" s="1" t="s">
        <v>255</v>
      </c>
    </row>
    <row r="23" spans="1:10" x14ac:dyDescent="0.35">
      <c r="A23" s="1" t="s">
        <v>136</v>
      </c>
      <c r="D23" s="1">
        <v>1.0000000000000001E-5</v>
      </c>
      <c r="E23" s="1" t="s">
        <v>8</v>
      </c>
      <c r="F23" s="1" t="s">
        <v>64</v>
      </c>
      <c r="G23" s="1" t="s">
        <v>65</v>
      </c>
      <c r="H23" s="1" t="s">
        <v>112</v>
      </c>
      <c r="J23" s="1" t="s">
        <v>255</v>
      </c>
    </row>
    <row r="24" spans="1:10" x14ac:dyDescent="0.35">
      <c r="A24" s="1" t="s">
        <v>283</v>
      </c>
      <c r="D24" s="1">
        <v>5.0500000000000002E-8</v>
      </c>
      <c r="E24" s="1" t="s">
        <v>8</v>
      </c>
      <c r="F24" s="1" t="s">
        <v>64</v>
      </c>
      <c r="G24" s="1" t="s">
        <v>65</v>
      </c>
      <c r="H24" s="1" t="s">
        <v>227</v>
      </c>
      <c r="J24" s="1" t="s">
        <v>255</v>
      </c>
    </row>
    <row r="25" spans="1:10" s="10" customFormat="1" x14ac:dyDescent="0.35"/>
    <row r="26" spans="1:10" x14ac:dyDescent="0.35">
      <c r="A26" s="2" t="s">
        <v>0</v>
      </c>
      <c r="B26" s="2" t="s">
        <v>284</v>
      </c>
    </row>
    <row r="27" spans="1:10" x14ac:dyDescent="0.35">
      <c r="A27" s="3" t="s">
        <v>2</v>
      </c>
      <c r="B27" s="1" t="s">
        <v>138</v>
      </c>
    </row>
    <row r="28" spans="1:10" x14ac:dyDescent="0.35">
      <c r="A28" s="3" t="s">
        <v>4</v>
      </c>
      <c r="B28" s="1" t="s">
        <v>277</v>
      </c>
    </row>
    <row r="29" spans="1:10" x14ac:dyDescent="0.35">
      <c r="A29" s="3" t="s">
        <v>6</v>
      </c>
      <c r="B29" s="1">
        <v>1</v>
      </c>
    </row>
    <row r="30" spans="1:10" x14ac:dyDescent="0.35">
      <c r="A30" s="3" t="s">
        <v>7</v>
      </c>
      <c r="B30" s="1" t="s">
        <v>8</v>
      </c>
    </row>
    <row r="31" spans="1:10" x14ac:dyDescent="0.35">
      <c r="A31" s="3" t="s">
        <v>9</v>
      </c>
      <c r="B31" s="1" t="s">
        <v>10</v>
      </c>
    </row>
    <row r="32" spans="1:10" x14ac:dyDescent="0.35">
      <c r="A32" s="3" t="s">
        <v>11</v>
      </c>
    </row>
    <row r="33" spans="1:14" x14ac:dyDescent="0.35">
      <c r="A33" s="2" t="s">
        <v>12</v>
      </c>
      <c r="B33" s="2" t="s">
        <v>2</v>
      </c>
      <c r="C33" s="2" t="s">
        <v>4</v>
      </c>
      <c r="D33" s="2" t="s">
        <v>6</v>
      </c>
      <c r="E33" s="2" t="s">
        <v>7</v>
      </c>
      <c r="F33" s="2" t="s">
        <v>13</v>
      </c>
      <c r="G33" s="2" t="s">
        <v>14</v>
      </c>
      <c r="H33" s="2" t="s">
        <v>15</v>
      </c>
      <c r="I33" s="2" t="s">
        <v>16</v>
      </c>
      <c r="J33" s="2" t="s">
        <v>17</v>
      </c>
      <c r="K33" s="2" t="s">
        <v>18</v>
      </c>
      <c r="L33" s="2" t="s">
        <v>19</v>
      </c>
      <c r="M33" s="2" t="s">
        <v>20</v>
      </c>
      <c r="N33" s="2" t="s">
        <v>21</v>
      </c>
    </row>
    <row r="34" spans="1:14" x14ac:dyDescent="0.35">
      <c r="A34" s="1" t="str">
        <f>B26</f>
        <v>Steel production in India</v>
      </c>
      <c r="B34" s="1" t="str">
        <f>B27</f>
        <v>Steel</v>
      </c>
      <c r="C34" s="1" t="str">
        <f>B28</f>
        <v>IN</v>
      </c>
      <c r="D34" s="1">
        <v>1</v>
      </c>
      <c r="E34" s="1" t="s">
        <v>8</v>
      </c>
      <c r="F34" s="9" t="str">
        <f>F9</f>
        <v>Iron</v>
      </c>
      <c r="G34" s="1" t="s">
        <v>22</v>
      </c>
    </row>
    <row r="35" spans="1:14" x14ac:dyDescent="0.35">
      <c r="A35" s="1" t="str">
        <f>A9</f>
        <v>[R] Crude steel production (India)</v>
      </c>
      <c r="B35" s="1" t="str">
        <f>B9</f>
        <v>Steel</v>
      </c>
      <c r="C35" s="1" t="str">
        <f>C9</f>
        <v>IN</v>
      </c>
      <c r="D35" s="1">
        <v>1</v>
      </c>
      <c r="E35" s="1" t="str">
        <f>E9</f>
        <v>kilogram</v>
      </c>
      <c r="F35" s="9" t="str">
        <f>F9</f>
        <v>Iron</v>
      </c>
      <c r="G35" s="1" t="s">
        <v>28</v>
      </c>
    </row>
    <row r="36" spans="1:14" x14ac:dyDescent="0.35">
      <c r="A36" s="1" t="s">
        <v>139</v>
      </c>
      <c r="B36" s="1" t="s">
        <v>140</v>
      </c>
      <c r="C36" s="1" t="s">
        <v>40</v>
      </c>
      <c r="D36" s="1">
        <v>1</v>
      </c>
      <c r="E36" s="1" t="s">
        <v>8</v>
      </c>
      <c r="F36" s="1" t="s">
        <v>27</v>
      </c>
      <c r="G36" s="1" t="s">
        <v>28</v>
      </c>
      <c r="J36" s="1" t="s">
        <v>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39997558519241921"/>
  </sheetPr>
  <dimension ref="A1:N43"/>
  <sheetViews>
    <sheetView topLeftCell="A31" workbookViewId="0">
      <selection activeCell="F43" sqref="F43"/>
    </sheetView>
  </sheetViews>
  <sheetFormatPr baseColWidth="10" defaultColWidth="9.1796875" defaultRowHeight="14.5" x14ac:dyDescent="0.35"/>
  <cols>
    <col min="1" max="1" width="36.7265625" style="1" bestFit="1" customWidth="1"/>
    <col min="2" max="2" width="34.81640625" style="1" bestFit="1" customWidth="1"/>
    <col min="3" max="3" width="25.81640625" style="1" bestFit="1" customWidth="1"/>
    <col min="4" max="4" width="12" style="1" bestFit="1" customWidth="1"/>
    <col min="5" max="5" width="12.81640625" style="1" bestFit="1" customWidth="1"/>
    <col min="6" max="6" width="19.7265625" style="1" bestFit="1" customWidth="1"/>
    <col min="7" max="7" width="13.26953125" style="1" bestFit="1" customWidth="1"/>
    <col min="8" max="8" width="10.1796875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285</v>
      </c>
    </row>
    <row r="2" spans="1:14" x14ac:dyDescent="0.35">
      <c r="A2" s="3" t="s">
        <v>2</v>
      </c>
      <c r="B2" s="1" t="s">
        <v>138</v>
      </c>
    </row>
    <row r="3" spans="1:14" x14ac:dyDescent="0.35">
      <c r="A3" s="3" t="s">
        <v>4</v>
      </c>
      <c r="B3" s="1" t="s">
        <v>286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[R] Crude steel production (Germany)</v>
      </c>
      <c r="B9" s="1" t="str">
        <f>B2</f>
        <v>Steel</v>
      </c>
      <c r="C9" s="1" t="str">
        <f>B3</f>
        <v>DE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88</v>
      </c>
      <c r="B10" s="1" t="s">
        <v>89</v>
      </c>
      <c r="C10" s="1" t="s">
        <v>286</v>
      </c>
      <c r="D10" s="1">
        <v>1.113300492610837E-4</v>
      </c>
      <c r="E10" s="1" t="s">
        <v>76</v>
      </c>
      <c r="F10" s="1" t="s">
        <v>27</v>
      </c>
      <c r="G10" s="1" t="s">
        <v>28</v>
      </c>
      <c r="J10" s="1" t="s">
        <v>287</v>
      </c>
    </row>
    <row r="11" spans="1:14" x14ac:dyDescent="0.35">
      <c r="A11" s="1" t="s">
        <v>288</v>
      </c>
      <c r="B11" s="1" t="s">
        <v>279</v>
      </c>
      <c r="C11" s="1" t="s">
        <v>286</v>
      </c>
      <c r="D11" s="1">
        <v>0.42899999999999999</v>
      </c>
      <c r="E11" s="1" t="s">
        <v>35</v>
      </c>
      <c r="F11" s="1" t="s">
        <v>27</v>
      </c>
      <c r="G11" s="1" t="s">
        <v>28</v>
      </c>
      <c r="J11" s="1" t="s">
        <v>287</v>
      </c>
    </row>
    <row r="12" spans="1:14" x14ac:dyDescent="0.35">
      <c r="A12" s="1" t="s">
        <v>155</v>
      </c>
      <c r="B12" s="1" t="s">
        <v>156</v>
      </c>
      <c r="C12" s="1" t="s">
        <v>25</v>
      </c>
      <c r="D12" s="1">
        <v>2.2100000000000002E-3</v>
      </c>
      <c r="E12" s="1" t="s">
        <v>8</v>
      </c>
      <c r="F12" s="1" t="s">
        <v>27</v>
      </c>
      <c r="G12" s="1" t="s">
        <v>28</v>
      </c>
      <c r="J12" s="1" t="s">
        <v>287</v>
      </c>
    </row>
    <row r="13" spans="1:14" x14ac:dyDescent="0.35">
      <c r="A13" s="1" t="s">
        <v>289</v>
      </c>
      <c r="B13" s="1" t="s">
        <v>290</v>
      </c>
      <c r="C13" s="1" t="s">
        <v>25</v>
      </c>
      <c r="D13" s="1">
        <v>2.2399999999999998E-3</v>
      </c>
      <c r="E13" s="1" t="s">
        <v>8</v>
      </c>
      <c r="F13" s="1" t="s">
        <v>27</v>
      </c>
      <c r="G13" s="1" t="s">
        <v>28</v>
      </c>
      <c r="J13" s="1" t="s">
        <v>287</v>
      </c>
    </row>
    <row r="14" spans="1:14" x14ac:dyDescent="0.35">
      <c r="A14" s="1" t="s">
        <v>101</v>
      </c>
      <c r="B14" s="1" t="s">
        <v>102</v>
      </c>
      <c r="C14" s="1" t="s">
        <v>209</v>
      </c>
      <c r="D14" s="1">
        <v>4.5199999999999997E-2</v>
      </c>
      <c r="E14" s="1" t="s">
        <v>8</v>
      </c>
      <c r="F14" s="1" t="s">
        <v>27</v>
      </c>
      <c r="G14" s="1" t="s">
        <v>28</v>
      </c>
      <c r="J14" s="1" t="s">
        <v>287</v>
      </c>
    </row>
    <row r="15" spans="1:14" x14ac:dyDescent="0.35">
      <c r="A15" s="1" t="s">
        <v>291</v>
      </c>
      <c r="B15" s="1" t="s">
        <v>292</v>
      </c>
      <c r="C15" s="1" t="s">
        <v>25</v>
      </c>
      <c r="D15" s="1">
        <v>5.9499999999999997E-2</v>
      </c>
      <c r="E15" s="1" t="s">
        <v>8</v>
      </c>
      <c r="F15" s="1" t="s">
        <v>27</v>
      </c>
      <c r="G15" s="1" t="s">
        <v>28</v>
      </c>
      <c r="J15" s="1" t="s">
        <v>287</v>
      </c>
    </row>
    <row r="16" spans="1:14" x14ac:dyDescent="0.35">
      <c r="A16" s="1" t="s">
        <v>187</v>
      </c>
      <c r="B16" s="1" t="s">
        <v>188</v>
      </c>
      <c r="C16" s="1" t="s">
        <v>209</v>
      </c>
      <c r="D16" s="1">
        <v>-7.3800000000000003E-3</v>
      </c>
      <c r="E16" s="1" t="s">
        <v>8</v>
      </c>
      <c r="F16" s="1" t="s">
        <v>27</v>
      </c>
      <c r="G16" s="1" t="s">
        <v>28</v>
      </c>
      <c r="J16" s="1" t="s">
        <v>287</v>
      </c>
    </row>
    <row r="17" spans="1:10" x14ac:dyDescent="0.35">
      <c r="A17" s="1" t="s">
        <v>187</v>
      </c>
      <c r="B17" s="1" t="s">
        <v>188</v>
      </c>
      <c r="C17" s="1" t="s">
        <v>209</v>
      </c>
      <c r="D17" s="1">
        <v>-0.193</v>
      </c>
      <c r="E17" s="1" t="s">
        <v>8</v>
      </c>
      <c r="F17" s="1" t="s">
        <v>27</v>
      </c>
      <c r="G17" s="1" t="s">
        <v>28</v>
      </c>
      <c r="J17" s="1" t="s">
        <v>287</v>
      </c>
    </row>
    <row r="18" spans="1:10" x14ac:dyDescent="0.35">
      <c r="A18" s="1" t="s">
        <v>126</v>
      </c>
      <c r="B18" s="1" t="s">
        <v>127</v>
      </c>
      <c r="C18" s="1" t="s">
        <v>208</v>
      </c>
      <c r="D18" s="1">
        <v>-8.8100000000000001E-3</v>
      </c>
      <c r="E18" s="1" t="s">
        <v>8</v>
      </c>
      <c r="F18" s="1" t="s">
        <v>27</v>
      </c>
      <c r="G18" s="1" t="s">
        <v>28</v>
      </c>
      <c r="J18" s="1" t="s">
        <v>287</v>
      </c>
    </row>
    <row r="19" spans="1:10" x14ac:dyDescent="0.35">
      <c r="A19" s="1" t="s">
        <v>163</v>
      </c>
      <c r="B19" s="1" t="s">
        <v>164</v>
      </c>
      <c r="C19" s="1" t="s">
        <v>209</v>
      </c>
      <c r="D19" s="1">
        <v>-8.0999999999999996E-3</v>
      </c>
      <c r="E19" s="1" t="s">
        <v>8</v>
      </c>
      <c r="F19" s="1" t="s">
        <v>27</v>
      </c>
      <c r="G19" s="1" t="s">
        <v>28</v>
      </c>
      <c r="J19" s="1" t="s">
        <v>287</v>
      </c>
    </row>
    <row r="20" spans="1:10" x14ac:dyDescent="0.35">
      <c r="A20" s="1" t="s">
        <v>134</v>
      </c>
      <c r="B20" s="1" t="s">
        <v>135</v>
      </c>
      <c r="C20" s="1" t="s">
        <v>208</v>
      </c>
      <c r="D20" s="1">
        <v>-5.4800000000000009E-4</v>
      </c>
      <c r="E20" s="1" t="s">
        <v>76</v>
      </c>
      <c r="F20" s="1" t="s">
        <v>27</v>
      </c>
      <c r="G20" s="1" t="s">
        <v>28</v>
      </c>
      <c r="J20" s="1" t="s">
        <v>287</v>
      </c>
    </row>
    <row r="21" spans="1:10" x14ac:dyDescent="0.35">
      <c r="A21" s="1" t="s">
        <v>177</v>
      </c>
      <c r="D21" s="1">
        <v>0.26200000000000001</v>
      </c>
      <c r="E21" s="1" t="s">
        <v>8</v>
      </c>
      <c r="F21" s="1" t="s">
        <v>64</v>
      </c>
      <c r="G21" s="1" t="s">
        <v>65</v>
      </c>
      <c r="H21" s="1" t="s">
        <v>112</v>
      </c>
      <c r="J21" s="1" t="s">
        <v>287</v>
      </c>
    </row>
    <row r="22" spans="1:10" x14ac:dyDescent="0.35">
      <c r="A22" s="1" t="s">
        <v>178</v>
      </c>
      <c r="D22" s="1">
        <v>2.6199999999999999E-3</v>
      </c>
      <c r="E22" s="1" t="s">
        <v>8</v>
      </c>
      <c r="F22" s="1" t="s">
        <v>64</v>
      </c>
      <c r="G22" s="1" t="s">
        <v>65</v>
      </c>
      <c r="H22" s="1" t="s">
        <v>112</v>
      </c>
      <c r="J22" s="1" t="s">
        <v>287</v>
      </c>
    </row>
    <row r="23" spans="1:10" x14ac:dyDescent="0.35">
      <c r="A23" s="1" t="s">
        <v>211</v>
      </c>
      <c r="D23" s="1">
        <v>5.2399999999999998E-7</v>
      </c>
      <c r="E23" s="1" t="s">
        <v>8</v>
      </c>
      <c r="F23" s="1" t="s">
        <v>64</v>
      </c>
      <c r="G23" s="1" t="s">
        <v>65</v>
      </c>
      <c r="H23" s="1" t="s">
        <v>112</v>
      </c>
      <c r="J23" s="1" t="s">
        <v>287</v>
      </c>
    </row>
    <row r="24" spans="1:10" x14ac:dyDescent="0.35">
      <c r="A24" s="1" t="s">
        <v>282</v>
      </c>
      <c r="D24" s="1">
        <v>9.0499999999999996E-8</v>
      </c>
      <c r="E24" s="1" t="s">
        <v>8</v>
      </c>
      <c r="F24" s="1" t="s">
        <v>64</v>
      </c>
      <c r="G24" s="1" t="s">
        <v>65</v>
      </c>
      <c r="H24" s="1" t="s">
        <v>227</v>
      </c>
      <c r="J24" s="1" t="s">
        <v>287</v>
      </c>
    </row>
    <row r="25" spans="1:10" x14ac:dyDescent="0.35">
      <c r="A25" s="1" t="s">
        <v>113</v>
      </c>
      <c r="D25" s="1">
        <v>6.6699999999999995E-5</v>
      </c>
      <c r="E25" s="1" t="s">
        <v>8</v>
      </c>
      <c r="F25" s="1" t="s">
        <v>64</v>
      </c>
      <c r="G25" s="1" t="s">
        <v>65</v>
      </c>
      <c r="H25" s="1" t="s">
        <v>112</v>
      </c>
      <c r="J25" s="1" t="s">
        <v>287</v>
      </c>
    </row>
    <row r="26" spans="1:10" x14ac:dyDescent="0.35">
      <c r="A26" s="1" t="s">
        <v>293</v>
      </c>
      <c r="D26" s="1">
        <v>4.0499999999999999E-8</v>
      </c>
      <c r="E26" s="1" t="s">
        <v>8</v>
      </c>
      <c r="F26" s="1" t="s">
        <v>64</v>
      </c>
      <c r="G26" s="1" t="s">
        <v>65</v>
      </c>
      <c r="H26" s="1" t="s">
        <v>227</v>
      </c>
      <c r="J26" s="1" t="s">
        <v>287</v>
      </c>
    </row>
    <row r="27" spans="1:10" x14ac:dyDescent="0.35">
      <c r="A27" s="1" t="s">
        <v>213</v>
      </c>
      <c r="D27" s="1">
        <v>1.1E-5</v>
      </c>
      <c r="E27" s="1" t="s">
        <v>8</v>
      </c>
      <c r="F27" s="1" t="s">
        <v>64</v>
      </c>
      <c r="G27" s="1" t="s">
        <v>65</v>
      </c>
      <c r="H27" s="1" t="s">
        <v>112</v>
      </c>
      <c r="J27" s="1" t="s">
        <v>287</v>
      </c>
    </row>
    <row r="28" spans="1:10" x14ac:dyDescent="0.35">
      <c r="A28" s="1" t="s">
        <v>136</v>
      </c>
      <c r="D28" s="1">
        <v>9.9999999999999995E-7</v>
      </c>
      <c r="E28" s="1" t="s">
        <v>8</v>
      </c>
      <c r="F28" s="1" t="s">
        <v>64</v>
      </c>
      <c r="G28" s="1" t="s">
        <v>65</v>
      </c>
      <c r="H28" s="1" t="s">
        <v>112</v>
      </c>
      <c r="J28" s="1" t="s">
        <v>287</v>
      </c>
    </row>
    <row r="29" spans="1:10" x14ac:dyDescent="0.35">
      <c r="A29" s="1" t="s">
        <v>111</v>
      </c>
      <c r="D29" s="1">
        <v>4.0500000000000002E-6</v>
      </c>
      <c r="E29" s="1" t="s">
        <v>8</v>
      </c>
      <c r="F29" s="1" t="s">
        <v>64</v>
      </c>
      <c r="G29" s="1" t="s">
        <v>65</v>
      </c>
      <c r="H29" s="1" t="s">
        <v>112</v>
      </c>
      <c r="J29" s="1" t="s">
        <v>287</v>
      </c>
    </row>
    <row r="30" spans="1:10" x14ac:dyDescent="0.35">
      <c r="A30" s="1" t="s">
        <v>294</v>
      </c>
      <c r="D30" s="1">
        <v>9.0499999999999996E-8</v>
      </c>
      <c r="E30" s="1" t="s">
        <v>8</v>
      </c>
      <c r="F30" s="1" t="s">
        <v>64</v>
      </c>
      <c r="G30" s="1" t="s">
        <v>65</v>
      </c>
      <c r="H30" s="1" t="s">
        <v>112</v>
      </c>
      <c r="J30" s="1" t="s">
        <v>287</v>
      </c>
    </row>
    <row r="31" spans="1:10" x14ac:dyDescent="0.35">
      <c r="A31" s="1" t="s">
        <v>295</v>
      </c>
      <c r="D31" s="1">
        <v>1.31E-7</v>
      </c>
      <c r="E31" s="1" t="s">
        <v>8</v>
      </c>
      <c r="F31" s="1" t="s">
        <v>64</v>
      </c>
      <c r="G31" s="1" t="s">
        <v>65</v>
      </c>
      <c r="H31" s="1" t="s">
        <v>112</v>
      </c>
      <c r="J31" s="1" t="s">
        <v>287</v>
      </c>
    </row>
    <row r="32" spans="1:10" s="10" customFormat="1" x14ac:dyDescent="0.35"/>
    <row r="33" spans="1:14" x14ac:dyDescent="0.35">
      <c r="A33" s="2" t="s">
        <v>0</v>
      </c>
      <c r="B33" s="2" t="s">
        <v>296</v>
      </c>
    </row>
    <row r="34" spans="1:14" x14ac:dyDescent="0.35">
      <c r="A34" s="3" t="s">
        <v>2</v>
      </c>
      <c r="B34" s="1" t="s">
        <v>138</v>
      </c>
    </row>
    <row r="35" spans="1:14" x14ac:dyDescent="0.35">
      <c r="A35" s="3" t="s">
        <v>4</v>
      </c>
      <c r="B35" s="1" t="s">
        <v>286</v>
      </c>
    </row>
    <row r="36" spans="1:14" x14ac:dyDescent="0.35">
      <c r="A36" s="3" t="s">
        <v>6</v>
      </c>
      <c r="B36" s="1">
        <v>1</v>
      </c>
    </row>
    <row r="37" spans="1:14" x14ac:dyDescent="0.35">
      <c r="A37" s="3" t="s">
        <v>7</v>
      </c>
      <c r="B37" s="1" t="s">
        <v>8</v>
      </c>
    </row>
    <row r="38" spans="1:14" x14ac:dyDescent="0.35">
      <c r="A38" s="3" t="s">
        <v>9</v>
      </c>
      <c r="B38" s="1" t="s">
        <v>10</v>
      </c>
    </row>
    <row r="39" spans="1:14" x14ac:dyDescent="0.35">
      <c r="A39" s="3" t="s">
        <v>11</v>
      </c>
    </row>
    <row r="40" spans="1:14" x14ac:dyDescent="0.35">
      <c r="A40" s="2" t="s">
        <v>12</v>
      </c>
      <c r="B40" s="2" t="s">
        <v>2</v>
      </c>
      <c r="C40" s="2" t="s">
        <v>4</v>
      </c>
      <c r="D40" s="2" t="s">
        <v>6</v>
      </c>
      <c r="E40" s="2" t="s">
        <v>7</v>
      </c>
      <c r="F40" s="2" t="s">
        <v>13</v>
      </c>
      <c r="G40" s="2" t="s">
        <v>14</v>
      </c>
      <c r="H40" s="2" t="s">
        <v>15</v>
      </c>
      <c r="I40" s="2" t="s">
        <v>16</v>
      </c>
      <c r="J40" s="2" t="s">
        <v>17</v>
      </c>
      <c r="K40" s="2" t="s">
        <v>18</v>
      </c>
      <c r="L40" s="2" t="s">
        <v>19</v>
      </c>
      <c r="M40" s="2" t="s">
        <v>20</v>
      </c>
      <c r="N40" s="2" t="s">
        <v>21</v>
      </c>
    </row>
    <row r="41" spans="1:14" x14ac:dyDescent="0.35">
      <c r="A41" s="1" t="str">
        <f>B33</f>
        <v>Steel production in Germany</v>
      </c>
      <c r="B41" s="1" t="str">
        <f>B34</f>
        <v>Steel</v>
      </c>
      <c r="C41" s="1" t="str">
        <f>B35</f>
        <v>DE</v>
      </c>
      <c r="D41" s="1">
        <v>1</v>
      </c>
      <c r="E41" s="1" t="s">
        <v>8</v>
      </c>
      <c r="F41" s="9" t="str">
        <f>F9</f>
        <v>Iron</v>
      </c>
      <c r="G41" s="1" t="s">
        <v>22</v>
      </c>
    </row>
    <row r="42" spans="1:14" x14ac:dyDescent="0.35">
      <c r="A42" s="1" t="str">
        <f>A9</f>
        <v>[R] Crude steel production (Germany)</v>
      </c>
      <c r="B42" s="1" t="str">
        <f>B9</f>
        <v>Steel</v>
      </c>
      <c r="C42" s="1" t="str">
        <f>C9</f>
        <v>DE</v>
      </c>
      <c r="D42" s="1">
        <v>1</v>
      </c>
      <c r="E42" s="1" t="str">
        <f>E9</f>
        <v>kilogram</v>
      </c>
      <c r="F42" s="9" t="str">
        <f>F9</f>
        <v>Iron</v>
      </c>
      <c r="G42" s="1" t="s">
        <v>28</v>
      </c>
    </row>
    <row r="43" spans="1:14" x14ac:dyDescent="0.35">
      <c r="A43" s="1" t="s">
        <v>163</v>
      </c>
      <c r="B43" s="1" t="s">
        <v>164</v>
      </c>
      <c r="C43" s="1" t="s">
        <v>209</v>
      </c>
      <c r="D43" s="1">
        <v>1.21</v>
      </c>
      <c r="E43" s="1" t="s">
        <v>8</v>
      </c>
      <c r="F43" s="1" t="s">
        <v>27</v>
      </c>
      <c r="G43" s="1" t="s">
        <v>28</v>
      </c>
      <c r="J43" s="1" t="s">
        <v>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3641-0EA8-4835-82D6-95725F08F92D}">
  <sheetPr>
    <tabColor theme="8" tint="0.39997558519241921"/>
  </sheetPr>
  <dimension ref="A1:N29"/>
  <sheetViews>
    <sheetView topLeftCell="A13" workbookViewId="0">
      <selection activeCell="F27" sqref="F27"/>
    </sheetView>
  </sheetViews>
  <sheetFormatPr baseColWidth="10" defaultColWidth="9.1796875" defaultRowHeight="14.5" x14ac:dyDescent="0.35"/>
  <cols>
    <col min="1" max="1" width="43.08984375" style="1" bestFit="1" customWidth="1"/>
    <col min="2" max="2" width="37.36328125" style="1" bestFit="1" customWidth="1"/>
    <col min="3" max="3" width="7.6328125" style="1" bestFit="1" customWidth="1"/>
    <col min="4" max="4" width="11.81640625" style="1" bestFit="1" customWidth="1"/>
    <col min="5" max="5" width="11.90625" style="1" bestFit="1" customWidth="1"/>
    <col min="6" max="6" width="18.36328125" style="1" bestFit="1" customWidth="1"/>
    <col min="7" max="7" width="12.26953125" style="1" bestFit="1" customWidth="1"/>
    <col min="8" max="8" width="9.36328125" style="1" bestFit="1" customWidth="1"/>
    <col min="9" max="9" width="14.6328125" style="1" bestFit="1" customWidth="1"/>
    <col min="10" max="10" width="19.90625" style="1" bestFit="1" customWidth="1"/>
    <col min="11" max="11" width="3.36328125" style="1" bestFit="1" customWidth="1"/>
    <col min="12" max="12" width="5" style="1" bestFit="1" customWidth="1"/>
    <col min="13" max="13" width="8.90625" style="1" bestFit="1" customWidth="1"/>
    <col min="14" max="14" width="9.26953125" style="1" bestFit="1" customWidth="1"/>
    <col min="15" max="16384" width="9.1796875" style="1"/>
  </cols>
  <sheetData>
    <row r="1" spans="1:14" x14ac:dyDescent="0.35">
      <c r="A1" s="2" t="s">
        <v>0</v>
      </c>
      <c r="B1" s="2" t="s">
        <v>297</v>
      </c>
    </row>
    <row r="2" spans="1:14" x14ac:dyDescent="0.35">
      <c r="A2" s="3" t="s">
        <v>2</v>
      </c>
      <c r="B2" s="1" t="s">
        <v>138</v>
      </c>
    </row>
    <row r="3" spans="1:14" x14ac:dyDescent="0.35">
      <c r="A3" s="3" t="s">
        <v>4</v>
      </c>
      <c r="B3" s="1" t="s">
        <v>298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[P+R] Crude steel production (South Korea)</v>
      </c>
      <c r="B9" s="1" t="str">
        <f>B2</f>
        <v>Steel</v>
      </c>
      <c r="C9" s="1" t="str">
        <f>B3</f>
        <v>KR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288</v>
      </c>
      <c r="B10" s="1" t="s">
        <v>279</v>
      </c>
      <c r="C10" s="1" t="s">
        <v>298</v>
      </c>
      <c r="D10" s="1">
        <v>0.49299999999999999</v>
      </c>
      <c r="E10" s="1" t="s">
        <v>35</v>
      </c>
      <c r="F10" s="1" t="s">
        <v>27</v>
      </c>
      <c r="G10" s="1" t="s">
        <v>28</v>
      </c>
      <c r="J10" s="1" t="s">
        <v>299</v>
      </c>
    </row>
    <row r="11" spans="1:14" x14ac:dyDescent="0.35">
      <c r="A11" s="1" t="s">
        <v>116</v>
      </c>
      <c r="B11" s="1" t="s">
        <v>117</v>
      </c>
      <c r="C11" s="1" t="s">
        <v>40</v>
      </c>
      <c r="D11" s="1">
        <v>4.5789473684210533E-2</v>
      </c>
      <c r="E11" s="1" t="s">
        <v>76</v>
      </c>
      <c r="F11" s="1" t="s">
        <v>27</v>
      </c>
      <c r="G11" s="1" t="s">
        <v>28</v>
      </c>
      <c r="J11" s="1" t="s">
        <v>299</v>
      </c>
    </row>
    <row r="12" spans="1:14" x14ac:dyDescent="0.35">
      <c r="A12" s="1" t="s">
        <v>187</v>
      </c>
      <c r="B12" s="1" t="s">
        <v>188</v>
      </c>
      <c r="C12" s="1" t="s">
        <v>40</v>
      </c>
      <c r="D12" s="1">
        <v>-0.26100000000000001</v>
      </c>
      <c r="E12" s="1" t="s">
        <v>8</v>
      </c>
      <c r="F12" s="1" t="s">
        <v>27</v>
      </c>
      <c r="G12" s="1" t="s">
        <v>28</v>
      </c>
      <c r="J12" s="1" t="s">
        <v>299</v>
      </c>
    </row>
    <row r="13" spans="1:14" x14ac:dyDescent="0.35">
      <c r="A13" s="1" t="s">
        <v>126</v>
      </c>
      <c r="B13" s="1" t="s">
        <v>127</v>
      </c>
      <c r="C13" s="1" t="s">
        <v>40</v>
      </c>
      <c r="D13" s="1">
        <v>3.04E-2</v>
      </c>
      <c r="E13" s="1" t="s">
        <v>8</v>
      </c>
      <c r="F13" s="1" t="s">
        <v>27</v>
      </c>
      <c r="G13" s="1" t="s">
        <v>28</v>
      </c>
      <c r="J13" s="1" t="s">
        <v>299</v>
      </c>
    </row>
    <row r="14" spans="1:14" x14ac:dyDescent="0.35">
      <c r="A14" s="1" t="s">
        <v>113</v>
      </c>
      <c r="D14" s="1">
        <v>3.7700000000000004E-2</v>
      </c>
      <c r="E14" s="1" t="s">
        <v>8</v>
      </c>
      <c r="F14" s="1" t="s">
        <v>64</v>
      </c>
      <c r="G14" s="1" t="s">
        <v>65</v>
      </c>
      <c r="H14" s="1" t="s">
        <v>112</v>
      </c>
      <c r="J14" s="1" t="s">
        <v>299</v>
      </c>
    </row>
    <row r="15" spans="1:14" x14ac:dyDescent="0.35">
      <c r="A15" s="1" t="s">
        <v>113</v>
      </c>
      <c r="D15" s="1">
        <v>1.1899999999999999E-3</v>
      </c>
      <c r="E15" s="1" t="s">
        <v>8</v>
      </c>
      <c r="F15" s="1" t="s">
        <v>64</v>
      </c>
      <c r="G15" s="1" t="s">
        <v>65</v>
      </c>
      <c r="H15" s="1" t="s">
        <v>112</v>
      </c>
      <c r="J15" s="1" t="s">
        <v>299</v>
      </c>
    </row>
    <row r="16" spans="1:14" x14ac:dyDescent="0.35">
      <c r="A16" s="1" t="s">
        <v>136</v>
      </c>
      <c r="D16" s="1">
        <v>4.9299999999999998E-7</v>
      </c>
      <c r="E16" s="1" t="s">
        <v>8</v>
      </c>
      <c r="F16" s="1" t="s">
        <v>64</v>
      </c>
      <c r="G16" s="1" t="s">
        <v>65</v>
      </c>
      <c r="H16" s="1" t="s">
        <v>112</v>
      </c>
      <c r="J16" s="1" t="s">
        <v>299</v>
      </c>
    </row>
    <row r="17" spans="1:14" x14ac:dyDescent="0.35">
      <c r="A17" s="1" t="s">
        <v>111</v>
      </c>
      <c r="D17" s="1">
        <v>6.9599999999999995E-2</v>
      </c>
      <c r="E17" s="1" t="s">
        <v>8</v>
      </c>
      <c r="F17" s="1" t="s">
        <v>64</v>
      </c>
      <c r="G17" s="1" t="s">
        <v>65</v>
      </c>
      <c r="H17" s="1" t="s">
        <v>112</v>
      </c>
      <c r="J17" s="1" t="s">
        <v>299</v>
      </c>
    </row>
    <row r="18" spans="1:14" s="10" customFormat="1" x14ac:dyDescent="0.35"/>
    <row r="19" spans="1:14" x14ac:dyDescent="0.35">
      <c r="A19" s="2" t="s">
        <v>0</v>
      </c>
      <c r="B19" s="2" t="s">
        <v>300</v>
      </c>
    </row>
    <row r="20" spans="1:14" x14ac:dyDescent="0.35">
      <c r="A20" s="3" t="s">
        <v>2</v>
      </c>
      <c r="B20" s="1" t="s">
        <v>138</v>
      </c>
    </row>
    <row r="21" spans="1:14" x14ac:dyDescent="0.35">
      <c r="A21" s="3" t="s">
        <v>4</v>
      </c>
      <c r="B21" s="1" t="s">
        <v>298</v>
      </c>
    </row>
    <row r="22" spans="1:14" x14ac:dyDescent="0.35">
      <c r="A22" s="3" t="s">
        <v>6</v>
      </c>
      <c r="B22" s="1">
        <v>1</v>
      </c>
    </row>
    <row r="23" spans="1:14" x14ac:dyDescent="0.35">
      <c r="A23" s="3" t="s">
        <v>7</v>
      </c>
      <c r="B23" s="1" t="s">
        <v>8</v>
      </c>
    </row>
    <row r="24" spans="1:14" x14ac:dyDescent="0.35">
      <c r="A24" s="3" t="s">
        <v>9</v>
      </c>
      <c r="B24" s="1" t="s">
        <v>10</v>
      </c>
    </row>
    <row r="25" spans="1:14" x14ac:dyDescent="0.35">
      <c r="A25" s="3" t="s">
        <v>11</v>
      </c>
    </row>
    <row r="26" spans="1:14" x14ac:dyDescent="0.35">
      <c r="A26" s="2" t="s">
        <v>12</v>
      </c>
      <c r="B26" s="2" t="s">
        <v>2</v>
      </c>
      <c r="C26" s="2" t="s">
        <v>4</v>
      </c>
      <c r="D26" s="2" t="s">
        <v>6</v>
      </c>
      <c r="E26" s="2" t="s">
        <v>7</v>
      </c>
      <c r="F26" s="2" t="s">
        <v>13</v>
      </c>
      <c r="G26" s="2" t="s">
        <v>14</v>
      </c>
      <c r="H26" s="2" t="s">
        <v>15</v>
      </c>
      <c r="I26" s="2" t="s">
        <v>16</v>
      </c>
      <c r="J26" s="2" t="s">
        <v>17</v>
      </c>
      <c r="K26" s="2" t="s">
        <v>18</v>
      </c>
      <c r="L26" s="2" t="s">
        <v>19</v>
      </c>
      <c r="M26" s="2" t="s">
        <v>20</v>
      </c>
      <c r="N26" s="2" t="s">
        <v>21</v>
      </c>
    </row>
    <row r="27" spans="1:14" x14ac:dyDescent="0.35">
      <c r="A27" s="1" t="str">
        <f>B19</f>
        <v>Steel production in Korea</v>
      </c>
      <c r="B27" s="1" t="str">
        <f>B20</f>
        <v>Steel</v>
      </c>
      <c r="C27" s="1" t="str">
        <f>B21</f>
        <v>KR</v>
      </c>
      <c r="D27" s="1">
        <v>1</v>
      </c>
      <c r="E27" s="1" t="s">
        <v>8</v>
      </c>
      <c r="F27" s="9" t="str">
        <f>F9</f>
        <v>Iron</v>
      </c>
      <c r="G27" s="1" t="s">
        <v>22</v>
      </c>
    </row>
    <row r="28" spans="1:14" x14ac:dyDescent="0.35">
      <c r="A28" s="1" t="str">
        <f>A9</f>
        <v>[P+R] Crude steel production (South Korea)</v>
      </c>
      <c r="B28" s="1" t="str">
        <f>B9</f>
        <v>Steel</v>
      </c>
      <c r="C28" s="1" t="str">
        <f>C9</f>
        <v>KR</v>
      </c>
      <c r="D28" s="1">
        <v>1</v>
      </c>
      <c r="E28" s="1" t="str">
        <f>E9</f>
        <v>kilogram</v>
      </c>
      <c r="F28" s="9" t="str">
        <f>F9</f>
        <v>Iron</v>
      </c>
      <c r="G28" s="1" t="s">
        <v>28</v>
      </c>
    </row>
    <row r="29" spans="1:14" x14ac:dyDescent="0.35">
      <c r="A29" s="1" t="str">
        <f>FeMine_Market_GLO!A82</f>
        <v>Iron ore mining and concentration - Global market</v>
      </c>
      <c r="B29" s="1" t="str">
        <f>FeMine_Market_GLO!B82</f>
        <v>Fe concentrate</v>
      </c>
      <c r="C29" s="1" t="str">
        <f>FeMine_Market_GLO!C82</f>
        <v>GLO</v>
      </c>
      <c r="D29" s="1">
        <v>1</v>
      </c>
      <c r="E29" s="1" t="str">
        <f>FeMine_Market_GLO!E82</f>
        <v>kilogram</v>
      </c>
      <c r="F29" s="9" t="str">
        <f>FeMine_Market_GLO!F82</f>
        <v>Iron</v>
      </c>
      <c r="G29" s="1" t="s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</sheetPr>
  <dimension ref="A1:N31"/>
  <sheetViews>
    <sheetView topLeftCell="A13" workbookViewId="0">
      <selection activeCell="D17" sqref="D17"/>
    </sheetView>
  </sheetViews>
  <sheetFormatPr baseColWidth="10" defaultColWidth="9.1796875" defaultRowHeight="14.5" x14ac:dyDescent="0.35"/>
  <cols>
    <col min="1" max="1" width="43.08984375" style="1" bestFit="1" customWidth="1"/>
    <col min="2" max="2" width="32.26953125" style="1" bestFit="1" customWidth="1"/>
    <col min="3" max="3" width="24" style="1" bestFit="1" customWidth="1"/>
    <col min="4" max="4" width="8.36328125" style="1" bestFit="1" customWidth="1"/>
    <col min="5" max="5" width="11.90625" style="1" bestFit="1" customWidth="1"/>
    <col min="6" max="6" width="18.36328125" style="1" bestFit="1" customWidth="1"/>
    <col min="7" max="7" width="12.26953125" style="1" bestFit="1" customWidth="1"/>
    <col min="8" max="8" width="9.36328125" style="1" bestFit="1" customWidth="1"/>
    <col min="9" max="9" width="14.6328125" style="1" bestFit="1" customWidth="1"/>
    <col min="10" max="10" width="8.90625" style="1" bestFit="1" customWidth="1"/>
    <col min="11" max="11" width="3.36328125" style="1" bestFit="1" customWidth="1"/>
    <col min="12" max="12" width="5" style="1" bestFit="1" customWidth="1"/>
    <col min="13" max="13" width="8.90625" style="1" bestFit="1" customWidth="1"/>
    <col min="14" max="14" width="9.26953125" style="1" bestFit="1" customWidth="1"/>
    <col min="15" max="16384" width="9.1796875" style="1"/>
  </cols>
  <sheetData>
    <row r="1" spans="1:14" x14ac:dyDescent="0.35">
      <c r="A1" s="2" t="s">
        <v>0</v>
      </c>
      <c r="B1" s="2" t="s">
        <v>301</v>
      </c>
    </row>
    <row r="2" spans="1:14" x14ac:dyDescent="0.35">
      <c r="A2" s="3" t="s">
        <v>2</v>
      </c>
      <c r="B2" s="1" t="s">
        <v>138</v>
      </c>
    </row>
    <row r="3" spans="1:14" x14ac:dyDescent="0.35">
      <c r="A3" s="3" t="s">
        <v>4</v>
      </c>
      <c r="B3" s="1" t="s">
        <v>302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[P+R] Crude steel production (Russia)</v>
      </c>
      <c r="B9" s="1" t="str">
        <f>B2</f>
        <v>Steel</v>
      </c>
      <c r="C9" s="1" t="str">
        <f>B3</f>
        <v>RU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90</v>
      </c>
      <c r="B10" s="1" t="s">
        <v>91</v>
      </c>
      <c r="C10" s="1" t="s">
        <v>302</v>
      </c>
      <c r="D10" s="1">
        <v>0.58599999999999997</v>
      </c>
      <c r="E10" s="1" t="s">
        <v>8</v>
      </c>
      <c r="F10" s="1" t="s">
        <v>27</v>
      </c>
      <c r="G10" s="1" t="s">
        <v>28</v>
      </c>
      <c r="J10" s="1" t="s">
        <v>303</v>
      </c>
    </row>
    <row r="11" spans="1:14" x14ac:dyDescent="0.35">
      <c r="A11" s="1" t="s">
        <v>304</v>
      </c>
      <c r="B11" s="1" t="s">
        <v>305</v>
      </c>
      <c r="C11" s="1" t="s">
        <v>302</v>
      </c>
      <c r="D11" s="14">
        <v>0.24611111130800001</v>
      </c>
      <c r="E11" s="1" t="s">
        <v>35</v>
      </c>
      <c r="F11" s="1" t="s">
        <v>27</v>
      </c>
      <c r="G11" s="1" t="s">
        <v>28</v>
      </c>
      <c r="J11" s="1" t="s">
        <v>303</v>
      </c>
    </row>
    <row r="12" spans="1:14" x14ac:dyDescent="0.35">
      <c r="A12" s="1" t="s">
        <v>220</v>
      </c>
      <c r="B12" s="1" t="s">
        <v>221</v>
      </c>
      <c r="C12" s="1" t="s">
        <v>25</v>
      </c>
      <c r="D12" s="1">
        <v>0.14000000000000001</v>
      </c>
      <c r="E12" s="1" t="s">
        <v>8</v>
      </c>
      <c r="F12" s="1" t="s">
        <v>27</v>
      </c>
      <c r="G12" s="1" t="s">
        <v>28</v>
      </c>
      <c r="J12" s="1" t="s">
        <v>303</v>
      </c>
    </row>
    <row r="13" spans="1:14" x14ac:dyDescent="0.35">
      <c r="A13" s="1" t="s">
        <v>163</v>
      </c>
      <c r="B13" s="1" t="s">
        <v>164</v>
      </c>
      <c r="C13" s="1" t="s">
        <v>209</v>
      </c>
      <c r="D13" s="1">
        <v>0.127</v>
      </c>
      <c r="E13" s="1" t="s">
        <v>8</v>
      </c>
      <c r="F13" s="1" t="s">
        <v>27</v>
      </c>
      <c r="G13" s="1" t="s">
        <v>28</v>
      </c>
      <c r="J13" s="1" t="s">
        <v>303</v>
      </c>
    </row>
    <row r="14" spans="1:14" x14ac:dyDescent="0.35">
      <c r="A14" s="1" t="s">
        <v>143</v>
      </c>
      <c r="B14" s="1" t="s">
        <v>144</v>
      </c>
      <c r="C14" s="1" t="s">
        <v>208</v>
      </c>
      <c r="D14" s="1">
        <v>0.04</v>
      </c>
      <c r="E14" s="1" t="s">
        <v>8</v>
      </c>
      <c r="F14" s="1" t="s">
        <v>27</v>
      </c>
      <c r="G14" s="1" t="s">
        <v>28</v>
      </c>
      <c r="J14" s="1" t="s">
        <v>303</v>
      </c>
    </row>
    <row r="15" spans="1:14" x14ac:dyDescent="0.35">
      <c r="A15" s="1" t="s">
        <v>187</v>
      </c>
      <c r="B15" s="1" t="s">
        <v>188</v>
      </c>
      <c r="C15" s="1" t="s">
        <v>209</v>
      </c>
      <c r="D15" s="1">
        <v>-0.41399999999999998</v>
      </c>
      <c r="E15" s="1" t="s">
        <v>8</v>
      </c>
      <c r="F15" s="1" t="s">
        <v>27</v>
      </c>
      <c r="G15" s="1" t="s">
        <v>28</v>
      </c>
      <c r="J15" s="1" t="s">
        <v>303</v>
      </c>
    </row>
    <row r="16" spans="1:14" x14ac:dyDescent="0.35">
      <c r="A16" s="1" t="s">
        <v>233</v>
      </c>
      <c r="B16" s="1" t="s">
        <v>234</v>
      </c>
      <c r="C16" s="1" t="s">
        <v>209</v>
      </c>
      <c r="D16" s="1">
        <v>-4.0000000000000001E-3</v>
      </c>
      <c r="E16" s="1" t="s">
        <v>8</v>
      </c>
      <c r="F16" s="1" t="s">
        <v>27</v>
      </c>
      <c r="G16" s="1" t="s">
        <v>28</v>
      </c>
      <c r="J16" s="1" t="s">
        <v>303</v>
      </c>
    </row>
    <row r="17" spans="1:14" x14ac:dyDescent="0.35">
      <c r="A17" s="1" t="s">
        <v>198</v>
      </c>
      <c r="B17" s="1" t="s">
        <v>199</v>
      </c>
      <c r="C17" s="1" t="s">
        <v>25</v>
      </c>
      <c r="D17" s="1">
        <v>-0.01</v>
      </c>
      <c r="E17" s="1" t="s">
        <v>8</v>
      </c>
      <c r="F17" s="1" t="s">
        <v>27</v>
      </c>
      <c r="G17" s="1" t="s">
        <v>28</v>
      </c>
      <c r="J17" s="1" t="s">
        <v>303</v>
      </c>
    </row>
    <row r="18" spans="1:14" x14ac:dyDescent="0.35">
      <c r="A18" s="1" t="s">
        <v>177</v>
      </c>
      <c r="D18" s="1">
        <v>1.57</v>
      </c>
      <c r="E18" s="1" t="s">
        <v>8</v>
      </c>
      <c r="F18" s="1" t="s">
        <v>64</v>
      </c>
      <c r="G18" s="1" t="s">
        <v>65</v>
      </c>
      <c r="H18" s="1" t="s">
        <v>112</v>
      </c>
      <c r="J18" s="1" t="s">
        <v>303</v>
      </c>
    </row>
    <row r="19" spans="1:14" x14ac:dyDescent="0.35">
      <c r="A19" s="1" t="s">
        <v>113</v>
      </c>
      <c r="D19" s="1">
        <v>1E-3</v>
      </c>
      <c r="E19" s="1" t="s">
        <v>8</v>
      </c>
      <c r="F19" s="1" t="s">
        <v>64</v>
      </c>
      <c r="G19" s="1" t="s">
        <v>65</v>
      </c>
      <c r="H19" s="1" t="s">
        <v>112</v>
      </c>
      <c r="J19" s="1" t="s">
        <v>303</v>
      </c>
    </row>
    <row r="20" spans="1:14" s="10" customFormat="1" x14ac:dyDescent="0.35"/>
    <row r="21" spans="1:14" x14ac:dyDescent="0.35">
      <c r="A21" s="2" t="s">
        <v>0</v>
      </c>
      <c r="B21" s="2" t="s">
        <v>306</v>
      </c>
    </row>
    <row r="22" spans="1:14" x14ac:dyDescent="0.35">
      <c r="A22" s="3" t="s">
        <v>2</v>
      </c>
      <c r="B22" s="1" t="s">
        <v>138</v>
      </c>
    </row>
    <row r="23" spans="1:14" x14ac:dyDescent="0.35">
      <c r="A23" s="3" t="s">
        <v>4</v>
      </c>
      <c r="B23" s="1" t="s">
        <v>302</v>
      </c>
    </row>
    <row r="24" spans="1:14" x14ac:dyDescent="0.35">
      <c r="A24" s="3" t="s">
        <v>6</v>
      </c>
      <c r="B24" s="1">
        <v>1</v>
      </c>
    </row>
    <row r="25" spans="1:14" x14ac:dyDescent="0.35">
      <c r="A25" s="3" t="s">
        <v>7</v>
      </c>
      <c r="B25" s="1" t="s">
        <v>8</v>
      </c>
    </row>
    <row r="26" spans="1:14" x14ac:dyDescent="0.35">
      <c r="A26" s="3" t="s">
        <v>9</v>
      </c>
      <c r="B26" s="1" t="s">
        <v>10</v>
      </c>
    </row>
    <row r="27" spans="1:14" x14ac:dyDescent="0.35">
      <c r="A27" s="3" t="s">
        <v>11</v>
      </c>
    </row>
    <row r="28" spans="1:14" x14ac:dyDescent="0.35">
      <c r="A28" s="2" t="s">
        <v>12</v>
      </c>
      <c r="B28" s="2" t="s">
        <v>2</v>
      </c>
      <c r="C28" s="2" t="s">
        <v>4</v>
      </c>
      <c r="D28" s="2" t="s">
        <v>6</v>
      </c>
      <c r="E28" s="2" t="s">
        <v>7</v>
      </c>
      <c r="F28" s="2" t="s">
        <v>13</v>
      </c>
      <c r="G28" s="2" t="s">
        <v>14</v>
      </c>
      <c r="H28" s="2" t="s">
        <v>15</v>
      </c>
      <c r="I28" s="2" t="s">
        <v>16</v>
      </c>
      <c r="J28" s="2" t="s">
        <v>17</v>
      </c>
      <c r="K28" s="2" t="s">
        <v>18</v>
      </c>
      <c r="L28" s="2" t="s">
        <v>19</v>
      </c>
      <c r="M28" s="2" t="s">
        <v>20</v>
      </c>
      <c r="N28" s="2" t="s">
        <v>21</v>
      </c>
    </row>
    <row r="29" spans="1:14" x14ac:dyDescent="0.35">
      <c r="A29" s="1" t="str">
        <f>B21</f>
        <v>Steel production in Russia</v>
      </c>
      <c r="B29" s="1" t="str">
        <f>B22</f>
        <v>Steel</v>
      </c>
      <c r="C29" s="1" t="str">
        <f>B23</f>
        <v>RU</v>
      </c>
      <c r="D29" s="1">
        <v>1</v>
      </c>
      <c r="E29" s="1" t="s">
        <v>8</v>
      </c>
      <c r="F29" s="9" t="str">
        <f>F9</f>
        <v>Iron</v>
      </c>
      <c r="G29" s="1" t="s">
        <v>22</v>
      </c>
    </row>
    <row r="30" spans="1:14" x14ac:dyDescent="0.35">
      <c r="A30" s="1" t="str">
        <f>A9</f>
        <v>[P+R] Crude steel production (Russia)</v>
      </c>
      <c r="B30" s="1" t="str">
        <f>B9</f>
        <v>Steel</v>
      </c>
      <c r="C30" s="1" t="str">
        <f>C9</f>
        <v>RU</v>
      </c>
      <c r="D30" s="1">
        <v>1</v>
      </c>
      <c r="E30" s="1" t="str">
        <f>E9</f>
        <v>kilogram</v>
      </c>
      <c r="F30" s="9" t="str">
        <f>F9</f>
        <v>Iron</v>
      </c>
      <c r="G30" s="1" t="s">
        <v>28</v>
      </c>
    </row>
    <row r="31" spans="1:14" x14ac:dyDescent="0.35">
      <c r="A31" s="1" t="str">
        <f>FeMine_Market_GLO!A82</f>
        <v>Iron ore mining and concentration - Global market</v>
      </c>
      <c r="B31" s="1" t="str">
        <f>FeMine_Market_GLO!B82</f>
        <v>Fe concentrate</v>
      </c>
      <c r="C31" s="1" t="str">
        <f>FeMine_Market_GLO!C82</f>
        <v>GLO</v>
      </c>
      <c r="D31" s="1">
        <v>13.3</v>
      </c>
      <c r="E31" s="1" t="str">
        <f>FeMine_Market_GLO!E82</f>
        <v>kilogram</v>
      </c>
      <c r="F31" s="9" t="str">
        <f>FeMine_Market_GLO!F82</f>
        <v>Iron</v>
      </c>
      <c r="G31" s="1" t="s">
        <v>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39997558519241921"/>
  </sheetPr>
  <dimension ref="A1:N50"/>
  <sheetViews>
    <sheetView topLeftCell="A37" workbookViewId="0">
      <selection activeCell="E50" sqref="E50"/>
    </sheetView>
  </sheetViews>
  <sheetFormatPr baseColWidth="10" defaultColWidth="9.1796875" defaultRowHeight="14.5" x14ac:dyDescent="0.35"/>
  <cols>
    <col min="1" max="1" width="44.7265625" style="1" bestFit="1" customWidth="1"/>
    <col min="2" max="2" width="34.7265625" style="1" bestFit="1" customWidth="1"/>
    <col min="3" max="3" width="8.1796875" style="1" bestFit="1" customWidth="1"/>
    <col min="4" max="4" width="12" style="1" bestFit="1" customWidth="1"/>
    <col min="5" max="5" width="13.1796875" style="1" bestFit="1" customWidth="1"/>
    <col min="6" max="6" width="19.7265625" style="1" bestFit="1" customWidth="1"/>
    <col min="7" max="7" width="13.26953125" style="1" bestFit="1" customWidth="1"/>
    <col min="8" max="8" width="25.26953125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9.1796875" style="1"/>
  </cols>
  <sheetData>
    <row r="1" spans="1:14" x14ac:dyDescent="0.35">
      <c r="A1" s="2" t="s">
        <v>0</v>
      </c>
      <c r="B1" s="2" t="s">
        <v>307</v>
      </c>
    </row>
    <row r="2" spans="1:14" x14ac:dyDescent="0.35">
      <c r="A2" s="3" t="s">
        <v>2</v>
      </c>
      <c r="B2" s="1" t="s">
        <v>138</v>
      </c>
    </row>
    <row r="3" spans="1:14" x14ac:dyDescent="0.35">
      <c r="A3" s="3" t="s">
        <v>4</v>
      </c>
      <c r="B3" s="1" t="s">
        <v>308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10</v>
      </c>
    </row>
    <row r="7" spans="1:14" x14ac:dyDescent="0.35">
      <c r="A7" s="3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1" t="str">
        <f>B1</f>
        <v>[R] Crude steel production (Turkey)</v>
      </c>
      <c r="B9" s="1" t="str">
        <f>B2</f>
        <v>Steel</v>
      </c>
      <c r="C9" s="1" t="str">
        <f>B3</f>
        <v>TR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x14ac:dyDescent="0.35">
      <c r="A10" s="1" t="s">
        <v>93</v>
      </c>
      <c r="B10" s="1" t="s">
        <v>94</v>
      </c>
      <c r="C10" s="1" t="s">
        <v>40</v>
      </c>
      <c r="D10" s="1">
        <v>0.02</v>
      </c>
      <c r="E10" s="1" t="s">
        <v>8</v>
      </c>
      <c r="F10" s="1" t="s">
        <v>27</v>
      </c>
      <c r="G10" s="1" t="s">
        <v>28</v>
      </c>
      <c r="J10" s="1" t="s">
        <v>309</v>
      </c>
    </row>
    <row r="11" spans="1:14" x14ac:dyDescent="0.35">
      <c r="A11" s="1" t="s">
        <v>88</v>
      </c>
      <c r="B11" s="1" t="s">
        <v>89</v>
      </c>
      <c r="C11" s="1" t="s">
        <v>308</v>
      </c>
      <c r="D11" s="1">
        <v>3.6453201970443352E-5</v>
      </c>
      <c r="E11" s="1" t="s">
        <v>76</v>
      </c>
      <c r="F11" s="1" t="s">
        <v>27</v>
      </c>
      <c r="G11" s="1" t="s">
        <v>28</v>
      </c>
      <c r="J11" s="1" t="s">
        <v>309</v>
      </c>
    </row>
    <row r="12" spans="1:14" x14ac:dyDescent="0.35">
      <c r="A12" s="1" t="s">
        <v>288</v>
      </c>
      <c r="B12" s="1" t="s">
        <v>279</v>
      </c>
      <c r="C12" s="1" t="s">
        <v>308</v>
      </c>
      <c r="D12" s="1">
        <v>0.81799999999999995</v>
      </c>
      <c r="E12" s="1" t="s">
        <v>35</v>
      </c>
      <c r="F12" s="1" t="s">
        <v>27</v>
      </c>
      <c r="G12" s="1" t="s">
        <v>28</v>
      </c>
      <c r="J12" s="1" t="s">
        <v>309</v>
      </c>
    </row>
    <row r="13" spans="1:14" x14ac:dyDescent="0.35">
      <c r="A13" s="1" t="s">
        <v>155</v>
      </c>
      <c r="B13" s="1" t="s">
        <v>156</v>
      </c>
      <c r="C13" s="1" t="s">
        <v>25</v>
      </c>
      <c r="D13" s="1">
        <v>3.0000000000000001E-5</v>
      </c>
      <c r="E13" s="1" t="s">
        <v>8</v>
      </c>
      <c r="F13" s="1" t="s">
        <v>27</v>
      </c>
      <c r="G13" s="1" t="s">
        <v>28</v>
      </c>
      <c r="J13" s="1" t="s">
        <v>309</v>
      </c>
    </row>
    <row r="14" spans="1:14" x14ac:dyDescent="0.35">
      <c r="A14" s="1" t="s">
        <v>291</v>
      </c>
      <c r="B14" s="1" t="s">
        <v>292</v>
      </c>
      <c r="C14" s="1" t="s">
        <v>25</v>
      </c>
      <c r="D14" s="1">
        <v>1.3899999999999999E-2</v>
      </c>
      <c r="E14" s="1" t="s">
        <v>8</v>
      </c>
      <c r="F14" s="1" t="s">
        <v>27</v>
      </c>
      <c r="G14" s="1" t="s">
        <v>28</v>
      </c>
      <c r="J14" s="1" t="s">
        <v>309</v>
      </c>
    </row>
    <row r="15" spans="1:14" x14ac:dyDescent="0.35">
      <c r="A15" s="1" t="s">
        <v>280</v>
      </c>
      <c r="B15" s="1" t="s">
        <v>281</v>
      </c>
      <c r="C15" s="1" t="s">
        <v>25</v>
      </c>
      <c r="D15" s="1">
        <v>1.2999999999999999E-3</v>
      </c>
      <c r="E15" s="1" t="s">
        <v>8</v>
      </c>
      <c r="F15" s="1" t="s">
        <v>27</v>
      </c>
      <c r="G15" s="1" t="s">
        <v>28</v>
      </c>
      <c r="J15" s="1" t="s">
        <v>309</v>
      </c>
    </row>
    <row r="16" spans="1:14" x14ac:dyDescent="0.35">
      <c r="A16" s="1" t="s">
        <v>116</v>
      </c>
      <c r="B16" s="1" t="s">
        <v>117</v>
      </c>
      <c r="C16" s="1" t="s">
        <v>209</v>
      </c>
      <c r="D16" s="1">
        <v>3.0631578947368422E-4</v>
      </c>
      <c r="E16" s="1" t="s">
        <v>76</v>
      </c>
      <c r="F16" s="1" t="s">
        <v>27</v>
      </c>
      <c r="G16" s="1" t="s">
        <v>28</v>
      </c>
      <c r="J16" s="1" t="s">
        <v>309</v>
      </c>
    </row>
    <row r="17" spans="1:10" x14ac:dyDescent="0.35">
      <c r="A17" s="1" t="s">
        <v>310</v>
      </c>
      <c r="B17" s="1" t="s">
        <v>311</v>
      </c>
      <c r="C17" s="1" t="s">
        <v>25</v>
      </c>
      <c r="D17" s="1">
        <v>8.1800000000000004E-4</v>
      </c>
      <c r="E17" s="1" t="s">
        <v>8</v>
      </c>
      <c r="F17" s="1" t="s">
        <v>27</v>
      </c>
      <c r="G17" s="1" t="s">
        <v>28</v>
      </c>
      <c r="J17" s="1" t="s">
        <v>309</v>
      </c>
    </row>
    <row r="18" spans="1:10" x14ac:dyDescent="0.35">
      <c r="A18" s="1" t="s">
        <v>147</v>
      </c>
      <c r="B18" s="1" t="s">
        <v>148</v>
      </c>
      <c r="C18" s="1" t="s">
        <v>25</v>
      </c>
      <c r="D18" s="1">
        <v>8.1799999999999998E-3</v>
      </c>
      <c r="E18" s="1" t="s">
        <v>8</v>
      </c>
      <c r="F18" s="1" t="s">
        <v>27</v>
      </c>
      <c r="G18" s="1" t="s">
        <v>28</v>
      </c>
      <c r="J18" s="1" t="s">
        <v>309</v>
      </c>
    </row>
    <row r="19" spans="1:10" x14ac:dyDescent="0.35">
      <c r="A19" s="1" t="s">
        <v>312</v>
      </c>
      <c r="B19" s="1" t="s">
        <v>146</v>
      </c>
      <c r="C19" s="1" t="s">
        <v>25</v>
      </c>
      <c r="D19" s="1">
        <v>3.0000000000000001E-3</v>
      </c>
      <c r="E19" s="1" t="s">
        <v>8</v>
      </c>
      <c r="F19" s="1" t="s">
        <v>27</v>
      </c>
      <c r="G19" s="1" t="s">
        <v>28</v>
      </c>
      <c r="J19" s="1" t="s">
        <v>309</v>
      </c>
    </row>
    <row r="20" spans="1:10" x14ac:dyDescent="0.35">
      <c r="A20" s="1" t="s">
        <v>313</v>
      </c>
      <c r="B20" s="1" t="s">
        <v>314</v>
      </c>
      <c r="C20" s="1" t="s">
        <v>25</v>
      </c>
      <c r="D20" s="1">
        <v>5.1500000000000005E-4</v>
      </c>
      <c r="E20" s="1" t="s">
        <v>8</v>
      </c>
      <c r="F20" s="1" t="s">
        <v>27</v>
      </c>
      <c r="G20" s="1" t="s">
        <v>28</v>
      </c>
      <c r="J20" s="1" t="s">
        <v>309</v>
      </c>
    </row>
    <row r="21" spans="1:10" x14ac:dyDescent="0.35">
      <c r="A21" s="1" t="s">
        <v>315</v>
      </c>
      <c r="B21" s="1" t="s">
        <v>316</v>
      </c>
      <c r="C21" s="1" t="s">
        <v>209</v>
      </c>
      <c r="D21" s="1">
        <v>0.27900000000000003</v>
      </c>
      <c r="E21" s="1" t="s">
        <v>317</v>
      </c>
      <c r="F21" s="1" t="s">
        <v>27</v>
      </c>
      <c r="G21" s="1" t="s">
        <v>28</v>
      </c>
      <c r="J21" s="1" t="s">
        <v>309</v>
      </c>
    </row>
    <row r="22" spans="1:10" x14ac:dyDescent="0.35">
      <c r="A22" s="1" t="s">
        <v>75</v>
      </c>
      <c r="D22" s="1">
        <v>1.3899999999999999E-7</v>
      </c>
      <c r="E22" s="1" t="s">
        <v>76</v>
      </c>
      <c r="F22" s="1" t="s">
        <v>64</v>
      </c>
      <c r="G22" s="1" t="s">
        <v>65</v>
      </c>
      <c r="H22" s="1" t="s">
        <v>74</v>
      </c>
      <c r="J22" s="1" t="s">
        <v>309</v>
      </c>
    </row>
    <row r="23" spans="1:10" x14ac:dyDescent="0.35">
      <c r="A23" s="1" t="s">
        <v>177</v>
      </c>
      <c r="D23" s="1">
        <v>5.4500000000000003E-6</v>
      </c>
      <c r="E23" s="1" t="s">
        <v>8</v>
      </c>
      <c r="F23" s="1" t="s">
        <v>64</v>
      </c>
      <c r="G23" s="1" t="s">
        <v>65</v>
      </c>
      <c r="H23" s="1" t="s">
        <v>112</v>
      </c>
      <c r="J23" s="1" t="s">
        <v>309</v>
      </c>
    </row>
    <row r="24" spans="1:10" x14ac:dyDescent="0.35">
      <c r="A24" s="1" t="s">
        <v>178</v>
      </c>
      <c r="D24" s="1">
        <v>5.1500000000000005E-4</v>
      </c>
      <c r="E24" s="1" t="s">
        <v>8</v>
      </c>
      <c r="F24" s="1" t="s">
        <v>64</v>
      </c>
      <c r="G24" s="1" t="s">
        <v>65</v>
      </c>
      <c r="H24" s="1" t="s">
        <v>112</v>
      </c>
      <c r="J24" s="1" t="s">
        <v>309</v>
      </c>
    </row>
    <row r="25" spans="1:10" x14ac:dyDescent="0.35">
      <c r="A25" s="1" t="s">
        <v>211</v>
      </c>
      <c r="D25" s="1">
        <v>8.4799999999999997E-7</v>
      </c>
      <c r="E25" s="1" t="s">
        <v>8</v>
      </c>
      <c r="F25" s="1" t="s">
        <v>64</v>
      </c>
      <c r="G25" s="1" t="s">
        <v>65</v>
      </c>
      <c r="H25" s="1" t="s">
        <v>112</v>
      </c>
      <c r="J25" s="1" t="s">
        <v>309</v>
      </c>
    </row>
    <row r="26" spans="1:10" x14ac:dyDescent="0.35">
      <c r="A26" s="1" t="s">
        <v>282</v>
      </c>
      <c r="D26" s="1">
        <v>2.9999999999999997E-8</v>
      </c>
      <c r="E26" s="1" t="s">
        <v>8</v>
      </c>
      <c r="F26" s="1" t="s">
        <v>64</v>
      </c>
      <c r="G26" s="1" t="s">
        <v>65</v>
      </c>
      <c r="H26" s="1" t="s">
        <v>227</v>
      </c>
      <c r="J26" s="1" t="s">
        <v>309</v>
      </c>
    </row>
    <row r="27" spans="1:10" x14ac:dyDescent="0.35">
      <c r="A27" s="1" t="s">
        <v>113</v>
      </c>
      <c r="D27" s="1">
        <v>4.5500000000000001E-5</v>
      </c>
      <c r="E27" s="1" t="s">
        <v>8</v>
      </c>
      <c r="F27" s="1" t="s">
        <v>64</v>
      </c>
      <c r="G27" s="1" t="s">
        <v>65</v>
      </c>
      <c r="H27" s="1" t="s">
        <v>112</v>
      </c>
      <c r="J27" s="1" t="s">
        <v>309</v>
      </c>
    </row>
    <row r="28" spans="1:10" x14ac:dyDescent="0.35">
      <c r="A28" s="1" t="s">
        <v>293</v>
      </c>
      <c r="D28" s="1">
        <v>1E-8</v>
      </c>
      <c r="E28" s="1" t="s">
        <v>8</v>
      </c>
      <c r="F28" s="1" t="s">
        <v>64</v>
      </c>
      <c r="G28" s="1" t="s">
        <v>65</v>
      </c>
      <c r="H28" s="1" t="s">
        <v>227</v>
      </c>
      <c r="J28" s="1" t="s">
        <v>309</v>
      </c>
    </row>
    <row r="29" spans="1:10" x14ac:dyDescent="0.35">
      <c r="A29" s="1" t="s">
        <v>212</v>
      </c>
      <c r="D29" s="1">
        <v>1.3900000000000001E-5</v>
      </c>
      <c r="E29" s="1" t="s">
        <v>8</v>
      </c>
      <c r="F29" s="1" t="s">
        <v>64</v>
      </c>
      <c r="G29" s="1" t="s">
        <v>65</v>
      </c>
      <c r="H29" s="1" t="s">
        <v>112</v>
      </c>
      <c r="J29" s="1" t="s">
        <v>309</v>
      </c>
    </row>
    <row r="30" spans="1:10" x14ac:dyDescent="0.35">
      <c r="A30" s="1" t="s">
        <v>213</v>
      </c>
      <c r="D30" s="1">
        <v>6.6699999999999997E-6</v>
      </c>
      <c r="E30" s="1" t="s">
        <v>8</v>
      </c>
      <c r="F30" s="1" t="s">
        <v>64</v>
      </c>
      <c r="G30" s="1" t="s">
        <v>65</v>
      </c>
      <c r="H30" s="1" t="s">
        <v>112</v>
      </c>
      <c r="J30" s="1" t="s">
        <v>309</v>
      </c>
    </row>
    <row r="31" spans="1:10" x14ac:dyDescent="0.35">
      <c r="A31" s="1" t="s">
        <v>214</v>
      </c>
      <c r="D31" s="1">
        <v>8.7899999999999997E-7</v>
      </c>
      <c r="E31" s="1" t="s">
        <v>8</v>
      </c>
      <c r="F31" s="1" t="s">
        <v>64</v>
      </c>
      <c r="G31" s="1" t="s">
        <v>65</v>
      </c>
      <c r="H31" s="1" t="s">
        <v>112</v>
      </c>
      <c r="J31" s="1" t="s">
        <v>309</v>
      </c>
    </row>
    <row r="32" spans="1:10" x14ac:dyDescent="0.35">
      <c r="A32" s="1" t="s">
        <v>136</v>
      </c>
      <c r="D32" s="1">
        <v>1.8799999999999999E-4</v>
      </c>
      <c r="E32" s="1" t="s">
        <v>8</v>
      </c>
      <c r="F32" s="1" t="s">
        <v>64</v>
      </c>
      <c r="G32" s="1" t="s">
        <v>65</v>
      </c>
      <c r="H32" s="1" t="s">
        <v>112</v>
      </c>
      <c r="J32" s="1" t="s">
        <v>309</v>
      </c>
    </row>
    <row r="33" spans="1:14" x14ac:dyDescent="0.35">
      <c r="A33" s="1" t="s">
        <v>294</v>
      </c>
      <c r="D33" s="1">
        <v>2.9999999999999997E-8</v>
      </c>
      <c r="E33" s="1" t="s">
        <v>8</v>
      </c>
      <c r="F33" s="1" t="s">
        <v>64</v>
      </c>
      <c r="G33" s="1" t="s">
        <v>65</v>
      </c>
      <c r="H33" s="1" t="s">
        <v>112</v>
      </c>
      <c r="J33" s="1" t="s">
        <v>309</v>
      </c>
    </row>
    <row r="34" spans="1:14" x14ac:dyDescent="0.35">
      <c r="A34" s="1" t="s">
        <v>318</v>
      </c>
      <c r="D34" s="1">
        <v>8.7899999999999997E-7</v>
      </c>
      <c r="E34" s="1" t="s">
        <v>8</v>
      </c>
      <c r="F34" s="1" t="s">
        <v>64</v>
      </c>
      <c r="G34" s="1" t="s">
        <v>65</v>
      </c>
      <c r="H34" s="1" t="s">
        <v>227</v>
      </c>
      <c r="J34" s="1" t="s">
        <v>309</v>
      </c>
    </row>
    <row r="35" spans="1:14" x14ac:dyDescent="0.35">
      <c r="A35" s="1" t="s">
        <v>319</v>
      </c>
      <c r="D35" s="1">
        <v>1.0000000000000001E-9</v>
      </c>
      <c r="E35" s="1" t="s">
        <v>8</v>
      </c>
      <c r="F35" s="1" t="s">
        <v>64</v>
      </c>
      <c r="G35" s="1" t="s">
        <v>65</v>
      </c>
      <c r="H35" s="1" t="s">
        <v>227</v>
      </c>
      <c r="J35" s="1" t="s">
        <v>309</v>
      </c>
    </row>
    <row r="36" spans="1:14" x14ac:dyDescent="0.35">
      <c r="A36" s="1" t="s">
        <v>136</v>
      </c>
      <c r="D36" s="1">
        <v>2.6699999999999998E-5</v>
      </c>
      <c r="E36" s="1" t="s">
        <v>8</v>
      </c>
      <c r="F36" s="1" t="s">
        <v>64</v>
      </c>
      <c r="G36" s="1" t="s">
        <v>65</v>
      </c>
      <c r="H36" s="1" t="s">
        <v>112</v>
      </c>
      <c r="J36" s="1" t="s">
        <v>309</v>
      </c>
    </row>
    <row r="37" spans="1:14" x14ac:dyDescent="0.35">
      <c r="A37" s="1" t="s">
        <v>216</v>
      </c>
      <c r="D37" s="1">
        <v>6.9699999999999995E-8</v>
      </c>
      <c r="E37" s="1" t="s">
        <v>8</v>
      </c>
      <c r="F37" s="1" t="s">
        <v>64</v>
      </c>
      <c r="G37" s="1" t="s">
        <v>65</v>
      </c>
      <c r="H37" s="1" t="s">
        <v>112</v>
      </c>
      <c r="J37" s="1" t="s">
        <v>309</v>
      </c>
    </row>
    <row r="38" spans="1:14" x14ac:dyDescent="0.35">
      <c r="A38" s="1" t="s">
        <v>217</v>
      </c>
      <c r="D38" s="1">
        <v>1.6400000000000001E-14</v>
      </c>
      <c r="E38" s="1" t="s">
        <v>8</v>
      </c>
      <c r="F38" s="1" t="s">
        <v>64</v>
      </c>
      <c r="G38" s="1" t="s">
        <v>65</v>
      </c>
      <c r="H38" s="1" t="s">
        <v>112</v>
      </c>
      <c r="J38" s="1" t="s">
        <v>309</v>
      </c>
    </row>
    <row r="39" spans="1:14" s="10" customFormat="1" x14ac:dyDescent="0.35"/>
    <row r="40" spans="1:14" x14ac:dyDescent="0.35">
      <c r="A40" s="2" t="s">
        <v>0</v>
      </c>
      <c r="B40" s="2" t="s">
        <v>320</v>
      </c>
    </row>
    <row r="41" spans="1:14" x14ac:dyDescent="0.35">
      <c r="A41" s="3" t="s">
        <v>2</v>
      </c>
      <c r="B41" s="1" t="s">
        <v>138</v>
      </c>
    </row>
    <row r="42" spans="1:14" x14ac:dyDescent="0.35">
      <c r="A42" s="3" t="s">
        <v>4</v>
      </c>
      <c r="B42" s="1" t="s">
        <v>308</v>
      </c>
    </row>
    <row r="43" spans="1:14" x14ac:dyDescent="0.35">
      <c r="A43" s="3" t="s">
        <v>6</v>
      </c>
      <c r="B43" s="1">
        <v>1</v>
      </c>
    </row>
    <row r="44" spans="1:14" x14ac:dyDescent="0.35">
      <c r="A44" s="3" t="s">
        <v>7</v>
      </c>
      <c r="B44" s="1" t="s">
        <v>8</v>
      </c>
    </row>
    <row r="45" spans="1:14" x14ac:dyDescent="0.35">
      <c r="A45" s="3" t="s">
        <v>9</v>
      </c>
      <c r="B45" s="1" t="s">
        <v>10</v>
      </c>
    </row>
    <row r="46" spans="1:14" x14ac:dyDescent="0.35">
      <c r="A46" s="3" t="s">
        <v>11</v>
      </c>
    </row>
    <row r="47" spans="1:14" x14ac:dyDescent="0.35">
      <c r="A47" s="2" t="s">
        <v>12</v>
      </c>
      <c r="B47" s="2" t="s">
        <v>2</v>
      </c>
      <c r="C47" s="2" t="s">
        <v>4</v>
      </c>
      <c r="D47" s="2" t="s">
        <v>6</v>
      </c>
      <c r="E47" s="2" t="s">
        <v>7</v>
      </c>
      <c r="F47" s="2" t="s">
        <v>13</v>
      </c>
      <c r="G47" s="2" t="s">
        <v>14</v>
      </c>
      <c r="H47" s="2" t="s">
        <v>15</v>
      </c>
      <c r="I47" s="2" t="s">
        <v>16</v>
      </c>
      <c r="J47" s="2" t="s">
        <v>17</v>
      </c>
      <c r="K47" s="2" t="s">
        <v>18</v>
      </c>
      <c r="L47" s="2" t="s">
        <v>19</v>
      </c>
      <c r="M47" s="2" t="s">
        <v>20</v>
      </c>
      <c r="N47" s="2" t="s">
        <v>21</v>
      </c>
    </row>
    <row r="48" spans="1:14" x14ac:dyDescent="0.35">
      <c r="A48" s="1" t="str">
        <f>B40</f>
        <v>Steel production in Turkey</v>
      </c>
      <c r="B48" s="1" t="str">
        <f>B41</f>
        <v>Steel</v>
      </c>
      <c r="C48" s="1" t="str">
        <f>B42</f>
        <v>TR</v>
      </c>
      <c r="D48" s="1">
        <v>1</v>
      </c>
      <c r="E48" s="1" t="s">
        <v>8</v>
      </c>
      <c r="F48" s="9" t="str">
        <f>F9</f>
        <v>Iron</v>
      </c>
      <c r="G48" s="1" t="s">
        <v>22</v>
      </c>
    </row>
    <row r="49" spans="1:10" x14ac:dyDescent="0.35">
      <c r="A49" s="1" t="str">
        <f>A9</f>
        <v>[R] Crude steel production (Turkey)</v>
      </c>
      <c r="B49" s="1" t="str">
        <f>B9</f>
        <v>Steel</v>
      </c>
      <c r="C49" s="1" t="str">
        <f>C9</f>
        <v>TR</v>
      </c>
      <c r="D49" s="1">
        <v>1</v>
      </c>
      <c r="E49" s="1" t="str">
        <f>E9</f>
        <v>kilogram</v>
      </c>
      <c r="F49" s="9" t="str">
        <f>F9</f>
        <v>Iron</v>
      </c>
      <c r="G49" s="1" t="s">
        <v>28</v>
      </c>
    </row>
    <row r="50" spans="1:10" x14ac:dyDescent="0.35">
      <c r="A50" s="1" t="s">
        <v>163</v>
      </c>
      <c r="B50" s="1" t="s">
        <v>164</v>
      </c>
      <c r="C50" s="1" t="s">
        <v>209</v>
      </c>
      <c r="D50" s="1">
        <v>1.0900000000000001</v>
      </c>
      <c r="E50" s="1" t="s">
        <v>8</v>
      </c>
      <c r="F50" s="1" t="s">
        <v>27</v>
      </c>
      <c r="G50" s="1" t="s">
        <v>28</v>
      </c>
      <c r="J50" s="1" t="s">
        <v>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F992-828E-4A12-8F16-C532DD55B4FD}">
  <sheetPr>
    <tabColor theme="8" tint="0.39997558519241921"/>
  </sheetPr>
  <dimension ref="A1:N40"/>
  <sheetViews>
    <sheetView topLeftCell="A21" workbookViewId="0">
      <selection activeCell="B16" sqref="B16"/>
    </sheetView>
  </sheetViews>
  <sheetFormatPr baseColWidth="10" defaultColWidth="8.7265625" defaultRowHeight="14.5" x14ac:dyDescent="0.35"/>
  <cols>
    <col min="1" max="1" width="65.1796875" style="1" bestFit="1" customWidth="1"/>
    <col min="2" max="2" width="92.26953125" style="1" customWidth="1"/>
    <col min="3" max="3" width="8.1796875" style="1" bestFit="1" customWidth="1"/>
    <col min="4" max="4" width="12" style="1" bestFit="1" customWidth="1"/>
    <col min="5" max="5" width="13.1796875" style="1" bestFit="1" customWidth="1"/>
    <col min="6" max="6" width="19.7265625" style="1" bestFit="1" customWidth="1"/>
    <col min="7" max="7" width="13.26953125" style="1" bestFit="1" customWidth="1"/>
    <col min="8" max="8" width="34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8.7265625" style="1"/>
  </cols>
  <sheetData>
    <row r="1" spans="1:14" x14ac:dyDescent="0.35">
      <c r="A1" s="12" t="s">
        <v>0</v>
      </c>
      <c r="B1" s="12" t="s">
        <v>328</v>
      </c>
    </row>
    <row r="2" spans="1:14" x14ac:dyDescent="0.35">
      <c r="A2" s="3" t="s">
        <v>2</v>
      </c>
      <c r="B2" s="1" t="s">
        <v>329</v>
      </c>
    </row>
    <row r="3" spans="1:14" x14ac:dyDescent="0.35">
      <c r="A3" s="3" t="s">
        <v>4</v>
      </c>
      <c r="B3" s="1" t="s">
        <v>84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330</v>
      </c>
    </row>
    <row r="7" spans="1:14" x14ac:dyDescent="0.35">
      <c r="A7" s="3" t="s">
        <v>11</v>
      </c>
    </row>
    <row r="8" spans="1:14" x14ac:dyDescent="0.35">
      <c r="A8" s="12" t="s">
        <v>12</v>
      </c>
      <c r="B8" s="12" t="s">
        <v>2</v>
      </c>
      <c r="C8" s="12" t="s">
        <v>4</v>
      </c>
      <c r="D8" s="12" t="s">
        <v>6</v>
      </c>
      <c r="E8" s="12" t="s">
        <v>7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  <c r="M8" s="12" t="s">
        <v>20</v>
      </c>
      <c r="N8" s="12" t="s">
        <v>21</v>
      </c>
    </row>
    <row r="9" spans="1:14" x14ac:dyDescent="0.35">
      <c r="A9" s="1" t="str">
        <f>B1</f>
        <v>Construction &amp; Demolition (C&amp;D) wastes</v>
      </c>
      <c r="B9" s="1" t="str">
        <f>B2</f>
        <v>C&amp;D wastes</v>
      </c>
      <c r="C9" s="1" t="s">
        <v>84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s="11" customFormat="1" x14ac:dyDescent="0.35"/>
    <row r="11" spans="1:14" x14ac:dyDescent="0.35">
      <c r="A11" s="12" t="s">
        <v>0</v>
      </c>
      <c r="B11" s="12" t="s">
        <v>331</v>
      </c>
    </row>
    <row r="12" spans="1:14" x14ac:dyDescent="0.35">
      <c r="A12" s="3" t="s">
        <v>2</v>
      </c>
      <c r="B12" s="1" t="s">
        <v>332</v>
      </c>
    </row>
    <row r="13" spans="1:14" x14ac:dyDescent="0.35">
      <c r="A13" s="3" t="s">
        <v>4</v>
      </c>
      <c r="B13" s="1" t="s">
        <v>84</v>
      </c>
    </row>
    <row r="14" spans="1:14" x14ac:dyDescent="0.35">
      <c r="A14" s="3" t="s">
        <v>6</v>
      </c>
      <c r="B14" s="1">
        <v>1</v>
      </c>
    </row>
    <row r="15" spans="1:14" x14ac:dyDescent="0.35">
      <c r="A15" s="3" t="s">
        <v>7</v>
      </c>
      <c r="B15" s="1" t="s">
        <v>8</v>
      </c>
    </row>
    <row r="16" spans="1:14" ht="29" x14ac:dyDescent="0.35">
      <c r="A16" s="3" t="s">
        <v>9</v>
      </c>
      <c r="B16" s="15" t="s">
        <v>347</v>
      </c>
    </row>
    <row r="17" spans="1:14" x14ac:dyDescent="0.35">
      <c r="A17" s="3" t="s">
        <v>11</v>
      </c>
    </row>
    <row r="18" spans="1:14" x14ac:dyDescent="0.35">
      <c r="A18" s="12" t="s">
        <v>12</v>
      </c>
      <c r="B18" s="12" t="s">
        <v>2</v>
      </c>
      <c r="C18" s="12" t="s">
        <v>4</v>
      </c>
      <c r="D18" s="12" t="s">
        <v>6</v>
      </c>
      <c r="E18" s="12" t="s">
        <v>7</v>
      </c>
      <c r="F18" s="12" t="s">
        <v>13</v>
      </c>
      <c r="G18" s="12" t="s">
        <v>14</v>
      </c>
      <c r="H18" s="12" t="s">
        <v>15</v>
      </c>
      <c r="I18" s="12" t="s">
        <v>16</v>
      </c>
      <c r="J18" s="12" t="s">
        <v>17</v>
      </c>
      <c r="K18" s="12" t="s">
        <v>18</v>
      </c>
      <c r="L18" s="12" t="s">
        <v>19</v>
      </c>
      <c r="M18" s="12" t="s">
        <v>20</v>
      </c>
      <c r="N18" s="12" t="s">
        <v>21</v>
      </c>
    </row>
    <row r="19" spans="1:14" x14ac:dyDescent="0.35">
      <c r="A19" s="1" t="str">
        <f>B11</f>
        <v>[C] C&amp;D wastes collection and pre-treatment</v>
      </c>
      <c r="B19" s="1" t="str">
        <f>B12</f>
        <v>Iron (Fe) scraps</v>
      </c>
      <c r="C19" s="1" t="s">
        <v>84</v>
      </c>
      <c r="D19" s="1">
        <v>1</v>
      </c>
      <c r="E19" s="1" t="s">
        <v>8</v>
      </c>
      <c r="F19" s="9" t="str">
        <f>F9</f>
        <v>Iron</v>
      </c>
      <c r="G19" s="1" t="s">
        <v>22</v>
      </c>
    </row>
    <row r="20" spans="1:14" x14ac:dyDescent="0.35">
      <c r="A20" s="1" t="s">
        <v>333</v>
      </c>
      <c r="B20" s="1" t="s">
        <v>334</v>
      </c>
      <c r="C20" s="1" t="s">
        <v>40</v>
      </c>
      <c r="D20" s="16">
        <v>12.378394483403888</v>
      </c>
      <c r="E20" s="1" t="s">
        <v>317</v>
      </c>
      <c r="F20" s="1" t="s">
        <v>27</v>
      </c>
      <c r="G20" s="1" t="s">
        <v>28</v>
      </c>
      <c r="J20" s="1" t="s">
        <v>335</v>
      </c>
    </row>
    <row r="21" spans="1:14" x14ac:dyDescent="0.35">
      <c r="A21" s="1" t="s">
        <v>23</v>
      </c>
      <c r="B21" s="1" t="s">
        <v>24</v>
      </c>
      <c r="C21" s="1" t="s">
        <v>25</v>
      </c>
      <c r="D21" s="16">
        <v>5.661866535009849E-2</v>
      </c>
      <c r="E21" s="1" t="s">
        <v>26</v>
      </c>
      <c r="F21" s="1" t="s">
        <v>27</v>
      </c>
      <c r="G21" s="1" t="s">
        <v>28</v>
      </c>
      <c r="J21" s="1" t="s">
        <v>336</v>
      </c>
    </row>
    <row r="22" spans="1:14" x14ac:dyDescent="0.35">
      <c r="A22" s="1" t="s">
        <v>337</v>
      </c>
      <c r="B22" s="1" t="s">
        <v>140</v>
      </c>
      <c r="C22" s="1" t="s">
        <v>40</v>
      </c>
      <c r="D22" s="16">
        <v>4.9957645897145728E-2</v>
      </c>
      <c r="E22" s="1" t="s">
        <v>8</v>
      </c>
      <c r="F22" s="1" t="s">
        <v>27</v>
      </c>
      <c r="G22" s="1" t="s">
        <v>28</v>
      </c>
      <c r="J22" s="1" t="s">
        <v>336</v>
      </c>
    </row>
    <row r="23" spans="1:14" x14ac:dyDescent="0.35">
      <c r="A23" s="1" t="s">
        <v>338</v>
      </c>
      <c r="B23" s="1" t="s">
        <v>305</v>
      </c>
      <c r="C23" s="1" t="s">
        <v>84</v>
      </c>
      <c r="D23" s="16">
        <v>5.1622900760383929E-2</v>
      </c>
      <c r="E23" s="1" t="s">
        <v>35</v>
      </c>
      <c r="F23" s="1" t="s">
        <v>27</v>
      </c>
      <c r="G23" s="1" t="s">
        <v>28</v>
      </c>
      <c r="J23" s="1" t="s">
        <v>336</v>
      </c>
    </row>
    <row r="24" spans="1:14" x14ac:dyDescent="0.35">
      <c r="A24" s="1" t="s">
        <v>23</v>
      </c>
      <c r="B24" s="1" t="s">
        <v>24</v>
      </c>
      <c r="C24" s="1" t="s">
        <v>25</v>
      </c>
      <c r="D24" s="16">
        <v>4.6849170152434443E-2</v>
      </c>
      <c r="E24" s="1" t="s">
        <v>26</v>
      </c>
      <c r="F24" s="1" t="s">
        <v>27</v>
      </c>
      <c r="G24" s="1" t="s">
        <v>28</v>
      </c>
      <c r="J24" s="1" t="s">
        <v>336</v>
      </c>
    </row>
    <row r="25" spans="1:14" x14ac:dyDescent="0.35">
      <c r="A25" s="1" t="s">
        <v>337</v>
      </c>
      <c r="B25" s="1" t="s">
        <v>140</v>
      </c>
      <c r="C25" s="1" t="s">
        <v>40</v>
      </c>
      <c r="D25" s="16">
        <v>4.9957645897145728E-2</v>
      </c>
      <c r="E25" s="1" t="s">
        <v>8</v>
      </c>
      <c r="F25" s="1" t="s">
        <v>27</v>
      </c>
      <c r="G25" s="1" t="s">
        <v>28</v>
      </c>
      <c r="J25" s="1" t="s">
        <v>336</v>
      </c>
    </row>
    <row r="26" spans="1:14" x14ac:dyDescent="0.35">
      <c r="A26" s="1" t="s">
        <v>338</v>
      </c>
      <c r="B26" s="1" t="s">
        <v>305</v>
      </c>
      <c r="C26" s="1" t="s">
        <v>84</v>
      </c>
      <c r="D26" s="16">
        <v>2.2203398176509216E-2</v>
      </c>
      <c r="E26" s="1" t="s">
        <v>35</v>
      </c>
      <c r="F26" s="1" t="s">
        <v>27</v>
      </c>
      <c r="G26" s="1" t="s">
        <v>28</v>
      </c>
      <c r="J26" s="1" t="s">
        <v>336</v>
      </c>
    </row>
    <row r="27" spans="1:14" s="10" customFormat="1" x14ac:dyDescent="0.35"/>
    <row r="28" spans="1:14" x14ac:dyDescent="0.35">
      <c r="A28" s="12" t="s">
        <v>0</v>
      </c>
      <c r="B28" s="12" t="s">
        <v>339</v>
      </c>
    </row>
    <row r="29" spans="1:14" x14ac:dyDescent="0.35">
      <c r="A29" s="3" t="s">
        <v>2</v>
      </c>
      <c r="B29" s="1" t="s">
        <v>138</v>
      </c>
    </row>
    <row r="30" spans="1:14" x14ac:dyDescent="0.35">
      <c r="A30" s="3" t="s">
        <v>4</v>
      </c>
      <c r="B30" s="1" t="s">
        <v>84</v>
      </c>
    </row>
    <row r="31" spans="1:14" x14ac:dyDescent="0.35">
      <c r="A31" s="3" t="s">
        <v>6</v>
      </c>
      <c r="B31" s="1">
        <v>1</v>
      </c>
    </row>
    <row r="32" spans="1:14" x14ac:dyDescent="0.35">
      <c r="A32" s="3" t="s">
        <v>7</v>
      </c>
      <c r="B32" s="1" t="s">
        <v>8</v>
      </c>
    </row>
    <row r="33" spans="1:14" x14ac:dyDescent="0.35">
      <c r="A33" s="3" t="s">
        <v>9</v>
      </c>
      <c r="B33" s="15" t="s">
        <v>348</v>
      </c>
    </row>
    <row r="34" spans="1:14" x14ac:dyDescent="0.35">
      <c r="A34" s="3" t="s">
        <v>11</v>
      </c>
    </row>
    <row r="35" spans="1:14" x14ac:dyDescent="0.35">
      <c r="A35" s="12" t="s">
        <v>12</v>
      </c>
      <c r="B35" s="12" t="s">
        <v>2</v>
      </c>
      <c r="C35" s="12" t="s">
        <v>4</v>
      </c>
      <c r="D35" s="12" t="s">
        <v>6</v>
      </c>
      <c r="E35" s="12" t="s">
        <v>7</v>
      </c>
      <c r="F35" s="12" t="s">
        <v>13</v>
      </c>
      <c r="G35" s="12" t="s">
        <v>14</v>
      </c>
      <c r="H35" s="12" t="s">
        <v>15</v>
      </c>
      <c r="I35" s="12" t="s">
        <v>16</v>
      </c>
      <c r="J35" s="12" t="s">
        <v>17</v>
      </c>
      <c r="K35" s="12" t="s">
        <v>18</v>
      </c>
      <c r="L35" s="12" t="s">
        <v>19</v>
      </c>
      <c r="M35" s="12" t="s">
        <v>20</v>
      </c>
      <c r="N35" s="12" t="s">
        <v>21</v>
      </c>
    </row>
    <row r="36" spans="1:14" x14ac:dyDescent="0.35">
      <c r="A36" s="1" t="str">
        <f>B28</f>
        <v>Fe production in China through C&amp;D wastes recycling</v>
      </c>
      <c r="B36" s="1" t="str">
        <f>B29</f>
        <v>Steel</v>
      </c>
      <c r="C36" s="1" t="s">
        <v>84</v>
      </c>
      <c r="D36" s="1">
        <v>1</v>
      </c>
      <c r="E36" s="1" t="s">
        <v>8</v>
      </c>
      <c r="F36" s="9" t="str">
        <f>F19</f>
        <v>Iron</v>
      </c>
      <c r="G36" s="1" t="s">
        <v>22</v>
      </c>
    </row>
    <row r="37" spans="1:14" x14ac:dyDescent="0.35">
      <c r="A37" s="1" t="str">
        <f>PR8_CrudeSteel_DE!A42</f>
        <v>[R] Crude steel production (Germany)</v>
      </c>
      <c r="B37" s="1" t="str">
        <f>PR8_CrudeSteel_DE!B42</f>
        <v>Steel</v>
      </c>
      <c r="C37" s="1" t="str">
        <f>PR8_CrudeSteel_DE!C42</f>
        <v>DE</v>
      </c>
      <c r="D37" s="1">
        <v>0.5</v>
      </c>
      <c r="E37" s="1" t="str">
        <f>PR8_CrudeSteel_DE!E42</f>
        <v>kilogram</v>
      </c>
      <c r="F37" s="9" t="str">
        <f>PR8_CrudeSteel_DE!F42</f>
        <v>Iron</v>
      </c>
      <c r="G37" s="1" t="s">
        <v>28</v>
      </c>
    </row>
    <row r="38" spans="1:14" x14ac:dyDescent="0.35">
      <c r="A38" s="1" t="str">
        <f>PR11_CrudeSteel_TR!A49</f>
        <v>[R] Crude steel production (Turkey)</v>
      </c>
      <c r="B38" s="1" t="str">
        <f>PR11_CrudeSteel_TR!B49</f>
        <v>Steel</v>
      </c>
      <c r="C38" s="1" t="str">
        <f>PR11_CrudeSteel_TR!C49</f>
        <v>TR</v>
      </c>
      <c r="D38" s="1">
        <v>0.5</v>
      </c>
      <c r="E38" s="1" t="str">
        <f>PR11_CrudeSteel_TR!E49</f>
        <v>kilogram</v>
      </c>
      <c r="F38" s="9" t="str">
        <f>PR11_CrudeSteel_TR!F49</f>
        <v>Iron</v>
      </c>
      <c r="G38" s="1" t="s">
        <v>28</v>
      </c>
    </row>
    <row r="39" spans="1:14" x14ac:dyDescent="0.35">
      <c r="A39" s="1" t="str">
        <f>A19</f>
        <v>[C] C&amp;D wastes collection and pre-treatment</v>
      </c>
      <c r="B39" s="1" t="str">
        <f t="shared" ref="B39:F39" si="0">B19</f>
        <v>Iron (Fe) scraps</v>
      </c>
      <c r="C39" s="1" t="str">
        <f t="shared" si="0"/>
        <v>CN</v>
      </c>
      <c r="D39" s="1">
        <v>1.1499999999999999</v>
      </c>
      <c r="E39" s="1" t="str">
        <f t="shared" si="0"/>
        <v>kilogram</v>
      </c>
      <c r="F39" s="9" t="str">
        <f t="shared" si="0"/>
        <v>Iron</v>
      </c>
      <c r="G39" s="1" t="s">
        <v>28</v>
      </c>
    </row>
    <row r="40" spans="1:14" x14ac:dyDescent="0.35">
      <c r="A40" s="1" t="str">
        <f>A9</f>
        <v>Construction &amp; Demolition (C&amp;D) wastes</v>
      </c>
      <c r="B40" s="1" t="str">
        <f t="shared" ref="B40:F40" si="1">B9</f>
        <v>C&amp;D wastes</v>
      </c>
      <c r="C40" s="1" t="str">
        <f t="shared" si="1"/>
        <v>CN</v>
      </c>
      <c r="D40" s="16">
        <v>60.335321131818503</v>
      </c>
      <c r="E40" s="1" t="str">
        <f t="shared" si="1"/>
        <v>kilogram</v>
      </c>
      <c r="F40" s="9" t="str">
        <f t="shared" si="1"/>
        <v>Iron</v>
      </c>
      <c r="G40" s="1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B78F-5A44-4628-A0E2-865C06D67B76}">
  <sheetPr>
    <tabColor theme="8" tint="0.39997558519241921"/>
  </sheetPr>
  <dimension ref="A1:N39"/>
  <sheetViews>
    <sheetView topLeftCell="A33" workbookViewId="0">
      <selection activeCell="B20" sqref="B20"/>
    </sheetView>
  </sheetViews>
  <sheetFormatPr baseColWidth="10" defaultColWidth="8.7265625" defaultRowHeight="14.5" x14ac:dyDescent="0.35"/>
  <cols>
    <col min="1" max="1" width="64.453125" style="1" bestFit="1" customWidth="1"/>
    <col min="2" max="2" width="99.1796875" style="1" customWidth="1"/>
    <col min="3" max="3" width="8.1796875" style="1" bestFit="1" customWidth="1"/>
    <col min="4" max="4" width="12" style="1" bestFit="1" customWidth="1"/>
    <col min="5" max="5" width="13.1796875" style="1" bestFit="1" customWidth="1"/>
    <col min="6" max="6" width="19.7265625" style="1" bestFit="1" customWidth="1"/>
    <col min="7" max="7" width="13.26953125" style="1" bestFit="1" customWidth="1"/>
    <col min="8" max="8" width="34" style="1" bestFit="1" customWidth="1"/>
    <col min="9" max="9" width="15.54296875" style="1" bestFit="1" customWidth="1"/>
    <col min="10" max="10" width="9.7265625" style="1" bestFit="1" customWidth="1"/>
    <col min="11" max="11" width="3.54296875" style="1" bestFit="1" customWidth="1"/>
    <col min="12" max="12" width="5.453125" style="1" bestFit="1" customWidth="1"/>
    <col min="13" max="13" width="9.54296875" style="1" bestFit="1" customWidth="1"/>
    <col min="14" max="14" width="9.81640625" style="1" bestFit="1" customWidth="1"/>
    <col min="15" max="16384" width="8.7265625" style="1"/>
  </cols>
  <sheetData>
    <row r="1" spans="1:14" x14ac:dyDescent="0.35">
      <c r="A1" s="12" t="s">
        <v>0</v>
      </c>
      <c r="B1" s="12" t="s">
        <v>340</v>
      </c>
    </row>
    <row r="2" spans="1:14" x14ac:dyDescent="0.35">
      <c r="A2" s="3" t="s">
        <v>2</v>
      </c>
      <c r="B2" s="1" t="s">
        <v>341</v>
      </c>
    </row>
    <row r="3" spans="1:14" x14ac:dyDescent="0.35">
      <c r="A3" s="3" t="s">
        <v>4</v>
      </c>
      <c r="B3" s="1" t="s">
        <v>84</v>
      </c>
    </row>
    <row r="4" spans="1:14" x14ac:dyDescent="0.35">
      <c r="A4" s="3" t="s">
        <v>6</v>
      </c>
      <c r="B4" s="1">
        <v>1</v>
      </c>
    </row>
    <row r="5" spans="1:14" x14ac:dyDescent="0.35">
      <c r="A5" s="3" t="s">
        <v>7</v>
      </c>
      <c r="B5" s="1" t="s">
        <v>8</v>
      </c>
    </row>
    <row r="6" spans="1:14" x14ac:dyDescent="0.35">
      <c r="A6" s="3" t="s">
        <v>9</v>
      </c>
      <c r="B6" s="1" t="s">
        <v>330</v>
      </c>
    </row>
    <row r="7" spans="1:14" x14ac:dyDescent="0.35">
      <c r="A7" s="3" t="s">
        <v>11</v>
      </c>
    </row>
    <row r="8" spans="1:14" x14ac:dyDescent="0.35">
      <c r="A8" s="12" t="s">
        <v>12</v>
      </c>
      <c r="B8" s="12" t="s">
        <v>2</v>
      </c>
      <c r="C8" s="12" t="s">
        <v>4</v>
      </c>
      <c r="D8" s="12" t="s">
        <v>6</v>
      </c>
      <c r="E8" s="12" t="s">
        <v>7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  <c r="M8" s="12" t="s">
        <v>20</v>
      </c>
      <c r="N8" s="12" t="s">
        <v>21</v>
      </c>
    </row>
    <row r="9" spans="1:14" x14ac:dyDescent="0.35">
      <c r="A9" s="1" t="str">
        <f>B1</f>
        <v>End-of-life vehicles (ELV) wastes</v>
      </c>
      <c r="B9" s="1" t="str">
        <f>B2</f>
        <v>ELV wastes</v>
      </c>
      <c r="C9" s="1" t="s">
        <v>84</v>
      </c>
      <c r="D9" s="1">
        <v>1</v>
      </c>
      <c r="E9" s="1" t="s">
        <v>8</v>
      </c>
      <c r="F9" s="9" t="str">
        <f>Fe_Market_GLO!B1</f>
        <v>Iron</v>
      </c>
      <c r="G9" s="1" t="s">
        <v>22</v>
      </c>
    </row>
    <row r="10" spans="1:14" s="11" customFormat="1" x14ac:dyDescent="0.35"/>
    <row r="11" spans="1:14" x14ac:dyDescent="0.35">
      <c r="A11" s="12" t="s">
        <v>0</v>
      </c>
      <c r="B11" s="12" t="s">
        <v>342</v>
      </c>
    </row>
    <row r="12" spans="1:14" x14ac:dyDescent="0.35">
      <c r="A12" s="3" t="s">
        <v>2</v>
      </c>
      <c r="B12" s="1" t="s">
        <v>332</v>
      </c>
    </row>
    <row r="13" spans="1:14" x14ac:dyDescent="0.35">
      <c r="A13" s="3" t="s">
        <v>4</v>
      </c>
      <c r="B13" s="1" t="s">
        <v>84</v>
      </c>
    </row>
    <row r="14" spans="1:14" x14ac:dyDescent="0.35">
      <c r="A14" s="3" t="s">
        <v>6</v>
      </c>
      <c r="B14" s="1">
        <v>1</v>
      </c>
    </row>
    <row r="15" spans="1:14" x14ac:dyDescent="0.35">
      <c r="A15" s="3" t="s">
        <v>7</v>
      </c>
      <c r="B15" s="1" t="s">
        <v>8</v>
      </c>
    </row>
    <row r="16" spans="1:14" ht="29" x14ac:dyDescent="0.35">
      <c r="A16" s="3" t="s">
        <v>9</v>
      </c>
      <c r="B16" s="15" t="s">
        <v>349</v>
      </c>
    </row>
    <row r="17" spans="1:14" x14ac:dyDescent="0.35">
      <c r="A17" s="3" t="s">
        <v>11</v>
      </c>
    </row>
    <row r="18" spans="1:14" x14ac:dyDescent="0.35">
      <c r="A18" s="12" t="s">
        <v>12</v>
      </c>
      <c r="B18" s="12" t="s">
        <v>2</v>
      </c>
      <c r="C18" s="12" t="s">
        <v>4</v>
      </c>
      <c r="D18" s="12" t="s">
        <v>6</v>
      </c>
      <c r="E18" s="12" t="s">
        <v>7</v>
      </c>
      <c r="F18" s="12" t="s">
        <v>13</v>
      </c>
      <c r="G18" s="12" t="s">
        <v>14</v>
      </c>
      <c r="H18" s="12" t="s">
        <v>15</v>
      </c>
      <c r="I18" s="12" t="s">
        <v>16</v>
      </c>
      <c r="J18" s="12" t="s">
        <v>17</v>
      </c>
      <c r="K18" s="12" t="s">
        <v>18</v>
      </c>
      <c r="L18" s="12" t="s">
        <v>19</v>
      </c>
      <c r="M18" s="12" t="s">
        <v>20</v>
      </c>
      <c r="N18" s="12" t="s">
        <v>21</v>
      </c>
    </row>
    <row r="19" spans="1:14" x14ac:dyDescent="0.35">
      <c r="A19" s="1" t="str">
        <f>B11</f>
        <v>[C] ELV wastes collection and pre-treatment</v>
      </c>
      <c r="B19" s="1" t="str">
        <f>B12</f>
        <v>Iron (Fe) scraps</v>
      </c>
      <c r="C19" s="1" t="s">
        <v>84</v>
      </c>
      <c r="D19" s="1">
        <v>1</v>
      </c>
      <c r="E19" s="1" t="s">
        <v>8</v>
      </c>
      <c r="F19" s="9" t="str">
        <f>F9</f>
        <v>Iron</v>
      </c>
      <c r="G19" s="1" t="s">
        <v>22</v>
      </c>
    </row>
    <row r="20" spans="1:14" x14ac:dyDescent="0.35">
      <c r="A20" s="1" t="s">
        <v>333</v>
      </c>
      <c r="B20" s="1" t="s">
        <v>334</v>
      </c>
      <c r="C20" s="1" t="s">
        <v>40</v>
      </c>
      <c r="D20" s="1">
        <v>0.70284377745902971</v>
      </c>
      <c r="E20" s="1" t="s">
        <v>317</v>
      </c>
      <c r="F20" s="1" t="s">
        <v>27</v>
      </c>
      <c r="G20" s="1" t="s">
        <v>28</v>
      </c>
      <c r="J20" s="1" t="s">
        <v>335</v>
      </c>
    </row>
    <row r="21" spans="1:14" x14ac:dyDescent="0.35">
      <c r="A21" s="1" t="s">
        <v>338</v>
      </c>
      <c r="B21" s="1" t="s">
        <v>305</v>
      </c>
      <c r="C21" s="1" t="s">
        <v>84</v>
      </c>
      <c r="D21" s="1">
        <v>7.6141409224728201E-2</v>
      </c>
      <c r="E21" s="1" t="s">
        <v>35</v>
      </c>
      <c r="F21" s="1" t="s">
        <v>27</v>
      </c>
      <c r="G21" s="1" t="s">
        <v>28</v>
      </c>
      <c r="J21" s="1" t="s">
        <v>343</v>
      </c>
    </row>
    <row r="22" spans="1:14" x14ac:dyDescent="0.35">
      <c r="A22" s="1" t="s">
        <v>23</v>
      </c>
      <c r="B22" s="1" t="s">
        <v>24</v>
      </c>
      <c r="C22" s="1" t="s">
        <v>25</v>
      </c>
      <c r="D22" s="1">
        <v>0.57218692139292793</v>
      </c>
      <c r="E22" s="1" t="s">
        <v>26</v>
      </c>
      <c r="F22" s="1" t="s">
        <v>27</v>
      </c>
      <c r="G22" s="1" t="s">
        <v>28</v>
      </c>
      <c r="J22" s="1" t="s">
        <v>343</v>
      </c>
    </row>
    <row r="23" spans="1:14" x14ac:dyDescent="0.35">
      <c r="A23" s="1" t="s">
        <v>224</v>
      </c>
      <c r="B23" s="1" t="s">
        <v>225</v>
      </c>
      <c r="C23" s="1" t="s">
        <v>40</v>
      </c>
      <c r="D23" s="1">
        <v>1.4507416432167153E-3</v>
      </c>
      <c r="E23" s="1" t="s">
        <v>8</v>
      </c>
      <c r="F23" s="1" t="s">
        <v>27</v>
      </c>
      <c r="G23" s="1" t="s">
        <v>28</v>
      </c>
      <c r="J23" s="1" t="s">
        <v>343</v>
      </c>
    </row>
    <row r="24" spans="1:14" x14ac:dyDescent="0.35">
      <c r="A24" s="1" t="s">
        <v>344</v>
      </c>
      <c r="B24" s="1" t="s">
        <v>345</v>
      </c>
      <c r="C24" s="1" t="s">
        <v>40</v>
      </c>
      <c r="D24" s="1">
        <v>5.9471396554225593E-4</v>
      </c>
      <c r="E24" s="1" t="s">
        <v>8</v>
      </c>
      <c r="F24" s="1" t="s">
        <v>27</v>
      </c>
      <c r="G24" s="1" t="s">
        <v>28</v>
      </c>
      <c r="J24" s="1" t="s">
        <v>343</v>
      </c>
    </row>
    <row r="25" spans="1:14" x14ac:dyDescent="0.35">
      <c r="A25" s="1" t="s">
        <v>338</v>
      </c>
      <c r="B25" s="1" t="s">
        <v>305</v>
      </c>
      <c r="C25" s="1" t="s">
        <v>84</v>
      </c>
      <c r="D25" s="1">
        <v>6.9833836862916401E-2</v>
      </c>
      <c r="E25" s="1" t="s">
        <v>35</v>
      </c>
      <c r="F25" s="1" t="s">
        <v>27</v>
      </c>
      <c r="G25" s="1" t="s">
        <v>28</v>
      </c>
      <c r="J25" s="1" t="s">
        <v>343</v>
      </c>
    </row>
    <row r="26" spans="1:14" s="10" customFormat="1" x14ac:dyDescent="0.35"/>
    <row r="27" spans="1:14" x14ac:dyDescent="0.35">
      <c r="A27" s="12" t="s">
        <v>0</v>
      </c>
      <c r="B27" s="12" t="s">
        <v>346</v>
      </c>
    </row>
    <row r="28" spans="1:14" x14ac:dyDescent="0.35">
      <c r="A28" s="3" t="s">
        <v>2</v>
      </c>
      <c r="B28" s="1" t="s">
        <v>138</v>
      </c>
    </row>
    <row r="29" spans="1:14" x14ac:dyDescent="0.35">
      <c r="A29" s="3" t="s">
        <v>4</v>
      </c>
      <c r="B29" s="1" t="s">
        <v>84</v>
      </c>
    </row>
    <row r="30" spans="1:14" x14ac:dyDescent="0.35">
      <c r="A30" s="3" t="s">
        <v>6</v>
      </c>
      <c r="B30" s="1">
        <v>1</v>
      </c>
    </row>
    <row r="31" spans="1:14" x14ac:dyDescent="0.35">
      <c r="A31" s="3" t="s">
        <v>7</v>
      </c>
      <c r="B31" s="1" t="s">
        <v>8</v>
      </c>
    </row>
    <row r="32" spans="1:14" x14ac:dyDescent="0.35">
      <c r="A32" s="3" t="s">
        <v>9</v>
      </c>
      <c r="B32" s="15" t="s">
        <v>350</v>
      </c>
    </row>
    <row r="33" spans="1:14" x14ac:dyDescent="0.35">
      <c r="A33" s="3" t="s">
        <v>11</v>
      </c>
    </row>
    <row r="34" spans="1:14" x14ac:dyDescent="0.35">
      <c r="A34" s="12" t="s">
        <v>12</v>
      </c>
      <c r="B34" s="12" t="s">
        <v>2</v>
      </c>
      <c r="C34" s="12" t="s">
        <v>4</v>
      </c>
      <c r="D34" s="12" t="s">
        <v>6</v>
      </c>
      <c r="E34" s="12" t="s">
        <v>7</v>
      </c>
      <c r="F34" s="12" t="s">
        <v>13</v>
      </c>
      <c r="G34" s="12" t="s">
        <v>14</v>
      </c>
      <c r="H34" s="12" t="s">
        <v>15</v>
      </c>
      <c r="I34" s="12" t="s">
        <v>16</v>
      </c>
      <c r="J34" s="12" t="s">
        <v>17</v>
      </c>
      <c r="K34" s="12" t="s">
        <v>18</v>
      </c>
      <c r="L34" s="12" t="s">
        <v>19</v>
      </c>
      <c r="M34" s="12" t="s">
        <v>20</v>
      </c>
      <c r="N34" s="12" t="s">
        <v>21</v>
      </c>
    </row>
    <row r="35" spans="1:14" x14ac:dyDescent="0.35">
      <c r="A35" s="1" t="str">
        <f>B27</f>
        <v>Fe production in China through ELV wastes recycling</v>
      </c>
      <c r="B35" s="1" t="str">
        <f>B28</f>
        <v>Steel</v>
      </c>
      <c r="C35" s="1" t="s">
        <v>84</v>
      </c>
      <c r="D35" s="1">
        <v>1</v>
      </c>
      <c r="E35" s="1" t="s">
        <v>8</v>
      </c>
      <c r="F35" s="9" t="str">
        <f>F19</f>
        <v>Iron</v>
      </c>
      <c r="G35" s="1" t="s">
        <v>22</v>
      </c>
    </row>
    <row r="36" spans="1:14" x14ac:dyDescent="0.35">
      <c r="A36" s="1" t="str">
        <f>PR8_CrudeSteel_DE!A42</f>
        <v>[R] Crude steel production (Germany)</v>
      </c>
      <c r="B36" s="1" t="str">
        <f>PR8_CrudeSteel_DE!B42</f>
        <v>Steel</v>
      </c>
      <c r="C36" s="1" t="str">
        <f>PR8_CrudeSteel_DE!C42</f>
        <v>DE</v>
      </c>
      <c r="D36" s="1">
        <v>0.5</v>
      </c>
      <c r="E36" s="1" t="str">
        <f>PR8_CrudeSteel_DE!E42</f>
        <v>kilogram</v>
      </c>
      <c r="F36" s="9" t="str">
        <f>PR8_CrudeSteel_DE!F42</f>
        <v>Iron</v>
      </c>
      <c r="G36" s="1" t="s">
        <v>28</v>
      </c>
    </row>
    <row r="37" spans="1:14" x14ac:dyDescent="0.35">
      <c r="A37" s="1" t="str">
        <f>PR11_CrudeSteel_TR!A49</f>
        <v>[R] Crude steel production (Turkey)</v>
      </c>
      <c r="B37" s="1" t="str">
        <f>PR11_CrudeSteel_TR!B49</f>
        <v>Steel</v>
      </c>
      <c r="C37" s="1" t="str">
        <f>PR11_CrudeSteel_TR!C49</f>
        <v>TR</v>
      </c>
      <c r="D37" s="1">
        <v>0.5</v>
      </c>
      <c r="E37" s="1" t="str">
        <f>PR11_CrudeSteel_TR!E49</f>
        <v>kilogram</v>
      </c>
      <c r="F37" s="9" t="str">
        <f>PR11_CrudeSteel_TR!F49</f>
        <v>Iron</v>
      </c>
      <c r="G37" s="1" t="s">
        <v>28</v>
      </c>
    </row>
    <row r="38" spans="1:14" x14ac:dyDescent="0.35">
      <c r="A38" s="1" t="str">
        <f>A19</f>
        <v>[C] ELV wastes collection and pre-treatment</v>
      </c>
      <c r="B38" s="1" t="str">
        <f t="shared" ref="B38:F38" si="0">B19</f>
        <v>Iron (Fe) scraps</v>
      </c>
      <c r="C38" s="1" t="str">
        <f t="shared" si="0"/>
        <v>CN</v>
      </c>
      <c r="D38" s="1">
        <v>1.1499999999999999</v>
      </c>
      <c r="E38" s="1" t="str">
        <f t="shared" si="0"/>
        <v>kilogram</v>
      </c>
      <c r="F38" s="9" t="str">
        <f t="shared" si="0"/>
        <v>Iron</v>
      </c>
      <c r="G38" s="1" t="s">
        <v>28</v>
      </c>
    </row>
    <row r="39" spans="1:14" x14ac:dyDescent="0.35">
      <c r="A39" s="1" t="str">
        <f>A9</f>
        <v>End-of-life vehicles (ELV) wastes</v>
      </c>
      <c r="B39" s="1" t="str">
        <f t="shared" ref="B39:F39" si="1">B9</f>
        <v>ELV wastes</v>
      </c>
      <c r="C39" s="1" t="str">
        <f t="shared" si="1"/>
        <v>CN</v>
      </c>
      <c r="D39" s="16">
        <v>4.8971835107234485</v>
      </c>
      <c r="E39" s="1" t="str">
        <f t="shared" si="1"/>
        <v>kilogram</v>
      </c>
      <c r="F39" s="9" t="str">
        <f t="shared" si="1"/>
        <v>Iron</v>
      </c>
      <c r="G39" s="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E4197-A198-4B50-84F4-880B4443540A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39178972-AA2E-4D1D-BD37-36CC45E4A6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18FF83-860A-41A4-A954-B5E1FD2220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Note</vt:lpstr>
      <vt:lpstr>Fe_Market_GLO</vt:lpstr>
      <vt:lpstr>FeMine_Market_GLO</vt:lpstr>
      <vt:lpstr>PR1_CrudeSteel_BR</vt:lpstr>
      <vt:lpstr>PR2_SteelAHSS_CN</vt:lpstr>
      <vt:lpstr>PR3_Steel_CN_Shandong</vt:lpstr>
      <vt:lpstr>PR4_CrudeSteel_CN</vt:lpstr>
      <vt:lpstr>PR5_FeLiquid_CN</vt:lpstr>
      <vt:lpstr>PR6_Steel_IT</vt:lpstr>
      <vt:lpstr>PR7_CrudeSteel_IN</vt:lpstr>
      <vt:lpstr>PR8_CrudeSteel_DE</vt:lpstr>
      <vt:lpstr>PR9_CrudeSteel_KR</vt:lpstr>
      <vt:lpstr>PR10_CrudeSteel_RU</vt:lpstr>
      <vt:lpstr>PR11_CrudeSteel_TR</vt:lpstr>
      <vt:lpstr>PR12_Fe_CN_Recycling_CDW</vt:lpstr>
      <vt:lpstr>PR13_Fe_CN_Recycling_ELV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2025-07-11T08:47:39Z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