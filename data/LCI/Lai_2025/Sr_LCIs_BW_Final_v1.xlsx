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Sr_Strontium/"/>
    </mc:Choice>
  </mc:AlternateContent>
  <xr:revisionPtr revIDLastSave="122" documentId="8_{869C8C29-9DD1-4657-928C-8C6CCB5C9C17}" xr6:coauthVersionLast="47" xr6:coauthVersionMax="47" xr10:uidLastSave="{3DD16756-AD11-4081-9133-15A9515930DB}"/>
  <bookViews>
    <workbookView xWindow="-23148" yWindow="-108" windowWidth="23256" windowHeight="12576" activeTab="2" xr2:uid="{00000000-000D-0000-FFFF-FFFF00000000}"/>
  </bookViews>
  <sheets>
    <sheet name="Note" sheetId="1" r:id="rId1"/>
    <sheet name="Sr_Market_GLO" sheetId="3" r:id="rId2"/>
    <sheet name="PR1_SrCO3_GLO" sheetId="2" r:id="rId3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3" l="1"/>
  <c r="C23" i="3"/>
  <c r="D23" i="3"/>
  <c r="E23" i="3"/>
  <c r="F23" i="3"/>
  <c r="A23" i="3"/>
  <c r="B12" i="3"/>
  <c r="C12" i="3"/>
  <c r="D12" i="3"/>
  <c r="E12" i="3"/>
  <c r="A12" i="3"/>
  <c r="E58" i="2"/>
  <c r="E57" i="2"/>
  <c r="C56" i="2"/>
  <c r="B56" i="2"/>
  <c r="A56" i="2"/>
  <c r="E46" i="2"/>
  <c r="E45" i="2"/>
  <c r="C44" i="2"/>
  <c r="B44" i="2"/>
  <c r="A44" i="2"/>
  <c r="C30" i="2"/>
  <c r="C45" i="2" s="1"/>
  <c r="B30" i="2"/>
  <c r="B45" i="2" s="1"/>
  <c r="A30" i="2"/>
  <c r="A45" i="2" s="1"/>
  <c r="C57" i="2" l="1"/>
  <c r="A57" i="2"/>
  <c r="B57" i="2"/>
  <c r="F9" i="2" l="1"/>
  <c r="F58" i="2" s="1"/>
  <c r="C9" i="2"/>
  <c r="B9" i="2"/>
  <c r="A9" i="2"/>
  <c r="E22" i="3"/>
  <c r="C22" i="3"/>
  <c r="B22" i="3"/>
  <c r="A22" i="3"/>
  <c r="F11" i="3"/>
  <c r="F22" i="3" s="1"/>
  <c r="E11" i="3"/>
  <c r="C11" i="3"/>
  <c r="B11" i="3"/>
  <c r="A11" i="3"/>
  <c r="A46" i="2" l="1"/>
  <c r="A58" i="2"/>
  <c r="B46" i="2"/>
  <c r="B58" i="2"/>
  <c r="C46" i="2"/>
  <c r="C58" i="2"/>
  <c r="F30" i="2"/>
  <c r="F46" i="2"/>
  <c r="F44" i="2" l="1"/>
  <c r="F57" i="2"/>
  <c r="F45" i="2"/>
  <c r="F56" i="2" l="1"/>
  <c r="F12" i="3"/>
</calcChain>
</file>

<file path=xl/sharedStrings.xml><?xml version="1.0" encoding="utf-8"?>
<sst xmlns="http://schemas.openxmlformats.org/spreadsheetml/2006/main" count="280" uniqueCount="78">
  <si>
    <t>Activity</t>
  </si>
  <si>
    <t>reference product</t>
  </si>
  <si>
    <t>location</t>
  </si>
  <si>
    <t>GLO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</si>
  <si>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</si>
  <si>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</si>
  <si>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</si>
  <si>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</si>
  <si>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</si>
  <si>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</si>
  <si>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</si>
  <si>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</si>
  <si>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</si>
  <si>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</si>
  <si>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</si>
  <si>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</si>
  <si>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</si>
  <si>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</si>
  <si>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</si>
  <si>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</si>
  <si>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</si>
  <si>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</si>
  <si>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</si>
  <si>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</si>
  <si>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</si>
  <si>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</si>
  <si>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(4,5,5,5,1)</t>
  </si>
  <si>
    <t>market for explosive, tovex</t>
  </si>
  <si>
    <t>explosive, tovex</t>
  </si>
  <si>
    <t>market for conveyor belt</t>
  </si>
  <si>
    <t>conveyor belt</t>
  </si>
  <si>
    <t>meter</t>
  </si>
  <si>
    <t>market for mine infrastructure, open cast, non-ferrous metal</t>
  </si>
  <si>
    <t>mine infrastructure, open cast, non-ferrous metal</t>
  </si>
  <si>
    <t>treatment of non-sulfidic overburden, off-site</t>
  </si>
  <si>
    <t>non-sulfidic overburden, off-site</t>
  </si>
  <si>
    <t>Strontium</t>
  </si>
  <si>
    <t>biosphere3</t>
  </si>
  <si>
    <t>biosphere</t>
  </si>
  <si>
    <t>natural resource::in ground</t>
  </si>
  <si>
    <t>Water, unspecified natural origin</t>
  </si>
  <si>
    <t>cubic meter</t>
  </si>
  <si>
    <t>square meter</t>
  </si>
  <si>
    <t>natural resource::land</t>
  </si>
  <si>
    <t>Transformation, to mineral extraction site</t>
  </si>
  <si>
    <t>Occupation, mineral extraction site</t>
  </si>
  <si>
    <t>square meter-year</t>
  </si>
  <si>
    <t>heat, district or industrial, other than natural gas</t>
  </si>
  <si>
    <t>RoW</t>
  </si>
  <si>
    <t>market for sodium sulfide</t>
  </si>
  <si>
    <t>sodium sulfide</t>
  </si>
  <si>
    <t>Carbon dioxide, fossil</t>
  </si>
  <si>
    <t>Transformation, from unspecified</t>
  </si>
  <si>
    <t>Transformation, to unspecified</t>
  </si>
  <si>
    <t>heat production, at hard coal industrial furnace 1-10MW</t>
  </si>
  <si>
    <t>megajoule</t>
  </si>
  <si>
    <t>market for soda ash, dense</t>
  </si>
  <si>
    <t>soda ash, dense</t>
  </si>
  <si>
    <t>air</t>
  </si>
  <si>
    <t>Strontium (Sr) global market</t>
  </si>
  <si>
    <t>Strontium (Sr) global market (Sr content)</t>
  </si>
  <si>
    <t>Sr content</t>
  </si>
  <si>
    <t>Activity expressed for 1 kg Sr contained</t>
  </si>
  <si>
    <t>[M+C] Strontium (Sr) ore mining and concentration</t>
  </si>
  <si>
    <t>Sr sulfate (SrSO4)</t>
  </si>
  <si>
    <t>[P] Sr carbonate (SrCO3) production</t>
  </si>
  <si>
    <t>SrCO3</t>
  </si>
  <si>
    <t>The co-produced sodium sulfide is dealt through substitution.</t>
  </si>
  <si>
    <t>Celestite ore mining and SrCO3 production worldwide</t>
  </si>
  <si>
    <t>Celestite ore mining and SrCO3 production worldwide (Sr content)</t>
  </si>
  <si>
    <t>SrCO3 (Sr content)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</si>
  <si>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</si>
  <si>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</si>
  <si>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</si>
  <si>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Strontium (Sr)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</si>
  <si>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Sr global market</t>
  </si>
  <si>
    <t>Sr_Market_GLO</t>
  </si>
  <si>
    <t>PR1_SrCO3_GLO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</si>
</sst>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NumberForma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zoomScaleNormal="100" workbookViewId="0">
      <selection activeCell="F37" sqref="F37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71</v>
      </c>
    </row>
    <row r="2" spans="1:17" x14ac:dyDescent="0.35">
      <c r="B2" s="21" t="s">
        <v>74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3"/>
    </row>
    <row r="3" spans="1:17" x14ac:dyDescent="0.35">
      <c r="B3" s="24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6"/>
    </row>
    <row r="4" spans="1:17" x14ac:dyDescent="0.35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6"/>
    </row>
    <row r="5" spans="1:17" x14ac:dyDescent="0.35">
      <c r="B5" s="24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6"/>
    </row>
    <row r="6" spans="1:17" x14ac:dyDescent="0.3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6"/>
    </row>
    <row r="7" spans="1:17" x14ac:dyDescent="0.3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6"/>
    </row>
    <row r="8" spans="1:17" x14ac:dyDescent="0.35">
      <c r="B8" s="24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6"/>
    </row>
    <row r="9" spans="1:17" x14ac:dyDescent="0.35">
      <c r="B9" s="24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6"/>
    </row>
    <row r="10" spans="1:17" x14ac:dyDescent="0.35"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6"/>
    </row>
    <row r="11" spans="1:17" x14ac:dyDescent="0.35">
      <c r="B11" s="24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6"/>
    </row>
    <row r="12" spans="1:17" x14ac:dyDescent="0.35">
      <c r="B12" s="24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6"/>
    </row>
    <row r="13" spans="1:17" x14ac:dyDescent="0.35"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6"/>
    </row>
    <row r="14" spans="1:17" x14ac:dyDescent="0.35"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6"/>
    </row>
    <row r="15" spans="1:17" x14ac:dyDescent="0.35"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</row>
    <row r="16" spans="1:17" x14ac:dyDescent="0.35"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6"/>
    </row>
    <row r="17" spans="2:17" x14ac:dyDescent="0.35"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6"/>
    </row>
    <row r="18" spans="2:17" x14ac:dyDescent="0.35"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6"/>
    </row>
    <row r="19" spans="2:17" x14ac:dyDescent="0.35"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6"/>
    </row>
    <row r="20" spans="2:17" x14ac:dyDescent="0.35"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6"/>
    </row>
    <row r="21" spans="2:17" x14ac:dyDescent="0.35">
      <c r="B21" s="24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6"/>
    </row>
    <row r="22" spans="2:17" x14ac:dyDescent="0.35"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6"/>
    </row>
    <row r="23" spans="2:17" x14ac:dyDescent="0.35">
      <c r="B23" s="24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6"/>
    </row>
    <row r="24" spans="2:17" x14ac:dyDescent="0.35">
      <c r="B24" s="24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6"/>
    </row>
    <row r="25" spans="2:17" x14ac:dyDescent="0.35"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6"/>
    </row>
    <row r="26" spans="2:17" x14ac:dyDescent="0.35"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6"/>
    </row>
    <row r="27" spans="2:17" x14ac:dyDescent="0.35"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6"/>
    </row>
    <row r="28" spans="2:17" x14ac:dyDescent="0.35"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6"/>
    </row>
    <row r="29" spans="2:17" x14ac:dyDescent="0.35"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6"/>
    </row>
    <row r="30" spans="2:17" x14ac:dyDescent="0.35"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6"/>
    </row>
    <row r="31" spans="2:17" ht="15" thickBot="1" x14ac:dyDescent="0.4">
      <c r="B31" s="27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9"/>
    </row>
    <row r="32" spans="2:17" ht="15" thickBot="1" x14ac:dyDescent="0.4"/>
    <row r="33" spans="2:10" x14ac:dyDescent="0.35">
      <c r="B33" s="30" t="s">
        <v>72</v>
      </c>
      <c r="C33" s="31" t="s">
        <v>73</v>
      </c>
      <c r="D33" s="32"/>
      <c r="E33" s="32"/>
      <c r="F33" s="32"/>
      <c r="G33" s="33"/>
      <c r="H33" s="41"/>
      <c r="I33" s="34"/>
      <c r="J33" s="34"/>
    </row>
    <row r="34" spans="2:10" x14ac:dyDescent="0.35">
      <c r="B34" s="35" t="s">
        <v>76</v>
      </c>
      <c r="C34" s="3" t="s">
        <v>75</v>
      </c>
      <c r="D34" s="41"/>
      <c r="E34" s="41"/>
      <c r="F34" s="41"/>
      <c r="G34" s="36"/>
      <c r="H34" s="41"/>
      <c r="I34" s="34"/>
      <c r="J34" s="34"/>
    </row>
    <row r="35" spans="2:10" ht="15" thickBot="1" x14ac:dyDescent="0.4">
      <c r="B35" s="37" t="s">
        <v>77</v>
      </c>
      <c r="C35" s="38" t="s">
        <v>68</v>
      </c>
      <c r="D35" s="39"/>
      <c r="E35" s="39"/>
      <c r="F35" s="39"/>
      <c r="G35" s="40"/>
      <c r="H35" s="41"/>
      <c r="I35" s="34"/>
      <c r="J35" s="34"/>
    </row>
  </sheetData>
  <mergeCells count="1">
    <mergeCell ref="B2:Q31"/>
  </mergeCells>
  <hyperlinks>
    <hyperlink ref="B34" location="Sr_Market_GLO!A1" display="Sr_Market_GLO" xr:uid="{8B820379-CECD-4C24-831E-7BC5A41B75CE}"/>
    <hyperlink ref="B35" location="PR1_SrCO3_GLO!A1" display="PR1_SrCO3_GLO" xr:uid="{B20691F8-A9EA-4B3A-98DF-33E781AD78E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5ADCD-952D-4CC3-BE35-7B94C2DB5428}">
  <sheetPr>
    <tabColor theme="8" tint="0.39997558519241921"/>
  </sheetPr>
  <dimension ref="A1:N27"/>
  <sheetViews>
    <sheetView workbookViewId="0">
      <selection activeCell="A12" sqref="A12"/>
    </sheetView>
  </sheetViews>
  <sheetFormatPr baseColWidth="10" defaultRowHeight="14.5" x14ac:dyDescent="0.35"/>
  <cols>
    <col min="1" max="1" width="62.36328125" bestFit="1" customWidth="1"/>
    <col min="2" max="2" width="41.54296875" bestFit="1" customWidth="1"/>
    <col min="3" max="3" width="8.1796875" bestFit="1" customWidth="1"/>
    <col min="4" max="4" width="12" bestFit="1" customWidth="1"/>
    <col min="5" max="5" width="8.7265625" bestFit="1" customWidth="1"/>
    <col min="6" max="6" width="11.179687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11</v>
      </c>
      <c r="B1" s="5" t="s">
        <v>36</v>
      </c>
    </row>
    <row r="2" spans="1:14" s="6" customFormat="1" x14ac:dyDescent="0.35"/>
    <row r="3" spans="1:14" x14ac:dyDescent="0.35">
      <c r="A3" s="7" t="s">
        <v>0</v>
      </c>
      <c r="B3" s="7" t="s">
        <v>59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x14ac:dyDescent="0.35">
      <c r="A4" s="9" t="s">
        <v>1</v>
      </c>
      <c r="B4" s="8" t="s">
        <v>66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x14ac:dyDescent="0.35">
      <c r="A5" s="9" t="s">
        <v>2</v>
      </c>
      <c r="B5" s="8" t="s">
        <v>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4" x14ac:dyDescent="0.35">
      <c r="A6" s="9" t="s">
        <v>4</v>
      </c>
      <c r="B6" s="8">
        <v>1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4" x14ac:dyDescent="0.35">
      <c r="A7" s="9" t="s">
        <v>5</v>
      </c>
      <c r="B7" s="8" t="s">
        <v>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 x14ac:dyDescent="0.35">
      <c r="A8" s="9" t="s">
        <v>7</v>
      </c>
      <c r="B8" s="8" t="s">
        <v>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 x14ac:dyDescent="0.35">
      <c r="A9" s="9" t="s">
        <v>9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 x14ac:dyDescent="0.35">
      <c r="A10" s="7" t="s">
        <v>10</v>
      </c>
      <c r="B10" s="7" t="s">
        <v>1</v>
      </c>
      <c r="C10" s="7" t="s">
        <v>2</v>
      </c>
      <c r="D10" s="7" t="s">
        <v>4</v>
      </c>
      <c r="E10" s="7" t="s">
        <v>5</v>
      </c>
      <c r="F10" s="7" t="s">
        <v>11</v>
      </c>
      <c r="G10" s="7" t="s">
        <v>12</v>
      </c>
      <c r="H10" s="7" t="s">
        <v>13</v>
      </c>
      <c r="I10" s="7" t="s">
        <v>14</v>
      </c>
      <c r="J10" s="7" t="s">
        <v>15</v>
      </c>
      <c r="K10" s="7" t="s">
        <v>16</v>
      </c>
      <c r="L10" s="7" t="s">
        <v>17</v>
      </c>
      <c r="M10" s="7" t="s">
        <v>18</v>
      </c>
      <c r="N10" s="7" t="s">
        <v>19</v>
      </c>
    </row>
    <row r="11" spans="1:14" x14ac:dyDescent="0.35">
      <c r="A11" t="str">
        <f>B3</f>
        <v>Strontium (Sr) global market</v>
      </c>
      <c r="B11" t="str">
        <f>B4</f>
        <v>SrCO3</v>
      </c>
      <c r="C11" t="str">
        <f>B5</f>
        <v>GLO</v>
      </c>
      <c r="D11" s="8">
        <v>1</v>
      </c>
      <c r="E11" s="8" t="str">
        <f>B7</f>
        <v>kilogram</v>
      </c>
      <c r="F11" s="5" t="str">
        <f>B1</f>
        <v>Strontium</v>
      </c>
      <c r="G11" s="8" t="s">
        <v>20</v>
      </c>
    </row>
    <row r="12" spans="1:14" s="8" customFormat="1" x14ac:dyDescent="0.35">
      <c r="A12" s="8" t="str">
        <f>PR1_SrCO3_GLO!A44</f>
        <v>Celestite ore mining and SrCO3 production worldwide</v>
      </c>
      <c r="B12" s="8" t="str">
        <f>PR1_SrCO3_GLO!B44</f>
        <v>SrCO3</v>
      </c>
      <c r="C12" s="8" t="str">
        <f>PR1_SrCO3_GLO!C44</f>
        <v>GLO</v>
      </c>
      <c r="D12" s="8">
        <f>PR1_SrCO3_GLO!D44</f>
        <v>1</v>
      </c>
      <c r="E12" s="8" t="str">
        <f>PR1_SrCO3_GLO!E44</f>
        <v>kilogram</v>
      </c>
      <c r="F12" s="5" t="str">
        <f>PR1_SrCO3_GLO!F44</f>
        <v>Strontium</v>
      </c>
      <c r="G12" s="12" t="s">
        <v>25</v>
      </c>
    </row>
    <row r="13" spans="1:14" s="6" customFormat="1" x14ac:dyDescent="0.35"/>
    <row r="14" spans="1:14" x14ac:dyDescent="0.35">
      <c r="A14" s="7" t="s">
        <v>0</v>
      </c>
      <c r="B14" s="7" t="s">
        <v>60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 x14ac:dyDescent="0.35">
      <c r="A15" s="9" t="s">
        <v>1</v>
      </c>
      <c r="B15" s="8" t="s">
        <v>61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 x14ac:dyDescent="0.35">
      <c r="A16" s="9" t="s">
        <v>2</v>
      </c>
      <c r="B16" s="8" t="s">
        <v>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35">
      <c r="A17" s="9" t="s">
        <v>4</v>
      </c>
      <c r="B17" s="8">
        <v>1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35">
      <c r="A18" s="9" t="s">
        <v>5</v>
      </c>
      <c r="B18" s="8" t="s">
        <v>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35">
      <c r="A19" s="9" t="s">
        <v>7</v>
      </c>
      <c r="B19" s="8" t="s">
        <v>62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35">
      <c r="A20" s="9" t="s">
        <v>9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35">
      <c r="A21" s="7" t="s">
        <v>10</v>
      </c>
      <c r="B21" s="7" t="s">
        <v>1</v>
      </c>
      <c r="C21" s="7" t="s">
        <v>2</v>
      </c>
      <c r="D21" s="7" t="s">
        <v>4</v>
      </c>
      <c r="E21" s="7" t="s">
        <v>5</v>
      </c>
      <c r="F21" s="7" t="s">
        <v>11</v>
      </c>
      <c r="G21" s="7" t="s">
        <v>12</v>
      </c>
      <c r="H21" s="7" t="s">
        <v>13</v>
      </c>
      <c r="I21" s="7" t="s">
        <v>14</v>
      </c>
      <c r="J21" s="7" t="s">
        <v>15</v>
      </c>
      <c r="K21" s="7" t="s">
        <v>16</v>
      </c>
      <c r="L21" s="7" t="s">
        <v>17</v>
      </c>
      <c r="M21" s="7" t="s">
        <v>18</v>
      </c>
      <c r="N21" s="7" t="s">
        <v>19</v>
      </c>
    </row>
    <row r="22" spans="1:14" x14ac:dyDescent="0.35">
      <c r="A22" t="str">
        <f>B14</f>
        <v>Strontium (Sr) global market (Sr content)</v>
      </c>
      <c r="B22" t="str">
        <f>B15</f>
        <v>Sr content</v>
      </c>
      <c r="C22" t="str">
        <f>B16</f>
        <v>GLO</v>
      </c>
      <c r="D22" s="8">
        <v>1</v>
      </c>
      <c r="E22" s="8" t="str">
        <f>B18</f>
        <v>kilogram</v>
      </c>
      <c r="F22" s="5" t="str">
        <f>F11</f>
        <v>Strontium</v>
      </c>
      <c r="G22" s="8" t="s">
        <v>20</v>
      </c>
    </row>
    <row r="23" spans="1:14" s="8" customFormat="1" x14ac:dyDescent="0.35">
      <c r="A23" s="8" t="str">
        <f>PR1_SrCO3_GLO!A56</f>
        <v>Celestite ore mining and SrCO3 production worldwide (Sr content)</v>
      </c>
      <c r="B23" s="8" t="str">
        <f>PR1_SrCO3_GLO!B56</f>
        <v>SrCO3 (Sr content)</v>
      </c>
      <c r="C23" s="8" t="str">
        <f>PR1_SrCO3_GLO!C56</f>
        <v>GLO</v>
      </c>
      <c r="D23" s="8">
        <f>PR1_SrCO3_GLO!D56</f>
        <v>1</v>
      </c>
      <c r="E23" s="8" t="str">
        <f>PR1_SrCO3_GLO!E56</f>
        <v>kilogram</v>
      </c>
      <c r="F23" s="5" t="str">
        <f>PR1_SrCO3_GLO!F56</f>
        <v>Strontium</v>
      </c>
      <c r="G23" s="12" t="s">
        <v>25</v>
      </c>
    </row>
    <row r="24" spans="1:14" s="8" customFormat="1" x14ac:dyDescent="0.35">
      <c r="F24" s="5"/>
      <c r="G24" s="1"/>
    </row>
    <row r="25" spans="1:14" s="8" customFormat="1" x14ac:dyDescent="0.35">
      <c r="F25" s="5"/>
      <c r="G25" s="1"/>
    </row>
    <row r="26" spans="1:14" s="8" customFormat="1" x14ac:dyDescent="0.35">
      <c r="F26" s="5"/>
    </row>
    <row r="27" spans="1:14" s="8" customFormat="1" x14ac:dyDescent="0.35">
      <c r="F2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58"/>
  <sheetViews>
    <sheetView tabSelected="1" topLeftCell="A40" workbookViewId="0">
      <selection activeCell="C49" sqref="C49"/>
    </sheetView>
  </sheetViews>
  <sheetFormatPr baseColWidth="10" defaultColWidth="8.81640625" defaultRowHeight="14.5" x14ac:dyDescent="0.35"/>
  <cols>
    <col min="1" max="1" width="56.26953125" style="3" bestFit="1" customWidth="1"/>
    <col min="2" max="2" width="55.08984375" style="3" customWidth="1"/>
    <col min="3" max="3" width="7.6328125" style="3" bestFit="1" customWidth="1"/>
    <col min="4" max="4" width="11.81640625" style="3" bestFit="1" customWidth="1"/>
    <col min="5" max="5" width="16.36328125" style="3" bestFit="1" customWidth="1"/>
    <col min="6" max="6" width="18.36328125" style="3" bestFit="1" customWidth="1"/>
    <col min="7" max="7" width="12.26953125" style="3" bestFit="1" customWidth="1"/>
    <col min="8" max="8" width="23.81640625" style="3" bestFit="1" customWidth="1"/>
    <col min="9" max="9" width="14.6328125" style="3" bestFit="1" customWidth="1"/>
    <col min="10" max="10" width="8.90625" style="3" bestFit="1" customWidth="1"/>
    <col min="11" max="11" width="3.36328125" style="3" bestFit="1" customWidth="1"/>
    <col min="12" max="12" width="5" style="3" bestFit="1" customWidth="1"/>
    <col min="13" max="13" width="8.90625" style="3" bestFit="1" customWidth="1"/>
    <col min="14" max="14" width="9.26953125" style="3" bestFit="1" customWidth="1"/>
    <col min="15" max="16384" width="8.81640625" style="3"/>
  </cols>
  <sheetData>
    <row r="1" spans="1:14" x14ac:dyDescent="0.35">
      <c r="A1" s="2" t="s">
        <v>0</v>
      </c>
      <c r="B1" s="2" t="s">
        <v>63</v>
      </c>
    </row>
    <row r="2" spans="1:14" x14ac:dyDescent="0.35">
      <c r="A2" s="11" t="s">
        <v>1</v>
      </c>
      <c r="B2" s="3" t="s">
        <v>64</v>
      </c>
    </row>
    <row r="3" spans="1:14" x14ac:dyDescent="0.35">
      <c r="A3" s="11" t="s">
        <v>2</v>
      </c>
      <c r="B3" s="3" t="s">
        <v>3</v>
      </c>
    </row>
    <row r="4" spans="1:14" x14ac:dyDescent="0.35">
      <c r="A4" s="11" t="s">
        <v>4</v>
      </c>
      <c r="B4" s="10">
        <v>1</v>
      </c>
    </row>
    <row r="5" spans="1:14" x14ac:dyDescent="0.35">
      <c r="A5" s="11" t="s">
        <v>5</v>
      </c>
      <c r="B5" s="3" t="s">
        <v>6</v>
      </c>
    </row>
    <row r="6" spans="1:14" x14ac:dyDescent="0.35">
      <c r="A6" s="11" t="s">
        <v>7</v>
      </c>
      <c r="B6" s="3" t="s">
        <v>8</v>
      </c>
    </row>
    <row r="7" spans="1:14" x14ac:dyDescent="0.35">
      <c r="A7" s="11" t="s">
        <v>9</v>
      </c>
    </row>
    <row r="8" spans="1:14" x14ac:dyDescent="0.35">
      <c r="A8" s="2" t="s">
        <v>10</v>
      </c>
      <c r="B8" s="2" t="s">
        <v>1</v>
      </c>
      <c r="C8" s="2" t="s">
        <v>2</v>
      </c>
      <c r="D8" s="2" t="s">
        <v>4</v>
      </c>
      <c r="E8" s="2" t="s">
        <v>5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  <c r="L8" s="2" t="s">
        <v>17</v>
      </c>
      <c r="M8" s="2" t="s">
        <v>18</v>
      </c>
      <c r="N8" s="2" t="s">
        <v>19</v>
      </c>
    </row>
    <row r="9" spans="1:14" x14ac:dyDescent="0.35">
      <c r="A9" s="3" t="str">
        <f>B1</f>
        <v>[M+C] Strontium (Sr) ore mining and concentration</v>
      </c>
      <c r="B9" s="3" t="str">
        <f>B2</f>
        <v>Sr sulfate (SrSO4)</v>
      </c>
      <c r="C9" s="3" t="str">
        <f>B3</f>
        <v>GLO</v>
      </c>
      <c r="D9" s="10">
        <v>1</v>
      </c>
      <c r="E9" s="3" t="s">
        <v>6</v>
      </c>
      <c r="F9" s="4" t="str">
        <f>Sr_Market_GLO!B1</f>
        <v>Strontium</v>
      </c>
      <c r="G9" s="3" t="s">
        <v>20</v>
      </c>
    </row>
    <row r="10" spans="1:14" s="12" customFormat="1" x14ac:dyDescent="0.35">
      <c r="A10" s="12" t="s">
        <v>21</v>
      </c>
      <c r="B10" s="12" t="s">
        <v>22</v>
      </c>
      <c r="C10" s="12" t="s">
        <v>3</v>
      </c>
      <c r="D10" s="12">
        <v>0.84</v>
      </c>
      <c r="E10" s="12" t="s">
        <v>23</v>
      </c>
      <c r="F10" s="12" t="s">
        <v>24</v>
      </c>
      <c r="G10" s="12" t="s">
        <v>25</v>
      </c>
      <c r="J10" s="12" t="s">
        <v>26</v>
      </c>
    </row>
    <row r="11" spans="1:14" s="12" customFormat="1" x14ac:dyDescent="0.35">
      <c r="A11" s="12" t="s">
        <v>27</v>
      </c>
      <c r="B11" s="12" t="s">
        <v>28</v>
      </c>
      <c r="C11" s="12" t="s">
        <v>3</v>
      </c>
      <c r="D11" s="12">
        <v>1.0999999999999999E-2</v>
      </c>
      <c r="E11" s="12" t="s">
        <v>6</v>
      </c>
      <c r="F11" s="12" t="s">
        <v>24</v>
      </c>
      <c r="G11" s="12" t="s">
        <v>25</v>
      </c>
      <c r="J11" s="12" t="s">
        <v>26</v>
      </c>
    </row>
    <row r="12" spans="1:14" s="12" customFormat="1" x14ac:dyDescent="0.35">
      <c r="A12" s="12" t="s">
        <v>29</v>
      </c>
      <c r="B12" s="12" t="s">
        <v>30</v>
      </c>
      <c r="C12" s="12" t="s">
        <v>3</v>
      </c>
      <c r="D12" s="12">
        <v>3.28E-4</v>
      </c>
      <c r="E12" s="12" t="s">
        <v>31</v>
      </c>
      <c r="F12" s="12" t="s">
        <v>24</v>
      </c>
      <c r="G12" s="12" t="s">
        <v>25</v>
      </c>
      <c r="J12" s="12" t="s">
        <v>26</v>
      </c>
    </row>
    <row r="13" spans="1:14" s="12" customFormat="1" x14ac:dyDescent="0.35">
      <c r="A13" s="12" t="s">
        <v>32</v>
      </c>
      <c r="B13" s="12" t="s">
        <v>33</v>
      </c>
      <c r="C13" s="12" t="s">
        <v>3</v>
      </c>
      <c r="D13" s="12">
        <v>2.1499999999999998E-9</v>
      </c>
      <c r="E13" s="12" t="s">
        <v>5</v>
      </c>
      <c r="F13" s="12" t="s">
        <v>24</v>
      </c>
      <c r="G13" s="12" t="s">
        <v>25</v>
      </c>
      <c r="J13" s="12" t="s">
        <v>26</v>
      </c>
    </row>
    <row r="14" spans="1:14" s="12" customFormat="1" x14ac:dyDescent="0.35">
      <c r="A14" s="12" t="s">
        <v>34</v>
      </c>
      <c r="B14" s="12" t="s">
        <v>35</v>
      </c>
      <c r="C14" s="12" t="s">
        <v>3</v>
      </c>
      <c r="D14" s="12">
        <v>-42.1</v>
      </c>
      <c r="E14" s="12" t="s">
        <v>6</v>
      </c>
      <c r="F14" s="12" t="s">
        <v>24</v>
      </c>
      <c r="G14" s="12" t="s">
        <v>25</v>
      </c>
      <c r="J14" s="12" t="s">
        <v>26</v>
      </c>
    </row>
    <row r="15" spans="1:14" s="12" customFormat="1" x14ac:dyDescent="0.35">
      <c r="A15" s="12" t="s">
        <v>36</v>
      </c>
      <c r="D15" s="12">
        <v>20.56</v>
      </c>
      <c r="E15" s="12" t="s">
        <v>6</v>
      </c>
      <c r="F15" s="12" t="s">
        <v>37</v>
      </c>
      <c r="G15" s="12" t="s">
        <v>38</v>
      </c>
      <c r="H15" s="12" t="s">
        <v>39</v>
      </c>
      <c r="J15" s="12" t="s">
        <v>26</v>
      </c>
    </row>
    <row r="16" spans="1:14" s="12" customFormat="1" x14ac:dyDescent="0.35">
      <c r="A16" s="12" t="s">
        <v>40</v>
      </c>
      <c r="D16" s="12">
        <v>0.14000000000000001</v>
      </c>
      <c r="E16" s="12" t="s">
        <v>41</v>
      </c>
      <c r="F16" s="12" t="s">
        <v>37</v>
      </c>
      <c r="G16" s="12" t="s">
        <v>38</v>
      </c>
      <c r="H16" s="12" t="s">
        <v>39</v>
      </c>
      <c r="J16" s="12" t="s">
        <v>26</v>
      </c>
    </row>
    <row r="17" spans="1:14" s="12" customFormat="1" x14ac:dyDescent="0.35">
      <c r="A17" s="12" t="s">
        <v>52</v>
      </c>
      <c r="D17" s="12">
        <v>2.5699999999999998E-3</v>
      </c>
      <c r="E17" s="12" t="s">
        <v>42</v>
      </c>
      <c r="F17" s="12" t="s">
        <v>37</v>
      </c>
      <c r="G17" s="12" t="s">
        <v>38</v>
      </c>
      <c r="H17" s="12" t="s">
        <v>43</v>
      </c>
      <c r="J17" s="12" t="s">
        <v>26</v>
      </c>
    </row>
    <row r="18" spans="1:14" s="12" customFormat="1" x14ac:dyDescent="0.35">
      <c r="A18" s="12" t="s">
        <v>44</v>
      </c>
      <c r="D18" s="12">
        <v>2.5699999999999998E-3</v>
      </c>
      <c r="E18" s="12" t="s">
        <v>42</v>
      </c>
      <c r="F18" s="12" t="s">
        <v>37</v>
      </c>
      <c r="G18" s="12" t="s">
        <v>38</v>
      </c>
      <c r="H18" s="12" t="s">
        <v>43</v>
      </c>
      <c r="J18" s="12" t="s">
        <v>26</v>
      </c>
    </row>
    <row r="19" spans="1:14" s="12" customFormat="1" x14ac:dyDescent="0.35">
      <c r="A19" s="12" t="s">
        <v>53</v>
      </c>
      <c r="D19" s="12">
        <v>2.5699999999999998E-3</v>
      </c>
      <c r="E19" s="12" t="s">
        <v>42</v>
      </c>
      <c r="F19" s="12" t="s">
        <v>37</v>
      </c>
      <c r="G19" s="12" t="s">
        <v>38</v>
      </c>
      <c r="H19" s="12" t="s">
        <v>43</v>
      </c>
      <c r="J19" s="12" t="s">
        <v>26</v>
      </c>
    </row>
    <row r="20" spans="1:14" s="12" customFormat="1" x14ac:dyDescent="0.35">
      <c r="A20" s="12" t="s">
        <v>45</v>
      </c>
      <c r="D20" s="12">
        <v>0.30199999999999999</v>
      </c>
      <c r="E20" s="12" t="s">
        <v>46</v>
      </c>
      <c r="F20" s="12" t="s">
        <v>37</v>
      </c>
      <c r="G20" s="12" t="s">
        <v>38</v>
      </c>
      <c r="H20" s="12" t="s">
        <v>43</v>
      </c>
      <c r="J20" s="12" t="s">
        <v>26</v>
      </c>
    </row>
    <row r="21" spans="1:14" s="16" customFormat="1" x14ac:dyDescent="0.35"/>
    <row r="22" spans="1:14" s="12" customFormat="1" x14ac:dyDescent="0.35">
      <c r="A22" s="13" t="s">
        <v>0</v>
      </c>
      <c r="B22" s="13" t="s">
        <v>65</v>
      </c>
    </row>
    <row r="23" spans="1:14" s="12" customFormat="1" x14ac:dyDescent="0.35">
      <c r="A23" s="14" t="s">
        <v>1</v>
      </c>
      <c r="B23" s="12" t="s">
        <v>66</v>
      </c>
    </row>
    <row r="24" spans="1:14" s="12" customFormat="1" x14ac:dyDescent="0.35">
      <c r="A24" s="14" t="s">
        <v>2</v>
      </c>
      <c r="B24" s="12" t="s">
        <v>3</v>
      </c>
    </row>
    <row r="25" spans="1:14" s="12" customFormat="1" x14ac:dyDescent="0.35">
      <c r="A25" s="14" t="s">
        <v>4</v>
      </c>
      <c r="B25" s="17">
        <v>1</v>
      </c>
    </row>
    <row r="26" spans="1:14" s="12" customFormat="1" x14ac:dyDescent="0.35">
      <c r="A26" s="14" t="s">
        <v>5</v>
      </c>
      <c r="B26" s="12" t="s">
        <v>6</v>
      </c>
    </row>
    <row r="27" spans="1:14" s="12" customFormat="1" x14ac:dyDescent="0.35">
      <c r="A27" s="14" t="s">
        <v>7</v>
      </c>
      <c r="B27" s="18" t="s">
        <v>67</v>
      </c>
    </row>
    <row r="28" spans="1:14" s="12" customFormat="1" x14ac:dyDescent="0.35">
      <c r="A28" s="14" t="s">
        <v>9</v>
      </c>
    </row>
    <row r="29" spans="1:14" s="12" customFormat="1" x14ac:dyDescent="0.35">
      <c r="A29" s="13" t="s">
        <v>10</v>
      </c>
      <c r="B29" s="13" t="s">
        <v>1</v>
      </c>
      <c r="C29" s="13" t="s">
        <v>2</v>
      </c>
      <c r="D29" s="13" t="s">
        <v>4</v>
      </c>
      <c r="E29" s="13" t="s">
        <v>5</v>
      </c>
      <c r="F29" s="13" t="s">
        <v>11</v>
      </c>
      <c r="G29" s="13" t="s">
        <v>12</v>
      </c>
      <c r="H29" s="13" t="s">
        <v>13</v>
      </c>
      <c r="I29" s="13" t="s">
        <v>14</v>
      </c>
      <c r="J29" s="13" t="s">
        <v>15</v>
      </c>
      <c r="K29" s="13" t="s">
        <v>16</v>
      </c>
      <c r="L29" s="13" t="s">
        <v>17</v>
      </c>
      <c r="M29" s="13" t="s">
        <v>18</v>
      </c>
      <c r="N29" s="13" t="s">
        <v>19</v>
      </c>
    </row>
    <row r="30" spans="1:14" s="12" customFormat="1" x14ac:dyDescent="0.35">
      <c r="A30" s="12" t="str">
        <f>B22</f>
        <v>[P] Sr carbonate (SrCO3) production</v>
      </c>
      <c r="B30" s="12" t="str">
        <f>B23</f>
        <v>SrCO3</v>
      </c>
      <c r="C30" s="12" t="str">
        <f>B24</f>
        <v>GLO</v>
      </c>
      <c r="D30" s="17">
        <v>1</v>
      </c>
      <c r="E30" s="12" t="s">
        <v>6</v>
      </c>
      <c r="F30" s="15" t="str">
        <f>F9</f>
        <v>Strontium</v>
      </c>
      <c r="G30" s="12" t="s">
        <v>20</v>
      </c>
    </row>
    <row r="31" spans="1:14" s="12" customFormat="1" x14ac:dyDescent="0.35">
      <c r="A31" s="12" t="s">
        <v>54</v>
      </c>
      <c r="B31" s="12" t="s">
        <v>47</v>
      </c>
      <c r="C31" s="12" t="s">
        <v>48</v>
      </c>
      <c r="D31" s="12">
        <v>6.14</v>
      </c>
      <c r="E31" s="12" t="s">
        <v>55</v>
      </c>
      <c r="F31" s="12" t="s">
        <v>24</v>
      </c>
      <c r="G31" s="12" t="s">
        <v>25</v>
      </c>
      <c r="J31" s="12" t="s">
        <v>26</v>
      </c>
    </row>
    <row r="32" spans="1:14" s="12" customFormat="1" x14ac:dyDescent="0.35">
      <c r="A32" s="12" t="s">
        <v>56</v>
      </c>
      <c r="B32" s="12" t="s">
        <v>57</v>
      </c>
      <c r="C32" s="12" t="s">
        <v>3</v>
      </c>
      <c r="D32" s="12">
        <v>0.85</v>
      </c>
      <c r="E32" s="12" t="s">
        <v>6</v>
      </c>
      <c r="F32" s="12" t="s">
        <v>24</v>
      </c>
      <c r="G32" s="12" t="s">
        <v>25</v>
      </c>
      <c r="J32" s="12" t="s">
        <v>26</v>
      </c>
    </row>
    <row r="33" spans="1:14" s="19" customFormat="1" x14ac:dyDescent="0.35">
      <c r="A33" s="19" t="s">
        <v>49</v>
      </c>
      <c r="B33" s="19" t="s">
        <v>50</v>
      </c>
      <c r="C33" s="19" t="s">
        <v>3</v>
      </c>
      <c r="D33" s="19">
        <v>-0.5</v>
      </c>
      <c r="E33" s="19" t="s">
        <v>6</v>
      </c>
      <c r="F33" s="19" t="s">
        <v>24</v>
      </c>
      <c r="G33" s="19" t="s">
        <v>25</v>
      </c>
      <c r="J33" s="19" t="s">
        <v>26</v>
      </c>
    </row>
    <row r="34" spans="1:14" s="12" customFormat="1" x14ac:dyDescent="0.35">
      <c r="A34" s="12" t="s">
        <v>51</v>
      </c>
      <c r="D34" s="12">
        <v>0.71</v>
      </c>
      <c r="E34" s="12" t="s">
        <v>6</v>
      </c>
      <c r="F34" s="12" t="s">
        <v>37</v>
      </c>
      <c r="G34" s="12" t="s">
        <v>38</v>
      </c>
      <c r="H34" s="12" t="s">
        <v>58</v>
      </c>
      <c r="J34" s="12" t="s">
        <v>26</v>
      </c>
    </row>
    <row r="35" spans="1:14" s="20" customFormat="1" x14ac:dyDescent="0.35"/>
    <row r="36" spans="1:14" s="12" customFormat="1" x14ac:dyDescent="0.35">
      <c r="A36" s="13" t="s">
        <v>0</v>
      </c>
      <c r="B36" s="13" t="s">
        <v>68</v>
      </c>
    </row>
    <row r="37" spans="1:14" s="12" customFormat="1" x14ac:dyDescent="0.35">
      <c r="A37" s="14" t="s">
        <v>1</v>
      </c>
      <c r="B37" s="12" t="s">
        <v>66</v>
      </c>
    </row>
    <row r="38" spans="1:14" s="12" customFormat="1" x14ac:dyDescent="0.35">
      <c r="A38" s="14" t="s">
        <v>2</v>
      </c>
      <c r="B38" s="12" t="s">
        <v>3</v>
      </c>
    </row>
    <row r="39" spans="1:14" s="12" customFormat="1" x14ac:dyDescent="0.35">
      <c r="A39" s="14" t="s">
        <v>4</v>
      </c>
      <c r="B39" s="17">
        <v>1</v>
      </c>
    </row>
    <row r="40" spans="1:14" s="12" customFormat="1" x14ac:dyDescent="0.35">
      <c r="A40" s="14" t="s">
        <v>5</v>
      </c>
      <c r="B40" s="12" t="s">
        <v>6</v>
      </c>
    </row>
    <row r="41" spans="1:14" s="12" customFormat="1" x14ac:dyDescent="0.35">
      <c r="A41" s="14" t="s">
        <v>7</v>
      </c>
      <c r="B41" s="12" t="s">
        <v>8</v>
      </c>
    </row>
    <row r="42" spans="1:14" s="12" customFormat="1" x14ac:dyDescent="0.35">
      <c r="A42" s="14" t="s">
        <v>9</v>
      </c>
    </row>
    <row r="43" spans="1:14" s="12" customFormat="1" x14ac:dyDescent="0.35">
      <c r="A43" s="13" t="s">
        <v>10</v>
      </c>
      <c r="B43" s="13" t="s">
        <v>1</v>
      </c>
      <c r="C43" s="13" t="s">
        <v>2</v>
      </c>
      <c r="D43" s="13" t="s">
        <v>4</v>
      </c>
      <c r="E43" s="13" t="s">
        <v>5</v>
      </c>
      <c r="F43" s="13" t="s">
        <v>11</v>
      </c>
      <c r="G43" s="13" t="s">
        <v>12</v>
      </c>
      <c r="H43" s="13" t="s">
        <v>13</v>
      </c>
      <c r="I43" s="13" t="s">
        <v>14</v>
      </c>
      <c r="J43" s="13" t="s">
        <v>15</v>
      </c>
      <c r="K43" s="13" t="s">
        <v>16</v>
      </c>
      <c r="L43" s="13" t="s">
        <v>17</v>
      </c>
      <c r="M43" s="13" t="s">
        <v>18</v>
      </c>
      <c r="N43" s="13" t="s">
        <v>19</v>
      </c>
    </row>
    <row r="44" spans="1:14" s="12" customFormat="1" x14ac:dyDescent="0.35">
      <c r="A44" s="12" t="str">
        <f>B36</f>
        <v>Celestite ore mining and SrCO3 production worldwide</v>
      </c>
      <c r="B44" s="12" t="str">
        <f>B37</f>
        <v>SrCO3</v>
      </c>
      <c r="C44" s="12" t="str">
        <f>B38</f>
        <v>GLO</v>
      </c>
      <c r="D44" s="17">
        <v>1</v>
      </c>
      <c r="E44" s="12" t="s">
        <v>6</v>
      </c>
      <c r="F44" s="15" t="str">
        <f>F30</f>
        <v>Strontium</v>
      </c>
      <c r="G44" s="12" t="s">
        <v>20</v>
      </c>
    </row>
    <row r="45" spans="1:14" s="12" customFormat="1" x14ac:dyDescent="0.35">
      <c r="A45" s="12" t="str">
        <f>A30</f>
        <v>[P] Sr carbonate (SrCO3) production</v>
      </c>
      <c r="B45" s="12" t="str">
        <f>B30</f>
        <v>SrCO3</v>
      </c>
      <c r="C45" s="12" t="str">
        <f>C30</f>
        <v>GLO</v>
      </c>
      <c r="D45" s="12">
        <v>1</v>
      </c>
      <c r="E45" s="12" t="str">
        <f>E30</f>
        <v>kilogram</v>
      </c>
      <c r="F45" s="15" t="str">
        <f>F30</f>
        <v>Strontium</v>
      </c>
      <c r="G45" s="12" t="s">
        <v>25</v>
      </c>
    </row>
    <row r="46" spans="1:14" s="12" customFormat="1" x14ac:dyDescent="0.35">
      <c r="A46" s="12" t="str">
        <f>A9</f>
        <v>[M+C] Strontium (Sr) ore mining and concentration</v>
      </c>
      <c r="B46" s="12" t="str">
        <f>B9</f>
        <v>Sr sulfate (SrSO4)</v>
      </c>
      <c r="C46" s="12" t="str">
        <f>C9</f>
        <v>GLO</v>
      </c>
      <c r="D46" s="12">
        <v>1.64</v>
      </c>
      <c r="E46" s="12" t="str">
        <f>E9</f>
        <v>kilogram</v>
      </c>
      <c r="F46" s="15" t="str">
        <f>F9</f>
        <v>Strontium</v>
      </c>
      <c r="G46" s="12" t="s">
        <v>25</v>
      </c>
    </row>
    <row r="47" spans="1:14" s="20" customFormat="1" x14ac:dyDescent="0.35"/>
    <row r="48" spans="1:14" s="12" customFormat="1" x14ac:dyDescent="0.35">
      <c r="A48" s="13" t="s">
        <v>0</v>
      </c>
      <c r="B48" s="13" t="s">
        <v>69</v>
      </c>
    </row>
    <row r="49" spans="1:14" s="12" customFormat="1" x14ac:dyDescent="0.35">
      <c r="A49" s="14" t="s">
        <v>1</v>
      </c>
      <c r="B49" s="12" t="s">
        <v>70</v>
      </c>
    </row>
    <row r="50" spans="1:14" s="12" customFormat="1" x14ac:dyDescent="0.35">
      <c r="A50" s="14" t="s">
        <v>2</v>
      </c>
      <c r="B50" s="12" t="s">
        <v>3</v>
      </c>
    </row>
    <row r="51" spans="1:14" s="12" customFormat="1" x14ac:dyDescent="0.35">
      <c r="A51" s="14" t="s">
        <v>4</v>
      </c>
      <c r="B51" s="17">
        <v>1</v>
      </c>
    </row>
    <row r="52" spans="1:14" s="12" customFormat="1" x14ac:dyDescent="0.35">
      <c r="A52" s="14" t="s">
        <v>5</v>
      </c>
      <c r="B52" s="12" t="s">
        <v>6</v>
      </c>
    </row>
    <row r="53" spans="1:14" s="12" customFormat="1" x14ac:dyDescent="0.35">
      <c r="A53" s="14" t="s">
        <v>7</v>
      </c>
      <c r="B53" s="12" t="s">
        <v>62</v>
      </c>
    </row>
    <row r="54" spans="1:14" s="12" customFormat="1" x14ac:dyDescent="0.35">
      <c r="A54" s="14" t="s">
        <v>9</v>
      </c>
    </row>
    <row r="55" spans="1:14" s="12" customFormat="1" x14ac:dyDescent="0.35">
      <c r="A55" s="13" t="s">
        <v>10</v>
      </c>
      <c r="B55" s="13" t="s">
        <v>1</v>
      </c>
      <c r="C55" s="13" t="s">
        <v>2</v>
      </c>
      <c r="D55" s="13" t="s">
        <v>4</v>
      </c>
      <c r="E55" s="13" t="s">
        <v>5</v>
      </c>
      <c r="F55" s="13" t="s">
        <v>11</v>
      </c>
      <c r="G55" s="13" t="s">
        <v>12</v>
      </c>
      <c r="H55" s="13" t="s">
        <v>13</v>
      </c>
      <c r="I55" s="13" t="s">
        <v>14</v>
      </c>
      <c r="J55" s="13" t="s">
        <v>15</v>
      </c>
      <c r="K55" s="13" t="s">
        <v>16</v>
      </c>
      <c r="L55" s="13" t="s">
        <v>17</v>
      </c>
      <c r="M55" s="13" t="s">
        <v>18</v>
      </c>
      <c r="N55" s="13" t="s">
        <v>19</v>
      </c>
    </row>
    <row r="56" spans="1:14" s="12" customFormat="1" x14ac:dyDescent="0.35">
      <c r="A56" s="12" t="str">
        <f>B48</f>
        <v>Celestite ore mining and SrCO3 production worldwide (Sr content)</v>
      </c>
      <c r="B56" s="12" t="str">
        <f>B49</f>
        <v>SrCO3 (Sr content)</v>
      </c>
      <c r="C56" s="12" t="str">
        <f>B50</f>
        <v>GLO</v>
      </c>
      <c r="D56" s="17">
        <v>1</v>
      </c>
      <c r="E56" s="12" t="s">
        <v>6</v>
      </c>
      <c r="F56" s="15" t="str">
        <f>F44</f>
        <v>Strontium</v>
      </c>
      <c r="G56" s="12" t="s">
        <v>20</v>
      </c>
    </row>
    <row r="57" spans="1:14" x14ac:dyDescent="0.35">
      <c r="A57" s="3" t="str">
        <f>A30</f>
        <v>[P] Sr carbonate (SrCO3) production</v>
      </c>
      <c r="B57" s="3" t="str">
        <f>B30</f>
        <v>SrCO3</v>
      </c>
      <c r="C57" s="3" t="str">
        <f>C30</f>
        <v>GLO</v>
      </c>
      <c r="D57" s="3">
        <v>1.7735999645280007</v>
      </c>
      <c r="E57" s="3" t="str">
        <f>E30</f>
        <v>kilogram</v>
      </c>
      <c r="F57" s="4" t="str">
        <f>F30</f>
        <v>Strontium</v>
      </c>
      <c r="G57" s="12" t="s">
        <v>25</v>
      </c>
    </row>
    <row r="58" spans="1:14" x14ac:dyDescent="0.35">
      <c r="A58" s="3" t="str">
        <f>A9</f>
        <v>[M+C] Strontium (Sr) ore mining and concentration</v>
      </c>
      <c r="B58" s="3" t="str">
        <f>B9</f>
        <v>Sr sulfate (SrSO4)</v>
      </c>
      <c r="C58" s="3" t="str">
        <f>C9</f>
        <v>GLO</v>
      </c>
      <c r="D58" s="3">
        <v>2.9087039418259208</v>
      </c>
      <c r="E58" s="3" t="str">
        <f>E9</f>
        <v>kilogram</v>
      </c>
      <c r="F58" s="4" t="str">
        <f>F9</f>
        <v>Strontium</v>
      </c>
      <c r="G58" s="12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c0c41a-12c1-4165-8422-5f5ca88e9f6a" xsi:nil="true"/>
    <lcf76f155ced4ddcb4097134ff3c332f xmlns="d78c010b-218d-4be4-b2d9-423b1f51aae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AB3FA7-6D9B-4E97-936E-7F1FD2DB98F3}">
  <ds:schemaRefs>
    <ds:schemaRef ds:uri="http://schemas.microsoft.com/office/2006/metadata/properties"/>
    <ds:schemaRef ds:uri="http://schemas.microsoft.com/office/infopath/2007/PartnerControls"/>
    <ds:schemaRef ds:uri="adc0c41a-12c1-4165-8422-5f5ca88e9f6a"/>
    <ds:schemaRef ds:uri="d78c010b-218d-4be4-b2d9-423b1f51aae5"/>
  </ds:schemaRefs>
</ds:datastoreItem>
</file>

<file path=customXml/itemProps2.xml><?xml version="1.0" encoding="utf-8"?>
<ds:datastoreItem xmlns:ds="http://schemas.openxmlformats.org/officeDocument/2006/customXml" ds:itemID="{CA80F161-C74D-4BB2-A56D-22C67979A3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4A1AB3-583B-4723-842F-463F8B93CF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Sr_Market_GLO</vt:lpstr>
      <vt:lpstr>PR1_SrCO3_GLO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2025-05-08T08:34:22Z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{084914B8-7814-41C7-83A4-8E3145595482}</vt:lpwstr>
  </property>
  <property fmtid="{D5CDD505-2E9C-101B-9397-08002B2CF9AE}" pid="3" name="ContentTypeId">
    <vt:lpwstr>0x0101004741122952C13D46BBBC92EEAE11CF32</vt:lpwstr>
  </property>
  <property fmtid="{D5CDD505-2E9C-101B-9397-08002B2CF9AE}" pid="4" name="MediaServiceImageTags">
    <vt:lpwstr/>
  </property>
</Properties>
</file>