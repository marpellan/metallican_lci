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As_Arsenic/"/>
    </mc:Choice>
  </mc:AlternateContent>
  <xr:revisionPtr revIDLastSave="55" documentId="11_959B81C81AC018C4B581001BD7C11E70BFB35482" xr6:coauthVersionLast="47" xr6:coauthVersionMax="47" xr10:uidLastSave="{EE5D3D94-3616-4FDD-8A85-7D53408A2DB1}"/>
  <bookViews>
    <workbookView xWindow="-120" yWindow="-120" windowWidth="29040" windowHeight="15840" activeTab="2" xr2:uid="{00000000-000D-0000-FFFF-FFFF00000000}"/>
  </bookViews>
  <sheets>
    <sheet name="Note" sheetId="1" r:id="rId1"/>
    <sheet name="As_Market_GLO" sheetId="3" r:id="rId2"/>
    <sheet name="PR1_As_GL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F12" i="3"/>
  <c r="A12" i="3"/>
  <c r="B86" i="2"/>
  <c r="C86" i="2"/>
  <c r="D86" i="2"/>
  <c r="E86" i="2"/>
  <c r="F86" i="2"/>
  <c r="A86" i="2"/>
  <c r="F85" i="2"/>
  <c r="C85" i="2"/>
  <c r="B85" i="2"/>
  <c r="A85" i="2"/>
  <c r="F9" i="2" l="1"/>
  <c r="C9" i="2"/>
  <c r="B9" i="2"/>
  <c r="A9" i="2"/>
  <c r="F11" i="3"/>
  <c r="E11" i="3"/>
  <c r="D11" i="3"/>
  <c r="C11" i="3"/>
  <c r="B11" i="3"/>
  <c r="A11" i="3"/>
</calcChain>
</file>

<file path=xl/sharedStrings.xml><?xml version="1.0" encoding="utf-8"?>
<sst xmlns="http://schemas.openxmlformats.org/spreadsheetml/2006/main" count="491" uniqueCount="103">
  <si>
    <t>Activity</t>
  </si>
  <si>
    <t>[P+R] Arsenic (As) metal production</t>
  </si>
  <si>
    <t>reference product</t>
  </si>
  <si>
    <t>As metal</t>
  </si>
  <si>
    <t>location</t>
  </si>
  <si>
    <t>GLO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</si>
  <si>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</si>
  <si>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</si>
  <si>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</si>
  <si>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</si>
  <si>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</si>
  <si>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</si>
  <si>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</si>
  <si>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</si>
  <si>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</si>
  <si>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</si>
  <si>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</si>
  <si>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</si>
  <si>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</si>
  <si>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</si>
  <si>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</si>
  <si>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</si>
  <si>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</si>
  <si>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technosphere</t>
  </si>
  <si>
    <t>(2,2,5,1,5)</t>
  </si>
  <si>
    <t>Carbon, organic, in soil or biomass stock</t>
  </si>
  <si>
    <t>biosphere3</t>
  </si>
  <si>
    <t>biosphere</t>
  </si>
  <si>
    <t>natural resource::in ground</t>
  </si>
  <si>
    <t>Occupation, arable land, unspecified use</t>
  </si>
  <si>
    <t>square meter-year</t>
  </si>
  <si>
    <t>natural resource::land</t>
  </si>
  <si>
    <t>Occupation, industrial area</t>
  </si>
  <si>
    <t>Transformation, from unspecified</t>
  </si>
  <si>
    <t>square meter</t>
  </si>
  <si>
    <t>Energy, gross calorific value, in biomass</t>
  </si>
  <si>
    <t>megajoule</t>
  </si>
  <si>
    <t>natural resource::biotic</t>
  </si>
  <si>
    <t>Coal, hard</t>
  </si>
  <si>
    <t>Uranium</t>
  </si>
  <si>
    <t>Copper</t>
  </si>
  <si>
    <t>Water, cooling, unspecified natural origin</t>
  </si>
  <si>
    <t>cubic meter</t>
  </si>
  <si>
    <t>natural resource::in water</t>
  </si>
  <si>
    <t>1,1,1-Trichloroethane</t>
  </si>
  <si>
    <t>air</t>
  </si>
  <si>
    <t>1,2-Dichloro-1,1,2,2-tetrafluoroethane</t>
  </si>
  <si>
    <t>Arsenic ion</t>
  </si>
  <si>
    <t>Benzo(a)pyrene</t>
  </si>
  <si>
    <t>Benzene</t>
  </si>
  <si>
    <t>Lead II</t>
  </si>
  <si>
    <t>Cadmium II</t>
  </si>
  <si>
    <t>Hydrocarbons, chlorinated</t>
  </si>
  <si>
    <t>Methane, from soil or biomass stock</t>
  </si>
  <si>
    <t>Methane, fossil</t>
  </si>
  <si>
    <t>Chromium III</t>
  </si>
  <si>
    <t>Carbon monoxide, fossil</t>
  </si>
  <si>
    <t>Carbon dioxide, fossil</t>
  </si>
  <si>
    <t>Carbon monoxide, from soil or biomass stock</t>
  </si>
  <si>
    <t>Dichlorofluoromethane</t>
  </si>
  <si>
    <t>Dioxins, measured as 2,3,7,8-tetrachlorodibenzo-p-dioxin</t>
  </si>
  <si>
    <t>Dimethenamide</t>
  </si>
  <si>
    <t>Particulate Matter, &gt; 2.5 um and &lt; 10um</t>
  </si>
  <si>
    <t>Hydrogen sulfide</t>
  </si>
  <si>
    <t>Chlorine</t>
  </si>
  <si>
    <t>Hexachlorobenzene</t>
  </si>
  <si>
    <t>Hydrogen fluoride</t>
  </si>
  <si>
    <t>Trichlorofluoromethane</t>
  </si>
  <si>
    <t>Copper ion</t>
  </si>
  <si>
    <t>Dinitrogen monoxide</t>
  </si>
  <si>
    <t>Ammonia</t>
  </si>
  <si>
    <t>Nickel II</t>
  </si>
  <si>
    <t>NMVOC, non-methane volatile organic compounds</t>
  </si>
  <si>
    <t>Nitrogen oxides</t>
  </si>
  <si>
    <t>Polychlorinated biphenyls</t>
  </si>
  <si>
    <t>Pentachlorophenol</t>
  </si>
  <si>
    <t>Mercury II</t>
  </si>
  <si>
    <t>Sulfur dioxide</t>
  </si>
  <si>
    <t>Zinc II</t>
  </si>
  <si>
    <t>water</t>
  </si>
  <si>
    <t>BOD5, Biological Oxygen Demand</t>
  </si>
  <si>
    <t>Chloride</t>
  </si>
  <si>
    <t>COD, Chemical Oxygen Demand</t>
  </si>
  <si>
    <t>Cyanide</t>
  </si>
  <si>
    <t>Fluoride</t>
  </si>
  <si>
    <t>Ammonium</t>
  </si>
  <si>
    <t>Nitrate</t>
  </si>
  <si>
    <t>Tin ion</t>
  </si>
  <si>
    <t>TOC, Total Organic Carbon</t>
  </si>
  <si>
    <t>Sulfate</t>
  </si>
  <si>
    <t>Phosphorus</t>
  </si>
  <si>
    <t>Nitrogen</t>
  </si>
  <si>
    <t>As recovery from Cu production worldwide</t>
  </si>
  <si>
    <t>Arsenic</t>
  </si>
  <si>
    <t>Arsenic (As) global market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</si>
  <si>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</si>
  <si>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</si>
  <si>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</si>
  <si>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Arsenic (As)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</si>
  <si>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As global market</t>
  </si>
  <si>
    <t>As_Market_GLO</t>
  </si>
  <si>
    <t>PR1_As_GLO</t>
  </si>
  <si>
    <t>air::non-urban air or from high stacks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</si>
</sst>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zoomScaleNormal="100" workbookViewId="0">
      <selection activeCell="B35" sqref="B35"/>
    </sheetView>
  </sheetViews>
  <sheetFormatPr baseColWidth="10" defaultRowHeight="15" x14ac:dyDescent="0.25"/>
  <cols>
    <col min="1" max="1" width="1.85546875" customWidth="1"/>
    <col min="2" max="2" width="31.85546875" bestFit="1" customWidth="1"/>
    <col min="3" max="3" width="11.42578125" customWidth="1"/>
  </cols>
  <sheetData>
    <row r="1" spans="1:17" ht="15.75" thickBot="1" x14ac:dyDescent="0.3">
      <c r="A1" t="s">
        <v>95</v>
      </c>
    </row>
    <row r="2" spans="1:17" ht="15" customHeight="1" x14ac:dyDescent="0.25">
      <c r="B2" s="22" t="s">
        <v>98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17" x14ac:dyDescent="0.2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</row>
    <row r="4" spans="1:17" x14ac:dyDescent="0.25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</row>
    <row r="5" spans="1:17" x14ac:dyDescent="0.25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</row>
    <row r="6" spans="1:17" x14ac:dyDescent="0.25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</row>
    <row r="7" spans="1:17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</row>
    <row r="8" spans="1:17" x14ac:dyDescent="0.25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</row>
    <row r="9" spans="1:17" x14ac:dyDescent="0.25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</row>
    <row r="10" spans="1:17" x14ac:dyDescent="0.25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</row>
    <row r="11" spans="1:17" x14ac:dyDescent="0.25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x14ac:dyDescent="0.25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</row>
    <row r="13" spans="1:17" x14ac:dyDescent="0.25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x14ac:dyDescent="0.25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</row>
    <row r="15" spans="1:17" x14ac:dyDescent="0.25"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x14ac:dyDescent="0.25"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</row>
    <row r="17" spans="2:17" x14ac:dyDescent="0.25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2:17" x14ac:dyDescent="0.25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</row>
    <row r="19" spans="2:17" x14ac:dyDescent="0.25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</row>
    <row r="20" spans="2:17" x14ac:dyDescent="0.25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</row>
    <row r="21" spans="2:17" x14ac:dyDescent="0.25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</row>
    <row r="22" spans="2:17" x14ac:dyDescent="0.25"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</row>
    <row r="23" spans="2:17" x14ac:dyDescent="0.25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</row>
    <row r="24" spans="2:17" ht="15" customHeight="1" x14ac:dyDescent="0.25"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</row>
    <row r="25" spans="2:17" x14ac:dyDescent="0.25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"/>
    </row>
    <row r="26" spans="2:17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</row>
    <row r="27" spans="2:17" x14ac:dyDescent="0.25"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</row>
    <row r="28" spans="2:17" x14ac:dyDescent="0.25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</row>
    <row r="29" spans="2:17" x14ac:dyDescent="0.25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</row>
    <row r="30" spans="2:17" x14ac:dyDescent="0.25"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</row>
    <row r="31" spans="2:17" ht="15.75" thickBot="1" x14ac:dyDescent="0.3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/>
    </row>
    <row r="32" spans="2:17" ht="15.75" thickBot="1" x14ac:dyDescent="0.3"/>
    <row r="33" spans="2:10" x14ac:dyDescent="0.25">
      <c r="B33" s="11" t="s">
        <v>96</v>
      </c>
      <c r="C33" s="12" t="s">
        <v>97</v>
      </c>
      <c r="D33" s="13"/>
      <c r="E33" s="13"/>
      <c r="F33" s="14"/>
      <c r="G33" s="15"/>
      <c r="H33" s="15"/>
      <c r="I33" s="15"/>
      <c r="J33" s="15"/>
    </row>
    <row r="34" spans="2:10" x14ac:dyDescent="0.25">
      <c r="B34" s="16" t="s">
        <v>100</v>
      </c>
      <c r="C34" s="6" t="s">
        <v>99</v>
      </c>
      <c r="D34" s="15"/>
      <c r="E34" s="15"/>
      <c r="F34" s="17"/>
      <c r="G34" s="15"/>
      <c r="H34" s="15"/>
      <c r="I34" s="15"/>
      <c r="J34" s="15"/>
    </row>
    <row r="35" spans="2:10" ht="15.75" thickBot="1" x14ac:dyDescent="0.3">
      <c r="B35" s="18" t="s">
        <v>101</v>
      </c>
      <c r="C35" s="19" t="s">
        <v>92</v>
      </c>
      <c r="D35" s="20"/>
      <c r="E35" s="20"/>
      <c r="F35" s="21"/>
      <c r="G35" s="15"/>
      <c r="H35" s="15"/>
      <c r="I35" s="15"/>
      <c r="J35" s="15"/>
    </row>
  </sheetData>
  <mergeCells count="1">
    <mergeCell ref="B2:Q31"/>
  </mergeCells>
  <hyperlinks>
    <hyperlink ref="B34" location="As_Market_GLO!A1" display="As_Market_GLO" xr:uid="{378CCA21-58CB-4685-8C2C-AC292B6B4F41}"/>
    <hyperlink ref="B35" location="PR1_As_GLO!A1" display="PR1_As_GLO" xr:uid="{627C1926-E797-46E3-9E0A-130043C1BE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BEA8-0EBE-44A3-ADAF-4A18370D2A33}">
  <sheetPr>
    <tabColor theme="8" tint="0.39997558519241921"/>
  </sheetPr>
  <dimension ref="A1:N22"/>
  <sheetViews>
    <sheetView workbookViewId="0"/>
  </sheetViews>
  <sheetFormatPr baseColWidth="10" defaultRowHeight="15" x14ac:dyDescent="0.25"/>
  <cols>
    <col min="1" max="1" width="88.140625" bestFit="1" customWidth="1"/>
    <col min="2" max="2" width="27" bestFit="1" customWidth="1"/>
    <col min="3" max="3" width="8.140625" bestFit="1" customWidth="1"/>
    <col min="4" max="4" width="12" bestFit="1" customWidth="1"/>
    <col min="5" max="5" width="8.7109375" bestFit="1" customWidth="1"/>
    <col min="6" max="6" width="10.71093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13</v>
      </c>
      <c r="B1" s="1" t="s">
        <v>93</v>
      </c>
    </row>
    <row r="2" spans="1:14" s="2" customFormat="1" x14ac:dyDescent="0.25"/>
    <row r="3" spans="1:14" x14ac:dyDescent="0.25">
      <c r="A3" s="3" t="s">
        <v>0</v>
      </c>
      <c r="B3" s="3" t="s">
        <v>94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5" t="s">
        <v>2</v>
      </c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4</v>
      </c>
      <c r="B5" s="4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5" t="s">
        <v>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 t="s">
        <v>7</v>
      </c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5" t="s">
        <v>9</v>
      </c>
      <c r="B8" s="4" t="s">
        <v>10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5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 t="s">
        <v>12</v>
      </c>
      <c r="B10" s="3" t="s">
        <v>2</v>
      </c>
      <c r="C10" s="3" t="s">
        <v>4</v>
      </c>
      <c r="D10" s="3" t="s">
        <v>6</v>
      </c>
      <c r="E10" s="3" t="s">
        <v>7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</row>
    <row r="11" spans="1:14" x14ac:dyDescent="0.25">
      <c r="A11" t="str">
        <f>B3</f>
        <v>Arsenic (As) global market</v>
      </c>
      <c r="B11" t="str">
        <f>B4</f>
        <v>As metal</v>
      </c>
      <c r="C11" t="str">
        <f>B5</f>
        <v>GLO</v>
      </c>
      <c r="D11" s="4">
        <f>B6</f>
        <v>1</v>
      </c>
      <c r="E11" s="4" t="str">
        <f>B7</f>
        <v>kilogram</v>
      </c>
      <c r="F11" s="1" t="str">
        <f>B1</f>
        <v>Arsenic</v>
      </c>
      <c r="G11" s="4" t="s">
        <v>22</v>
      </c>
    </row>
    <row r="12" spans="1:14" s="4" customFormat="1" x14ac:dyDescent="0.25">
      <c r="A12" s="4" t="str">
        <f>PR1_As_GLO!A85</f>
        <v>As recovery from Cu production worldwide</v>
      </c>
      <c r="B12" s="4" t="str">
        <f>PR1_As_GLO!B85</f>
        <v>As metal</v>
      </c>
      <c r="C12" s="4" t="str">
        <f>PR1_As_GLO!C85</f>
        <v>GLO</v>
      </c>
      <c r="D12" s="4">
        <f>PR1_As_GLO!D85</f>
        <v>1</v>
      </c>
      <c r="E12" s="4" t="str">
        <f>PR1_As_GLO!E85</f>
        <v>kilogram</v>
      </c>
      <c r="F12" s="1" t="str">
        <f>PR1_As_GLO!F85</f>
        <v>Arsenic</v>
      </c>
      <c r="G12" s="6" t="s">
        <v>23</v>
      </c>
    </row>
    <row r="13" spans="1:14" s="4" customFormat="1" x14ac:dyDescent="0.25">
      <c r="F13" s="1"/>
    </row>
    <row r="14" spans="1:14" s="4" customFormat="1" x14ac:dyDescent="0.25">
      <c r="F14" s="1"/>
    </row>
    <row r="15" spans="1:14" s="4" customFormat="1" x14ac:dyDescent="0.25">
      <c r="F15" s="1"/>
    </row>
    <row r="16" spans="1:14" s="4" customFormat="1" x14ac:dyDescent="0.25">
      <c r="F16" s="1"/>
    </row>
    <row r="17" spans="6:6" s="4" customFormat="1" x14ac:dyDescent="0.25">
      <c r="F17" s="1"/>
    </row>
    <row r="18" spans="6:6" s="4" customFormat="1" x14ac:dyDescent="0.25">
      <c r="F18" s="1"/>
    </row>
    <row r="19" spans="6:6" s="4" customFormat="1" x14ac:dyDescent="0.25">
      <c r="F19" s="1"/>
    </row>
    <row r="20" spans="6:6" s="4" customFormat="1" x14ac:dyDescent="0.25">
      <c r="F20" s="1"/>
    </row>
    <row r="21" spans="6:6" s="4" customFormat="1" x14ac:dyDescent="0.25">
      <c r="F21" s="1"/>
    </row>
    <row r="22" spans="6:6" s="4" customFormat="1" x14ac:dyDescent="0.25">
      <c r="F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86"/>
  <sheetViews>
    <sheetView tabSelected="1" topLeftCell="A13" workbookViewId="0">
      <selection activeCell="H35" sqref="H35"/>
    </sheetView>
  </sheetViews>
  <sheetFormatPr baseColWidth="10" defaultColWidth="8.7109375" defaultRowHeight="15" x14ac:dyDescent="0.25"/>
  <cols>
    <col min="1" max="1" width="48.85546875" style="6" bestFit="1" customWidth="1"/>
    <col min="2" max="2" width="37.140625" style="6" bestFit="1" customWidth="1"/>
    <col min="3" max="3" width="7.5703125" style="6" bestFit="1" customWidth="1"/>
    <col min="4" max="4" width="11.85546875" style="6" bestFit="1" customWidth="1"/>
    <col min="5" max="5" width="16.42578125" style="6" bestFit="1" customWidth="1"/>
    <col min="6" max="6" width="18.42578125" style="6" bestFit="1" customWidth="1"/>
    <col min="7" max="7" width="12.28515625" style="6" bestFit="1" customWidth="1"/>
    <col min="8" max="8" width="23.85546875" style="6" bestFit="1" customWidth="1"/>
    <col min="9" max="9" width="14.5703125" style="6" bestFit="1" customWidth="1"/>
    <col min="10" max="10" width="8.85546875" style="6" bestFit="1" customWidth="1"/>
    <col min="11" max="11" width="3.42578125" style="6" bestFit="1" customWidth="1"/>
    <col min="12" max="12" width="5" style="6" bestFit="1" customWidth="1"/>
    <col min="13" max="13" width="8.85546875" style="6" bestFit="1" customWidth="1"/>
    <col min="14" max="14" width="9.28515625" style="6" bestFit="1" customWidth="1"/>
    <col min="15" max="16384" width="8.7109375" style="6"/>
  </cols>
  <sheetData>
    <row r="1" spans="1:14" x14ac:dyDescent="0.25">
      <c r="A1" s="7" t="s">
        <v>0</v>
      </c>
      <c r="B1" s="7" t="s">
        <v>1</v>
      </c>
    </row>
    <row r="2" spans="1:14" x14ac:dyDescent="0.25">
      <c r="A2" s="8" t="s">
        <v>2</v>
      </c>
      <c r="B2" s="6" t="s">
        <v>3</v>
      </c>
    </row>
    <row r="3" spans="1:14" x14ac:dyDescent="0.25">
      <c r="A3" s="8" t="s">
        <v>4</v>
      </c>
      <c r="B3" s="6" t="s">
        <v>5</v>
      </c>
    </row>
    <row r="4" spans="1:14" x14ac:dyDescent="0.25">
      <c r="A4" s="8" t="s">
        <v>6</v>
      </c>
      <c r="B4" s="6">
        <v>1</v>
      </c>
    </row>
    <row r="5" spans="1:14" x14ac:dyDescent="0.25">
      <c r="A5" s="8" t="s">
        <v>7</v>
      </c>
      <c r="B5" s="6" t="s">
        <v>8</v>
      </c>
    </row>
    <row r="6" spans="1:14" x14ac:dyDescent="0.25">
      <c r="A6" s="8" t="s">
        <v>9</v>
      </c>
      <c r="B6" s="6" t="s">
        <v>10</v>
      </c>
    </row>
    <row r="7" spans="1:14" x14ac:dyDescent="0.25">
      <c r="A7" s="8" t="s">
        <v>11</v>
      </c>
    </row>
    <row r="8" spans="1:14" x14ac:dyDescent="0.2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25">
      <c r="A9" s="6" t="str">
        <f>B1</f>
        <v>[P+R] Arsenic (As) metal production</v>
      </c>
      <c r="B9" s="6" t="str">
        <f>B2</f>
        <v>As metal</v>
      </c>
      <c r="C9" s="6" t="str">
        <f>B3</f>
        <v>GLO</v>
      </c>
      <c r="D9" s="6">
        <v>1</v>
      </c>
      <c r="E9" s="6" t="s">
        <v>8</v>
      </c>
      <c r="F9" s="9" t="str">
        <f>As_Market_GLO!B1</f>
        <v>Arsenic</v>
      </c>
      <c r="G9" s="6" t="s">
        <v>22</v>
      </c>
    </row>
    <row r="10" spans="1:14" x14ac:dyDescent="0.25">
      <c r="A10" s="6" t="s">
        <v>25</v>
      </c>
      <c r="D10" s="6">
        <v>7.37</v>
      </c>
      <c r="E10" s="6" t="s">
        <v>8</v>
      </c>
      <c r="F10" s="6" t="s">
        <v>26</v>
      </c>
      <c r="G10" s="6" t="s">
        <v>27</v>
      </c>
      <c r="H10" s="6" t="s">
        <v>28</v>
      </c>
      <c r="J10" s="6" t="s">
        <v>24</v>
      </c>
    </row>
    <row r="11" spans="1:14" x14ac:dyDescent="0.25">
      <c r="A11" s="6" t="s">
        <v>29</v>
      </c>
      <c r="D11" s="6">
        <v>10.4</v>
      </c>
      <c r="E11" s="6" t="s">
        <v>30</v>
      </c>
      <c r="F11" s="6" t="s">
        <v>26</v>
      </c>
      <c r="G11" s="6" t="s">
        <v>27</v>
      </c>
      <c r="H11" s="6" t="s">
        <v>31</v>
      </c>
      <c r="J11" s="6" t="s">
        <v>24</v>
      </c>
    </row>
    <row r="12" spans="1:14" x14ac:dyDescent="0.25">
      <c r="A12" s="6" t="s">
        <v>32</v>
      </c>
      <c r="D12" s="6">
        <v>139</v>
      </c>
      <c r="E12" s="6" t="s">
        <v>30</v>
      </c>
      <c r="F12" s="6" t="s">
        <v>26</v>
      </c>
      <c r="G12" s="6" t="s">
        <v>27</v>
      </c>
      <c r="H12" s="6" t="s">
        <v>31</v>
      </c>
      <c r="J12" s="6" t="s">
        <v>24</v>
      </c>
    </row>
    <row r="13" spans="1:14" x14ac:dyDescent="0.25">
      <c r="A13" s="6" t="s">
        <v>33</v>
      </c>
      <c r="D13" s="6">
        <v>1.1200000000000001</v>
      </c>
      <c r="E13" s="6" t="s">
        <v>34</v>
      </c>
      <c r="F13" s="6" t="s">
        <v>26</v>
      </c>
      <c r="G13" s="6" t="s">
        <v>27</v>
      </c>
      <c r="H13" s="6" t="s">
        <v>31</v>
      </c>
      <c r="J13" s="6" t="s">
        <v>24</v>
      </c>
    </row>
    <row r="14" spans="1:14" x14ac:dyDescent="0.25">
      <c r="A14" s="6" t="s">
        <v>35</v>
      </c>
      <c r="D14" s="6">
        <v>1866</v>
      </c>
      <c r="E14" s="6" t="s">
        <v>36</v>
      </c>
      <c r="F14" s="6" t="s">
        <v>26</v>
      </c>
      <c r="G14" s="6" t="s">
        <v>27</v>
      </c>
      <c r="H14" s="6" t="s">
        <v>37</v>
      </c>
      <c r="J14" s="6" t="s">
        <v>24</v>
      </c>
    </row>
    <row r="15" spans="1:14" x14ac:dyDescent="0.25">
      <c r="A15" s="6" t="s">
        <v>38</v>
      </c>
      <c r="D15" s="6">
        <v>412.66666666666669</v>
      </c>
      <c r="E15" s="6" t="s">
        <v>8</v>
      </c>
      <c r="F15" s="6" t="s">
        <v>26</v>
      </c>
      <c r="G15" s="6" t="s">
        <v>27</v>
      </c>
      <c r="H15" s="6" t="s">
        <v>28</v>
      </c>
      <c r="J15" s="6" t="s">
        <v>24</v>
      </c>
    </row>
    <row r="16" spans="1:14" x14ac:dyDescent="0.25">
      <c r="A16" s="6" t="s">
        <v>39</v>
      </c>
      <c r="D16" s="6">
        <v>4.5279999999999999E-3</v>
      </c>
      <c r="E16" s="6" t="s">
        <v>8</v>
      </c>
      <c r="F16" s="6" t="s">
        <v>26</v>
      </c>
      <c r="G16" s="6" t="s">
        <v>27</v>
      </c>
      <c r="H16" s="6" t="s">
        <v>28</v>
      </c>
      <c r="J16" s="6" t="s">
        <v>24</v>
      </c>
    </row>
    <row r="17" spans="1:10" x14ac:dyDescent="0.25">
      <c r="A17" s="6" t="s">
        <v>40</v>
      </c>
      <c r="D17" s="6">
        <v>23.9</v>
      </c>
      <c r="E17" s="6" t="s">
        <v>8</v>
      </c>
      <c r="F17" s="6" t="s">
        <v>26</v>
      </c>
      <c r="G17" s="6" t="s">
        <v>27</v>
      </c>
      <c r="H17" s="6" t="s">
        <v>28</v>
      </c>
      <c r="J17" s="6" t="s">
        <v>24</v>
      </c>
    </row>
    <row r="18" spans="1:10" x14ac:dyDescent="0.25">
      <c r="A18" s="6" t="s">
        <v>41</v>
      </c>
      <c r="D18" s="6">
        <v>18.861999999999998</v>
      </c>
      <c r="E18" s="6" t="s">
        <v>42</v>
      </c>
      <c r="F18" s="6" t="s">
        <v>26</v>
      </c>
      <c r="G18" s="6" t="s">
        <v>27</v>
      </c>
      <c r="H18" s="6" t="s">
        <v>43</v>
      </c>
      <c r="J18" s="6" t="s">
        <v>24</v>
      </c>
    </row>
    <row r="19" spans="1:10" x14ac:dyDescent="0.25">
      <c r="A19" s="6" t="s">
        <v>44</v>
      </c>
      <c r="D19" s="6">
        <v>5.6300000000000002E-10</v>
      </c>
      <c r="E19" s="6" t="s">
        <v>8</v>
      </c>
      <c r="F19" s="6" t="s">
        <v>26</v>
      </c>
      <c r="G19" s="6" t="s">
        <v>27</v>
      </c>
      <c r="H19" s="6" t="s">
        <v>45</v>
      </c>
      <c r="J19" s="6" t="s">
        <v>24</v>
      </c>
    </row>
    <row r="20" spans="1:10" x14ac:dyDescent="0.25">
      <c r="A20" s="6" t="s">
        <v>46</v>
      </c>
      <c r="D20" s="6">
        <v>3.5599999999999998E-5</v>
      </c>
      <c r="E20" s="6" t="s">
        <v>8</v>
      </c>
      <c r="F20" s="6" t="s">
        <v>26</v>
      </c>
      <c r="G20" s="6" t="s">
        <v>27</v>
      </c>
      <c r="H20" s="6" t="s">
        <v>45</v>
      </c>
      <c r="J20" s="6" t="s">
        <v>24</v>
      </c>
    </row>
    <row r="21" spans="1:10" x14ac:dyDescent="0.25">
      <c r="A21" s="6" t="s">
        <v>47</v>
      </c>
      <c r="D21" s="6">
        <v>7.23</v>
      </c>
      <c r="E21" s="6" t="s">
        <v>8</v>
      </c>
      <c r="F21" s="6" t="s">
        <v>26</v>
      </c>
      <c r="G21" s="6" t="s">
        <v>27</v>
      </c>
      <c r="H21" s="6" t="s">
        <v>45</v>
      </c>
      <c r="J21" s="6" t="s">
        <v>24</v>
      </c>
    </row>
    <row r="22" spans="1:10" x14ac:dyDescent="0.25">
      <c r="A22" s="6" t="s">
        <v>48</v>
      </c>
      <c r="D22" s="6">
        <v>5.1700000000000001E-3</v>
      </c>
      <c r="E22" s="6" t="s">
        <v>8</v>
      </c>
      <c r="F22" s="6" t="s">
        <v>26</v>
      </c>
      <c r="G22" s="6" t="s">
        <v>27</v>
      </c>
      <c r="H22" s="6" t="s">
        <v>45</v>
      </c>
      <c r="J22" s="6" t="s">
        <v>24</v>
      </c>
    </row>
    <row r="23" spans="1:10" x14ac:dyDescent="0.25">
      <c r="A23" s="6" t="s">
        <v>49</v>
      </c>
      <c r="D23" s="6">
        <v>5.1700000000000001E-3</v>
      </c>
      <c r="E23" s="6" t="s">
        <v>8</v>
      </c>
      <c r="F23" s="6" t="s">
        <v>26</v>
      </c>
      <c r="G23" s="6" t="s">
        <v>27</v>
      </c>
      <c r="H23" s="6" t="s">
        <v>45</v>
      </c>
      <c r="J23" s="6" t="s">
        <v>24</v>
      </c>
    </row>
    <row r="24" spans="1:10" x14ac:dyDescent="0.25">
      <c r="A24" s="6" t="s">
        <v>50</v>
      </c>
      <c r="D24" s="6">
        <v>5.4199999999999998E-2</v>
      </c>
      <c r="E24" s="6" t="s">
        <v>8</v>
      </c>
      <c r="F24" s="6" t="s">
        <v>26</v>
      </c>
      <c r="G24" s="6" t="s">
        <v>27</v>
      </c>
      <c r="H24" s="6" t="s">
        <v>45</v>
      </c>
      <c r="J24" s="6" t="s">
        <v>24</v>
      </c>
    </row>
    <row r="25" spans="1:10" x14ac:dyDescent="0.25">
      <c r="A25" s="6" t="s">
        <v>51</v>
      </c>
      <c r="D25" s="6">
        <v>2.3700000000000001E-3</v>
      </c>
      <c r="E25" s="6" t="s">
        <v>8</v>
      </c>
      <c r="F25" s="6" t="s">
        <v>26</v>
      </c>
      <c r="G25" s="6" t="s">
        <v>27</v>
      </c>
      <c r="H25" s="6" t="s">
        <v>45</v>
      </c>
      <c r="J25" s="6" t="s">
        <v>24</v>
      </c>
    </row>
    <row r="26" spans="1:10" x14ac:dyDescent="0.25">
      <c r="A26" s="6" t="s">
        <v>52</v>
      </c>
      <c r="D26" s="6">
        <v>1.7200000000000001E-5</v>
      </c>
      <c r="E26" s="6" t="s">
        <v>8</v>
      </c>
      <c r="F26" s="6" t="s">
        <v>26</v>
      </c>
      <c r="G26" s="6" t="s">
        <v>27</v>
      </c>
      <c r="H26" s="6" t="s">
        <v>45</v>
      </c>
      <c r="J26" s="6" t="s">
        <v>24</v>
      </c>
    </row>
    <row r="27" spans="1:10" x14ac:dyDescent="0.25">
      <c r="A27" s="6" t="s">
        <v>53</v>
      </c>
      <c r="D27" s="6">
        <v>7.6699999999999997E-3</v>
      </c>
      <c r="E27" s="6" t="s">
        <v>8</v>
      </c>
      <c r="F27" s="6" t="s">
        <v>26</v>
      </c>
      <c r="G27" s="6" t="s">
        <v>27</v>
      </c>
      <c r="H27" s="6" t="s">
        <v>45</v>
      </c>
      <c r="J27" s="6" t="s">
        <v>24</v>
      </c>
    </row>
    <row r="28" spans="1:10" x14ac:dyDescent="0.25">
      <c r="A28" s="6" t="s">
        <v>54</v>
      </c>
      <c r="D28" s="6">
        <v>2.33</v>
      </c>
      <c r="E28" s="6" t="s">
        <v>8</v>
      </c>
      <c r="F28" s="6" t="s">
        <v>26</v>
      </c>
      <c r="G28" s="6" t="s">
        <v>27</v>
      </c>
      <c r="H28" s="6" t="s">
        <v>45</v>
      </c>
      <c r="J28" s="6" t="s">
        <v>24</v>
      </c>
    </row>
    <row r="29" spans="1:10" x14ac:dyDescent="0.25">
      <c r="A29" s="6" t="s">
        <v>55</v>
      </c>
      <c r="D29" s="6">
        <v>1.4999999999999999E-2</v>
      </c>
      <c r="E29" s="6" t="s">
        <v>8</v>
      </c>
      <c r="F29" s="6" t="s">
        <v>26</v>
      </c>
      <c r="G29" s="6" t="s">
        <v>27</v>
      </c>
      <c r="H29" s="6" t="s">
        <v>45</v>
      </c>
      <c r="J29" s="6" t="s">
        <v>24</v>
      </c>
    </row>
    <row r="30" spans="1:10" x14ac:dyDescent="0.25">
      <c r="A30" s="6" t="s">
        <v>56</v>
      </c>
      <c r="D30" s="6">
        <v>19.2</v>
      </c>
      <c r="E30" s="6" t="s">
        <v>8</v>
      </c>
      <c r="F30" s="6" t="s">
        <v>26</v>
      </c>
      <c r="G30" s="6" t="s">
        <v>27</v>
      </c>
      <c r="H30" s="6" t="s">
        <v>45</v>
      </c>
      <c r="J30" s="6" t="s">
        <v>24</v>
      </c>
    </row>
    <row r="31" spans="1:10" x14ac:dyDescent="0.25">
      <c r="A31" s="6" t="s">
        <v>57</v>
      </c>
      <c r="D31" s="6">
        <v>998</v>
      </c>
      <c r="E31" s="6" t="s">
        <v>8</v>
      </c>
      <c r="F31" s="6" t="s">
        <v>26</v>
      </c>
      <c r="G31" s="6" t="s">
        <v>27</v>
      </c>
      <c r="H31" s="6" t="s">
        <v>45</v>
      </c>
      <c r="J31" s="6" t="s">
        <v>24</v>
      </c>
    </row>
    <row r="32" spans="1:10" x14ac:dyDescent="0.25">
      <c r="A32" s="6" t="s">
        <v>58</v>
      </c>
      <c r="D32" s="6">
        <v>17.3</v>
      </c>
      <c r="E32" s="6" t="s">
        <v>8</v>
      </c>
      <c r="F32" s="6" t="s">
        <v>26</v>
      </c>
      <c r="G32" s="6" t="s">
        <v>27</v>
      </c>
      <c r="H32" s="6" t="s">
        <v>45</v>
      </c>
      <c r="J32" s="6" t="s">
        <v>24</v>
      </c>
    </row>
    <row r="33" spans="1:10" x14ac:dyDescent="0.25">
      <c r="A33" s="6" t="s">
        <v>59</v>
      </c>
      <c r="D33" s="6">
        <v>1.7599999999999999E-8</v>
      </c>
      <c r="E33" s="6" t="s">
        <v>8</v>
      </c>
      <c r="F33" s="6" t="s">
        <v>26</v>
      </c>
      <c r="G33" s="6" t="s">
        <v>27</v>
      </c>
      <c r="H33" s="6" t="s">
        <v>45</v>
      </c>
      <c r="J33" s="6" t="s">
        <v>24</v>
      </c>
    </row>
    <row r="34" spans="1:10" x14ac:dyDescent="0.25">
      <c r="A34" s="6" t="s">
        <v>60</v>
      </c>
      <c r="D34" s="6">
        <v>2.6200000000000001E-9</v>
      </c>
      <c r="E34" s="6" t="s">
        <v>8</v>
      </c>
      <c r="F34" s="6" t="s">
        <v>26</v>
      </c>
      <c r="G34" s="6" t="s">
        <v>27</v>
      </c>
      <c r="H34" s="6" t="s">
        <v>45</v>
      </c>
      <c r="J34" s="6" t="s">
        <v>24</v>
      </c>
    </row>
    <row r="35" spans="1:10" x14ac:dyDescent="0.25">
      <c r="A35" s="6" t="s">
        <v>61</v>
      </c>
      <c r="D35" s="6">
        <v>1.34E-2</v>
      </c>
      <c r="E35" s="6" t="s">
        <v>8</v>
      </c>
      <c r="F35" s="6" t="s">
        <v>26</v>
      </c>
      <c r="G35" s="6" t="s">
        <v>27</v>
      </c>
      <c r="H35" s="6" t="s">
        <v>102</v>
      </c>
      <c r="J35" s="6" t="s">
        <v>24</v>
      </c>
    </row>
    <row r="36" spans="1:10" x14ac:dyDescent="0.25">
      <c r="A36" s="6" t="s">
        <v>62</v>
      </c>
      <c r="D36" s="6">
        <v>9.9</v>
      </c>
      <c r="E36" s="6" t="s">
        <v>8</v>
      </c>
      <c r="F36" s="6" t="s">
        <v>26</v>
      </c>
      <c r="G36" s="6" t="s">
        <v>27</v>
      </c>
      <c r="H36" s="6" t="s">
        <v>45</v>
      </c>
      <c r="J36" s="6" t="s">
        <v>24</v>
      </c>
    </row>
    <row r="37" spans="1:10" x14ac:dyDescent="0.25">
      <c r="A37" s="6" t="s">
        <v>63</v>
      </c>
      <c r="D37" s="6">
        <v>1.15E-2</v>
      </c>
      <c r="E37" s="6" t="s">
        <v>8</v>
      </c>
      <c r="F37" s="6" t="s">
        <v>26</v>
      </c>
      <c r="G37" s="6" t="s">
        <v>27</v>
      </c>
      <c r="H37" s="6" t="s">
        <v>45</v>
      </c>
      <c r="J37" s="6" t="s">
        <v>24</v>
      </c>
    </row>
    <row r="38" spans="1:10" x14ac:dyDescent="0.25">
      <c r="A38" s="6" t="s">
        <v>64</v>
      </c>
      <c r="D38" s="6">
        <v>8.3799999999999999E-2</v>
      </c>
      <c r="E38" s="6" t="s">
        <v>8</v>
      </c>
      <c r="F38" s="6" t="s">
        <v>26</v>
      </c>
      <c r="G38" s="6" t="s">
        <v>27</v>
      </c>
      <c r="H38" s="6" t="s">
        <v>45</v>
      </c>
      <c r="J38" s="6" t="s">
        <v>24</v>
      </c>
    </row>
    <row r="39" spans="1:10" x14ac:dyDescent="0.25">
      <c r="A39" s="6" t="s">
        <v>65</v>
      </c>
      <c r="D39" s="6">
        <v>1.2599999999999999E-7</v>
      </c>
      <c r="E39" s="6" t="s">
        <v>8</v>
      </c>
      <c r="F39" s="6" t="s">
        <v>26</v>
      </c>
      <c r="G39" s="6" t="s">
        <v>27</v>
      </c>
      <c r="H39" s="6" t="s">
        <v>45</v>
      </c>
      <c r="J39" s="6" t="s">
        <v>24</v>
      </c>
    </row>
    <row r="40" spans="1:10" x14ac:dyDescent="0.25">
      <c r="A40" s="6" t="s">
        <v>66</v>
      </c>
      <c r="D40" s="6">
        <v>1.09E-2</v>
      </c>
      <c r="E40" s="6" t="s">
        <v>8</v>
      </c>
      <c r="F40" s="6" t="s">
        <v>26</v>
      </c>
      <c r="G40" s="6" t="s">
        <v>27</v>
      </c>
      <c r="H40" s="6" t="s">
        <v>45</v>
      </c>
      <c r="J40" s="6" t="s">
        <v>24</v>
      </c>
    </row>
    <row r="41" spans="1:10" x14ac:dyDescent="0.25">
      <c r="A41" s="6" t="s">
        <v>67</v>
      </c>
      <c r="D41" s="6">
        <v>5.2699999999999997E-2</v>
      </c>
      <c r="E41" s="6" t="s">
        <v>8</v>
      </c>
      <c r="F41" s="6" t="s">
        <v>26</v>
      </c>
      <c r="G41" s="6" t="s">
        <v>27</v>
      </c>
      <c r="H41" s="6" t="s">
        <v>45</v>
      </c>
      <c r="J41" s="6" t="s">
        <v>24</v>
      </c>
    </row>
    <row r="42" spans="1:10" x14ac:dyDescent="0.25">
      <c r="A42" s="6" t="s">
        <v>68</v>
      </c>
      <c r="D42" s="6">
        <v>8.9800000000000005E-2</v>
      </c>
      <c r="E42" s="6" t="s">
        <v>8</v>
      </c>
      <c r="F42" s="6" t="s">
        <v>26</v>
      </c>
      <c r="G42" s="6" t="s">
        <v>27</v>
      </c>
      <c r="H42" s="6" t="s">
        <v>45</v>
      </c>
      <c r="J42" s="6" t="s">
        <v>24</v>
      </c>
    </row>
    <row r="43" spans="1:10" x14ac:dyDescent="0.25">
      <c r="A43" s="6" t="s">
        <v>69</v>
      </c>
      <c r="D43" s="6">
        <v>9.1700000000000004E-2</v>
      </c>
      <c r="E43" s="6" t="s">
        <v>8</v>
      </c>
      <c r="F43" s="6" t="s">
        <v>26</v>
      </c>
      <c r="G43" s="6" t="s">
        <v>27</v>
      </c>
      <c r="H43" s="6" t="s">
        <v>45</v>
      </c>
      <c r="J43" s="6" t="s">
        <v>24</v>
      </c>
    </row>
    <row r="44" spans="1:10" x14ac:dyDescent="0.25">
      <c r="A44" s="6" t="s">
        <v>70</v>
      </c>
      <c r="D44" s="6">
        <v>1.08</v>
      </c>
      <c r="E44" s="6" t="s">
        <v>8</v>
      </c>
      <c r="F44" s="6" t="s">
        <v>26</v>
      </c>
      <c r="G44" s="6" t="s">
        <v>27</v>
      </c>
      <c r="H44" s="6" t="s">
        <v>45</v>
      </c>
      <c r="J44" s="6" t="s">
        <v>24</v>
      </c>
    </row>
    <row r="45" spans="1:10" x14ac:dyDescent="0.25">
      <c r="A45" s="6" t="s">
        <v>71</v>
      </c>
      <c r="D45" s="6">
        <v>2.18E-2</v>
      </c>
      <c r="E45" s="6" t="s">
        <v>8</v>
      </c>
      <c r="F45" s="6" t="s">
        <v>26</v>
      </c>
      <c r="G45" s="6" t="s">
        <v>27</v>
      </c>
      <c r="H45" s="6" t="s">
        <v>45</v>
      </c>
      <c r="J45" s="6" t="s">
        <v>24</v>
      </c>
    </row>
    <row r="46" spans="1:10" x14ac:dyDescent="0.25">
      <c r="A46" s="6" t="s">
        <v>72</v>
      </c>
      <c r="D46" s="6">
        <v>21.7</v>
      </c>
      <c r="E46" s="6" t="s">
        <v>8</v>
      </c>
      <c r="F46" s="6" t="s">
        <v>26</v>
      </c>
      <c r="G46" s="6" t="s">
        <v>27</v>
      </c>
      <c r="H46" s="6" t="s">
        <v>45</v>
      </c>
      <c r="J46" s="6" t="s">
        <v>24</v>
      </c>
    </row>
    <row r="47" spans="1:10" x14ac:dyDescent="0.25">
      <c r="A47" s="6" t="s">
        <v>73</v>
      </c>
      <c r="D47" s="6">
        <v>7.36</v>
      </c>
      <c r="E47" s="6" t="s">
        <v>8</v>
      </c>
      <c r="F47" s="6" t="s">
        <v>26</v>
      </c>
      <c r="G47" s="6" t="s">
        <v>27</v>
      </c>
      <c r="H47" s="6" t="s">
        <v>45</v>
      </c>
      <c r="J47" s="6" t="s">
        <v>24</v>
      </c>
    </row>
    <row r="48" spans="1:10" x14ac:dyDescent="0.25">
      <c r="A48" s="6" t="s">
        <v>74</v>
      </c>
      <c r="D48" s="6">
        <v>1.8300000000000001E-7</v>
      </c>
      <c r="E48" s="6" t="s">
        <v>8</v>
      </c>
      <c r="F48" s="6" t="s">
        <v>26</v>
      </c>
      <c r="G48" s="6" t="s">
        <v>27</v>
      </c>
      <c r="H48" s="6" t="s">
        <v>45</v>
      </c>
      <c r="J48" s="6" t="s">
        <v>24</v>
      </c>
    </row>
    <row r="49" spans="1:10" x14ac:dyDescent="0.25">
      <c r="A49" s="6" t="s">
        <v>75</v>
      </c>
      <c r="D49" s="6">
        <v>1.6899999999999999E-6</v>
      </c>
      <c r="E49" s="6" t="s">
        <v>8</v>
      </c>
      <c r="F49" s="6" t="s">
        <v>26</v>
      </c>
      <c r="G49" s="6" t="s">
        <v>27</v>
      </c>
      <c r="H49" s="6" t="s">
        <v>45</v>
      </c>
      <c r="J49" s="6" t="s">
        <v>24</v>
      </c>
    </row>
    <row r="50" spans="1:10" x14ac:dyDescent="0.25">
      <c r="A50" s="6" t="s">
        <v>76</v>
      </c>
      <c r="D50" s="6">
        <v>8.3300000000000005E-5</v>
      </c>
      <c r="E50" s="6" t="s">
        <v>8</v>
      </c>
      <c r="F50" s="6" t="s">
        <v>26</v>
      </c>
      <c r="G50" s="6" t="s">
        <v>27</v>
      </c>
      <c r="H50" s="6" t="s">
        <v>45</v>
      </c>
      <c r="J50" s="6" t="s">
        <v>24</v>
      </c>
    </row>
    <row r="51" spans="1:10" x14ac:dyDescent="0.25">
      <c r="A51" s="6" t="s">
        <v>77</v>
      </c>
      <c r="D51" s="6">
        <v>16.399999999999999</v>
      </c>
      <c r="E51" s="6" t="s">
        <v>8</v>
      </c>
      <c r="F51" s="6" t="s">
        <v>26</v>
      </c>
      <c r="G51" s="6" t="s">
        <v>27</v>
      </c>
      <c r="H51" s="6" t="s">
        <v>45</v>
      </c>
      <c r="J51" s="6" t="s">
        <v>24</v>
      </c>
    </row>
    <row r="52" spans="1:10" x14ac:dyDescent="0.25">
      <c r="A52" s="6" t="s">
        <v>78</v>
      </c>
      <c r="D52" s="6">
        <v>5.6899999999999999E-2</v>
      </c>
      <c r="E52" s="6" t="s">
        <v>8</v>
      </c>
      <c r="F52" s="6" t="s">
        <v>26</v>
      </c>
      <c r="G52" s="6" t="s">
        <v>27</v>
      </c>
      <c r="H52" s="6" t="s">
        <v>45</v>
      </c>
      <c r="J52" s="6" t="s">
        <v>24</v>
      </c>
    </row>
    <row r="53" spans="1:10" x14ac:dyDescent="0.25">
      <c r="A53" s="6" t="s">
        <v>47</v>
      </c>
      <c r="D53" s="6">
        <v>0.26</v>
      </c>
      <c r="E53" s="6" t="s">
        <v>8</v>
      </c>
      <c r="F53" s="6" t="s">
        <v>26</v>
      </c>
      <c r="G53" s="6" t="s">
        <v>27</v>
      </c>
      <c r="H53" s="6" t="s">
        <v>79</v>
      </c>
      <c r="J53" s="6" t="s">
        <v>24</v>
      </c>
    </row>
    <row r="54" spans="1:10" x14ac:dyDescent="0.25">
      <c r="A54" s="6" t="s">
        <v>49</v>
      </c>
      <c r="D54" s="6">
        <v>2.6700000000000001E-3</v>
      </c>
      <c r="E54" s="6" t="s">
        <v>8</v>
      </c>
      <c r="F54" s="6" t="s">
        <v>26</v>
      </c>
      <c r="G54" s="6" t="s">
        <v>27</v>
      </c>
      <c r="H54" s="6" t="s">
        <v>79</v>
      </c>
      <c r="J54" s="6" t="s">
        <v>24</v>
      </c>
    </row>
    <row r="55" spans="1:10" x14ac:dyDescent="0.25">
      <c r="A55" s="6" t="s">
        <v>50</v>
      </c>
      <c r="D55" s="6">
        <v>5.2400000000000005E-4</v>
      </c>
      <c r="E55" s="6" t="s">
        <v>8</v>
      </c>
      <c r="F55" s="6" t="s">
        <v>26</v>
      </c>
      <c r="G55" s="6" t="s">
        <v>27</v>
      </c>
      <c r="H55" s="6" t="s">
        <v>79</v>
      </c>
      <c r="J55" s="6" t="s">
        <v>24</v>
      </c>
    </row>
    <row r="56" spans="1:10" x14ac:dyDescent="0.25">
      <c r="A56" s="6" t="s">
        <v>80</v>
      </c>
      <c r="D56" s="6">
        <v>1.81</v>
      </c>
      <c r="E56" s="6" t="s">
        <v>8</v>
      </c>
      <c r="F56" s="6" t="s">
        <v>26</v>
      </c>
      <c r="G56" s="6" t="s">
        <v>27</v>
      </c>
      <c r="H56" s="6" t="s">
        <v>79</v>
      </c>
      <c r="J56" s="6" t="s">
        <v>24</v>
      </c>
    </row>
    <row r="57" spans="1:10" x14ac:dyDescent="0.25">
      <c r="A57" s="6" t="s">
        <v>51</v>
      </c>
      <c r="D57" s="6">
        <v>4.2599999999999999E-5</v>
      </c>
      <c r="E57" s="6" t="s">
        <v>8</v>
      </c>
      <c r="F57" s="6" t="s">
        <v>26</v>
      </c>
      <c r="G57" s="6" t="s">
        <v>27</v>
      </c>
      <c r="H57" s="6" t="s">
        <v>79</v>
      </c>
      <c r="J57" s="6" t="s">
        <v>24</v>
      </c>
    </row>
    <row r="58" spans="1:10" x14ac:dyDescent="0.25">
      <c r="A58" s="6" t="s">
        <v>81</v>
      </c>
      <c r="D58" s="6">
        <v>5.51</v>
      </c>
      <c r="E58" s="6" t="s">
        <v>8</v>
      </c>
      <c r="F58" s="6" t="s">
        <v>26</v>
      </c>
      <c r="G58" s="6" t="s">
        <v>27</v>
      </c>
      <c r="H58" s="6" t="s">
        <v>79</v>
      </c>
      <c r="J58" s="6" t="s">
        <v>24</v>
      </c>
    </row>
    <row r="59" spans="1:10" x14ac:dyDescent="0.25">
      <c r="A59" s="6" t="s">
        <v>55</v>
      </c>
      <c r="D59" s="6">
        <v>3.9199999999999999E-3</v>
      </c>
      <c r="E59" s="6" t="s">
        <v>8</v>
      </c>
      <c r="F59" s="6" t="s">
        <v>26</v>
      </c>
      <c r="G59" s="6" t="s">
        <v>27</v>
      </c>
      <c r="H59" s="6" t="s">
        <v>79</v>
      </c>
      <c r="J59" s="6" t="s">
        <v>24</v>
      </c>
    </row>
    <row r="60" spans="1:10" x14ac:dyDescent="0.25">
      <c r="A60" s="6" t="s">
        <v>82</v>
      </c>
      <c r="D60" s="6">
        <v>3.49</v>
      </c>
      <c r="E60" s="6" t="s">
        <v>8</v>
      </c>
      <c r="F60" s="6" t="s">
        <v>26</v>
      </c>
      <c r="G60" s="6" t="s">
        <v>27</v>
      </c>
      <c r="H60" s="6" t="s">
        <v>79</v>
      </c>
      <c r="J60" s="6" t="s">
        <v>24</v>
      </c>
    </row>
    <row r="61" spans="1:10" x14ac:dyDescent="0.25">
      <c r="A61" s="6" t="s">
        <v>83</v>
      </c>
      <c r="D61" s="6">
        <v>7.0199999999999999E-2</v>
      </c>
      <c r="E61" s="6" t="s">
        <v>8</v>
      </c>
      <c r="F61" s="6" t="s">
        <v>26</v>
      </c>
      <c r="G61" s="6" t="s">
        <v>27</v>
      </c>
      <c r="H61" s="6" t="s">
        <v>79</v>
      </c>
      <c r="J61" s="6" t="s">
        <v>24</v>
      </c>
    </row>
    <row r="62" spans="1:10" x14ac:dyDescent="0.25">
      <c r="A62" s="6" t="s">
        <v>84</v>
      </c>
      <c r="D62" s="6">
        <v>2.12E-2</v>
      </c>
      <c r="E62" s="6" t="s">
        <v>8</v>
      </c>
      <c r="F62" s="6" t="s">
        <v>26</v>
      </c>
      <c r="G62" s="6" t="s">
        <v>27</v>
      </c>
      <c r="H62" s="6" t="s">
        <v>79</v>
      </c>
      <c r="J62" s="6" t="s">
        <v>24</v>
      </c>
    </row>
    <row r="63" spans="1:10" x14ac:dyDescent="0.25">
      <c r="A63" s="6" t="s">
        <v>59</v>
      </c>
      <c r="D63" s="6">
        <v>2.23E-5</v>
      </c>
      <c r="E63" s="6" t="s">
        <v>8</v>
      </c>
      <c r="F63" s="6" t="s">
        <v>26</v>
      </c>
      <c r="G63" s="6" t="s">
        <v>27</v>
      </c>
      <c r="H63" s="6" t="s">
        <v>79</v>
      </c>
      <c r="J63" s="6" t="s">
        <v>24</v>
      </c>
    </row>
    <row r="64" spans="1:10" x14ac:dyDescent="0.25">
      <c r="A64" s="6" t="s">
        <v>68</v>
      </c>
      <c r="D64" s="6">
        <v>1.3899999999999999E-2</v>
      </c>
      <c r="E64" s="6" t="s">
        <v>8</v>
      </c>
      <c r="F64" s="6" t="s">
        <v>26</v>
      </c>
      <c r="G64" s="6" t="s">
        <v>27</v>
      </c>
      <c r="H64" s="6" t="s">
        <v>79</v>
      </c>
      <c r="J64" s="6" t="s">
        <v>24</v>
      </c>
    </row>
    <row r="65" spans="1:10" x14ac:dyDescent="0.25">
      <c r="A65" s="6" t="s">
        <v>85</v>
      </c>
      <c r="D65" s="6">
        <v>7.7000000000000002E-3</v>
      </c>
      <c r="E65" s="6" t="s">
        <v>8</v>
      </c>
      <c r="F65" s="6" t="s">
        <v>26</v>
      </c>
      <c r="G65" s="6" t="s">
        <v>27</v>
      </c>
      <c r="H65" s="6" t="s">
        <v>79</v>
      </c>
      <c r="J65" s="6" t="s">
        <v>24</v>
      </c>
    </row>
    <row r="66" spans="1:10" x14ac:dyDescent="0.25">
      <c r="A66" s="6" t="s">
        <v>71</v>
      </c>
      <c r="D66" s="6">
        <v>0.27500000000000002</v>
      </c>
      <c r="E66" s="6" t="s">
        <v>8</v>
      </c>
      <c r="F66" s="6" t="s">
        <v>26</v>
      </c>
      <c r="G66" s="6" t="s">
        <v>27</v>
      </c>
      <c r="H66" s="6" t="s">
        <v>79</v>
      </c>
      <c r="J66" s="6" t="s">
        <v>24</v>
      </c>
    </row>
    <row r="67" spans="1:10" x14ac:dyDescent="0.25">
      <c r="A67" s="6" t="s">
        <v>86</v>
      </c>
      <c r="D67" s="6">
        <v>2.7199999999999998E-2</v>
      </c>
      <c r="E67" s="6" t="s">
        <v>8</v>
      </c>
      <c r="F67" s="6" t="s">
        <v>26</v>
      </c>
      <c r="G67" s="6" t="s">
        <v>27</v>
      </c>
      <c r="H67" s="6" t="s">
        <v>79</v>
      </c>
      <c r="J67" s="6" t="s">
        <v>24</v>
      </c>
    </row>
    <row r="68" spans="1:10" x14ac:dyDescent="0.25">
      <c r="A68" s="6" t="s">
        <v>87</v>
      </c>
      <c r="D68" s="6">
        <v>5.9200000000000001E-6</v>
      </c>
      <c r="E68" s="6" t="s">
        <v>8</v>
      </c>
      <c r="F68" s="6" t="s">
        <v>26</v>
      </c>
      <c r="G68" s="6" t="s">
        <v>27</v>
      </c>
      <c r="H68" s="6" t="s">
        <v>79</v>
      </c>
      <c r="J68" s="6" t="s">
        <v>24</v>
      </c>
    </row>
    <row r="69" spans="1:10" x14ac:dyDescent="0.25">
      <c r="A69" s="6" t="s">
        <v>88</v>
      </c>
      <c r="D69" s="6">
        <v>1.28</v>
      </c>
      <c r="E69" s="6" t="s">
        <v>8</v>
      </c>
      <c r="F69" s="6" t="s">
        <v>26</v>
      </c>
      <c r="G69" s="6" t="s">
        <v>27</v>
      </c>
      <c r="H69" s="6" t="s">
        <v>79</v>
      </c>
      <c r="J69" s="6" t="s">
        <v>24</v>
      </c>
    </row>
    <row r="70" spans="1:10" x14ac:dyDescent="0.25">
      <c r="A70" s="6" t="s">
        <v>74</v>
      </c>
      <c r="D70" s="6">
        <v>3.28E-4</v>
      </c>
      <c r="E70" s="6" t="s">
        <v>8</v>
      </c>
      <c r="F70" s="6" t="s">
        <v>26</v>
      </c>
      <c r="G70" s="6" t="s">
        <v>27</v>
      </c>
      <c r="H70" s="6" t="s">
        <v>79</v>
      </c>
      <c r="J70" s="6" t="s">
        <v>24</v>
      </c>
    </row>
    <row r="71" spans="1:10" x14ac:dyDescent="0.25">
      <c r="A71" s="6" t="s">
        <v>76</v>
      </c>
      <c r="D71" s="6">
        <v>6.8499999999999996E-6</v>
      </c>
      <c r="E71" s="6" t="s">
        <v>8</v>
      </c>
      <c r="F71" s="6" t="s">
        <v>26</v>
      </c>
      <c r="G71" s="6" t="s">
        <v>27</v>
      </c>
      <c r="H71" s="6" t="s">
        <v>79</v>
      </c>
      <c r="J71" s="6" t="s">
        <v>24</v>
      </c>
    </row>
    <row r="72" spans="1:10" x14ac:dyDescent="0.25">
      <c r="A72" s="6" t="s">
        <v>89</v>
      </c>
      <c r="D72" s="6">
        <v>32.700000000000003</v>
      </c>
      <c r="E72" s="6" t="s">
        <v>8</v>
      </c>
      <c r="F72" s="6" t="s">
        <v>26</v>
      </c>
      <c r="G72" s="6" t="s">
        <v>27</v>
      </c>
      <c r="H72" s="6" t="s">
        <v>79</v>
      </c>
      <c r="J72" s="6" t="s">
        <v>24</v>
      </c>
    </row>
    <row r="73" spans="1:10" x14ac:dyDescent="0.25">
      <c r="A73" s="6" t="s">
        <v>90</v>
      </c>
      <c r="D73" s="6">
        <v>1.0500000000000001E-2</v>
      </c>
      <c r="E73" s="6" t="s">
        <v>8</v>
      </c>
      <c r="F73" s="6" t="s">
        <v>26</v>
      </c>
      <c r="G73" s="6" t="s">
        <v>27</v>
      </c>
      <c r="H73" s="6" t="s">
        <v>79</v>
      </c>
      <c r="J73" s="6" t="s">
        <v>24</v>
      </c>
    </row>
    <row r="74" spans="1:10" x14ac:dyDescent="0.25">
      <c r="A74" s="6" t="s">
        <v>91</v>
      </c>
      <c r="D74" s="6">
        <v>0.34599999999999997</v>
      </c>
      <c r="E74" s="6" t="s">
        <v>8</v>
      </c>
      <c r="F74" s="6" t="s">
        <v>26</v>
      </c>
      <c r="G74" s="6" t="s">
        <v>27</v>
      </c>
      <c r="H74" s="6" t="s">
        <v>79</v>
      </c>
      <c r="J74" s="6" t="s">
        <v>24</v>
      </c>
    </row>
    <row r="75" spans="1:10" x14ac:dyDescent="0.25">
      <c r="A75" s="6" t="s">
        <v>78</v>
      </c>
      <c r="D75" s="6">
        <v>3.3300000000000001E-3</v>
      </c>
      <c r="E75" s="6" t="s">
        <v>8</v>
      </c>
      <c r="F75" s="6" t="s">
        <v>26</v>
      </c>
      <c r="G75" s="6" t="s">
        <v>27</v>
      </c>
      <c r="H75" s="6" t="s">
        <v>79</v>
      </c>
      <c r="J75" s="6" t="s">
        <v>24</v>
      </c>
    </row>
    <row r="76" spans="1:10" s="10" customFormat="1" x14ac:dyDescent="0.25"/>
    <row r="77" spans="1:10" x14ac:dyDescent="0.25">
      <c r="A77" s="7" t="s">
        <v>0</v>
      </c>
      <c r="B77" s="7" t="s">
        <v>92</v>
      </c>
    </row>
    <row r="78" spans="1:10" x14ac:dyDescent="0.25">
      <c r="A78" s="8" t="s">
        <v>2</v>
      </c>
      <c r="B78" s="6" t="s">
        <v>3</v>
      </c>
    </row>
    <row r="79" spans="1:10" x14ac:dyDescent="0.25">
      <c r="A79" s="8" t="s">
        <v>4</v>
      </c>
      <c r="B79" s="6" t="s">
        <v>5</v>
      </c>
    </row>
    <row r="80" spans="1:10" x14ac:dyDescent="0.25">
      <c r="A80" s="8" t="s">
        <v>6</v>
      </c>
      <c r="B80" s="6">
        <v>1</v>
      </c>
    </row>
    <row r="81" spans="1:14" x14ac:dyDescent="0.25">
      <c r="A81" s="8" t="s">
        <v>7</v>
      </c>
      <c r="B81" s="6" t="s">
        <v>8</v>
      </c>
    </row>
    <row r="82" spans="1:14" x14ac:dyDescent="0.25">
      <c r="A82" s="8" t="s">
        <v>9</v>
      </c>
      <c r="B82" s="6" t="s">
        <v>10</v>
      </c>
    </row>
    <row r="83" spans="1:14" x14ac:dyDescent="0.25">
      <c r="A83" s="8" t="s">
        <v>11</v>
      </c>
    </row>
    <row r="84" spans="1:14" x14ac:dyDescent="0.25">
      <c r="A84" s="7" t="s">
        <v>12</v>
      </c>
      <c r="B84" s="7" t="s">
        <v>2</v>
      </c>
      <c r="C84" s="7" t="s">
        <v>4</v>
      </c>
      <c r="D84" s="7" t="s">
        <v>6</v>
      </c>
      <c r="E84" s="7" t="s">
        <v>7</v>
      </c>
      <c r="F84" s="7" t="s">
        <v>13</v>
      </c>
      <c r="G84" s="7" t="s">
        <v>14</v>
      </c>
      <c r="H84" s="7" t="s">
        <v>15</v>
      </c>
      <c r="I84" s="7" t="s">
        <v>16</v>
      </c>
      <c r="J84" s="7" t="s">
        <v>17</v>
      </c>
      <c r="K84" s="7" t="s">
        <v>18</v>
      </c>
      <c r="L84" s="7" t="s">
        <v>19</v>
      </c>
      <c r="M84" s="7" t="s">
        <v>20</v>
      </c>
      <c r="N84" s="7" t="s">
        <v>21</v>
      </c>
    </row>
    <row r="85" spans="1:14" x14ac:dyDescent="0.25">
      <c r="A85" s="6" t="str">
        <f>B77</f>
        <v>As recovery from Cu production worldwide</v>
      </c>
      <c r="B85" s="6" t="str">
        <f>B78</f>
        <v>As metal</v>
      </c>
      <c r="C85" s="6" t="str">
        <f>B79</f>
        <v>GLO</v>
      </c>
      <c r="D85" s="6">
        <v>1</v>
      </c>
      <c r="E85" s="6" t="s">
        <v>8</v>
      </c>
      <c r="F85" s="9" t="str">
        <f>F9</f>
        <v>Arsenic</v>
      </c>
      <c r="G85" s="6" t="s">
        <v>22</v>
      </c>
    </row>
    <row r="86" spans="1:14" x14ac:dyDescent="0.25">
      <c r="A86" s="6" t="str">
        <f>A9</f>
        <v>[P+R] Arsenic (As) metal production</v>
      </c>
      <c r="B86" s="6" t="str">
        <f t="shared" ref="B86:F86" si="0">B9</f>
        <v>As metal</v>
      </c>
      <c r="C86" s="6" t="str">
        <f t="shared" si="0"/>
        <v>GLO</v>
      </c>
      <c r="D86" s="6">
        <f t="shared" si="0"/>
        <v>1</v>
      </c>
      <c r="E86" s="6" t="str">
        <f t="shared" si="0"/>
        <v>kilogram</v>
      </c>
      <c r="F86" s="9" t="str">
        <f t="shared" si="0"/>
        <v>Arsenic</v>
      </c>
      <c r="G86" s="6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AEEF06-6195-41FA-9D99-4881900AB76D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7BFFB627-867C-4220-A8E2-FE4C528660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949546-93AA-487F-A0BE-F7F705CFF1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As_Market_GLO</vt:lpstr>
      <vt:lpstr>PR1_As_GLO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2025-06-24T09:16:47Z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