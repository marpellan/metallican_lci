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brgm365.sharepoint.com/sites/RPPEXIMPMET/Documents partages/General/P2/04_Data/04_Modelling/02_LCI modelling/Sb_Antimony/"/>
    </mc:Choice>
  </mc:AlternateContent>
  <xr:revisionPtr revIDLastSave="72" documentId="8_{806303DB-011D-43F9-B9C8-6AB2DA669F12}" xr6:coauthVersionLast="47" xr6:coauthVersionMax="47" xr10:uidLastSave="{6F49A25B-CBBC-43BE-BA72-8A85A30E667D}"/>
  <bookViews>
    <workbookView xWindow="-23148" yWindow="-108" windowWidth="23256" windowHeight="12576" xr2:uid="{00000000-000D-0000-FFFF-FFFF00000000}"/>
  </bookViews>
  <sheets>
    <sheet name="Note" sheetId="1" r:id="rId1"/>
    <sheet name="Sb_Market_GLO" sheetId="3" r:id="rId2"/>
    <sheet name="PR1_Sb_CN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C12" i="3"/>
  <c r="D12" i="3"/>
  <c r="E12" i="3"/>
  <c r="F12" i="3"/>
  <c r="A12" i="3"/>
  <c r="E123" i="2"/>
  <c r="B122" i="2"/>
  <c r="C122" i="2"/>
  <c r="E122" i="2"/>
  <c r="F122" i="2"/>
  <c r="A122" i="2"/>
  <c r="C121" i="2"/>
  <c r="B121" i="2"/>
  <c r="A121" i="2"/>
  <c r="C79" i="2"/>
  <c r="B79" i="2"/>
  <c r="A79" i="2"/>
  <c r="F9" i="2"/>
  <c r="F79" i="2" s="1"/>
  <c r="F121" i="2" s="1"/>
  <c r="C9" i="2"/>
  <c r="C123" i="2" s="1"/>
  <c r="B9" i="2"/>
  <c r="B123" i="2" s="1"/>
  <c r="A9" i="2"/>
  <c r="A123" i="2" s="1"/>
  <c r="F11" i="3"/>
  <c r="E11" i="3"/>
  <c r="D11" i="3"/>
  <c r="C11" i="3"/>
  <c r="B11" i="3"/>
  <c r="A11" i="3"/>
  <c r="F123" i="2" l="1"/>
</calcChain>
</file>

<file path=xl/sharedStrings.xml><?xml version="1.0" encoding="utf-8"?>
<sst xmlns="http://schemas.openxmlformats.org/spreadsheetml/2006/main" count="701" uniqueCount="140">
  <si>
    <t>Activity</t>
  </si>
  <si>
    <t>[M+C] Stibnite ore mining and concentration</t>
  </si>
  <si>
    <t>reference product</t>
  </si>
  <si>
    <t>Stibnite concentrate</t>
  </si>
  <si>
    <t>location</t>
  </si>
  <si>
    <t>CN</t>
  </si>
  <si>
    <t>amount</t>
  </si>
  <si>
    <t>unit</t>
  </si>
  <si>
    <t>kilogram</t>
  </si>
  <si>
    <t>comment</t>
  </si>
  <si>
    <t>n/a</t>
  </si>
  <si>
    <t>Exchanges</t>
  </si>
  <si>
    <t>name</t>
  </si>
  <si>
    <t>database</t>
  </si>
  <si>
    <t>type</t>
  </si>
  <si>
    <t>categories</t>
  </si>
  <si>
    <t>uncertainty type</t>
  </si>
  <si>
    <t>pedigree</t>
  </si>
  <si>
    <t>loc</t>
  </si>
  <si>
    <t>scale</t>
  </si>
  <si>
    <t>minimum</t>
  </si>
  <si>
    <t>maximum</t>
  </si>
  <si>
    <t>production</t>
  </si>
  <si>
    <t>market group for electricity, medium voltage</t>
  </si>
  <si>
    <t>electricity, medium voltage</t>
  </si>
  <si>
    <t>kilowatt hour</t>
  </si>
  <si>
    <t>ecoinvent 3.10 cutoff</t>
  </si>
  <si>
    <t>technosphere</t>
  </si>
  <si>
    <t>(2.0,5.0,5.0,5.0,5.0)</t>
  </si>
  <si>
    <t>market for limestone, crushed, washed</t>
  </si>
  <si>
    <t>limestone, crushed, washed</t>
  </si>
  <si>
    <t>RoW</t>
  </si>
  <si>
    <t>market for explosive, tovex</t>
  </si>
  <si>
    <t>explosive, tovex</t>
  </si>
  <si>
    <t>GLO</t>
  </si>
  <si>
    <t>market for diesel, burned in building machine</t>
  </si>
  <si>
    <t>diesel, burned in building machine</t>
  </si>
  <si>
    <t>megajoule</t>
  </si>
  <si>
    <t>market for steel, chromium steel 18/8</t>
  </si>
  <si>
    <t>steel, chromium steel 18/8</t>
  </si>
  <si>
    <t>market for chemical, inorganic</t>
  </si>
  <si>
    <t>chemical, inorganic</t>
  </si>
  <si>
    <t>market for sodium cyanide</t>
  </si>
  <si>
    <t>sodium cyanide</t>
  </si>
  <si>
    <t>market for chemical, organic</t>
  </si>
  <si>
    <t>chemical, organic</t>
  </si>
  <si>
    <t>market for conveyor belt</t>
  </si>
  <si>
    <t>conveyor belt</t>
  </si>
  <si>
    <t>meter</t>
  </si>
  <si>
    <t>market for aluminium hydroxide factory</t>
  </si>
  <si>
    <t>aluminium hydroxide factory</t>
  </si>
  <si>
    <t>market for mine infrastructure, open cast, non-ferrous metal</t>
  </si>
  <si>
    <t>mine infrastructure, open cast, non-ferrous metal</t>
  </si>
  <si>
    <t>market for mine infrastructure, underground, non-ferrous metal</t>
  </si>
  <si>
    <t>mine infrastructure, underground, non-ferrous metal</t>
  </si>
  <si>
    <t>market for sulfidic tailings, generic</t>
  </si>
  <si>
    <t>sulfidic tailings, generic</t>
  </si>
  <si>
    <t>Water, river</t>
  </si>
  <si>
    <t>cubic meter</t>
  </si>
  <si>
    <t>biosphere3</t>
  </si>
  <si>
    <t>biosphere</t>
  </si>
  <si>
    <t>natural resource::in water</t>
  </si>
  <si>
    <t>Occupation, mineral extraction site</t>
  </si>
  <si>
    <t>square meter-year</t>
  </si>
  <si>
    <t>natural resource::land</t>
  </si>
  <si>
    <t>Transformation, to mineral extraction site</t>
  </si>
  <si>
    <t>square meter</t>
  </si>
  <si>
    <t>Transformation, from unspecified</t>
  </si>
  <si>
    <t>Stibnite</t>
  </si>
  <si>
    <t>natural resource::in ground</t>
  </si>
  <si>
    <t>Antimony ion</t>
  </si>
  <si>
    <t>air</t>
  </si>
  <si>
    <t>Arsenic ion</t>
  </si>
  <si>
    <t>Cadmium II</t>
  </si>
  <si>
    <t>Carbon dioxide, fossil</t>
  </si>
  <si>
    <t>Chromium III</t>
  </si>
  <si>
    <t>Copper ion</t>
  </si>
  <si>
    <t>Heat, waste</t>
  </si>
  <si>
    <t>Lead II</t>
  </si>
  <si>
    <t>Manganese II</t>
  </si>
  <si>
    <t>Mercury II</t>
  </si>
  <si>
    <t>Nickel II</t>
  </si>
  <si>
    <t>Particulate Matter, &lt; 2.5 um</t>
  </si>
  <si>
    <t>Particulate Matter, &gt; 10 um</t>
  </si>
  <si>
    <t>Particulate Matter, &gt; 2.5 um and &lt; 10um</t>
  </si>
  <si>
    <t>Selenium IV</t>
  </si>
  <si>
    <t>Zinc II</t>
  </si>
  <si>
    <t>Fluorine</t>
  </si>
  <si>
    <t>Cobalt II</t>
  </si>
  <si>
    <t>Carbon disulfide</t>
  </si>
  <si>
    <t>Boron</t>
  </si>
  <si>
    <t>Beryllium II</t>
  </si>
  <si>
    <t>water</t>
  </si>
  <si>
    <t>Aluminium III</t>
  </si>
  <si>
    <t>BOD5, Biological Oxygen Demand</t>
  </si>
  <si>
    <t>Calcium II</t>
  </si>
  <si>
    <t>COD, Chemical Oxygen Demand</t>
  </si>
  <si>
    <t>Cyanide</t>
  </si>
  <si>
    <t>DOC, Dissolved Organic Carbon</t>
  </si>
  <si>
    <t>Iron ion</t>
  </si>
  <si>
    <t>Manganese</t>
  </si>
  <si>
    <t>Nitrogen</t>
  </si>
  <si>
    <t>Dissolved solids</t>
  </si>
  <si>
    <t>Sulfate</t>
  </si>
  <si>
    <t>TOC, Total Organic Carbon</t>
  </si>
  <si>
    <t>[P+R] Refined Antimony (Sb) production</t>
  </si>
  <si>
    <t>Refined Sb</t>
  </si>
  <si>
    <t>market for lead smelter slag</t>
  </si>
  <si>
    <t>lead smelter slag</t>
  </si>
  <si>
    <t>heat production, at hard coal industrial furnace 1-10MW</t>
  </si>
  <si>
    <t>heat, district or industrial, other than natural gas</t>
  </si>
  <si>
    <t>market for heavy fuel oil, burned in refinery furnace</t>
  </si>
  <si>
    <t>heavy fuel oil, burned in refinery furnace</t>
  </si>
  <si>
    <t>market for iron ore, crude ore, 63% Fe</t>
  </si>
  <si>
    <t>iron ore, crude ore, 63% Fe</t>
  </si>
  <si>
    <t>heat production, natural gas, at industrial furnace &gt;100kW</t>
  </si>
  <si>
    <t>heat, district or industrial, natural gas</t>
  </si>
  <si>
    <t>market for nitrogen, liquid</t>
  </si>
  <si>
    <t>nitrogen, liquid</t>
  </si>
  <si>
    <t>market for oxygen, liquid</t>
  </si>
  <si>
    <t>oxygen, liquid</t>
  </si>
  <si>
    <t>market for silica sand</t>
  </si>
  <si>
    <t>silica sand</t>
  </si>
  <si>
    <t>market for transport, freight train</t>
  </si>
  <si>
    <t>transport, freight train</t>
  </si>
  <si>
    <t>ton kilometer</t>
  </si>
  <si>
    <t>market for transport, freight, lorry 16-32 metric ton, EURO5</t>
  </si>
  <si>
    <t>transport, freight, lorry 16-32 metric ton, EURO5</t>
  </si>
  <si>
    <t>Sulfur dioxide</t>
  </si>
  <si>
    <t>Dioxins, measured as 2,3,7,8-tetrachlorodibenzo-p-dioxin</t>
  </si>
  <si>
    <t>Stibnite ore mining and Sb production in China</t>
  </si>
  <si>
    <t>Antimony</t>
  </si>
  <si>
    <t>Antimony (Sb) global market</t>
  </si>
  <si>
    <t>skip</t>
  </si>
  <si>
    <t>Sheet</t>
  </si>
  <si>
    <t>Corresponding route</t>
  </si>
  <si>
    <r>
      <rPr>
        <b/>
        <sz val="14"/>
        <color theme="1"/>
        <rFont val="Calibri"/>
        <family val="2"/>
        <scheme val="minor"/>
      </rPr>
      <t xml:space="preserve">Life cycle inventories of global metal and mineral supply chains: a comprehensive data review, analysis and processing </t>
    </r>
    <r>
      <rPr>
        <b/>
        <sz val="16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
Frédéric Lai</t>
    </r>
    <r>
      <rPr>
        <vertAlign val="superscript"/>
        <sz val="11"/>
        <color theme="1"/>
        <rFont val="Calibri"/>
        <family val="2"/>
        <scheme val="minor"/>
      </rPr>
      <t>a*</t>
    </r>
    <r>
      <rPr>
        <sz val="11"/>
        <color theme="1"/>
        <rFont val="Calibri"/>
        <family val="2"/>
        <scheme val="minor"/>
      </rPr>
      <t>, Stéphanie Muller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Audrey Philippe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Robert Istrate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Brenda Miranda Xicotencatl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Afsoon Mansouri Aski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Aina Mas Fons</t>
    </r>
    <r>
      <rPr>
        <vertAlign val="superscript"/>
        <sz val="11"/>
        <color theme="1"/>
        <rFont val="Calibri"/>
        <family val="2"/>
        <scheme val="minor"/>
      </rPr>
      <t>d,a</t>
    </r>
    <r>
      <rPr>
        <sz val="11"/>
        <color theme="1"/>
        <rFont val="Calibri"/>
        <family val="2"/>
        <scheme val="minor"/>
      </rPr>
      <t>, Juliana Segura-Salazar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Jair Santillán Saldivar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Alexander Cimprich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Stephen Northey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>, Lígia da Silva Lima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Lieselot Boone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Ryosuke Yokoi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Kamrul Islam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Ioanna Paschalidou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Felipe Cerdas</t>
    </r>
    <r>
      <rPr>
        <vertAlign val="superscript"/>
        <sz val="11"/>
        <color theme="1"/>
        <rFont val="Calibri"/>
        <family val="2"/>
        <scheme val="minor"/>
      </rPr>
      <t>k,l</t>
    </r>
    <r>
      <rPr>
        <sz val="11"/>
        <color theme="1"/>
        <rFont val="Calibri"/>
        <family val="2"/>
        <scheme val="minor"/>
      </rPr>
      <t>, Victor Balboa-Espinoza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>, Anish Koyamparambath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Diae Hennioui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Victoire Collignon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Aurélien Reys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Gyslain Ngadi Sakatadi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>, Jo Dewulf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>, Bernhard Steubing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>, Christoph Helbig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>, Gaétan Lefebvre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>, Gian Andrea Blengini</t>
    </r>
    <r>
      <rPr>
        <vertAlign val="superscript"/>
        <sz val="11"/>
        <color theme="1"/>
        <rFont val="Calibri"/>
        <family val="2"/>
        <scheme val="minor"/>
      </rPr>
      <t>n,m</t>
    </r>
    <r>
      <rPr>
        <sz val="11"/>
        <color theme="1"/>
        <rFont val="Calibri"/>
        <family val="2"/>
        <scheme val="minor"/>
      </rPr>
      <t>, Valeria Superti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>, Masaharu Motoshita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, Guido Sonnemann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>, Kwame Awuah-Offei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>, Steven B. Young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>, Shinsuke Murakami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>, Antoine Beylot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
</t>
    </r>
    <r>
      <rPr>
        <vertAlign val="superscript"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BRGM, F-45060 Orléans, France
</t>
    </r>
    <r>
      <rPr>
        <vertAlign val="superscript"/>
        <sz val="11"/>
        <color theme="1"/>
        <rFont val="Calibri"/>
        <family val="2"/>
        <scheme val="minor"/>
      </rPr>
      <t>b</t>
    </r>
    <r>
      <rPr>
        <sz val="11"/>
        <color theme="1"/>
        <rFont val="Calibri"/>
        <family val="2"/>
        <scheme val="minor"/>
      </rPr>
      <t xml:space="preserve">Institute of Environmental Sciences (CML), Leiden University, Einsteinweg 2, 2333 CC Leiden, NL
</t>
    </r>
    <r>
      <rPr>
        <vertAlign val="superscript"/>
        <sz val="11"/>
        <color theme="1"/>
        <rFont val="Calibri"/>
        <family val="2"/>
        <scheme val="minor"/>
      </rPr>
      <t>c</t>
    </r>
    <r>
      <rPr>
        <sz val="11"/>
        <color theme="1"/>
        <rFont val="Calibri"/>
        <family val="2"/>
        <scheme val="minor"/>
      </rPr>
      <t xml:space="preserve">Ecological Resource Technology, University of Bayreuth, Universitätstr. 30, 95447 Bayreuth, Germany
</t>
    </r>
    <r>
      <rPr>
        <vertAlign val="superscript"/>
        <sz val="11"/>
        <color theme="1"/>
        <rFont val="Calibri"/>
        <family val="2"/>
        <scheme val="minor"/>
      </rPr>
      <t>d</t>
    </r>
    <r>
      <rPr>
        <sz val="11"/>
        <color theme="1"/>
        <rFont val="Calibri"/>
        <family val="2"/>
        <scheme val="minor"/>
      </rPr>
      <t xml:space="preserve">Univ. Bordeaux, CNRS, Bordeaux INP, ISM, UMR 5255, F-33400 Talence, France
</t>
    </r>
    <r>
      <rPr>
        <vertAlign val="superscript"/>
        <sz val="11"/>
        <color theme="1"/>
        <rFont val="Calibri"/>
        <family val="2"/>
        <scheme val="minor"/>
      </rPr>
      <t>e</t>
    </r>
    <r>
      <rPr>
        <sz val="11"/>
        <color theme="1"/>
        <rFont val="Calibri"/>
        <family val="2"/>
        <scheme val="minor"/>
      </rPr>
      <t xml:space="preserve">Sustainable Minerals Institute, The University of Queensland, QLD, 4072, Australia
</t>
    </r>
    <r>
      <rPr>
        <vertAlign val="superscript"/>
        <sz val="11"/>
        <color theme="1"/>
        <rFont val="Calibri"/>
        <family val="2"/>
        <scheme val="minor"/>
      </rPr>
      <t>f</t>
    </r>
    <r>
      <rPr>
        <sz val="11"/>
        <color theme="1"/>
        <rFont val="Calibri"/>
        <family val="2"/>
        <scheme val="minor"/>
      </rPr>
      <t xml:space="preserve">School of Environment, Enterprise and Development, University of Waterloo, 200 University Avenue West, Waterloo, Ontario N2L 3G1, Canada
</t>
    </r>
    <r>
      <rPr>
        <vertAlign val="superscript"/>
        <sz val="11"/>
        <color theme="1"/>
        <rFont val="Calibri"/>
        <family val="2"/>
        <scheme val="minor"/>
      </rPr>
      <t>g</t>
    </r>
    <r>
      <rPr>
        <sz val="11"/>
        <color theme="1"/>
        <rFont val="Calibri"/>
        <family val="2"/>
        <scheme val="minor"/>
      </rPr>
      <t xml:space="preserve">University of Technology Sydney, Institute for Sustainable Futures, Australia
</t>
    </r>
    <r>
      <rPr>
        <vertAlign val="superscript"/>
        <sz val="11"/>
        <color theme="1"/>
        <rFont val="Calibri"/>
        <family val="2"/>
        <scheme val="minor"/>
      </rPr>
      <t>h</t>
    </r>
    <r>
      <rPr>
        <sz val="11"/>
        <color theme="1"/>
        <rFont val="Calibri"/>
        <family val="2"/>
        <scheme val="minor"/>
      </rPr>
      <t xml:space="preserve">Sustainable Systems Engineering (STEN), Department of Green Chemistry and Technology, Faculty of Bioscience Engineering, Ghent University, Coupure Links 653, 9000 Ghent, Belgium
</t>
    </r>
    <r>
      <rPr>
        <vertAlign val="super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AIST, 305-8569 Tsukuba, Japan
</t>
    </r>
    <r>
      <rPr>
        <vertAlign val="superscript"/>
        <sz val="11"/>
        <color theme="1"/>
        <rFont val="Calibri"/>
        <family val="2"/>
        <scheme val="minor"/>
      </rPr>
      <t>j</t>
    </r>
    <r>
      <rPr>
        <sz val="11"/>
        <color theme="1"/>
        <rFont val="Calibri"/>
        <family val="2"/>
        <scheme val="minor"/>
      </rPr>
      <t xml:space="preserve">Mining &amp; Explosives Engineering, Missouri University of Science &amp; Technology, Rolla, MO, USA 65409
</t>
    </r>
    <r>
      <rPr>
        <vertAlign val="superscript"/>
        <sz val="11"/>
        <color theme="1"/>
        <rFont val="Calibri"/>
        <family val="2"/>
        <scheme val="minor"/>
      </rPr>
      <t>k</t>
    </r>
    <r>
      <rPr>
        <sz val="11"/>
        <color theme="1"/>
        <rFont val="Calibri"/>
        <family val="2"/>
        <scheme val="minor"/>
      </rPr>
      <t xml:space="preserve">Institute for Sustainable Energy Systems (INSYS), Technical University of Applied Sciences Würzburg-Schweinfurt (THWS), Ignaz-Schön-Straße 11, Schweinfurt, Germany 
</t>
    </r>
    <r>
      <rPr>
        <vertAlign val="superscript"/>
        <sz val="11"/>
        <color theme="1"/>
        <rFont val="Calibri"/>
        <family val="2"/>
        <scheme val="minor"/>
      </rPr>
      <t>l</t>
    </r>
    <r>
      <rPr>
        <sz val="11"/>
        <color theme="1"/>
        <rFont val="Calibri"/>
        <family val="2"/>
        <scheme val="minor"/>
      </rPr>
      <t xml:space="preserve">Fraunhofer Institute for Surface Engineering and Thin Films IST, Riedenkamp 2, Braunschweig 38108, Germany
</t>
    </r>
    <r>
      <rPr>
        <vertAlign val="superscript"/>
        <sz val="11"/>
        <color theme="1"/>
        <rFont val="Calibri"/>
        <family val="2"/>
        <scheme val="minor"/>
      </rPr>
      <t>m</t>
    </r>
    <r>
      <rPr>
        <sz val="11"/>
        <color theme="1"/>
        <rFont val="Calibri"/>
        <family val="2"/>
        <scheme val="minor"/>
      </rPr>
      <t xml:space="preserve">Department of Environment, Land and Infrastructure Engineering, Politecnico di Torino, Corso Duca degli Abruzzi, 24, 10129 Torino, Italy
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 xml:space="preserve">University of Turin, Earth Sciences Department (DST), Via Valperga Caluso, 35 – 10125 Torino, Italy
</t>
    </r>
    <r>
      <rPr>
        <vertAlign val="superscript"/>
        <sz val="11"/>
        <color theme="1"/>
        <rFont val="Calibri"/>
        <family val="2"/>
        <scheme val="minor"/>
      </rPr>
      <t>o</t>
    </r>
    <r>
      <rPr>
        <sz val="11"/>
        <color theme="1"/>
        <rFont val="Calibri"/>
        <family val="2"/>
        <scheme val="minor"/>
      </rPr>
      <t xml:space="preserve">ecoinvent association, Technopark, Technoparkstrasse 1, 8005 Zürich, Switzerland 
</t>
    </r>
    <r>
      <rPr>
        <vertAlign val="superscript"/>
        <sz val="11"/>
        <color theme="1"/>
        <rFont val="Calibri"/>
        <family val="2"/>
        <scheme val="minor"/>
      </rPr>
      <t>p</t>
    </r>
    <r>
      <rPr>
        <sz val="11"/>
        <color theme="1"/>
        <rFont val="Calibri"/>
        <family val="2"/>
        <scheme val="minor"/>
      </rPr>
      <t xml:space="preserve">Graduate School of Engineering, The University of Tokyo, Tokyo 113-8656, Japan
*Corresponding author: </t>
    </r>
    <r>
      <rPr>
        <u/>
        <sz val="11"/>
        <color theme="1"/>
        <rFont val="Calibri"/>
        <family val="2"/>
        <scheme val="minor"/>
      </rPr>
      <t xml:space="preserve">f.lai@brgm.fr
</t>
    </r>
    <r>
      <rPr>
        <sz val="11"/>
        <color theme="1"/>
        <rFont val="Calibri"/>
        <family val="2"/>
        <scheme val="minor"/>
      </rPr>
      <t>This file provides all LCI datasets developed for</t>
    </r>
    <r>
      <rPr>
        <b/>
        <sz val="11"/>
        <color theme="1"/>
        <rFont val="Calibri"/>
        <family val="2"/>
        <scheme val="minor"/>
      </rPr>
      <t xml:space="preserve"> Antimony (Sb)</t>
    </r>
    <r>
      <rPr>
        <sz val="11"/>
        <color theme="1"/>
        <rFont val="Calibri"/>
        <family val="2"/>
        <scheme val="minor"/>
      </rPr>
      <t>, with distinguishing its global market and each individual production route.</t>
    </r>
  </si>
  <si>
    <t>Sb global market</t>
  </si>
  <si>
    <t>Sb_Market_GLO</t>
  </si>
  <si>
    <t>PR1_Sb_CN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</si>
</sst>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left"/>
    </xf>
    <xf numFmtId="0" fontId="0" fillId="2" borderId="0" xfId="0" applyFill="1"/>
    <xf numFmtId="0" fontId="4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4" xfId="1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5" fillId="0" borderId="6" xfId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249977111117893"/>
  </sheetPr>
  <dimension ref="A1:Q35"/>
  <sheetViews>
    <sheetView showGridLines="0" tabSelected="1" zoomScaleNormal="100" workbookViewId="0">
      <selection activeCell="B34" sqref="B34"/>
    </sheetView>
  </sheetViews>
  <sheetFormatPr baseColWidth="10" defaultRowHeight="14.5" x14ac:dyDescent="0.35"/>
  <cols>
    <col min="1" max="1" width="1.81640625" customWidth="1"/>
    <col min="2" max="2" width="31.81640625" bestFit="1" customWidth="1"/>
    <col min="3" max="3" width="11.453125" customWidth="1"/>
  </cols>
  <sheetData>
    <row r="1" spans="1:17" ht="15" thickBot="1" x14ac:dyDescent="0.4">
      <c r="A1" t="s">
        <v>133</v>
      </c>
    </row>
    <row r="2" spans="1:17" ht="15" customHeight="1" x14ac:dyDescent="0.35">
      <c r="B2" s="12" t="s">
        <v>136</v>
      </c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4"/>
    </row>
    <row r="3" spans="1:17" x14ac:dyDescent="0.35">
      <c r="B3" s="15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</row>
    <row r="4" spans="1:17" x14ac:dyDescent="0.35">
      <c r="B4" s="15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</row>
    <row r="5" spans="1:17" x14ac:dyDescent="0.35">
      <c r="B5" s="15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</row>
    <row r="6" spans="1:17" x14ac:dyDescent="0.35"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</row>
    <row r="7" spans="1:17" x14ac:dyDescent="0.35">
      <c r="B7" s="15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7"/>
    </row>
    <row r="8" spans="1:17" x14ac:dyDescent="0.35">
      <c r="B8" s="15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</row>
    <row r="9" spans="1:17" x14ac:dyDescent="0.35">
      <c r="B9" s="15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7"/>
    </row>
    <row r="10" spans="1:17" x14ac:dyDescent="0.35">
      <c r="B10" s="15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7"/>
    </row>
    <row r="11" spans="1:17" x14ac:dyDescent="0.35">
      <c r="B11" s="15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7"/>
    </row>
    <row r="12" spans="1:17" x14ac:dyDescent="0.35">
      <c r="B12" s="15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7"/>
    </row>
    <row r="13" spans="1:17" x14ac:dyDescent="0.35">
      <c r="B13" s="15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7"/>
    </row>
    <row r="14" spans="1:17" x14ac:dyDescent="0.35">
      <c r="B14" s="15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7"/>
    </row>
    <row r="15" spans="1:17" x14ac:dyDescent="0.35">
      <c r="B15" s="15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7"/>
    </row>
    <row r="16" spans="1:17" x14ac:dyDescent="0.35">
      <c r="B16" s="15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7"/>
    </row>
    <row r="17" spans="2:17" x14ac:dyDescent="0.35">
      <c r="B17" s="15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7"/>
    </row>
    <row r="18" spans="2:17" x14ac:dyDescent="0.35">
      <c r="B18" s="15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7"/>
    </row>
    <row r="19" spans="2:17" x14ac:dyDescent="0.35">
      <c r="B19" s="15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7"/>
    </row>
    <row r="20" spans="2:17" x14ac:dyDescent="0.35">
      <c r="B20" s="15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7"/>
    </row>
    <row r="21" spans="2:17" x14ac:dyDescent="0.35">
      <c r="B21" s="15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</row>
    <row r="22" spans="2:17" x14ac:dyDescent="0.35">
      <c r="B22" s="15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7"/>
    </row>
    <row r="23" spans="2:17" x14ac:dyDescent="0.35">
      <c r="B23" s="15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7"/>
    </row>
    <row r="24" spans="2:17" ht="15" customHeight="1" x14ac:dyDescent="0.35">
      <c r="B24" s="15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7"/>
    </row>
    <row r="25" spans="2:17" x14ac:dyDescent="0.35">
      <c r="B25" s="15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7"/>
    </row>
    <row r="26" spans="2:17" x14ac:dyDescent="0.35">
      <c r="B26" s="15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</row>
    <row r="27" spans="2:17" x14ac:dyDescent="0.35">
      <c r="B27" s="15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7"/>
    </row>
    <row r="28" spans="2:17" x14ac:dyDescent="0.35">
      <c r="B28" s="15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7"/>
    </row>
    <row r="29" spans="2:17" x14ac:dyDescent="0.35">
      <c r="B29" s="15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7"/>
    </row>
    <row r="30" spans="2:17" x14ac:dyDescent="0.35">
      <c r="B30" s="15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7"/>
    </row>
    <row r="31" spans="2:17" ht="15" thickBot="1" x14ac:dyDescent="0.4">
      <c r="B31" s="18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20"/>
    </row>
    <row r="32" spans="2:17" ht="15" thickBot="1" x14ac:dyDescent="0.4"/>
    <row r="33" spans="2:10" x14ac:dyDescent="0.35">
      <c r="B33" s="21" t="s">
        <v>134</v>
      </c>
      <c r="C33" s="22" t="s">
        <v>135</v>
      </c>
      <c r="D33" s="23"/>
      <c r="E33" s="23"/>
      <c r="F33" s="24"/>
      <c r="G33" s="32"/>
      <c r="H33" s="32"/>
      <c r="I33" s="25"/>
      <c r="J33" s="25"/>
    </row>
    <row r="34" spans="2:10" x14ac:dyDescent="0.35">
      <c r="B34" s="26" t="s">
        <v>138</v>
      </c>
      <c r="C34" s="33" t="s">
        <v>137</v>
      </c>
      <c r="D34" s="32"/>
      <c r="E34" s="32"/>
      <c r="F34" s="27"/>
      <c r="G34" s="32"/>
      <c r="H34" s="32"/>
      <c r="I34" s="25"/>
      <c r="J34" s="25"/>
    </row>
    <row r="35" spans="2:10" ht="15" thickBot="1" x14ac:dyDescent="0.4">
      <c r="B35" s="28" t="s">
        <v>139</v>
      </c>
      <c r="C35" s="29" t="s">
        <v>130</v>
      </c>
      <c r="D35" s="30"/>
      <c r="E35" s="30"/>
      <c r="F35" s="31"/>
      <c r="G35" s="32"/>
      <c r="H35" s="32"/>
      <c r="I35" s="25"/>
      <c r="J35" s="25"/>
    </row>
  </sheetData>
  <mergeCells count="1">
    <mergeCell ref="B2:Q31"/>
  </mergeCells>
  <hyperlinks>
    <hyperlink ref="B34" location="Sb_Market_GLO!A1" display="Sb_Market_GLO" xr:uid="{17295617-A237-4E44-BBD6-B29E1EBC1788}"/>
    <hyperlink ref="B35" location="PR1_Sb_CN!A1" display="PR1_Sb_CN" xr:uid="{EC8FCA13-B86F-490E-B783-E6E5FB7F08A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31DFA-832A-4F90-A7EF-1B370CD9E1A4}">
  <sheetPr>
    <tabColor theme="8" tint="0.39997558519241921"/>
  </sheetPr>
  <dimension ref="A1:N22"/>
  <sheetViews>
    <sheetView workbookViewId="0">
      <selection activeCell="A12" sqref="A12"/>
    </sheetView>
  </sheetViews>
  <sheetFormatPr baseColWidth="10" defaultRowHeight="14.5" x14ac:dyDescent="0.35"/>
  <cols>
    <col min="1" max="1" width="88.1796875" bestFit="1" customWidth="1"/>
    <col min="2" max="2" width="27" bestFit="1" customWidth="1"/>
    <col min="3" max="3" width="8.1796875" bestFit="1" customWidth="1"/>
    <col min="4" max="4" width="12" bestFit="1" customWidth="1"/>
    <col min="5" max="5" width="8.7265625" bestFit="1" customWidth="1"/>
    <col min="6" max="6" width="10.7265625" bestFit="1" customWidth="1"/>
    <col min="7" max="7" width="13.26953125" bestFit="1" customWidth="1"/>
    <col min="8" max="8" width="10.1796875" bestFit="1" customWidth="1"/>
    <col min="9" max="9" width="15.54296875" bestFit="1" customWidth="1"/>
    <col min="10" max="10" width="9" bestFit="1" customWidth="1"/>
    <col min="11" max="11" width="3.54296875" bestFit="1" customWidth="1"/>
    <col min="12" max="12" width="5.453125" bestFit="1" customWidth="1"/>
    <col min="13" max="13" width="9.54296875" bestFit="1" customWidth="1"/>
    <col min="14" max="14" width="9.81640625" bestFit="1" customWidth="1"/>
  </cols>
  <sheetData>
    <row r="1" spans="1:14" x14ac:dyDescent="0.35">
      <c r="A1" t="s">
        <v>13</v>
      </c>
      <c r="B1" s="1" t="s">
        <v>131</v>
      </c>
    </row>
    <row r="2" spans="1:14" s="2" customFormat="1" x14ac:dyDescent="0.35"/>
    <row r="3" spans="1:14" x14ac:dyDescent="0.35">
      <c r="A3" s="3" t="s">
        <v>0</v>
      </c>
      <c r="B3" s="3" t="s">
        <v>132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35">
      <c r="A4" s="5" t="s">
        <v>2</v>
      </c>
      <c r="B4" s="4" t="s">
        <v>106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x14ac:dyDescent="0.35">
      <c r="A5" s="5" t="s">
        <v>4</v>
      </c>
      <c r="B5" s="4" t="s">
        <v>34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x14ac:dyDescent="0.35">
      <c r="A6" s="5" t="s">
        <v>6</v>
      </c>
      <c r="B6" s="4">
        <v>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x14ac:dyDescent="0.35">
      <c r="A7" s="5" t="s">
        <v>7</v>
      </c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</row>
    <row r="8" spans="1:14" x14ac:dyDescent="0.35">
      <c r="A8" s="5" t="s">
        <v>9</v>
      </c>
      <c r="B8" s="4" t="s">
        <v>10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 x14ac:dyDescent="0.35">
      <c r="A9" s="5" t="s">
        <v>11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 x14ac:dyDescent="0.35">
      <c r="A10" s="3" t="s">
        <v>12</v>
      </c>
      <c r="B10" s="3" t="s">
        <v>2</v>
      </c>
      <c r="C10" s="3" t="s">
        <v>4</v>
      </c>
      <c r="D10" s="3" t="s">
        <v>6</v>
      </c>
      <c r="E10" s="3" t="s">
        <v>7</v>
      </c>
      <c r="F10" s="3" t="s">
        <v>13</v>
      </c>
      <c r="G10" s="3" t="s">
        <v>14</v>
      </c>
      <c r="H10" s="3" t="s">
        <v>15</v>
      </c>
      <c r="I10" s="3" t="s">
        <v>16</v>
      </c>
      <c r="J10" s="3" t="s">
        <v>17</v>
      </c>
      <c r="K10" s="3" t="s">
        <v>18</v>
      </c>
      <c r="L10" s="3" t="s">
        <v>19</v>
      </c>
      <c r="M10" s="3" t="s">
        <v>20</v>
      </c>
      <c r="N10" s="3" t="s">
        <v>21</v>
      </c>
    </row>
    <row r="11" spans="1:14" x14ac:dyDescent="0.35">
      <c r="A11" t="str">
        <f>B3</f>
        <v>Antimony (Sb) global market</v>
      </c>
      <c r="B11" t="str">
        <f>B4</f>
        <v>Refined Sb</v>
      </c>
      <c r="C11" t="str">
        <f>B5</f>
        <v>GLO</v>
      </c>
      <c r="D11" s="4">
        <f>B6</f>
        <v>1</v>
      </c>
      <c r="E11" s="4" t="str">
        <f>B7</f>
        <v>kilogram</v>
      </c>
      <c r="F11" s="1" t="str">
        <f>B1</f>
        <v>Antimony</v>
      </c>
      <c r="G11" s="4" t="s">
        <v>22</v>
      </c>
    </row>
    <row r="12" spans="1:14" s="4" customFormat="1" x14ac:dyDescent="0.35">
      <c r="A12" s="4" t="str">
        <f>PR1_Sb_CN!A121</f>
        <v>Stibnite ore mining and Sb production in China</v>
      </c>
      <c r="B12" s="4" t="str">
        <f>PR1_Sb_CN!B121</f>
        <v>Refined Sb</v>
      </c>
      <c r="C12" s="4" t="str">
        <f>PR1_Sb_CN!C121</f>
        <v>CN</v>
      </c>
      <c r="D12" s="4">
        <f>PR1_Sb_CN!D121</f>
        <v>1</v>
      </c>
      <c r="E12" s="4" t="str">
        <f>PR1_Sb_CN!E121</f>
        <v>kilogram</v>
      </c>
      <c r="F12" s="1" t="str">
        <f>PR1_Sb_CN!F121</f>
        <v>Antimony</v>
      </c>
      <c r="G12" s="6" t="s">
        <v>27</v>
      </c>
    </row>
    <row r="13" spans="1:14" s="4" customFormat="1" x14ac:dyDescent="0.35">
      <c r="F13" s="1"/>
    </row>
    <row r="14" spans="1:14" s="4" customFormat="1" x14ac:dyDescent="0.35">
      <c r="F14" s="1"/>
    </row>
    <row r="15" spans="1:14" s="4" customFormat="1" x14ac:dyDescent="0.35">
      <c r="F15" s="1"/>
    </row>
    <row r="16" spans="1:14" s="4" customFormat="1" x14ac:dyDescent="0.35">
      <c r="F16" s="1"/>
    </row>
    <row r="17" spans="6:6" s="4" customFormat="1" x14ac:dyDescent="0.35">
      <c r="F17" s="1"/>
    </row>
    <row r="18" spans="6:6" s="4" customFormat="1" x14ac:dyDescent="0.35">
      <c r="F18" s="1"/>
    </row>
    <row r="19" spans="6:6" s="4" customFormat="1" x14ac:dyDescent="0.35">
      <c r="F19" s="1"/>
    </row>
    <row r="20" spans="6:6" s="4" customFormat="1" x14ac:dyDescent="0.35">
      <c r="F20" s="1"/>
    </row>
    <row r="21" spans="6:6" s="4" customFormat="1" x14ac:dyDescent="0.35">
      <c r="F21" s="1"/>
    </row>
    <row r="22" spans="6:6" s="4" customFormat="1" x14ac:dyDescent="0.35">
      <c r="F2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39997558519241921"/>
  </sheetPr>
  <dimension ref="A1:N123"/>
  <sheetViews>
    <sheetView workbookViewId="0">
      <selection activeCell="B131" sqref="B131"/>
    </sheetView>
  </sheetViews>
  <sheetFormatPr baseColWidth="10" defaultColWidth="8.7265625" defaultRowHeight="14.5" x14ac:dyDescent="0.35"/>
  <cols>
    <col min="1" max="1" width="54.90625" style="6" bestFit="1" customWidth="1"/>
    <col min="2" max="2" width="45.453125" style="6" bestFit="1" customWidth="1"/>
    <col min="3" max="3" width="7.6328125" style="6" bestFit="1" customWidth="1"/>
    <col min="4" max="4" width="11.81640625" style="6" bestFit="1" customWidth="1"/>
    <col min="5" max="5" width="16.36328125" style="6" bestFit="1" customWidth="1"/>
    <col min="6" max="6" width="18.36328125" style="6" bestFit="1" customWidth="1"/>
    <col min="7" max="7" width="12.26953125" style="6" bestFit="1" customWidth="1"/>
    <col min="8" max="8" width="23.81640625" style="6" bestFit="1" customWidth="1"/>
    <col min="9" max="9" width="14.6328125" style="6" bestFit="1" customWidth="1"/>
    <col min="10" max="10" width="19.90625" style="6" bestFit="1" customWidth="1"/>
    <col min="11" max="11" width="3.36328125" style="6" bestFit="1" customWidth="1"/>
    <col min="12" max="12" width="5" style="6" bestFit="1" customWidth="1"/>
    <col min="13" max="13" width="8.90625" style="6" bestFit="1" customWidth="1"/>
    <col min="14" max="14" width="9.26953125" style="6" bestFit="1" customWidth="1"/>
    <col min="15" max="16384" width="8.7265625" style="6"/>
  </cols>
  <sheetData>
    <row r="1" spans="1:14" x14ac:dyDescent="0.35">
      <c r="A1" s="7" t="s">
        <v>0</v>
      </c>
      <c r="B1" s="7" t="s">
        <v>1</v>
      </c>
    </row>
    <row r="2" spans="1:14" x14ac:dyDescent="0.35">
      <c r="A2" s="8" t="s">
        <v>2</v>
      </c>
      <c r="B2" s="6" t="s">
        <v>3</v>
      </c>
    </row>
    <row r="3" spans="1:14" x14ac:dyDescent="0.35">
      <c r="A3" s="8" t="s">
        <v>4</v>
      </c>
      <c r="B3" s="6" t="s">
        <v>5</v>
      </c>
    </row>
    <row r="4" spans="1:14" x14ac:dyDescent="0.35">
      <c r="A4" s="8" t="s">
        <v>6</v>
      </c>
      <c r="B4" s="6">
        <v>1</v>
      </c>
    </row>
    <row r="5" spans="1:14" x14ac:dyDescent="0.35">
      <c r="A5" s="8" t="s">
        <v>7</v>
      </c>
      <c r="B5" s="6" t="s">
        <v>8</v>
      </c>
    </row>
    <row r="6" spans="1:14" x14ac:dyDescent="0.35">
      <c r="A6" s="8" t="s">
        <v>9</v>
      </c>
      <c r="B6" s="6" t="s">
        <v>10</v>
      </c>
    </row>
    <row r="7" spans="1:14" x14ac:dyDescent="0.35">
      <c r="A7" s="8" t="s">
        <v>11</v>
      </c>
    </row>
    <row r="8" spans="1:14" x14ac:dyDescent="0.35">
      <c r="A8" s="7" t="s">
        <v>12</v>
      </c>
      <c r="B8" s="7" t="s">
        <v>2</v>
      </c>
      <c r="C8" s="7" t="s">
        <v>4</v>
      </c>
      <c r="D8" s="7" t="s">
        <v>6</v>
      </c>
      <c r="E8" s="7" t="s">
        <v>7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x14ac:dyDescent="0.35">
      <c r="A9" s="6" t="str">
        <f>B1</f>
        <v>[M+C] Stibnite ore mining and concentration</v>
      </c>
      <c r="B9" s="6" t="str">
        <f>B2</f>
        <v>Stibnite concentrate</v>
      </c>
      <c r="C9" s="6" t="str">
        <f>B3</f>
        <v>CN</v>
      </c>
      <c r="D9" s="6">
        <v>1</v>
      </c>
      <c r="E9" s="6" t="s">
        <v>8</v>
      </c>
      <c r="F9" s="9" t="str">
        <f>Sb_Market_GLO!B1</f>
        <v>Antimony</v>
      </c>
      <c r="G9" s="6" t="s">
        <v>22</v>
      </c>
    </row>
    <row r="10" spans="1:14" x14ac:dyDescent="0.35">
      <c r="A10" s="6" t="s">
        <v>23</v>
      </c>
      <c r="B10" s="6" t="s">
        <v>24</v>
      </c>
      <c r="C10" s="6" t="s">
        <v>5</v>
      </c>
      <c r="D10" s="6">
        <v>3.98</v>
      </c>
      <c r="E10" s="6" t="s">
        <v>25</v>
      </c>
      <c r="F10" s="6" t="s">
        <v>26</v>
      </c>
      <c r="G10" s="6" t="s">
        <v>27</v>
      </c>
      <c r="J10" s="6" t="s">
        <v>28</v>
      </c>
    </row>
    <row r="11" spans="1:14" x14ac:dyDescent="0.35">
      <c r="A11" s="6" t="s">
        <v>29</v>
      </c>
      <c r="B11" s="6" t="s">
        <v>30</v>
      </c>
      <c r="C11" s="6" t="s">
        <v>31</v>
      </c>
      <c r="D11" s="6">
        <v>0.19800000000000001</v>
      </c>
      <c r="E11" s="6" t="s">
        <v>8</v>
      </c>
      <c r="F11" s="6" t="s">
        <v>26</v>
      </c>
      <c r="G11" s="6" t="s">
        <v>27</v>
      </c>
      <c r="J11" s="6" t="s">
        <v>28</v>
      </c>
    </row>
    <row r="12" spans="1:14" x14ac:dyDescent="0.35">
      <c r="A12" s="6" t="s">
        <v>32</v>
      </c>
      <c r="B12" s="6" t="s">
        <v>33</v>
      </c>
      <c r="C12" s="6" t="s">
        <v>34</v>
      </c>
      <c r="D12" s="6">
        <v>0.157</v>
      </c>
      <c r="E12" s="6" t="s">
        <v>8</v>
      </c>
      <c r="F12" s="6" t="s">
        <v>26</v>
      </c>
      <c r="G12" s="6" t="s">
        <v>27</v>
      </c>
      <c r="J12" s="6" t="s">
        <v>28</v>
      </c>
    </row>
    <row r="13" spans="1:14" x14ac:dyDescent="0.35">
      <c r="A13" s="6" t="s">
        <v>35</v>
      </c>
      <c r="B13" s="6" t="s">
        <v>36</v>
      </c>
      <c r="C13" s="6" t="s">
        <v>34</v>
      </c>
      <c r="D13" s="6">
        <v>7.9399999999999991E-3</v>
      </c>
      <c r="E13" s="6" t="s">
        <v>37</v>
      </c>
      <c r="F13" s="6" t="s">
        <v>26</v>
      </c>
      <c r="G13" s="6" t="s">
        <v>27</v>
      </c>
      <c r="J13" s="6" t="s">
        <v>28</v>
      </c>
    </row>
    <row r="14" spans="1:14" x14ac:dyDescent="0.35">
      <c r="A14" s="6" t="s">
        <v>38</v>
      </c>
      <c r="B14" s="6" t="s">
        <v>39</v>
      </c>
      <c r="C14" s="6" t="s">
        <v>34</v>
      </c>
      <c r="D14" s="6">
        <v>0.11700000000000001</v>
      </c>
      <c r="E14" s="6" t="s">
        <v>8</v>
      </c>
      <c r="F14" s="6" t="s">
        <v>26</v>
      </c>
      <c r="G14" s="6" t="s">
        <v>27</v>
      </c>
      <c r="J14" s="6" t="s">
        <v>28</v>
      </c>
    </row>
    <row r="15" spans="1:14" x14ac:dyDescent="0.35">
      <c r="A15" s="6" t="s">
        <v>40</v>
      </c>
      <c r="B15" s="6" t="s">
        <v>41</v>
      </c>
      <c r="C15" s="6" t="s">
        <v>34</v>
      </c>
      <c r="D15" s="6">
        <v>0.121</v>
      </c>
      <c r="E15" s="6" t="s">
        <v>8</v>
      </c>
      <c r="F15" s="6" t="s">
        <v>26</v>
      </c>
      <c r="G15" s="6" t="s">
        <v>27</v>
      </c>
      <c r="J15" s="6" t="s">
        <v>28</v>
      </c>
    </row>
    <row r="16" spans="1:14" x14ac:dyDescent="0.35">
      <c r="A16" s="6" t="s">
        <v>42</v>
      </c>
      <c r="B16" s="6" t="s">
        <v>43</v>
      </c>
      <c r="C16" s="6" t="s">
        <v>31</v>
      </c>
      <c r="D16" s="6">
        <v>5.4900000000000001E-3</v>
      </c>
      <c r="E16" s="6" t="s">
        <v>8</v>
      </c>
      <c r="F16" s="6" t="s">
        <v>26</v>
      </c>
      <c r="G16" s="6" t="s">
        <v>27</v>
      </c>
      <c r="J16" s="6" t="s">
        <v>28</v>
      </c>
    </row>
    <row r="17" spans="1:10" x14ac:dyDescent="0.35">
      <c r="A17" s="6" t="s">
        <v>44</v>
      </c>
      <c r="B17" s="6" t="s">
        <v>45</v>
      </c>
      <c r="C17" s="6" t="s">
        <v>34</v>
      </c>
      <c r="D17" s="6">
        <v>3.5400000000000001E-2</v>
      </c>
      <c r="E17" s="6" t="s">
        <v>8</v>
      </c>
      <c r="F17" s="6" t="s">
        <v>26</v>
      </c>
      <c r="G17" s="6" t="s">
        <v>27</v>
      </c>
      <c r="J17" s="6" t="s">
        <v>28</v>
      </c>
    </row>
    <row r="18" spans="1:10" x14ac:dyDescent="0.35">
      <c r="A18" s="6" t="s">
        <v>46</v>
      </c>
      <c r="B18" s="6" t="s">
        <v>47</v>
      </c>
      <c r="C18" s="6" t="s">
        <v>34</v>
      </c>
      <c r="D18" s="6">
        <v>1.19E-5</v>
      </c>
      <c r="E18" s="6" t="s">
        <v>48</v>
      </c>
      <c r="F18" s="6" t="s">
        <v>26</v>
      </c>
      <c r="G18" s="6" t="s">
        <v>27</v>
      </c>
      <c r="J18" s="6" t="s">
        <v>28</v>
      </c>
    </row>
    <row r="19" spans="1:10" x14ac:dyDescent="0.35">
      <c r="A19" s="6" t="s">
        <v>49</v>
      </c>
      <c r="B19" s="6" t="s">
        <v>50</v>
      </c>
      <c r="C19" s="6" t="s">
        <v>34</v>
      </c>
      <c r="D19" s="6">
        <v>1.32E-9</v>
      </c>
      <c r="E19" s="6" t="s">
        <v>7</v>
      </c>
      <c r="F19" s="6" t="s">
        <v>26</v>
      </c>
      <c r="G19" s="6" t="s">
        <v>27</v>
      </c>
      <c r="J19" s="6" t="s">
        <v>28</v>
      </c>
    </row>
    <row r="20" spans="1:10" x14ac:dyDescent="0.35">
      <c r="A20" s="6" t="s">
        <v>51</v>
      </c>
      <c r="B20" s="6" t="s">
        <v>52</v>
      </c>
      <c r="C20" s="6" t="s">
        <v>34</v>
      </c>
      <c r="D20" s="6">
        <v>1.73E-9</v>
      </c>
      <c r="E20" s="6" t="s">
        <v>7</v>
      </c>
      <c r="F20" s="6" t="s">
        <v>26</v>
      </c>
      <c r="G20" s="6" t="s">
        <v>27</v>
      </c>
      <c r="J20" s="6" t="s">
        <v>28</v>
      </c>
    </row>
    <row r="21" spans="1:10" x14ac:dyDescent="0.35">
      <c r="A21" s="6" t="s">
        <v>53</v>
      </c>
      <c r="B21" s="6" t="s">
        <v>54</v>
      </c>
      <c r="C21" s="6" t="s">
        <v>34</v>
      </c>
      <c r="D21" s="6">
        <v>7.5299999999999998E-10</v>
      </c>
      <c r="E21" s="6" t="s">
        <v>7</v>
      </c>
      <c r="F21" s="6" t="s">
        <v>26</v>
      </c>
      <c r="G21" s="6" t="s">
        <v>27</v>
      </c>
      <c r="J21" s="6" t="s">
        <v>28</v>
      </c>
    </row>
    <row r="22" spans="1:10" x14ac:dyDescent="0.35">
      <c r="A22" s="6" t="s">
        <v>55</v>
      </c>
      <c r="B22" s="6" t="s">
        <v>56</v>
      </c>
      <c r="C22" s="6" t="s">
        <v>34</v>
      </c>
      <c r="D22" s="6">
        <v>-270</v>
      </c>
      <c r="E22" s="6" t="s">
        <v>8</v>
      </c>
      <c r="F22" s="6" t="s">
        <v>26</v>
      </c>
      <c r="G22" s="6" t="s">
        <v>27</v>
      </c>
      <c r="J22" s="6" t="s">
        <v>28</v>
      </c>
    </row>
    <row r="23" spans="1:10" x14ac:dyDescent="0.35">
      <c r="A23" s="6" t="s">
        <v>57</v>
      </c>
      <c r="D23" s="6">
        <v>0.23200000000000001</v>
      </c>
      <c r="E23" s="6" t="s">
        <v>58</v>
      </c>
      <c r="F23" s="6" t="s">
        <v>59</v>
      </c>
      <c r="G23" s="6" t="s">
        <v>60</v>
      </c>
      <c r="H23" s="6" t="s">
        <v>61</v>
      </c>
      <c r="J23" s="6" t="s">
        <v>28</v>
      </c>
    </row>
    <row r="24" spans="1:10" x14ac:dyDescent="0.35">
      <c r="A24" s="6" t="s">
        <v>62</v>
      </c>
      <c r="D24" s="6">
        <v>8.1799999999999998E-3</v>
      </c>
      <c r="E24" s="6" t="s">
        <v>63</v>
      </c>
      <c r="F24" s="6" t="s">
        <v>59</v>
      </c>
      <c r="G24" s="6" t="s">
        <v>60</v>
      </c>
      <c r="H24" s="6" t="s">
        <v>64</v>
      </c>
      <c r="J24" s="6" t="s">
        <v>28</v>
      </c>
    </row>
    <row r="25" spans="1:10" x14ac:dyDescent="0.35">
      <c r="A25" s="6" t="s">
        <v>65</v>
      </c>
      <c r="D25" s="6">
        <v>2.7300000000000002E-4</v>
      </c>
      <c r="E25" s="6" t="s">
        <v>66</v>
      </c>
      <c r="F25" s="6" t="s">
        <v>59</v>
      </c>
      <c r="G25" s="6" t="s">
        <v>60</v>
      </c>
      <c r="H25" s="6" t="s">
        <v>64</v>
      </c>
      <c r="J25" s="6" t="s">
        <v>28</v>
      </c>
    </row>
    <row r="26" spans="1:10" x14ac:dyDescent="0.35">
      <c r="A26" s="6" t="s">
        <v>67</v>
      </c>
      <c r="D26" s="6">
        <v>2.7300000000000002E-4</v>
      </c>
      <c r="E26" s="6" t="s">
        <v>66</v>
      </c>
      <c r="F26" s="6" t="s">
        <v>59</v>
      </c>
      <c r="G26" s="6" t="s">
        <v>60</v>
      </c>
      <c r="H26" s="6" t="s">
        <v>64</v>
      </c>
      <c r="J26" s="6" t="s">
        <v>28</v>
      </c>
    </row>
    <row r="27" spans="1:10" x14ac:dyDescent="0.35">
      <c r="A27" s="6" t="s">
        <v>68</v>
      </c>
      <c r="D27" s="6">
        <v>0.7</v>
      </c>
      <c r="E27" s="6" t="s">
        <v>8</v>
      </c>
      <c r="F27" s="6" t="s">
        <v>59</v>
      </c>
      <c r="G27" s="6" t="s">
        <v>60</v>
      </c>
      <c r="H27" s="6" t="s">
        <v>69</v>
      </c>
      <c r="J27" s="6" t="s">
        <v>28</v>
      </c>
    </row>
    <row r="28" spans="1:10" x14ac:dyDescent="0.35">
      <c r="A28" s="6" t="s">
        <v>70</v>
      </c>
      <c r="D28" s="6">
        <v>1.44E-8</v>
      </c>
      <c r="E28" s="6" t="s">
        <v>8</v>
      </c>
      <c r="F28" s="6" t="s">
        <v>59</v>
      </c>
      <c r="G28" s="6" t="s">
        <v>60</v>
      </c>
      <c r="H28" s="6" t="s">
        <v>71</v>
      </c>
      <c r="J28" s="6" t="s">
        <v>28</v>
      </c>
    </row>
    <row r="29" spans="1:10" x14ac:dyDescent="0.35">
      <c r="A29" s="6" t="s">
        <v>72</v>
      </c>
      <c r="D29" s="6">
        <v>1.09E-7</v>
      </c>
      <c r="E29" s="6" t="s">
        <v>8</v>
      </c>
      <c r="F29" s="6" t="s">
        <v>59</v>
      </c>
      <c r="G29" s="6" t="s">
        <v>60</v>
      </c>
      <c r="H29" s="6" t="s">
        <v>71</v>
      </c>
      <c r="J29" s="6" t="s">
        <v>28</v>
      </c>
    </row>
    <row r="30" spans="1:10" x14ac:dyDescent="0.35">
      <c r="A30" s="6" t="s">
        <v>73</v>
      </c>
      <c r="D30" s="6">
        <v>7.9400000000000003E-9</v>
      </c>
      <c r="E30" s="6" t="s">
        <v>8</v>
      </c>
      <c r="F30" s="6" t="s">
        <v>59</v>
      </c>
      <c r="G30" s="6" t="s">
        <v>60</v>
      </c>
      <c r="H30" s="6" t="s">
        <v>71</v>
      </c>
      <c r="J30" s="6" t="s">
        <v>28</v>
      </c>
    </row>
    <row r="31" spans="1:10" x14ac:dyDescent="0.35">
      <c r="A31" s="6" t="s">
        <v>74</v>
      </c>
      <c r="D31" s="6">
        <v>8.6999999999999994E-2</v>
      </c>
      <c r="E31" s="6" t="s">
        <v>8</v>
      </c>
      <c r="F31" s="6" t="s">
        <v>59</v>
      </c>
      <c r="G31" s="6" t="s">
        <v>60</v>
      </c>
      <c r="H31" s="6" t="s">
        <v>71</v>
      </c>
      <c r="J31" s="6" t="s">
        <v>28</v>
      </c>
    </row>
    <row r="32" spans="1:10" x14ac:dyDescent="0.35">
      <c r="A32" s="6" t="s">
        <v>75</v>
      </c>
      <c r="D32" s="6">
        <v>7.2400000000000001E-6</v>
      </c>
      <c r="E32" s="6" t="s">
        <v>8</v>
      </c>
      <c r="F32" s="6" t="s">
        <v>59</v>
      </c>
      <c r="G32" s="6" t="s">
        <v>60</v>
      </c>
      <c r="H32" s="6" t="s">
        <v>71</v>
      </c>
      <c r="J32" s="6" t="s">
        <v>28</v>
      </c>
    </row>
    <row r="33" spans="1:10" x14ac:dyDescent="0.35">
      <c r="A33" s="6" t="s">
        <v>76</v>
      </c>
      <c r="D33" s="6">
        <v>3.6100000000000002E-6</v>
      </c>
      <c r="E33" s="6" t="s">
        <v>8</v>
      </c>
      <c r="F33" s="6" t="s">
        <v>59</v>
      </c>
      <c r="G33" s="6" t="s">
        <v>60</v>
      </c>
      <c r="H33" s="6" t="s">
        <v>71</v>
      </c>
      <c r="J33" s="6" t="s">
        <v>28</v>
      </c>
    </row>
    <row r="34" spans="1:10" x14ac:dyDescent="0.35">
      <c r="A34" s="6" t="s">
        <v>77</v>
      </c>
      <c r="D34" s="6">
        <v>14.3</v>
      </c>
      <c r="E34" s="6" t="s">
        <v>37</v>
      </c>
      <c r="F34" s="6" t="s">
        <v>59</v>
      </c>
      <c r="G34" s="6" t="s">
        <v>60</v>
      </c>
      <c r="H34" s="6" t="s">
        <v>71</v>
      </c>
      <c r="J34" s="6" t="s">
        <v>28</v>
      </c>
    </row>
    <row r="35" spans="1:10" x14ac:dyDescent="0.35">
      <c r="A35" s="6" t="s">
        <v>78</v>
      </c>
      <c r="D35" s="6">
        <v>1.0100000000000001E-6</v>
      </c>
      <c r="E35" s="6" t="s">
        <v>8</v>
      </c>
      <c r="F35" s="6" t="s">
        <v>59</v>
      </c>
      <c r="G35" s="6" t="s">
        <v>60</v>
      </c>
      <c r="H35" s="6" t="s">
        <v>71</v>
      </c>
      <c r="J35" s="6" t="s">
        <v>28</v>
      </c>
    </row>
    <row r="36" spans="1:10" x14ac:dyDescent="0.35">
      <c r="A36" s="6" t="s">
        <v>79</v>
      </c>
      <c r="D36" s="6">
        <v>6.8899999999999994E-5</v>
      </c>
      <c r="E36" s="6" t="s">
        <v>8</v>
      </c>
      <c r="F36" s="6" t="s">
        <v>59</v>
      </c>
      <c r="G36" s="6" t="s">
        <v>60</v>
      </c>
      <c r="H36" s="6" t="s">
        <v>71</v>
      </c>
      <c r="J36" s="6" t="s">
        <v>28</v>
      </c>
    </row>
    <row r="37" spans="1:10" x14ac:dyDescent="0.35">
      <c r="A37" s="6" t="s">
        <v>80</v>
      </c>
      <c r="D37" s="6">
        <v>3.6100000000000001E-9</v>
      </c>
      <c r="E37" s="6" t="s">
        <v>8</v>
      </c>
      <c r="F37" s="6" t="s">
        <v>59</v>
      </c>
      <c r="G37" s="6" t="s">
        <v>60</v>
      </c>
      <c r="H37" s="6" t="s">
        <v>71</v>
      </c>
      <c r="J37" s="6" t="s">
        <v>28</v>
      </c>
    </row>
    <row r="38" spans="1:10" x14ac:dyDescent="0.35">
      <c r="A38" s="6" t="s">
        <v>81</v>
      </c>
      <c r="D38" s="6">
        <v>5.7799999999999997E-6</v>
      </c>
      <c r="E38" s="6" t="s">
        <v>8</v>
      </c>
      <c r="F38" s="6" t="s">
        <v>59</v>
      </c>
      <c r="G38" s="6" t="s">
        <v>60</v>
      </c>
      <c r="H38" s="6" t="s">
        <v>71</v>
      </c>
      <c r="J38" s="6" t="s">
        <v>28</v>
      </c>
    </row>
    <row r="39" spans="1:10" x14ac:dyDescent="0.35">
      <c r="A39" s="6" t="s">
        <v>82</v>
      </c>
      <c r="D39" s="6">
        <v>3.6700000000000003E-2</v>
      </c>
      <c r="E39" s="6" t="s">
        <v>8</v>
      </c>
      <c r="F39" s="6" t="s">
        <v>59</v>
      </c>
      <c r="G39" s="6" t="s">
        <v>60</v>
      </c>
      <c r="H39" s="6" t="s">
        <v>71</v>
      </c>
      <c r="J39" s="6" t="s">
        <v>28</v>
      </c>
    </row>
    <row r="40" spans="1:10" x14ac:dyDescent="0.35">
      <c r="A40" s="6" t="s">
        <v>83</v>
      </c>
      <c r="D40" s="6">
        <v>3.5500000000000002E-3</v>
      </c>
      <c r="E40" s="6" t="s">
        <v>8</v>
      </c>
      <c r="F40" s="6" t="s">
        <v>59</v>
      </c>
      <c r="G40" s="6" t="s">
        <v>60</v>
      </c>
      <c r="H40" s="6" t="s">
        <v>71</v>
      </c>
      <c r="J40" s="6" t="s">
        <v>28</v>
      </c>
    </row>
    <row r="41" spans="1:10" x14ac:dyDescent="0.35">
      <c r="A41" s="6" t="s">
        <v>84</v>
      </c>
      <c r="D41" s="6">
        <v>3.1899999999999998E-2</v>
      </c>
      <c r="E41" s="6" t="s">
        <v>8</v>
      </c>
      <c r="F41" s="6" t="s">
        <v>59</v>
      </c>
      <c r="G41" s="6" t="s">
        <v>60</v>
      </c>
      <c r="H41" s="6" t="s">
        <v>71</v>
      </c>
      <c r="J41" s="6" t="s">
        <v>28</v>
      </c>
    </row>
    <row r="42" spans="1:10" x14ac:dyDescent="0.35">
      <c r="A42" s="6" t="s">
        <v>85</v>
      </c>
      <c r="D42" s="6">
        <v>3.6100000000000001E-9</v>
      </c>
      <c r="E42" s="6" t="s">
        <v>8</v>
      </c>
      <c r="F42" s="6" t="s">
        <v>59</v>
      </c>
      <c r="G42" s="6" t="s">
        <v>60</v>
      </c>
      <c r="H42" s="6" t="s">
        <v>71</v>
      </c>
      <c r="J42" s="6" t="s">
        <v>28</v>
      </c>
    </row>
    <row r="43" spans="1:10" x14ac:dyDescent="0.35">
      <c r="A43" s="6" t="s">
        <v>86</v>
      </c>
      <c r="D43" s="6">
        <v>1.3699999999999999E-5</v>
      </c>
      <c r="E43" s="6" t="s">
        <v>8</v>
      </c>
      <c r="F43" s="6" t="s">
        <v>59</v>
      </c>
      <c r="G43" s="6" t="s">
        <v>60</v>
      </c>
      <c r="H43" s="6" t="s">
        <v>71</v>
      </c>
      <c r="J43" s="6" t="s">
        <v>28</v>
      </c>
    </row>
    <row r="44" spans="1:10" x14ac:dyDescent="0.35">
      <c r="A44" s="6" t="s">
        <v>87</v>
      </c>
      <c r="D44" s="6">
        <v>6.8899999999999994E-5</v>
      </c>
      <c r="E44" s="6" t="s">
        <v>8</v>
      </c>
      <c r="F44" s="6" t="s">
        <v>59</v>
      </c>
      <c r="G44" s="6" t="s">
        <v>60</v>
      </c>
      <c r="H44" s="6" t="s">
        <v>71</v>
      </c>
      <c r="J44" s="6" t="s">
        <v>28</v>
      </c>
    </row>
    <row r="45" spans="1:10" x14ac:dyDescent="0.35">
      <c r="A45" s="6" t="s">
        <v>88</v>
      </c>
      <c r="D45" s="6">
        <v>1.44E-6</v>
      </c>
      <c r="E45" s="6" t="s">
        <v>8</v>
      </c>
      <c r="F45" s="6" t="s">
        <v>59</v>
      </c>
      <c r="G45" s="6" t="s">
        <v>60</v>
      </c>
      <c r="H45" s="6" t="s">
        <v>71</v>
      </c>
      <c r="J45" s="6" t="s">
        <v>28</v>
      </c>
    </row>
    <row r="46" spans="1:10" x14ac:dyDescent="0.35">
      <c r="A46" s="6" t="s">
        <v>89</v>
      </c>
      <c r="D46" s="6">
        <v>1.5699999999999999E-2</v>
      </c>
      <c r="E46" s="6" t="s">
        <v>8</v>
      </c>
      <c r="F46" s="6" t="s">
        <v>59</v>
      </c>
      <c r="G46" s="6" t="s">
        <v>60</v>
      </c>
      <c r="H46" s="6" t="s">
        <v>71</v>
      </c>
      <c r="J46" s="6" t="s">
        <v>28</v>
      </c>
    </row>
    <row r="47" spans="1:10" x14ac:dyDescent="0.35">
      <c r="A47" s="6" t="s">
        <v>90</v>
      </c>
      <c r="D47" s="6">
        <v>7.2399999999999997E-7</v>
      </c>
      <c r="E47" s="6" t="s">
        <v>8</v>
      </c>
      <c r="F47" s="6" t="s">
        <v>59</v>
      </c>
      <c r="G47" s="6" t="s">
        <v>60</v>
      </c>
      <c r="H47" s="6" t="s">
        <v>71</v>
      </c>
      <c r="J47" s="6" t="s">
        <v>28</v>
      </c>
    </row>
    <row r="48" spans="1:10" x14ac:dyDescent="0.35">
      <c r="A48" s="6" t="s">
        <v>91</v>
      </c>
      <c r="D48" s="6">
        <v>1.8799999999999999E-7</v>
      </c>
      <c r="E48" s="6" t="s">
        <v>8</v>
      </c>
      <c r="F48" s="6" t="s">
        <v>59</v>
      </c>
      <c r="G48" s="6" t="s">
        <v>60</v>
      </c>
      <c r="H48" s="6" t="s">
        <v>71</v>
      </c>
      <c r="J48" s="6" t="s">
        <v>28</v>
      </c>
    </row>
    <row r="49" spans="1:10" x14ac:dyDescent="0.35">
      <c r="A49" s="6" t="s">
        <v>72</v>
      </c>
      <c r="D49" s="6">
        <v>6.8299999999999996E-7</v>
      </c>
      <c r="E49" s="6" t="s">
        <v>8</v>
      </c>
      <c r="F49" s="6" t="s">
        <v>59</v>
      </c>
      <c r="G49" s="6" t="s">
        <v>60</v>
      </c>
      <c r="H49" s="6" t="s">
        <v>92</v>
      </c>
      <c r="J49" s="6" t="s">
        <v>28</v>
      </c>
    </row>
    <row r="50" spans="1:10" x14ac:dyDescent="0.35">
      <c r="A50" s="6" t="s">
        <v>73</v>
      </c>
      <c r="D50" s="6">
        <v>7.3599999999999997E-8</v>
      </c>
      <c r="E50" s="6" t="s">
        <v>8</v>
      </c>
      <c r="F50" s="6" t="s">
        <v>59</v>
      </c>
      <c r="G50" s="6" t="s">
        <v>60</v>
      </c>
      <c r="H50" s="6" t="s">
        <v>92</v>
      </c>
      <c r="J50" s="6" t="s">
        <v>28</v>
      </c>
    </row>
    <row r="51" spans="1:10" x14ac:dyDescent="0.35">
      <c r="A51" s="6" t="s">
        <v>75</v>
      </c>
      <c r="D51" s="6">
        <v>1.2700000000000001E-7</v>
      </c>
      <c r="E51" s="6" t="s">
        <v>8</v>
      </c>
      <c r="F51" s="6" t="s">
        <v>59</v>
      </c>
      <c r="G51" s="6" t="s">
        <v>60</v>
      </c>
      <c r="H51" s="6" t="s">
        <v>92</v>
      </c>
      <c r="J51" s="6" t="s">
        <v>28</v>
      </c>
    </row>
    <row r="52" spans="1:10" x14ac:dyDescent="0.35">
      <c r="A52" s="6" t="s">
        <v>76</v>
      </c>
      <c r="D52" s="6">
        <v>1.8300000000000001E-6</v>
      </c>
      <c r="E52" s="6" t="s">
        <v>8</v>
      </c>
      <c r="F52" s="6" t="s">
        <v>59</v>
      </c>
      <c r="G52" s="6" t="s">
        <v>60</v>
      </c>
      <c r="H52" s="6" t="s">
        <v>92</v>
      </c>
      <c r="J52" s="6" t="s">
        <v>28</v>
      </c>
    </row>
    <row r="53" spans="1:10" x14ac:dyDescent="0.35">
      <c r="A53" s="6" t="s">
        <v>78</v>
      </c>
      <c r="D53" s="6">
        <v>6.4799999999999998E-7</v>
      </c>
      <c r="E53" s="6" t="s">
        <v>8</v>
      </c>
      <c r="F53" s="6" t="s">
        <v>59</v>
      </c>
      <c r="G53" s="6" t="s">
        <v>60</v>
      </c>
      <c r="H53" s="6" t="s">
        <v>92</v>
      </c>
      <c r="J53" s="6" t="s">
        <v>28</v>
      </c>
    </row>
    <row r="54" spans="1:10" x14ac:dyDescent="0.35">
      <c r="A54" s="6" t="s">
        <v>80</v>
      </c>
      <c r="D54" s="6">
        <v>8.7600000000000004E-9</v>
      </c>
      <c r="E54" s="6" t="s">
        <v>8</v>
      </c>
      <c r="F54" s="6" t="s">
        <v>59</v>
      </c>
      <c r="G54" s="6" t="s">
        <v>60</v>
      </c>
      <c r="H54" s="6" t="s">
        <v>92</v>
      </c>
      <c r="J54" s="6" t="s">
        <v>28</v>
      </c>
    </row>
    <row r="55" spans="1:10" x14ac:dyDescent="0.35">
      <c r="A55" s="6" t="s">
        <v>81</v>
      </c>
      <c r="D55" s="6">
        <v>5.6500000000000001E-6</v>
      </c>
      <c r="E55" s="6" t="s">
        <v>8</v>
      </c>
      <c r="F55" s="6" t="s">
        <v>59</v>
      </c>
      <c r="G55" s="6" t="s">
        <v>60</v>
      </c>
      <c r="H55" s="6" t="s">
        <v>92</v>
      </c>
      <c r="J55" s="6" t="s">
        <v>28</v>
      </c>
    </row>
    <row r="56" spans="1:10" x14ac:dyDescent="0.35">
      <c r="A56" s="6" t="s">
        <v>86</v>
      </c>
      <c r="D56" s="6">
        <v>1.7600000000000001E-5</v>
      </c>
      <c r="E56" s="6" t="s">
        <v>8</v>
      </c>
      <c r="F56" s="6" t="s">
        <v>59</v>
      </c>
      <c r="G56" s="6" t="s">
        <v>60</v>
      </c>
      <c r="H56" s="6" t="s">
        <v>92</v>
      </c>
      <c r="J56" s="6" t="s">
        <v>28</v>
      </c>
    </row>
    <row r="57" spans="1:10" x14ac:dyDescent="0.35">
      <c r="A57" s="6" t="s">
        <v>93</v>
      </c>
      <c r="D57" s="6">
        <v>2.0000000000000002E-5</v>
      </c>
      <c r="E57" s="6" t="s">
        <v>8</v>
      </c>
      <c r="F57" s="6" t="s">
        <v>59</v>
      </c>
      <c r="G57" s="6" t="s">
        <v>60</v>
      </c>
      <c r="H57" s="6" t="s">
        <v>92</v>
      </c>
      <c r="J57" s="6" t="s">
        <v>28</v>
      </c>
    </row>
    <row r="58" spans="1:10" x14ac:dyDescent="0.35">
      <c r="A58" s="6" t="s">
        <v>94</v>
      </c>
      <c r="D58" s="6">
        <v>2.4199999999999998E-3</v>
      </c>
      <c r="E58" s="6" t="s">
        <v>8</v>
      </c>
      <c r="F58" s="6" t="s">
        <v>59</v>
      </c>
      <c r="G58" s="6" t="s">
        <v>60</v>
      </c>
      <c r="H58" s="6" t="s">
        <v>92</v>
      </c>
      <c r="J58" s="6" t="s">
        <v>28</v>
      </c>
    </row>
    <row r="59" spans="1:10" x14ac:dyDescent="0.35">
      <c r="A59" s="6" t="s">
        <v>95</v>
      </c>
      <c r="D59" s="6">
        <v>0.159</v>
      </c>
      <c r="E59" s="6" t="s">
        <v>8</v>
      </c>
      <c r="F59" s="6" t="s">
        <v>59</v>
      </c>
      <c r="G59" s="6" t="s">
        <v>60</v>
      </c>
      <c r="H59" s="6" t="s">
        <v>92</v>
      </c>
      <c r="J59" s="6" t="s">
        <v>28</v>
      </c>
    </row>
    <row r="60" spans="1:10" x14ac:dyDescent="0.35">
      <c r="A60" s="6" t="s">
        <v>88</v>
      </c>
      <c r="D60" s="6">
        <v>1.8099999999999999E-7</v>
      </c>
      <c r="E60" s="6" t="s">
        <v>8</v>
      </c>
      <c r="F60" s="6" t="s">
        <v>59</v>
      </c>
      <c r="G60" s="6" t="s">
        <v>60</v>
      </c>
      <c r="H60" s="6" t="s">
        <v>92</v>
      </c>
      <c r="J60" s="6" t="s">
        <v>28</v>
      </c>
    </row>
    <row r="61" spans="1:10" x14ac:dyDescent="0.35">
      <c r="A61" s="6" t="s">
        <v>96</v>
      </c>
      <c r="D61" s="6">
        <v>2.4199999999999998E-3</v>
      </c>
      <c r="E61" s="6" t="s">
        <v>8</v>
      </c>
      <c r="F61" s="6" t="s">
        <v>59</v>
      </c>
      <c r="G61" s="6" t="s">
        <v>60</v>
      </c>
      <c r="H61" s="6" t="s">
        <v>92</v>
      </c>
      <c r="J61" s="6" t="s">
        <v>28</v>
      </c>
    </row>
    <row r="62" spans="1:10" x14ac:dyDescent="0.35">
      <c r="A62" s="6" t="s">
        <v>97</v>
      </c>
      <c r="D62" s="6">
        <v>6.0700000000000001E-4</v>
      </c>
      <c r="E62" s="6" t="s">
        <v>8</v>
      </c>
      <c r="F62" s="6" t="s">
        <v>59</v>
      </c>
      <c r="G62" s="6" t="s">
        <v>60</v>
      </c>
      <c r="H62" s="6" t="s">
        <v>92</v>
      </c>
      <c r="J62" s="6" t="s">
        <v>28</v>
      </c>
    </row>
    <row r="63" spans="1:10" x14ac:dyDescent="0.35">
      <c r="A63" s="6" t="s">
        <v>98</v>
      </c>
      <c r="D63" s="6">
        <v>9.4600000000000001E-4</v>
      </c>
      <c r="E63" s="6" t="s">
        <v>8</v>
      </c>
      <c r="F63" s="6" t="s">
        <v>59</v>
      </c>
      <c r="G63" s="6" t="s">
        <v>60</v>
      </c>
      <c r="H63" s="6" t="s">
        <v>92</v>
      </c>
      <c r="J63" s="6" t="s">
        <v>28</v>
      </c>
    </row>
    <row r="64" spans="1:10" x14ac:dyDescent="0.35">
      <c r="A64" s="6" t="s">
        <v>99</v>
      </c>
      <c r="D64" s="6">
        <v>6.7199999999999994E-5</v>
      </c>
      <c r="E64" s="6" t="s">
        <v>8</v>
      </c>
      <c r="F64" s="6" t="s">
        <v>59</v>
      </c>
      <c r="G64" s="6" t="s">
        <v>60</v>
      </c>
      <c r="H64" s="6" t="s">
        <v>92</v>
      </c>
      <c r="J64" s="6" t="s">
        <v>28</v>
      </c>
    </row>
    <row r="65" spans="1:14" x14ac:dyDescent="0.35">
      <c r="A65" s="6" t="s">
        <v>100</v>
      </c>
      <c r="D65" s="6">
        <v>5.7200000000000003E-6</v>
      </c>
      <c r="E65" s="6" t="s">
        <v>8</v>
      </c>
      <c r="F65" s="6" t="s">
        <v>59</v>
      </c>
      <c r="G65" s="6" t="s">
        <v>60</v>
      </c>
      <c r="H65" s="6" t="s">
        <v>92</v>
      </c>
      <c r="J65" s="6" t="s">
        <v>28</v>
      </c>
    </row>
    <row r="66" spans="1:14" x14ac:dyDescent="0.35">
      <c r="A66" s="6" t="s">
        <v>101</v>
      </c>
      <c r="D66" s="6">
        <v>5.28E-3</v>
      </c>
      <c r="E66" s="6" t="s">
        <v>8</v>
      </c>
      <c r="F66" s="6" t="s">
        <v>59</v>
      </c>
      <c r="G66" s="6" t="s">
        <v>60</v>
      </c>
      <c r="H66" s="6" t="s">
        <v>92</v>
      </c>
      <c r="J66" s="6" t="s">
        <v>28</v>
      </c>
    </row>
    <row r="67" spans="1:14" x14ac:dyDescent="0.35">
      <c r="A67" s="6" t="s">
        <v>102</v>
      </c>
      <c r="D67" s="6">
        <v>1.1999999999999999E-3</v>
      </c>
      <c r="E67" s="6" t="s">
        <v>8</v>
      </c>
      <c r="F67" s="6" t="s">
        <v>59</v>
      </c>
      <c r="G67" s="6" t="s">
        <v>60</v>
      </c>
      <c r="H67" s="6" t="s">
        <v>92</v>
      </c>
      <c r="J67" s="6" t="s">
        <v>28</v>
      </c>
    </row>
    <row r="68" spans="1:14" x14ac:dyDescent="0.35">
      <c r="A68" s="6" t="s">
        <v>103</v>
      </c>
      <c r="D68" s="6">
        <v>0.54700000000000004</v>
      </c>
      <c r="E68" s="6" t="s">
        <v>8</v>
      </c>
      <c r="F68" s="6" t="s">
        <v>59</v>
      </c>
      <c r="G68" s="6" t="s">
        <v>60</v>
      </c>
      <c r="H68" s="6" t="s">
        <v>92</v>
      </c>
      <c r="J68" s="6" t="s">
        <v>28</v>
      </c>
    </row>
    <row r="69" spans="1:14" x14ac:dyDescent="0.35">
      <c r="A69" s="6" t="s">
        <v>104</v>
      </c>
      <c r="D69" s="6">
        <v>9.4600000000000001E-4</v>
      </c>
      <c r="E69" s="6" t="s">
        <v>8</v>
      </c>
      <c r="F69" s="6" t="s">
        <v>59</v>
      </c>
      <c r="G69" s="6" t="s">
        <v>60</v>
      </c>
      <c r="H69" s="6" t="s">
        <v>92</v>
      </c>
      <c r="J69" s="6" t="s">
        <v>28</v>
      </c>
    </row>
    <row r="70" spans="1:14" s="10" customFormat="1" x14ac:dyDescent="0.35"/>
    <row r="71" spans="1:14" x14ac:dyDescent="0.35">
      <c r="A71" s="7" t="s">
        <v>0</v>
      </c>
      <c r="B71" s="7" t="s">
        <v>105</v>
      </c>
    </row>
    <row r="72" spans="1:14" x14ac:dyDescent="0.35">
      <c r="A72" s="8" t="s">
        <v>2</v>
      </c>
      <c r="B72" s="6" t="s">
        <v>106</v>
      </c>
    </row>
    <row r="73" spans="1:14" x14ac:dyDescent="0.35">
      <c r="A73" s="8" t="s">
        <v>4</v>
      </c>
      <c r="B73" s="6" t="s">
        <v>5</v>
      </c>
    </row>
    <row r="74" spans="1:14" x14ac:dyDescent="0.35">
      <c r="A74" s="8" t="s">
        <v>6</v>
      </c>
      <c r="B74" s="6">
        <v>1</v>
      </c>
    </row>
    <row r="75" spans="1:14" x14ac:dyDescent="0.35">
      <c r="A75" s="8" t="s">
        <v>7</v>
      </c>
      <c r="B75" s="6" t="s">
        <v>8</v>
      </c>
    </row>
    <row r="76" spans="1:14" x14ac:dyDescent="0.35">
      <c r="A76" s="8" t="s">
        <v>9</v>
      </c>
      <c r="B76" s="6" t="s">
        <v>10</v>
      </c>
    </row>
    <row r="77" spans="1:14" x14ac:dyDescent="0.35">
      <c r="A77" s="8" t="s">
        <v>11</v>
      </c>
    </row>
    <row r="78" spans="1:14" x14ac:dyDescent="0.35">
      <c r="A78" s="7" t="s">
        <v>12</v>
      </c>
      <c r="B78" s="7" t="s">
        <v>2</v>
      </c>
      <c r="C78" s="7" t="s">
        <v>4</v>
      </c>
      <c r="D78" s="7" t="s">
        <v>6</v>
      </c>
      <c r="E78" s="7" t="s">
        <v>7</v>
      </c>
      <c r="F78" s="7" t="s">
        <v>13</v>
      </c>
      <c r="G78" s="7" t="s">
        <v>14</v>
      </c>
      <c r="H78" s="7" t="s">
        <v>15</v>
      </c>
      <c r="I78" s="7" t="s">
        <v>16</v>
      </c>
      <c r="J78" s="7" t="s">
        <v>17</v>
      </c>
      <c r="K78" s="7" t="s">
        <v>18</v>
      </c>
      <c r="L78" s="7" t="s">
        <v>19</v>
      </c>
      <c r="M78" s="7" t="s">
        <v>20</v>
      </c>
      <c r="N78" s="7" t="s">
        <v>21</v>
      </c>
    </row>
    <row r="79" spans="1:14" x14ac:dyDescent="0.35">
      <c r="A79" s="6" t="str">
        <f>B71</f>
        <v>[P+R] Refined Antimony (Sb) production</v>
      </c>
      <c r="B79" s="6" t="str">
        <f>B72</f>
        <v>Refined Sb</v>
      </c>
      <c r="C79" s="6" t="str">
        <f>B73</f>
        <v>CN</v>
      </c>
      <c r="D79" s="6">
        <v>1</v>
      </c>
      <c r="E79" s="6" t="s">
        <v>8</v>
      </c>
      <c r="F79" s="9" t="str">
        <f>F9</f>
        <v>Antimony</v>
      </c>
      <c r="G79" s="6" t="s">
        <v>22</v>
      </c>
    </row>
    <row r="80" spans="1:14" x14ac:dyDescent="0.35">
      <c r="A80" s="6" t="s">
        <v>23</v>
      </c>
      <c r="B80" s="6" t="s">
        <v>24</v>
      </c>
      <c r="C80" s="6" t="s">
        <v>5</v>
      </c>
      <c r="D80" s="6">
        <v>0.153</v>
      </c>
      <c r="E80" s="6" t="s">
        <v>25</v>
      </c>
      <c r="F80" s="6" t="s">
        <v>26</v>
      </c>
      <c r="G80" s="6" t="s">
        <v>27</v>
      </c>
      <c r="J80" s="6" t="s">
        <v>28</v>
      </c>
    </row>
    <row r="81" spans="1:10" x14ac:dyDescent="0.35">
      <c r="A81" s="6" t="s">
        <v>29</v>
      </c>
      <c r="B81" s="6" t="s">
        <v>30</v>
      </c>
      <c r="C81" s="6" t="s">
        <v>31</v>
      </c>
      <c r="D81" s="6">
        <v>0.64700000000000002</v>
      </c>
      <c r="E81" s="6" t="s">
        <v>8</v>
      </c>
      <c r="F81" s="6" t="s">
        <v>26</v>
      </c>
      <c r="G81" s="6" t="s">
        <v>27</v>
      </c>
      <c r="J81" s="6" t="s">
        <v>28</v>
      </c>
    </row>
    <row r="82" spans="1:10" x14ac:dyDescent="0.35">
      <c r="A82" s="6" t="s">
        <v>107</v>
      </c>
      <c r="B82" s="6" t="s">
        <v>108</v>
      </c>
      <c r="C82" s="6" t="s">
        <v>34</v>
      </c>
      <c r="D82" s="6">
        <v>-0.41</v>
      </c>
      <c r="E82" s="6" t="s">
        <v>8</v>
      </c>
      <c r="F82" s="6" t="s">
        <v>26</v>
      </c>
      <c r="G82" s="6" t="s">
        <v>27</v>
      </c>
      <c r="J82" s="6" t="s">
        <v>28</v>
      </c>
    </row>
    <row r="83" spans="1:10" x14ac:dyDescent="0.35">
      <c r="A83" s="6" t="s">
        <v>109</v>
      </c>
      <c r="B83" s="6" t="s">
        <v>110</v>
      </c>
      <c r="C83" s="6" t="s">
        <v>31</v>
      </c>
      <c r="D83" s="6">
        <v>86.7</v>
      </c>
      <c r="E83" s="6" t="s">
        <v>37</v>
      </c>
      <c r="F83" s="6" t="s">
        <v>26</v>
      </c>
      <c r="G83" s="6" t="s">
        <v>27</v>
      </c>
      <c r="J83" s="6" t="s">
        <v>28</v>
      </c>
    </row>
    <row r="84" spans="1:10" x14ac:dyDescent="0.35">
      <c r="A84" s="6" t="s">
        <v>111</v>
      </c>
      <c r="B84" s="6" t="s">
        <v>112</v>
      </c>
      <c r="C84" s="6" t="s">
        <v>34</v>
      </c>
      <c r="D84" s="6">
        <v>0.27500000000000002</v>
      </c>
      <c r="E84" s="6" t="s">
        <v>37</v>
      </c>
      <c r="F84" s="6" t="s">
        <v>26</v>
      </c>
      <c r="G84" s="6" t="s">
        <v>27</v>
      </c>
      <c r="J84" s="6" t="s">
        <v>28</v>
      </c>
    </row>
    <row r="85" spans="1:10" x14ac:dyDescent="0.35">
      <c r="A85" s="6" t="s">
        <v>113</v>
      </c>
      <c r="B85" s="6" t="s">
        <v>114</v>
      </c>
      <c r="C85" s="6" t="s">
        <v>34</v>
      </c>
      <c r="D85" s="6">
        <v>6.1499999999999999E-2</v>
      </c>
      <c r="E85" s="6" t="s">
        <v>8</v>
      </c>
      <c r="F85" s="6" t="s">
        <v>26</v>
      </c>
      <c r="G85" s="6" t="s">
        <v>27</v>
      </c>
      <c r="J85" s="6" t="s">
        <v>28</v>
      </c>
    </row>
    <row r="86" spans="1:10" x14ac:dyDescent="0.35">
      <c r="A86" s="6" t="s">
        <v>115</v>
      </c>
      <c r="B86" s="6" t="s">
        <v>116</v>
      </c>
      <c r="C86" s="6" t="s">
        <v>31</v>
      </c>
      <c r="D86" s="6">
        <v>0.55800000000000005</v>
      </c>
      <c r="E86" s="6" t="s">
        <v>37</v>
      </c>
      <c r="F86" s="6" t="s">
        <v>26</v>
      </c>
      <c r="G86" s="6" t="s">
        <v>27</v>
      </c>
      <c r="J86" s="6" t="s">
        <v>28</v>
      </c>
    </row>
    <row r="87" spans="1:10" x14ac:dyDescent="0.35">
      <c r="A87" s="6" t="s">
        <v>117</v>
      </c>
      <c r="B87" s="6" t="s">
        <v>118</v>
      </c>
      <c r="C87" s="6" t="s">
        <v>31</v>
      </c>
      <c r="D87" s="6">
        <v>0.02</v>
      </c>
      <c r="E87" s="6" t="s">
        <v>8</v>
      </c>
      <c r="F87" s="6" t="s">
        <v>26</v>
      </c>
      <c r="G87" s="6" t="s">
        <v>27</v>
      </c>
      <c r="J87" s="6" t="s">
        <v>28</v>
      </c>
    </row>
    <row r="88" spans="1:10" x14ac:dyDescent="0.35">
      <c r="A88" s="6" t="s">
        <v>119</v>
      </c>
      <c r="B88" s="6" t="s">
        <v>120</v>
      </c>
      <c r="C88" s="6" t="s">
        <v>31</v>
      </c>
      <c r="D88" s="6">
        <v>0.20300000000000001</v>
      </c>
      <c r="E88" s="6" t="s">
        <v>8</v>
      </c>
      <c r="F88" s="6" t="s">
        <v>26</v>
      </c>
      <c r="G88" s="6" t="s">
        <v>27</v>
      </c>
      <c r="J88" s="6" t="s">
        <v>28</v>
      </c>
    </row>
    <row r="89" spans="1:10" x14ac:dyDescent="0.35">
      <c r="A89" s="6" t="s">
        <v>121</v>
      </c>
      <c r="B89" s="6" t="s">
        <v>122</v>
      </c>
      <c r="C89" s="6" t="s">
        <v>34</v>
      </c>
      <c r="D89" s="6">
        <v>0.60799999999999998</v>
      </c>
      <c r="E89" s="6" t="s">
        <v>8</v>
      </c>
      <c r="F89" s="6" t="s">
        <v>26</v>
      </c>
      <c r="G89" s="6" t="s">
        <v>27</v>
      </c>
      <c r="J89" s="6" t="s">
        <v>28</v>
      </c>
    </row>
    <row r="90" spans="1:10" x14ac:dyDescent="0.35">
      <c r="A90" s="6" t="s">
        <v>123</v>
      </c>
      <c r="B90" s="6" t="s">
        <v>124</v>
      </c>
      <c r="C90" s="6" t="s">
        <v>5</v>
      </c>
      <c r="D90" s="6">
        <v>5.28</v>
      </c>
      <c r="E90" s="6" t="s">
        <v>125</v>
      </c>
      <c r="F90" s="6" t="s">
        <v>26</v>
      </c>
      <c r="G90" s="6" t="s">
        <v>27</v>
      </c>
      <c r="J90" s="6" t="s">
        <v>28</v>
      </c>
    </row>
    <row r="91" spans="1:10" x14ac:dyDescent="0.35">
      <c r="A91" s="6" t="s">
        <v>126</v>
      </c>
      <c r="B91" s="6" t="s">
        <v>127</v>
      </c>
      <c r="C91" s="6" t="s">
        <v>31</v>
      </c>
      <c r="D91" s="6">
        <v>0.93100000000000005</v>
      </c>
      <c r="E91" s="6" t="s">
        <v>125</v>
      </c>
      <c r="F91" s="6" t="s">
        <v>26</v>
      </c>
      <c r="G91" s="6" t="s">
        <v>27</v>
      </c>
      <c r="J91" s="6" t="s">
        <v>28</v>
      </c>
    </row>
    <row r="92" spans="1:10" x14ac:dyDescent="0.35">
      <c r="A92" s="6" t="s">
        <v>74</v>
      </c>
      <c r="D92" s="6">
        <v>0.28499999999999998</v>
      </c>
      <c r="E92" s="6" t="s">
        <v>8</v>
      </c>
      <c r="F92" s="6" t="s">
        <v>59</v>
      </c>
      <c r="G92" s="6" t="s">
        <v>60</v>
      </c>
      <c r="H92" s="6" t="s">
        <v>71</v>
      </c>
      <c r="J92" s="6" t="s">
        <v>28</v>
      </c>
    </row>
    <row r="93" spans="1:10" x14ac:dyDescent="0.35">
      <c r="A93" s="6" t="s">
        <v>70</v>
      </c>
      <c r="D93" s="6">
        <v>7.4999999999999993E-5</v>
      </c>
      <c r="E93" s="6" t="s">
        <v>8</v>
      </c>
      <c r="F93" s="6" t="s">
        <v>59</v>
      </c>
      <c r="G93" s="6" t="s">
        <v>60</v>
      </c>
      <c r="H93" s="6" t="s">
        <v>71</v>
      </c>
      <c r="J93" s="6" t="s">
        <v>28</v>
      </c>
    </row>
    <row r="94" spans="1:10" x14ac:dyDescent="0.35">
      <c r="A94" s="6" t="s">
        <v>72</v>
      </c>
      <c r="D94" s="6">
        <v>3.9199999999999997E-6</v>
      </c>
      <c r="E94" s="6" t="s">
        <v>8</v>
      </c>
      <c r="F94" s="6" t="s">
        <v>59</v>
      </c>
      <c r="G94" s="6" t="s">
        <v>60</v>
      </c>
      <c r="H94" s="6" t="s">
        <v>71</v>
      </c>
      <c r="J94" s="6" t="s">
        <v>28</v>
      </c>
    </row>
    <row r="95" spans="1:10" x14ac:dyDescent="0.35">
      <c r="A95" s="6" t="s">
        <v>73</v>
      </c>
      <c r="D95" s="6">
        <v>3.1499999999999999E-6</v>
      </c>
      <c r="E95" s="6" t="s">
        <v>8</v>
      </c>
      <c r="F95" s="6" t="s">
        <v>59</v>
      </c>
      <c r="G95" s="6" t="s">
        <v>60</v>
      </c>
      <c r="H95" s="6" t="s">
        <v>71</v>
      </c>
      <c r="J95" s="6" t="s">
        <v>28</v>
      </c>
    </row>
    <row r="96" spans="1:10" x14ac:dyDescent="0.35">
      <c r="A96" s="6" t="s">
        <v>78</v>
      </c>
      <c r="D96" s="6">
        <v>3.0000000000000001E-6</v>
      </c>
      <c r="E96" s="6" t="s">
        <v>8</v>
      </c>
      <c r="F96" s="6" t="s">
        <v>59</v>
      </c>
      <c r="G96" s="6" t="s">
        <v>60</v>
      </c>
      <c r="H96" s="6" t="s">
        <v>71</v>
      </c>
      <c r="J96" s="6" t="s">
        <v>28</v>
      </c>
    </row>
    <row r="97" spans="1:10" x14ac:dyDescent="0.35">
      <c r="A97" s="6" t="s">
        <v>80</v>
      </c>
      <c r="D97" s="6">
        <v>8.0400000000000005E-8</v>
      </c>
      <c r="E97" s="6" t="s">
        <v>8</v>
      </c>
      <c r="F97" s="6" t="s">
        <v>59</v>
      </c>
      <c r="G97" s="6" t="s">
        <v>60</v>
      </c>
      <c r="H97" s="6" t="s">
        <v>71</v>
      </c>
      <c r="J97" s="6" t="s">
        <v>28</v>
      </c>
    </row>
    <row r="98" spans="1:10" x14ac:dyDescent="0.35">
      <c r="A98" s="6" t="s">
        <v>82</v>
      </c>
      <c r="D98" s="6">
        <v>1.6000000000000001E-4</v>
      </c>
      <c r="E98" s="6" t="s">
        <v>8</v>
      </c>
      <c r="F98" s="6" t="s">
        <v>59</v>
      </c>
      <c r="G98" s="6" t="s">
        <v>60</v>
      </c>
      <c r="H98" s="6" t="s">
        <v>71</v>
      </c>
      <c r="J98" s="6" t="s">
        <v>28</v>
      </c>
    </row>
    <row r="99" spans="1:10" x14ac:dyDescent="0.35">
      <c r="A99" s="6" t="s">
        <v>83</v>
      </c>
      <c r="D99" s="6">
        <v>4.57E-5</v>
      </c>
      <c r="E99" s="6" t="s">
        <v>8</v>
      </c>
      <c r="F99" s="6" t="s">
        <v>59</v>
      </c>
      <c r="G99" s="6" t="s">
        <v>60</v>
      </c>
      <c r="H99" s="6" t="s">
        <v>71</v>
      </c>
      <c r="J99" s="6" t="s">
        <v>28</v>
      </c>
    </row>
    <row r="100" spans="1:10" x14ac:dyDescent="0.35">
      <c r="A100" s="6" t="s">
        <v>84</v>
      </c>
      <c r="D100" s="6">
        <v>1.1400000000000001E-4</v>
      </c>
      <c r="E100" s="6" t="s">
        <v>8</v>
      </c>
      <c r="F100" s="6" t="s">
        <v>59</v>
      </c>
      <c r="G100" s="6" t="s">
        <v>60</v>
      </c>
      <c r="H100" s="6" t="s">
        <v>71</v>
      </c>
      <c r="J100" s="6" t="s">
        <v>28</v>
      </c>
    </row>
    <row r="101" spans="1:10" x14ac:dyDescent="0.35">
      <c r="A101" s="6" t="s">
        <v>128</v>
      </c>
      <c r="D101" s="6">
        <v>3.1899999999999998E-2</v>
      </c>
      <c r="E101" s="6" t="s">
        <v>8</v>
      </c>
      <c r="F101" s="6" t="s">
        <v>59</v>
      </c>
      <c r="G101" s="6" t="s">
        <v>60</v>
      </c>
      <c r="H101" s="6" t="s">
        <v>71</v>
      </c>
      <c r="J101" s="6" t="s">
        <v>28</v>
      </c>
    </row>
    <row r="102" spans="1:10" x14ac:dyDescent="0.35">
      <c r="A102" s="6" t="s">
        <v>129</v>
      </c>
      <c r="D102" s="6">
        <v>4.8400000000000002E-11</v>
      </c>
      <c r="E102" s="6" t="s">
        <v>8</v>
      </c>
      <c r="F102" s="6" t="s">
        <v>59</v>
      </c>
      <c r="G102" s="6" t="s">
        <v>60</v>
      </c>
      <c r="H102" s="6" t="s">
        <v>71</v>
      </c>
      <c r="J102" s="6" t="s">
        <v>28</v>
      </c>
    </row>
    <row r="103" spans="1:10" x14ac:dyDescent="0.35">
      <c r="A103" s="6" t="s">
        <v>72</v>
      </c>
      <c r="D103" s="6">
        <v>9.6700000000000002E-7</v>
      </c>
      <c r="E103" s="6" t="s">
        <v>8</v>
      </c>
      <c r="F103" s="6" t="s">
        <v>59</v>
      </c>
      <c r="G103" s="6" t="s">
        <v>60</v>
      </c>
      <c r="H103" s="6" t="s">
        <v>92</v>
      </c>
      <c r="J103" s="6" t="s">
        <v>28</v>
      </c>
    </row>
    <row r="104" spans="1:10" x14ac:dyDescent="0.35">
      <c r="A104" s="6" t="s">
        <v>73</v>
      </c>
      <c r="D104" s="6">
        <v>2.5100000000000001E-6</v>
      </c>
      <c r="E104" s="6" t="s">
        <v>8</v>
      </c>
      <c r="F104" s="6" t="s">
        <v>59</v>
      </c>
      <c r="G104" s="6" t="s">
        <v>60</v>
      </c>
      <c r="H104" s="6" t="s">
        <v>92</v>
      </c>
      <c r="J104" s="6" t="s">
        <v>28</v>
      </c>
    </row>
    <row r="105" spans="1:10" x14ac:dyDescent="0.35">
      <c r="A105" s="6" t="s">
        <v>76</v>
      </c>
      <c r="D105" s="6">
        <v>4.8400000000000002E-6</v>
      </c>
      <c r="E105" s="6" t="s">
        <v>8</v>
      </c>
      <c r="F105" s="6" t="s">
        <v>59</v>
      </c>
      <c r="G105" s="6" t="s">
        <v>60</v>
      </c>
      <c r="H105" s="6" t="s">
        <v>92</v>
      </c>
      <c r="J105" s="6" t="s">
        <v>28</v>
      </c>
    </row>
    <row r="106" spans="1:10" x14ac:dyDescent="0.35">
      <c r="A106" s="6" t="s">
        <v>78</v>
      </c>
      <c r="D106" s="6">
        <v>1.7E-6</v>
      </c>
      <c r="E106" s="6" t="s">
        <v>8</v>
      </c>
      <c r="F106" s="6" t="s">
        <v>59</v>
      </c>
      <c r="G106" s="6" t="s">
        <v>60</v>
      </c>
      <c r="H106" s="6" t="s">
        <v>92</v>
      </c>
      <c r="J106" s="6" t="s">
        <v>28</v>
      </c>
    </row>
    <row r="107" spans="1:10" x14ac:dyDescent="0.35">
      <c r="A107" s="6" t="s">
        <v>80</v>
      </c>
      <c r="D107" s="6">
        <v>4.1600000000000002E-8</v>
      </c>
      <c r="E107" s="6" t="s">
        <v>8</v>
      </c>
      <c r="F107" s="6" t="s">
        <v>59</v>
      </c>
      <c r="G107" s="6" t="s">
        <v>60</v>
      </c>
      <c r="H107" s="6" t="s">
        <v>92</v>
      </c>
      <c r="J107" s="6" t="s">
        <v>28</v>
      </c>
    </row>
    <row r="108" spans="1:10" x14ac:dyDescent="0.35">
      <c r="A108" s="6" t="s">
        <v>94</v>
      </c>
      <c r="D108" s="6">
        <v>3.7599999999999998E-4</v>
      </c>
      <c r="E108" s="6" t="s">
        <v>8</v>
      </c>
      <c r="F108" s="6" t="s">
        <v>59</v>
      </c>
      <c r="G108" s="6" t="s">
        <v>60</v>
      </c>
      <c r="H108" s="6" t="s">
        <v>92</v>
      </c>
      <c r="J108" s="6" t="s">
        <v>28</v>
      </c>
    </row>
    <row r="109" spans="1:10" x14ac:dyDescent="0.35">
      <c r="A109" s="6" t="s">
        <v>96</v>
      </c>
      <c r="D109" s="6">
        <v>5.6400000000000005E-4</v>
      </c>
      <c r="E109" s="6" t="s">
        <v>8</v>
      </c>
      <c r="F109" s="6" t="s">
        <v>59</v>
      </c>
      <c r="G109" s="6" t="s">
        <v>60</v>
      </c>
      <c r="H109" s="6" t="s">
        <v>92</v>
      </c>
      <c r="J109" s="6" t="s">
        <v>28</v>
      </c>
    </row>
    <row r="110" spans="1:10" x14ac:dyDescent="0.35">
      <c r="A110" s="6" t="s">
        <v>98</v>
      </c>
      <c r="D110" s="6">
        <v>2.2000000000000001E-4</v>
      </c>
      <c r="E110" s="6" t="s">
        <v>8</v>
      </c>
      <c r="F110" s="6" t="s">
        <v>59</v>
      </c>
      <c r="G110" s="6" t="s">
        <v>60</v>
      </c>
      <c r="H110" s="6" t="s">
        <v>92</v>
      </c>
      <c r="J110" s="6" t="s">
        <v>28</v>
      </c>
    </row>
    <row r="111" spans="1:10" x14ac:dyDescent="0.35">
      <c r="A111" s="6" t="s">
        <v>104</v>
      </c>
      <c r="D111" s="6">
        <v>2.2000000000000001E-4</v>
      </c>
      <c r="E111" s="6" t="s">
        <v>8</v>
      </c>
      <c r="F111" s="6" t="s">
        <v>59</v>
      </c>
      <c r="G111" s="6" t="s">
        <v>60</v>
      </c>
      <c r="H111" s="6" t="s">
        <v>92</v>
      </c>
      <c r="J111" s="6" t="s">
        <v>28</v>
      </c>
    </row>
    <row r="112" spans="1:10" s="11" customFormat="1" x14ac:dyDescent="0.35"/>
    <row r="113" spans="1:14" x14ac:dyDescent="0.35">
      <c r="A113" s="7" t="s">
        <v>0</v>
      </c>
      <c r="B113" s="7" t="s">
        <v>130</v>
      </c>
    </row>
    <row r="114" spans="1:14" x14ac:dyDescent="0.35">
      <c r="A114" s="8" t="s">
        <v>2</v>
      </c>
      <c r="B114" s="6" t="s">
        <v>106</v>
      </c>
    </row>
    <row r="115" spans="1:14" x14ac:dyDescent="0.35">
      <c r="A115" s="8" t="s">
        <v>4</v>
      </c>
      <c r="B115" s="6" t="s">
        <v>5</v>
      </c>
    </row>
    <row r="116" spans="1:14" x14ac:dyDescent="0.35">
      <c r="A116" s="8" t="s">
        <v>6</v>
      </c>
      <c r="B116" s="6">
        <v>1</v>
      </c>
    </row>
    <row r="117" spans="1:14" x14ac:dyDescent="0.35">
      <c r="A117" s="8" t="s">
        <v>7</v>
      </c>
      <c r="B117" s="6" t="s">
        <v>8</v>
      </c>
    </row>
    <row r="118" spans="1:14" x14ac:dyDescent="0.35">
      <c r="A118" s="8" t="s">
        <v>9</v>
      </c>
      <c r="B118" s="6" t="s">
        <v>10</v>
      </c>
    </row>
    <row r="119" spans="1:14" x14ac:dyDescent="0.35">
      <c r="A119" s="8" t="s">
        <v>11</v>
      </c>
    </row>
    <row r="120" spans="1:14" x14ac:dyDescent="0.35">
      <c r="A120" s="7" t="s">
        <v>12</v>
      </c>
      <c r="B120" s="7" t="s">
        <v>2</v>
      </c>
      <c r="C120" s="7" t="s">
        <v>4</v>
      </c>
      <c r="D120" s="7" t="s">
        <v>6</v>
      </c>
      <c r="E120" s="7" t="s">
        <v>7</v>
      </c>
      <c r="F120" s="7" t="s">
        <v>13</v>
      </c>
      <c r="G120" s="7" t="s">
        <v>14</v>
      </c>
      <c r="H120" s="7" t="s">
        <v>15</v>
      </c>
      <c r="I120" s="7" t="s">
        <v>16</v>
      </c>
      <c r="J120" s="7" t="s">
        <v>17</v>
      </c>
      <c r="K120" s="7" t="s">
        <v>18</v>
      </c>
      <c r="L120" s="7" t="s">
        <v>19</v>
      </c>
      <c r="M120" s="7" t="s">
        <v>20</v>
      </c>
      <c r="N120" s="7" t="s">
        <v>21</v>
      </c>
    </row>
    <row r="121" spans="1:14" x14ac:dyDescent="0.35">
      <c r="A121" s="6" t="str">
        <f>B113</f>
        <v>Stibnite ore mining and Sb production in China</v>
      </c>
      <c r="B121" s="6" t="str">
        <f>B114</f>
        <v>Refined Sb</v>
      </c>
      <c r="C121" s="6" t="str">
        <f>B115</f>
        <v>CN</v>
      </c>
      <c r="D121" s="6">
        <v>1</v>
      </c>
      <c r="E121" s="6" t="s">
        <v>8</v>
      </c>
      <c r="F121" s="9" t="str">
        <f>F79</f>
        <v>Antimony</v>
      </c>
      <c r="G121" s="6" t="s">
        <v>22</v>
      </c>
    </row>
    <row r="122" spans="1:14" x14ac:dyDescent="0.35">
      <c r="A122" s="6" t="str">
        <f>A79</f>
        <v>[P+R] Refined Antimony (Sb) production</v>
      </c>
      <c r="B122" s="6" t="str">
        <f>B79</f>
        <v>Refined Sb</v>
      </c>
      <c r="C122" s="6" t="str">
        <f>C79</f>
        <v>CN</v>
      </c>
      <c r="D122" s="6">
        <v>1</v>
      </c>
      <c r="E122" s="6" t="str">
        <f>E79</f>
        <v>kilogram</v>
      </c>
      <c r="F122" s="9" t="str">
        <f>F79</f>
        <v>Antimony</v>
      </c>
      <c r="G122" s="6" t="s">
        <v>27</v>
      </c>
    </row>
    <row r="123" spans="1:14" x14ac:dyDescent="0.35">
      <c r="A123" s="6" t="str">
        <f>A9</f>
        <v>[M+C] Stibnite ore mining and concentration</v>
      </c>
      <c r="B123" s="6" t="str">
        <f>B9</f>
        <v>Stibnite concentrate</v>
      </c>
      <c r="C123" s="6" t="str">
        <f>C9</f>
        <v>CN</v>
      </c>
      <c r="D123" s="6">
        <v>1.79</v>
      </c>
      <c r="E123" s="6" t="str">
        <f>E9</f>
        <v>kilogram</v>
      </c>
      <c r="F123" s="9" t="str">
        <f>F9</f>
        <v>Antimony</v>
      </c>
      <c r="G123" s="6" t="s">
        <v>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41122952C13D46BBBC92EEAE11CF32" ma:contentTypeVersion="13" ma:contentTypeDescription="Crée un document." ma:contentTypeScope="" ma:versionID="d96b5fa62e5213e7d24e66b2bac0c378">
  <xsd:schema xmlns:xsd="http://www.w3.org/2001/XMLSchema" xmlns:xs="http://www.w3.org/2001/XMLSchema" xmlns:p="http://schemas.microsoft.com/office/2006/metadata/properties" xmlns:ns2="d78c010b-218d-4be4-b2d9-423b1f51aae5" xmlns:ns3="adc0c41a-12c1-4165-8422-5f5ca88e9f6a" targetNamespace="http://schemas.microsoft.com/office/2006/metadata/properties" ma:root="true" ma:fieldsID="c2e8fc9a9c70fab2c0f7259df75af726" ns2:_="" ns3:_="">
    <xsd:import namespace="d78c010b-218d-4be4-b2d9-423b1f51aae5"/>
    <xsd:import namespace="adc0c41a-12c1-4165-8422-5f5ca88e9f6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8c010b-218d-4be4-b2d9-423b1f51aa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dd53d8bb-88b5-477e-9788-ab5cb1008ff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0c41a-12c1-4165-8422-5f5ca88e9f6a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8ce134-c725-4f6f-a6f6-5df0359a5c7e}" ma:internalName="TaxCatchAll" ma:showField="CatchAllData" ma:web="adc0c41a-12c1-4165-8422-5f5ca88e9f6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78c010b-218d-4be4-b2d9-423b1f51aae5">
      <Terms xmlns="http://schemas.microsoft.com/office/infopath/2007/PartnerControls"/>
    </lcf76f155ced4ddcb4097134ff3c332f>
    <TaxCatchAll xmlns="adc0c41a-12c1-4165-8422-5f5ca88e9f6a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A543B29-418F-4E8A-93CA-25181CB052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8c010b-218d-4be4-b2d9-423b1f51aae5"/>
    <ds:schemaRef ds:uri="adc0c41a-12c1-4165-8422-5f5ca88e9f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640D0B6-3B36-4941-81ED-E428B0AA4DEA}">
  <ds:schemaRefs>
    <ds:schemaRef ds:uri="http://schemas.microsoft.com/office/2006/metadata/properties"/>
    <ds:schemaRef ds:uri="http://schemas.microsoft.com/office/infopath/2007/PartnerControls"/>
    <ds:schemaRef ds:uri="d78c010b-218d-4be4-b2d9-423b1f51aae5"/>
    <ds:schemaRef ds:uri="adc0c41a-12c1-4165-8422-5f5ca88e9f6a"/>
  </ds:schemaRefs>
</ds:datastoreItem>
</file>

<file path=customXml/itemProps3.xml><?xml version="1.0" encoding="utf-8"?>
<ds:datastoreItem xmlns:ds="http://schemas.openxmlformats.org/officeDocument/2006/customXml" ds:itemID="{9982CF8B-078F-4384-8E8A-FAFC1320EF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Note</vt:lpstr>
      <vt:lpstr>Sb_Market_GLO</vt:lpstr>
      <vt:lpstr>PR1_Sb_CN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 Frederic</cp:lastModifiedBy>
  <dcterms:created xsi:type="dcterms:W3CDTF">2015-06-05T18:19:34Z</dcterms:created>
  <dcterms:modified xsi:type="dcterms:W3CDTF">2025-05-14T07:41:42Z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0x0101004741122952C13D46BBBC92EEAE11CF32</vt:lpwstr>
  </property>
  <property fmtid="{D5CDD505-2E9C-101B-9397-08002B2CF9AE}" pid="3" name="MediaServiceImageTags">
    <vt:lpwstr/>
  </property>
</Properties>
</file>