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Pb_Lead/"/>
    </mc:Choice>
  </mc:AlternateContent>
  <xr:revisionPtr revIDLastSave="2" documentId="8_{B54C74C2-A033-46C7-8954-DD39D3190213}" xr6:coauthVersionLast="47" xr6:coauthVersionMax="47" xr10:uidLastSave="{F282C602-BCB2-4506-A5D2-72D0E522B8B8}"/>
  <bookViews>
    <workbookView xWindow="-23148" yWindow="-108" windowWidth="23256" windowHeight="12576" tabRatio="768" firstSheet="3" activeTab="8" xr2:uid="{00000000-000D-0000-FFFF-FFFF00000000}"/>
  </bookViews>
  <sheets>
    <sheet name="Note" sheetId="1" r:id="rId1"/>
    <sheet name="Pb_Market_GLO" sheetId="7" r:id="rId2"/>
    <sheet name="PR1_Pb_CN_Jiangxi" sheetId="15" r:id="rId3"/>
    <sheet name="PR2_Pb_CN_South" sheetId="16" r:id="rId4"/>
    <sheet name="PR3_Pb_CN_Anhui_Recycling" sheetId="17" r:id="rId5"/>
    <sheet name="PR4_Pb_CN_Guangdong" sheetId="18" r:id="rId6"/>
    <sheet name="PR5_Pb_CN_Smelting" sheetId="12" r:id="rId7"/>
    <sheet name="PR6_Pb_RoW" sheetId="14" r:id="rId8"/>
    <sheet name="PR7_Pb_SE_Pyro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16" l="1"/>
  <c r="C73" i="16"/>
  <c r="A73" i="16"/>
  <c r="B18" i="7"/>
  <c r="C18" i="7"/>
  <c r="E18" i="7"/>
  <c r="F18" i="7"/>
  <c r="A18" i="7"/>
  <c r="F9" i="20"/>
  <c r="F60" i="20" s="1"/>
  <c r="F143" i="20" s="1"/>
  <c r="F144" i="20"/>
  <c r="E144" i="20"/>
  <c r="C144" i="20"/>
  <c r="E143" i="20"/>
  <c r="C143" i="20"/>
  <c r="B142" i="20"/>
  <c r="A142" i="20"/>
  <c r="B60" i="20"/>
  <c r="B143" i="20" s="1"/>
  <c r="A60" i="20"/>
  <c r="A143" i="20" s="1"/>
  <c r="B9" i="20"/>
  <c r="B144" i="20" s="1"/>
  <c r="A9" i="20"/>
  <c r="A144" i="20" s="1"/>
  <c r="F142" i="20" l="1"/>
  <c r="C56" i="18" l="1"/>
  <c r="C17" i="7" l="1"/>
  <c r="E17" i="7"/>
  <c r="F9" i="14"/>
  <c r="F31" i="14" s="1"/>
  <c r="F55" i="14" s="1"/>
  <c r="F17" i="7" s="1"/>
  <c r="C16" i="7"/>
  <c r="E16" i="7"/>
  <c r="F9" i="12"/>
  <c r="F72" i="12" s="1"/>
  <c r="F137" i="12" s="1"/>
  <c r="F16" i="7" s="1"/>
  <c r="C15" i="7"/>
  <c r="E15" i="7"/>
  <c r="F9" i="18"/>
  <c r="F56" i="18" s="1"/>
  <c r="F15" i="7" s="1"/>
  <c r="B14" i="7"/>
  <c r="C14" i="7"/>
  <c r="E14" i="7"/>
  <c r="F14" i="7"/>
  <c r="A14" i="7"/>
  <c r="F47" i="17"/>
  <c r="F9" i="17"/>
  <c r="B13" i="7"/>
  <c r="C13" i="7"/>
  <c r="E13" i="7"/>
  <c r="A13" i="7"/>
  <c r="F9" i="16"/>
  <c r="F33" i="16" s="1"/>
  <c r="F54" i="16" s="1"/>
  <c r="F69" i="16" s="1"/>
  <c r="F13" i="7" s="1"/>
  <c r="B12" i="7"/>
  <c r="C12" i="7"/>
  <c r="E12" i="7"/>
  <c r="A12" i="7"/>
  <c r="F9" i="15"/>
  <c r="F73" i="16" s="1"/>
  <c r="F38" i="15" l="1"/>
  <c r="F84" i="15" s="1"/>
  <c r="F12" i="7" s="1"/>
  <c r="G60" i="18"/>
  <c r="G59" i="18"/>
  <c r="G58" i="18"/>
  <c r="C57" i="18"/>
  <c r="E57" i="18"/>
  <c r="F57" i="18"/>
  <c r="A57" i="18"/>
  <c r="B56" i="18"/>
  <c r="B15" i="7" s="1"/>
  <c r="A56" i="18"/>
  <c r="A15" i="7" s="1"/>
  <c r="B9" i="18"/>
  <c r="B57" i="18" s="1"/>
  <c r="A9" i="18"/>
  <c r="F48" i="17" l="1"/>
  <c r="E48" i="17"/>
  <c r="D48" i="17"/>
  <c r="C48" i="17"/>
  <c r="B48" i="17"/>
  <c r="A48" i="17"/>
  <c r="F72" i="16"/>
  <c r="F60" i="18" s="1"/>
  <c r="E72" i="16"/>
  <c r="E60" i="18" s="1"/>
  <c r="C72" i="16"/>
  <c r="C60" i="18" s="1"/>
  <c r="B72" i="16"/>
  <c r="B60" i="18" s="1"/>
  <c r="A72" i="16"/>
  <c r="A60" i="18" s="1"/>
  <c r="F71" i="16"/>
  <c r="F59" i="18" s="1"/>
  <c r="E71" i="16"/>
  <c r="E59" i="18" s="1"/>
  <c r="C71" i="16"/>
  <c r="C59" i="18" s="1"/>
  <c r="B71" i="16"/>
  <c r="B59" i="18" s="1"/>
  <c r="A71" i="16"/>
  <c r="A59" i="18" s="1"/>
  <c r="F70" i="16"/>
  <c r="F58" i="18" s="1"/>
  <c r="E70" i="16"/>
  <c r="E58" i="18" s="1"/>
  <c r="C70" i="16"/>
  <c r="C58" i="18" s="1"/>
  <c r="B70" i="16"/>
  <c r="B58" i="18" s="1"/>
  <c r="A70" i="16"/>
  <c r="A58" i="18" s="1"/>
  <c r="F86" i="15"/>
  <c r="E86" i="15"/>
  <c r="C86" i="15"/>
  <c r="B86" i="15"/>
  <c r="A86" i="15"/>
  <c r="F85" i="15"/>
  <c r="E85" i="15"/>
  <c r="D85" i="15"/>
  <c r="C85" i="15"/>
  <c r="B85" i="15"/>
  <c r="A85" i="15"/>
  <c r="F56" i="14"/>
  <c r="F57" i="14"/>
  <c r="F138" i="12"/>
  <c r="B55" i="14"/>
  <c r="B17" i="7" s="1"/>
  <c r="A55" i="14"/>
  <c r="A17" i="7" s="1"/>
  <c r="B31" i="14"/>
  <c r="B56" i="14" s="1"/>
  <c r="A31" i="14"/>
  <c r="A56" i="14" s="1"/>
  <c r="E57" i="14"/>
  <c r="C57" i="14"/>
  <c r="B57" i="14"/>
  <c r="A57" i="14"/>
  <c r="E56" i="14"/>
  <c r="C56" i="14"/>
  <c r="B137" i="12"/>
  <c r="B16" i="7" s="1"/>
  <c r="A137" i="12"/>
  <c r="A16" i="7" s="1"/>
  <c r="B72" i="12"/>
  <c r="B138" i="12" s="1"/>
  <c r="E139" i="12"/>
  <c r="C139" i="12"/>
  <c r="B139" i="12"/>
  <c r="E138" i="12"/>
  <c r="C138" i="12"/>
  <c r="A72" i="12"/>
  <c r="A138" i="12" s="1"/>
  <c r="F139" i="12"/>
  <c r="A9" i="12"/>
  <c r="A139" i="12" s="1"/>
  <c r="F11" i="7"/>
  <c r="E11" i="7"/>
  <c r="C11" i="7"/>
  <c r="B11" i="7"/>
  <c r="A11" i="7"/>
</calcChain>
</file>

<file path=xl/sharedStrings.xml><?xml version="1.0" encoding="utf-8"?>
<sst xmlns="http://schemas.openxmlformats.org/spreadsheetml/2006/main" count="3242" uniqueCount="364">
  <si>
    <t>Activity</t>
  </si>
  <si>
    <t>reference product</t>
  </si>
  <si>
    <t>Zn concentrate</t>
  </si>
  <si>
    <t>location</t>
  </si>
  <si>
    <t>CN</t>
  </si>
  <si>
    <t>amount</t>
  </si>
  <si>
    <t>unit</t>
  </si>
  <si>
    <t>kilogram</t>
  </si>
  <si>
    <t>comment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</si>
  <si>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</si>
  <si>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</si>
  <si>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</si>
  <si>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</si>
  <si>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</si>
  <si>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</si>
  <si>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</si>
  <si>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</si>
  <si>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</si>
  <si>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</si>
  <si>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</si>
  <si>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</si>
  <si>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explosive, tovex</t>
  </si>
  <si>
    <t>explosive, tovex</t>
  </si>
  <si>
    <t>GLO</t>
  </si>
  <si>
    <t>ecoinvent 3.10 cutoff</t>
  </si>
  <si>
    <t>technosphere</t>
  </si>
  <si>
    <t>market for sodium ethyl xanthate</t>
  </si>
  <si>
    <t>sodium ethyl xanthate</t>
  </si>
  <si>
    <t>market for lime, packed</t>
  </si>
  <si>
    <t>lime, packed</t>
  </si>
  <si>
    <t>RoW</t>
  </si>
  <si>
    <t>market for copper sulfate</t>
  </si>
  <si>
    <t>copper sulfate</t>
  </si>
  <si>
    <t>market for diesel, burned in building machine</t>
  </si>
  <si>
    <t>diesel, burned in building machine</t>
  </si>
  <si>
    <t>megajoule</t>
  </si>
  <si>
    <t>market group for electricity, medium voltage</t>
  </si>
  <si>
    <t>electricity, medium voltage</t>
  </si>
  <si>
    <t>kilowatt hour</t>
  </si>
  <si>
    <t>cubic meter</t>
  </si>
  <si>
    <t>Zinc</t>
  </si>
  <si>
    <t>biosphere3</t>
  </si>
  <si>
    <t>biosphere</t>
  </si>
  <si>
    <t>natural resource::in ground</t>
  </si>
  <si>
    <t>Water, unspecified natural origin</t>
  </si>
  <si>
    <t>natural resource::land</t>
  </si>
  <si>
    <t>market for natural gas, high pressure</t>
  </si>
  <si>
    <t>natural gas, high pressure</t>
  </si>
  <si>
    <t>market for zinc</t>
  </si>
  <si>
    <t>zinc</t>
  </si>
  <si>
    <t>market for zinc oxide</t>
  </si>
  <si>
    <t>zinc oxide</t>
  </si>
  <si>
    <t>market for transport, freight, lorry, unspecified</t>
  </si>
  <si>
    <t>transport, freight, lorry, unspecified</t>
  </si>
  <si>
    <t>ton kilometer</t>
  </si>
  <si>
    <t>Sulfur dioxide</t>
  </si>
  <si>
    <t>air</t>
  </si>
  <si>
    <t>Sulfuric acid</t>
  </si>
  <si>
    <t>Lead II</t>
  </si>
  <si>
    <t>Mercury II</t>
  </si>
  <si>
    <t>Particulate Matter, &gt; 2.5 um and &lt; 10um</t>
  </si>
  <si>
    <t>COD, Chemical Oxygen Demand</t>
  </si>
  <si>
    <t>water</t>
  </si>
  <si>
    <t>Suspended solids, unspecified</t>
  </si>
  <si>
    <t>Nitrogen</t>
  </si>
  <si>
    <t>Phosphorus</t>
  </si>
  <si>
    <t>Zinc II</t>
  </si>
  <si>
    <t>Copper ion</t>
  </si>
  <si>
    <t>Sulfide</t>
  </si>
  <si>
    <t>Fluoride</t>
  </si>
  <si>
    <t>Chromium III</t>
  </si>
  <si>
    <t>Arsenic ion</t>
  </si>
  <si>
    <t>Nickel II</t>
  </si>
  <si>
    <t>Cadmium II</t>
  </si>
  <si>
    <t>n/a</t>
  </si>
  <si>
    <t>market for steel, low-alloyed</t>
  </si>
  <si>
    <t>steel, low-alloyed</t>
  </si>
  <si>
    <t>market for chemical, inorganic</t>
  </si>
  <si>
    <t>chemical, inorganic</t>
  </si>
  <si>
    <t>market for coke</t>
  </si>
  <si>
    <t>coke</t>
  </si>
  <si>
    <t>market for hazardous waste, for underground deposit</t>
  </si>
  <si>
    <t>hazardous waste, for underground deposit</t>
  </si>
  <si>
    <t>Nitrogen oxides</t>
  </si>
  <si>
    <t>[M+C] Zinc (Zn) ore mining and concentration (Guangdong)</t>
  </si>
  <si>
    <t>(1,1,2,1,1)</t>
  </si>
  <si>
    <t>market for heat, district or industrial, other than natural gas</t>
  </si>
  <si>
    <t>heat, district or industrial, other than natural gas</t>
  </si>
  <si>
    <t>market for polymer foaming</t>
  </si>
  <si>
    <t>polymer foaming</t>
  </si>
  <si>
    <t>market for synthetic rubber</t>
  </si>
  <si>
    <t>synthetic rubber</t>
  </si>
  <si>
    <t>market for particleboard, uncoated</t>
  </si>
  <si>
    <t>particleboard, uncoated</t>
  </si>
  <si>
    <t>market for [thio]carbamate-compound</t>
  </si>
  <si>
    <t>[thio]carbamate-compound</t>
  </si>
  <si>
    <t>market for sulfuric acid</t>
  </si>
  <si>
    <t>sulfuric acid</t>
  </si>
  <si>
    <t>market for chemical, organic</t>
  </si>
  <si>
    <t>chemical, organic</t>
  </si>
  <si>
    <t>market for tap water</t>
  </si>
  <si>
    <t>tap water</t>
  </si>
  <si>
    <t>market for scrap steel</t>
  </si>
  <si>
    <t>scrap steel</t>
  </si>
  <si>
    <t>market for waste rubber, unspecified</t>
  </si>
  <si>
    <t>waste rubber, unspecified</t>
  </si>
  <si>
    <t>market for sulfidic tailings, from zinc-lead mine operation</t>
  </si>
  <si>
    <t>sulfidic tailings, from zinc-lead mine operation</t>
  </si>
  <si>
    <t>market for transport, freight, lorry 16-32 metric ton, EURO5</t>
  </si>
  <si>
    <t>transport, freight, lorry 16-32 metric ton, EURO5</t>
  </si>
  <si>
    <t>Lead</t>
  </si>
  <si>
    <t>Sulfur</t>
  </si>
  <si>
    <t>Iron</t>
  </si>
  <si>
    <t>Silver</t>
  </si>
  <si>
    <t>Gold</t>
  </si>
  <si>
    <t>Carbon dioxide, non-fossil</t>
  </si>
  <si>
    <t>Carbon monoxide, non-fossil</t>
  </si>
  <si>
    <t>Hydrocarbons, aromatic</t>
  </si>
  <si>
    <t>[M+C] Zinc (Zn) ore mining and concentration</t>
  </si>
  <si>
    <t>(2,1,2,2,2)</t>
  </si>
  <si>
    <t>market for charcoal</t>
  </si>
  <si>
    <t>charcoal</t>
  </si>
  <si>
    <t>market for limestone, crushed, washed</t>
  </si>
  <si>
    <t>limestone, crushed, washed</t>
  </si>
  <si>
    <t>market for transport, freight, conveyor belt</t>
  </si>
  <si>
    <t>transport, freight, conveyor belt</t>
  </si>
  <si>
    <t>market for municipal solid waste</t>
  </si>
  <si>
    <t>municipal solid waste</t>
  </si>
  <si>
    <t>(3,1,2,1,1)</t>
  </si>
  <si>
    <t>Occupation, mineral extraction site</t>
  </si>
  <si>
    <t>square meter-year</t>
  </si>
  <si>
    <t>Ammonia</t>
  </si>
  <si>
    <t>Hydrogen sulfide</t>
  </si>
  <si>
    <t>Ammonium</t>
  </si>
  <si>
    <t>soil</t>
  </si>
  <si>
    <t>Chromium VI</t>
  </si>
  <si>
    <t>Barium II</t>
  </si>
  <si>
    <t>Silver I</t>
  </si>
  <si>
    <t>Selenium IV</t>
  </si>
  <si>
    <t>Calcium cyanamide</t>
  </si>
  <si>
    <t>Mineral oil</t>
  </si>
  <si>
    <t>(2,1,2,1,1)</t>
  </si>
  <si>
    <t>market for oxygen, liquid</t>
  </si>
  <si>
    <t>oxygen, liquid</t>
  </si>
  <si>
    <t>market for silica sand</t>
  </si>
  <si>
    <t>silica sand</t>
  </si>
  <si>
    <t>market for sulfur</t>
  </si>
  <si>
    <t>sulfur</t>
  </si>
  <si>
    <t>market for fluosilicic acid, without water, in 22% solution state</t>
  </si>
  <si>
    <t>fluosilicic acid, without water, in 22% solution state</t>
  </si>
  <si>
    <t>Antimony ion</t>
  </si>
  <si>
    <t>Tin ion</t>
  </si>
  <si>
    <t>Beryllium II</t>
  </si>
  <si>
    <t>(1,1,5,1,1)</t>
  </si>
  <si>
    <t>heat production, heavy fuel oil, at industrial furnace 1MW</t>
  </si>
  <si>
    <t>Carbon dioxide, fossil</t>
  </si>
  <si>
    <t>Particulate Matter, &gt; 10 um</t>
  </si>
  <si>
    <t>Sulfur oxides</t>
  </si>
  <si>
    <t>Particulate Matter, &lt; 2.5 um</t>
  </si>
  <si>
    <t>Pb/Zn ore mining and Pb/Zn production in Canada/Peru/Chile/the US</t>
  </si>
  <si>
    <t>[M+C] Zinc (Zn) ore mining and concentration (for Smelting)</t>
  </si>
  <si>
    <t>[P+R] Refined Lead (Pb) production - Smelting</t>
  </si>
  <si>
    <t>Refined Pb</t>
  </si>
  <si>
    <t>Pb recovery from Zn ore mining and Zn production in China through Smelting</t>
  </si>
  <si>
    <t>[P+R] Refined Lead (Pb) production</t>
  </si>
  <si>
    <t>Lead (Pb) global market</t>
  </si>
  <si>
    <t>[M+C] Lead (Pb) ore mining and concentration (Jiangxi)</t>
  </si>
  <si>
    <t>Pb concentrate</t>
  </si>
  <si>
    <t>(1,5,3,1,1)</t>
  </si>
  <si>
    <t>market for carbon black</t>
  </si>
  <si>
    <t>carbon black</t>
  </si>
  <si>
    <t>(2,5,3,1,1)</t>
  </si>
  <si>
    <t>market for light fuel oil</t>
  </si>
  <si>
    <t>light fuel oil</t>
  </si>
  <si>
    <t>market for aniline</t>
  </si>
  <si>
    <t>aniline</t>
  </si>
  <si>
    <t>market for zinc monosulfate</t>
  </si>
  <si>
    <t>zinc monosulfate</t>
  </si>
  <si>
    <t>market for sodium sulfite</t>
  </si>
  <si>
    <t>sodium sulfite</t>
  </si>
  <si>
    <t>market for sodium sulfate, anhydrite</t>
  </si>
  <si>
    <t>sodium sulfate, anhydrite</t>
  </si>
  <si>
    <t>market for activated carbon, granular</t>
  </si>
  <si>
    <t>activated carbon, granular</t>
  </si>
  <si>
    <t>market for potato starch</t>
  </si>
  <si>
    <t>potato starch</t>
  </si>
  <si>
    <t>(2,5,3,1,2)</t>
  </si>
  <si>
    <t>market for inert waste, for final disposal</t>
  </si>
  <si>
    <t>inert waste, for final disposal</t>
  </si>
  <si>
    <t>Transformation, from unspecified</t>
  </si>
  <si>
    <t>square meter</t>
  </si>
  <si>
    <t>Transformation, to mineral extraction site</t>
  </si>
  <si>
    <t>[P+R] Refined Pb production - Pyrometallurgy (Jiangxi)</t>
  </si>
  <si>
    <t>market for hard coal</t>
  </si>
  <si>
    <t>hard coal</t>
  </si>
  <si>
    <t>market for hard coal briquettes</t>
  </si>
  <si>
    <t>hard coal briquettes</t>
  </si>
  <si>
    <t>(2,5,3,5,5)</t>
  </si>
  <si>
    <t>market for wastewater, average</t>
  </si>
  <si>
    <t>wastewater, average</t>
  </si>
  <si>
    <t>Oxygen</t>
  </si>
  <si>
    <t>Pb ore mining and refining in China/Jiangxi</t>
  </si>
  <si>
    <t>[P+R] Crude Lead (Pb) production - Smelting</t>
  </si>
  <si>
    <t>Crude Pb</t>
  </si>
  <si>
    <t>(1,5,1,1,1)</t>
  </si>
  <si>
    <t>market for silver, unrefined</t>
  </si>
  <si>
    <t>silver, unrefined</t>
  </si>
  <si>
    <t>market for compressed air, 800 kPa gauge</t>
  </si>
  <si>
    <t>compressed air, 800 kPa gauge</t>
  </si>
  <si>
    <t>market for nitric acid, without water, in 50% solution state</t>
  </si>
  <si>
    <t>nitric acid, without water, in 50% solution state</t>
  </si>
  <si>
    <t>market for hydrochloric acid, without water, in 30% solution state</t>
  </si>
  <si>
    <t>hydrochloric acid, without water, in 30% solution state</t>
  </si>
  <si>
    <t>[P+R] Refined Pb production - Refining</t>
  </si>
  <si>
    <t>market for lead</t>
  </si>
  <si>
    <t>lead</t>
  </si>
  <si>
    <t>market for adhesive, for metal</t>
  </si>
  <si>
    <t>adhesive, for metal</t>
  </si>
  <si>
    <t>market for sodium cumenesulphonate</t>
  </si>
  <si>
    <t>sodium cumenesulphonate</t>
  </si>
  <si>
    <t>market for lead smelter slag</t>
  </si>
  <si>
    <t>lead smelter slag</t>
  </si>
  <si>
    <t>Effluent treatment</t>
  </si>
  <si>
    <t>Effluent</t>
  </si>
  <si>
    <t>market for sodium hydroxide, without water, in 50% solution state</t>
  </si>
  <si>
    <t>sodium hydroxide, without water, in 50% solution state</t>
  </si>
  <si>
    <t>Pb refining from South China</t>
  </si>
  <si>
    <t>[P+R] Lead (Pb) scraps recycling</t>
  </si>
  <si>
    <t>(2,5,3,2,2)</t>
  </si>
  <si>
    <t>market for soda ash, dense</t>
  </si>
  <si>
    <t>soda ash, dense</t>
  </si>
  <si>
    <t>(1,5,3,5,5)</t>
  </si>
  <si>
    <t>market for iron scrap, unsorted</t>
  </si>
  <si>
    <t>iron scrap, unsorted</t>
  </si>
  <si>
    <t>(1,5,3,2,1)</t>
  </si>
  <si>
    <t>market for sodium nitrate</t>
  </si>
  <si>
    <t>sodium nitrate</t>
  </si>
  <si>
    <t>(1,5,3,3,1)</t>
  </si>
  <si>
    <t>market for lime, hydrated, packed</t>
  </si>
  <si>
    <t>lime, hydrated, packed</t>
  </si>
  <si>
    <t>market for polyacrylamide</t>
  </si>
  <si>
    <t>polyacrylamide</t>
  </si>
  <si>
    <t>market for phosphate rock, beneficiated</t>
  </si>
  <si>
    <t>phosphate rock, beneficiated</t>
  </si>
  <si>
    <t>treatment of lead smelter slag, residual material landfill</t>
  </si>
  <si>
    <t>Pb production in China/Anhui through Pb scraps recycling</t>
  </si>
  <si>
    <t>Lead (Pb) concentrate</t>
  </si>
  <si>
    <t>Pb ore recovery from Zn ore mining in China/Guangdong</t>
  </si>
  <si>
    <t>market for sulfur trioxide</t>
  </si>
  <si>
    <t>sulfur trioxide</t>
  </si>
  <si>
    <r>
      <t xml:space="preserve">In the absence of detailed mass balance for this intermediary product, the reference flow of this unit process is set by default at 1 kg, while the input and ouput flows of the inventory are actually scaled to </t>
    </r>
    <r>
      <rPr>
        <b/>
        <sz val="11"/>
        <rFont val="Calibri"/>
        <family val="2"/>
        <scheme val="minor"/>
      </rPr>
      <t>1 kg of refined Pb</t>
    </r>
    <r>
      <rPr>
        <sz val="11"/>
        <rFont val="Calibri"/>
        <family val="2"/>
        <scheme val="minor"/>
      </rPr>
      <t>.</t>
    </r>
  </si>
  <si>
    <r>
      <t xml:space="preserve">Applied AF: "Zn concentrate" input = </t>
    </r>
    <r>
      <rPr>
        <b/>
        <sz val="11"/>
        <color theme="5"/>
        <rFont val="Calibri"/>
        <family val="2"/>
        <scheme val="minor"/>
      </rPr>
      <t>46%</t>
    </r>
    <r>
      <rPr>
        <sz val="11"/>
        <color theme="5"/>
        <rFont val="Calibri"/>
        <family val="2"/>
        <scheme val="minor"/>
      </rPr>
      <t>.</t>
    </r>
  </si>
  <si>
    <r>
      <t xml:space="preserve">Applied AF: "Zn concentrate" input = </t>
    </r>
    <r>
      <rPr>
        <b/>
        <sz val="11"/>
        <color theme="5"/>
        <rFont val="Calibri"/>
        <family val="2"/>
        <scheme val="minor"/>
      </rPr>
      <t>12.61%</t>
    </r>
    <r>
      <rPr>
        <sz val="11"/>
        <color theme="5"/>
        <rFont val="Calibri"/>
        <family val="2"/>
        <scheme val="minor"/>
      </rPr>
      <t>.</t>
    </r>
  </si>
  <si>
    <t>[M+C] Copper (Cu) ore mining and concentration (Sweden)</t>
  </si>
  <si>
    <t>Cu concentrate</t>
  </si>
  <si>
    <t>SE</t>
  </si>
  <si>
    <t>(1,1,3,1,1)</t>
  </si>
  <si>
    <t>market for electricity, high voltage</t>
  </si>
  <si>
    <t>electricity, high voltage</t>
  </si>
  <si>
    <t>heat production, wood pellet, at furnace 25kW, state-of-the-art 2014</t>
  </si>
  <si>
    <t>heat, central or small-scale, other than natural gas</t>
  </si>
  <si>
    <t>Europe without Switzerland</t>
  </si>
  <si>
    <t>market for sodium chloride, powder</t>
  </si>
  <si>
    <t>sodium chloride, powder</t>
  </si>
  <si>
    <t>market for sodium chloride, brine solution</t>
  </si>
  <si>
    <t>sodium chloride, brine solution</t>
  </si>
  <si>
    <t>market for aluminium hydroxide</t>
  </si>
  <si>
    <t>aluminium hydroxide</t>
  </si>
  <si>
    <t>transport, freight train, electricity</t>
  </si>
  <si>
    <t>transport, freight train</t>
  </si>
  <si>
    <t>market for non-sulfidic overburden, off-site</t>
  </si>
  <si>
    <t>non-sulfidic overburden, off-site</t>
  </si>
  <si>
    <t>treatment of hazardous waste, underground deposit</t>
  </si>
  <si>
    <t>market for waste mineral oil</t>
  </si>
  <si>
    <t>waste mineral oil</t>
  </si>
  <si>
    <t>market for sewage sludge</t>
  </si>
  <si>
    <t>sewage sludge</t>
  </si>
  <si>
    <t>treatment of hazardous waste, hazardous waste incineration</t>
  </si>
  <si>
    <t>hazardous waste, for incineration</t>
  </si>
  <si>
    <t>Copper</t>
  </si>
  <si>
    <t>Water, river</t>
  </si>
  <si>
    <t>natural resource::in water</t>
  </si>
  <si>
    <t>Water, well, in ground</t>
  </si>
  <si>
    <t>Aluminium III</t>
  </si>
  <si>
    <t>market for heavy fuel oil</t>
  </si>
  <si>
    <t>heavy fuel oil</t>
  </si>
  <si>
    <t>market for liquefied petroleum gas</t>
  </si>
  <si>
    <t>liquefied petroleum gas</t>
  </si>
  <si>
    <t>market for lime</t>
  </si>
  <si>
    <t>lime</t>
  </si>
  <si>
    <t>RER</t>
  </si>
  <si>
    <t>market for borax, anhydrous, powder</t>
  </si>
  <si>
    <t>borax, anhydrous, powder</t>
  </si>
  <si>
    <t>market for barite</t>
  </si>
  <si>
    <t>barite</t>
  </si>
  <si>
    <t>market for ammonia, anhydrous, liquid</t>
  </si>
  <si>
    <t>ammonia, anhydrous, liquid</t>
  </si>
  <si>
    <t>market for paraffin</t>
  </si>
  <si>
    <t>paraffin</t>
  </si>
  <si>
    <t>market for graphite</t>
  </si>
  <si>
    <t>graphite</t>
  </si>
  <si>
    <t>market for iron sulfate</t>
  </si>
  <si>
    <t>iron sulfate</t>
  </si>
  <si>
    <t>market for chlorine, gaseous</t>
  </si>
  <si>
    <t>chlorine, gaseous</t>
  </si>
  <si>
    <t>chemical production, inorganic</t>
  </si>
  <si>
    <t>market for sodium sulfide</t>
  </si>
  <si>
    <t>sodium sulfide</t>
  </si>
  <si>
    <t>market for sodium formate</t>
  </si>
  <si>
    <t>sodium formate</t>
  </si>
  <si>
    <t>market for dithiocarbamate-compound</t>
  </si>
  <si>
    <t>dithiocarbamate-compound</t>
  </si>
  <si>
    <t>market for sodium phosphate</t>
  </si>
  <si>
    <t>sodium phosphate</t>
  </si>
  <si>
    <t>market for wax, lost-wax casting</t>
  </si>
  <si>
    <t>wax, lost-wax casting</t>
  </si>
  <si>
    <t>market for hydrogen peroxide, without water, in 50% solution state</t>
  </si>
  <si>
    <t>hydrogen peroxide, without water, in 50% solution state</t>
  </si>
  <si>
    <t>treatment of waste paper, unsorted, sorting</t>
  </si>
  <si>
    <t>waste paper, sorted</t>
  </si>
  <si>
    <t>market for ferrous metal, in mixed metal scrap</t>
  </si>
  <si>
    <t>ferrous metal, in mixed metal scrap</t>
  </si>
  <si>
    <t>treatment of waste wood, untreated, municipal incineration</t>
  </si>
  <si>
    <t>waste wood, untreated</t>
  </si>
  <si>
    <t>treatment of waste mineral oil, hazardous waste incineration</t>
  </si>
  <si>
    <t>market for waste plastic, mixture</t>
  </si>
  <si>
    <t>waste plastic, mixture</t>
  </si>
  <si>
    <t>market for used Li-ion battery</t>
  </si>
  <si>
    <t>used Li-ion battery</t>
  </si>
  <si>
    <t>market for waste emulsion paint</t>
  </si>
  <si>
    <t>waste emulsion paint</t>
  </si>
  <si>
    <t>market for used fluorescent lamp</t>
  </si>
  <si>
    <t>used fluorescent lamp</t>
  </si>
  <si>
    <t>market for refinery sludge</t>
  </si>
  <si>
    <t>refinery sludge</t>
  </si>
  <si>
    <t>treatment of municipal solid waste, municipal incineration</t>
  </si>
  <si>
    <t>market for sulfur dioxide, liquid</t>
  </si>
  <si>
    <t>sulfur dioxide, liquid</t>
  </si>
  <si>
    <t>Dioxins, measured as 2,3,7,8-tetrachlorodibenzo-p-dioxin</t>
  </si>
  <si>
    <t>[P+R] Refined Lead (Pb) production - Pyrometallurgy (Sweden)</t>
  </si>
  <si>
    <t>Pb recovery from Cu ore mining in Sweden/Aitik and Cu production in Sweden/Rönnskärsverken</t>
  </si>
  <si>
    <r>
      <t xml:space="preserve">Applied AF: "Cu concentrate" input = </t>
    </r>
    <r>
      <rPr>
        <b/>
        <sz val="11"/>
        <color theme="5"/>
        <rFont val="Calibri"/>
        <family val="2"/>
        <scheme val="minor"/>
      </rPr>
      <t>2.4%</t>
    </r>
    <r>
      <rPr>
        <sz val="11"/>
        <color theme="5"/>
        <rFont val="Calibri"/>
        <family val="2"/>
        <scheme val="minor"/>
      </rPr>
      <t>.</t>
    </r>
  </si>
  <si>
    <r>
      <rPr>
        <sz val="11"/>
        <color theme="5"/>
        <rFont val="Calibri"/>
        <family val="2"/>
        <scheme val="minor"/>
      </rPr>
      <t xml:space="preserve">Allocated unit process, considering as allocation factors (AF): 45.7% for Cu (1 kg cathode), 0.02% for Cu (0.002 kg CuSO4), 0.5% for Ni (0.02 kg NiSO4), 30.6% for Au (0.00009 kg), 16.2% for Ag (0.004 kg), 0.03% for Te (0.0002 kg CuTe), 0.07% for Se (0.0004 kg), 4.3% for Zn (0.2 kg ZnO2), </t>
    </r>
    <r>
      <rPr>
        <b/>
        <sz val="11"/>
        <color theme="5"/>
        <rFont val="Calibri"/>
        <family val="2"/>
        <scheme val="minor"/>
      </rPr>
      <t>2.4% for Pb (0.2 kg)</t>
    </r>
    <r>
      <rPr>
        <sz val="11"/>
        <color theme="5"/>
        <rFont val="Calibri"/>
        <family val="2"/>
        <scheme val="minor"/>
      </rPr>
      <t xml:space="preserve"> and 0.06% for Fe (1.8 kg sand).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7030A0"/>
        <rFont val="Calibri"/>
        <family val="2"/>
        <scheme val="minor"/>
      </rPr>
      <t>The co-produced sulfuric acid, sulfur dioxide, electricity and heat are dealt through substitution.</t>
    </r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</si>
  <si>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</si>
  <si>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</si>
  <si>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</si>
  <si>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Lead (Pb)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</si>
  <si>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Pb_Market_GLO</t>
  </si>
  <si>
    <t>PR1_Pb_CN_Jiangxi</t>
  </si>
  <si>
    <t>Pb global market</t>
  </si>
  <si>
    <t>PR2_Pb_CN_South</t>
  </si>
  <si>
    <t>PR3_Pb_CN_Anhui_Recycling</t>
  </si>
  <si>
    <t>PR4_Pb_CN_Guangdong</t>
  </si>
  <si>
    <t>PR5_Pb_CN_Smelting</t>
  </si>
  <si>
    <t>PR6_Pb_RoW</t>
  </si>
  <si>
    <t>PR7_Pb_SE_Pyro</t>
  </si>
  <si>
    <r>
      <t xml:space="preserve">Allocated unit process, considering as allocation factors: 56% for Zn (1 kg concentrate), </t>
    </r>
    <r>
      <rPr>
        <b/>
        <sz val="11"/>
        <color theme="5"/>
        <rFont val="Calibri"/>
        <family val="2"/>
        <scheme val="minor"/>
      </rPr>
      <t>21% for Pb (0.4 kg concentrate)</t>
    </r>
    <r>
      <rPr>
        <sz val="11"/>
        <color theme="5"/>
        <rFont val="Calibri"/>
        <family val="2"/>
        <scheme val="minor"/>
      </rPr>
      <t xml:space="preserve"> and 23% for Pb-Zn (0.6 kg bulk concentrate).
</t>
    </r>
    <r>
      <rPr>
        <sz val="11"/>
        <color rgb="FF7030A0"/>
        <rFont val="Calibri"/>
        <family val="2"/>
        <scheme val="minor"/>
      </rPr>
      <t>The co-produced sulfur concentrate is dealt through substitution.</t>
    </r>
  </si>
  <si>
    <r>
      <t>Allocated unit process, considering as allocation factors:</t>
    </r>
    <r>
      <rPr>
        <b/>
        <sz val="11"/>
        <color theme="5"/>
        <rFont val="Calibri"/>
        <family val="2"/>
        <scheme val="minor"/>
      </rPr>
      <t xml:space="preserve"> </t>
    </r>
    <r>
      <rPr>
        <sz val="11"/>
        <color theme="5"/>
        <rFont val="Calibri"/>
        <family val="2"/>
        <scheme val="minor"/>
      </rPr>
      <t xml:space="preserve">54% for Zn (1 kg refined) and </t>
    </r>
    <r>
      <rPr>
        <b/>
        <sz val="11"/>
        <color theme="5"/>
        <rFont val="Calibri"/>
        <family val="2"/>
        <scheme val="minor"/>
      </rPr>
      <t>46% for Pb (1.04 kg refined)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</si>
  <si>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55.37% for Zn (1 kg refined), </t>
    </r>
    <r>
      <rPr>
        <b/>
        <sz val="11"/>
        <color theme="5"/>
        <rFont val="Calibri"/>
        <family val="2"/>
        <scheme val="minor"/>
      </rPr>
      <t>12.61% for Pb (0.28 kg refined)</t>
    </r>
    <r>
      <rPr>
        <sz val="11"/>
        <color theme="5"/>
        <rFont val="Calibri"/>
        <family val="2"/>
        <scheme val="minor"/>
      </rPr>
      <t>, 28.81% for Ag (0.002 kg refined), 0.01% for Bi (0.00006 kg refined), 0.62% for In (0.0001 kg refined) and 2.57% for Ge (0.00009 kg refined).</t>
    </r>
  </si>
  <si>
    <t>Organic carbon</t>
  </si>
  <si>
    <t>Oils, unspecified</t>
  </si>
  <si>
    <t>soil::industrial</t>
  </si>
  <si>
    <t>soil::agricultural</t>
  </si>
  <si>
    <t>Water, salt,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</si>
</sst>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0" fillId="0" borderId="4" xfId="1" applyBorder="1"/>
    <xf numFmtId="0" fontId="0" fillId="0" borderId="5" xfId="0" applyBorder="1"/>
    <xf numFmtId="0" fontId="10" fillId="0" borderId="6" xfId="1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1" fontId="5" fillId="0" borderId="0" xfId="0" applyNumberFormat="1" applyFont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41"/>
  <sheetViews>
    <sheetView showGridLines="0" topLeftCell="A15" workbookViewId="0">
      <selection activeCell="L44" sqref="L44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343</v>
      </c>
    </row>
    <row r="2" spans="1:17" ht="15" customHeight="1" x14ac:dyDescent="0.35">
      <c r="B2" s="34" t="s">
        <v>346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pans="1:17" x14ac:dyDescent="0.35"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</row>
    <row r="4" spans="1:17" x14ac:dyDescent="0.35"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9"/>
    </row>
    <row r="5" spans="1:17" x14ac:dyDescent="0.35"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9"/>
    </row>
    <row r="6" spans="1:17" x14ac:dyDescent="0.35"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9"/>
    </row>
    <row r="7" spans="1:17" x14ac:dyDescent="0.35"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9"/>
    </row>
    <row r="8" spans="1:17" x14ac:dyDescent="0.35"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9"/>
    </row>
    <row r="9" spans="1:17" x14ac:dyDescent="0.35"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9"/>
    </row>
    <row r="10" spans="1:17" x14ac:dyDescent="0.35"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9"/>
    </row>
    <row r="11" spans="1:17" x14ac:dyDescent="0.35"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9"/>
    </row>
    <row r="12" spans="1:17" x14ac:dyDescent="0.35"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9"/>
    </row>
    <row r="13" spans="1:17" x14ac:dyDescent="0.35"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9"/>
    </row>
    <row r="14" spans="1:17" x14ac:dyDescent="0.35"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9"/>
    </row>
    <row r="15" spans="1:17" x14ac:dyDescent="0.35"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</row>
    <row r="16" spans="1:17" x14ac:dyDescent="0.35"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9"/>
    </row>
    <row r="17" spans="2:17" x14ac:dyDescent="0.35">
      <c r="B17" s="37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9"/>
    </row>
    <row r="18" spans="2:17" x14ac:dyDescent="0.35"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9"/>
    </row>
    <row r="19" spans="2:17" x14ac:dyDescent="0.35"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</row>
    <row r="20" spans="2:17" x14ac:dyDescent="0.35"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9"/>
    </row>
    <row r="21" spans="2:17" x14ac:dyDescent="0.35"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9"/>
    </row>
    <row r="22" spans="2:17" x14ac:dyDescent="0.35"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9"/>
    </row>
    <row r="23" spans="2:17" x14ac:dyDescent="0.35"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9"/>
    </row>
    <row r="24" spans="2:17" ht="15" customHeight="1" x14ac:dyDescent="0.35"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9"/>
    </row>
    <row r="25" spans="2:17" x14ac:dyDescent="0.35"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9"/>
    </row>
    <row r="26" spans="2:17" x14ac:dyDescent="0.35"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9"/>
    </row>
    <row r="27" spans="2:17" x14ac:dyDescent="0.35">
      <c r="B27" s="37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9"/>
    </row>
    <row r="28" spans="2:17" x14ac:dyDescent="0.35"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9"/>
    </row>
    <row r="29" spans="2:17" x14ac:dyDescent="0.35"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9"/>
    </row>
    <row r="30" spans="2:17" x14ac:dyDescent="0.35"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9"/>
    </row>
    <row r="31" spans="2:17" ht="15" thickBot="1" x14ac:dyDescent="0.4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2"/>
    </row>
    <row r="32" spans="2:17" ht="15" thickBot="1" x14ac:dyDescent="0.4"/>
    <row r="33" spans="2:10" x14ac:dyDescent="0.35">
      <c r="B33" s="22" t="s">
        <v>344</v>
      </c>
      <c r="C33" s="23" t="s">
        <v>345</v>
      </c>
      <c r="D33" s="24"/>
      <c r="E33" s="24"/>
      <c r="F33" s="24"/>
      <c r="G33" s="24"/>
      <c r="H33" s="24"/>
      <c r="I33" s="24"/>
      <c r="J33" s="25"/>
    </row>
    <row r="34" spans="2:10" x14ac:dyDescent="0.35">
      <c r="B34" s="26" t="s">
        <v>347</v>
      </c>
      <c r="C34" t="s">
        <v>349</v>
      </c>
      <c r="D34" s="33"/>
      <c r="E34" s="33"/>
      <c r="F34" s="33"/>
      <c r="G34" s="33"/>
      <c r="H34" s="33"/>
      <c r="I34" s="33"/>
      <c r="J34" s="27"/>
    </row>
    <row r="35" spans="2:10" x14ac:dyDescent="0.35">
      <c r="B35" s="26" t="s">
        <v>348</v>
      </c>
      <c r="C35" s="10" t="s">
        <v>201</v>
      </c>
      <c r="D35" s="33"/>
      <c r="E35" s="33"/>
      <c r="F35" s="33"/>
      <c r="G35" s="33"/>
      <c r="H35" s="33"/>
      <c r="I35" s="33"/>
      <c r="J35" s="27"/>
    </row>
    <row r="36" spans="2:10" x14ac:dyDescent="0.35">
      <c r="B36" s="26" t="s">
        <v>350</v>
      </c>
      <c r="C36" s="10" t="s">
        <v>226</v>
      </c>
      <c r="D36" s="33"/>
      <c r="E36" s="33"/>
      <c r="F36" s="33"/>
      <c r="G36" s="33"/>
      <c r="H36" s="33"/>
      <c r="I36" s="33"/>
      <c r="J36" s="27"/>
    </row>
    <row r="37" spans="2:10" x14ac:dyDescent="0.35">
      <c r="B37" s="26" t="s">
        <v>351</v>
      </c>
      <c r="C37" s="10" t="s">
        <v>245</v>
      </c>
      <c r="D37" s="33"/>
      <c r="E37" s="33"/>
      <c r="F37" s="33"/>
      <c r="G37" s="33"/>
      <c r="H37" s="33"/>
      <c r="I37" s="33"/>
      <c r="J37" s="27"/>
    </row>
    <row r="38" spans="2:10" x14ac:dyDescent="0.35">
      <c r="B38" s="26" t="s">
        <v>352</v>
      </c>
      <c r="C38" s="10" t="s">
        <v>247</v>
      </c>
      <c r="D38" s="33"/>
      <c r="E38" s="33"/>
      <c r="F38" s="33"/>
      <c r="G38" s="33"/>
      <c r="H38" s="33"/>
      <c r="I38" s="33"/>
      <c r="J38" s="27"/>
    </row>
    <row r="39" spans="2:10" x14ac:dyDescent="0.35">
      <c r="B39" s="26" t="s">
        <v>353</v>
      </c>
      <c r="C39" s="10" t="s">
        <v>163</v>
      </c>
      <c r="D39" s="33"/>
      <c r="E39" s="33"/>
      <c r="F39" s="33"/>
      <c r="G39" s="33"/>
      <c r="H39" s="33"/>
      <c r="I39" s="33"/>
      <c r="J39" s="27"/>
    </row>
    <row r="40" spans="2:10" x14ac:dyDescent="0.35">
      <c r="B40" s="28" t="s">
        <v>354</v>
      </c>
      <c r="C40" s="10" t="s">
        <v>159</v>
      </c>
      <c r="J40" s="29"/>
    </row>
    <row r="41" spans="2:10" ht="15" thickBot="1" x14ac:dyDescent="0.4">
      <c r="B41" s="30" t="s">
        <v>355</v>
      </c>
      <c r="C41" s="31" t="s">
        <v>340</v>
      </c>
      <c r="D41" s="31"/>
      <c r="E41" s="31"/>
      <c r="F41" s="31"/>
      <c r="G41" s="31"/>
      <c r="H41" s="31"/>
      <c r="I41" s="31"/>
      <c r="J41" s="32"/>
    </row>
  </sheetData>
  <mergeCells count="1">
    <mergeCell ref="B2:Q31"/>
  </mergeCells>
  <hyperlinks>
    <hyperlink ref="B34" location="Pb_Market_GLO!A1" display="Pb_Market_GLO" xr:uid="{DA9D5300-183D-4FDC-9ACA-6692D9B8C4EF}"/>
    <hyperlink ref="B35" location="PR1_Pb_CN_Jiangxi!A1" display="PR1_Pb_CN_Jiangxi" xr:uid="{F14E5308-D72F-476F-8A21-DACC9D3FA212}"/>
    <hyperlink ref="B36" location="PR2_Pb_CN_South!A1" display="PR2_Pb_CN_South" xr:uid="{75FCFCCE-2A54-4ABC-9838-9B72985EA886}"/>
    <hyperlink ref="B37" location="PR3_Pb_CN_Anhui_Recycling!A1" display="PR3_Pb_CN_Anhui_Recycling" xr:uid="{69F800B9-303C-4BBC-BF3D-C49816A0694E}"/>
    <hyperlink ref="B38" location="PR4_Pb_CN_Guangdong!A1" display="PR4_Pb_CN_Guangdong" xr:uid="{8C5B0CCF-CC84-4E4F-A22F-349E79207CC7}"/>
    <hyperlink ref="B39" location="PR5_Pb_CN_Smelting!A1" display="PR5_Pb_CN_Smelting" xr:uid="{8EB5787B-FF04-4C09-906D-44FBA9227F86}"/>
    <hyperlink ref="B40" location="PR6_Pb_RoW!A1" display="PR6_Pb_RoW" xr:uid="{4AFB1A83-3B0D-4229-BC24-1577C76AF20A}"/>
    <hyperlink ref="B41" location="PR7_Pb_SE_Pyro!A1" display="PR7_Pb_SE_Pyro" xr:uid="{3EFEC7F0-7930-4E7C-825D-CD27FC48CE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3F53-79B7-4F8D-93EC-90A8F18C3E62}">
  <sheetPr>
    <tabColor theme="8" tint="0.39997558519241921"/>
  </sheetPr>
  <dimension ref="A1:N22"/>
  <sheetViews>
    <sheetView workbookViewId="0">
      <selection activeCell="A18" sqref="A18"/>
    </sheetView>
  </sheetViews>
  <sheetFormatPr baseColWidth="10" defaultRowHeight="14.5" x14ac:dyDescent="0.35"/>
  <cols>
    <col min="1" max="1" width="88.1796875" bestFit="1" customWidth="1"/>
    <col min="2" max="2" width="25.81640625" bestFit="1" customWidth="1"/>
    <col min="3" max="3" width="8.1796875" bestFit="1" customWidth="1"/>
    <col min="4" max="4" width="12" bestFit="1" customWidth="1"/>
    <col min="5" max="5" width="8.7265625" bestFit="1" customWidth="1"/>
    <col min="6" max="6" width="9.179687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11</v>
      </c>
      <c r="B1" s="4" t="s">
        <v>110</v>
      </c>
    </row>
    <row r="2" spans="1:14" s="5" customFormat="1" x14ac:dyDescent="0.35"/>
    <row r="3" spans="1:14" x14ac:dyDescent="0.35">
      <c r="A3" s="6" t="s">
        <v>0</v>
      </c>
      <c r="B3" s="2" t="s">
        <v>165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3" t="s">
        <v>1</v>
      </c>
      <c r="B4" s="1" t="s">
        <v>162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3" t="s">
        <v>3</v>
      </c>
      <c r="B5" s="1" t="s">
        <v>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3" t="s">
        <v>5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3" t="s">
        <v>6</v>
      </c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3" t="s">
        <v>8</v>
      </c>
      <c r="B8" s="1" t="s">
        <v>74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3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6" t="s">
        <v>10</v>
      </c>
      <c r="B10" s="6" t="s">
        <v>1</v>
      </c>
      <c r="C10" s="6" t="s">
        <v>3</v>
      </c>
      <c r="D10" s="6" t="s">
        <v>5</v>
      </c>
      <c r="E10" s="6" t="s">
        <v>6</v>
      </c>
      <c r="F10" s="6" t="s">
        <v>11</v>
      </c>
      <c r="G10" s="6" t="s">
        <v>12</v>
      </c>
      <c r="H10" s="6" t="s">
        <v>13</v>
      </c>
      <c r="I10" s="6" t="s">
        <v>14</v>
      </c>
      <c r="J10" s="6" t="s">
        <v>15</v>
      </c>
      <c r="K10" s="6" t="s">
        <v>16</v>
      </c>
      <c r="L10" s="6" t="s">
        <v>17</v>
      </c>
      <c r="M10" s="6" t="s">
        <v>18</v>
      </c>
      <c r="N10" s="6" t="s">
        <v>19</v>
      </c>
    </row>
    <row r="11" spans="1:14" x14ac:dyDescent="0.35">
      <c r="A11" t="str">
        <f>B3</f>
        <v>Lead (Pb) global market</v>
      </c>
      <c r="B11" t="str">
        <f>B4</f>
        <v>Refined Pb</v>
      </c>
      <c r="C11" t="str">
        <f>B5</f>
        <v>GLO</v>
      </c>
      <c r="D11" s="1">
        <v>1</v>
      </c>
      <c r="E11" s="1" t="str">
        <f>B7</f>
        <v>kilogram</v>
      </c>
      <c r="F11" s="4" t="str">
        <f>B1</f>
        <v>Lead</v>
      </c>
      <c r="G11" s="1" t="s">
        <v>20</v>
      </c>
    </row>
    <row r="12" spans="1:14" s="1" customFormat="1" x14ac:dyDescent="0.35">
      <c r="A12" s="1" t="str">
        <f>PR1_Pb_CN_Jiangxi!A84</f>
        <v>Pb ore mining and refining in China/Jiangxi</v>
      </c>
      <c r="B12" s="1" t="str">
        <f>PR1_Pb_CN_Jiangxi!B84</f>
        <v>Refined Pb</v>
      </c>
      <c r="C12" s="1" t="str">
        <f>PR1_Pb_CN_Jiangxi!C84</f>
        <v>CN</v>
      </c>
      <c r="D12" s="1">
        <v>1.1034327054592376E-2</v>
      </c>
      <c r="E12" s="1" t="str">
        <f>PR1_Pb_CN_Jiangxi!E84</f>
        <v>kilogram</v>
      </c>
      <c r="F12" s="4" t="str">
        <f>PR1_Pb_CN_Jiangxi!F84</f>
        <v>Lead</v>
      </c>
      <c r="G12" s="1" t="s">
        <v>25</v>
      </c>
    </row>
    <row r="13" spans="1:14" s="1" customFormat="1" x14ac:dyDescent="0.35">
      <c r="A13" s="1" t="str">
        <f>PR2_Pb_CN_South!A69</f>
        <v>Pb refining from South China</v>
      </c>
      <c r="B13" s="1" t="str">
        <f>PR2_Pb_CN_South!B69</f>
        <v>Refined Pb</v>
      </c>
      <c r="C13" s="1" t="str">
        <f>PR2_Pb_CN_South!C69</f>
        <v>CN</v>
      </c>
      <c r="D13" s="1">
        <v>1.1034327054592376E-2</v>
      </c>
      <c r="E13" s="1" t="str">
        <f>PR2_Pb_CN_South!E69</f>
        <v>kilogram</v>
      </c>
      <c r="F13" s="4" t="str">
        <f>PR2_Pb_CN_South!F69</f>
        <v>Lead</v>
      </c>
      <c r="G13" s="1" t="s">
        <v>25</v>
      </c>
    </row>
    <row r="14" spans="1:14" s="1" customFormat="1" x14ac:dyDescent="0.35">
      <c r="A14" s="1" t="str">
        <f>PR3_Pb_CN_Anhui_Recycling!A47</f>
        <v>Pb production in China/Anhui through Pb scraps recycling</v>
      </c>
      <c r="B14" s="1" t="str">
        <f>PR3_Pb_CN_Anhui_Recycling!B47</f>
        <v>Refined Pb</v>
      </c>
      <c r="C14" s="1" t="str">
        <f>PR3_Pb_CN_Anhui_Recycling!C47</f>
        <v>CN</v>
      </c>
      <c r="D14" s="1">
        <v>0.44158233670653174</v>
      </c>
      <c r="E14" s="1" t="str">
        <f>PR3_Pb_CN_Anhui_Recycling!E47</f>
        <v>kilogram</v>
      </c>
      <c r="F14" s="4" t="str">
        <f>PR3_Pb_CN_Anhui_Recycling!F47</f>
        <v>Lead</v>
      </c>
      <c r="G14" s="1" t="s">
        <v>25</v>
      </c>
    </row>
    <row r="15" spans="1:14" s="1" customFormat="1" x14ac:dyDescent="0.35">
      <c r="A15" s="1" t="str">
        <f>PR4_Pb_CN_Guangdong!A56</f>
        <v>Pb ore recovery from Zn ore mining in China/Guangdong</v>
      </c>
      <c r="B15" s="1" t="str">
        <f>PR4_Pb_CN_Guangdong!B56</f>
        <v>Refined Pb</v>
      </c>
      <c r="C15" s="1" t="str">
        <f>PR4_Pb_CN_Guangdong!C56</f>
        <v>CN</v>
      </c>
      <c r="D15" s="1">
        <v>1.0791300441044675E-2</v>
      </c>
      <c r="E15" s="1" t="str">
        <f>PR4_Pb_CN_Guangdong!E56</f>
        <v>kilogram</v>
      </c>
      <c r="F15" s="4" t="str">
        <f>PR4_Pb_CN_Guangdong!F56</f>
        <v>Lead</v>
      </c>
      <c r="G15" s="1" t="s">
        <v>25</v>
      </c>
    </row>
    <row r="16" spans="1:14" s="1" customFormat="1" x14ac:dyDescent="0.35">
      <c r="A16" s="1" t="str">
        <f>PR5_Pb_CN_Smelting!A137</f>
        <v>Pb recovery from Zn ore mining and Zn production in China through Smelting</v>
      </c>
      <c r="B16" s="1" t="str">
        <f>PR5_Pb_CN_Smelting!B137</f>
        <v>Refined Pb</v>
      </c>
      <c r="C16" s="1" t="str">
        <f>PR5_Pb_CN_Smelting!C137</f>
        <v>CN</v>
      </c>
      <c r="D16" s="1">
        <v>0.40872238215630236</v>
      </c>
      <c r="E16" s="1" t="str">
        <f>PR5_Pb_CN_Smelting!E137</f>
        <v>kilogram</v>
      </c>
      <c r="F16" s="4" t="str">
        <f>PR5_Pb_CN_Smelting!F137</f>
        <v>Lead</v>
      </c>
      <c r="G16" s="1" t="s">
        <v>25</v>
      </c>
    </row>
    <row r="17" spans="1:7" s="1" customFormat="1" x14ac:dyDescent="0.35">
      <c r="A17" s="1" t="str">
        <f>PR6_Pb_RoW!A55</f>
        <v>Pb/Zn ore mining and Pb/Zn production in Canada/Peru/Chile/the US</v>
      </c>
      <c r="B17" s="1" t="str">
        <f>PR6_Pb_RoW!B55</f>
        <v>Refined Pb</v>
      </c>
      <c r="C17" s="1" t="str">
        <f>PR6_Pb_RoW!C55</f>
        <v>RoW</v>
      </c>
      <c r="D17" s="1">
        <v>0.11652867218644587</v>
      </c>
      <c r="E17" s="1" t="str">
        <f>PR6_Pb_RoW!E55</f>
        <v>kilogram</v>
      </c>
      <c r="F17" s="4" t="str">
        <f>PR6_Pb_RoW!F55</f>
        <v>Lead</v>
      </c>
      <c r="G17" s="1" t="s">
        <v>25</v>
      </c>
    </row>
    <row r="18" spans="1:7" s="1" customFormat="1" x14ac:dyDescent="0.35">
      <c r="A18" s="1" t="str">
        <f>PR7_Pb_SE_Pyro!A142</f>
        <v>Pb recovery from Cu ore mining in Sweden/Aitik and Cu production in Sweden/Rönnskärsverken</v>
      </c>
      <c r="B18" s="1" t="str">
        <f>PR7_Pb_SE_Pyro!B142</f>
        <v>Refined Pb</v>
      </c>
      <c r="C18" s="1" t="str">
        <f>PR7_Pb_SE_Pyro!C142</f>
        <v>SE</v>
      </c>
      <c r="D18" s="1">
        <v>3.0665440049064706E-4</v>
      </c>
      <c r="E18" s="1" t="str">
        <f>PR7_Pb_SE_Pyro!E142</f>
        <v>kilogram</v>
      </c>
      <c r="F18" s="4" t="str">
        <f>PR7_Pb_SE_Pyro!F142</f>
        <v>Lead</v>
      </c>
      <c r="G18" s="1" t="s">
        <v>25</v>
      </c>
    </row>
    <row r="19" spans="1:7" s="1" customFormat="1" x14ac:dyDescent="0.35">
      <c r="F19" s="4"/>
    </row>
    <row r="20" spans="1:7" s="1" customFormat="1" x14ac:dyDescent="0.35">
      <c r="F20" s="4"/>
    </row>
    <row r="21" spans="1:7" s="1" customFormat="1" x14ac:dyDescent="0.35">
      <c r="F21" s="4"/>
    </row>
    <row r="22" spans="1:7" s="1" customFormat="1" x14ac:dyDescent="0.35">
      <c r="F2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B11F-A6E5-491B-85F4-A69338422D23}">
  <sheetPr>
    <tabColor theme="8" tint="0.39997558519241921"/>
  </sheetPr>
  <dimension ref="A1:N86"/>
  <sheetViews>
    <sheetView workbookViewId="0">
      <selection activeCell="H75" sqref="H75"/>
    </sheetView>
  </sheetViews>
  <sheetFormatPr baseColWidth="10" defaultColWidth="8.7265625" defaultRowHeight="14.5" x14ac:dyDescent="0.35"/>
  <cols>
    <col min="1" max="1" width="52.81640625" style="1" bestFit="1" customWidth="1"/>
    <col min="2" max="2" width="47.1796875" style="1" bestFit="1" customWidth="1"/>
    <col min="3" max="3" width="7.54296875" style="1" bestFit="1" customWidth="1"/>
    <col min="4" max="4" width="12.453125" style="1" bestFit="1" customWidth="1"/>
    <col min="5" max="5" width="12" style="1" bestFit="1" customWidth="1"/>
    <col min="6" max="6" width="18.453125" style="1" bestFit="1" customWidth="1"/>
    <col min="7" max="7" width="12.26953125" style="1" bestFit="1" customWidth="1"/>
    <col min="8" max="8" width="23.81640625" style="1" bestFit="1" customWidth="1"/>
    <col min="9" max="9" width="14.54296875" style="1" bestFit="1" customWidth="1"/>
    <col min="10" max="10" width="8.81640625" style="1" bestFit="1" customWidth="1"/>
    <col min="11" max="11" width="3.453125" style="1" bestFit="1" customWidth="1"/>
    <col min="12" max="12" width="5" style="1" bestFit="1" customWidth="1"/>
    <col min="13" max="13" width="8.81640625" style="1" bestFit="1" customWidth="1"/>
    <col min="14" max="14" width="9.26953125" style="1" bestFit="1" customWidth="1"/>
    <col min="15" max="16384" width="8.7265625" style="1"/>
  </cols>
  <sheetData>
    <row r="1" spans="1:14" x14ac:dyDescent="0.35">
      <c r="A1" s="2" t="s">
        <v>0</v>
      </c>
      <c r="B1" s="2" t="s">
        <v>166</v>
      </c>
    </row>
    <row r="2" spans="1:14" x14ac:dyDescent="0.35">
      <c r="A2" s="3" t="s">
        <v>1</v>
      </c>
      <c r="B2" s="1" t="s">
        <v>167</v>
      </c>
    </row>
    <row r="3" spans="1:14" x14ac:dyDescent="0.35">
      <c r="A3" s="3" t="s">
        <v>3</v>
      </c>
      <c r="B3" s="1" t="s">
        <v>4</v>
      </c>
    </row>
    <row r="4" spans="1:14" x14ac:dyDescent="0.35">
      <c r="A4" s="3" t="s">
        <v>5</v>
      </c>
      <c r="B4" s="1">
        <v>1</v>
      </c>
    </row>
    <row r="5" spans="1:14" x14ac:dyDescent="0.35">
      <c r="A5" s="3" t="s">
        <v>6</v>
      </c>
      <c r="B5" s="1" t="s">
        <v>7</v>
      </c>
    </row>
    <row r="6" spans="1:14" x14ac:dyDescent="0.35">
      <c r="A6" s="3" t="s">
        <v>8</v>
      </c>
      <c r="B6" s="1" t="s">
        <v>74</v>
      </c>
    </row>
    <row r="7" spans="1:14" x14ac:dyDescent="0.35">
      <c r="A7" s="3" t="s">
        <v>9</v>
      </c>
    </row>
    <row r="8" spans="1:14" x14ac:dyDescent="0.35">
      <c r="A8" s="2" t="s">
        <v>10</v>
      </c>
      <c r="B8" s="2" t="s">
        <v>1</v>
      </c>
      <c r="C8" s="2" t="s">
        <v>3</v>
      </c>
      <c r="D8" s="2" t="s">
        <v>5</v>
      </c>
      <c r="E8" s="2" t="s">
        <v>6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35">
      <c r="A9" s="1" t="s">
        <v>166</v>
      </c>
      <c r="B9" s="1" t="s">
        <v>167</v>
      </c>
      <c r="C9" s="1" t="s">
        <v>4</v>
      </c>
      <c r="D9" s="1">
        <v>1</v>
      </c>
      <c r="E9" s="1" t="s">
        <v>7</v>
      </c>
      <c r="F9" s="4" t="str">
        <f>Pb_Market_GLO!B1</f>
        <v>Lead</v>
      </c>
      <c r="G9" s="1" t="s">
        <v>20</v>
      </c>
    </row>
    <row r="10" spans="1:14" x14ac:dyDescent="0.35">
      <c r="A10" s="1" t="s">
        <v>36</v>
      </c>
      <c r="B10" s="1" t="s">
        <v>37</v>
      </c>
      <c r="C10" s="1" t="s">
        <v>4</v>
      </c>
      <c r="D10" s="1">
        <v>0.1071066666666667</v>
      </c>
      <c r="E10" s="1" t="s">
        <v>38</v>
      </c>
      <c r="F10" s="1" t="s">
        <v>24</v>
      </c>
      <c r="G10" s="1" t="s">
        <v>25</v>
      </c>
      <c r="J10" s="1" t="s">
        <v>168</v>
      </c>
    </row>
    <row r="11" spans="1:14" x14ac:dyDescent="0.35">
      <c r="A11" s="1" t="s">
        <v>21</v>
      </c>
      <c r="B11" s="1" t="s">
        <v>22</v>
      </c>
      <c r="C11" s="1" t="s">
        <v>23</v>
      </c>
      <c r="D11" s="1">
        <v>7.3333333333333331E-5</v>
      </c>
      <c r="E11" s="1" t="s">
        <v>7</v>
      </c>
      <c r="F11" s="1" t="s">
        <v>24</v>
      </c>
      <c r="G11" s="1" t="s">
        <v>25</v>
      </c>
      <c r="J11" s="1" t="s">
        <v>168</v>
      </c>
    </row>
    <row r="12" spans="1:14" x14ac:dyDescent="0.35">
      <c r="A12" s="1" t="s">
        <v>26</v>
      </c>
      <c r="B12" s="1" t="s">
        <v>27</v>
      </c>
      <c r="C12" s="1" t="s">
        <v>23</v>
      </c>
      <c r="D12" s="1">
        <v>6.6666666666666666E-6</v>
      </c>
      <c r="E12" s="1" t="s">
        <v>7</v>
      </c>
      <c r="F12" s="1" t="s">
        <v>24</v>
      </c>
      <c r="G12" s="1" t="s">
        <v>25</v>
      </c>
      <c r="J12" s="1" t="s">
        <v>168</v>
      </c>
    </row>
    <row r="13" spans="1:14" x14ac:dyDescent="0.35">
      <c r="A13" s="1" t="s">
        <v>169</v>
      </c>
      <c r="B13" s="1" t="s">
        <v>170</v>
      </c>
      <c r="C13" s="1" t="s">
        <v>23</v>
      </c>
      <c r="D13" s="1">
        <v>1.606666666666667E-5</v>
      </c>
      <c r="E13" s="1" t="s">
        <v>7</v>
      </c>
      <c r="F13" s="1" t="s">
        <v>24</v>
      </c>
      <c r="G13" s="1" t="s">
        <v>25</v>
      </c>
      <c r="J13" s="1" t="s">
        <v>168</v>
      </c>
    </row>
    <row r="14" spans="1:14" x14ac:dyDescent="0.35">
      <c r="A14" s="1" t="s">
        <v>28</v>
      </c>
      <c r="B14" s="1" t="s">
        <v>29</v>
      </c>
      <c r="C14" s="1" t="s">
        <v>30</v>
      </c>
      <c r="D14" s="1">
        <v>1.8599999999999999E-4</v>
      </c>
      <c r="E14" s="1" t="s">
        <v>7</v>
      </c>
      <c r="F14" s="1" t="s">
        <v>24</v>
      </c>
      <c r="G14" s="1" t="s">
        <v>25</v>
      </c>
      <c r="J14" s="1" t="s">
        <v>171</v>
      </c>
    </row>
    <row r="15" spans="1:14" x14ac:dyDescent="0.35">
      <c r="A15" s="1" t="s">
        <v>172</v>
      </c>
      <c r="B15" s="1" t="s">
        <v>173</v>
      </c>
      <c r="C15" s="1" t="s">
        <v>30</v>
      </c>
      <c r="D15" s="1">
        <v>7.9999999999999996E-6</v>
      </c>
      <c r="E15" s="1" t="s">
        <v>7</v>
      </c>
      <c r="F15" s="1" t="s">
        <v>24</v>
      </c>
      <c r="G15" s="1" t="s">
        <v>25</v>
      </c>
      <c r="J15" s="1" t="s">
        <v>168</v>
      </c>
    </row>
    <row r="16" spans="1:14" x14ac:dyDescent="0.35">
      <c r="A16" s="1" t="s">
        <v>174</v>
      </c>
      <c r="B16" s="1" t="s">
        <v>175</v>
      </c>
      <c r="C16" s="1" t="s">
        <v>30</v>
      </c>
      <c r="D16" s="1">
        <v>1.0733333333333329E-5</v>
      </c>
      <c r="E16" s="1" t="s">
        <v>7</v>
      </c>
      <c r="F16" s="1" t="s">
        <v>24</v>
      </c>
      <c r="G16" s="1" t="s">
        <v>25</v>
      </c>
      <c r="J16" s="1" t="s">
        <v>168</v>
      </c>
    </row>
    <row r="17" spans="1:10" x14ac:dyDescent="0.35">
      <c r="A17" s="1" t="s">
        <v>176</v>
      </c>
      <c r="B17" s="1" t="s">
        <v>177</v>
      </c>
      <c r="C17" s="1" t="s">
        <v>30</v>
      </c>
      <c r="D17" s="1">
        <v>1.7000000000000001E-4</v>
      </c>
      <c r="E17" s="1" t="s">
        <v>7</v>
      </c>
      <c r="F17" s="1" t="s">
        <v>24</v>
      </c>
      <c r="G17" s="1" t="s">
        <v>25</v>
      </c>
      <c r="J17" s="1" t="s">
        <v>168</v>
      </c>
    </row>
    <row r="18" spans="1:10" x14ac:dyDescent="0.35">
      <c r="A18" s="1" t="s">
        <v>178</v>
      </c>
      <c r="B18" s="1" t="s">
        <v>179</v>
      </c>
      <c r="C18" s="1" t="s">
        <v>30</v>
      </c>
      <c r="D18" s="1">
        <v>1.4866666666666669E-5</v>
      </c>
      <c r="E18" s="1" t="s">
        <v>7</v>
      </c>
      <c r="F18" s="1" t="s">
        <v>24</v>
      </c>
      <c r="G18" s="1" t="s">
        <v>25</v>
      </c>
      <c r="J18" s="1" t="s">
        <v>168</v>
      </c>
    </row>
    <row r="19" spans="1:10" x14ac:dyDescent="0.35">
      <c r="A19" s="1" t="s">
        <v>180</v>
      </c>
      <c r="B19" s="1" t="s">
        <v>181</v>
      </c>
      <c r="C19" s="1" t="s">
        <v>30</v>
      </c>
      <c r="D19" s="1">
        <v>1.606666666666667E-5</v>
      </c>
      <c r="E19" s="1" t="s">
        <v>7</v>
      </c>
      <c r="F19" s="1" t="s">
        <v>24</v>
      </c>
      <c r="G19" s="1" t="s">
        <v>25</v>
      </c>
      <c r="J19" s="1" t="s">
        <v>168</v>
      </c>
    </row>
    <row r="20" spans="1:10" x14ac:dyDescent="0.35">
      <c r="A20" s="1" t="s">
        <v>31</v>
      </c>
      <c r="B20" s="1" t="s">
        <v>32</v>
      </c>
      <c r="C20" s="1" t="s">
        <v>23</v>
      </c>
      <c r="D20" s="1">
        <v>1.02E-4</v>
      </c>
      <c r="E20" s="1" t="s">
        <v>7</v>
      </c>
      <c r="F20" s="1" t="s">
        <v>24</v>
      </c>
      <c r="G20" s="1" t="s">
        <v>25</v>
      </c>
      <c r="J20" s="1" t="s">
        <v>168</v>
      </c>
    </row>
    <row r="21" spans="1:10" x14ac:dyDescent="0.35">
      <c r="A21" s="1" t="s">
        <v>182</v>
      </c>
      <c r="B21" s="1" t="s">
        <v>183</v>
      </c>
      <c r="C21" s="1" t="s">
        <v>23</v>
      </c>
      <c r="D21" s="1">
        <v>1.606666666666667E-5</v>
      </c>
      <c r="E21" s="1" t="s">
        <v>7</v>
      </c>
      <c r="F21" s="1" t="s">
        <v>24</v>
      </c>
      <c r="G21" s="1" t="s">
        <v>25</v>
      </c>
      <c r="J21" s="1" t="s">
        <v>168</v>
      </c>
    </row>
    <row r="22" spans="1:10" x14ac:dyDescent="0.35">
      <c r="A22" s="1" t="s">
        <v>184</v>
      </c>
      <c r="B22" s="1" t="s">
        <v>185</v>
      </c>
      <c r="C22" s="1" t="s">
        <v>23</v>
      </c>
      <c r="D22" s="1">
        <v>1.3400000000000001E-6</v>
      </c>
      <c r="E22" s="1" t="s">
        <v>7</v>
      </c>
      <c r="F22" s="1" t="s">
        <v>24</v>
      </c>
      <c r="G22" s="1" t="s">
        <v>25</v>
      </c>
      <c r="J22" s="1" t="s">
        <v>168</v>
      </c>
    </row>
    <row r="23" spans="1:10" x14ac:dyDescent="0.35">
      <c r="A23" s="1" t="s">
        <v>33</v>
      </c>
      <c r="B23" s="1" t="s">
        <v>34</v>
      </c>
      <c r="C23" s="1" t="s">
        <v>23</v>
      </c>
      <c r="D23" s="1">
        <v>6.0900000000000003E-2</v>
      </c>
      <c r="E23" s="1" t="s">
        <v>35</v>
      </c>
      <c r="F23" s="1" t="s">
        <v>24</v>
      </c>
      <c r="G23" s="1" t="s">
        <v>25</v>
      </c>
      <c r="J23" s="1" t="s">
        <v>186</v>
      </c>
    </row>
    <row r="24" spans="1:10" x14ac:dyDescent="0.35">
      <c r="A24" s="1" t="s">
        <v>187</v>
      </c>
      <c r="B24" s="1" t="s">
        <v>188</v>
      </c>
      <c r="C24" s="1" t="s">
        <v>30</v>
      </c>
      <c r="D24" s="1">
        <v>-2.6766666666666669E-5</v>
      </c>
      <c r="E24" s="1" t="s">
        <v>7</v>
      </c>
      <c r="F24" s="1" t="s">
        <v>24</v>
      </c>
      <c r="G24" s="1" t="s">
        <v>25</v>
      </c>
      <c r="J24" s="1" t="s">
        <v>168</v>
      </c>
    </row>
    <row r="25" spans="1:10" x14ac:dyDescent="0.35">
      <c r="A25" s="1" t="s">
        <v>187</v>
      </c>
      <c r="B25" s="1" t="s">
        <v>188</v>
      </c>
      <c r="C25" s="1" t="s">
        <v>30</v>
      </c>
      <c r="D25" s="1">
        <v>-0.7533333333333333</v>
      </c>
      <c r="E25" s="1" t="s">
        <v>7</v>
      </c>
      <c r="F25" s="1" t="s">
        <v>24</v>
      </c>
      <c r="G25" s="1" t="s">
        <v>25</v>
      </c>
      <c r="J25" s="1" t="s">
        <v>168</v>
      </c>
    </row>
    <row r="26" spans="1:10" x14ac:dyDescent="0.35">
      <c r="A26" s="1" t="s">
        <v>189</v>
      </c>
      <c r="D26" s="1">
        <v>1.7266666666666661E-3</v>
      </c>
      <c r="E26" s="1" t="s">
        <v>190</v>
      </c>
      <c r="F26" s="1" t="s">
        <v>41</v>
      </c>
      <c r="G26" s="1" t="s">
        <v>42</v>
      </c>
      <c r="H26" s="1" t="s">
        <v>45</v>
      </c>
      <c r="J26" s="1" t="s">
        <v>168</v>
      </c>
    </row>
    <row r="27" spans="1:10" x14ac:dyDescent="0.35">
      <c r="A27" s="1" t="s">
        <v>191</v>
      </c>
      <c r="D27" s="1">
        <v>1.7266666666666661E-3</v>
      </c>
      <c r="E27" s="1" t="s">
        <v>190</v>
      </c>
      <c r="F27" s="1" t="s">
        <v>41</v>
      </c>
      <c r="G27" s="1" t="s">
        <v>42</v>
      </c>
      <c r="H27" s="1" t="s">
        <v>45</v>
      </c>
      <c r="J27" s="1" t="s">
        <v>168</v>
      </c>
    </row>
    <row r="28" spans="1:10" x14ac:dyDescent="0.35">
      <c r="A28" s="1" t="s">
        <v>44</v>
      </c>
      <c r="D28" s="1">
        <v>2.333333333333333E-4</v>
      </c>
      <c r="E28" s="1" t="s">
        <v>39</v>
      </c>
      <c r="F28" s="1" t="s">
        <v>41</v>
      </c>
      <c r="G28" s="1" t="s">
        <v>42</v>
      </c>
      <c r="H28" s="1" t="s">
        <v>43</v>
      </c>
      <c r="J28" s="1" t="s">
        <v>168</v>
      </c>
    </row>
    <row r="29" spans="1:10" s="7" customFormat="1" x14ac:dyDescent="0.35"/>
    <row r="30" spans="1:10" x14ac:dyDescent="0.35">
      <c r="A30" s="2" t="s">
        <v>0</v>
      </c>
      <c r="B30" s="2" t="s">
        <v>192</v>
      </c>
    </row>
    <row r="31" spans="1:10" x14ac:dyDescent="0.35">
      <c r="A31" s="3" t="s">
        <v>1</v>
      </c>
      <c r="B31" s="1" t="s">
        <v>162</v>
      </c>
    </row>
    <row r="32" spans="1:10" x14ac:dyDescent="0.35">
      <c r="A32" s="3" t="s">
        <v>3</v>
      </c>
      <c r="B32" s="1" t="s">
        <v>4</v>
      </c>
    </row>
    <row r="33" spans="1:14" x14ac:dyDescent="0.35">
      <c r="A33" s="3" t="s">
        <v>5</v>
      </c>
      <c r="B33" s="1">
        <v>1</v>
      </c>
    </row>
    <row r="34" spans="1:14" x14ac:dyDescent="0.35">
      <c r="A34" s="3" t="s">
        <v>6</v>
      </c>
      <c r="B34" s="1" t="s">
        <v>7</v>
      </c>
    </row>
    <row r="35" spans="1:14" x14ac:dyDescent="0.35">
      <c r="A35" s="3" t="s">
        <v>8</v>
      </c>
      <c r="B35" s="1" t="s">
        <v>74</v>
      </c>
    </row>
    <row r="36" spans="1:14" x14ac:dyDescent="0.35">
      <c r="A36" s="3" t="s">
        <v>9</v>
      </c>
    </row>
    <row r="37" spans="1:14" x14ac:dyDescent="0.35">
      <c r="A37" s="2" t="s">
        <v>10</v>
      </c>
      <c r="B37" s="2" t="s">
        <v>1</v>
      </c>
      <c r="C37" s="2" t="s">
        <v>3</v>
      </c>
      <c r="D37" s="2" t="s">
        <v>5</v>
      </c>
      <c r="E37" s="2" t="s">
        <v>6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15</v>
      </c>
      <c r="K37" s="2" t="s">
        <v>16</v>
      </c>
      <c r="L37" s="2" t="s">
        <v>17</v>
      </c>
      <c r="M37" s="2" t="s">
        <v>18</v>
      </c>
      <c r="N37" s="2" t="s">
        <v>19</v>
      </c>
    </row>
    <row r="38" spans="1:14" x14ac:dyDescent="0.35">
      <c r="A38" s="1" t="s">
        <v>192</v>
      </c>
      <c r="B38" s="1" t="s">
        <v>162</v>
      </c>
      <c r="C38" s="1" t="s">
        <v>4</v>
      </c>
      <c r="D38" s="1">
        <v>1</v>
      </c>
      <c r="E38" s="1" t="s">
        <v>7</v>
      </c>
      <c r="F38" s="4" t="str">
        <f>F9</f>
        <v>Lead</v>
      </c>
      <c r="G38" s="1" t="s">
        <v>20</v>
      </c>
    </row>
    <row r="39" spans="1:14" x14ac:dyDescent="0.35">
      <c r="A39" s="1" t="s">
        <v>144</v>
      </c>
      <c r="B39" s="1" t="s">
        <v>145</v>
      </c>
      <c r="C39" s="1" t="s">
        <v>23</v>
      </c>
      <c r="D39" s="1">
        <v>0.13</v>
      </c>
      <c r="E39" s="1" t="s">
        <v>7</v>
      </c>
      <c r="F39" s="1" t="s">
        <v>24</v>
      </c>
      <c r="G39" s="1" t="s">
        <v>25</v>
      </c>
      <c r="J39" s="1" t="s">
        <v>168</v>
      </c>
    </row>
    <row r="40" spans="1:14" x14ac:dyDescent="0.35">
      <c r="A40" s="1" t="s">
        <v>122</v>
      </c>
      <c r="B40" s="1" t="s">
        <v>123</v>
      </c>
      <c r="C40" s="1" t="s">
        <v>30</v>
      </c>
      <c r="D40" s="1">
        <v>0.28000000000000003</v>
      </c>
      <c r="E40" s="1" t="s">
        <v>7</v>
      </c>
      <c r="F40" s="1" t="s">
        <v>24</v>
      </c>
      <c r="G40" s="1" t="s">
        <v>25</v>
      </c>
      <c r="J40" s="1" t="s">
        <v>168</v>
      </c>
    </row>
    <row r="41" spans="1:14" x14ac:dyDescent="0.35">
      <c r="A41" s="1" t="s">
        <v>79</v>
      </c>
      <c r="B41" s="1" t="s">
        <v>80</v>
      </c>
      <c r="C41" s="1" t="s">
        <v>4</v>
      </c>
      <c r="D41" s="1">
        <v>2.31575</v>
      </c>
      <c r="E41" s="1" t="s">
        <v>35</v>
      </c>
      <c r="F41" s="1" t="s">
        <v>24</v>
      </c>
      <c r="G41" s="1" t="s">
        <v>25</v>
      </c>
      <c r="J41" s="1" t="s">
        <v>168</v>
      </c>
    </row>
    <row r="42" spans="1:14" x14ac:dyDescent="0.35">
      <c r="A42" s="1" t="s">
        <v>193</v>
      </c>
      <c r="B42" s="1" t="s">
        <v>194</v>
      </c>
      <c r="C42" s="1" t="s">
        <v>4</v>
      </c>
      <c r="D42" s="1">
        <v>0.32</v>
      </c>
      <c r="E42" s="1" t="s">
        <v>7</v>
      </c>
      <c r="F42" s="1" t="s">
        <v>24</v>
      </c>
      <c r="G42" s="1" t="s">
        <v>25</v>
      </c>
      <c r="J42" s="1" t="s">
        <v>168</v>
      </c>
    </row>
    <row r="43" spans="1:14" x14ac:dyDescent="0.35">
      <c r="A43" s="1" t="s">
        <v>195</v>
      </c>
      <c r="B43" s="1" t="s">
        <v>196</v>
      </c>
      <c r="C43" s="1" t="s">
        <v>30</v>
      </c>
      <c r="D43" s="1">
        <v>1.8839999999999999</v>
      </c>
      <c r="E43" s="1" t="s">
        <v>35</v>
      </c>
      <c r="F43" s="1" t="s">
        <v>24</v>
      </c>
      <c r="G43" s="1" t="s">
        <v>25</v>
      </c>
      <c r="J43" s="1" t="s">
        <v>168</v>
      </c>
    </row>
    <row r="44" spans="1:14" x14ac:dyDescent="0.35">
      <c r="A44" s="1" t="s">
        <v>146</v>
      </c>
      <c r="B44" s="1" t="s">
        <v>147</v>
      </c>
      <c r="C44" s="1" t="s">
        <v>23</v>
      </c>
      <c r="D44" s="1">
        <v>9.3000000000000005E-4</v>
      </c>
      <c r="E44" s="1" t="s">
        <v>7</v>
      </c>
      <c r="F44" s="1" t="s">
        <v>24</v>
      </c>
      <c r="G44" s="1" t="s">
        <v>25</v>
      </c>
      <c r="J44" s="1" t="s">
        <v>197</v>
      </c>
    </row>
    <row r="45" spans="1:14" x14ac:dyDescent="0.35">
      <c r="A45" s="1" t="s">
        <v>142</v>
      </c>
      <c r="B45" s="1" t="s">
        <v>143</v>
      </c>
      <c r="C45" s="1" t="s">
        <v>30</v>
      </c>
      <c r="D45" s="1">
        <v>0.76108540000000002</v>
      </c>
      <c r="E45" s="1" t="s">
        <v>7</v>
      </c>
      <c r="F45" s="1" t="s">
        <v>24</v>
      </c>
      <c r="G45" s="1" t="s">
        <v>25</v>
      </c>
      <c r="J45" s="1" t="s">
        <v>197</v>
      </c>
    </row>
    <row r="46" spans="1:14" x14ac:dyDescent="0.35">
      <c r="A46" s="1" t="s">
        <v>36</v>
      </c>
      <c r="B46" s="1" t="s">
        <v>37</v>
      </c>
      <c r="C46" s="1" t="s">
        <v>4</v>
      </c>
      <c r="D46" s="1">
        <v>0.56458000000000008</v>
      </c>
      <c r="E46" s="1" t="s">
        <v>38</v>
      </c>
      <c r="F46" s="1" t="s">
        <v>24</v>
      </c>
      <c r="G46" s="1" t="s">
        <v>25</v>
      </c>
      <c r="J46" s="1" t="s">
        <v>186</v>
      </c>
    </row>
    <row r="47" spans="1:14" x14ac:dyDescent="0.35">
      <c r="A47" s="1" t="s">
        <v>148</v>
      </c>
      <c r="B47" s="1" t="s">
        <v>149</v>
      </c>
      <c r="C47" s="1" t="s">
        <v>23</v>
      </c>
      <c r="D47" s="1">
        <v>3.5000000000000001E-3</v>
      </c>
      <c r="E47" s="1" t="s">
        <v>7</v>
      </c>
      <c r="F47" s="1" t="s">
        <v>24</v>
      </c>
      <c r="G47" s="1" t="s">
        <v>25</v>
      </c>
      <c r="J47" s="1" t="s">
        <v>197</v>
      </c>
    </row>
    <row r="48" spans="1:14" x14ac:dyDescent="0.35">
      <c r="A48" s="1" t="s">
        <v>198</v>
      </c>
      <c r="B48" s="1" t="s">
        <v>199</v>
      </c>
      <c r="C48" s="1" t="s">
        <v>30</v>
      </c>
      <c r="D48" s="1">
        <v>-3.98E-3</v>
      </c>
      <c r="E48" s="1" t="s">
        <v>39</v>
      </c>
      <c r="F48" s="1" t="s">
        <v>24</v>
      </c>
      <c r="G48" s="1" t="s">
        <v>25</v>
      </c>
      <c r="J48" s="1" t="s">
        <v>186</v>
      </c>
    </row>
    <row r="49" spans="1:10" x14ac:dyDescent="0.35">
      <c r="A49" s="1" t="s">
        <v>187</v>
      </c>
      <c r="B49" s="1" t="s">
        <v>188</v>
      </c>
      <c r="C49" s="1" t="s">
        <v>30</v>
      </c>
      <c r="D49" s="1">
        <v>-1.58</v>
      </c>
      <c r="E49" s="1" t="s">
        <v>7</v>
      </c>
      <c r="F49" s="1" t="s">
        <v>24</v>
      </c>
      <c r="G49" s="1" t="s">
        <v>25</v>
      </c>
      <c r="J49" s="1" t="s">
        <v>168</v>
      </c>
    </row>
    <row r="50" spans="1:10" x14ac:dyDescent="0.35">
      <c r="A50" s="1" t="s">
        <v>189</v>
      </c>
      <c r="D50" s="1">
        <v>3.6000000000000002E-4</v>
      </c>
      <c r="E50" s="1" t="s">
        <v>190</v>
      </c>
      <c r="F50" s="1" t="s">
        <v>41</v>
      </c>
      <c r="G50" s="1" t="s">
        <v>42</v>
      </c>
      <c r="H50" s="1" t="s">
        <v>45</v>
      </c>
      <c r="J50" s="1" t="s">
        <v>168</v>
      </c>
    </row>
    <row r="51" spans="1:10" x14ac:dyDescent="0.35">
      <c r="A51" s="1" t="s">
        <v>191</v>
      </c>
      <c r="D51" s="1">
        <v>3.6000000000000002E-4</v>
      </c>
      <c r="E51" s="1" t="s">
        <v>190</v>
      </c>
      <c r="F51" s="1" t="s">
        <v>41</v>
      </c>
      <c r="G51" s="1" t="s">
        <v>42</v>
      </c>
      <c r="H51" s="1" t="s">
        <v>45</v>
      </c>
      <c r="J51" s="1" t="s">
        <v>168</v>
      </c>
    </row>
    <row r="52" spans="1:10" x14ac:dyDescent="0.35">
      <c r="A52" s="1" t="s">
        <v>44</v>
      </c>
      <c r="D52" s="1">
        <v>5.5300000000000002E-3</v>
      </c>
      <c r="E52" s="1" t="s">
        <v>39</v>
      </c>
      <c r="F52" s="1" t="s">
        <v>41</v>
      </c>
      <c r="G52" s="1" t="s">
        <v>42</v>
      </c>
      <c r="H52" s="1" t="s">
        <v>43</v>
      </c>
      <c r="J52" s="1" t="s">
        <v>168</v>
      </c>
    </row>
    <row r="53" spans="1:10" x14ac:dyDescent="0.35">
      <c r="A53" s="1" t="s">
        <v>115</v>
      </c>
      <c r="D53" s="1">
        <v>0.28000000000000003</v>
      </c>
      <c r="E53" s="1" t="s">
        <v>7</v>
      </c>
      <c r="F53" s="1" t="s">
        <v>41</v>
      </c>
      <c r="G53" s="1" t="s">
        <v>42</v>
      </c>
      <c r="H53" s="1" t="s">
        <v>56</v>
      </c>
      <c r="J53" s="1" t="s">
        <v>168</v>
      </c>
    </row>
    <row r="54" spans="1:10" x14ac:dyDescent="0.35">
      <c r="A54" s="1" t="s">
        <v>58</v>
      </c>
      <c r="D54" s="1">
        <v>9.98E-5</v>
      </c>
      <c r="E54" s="1" t="s">
        <v>7</v>
      </c>
      <c r="F54" s="1" t="s">
        <v>41</v>
      </c>
      <c r="G54" s="1" t="s">
        <v>42</v>
      </c>
      <c r="H54" s="1" t="s">
        <v>56</v>
      </c>
      <c r="J54" s="1" t="s">
        <v>168</v>
      </c>
    </row>
    <row r="55" spans="1:10" x14ac:dyDescent="0.35">
      <c r="A55" s="1" t="s">
        <v>59</v>
      </c>
      <c r="D55" s="1">
        <v>1.2999999999999999E-10</v>
      </c>
      <c r="E55" s="1" t="s">
        <v>7</v>
      </c>
      <c r="F55" s="1" t="s">
        <v>41</v>
      </c>
      <c r="G55" s="1" t="s">
        <v>42</v>
      </c>
      <c r="H55" s="1" t="s">
        <v>56</v>
      </c>
      <c r="J55" s="1" t="s">
        <v>168</v>
      </c>
    </row>
    <row r="56" spans="1:10" x14ac:dyDescent="0.35">
      <c r="A56" s="1" t="s">
        <v>60</v>
      </c>
      <c r="D56" s="1">
        <v>9.1E-4</v>
      </c>
      <c r="E56" s="1" t="s">
        <v>7</v>
      </c>
      <c r="F56" s="1" t="s">
        <v>41</v>
      </c>
      <c r="G56" s="1" t="s">
        <v>42</v>
      </c>
      <c r="H56" s="1" t="s">
        <v>56</v>
      </c>
      <c r="J56" s="1" t="s">
        <v>168</v>
      </c>
    </row>
    <row r="57" spans="1:10" x14ac:dyDescent="0.35">
      <c r="A57" s="1" t="s">
        <v>55</v>
      </c>
      <c r="D57" s="1">
        <v>2.0500000000000002E-3</v>
      </c>
      <c r="E57" s="1" t="s">
        <v>7</v>
      </c>
      <c r="F57" s="1" t="s">
        <v>41</v>
      </c>
      <c r="G57" s="1" t="s">
        <v>42</v>
      </c>
      <c r="H57" s="1" t="s">
        <v>56</v>
      </c>
      <c r="J57" s="1" t="s">
        <v>168</v>
      </c>
    </row>
    <row r="58" spans="1:10" x14ac:dyDescent="0.35">
      <c r="A58" s="1" t="s">
        <v>132</v>
      </c>
      <c r="D58" s="1">
        <v>7.3236999999999999E-7</v>
      </c>
      <c r="E58" s="1" t="s">
        <v>7</v>
      </c>
      <c r="F58" s="1" t="s">
        <v>41</v>
      </c>
      <c r="G58" s="1" t="s">
        <v>42</v>
      </c>
      <c r="H58" s="1" t="s">
        <v>56</v>
      </c>
      <c r="J58" s="1" t="s">
        <v>168</v>
      </c>
    </row>
    <row r="59" spans="1:10" x14ac:dyDescent="0.35">
      <c r="A59" s="1" t="s">
        <v>57</v>
      </c>
      <c r="D59" s="1">
        <v>3.3299999999999999E-6</v>
      </c>
      <c r="E59" s="1" t="s">
        <v>7</v>
      </c>
      <c r="F59" s="1" t="s">
        <v>41</v>
      </c>
      <c r="G59" s="1" t="s">
        <v>42</v>
      </c>
      <c r="H59" s="1" t="s">
        <v>56</v>
      </c>
      <c r="J59" s="1" t="s">
        <v>168</v>
      </c>
    </row>
    <row r="60" spans="1:10" x14ac:dyDescent="0.35">
      <c r="A60" s="1" t="s">
        <v>60</v>
      </c>
      <c r="D60" s="1">
        <v>2.2000000000000001E-4</v>
      </c>
      <c r="E60" s="1" t="s">
        <v>7</v>
      </c>
      <c r="F60" s="1" t="s">
        <v>41</v>
      </c>
      <c r="G60" s="1" t="s">
        <v>42</v>
      </c>
      <c r="H60" s="1" t="s">
        <v>56</v>
      </c>
      <c r="J60" s="1" t="s">
        <v>168</v>
      </c>
    </row>
    <row r="61" spans="1:10" x14ac:dyDescent="0.35">
      <c r="A61" s="1" t="s">
        <v>200</v>
      </c>
      <c r="D61" s="1">
        <v>1.2999999999999999E-4</v>
      </c>
      <c r="E61" s="1" t="s">
        <v>7</v>
      </c>
      <c r="F61" s="1" t="s">
        <v>41</v>
      </c>
      <c r="G61" s="1" t="s">
        <v>42</v>
      </c>
      <c r="H61" s="1" t="s">
        <v>56</v>
      </c>
      <c r="J61" s="1" t="s">
        <v>168</v>
      </c>
    </row>
    <row r="62" spans="1:10" x14ac:dyDescent="0.35">
      <c r="A62" s="1" t="s">
        <v>133</v>
      </c>
      <c r="D62" s="1">
        <v>1.0000000000000001E-5</v>
      </c>
      <c r="E62" s="1" t="s">
        <v>7</v>
      </c>
      <c r="F62" s="1" t="s">
        <v>41</v>
      </c>
      <c r="G62" s="1" t="s">
        <v>42</v>
      </c>
      <c r="H62" s="1" t="s">
        <v>62</v>
      </c>
      <c r="J62" s="1" t="s">
        <v>168</v>
      </c>
    </row>
    <row r="63" spans="1:10" x14ac:dyDescent="0.35">
      <c r="A63" s="1" t="s">
        <v>58</v>
      </c>
      <c r="D63" s="1">
        <v>2.3599999999999999E-6</v>
      </c>
      <c r="E63" s="1" t="s">
        <v>7</v>
      </c>
      <c r="F63" s="1" t="s">
        <v>41</v>
      </c>
      <c r="G63" s="1" t="s">
        <v>42</v>
      </c>
      <c r="H63" s="1" t="s">
        <v>62</v>
      </c>
      <c r="J63" s="1" t="s">
        <v>168</v>
      </c>
    </row>
    <row r="64" spans="1:10" x14ac:dyDescent="0.35">
      <c r="A64" s="1" t="s">
        <v>67</v>
      </c>
      <c r="D64" s="1">
        <v>1.9939999999999999E-5</v>
      </c>
      <c r="E64" s="1" t="s">
        <v>7</v>
      </c>
      <c r="F64" s="1" t="s">
        <v>41</v>
      </c>
      <c r="G64" s="1" t="s">
        <v>42</v>
      </c>
      <c r="H64" s="1" t="s">
        <v>62</v>
      </c>
      <c r="J64" s="1" t="s">
        <v>168</v>
      </c>
    </row>
    <row r="65" spans="1:10" x14ac:dyDescent="0.35">
      <c r="A65" s="1" t="s">
        <v>66</v>
      </c>
      <c r="D65" s="1">
        <v>1.0339999999999999E-5</v>
      </c>
      <c r="E65" s="1" t="s">
        <v>7</v>
      </c>
      <c r="F65" s="1" t="s">
        <v>41</v>
      </c>
      <c r="G65" s="1" t="s">
        <v>42</v>
      </c>
      <c r="H65" s="1" t="s">
        <v>62</v>
      </c>
      <c r="J65" s="1" t="s">
        <v>168</v>
      </c>
    </row>
    <row r="66" spans="1:10" x14ac:dyDescent="0.35">
      <c r="A66" s="1" t="s">
        <v>73</v>
      </c>
      <c r="D66" s="1">
        <v>1.8E-7</v>
      </c>
      <c r="E66" s="1" t="s">
        <v>7</v>
      </c>
      <c r="F66" s="1" t="s">
        <v>41</v>
      </c>
      <c r="G66" s="1" t="s">
        <v>42</v>
      </c>
      <c r="H66" s="1" t="s">
        <v>62</v>
      </c>
      <c r="J66" s="1" t="s">
        <v>168</v>
      </c>
    </row>
    <row r="67" spans="1:10" x14ac:dyDescent="0.35">
      <c r="A67" s="1" t="s">
        <v>71</v>
      </c>
      <c r="D67" s="1">
        <v>1.4000000000000001E-7</v>
      </c>
      <c r="E67" s="1" t="s">
        <v>7</v>
      </c>
      <c r="F67" s="1" t="s">
        <v>41</v>
      </c>
      <c r="G67" s="1" t="s">
        <v>42</v>
      </c>
      <c r="H67" s="1" t="s">
        <v>62</v>
      </c>
      <c r="J67" s="1" t="s">
        <v>168</v>
      </c>
    </row>
    <row r="68" spans="1:10" x14ac:dyDescent="0.35">
      <c r="A68" s="1" t="s">
        <v>72</v>
      </c>
      <c r="D68" s="1">
        <v>1.8E-7</v>
      </c>
      <c r="E68" s="1" t="s">
        <v>7</v>
      </c>
      <c r="F68" s="1" t="s">
        <v>41</v>
      </c>
      <c r="G68" s="1" t="s">
        <v>42</v>
      </c>
      <c r="H68" s="1" t="s">
        <v>62</v>
      </c>
      <c r="J68" s="1" t="s">
        <v>168</v>
      </c>
    </row>
    <row r="69" spans="1:10" x14ac:dyDescent="0.35">
      <c r="A69" s="1" t="s">
        <v>70</v>
      </c>
      <c r="D69" s="1">
        <v>1.6E-7</v>
      </c>
      <c r="E69" s="1" t="s">
        <v>7</v>
      </c>
      <c r="F69" s="1" t="s">
        <v>41</v>
      </c>
      <c r="G69" s="1" t="s">
        <v>42</v>
      </c>
      <c r="H69" s="1" t="s">
        <v>62</v>
      </c>
      <c r="J69" s="1" t="s">
        <v>168</v>
      </c>
    </row>
    <row r="70" spans="1:10" x14ac:dyDescent="0.35">
      <c r="A70" s="1" t="s">
        <v>68</v>
      </c>
      <c r="D70" s="1">
        <v>6.1999999999999999E-7</v>
      </c>
      <c r="E70" s="1" t="s">
        <v>7</v>
      </c>
      <c r="F70" s="1" t="s">
        <v>41</v>
      </c>
      <c r="G70" s="1" t="s">
        <v>42</v>
      </c>
      <c r="H70" s="1" t="s">
        <v>62</v>
      </c>
      <c r="J70" s="1" t="s">
        <v>168</v>
      </c>
    </row>
    <row r="71" spans="1:10" x14ac:dyDescent="0.35">
      <c r="A71" s="1" t="s">
        <v>359</v>
      </c>
      <c r="D71" s="1">
        <v>3.98E-6</v>
      </c>
      <c r="E71" s="1" t="s">
        <v>7</v>
      </c>
      <c r="F71" s="1" t="s">
        <v>41</v>
      </c>
      <c r="G71" s="1" t="s">
        <v>42</v>
      </c>
      <c r="H71" s="1" t="s">
        <v>134</v>
      </c>
      <c r="J71" s="1" t="s">
        <v>168</v>
      </c>
    </row>
    <row r="72" spans="1:10" x14ac:dyDescent="0.35">
      <c r="A72" s="1" t="s">
        <v>359</v>
      </c>
      <c r="D72" s="1">
        <v>3.9999999999999998E-7</v>
      </c>
      <c r="E72" s="1" t="s">
        <v>7</v>
      </c>
      <c r="F72" s="1" t="s">
        <v>41</v>
      </c>
      <c r="G72" s="1" t="s">
        <v>42</v>
      </c>
      <c r="H72" s="1" t="s">
        <v>134</v>
      </c>
      <c r="J72" s="1" t="s">
        <v>168</v>
      </c>
    </row>
    <row r="73" spans="1:10" x14ac:dyDescent="0.35">
      <c r="A73" s="1" t="s">
        <v>360</v>
      </c>
      <c r="D73" s="1">
        <v>2.0069999999999999E-5</v>
      </c>
      <c r="E73" s="1" t="s">
        <v>7</v>
      </c>
      <c r="F73" s="1" t="s">
        <v>41</v>
      </c>
      <c r="G73" s="1" t="s">
        <v>42</v>
      </c>
      <c r="H73" s="1" t="s">
        <v>134</v>
      </c>
      <c r="J73" s="1" t="s">
        <v>168</v>
      </c>
    </row>
    <row r="74" spans="1:10" x14ac:dyDescent="0.35">
      <c r="A74" s="1" t="s">
        <v>131</v>
      </c>
      <c r="D74" s="1">
        <v>5.0199999999999994E-6</v>
      </c>
      <c r="E74" s="1" t="s">
        <v>7</v>
      </c>
      <c r="F74" s="1" t="s">
        <v>41</v>
      </c>
      <c r="G74" s="1" t="s">
        <v>42</v>
      </c>
      <c r="H74" s="1" t="s">
        <v>361</v>
      </c>
      <c r="J74" s="1" t="s">
        <v>168</v>
      </c>
    </row>
    <row r="75" spans="1:10" s="8" customFormat="1" x14ac:dyDescent="0.35"/>
    <row r="76" spans="1:10" x14ac:dyDescent="0.35">
      <c r="A76" s="2" t="s">
        <v>0</v>
      </c>
      <c r="B76" s="2" t="s">
        <v>201</v>
      </c>
    </row>
    <row r="77" spans="1:10" x14ac:dyDescent="0.35">
      <c r="A77" s="3" t="s">
        <v>1</v>
      </c>
      <c r="B77" s="1" t="s">
        <v>162</v>
      </c>
    </row>
    <row r="78" spans="1:10" x14ac:dyDescent="0.35">
      <c r="A78" s="3" t="s">
        <v>3</v>
      </c>
      <c r="B78" s="1" t="s">
        <v>4</v>
      </c>
    </row>
    <row r="79" spans="1:10" x14ac:dyDescent="0.35">
      <c r="A79" s="3" t="s">
        <v>5</v>
      </c>
      <c r="B79" s="1">
        <v>1</v>
      </c>
    </row>
    <row r="80" spans="1:10" x14ac:dyDescent="0.35">
      <c r="A80" s="3" t="s">
        <v>6</v>
      </c>
      <c r="B80" s="1" t="s">
        <v>7</v>
      </c>
    </row>
    <row r="81" spans="1:14" x14ac:dyDescent="0.35">
      <c r="A81" s="3" t="s">
        <v>8</v>
      </c>
      <c r="B81" s="1" t="s">
        <v>74</v>
      </c>
    </row>
    <row r="82" spans="1:14" x14ac:dyDescent="0.35">
      <c r="A82" s="3" t="s">
        <v>9</v>
      </c>
    </row>
    <row r="83" spans="1:14" x14ac:dyDescent="0.35">
      <c r="A83" s="2" t="s">
        <v>10</v>
      </c>
      <c r="B83" s="2" t="s">
        <v>1</v>
      </c>
      <c r="C83" s="2" t="s">
        <v>3</v>
      </c>
      <c r="D83" s="2" t="s">
        <v>5</v>
      </c>
      <c r="E83" s="2" t="s">
        <v>6</v>
      </c>
      <c r="F83" s="2" t="s">
        <v>11</v>
      </c>
      <c r="G83" s="2" t="s">
        <v>12</v>
      </c>
      <c r="H83" s="2" t="s">
        <v>13</v>
      </c>
      <c r="I83" s="2" t="s">
        <v>14</v>
      </c>
      <c r="J83" s="2" t="s">
        <v>15</v>
      </c>
      <c r="K83" s="2" t="s">
        <v>16</v>
      </c>
      <c r="L83" s="2" t="s">
        <v>17</v>
      </c>
      <c r="M83" s="2" t="s">
        <v>18</v>
      </c>
      <c r="N83" s="2" t="s">
        <v>19</v>
      </c>
    </row>
    <row r="84" spans="1:14" x14ac:dyDescent="0.35">
      <c r="A84" s="1" t="s">
        <v>201</v>
      </c>
      <c r="B84" s="1" t="s">
        <v>162</v>
      </c>
      <c r="C84" s="1" t="s">
        <v>4</v>
      </c>
      <c r="D84" s="1">
        <v>1</v>
      </c>
      <c r="E84" s="1" t="s">
        <v>7</v>
      </c>
      <c r="F84" s="4" t="str">
        <f>F38</f>
        <v>Lead</v>
      </c>
      <c r="G84" s="1" t="s">
        <v>20</v>
      </c>
    </row>
    <row r="85" spans="1:14" x14ac:dyDescent="0.35">
      <c r="A85" s="1" t="str">
        <f>A38</f>
        <v>[P+R] Refined Pb production - Pyrometallurgy (Jiangxi)</v>
      </c>
      <c r="B85" s="1" t="str">
        <f t="shared" ref="B85:F85" si="0">B38</f>
        <v>Refined Pb</v>
      </c>
      <c r="C85" s="1" t="str">
        <f t="shared" si="0"/>
        <v>CN</v>
      </c>
      <c r="D85" s="1">
        <f t="shared" si="0"/>
        <v>1</v>
      </c>
      <c r="E85" s="1" t="str">
        <f t="shared" si="0"/>
        <v>kilogram</v>
      </c>
      <c r="F85" s="4" t="str">
        <f t="shared" si="0"/>
        <v>Lead</v>
      </c>
      <c r="G85" s="1" t="s">
        <v>25</v>
      </c>
    </row>
    <row r="86" spans="1:14" x14ac:dyDescent="0.35">
      <c r="A86" s="1" t="str">
        <f>A9</f>
        <v>[M+C] Lead (Pb) ore mining and concentration (Jiangxi)</v>
      </c>
      <c r="B86" s="1" t="str">
        <f t="shared" ref="B86:F86" si="1">B9</f>
        <v>Pb concentrate</v>
      </c>
      <c r="C86" s="1" t="str">
        <f t="shared" si="1"/>
        <v>CN</v>
      </c>
      <c r="D86" s="1">
        <v>1.5</v>
      </c>
      <c r="E86" s="1" t="str">
        <f t="shared" si="1"/>
        <v>kilogram</v>
      </c>
      <c r="F86" s="4" t="str">
        <f t="shared" si="1"/>
        <v>Lead</v>
      </c>
      <c r="G86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907B-AD39-4D28-9646-F02C057CA33F}">
  <sheetPr>
    <tabColor theme="8" tint="0.39997558519241921"/>
  </sheetPr>
  <dimension ref="A1:N73"/>
  <sheetViews>
    <sheetView workbookViewId="0">
      <selection activeCell="E73" sqref="E73"/>
    </sheetView>
  </sheetViews>
  <sheetFormatPr baseColWidth="10" defaultColWidth="8.7265625" defaultRowHeight="14.5" x14ac:dyDescent="0.35"/>
  <cols>
    <col min="1" max="1" width="56.54296875" style="10" bestFit="1" customWidth="1"/>
    <col min="2" max="2" width="47.1796875" style="10" bestFit="1" customWidth="1"/>
    <col min="3" max="3" width="7.54296875" style="10" bestFit="1" customWidth="1"/>
    <col min="4" max="4" width="12.453125" style="10" bestFit="1" customWidth="1"/>
    <col min="5" max="5" width="11.81640625" style="10" bestFit="1" customWidth="1"/>
    <col min="6" max="6" width="18.453125" style="10" bestFit="1" customWidth="1"/>
    <col min="7" max="7" width="12.26953125" style="10" bestFit="1" customWidth="1"/>
    <col min="8" max="8" width="9.453125" style="10" bestFit="1" customWidth="1"/>
    <col min="9" max="9" width="14.54296875" style="10" bestFit="1" customWidth="1"/>
    <col min="10" max="10" width="8.81640625" style="10" bestFit="1" customWidth="1"/>
    <col min="11" max="11" width="3.453125" style="10" bestFit="1" customWidth="1"/>
    <col min="12" max="12" width="5" style="10" bestFit="1" customWidth="1"/>
    <col min="13" max="13" width="8.81640625" style="10" bestFit="1" customWidth="1"/>
    <col min="14" max="14" width="9.26953125" style="10" bestFit="1" customWidth="1"/>
    <col min="15" max="16384" width="8.7265625" style="10"/>
  </cols>
  <sheetData>
    <row r="1" spans="1:14" x14ac:dyDescent="0.35">
      <c r="A1" s="9" t="s">
        <v>0</v>
      </c>
      <c r="B1" s="9" t="s">
        <v>202</v>
      </c>
    </row>
    <row r="2" spans="1:14" x14ac:dyDescent="0.35">
      <c r="A2" s="18" t="s">
        <v>1</v>
      </c>
      <c r="B2" s="10" t="s">
        <v>203</v>
      </c>
    </row>
    <row r="3" spans="1:14" x14ac:dyDescent="0.35">
      <c r="A3" s="18" t="s">
        <v>3</v>
      </c>
      <c r="B3" s="10" t="s">
        <v>4</v>
      </c>
    </row>
    <row r="4" spans="1:14" x14ac:dyDescent="0.35">
      <c r="A4" s="18" t="s">
        <v>5</v>
      </c>
      <c r="B4" s="10">
        <v>1</v>
      </c>
    </row>
    <row r="5" spans="1:14" x14ac:dyDescent="0.35">
      <c r="A5" s="18" t="s">
        <v>6</v>
      </c>
      <c r="B5" s="10" t="s">
        <v>7</v>
      </c>
    </row>
    <row r="6" spans="1:14" x14ac:dyDescent="0.35">
      <c r="A6" s="18" t="s">
        <v>8</v>
      </c>
      <c r="B6" s="10" t="s">
        <v>74</v>
      </c>
    </row>
    <row r="7" spans="1:14" x14ac:dyDescent="0.35">
      <c r="A7" s="18" t="s">
        <v>9</v>
      </c>
    </row>
    <row r="8" spans="1:14" x14ac:dyDescent="0.35">
      <c r="A8" s="9" t="s">
        <v>10</v>
      </c>
      <c r="B8" s="9" t="s">
        <v>1</v>
      </c>
      <c r="C8" s="9" t="s">
        <v>3</v>
      </c>
      <c r="D8" s="9" t="s">
        <v>5</v>
      </c>
      <c r="E8" s="9" t="s">
        <v>6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  <c r="N8" s="9" t="s">
        <v>19</v>
      </c>
    </row>
    <row r="9" spans="1:14" x14ac:dyDescent="0.35">
      <c r="A9" s="10" t="s">
        <v>202</v>
      </c>
      <c r="B9" s="10" t="s">
        <v>203</v>
      </c>
      <c r="C9" s="10" t="s">
        <v>4</v>
      </c>
      <c r="D9" s="10">
        <v>1</v>
      </c>
      <c r="E9" s="10" t="s">
        <v>7</v>
      </c>
      <c r="F9" s="11" t="str">
        <f>Pb_Market_GLO!B1</f>
        <v>Lead</v>
      </c>
      <c r="G9" s="10" t="s">
        <v>20</v>
      </c>
    </row>
    <row r="10" spans="1:14" x14ac:dyDescent="0.35">
      <c r="A10" s="10" t="s">
        <v>205</v>
      </c>
      <c r="B10" s="10" t="s">
        <v>206</v>
      </c>
      <c r="C10" s="10" t="s">
        <v>23</v>
      </c>
      <c r="D10" s="10">
        <v>0.79196023215082934</v>
      </c>
      <c r="E10" s="10" t="s">
        <v>7</v>
      </c>
      <c r="F10" s="10" t="s">
        <v>24</v>
      </c>
      <c r="G10" s="10" t="s">
        <v>25</v>
      </c>
      <c r="J10" s="10" t="s">
        <v>204</v>
      </c>
    </row>
    <row r="11" spans="1:14" x14ac:dyDescent="0.35">
      <c r="A11" s="10" t="s">
        <v>122</v>
      </c>
      <c r="B11" s="10" t="s">
        <v>123</v>
      </c>
      <c r="C11" s="10" t="s">
        <v>30</v>
      </c>
      <c r="D11" s="10">
        <v>0.2833201689618462</v>
      </c>
      <c r="E11" s="10" t="s">
        <v>7</v>
      </c>
      <c r="F11" s="10" t="s">
        <v>24</v>
      </c>
      <c r="G11" s="10" t="s">
        <v>25</v>
      </c>
      <c r="J11" s="10" t="s">
        <v>204</v>
      </c>
    </row>
    <row r="12" spans="1:14" x14ac:dyDescent="0.35">
      <c r="A12" s="10" t="s">
        <v>120</v>
      </c>
      <c r="B12" s="10" t="s">
        <v>121</v>
      </c>
      <c r="C12" s="10" t="s">
        <v>23</v>
      </c>
      <c r="D12" s="10">
        <v>1.38260242453381</v>
      </c>
      <c r="E12" s="10" t="s">
        <v>7</v>
      </c>
      <c r="F12" s="10" t="s">
        <v>24</v>
      </c>
      <c r="G12" s="10" t="s">
        <v>25</v>
      </c>
      <c r="J12" s="10" t="s">
        <v>204</v>
      </c>
    </row>
    <row r="13" spans="1:14" x14ac:dyDescent="0.35">
      <c r="A13" s="10" t="s">
        <v>207</v>
      </c>
      <c r="B13" s="10" t="s">
        <v>208</v>
      </c>
      <c r="C13" s="10" t="s">
        <v>30</v>
      </c>
      <c r="D13" s="10">
        <v>1.1717435351488721</v>
      </c>
      <c r="E13" s="10" t="s">
        <v>39</v>
      </c>
      <c r="F13" s="10" t="s">
        <v>24</v>
      </c>
      <c r="G13" s="10" t="s">
        <v>25</v>
      </c>
      <c r="J13" s="10" t="s">
        <v>204</v>
      </c>
    </row>
    <row r="14" spans="1:14" x14ac:dyDescent="0.35">
      <c r="A14" s="10" t="s">
        <v>36</v>
      </c>
      <c r="B14" s="10" t="s">
        <v>37</v>
      </c>
      <c r="C14" s="10" t="s">
        <v>4</v>
      </c>
      <c r="D14" s="10">
        <v>2.8022940348226239E-2</v>
      </c>
      <c r="E14" s="10" t="s">
        <v>38</v>
      </c>
      <c r="F14" s="10" t="s">
        <v>24</v>
      </c>
      <c r="G14" s="10" t="s">
        <v>25</v>
      </c>
      <c r="J14" s="10" t="s">
        <v>204</v>
      </c>
    </row>
    <row r="15" spans="1:14" x14ac:dyDescent="0.35">
      <c r="A15" s="10" t="s">
        <v>209</v>
      </c>
      <c r="B15" s="10" t="s">
        <v>210</v>
      </c>
      <c r="C15" s="10" t="s">
        <v>4</v>
      </c>
      <c r="D15" s="10">
        <v>7.2117861190288124E-3</v>
      </c>
      <c r="E15" s="10" t="s">
        <v>7</v>
      </c>
      <c r="F15" s="10" t="s">
        <v>24</v>
      </c>
      <c r="G15" s="10" t="s">
        <v>25</v>
      </c>
      <c r="J15" s="10" t="s">
        <v>204</v>
      </c>
    </row>
    <row r="16" spans="1:14" x14ac:dyDescent="0.35">
      <c r="A16" s="10" t="s">
        <v>96</v>
      </c>
      <c r="B16" s="10" t="s">
        <v>97</v>
      </c>
      <c r="C16" s="10" t="s">
        <v>30</v>
      </c>
      <c r="D16" s="10">
        <v>1.5110409011298459E-4</v>
      </c>
      <c r="E16" s="10" t="s">
        <v>7</v>
      </c>
      <c r="F16" s="10" t="s">
        <v>24</v>
      </c>
      <c r="G16" s="10" t="s">
        <v>25</v>
      </c>
      <c r="J16" s="10" t="s">
        <v>204</v>
      </c>
    </row>
    <row r="17" spans="1:14" x14ac:dyDescent="0.35">
      <c r="A17" s="10" t="s">
        <v>211</v>
      </c>
      <c r="B17" s="10" t="s">
        <v>212</v>
      </c>
      <c r="C17" s="10" t="s">
        <v>30</v>
      </c>
      <c r="D17" s="10">
        <v>3.777602252824616E-3</v>
      </c>
      <c r="E17" s="10" t="s">
        <v>7</v>
      </c>
      <c r="F17" s="10" t="s">
        <v>24</v>
      </c>
      <c r="G17" s="10" t="s">
        <v>25</v>
      </c>
      <c r="J17" s="10" t="s">
        <v>204</v>
      </c>
    </row>
    <row r="18" spans="1:14" x14ac:dyDescent="0.35">
      <c r="A18" s="10" t="s">
        <v>96</v>
      </c>
      <c r="B18" s="10" t="s">
        <v>97</v>
      </c>
      <c r="C18" s="10" t="s">
        <v>30</v>
      </c>
      <c r="D18" s="10">
        <v>-2.72536831621965</v>
      </c>
      <c r="E18" s="10" t="s">
        <v>7</v>
      </c>
      <c r="F18" s="10" t="s">
        <v>24</v>
      </c>
      <c r="G18" s="10" t="s">
        <v>25</v>
      </c>
      <c r="J18" s="10" t="s">
        <v>204</v>
      </c>
    </row>
    <row r="19" spans="1:14" x14ac:dyDescent="0.35">
      <c r="A19" s="10" t="s">
        <v>36</v>
      </c>
      <c r="B19" s="10" t="s">
        <v>37</v>
      </c>
      <c r="C19" s="10" t="s">
        <v>4</v>
      </c>
      <c r="D19" s="10">
        <v>5.3916686699405887E-3</v>
      </c>
      <c r="E19" s="10" t="s">
        <v>38</v>
      </c>
      <c r="F19" s="10" t="s">
        <v>24</v>
      </c>
      <c r="G19" s="10" t="s">
        <v>25</v>
      </c>
      <c r="J19" s="10" t="s">
        <v>204</v>
      </c>
    </row>
    <row r="20" spans="1:14" x14ac:dyDescent="0.35">
      <c r="A20" s="10" t="s">
        <v>195</v>
      </c>
      <c r="B20" s="10" t="s">
        <v>196</v>
      </c>
      <c r="C20" s="10" t="s">
        <v>30</v>
      </c>
      <c r="D20" s="10">
        <v>0.22393626154744331</v>
      </c>
      <c r="E20" s="10" t="s">
        <v>35</v>
      </c>
      <c r="F20" s="10" t="s">
        <v>24</v>
      </c>
      <c r="G20" s="10" t="s">
        <v>25</v>
      </c>
      <c r="J20" s="10" t="s">
        <v>204</v>
      </c>
    </row>
    <row r="21" spans="1:14" x14ac:dyDescent="0.35">
      <c r="A21" s="10" t="s">
        <v>60</v>
      </c>
      <c r="D21" s="10">
        <v>7.6122119578282221E-4</v>
      </c>
      <c r="E21" s="10" t="s">
        <v>7</v>
      </c>
      <c r="F21" s="10" t="s">
        <v>41</v>
      </c>
      <c r="G21" s="10" t="s">
        <v>42</v>
      </c>
      <c r="H21" s="10" t="s">
        <v>56</v>
      </c>
      <c r="J21" s="10" t="s">
        <v>204</v>
      </c>
    </row>
    <row r="22" spans="1:14" x14ac:dyDescent="0.35">
      <c r="A22" s="10" t="s">
        <v>55</v>
      </c>
      <c r="D22" s="10">
        <v>1.05752257975892E-2</v>
      </c>
      <c r="E22" s="10" t="s">
        <v>7</v>
      </c>
      <c r="F22" s="10" t="s">
        <v>41</v>
      </c>
      <c r="G22" s="10" t="s">
        <v>42</v>
      </c>
      <c r="H22" s="10" t="s">
        <v>56</v>
      </c>
      <c r="J22" s="10" t="s">
        <v>204</v>
      </c>
    </row>
    <row r="23" spans="1:14" x14ac:dyDescent="0.35">
      <c r="A23" s="10" t="s">
        <v>83</v>
      </c>
      <c r="D23" s="10">
        <v>3.9877743054363129E-3</v>
      </c>
      <c r="E23" s="10" t="s">
        <v>7</v>
      </c>
      <c r="F23" s="10" t="s">
        <v>41</v>
      </c>
      <c r="G23" s="10" t="s">
        <v>42</v>
      </c>
      <c r="H23" s="10" t="s">
        <v>56</v>
      </c>
      <c r="J23" s="10" t="s">
        <v>204</v>
      </c>
    </row>
    <row r="24" spans="1:14" s="19" customFormat="1" x14ac:dyDescent="0.35"/>
    <row r="25" spans="1:14" x14ac:dyDescent="0.35">
      <c r="A25" s="9" t="s">
        <v>0</v>
      </c>
      <c r="B25" s="9" t="s">
        <v>213</v>
      </c>
    </row>
    <row r="26" spans="1:14" x14ac:dyDescent="0.35">
      <c r="A26" s="18" t="s">
        <v>1</v>
      </c>
      <c r="B26" s="10" t="s">
        <v>162</v>
      </c>
    </row>
    <row r="27" spans="1:14" x14ac:dyDescent="0.35">
      <c r="A27" s="18" t="s">
        <v>3</v>
      </c>
      <c r="B27" s="10" t="s">
        <v>4</v>
      </c>
    </row>
    <row r="28" spans="1:14" x14ac:dyDescent="0.35">
      <c r="A28" s="18" t="s">
        <v>5</v>
      </c>
      <c r="B28" s="10">
        <v>1</v>
      </c>
    </row>
    <row r="29" spans="1:14" x14ac:dyDescent="0.35">
      <c r="A29" s="18" t="s">
        <v>6</v>
      </c>
      <c r="B29" s="10" t="s">
        <v>7</v>
      </c>
    </row>
    <row r="30" spans="1:14" x14ac:dyDescent="0.35">
      <c r="A30" s="18" t="s">
        <v>8</v>
      </c>
      <c r="B30" s="10" t="s">
        <v>74</v>
      </c>
    </row>
    <row r="31" spans="1:14" x14ac:dyDescent="0.35">
      <c r="A31" s="18" t="s">
        <v>9</v>
      </c>
    </row>
    <row r="32" spans="1:14" x14ac:dyDescent="0.35">
      <c r="A32" s="9" t="s">
        <v>10</v>
      </c>
      <c r="B32" s="9" t="s">
        <v>1</v>
      </c>
      <c r="C32" s="9" t="s">
        <v>3</v>
      </c>
      <c r="D32" s="9" t="s">
        <v>5</v>
      </c>
      <c r="E32" s="9" t="s">
        <v>6</v>
      </c>
      <c r="F32" s="9" t="s">
        <v>11</v>
      </c>
      <c r="G32" s="9" t="s">
        <v>12</v>
      </c>
      <c r="H32" s="9" t="s">
        <v>13</v>
      </c>
      <c r="I32" s="9" t="s">
        <v>14</v>
      </c>
      <c r="J32" s="9" t="s">
        <v>15</v>
      </c>
      <c r="K32" s="9" t="s">
        <v>16</v>
      </c>
      <c r="L32" s="9" t="s">
        <v>17</v>
      </c>
      <c r="M32" s="9" t="s">
        <v>18</v>
      </c>
      <c r="N32" s="9" t="s">
        <v>19</v>
      </c>
    </row>
    <row r="33" spans="1:10" x14ac:dyDescent="0.35">
      <c r="A33" s="10" t="s">
        <v>213</v>
      </c>
      <c r="B33" s="10" t="s">
        <v>162</v>
      </c>
      <c r="C33" s="10" t="s">
        <v>4</v>
      </c>
      <c r="D33" s="10">
        <v>1</v>
      </c>
      <c r="E33" s="10" t="s">
        <v>7</v>
      </c>
      <c r="F33" s="11" t="str">
        <f>F9</f>
        <v>Lead</v>
      </c>
      <c r="G33" s="10" t="s">
        <v>20</v>
      </c>
    </row>
    <row r="34" spans="1:10" x14ac:dyDescent="0.35">
      <c r="A34" s="10" t="s">
        <v>214</v>
      </c>
      <c r="B34" s="10" t="s">
        <v>215</v>
      </c>
      <c r="C34" s="10" t="s">
        <v>23</v>
      </c>
      <c r="D34" s="10">
        <v>0.28000000000000003</v>
      </c>
      <c r="E34" s="10" t="s">
        <v>7</v>
      </c>
      <c r="F34" s="10" t="s">
        <v>24</v>
      </c>
      <c r="G34" s="10" t="s">
        <v>25</v>
      </c>
      <c r="J34" s="10" t="s">
        <v>204</v>
      </c>
    </row>
    <row r="35" spans="1:10" x14ac:dyDescent="0.35">
      <c r="A35" s="10" t="s">
        <v>146</v>
      </c>
      <c r="B35" s="10" t="s">
        <v>147</v>
      </c>
      <c r="C35" s="10" t="s">
        <v>23</v>
      </c>
      <c r="D35" s="10">
        <v>1.08E-3</v>
      </c>
      <c r="E35" s="10" t="s">
        <v>7</v>
      </c>
      <c r="F35" s="10" t="s">
        <v>24</v>
      </c>
      <c r="G35" s="10" t="s">
        <v>25</v>
      </c>
      <c r="J35" s="10" t="s">
        <v>204</v>
      </c>
    </row>
    <row r="36" spans="1:10" x14ac:dyDescent="0.35">
      <c r="A36" s="10" t="s">
        <v>148</v>
      </c>
      <c r="B36" s="10" t="s">
        <v>149</v>
      </c>
      <c r="C36" s="10" t="s">
        <v>23</v>
      </c>
      <c r="D36" s="10">
        <v>1.167E-2</v>
      </c>
      <c r="E36" s="10" t="s">
        <v>7</v>
      </c>
      <c r="F36" s="10" t="s">
        <v>24</v>
      </c>
      <c r="G36" s="10" t="s">
        <v>25</v>
      </c>
      <c r="J36" s="10" t="s">
        <v>204</v>
      </c>
    </row>
    <row r="37" spans="1:10" x14ac:dyDescent="0.35">
      <c r="A37" s="10" t="s">
        <v>216</v>
      </c>
      <c r="B37" s="10" t="s">
        <v>217</v>
      </c>
      <c r="C37" s="10" t="s">
        <v>30</v>
      </c>
      <c r="D37" s="10">
        <v>4.0000000000000002E-4</v>
      </c>
      <c r="E37" s="10" t="s">
        <v>7</v>
      </c>
      <c r="F37" s="10" t="s">
        <v>24</v>
      </c>
      <c r="G37" s="10" t="s">
        <v>25</v>
      </c>
      <c r="J37" s="10" t="s">
        <v>204</v>
      </c>
    </row>
    <row r="38" spans="1:10" x14ac:dyDescent="0.35">
      <c r="A38" s="10" t="s">
        <v>218</v>
      </c>
      <c r="B38" s="10" t="s">
        <v>219</v>
      </c>
      <c r="C38" s="10" t="s">
        <v>23</v>
      </c>
      <c r="D38" s="10">
        <v>2.0000000000000001E-4</v>
      </c>
      <c r="E38" s="10" t="s">
        <v>7</v>
      </c>
      <c r="F38" s="10" t="s">
        <v>24</v>
      </c>
      <c r="G38" s="10" t="s">
        <v>25</v>
      </c>
      <c r="J38" s="10" t="s">
        <v>204</v>
      </c>
    </row>
    <row r="39" spans="1:10" x14ac:dyDescent="0.35">
      <c r="A39" s="10" t="s">
        <v>46</v>
      </c>
      <c r="B39" s="10" t="s">
        <v>47</v>
      </c>
      <c r="C39" s="10" t="s">
        <v>4</v>
      </c>
      <c r="D39" s="10">
        <v>3.0499999999999999E-2</v>
      </c>
      <c r="E39" s="10" t="s">
        <v>39</v>
      </c>
      <c r="F39" s="10" t="s">
        <v>24</v>
      </c>
      <c r="G39" s="10" t="s">
        <v>25</v>
      </c>
      <c r="J39" s="10" t="s">
        <v>204</v>
      </c>
    </row>
    <row r="40" spans="1:10" x14ac:dyDescent="0.35">
      <c r="A40" s="10" t="s">
        <v>36</v>
      </c>
      <c r="B40" s="10" t="s">
        <v>37</v>
      </c>
      <c r="C40" s="10" t="s">
        <v>4</v>
      </c>
      <c r="D40" s="10">
        <v>5.79E-2</v>
      </c>
      <c r="E40" s="10" t="s">
        <v>38</v>
      </c>
      <c r="F40" s="10" t="s">
        <v>24</v>
      </c>
      <c r="G40" s="10" t="s">
        <v>25</v>
      </c>
      <c r="J40" s="10" t="s">
        <v>204</v>
      </c>
    </row>
    <row r="41" spans="1:10" x14ac:dyDescent="0.35">
      <c r="A41" s="10" t="s">
        <v>220</v>
      </c>
      <c r="B41" s="10" t="s">
        <v>221</v>
      </c>
      <c r="C41" s="10" t="s">
        <v>23</v>
      </c>
      <c r="D41" s="10">
        <v>-1.3592999999999999E-2</v>
      </c>
      <c r="E41" s="10" t="s">
        <v>7</v>
      </c>
      <c r="F41" s="10" t="s">
        <v>24</v>
      </c>
      <c r="G41" s="10" t="s">
        <v>25</v>
      </c>
      <c r="J41" s="10" t="s">
        <v>204</v>
      </c>
    </row>
    <row r="42" spans="1:10" x14ac:dyDescent="0.35">
      <c r="A42" s="10" t="s">
        <v>60</v>
      </c>
      <c r="D42" s="10">
        <v>4.4320000000000003E-5</v>
      </c>
      <c r="E42" s="10" t="s">
        <v>7</v>
      </c>
      <c r="F42" s="10" t="s">
        <v>41</v>
      </c>
      <c r="G42" s="10" t="s">
        <v>42</v>
      </c>
      <c r="H42" s="10" t="s">
        <v>56</v>
      </c>
      <c r="J42" s="10" t="s">
        <v>204</v>
      </c>
    </row>
    <row r="43" spans="1:10" x14ac:dyDescent="0.35">
      <c r="A43" s="10" t="s">
        <v>55</v>
      </c>
      <c r="D43" s="10">
        <v>1.9455000000000001E-4</v>
      </c>
      <c r="E43" s="10" t="s">
        <v>7</v>
      </c>
      <c r="F43" s="10" t="s">
        <v>41</v>
      </c>
      <c r="G43" s="10" t="s">
        <v>42</v>
      </c>
      <c r="H43" s="10" t="s">
        <v>56</v>
      </c>
      <c r="J43" s="10" t="s">
        <v>204</v>
      </c>
    </row>
    <row r="44" spans="1:10" x14ac:dyDescent="0.35">
      <c r="A44" s="10" t="s">
        <v>83</v>
      </c>
      <c r="D44" s="10">
        <v>2.0786000000000001E-4</v>
      </c>
      <c r="E44" s="10" t="s">
        <v>7</v>
      </c>
      <c r="F44" s="10" t="s">
        <v>41</v>
      </c>
      <c r="G44" s="10" t="s">
        <v>42</v>
      </c>
      <c r="H44" s="10" t="s">
        <v>56</v>
      </c>
      <c r="J44" s="10" t="s">
        <v>204</v>
      </c>
    </row>
    <row r="45" spans="1:10" s="19" customFormat="1" x14ac:dyDescent="0.35"/>
    <row r="46" spans="1:10" x14ac:dyDescent="0.35">
      <c r="A46" s="9" t="s">
        <v>0</v>
      </c>
      <c r="B46" s="9" t="s">
        <v>222</v>
      </c>
    </row>
    <row r="47" spans="1:10" x14ac:dyDescent="0.35">
      <c r="A47" s="18" t="s">
        <v>1</v>
      </c>
      <c r="B47" s="10" t="s">
        <v>223</v>
      </c>
    </row>
    <row r="48" spans="1:10" x14ac:dyDescent="0.35">
      <c r="A48" s="18" t="s">
        <v>3</v>
      </c>
      <c r="B48" s="10" t="s">
        <v>4</v>
      </c>
    </row>
    <row r="49" spans="1:14" x14ac:dyDescent="0.35">
      <c r="A49" s="18" t="s">
        <v>5</v>
      </c>
      <c r="B49" s="10">
        <v>-1</v>
      </c>
    </row>
    <row r="50" spans="1:14" x14ac:dyDescent="0.35">
      <c r="A50" s="18" t="s">
        <v>6</v>
      </c>
      <c r="B50" s="10" t="s">
        <v>39</v>
      </c>
    </row>
    <row r="51" spans="1:14" ht="72.5" x14ac:dyDescent="0.35">
      <c r="A51" s="18" t="s">
        <v>8</v>
      </c>
      <c r="B51" s="20" t="s">
        <v>250</v>
      </c>
    </row>
    <row r="52" spans="1:14" x14ac:dyDescent="0.35">
      <c r="A52" s="18" t="s">
        <v>9</v>
      </c>
    </row>
    <row r="53" spans="1:14" x14ac:dyDescent="0.35">
      <c r="A53" s="9" t="s">
        <v>10</v>
      </c>
      <c r="B53" s="9" t="s">
        <v>1</v>
      </c>
      <c r="C53" s="9" t="s">
        <v>3</v>
      </c>
      <c r="D53" s="9" t="s">
        <v>5</v>
      </c>
      <c r="E53" s="9" t="s">
        <v>6</v>
      </c>
      <c r="F53" s="9" t="s">
        <v>11</v>
      </c>
      <c r="G53" s="9" t="s">
        <v>12</v>
      </c>
      <c r="H53" s="9" t="s">
        <v>13</v>
      </c>
      <c r="I53" s="9" t="s">
        <v>14</v>
      </c>
      <c r="J53" s="9" t="s">
        <v>15</v>
      </c>
      <c r="K53" s="9" t="s">
        <v>16</v>
      </c>
      <c r="L53" s="9" t="s">
        <v>17</v>
      </c>
      <c r="M53" s="9" t="s">
        <v>18</v>
      </c>
      <c r="N53" s="9" t="s">
        <v>19</v>
      </c>
    </row>
    <row r="54" spans="1:14" x14ac:dyDescent="0.35">
      <c r="A54" s="10" t="s">
        <v>222</v>
      </c>
      <c r="B54" s="10" t="s">
        <v>223</v>
      </c>
      <c r="C54" s="10" t="s">
        <v>4</v>
      </c>
      <c r="D54" s="10">
        <v>-1</v>
      </c>
      <c r="E54" s="10" t="s">
        <v>39</v>
      </c>
      <c r="F54" s="11" t="str">
        <f>F33</f>
        <v>Lead</v>
      </c>
      <c r="G54" s="10" t="s">
        <v>20</v>
      </c>
    </row>
    <row r="55" spans="1:14" x14ac:dyDescent="0.35">
      <c r="A55" s="10" t="s">
        <v>224</v>
      </c>
      <c r="B55" s="10" t="s">
        <v>225</v>
      </c>
      <c r="C55" s="10" t="s">
        <v>30</v>
      </c>
      <c r="D55" s="10">
        <v>2.1999999999999999E-5</v>
      </c>
      <c r="E55" s="10" t="s">
        <v>7</v>
      </c>
      <c r="F55" s="10" t="s">
        <v>24</v>
      </c>
      <c r="G55" s="10" t="s">
        <v>25</v>
      </c>
      <c r="J55" s="10" t="s">
        <v>204</v>
      </c>
    </row>
    <row r="56" spans="1:14" x14ac:dyDescent="0.35">
      <c r="A56" s="10" t="s">
        <v>220</v>
      </c>
      <c r="B56" s="10" t="s">
        <v>221</v>
      </c>
      <c r="C56" s="10" t="s">
        <v>23</v>
      </c>
      <c r="D56" s="10">
        <v>-0.81689999999999996</v>
      </c>
      <c r="E56" s="10" t="s">
        <v>7</v>
      </c>
      <c r="F56" s="10" t="s">
        <v>24</v>
      </c>
      <c r="G56" s="10" t="s">
        <v>25</v>
      </c>
      <c r="J56" s="10" t="s">
        <v>204</v>
      </c>
    </row>
    <row r="57" spans="1:14" x14ac:dyDescent="0.35">
      <c r="A57" s="10" t="s">
        <v>60</v>
      </c>
      <c r="D57" s="10">
        <v>1.4923000000000001E-4</v>
      </c>
      <c r="E57" s="10" t="s">
        <v>7</v>
      </c>
      <c r="F57" s="10" t="s">
        <v>41</v>
      </c>
      <c r="G57" s="10" t="s">
        <v>42</v>
      </c>
      <c r="H57" s="10" t="s">
        <v>56</v>
      </c>
      <c r="J57" s="10" t="s">
        <v>204</v>
      </c>
    </row>
    <row r="58" spans="1:14" x14ac:dyDescent="0.35">
      <c r="A58" s="10" t="s">
        <v>55</v>
      </c>
      <c r="D58" s="10">
        <v>5.4339999999999998E-4</v>
      </c>
      <c r="E58" s="10" t="s">
        <v>7</v>
      </c>
      <c r="F58" s="10" t="s">
        <v>41</v>
      </c>
      <c r="G58" s="10" t="s">
        <v>42</v>
      </c>
      <c r="H58" s="10" t="s">
        <v>56</v>
      </c>
      <c r="J58" s="10" t="s">
        <v>204</v>
      </c>
    </row>
    <row r="59" spans="1:14" x14ac:dyDescent="0.35">
      <c r="A59" s="10" t="s">
        <v>83</v>
      </c>
      <c r="D59" s="10">
        <v>1.874E-4</v>
      </c>
      <c r="E59" s="10" t="s">
        <v>7</v>
      </c>
      <c r="F59" s="10" t="s">
        <v>41</v>
      </c>
      <c r="G59" s="10" t="s">
        <v>42</v>
      </c>
      <c r="H59" s="10" t="s">
        <v>56</v>
      </c>
      <c r="J59" s="10" t="s">
        <v>204</v>
      </c>
    </row>
    <row r="60" spans="1:14" s="12" customFormat="1" x14ac:dyDescent="0.35"/>
    <row r="61" spans="1:14" x14ac:dyDescent="0.35">
      <c r="A61" s="9" t="s">
        <v>0</v>
      </c>
      <c r="B61" s="9" t="s">
        <v>226</v>
      </c>
    </row>
    <row r="62" spans="1:14" x14ac:dyDescent="0.35">
      <c r="A62" s="18" t="s">
        <v>1</v>
      </c>
      <c r="B62" s="10" t="s">
        <v>162</v>
      </c>
    </row>
    <row r="63" spans="1:14" x14ac:dyDescent="0.35">
      <c r="A63" s="18" t="s">
        <v>3</v>
      </c>
      <c r="B63" s="10" t="s">
        <v>4</v>
      </c>
    </row>
    <row r="64" spans="1:14" x14ac:dyDescent="0.35">
      <c r="A64" s="18" t="s">
        <v>5</v>
      </c>
      <c r="B64" s="10">
        <v>1</v>
      </c>
    </row>
    <row r="65" spans="1:14" x14ac:dyDescent="0.35">
      <c r="A65" s="18" t="s">
        <v>6</v>
      </c>
      <c r="B65" s="10" t="s">
        <v>7</v>
      </c>
    </row>
    <row r="66" spans="1:14" x14ac:dyDescent="0.35">
      <c r="A66" s="18" t="s">
        <v>8</v>
      </c>
      <c r="B66" s="10" t="s">
        <v>74</v>
      </c>
    </row>
    <row r="67" spans="1:14" x14ac:dyDescent="0.35">
      <c r="A67" s="18" t="s">
        <v>9</v>
      </c>
    </row>
    <row r="68" spans="1:14" x14ac:dyDescent="0.35">
      <c r="A68" s="9" t="s">
        <v>10</v>
      </c>
      <c r="B68" s="9" t="s">
        <v>1</v>
      </c>
      <c r="C68" s="9" t="s">
        <v>3</v>
      </c>
      <c r="D68" s="9" t="s">
        <v>5</v>
      </c>
      <c r="E68" s="9" t="s">
        <v>6</v>
      </c>
      <c r="F68" s="9" t="s">
        <v>11</v>
      </c>
      <c r="G68" s="9" t="s">
        <v>12</v>
      </c>
      <c r="H68" s="9" t="s">
        <v>13</v>
      </c>
      <c r="I68" s="9" t="s">
        <v>14</v>
      </c>
      <c r="J68" s="9" t="s">
        <v>15</v>
      </c>
      <c r="K68" s="9" t="s">
        <v>16</v>
      </c>
      <c r="L68" s="9" t="s">
        <v>17</v>
      </c>
      <c r="M68" s="9" t="s">
        <v>18</v>
      </c>
      <c r="N68" s="9" t="s">
        <v>19</v>
      </c>
    </row>
    <row r="69" spans="1:14" x14ac:dyDescent="0.35">
      <c r="A69" s="10" t="s">
        <v>226</v>
      </c>
      <c r="B69" s="10" t="s">
        <v>162</v>
      </c>
      <c r="C69" s="10" t="s">
        <v>4</v>
      </c>
      <c r="D69" s="10">
        <v>1</v>
      </c>
      <c r="E69" s="10" t="s">
        <v>7</v>
      </c>
      <c r="F69" s="11" t="str">
        <f>F54</f>
        <v>Lead</v>
      </c>
      <c r="G69" s="10" t="s">
        <v>20</v>
      </c>
    </row>
    <row r="70" spans="1:14" x14ac:dyDescent="0.35">
      <c r="A70" s="10" t="str">
        <f>A33</f>
        <v>[P+R] Refined Pb production - Refining</v>
      </c>
      <c r="B70" s="10" t="str">
        <f>B33</f>
        <v>Refined Pb</v>
      </c>
      <c r="C70" s="10" t="str">
        <f>C33</f>
        <v>CN</v>
      </c>
      <c r="D70" s="10">
        <v>1</v>
      </c>
      <c r="E70" s="10" t="str">
        <f>E33</f>
        <v>kilogram</v>
      </c>
      <c r="F70" s="11" t="str">
        <f>F33</f>
        <v>Lead</v>
      </c>
      <c r="G70" s="10" t="s">
        <v>25</v>
      </c>
    </row>
    <row r="71" spans="1:14" x14ac:dyDescent="0.35">
      <c r="A71" s="10" t="str">
        <f>A9</f>
        <v>[P+R] Crude Lead (Pb) production - Smelting</v>
      </c>
      <c r="B71" s="10" t="str">
        <f>B9</f>
        <v>Crude Pb</v>
      </c>
      <c r="C71" s="10" t="str">
        <f>C9</f>
        <v>CN</v>
      </c>
      <c r="D71" s="10">
        <v>0.29119</v>
      </c>
      <c r="E71" s="10" t="str">
        <f>E9</f>
        <v>kilogram</v>
      </c>
      <c r="F71" s="11" t="str">
        <f>F9</f>
        <v>Lead</v>
      </c>
      <c r="G71" s="10" t="s">
        <v>25</v>
      </c>
    </row>
    <row r="72" spans="1:14" x14ac:dyDescent="0.35">
      <c r="A72" s="10" t="str">
        <f>A54</f>
        <v>Effluent treatment</v>
      </c>
      <c r="B72" s="10" t="str">
        <f>B54</f>
        <v>Effluent</v>
      </c>
      <c r="C72" s="10" t="str">
        <f>C54</f>
        <v>CN</v>
      </c>
      <c r="D72" s="10">
        <v>-1</v>
      </c>
      <c r="E72" s="10" t="str">
        <f>E54</f>
        <v>cubic meter</v>
      </c>
      <c r="F72" s="11" t="str">
        <f>F54</f>
        <v>Lead</v>
      </c>
      <c r="G72" s="10" t="s">
        <v>25</v>
      </c>
    </row>
    <row r="73" spans="1:14" x14ac:dyDescent="0.35">
      <c r="A73" s="10" t="str">
        <f>PR1_Pb_CN_Jiangxi!A9</f>
        <v>[M+C] Lead (Pb) ore mining and concentration (Jiangxi)</v>
      </c>
      <c r="B73" s="10" t="str">
        <f>PR1_Pb_CN_Jiangxi!B9</f>
        <v>Pb concentrate</v>
      </c>
      <c r="C73" s="10" t="str">
        <f>PR1_Pb_CN_Jiangxi!C9</f>
        <v>CN</v>
      </c>
      <c r="D73" s="10">
        <v>1.0499999999999998</v>
      </c>
      <c r="E73" s="10" t="s">
        <v>7</v>
      </c>
      <c r="F73" s="11" t="str">
        <f>PR1_Pb_CN_Jiangxi!F9</f>
        <v>Lead</v>
      </c>
      <c r="G73" s="10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0CDC-D8BB-4A1C-AC63-F888A45C266B}">
  <sheetPr>
    <tabColor theme="8" tint="0.39997558519241921"/>
  </sheetPr>
  <dimension ref="A1:N48"/>
  <sheetViews>
    <sheetView workbookViewId="0">
      <selection activeCell="F1" sqref="F1"/>
    </sheetView>
  </sheetViews>
  <sheetFormatPr baseColWidth="10" defaultColWidth="8.54296875" defaultRowHeight="14.5" x14ac:dyDescent="0.35"/>
  <cols>
    <col min="1" max="1" width="56.54296875" style="1" bestFit="1" customWidth="1"/>
    <col min="2" max="2" width="49.453125" style="1" bestFit="1" customWidth="1"/>
    <col min="3" max="3" width="7.54296875" style="1" bestFit="1" customWidth="1"/>
    <col min="4" max="4" width="11.81640625" style="1" bestFit="1" customWidth="1"/>
    <col min="5" max="5" width="12" style="1" bestFit="1" customWidth="1"/>
    <col min="6" max="6" width="18.453125" style="1" bestFit="1" customWidth="1"/>
    <col min="7" max="7" width="12.26953125" style="1" bestFit="1" customWidth="1"/>
    <col min="8" max="8" width="23.81640625" style="1" bestFit="1" customWidth="1"/>
    <col min="9" max="9" width="14.54296875" style="1" bestFit="1" customWidth="1"/>
    <col min="10" max="10" width="8.81640625" style="1" bestFit="1" customWidth="1"/>
    <col min="11" max="11" width="3.453125" style="1" bestFit="1" customWidth="1"/>
    <col min="12" max="12" width="5" style="1" bestFit="1" customWidth="1"/>
    <col min="13" max="13" width="8.81640625" style="1" bestFit="1" customWidth="1"/>
    <col min="14" max="14" width="9.26953125" style="1" bestFit="1" customWidth="1"/>
    <col min="15" max="16384" width="8.54296875" style="1"/>
  </cols>
  <sheetData>
    <row r="1" spans="1:14" x14ac:dyDescent="0.35">
      <c r="A1" s="2" t="s">
        <v>0</v>
      </c>
      <c r="B1" s="2" t="s">
        <v>227</v>
      </c>
    </row>
    <row r="2" spans="1:14" x14ac:dyDescent="0.35">
      <c r="A2" s="3" t="s">
        <v>1</v>
      </c>
      <c r="B2" s="1" t="s">
        <v>162</v>
      </c>
    </row>
    <row r="3" spans="1:14" x14ac:dyDescent="0.35">
      <c r="A3" s="3" t="s">
        <v>3</v>
      </c>
      <c r="B3" s="1" t="s">
        <v>4</v>
      </c>
    </row>
    <row r="4" spans="1:14" x14ac:dyDescent="0.35">
      <c r="A4" s="3" t="s">
        <v>5</v>
      </c>
      <c r="B4" s="1">
        <v>1</v>
      </c>
    </row>
    <row r="5" spans="1:14" x14ac:dyDescent="0.35">
      <c r="A5" s="3" t="s">
        <v>6</v>
      </c>
      <c r="B5" s="1" t="s">
        <v>7</v>
      </c>
    </row>
    <row r="6" spans="1:14" x14ac:dyDescent="0.35">
      <c r="A6" s="3" t="s">
        <v>8</v>
      </c>
      <c r="B6" s="1" t="s">
        <v>74</v>
      </c>
    </row>
    <row r="7" spans="1:14" x14ac:dyDescent="0.35">
      <c r="A7" s="3" t="s">
        <v>9</v>
      </c>
    </row>
    <row r="8" spans="1:14" x14ac:dyDescent="0.35">
      <c r="A8" s="2" t="s">
        <v>10</v>
      </c>
      <c r="B8" s="2" t="s">
        <v>1</v>
      </c>
      <c r="C8" s="2" t="s">
        <v>3</v>
      </c>
      <c r="D8" s="2" t="s">
        <v>5</v>
      </c>
      <c r="E8" s="2" t="s">
        <v>6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35">
      <c r="A9" s="1" t="s">
        <v>227</v>
      </c>
      <c r="B9" s="1" t="s">
        <v>162</v>
      </c>
      <c r="C9" s="1" t="s">
        <v>4</v>
      </c>
      <c r="D9" s="1">
        <v>1</v>
      </c>
      <c r="E9" s="1" t="s">
        <v>7</v>
      </c>
      <c r="F9" s="4" t="str">
        <f>Pb_Market_GLO!B1</f>
        <v>Lead</v>
      </c>
      <c r="G9" s="1" t="s">
        <v>20</v>
      </c>
    </row>
    <row r="10" spans="1:14" x14ac:dyDescent="0.35">
      <c r="A10" s="1" t="s">
        <v>193</v>
      </c>
      <c r="B10" s="1" t="s">
        <v>194</v>
      </c>
      <c r="C10" s="1" t="s">
        <v>4</v>
      </c>
      <c r="D10" s="1">
        <v>3.0130000000000001E-2</v>
      </c>
      <c r="E10" s="1" t="s">
        <v>7</v>
      </c>
      <c r="F10" s="1" t="s">
        <v>24</v>
      </c>
      <c r="G10" s="1" t="s">
        <v>25</v>
      </c>
      <c r="J10" s="1" t="s">
        <v>168</v>
      </c>
    </row>
    <row r="11" spans="1:14" x14ac:dyDescent="0.35">
      <c r="A11" s="1" t="s">
        <v>36</v>
      </c>
      <c r="B11" s="1" t="s">
        <v>37</v>
      </c>
      <c r="C11" s="1" t="s">
        <v>4</v>
      </c>
      <c r="D11" s="1">
        <v>5.2789999999999997E-2</v>
      </c>
      <c r="E11" s="1" t="s">
        <v>38</v>
      </c>
      <c r="F11" s="1" t="s">
        <v>24</v>
      </c>
      <c r="G11" s="1" t="s">
        <v>25</v>
      </c>
      <c r="J11" s="1" t="s">
        <v>228</v>
      </c>
    </row>
    <row r="12" spans="1:14" x14ac:dyDescent="0.35">
      <c r="A12" s="1" t="s">
        <v>229</v>
      </c>
      <c r="B12" s="1" t="s">
        <v>230</v>
      </c>
      <c r="C12" s="1" t="s">
        <v>23</v>
      </c>
      <c r="D12" s="1">
        <v>0.15</v>
      </c>
      <c r="E12" s="1" t="s">
        <v>7</v>
      </c>
      <c r="F12" s="1" t="s">
        <v>24</v>
      </c>
      <c r="G12" s="1" t="s">
        <v>25</v>
      </c>
      <c r="J12" s="1" t="s">
        <v>231</v>
      </c>
    </row>
    <row r="13" spans="1:14" x14ac:dyDescent="0.35">
      <c r="A13" s="1" t="s">
        <v>224</v>
      </c>
      <c r="B13" s="1" t="s">
        <v>225</v>
      </c>
      <c r="C13" s="1" t="s">
        <v>30</v>
      </c>
      <c r="D13" s="1">
        <v>1.2999999999999999E-3</v>
      </c>
      <c r="E13" s="1" t="s">
        <v>7</v>
      </c>
      <c r="F13" s="1" t="s">
        <v>24</v>
      </c>
      <c r="G13" s="1" t="s">
        <v>25</v>
      </c>
      <c r="J13" s="1" t="s">
        <v>228</v>
      </c>
    </row>
    <row r="14" spans="1:14" x14ac:dyDescent="0.35">
      <c r="A14" s="1" t="s">
        <v>232</v>
      </c>
      <c r="B14" s="1" t="s">
        <v>233</v>
      </c>
      <c r="C14" s="1" t="s">
        <v>23</v>
      </c>
      <c r="D14" s="1">
        <v>2.6880000000000001E-2</v>
      </c>
      <c r="E14" s="1" t="s">
        <v>7</v>
      </c>
      <c r="F14" s="1" t="s">
        <v>24</v>
      </c>
      <c r="G14" s="1" t="s">
        <v>25</v>
      </c>
      <c r="J14" s="1" t="s">
        <v>234</v>
      </c>
    </row>
    <row r="15" spans="1:14" x14ac:dyDescent="0.35">
      <c r="A15" s="1" t="s">
        <v>235</v>
      </c>
      <c r="B15" s="1" t="s">
        <v>236</v>
      </c>
      <c r="C15" s="1" t="s">
        <v>23</v>
      </c>
      <c r="D15" s="1">
        <v>1.82E-3</v>
      </c>
      <c r="E15" s="1" t="s">
        <v>7</v>
      </c>
      <c r="F15" s="1" t="s">
        <v>24</v>
      </c>
      <c r="G15" s="1" t="s">
        <v>25</v>
      </c>
      <c r="J15" s="1" t="s">
        <v>237</v>
      </c>
    </row>
    <row r="16" spans="1:14" x14ac:dyDescent="0.35">
      <c r="A16" s="1" t="s">
        <v>46</v>
      </c>
      <c r="B16" s="1" t="s">
        <v>47</v>
      </c>
      <c r="C16" s="1" t="s">
        <v>4</v>
      </c>
      <c r="D16" s="1">
        <v>6.5769999999999995E-2</v>
      </c>
      <c r="E16" s="1" t="s">
        <v>39</v>
      </c>
      <c r="F16" s="1" t="s">
        <v>24</v>
      </c>
      <c r="G16" s="1" t="s">
        <v>25</v>
      </c>
      <c r="J16" s="1" t="s">
        <v>234</v>
      </c>
    </row>
    <row r="17" spans="1:10" x14ac:dyDescent="0.35">
      <c r="A17" s="1" t="s">
        <v>238</v>
      </c>
      <c r="B17" s="1" t="s">
        <v>239</v>
      </c>
      <c r="C17" s="1" t="s">
        <v>30</v>
      </c>
      <c r="D17" s="1">
        <v>1.91E-3</v>
      </c>
      <c r="E17" s="1" t="s">
        <v>7</v>
      </c>
      <c r="F17" s="1" t="s">
        <v>24</v>
      </c>
      <c r="G17" s="1" t="s">
        <v>25</v>
      </c>
      <c r="J17" s="1" t="s">
        <v>228</v>
      </c>
    </row>
    <row r="18" spans="1:10" x14ac:dyDescent="0.35">
      <c r="A18" s="1" t="s">
        <v>96</v>
      </c>
      <c r="B18" s="1" t="s">
        <v>97</v>
      </c>
      <c r="C18" s="1" t="s">
        <v>30</v>
      </c>
      <c r="D18" s="1">
        <v>2.48E-3</v>
      </c>
      <c r="E18" s="1" t="s">
        <v>7</v>
      </c>
      <c r="F18" s="1" t="s">
        <v>24</v>
      </c>
      <c r="G18" s="1" t="s">
        <v>25</v>
      </c>
      <c r="J18" s="1" t="s">
        <v>231</v>
      </c>
    </row>
    <row r="19" spans="1:10" x14ac:dyDescent="0.35">
      <c r="A19" s="1" t="s">
        <v>240</v>
      </c>
      <c r="B19" s="1" t="s">
        <v>241</v>
      </c>
      <c r="C19" s="1" t="s">
        <v>23</v>
      </c>
      <c r="D19" s="1">
        <v>6.6299999999999992E-6</v>
      </c>
      <c r="E19" s="1" t="s">
        <v>7</v>
      </c>
      <c r="F19" s="1" t="s">
        <v>24</v>
      </c>
      <c r="G19" s="1" t="s">
        <v>25</v>
      </c>
      <c r="J19" s="1" t="s">
        <v>234</v>
      </c>
    </row>
    <row r="20" spans="1:10" x14ac:dyDescent="0.35">
      <c r="A20" s="1" t="s">
        <v>242</v>
      </c>
      <c r="B20" s="1" t="s">
        <v>243</v>
      </c>
      <c r="C20" s="1" t="s">
        <v>30</v>
      </c>
      <c r="D20" s="1">
        <v>8.8000000000000003E-4</v>
      </c>
      <c r="E20" s="1" t="s">
        <v>7</v>
      </c>
      <c r="F20" s="1" t="s">
        <v>24</v>
      </c>
      <c r="G20" s="1" t="s">
        <v>25</v>
      </c>
      <c r="J20" s="1" t="s">
        <v>237</v>
      </c>
    </row>
    <row r="21" spans="1:10" x14ac:dyDescent="0.35">
      <c r="A21" s="1" t="s">
        <v>187</v>
      </c>
      <c r="B21" s="1" t="s">
        <v>188</v>
      </c>
      <c r="C21" s="1" t="s">
        <v>30</v>
      </c>
      <c r="D21" s="1">
        <v>-1.9000000000000001E-4</v>
      </c>
      <c r="E21" s="1" t="s">
        <v>7</v>
      </c>
      <c r="F21" s="1" t="s">
        <v>24</v>
      </c>
      <c r="G21" s="1" t="s">
        <v>25</v>
      </c>
      <c r="J21" s="1" t="s">
        <v>234</v>
      </c>
    </row>
    <row r="22" spans="1:10" x14ac:dyDescent="0.35">
      <c r="A22" s="1" t="s">
        <v>81</v>
      </c>
      <c r="B22" s="1" t="s">
        <v>82</v>
      </c>
      <c r="C22" s="1" t="s">
        <v>30</v>
      </c>
      <c r="D22" s="1">
        <v>-5.0099999999999997E-3</v>
      </c>
      <c r="E22" s="1" t="s">
        <v>7</v>
      </c>
      <c r="F22" s="1" t="s">
        <v>24</v>
      </c>
      <c r="G22" s="1" t="s">
        <v>25</v>
      </c>
      <c r="J22" s="1" t="s">
        <v>234</v>
      </c>
    </row>
    <row r="23" spans="1:10" x14ac:dyDescent="0.35">
      <c r="A23" s="1" t="s">
        <v>187</v>
      </c>
      <c r="B23" s="1" t="s">
        <v>188</v>
      </c>
      <c r="C23" s="1" t="s">
        <v>30</v>
      </c>
      <c r="D23" s="1">
        <v>-5.8990000000000001E-2</v>
      </c>
      <c r="E23" s="1" t="s">
        <v>7</v>
      </c>
      <c r="F23" s="1" t="s">
        <v>24</v>
      </c>
      <c r="G23" s="1" t="s">
        <v>25</v>
      </c>
      <c r="J23" s="1" t="s">
        <v>234</v>
      </c>
    </row>
    <row r="24" spans="1:10" x14ac:dyDescent="0.35">
      <c r="A24" s="1" t="s">
        <v>187</v>
      </c>
      <c r="B24" s="1" t="s">
        <v>188</v>
      </c>
      <c r="C24" s="1" t="s">
        <v>30</v>
      </c>
      <c r="D24" s="1">
        <v>-5.0099999999999997E-3</v>
      </c>
      <c r="E24" s="1" t="s">
        <v>7</v>
      </c>
      <c r="F24" s="1" t="s">
        <v>24</v>
      </c>
      <c r="G24" s="1" t="s">
        <v>25</v>
      </c>
      <c r="J24" s="1" t="s">
        <v>234</v>
      </c>
    </row>
    <row r="25" spans="1:10" x14ac:dyDescent="0.35">
      <c r="A25" s="1" t="s">
        <v>244</v>
      </c>
      <c r="B25" s="1" t="s">
        <v>221</v>
      </c>
      <c r="C25" s="1" t="s">
        <v>23</v>
      </c>
      <c r="D25" s="1">
        <v>-0.41</v>
      </c>
      <c r="E25" s="1" t="s">
        <v>7</v>
      </c>
      <c r="F25" s="1" t="s">
        <v>24</v>
      </c>
      <c r="G25" s="1" t="s">
        <v>25</v>
      </c>
      <c r="J25" s="1" t="s">
        <v>234</v>
      </c>
    </row>
    <row r="26" spans="1:10" x14ac:dyDescent="0.35">
      <c r="A26" s="1" t="s">
        <v>187</v>
      </c>
      <c r="B26" s="1" t="s">
        <v>188</v>
      </c>
      <c r="C26" s="1" t="s">
        <v>30</v>
      </c>
      <c r="D26" s="1">
        <v>-5.62E-3</v>
      </c>
      <c r="E26" s="1" t="s">
        <v>7</v>
      </c>
      <c r="F26" s="1" t="s">
        <v>24</v>
      </c>
      <c r="G26" s="1" t="s">
        <v>25</v>
      </c>
      <c r="J26" s="1" t="s">
        <v>234</v>
      </c>
    </row>
    <row r="27" spans="1:10" x14ac:dyDescent="0.35">
      <c r="A27" s="1" t="s">
        <v>189</v>
      </c>
      <c r="D27" s="1">
        <v>3.0000000000000001E-5</v>
      </c>
      <c r="E27" s="1" t="s">
        <v>190</v>
      </c>
      <c r="F27" s="1" t="s">
        <v>41</v>
      </c>
      <c r="G27" s="1" t="s">
        <v>42</v>
      </c>
      <c r="H27" s="1" t="s">
        <v>45</v>
      </c>
      <c r="J27" s="1" t="s">
        <v>168</v>
      </c>
    </row>
    <row r="28" spans="1:10" x14ac:dyDescent="0.35">
      <c r="A28" s="1" t="s">
        <v>191</v>
      </c>
      <c r="D28" s="1">
        <v>3.0000000000000001E-5</v>
      </c>
      <c r="E28" s="1" t="s">
        <v>190</v>
      </c>
      <c r="F28" s="1" t="s">
        <v>41</v>
      </c>
      <c r="G28" s="1" t="s">
        <v>42</v>
      </c>
      <c r="H28" s="1" t="s">
        <v>45</v>
      </c>
      <c r="J28" s="1" t="s">
        <v>168</v>
      </c>
    </row>
    <row r="29" spans="1:10" x14ac:dyDescent="0.35">
      <c r="A29" s="1" t="s">
        <v>44</v>
      </c>
      <c r="D29" s="1">
        <v>7.9000000000000001E-4</v>
      </c>
      <c r="E29" s="1" t="s">
        <v>39</v>
      </c>
      <c r="F29" s="1" t="s">
        <v>41</v>
      </c>
      <c r="G29" s="1" t="s">
        <v>42</v>
      </c>
      <c r="H29" s="1" t="s">
        <v>43</v>
      </c>
      <c r="J29" s="1" t="s">
        <v>234</v>
      </c>
    </row>
    <row r="30" spans="1:10" x14ac:dyDescent="0.35">
      <c r="A30" s="1" t="s">
        <v>115</v>
      </c>
      <c r="D30" s="1">
        <v>2.4299999999999999E-2</v>
      </c>
      <c r="E30" s="1" t="s">
        <v>7</v>
      </c>
      <c r="F30" s="1" t="s">
        <v>41</v>
      </c>
      <c r="G30" s="1" t="s">
        <v>42</v>
      </c>
      <c r="H30" s="1" t="s">
        <v>56</v>
      </c>
      <c r="J30" s="1" t="s">
        <v>237</v>
      </c>
    </row>
    <row r="31" spans="1:10" x14ac:dyDescent="0.35">
      <c r="A31" s="1" t="s">
        <v>58</v>
      </c>
      <c r="D31" s="1">
        <v>7.9999999999999996E-6</v>
      </c>
      <c r="E31" s="1" t="s">
        <v>7</v>
      </c>
      <c r="F31" s="1" t="s">
        <v>41</v>
      </c>
      <c r="G31" s="1" t="s">
        <v>42</v>
      </c>
      <c r="H31" s="1" t="s">
        <v>56</v>
      </c>
      <c r="J31" s="1" t="s">
        <v>237</v>
      </c>
    </row>
    <row r="32" spans="1:10" x14ac:dyDescent="0.35">
      <c r="A32" s="1" t="s">
        <v>60</v>
      </c>
      <c r="D32" s="1">
        <v>4.4000000000000002E-4</v>
      </c>
      <c r="E32" s="1" t="s">
        <v>7</v>
      </c>
      <c r="F32" s="1" t="s">
        <v>41</v>
      </c>
      <c r="G32" s="1" t="s">
        <v>42</v>
      </c>
      <c r="H32" s="1" t="s">
        <v>56</v>
      </c>
      <c r="J32" s="1" t="s">
        <v>237</v>
      </c>
    </row>
    <row r="33" spans="1:14" x14ac:dyDescent="0.35">
      <c r="A33" s="1" t="s">
        <v>55</v>
      </c>
      <c r="D33" s="1">
        <v>1.3799999999999999E-3</v>
      </c>
      <c r="E33" s="1" t="s">
        <v>7</v>
      </c>
      <c r="F33" s="1" t="s">
        <v>41</v>
      </c>
      <c r="G33" s="1" t="s">
        <v>42</v>
      </c>
      <c r="H33" s="1" t="s">
        <v>56</v>
      </c>
      <c r="J33" s="1" t="s">
        <v>237</v>
      </c>
    </row>
    <row r="34" spans="1:14" x14ac:dyDescent="0.35">
      <c r="A34" s="1" t="s">
        <v>83</v>
      </c>
      <c r="D34" s="1">
        <v>1.0200000000000001E-3</v>
      </c>
      <c r="E34" s="1" t="s">
        <v>7</v>
      </c>
      <c r="F34" s="1" t="s">
        <v>41</v>
      </c>
      <c r="G34" s="1" t="s">
        <v>42</v>
      </c>
      <c r="H34" s="1" t="s">
        <v>56</v>
      </c>
      <c r="J34" s="1" t="s">
        <v>237</v>
      </c>
    </row>
    <row r="35" spans="1:14" x14ac:dyDescent="0.35">
      <c r="A35" s="1" t="s">
        <v>63</v>
      </c>
      <c r="D35" s="1">
        <v>3.6899999999999998E-6</v>
      </c>
      <c r="E35" s="1" t="s">
        <v>7</v>
      </c>
      <c r="F35" s="1" t="s">
        <v>41</v>
      </c>
      <c r="G35" s="1" t="s">
        <v>42</v>
      </c>
      <c r="H35" s="1" t="s">
        <v>62</v>
      </c>
      <c r="J35" s="1" t="s">
        <v>237</v>
      </c>
    </row>
    <row r="36" spans="1:14" x14ac:dyDescent="0.35">
      <c r="A36" s="1" t="s">
        <v>61</v>
      </c>
      <c r="D36" s="1">
        <v>4.6299999999999997E-6</v>
      </c>
      <c r="E36" s="1" t="s">
        <v>7</v>
      </c>
      <c r="F36" s="1" t="s">
        <v>41</v>
      </c>
      <c r="G36" s="1" t="s">
        <v>42</v>
      </c>
      <c r="H36" s="1" t="s">
        <v>62</v>
      </c>
      <c r="J36" s="1" t="s">
        <v>237</v>
      </c>
    </row>
    <row r="37" spans="1:14" x14ac:dyDescent="0.35">
      <c r="A37" s="1" t="s">
        <v>133</v>
      </c>
      <c r="D37" s="1">
        <v>6.2500000000000005E-7</v>
      </c>
      <c r="E37" s="1" t="s">
        <v>7</v>
      </c>
      <c r="F37" s="1" t="s">
        <v>41</v>
      </c>
      <c r="G37" s="1" t="s">
        <v>42</v>
      </c>
      <c r="H37" s="1" t="s">
        <v>62</v>
      </c>
      <c r="J37" s="1" t="s">
        <v>234</v>
      </c>
    </row>
    <row r="38" spans="1:14" s="8" customFormat="1" x14ac:dyDescent="0.35"/>
    <row r="39" spans="1:14" x14ac:dyDescent="0.35">
      <c r="A39" s="2" t="s">
        <v>0</v>
      </c>
      <c r="B39" s="2" t="s">
        <v>245</v>
      </c>
    </row>
    <row r="40" spans="1:14" x14ac:dyDescent="0.35">
      <c r="A40" s="3" t="s">
        <v>1</v>
      </c>
      <c r="B40" s="1" t="s">
        <v>162</v>
      </c>
    </row>
    <row r="41" spans="1:14" x14ac:dyDescent="0.35">
      <c r="A41" s="3" t="s">
        <v>3</v>
      </c>
      <c r="B41" s="1" t="s">
        <v>4</v>
      </c>
    </row>
    <row r="42" spans="1:14" x14ac:dyDescent="0.35">
      <c r="A42" s="3" t="s">
        <v>5</v>
      </c>
      <c r="B42" s="1">
        <v>1</v>
      </c>
    </row>
    <row r="43" spans="1:14" x14ac:dyDescent="0.35">
      <c r="A43" s="3" t="s">
        <v>6</v>
      </c>
      <c r="B43" s="1" t="s">
        <v>7</v>
      </c>
    </row>
    <row r="44" spans="1:14" x14ac:dyDescent="0.35">
      <c r="A44" s="3" t="s">
        <v>8</v>
      </c>
      <c r="B44" s="1" t="s">
        <v>74</v>
      </c>
    </row>
    <row r="45" spans="1:14" x14ac:dyDescent="0.35">
      <c r="A45" s="3" t="s">
        <v>9</v>
      </c>
    </row>
    <row r="46" spans="1:14" x14ac:dyDescent="0.35">
      <c r="A46" s="2" t="s">
        <v>10</v>
      </c>
      <c r="B46" s="2" t="s">
        <v>1</v>
      </c>
      <c r="C46" s="2" t="s">
        <v>3</v>
      </c>
      <c r="D46" s="2" t="s">
        <v>5</v>
      </c>
      <c r="E46" s="2" t="s">
        <v>6</v>
      </c>
      <c r="F46" s="2" t="s">
        <v>11</v>
      </c>
      <c r="G46" s="2" t="s">
        <v>12</v>
      </c>
      <c r="H46" s="2" t="s">
        <v>13</v>
      </c>
      <c r="I46" s="2" t="s">
        <v>14</v>
      </c>
      <c r="J46" s="2" t="s">
        <v>15</v>
      </c>
      <c r="K46" s="2" t="s">
        <v>16</v>
      </c>
      <c r="L46" s="2" t="s">
        <v>17</v>
      </c>
      <c r="M46" s="2" t="s">
        <v>18</v>
      </c>
      <c r="N46" s="2" t="s">
        <v>19</v>
      </c>
    </row>
    <row r="47" spans="1:14" x14ac:dyDescent="0.35">
      <c r="A47" s="1" t="s">
        <v>245</v>
      </c>
      <c r="B47" s="1" t="s">
        <v>162</v>
      </c>
      <c r="C47" s="1" t="s">
        <v>4</v>
      </c>
      <c r="D47" s="1">
        <v>1</v>
      </c>
      <c r="E47" s="1" t="s">
        <v>7</v>
      </c>
      <c r="F47" s="4" t="str">
        <f>F9</f>
        <v>Lead</v>
      </c>
      <c r="G47" s="1" t="s">
        <v>20</v>
      </c>
    </row>
    <row r="48" spans="1:14" x14ac:dyDescent="0.35">
      <c r="A48" s="1" t="str">
        <f>A9</f>
        <v>[P+R] Lead (Pb) scraps recycling</v>
      </c>
      <c r="B48" s="1" t="str">
        <f t="shared" ref="B48:F48" si="0">B9</f>
        <v>Refined Pb</v>
      </c>
      <c r="C48" s="1" t="str">
        <f t="shared" si="0"/>
        <v>CN</v>
      </c>
      <c r="D48" s="1">
        <f t="shared" si="0"/>
        <v>1</v>
      </c>
      <c r="E48" s="1" t="str">
        <f t="shared" si="0"/>
        <v>kilogram</v>
      </c>
      <c r="F48" s="4" t="str">
        <f t="shared" si="0"/>
        <v>Lead</v>
      </c>
      <c r="G48" s="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1800-BAA3-42D6-AF95-8DF6044380B2}">
  <sheetPr>
    <tabColor theme="8" tint="0.39997558519241921"/>
  </sheetPr>
  <dimension ref="A1:N60"/>
  <sheetViews>
    <sheetView workbookViewId="0">
      <selection activeCell="B8" sqref="B8"/>
    </sheetView>
  </sheetViews>
  <sheetFormatPr baseColWidth="10" defaultColWidth="9.1796875" defaultRowHeight="14.5" x14ac:dyDescent="0.35"/>
  <cols>
    <col min="1" max="1" width="54.453125" style="10" bestFit="1" customWidth="1"/>
    <col min="2" max="2" width="54" style="10" bestFit="1" customWidth="1"/>
    <col min="3" max="3" width="8.1796875" style="10" bestFit="1" customWidth="1"/>
    <col min="4" max="4" width="10" style="10" bestFit="1" customWidth="1"/>
    <col min="5" max="5" width="13.1796875" style="10" bestFit="1" customWidth="1"/>
    <col min="6" max="6" width="19.7265625" style="10" bestFit="1" customWidth="1"/>
    <col min="7" max="7" width="13.26953125" style="10" bestFit="1" customWidth="1"/>
    <col min="8" max="8" width="25.26953125" style="10" bestFit="1" customWidth="1"/>
    <col min="9" max="9" width="15.54296875" style="10" bestFit="1" customWidth="1"/>
    <col min="10" max="10" width="9.7265625" style="10" bestFit="1" customWidth="1"/>
    <col min="11" max="11" width="3.54296875" style="10" bestFit="1" customWidth="1"/>
    <col min="12" max="12" width="5.453125" style="10" bestFit="1" customWidth="1"/>
    <col min="13" max="13" width="9.54296875" style="10" bestFit="1" customWidth="1"/>
    <col min="14" max="14" width="9.81640625" style="10" bestFit="1" customWidth="1"/>
    <col min="15" max="16384" width="9.1796875" style="10"/>
  </cols>
  <sheetData>
    <row r="1" spans="1:14" x14ac:dyDescent="0.35">
      <c r="A1" s="9" t="s">
        <v>0</v>
      </c>
      <c r="B1" s="9" t="s">
        <v>84</v>
      </c>
    </row>
    <row r="2" spans="1:14" x14ac:dyDescent="0.35">
      <c r="A2" s="18" t="s">
        <v>1</v>
      </c>
      <c r="B2" s="10" t="s">
        <v>246</v>
      </c>
    </row>
    <row r="3" spans="1:14" x14ac:dyDescent="0.35">
      <c r="A3" s="18" t="s">
        <v>3</v>
      </c>
      <c r="B3" s="10" t="s">
        <v>4</v>
      </c>
    </row>
    <row r="4" spans="1:14" x14ac:dyDescent="0.35">
      <c r="A4" s="18" t="s">
        <v>5</v>
      </c>
      <c r="B4" s="10">
        <v>1</v>
      </c>
    </row>
    <row r="5" spans="1:14" x14ac:dyDescent="0.35">
      <c r="A5" s="18" t="s">
        <v>6</v>
      </c>
      <c r="B5" s="10" t="s">
        <v>7</v>
      </c>
    </row>
    <row r="6" spans="1:14" ht="72.5" x14ac:dyDescent="0.35">
      <c r="A6" s="18" t="s">
        <v>8</v>
      </c>
      <c r="B6" s="14" t="s">
        <v>356</v>
      </c>
    </row>
    <row r="7" spans="1:14" x14ac:dyDescent="0.35">
      <c r="A7" s="18" t="s">
        <v>9</v>
      </c>
    </row>
    <row r="8" spans="1:14" x14ac:dyDescent="0.35">
      <c r="A8" s="9" t="s">
        <v>10</v>
      </c>
      <c r="B8" s="9" t="s">
        <v>1</v>
      </c>
      <c r="C8" s="9" t="s">
        <v>3</v>
      </c>
      <c r="D8" s="9" t="s">
        <v>5</v>
      </c>
      <c r="E8" s="9" t="s">
        <v>6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  <c r="N8" s="9" t="s">
        <v>19</v>
      </c>
    </row>
    <row r="9" spans="1:14" x14ac:dyDescent="0.35">
      <c r="A9" s="10" t="str">
        <f>B1</f>
        <v>[M+C] Zinc (Zn) ore mining and concentration (Guangdong)</v>
      </c>
      <c r="B9" s="10" t="str">
        <f>B2</f>
        <v>Lead (Pb) concentrate</v>
      </c>
      <c r="C9" s="10" t="s">
        <v>4</v>
      </c>
      <c r="D9" s="10">
        <v>1</v>
      </c>
      <c r="E9" s="10" t="s">
        <v>7</v>
      </c>
      <c r="F9" s="11" t="str">
        <f>Pb_Market_GLO!B1</f>
        <v>Lead</v>
      </c>
      <c r="G9" s="10" t="s">
        <v>20</v>
      </c>
    </row>
    <row r="10" spans="1:14" x14ac:dyDescent="0.35">
      <c r="A10" s="10" t="s">
        <v>33</v>
      </c>
      <c r="B10" s="10" t="s">
        <v>34</v>
      </c>
      <c r="C10" s="10" t="s">
        <v>23</v>
      </c>
      <c r="D10" s="16">
        <v>0.11833873088486414</v>
      </c>
      <c r="E10" s="10" t="s">
        <v>35</v>
      </c>
      <c r="F10" s="10" t="s">
        <v>24</v>
      </c>
      <c r="G10" s="10" t="s">
        <v>25</v>
      </c>
      <c r="J10" s="10" t="s">
        <v>85</v>
      </c>
    </row>
    <row r="11" spans="1:14" x14ac:dyDescent="0.35">
      <c r="A11" s="10" t="s">
        <v>36</v>
      </c>
      <c r="B11" s="10" t="s">
        <v>37</v>
      </c>
      <c r="C11" s="10" t="s">
        <v>4</v>
      </c>
      <c r="D11" s="16">
        <v>0.50099307593783871</v>
      </c>
      <c r="E11" s="10" t="s">
        <v>38</v>
      </c>
      <c r="F11" s="10" t="s">
        <v>24</v>
      </c>
      <c r="G11" s="10" t="s">
        <v>25</v>
      </c>
      <c r="J11" s="10" t="s">
        <v>85</v>
      </c>
    </row>
    <row r="12" spans="1:14" x14ac:dyDescent="0.35">
      <c r="A12" s="10" t="s">
        <v>86</v>
      </c>
      <c r="B12" s="10" t="s">
        <v>87</v>
      </c>
      <c r="C12" s="10" t="s">
        <v>30</v>
      </c>
      <c r="D12" s="16">
        <v>4.3169144007323859E-4</v>
      </c>
      <c r="E12" s="10" t="s">
        <v>35</v>
      </c>
      <c r="F12" s="10" t="s">
        <v>24</v>
      </c>
      <c r="G12" s="10" t="s">
        <v>25</v>
      </c>
      <c r="J12" s="10" t="s">
        <v>85</v>
      </c>
    </row>
    <row r="13" spans="1:14" x14ac:dyDescent="0.35">
      <c r="A13" s="10" t="s">
        <v>88</v>
      </c>
      <c r="B13" s="10" t="s">
        <v>89</v>
      </c>
      <c r="C13" s="10" t="s">
        <v>23</v>
      </c>
      <c r="D13" s="16">
        <v>1.7789482420600489E-5</v>
      </c>
      <c r="E13" s="10" t="s">
        <v>7</v>
      </c>
      <c r="F13" s="10" t="s">
        <v>24</v>
      </c>
      <c r="G13" s="10" t="s">
        <v>25</v>
      </c>
      <c r="J13" s="10" t="s">
        <v>85</v>
      </c>
    </row>
    <row r="14" spans="1:14" x14ac:dyDescent="0.35">
      <c r="A14" s="10" t="s">
        <v>21</v>
      </c>
      <c r="B14" s="10" t="s">
        <v>22</v>
      </c>
      <c r="C14" s="10" t="s">
        <v>23</v>
      </c>
      <c r="D14" s="16">
        <v>2.6813132923803637E-3</v>
      </c>
      <c r="E14" s="10" t="s">
        <v>7</v>
      </c>
      <c r="F14" s="10" t="s">
        <v>24</v>
      </c>
      <c r="G14" s="10" t="s">
        <v>25</v>
      </c>
      <c r="J14" s="10" t="s">
        <v>85</v>
      </c>
    </row>
    <row r="15" spans="1:14" x14ac:dyDescent="0.35">
      <c r="A15" s="10" t="s">
        <v>75</v>
      </c>
      <c r="B15" s="10" t="s">
        <v>76</v>
      </c>
      <c r="C15" s="10" t="s">
        <v>23</v>
      </c>
      <c r="D15" s="16">
        <v>2.2688035550910771E-3</v>
      </c>
      <c r="E15" s="10" t="s">
        <v>7</v>
      </c>
      <c r="F15" s="10" t="s">
        <v>24</v>
      </c>
      <c r="G15" s="10" t="s">
        <v>25</v>
      </c>
      <c r="J15" s="10" t="s">
        <v>85</v>
      </c>
    </row>
    <row r="16" spans="1:14" x14ac:dyDescent="0.35">
      <c r="A16" s="10" t="s">
        <v>90</v>
      </c>
      <c r="B16" s="10" t="s">
        <v>91</v>
      </c>
      <c r="C16" s="10" t="s">
        <v>23</v>
      </c>
      <c r="D16" s="16">
        <v>2.5472476277613453E-4</v>
      </c>
      <c r="E16" s="10" t="s">
        <v>7</v>
      </c>
      <c r="F16" s="10" t="s">
        <v>24</v>
      </c>
      <c r="G16" s="10" t="s">
        <v>25</v>
      </c>
      <c r="J16" s="10" t="s">
        <v>85</v>
      </c>
    </row>
    <row r="17" spans="1:10" x14ac:dyDescent="0.35">
      <c r="A17" s="10" t="s">
        <v>92</v>
      </c>
      <c r="B17" s="10" t="s">
        <v>93</v>
      </c>
      <c r="C17" s="10" t="s">
        <v>30</v>
      </c>
      <c r="D17" s="16">
        <v>5.7235726048888534E-6</v>
      </c>
      <c r="E17" s="10" t="s">
        <v>39</v>
      </c>
      <c r="F17" s="10" t="s">
        <v>24</v>
      </c>
      <c r="G17" s="10" t="s">
        <v>25</v>
      </c>
      <c r="J17" s="10" t="s">
        <v>85</v>
      </c>
    </row>
    <row r="18" spans="1:10" x14ac:dyDescent="0.35">
      <c r="A18" s="10" t="s">
        <v>28</v>
      </c>
      <c r="B18" s="10" t="s">
        <v>29</v>
      </c>
      <c r="C18" s="10" t="s">
        <v>30</v>
      </c>
      <c r="D18" s="16">
        <v>5.2852810090189863E-2</v>
      </c>
      <c r="E18" s="10" t="s">
        <v>7</v>
      </c>
      <c r="F18" s="10" t="s">
        <v>24</v>
      </c>
      <c r="G18" s="10" t="s">
        <v>25</v>
      </c>
      <c r="J18" s="10" t="s">
        <v>85</v>
      </c>
    </row>
    <row r="19" spans="1:10" x14ac:dyDescent="0.35">
      <c r="A19" s="10" t="s">
        <v>31</v>
      </c>
      <c r="B19" s="10" t="s">
        <v>32</v>
      </c>
      <c r="C19" s="10" t="s">
        <v>23</v>
      </c>
      <c r="D19" s="16">
        <v>3.2227323225725527E-3</v>
      </c>
      <c r="E19" s="10" t="s">
        <v>7</v>
      </c>
      <c r="F19" s="10" t="s">
        <v>24</v>
      </c>
      <c r="G19" s="10" t="s">
        <v>25</v>
      </c>
      <c r="J19" s="10" t="s">
        <v>85</v>
      </c>
    </row>
    <row r="20" spans="1:10" x14ac:dyDescent="0.35">
      <c r="A20" s="10" t="s">
        <v>26</v>
      </c>
      <c r="B20" s="10" t="s">
        <v>27</v>
      </c>
      <c r="C20" s="10" t="s">
        <v>23</v>
      </c>
      <c r="D20" s="16">
        <v>3.3155470134626423E-3</v>
      </c>
      <c r="E20" s="10" t="s">
        <v>7</v>
      </c>
      <c r="F20" s="10" t="s">
        <v>24</v>
      </c>
      <c r="G20" s="10" t="s">
        <v>25</v>
      </c>
      <c r="J20" s="10" t="s">
        <v>85</v>
      </c>
    </row>
    <row r="21" spans="1:10" x14ac:dyDescent="0.35">
      <c r="A21" s="10" t="s">
        <v>94</v>
      </c>
      <c r="B21" s="10" t="s">
        <v>95</v>
      </c>
      <c r="C21" s="10" t="s">
        <v>23</v>
      </c>
      <c r="D21" s="16">
        <v>5.929827473533496E-4</v>
      </c>
      <c r="E21" s="10" t="s">
        <v>7</v>
      </c>
      <c r="F21" s="10" t="s">
        <v>24</v>
      </c>
      <c r="G21" s="10" t="s">
        <v>25</v>
      </c>
      <c r="J21" s="10" t="s">
        <v>85</v>
      </c>
    </row>
    <row r="22" spans="1:10" x14ac:dyDescent="0.35">
      <c r="A22" s="10" t="s">
        <v>26</v>
      </c>
      <c r="B22" s="10" t="s">
        <v>27</v>
      </c>
      <c r="C22" s="10" t="s">
        <v>23</v>
      </c>
      <c r="D22" s="16">
        <v>3.9704062214093846E-4</v>
      </c>
      <c r="E22" s="10" t="s">
        <v>7</v>
      </c>
      <c r="F22" s="10" t="s">
        <v>24</v>
      </c>
      <c r="G22" s="10" t="s">
        <v>25</v>
      </c>
      <c r="J22" s="10" t="s">
        <v>85</v>
      </c>
    </row>
    <row r="23" spans="1:10" x14ac:dyDescent="0.35">
      <c r="A23" s="10" t="s">
        <v>96</v>
      </c>
      <c r="B23" s="10" t="s">
        <v>97</v>
      </c>
      <c r="C23" s="10" t="s">
        <v>30</v>
      </c>
      <c r="D23" s="16">
        <v>49.810550777681371</v>
      </c>
      <c r="E23" s="10" t="s">
        <v>7</v>
      </c>
      <c r="F23" s="10" t="s">
        <v>24</v>
      </c>
      <c r="G23" s="10" t="s">
        <v>25</v>
      </c>
      <c r="J23" s="10" t="s">
        <v>85</v>
      </c>
    </row>
    <row r="24" spans="1:10" x14ac:dyDescent="0.35">
      <c r="A24" s="10" t="s">
        <v>98</v>
      </c>
      <c r="B24" s="10" t="s">
        <v>99</v>
      </c>
      <c r="C24" s="10" t="s">
        <v>23</v>
      </c>
      <c r="D24" s="16">
        <v>8.0955035943022519E-4</v>
      </c>
      <c r="E24" s="10" t="s">
        <v>7</v>
      </c>
      <c r="F24" s="10" t="s">
        <v>24</v>
      </c>
      <c r="G24" s="10" t="s">
        <v>25</v>
      </c>
      <c r="J24" s="10" t="s">
        <v>85</v>
      </c>
    </row>
    <row r="25" spans="1:10" x14ac:dyDescent="0.35">
      <c r="A25" s="10" t="s">
        <v>100</v>
      </c>
      <c r="B25" s="10" t="s">
        <v>101</v>
      </c>
      <c r="C25" s="10" t="s">
        <v>30</v>
      </c>
      <c r="D25" s="16">
        <v>52.543427787222903</v>
      </c>
      <c r="E25" s="10" t="s">
        <v>7</v>
      </c>
      <c r="F25" s="10" t="s">
        <v>24</v>
      </c>
      <c r="G25" s="10" t="s">
        <v>25</v>
      </c>
      <c r="J25" s="10" t="s">
        <v>85</v>
      </c>
    </row>
    <row r="26" spans="1:10" x14ac:dyDescent="0.35">
      <c r="A26" s="10" t="s">
        <v>102</v>
      </c>
      <c r="B26" s="10" t="s">
        <v>103</v>
      </c>
      <c r="C26" s="10" t="s">
        <v>30</v>
      </c>
      <c r="D26" s="16">
        <v>2.3152109005361219E-4</v>
      </c>
      <c r="E26" s="10" t="s">
        <v>7</v>
      </c>
      <c r="F26" s="10" t="s">
        <v>24</v>
      </c>
      <c r="G26" s="10" t="s">
        <v>25</v>
      </c>
      <c r="J26" s="10" t="s">
        <v>85</v>
      </c>
    </row>
    <row r="27" spans="1:10" x14ac:dyDescent="0.35">
      <c r="A27" s="10" t="s">
        <v>104</v>
      </c>
      <c r="B27" s="10" t="s">
        <v>105</v>
      </c>
      <c r="C27" s="10" t="s">
        <v>30</v>
      </c>
      <c r="D27" s="16">
        <v>1.784104613776165E-4</v>
      </c>
      <c r="E27" s="10" t="s">
        <v>7</v>
      </c>
      <c r="F27" s="10" t="s">
        <v>24</v>
      </c>
      <c r="G27" s="10" t="s">
        <v>25</v>
      </c>
      <c r="J27" s="10" t="s">
        <v>85</v>
      </c>
    </row>
    <row r="28" spans="1:10" x14ac:dyDescent="0.35">
      <c r="A28" s="10" t="s">
        <v>106</v>
      </c>
      <c r="B28" s="10" t="s">
        <v>107</v>
      </c>
      <c r="C28" s="10" t="s">
        <v>30</v>
      </c>
      <c r="D28" s="16">
        <v>0.5568881453405371</v>
      </c>
      <c r="E28" s="10" t="s">
        <v>7</v>
      </c>
      <c r="F28" s="10" t="s">
        <v>24</v>
      </c>
      <c r="G28" s="10" t="s">
        <v>25</v>
      </c>
      <c r="J28" s="10" t="s">
        <v>85</v>
      </c>
    </row>
    <row r="29" spans="1:10" x14ac:dyDescent="0.35">
      <c r="A29" s="10" t="s">
        <v>108</v>
      </c>
      <c r="B29" s="10" t="s">
        <v>109</v>
      </c>
      <c r="C29" s="10" t="s">
        <v>30</v>
      </c>
      <c r="D29" s="16">
        <v>2.201770722781567E-2</v>
      </c>
      <c r="E29" s="10" t="s">
        <v>54</v>
      </c>
      <c r="F29" s="10" t="s">
        <v>24</v>
      </c>
      <c r="G29" s="10" t="s">
        <v>25</v>
      </c>
      <c r="J29" s="10" t="s">
        <v>85</v>
      </c>
    </row>
    <row r="30" spans="1:10" s="15" customFormat="1" x14ac:dyDescent="0.35">
      <c r="A30" s="15" t="s">
        <v>248</v>
      </c>
      <c r="B30" s="15" t="s">
        <v>249</v>
      </c>
      <c r="C30" s="15" t="s">
        <v>30</v>
      </c>
      <c r="D30" s="16">
        <v>-1.8562938178017903</v>
      </c>
      <c r="E30" s="15" t="s">
        <v>7</v>
      </c>
      <c r="F30" s="15" t="s">
        <v>24</v>
      </c>
      <c r="G30" s="15" t="s">
        <v>25</v>
      </c>
      <c r="J30" s="15" t="s">
        <v>85</v>
      </c>
    </row>
    <row r="31" spans="1:10" x14ac:dyDescent="0.35">
      <c r="A31" s="10" t="s">
        <v>110</v>
      </c>
      <c r="D31" s="16">
        <v>0.21914579793493358</v>
      </c>
      <c r="E31" s="10" t="s">
        <v>7</v>
      </c>
      <c r="F31" s="10" t="s">
        <v>41</v>
      </c>
      <c r="G31" s="10" t="s">
        <v>42</v>
      </c>
      <c r="H31" s="10" t="s">
        <v>43</v>
      </c>
      <c r="J31" s="10" t="s">
        <v>85</v>
      </c>
    </row>
    <row r="32" spans="1:10" x14ac:dyDescent="0.35">
      <c r="A32" s="10" t="s">
        <v>40</v>
      </c>
      <c r="D32" s="16">
        <v>0.39807189648416175</v>
      </c>
      <c r="E32" s="10" t="s">
        <v>7</v>
      </c>
      <c r="F32" s="10" t="s">
        <v>41</v>
      </c>
      <c r="G32" s="10" t="s">
        <v>42</v>
      </c>
      <c r="H32" s="10" t="s">
        <v>43</v>
      </c>
      <c r="J32" s="10" t="s">
        <v>85</v>
      </c>
    </row>
    <row r="33" spans="1:10" x14ac:dyDescent="0.35">
      <c r="A33" s="10" t="s">
        <v>111</v>
      </c>
      <c r="D33" s="16">
        <v>1.2710456280226148</v>
      </c>
      <c r="E33" s="10" t="s">
        <v>7</v>
      </c>
      <c r="F33" s="10" t="s">
        <v>41</v>
      </c>
      <c r="G33" s="10" t="s">
        <v>42</v>
      </c>
      <c r="H33" s="10" t="s">
        <v>43</v>
      </c>
      <c r="J33" s="10" t="s">
        <v>85</v>
      </c>
    </row>
    <row r="34" spans="1:10" x14ac:dyDescent="0.35">
      <c r="A34" s="10" t="s">
        <v>112</v>
      </c>
      <c r="D34" s="16">
        <v>0.22997417853877733</v>
      </c>
      <c r="E34" s="10" t="s">
        <v>7</v>
      </c>
      <c r="F34" s="10" t="s">
        <v>41</v>
      </c>
      <c r="G34" s="10" t="s">
        <v>42</v>
      </c>
      <c r="H34" s="10" t="s">
        <v>43</v>
      </c>
      <c r="J34" s="10" t="s">
        <v>85</v>
      </c>
    </row>
    <row r="35" spans="1:10" x14ac:dyDescent="0.35">
      <c r="A35" s="10" t="s">
        <v>113</v>
      </c>
      <c r="D35" s="16">
        <v>4.3777595869825555E-4</v>
      </c>
      <c r="E35" s="10" t="s">
        <v>7</v>
      </c>
      <c r="F35" s="10" t="s">
        <v>41</v>
      </c>
      <c r="G35" s="10" t="s">
        <v>42</v>
      </c>
      <c r="H35" s="10" t="s">
        <v>43</v>
      </c>
      <c r="J35" s="10" t="s">
        <v>85</v>
      </c>
    </row>
    <row r="36" spans="1:10" x14ac:dyDescent="0.35">
      <c r="A36" s="10" t="s">
        <v>114</v>
      </c>
      <c r="D36" s="16">
        <v>4.1250973728928677E-7</v>
      </c>
      <c r="E36" s="10" t="s">
        <v>7</v>
      </c>
      <c r="F36" s="10" t="s">
        <v>41</v>
      </c>
      <c r="G36" s="10" t="s">
        <v>42</v>
      </c>
      <c r="H36" s="10" t="s">
        <v>43</v>
      </c>
      <c r="J36" s="10" t="s">
        <v>85</v>
      </c>
    </row>
    <row r="37" spans="1:10" x14ac:dyDescent="0.35">
      <c r="A37" s="10" t="s">
        <v>115</v>
      </c>
      <c r="D37" s="16">
        <v>8.353322180108055E-3</v>
      </c>
      <c r="E37" s="10" t="s">
        <v>7</v>
      </c>
      <c r="F37" s="10" t="s">
        <v>41</v>
      </c>
      <c r="G37" s="10" t="s">
        <v>42</v>
      </c>
      <c r="H37" s="10" t="s">
        <v>56</v>
      </c>
      <c r="J37" s="10" t="s">
        <v>85</v>
      </c>
    </row>
    <row r="38" spans="1:10" x14ac:dyDescent="0.35">
      <c r="A38" s="10" t="s">
        <v>116</v>
      </c>
      <c r="D38" s="16">
        <v>2.8241447889167798E-4</v>
      </c>
      <c r="E38" s="10" t="s">
        <v>7</v>
      </c>
      <c r="F38" s="10" t="s">
        <v>41</v>
      </c>
      <c r="G38" s="10" t="s">
        <v>42</v>
      </c>
      <c r="H38" s="10" t="s">
        <v>56</v>
      </c>
      <c r="J38" s="10" t="s">
        <v>85</v>
      </c>
    </row>
    <row r="39" spans="1:10" x14ac:dyDescent="0.35">
      <c r="A39" s="10" t="s">
        <v>83</v>
      </c>
      <c r="D39" s="16">
        <v>1.0012126961182601E-3</v>
      </c>
      <c r="E39" s="10" t="s">
        <v>7</v>
      </c>
      <c r="F39" s="10" t="s">
        <v>41</v>
      </c>
      <c r="G39" s="10" t="s">
        <v>42</v>
      </c>
      <c r="H39" s="10" t="s">
        <v>56</v>
      </c>
      <c r="J39" s="10" t="s">
        <v>85</v>
      </c>
    </row>
    <row r="40" spans="1:10" x14ac:dyDescent="0.35">
      <c r="A40" s="10" t="s">
        <v>55</v>
      </c>
      <c r="D40" s="16">
        <v>4.0580645405833582E-5</v>
      </c>
      <c r="E40" s="10" t="s">
        <v>7</v>
      </c>
      <c r="F40" s="10" t="s">
        <v>41</v>
      </c>
      <c r="G40" s="10" t="s">
        <v>42</v>
      </c>
      <c r="H40" s="10" t="s">
        <v>56</v>
      </c>
      <c r="J40" s="10" t="s">
        <v>85</v>
      </c>
    </row>
    <row r="41" spans="1:10" x14ac:dyDescent="0.35">
      <c r="A41" s="10" t="s">
        <v>117</v>
      </c>
      <c r="D41" s="16">
        <v>2.3822437328456306E-5</v>
      </c>
      <c r="E41" s="10" t="s">
        <v>7</v>
      </c>
      <c r="F41" s="10" t="s">
        <v>41</v>
      </c>
      <c r="G41" s="10" t="s">
        <v>42</v>
      </c>
      <c r="H41" s="10" t="s">
        <v>56</v>
      </c>
      <c r="J41" s="10" t="s">
        <v>85</v>
      </c>
    </row>
    <row r="42" spans="1:10" x14ac:dyDescent="0.35">
      <c r="A42" s="10" t="s">
        <v>60</v>
      </c>
      <c r="D42" s="16">
        <v>2.6710005489481313E-4</v>
      </c>
      <c r="E42" s="10" t="s">
        <v>7</v>
      </c>
      <c r="F42" s="10" t="s">
        <v>41</v>
      </c>
      <c r="G42" s="10" t="s">
        <v>42</v>
      </c>
      <c r="H42" s="10" t="s">
        <v>56</v>
      </c>
      <c r="J42" s="10" t="s">
        <v>85</v>
      </c>
    </row>
    <row r="43" spans="1:10" x14ac:dyDescent="0.35">
      <c r="A43" s="10" t="s">
        <v>61</v>
      </c>
      <c r="D43" s="16">
        <v>0.73292667572874015</v>
      </c>
      <c r="E43" s="10" t="s">
        <v>7</v>
      </c>
      <c r="F43" s="10" t="s">
        <v>41</v>
      </c>
      <c r="G43" s="10" t="s">
        <v>42</v>
      </c>
      <c r="H43" s="10" t="s">
        <v>62</v>
      </c>
      <c r="J43" s="10" t="s">
        <v>85</v>
      </c>
    </row>
    <row r="44" spans="1:10" x14ac:dyDescent="0.35">
      <c r="A44" s="10" t="s">
        <v>58</v>
      </c>
      <c r="D44" s="16">
        <v>1.345813017906298E-2</v>
      </c>
      <c r="E44" s="10" t="s">
        <v>7</v>
      </c>
      <c r="F44" s="10" t="s">
        <v>41</v>
      </c>
      <c r="G44" s="10" t="s">
        <v>42</v>
      </c>
      <c r="H44" s="10" t="s">
        <v>62</v>
      </c>
      <c r="J44" s="10" t="s">
        <v>85</v>
      </c>
    </row>
    <row r="45" spans="1:10" x14ac:dyDescent="0.35">
      <c r="A45" s="10" t="s">
        <v>66</v>
      </c>
      <c r="D45" s="16">
        <v>1.1034635472488419E-2</v>
      </c>
      <c r="E45" s="10" t="s">
        <v>7</v>
      </c>
      <c r="F45" s="10" t="s">
        <v>41</v>
      </c>
      <c r="G45" s="10" t="s">
        <v>42</v>
      </c>
      <c r="H45" s="10" t="s">
        <v>62</v>
      </c>
      <c r="J45" s="10" t="s">
        <v>85</v>
      </c>
    </row>
    <row r="46" spans="1:10" x14ac:dyDescent="0.35">
      <c r="A46" s="10" t="s">
        <v>71</v>
      </c>
      <c r="D46" s="16">
        <v>1.1859654947066992E-3</v>
      </c>
      <c r="E46" s="10" t="s">
        <v>7</v>
      </c>
      <c r="F46" s="10" t="s">
        <v>41</v>
      </c>
      <c r="G46" s="10" t="s">
        <v>42</v>
      </c>
      <c r="H46" s="10" t="s">
        <v>62</v>
      </c>
      <c r="J46" s="10" t="s">
        <v>85</v>
      </c>
    </row>
    <row r="47" spans="1:10" s="12" customFormat="1" x14ac:dyDescent="0.35"/>
    <row r="48" spans="1:10" x14ac:dyDescent="0.35">
      <c r="A48" s="9" t="s">
        <v>0</v>
      </c>
      <c r="B48" s="9" t="s">
        <v>247</v>
      </c>
    </row>
    <row r="49" spans="1:14" x14ac:dyDescent="0.35">
      <c r="A49" s="18" t="s">
        <v>1</v>
      </c>
      <c r="B49" s="10" t="s">
        <v>162</v>
      </c>
    </row>
    <row r="50" spans="1:14" x14ac:dyDescent="0.35">
      <c r="A50" s="18" t="s">
        <v>3</v>
      </c>
      <c r="B50" s="10" t="s">
        <v>4</v>
      </c>
    </row>
    <row r="51" spans="1:14" x14ac:dyDescent="0.35">
      <c r="A51" s="18" t="s">
        <v>5</v>
      </c>
      <c r="B51" s="10">
        <v>1</v>
      </c>
    </row>
    <row r="52" spans="1:14" x14ac:dyDescent="0.35">
      <c r="A52" s="18" t="s">
        <v>6</v>
      </c>
      <c r="B52" s="10" t="s">
        <v>7</v>
      </c>
    </row>
    <row r="53" spans="1:14" x14ac:dyDescent="0.35">
      <c r="A53" s="18" t="s">
        <v>8</v>
      </c>
      <c r="B53" s="10" t="s">
        <v>74</v>
      </c>
    </row>
    <row r="54" spans="1:14" x14ac:dyDescent="0.35">
      <c r="A54" s="18" t="s">
        <v>9</v>
      </c>
    </row>
    <row r="55" spans="1:14" x14ac:dyDescent="0.35">
      <c r="A55" s="9" t="s">
        <v>10</v>
      </c>
      <c r="B55" s="9" t="s">
        <v>1</v>
      </c>
      <c r="C55" s="9" t="s">
        <v>3</v>
      </c>
      <c r="D55" s="9" t="s">
        <v>5</v>
      </c>
      <c r="E55" s="9" t="s">
        <v>6</v>
      </c>
      <c r="F55" s="9" t="s">
        <v>11</v>
      </c>
      <c r="G55" s="9" t="s">
        <v>12</v>
      </c>
      <c r="H55" s="9" t="s">
        <v>13</v>
      </c>
      <c r="I55" s="9" t="s">
        <v>14</v>
      </c>
      <c r="J55" s="9" t="s">
        <v>15</v>
      </c>
      <c r="K55" s="9" t="s">
        <v>16</v>
      </c>
      <c r="L55" s="9" t="s">
        <v>17</v>
      </c>
      <c r="M55" s="9" t="s">
        <v>18</v>
      </c>
      <c r="N55" s="9" t="s">
        <v>19</v>
      </c>
    </row>
    <row r="56" spans="1:14" x14ac:dyDescent="0.35">
      <c r="A56" s="10" t="str">
        <f>B48</f>
        <v>Pb ore recovery from Zn ore mining in China/Guangdong</v>
      </c>
      <c r="B56" s="10" t="str">
        <f>B49</f>
        <v>Refined Pb</v>
      </c>
      <c r="C56" s="10" t="str">
        <f>B50</f>
        <v>CN</v>
      </c>
      <c r="D56" s="10">
        <v>1</v>
      </c>
      <c r="E56" s="10" t="s">
        <v>7</v>
      </c>
      <c r="F56" s="11" t="str">
        <f>F9</f>
        <v>Lead</v>
      </c>
      <c r="G56" s="10" t="s">
        <v>20</v>
      </c>
    </row>
    <row r="57" spans="1:14" x14ac:dyDescent="0.35">
      <c r="A57" s="10" t="str">
        <f>A9</f>
        <v>[M+C] Zinc (Zn) ore mining and concentration (Guangdong)</v>
      </c>
      <c r="B57" s="10" t="str">
        <f t="shared" ref="B57:F57" si="0">B9</f>
        <v>Lead (Pb) concentrate</v>
      </c>
      <c r="C57" s="10" t="str">
        <f t="shared" si="0"/>
        <v>CN</v>
      </c>
      <c r="D57" s="10">
        <v>1.0499999999999998</v>
      </c>
      <c r="E57" s="10" t="str">
        <f t="shared" si="0"/>
        <v>kilogram</v>
      </c>
      <c r="F57" s="11" t="str">
        <f t="shared" si="0"/>
        <v>Lead</v>
      </c>
      <c r="G57" s="10" t="s">
        <v>25</v>
      </c>
    </row>
    <row r="58" spans="1:14" x14ac:dyDescent="0.35">
      <c r="A58" s="10" t="str">
        <f>PR2_Pb_CN_South!A70</f>
        <v>[P+R] Refined Pb production - Refining</v>
      </c>
      <c r="B58" s="10" t="str">
        <f>PR2_Pb_CN_South!B70</f>
        <v>Refined Pb</v>
      </c>
      <c r="C58" s="10" t="str">
        <f>PR2_Pb_CN_South!C70</f>
        <v>CN</v>
      </c>
      <c r="D58" s="10">
        <v>1</v>
      </c>
      <c r="E58" s="10" t="str">
        <f>PR2_Pb_CN_South!E70</f>
        <v>kilogram</v>
      </c>
      <c r="F58" s="11" t="str">
        <f>PR2_Pb_CN_South!F70</f>
        <v>Lead</v>
      </c>
      <c r="G58" s="10" t="str">
        <f>PR2_Pb_CN_South!G70</f>
        <v>technosphere</v>
      </c>
    </row>
    <row r="59" spans="1:14" x14ac:dyDescent="0.35">
      <c r="A59" s="10" t="str">
        <f>PR2_Pb_CN_South!A71</f>
        <v>[P+R] Crude Lead (Pb) production - Smelting</v>
      </c>
      <c r="B59" s="10" t="str">
        <f>PR2_Pb_CN_South!B71</f>
        <v>Crude Pb</v>
      </c>
      <c r="C59" s="10" t="str">
        <f>PR2_Pb_CN_South!C71</f>
        <v>CN</v>
      </c>
      <c r="D59" s="10">
        <v>0.29119</v>
      </c>
      <c r="E59" s="10" t="str">
        <f>PR2_Pb_CN_South!E71</f>
        <v>kilogram</v>
      </c>
      <c r="F59" s="11" t="str">
        <f>PR2_Pb_CN_South!F71</f>
        <v>Lead</v>
      </c>
      <c r="G59" s="10" t="str">
        <f>PR2_Pb_CN_South!G71</f>
        <v>technosphere</v>
      </c>
    </row>
    <row r="60" spans="1:14" x14ac:dyDescent="0.35">
      <c r="A60" s="10" t="str">
        <f>PR2_Pb_CN_South!A72</f>
        <v>Effluent treatment</v>
      </c>
      <c r="B60" s="10" t="str">
        <f>PR2_Pb_CN_South!B72</f>
        <v>Effluent</v>
      </c>
      <c r="C60" s="10" t="str">
        <f>PR2_Pb_CN_South!C72</f>
        <v>CN</v>
      </c>
      <c r="D60" s="10">
        <v>-1</v>
      </c>
      <c r="E60" s="10" t="str">
        <f>PR2_Pb_CN_South!E72</f>
        <v>cubic meter</v>
      </c>
      <c r="F60" s="11" t="str">
        <f>PR2_Pb_CN_South!F72</f>
        <v>Lead</v>
      </c>
      <c r="G60" s="10" t="str">
        <f>PR2_Pb_CN_South!G72</f>
        <v>technosphere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C0A0-07B8-47F0-B995-47E72C5F466C}">
  <sheetPr>
    <tabColor theme="8" tint="0.39997558519241921"/>
  </sheetPr>
  <dimension ref="A1:N139"/>
  <sheetViews>
    <sheetView zoomScaleNormal="100" workbookViewId="0">
      <selection activeCell="A122" sqref="A122"/>
    </sheetView>
  </sheetViews>
  <sheetFormatPr baseColWidth="10" defaultColWidth="9.1796875" defaultRowHeight="14.5" x14ac:dyDescent="0.35"/>
  <cols>
    <col min="1" max="1" width="69.1796875" style="10" customWidth="1"/>
    <col min="2" max="2" width="68.7265625" style="10" customWidth="1"/>
    <col min="3" max="3" width="8.1796875" style="10" bestFit="1" customWidth="1"/>
    <col min="4" max="4" width="12" style="10" bestFit="1" customWidth="1"/>
    <col min="5" max="5" width="17.54296875" style="10" bestFit="1" customWidth="1"/>
    <col min="6" max="6" width="19.7265625" style="10" bestFit="1" customWidth="1"/>
    <col min="7" max="7" width="13.26953125" style="10" bestFit="1" customWidth="1"/>
    <col min="8" max="8" width="25.26953125" style="10" bestFit="1" customWidth="1"/>
    <col min="9" max="9" width="15.54296875" style="10" bestFit="1" customWidth="1"/>
    <col min="10" max="10" width="9.7265625" style="10" bestFit="1" customWidth="1"/>
    <col min="11" max="11" width="3.54296875" style="10" bestFit="1" customWidth="1"/>
    <col min="12" max="12" width="5.453125" style="10" bestFit="1" customWidth="1"/>
    <col min="13" max="13" width="9.54296875" style="10" bestFit="1" customWidth="1"/>
    <col min="14" max="14" width="9.81640625" style="10" bestFit="1" customWidth="1"/>
    <col min="15" max="16384" width="9.1796875" style="10"/>
  </cols>
  <sheetData>
    <row r="1" spans="1:14" x14ac:dyDescent="0.35">
      <c r="A1" s="9" t="s">
        <v>0</v>
      </c>
      <c r="B1" s="17" t="s">
        <v>160</v>
      </c>
    </row>
    <row r="2" spans="1:14" x14ac:dyDescent="0.35">
      <c r="A2" s="18" t="s">
        <v>1</v>
      </c>
      <c r="B2" s="10" t="s">
        <v>2</v>
      </c>
    </row>
    <row r="3" spans="1:14" x14ac:dyDescent="0.35">
      <c r="A3" s="18" t="s">
        <v>3</v>
      </c>
      <c r="B3" s="10" t="s">
        <v>4</v>
      </c>
    </row>
    <row r="4" spans="1:14" x14ac:dyDescent="0.35">
      <c r="A4" s="18" t="s">
        <v>5</v>
      </c>
      <c r="B4" s="10">
        <v>1</v>
      </c>
    </row>
    <row r="5" spans="1:14" x14ac:dyDescent="0.35">
      <c r="A5" s="18" t="s">
        <v>6</v>
      </c>
      <c r="B5" s="10" t="s">
        <v>7</v>
      </c>
    </row>
    <row r="6" spans="1:14" ht="43.5" x14ac:dyDescent="0.35">
      <c r="A6" s="18" t="s">
        <v>8</v>
      </c>
      <c r="B6" s="20" t="s">
        <v>250</v>
      </c>
    </row>
    <row r="7" spans="1:14" x14ac:dyDescent="0.35">
      <c r="A7" s="18" t="s">
        <v>9</v>
      </c>
    </row>
    <row r="8" spans="1:14" x14ac:dyDescent="0.35">
      <c r="A8" s="9" t="s">
        <v>10</v>
      </c>
      <c r="B8" s="9" t="s">
        <v>1</v>
      </c>
      <c r="C8" s="9" t="s">
        <v>3</v>
      </c>
      <c r="D8" s="9" t="s">
        <v>5</v>
      </c>
      <c r="E8" s="9" t="s">
        <v>6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  <c r="N8" s="9" t="s">
        <v>19</v>
      </c>
    </row>
    <row r="9" spans="1:14" x14ac:dyDescent="0.35">
      <c r="A9" s="10" t="str">
        <f>B1</f>
        <v>[M+C] Zinc (Zn) ore mining and concentration (for Smelting)</v>
      </c>
      <c r="B9" s="10" t="s">
        <v>2</v>
      </c>
      <c r="C9" s="10" t="s">
        <v>4</v>
      </c>
      <c r="D9" s="10">
        <v>1</v>
      </c>
      <c r="E9" s="10" t="s">
        <v>7</v>
      </c>
      <c r="F9" s="11" t="str">
        <f>Pb_Market_GLO!B1</f>
        <v>Lead</v>
      </c>
      <c r="G9" s="10" t="s">
        <v>20</v>
      </c>
    </row>
    <row r="10" spans="1:14" x14ac:dyDescent="0.35">
      <c r="A10" s="10" t="s">
        <v>21</v>
      </c>
      <c r="B10" s="10" t="s">
        <v>22</v>
      </c>
      <c r="C10" s="10" t="s">
        <v>23</v>
      </c>
      <c r="D10" s="10">
        <v>2.0259343196027441E-3</v>
      </c>
      <c r="E10" s="10" t="s">
        <v>7</v>
      </c>
      <c r="F10" s="10" t="s">
        <v>24</v>
      </c>
      <c r="G10" s="10" t="s">
        <v>25</v>
      </c>
      <c r="J10" s="10" t="s">
        <v>119</v>
      </c>
    </row>
    <row r="11" spans="1:14" x14ac:dyDescent="0.35">
      <c r="A11" s="10" t="s">
        <v>77</v>
      </c>
      <c r="B11" s="10" t="s">
        <v>78</v>
      </c>
      <c r="C11" s="10" t="s">
        <v>23</v>
      </c>
      <c r="D11" s="10">
        <v>1.205725959142215E-2</v>
      </c>
      <c r="E11" s="10" t="s">
        <v>7</v>
      </c>
      <c r="F11" s="10" t="s">
        <v>24</v>
      </c>
      <c r="G11" s="10" t="s">
        <v>25</v>
      </c>
      <c r="J11" s="10" t="s">
        <v>119</v>
      </c>
    </row>
    <row r="12" spans="1:14" x14ac:dyDescent="0.35">
      <c r="A12" s="10" t="s">
        <v>98</v>
      </c>
      <c r="B12" s="10" t="s">
        <v>99</v>
      </c>
      <c r="C12" s="10" t="s">
        <v>23</v>
      </c>
      <c r="D12" s="10">
        <v>9.6182707018033187E-4</v>
      </c>
      <c r="E12" s="10" t="s">
        <v>7</v>
      </c>
      <c r="F12" s="10" t="s">
        <v>24</v>
      </c>
      <c r="G12" s="10" t="s">
        <v>25</v>
      </c>
      <c r="J12" s="10" t="s">
        <v>119</v>
      </c>
    </row>
    <row r="13" spans="1:14" x14ac:dyDescent="0.35">
      <c r="A13" s="10" t="s">
        <v>120</v>
      </c>
      <c r="B13" s="10" t="s">
        <v>121</v>
      </c>
      <c r="C13" s="10" t="s">
        <v>23</v>
      </c>
      <c r="D13" s="10">
        <v>4.4452539439827188E-4</v>
      </c>
      <c r="E13" s="10" t="s">
        <v>7</v>
      </c>
      <c r="F13" s="10" t="s">
        <v>24</v>
      </c>
      <c r="G13" s="10" t="s">
        <v>25</v>
      </c>
      <c r="J13" s="10" t="s">
        <v>119</v>
      </c>
    </row>
    <row r="14" spans="1:14" x14ac:dyDescent="0.35">
      <c r="A14" s="10" t="s">
        <v>122</v>
      </c>
      <c r="B14" s="10" t="s">
        <v>123</v>
      </c>
      <c r="C14" s="10" t="s">
        <v>30</v>
      </c>
      <c r="D14" s="10">
        <v>5.1533474925817358E-3</v>
      </c>
      <c r="E14" s="10" t="s">
        <v>7</v>
      </c>
      <c r="F14" s="10" t="s">
        <v>24</v>
      </c>
      <c r="G14" s="10" t="s">
        <v>25</v>
      </c>
      <c r="J14" s="10" t="s">
        <v>119</v>
      </c>
    </row>
    <row r="15" spans="1:14" x14ac:dyDescent="0.35">
      <c r="A15" s="10" t="s">
        <v>124</v>
      </c>
      <c r="B15" s="10" t="s">
        <v>125</v>
      </c>
      <c r="C15" s="10" t="s">
        <v>23</v>
      </c>
      <c r="D15" s="10">
        <v>2.1742655721061909E-9</v>
      </c>
      <c r="E15" s="10" t="s">
        <v>54</v>
      </c>
      <c r="F15" s="10" t="s">
        <v>24</v>
      </c>
      <c r="G15" s="10" t="s">
        <v>25</v>
      </c>
      <c r="J15" s="10" t="s">
        <v>119</v>
      </c>
    </row>
    <row r="16" spans="1:14" x14ac:dyDescent="0.35">
      <c r="A16" s="10" t="s">
        <v>52</v>
      </c>
      <c r="B16" s="10" t="s">
        <v>53</v>
      </c>
      <c r="C16" s="10" t="s">
        <v>30</v>
      </c>
      <c r="D16" s="10">
        <v>7.336635934095373E-2</v>
      </c>
      <c r="E16" s="10" t="s">
        <v>54</v>
      </c>
      <c r="F16" s="10" t="s">
        <v>24</v>
      </c>
      <c r="G16" s="10" t="s">
        <v>25</v>
      </c>
      <c r="J16" s="10" t="s">
        <v>119</v>
      </c>
    </row>
    <row r="17" spans="1:10" x14ac:dyDescent="0.35">
      <c r="A17" s="10" t="s">
        <v>36</v>
      </c>
      <c r="B17" s="10" t="s">
        <v>37</v>
      </c>
      <c r="C17" s="10" t="s">
        <v>4</v>
      </c>
      <c r="D17" s="10">
        <v>0.22226269719913599</v>
      </c>
      <c r="E17" s="10" t="s">
        <v>38</v>
      </c>
      <c r="F17" s="10" t="s">
        <v>24</v>
      </c>
      <c r="G17" s="10" t="s">
        <v>25</v>
      </c>
      <c r="J17" s="10" t="s">
        <v>119</v>
      </c>
    </row>
    <row r="18" spans="1:10" x14ac:dyDescent="0.35">
      <c r="A18" s="10" t="s">
        <v>33</v>
      </c>
      <c r="B18" s="10" t="s">
        <v>34</v>
      </c>
      <c r="C18" s="10" t="s">
        <v>23</v>
      </c>
      <c r="D18" s="10">
        <v>0.20456035848416049</v>
      </c>
      <c r="E18" s="10" t="s">
        <v>35</v>
      </c>
      <c r="F18" s="10" t="s">
        <v>24</v>
      </c>
      <c r="G18" s="10" t="s">
        <v>25</v>
      </c>
      <c r="J18" s="10" t="s">
        <v>119</v>
      </c>
    </row>
    <row r="19" spans="1:10" x14ac:dyDescent="0.35">
      <c r="A19" s="10" t="s">
        <v>126</v>
      </c>
      <c r="B19" s="10" t="s">
        <v>127</v>
      </c>
      <c r="C19" s="10" t="s">
        <v>30</v>
      </c>
      <c r="D19" s="10">
        <v>-7.3956437298119601E-4</v>
      </c>
      <c r="E19" s="10" t="s">
        <v>7</v>
      </c>
      <c r="F19" s="10" t="s">
        <v>24</v>
      </c>
      <c r="G19" s="10" t="s">
        <v>25</v>
      </c>
      <c r="J19" s="10" t="s">
        <v>128</v>
      </c>
    </row>
    <row r="20" spans="1:10" x14ac:dyDescent="0.35">
      <c r="A20" s="10" t="s">
        <v>81</v>
      </c>
      <c r="B20" s="10" t="s">
        <v>82</v>
      </c>
      <c r="C20" s="10" t="s">
        <v>30</v>
      </c>
      <c r="D20" s="10">
        <v>-20.849421153193301</v>
      </c>
      <c r="E20" s="10" t="s">
        <v>7</v>
      </c>
      <c r="F20" s="10" t="s">
        <v>24</v>
      </c>
      <c r="G20" s="10" t="s">
        <v>25</v>
      </c>
      <c r="J20" s="10" t="s">
        <v>128</v>
      </c>
    </row>
    <row r="21" spans="1:10" x14ac:dyDescent="0.35">
      <c r="A21" s="10" t="s">
        <v>129</v>
      </c>
      <c r="D21" s="10">
        <v>4.7796314530433662E-2</v>
      </c>
      <c r="E21" s="10" t="s">
        <v>130</v>
      </c>
      <c r="F21" s="10" t="s">
        <v>41</v>
      </c>
      <c r="G21" s="10" t="s">
        <v>42</v>
      </c>
      <c r="H21" s="10" t="s">
        <v>45</v>
      </c>
      <c r="J21" s="10" t="s">
        <v>119</v>
      </c>
    </row>
    <row r="22" spans="1:10" x14ac:dyDescent="0.35">
      <c r="A22" s="10" t="s">
        <v>44</v>
      </c>
      <c r="D22" s="10">
        <v>2.0652728500804669E-3</v>
      </c>
      <c r="E22" s="10" t="s">
        <v>39</v>
      </c>
      <c r="F22" s="10" t="s">
        <v>41</v>
      </c>
      <c r="G22" s="10" t="s">
        <v>42</v>
      </c>
      <c r="H22" s="10" t="s">
        <v>43</v>
      </c>
      <c r="J22" s="10" t="s">
        <v>119</v>
      </c>
    </row>
    <row r="23" spans="1:10" x14ac:dyDescent="0.35">
      <c r="A23" s="10" t="s">
        <v>60</v>
      </c>
      <c r="D23" s="10">
        <v>4.0440009331099428E-6</v>
      </c>
      <c r="E23" s="10" t="s">
        <v>7</v>
      </c>
      <c r="F23" s="10" t="s">
        <v>41</v>
      </c>
      <c r="G23" s="10" t="s">
        <v>42</v>
      </c>
      <c r="H23" s="10" t="s">
        <v>56</v>
      </c>
      <c r="J23" s="10" t="s">
        <v>128</v>
      </c>
    </row>
    <row r="24" spans="1:10" x14ac:dyDescent="0.35">
      <c r="A24" s="10" t="s">
        <v>55</v>
      </c>
      <c r="D24" s="10">
        <v>5.1926860230594605E-7</v>
      </c>
      <c r="E24" s="10" t="s">
        <v>7</v>
      </c>
      <c r="F24" s="10" t="s">
        <v>41</v>
      </c>
      <c r="G24" s="10" t="s">
        <v>42</v>
      </c>
      <c r="H24" s="10" t="s">
        <v>56</v>
      </c>
      <c r="J24" s="10" t="s">
        <v>128</v>
      </c>
    </row>
    <row r="25" spans="1:10" x14ac:dyDescent="0.35">
      <c r="A25" s="10" t="s">
        <v>58</v>
      </c>
      <c r="D25" s="10">
        <v>1.0729584187798999E-5</v>
      </c>
      <c r="E25" s="10" t="s">
        <v>7</v>
      </c>
      <c r="F25" s="10" t="s">
        <v>41</v>
      </c>
      <c r="G25" s="10" t="s">
        <v>42</v>
      </c>
      <c r="H25" s="10" t="s">
        <v>56</v>
      </c>
      <c r="J25" s="10" t="s">
        <v>128</v>
      </c>
    </row>
    <row r="26" spans="1:10" x14ac:dyDescent="0.35">
      <c r="A26" s="10" t="s">
        <v>73</v>
      </c>
      <c r="D26" s="10">
        <v>1.5342026886312041E-7</v>
      </c>
      <c r="E26" s="10" t="s">
        <v>7</v>
      </c>
      <c r="F26" s="10" t="s">
        <v>41</v>
      </c>
      <c r="G26" s="10" t="s">
        <v>42</v>
      </c>
      <c r="H26" s="10" t="s">
        <v>56</v>
      </c>
      <c r="J26" s="10" t="s">
        <v>128</v>
      </c>
    </row>
    <row r="27" spans="1:10" x14ac:dyDescent="0.35">
      <c r="A27" s="10" t="s">
        <v>71</v>
      </c>
      <c r="D27" s="10">
        <v>2.7143586029628992E-7</v>
      </c>
      <c r="E27" s="10" t="s">
        <v>7</v>
      </c>
      <c r="F27" s="10" t="s">
        <v>41</v>
      </c>
      <c r="G27" s="10" t="s">
        <v>42</v>
      </c>
      <c r="H27" s="10" t="s">
        <v>56</v>
      </c>
      <c r="J27" s="10" t="s">
        <v>128</v>
      </c>
    </row>
    <row r="28" spans="1:10" x14ac:dyDescent="0.35">
      <c r="A28" s="10" t="s">
        <v>59</v>
      </c>
      <c r="D28" s="10">
        <v>2.0062650543638819E-7</v>
      </c>
      <c r="E28" s="10" t="s">
        <v>7</v>
      </c>
      <c r="F28" s="10" t="s">
        <v>41</v>
      </c>
      <c r="G28" s="10" t="s">
        <v>42</v>
      </c>
      <c r="H28" s="10" t="s">
        <v>56</v>
      </c>
      <c r="J28" s="10" t="s">
        <v>128</v>
      </c>
    </row>
    <row r="29" spans="1:10" x14ac:dyDescent="0.35">
      <c r="A29" s="10" t="s">
        <v>83</v>
      </c>
      <c r="D29" s="10">
        <v>4.4649232092215812E-7</v>
      </c>
      <c r="E29" s="10" t="s">
        <v>7</v>
      </c>
      <c r="F29" s="10" t="s">
        <v>41</v>
      </c>
      <c r="G29" s="10" t="s">
        <v>42</v>
      </c>
      <c r="H29" s="10" t="s">
        <v>56</v>
      </c>
      <c r="J29" s="10" t="s">
        <v>128</v>
      </c>
    </row>
    <row r="30" spans="1:10" x14ac:dyDescent="0.35">
      <c r="A30" s="10" t="s">
        <v>60</v>
      </c>
      <c r="D30" s="10">
        <v>3.857142913340758E-6</v>
      </c>
      <c r="E30" s="10" t="s">
        <v>7</v>
      </c>
      <c r="F30" s="10" t="s">
        <v>41</v>
      </c>
      <c r="G30" s="10" t="s">
        <v>42</v>
      </c>
      <c r="H30" s="10" t="s">
        <v>56</v>
      </c>
      <c r="J30" s="10" t="s">
        <v>128</v>
      </c>
    </row>
    <row r="31" spans="1:10" x14ac:dyDescent="0.35">
      <c r="A31" s="10" t="s">
        <v>131</v>
      </c>
      <c r="D31" s="10">
        <v>4.7717637469478216E-6</v>
      </c>
      <c r="E31" s="10" t="s">
        <v>7</v>
      </c>
      <c r="F31" s="10" t="s">
        <v>41</v>
      </c>
      <c r="G31" s="10" t="s">
        <v>42</v>
      </c>
      <c r="H31" s="10" t="s">
        <v>56</v>
      </c>
      <c r="J31" s="10" t="s">
        <v>128</v>
      </c>
    </row>
    <row r="32" spans="1:10" x14ac:dyDescent="0.35">
      <c r="A32" s="10" t="s">
        <v>132</v>
      </c>
      <c r="D32" s="10">
        <v>7.2776281383787878E-8</v>
      </c>
      <c r="E32" s="10" t="s">
        <v>7</v>
      </c>
      <c r="F32" s="10" t="s">
        <v>41</v>
      </c>
      <c r="G32" s="10" t="s">
        <v>42</v>
      </c>
      <c r="H32" s="10" t="s">
        <v>56</v>
      </c>
      <c r="J32" s="10" t="s">
        <v>128</v>
      </c>
    </row>
    <row r="33" spans="1:10" x14ac:dyDescent="0.35">
      <c r="A33" s="10" t="s">
        <v>61</v>
      </c>
      <c r="D33" s="10">
        <v>1.9000510220740299E-3</v>
      </c>
      <c r="E33" s="10" t="s">
        <v>7</v>
      </c>
      <c r="F33" s="10" t="s">
        <v>41</v>
      </c>
      <c r="G33" s="10" t="s">
        <v>42</v>
      </c>
      <c r="H33" s="10" t="s">
        <v>62</v>
      </c>
      <c r="J33" s="10" t="s">
        <v>85</v>
      </c>
    </row>
    <row r="34" spans="1:10" x14ac:dyDescent="0.35">
      <c r="A34" s="10" t="s">
        <v>133</v>
      </c>
      <c r="D34" s="10">
        <v>1.023804924947985E-4</v>
      </c>
      <c r="E34" s="10" t="s">
        <v>7</v>
      </c>
      <c r="F34" s="10" t="s">
        <v>41</v>
      </c>
      <c r="G34" s="10" t="s">
        <v>42</v>
      </c>
      <c r="H34" s="10" t="s">
        <v>62</v>
      </c>
      <c r="J34" s="10" t="s">
        <v>85</v>
      </c>
    </row>
    <row r="35" spans="1:10" x14ac:dyDescent="0.35">
      <c r="A35" s="10" t="s">
        <v>65</v>
      </c>
      <c r="D35" s="10">
        <v>9.8602026642413159E-6</v>
      </c>
      <c r="E35" s="10" t="s">
        <v>7</v>
      </c>
      <c r="F35" s="10" t="s">
        <v>41</v>
      </c>
      <c r="G35" s="10" t="s">
        <v>42</v>
      </c>
      <c r="H35" s="10" t="s">
        <v>62</v>
      </c>
      <c r="J35" s="10" t="s">
        <v>85</v>
      </c>
    </row>
    <row r="36" spans="1:10" x14ac:dyDescent="0.35">
      <c r="A36" s="10" t="s">
        <v>64</v>
      </c>
      <c r="D36" s="10">
        <v>3.6781525996671169E-4</v>
      </c>
      <c r="E36" s="10" t="s">
        <v>7</v>
      </c>
      <c r="F36" s="10" t="s">
        <v>41</v>
      </c>
      <c r="G36" s="10" t="s">
        <v>42</v>
      </c>
      <c r="H36" s="10" t="s">
        <v>62</v>
      </c>
      <c r="J36" s="10" t="s">
        <v>85</v>
      </c>
    </row>
    <row r="37" spans="1:10" x14ac:dyDescent="0.35">
      <c r="A37" s="10" t="s">
        <v>58</v>
      </c>
      <c r="D37" s="10">
        <v>2.0035113572304421E-5</v>
      </c>
      <c r="E37" s="10" t="s">
        <v>7</v>
      </c>
      <c r="F37" s="10" t="s">
        <v>41</v>
      </c>
      <c r="G37" s="10" t="s">
        <v>42</v>
      </c>
      <c r="H37" s="10" t="s">
        <v>62</v>
      </c>
      <c r="J37" s="10" t="s">
        <v>85</v>
      </c>
    </row>
    <row r="38" spans="1:10" x14ac:dyDescent="0.35">
      <c r="A38" s="10" t="s">
        <v>71</v>
      </c>
      <c r="D38" s="10">
        <v>4.5829388006547512E-7</v>
      </c>
      <c r="E38" s="10" t="s">
        <v>7</v>
      </c>
      <c r="F38" s="10" t="s">
        <v>41</v>
      </c>
      <c r="G38" s="10" t="s">
        <v>42</v>
      </c>
      <c r="H38" s="10" t="s">
        <v>62</v>
      </c>
      <c r="J38" s="10" t="s">
        <v>85</v>
      </c>
    </row>
    <row r="39" spans="1:10" x14ac:dyDescent="0.35">
      <c r="A39" s="10" t="s">
        <v>73</v>
      </c>
      <c r="D39" s="10">
        <v>2.972025977591986E-6</v>
      </c>
      <c r="E39" s="10" t="s">
        <v>7</v>
      </c>
      <c r="F39" s="10" t="s">
        <v>41</v>
      </c>
      <c r="G39" s="10" t="s">
        <v>42</v>
      </c>
      <c r="H39" s="10" t="s">
        <v>62</v>
      </c>
      <c r="J39" s="10" t="s">
        <v>85</v>
      </c>
    </row>
    <row r="40" spans="1:10" x14ac:dyDescent="0.35">
      <c r="A40" s="10" t="s">
        <v>59</v>
      </c>
      <c r="D40" s="10">
        <v>4.3665768830272738E-7</v>
      </c>
      <c r="E40" s="10" t="s">
        <v>7</v>
      </c>
      <c r="F40" s="10" t="s">
        <v>41</v>
      </c>
      <c r="G40" s="10" t="s">
        <v>42</v>
      </c>
      <c r="H40" s="10" t="s">
        <v>62</v>
      </c>
      <c r="J40" s="10" t="s">
        <v>85</v>
      </c>
    </row>
    <row r="41" spans="1:10" x14ac:dyDescent="0.35">
      <c r="A41" s="10" t="s">
        <v>70</v>
      </c>
      <c r="D41" s="10">
        <v>4.7304582899462117E-6</v>
      </c>
      <c r="E41" s="10" t="s">
        <v>7</v>
      </c>
      <c r="F41" s="10" t="s">
        <v>41</v>
      </c>
      <c r="G41" s="10" t="s">
        <v>42</v>
      </c>
      <c r="H41" s="10" t="s">
        <v>62</v>
      </c>
      <c r="J41" s="10" t="s">
        <v>85</v>
      </c>
    </row>
    <row r="42" spans="1:10" x14ac:dyDescent="0.35">
      <c r="A42" s="10" t="s">
        <v>72</v>
      </c>
      <c r="D42" s="10">
        <v>2.3799810939022519E-6</v>
      </c>
      <c r="E42" s="10" t="s">
        <v>7</v>
      </c>
      <c r="F42" s="10" t="s">
        <v>41</v>
      </c>
      <c r="G42" s="10" t="s">
        <v>42</v>
      </c>
      <c r="H42" s="10" t="s">
        <v>62</v>
      </c>
      <c r="J42" s="10" t="s">
        <v>85</v>
      </c>
    </row>
    <row r="43" spans="1:10" x14ac:dyDescent="0.35">
      <c r="A43" s="10" t="s">
        <v>68</v>
      </c>
      <c r="D43" s="10">
        <v>2.2973701798990342E-6</v>
      </c>
      <c r="E43" s="10" t="s">
        <v>7</v>
      </c>
      <c r="F43" s="10" t="s">
        <v>41</v>
      </c>
      <c r="G43" s="10" t="s">
        <v>42</v>
      </c>
      <c r="H43" s="10" t="s">
        <v>62</v>
      </c>
      <c r="J43" s="10" t="s">
        <v>85</v>
      </c>
    </row>
    <row r="44" spans="1:10" x14ac:dyDescent="0.35">
      <c r="A44" s="10" t="s">
        <v>63</v>
      </c>
      <c r="D44" s="10">
        <v>1.127048898186769E-3</v>
      </c>
      <c r="E44" s="10" t="s">
        <v>7</v>
      </c>
      <c r="F44" s="10" t="s">
        <v>41</v>
      </c>
      <c r="G44" s="10" t="s">
        <v>42</v>
      </c>
      <c r="H44" s="10" t="s">
        <v>62</v>
      </c>
      <c r="J44" s="10" t="s">
        <v>85</v>
      </c>
    </row>
    <row r="45" spans="1:10" x14ac:dyDescent="0.35">
      <c r="A45" s="10" t="s">
        <v>67</v>
      </c>
      <c r="D45" s="10">
        <v>1.189007083689183E-5</v>
      </c>
      <c r="E45" s="10" t="s">
        <v>7</v>
      </c>
      <c r="F45" s="10" t="s">
        <v>41</v>
      </c>
      <c r="G45" s="10" t="s">
        <v>42</v>
      </c>
      <c r="H45" s="10" t="s">
        <v>62</v>
      </c>
      <c r="J45" s="10" t="s">
        <v>85</v>
      </c>
    </row>
    <row r="46" spans="1:10" x14ac:dyDescent="0.35">
      <c r="A46" s="10" t="s">
        <v>69</v>
      </c>
      <c r="D46" s="10">
        <v>4.7867123885293572E-5</v>
      </c>
      <c r="E46" s="10" t="s">
        <v>7</v>
      </c>
      <c r="F46" s="10" t="s">
        <v>41</v>
      </c>
      <c r="G46" s="10" t="s">
        <v>42</v>
      </c>
      <c r="H46" s="10" t="s">
        <v>62</v>
      </c>
      <c r="J46" s="10" t="s">
        <v>85</v>
      </c>
    </row>
    <row r="47" spans="1:10" x14ac:dyDescent="0.35">
      <c r="A47" s="10" t="s">
        <v>66</v>
      </c>
      <c r="D47" s="10">
        <v>3.6108837125502111E-5</v>
      </c>
      <c r="E47" s="10" t="s">
        <v>7</v>
      </c>
      <c r="F47" s="10" t="s">
        <v>41</v>
      </c>
      <c r="G47" s="10" t="s">
        <v>42</v>
      </c>
      <c r="H47" s="10" t="s">
        <v>62</v>
      </c>
      <c r="J47" s="10" t="s">
        <v>128</v>
      </c>
    </row>
    <row r="48" spans="1:10" x14ac:dyDescent="0.35">
      <c r="A48" s="10" t="s">
        <v>67</v>
      </c>
      <c r="D48" s="10">
        <v>2.7733663986794842E-7</v>
      </c>
      <c r="E48" s="10" t="s">
        <v>7</v>
      </c>
      <c r="F48" s="10" t="s">
        <v>41</v>
      </c>
      <c r="G48" s="10" t="s">
        <v>42</v>
      </c>
      <c r="H48" s="10" t="s">
        <v>134</v>
      </c>
      <c r="J48" s="10" t="s">
        <v>128</v>
      </c>
    </row>
    <row r="49" spans="1:10" x14ac:dyDescent="0.35">
      <c r="A49" s="10" t="s">
        <v>66</v>
      </c>
      <c r="D49" s="10">
        <v>1.2151672064568691E-5</v>
      </c>
      <c r="E49" s="10" t="s">
        <v>7</v>
      </c>
      <c r="F49" s="10" t="s">
        <v>41</v>
      </c>
      <c r="G49" s="10" t="s">
        <v>42</v>
      </c>
      <c r="H49" s="10" t="s">
        <v>134</v>
      </c>
      <c r="J49" s="10" t="s">
        <v>128</v>
      </c>
    </row>
    <row r="50" spans="1:10" x14ac:dyDescent="0.35">
      <c r="A50" s="10" t="s">
        <v>73</v>
      </c>
      <c r="D50" s="10">
        <v>1.632549014825512E-7</v>
      </c>
      <c r="E50" s="10" t="s">
        <v>7</v>
      </c>
      <c r="F50" s="10" t="s">
        <v>41</v>
      </c>
      <c r="G50" s="10" t="s">
        <v>42</v>
      </c>
      <c r="H50" s="10" t="s">
        <v>134</v>
      </c>
      <c r="J50" s="10" t="s">
        <v>128</v>
      </c>
    </row>
    <row r="51" spans="1:10" x14ac:dyDescent="0.35">
      <c r="A51" s="10" t="s">
        <v>58</v>
      </c>
      <c r="D51" s="10">
        <v>2.1242806457970522E-6</v>
      </c>
      <c r="E51" s="10" t="s">
        <v>7</v>
      </c>
      <c r="F51" s="10" t="s">
        <v>41</v>
      </c>
      <c r="G51" s="10" t="s">
        <v>42</v>
      </c>
      <c r="H51" s="10" t="s">
        <v>134</v>
      </c>
      <c r="J51" s="10" t="s">
        <v>128</v>
      </c>
    </row>
    <row r="52" spans="1:10" x14ac:dyDescent="0.35">
      <c r="A52" s="10" t="s">
        <v>70</v>
      </c>
      <c r="D52" s="10">
        <v>4.4845924744604422E-7</v>
      </c>
      <c r="E52" s="10" t="s">
        <v>7</v>
      </c>
      <c r="F52" s="10" t="s">
        <v>41</v>
      </c>
      <c r="G52" s="10" t="s">
        <v>42</v>
      </c>
      <c r="H52" s="10" t="s">
        <v>134</v>
      </c>
      <c r="J52" s="10" t="s">
        <v>128</v>
      </c>
    </row>
    <row r="53" spans="1:10" x14ac:dyDescent="0.35">
      <c r="A53" s="10" t="s">
        <v>135</v>
      </c>
      <c r="D53" s="10">
        <v>3.1470824382178541E-8</v>
      </c>
      <c r="E53" s="10" t="s">
        <v>7</v>
      </c>
      <c r="F53" s="10" t="s">
        <v>41</v>
      </c>
      <c r="G53" s="10" t="s">
        <v>42</v>
      </c>
      <c r="H53" s="10" t="s">
        <v>134</v>
      </c>
      <c r="J53" s="10" t="s">
        <v>128</v>
      </c>
    </row>
    <row r="54" spans="1:10" x14ac:dyDescent="0.35">
      <c r="A54" s="10" t="s">
        <v>59</v>
      </c>
      <c r="D54" s="10">
        <v>1.61287974958665E-7</v>
      </c>
      <c r="E54" s="10" t="s">
        <v>7</v>
      </c>
      <c r="F54" s="10" t="s">
        <v>41</v>
      </c>
      <c r="G54" s="10" t="s">
        <v>42</v>
      </c>
      <c r="H54" s="10" t="s">
        <v>134</v>
      </c>
      <c r="J54" s="10" t="s">
        <v>128</v>
      </c>
    </row>
    <row r="55" spans="1:10" x14ac:dyDescent="0.35">
      <c r="A55" s="10" t="s">
        <v>136</v>
      </c>
      <c r="D55" s="10">
        <v>8.2103446960056053E-5</v>
      </c>
      <c r="E55" s="10" t="s">
        <v>7</v>
      </c>
      <c r="F55" s="10" t="s">
        <v>41</v>
      </c>
      <c r="G55" s="10" t="s">
        <v>42</v>
      </c>
      <c r="H55" s="10" t="s">
        <v>134</v>
      </c>
      <c r="J55" s="10" t="s">
        <v>128</v>
      </c>
    </row>
    <row r="56" spans="1:10" x14ac:dyDescent="0.35">
      <c r="A56" s="10" t="s">
        <v>72</v>
      </c>
      <c r="D56" s="10">
        <v>3.8551759868168708E-7</v>
      </c>
      <c r="E56" s="10" t="s">
        <v>7</v>
      </c>
      <c r="F56" s="10" t="s">
        <v>41</v>
      </c>
      <c r="G56" s="10" t="s">
        <v>42</v>
      </c>
      <c r="H56" s="10" t="s">
        <v>134</v>
      </c>
      <c r="J56" s="10" t="s">
        <v>128</v>
      </c>
    </row>
    <row r="57" spans="1:10" x14ac:dyDescent="0.35">
      <c r="A57" s="10" t="s">
        <v>137</v>
      </c>
      <c r="D57" s="10">
        <v>7.8677060955446365E-8</v>
      </c>
      <c r="E57" s="10" t="s">
        <v>7</v>
      </c>
      <c r="F57" s="10" t="s">
        <v>41</v>
      </c>
      <c r="G57" s="10" t="s">
        <v>42</v>
      </c>
      <c r="H57" s="10" t="s">
        <v>134</v>
      </c>
      <c r="J57" s="10" t="s">
        <v>128</v>
      </c>
    </row>
    <row r="58" spans="1:10" x14ac:dyDescent="0.35">
      <c r="A58" s="10" t="s">
        <v>71</v>
      </c>
      <c r="D58" s="10">
        <v>1.022801792420803E-7</v>
      </c>
      <c r="E58" s="10" t="s">
        <v>7</v>
      </c>
      <c r="F58" s="10" t="s">
        <v>41</v>
      </c>
      <c r="G58" s="10" t="s">
        <v>42</v>
      </c>
      <c r="H58" s="10" t="s">
        <v>134</v>
      </c>
      <c r="J58" s="10" t="s">
        <v>128</v>
      </c>
    </row>
    <row r="59" spans="1:10" x14ac:dyDescent="0.35">
      <c r="A59" s="10" t="s">
        <v>138</v>
      </c>
      <c r="D59" s="10">
        <v>3.9338530477723184E-9</v>
      </c>
      <c r="E59" s="10" t="s">
        <v>7</v>
      </c>
      <c r="F59" s="10" t="s">
        <v>41</v>
      </c>
      <c r="G59" s="10" t="s">
        <v>42</v>
      </c>
      <c r="H59" s="10" t="s">
        <v>134</v>
      </c>
      <c r="J59" s="10" t="s">
        <v>128</v>
      </c>
    </row>
    <row r="60" spans="1:10" x14ac:dyDescent="0.35">
      <c r="A60" s="10" t="s">
        <v>69</v>
      </c>
      <c r="D60" s="10">
        <v>5.5506666504067401E-6</v>
      </c>
      <c r="E60" s="10" t="s">
        <v>7</v>
      </c>
      <c r="F60" s="10" t="s">
        <v>41</v>
      </c>
      <c r="G60" s="10" t="s">
        <v>42</v>
      </c>
      <c r="H60" s="10" t="s">
        <v>134</v>
      </c>
      <c r="J60" s="10" t="s">
        <v>128</v>
      </c>
    </row>
    <row r="61" spans="1:10" x14ac:dyDescent="0.35">
      <c r="A61" s="10" t="s">
        <v>139</v>
      </c>
      <c r="D61" s="10">
        <v>7.8677060955446351E-9</v>
      </c>
      <c r="E61" s="10" t="s">
        <v>7</v>
      </c>
      <c r="F61" s="10" t="s">
        <v>41</v>
      </c>
      <c r="G61" s="10" t="s">
        <v>42</v>
      </c>
      <c r="H61" s="10" t="s">
        <v>362</v>
      </c>
      <c r="J61" s="10" t="s">
        <v>128</v>
      </c>
    </row>
    <row r="62" spans="1:10" x14ac:dyDescent="0.35">
      <c r="A62" s="10" t="s">
        <v>140</v>
      </c>
      <c r="D62" s="10">
        <v>4.32723835254955E-8</v>
      </c>
      <c r="E62" s="10" t="s">
        <v>7</v>
      </c>
      <c r="F62" s="10" t="s">
        <v>41</v>
      </c>
      <c r="G62" s="10" t="s">
        <v>42</v>
      </c>
      <c r="H62" s="10" t="s">
        <v>362</v>
      </c>
      <c r="J62" s="10" t="s">
        <v>128</v>
      </c>
    </row>
    <row r="63" spans="1:10" s="19" customFormat="1" x14ac:dyDescent="0.35"/>
    <row r="64" spans="1:10" x14ac:dyDescent="0.35">
      <c r="A64" s="9" t="s">
        <v>0</v>
      </c>
      <c r="B64" s="9" t="s">
        <v>161</v>
      </c>
    </row>
    <row r="65" spans="1:14" x14ac:dyDescent="0.35">
      <c r="A65" s="18" t="s">
        <v>1</v>
      </c>
      <c r="B65" s="10" t="s">
        <v>162</v>
      </c>
    </row>
    <row r="66" spans="1:14" x14ac:dyDescent="0.35">
      <c r="A66" s="18" t="s">
        <v>3</v>
      </c>
      <c r="B66" s="10" t="s">
        <v>4</v>
      </c>
    </row>
    <row r="67" spans="1:14" x14ac:dyDescent="0.35">
      <c r="A67" s="18" t="s">
        <v>5</v>
      </c>
      <c r="B67" s="10">
        <v>1</v>
      </c>
    </row>
    <row r="68" spans="1:14" x14ac:dyDescent="0.35">
      <c r="A68" s="18" t="s">
        <v>6</v>
      </c>
      <c r="B68" s="10" t="s">
        <v>7</v>
      </c>
    </row>
    <row r="69" spans="1:14" ht="29" x14ac:dyDescent="0.35">
      <c r="A69" s="18" t="s">
        <v>8</v>
      </c>
      <c r="B69" s="14" t="s">
        <v>357</v>
      </c>
    </row>
    <row r="70" spans="1:14" x14ac:dyDescent="0.35">
      <c r="A70" s="18" t="s">
        <v>9</v>
      </c>
    </row>
    <row r="71" spans="1:14" x14ac:dyDescent="0.35">
      <c r="A71" s="9" t="s">
        <v>10</v>
      </c>
      <c r="B71" s="9" t="s">
        <v>1</v>
      </c>
      <c r="C71" s="9" t="s">
        <v>3</v>
      </c>
      <c r="D71" s="9" t="s">
        <v>5</v>
      </c>
      <c r="E71" s="9" t="s">
        <v>6</v>
      </c>
      <c r="F71" s="9" t="s">
        <v>11</v>
      </c>
      <c r="G71" s="9" t="s">
        <v>12</v>
      </c>
      <c r="H71" s="9" t="s">
        <v>13</v>
      </c>
      <c r="I71" s="9" t="s">
        <v>14</v>
      </c>
      <c r="J71" s="9" t="s">
        <v>15</v>
      </c>
      <c r="K71" s="9" t="s">
        <v>16</v>
      </c>
      <c r="L71" s="9" t="s">
        <v>17</v>
      </c>
      <c r="M71" s="9" t="s">
        <v>18</v>
      </c>
      <c r="N71" s="9" t="s">
        <v>19</v>
      </c>
    </row>
    <row r="72" spans="1:14" x14ac:dyDescent="0.35">
      <c r="A72" s="10" t="str">
        <f>B64</f>
        <v>[P+R] Refined Lead (Pb) production - Smelting</v>
      </c>
      <c r="B72" s="10" t="str">
        <f>B65</f>
        <v>Refined Pb</v>
      </c>
      <c r="C72" s="10" t="s">
        <v>4</v>
      </c>
      <c r="D72" s="10">
        <v>1</v>
      </c>
      <c r="E72" s="10" t="s">
        <v>7</v>
      </c>
      <c r="F72" s="11" t="str">
        <f>F9</f>
        <v>Lead</v>
      </c>
      <c r="G72" s="10" t="s">
        <v>20</v>
      </c>
    </row>
    <row r="73" spans="1:14" x14ac:dyDescent="0.35">
      <c r="A73" s="10" t="s">
        <v>122</v>
      </c>
      <c r="B73" s="10" t="s">
        <v>123</v>
      </c>
      <c r="C73" s="10" t="s">
        <v>30</v>
      </c>
      <c r="D73" s="16">
        <v>0.12743195003275345</v>
      </c>
      <c r="E73" s="10" t="s">
        <v>7</v>
      </c>
      <c r="F73" s="10" t="s">
        <v>24</v>
      </c>
      <c r="G73" s="10" t="s">
        <v>25</v>
      </c>
      <c r="J73" s="10" t="s">
        <v>141</v>
      </c>
    </row>
    <row r="74" spans="1:14" x14ac:dyDescent="0.35">
      <c r="A74" s="10" t="s">
        <v>79</v>
      </c>
      <c r="B74" s="10" t="s">
        <v>80</v>
      </c>
      <c r="C74" s="10" t="s">
        <v>4</v>
      </c>
      <c r="D74" s="16">
        <v>1.5667715494127703</v>
      </c>
      <c r="E74" s="10" t="s">
        <v>35</v>
      </c>
      <c r="F74" s="10" t="s">
        <v>24</v>
      </c>
      <c r="G74" s="10" t="s">
        <v>25</v>
      </c>
      <c r="J74" s="10" t="s">
        <v>141</v>
      </c>
    </row>
    <row r="75" spans="1:14" x14ac:dyDescent="0.35">
      <c r="A75" s="10" t="s">
        <v>142</v>
      </c>
      <c r="B75" s="10" t="s">
        <v>143</v>
      </c>
      <c r="C75" s="10" t="s">
        <v>30</v>
      </c>
      <c r="D75" s="16">
        <v>0.49619264549196473</v>
      </c>
      <c r="E75" s="10" t="s">
        <v>7</v>
      </c>
      <c r="F75" s="10" t="s">
        <v>24</v>
      </c>
      <c r="G75" s="10" t="s">
        <v>25</v>
      </c>
      <c r="J75" s="10" t="s">
        <v>141</v>
      </c>
    </row>
    <row r="76" spans="1:14" x14ac:dyDescent="0.35">
      <c r="A76" s="10" t="s">
        <v>144</v>
      </c>
      <c r="B76" s="10" t="s">
        <v>145</v>
      </c>
      <c r="C76" s="10" t="s">
        <v>23</v>
      </c>
      <c r="D76" s="16">
        <v>5.935421028371201E-2</v>
      </c>
      <c r="E76" s="10" t="s">
        <v>7</v>
      </c>
      <c r="F76" s="10" t="s">
        <v>24</v>
      </c>
      <c r="G76" s="10" t="s">
        <v>25</v>
      </c>
      <c r="J76" s="10" t="s">
        <v>141</v>
      </c>
    </row>
    <row r="77" spans="1:14" x14ac:dyDescent="0.35">
      <c r="A77" s="10" t="s">
        <v>146</v>
      </c>
      <c r="B77" s="10" t="s">
        <v>147</v>
      </c>
      <c r="C77" s="10" t="s">
        <v>23</v>
      </c>
      <c r="D77" s="16">
        <v>4.2420300145131357E-4</v>
      </c>
      <c r="E77" s="10" t="s">
        <v>7</v>
      </c>
      <c r="F77" s="10" t="s">
        <v>24</v>
      </c>
      <c r="G77" s="10" t="s">
        <v>25</v>
      </c>
      <c r="J77" s="10" t="s">
        <v>141</v>
      </c>
    </row>
    <row r="78" spans="1:14" x14ac:dyDescent="0.35">
      <c r="A78" s="10" t="s">
        <v>148</v>
      </c>
      <c r="B78" s="10" t="s">
        <v>149</v>
      </c>
      <c r="C78" s="10" t="s">
        <v>23</v>
      </c>
      <c r="D78" s="16">
        <v>1.5993137353103963E-3</v>
      </c>
      <c r="E78" s="10" t="s">
        <v>7</v>
      </c>
      <c r="F78" s="10" t="s">
        <v>24</v>
      </c>
      <c r="G78" s="10" t="s">
        <v>25</v>
      </c>
      <c r="J78" s="10" t="s">
        <v>141</v>
      </c>
    </row>
    <row r="79" spans="1:14" x14ac:dyDescent="0.35">
      <c r="A79" s="10" t="s">
        <v>48</v>
      </c>
      <c r="B79" s="10" t="s">
        <v>49</v>
      </c>
      <c r="C79" s="10" t="s">
        <v>23</v>
      </c>
      <c r="D79" s="16">
        <v>5.9183160686352619E-2</v>
      </c>
      <c r="E79" s="10" t="s">
        <v>7</v>
      </c>
      <c r="F79" s="10" t="s">
        <v>24</v>
      </c>
      <c r="G79" s="10" t="s">
        <v>25</v>
      </c>
      <c r="J79" s="10" t="s">
        <v>141</v>
      </c>
    </row>
    <row r="80" spans="1:14" x14ac:dyDescent="0.35">
      <c r="A80" s="10" t="s">
        <v>50</v>
      </c>
      <c r="B80" s="10" t="s">
        <v>51</v>
      </c>
      <c r="C80" s="10" t="s">
        <v>23</v>
      </c>
      <c r="D80" s="16">
        <v>0.23946943630316089</v>
      </c>
      <c r="E80" s="10" t="s">
        <v>7</v>
      </c>
      <c r="F80" s="10" t="s">
        <v>24</v>
      </c>
      <c r="G80" s="10" t="s">
        <v>25</v>
      </c>
      <c r="J80" s="10" t="s">
        <v>141</v>
      </c>
    </row>
    <row r="81" spans="1:10" x14ac:dyDescent="0.35">
      <c r="A81" s="10" t="s">
        <v>52</v>
      </c>
      <c r="B81" s="10" t="s">
        <v>53</v>
      </c>
      <c r="C81" s="10" t="s">
        <v>30</v>
      </c>
      <c r="D81" s="16">
        <v>0.36946713029630535</v>
      </c>
      <c r="E81" s="10" t="s">
        <v>54</v>
      </c>
      <c r="F81" s="10" t="s">
        <v>24</v>
      </c>
      <c r="G81" s="10" t="s">
        <v>25</v>
      </c>
      <c r="J81" s="10" t="s">
        <v>141</v>
      </c>
    </row>
    <row r="82" spans="1:10" x14ac:dyDescent="0.35">
      <c r="A82" s="10" t="s">
        <v>36</v>
      </c>
      <c r="B82" s="10" t="s">
        <v>37</v>
      </c>
      <c r="C82" s="10" t="s">
        <v>4</v>
      </c>
      <c r="D82" s="16">
        <v>1.9243079702932573</v>
      </c>
      <c r="E82" s="10" t="s">
        <v>38</v>
      </c>
      <c r="F82" s="10" t="s">
        <v>24</v>
      </c>
      <c r="G82" s="10" t="s">
        <v>25</v>
      </c>
      <c r="J82" s="10" t="s">
        <v>141</v>
      </c>
    </row>
    <row r="83" spans="1:10" x14ac:dyDescent="0.35">
      <c r="A83" s="10" t="s">
        <v>46</v>
      </c>
      <c r="B83" s="10" t="s">
        <v>47</v>
      </c>
      <c r="C83" s="10" t="s">
        <v>4</v>
      </c>
      <c r="D83" s="16">
        <v>8.9801038613685332E-6</v>
      </c>
      <c r="E83" s="10" t="s">
        <v>39</v>
      </c>
      <c r="F83" s="10" t="s">
        <v>24</v>
      </c>
      <c r="G83" s="10" t="s">
        <v>25</v>
      </c>
      <c r="J83" s="10" t="s">
        <v>141</v>
      </c>
    </row>
    <row r="84" spans="1:10" x14ac:dyDescent="0.35">
      <c r="A84" s="10" t="s">
        <v>126</v>
      </c>
      <c r="B84" s="10" t="s">
        <v>127</v>
      </c>
      <c r="C84" s="10" t="s">
        <v>30</v>
      </c>
      <c r="D84" s="16">
        <v>-7.6202595623613069E-4</v>
      </c>
      <c r="E84" s="10" t="s">
        <v>7</v>
      </c>
      <c r="F84" s="10" t="s">
        <v>24</v>
      </c>
      <c r="G84" s="10" t="s">
        <v>25</v>
      </c>
      <c r="J84" s="10" t="s">
        <v>128</v>
      </c>
    </row>
    <row r="85" spans="1:10" x14ac:dyDescent="0.35">
      <c r="A85" s="10" t="s">
        <v>129</v>
      </c>
      <c r="D85" s="16">
        <v>7.9024913980043092E-4</v>
      </c>
      <c r="E85" s="10" t="s">
        <v>130</v>
      </c>
      <c r="F85" s="10" t="s">
        <v>41</v>
      </c>
      <c r="G85" s="10" t="s">
        <v>42</v>
      </c>
      <c r="H85" s="10" t="s">
        <v>45</v>
      </c>
      <c r="J85" s="10" t="s">
        <v>141</v>
      </c>
    </row>
    <row r="86" spans="1:10" x14ac:dyDescent="0.35">
      <c r="A86" s="10" t="s">
        <v>44</v>
      </c>
      <c r="D86" s="16">
        <v>6.303177662693912E-3</v>
      </c>
      <c r="E86" s="10" t="s">
        <v>39</v>
      </c>
      <c r="F86" s="10" t="s">
        <v>41</v>
      </c>
      <c r="G86" s="10" t="s">
        <v>42</v>
      </c>
      <c r="H86" s="10" t="s">
        <v>43</v>
      </c>
      <c r="J86" s="10" t="s">
        <v>141</v>
      </c>
    </row>
    <row r="87" spans="1:10" x14ac:dyDescent="0.35">
      <c r="A87" s="10" t="s">
        <v>60</v>
      </c>
      <c r="D87" s="16">
        <v>8.7235294653294302E-3</v>
      </c>
      <c r="E87" s="10" t="s">
        <v>7</v>
      </c>
      <c r="F87" s="10" t="s">
        <v>41</v>
      </c>
      <c r="G87" s="10" t="s">
        <v>42</v>
      </c>
      <c r="H87" s="10" t="s">
        <v>56</v>
      </c>
      <c r="J87" s="10" t="s">
        <v>85</v>
      </c>
    </row>
    <row r="88" spans="1:10" x14ac:dyDescent="0.35">
      <c r="A88" s="10" t="s">
        <v>55</v>
      </c>
      <c r="D88" s="16">
        <v>2.8992906752418409E-3</v>
      </c>
      <c r="E88" s="10" t="s">
        <v>7</v>
      </c>
      <c r="F88" s="10" t="s">
        <v>41</v>
      </c>
      <c r="G88" s="10" t="s">
        <v>42</v>
      </c>
      <c r="H88" s="10" t="s">
        <v>56</v>
      </c>
      <c r="J88" s="10" t="s">
        <v>85</v>
      </c>
    </row>
    <row r="89" spans="1:10" x14ac:dyDescent="0.35">
      <c r="A89" s="10" t="s">
        <v>83</v>
      </c>
      <c r="D89" s="16">
        <v>1.1802422217798646E-3</v>
      </c>
      <c r="E89" s="10" t="s">
        <v>7</v>
      </c>
      <c r="F89" s="10" t="s">
        <v>41</v>
      </c>
      <c r="G89" s="10" t="s">
        <v>42</v>
      </c>
      <c r="H89" s="10" t="s">
        <v>56</v>
      </c>
      <c r="J89" s="10" t="s">
        <v>85</v>
      </c>
    </row>
    <row r="90" spans="1:10" x14ac:dyDescent="0.35">
      <c r="A90" s="10" t="s">
        <v>58</v>
      </c>
      <c r="D90" s="16">
        <v>1.4966839768947561E-4</v>
      </c>
      <c r="E90" s="10" t="s">
        <v>7</v>
      </c>
      <c r="F90" s="10" t="s">
        <v>41</v>
      </c>
      <c r="G90" s="10" t="s">
        <v>42</v>
      </c>
      <c r="H90" s="10" t="s">
        <v>56</v>
      </c>
      <c r="J90" s="10" t="s">
        <v>85</v>
      </c>
    </row>
    <row r="91" spans="1:10" x14ac:dyDescent="0.35">
      <c r="A91" s="10" t="s">
        <v>73</v>
      </c>
      <c r="D91" s="16">
        <v>1.1624530636544866E-5</v>
      </c>
      <c r="E91" s="10" t="s">
        <v>7</v>
      </c>
      <c r="F91" s="10" t="s">
        <v>41</v>
      </c>
      <c r="G91" s="10" t="s">
        <v>42</v>
      </c>
      <c r="H91" s="10" t="s">
        <v>56</v>
      </c>
      <c r="J91" s="10" t="s">
        <v>85</v>
      </c>
    </row>
    <row r="92" spans="1:10" x14ac:dyDescent="0.35">
      <c r="A92" s="10" t="s">
        <v>71</v>
      </c>
      <c r="D92" s="16">
        <v>1.2914244600634747E-5</v>
      </c>
      <c r="E92" s="10" t="s">
        <v>7</v>
      </c>
      <c r="F92" s="10" t="s">
        <v>41</v>
      </c>
      <c r="G92" s="10" t="s">
        <v>42</v>
      </c>
      <c r="H92" s="10" t="s">
        <v>56</v>
      </c>
      <c r="J92" s="10" t="s">
        <v>85</v>
      </c>
    </row>
    <row r="93" spans="1:10" x14ac:dyDescent="0.35">
      <c r="A93" s="10" t="s">
        <v>59</v>
      </c>
      <c r="D93" s="16">
        <v>4.0025605782099749E-7</v>
      </c>
      <c r="E93" s="10" t="s">
        <v>7</v>
      </c>
      <c r="F93" s="10" t="s">
        <v>41</v>
      </c>
      <c r="G93" s="10" t="s">
        <v>42</v>
      </c>
      <c r="H93" s="10" t="s">
        <v>56</v>
      </c>
      <c r="J93" s="10" t="s">
        <v>85</v>
      </c>
    </row>
    <row r="94" spans="1:10" x14ac:dyDescent="0.35">
      <c r="A94" s="10" t="s">
        <v>70</v>
      </c>
      <c r="D94" s="16">
        <v>6.9189562131877576E-7</v>
      </c>
      <c r="E94" s="10" t="s">
        <v>7</v>
      </c>
      <c r="F94" s="10" t="s">
        <v>41</v>
      </c>
      <c r="G94" s="10" t="s">
        <v>42</v>
      </c>
      <c r="H94" s="10" t="s">
        <v>56</v>
      </c>
      <c r="J94" s="10" t="s">
        <v>85</v>
      </c>
    </row>
    <row r="95" spans="1:10" x14ac:dyDescent="0.35">
      <c r="A95" s="10" t="s">
        <v>57</v>
      </c>
      <c r="D95" s="16">
        <v>6.3880182629841769E-5</v>
      </c>
      <c r="E95" s="10" t="s">
        <v>7</v>
      </c>
      <c r="F95" s="10" t="s">
        <v>41</v>
      </c>
      <c r="G95" s="10" t="s">
        <v>42</v>
      </c>
      <c r="H95" s="10" t="s">
        <v>56</v>
      </c>
      <c r="J95" s="10" t="s">
        <v>85</v>
      </c>
    </row>
    <row r="96" spans="1:10" x14ac:dyDescent="0.35">
      <c r="A96" s="10" t="s">
        <v>150</v>
      </c>
      <c r="D96" s="16">
        <v>4.9604383234226173E-7</v>
      </c>
      <c r="E96" s="10" t="s">
        <v>7</v>
      </c>
      <c r="F96" s="10" t="s">
        <v>41</v>
      </c>
      <c r="G96" s="10" t="s">
        <v>42</v>
      </c>
      <c r="H96" s="10" t="s">
        <v>56</v>
      </c>
      <c r="J96" s="10" t="s">
        <v>85</v>
      </c>
    </row>
    <row r="97" spans="1:10" x14ac:dyDescent="0.35">
      <c r="A97" s="10" t="s">
        <v>151</v>
      </c>
      <c r="D97" s="16">
        <v>1.0348500640243736E-7</v>
      </c>
      <c r="E97" s="10" t="s">
        <v>7</v>
      </c>
      <c r="F97" s="10" t="s">
        <v>41</v>
      </c>
      <c r="G97" s="10" t="s">
        <v>42</v>
      </c>
      <c r="H97" s="10" t="s">
        <v>56</v>
      </c>
      <c r="J97" s="10" t="s">
        <v>85</v>
      </c>
    </row>
    <row r="98" spans="1:10" x14ac:dyDescent="0.35">
      <c r="A98" s="10" t="s">
        <v>61</v>
      </c>
      <c r="D98" s="16">
        <v>1.5223414164986657E-4</v>
      </c>
      <c r="E98" s="10" t="s">
        <v>7</v>
      </c>
      <c r="F98" s="10" t="s">
        <v>41</v>
      </c>
      <c r="G98" s="10" t="s">
        <v>42</v>
      </c>
      <c r="H98" s="10" t="s">
        <v>62</v>
      </c>
      <c r="J98" s="10" t="s">
        <v>85</v>
      </c>
    </row>
    <row r="99" spans="1:10" x14ac:dyDescent="0.35">
      <c r="A99" s="10" t="s">
        <v>64</v>
      </c>
      <c r="D99" s="16">
        <v>1.6086359383664831E-5</v>
      </c>
      <c r="E99" s="10" t="s">
        <v>7</v>
      </c>
      <c r="F99" s="10" t="s">
        <v>41</v>
      </c>
      <c r="G99" s="10" t="s">
        <v>42</v>
      </c>
      <c r="H99" s="10" t="s">
        <v>62</v>
      </c>
      <c r="J99" s="10" t="s">
        <v>85</v>
      </c>
    </row>
    <row r="100" spans="1:10" x14ac:dyDescent="0.35">
      <c r="A100" s="10" t="s">
        <v>65</v>
      </c>
      <c r="D100" s="16">
        <v>2.0671343840883568E-6</v>
      </c>
      <c r="E100" s="10" t="s">
        <v>7</v>
      </c>
      <c r="F100" s="10" t="s">
        <v>41</v>
      </c>
      <c r="G100" s="10" t="s">
        <v>42</v>
      </c>
      <c r="H100" s="10" t="s">
        <v>62</v>
      </c>
      <c r="J100" s="10" t="s">
        <v>85</v>
      </c>
    </row>
    <row r="101" spans="1:10" x14ac:dyDescent="0.35">
      <c r="A101" s="10" t="s">
        <v>64</v>
      </c>
      <c r="D101" s="16">
        <v>3.3057900433664559E-5</v>
      </c>
      <c r="E101" s="10" t="s">
        <v>7</v>
      </c>
      <c r="F101" s="10" t="s">
        <v>41</v>
      </c>
      <c r="G101" s="10" t="s">
        <v>42</v>
      </c>
      <c r="H101" s="10" t="s">
        <v>62</v>
      </c>
      <c r="J101" s="10" t="s">
        <v>85</v>
      </c>
    </row>
    <row r="102" spans="1:10" x14ac:dyDescent="0.35">
      <c r="A102" s="10" t="s">
        <v>58</v>
      </c>
      <c r="D102" s="16">
        <v>6.9189562131877576E-7</v>
      </c>
      <c r="E102" s="10" t="s">
        <v>7</v>
      </c>
      <c r="F102" s="10" t="s">
        <v>41</v>
      </c>
      <c r="G102" s="10" t="s">
        <v>42</v>
      </c>
      <c r="H102" s="10" t="s">
        <v>62</v>
      </c>
      <c r="J102" s="10" t="s">
        <v>85</v>
      </c>
    </row>
    <row r="103" spans="1:10" x14ac:dyDescent="0.35">
      <c r="A103" s="10" t="s">
        <v>71</v>
      </c>
      <c r="D103" s="16">
        <v>4.267687454117045E-7</v>
      </c>
      <c r="E103" s="10" t="s">
        <v>7</v>
      </c>
      <c r="F103" s="10" t="s">
        <v>41</v>
      </c>
      <c r="G103" s="10" t="s">
        <v>42</v>
      </c>
      <c r="H103" s="10" t="s">
        <v>62</v>
      </c>
      <c r="J103" s="10" t="s">
        <v>85</v>
      </c>
    </row>
    <row r="104" spans="1:10" x14ac:dyDescent="0.35">
      <c r="A104" s="10" t="s">
        <v>73</v>
      </c>
      <c r="D104" s="16">
        <v>9.3222030560873363E-8</v>
      </c>
      <c r="E104" s="10" t="s">
        <v>7</v>
      </c>
      <c r="F104" s="10" t="s">
        <v>41</v>
      </c>
      <c r="G104" s="10" t="s">
        <v>42</v>
      </c>
      <c r="H104" s="10" t="s">
        <v>62</v>
      </c>
      <c r="J104" s="10" t="s">
        <v>85</v>
      </c>
    </row>
    <row r="105" spans="1:10" x14ac:dyDescent="0.35">
      <c r="A105" s="10" t="s">
        <v>59</v>
      </c>
      <c r="D105" s="16">
        <v>1.8815455709534072E-8</v>
      </c>
      <c r="E105" s="10" t="s">
        <v>7</v>
      </c>
      <c r="F105" s="10" t="s">
        <v>41</v>
      </c>
      <c r="G105" s="10" t="s">
        <v>42</v>
      </c>
      <c r="H105" s="10" t="s">
        <v>62</v>
      </c>
      <c r="J105" s="10" t="s">
        <v>85</v>
      </c>
    </row>
    <row r="106" spans="1:10" x14ac:dyDescent="0.35">
      <c r="A106" s="10" t="s">
        <v>70</v>
      </c>
      <c r="D106" s="16">
        <v>1.0947174231001639E-7</v>
      </c>
      <c r="E106" s="10" t="s">
        <v>7</v>
      </c>
      <c r="F106" s="10" t="s">
        <v>41</v>
      </c>
      <c r="G106" s="10" t="s">
        <v>42</v>
      </c>
      <c r="H106" s="10" t="s">
        <v>62</v>
      </c>
      <c r="J106" s="10" t="s">
        <v>85</v>
      </c>
    </row>
    <row r="107" spans="1:10" x14ac:dyDescent="0.35">
      <c r="A107" s="10" t="s">
        <v>72</v>
      </c>
      <c r="D107" s="16">
        <v>1.5137889366306957E-7</v>
      </c>
      <c r="E107" s="10" t="s">
        <v>7</v>
      </c>
      <c r="F107" s="10" t="s">
        <v>41</v>
      </c>
      <c r="G107" s="10" t="s">
        <v>42</v>
      </c>
      <c r="H107" s="10" t="s">
        <v>62</v>
      </c>
      <c r="J107" s="10" t="s">
        <v>85</v>
      </c>
    </row>
    <row r="108" spans="1:10" x14ac:dyDescent="0.35">
      <c r="A108" s="10" t="s">
        <v>68</v>
      </c>
      <c r="D108" s="16">
        <v>2.9933679537895107E-8</v>
      </c>
      <c r="E108" s="10" t="s">
        <v>7</v>
      </c>
      <c r="F108" s="10" t="s">
        <v>41</v>
      </c>
      <c r="G108" s="10" t="s">
        <v>42</v>
      </c>
      <c r="H108" s="10" t="s">
        <v>62</v>
      </c>
      <c r="J108" s="10" t="s">
        <v>85</v>
      </c>
    </row>
    <row r="109" spans="1:10" x14ac:dyDescent="0.35">
      <c r="A109" s="10" t="s">
        <v>63</v>
      </c>
      <c r="D109" s="16">
        <v>7.9581680419447953E-5</v>
      </c>
      <c r="E109" s="10" t="s">
        <v>7</v>
      </c>
      <c r="F109" s="10" t="s">
        <v>41</v>
      </c>
      <c r="G109" s="10" t="s">
        <v>42</v>
      </c>
      <c r="H109" s="10" t="s">
        <v>62</v>
      </c>
      <c r="J109" s="10" t="s">
        <v>85</v>
      </c>
    </row>
    <row r="110" spans="1:10" x14ac:dyDescent="0.35">
      <c r="A110" s="10" t="s">
        <v>67</v>
      </c>
      <c r="D110" s="16">
        <v>1.7019434937260362E-7</v>
      </c>
      <c r="E110" s="10" t="s">
        <v>7</v>
      </c>
      <c r="F110" s="10" t="s">
        <v>41</v>
      </c>
      <c r="G110" s="10" t="s">
        <v>42</v>
      </c>
      <c r="H110" s="10" t="s">
        <v>62</v>
      </c>
      <c r="J110" s="10" t="s">
        <v>85</v>
      </c>
    </row>
    <row r="111" spans="1:10" x14ac:dyDescent="0.35">
      <c r="A111" s="10" t="s">
        <v>69</v>
      </c>
      <c r="D111" s="16">
        <v>7.3046730552332016E-6</v>
      </c>
      <c r="E111" s="10" t="s">
        <v>7</v>
      </c>
      <c r="F111" s="10" t="s">
        <v>41</v>
      </c>
      <c r="G111" s="10" t="s">
        <v>42</v>
      </c>
      <c r="H111" s="10" t="s">
        <v>62</v>
      </c>
      <c r="J111" s="10" t="s">
        <v>85</v>
      </c>
    </row>
    <row r="112" spans="1:10" x14ac:dyDescent="0.35">
      <c r="A112" s="10" t="s">
        <v>66</v>
      </c>
      <c r="D112" s="16">
        <v>8.3472203511387492E-7</v>
      </c>
      <c r="E112" s="10" t="s">
        <v>7</v>
      </c>
      <c r="F112" s="10" t="s">
        <v>41</v>
      </c>
      <c r="G112" s="10" t="s">
        <v>42</v>
      </c>
      <c r="H112" s="10" t="s">
        <v>62</v>
      </c>
      <c r="J112" s="10" t="s">
        <v>85</v>
      </c>
    </row>
    <row r="113" spans="1:10" x14ac:dyDescent="0.35">
      <c r="A113" s="10" t="s">
        <v>67</v>
      </c>
      <c r="D113" s="16">
        <v>5.1314879207820168E-9</v>
      </c>
      <c r="E113" s="10" t="s">
        <v>7</v>
      </c>
      <c r="F113" s="10" t="s">
        <v>41</v>
      </c>
      <c r="G113" s="10" t="s">
        <v>42</v>
      </c>
      <c r="H113" s="10" t="s">
        <v>134</v>
      </c>
      <c r="J113" s="10" t="s">
        <v>128</v>
      </c>
    </row>
    <row r="114" spans="1:10" x14ac:dyDescent="0.35">
      <c r="A114" s="10" t="s">
        <v>66</v>
      </c>
      <c r="D114" s="16">
        <v>6.756459095696327E-8</v>
      </c>
      <c r="E114" s="10" t="s">
        <v>7</v>
      </c>
      <c r="F114" s="10" t="s">
        <v>41</v>
      </c>
      <c r="G114" s="10" t="s">
        <v>42</v>
      </c>
      <c r="H114" s="10" t="s">
        <v>134</v>
      </c>
      <c r="J114" s="10" t="s">
        <v>128</v>
      </c>
    </row>
    <row r="115" spans="1:10" x14ac:dyDescent="0.35">
      <c r="A115" s="10" t="s">
        <v>73</v>
      </c>
      <c r="D115" s="16">
        <v>4.8578085650069761E-11</v>
      </c>
      <c r="E115" s="10" t="s">
        <v>7</v>
      </c>
      <c r="F115" s="10" t="s">
        <v>41</v>
      </c>
      <c r="G115" s="10" t="s">
        <v>42</v>
      </c>
      <c r="H115" s="10" t="s">
        <v>134</v>
      </c>
      <c r="J115" s="10" t="s">
        <v>128</v>
      </c>
    </row>
    <row r="116" spans="1:10" x14ac:dyDescent="0.35">
      <c r="A116" s="10" t="s">
        <v>58</v>
      </c>
      <c r="D116" s="16">
        <v>4.2762399339850158E-9</v>
      </c>
      <c r="E116" s="10" t="s">
        <v>7</v>
      </c>
      <c r="F116" s="10" t="s">
        <v>41</v>
      </c>
      <c r="G116" s="10" t="s">
        <v>42</v>
      </c>
      <c r="H116" s="10" t="s">
        <v>134</v>
      </c>
      <c r="J116" s="10" t="s">
        <v>128</v>
      </c>
    </row>
    <row r="117" spans="1:10" x14ac:dyDescent="0.35">
      <c r="A117" s="10" t="s">
        <v>70</v>
      </c>
      <c r="D117" s="16">
        <v>2.5657439603910092E-9</v>
      </c>
      <c r="E117" s="10" t="s">
        <v>7</v>
      </c>
      <c r="F117" s="10" t="s">
        <v>41</v>
      </c>
      <c r="G117" s="10" t="s">
        <v>42</v>
      </c>
      <c r="H117" s="10" t="s">
        <v>134</v>
      </c>
      <c r="J117" s="10" t="s">
        <v>128</v>
      </c>
    </row>
    <row r="118" spans="1:10" x14ac:dyDescent="0.35">
      <c r="A118" s="10" t="s">
        <v>135</v>
      </c>
      <c r="D118" s="16">
        <v>8.5524798679700329E-10</v>
      </c>
      <c r="E118" s="10" t="s">
        <v>7</v>
      </c>
      <c r="F118" s="10" t="s">
        <v>41</v>
      </c>
      <c r="G118" s="10" t="s">
        <v>42</v>
      </c>
      <c r="H118" s="10" t="s">
        <v>134</v>
      </c>
      <c r="J118" s="10" t="s">
        <v>128</v>
      </c>
    </row>
    <row r="119" spans="1:10" x14ac:dyDescent="0.35">
      <c r="A119" s="10" t="s">
        <v>59</v>
      </c>
      <c r="D119" s="16">
        <v>2.4289042825034894E-11</v>
      </c>
      <c r="E119" s="10" t="s">
        <v>7</v>
      </c>
      <c r="F119" s="10" t="s">
        <v>41</v>
      </c>
      <c r="G119" s="10" t="s">
        <v>42</v>
      </c>
      <c r="H119" s="10" t="s">
        <v>134</v>
      </c>
      <c r="J119" s="10" t="s">
        <v>128</v>
      </c>
    </row>
    <row r="120" spans="1:10" x14ac:dyDescent="0.35">
      <c r="A120" s="10" t="s">
        <v>152</v>
      </c>
      <c r="D120" s="16">
        <v>8.5524798679700329E-10</v>
      </c>
      <c r="E120" s="10" t="s">
        <v>7</v>
      </c>
      <c r="F120" s="10" t="s">
        <v>41</v>
      </c>
      <c r="G120" s="10" t="s">
        <v>42</v>
      </c>
      <c r="H120" s="10" t="s">
        <v>134</v>
      </c>
      <c r="J120" s="10" t="s">
        <v>128</v>
      </c>
    </row>
    <row r="121" spans="1:10" x14ac:dyDescent="0.35">
      <c r="A121" s="10" t="s">
        <v>136</v>
      </c>
      <c r="D121" s="16">
        <v>7.0130334917354232E-8</v>
      </c>
      <c r="E121" s="10" t="s">
        <v>7</v>
      </c>
      <c r="F121" s="10" t="s">
        <v>41</v>
      </c>
      <c r="G121" s="10" t="s">
        <v>42</v>
      </c>
      <c r="H121" s="10" t="s">
        <v>134</v>
      </c>
      <c r="J121" s="10" t="s">
        <v>128</v>
      </c>
    </row>
    <row r="122" spans="1:10" x14ac:dyDescent="0.35">
      <c r="A122" s="10" t="s">
        <v>72</v>
      </c>
      <c r="D122" s="16">
        <v>2.5657439603910092E-9</v>
      </c>
      <c r="E122" s="10" t="s">
        <v>7</v>
      </c>
      <c r="F122" s="10" t="s">
        <v>41</v>
      </c>
      <c r="G122" s="10" t="s">
        <v>42</v>
      </c>
      <c r="H122" s="10" t="s">
        <v>134</v>
      </c>
      <c r="J122" s="10" t="s">
        <v>128</v>
      </c>
    </row>
    <row r="123" spans="1:10" x14ac:dyDescent="0.35">
      <c r="A123" s="10" t="s">
        <v>137</v>
      </c>
      <c r="D123" s="16">
        <v>4.8578085650069761E-11</v>
      </c>
      <c r="E123" s="10" t="s">
        <v>7</v>
      </c>
      <c r="F123" s="10" t="s">
        <v>41</v>
      </c>
      <c r="G123" s="10" t="s">
        <v>42</v>
      </c>
      <c r="H123" s="10" t="s">
        <v>134</v>
      </c>
      <c r="J123" s="10" t="s">
        <v>128</v>
      </c>
    </row>
    <row r="124" spans="1:10" x14ac:dyDescent="0.35">
      <c r="A124" s="10" t="s">
        <v>71</v>
      </c>
      <c r="D124" s="16">
        <v>4.9518858435546472E-10</v>
      </c>
      <c r="E124" s="10" t="s">
        <v>7</v>
      </c>
      <c r="F124" s="10" t="s">
        <v>41</v>
      </c>
      <c r="G124" s="10" t="s">
        <v>42</v>
      </c>
      <c r="H124" s="10" t="s">
        <v>134</v>
      </c>
      <c r="J124" s="10" t="s">
        <v>128</v>
      </c>
    </row>
    <row r="125" spans="1:10" x14ac:dyDescent="0.35">
      <c r="A125" s="10" t="s">
        <v>138</v>
      </c>
      <c r="D125" s="16">
        <v>4.5157093702881772E-10</v>
      </c>
      <c r="E125" s="10" t="s">
        <v>7</v>
      </c>
      <c r="F125" s="10" t="s">
        <v>41</v>
      </c>
      <c r="G125" s="10" t="s">
        <v>42</v>
      </c>
      <c r="H125" s="10" t="s">
        <v>134</v>
      </c>
      <c r="J125" s="10" t="s">
        <v>128</v>
      </c>
    </row>
    <row r="126" spans="1:10" x14ac:dyDescent="0.35">
      <c r="A126" s="10" t="s">
        <v>69</v>
      </c>
      <c r="D126" s="16">
        <v>1.8045732521416762E-7</v>
      </c>
      <c r="E126" s="10" t="s">
        <v>7</v>
      </c>
      <c r="F126" s="10" t="s">
        <v>41</v>
      </c>
      <c r="G126" s="10" t="s">
        <v>42</v>
      </c>
      <c r="H126" s="10" t="s">
        <v>134</v>
      </c>
      <c r="J126" s="10" t="s">
        <v>128</v>
      </c>
    </row>
    <row r="127" spans="1:10" x14ac:dyDescent="0.35">
      <c r="A127" s="10" t="s">
        <v>139</v>
      </c>
      <c r="D127" s="16">
        <v>8.5524798679700329E-10</v>
      </c>
      <c r="E127" s="10" t="s">
        <v>7</v>
      </c>
      <c r="F127" s="10" t="s">
        <v>41</v>
      </c>
      <c r="G127" s="10" t="s">
        <v>42</v>
      </c>
      <c r="H127" s="10" t="s">
        <v>362</v>
      </c>
      <c r="J127" s="10" t="s">
        <v>128</v>
      </c>
    </row>
    <row r="128" spans="1:10" s="12" customFormat="1" x14ac:dyDescent="0.35"/>
    <row r="129" spans="1:14" x14ac:dyDescent="0.35">
      <c r="A129" s="9" t="s">
        <v>0</v>
      </c>
      <c r="B129" s="9" t="s">
        <v>163</v>
      </c>
    </row>
    <row r="130" spans="1:14" x14ac:dyDescent="0.35">
      <c r="A130" s="18" t="s">
        <v>1</v>
      </c>
      <c r="B130" s="10" t="s">
        <v>162</v>
      </c>
    </row>
    <row r="131" spans="1:14" x14ac:dyDescent="0.35">
      <c r="A131" s="18" t="s">
        <v>3</v>
      </c>
      <c r="B131" s="10" t="s">
        <v>4</v>
      </c>
    </row>
    <row r="132" spans="1:14" x14ac:dyDescent="0.35">
      <c r="A132" s="18" t="s">
        <v>5</v>
      </c>
      <c r="B132" s="10">
        <v>1</v>
      </c>
    </row>
    <row r="133" spans="1:14" x14ac:dyDescent="0.35">
      <c r="A133" s="18" t="s">
        <v>6</v>
      </c>
      <c r="B133" s="10" t="s">
        <v>7</v>
      </c>
    </row>
    <row r="134" spans="1:14" x14ac:dyDescent="0.35">
      <c r="A134" s="18" t="s">
        <v>8</v>
      </c>
      <c r="B134" s="16" t="s">
        <v>251</v>
      </c>
    </row>
    <row r="135" spans="1:14" x14ac:dyDescent="0.35">
      <c r="A135" s="18" t="s">
        <v>9</v>
      </c>
    </row>
    <row r="136" spans="1:14" x14ac:dyDescent="0.35">
      <c r="A136" s="9" t="s">
        <v>10</v>
      </c>
      <c r="B136" s="9" t="s">
        <v>1</v>
      </c>
      <c r="C136" s="9" t="s">
        <v>3</v>
      </c>
      <c r="D136" s="9" t="s">
        <v>5</v>
      </c>
      <c r="E136" s="9" t="s">
        <v>6</v>
      </c>
      <c r="F136" s="9" t="s">
        <v>11</v>
      </c>
      <c r="G136" s="9" t="s">
        <v>12</v>
      </c>
      <c r="H136" s="9" t="s">
        <v>13</v>
      </c>
      <c r="I136" s="9" t="s">
        <v>14</v>
      </c>
      <c r="J136" s="9" t="s">
        <v>15</v>
      </c>
      <c r="K136" s="9" t="s">
        <v>16</v>
      </c>
      <c r="L136" s="9" t="s">
        <v>17</v>
      </c>
      <c r="M136" s="9" t="s">
        <v>18</v>
      </c>
      <c r="N136" s="9" t="s">
        <v>19</v>
      </c>
    </row>
    <row r="137" spans="1:14" x14ac:dyDescent="0.35">
      <c r="A137" s="10" t="str">
        <f>B129</f>
        <v>Pb recovery from Zn ore mining and Zn production in China through Smelting</v>
      </c>
      <c r="B137" s="10" t="str">
        <f>B130</f>
        <v>Refined Pb</v>
      </c>
      <c r="C137" s="10" t="s">
        <v>4</v>
      </c>
      <c r="D137" s="10">
        <v>1</v>
      </c>
      <c r="E137" s="10" t="s">
        <v>7</v>
      </c>
      <c r="F137" s="11" t="str">
        <f>F72</f>
        <v>Lead</v>
      </c>
      <c r="G137" s="10" t="s">
        <v>20</v>
      </c>
    </row>
    <row r="138" spans="1:14" x14ac:dyDescent="0.35">
      <c r="A138" s="10" t="str">
        <f>A72</f>
        <v>[P+R] Refined Lead (Pb) production - Smelting</v>
      </c>
      <c r="B138" s="10" t="str">
        <f t="shared" ref="B138:F138" si="0">B72</f>
        <v>Refined Pb</v>
      </c>
      <c r="C138" s="10" t="str">
        <f t="shared" si="0"/>
        <v>CN</v>
      </c>
      <c r="D138" s="10">
        <v>1</v>
      </c>
      <c r="E138" s="10" t="str">
        <f t="shared" si="0"/>
        <v>kilogram</v>
      </c>
      <c r="F138" s="11" t="str">
        <f t="shared" si="0"/>
        <v>Lead</v>
      </c>
      <c r="G138" s="10" t="s">
        <v>25</v>
      </c>
    </row>
    <row r="139" spans="1:14" x14ac:dyDescent="0.35">
      <c r="A139" s="10" t="str">
        <f>A9</f>
        <v>[M+C] Zinc (Zn) ore mining and concentration (for Smelting)</v>
      </c>
      <c r="B139" s="10" t="str">
        <f t="shared" ref="B139:F139" si="1">B9</f>
        <v>Zn concentrate</v>
      </c>
      <c r="C139" s="10" t="str">
        <f t="shared" si="1"/>
        <v>CN</v>
      </c>
      <c r="D139" s="16">
        <v>0.4562532487069339</v>
      </c>
      <c r="E139" s="10" t="str">
        <f t="shared" si="1"/>
        <v>kilogram</v>
      </c>
      <c r="F139" s="11" t="str">
        <f t="shared" si="1"/>
        <v>Lead</v>
      </c>
      <c r="G139" s="10" t="s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1376-DBBE-4C67-9124-956F1F7615A9}">
  <sheetPr>
    <tabColor theme="8" tint="0.39997558519241921"/>
  </sheetPr>
  <dimension ref="A1:N57"/>
  <sheetViews>
    <sheetView workbookViewId="0">
      <selection activeCell="B31" sqref="B31"/>
    </sheetView>
  </sheetViews>
  <sheetFormatPr baseColWidth="10" defaultColWidth="9.1796875" defaultRowHeight="14.5" x14ac:dyDescent="0.35"/>
  <cols>
    <col min="1" max="1" width="63.26953125" style="10" bestFit="1" customWidth="1"/>
    <col min="2" max="2" width="63.453125" style="10" bestFit="1" customWidth="1"/>
    <col min="3" max="3" width="8.1796875" style="10" bestFit="1" customWidth="1"/>
    <col min="4" max="4" width="12" style="10" bestFit="1" customWidth="1"/>
    <col min="5" max="5" width="12.81640625" style="10" bestFit="1" customWidth="1"/>
    <col min="6" max="6" width="19.7265625" style="10" bestFit="1" customWidth="1"/>
    <col min="7" max="7" width="13.26953125" style="10" bestFit="1" customWidth="1"/>
    <col min="8" max="8" width="10.1796875" style="10" bestFit="1" customWidth="1"/>
    <col min="9" max="9" width="15.54296875" style="10" bestFit="1" customWidth="1"/>
    <col min="10" max="10" width="9.7265625" style="10" bestFit="1" customWidth="1"/>
    <col min="11" max="11" width="3.54296875" style="10" bestFit="1" customWidth="1"/>
    <col min="12" max="12" width="5.453125" style="10" bestFit="1" customWidth="1"/>
    <col min="13" max="13" width="9.54296875" style="10" bestFit="1" customWidth="1"/>
    <col min="14" max="14" width="9.81640625" style="10" bestFit="1" customWidth="1"/>
    <col min="15" max="16384" width="9.1796875" style="10"/>
  </cols>
  <sheetData>
    <row r="1" spans="1:14" x14ac:dyDescent="0.35">
      <c r="A1" s="9" t="s">
        <v>0</v>
      </c>
      <c r="B1" s="9" t="s">
        <v>118</v>
      </c>
    </row>
    <row r="2" spans="1:14" x14ac:dyDescent="0.35">
      <c r="A2" s="18" t="s">
        <v>1</v>
      </c>
      <c r="B2" s="10" t="s">
        <v>2</v>
      </c>
    </row>
    <row r="3" spans="1:14" x14ac:dyDescent="0.35">
      <c r="A3" s="18" t="s">
        <v>3</v>
      </c>
      <c r="B3" s="10" t="s">
        <v>30</v>
      </c>
    </row>
    <row r="4" spans="1:14" x14ac:dyDescent="0.35">
      <c r="A4" s="18" t="s">
        <v>5</v>
      </c>
      <c r="B4" s="10">
        <v>1</v>
      </c>
    </row>
    <row r="5" spans="1:14" x14ac:dyDescent="0.35">
      <c r="A5" s="18" t="s">
        <v>6</v>
      </c>
      <c r="B5" s="10" t="s">
        <v>7</v>
      </c>
    </row>
    <row r="6" spans="1:14" x14ac:dyDescent="0.35">
      <c r="A6" s="18" t="s">
        <v>8</v>
      </c>
      <c r="B6" s="21" t="s">
        <v>74</v>
      </c>
    </row>
    <row r="7" spans="1:14" x14ac:dyDescent="0.35">
      <c r="A7" s="18" t="s">
        <v>9</v>
      </c>
    </row>
    <row r="8" spans="1:14" x14ac:dyDescent="0.35">
      <c r="A8" s="9" t="s">
        <v>10</v>
      </c>
      <c r="B8" s="9" t="s">
        <v>1</v>
      </c>
      <c r="C8" s="9" t="s">
        <v>3</v>
      </c>
      <c r="D8" s="9" t="s">
        <v>5</v>
      </c>
      <c r="E8" s="9" t="s">
        <v>6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  <c r="N8" s="9" t="s">
        <v>19</v>
      </c>
    </row>
    <row r="9" spans="1:14" x14ac:dyDescent="0.35">
      <c r="A9" s="10" t="s">
        <v>118</v>
      </c>
      <c r="B9" s="10" t="s">
        <v>2</v>
      </c>
      <c r="C9" s="10" t="s">
        <v>30</v>
      </c>
      <c r="D9" s="10">
        <v>1</v>
      </c>
      <c r="E9" s="10" t="s">
        <v>7</v>
      </c>
      <c r="F9" s="11" t="str">
        <f>Pb_Market_GLO!B1</f>
        <v>Lead</v>
      </c>
      <c r="G9" s="10" t="s">
        <v>20</v>
      </c>
    </row>
    <row r="10" spans="1:14" x14ac:dyDescent="0.35">
      <c r="A10" s="10" t="s">
        <v>154</v>
      </c>
      <c r="B10" s="10" t="s">
        <v>87</v>
      </c>
      <c r="C10" s="10" t="s">
        <v>30</v>
      </c>
      <c r="D10" s="10">
        <v>4.0502431118314428</v>
      </c>
      <c r="E10" s="10" t="s">
        <v>35</v>
      </c>
      <c r="F10" s="10" t="s">
        <v>24</v>
      </c>
      <c r="G10" s="10" t="s">
        <v>25</v>
      </c>
      <c r="J10" s="10" t="s">
        <v>153</v>
      </c>
    </row>
    <row r="11" spans="1:14" x14ac:dyDescent="0.35">
      <c r="A11" s="10" t="s">
        <v>106</v>
      </c>
      <c r="B11" s="10" t="s">
        <v>107</v>
      </c>
      <c r="C11" s="10" t="s">
        <v>30</v>
      </c>
      <c r="D11" s="10">
        <v>-170.072933549433</v>
      </c>
      <c r="E11" s="10" t="s">
        <v>7</v>
      </c>
      <c r="F11" s="10" t="s">
        <v>24</v>
      </c>
      <c r="G11" s="10" t="s">
        <v>25</v>
      </c>
      <c r="J11" s="10" t="s">
        <v>153</v>
      </c>
    </row>
    <row r="12" spans="1:14" x14ac:dyDescent="0.35">
      <c r="A12" s="10" t="s">
        <v>66</v>
      </c>
      <c r="D12" s="10">
        <v>1.7828200972447329E-5</v>
      </c>
      <c r="E12" s="10" t="s">
        <v>7</v>
      </c>
      <c r="F12" s="10" t="s">
        <v>41</v>
      </c>
      <c r="G12" s="10" t="s">
        <v>42</v>
      </c>
      <c r="H12" s="10" t="s">
        <v>56</v>
      </c>
      <c r="J12" s="10" t="s">
        <v>153</v>
      </c>
    </row>
    <row r="13" spans="1:14" x14ac:dyDescent="0.35">
      <c r="A13" s="10" t="s">
        <v>58</v>
      </c>
      <c r="D13" s="10">
        <v>1.004862236628849E-6</v>
      </c>
      <c r="E13" s="10" t="s">
        <v>7</v>
      </c>
      <c r="F13" s="10" t="s">
        <v>41</v>
      </c>
      <c r="G13" s="10" t="s">
        <v>42</v>
      </c>
      <c r="H13" s="10" t="s">
        <v>56</v>
      </c>
      <c r="J13" s="10" t="s">
        <v>153</v>
      </c>
    </row>
    <row r="14" spans="1:14" x14ac:dyDescent="0.35">
      <c r="A14" s="10" t="s">
        <v>73</v>
      </c>
      <c r="D14" s="10">
        <v>1.944894651539708E-7</v>
      </c>
      <c r="E14" s="10" t="s">
        <v>7</v>
      </c>
      <c r="F14" s="10" t="s">
        <v>41</v>
      </c>
      <c r="G14" s="10" t="s">
        <v>42</v>
      </c>
      <c r="H14" s="10" t="s">
        <v>56</v>
      </c>
      <c r="J14" s="10" t="s">
        <v>153</v>
      </c>
    </row>
    <row r="15" spans="1:14" x14ac:dyDescent="0.35">
      <c r="A15" s="10" t="s">
        <v>155</v>
      </c>
      <c r="D15" s="10">
        <v>0.29011345218800649</v>
      </c>
      <c r="E15" s="10" t="s">
        <v>7</v>
      </c>
      <c r="F15" s="10" t="s">
        <v>41</v>
      </c>
      <c r="G15" s="10" t="s">
        <v>42</v>
      </c>
      <c r="H15" s="10" t="s">
        <v>56</v>
      </c>
      <c r="J15" s="10" t="s">
        <v>153</v>
      </c>
    </row>
    <row r="16" spans="1:14" x14ac:dyDescent="0.35">
      <c r="A16" s="10" t="s">
        <v>156</v>
      </c>
      <c r="D16" s="10">
        <v>3.721231766612642E-4</v>
      </c>
      <c r="E16" s="10" t="s">
        <v>7</v>
      </c>
      <c r="F16" s="10" t="s">
        <v>41</v>
      </c>
      <c r="G16" s="10" t="s">
        <v>42</v>
      </c>
      <c r="H16" s="10" t="s">
        <v>56</v>
      </c>
      <c r="J16" s="10" t="s">
        <v>153</v>
      </c>
    </row>
    <row r="17" spans="1:14" x14ac:dyDescent="0.35">
      <c r="A17" s="10" t="s">
        <v>157</v>
      </c>
      <c r="D17" s="10">
        <v>2.338735818476499E-4</v>
      </c>
      <c r="E17" s="10" t="s">
        <v>7</v>
      </c>
      <c r="F17" s="10" t="s">
        <v>41</v>
      </c>
      <c r="G17" s="10" t="s">
        <v>42</v>
      </c>
      <c r="H17" s="10" t="s">
        <v>56</v>
      </c>
      <c r="J17" s="10" t="s">
        <v>153</v>
      </c>
    </row>
    <row r="18" spans="1:14" x14ac:dyDescent="0.35">
      <c r="A18" s="10" t="s">
        <v>83</v>
      </c>
      <c r="D18" s="10">
        <v>4.6139384116693676E-3</v>
      </c>
      <c r="E18" s="10" t="s">
        <v>7</v>
      </c>
      <c r="F18" s="10" t="s">
        <v>41</v>
      </c>
      <c r="G18" s="10" t="s">
        <v>42</v>
      </c>
      <c r="H18" s="10" t="s">
        <v>56</v>
      </c>
      <c r="J18" s="10" t="s">
        <v>153</v>
      </c>
    </row>
    <row r="19" spans="1:14" x14ac:dyDescent="0.35">
      <c r="A19" s="10" t="s">
        <v>58</v>
      </c>
      <c r="D19" s="10">
        <v>4.8622366288492706E-9</v>
      </c>
      <c r="E19" s="10" t="s">
        <v>7</v>
      </c>
      <c r="F19" s="10" t="s">
        <v>41</v>
      </c>
      <c r="G19" s="10" t="s">
        <v>42</v>
      </c>
      <c r="H19" s="10" t="s">
        <v>62</v>
      </c>
      <c r="J19" s="10" t="s">
        <v>153</v>
      </c>
    </row>
    <row r="20" spans="1:14" x14ac:dyDescent="0.35">
      <c r="A20" s="10" t="s">
        <v>66</v>
      </c>
      <c r="D20" s="10">
        <v>3.6466774716369529E-7</v>
      </c>
      <c r="E20" s="10" t="s">
        <v>7</v>
      </c>
      <c r="F20" s="10" t="s">
        <v>41</v>
      </c>
      <c r="G20" s="10" t="s">
        <v>42</v>
      </c>
      <c r="H20" s="10" t="s">
        <v>62</v>
      </c>
      <c r="J20" s="10" t="s">
        <v>153</v>
      </c>
    </row>
    <row r="21" spans="1:14" x14ac:dyDescent="0.35">
      <c r="A21" s="10" t="s">
        <v>73</v>
      </c>
      <c r="D21" s="10">
        <v>3.2414910858995142E-9</v>
      </c>
      <c r="E21" s="10" t="s">
        <v>7</v>
      </c>
      <c r="F21" s="10" t="s">
        <v>41</v>
      </c>
      <c r="G21" s="10" t="s">
        <v>42</v>
      </c>
      <c r="H21" s="10" t="s">
        <v>62</v>
      </c>
      <c r="J21" s="10" t="s">
        <v>153</v>
      </c>
    </row>
    <row r="22" spans="1:14" s="19" customFormat="1" x14ac:dyDescent="0.35"/>
    <row r="23" spans="1:14" x14ac:dyDescent="0.35">
      <c r="A23" s="9" t="s">
        <v>0</v>
      </c>
      <c r="B23" s="9" t="s">
        <v>164</v>
      </c>
    </row>
    <row r="24" spans="1:14" x14ac:dyDescent="0.35">
      <c r="A24" s="18" t="s">
        <v>1</v>
      </c>
      <c r="B24" s="10" t="s">
        <v>162</v>
      </c>
    </row>
    <row r="25" spans="1:14" x14ac:dyDescent="0.35">
      <c r="A25" s="18" t="s">
        <v>3</v>
      </c>
      <c r="B25" s="10" t="s">
        <v>30</v>
      </c>
    </row>
    <row r="26" spans="1:14" x14ac:dyDescent="0.35">
      <c r="A26" s="18" t="s">
        <v>5</v>
      </c>
      <c r="B26" s="10">
        <v>1</v>
      </c>
    </row>
    <row r="27" spans="1:14" x14ac:dyDescent="0.35">
      <c r="A27" s="18" t="s">
        <v>6</v>
      </c>
      <c r="B27" s="10" t="s">
        <v>7</v>
      </c>
    </row>
    <row r="28" spans="1:14" ht="58" x14ac:dyDescent="0.35">
      <c r="A28" s="18" t="s">
        <v>8</v>
      </c>
      <c r="B28" s="14" t="s">
        <v>358</v>
      </c>
    </row>
    <row r="29" spans="1:14" x14ac:dyDescent="0.35">
      <c r="A29" s="18" t="s">
        <v>9</v>
      </c>
    </row>
    <row r="30" spans="1:14" x14ac:dyDescent="0.35">
      <c r="A30" s="9" t="s">
        <v>10</v>
      </c>
      <c r="B30" s="9" t="s">
        <v>1</v>
      </c>
      <c r="C30" s="9" t="s">
        <v>3</v>
      </c>
      <c r="D30" s="9" t="s">
        <v>5</v>
      </c>
      <c r="E30" s="9" t="s">
        <v>6</v>
      </c>
      <c r="F30" s="9" t="s">
        <v>11</v>
      </c>
      <c r="G30" s="9" t="s">
        <v>12</v>
      </c>
      <c r="H30" s="9" t="s">
        <v>13</v>
      </c>
      <c r="I30" s="9" t="s">
        <v>14</v>
      </c>
      <c r="J30" s="9" t="s">
        <v>15</v>
      </c>
      <c r="K30" s="9" t="s">
        <v>16</v>
      </c>
      <c r="L30" s="9" t="s">
        <v>17</v>
      </c>
      <c r="M30" s="9" t="s">
        <v>18</v>
      </c>
      <c r="N30" s="9" t="s">
        <v>19</v>
      </c>
    </row>
    <row r="31" spans="1:14" x14ac:dyDescent="0.35">
      <c r="A31" s="10" t="str">
        <f>B23</f>
        <v>[P+R] Refined Lead (Pb) production</v>
      </c>
      <c r="B31" s="10" t="str">
        <f>B24</f>
        <v>Refined Pb</v>
      </c>
      <c r="C31" s="10" t="s">
        <v>30</v>
      </c>
      <c r="D31" s="10">
        <v>1</v>
      </c>
      <c r="E31" s="10" t="s">
        <v>7</v>
      </c>
      <c r="F31" s="11" t="str">
        <f>F9</f>
        <v>Lead</v>
      </c>
      <c r="G31" s="10" t="s">
        <v>20</v>
      </c>
    </row>
    <row r="32" spans="1:14" x14ac:dyDescent="0.35">
      <c r="A32" s="10" t="s">
        <v>36</v>
      </c>
      <c r="B32" s="10" t="s">
        <v>37</v>
      </c>
      <c r="C32" s="10" t="s">
        <v>23</v>
      </c>
      <c r="D32" s="16">
        <v>4.364840453835833</v>
      </c>
      <c r="E32" s="10" t="s">
        <v>38</v>
      </c>
      <c r="F32" s="10" t="s">
        <v>24</v>
      </c>
      <c r="G32" s="10" t="s">
        <v>25</v>
      </c>
      <c r="J32" s="10" t="s">
        <v>153</v>
      </c>
    </row>
    <row r="33" spans="1:10" x14ac:dyDescent="0.35">
      <c r="A33" s="10" t="s">
        <v>154</v>
      </c>
      <c r="B33" s="10" t="s">
        <v>87</v>
      </c>
      <c r="C33" s="10" t="s">
        <v>30</v>
      </c>
      <c r="D33" s="16">
        <v>6.8483898579285105</v>
      </c>
      <c r="E33" s="10" t="s">
        <v>35</v>
      </c>
      <c r="F33" s="10" t="s">
        <v>24</v>
      </c>
      <c r="G33" s="10" t="s">
        <v>25</v>
      </c>
      <c r="J33" s="10" t="s">
        <v>153</v>
      </c>
    </row>
    <row r="34" spans="1:10" x14ac:dyDescent="0.35">
      <c r="A34" s="10" t="s">
        <v>66</v>
      </c>
      <c r="D34" s="16">
        <v>6.8813004251793675E-6</v>
      </c>
      <c r="E34" s="10" t="s">
        <v>7</v>
      </c>
      <c r="F34" s="10" t="s">
        <v>41</v>
      </c>
      <c r="G34" s="10" t="s">
        <v>42</v>
      </c>
      <c r="H34" s="10" t="s">
        <v>56</v>
      </c>
      <c r="J34" s="10" t="s">
        <v>153</v>
      </c>
    </row>
    <row r="35" spans="1:10" x14ac:dyDescent="0.35">
      <c r="A35" s="10" t="s">
        <v>58</v>
      </c>
      <c r="D35" s="16">
        <v>5.6845525251481725E-6</v>
      </c>
      <c r="E35" s="10" t="s">
        <v>7</v>
      </c>
      <c r="F35" s="10" t="s">
        <v>41</v>
      </c>
      <c r="G35" s="10" t="s">
        <v>42</v>
      </c>
      <c r="H35" s="10" t="s">
        <v>56</v>
      </c>
      <c r="J35" s="10" t="s">
        <v>153</v>
      </c>
    </row>
    <row r="36" spans="1:10" x14ac:dyDescent="0.35">
      <c r="A36" s="10" t="s">
        <v>73</v>
      </c>
      <c r="D36" s="16">
        <v>1.3463413875350938E-7</v>
      </c>
      <c r="E36" s="10" t="s">
        <v>7</v>
      </c>
      <c r="F36" s="10" t="s">
        <v>41</v>
      </c>
      <c r="G36" s="10" t="s">
        <v>42</v>
      </c>
      <c r="H36" s="10" t="s">
        <v>56</v>
      </c>
      <c r="J36" s="10" t="s">
        <v>153</v>
      </c>
    </row>
    <row r="37" spans="1:10" x14ac:dyDescent="0.35">
      <c r="A37" s="10" t="s">
        <v>59</v>
      </c>
      <c r="D37" s="16">
        <v>1.3912194337862635E-7</v>
      </c>
      <c r="E37" s="10" t="s">
        <v>7</v>
      </c>
      <c r="F37" s="10" t="s">
        <v>41</v>
      </c>
      <c r="G37" s="10" t="s">
        <v>42</v>
      </c>
      <c r="H37" s="10" t="s">
        <v>56</v>
      </c>
      <c r="J37" s="10" t="s">
        <v>153</v>
      </c>
    </row>
    <row r="38" spans="1:10" x14ac:dyDescent="0.35">
      <c r="A38" s="10" t="s">
        <v>55</v>
      </c>
      <c r="D38" s="16">
        <v>5.2881297832628408E-3</v>
      </c>
      <c r="E38" s="10" t="s">
        <v>7</v>
      </c>
      <c r="F38" s="10" t="s">
        <v>41</v>
      </c>
      <c r="G38" s="10" t="s">
        <v>42</v>
      </c>
      <c r="H38" s="10" t="s">
        <v>56</v>
      </c>
      <c r="J38" s="10" t="s">
        <v>153</v>
      </c>
    </row>
    <row r="39" spans="1:10" x14ac:dyDescent="0.35">
      <c r="A39" s="10" t="s">
        <v>155</v>
      </c>
      <c r="D39" s="16">
        <v>0.52956094576380341</v>
      </c>
      <c r="E39" s="10" t="s">
        <v>7</v>
      </c>
      <c r="F39" s="10" t="s">
        <v>41</v>
      </c>
      <c r="G39" s="10" t="s">
        <v>42</v>
      </c>
      <c r="H39" s="10" t="s">
        <v>56</v>
      </c>
      <c r="J39" s="10" t="s">
        <v>153</v>
      </c>
    </row>
    <row r="40" spans="1:10" x14ac:dyDescent="0.35">
      <c r="A40" s="10" t="s">
        <v>156</v>
      </c>
      <c r="D40" s="16">
        <v>1.7203251062948417E-4</v>
      </c>
      <c r="E40" s="10" t="s">
        <v>7</v>
      </c>
      <c r="F40" s="10" t="s">
        <v>41</v>
      </c>
      <c r="G40" s="10" t="s">
        <v>42</v>
      </c>
      <c r="H40" s="10" t="s">
        <v>56</v>
      </c>
      <c r="J40" s="10" t="s">
        <v>153</v>
      </c>
    </row>
    <row r="41" spans="1:10" x14ac:dyDescent="0.35">
      <c r="A41" s="10" t="s">
        <v>158</v>
      </c>
      <c r="D41" s="16">
        <v>1.0920324587784646E-4</v>
      </c>
      <c r="E41" s="10" t="s">
        <v>7</v>
      </c>
      <c r="F41" s="10" t="s">
        <v>41</v>
      </c>
      <c r="G41" s="10" t="s">
        <v>42</v>
      </c>
      <c r="H41" s="10" t="s">
        <v>56</v>
      </c>
      <c r="J41" s="10" t="s">
        <v>153</v>
      </c>
    </row>
    <row r="42" spans="1:10" x14ac:dyDescent="0.35">
      <c r="A42" s="10" t="s">
        <v>58</v>
      </c>
      <c r="D42" s="16">
        <v>2.9769104013275957E-6</v>
      </c>
      <c r="E42" s="10" t="s">
        <v>7</v>
      </c>
      <c r="F42" s="10" t="s">
        <v>41</v>
      </c>
      <c r="G42" s="10" t="s">
        <v>42</v>
      </c>
      <c r="H42" s="10" t="s">
        <v>62</v>
      </c>
      <c r="J42" s="10" t="s">
        <v>153</v>
      </c>
    </row>
    <row r="43" spans="1:10" x14ac:dyDescent="0.35">
      <c r="A43" s="10" t="s">
        <v>66</v>
      </c>
      <c r="D43" s="16">
        <v>3.6500810950951424E-5</v>
      </c>
      <c r="E43" s="10" t="s">
        <v>7</v>
      </c>
      <c r="F43" s="10" t="s">
        <v>41</v>
      </c>
      <c r="G43" s="10" t="s">
        <v>42</v>
      </c>
      <c r="H43" s="10" t="s">
        <v>62</v>
      </c>
      <c r="J43" s="10" t="s">
        <v>153</v>
      </c>
    </row>
    <row r="44" spans="1:10" x14ac:dyDescent="0.35">
      <c r="A44" s="10" t="s">
        <v>73</v>
      </c>
      <c r="D44" s="16">
        <v>2.2588616613088793E-7</v>
      </c>
      <c r="E44" s="10" t="s">
        <v>7</v>
      </c>
      <c r="F44" s="10" t="s">
        <v>41</v>
      </c>
      <c r="G44" s="10" t="s">
        <v>42</v>
      </c>
      <c r="H44" s="10" t="s">
        <v>62</v>
      </c>
      <c r="J44" s="10" t="s">
        <v>153</v>
      </c>
    </row>
    <row r="45" spans="1:10" x14ac:dyDescent="0.35">
      <c r="A45" s="10" t="s">
        <v>59</v>
      </c>
      <c r="D45" s="16">
        <v>1.9447153375506905E-8</v>
      </c>
      <c r="E45" s="10" t="s">
        <v>7</v>
      </c>
      <c r="F45" s="10" t="s">
        <v>41</v>
      </c>
      <c r="G45" s="10" t="s">
        <v>42</v>
      </c>
      <c r="H45" s="10" t="s">
        <v>62</v>
      </c>
      <c r="J45" s="10" t="s">
        <v>153</v>
      </c>
    </row>
    <row r="46" spans="1:10" s="12" customFormat="1" x14ac:dyDescent="0.35"/>
    <row r="47" spans="1:10" x14ac:dyDescent="0.35">
      <c r="A47" s="9" t="s">
        <v>0</v>
      </c>
      <c r="B47" s="9" t="s">
        <v>159</v>
      </c>
    </row>
    <row r="48" spans="1:10" x14ac:dyDescent="0.35">
      <c r="A48" s="18" t="s">
        <v>1</v>
      </c>
      <c r="B48" s="10" t="s">
        <v>162</v>
      </c>
    </row>
    <row r="49" spans="1:14" x14ac:dyDescent="0.35">
      <c r="A49" s="18" t="s">
        <v>3</v>
      </c>
      <c r="B49" s="10" t="s">
        <v>30</v>
      </c>
    </row>
    <row r="50" spans="1:14" x14ac:dyDescent="0.35">
      <c r="A50" s="18" t="s">
        <v>5</v>
      </c>
      <c r="B50" s="10">
        <v>1</v>
      </c>
    </row>
    <row r="51" spans="1:14" x14ac:dyDescent="0.35">
      <c r="A51" s="18" t="s">
        <v>6</v>
      </c>
      <c r="B51" s="10" t="s">
        <v>7</v>
      </c>
    </row>
    <row r="52" spans="1:14" x14ac:dyDescent="0.35">
      <c r="A52" s="18" t="s">
        <v>8</v>
      </c>
      <c r="B52" s="16" t="s">
        <v>252</v>
      </c>
    </row>
    <row r="53" spans="1:14" x14ac:dyDescent="0.35">
      <c r="A53" s="18" t="s">
        <v>9</v>
      </c>
    </row>
    <row r="54" spans="1:14" x14ac:dyDescent="0.35">
      <c r="A54" s="9" t="s">
        <v>10</v>
      </c>
      <c r="B54" s="9" t="s">
        <v>1</v>
      </c>
      <c r="C54" s="9" t="s">
        <v>3</v>
      </c>
      <c r="D54" s="9" t="s">
        <v>5</v>
      </c>
      <c r="E54" s="9" t="s">
        <v>6</v>
      </c>
      <c r="F54" s="9" t="s">
        <v>11</v>
      </c>
      <c r="G54" s="9" t="s">
        <v>12</v>
      </c>
      <c r="H54" s="9" t="s">
        <v>13</v>
      </c>
      <c r="I54" s="9" t="s">
        <v>14</v>
      </c>
      <c r="J54" s="9" t="s">
        <v>15</v>
      </c>
      <c r="K54" s="9" t="s">
        <v>16</v>
      </c>
      <c r="L54" s="9" t="s">
        <v>17</v>
      </c>
      <c r="M54" s="9" t="s">
        <v>18</v>
      </c>
      <c r="N54" s="9" t="s">
        <v>19</v>
      </c>
    </row>
    <row r="55" spans="1:14" x14ac:dyDescent="0.35">
      <c r="A55" s="10" t="str">
        <f>B47</f>
        <v>Pb/Zn ore mining and Pb/Zn production in Canada/Peru/Chile/the US</v>
      </c>
      <c r="B55" s="10" t="str">
        <f>B48</f>
        <v>Refined Pb</v>
      </c>
      <c r="C55" s="10" t="s">
        <v>30</v>
      </c>
      <c r="D55" s="10">
        <v>1</v>
      </c>
      <c r="E55" s="10" t="s">
        <v>7</v>
      </c>
      <c r="F55" s="11" t="str">
        <f>F31</f>
        <v>Lead</v>
      </c>
      <c r="G55" s="10" t="s">
        <v>20</v>
      </c>
    </row>
    <row r="56" spans="1:14" x14ac:dyDescent="0.35">
      <c r="A56" s="10" t="str">
        <f>A31</f>
        <v>[P+R] Refined Lead (Pb) production</v>
      </c>
      <c r="B56" s="10" t="str">
        <f>B31</f>
        <v>Refined Pb</v>
      </c>
      <c r="C56" s="10" t="str">
        <f>C31</f>
        <v>RoW</v>
      </c>
      <c r="D56" s="10">
        <v>1</v>
      </c>
      <c r="E56" s="10" t="str">
        <f>E31</f>
        <v>kilogram</v>
      </c>
      <c r="F56" s="11" t="str">
        <f>F31</f>
        <v>Lead</v>
      </c>
      <c r="G56" s="10" t="s">
        <v>25</v>
      </c>
    </row>
    <row r="57" spans="1:14" x14ac:dyDescent="0.35">
      <c r="A57" s="10" t="str">
        <f>A9</f>
        <v>[M+C] Zinc (Zn) ore mining and concentration</v>
      </c>
      <c r="B57" s="10" t="str">
        <f t="shared" ref="B57:F57" si="0">B9</f>
        <v>Zn concentrate</v>
      </c>
      <c r="C57" s="10" t="str">
        <f t="shared" si="0"/>
        <v>RoW</v>
      </c>
      <c r="D57" s="16">
        <v>0.57032068330399111</v>
      </c>
      <c r="E57" s="10" t="str">
        <f t="shared" si="0"/>
        <v>kilogram</v>
      </c>
      <c r="F57" s="11" t="str">
        <f t="shared" si="0"/>
        <v>Lead</v>
      </c>
      <c r="G57" s="10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EB6F-AD5F-446D-8281-593D48783D03}">
  <sheetPr>
    <tabColor theme="8" tint="0.39997558519241921"/>
  </sheetPr>
  <dimension ref="A1:N144"/>
  <sheetViews>
    <sheetView tabSelected="1" workbookViewId="0">
      <selection activeCell="B104" sqref="B104"/>
    </sheetView>
  </sheetViews>
  <sheetFormatPr baseColWidth="10" defaultColWidth="8.54296875" defaultRowHeight="14.5" x14ac:dyDescent="0.35"/>
  <cols>
    <col min="1" max="1" width="81.7265625" style="10" bestFit="1" customWidth="1"/>
    <col min="2" max="2" width="87.453125" style="10" customWidth="1"/>
    <col min="3" max="3" width="25.81640625" style="10" bestFit="1" customWidth="1"/>
    <col min="4" max="4" width="12.7265625" style="10" bestFit="1" customWidth="1"/>
    <col min="5" max="5" width="17.54296875" style="10" bestFit="1" customWidth="1"/>
    <col min="6" max="6" width="19.7265625" style="10" bestFit="1" customWidth="1"/>
    <col min="7" max="7" width="13.26953125" style="10" bestFit="1" customWidth="1"/>
    <col min="8" max="8" width="25.26953125" style="10" bestFit="1" customWidth="1"/>
    <col min="9" max="9" width="15.54296875" style="10" bestFit="1" customWidth="1"/>
    <col min="10" max="10" width="9.7265625" style="10" bestFit="1" customWidth="1"/>
    <col min="11" max="11" width="3.54296875" style="10" bestFit="1" customWidth="1"/>
    <col min="12" max="12" width="5.453125" style="10" bestFit="1" customWidth="1"/>
    <col min="13" max="13" width="9.54296875" style="10" bestFit="1" customWidth="1"/>
    <col min="14" max="14" width="9.81640625" style="10" bestFit="1" customWidth="1"/>
    <col min="15" max="16384" width="8.54296875" style="10"/>
  </cols>
  <sheetData>
    <row r="1" spans="1:14" x14ac:dyDescent="0.35">
      <c r="A1" s="9" t="s">
        <v>0</v>
      </c>
      <c r="B1" s="9" t="s">
        <v>253</v>
      </c>
    </row>
    <row r="2" spans="1:14" x14ac:dyDescent="0.35">
      <c r="A2" s="18" t="s">
        <v>1</v>
      </c>
      <c r="B2" s="10" t="s">
        <v>254</v>
      </c>
    </row>
    <row r="3" spans="1:14" x14ac:dyDescent="0.35">
      <c r="A3" s="18" t="s">
        <v>3</v>
      </c>
      <c r="B3" s="10" t="s">
        <v>255</v>
      </c>
    </row>
    <row r="4" spans="1:14" x14ac:dyDescent="0.35">
      <c r="A4" s="18" t="s">
        <v>5</v>
      </c>
      <c r="B4" s="10">
        <v>1</v>
      </c>
    </row>
    <row r="5" spans="1:14" x14ac:dyDescent="0.35">
      <c r="A5" s="18" t="s">
        <v>6</v>
      </c>
      <c r="B5" s="10" t="s">
        <v>7</v>
      </c>
    </row>
    <row r="6" spans="1:14" x14ac:dyDescent="0.35">
      <c r="A6" s="18" t="s">
        <v>8</v>
      </c>
      <c r="B6" s="21" t="s">
        <v>74</v>
      </c>
    </row>
    <row r="7" spans="1:14" x14ac:dyDescent="0.35">
      <c r="A7" s="18" t="s">
        <v>9</v>
      </c>
    </row>
    <row r="8" spans="1:14" x14ac:dyDescent="0.35">
      <c r="A8" s="9" t="s">
        <v>10</v>
      </c>
      <c r="B8" s="9" t="s">
        <v>1</v>
      </c>
      <c r="C8" s="9" t="s">
        <v>3</v>
      </c>
      <c r="D8" s="9" t="s">
        <v>5</v>
      </c>
      <c r="E8" s="9" t="s">
        <v>6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  <c r="N8" s="9" t="s">
        <v>19</v>
      </c>
    </row>
    <row r="9" spans="1:14" x14ac:dyDescent="0.35">
      <c r="A9" s="10" t="str">
        <f>B1</f>
        <v>[M+C] Copper (Cu) ore mining and concentration (Sweden)</v>
      </c>
      <c r="B9" s="10" t="str">
        <f>B2</f>
        <v>Cu concentrate</v>
      </c>
      <c r="C9" s="10" t="s">
        <v>255</v>
      </c>
      <c r="D9" s="10">
        <v>1</v>
      </c>
      <c r="E9" s="10" t="s">
        <v>7</v>
      </c>
      <c r="F9" s="11" t="str">
        <f>Pb_Market_GLO!B1</f>
        <v>Lead</v>
      </c>
      <c r="G9" s="10" t="s">
        <v>20</v>
      </c>
    </row>
    <row r="10" spans="1:14" x14ac:dyDescent="0.35">
      <c r="A10" s="10" t="s">
        <v>33</v>
      </c>
      <c r="B10" s="10" t="s">
        <v>34</v>
      </c>
      <c r="C10" s="10" t="s">
        <v>23</v>
      </c>
      <c r="D10" s="10">
        <v>4.0289823311875042</v>
      </c>
      <c r="E10" s="10" t="s">
        <v>35</v>
      </c>
      <c r="F10" s="10" t="s">
        <v>24</v>
      </c>
      <c r="G10" s="10" t="s">
        <v>25</v>
      </c>
      <c r="J10" s="10" t="s">
        <v>256</v>
      </c>
    </row>
    <row r="11" spans="1:14" x14ac:dyDescent="0.35">
      <c r="A11" s="10" t="s">
        <v>257</v>
      </c>
      <c r="B11" s="10" t="s">
        <v>258</v>
      </c>
      <c r="C11" s="10" t="s">
        <v>255</v>
      </c>
      <c r="D11" s="10">
        <v>0.2417770559805896</v>
      </c>
      <c r="E11" s="10" t="s">
        <v>38</v>
      </c>
      <c r="F11" s="10" t="s">
        <v>24</v>
      </c>
      <c r="G11" s="10" t="s">
        <v>25</v>
      </c>
      <c r="J11" s="10" t="s">
        <v>256</v>
      </c>
    </row>
    <row r="12" spans="1:14" x14ac:dyDescent="0.35">
      <c r="A12" s="10" t="s">
        <v>259</v>
      </c>
      <c r="B12" s="10" t="s">
        <v>260</v>
      </c>
      <c r="C12" s="10" t="s">
        <v>30</v>
      </c>
      <c r="D12" s="10">
        <v>2.5828164439313569E-2</v>
      </c>
      <c r="E12" s="10" t="s">
        <v>35</v>
      </c>
      <c r="F12" s="10" t="s">
        <v>24</v>
      </c>
      <c r="G12" s="10" t="s">
        <v>25</v>
      </c>
      <c r="J12" s="10" t="s">
        <v>256</v>
      </c>
    </row>
    <row r="13" spans="1:14" x14ac:dyDescent="0.35">
      <c r="A13" s="10" t="s">
        <v>21</v>
      </c>
      <c r="B13" s="10" t="s">
        <v>22</v>
      </c>
      <c r="C13" s="10" t="s">
        <v>23</v>
      </c>
      <c r="D13" s="10">
        <v>8.2326295810749892E-2</v>
      </c>
      <c r="E13" s="10" t="s">
        <v>7</v>
      </c>
      <c r="F13" s="10" t="s">
        <v>24</v>
      </c>
      <c r="G13" s="10" t="s">
        <v>25</v>
      </c>
      <c r="J13" s="10" t="s">
        <v>256</v>
      </c>
    </row>
    <row r="14" spans="1:14" x14ac:dyDescent="0.35">
      <c r="A14" s="10" t="s">
        <v>28</v>
      </c>
      <c r="B14" s="10" t="s">
        <v>29</v>
      </c>
      <c r="C14" s="10" t="s">
        <v>261</v>
      </c>
      <c r="D14" s="10">
        <v>2.582490330743992E-2</v>
      </c>
      <c r="E14" s="10" t="s">
        <v>7</v>
      </c>
      <c r="F14" s="10" t="s">
        <v>24</v>
      </c>
      <c r="G14" s="10" t="s">
        <v>25</v>
      </c>
      <c r="J14" s="10" t="s">
        <v>256</v>
      </c>
    </row>
    <row r="15" spans="1:14" x14ac:dyDescent="0.35">
      <c r="A15" s="10" t="s">
        <v>262</v>
      </c>
      <c r="B15" s="10" t="s">
        <v>263</v>
      </c>
      <c r="C15" s="10" t="s">
        <v>23</v>
      </c>
      <c r="D15" s="10">
        <v>4.5916736781001924E-3</v>
      </c>
      <c r="E15" s="10" t="s">
        <v>7</v>
      </c>
      <c r="F15" s="10" t="s">
        <v>24</v>
      </c>
      <c r="G15" s="10" t="s">
        <v>25</v>
      </c>
      <c r="J15" s="10" t="s">
        <v>256</v>
      </c>
    </row>
    <row r="16" spans="1:14" x14ac:dyDescent="0.35">
      <c r="A16" s="10" t="s">
        <v>264</v>
      </c>
      <c r="B16" s="10" t="s">
        <v>265</v>
      </c>
      <c r="C16" s="10" t="s">
        <v>23</v>
      </c>
      <c r="D16" s="10">
        <v>1.9155888625824229E-4</v>
      </c>
      <c r="E16" s="10" t="s">
        <v>7</v>
      </c>
      <c r="F16" s="10" t="s">
        <v>24</v>
      </c>
      <c r="G16" s="10" t="s">
        <v>25</v>
      </c>
      <c r="J16" s="10" t="s">
        <v>256</v>
      </c>
    </row>
    <row r="17" spans="1:10" x14ac:dyDescent="0.35">
      <c r="A17" s="10" t="s">
        <v>257</v>
      </c>
      <c r="B17" s="10" t="s">
        <v>258</v>
      </c>
      <c r="C17" s="10" t="s">
        <v>255</v>
      </c>
      <c r="D17" s="10">
        <v>2.2461111002406691</v>
      </c>
      <c r="E17" s="10" t="s">
        <v>38</v>
      </c>
      <c r="F17" s="10" t="s">
        <v>24</v>
      </c>
      <c r="G17" s="10" t="s">
        <v>25</v>
      </c>
      <c r="J17" s="10" t="s">
        <v>256</v>
      </c>
    </row>
    <row r="18" spans="1:10" x14ac:dyDescent="0.35">
      <c r="A18" s="10" t="s">
        <v>259</v>
      </c>
      <c r="B18" s="10" t="s">
        <v>260</v>
      </c>
      <c r="C18" s="10" t="s">
        <v>30</v>
      </c>
      <c r="D18" s="10">
        <v>2.8657522452892908E-2</v>
      </c>
      <c r="E18" s="10" t="s">
        <v>35</v>
      </c>
      <c r="F18" s="10" t="s">
        <v>24</v>
      </c>
      <c r="G18" s="10" t="s">
        <v>25</v>
      </c>
      <c r="J18" s="10" t="s">
        <v>256</v>
      </c>
    </row>
    <row r="19" spans="1:10" x14ac:dyDescent="0.35">
      <c r="A19" s="10" t="s">
        <v>266</v>
      </c>
      <c r="B19" s="10" t="s">
        <v>267</v>
      </c>
      <c r="C19" s="10" t="s">
        <v>23</v>
      </c>
      <c r="D19" s="10">
        <v>2.282792311555492E-5</v>
      </c>
      <c r="E19" s="10" t="s">
        <v>7</v>
      </c>
      <c r="F19" s="10" t="s">
        <v>24</v>
      </c>
      <c r="G19" s="10" t="s">
        <v>25</v>
      </c>
      <c r="J19" s="10" t="s">
        <v>256</v>
      </c>
    </row>
    <row r="20" spans="1:10" x14ac:dyDescent="0.35">
      <c r="A20" s="10" t="s">
        <v>77</v>
      </c>
      <c r="B20" s="10" t="s">
        <v>78</v>
      </c>
      <c r="C20" s="10" t="s">
        <v>23</v>
      </c>
      <c r="D20" s="10">
        <v>1.8001447942551879E-3</v>
      </c>
      <c r="E20" s="10" t="s">
        <v>7</v>
      </c>
      <c r="F20" s="10" t="s">
        <v>24</v>
      </c>
      <c r="G20" s="10" t="s">
        <v>25</v>
      </c>
      <c r="J20" s="10" t="s">
        <v>256</v>
      </c>
    </row>
    <row r="21" spans="1:10" x14ac:dyDescent="0.35">
      <c r="A21" s="10" t="s">
        <v>172</v>
      </c>
      <c r="B21" s="10" t="s">
        <v>173</v>
      </c>
      <c r="C21" s="10" t="s">
        <v>261</v>
      </c>
      <c r="D21" s="10">
        <v>2.5436828614475492E-6</v>
      </c>
      <c r="E21" s="10" t="s">
        <v>7</v>
      </c>
      <c r="F21" s="10" t="s">
        <v>24</v>
      </c>
      <c r="G21" s="10" t="s">
        <v>25</v>
      </c>
      <c r="J21" s="10" t="s">
        <v>256</v>
      </c>
    </row>
    <row r="22" spans="1:10" x14ac:dyDescent="0.35">
      <c r="A22" s="10" t="s">
        <v>268</v>
      </c>
      <c r="B22" s="10" t="s">
        <v>269</v>
      </c>
      <c r="C22" s="10" t="s">
        <v>261</v>
      </c>
      <c r="D22" s="10">
        <v>0.40999999999999959</v>
      </c>
      <c r="E22" s="10" t="s">
        <v>54</v>
      </c>
      <c r="F22" s="10" t="s">
        <v>24</v>
      </c>
      <c r="G22" s="10" t="s">
        <v>25</v>
      </c>
      <c r="J22" s="10" t="s">
        <v>256</v>
      </c>
    </row>
    <row r="23" spans="1:10" x14ac:dyDescent="0.35">
      <c r="A23" s="10" t="s">
        <v>270</v>
      </c>
      <c r="B23" s="10" t="s">
        <v>271</v>
      </c>
      <c r="C23" s="10" t="s">
        <v>23</v>
      </c>
      <c r="D23" s="10">
        <v>-89.257179381819711</v>
      </c>
      <c r="E23" s="10" t="s">
        <v>7</v>
      </c>
      <c r="F23" s="10" t="s">
        <v>24</v>
      </c>
      <c r="G23" s="10" t="s">
        <v>25</v>
      </c>
      <c r="J23" s="10" t="s">
        <v>256</v>
      </c>
    </row>
    <row r="24" spans="1:10" x14ac:dyDescent="0.35">
      <c r="A24" s="10" t="s">
        <v>272</v>
      </c>
      <c r="B24" s="10" t="s">
        <v>82</v>
      </c>
      <c r="C24" s="10" t="s">
        <v>30</v>
      </c>
      <c r="D24" s="10">
        <v>-1.7355743831569039E-3</v>
      </c>
      <c r="E24" s="10" t="s">
        <v>7</v>
      </c>
      <c r="F24" s="10" t="s">
        <v>24</v>
      </c>
      <c r="G24" s="10" t="s">
        <v>25</v>
      </c>
      <c r="J24" s="10" t="s">
        <v>256</v>
      </c>
    </row>
    <row r="25" spans="1:10" x14ac:dyDescent="0.35">
      <c r="A25" s="10" t="s">
        <v>273</v>
      </c>
      <c r="B25" s="10" t="s">
        <v>274</v>
      </c>
      <c r="C25" s="10" t="s">
        <v>261</v>
      </c>
      <c r="D25" s="10">
        <v>-1.754488948024079E-3</v>
      </c>
      <c r="E25" s="10" t="s">
        <v>7</v>
      </c>
      <c r="F25" s="10" t="s">
        <v>24</v>
      </c>
      <c r="G25" s="10" t="s">
        <v>25</v>
      </c>
      <c r="J25" s="10" t="s">
        <v>256</v>
      </c>
    </row>
    <row r="26" spans="1:10" x14ac:dyDescent="0.35">
      <c r="A26" s="10" t="s">
        <v>275</v>
      </c>
      <c r="B26" s="10" t="s">
        <v>276</v>
      </c>
      <c r="C26" s="10" t="s">
        <v>30</v>
      </c>
      <c r="D26" s="10">
        <v>-6.3298569667560143E-5</v>
      </c>
      <c r="E26" s="10" t="s">
        <v>39</v>
      </c>
      <c r="F26" s="10" t="s">
        <v>24</v>
      </c>
      <c r="G26" s="10" t="s">
        <v>25</v>
      </c>
      <c r="J26" s="10" t="s">
        <v>256</v>
      </c>
    </row>
    <row r="27" spans="1:10" x14ac:dyDescent="0.35">
      <c r="A27" s="10" t="s">
        <v>277</v>
      </c>
      <c r="B27" s="10" t="s">
        <v>278</v>
      </c>
      <c r="C27" s="10" t="s">
        <v>261</v>
      </c>
      <c r="D27" s="10">
        <v>-1.4022867056698031E-4</v>
      </c>
      <c r="E27" s="10" t="s">
        <v>7</v>
      </c>
      <c r="F27" s="10" t="s">
        <v>24</v>
      </c>
      <c r="G27" s="10" t="s">
        <v>25</v>
      </c>
      <c r="J27" s="10" t="s">
        <v>256</v>
      </c>
    </row>
    <row r="28" spans="1:10" x14ac:dyDescent="0.35">
      <c r="A28" s="10" t="s">
        <v>277</v>
      </c>
      <c r="B28" s="10" t="s">
        <v>278</v>
      </c>
      <c r="C28" s="10" t="s">
        <v>261</v>
      </c>
      <c r="D28" s="10">
        <v>-1.0370399358209239E-4</v>
      </c>
      <c r="E28" s="10" t="s">
        <v>7</v>
      </c>
      <c r="F28" s="10" t="s">
        <v>24</v>
      </c>
      <c r="G28" s="10" t="s">
        <v>25</v>
      </c>
      <c r="J28" s="10" t="s">
        <v>256</v>
      </c>
    </row>
    <row r="29" spans="1:10" x14ac:dyDescent="0.35">
      <c r="A29" s="10" t="s">
        <v>277</v>
      </c>
      <c r="B29" s="10" t="s">
        <v>278</v>
      </c>
      <c r="C29" s="10" t="s">
        <v>261</v>
      </c>
      <c r="D29" s="10">
        <v>-1.177268606387904E-4</v>
      </c>
      <c r="E29" s="10" t="s">
        <v>7</v>
      </c>
      <c r="F29" s="10" t="s">
        <v>24</v>
      </c>
      <c r="G29" s="10" t="s">
        <v>25</v>
      </c>
      <c r="J29" s="10" t="s">
        <v>256</v>
      </c>
    </row>
    <row r="30" spans="1:10" x14ac:dyDescent="0.35">
      <c r="A30" s="10" t="s">
        <v>277</v>
      </c>
      <c r="B30" s="10" t="s">
        <v>278</v>
      </c>
      <c r="C30" s="10" t="s">
        <v>261</v>
      </c>
      <c r="D30" s="10">
        <v>-7.1744901220315452E-5</v>
      </c>
      <c r="E30" s="10" t="s">
        <v>7</v>
      </c>
      <c r="F30" s="10" t="s">
        <v>24</v>
      </c>
      <c r="G30" s="10" t="s">
        <v>25</v>
      </c>
      <c r="J30" s="10" t="s">
        <v>256</v>
      </c>
    </row>
    <row r="31" spans="1:10" x14ac:dyDescent="0.35">
      <c r="A31" s="10" t="s">
        <v>277</v>
      </c>
      <c r="B31" s="10" t="s">
        <v>278</v>
      </c>
      <c r="C31" s="10" t="s">
        <v>261</v>
      </c>
      <c r="D31" s="10">
        <v>-3.913358248380844E-5</v>
      </c>
      <c r="E31" s="10" t="s">
        <v>7</v>
      </c>
      <c r="F31" s="10" t="s">
        <v>24</v>
      </c>
      <c r="G31" s="10" t="s">
        <v>25</v>
      </c>
      <c r="J31" s="10" t="s">
        <v>256</v>
      </c>
    </row>
    <row r="32" spans="1:10" x14ac:dyDescent="0.35">
      <c r="A32" s="10" t="s">
        <v>277</v>
      </c>
      <c r="B32" s="10" t="s">
        <v>278</v>
      </c>
      <c r="C32" s="10" t="s">
        <v>261</v>
      </c>
      <c r="D32" s="10">
        <v>-1.819711585497093E-5</v>
      </c>
      <c r="E32" s="10" t="s">
        <v>7</v>
      </c>
      <c r="F32" s="10" t="s">
        <v>24</v>
      </c>
      <c r="G32" s="10" t="s">
        <v>25</v>
      </c>
      <c r="J32" s="10" t="s">
        <v>256</v>
      </c>
    </row>
    <row r="33" spans="1:10" x14ac:dyDescent="0.35">
      <c r="A33" s="10" t="s">
        <v>129</v>
      </c>
      <c r="D33" s="10">
        <v>8.1528296841267583E-2</v>
      </c>
      <c r="E33" s="10" t="s">
        <v>130</v>
      </c>
      <c r="F33" s="10" t="s">
        <v>41</v>
      </c>
      <c r="G33" s="10" t="s">
        <v>42</v>
      </c>
      <c r="H33" s="10" t="s">
        <v>45</v>
      </c>
      <c r="J33" s="10" t="s">
        <v>256</v>
      </c>
    </row>
    <row r="34" spans="1:10" x14ac:dyDescent="0.35">
      <c r="A34" s="10" t="s">
        <v>279</v>
      </c>
      <c r="D34" s="10">
        <v>0.21319388733441569</v>
      </c>
      <c r="E34" s="10" t="s">
        <v>7</v>
      </c>
      <c r="F34" s="10" t="s">
        <v>41</v>
      </c>
      <c r="G34" s="10" t="s">
        <v>42</v>
      </c>
      <c r="H34" s="10" t="s">
        <v>43</v>
      </c>
      <c r="J34" s="10" t="s">
        <v>256</v>
      </c>
    </row>
    <row r="35" spans="1:10" x14ac:dyDescent="0.35">
      <c r="A35" s="10" t="s">
        <v>280</v>
      </c>
      <c r="D35" s="10">
        <v>1.9566791241904229E-3</v>
      </c>
      <c r="E35" s="10" t="s">
        <v>39</v>
      </c>
      <c r="F35" s="10" t="s">
        <v>41</v>
      </c>
      <c r="G35" s="10" t="s">
        <v>42</v>
      </c>
      <c r="H35" s="10" t="s">
        <v>281</v>
      </c>
      <c r="J35" s="10" t="s">
        <v>256</v>
      </c>
    </row>
    <row r="36" spans="1:10" x14ac:dyDescent="0.35">
      <c r="A36" s="10" t="s">
        <v>282</v>
      </c>
      <c r="D36" s="10">
        <v>3.2611318736507132E-4</v>
      </c>
      <c r="E36" s="10" t="s">
        <v>39</v>
      </c>
      <c r="F36" s="10" t="s">
        <v>41</v>
      </c>
      <c r="G36" s="10" t="s">
        <v>42</v>
      </c>
      <c r="H36" s="10" t="s">
        <v>281</v>
      </c>
      <c r="J36" s="10" t="s">
        <v>256</v>
      </c>
    </row>
    <row r="37" spans="1:10" x14ac:dyDescent="0.35">
      <c r="A37" s="10" t="s">
        <v>83</v>
      </c>
      <c r="D37" s="10">
        <v>1.1692462219787231E-4</v>
      </c>
      <c r="E37" s="10" t="s">
        <v>7</v>
      </c>
      <c r="F37" s="10" t="s">
        <v>41</v>
      </c>
      <c r="G37" s="10" t="s">
        <v>42</v>
      </c>
      <c r="H37" s="10" t="s">
        <v>56</v>
      </c>
      <c r="J37" s="10" t="s">
        <v>256</v>
      </c>
    </row>
    <row r="38" spans="1:10" x14ac:dyDescent="0.35">
      <c r="A38" s="10" t="s">
        <v>155</v>
      </c>
      <c r="D38" s="10">
        <v>1.2392301119872669E-3</v>
      </c>
      <c r="E38" s="10" t="s">
        <v>7</v>
      </c>
      <c r="F38" s="10" t="s">
        <v>41</v>
      </c>
      <c r="G38" s="10" t="s">
        <v>42</v>
      </c>
      <c r="H38" s="10" t="s">
        <v>56</v>
      </c>
      <c r="J38" s="10" t="s">
        <v>256</v>
      </c>
    </row>
    <row r="39" spans="1:10" x14ac:dyDescent="0.35">
      <c r="A39" s="10" t="s">
        <v>67</v>
      </c>
      <c r="D39" s="10">
        <v>2.8404458619497609E-7</v>
      </c>
      <c r="E39" s="10" t="s">
        <v>7</v>
      </c>
      <c r="F39" s="10" t="s">
        <v>41</v>
      </c>
      <c r="G39" s="10" t="s">
        <v>42</v>
      </c>
      <c r="H39" s="10" t="s">
        <v>62</v>
      </c>
      <c r="J39" s="10" t="s">
        <v>256</v>
      </c>
    </row>
    <row r="40" spans="1:10" x14ac:dyDescent="0.35">
      <c r="A40" s="10" t="s">
        <v>283</v>
      </c>
      <c r="D40" s="10">
        <v>7.5593036831223307E-6</v>
      </c>
      <c r="E40" s="10" t="s">
        <v>7</v>
      </c>
      <c r="F40" s="10" t="s">
        <v>41</v>
      </c>
      <c r="G40" s="10" t="s">
        <v>42</v>
      </c>
      <c r="H40" s="10" t="s">
        <v>62</v>
      </c>
      <c r="J40" s="10" t="s">
        <v>256</v>
      </c>
    </row>
    <row r="41" spans="1:10" x14ac:dyDescent="0.35">
      <c r="A41" s="10" t="s">
        <v>71</v>
      </c>
      <c r="D41" s="10">
        <v>2.5436828614475491E-9</v>
      </c>
      <c r="E41" s="10" t="s">
        <v>7</v>
      </c>
      <c r="F41" s="10" t="s">
        <v>41</v>
      </c>
      <c r="G41" s="10" t="s">
        <v>42</v>
      </c>
      <c r="H41" s="10" t="s">
        <v>62</v>
      </c>
      <c r="J41" s="10" t="s">
        <v>256</v>
      </c>
    </row>
    <row r="42" spans="1:10" x14ac:dyDescent="0.35">
      <c r="A42" s="10" t="s">
        <v>58</v>
      </c>
      <c r="D42" s="10">
        <v>9.7833956209521104E-9</v>
      </c>
      <c r="E42" s="10" t="s">
        <v>7</v>
      </c>
      <c r="F42" s="10" t="s">
        <v>41</v>
      </c>
      <c r="G42" s="10" t="s">
        <v>42</v>
      </c>
      <c r="H42" s="10" t="s">
        <v>62</v>
      </c>
      <c r="J42" s="10" t="s">
        <v>256</v>
      </c>
    </row>
    <row r="43" spans="1:10" x14ac:dyDescent="0.35">
      <c r="A43" s="10" t="s">
        <v>73</v>
      </c>
      <c r="D43" s="10">
        <v>3.2611318736507039E-9</v>
      </c>
      <c r="E43" s="10" t="s">
        <v>7</v>
      </c>
      <c r="F43" s="10" t="s">
        <v>41</v>
      </c>
      <c r="G43" s="10" t="s">
        <v>42</v>
      </c>
      <c r="H43" s="10" t="s">
        <v>62</v>
      </c>
      <c r="J43" s="10" t="s">
        <v>256</v>
      </c>
    </row>
    <row r="44" spans="1:10" x14ac:dyDescent="0.35">
      <c r="A44" s="10" t="s">
        <v>67</v>
      </c>
      <c r="D44" s="10">
        <v>2.4621545646062808E-7</v>
      </c>
      <c r="E44" s="10" t="s">
        <v>7</v>
      </c>
      <c r="F44" s="10" t="s">
        <v>41</v>
      </c>
      <c r="G44" s="10" t="s">
        <v>42</v>
      </c>
      <c r="H44" s="10" t="s">
        <v>62</v>
      </c>
      <c r="J44" s="10" t="s">
        <v>256</v>
      </c>
    </row>
    <row r="45" spans="1:10" x14ac:dyDescent="0.35">
      <c r="A45" s="10" t="s">
        <v>70</v>
      </c>
      <c r="D45" s="10">
        <v>8.5767768277013486E-9</v>
      </c>
      <c r="E45" s="10" t="s">
        <v>7</v>
      </c>
      <c r="F45" s="10" t="s">
        <v>41</v>
      </c>
      <c r="G45" s="10" t="s">
        <v>42</v>
      </c>
      <c r="H45" s="10" t="s">
        <v>62</v>
      </c>
      <c r="J45" s="10" t="s">
        <v>256</v>
      </c>
    </row>
    <row r="46" spans="1:10" x14ac:dyDescent="0.35">
      <c r="A46" s="10" t="s">
        <v>59</v>
      </c>
      <c r="D46" s="10">
        <v>1.9566791241904219E-10</v>
      </c>
      <c r="E46" s="10" t="s">
        <v>7</v>
      </c>
      <c r="F46" s="10" t="s">
        <v>41</v>
      </c>
      <c r="G46" s="10" t="s">
        <v>42</v>
      </c>
      <c r="H46" s="10" t="s">
        <v>62</v>
      </c>
      <c r="J46" s="10" t="s">
        <v>256</v>
      </c>
    </row>
    <row r="47" spans="1:10" x14ac:dyDescent="0.35">
      <c r="A47" s="10" t="s">
        <v>72</v>
      </c>
      <c r="D47" s="10">
        <v>1.2066187932507601E-7</v>
      </c>
      <c r="E47" s="10" t="s">
        <v>7</v>
      </c>
      <c r="F47" s="10" t="s">
        <v>41</v>
      </c>
      <c r="G47" s="10" t="s">
        <v>42</v>
      </c>
      <c r="H47" s="10" t="s">
        <v>62</v>
      </c>
      <c r="J47" s="10" t="s">
        <v>256</v>
      </c>
    </row>
    <row r="48" spans="1:10" x14ac:dyDescent="0.35">
      <c r="A48" s="10" t="s">
        <v>66</v>
      </c>
      <c r="D48" s="10">
        <v>2.5110715427110409E-7</v>
      </c>
      <c r="E48" s="10" t="s">
        <v>7</v>
      </c>
      <c r="F48" s="10" t="s">
        <v>41</v>
      </c>
      <c r="G48" s="10" t="s">
        <v>42</v>
      </c>
      <c r="H48" s="10" t="s">
        <v>62</v>
      </c>
      <c r="J48" s="10" t="s">
        <v>256</v>
      </c>
    </row>
    <row r="49" spans="1:14" x14ac:dyDescent="0.35">
      <c r="A49" s="10" t="s">
        <v>150</v>
      </c>
      <c r="D49" s="10">
        <v>3.3263545111237179E-7</v>
      </c>
      <c r="E49" s="10" t="s">
        <v>7</v>
      </c>
      <c r="F49" s="10" t="s">
        <v>41</v>
      </c>
      <c r="G49" s="10" t="s">
        <v>42</v>
      </c>
      <c r="H49" s="10" t="s">
        <v>62</v>
      </c>
      <c r="J49" s="10" t="s">
        <v>256</v>
      </c>
    </row>
    <row r="50" spans="1:14" x14ac:dyDescent="0.35">
      <c r="A50" s="10" t="s">
        <v>64</v>
      </c>
      <c r="D50" s="10">
        <v>1.6461867585001389E-4</v>
      </c>
      <c r="E50" s="10" t="s">
        <v>7</v>
      </c>
      <c r="F50" s="10" t="s">
        <v>41</v>
      </c>
      <c r="G50" s="10" t="s">
        <v>42</v>
      </c>
      <c r="H50" s="10" t="s">
        <v>62</v>
      </c>
      <c r="J50" s="10" t="s">
        <v>256</v>
      </c>
    </row>
    <row r="51" spans="1:14" s="19" customFormat="1" x14ac:dyDescent="0.35"/>
    <row r="52" spans="1:14" x14ac:dyDescent="0.35">
      <c r="A52" s="9" t="s">
        <v>0</v>
      </c>
      <c r="B52" s="9" t="s">
        <v>339</v>
      </c>
    </row>
    <row r="53" spans="1:14" x14ac:dyDescent="0.35">
      <c r="A53" s="18" t="s">
        <v>1</v>
      </c>
      <c r="B53" s="10" t="s">
        <v>162</v>
      </c>
    </row>
    <row r="54" spans="1:14" x14ac:dyDescent="0.35">
      <c r="A54" s="18" t="s">
        <v>3</v>
      </c>
      <c r="B54" s="10" t="s">
        <v>255</v>
      </c>
    </row>
    <row r="55" spans="1:14" x14ac:dyDescent="0.35">
      <c r="A55" s="18" t="s">
        <v>5</v>
      </c>
      <c r="B55" s="10">
        <v>1</v>
      </c>
    </row>
    <row r="56" spans="1:14" x14ac:dyDescent="0.35">
      <c r="A56" s="18" t="s">
        <v>6</v>
      </c>
      <c r="B56" s="10" t="s">
        <v>7</v>
      </c>
    </row>
    <row r="57" spans="1:14" ht="72.5" x14ac:dyDescent="0.35">
      <c r="A57" s="18" t="s">
        <v>8</v>
      </c>
      <c r="B57" s="13" t="s">
        <v>342</v>
      </c>
    </row>
    <row r="58" spans="1:14" x14ac:dyDescent="0.35">
      <c r="A58" s="18" t="s">
        <v>9</v>
      </c>
    </row>
    <row r="59" spans="1:14" x14ac:dyDescent="0.35">
      <c r="A59" s="9" t="s">
        <v>10</v>
      </c>
      <c r="B59" s="9" t="s">
        <v>1</v>
      </c>
      <c r="C59" s="9" t="s">
        <v>3</v>
      </c>
      <c r="D59" s="9" t="s">
        <v>5</v>
      </c>
      <c r="E59" s="9" t="s">
        <v>6</v>
      </c>
      <c r="F59" s="9" t="s">
        <v>11</v>
      </c>
      <c r="G59" s="9" t="s">
        <v>12</v>
      </c>
      <c r="H59" s="9" t="s">
        <v>13</v>
      </c>
      <c r="I59" s="9" t="s">
        <v>14</v>
      </c>
      <c r="J59" s="9" t="s">
        <v>15</v>
      </c>
      <c r="K59" s="9" t="s">
        <v>16</v>
      </c>
      <c r="L59" s="9" t="s">
        <v>17</v>
      </c>
      <c r="M59" s="9" t="s">
        <v>18</v>
      </c>
      <c r="N59" s="9" t="s">
        <v>19</v>
      </c>
    </row>
    <row r="60" spans="1:14" x14ac:dyDescent="0.35">
      <c r="A60" s="10" t="str">
        <f>B52</f>
        <v>[P+R] Refined Lead (Pb) production - Pyrometallurgy (Sweden)</v>
      </c>
      <c r="B60" s="10" t="str">
        <f>B53</f>
        <v>Refined Pb</v>
      </c>
      <c r="C60" s="10" t="s">
        <v>255</v>
      </c>
      <c r="D60" s="10">
        <v>1</v>
      </c>
      <c r="E60" s="10" t="s">
        <v>7</v>
      </c>
      <c r="F60" s="11" t="str">
        <f>F9</f>
        <v>Lead</v>
      </c>
      <c r="G60" s="10" t="s">
        <v>20</v>
      </c>
    </row>
    <row r="61" spans="1:14" x14ac:dyDescent="0.35">
      <c r="A61" s="10" t="s">
        <v>33</v>
      </c>
      <c r="B61" s="10" t="s">
        <v>34</v>
      </c>
      <c r="C61" s="10" t="s">
        <v>23</v>
      </c>
      <c r="D61" s="16">
        <v>4.4639596838923948E-2</v>
      </c>
      <c r="E61" s="10" t="s">
        <v>35</v>
      </c>
      <c r="F61" s="10" t="s">
        <v>24</v>
      </c>
      <c r="G61" s="10" t="s">
        <v>25</v>
      </c>
      <c r="J61" s="10" t="s">
        <v>256</v>
      </c>
    </row>
    <row r="62" spans="1:14" x14ac:dyDescent="0.35">
      <c r="A62" s="10" t="s">
        <v>172</v>
      </c>
      <c r="B62" s="10" t="s">
        <v>173</v>
      </c>
      <c r="C62" s="10" t="s">
        <v>261</v>
      </c>
      <c r="D62" s="16">
        <v>2.9675726096164114E-5</v>
      </c>
      <c r="E62" s="10" t="s">
        <v>7</v>
      </c>
      <c r="F62" s="10" t="s">
        <v>24</v>
      </c>
      <c r="G62" s="10" t="s">
        <v>25</v>
      </c>
      <c r="J62" s="10" t="s">
        <v>256</v>
      </c>
    </row>
    <row r="63" spans="1:14" x14ac:dyDescent="0.35">
      <c r="A63" s="10" t="s">
        <v>284</v>
      </c>
      <c r="B63" s="10" t="s">
        <v>285</v>
      </c>
      <c r="C63" s="10" t="s">
        <v>261</v>
      </c>
      <c r="D63" s="16">
        <v>1.4688346576075761E-2</v>
      </c>
      <c r="E63" s="10" t="s">
        <v>7</v>
      </c>
      <c r="F63" s="10" t="s">
        <v>24</v>
      </c>
      <c r="G63" s="10" t="s">
        <v>25</v>
      </c>
      <c r="J63" s="10" t="s">
        <v>256</v>
      </c>
    </row>
    <row r="64" spans="1:14" x14ac:dyDescent="0.35">
      <c r="A64" s="10" t="s">
        <v>286</v>
      </c>
      <c r="B64" s="10" t="s">
        <v>287</v>
      </c>
      <c r="C64" s="10" t="s">
        <v>261</v>
      </c>
      <c r="D64" s="16">
        <v>6.5247557235387742E-4</v>
      </c>
      <c r="E64" s="10" t="s">
        <v>7</v>
      </c>
      <c r="F64" s="10" t="s">
        <v>24</v>
      </c>
      <c r="G64" s="10" t="s">
        <v>25</v>
      </c>
      <c r="J64" s="10" t="s">
        <v>256</v>
      </c>
    </row>
    <row r="65" spans="1:10" x14ac:dyDescent="0.35">
      <c r="A65" s="10" t="s">
        <v>257</v>
      </c>
      <c r="B65" s="10" t="s">
        <v>258</v>
      </c>
      <c r="C65" s="10" t="s">
        <v>255</v>
      </c>
      <c r="D65" s="16">
        <v>0.87877031078620294</v>
      </c>
      <c r="E65" s="10" t="s">
        <v>38</v>
      </c>
      <c r="F65" s="10" t="s">
        <v>24</v>
      </c>
      <c r="G65" s="10" t="s">
        <v>25</v>
      </c>
      <c r="J65" s="10" t="s">
        <v>256</v>
      </c>
    </row>
    <row r="66" spans="1:10" x14ac:dyDescent="0.35">
      <c r="A66" s="10" t="s">
        <v>100</v>
      </c>
      <c r="B66" s="10" t="s">
        <v>101</v>
      </c>
      <c r="C66" s="10" t="s">
        <v>261</v>
      </c>
      <c r="D66" s="16">
        <v>3.6285797767530008</v>
      </c>
      <c r="E66" s="10" t="s">
        <v>7</v>
      </c>
      <c r="F66" s="10" t="s">
        <v>24</v>
      </c>
      <c r="G66" s="10" t="s">
        <v>25</v>
      </c>
      <c r="J66" s="10" t="s">
        <v>256</v>
      </c>
    </row>
    <row r="67" spans="1:10" x14ac:dyDescent="0.35">
      <c r="A67" s="10" t="s">
        <v>144</v>
      </c>
      <c r="B67" s="10" t="s">
        <v>145</v>
      </c>
      <c r="C67" s="10" t="s">
        <v>23</v>
      </c>
      <c r="D67" s="16">
        <v>0.20089518974159518</v>
      </c>
      <c r="E67" s="10" t="s">
        <v>7</v>
      </c>
      <c r="F67" s="10" t="s">
        <v>24</v>
      </c>
      <c r="G67" s="10" t="s">
        <v>25</v>
      </c>
      <c r="J67" s="10" t="s">
        <v>256</v>
      </c>
    </row>
    <row r="68" spans="1:10" x14ac:dyDescent="0.35">
      <c r="A68" s="10" t="s">
        <v>288</v>
      </c>
      <c r="B68" s="10" t="s">
        <v>289</v>
      </c>
      <c r="C68" s="10" t="s">
        <v>290</v>
      </c>
      <c r="D68" s="16">
        <v>6.6001001230303275E-3</v>
      </c>
      <c r="E68" s="10" t="s">
        <v>7</v>
      </c>
      <c r="F68" s="10" t="s">
        <v>24</v>
      </c>
      <c r="G68" s="10" t="s">
        <v>25</v>
      </c>
      <c r="J68" s="10" t="s">
        <v>256</v>
      </c>
    </row>
    <row r="69" spans="1:10" x14ac:dyDescent="0.35">
      <c r="A69" s="10" t="s">
        <v>122</v>
      </c>
      <c r="B69" s="10" t="s">
        <v>123</v>
      </c>
      <c r="C69" s="10" t="s">
        <v>30</v>
      </c>
      <c r="D69" s="16">
        <v>1.2483827471856553E-2</v>
      </c>
      <c r="E69" s="10" t="s">
        <v>7</v>
      </c>
      <c r="F69" s="10" t="s">
        <v>24</v>
      </c>
      <c r="G69" s="10" t="s">
        <v>25</v>
      </c>
      <c r="J69" s="10" t="s">
        <v>256</v>
      </c>
    </row>
    <row r="70" spans="1:10" x14ac:dyDescent="0.35">
      <c r="A70" s="10" t="s">
        <v>207</v>
      </c>
      <c r="B70" s="10" t="s">
        <v>208</v>
      </c>
      <c r="C70" s="10" t="s">
        <v>290</v>
      </c>
      <c r="D70" s="16">
        <v>5.8301384161651024E-2</v>
      </c>
      <c r="E70" s="10" t="s">
        <v>39</v>
      </c>
      <c r="F70" s="10" t="s">
        <v>24</v>
      </c>
      <c r="G70" s="10" t="s">
        <v>25</v>
      </c>
      <c r="J70" s="10" t="s">
        <v>256</v>
      </c>
    </row>
    <row r="71" spans="1:10" x14ac:dyDescent="0.35">
      <c r="A71" s="10" t="s">
        <v>229</v>
      </c>
      <c r="B71" s="10" t="s">
        <v>230</v>
      </c>
      <c r="C71" s="10" t="s">
        <v>23</v>
      </c>
      <c r="D71" s="16">
        <v>3.446936350459681E-4</v>
      </c>
      <c r="E71" s="10" t="s">
        <v>7</v>
      </c>
      <c r="F71" s="10" t="s">
        <v>24</v>
      </c>
      <c r="G71" s="10" t="s">
        <v>25</v>
      </c>
      <c r="J71" s="10" t="s">
        <v>256</v>
      </c>
    </row>
    <row r="72" spans="1:10" x14ac:dyDescent="0.35">
      <c r="A72" s="10" t="s">
        <v>291</v>
      </c>
      <c r="B72" s="10" t="s">
        <v>292</v>
      </c>
      <c r="C72" s="10" t="s">
        <v>23</v>
      </c>
      <c r="D72" s="16">
        <v>4.7760036264641937E-7</v>
      </c>
      <c r="E72" s="10" t="s">
        <v>7</v>
      </c>
      <c r="F72" s="10" t="s">
        <v>24</v>
      </c>
      <c r="G72" s="10" t="s">
        <v>25</v>
      </c>
      <c r="J72" s="10" t="s">
        <v>256</v>
      </c>
    </row>
    <row r="73" spans="1:10" x14ac:dyDescent="0.35">
      <c r="A73" s="10" t="s">
        <v>293</v>
      </c>
      <c r="B73" s="10" t="s">
        <v>294</v>
      </c>
      <c r="C73" s="10" t="s">
        <v>23</v>
      </c>
      <c r="D73" s="16">
        <v>7.0479712126080907E-4</v>
      </c>
      <c r="E73" s="10" t="s">
        <v>7</v>
      </c>
      <c r="F73" s="10" t="s">
        <v>24</v>
      </c>
      <c r="G73" s="10" t="s">
        <v>25</v>
      </c>
      <c r="J73" s="10" t="s">
        <v>256</v>
      </c>
    </row>
    <row r="74" spans="1:10" x14ac:dyDescent="0.35">
      <c r="A74" s="10" t="s">
        <v>224</v>
      </c>
      <c r="B74" s="10" t="s">
        <v>225</v>
      </c>
      <c r="C74" s="10" t="s">
        <v>290</v>
      </c>
      <c r="D74" s="16">
        <v>3.5676671041014386E-2</v>
      </c>
      <c r="E74" s="10" t="s">
        <v>7</v>
      </c>
      <c r="F74" s="10" t="s">
        <v>24</v>
      </c>
      <c r="G74" s="10" t="s">
        <v>25</v>
      </c>
      <c r="J74" s="10" t="s">
        <v>256</v>
      </c>
    </row>
    <row r="75" spans="1:10" x14ac:dyDescent="0.35">
      <c r="A75" s="10" t="s">
        <v>224</v>
      </c>
      <c r="B75" s="10" t="s">
        <v>225</v>
      </c>
      <c r="C75" s="10" t="s">
        <v>290</v>
      </c>
      <c r="D75" s="16">
        <v>6.3208571071781886E-5</v>
      </c>
      <c r="E75" s="10" t="s">
        <v>7</v>
      </c>
      <c r="F75" s="10" t="s">
        <v>24</v>
      </c>
      <c r="G75" s="10" t="s">
        <v>25</v>
      </c>
      <c r="J75" s="10" t="s">
        <v>256</v>
      </c>
    </row>
    <row r="76" spans="1:10" x14ac:dyDescent="0.35">
      <c r="A76" s="10" t="s">
        <v>229</v>
      </c>
      <c r="B76" s="10" t="s">
        <v>230</v>
      </c>
      <c r="C76" s="10" t="s">
        <v>23</v>
      </c>
      <c r="D76" s="16">
        <v>1.8280734348424768E-2</v>
      </c>
      <c r="E76" s="10" t="s">
        <v>7</v>
      </c>
      <c r="F76" s="10" t="s">
        <v>24</v>
      </c>
      <c r="G76" s="10" t="s">
        <v>25</v>
      </c>
      <c r="J76" s="10" t="s">
        <v>256</v>
      </c>
    </row>
    <row r="77" spans="1:10" x14ac:dyDescent="0.35">
      <c r="A77" s="10" t="s">
        <v>295</v>
      </c>
      <c r="B77" s="10" t="s">
        <v>296</v>
      </c>
      <c r="C77" s="10" t="s">
        <v>290</v>
      </c>
      <c r="D77" s="16">
        <v>2.2171742772996287E-3</v>
      </c>
      <c r="E77" s="10" t="s">
        <v>7</v>
      </c>
      <c r="F77" s="10" t="s">
        <v>24</v>
      </c>
      <c r="G77" s="10" t="s">
        <v>25</v>
      </c>
      <c r="J77" s="10" t="s">
        <v>256</v>
      </c>
    </row>
    <row r="78" spans="1:10" x14ac:dyDescent="0.35">
      <c r="A78" s="10" t="s">
        <v>295</v>
      </c>
      <c r="B78" s="10" t="s">
        <v>296</v>
      </c>
      <c r="C78" s="10" t="s">
        <v>290</v>
      </c>
      <c r="D78" s="16">
        <v>1.0602728050750509E-5</v>
      </c>
      <c r="E78" s="10" t="s">
        <v>7</v>
      </c>
      <c r="F78" s="10" t="s">
        <v>24</v>
      </c>
      <c r="G78" s="10" t="s">
        <v>25</v>
      </c>
      <c r="J78" s="10" t="s">
        <v>256</v>
      </c>
    </row>
    <row r="79" spans="1:10" x14ac:dyDescent="0.35">
      <c r="A79" s="10" t="s">
        <v>98</v>
      </c>
      <c r="B79" s="10" t="s">
        <v>99</v>
      </c>
      <c r="C79" s="10" t="s">
        <v>23</v>
      </c>
      <c r="D79" s="16">
        <v>2.6429892047280343E-5</v>
      </c>
      <c r="E79" s="10" t="s">
        <v>7</v>
      </c>
      <c r="F79" s="10" t="s">
        <v>24</v>
      </c>
      <c r="G79" s="10" t="s">
        <v>25</v>
      </c>
      <c r="J79" s="10" t="s">
        <v>256</v>
      </c>
    </row>
    <row r="80" spans="1:10" x14ac:dyDescent="0.35">
      <c r="A80" s="10" t="s">
        <v>77</v>
      </c>
      <c r="B80" s="10" t="s">
        <v>78</v>
      </c>
      <c r="C80" s="10" t="s">
        <v>23</v>
      </c>
      <c r="D80" s="16">
        <v>2.6874419003583939E-6</v>
      </c>
      <c r="E80" s="10" t="s">
        <v>7</v>
      </c>
      <c r="F80" s="10" t="s">
        <v>24</v>
      </c>
      <c r="G80" s="10" t="s">
        <v>25</v>
      </c>
      <c r="J80" s="10" t="s">
        <v>256</v>
      </c>
    </row>
    <row r="81" spans="1:10" x14ac:dyDescent="0.35">
      <c r="A81" s="10" t="s">
        <v>77</v>
      </c>
      <c r="B81" s="10" t="s">
        <v>78</v>
      </c>
      <c r="C81" s="10" t="s">
        <v>23</v>
      </c>
      <c r="D81" s="16">
        <v>2.4467833963270401E-5</v>
      </c>
      <c r="E81" s="10" t="s">
        <v>7</v>
      </c>
      <c r="F81" s="10" t="s">
        <v>24</v>
      </c>
      <c r="G81" s="10" t="s">
        <v>25</v>
      </c>
      <c r="J81" s="10" t="s">
        <v>256</v>
      </c>
    </row>
    <row r="82" spans="1:10" x14ac:dyDescent="0.35">
      <c r="A82" s="10" t="s">
        <v>297</v>
      </c>
      <c r="B82" s="10" t="s">
        <v>298</v>
      </c>
      <c r="C82" s="10" t="s">
        <v>23</v>
      </c>
      <c r="D82" s="16">
        <v>2.2388068076392427E-3</v>
      </c>
      <c r="E82" s="10" t="s">
        <v>7</v>
      </c>
      <c r="F82" s="10" t="s">
        <v>24</v>
      </c>
      <c r="G82" s="10" t="s">
        <v>25</v>
      </c>
      <c r="J82" s="10" t="s">
        <v>256</v>
      </c>
    </row>
    <row r="83" spans="1:10" x14ac:dyDescent="0.35">
      <c r="A83" s="10" t="s">
        <v>299</v>
      </c>
      <c r="B83" s="10" t="s">
        <v>300</v>
      </c>
      <c r="C83" s="10" t="s">
        <v>23</v>
      </c>
      <c r="D83" s="16">
        <v>1.5700193459765175E-4</v>
      </c>
      <c r="E83" s="10" t="s">
        <v>7</v>
      </c>
      <c r="F83" s="10" t="s">
        <v>24</v>
      </c>
      <c r="G83" s="10" t="s">
        <v>25</v>
      </c>
      <c r="J83" s="10" t="s">
        <v>256</v>
      </c>
    </row>
    <row r="84" spans="1:10" x14ac:dyDescent="0.35">
      <c r="A84" s="10" t="s">
        <v>77</v>
      </c>
      <c r="B84" s="10" t="s">
        <v>78</v>
      </c>
      <c r="C84" s="10" t="s">
        <v>23</v>
      </c>
      <c r="D84" s="16">
        <v>8.155944654423467E-6</v>
      </c>
      <c r="E84" s="10" t="s">
        <v>7</v>
      </c>
      <c r="F84" s="10" t="s">
        <v>24</v>
      </c>
      <c r="G84" s="10" t="s">
        <v>25</v>
      </c>
      <c r="J84" s="10" t="s">
        <v>256</v>
      </c>
    </row>
    <row r="85" spans="1:10" x14ac:dyDescent="0.35">
      <c r="A85" s="10" t="s">
        <v>301</v>
      </c>
      <c r="B85" s="10" t="s">
        <v>302</v>
      </c>
      <c r="C85" s="10" t="s">
        <v>290</v>
      </c>
      <c r="D85" s="16">
        <v>6.5043658619027157E-4</v>
      </c>
      <c r="E85" s="10" t="s">
        <v>7</v>
      </c>
      <c r="F85" s="10" t="s">
        <v>24</v>
      </c>
      <c r="G85" s="10" t="s">
        <v>25</v>
      </c>
      <c r="J85" s="10" t="s">
        <v>256</v>
      </c>
    </row>
    <row r="86" spans="1:10" x14ac:dyDescent="0.35">
      <c r="A86" s="10" t="s">
        <v>303</v>
      </c>
      <c r="B86" s="10" t="s">
        <v>304</v>
      </c>
      <c r="C86" s="10" t="s">
        <v>30</v>
      </c>
      <c r="D86" s="16">
        <v>2.8545806290482133E-5</v>
      </c>
      <c r="E86" s="10" t="s">
        <v>7</v>
      </c>
      <c r="F86" s="10" t="s">
        <v>24</v>
      </c>
      <c r="G86" s="10" t="s">
        <v>25</v>
      </c>
      <c r="J86" s="10" t="s">
        <v>256</v>
      </c>
    </row>
    <row r="87" spans="1:10" x14ac:dyDescent="0.35">
      <c r="A87" s="10" t="s">
        <v>305</v>
      </c>
      <c r="B87" s="10" t="s">
        <v>78</v>
      </c>
      <c r="C87" s="10" t="s">
        <v>23</v>
      </c>
      <c r="D87" s="16">
        <v>2.0797658868779848E-4</v>
      </c>
      <c r="E87" s="10" t="s">
        <v>7</v>
      </c>
      <c r="F87" s="10" t="s">
        <v>24</v>
      </c>
      <c r="G87" s="10" t="s">
        <v>25</v>
      </c>
      <c r="J87" s="10" t="s">
        <v>256</v>
      </c>
    </row>
    <row r="88" spans="1:10" x14ac:dyDescent="0.35">
      <c r="A88" s="10" t="s">
        <v>240</v>
      </c>
      <c r="B88" s="10" t="s">
        <v>241</v>
      </c>
      <c r="C88" s="10" t="s">
        <v>23</v>
      </c>
      <c r="D88" s="16">
        <v>2.6506820126876275E-5</v>
      </c>
      <c r="E88" s="10" t="s">
        <v>7</v>
      </c>
      <c r="F88" s="10" t="s">
        <v>24</v>
      </c>
      <c r="G88" s="10" t="s">
        <v>25</v>
      </c>
      <c r="J88" s="10" t="s">
        <v>256</v>
      </c>
    </row>
    <row r="89" spans="1:10" x14ac:dyDescent="0.35">
      <c r="A89" s="10" t="s">
        <v>240</v>
      </c>
      <c r="B89" s="10" t="s">
        <v>241</v>
      </c>
      <c r="C89" s="10" t="s">
        <v>23</v>
      </c>
      <c r="D89" s="16">
        <v>2.242884779966453E-5</v>
      </c>
      <c r="E89" s="10" t="s">
        <v>7</v>
      </c>
      <c r="F89" s="10" t="s">
        <v>24</v>
      </c>
      <c r="G89" s="10" t="s">
        <v>25</v>
      </c>
      <c r="J89" s="10" t="s">
        <v>256</v>
      </c>
    </row>
    <row r="90" spans="1:10" x14ac:dyDescent="0.35">
      <c r="A90" s="10" t="s">
        <v>306</v>
      </c>
      <c r="B90" s="10" t="s">
        <v>307</v>
      </c>
      <c r="C90" s="10" t="s">
        <v>23</v>
      </c>
      <c r="D90" s="16">
        <v>2.4467833963270401E-5</v>
      </c>
      <c r="E90" s="10" t="s">
        <v>7</v>
      </c>
      <c r="F90" s="10" t="s">
        <v>24</v>
      </c>
      <c r="G90" s="10" t="s">
        <v>25</v>
      </c>
      <c r="J90" s="10" t="s">
        <v>256</v>
      </c>
    </row>
    <row r="91" spans="1:10" x14ac:dyDescent="0.35">
      <c r="A91" s="10" t="s">
        <v>308</v>
      </c>
      <c r="B91" s="10" t="s">
        <v>309</v>
      </c>
      <c r="C91" s="10" t="s">
        <v>290</v>
      </c>
      <c r="D91" s="16">
        <v>8.155944654423467E-6</v>
      </c>
      <c r="E91" s="10" t="s">
        <v>7</v>
      </c>
      <c r="F91" s="10" t="s">
        <v>24</v>
      </c>
      <c r="G91" s="10" t="s">
        <v>25</v>
      </c>
      <c r="J91" s="10" t="s">
        <v>256</v>
      </c>
    </row>
    <row r="92" spans="1:10" x14ac:dyDescent="0.35">
      <c r="A92" s="10" t="s">
        <v>262</v>
      </c>
      <c r="B92" s="10" t="s">
        <v>263</v>
      </c>
      <c r="C92" s="10" t="s">
        <v>23</v>
      </c>
      <c r="D92" s="16">
        <v>2.8749704906842733E-4</v>
      </c>
      <c r="E92" s="10" t="s">
        <v>7</v>
      </c>
      <c r="F92" s="10" t="s">
        <v>24</v>
      </c>
      <c r="G92" s="10" t="s">
        <v>25</v>
      </c>
      <c r="J92" s="10" t="s">
        <v>256</v>
      </c>
    </row>
    <row r="93" spans="1:10" x14ac:dyDescent="0.35">
      <c r="A93" s="10" t="s">
        <v>209</v>
      </c>
      <c r="B93" s="10" t="s">
        <v>210</v>
      </c>
      <c r="C93" s="10" t="s">
        <v>30</v>
      </c>
      <c r="D93" s="16">
        <v>1.4272903145241068E-4</v>
      </c>
      <c r="E93" s="10" t="s">
        <v>7</v>
      </c>
      <c r="F93" s="10" t="s">
        <v>24</v>
      </c>
      <c r="G93" s="10" t="s">
        <v>25</v>
      </c>
      <c r="J93" s="10" t="s">
        <v>256</v>
      </c>
    </row>
    <row r="94" spans="1:10" x14ac:dyDescent="0.35">
      <c r="A94" s="10" t="s">
        <v>211</v>
      </c>
      <c r="B94" s="10" t="s">
        <v>212</v>
      </c>
      <c r="C94" s="10" t="s">
        <v>290</v>
      </c>
      <c r="D94" s="16">
        <v>5.7091612580964266E-5</v>
      </c>
      <c r="E94" s="10" t="s">
        <v>7</v>
      </c>
      <c r="F94" s="10" t="s">
        <v>24</v>
      </c>
      <c r="G94" s="10" t="s">
        <v>25</v>
      </c>
      <c r="J94" s="10" t="s">
        <v>256</v>
      </c>
    </row>
    <row r="95" spans="1:10" x14ac:dyDescent="0.35">
      <c r="A95" s="10" t="s">
        <v>77</v>
      </c>
      <c r="B95" s="10" t="s">
        <v>78</v>
      </c>
      <c r="C95" s="10" t="s">
        <v>23</v>
      </c>
      <c r="D95" s="16">
        <v>3.2623778617693871E-4</v>
      </c>
      <c r="E95" s="10" t="s">
        <v>7</v>
      </c>
      <c r="F95" s="10" t="s">
        <v>24</v>
      </c>
      <c r="G95" s="10" t="s">
        <v>25</v>
      </c>
      <c r="J95" s="10" t="s">
        <v>256</v>
      </c>
    </row>
    <row r="96" spans="1:10" x14ac:dyDescent="0.35">
      <c r="A96" s="10" t="s">
        <v>310</v>
      </c>
      <c r="B96" s="10" t="s">
        <v>311</v>
      </c>
      <c r="C96" s="10" t="s">
        <v>23</v>
      </c>
      <c r="D96" s="16">
        <v>2.2024910039400287E-5</v>
      </c>
      <c r="E96" s="10" t="s">
        <v>7</v>
      </c>
      <c r="F96" s="10" t="s">
        <v>24</v>
      </c>
      <c r="G96" s="10" t="s">
        <v>25</v>
      </c>
      <c r="J96" s="10" t="s">
        <v>256</v>
      </c>
    </row>
    <row r="97" spans="1:10" x14ac:dyDescent="0.35">
      <c r="A97" s="10" t="s">
        <v>312</v>
      </c>
      <c r="B97" s="10" t="s">
        <v>313</v>
      </c>
      <c r="C97" s="10" t="s">
        <v>290</v>
      </c>
      <c r="D97" s="16">
        <v>1.5700193459765171E-5</v>
      </c>
      <c r="E97" s="10" t="s">
        <v>7</v>
      </c>
      <c r="F97" s="10" t="s">
        <v>24</v>
      </c>
      <c r="G97" s="10" t="s">
        <v>25</v>
      </c>
      <c r="J97" s="10" t="s">
        <v>256</v>
      </c>
    </row>
    <row r="98" spans="1:10" x14ac:dyDescent="0.35">
      <c r="A98" s="10" t="s">
        <v>314</v>
      </c>
      <c r="B98" s="10" t="s">
        <v>315</v>
      </c>
      <c r="C98" s="10" t="s">
        <v>23</v>
      </c>
      <c r="D98" s="16">
        <v>2.2024910039400287E-5</v>
      </c>
      <c r="E98" s="10" t="s">
        <v>7</v>
      </c>
      <c r="F98" s="10" t="s">
        <v>24</v>
      </c>
      <c r="G98" s="10" t="s">
        <v>25</v>
      </c>
      <c r="J98" s="10" t="s">
        <v>256</v>
      </c>
    </row>
    <row r="99" spans="1:10" x14ac:dyDescent="0.35">
      <c r="A99" s="10" t="s">
        <v>316</v>
      </c>
      <c r="B99" s="10" t="s">
        <v>317</v>
      </c>
      <c r="C99" s="10" t="s">
        <v>290</v>
      </c>
      <c r="D99" s="16">
        <v>1.1452705009291912E-3</v>
      </c>
      <c r="E99" s="10" t="s">
        <v>7</v>
      </c>
      <c r="F99" s="10" t="s">
        <v>24</v>
      </c>
      <c r="G99" s="10" t="s">
        <v>25</v>
      </c>
      <c r="J99" s="10" t="s">
        <v>256</v>
      </c>
    </row>
    <row r="100" spans="1:10" x14ac:dyDescent="0.35">
      <c r="A100" s="10" t="s">
        <v>187</v>
      </c>
      <c r="B100" s="10" t="s">
        <v>188</v>
      </c>
      <c r="C100" s="10" t="s">
        <v>30</v>
      </c>
      <c r="D100" s="16">
        <v>-1.0174540956393278E-6</v>
      </c>
      <c r="E100" s="10" t="s">
        <v>7</v>
      </c>
      <c r="F100" s="10" t="s">
        <v>24</v>
      </c>
      <c r="G100" s="10" t="s">
        <v>25</v>
      </c>
      <c r="J100" s="10" t="s">
        <v>256</v>
      </c>
    </row>
    <row r="101" spans="1:10" x14ac:dyDescent="0.35">
      <c r="A101" s="10" t="s">
        <v>318</v>
      </c>
      <c r="B101" s="10" t="s">
        <v>319</v>
      </c>
      <c r="C101" s="10" t="s">
        <v>261</v>
      </c>
      <c r="D101" s="43">
        <v>2.1939491120399101E-7</v>
      </c>
      <c r="E101" s="10" t="s">
        <v>7</v>
      </c>
      <c r="F101" s="10" t="s">
        <v>24</v>
      </c>
      <c r="G101" s="10" t="s">
        <v>25</v>
      </c>
      <c r="J101" s="10" t="s">
        <v>256</v>
      </c>
    </row>
    <row r="102" spans="1:10" x14ac:dyDescent="0.35">
      <c r="A102" s="10" t="s">
        <v>320</v>
      </c>
      <c r="B102" s="10" t="s">
        <v>321</v>
      </c>
      <c r="C102" s="10" t="s">
        <v>261</v>
      </c>
      <c r="D102" s="43">
        <v>3.0258554667911099E-6</v>
      </c>
      <c r="E102" s="10" t="s">
        <v>7</v>
      </c>
      <c r="F102" s="10" t="s">
        <v>24</v>
      </c>
      <c r="G102" s="10" t="s">
        <v>25</v>
      </c>
      <c r="J102" s="10" t="s">
        <v>256</v>
      </c>
    </row>
    <row r="103" spans="1:10" x14ac:dyDescent="0.35">
      <c r="A103" s="10" t="s">
        <v>322</v>
      </c>
      <c r="B103" s="10" t="s">
        <v>323</v>
      </c>
      <c r="C103" s="10" t="s">
        <v>23</v>
      </c>
      <c r="D103" s="16">
        <v>-1.3742766742703545E-6</v>
      </c>
      <c r="E103" s="10" t="s">
        <v>7</v>
      </c>
      <c r="F103" s="10" t="s">
        <v>24</v>
      </c>
      <c r="G103" s="10" t="s">
        <v>25</v>
      </c>
      <c r="J103" s="10" t="s">
        <v>256</v>
      </c>
    </row>
    <row r="104" spans="1:10" x14ac:dyDescent="0.35">
      <c r="A104" s="10" t="s">
        <v>324</v>
      </c>
      <c r="B104" s="10" t="s">
        <v>274</v>
      </c>
      <c r="C104" s="10" t="s">
        <v>261</v>
      </c>
      <c r="D104" s="16">
        <v>-4.2410912203002043E-7</v>
      </c>
      <c r="E104" s="10" t="s">
        <v>7</v>
      </c>
      <c r="F104" s="10" t="s">
        <v>24</v>
      </c>
      <c r="G104" s="10" t="s">
        <v>25</v>
      </c>
      <c r="J104" s="10" t="s">
        <v>256</v>
      </c>
    </row>
    <row r="105" spans="1:10" x14ac:dyDescent="0.35">
      <c r="A105" s="10" t="s">
        <v>325</v>
      </c>
      <c r="B105" s="10" t="s">
        <v>326</v>
      </c>
      <c r="C105" s="10" t="s">
        <v>30</v>
      </c>
      <c r="D105" s="16">
        <v>-1.8350875472452799E-9</v>
      </c>
      <c r="E105" s="10" t="s">
        <v>7</v>
      </c>
      <c r="F105" s="10" t="s">
        <v>24</v>
      </c>
      <c r="G105" s="10" t="s">
        <v>25</v>
      </c>
      <c r="J105" s="10" t="s">
        <v>256</v>
      </c>
    </row>
    <row r="106" spans="1:10" x14ac:dyDescent="0.35">
      <c r="A106" s="10" t="s">
        <v>327</v>
      </c>
      <c r="B106" s="10" t="s">
        <v>328</v>
      </c>
      <c r="C106" s="10" t="s">
        <v>23</v>
      </c>
      <c r="D106" s="16">
        <v>-6.4839760002666608E-9</v>
      </c>
      <c r="E106" s="10" t="s">
        <v>7</v>
      </c>
      <c r="F106" s="10" t="s">
        <v>24</v>
      </c>
      <c r="G106" s="10" t="s">
        <v>25</v>
      </c>
      <c r="J106" s="10" t="s">
        <v>256</v>
      </c>
    </row>
    <row r="107" spans="1:10" x14ac:dyDescent="0.35">
      <c r="A107" s="10" t="s">
        <v>329</v>
      </c>
      <c r="B107" s="10" t="s">
        <v>330</v>
      </c>
      <c r="C107" s="10" t="s">
        <v>30</v>
      </c>
      <c r="D107" s="16">
        <v>-1.7535281007010451E-9</v>
      </c>
      <c r="E107" s="10" t="s">
        <v>7</v>
      </c>
      <c r="F107" s="10" t="s">
        <v>24</v>
      </c>
      <c r="G107" s="10" t="s">
        <v>25</v>
      </c>
      <c r="J107" s="10" t="s">
        <v>256</v>
      </c>
    </row>
    <row r="108" spans="1:10" x14ac:dyDescent="0.35">
      <c r="A108" s="10" t="s">
        <v>331</v>
      </c>
      <c r="B108" s="10" t="s">
        <v>332</v>
      </c>
      <c r="C108" s="10" t="s">
        <v>23</v>
      </c>
      <c r="D108" s="16">
        <v>-1.8350875472452799E-9</v>
      </c>
      <c r="E108" s="10" t="s">
        <v>7</v>
      </c>
      <c r="F108" s="10" t="s">
        <v>24</v>
      </c>
      <c r="G108" s="10" t="s">
        <v>25</v>
      </c>
      <c r="J108" s="10" t="s">
        <v>256</v>
      </c>
    </row>
    <row r="109" spans="1:10" x14ac:dyDescent="0.35">
      <c r="A109" s="10" t="s">
        <v>333</v>
      </c>
      <c r="B109" s="10" t="s">
        <v>334</v>
      </c>
      <c r="C109" s="10" t="s">
        <v>261</v>
      </c>
      <c r="D109" s="16">
        <v>-1.9716996202068738E-6</v>
      </c>
      <c r="E109" s="10" t="s">
        <v>7</v>
      </c>
      <c r="F109" s="10" t="s">
        <v>24</v>
      </c>
      <c r="G109" s="10" t="s">
        <v>25</v>
      </c>
      <c r="J109" s="10" t="s">
        <v>256</v>
      </c>
    </row>
    <row r="110" spans="1:10" x14ac:dyDescent="0.35">
      <c r="A110" s="10" t="s">
        <v>324</v>
      </c>
      <c r="B110" s="10" t="s">
        <v>274</v>
      </c>
      <c r="C110" s="10" t="s">
        <v>261</v>
      </c>
      <c r="D110" s="16">
        <v>-4.3613914039529491E-7</v>
      </c>
      <c r="E110" s="10" t="s">
        <v>7</v>
      </c>
      <c r="F110" s="10" t="s">
        <v>24</v>
      </c>
      <c r="G110" s="10" t="s">
        <v>25</v>
      </c>
      <c r="J110" s="10" t="s">
        <v>256</v>
      </c>
    </row>
    <row r="111" spans="1:10" x14ac:dyDescent="0.35">
      <c r="A111" s="10" t="s">
        <v>335</v>
      </c>
      <c r="B111" s="10" t="s">
        <v>127</v>
      </c>
      <c r="C111" s="10" t="s">
        <v>30</v>
      </c>
      <c r="D111" s="16">
        <v>-1.3192240478529959E-8</v>
      </c>
      <c r="E111" s="10" t="s">
        <v>7</v>
      </c>
      <c r="F111" s="10" t="s">
        <v>24</v>
      </c>
      <c r="G111" s="10" t="s">
        <v>25</v>
      </c>
      <c r="J111" s="10" t="s">
        <v>256</v>
      </c>
    </row>
    <row r="112" spans="1:10" x14ac:dyDescent="0.35">
      <c r="A112" s="10" t="s">
        <v>81</v>
      </c>
      <c r="B112" s="10" t="s">
        <v>82</v>
      </c>
      <c r="C112" s="10" t="s">
        <v>290</v>
      </c>
      <c r="D112" s="16">
        <v>-1.6311889308846941E-9</v>
      </c>
      <c r="E112" s="10" t="s">
        <v>7</v>
      </c>
      <c r="F112" s="10" t="s">
        <v>24</v>
      </c>
      <c r="G112" s="10" t="s">
        <v>25</v>
      </c>
      <c r="J112" s="10" t="s">
        <v>256</v>
      </c>
    </row>
    <row r="113" spans="1:10" s="15" customFormat="1" x14ac:dyDescent="0.35">
      <c r="A113" s="15" t="s">
        <v>96</v>
      </c>
      <c r="B113" s="15" t="s">
        <v>97</v>
      </c>
      <c r="C113" s="15" t="s">
        <v>290</v>
      </c>
      <c r="D113" s="16">
        <v>-0.35441193526726517</v>
      </c>
      <c r="E113" s="15" t="s">
        <v>7</v>
      </c>
      <c r="F113" s="15" t="s">
        <v>24</v>
      </c>
      <c r="G113" s="15" t="s">
        <v>25</v>
      </c>
    </row>
    <row r="114" spans="1:10" s="15" customFormat="1" x14ac:dyDescent="0.35">
      <c r="A114" s="15" t="s">
        <v>336</v>
      </c>
      <c r="B114" s="15" t="s">
        <v>337</v>
      </c>
      <c r="C114" s="15" t="s">
        <v>290</v>
      </c>
      <c r="D114" s="16">
        <v>-2.4437842138101677E-2</v>
      </c>
      <c r="E114" s="15" t="s">
        <v>7</v>
      </c>
      <c r="F114" s="15" t="s">
        <v>24</v>
      </c>
      <c r="G114" s="15" t="s">
        <v>25</v>
      </c>
    </row>
    <row r="115" spans="1:10" s="15" customFormat="1" x14ac:dyDescent="0.35">
      <c r="A115" s="15" t="s">
        <v>257</v>
      </c>
      <c r="B115" s="15" t="s">
        <v>258</v>
      </c>
      <c r="C115" s="15" t="s">
        <v>255</v>
      </c>
      <c r="D115" s="16">
        <v>-3.5265163863177282E-2</v>
      </c>
      <c r="E115" s="15" t="s">
        <v>38</v>
      </c>
      <c r="F115" s="15" t="s">
        <v>24</v>
      </c>
      <c r="G115" s="15" t="s">
        <v>25</v>
      </c>
    </row>
    <row r="116" spans="1:10" s="15" customFormat="1" x14ac:dyDescent="0.35">
      <c r="A116" s="15" t="s">
        <v>259</v>
      </c>
      <c r="B116" s="15" t="s">
        <v>260</v>
      </c>
      <c r="C116" s="15" t="s">
        <v>30</v>
      </c>
      <c r="D116" s="16">
        <v>-2.6363187380626957E-2</v>
      </c>
      <c r="E116" s="15" t="s">
        <v>35</v>
      </c>
      <c r="F116" s="15" t="s">
        <v>24</v>
      </c>
      <c r="G116" s="15" t="s">
        <v>25</v>
      </c>
      <c r="J116" s="15" t="s">
        <v>256</v>
      </c>
    </row>
    <row r="117" spans="1:10" x14ac:dyDescent="0.35">
      <c r="A117" s="10" t="s">
        <v>363</v>
      </c>
      <c r="D117" s="16">
        <v>0.14769600174695466</v>
      </c>
      <c r="E117" s="10" t="s">
        <v>39</v>
      </c>
      <c r="F117" s="10" t="s">
        <v>41</v>
      </c>
      <c r="G117" s="10" t="s">
        <v>42</v>
      </c>
      <c r="H117" s="10" t="s">
        <v>281</v>
      </c>
      <c r="J117" s="10" t="s">
        <v>256</v>
      </c>
    </row>
    <row r="118" spans="1:10" x14ac:dyDescent="0.35">
      <c r="A118" s="10" t="s">
        <v>67</v>
      </c>
      <c r="D118" s="16">
        <v>1.7575878211441431E-6</v>
      </c>
      <c r="E118" s="10" t="s">
        <v>7</v>
      </c>
      <c r="F118" s="10" t="s">
        <v>41</v>
      </c>
      <c r="G118" s="10" t="s">
        <v>42</v>
      </c>
      <c r="H118" s="10" t="s">
        <v>62</v>
      </c>
      <c r="J118" s="10" t="s">
        <v>256</v>
      </c>
    </row>
    <row r="119" spans="1:10" x14ac:dyDescent="0.35">
      <c r="A119" s="10" t="s">
        <v>71</v>
      </c>
      <c r="D119" s="16">
        <v>3.7925142643069126E-7</v>
      </c>
      <c r="E119" s="10" t="s">
        <v>7</v>
      </c>
      <c r="F119" s="10" t="s">
        <v>41</v>
      </c>
      <c r="G119" s="10" t="s">
        <v>42</v>
      </c>
      <c r="H119" s="10" t="s">
        <v>62</v>
      </c>
      <c r="J119" s="10" t="s">
        <v>256</v>
      </c>
    </row>
    <row r="120" spans="1:10" x14ac:dyDescent="0.35">
      <c r="A120" s="10" t="s">
        <v>58</v>
      </c>
      <c r="D120" s="16">
        <v>1.2330815887607895E-7</v>
      </c>
      <c r="E120" s="10" t="s">
        <v>7</v>
      </c>
      <c r="F120" s="10" t="s">
        <v>41</v>
      </c>
      <c r="G120" s="10" t="s">
        <v>42</v>
      </c>
      <c r="H120" s="10" t="s">
        <v>62</v>
      </c>
      <c r="J120" s="10" t="s">
        <v>256</v>
      </c>
    </row>
    <row r="121" spans="1:10" x14ac:dyDescent="0.35">
      <c r="A121" s="10" t="s">
        <v>73</v>
      </c>
      <c r="D121" s="16">
        <v>1.4674738460043735E-8</v>
      </c>
      <c r="E121" s="10" t="s">
        <v>7</v>
      </c>
      <c r="F121" s="10" t="s">
        <v>41</v>
      </c>
      <c r="G121" s="10" t="s">
        <v>42</v>
      </c>
      <c r="H121" s="10" t="s">
        <v>62</v>
      </c>
      <c r="J121" s="10" t="s">
        <v>256</v>
      </c>
    </row>
    <row r="122" spans="1:10" x14ac:dyDescent="0.35">
      <c r="A122" s="10" t="s">
        <v>59</v>
      </c>
      <c r="D122" s="16">
        <v>1.8350875472452799E-8</v>
      </c>
      <c r="E122" s="10" t="s">
        <v>7</v>
      </c>
      <c r="F122" s="10" t="s">
        <v>41</v>
      </c>
      <c r="G122" s="10" t="s">
        <v>42</v>
      </c>
      <c r="H122" s="10" t="s">
        <v>62</v>
      </c>
      <c r="J122" s="10" t="s">
        <v>256</v>
      </c>
    </row>
    <row r="123" spans="1:10" x14ac:dyDescent="0.35">
      <c r="A123" s="10" t="s">
        <v>72</v>
      </c>
      <c r="D123" s="16">
        <v>1.0987969334690792E-7</v>
      </c>
      <c r="E123" s="10" t="s">
        <v>7</v>
      </c>
      <c r="F123" s="10" t="s">
        <v>41</v>
      </c>
      <c r="G123" s="10" t="s">
        <v>42</v>
      </c>
      <c r="H123" s="10" t="s">
        <v>62</v>
      </c>
      <c r="J123" s="10" t="s">
        <v>256</v>
      </c>
    </row>
    <row r="124" spans="1:10" x14ac:dyDescent="0.35">
      <c r="A124" s="10" t="s">
        <v>66</v>
      </c>
      <c r="D124" s="16">
        <v>3.8352235876660341E-6</v>
      </c>
      <c r="E124" s="10" t="s">
        <v>7</v>
      </c>
      <c r="F124" s="10" t="s">
        <v>41</v>
      </c>
      <c r="G124" s="10" t="s">
        <v>42</v>
      </c>
      <c r="H124" s="10" t="s">
        <v>62</v>
      </c>
      <c r="J124" s="10" t="s">
        <v>256</v>
      </c>
    </row>
    <row r="125" spans="1:10" x14ac:dyDescent="0.35">
      <c r="A125" s="10" t="s">
        <v>338</v>
      </c>
      <c r="D125" s="16">
        <v>4.7916174844737871E-13</v>
      </c>
      <c r="E125" s="10" t="s">
        <v>7</v>
      </c>
      <c r="F125" s="10" t="s">
        <v>41</v>
      </c>
      <c r="G125" s="10" t="s">
        <v>42</v>
      </c>
      <c r="H125" s="10" t="s">
        <v>56</v>
      </c>
      <c r="J125" s="10" t="s">
        <v>256</v>
      </c>
    </row>
    <row r="126" spans="1:10" x14ac:dyDescent="0.35">
      <c r="A126" s="10" t="s">
        <v>55</v>
      </c>
      <c r="D126" s="16">
        <v>5.8849284201592314E-3</v>
      </c>
      <c r="E126" s="10" t="s">
        <v>7</v>
      </c>
      <c r="F126" s="10" t="s">
        <v>41</v>
      </c>
      <c r="G126" s="10" t="s">
        <v>42</v>
      </c>
      <c r="H126" s="10" t="s">
        <v>56</v>
      </c>
      <c r="J126" s="10" t="s">
        <v>256</v>
      </c>
    </row>
    <row r="127" spans="1:10" x14ac:dyDescent="0.35">
      <c r="A127" s="10" t="s">
        <v>67</v>
      </c>
      <c r="D127" s="16">
        <v>1.4683273359600184E-6</v>
      </c>
      <c r="E127" s="10" t="s">
        <v>7</v>
      </c>
      <c r="F127" s="10" t="s">
        <v>41</v>
      </c>
      <c r="G127" s="10" t="s">
        <v>42</v>
      </c>
      <c r="H127" s="10" t="s">
        <v>56</v>
      </c>
      <c r="J127" s="10" t="s">
        <v>256</v>
      </c>
    </row>
    <row r="128" spans="1:10" x14ac:dyDescent="0.35">
      <c r="A128" s="10" t="s">
        <v>66</v>
      </c>
      <c r="D128" s="16">
        <v>2.8963299592191567E-6</v>
      </c>
      <c r="E128" s="10" t="s">
        <v>7</v>
      </c>
      <c r="F128" s="10" t="s">
        <v>41</v>
      </c>
      <c r="G128" s="10" t="s">
        <v>42</v>
      </c>
      <c r="H128" s="10" t="s">
        <v>56</v>
      </c>
      <c r="J128" s="10" t="s">
        <v>256</v>
      </c>
    </row>
    <row r="129" spans="1:14" x14ac:dyDescent="0.35">
      <c r="A129" s="10" t="s">
        <v>73</v>
      </c>
      <c r="D129" s="16">
        <v>1.9308866394794379E-8</v>
      </c>
      <c r="E129" s="10" t="s">
        <v>7</v>
      </c>
      <c r="F129" s="10" t="s">
        <v>41</v>
      </c>
      <c r="G129" s="10" t="s">
        <v>42</v>
      </c>
      <c r="H129" s="10" t="s">
        <v>56</v>
      </c>
      <c r="J129" s="10" t="s">
        <v>256</v>
      </c>
    </row>
    <row r="130" spans="1:14" x14ac:dyDescent="0.35">
      <c r="A130" s="10" t="s">
        <v>71</v>
      </c>
      <c r="D130" s="16">
        <v>4.6896681762934955E-7</v>
      </c>
      <c r="E130" s="10" t="s">
        <v>7</v>
      </c>
      <c r="F130" s="10" t="s">
        <v>41</v>
      </c>
      <c r="G130" s="10" t="s">
        <v>42</v>
      </c>
      <c r="H130" s="10" t="s">
        <v>56</v>
      </c>
      <c r="J130" s="10" t="s">
        <v>256</v>
      </c>
    </row>
    <row r="131" spans="1:14" x14ac:dyDescent="0.35">
      <c r="A131" s="10" t="s">
        <v>59</v>
      </c>
      <c r="D131" s="16">
        <v>4.6896681762934951E-8</v>
      </c>
      <c r="E131" s="10" t="s">
        <v>7</v>
      </c>
      <c r="F131" s="10" t="s">
        <v>41</v>
      </c>
      <c r="G131" s="10" t="s">
        <v>42</v>
      </c>
      <c r="H131" s="10" t="s">
        <v>56</v>
      </c>
      <c r="J131" s="10" t="s">
        <v>256</v>
      </c>
    </row>
    <row r="132" spans="1:14" x14ac:dyDescent="0.35">
      <c r="A132" s="10" t="s">
        <v>58</v>
      </c>
      <c r="D132" s="16">
        <v>7.8195417823854946E-7</v>
      </c>
      <c r="E132" s="10" t="s">
        <v>7</v>
      </c>
      <c r="F132" s="10" t="s">
        <v>41</v>
      </c>
      <c r="G132" s="10" t="s">
        <v>42</v>
      </c>
      <c r="H132" s="10" t="s">
        <v>56</v>
      </c>
      <c r="J132" s="10" t="s">
        <v>256</v>
      </c>
    </row>
    <row r="133" spans="1:14" s="12" customFormat="1" x14ac:dyDescent="0.35"/>
    <row r="134" spans="1:14" x14ac:dyDescent="0.35">
      <c r="A134" s="9" t="s">
        <v>0</v>
      </c>
      <c r="B134" s="9" t="s">
        <v>340</v>
      </c>
    </row>
    <row r="135" spans="1:14" x14ac:dyDescent="0.35">
      <c r="A135" s="18" t="s">
        <v>1</v>
      </c>
      <c r="B135" s="10" t="s">
        <v>162</v>
      </c>
    </row>
    <row r="136" spans="1:14" x14ac:dyDescent="0.35">
      <c r="A136" s="18" t="s">
        <v>3</v>
      </c>
      <c r="B136" s="10" t="s">
        <v>255</v>
      </c>
    </row>
    <row r="137" spans="1:14" x14ac:dyDescent="0.35">
      <c r="A137" s="18" t="s">
        <v>5</v>
      </c>
      <c r="B137" s="10">
        <v>1</v>
      </c>
    </row>
    <row r="138" spans="1:14" x14ac:dyDescent="0.35">
      <c r="A138" s="18" t="s">
        <v>6</v>
      </c>
      <c r="B138" s="10" t="s">
        <v>7</v>
      </c>
    </row>
    <row r="139" spans="1:14" x14ac:dyDescent="0.35">
      <c r="A139" s="18" t="s">
        <v>8</v>
      </c>
      <c r="B139" s="16" t="s">
        <v>341</v>
      </c>
    </row>
    <row r="140" spans="1:14" x14ac:dyDescent="0.35">
      <c r="A140" s="18" t="s">
        <v>9</v>
      </c>
    </row>
    <row r="141" spans="1:14" x14ac:dyDescent="0.35">
      <c r="A141" s="9" t="s">
        <v>10</v>
      </c>
      <c r="B141" s="9" t="s">
        <v>1</v>
      </c>
      <c r="C141" s="9" t="s">
        <v>3</v>
      </c>
      <c r="D141" s="9" t="s">
        <v>5</v>
      </c>
      <c r="E141" s="9" t="s">
        <v>6</v>
      </c>
      <c r="F141" s="9" t="s">
        <v>11</v>
      </c>
      <c r="G141" s="9" t="s">
        <v>12</v>
      </c>
      <c r="H141" s="9" t="s">
        <v>13</v>
      </c>
      <c r="I141" s="9" t="s">
        <v>14</v>
      </c>
      <c r="J141" s="9" t="s">
        <v>15</v>
      </c>
      <c r="K141" s="9" t="s">
        <v>16</v>
      </c>
      <c r="L141" s="9" t="s">
        <v>17</v>
      </c>
      <c r="M141" s="9" t="s">
        <v>18</v>
      </c>
      <c r="N141" s="9" t="s">
        <v>19</v>
      </c>
    </row>
    <row r="142" spans="1:14" x14ac:dyDescent="0.35">
      <c r="A142" s="10" t="str">
        <f>B134</f>
        <v>Pb recovery from Cu ore mining in Sweden/Aitik and Cu production in Sweden/Rönnskärsverken</v>
      </c>
      <c r="B142" s="10" t="str">
        <f>B135</f>
        <v>Refined Pb</v>
      </c>
      <c r="C142" s="10" t="s">
        <v>255</v>
      </c>
      <c r="D142" s="10">
        <v>1</v>
      </c>
      <c r="E142" s="10" t="s">
        <v>7</v>
      </c>
      <c r="F142" s="11" t="str">
        <f>F60</f>
        <v>Lead</v>
      </c>
      <c r="G142" s="10" t="s">
        <v>20</v>
      </c>
    </row>
    <row r="143" spans="1:14" x14ac:dyDescent="0.35">
      <c r="A143" s="10" t="str">
        <f>A60</f>
        <v>[P+R] Refined Lead (Pb) production - Pyrometallurgy (Sweden)</v>
      </c>
      <c r="B143" s="10" t="str">
        <f>B60</f>
        <v>Refined Pb</v>
      </c>
      <c r="C143" s="10" t="str">
        <f>C60</f>
        <v>SE</v>
      </c>
      <c r="D143" s="10">
        <v>1</v>
      </c>
      <c r="E143" s="10" t="str">
        <f>E60</f>
        <v>kilogram</v>
      </c>
      <c r="F143" s="11" t="str">
        <f>F60</f>
        <v>Lead</v>
      </c>
      <c r="G143" s="10" t="s">
        <v>25</v>
      </c>
    </row>
    <row r="144" spans="1:14" x14ac:dyDescent="0.35">
      <c r="A144" s="10" t="str">
        <f>A9</f>
        <v>[M+C] Copper (Cu) ore mining and concentration (Sweden)</v>
      </c>
      <c r="B144" s="10" t="str">
        <f t="shared" ref="B144:F144" si="0">B9</f>
        <v>Cu concentrate</v>
      </c>
      <c r="C144" s="10" t="str">
        <f t="shared" si="0"/>
        <v>SE</v>
      </c>
      <c r="D144" s="16">
        <v>0.62523879518043091</v>
      </c>
      <c r="E144" s="10" t="str">
        <f t="shared" si="0"/>
        <v>kilogram</v>
      </c>
      <c r="F144" s="11" t="str">
        <f t="shared" si="0"/>
        <v>Lead</v>
      </c>
      <c r="G144" s="10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Props1.xml><?xml version="1.0" encoding="utf-8"?>
<ds:datastoreItem xmlns:ds="http://schemas.openxmlformats.org/officeDocument/2006/customXml" ds:itemID="{0C2C308C-DA06-4004-B941-7BF03EED63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032568-175A-46BA-93DB-E2343B2AD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906E57-5E5F-48B6-90EF-E5DAD810796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adc0c41a-12c1-4165-8422-5f5ca88e9f6a"/>
    <ds:schemaRef ds:uri="d78c010b-218d-4be4-b2d9-423b1f51aae5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Note</vt:lpstr>
      <vt:lpstr>Pb_Market_GLO</vt:lpstr>
      <vt:lpstr>PR1_Pb_CN_Jiangxi</vt:lpstr>
      <vt:lpstr>PR2_Pb_CN_South</vt:lpstr>
      <vt:lpstr>PR3_Pb_CN_Anhui_Recycling</vt:lpstr>
      <vt:lpstr>PR4_Pb_CN_Guangdong</vt:lpstr>
      <vt:lpstr>PR5_Pb_CN_Smelting</vt:lpstr>
      <vt:lpstr>PR6_Pb_RoW</vt:lpstr>
      <vt:lpstr>PR7_Pb_SE_Pyro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2025-07-04T15:16:15Z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