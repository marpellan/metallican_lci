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Tl_Thallium/"/>
    </mc:Choice>
  </mc:AlternateContent>
  <xr:revisionPtr revIDLastSave="58" documentId="11_DC60D303ED079BB909400979E7872CC3A6B14CC6" xr6:coauthVersionLast="47" xr6:coauthVersionMax="47" xr10:uidLastSave="{4E348016-60BE-4B50-A7BC-612F47E1A525}"/>
  <bookViews>
    <workbookView xWindow="-23148" yWindow="-108" windowWidth="23256" windowHeight="12576" xr2:uid="{00000000-000D-0000-FFFF-FFFF00000000}"/>
  </bookViews>
  <sheets>
    <sheet name="Note" sheetId="1" r:id="rId1"/>
    <sheet name="Tl_Market_GLO" sheetId="3" r:id="rId2"/>
    <sheet name="PR1_Tl_GL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12" i="3"/>
  <c r="D12" i="3"/>
  <c r="E12" i="3"/>
  <c r="A12" i="3"/>
  <c r="F12" i="3"/>
  <c r="B64" i="2"/>
  <c r="C64" i="2"/>
  <c r="D64" i="2"/>
  <c r="E64" i="2"/>
  <c r="F64" i="2"/>
  <c r="A64" i="2"/>
  <c r="F63" i="2"/>
  <c r="C63" i="2"/>
  <c r="B63" i="2"/>
  <c r="A63" i="2"/>
  <c r="F9" i="2"/>
  <c r="F11" i="3"/>
  <c r="E11" i="3"/>
  <c r="D11" i="3"/>
  <c r="C11" i="3"/>
  <c r="B11" i="3"/>
  <c r="A11" i="3"/>
  <c r="C9" i="2"/>
  <c r="B9" i="2"/>
  <c r="A9" i="2"/>
</calcChain>
</file>

<file path=xl/sharedStrings.xml><?xml version="1.0" encoding="utf-8"?>
<sst xmlns="http://schemas.openxmlformats.org/spreadsheetml/2006/main" count="359" uniqueCount="86">
  <si>
    <t>Activity</t>
  </si>
  <si>
    <t>[P+R] Thallium (Tl) production</t>
  </si>
  <si>
    <t>reference product</t>
  </si>
  <si>
    <t>Tl</t>
  </si>
  <si>
    <t>location</t>
  </si>
  <si>
    <t>GLO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</si>
  <si>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</si>
  <si>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</si>
  <si>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</si>
  <si>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</si>
  <si>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</si>
  <si>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</si>
  <si>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</si>
  <si>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</si>
  <si>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</si>
  <si>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</si>
  <si>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</si>
  <si>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</si>
  <si>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</si>
  <si>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</si>
  <si>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</si>
  <si>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</si>
  <si>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</si>
  <si>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technosphere</t>
  </si>
  <si>
    <t>(5,1,5,1,5)</t>
  </si>
  <si>
    <t>Carbon, organic, in soil or biomass stock</t>
  </si>
  <si>
    <t>biosphere3</t>
  </si>
  <si>
    <t>biosphere</t>
  </si>
  <si>
    <t>natural resource::in ground</t>
  </si>
  <si>
    <t>Occupation, arable land, unspecified use</t>
  </si>
  <si>
    <t>square meter-year</t>
  </si>
  <si>
    <t>natural resource::land</t>
  </si>
  <si>
    <t>Occupation, industrial area</t>
  </si>
  <si>
    <t>Transformation, from unspecified</t>
  </si>
  <si>
    <t>square meter</t>
  </si>
  <si>
    <t>Energy, gross calorific value, in biomass</t>
  </si>
  <si>
    <t>megajoule</t>
  </si>
  <si>
    <t>natural resource::biotic</t>
  </si>
  <si>
    <t>Coal, hard</t>
  </si>
  <si>
    <t>Uranium</t>
  </si>
  <si>
    <t>Iron</t>
  </si>
  <si>
    <t>Water, cooling, unspecified natural origin</t>
  </si>
  <si>
    <t>cubic meter</t>
  </si>
  <si>
    <t>natural resource::in water</t>
  </si>
  <si>
    <t>1,1,1-Trichloroethane</t>
  </si>
  <si>
    <t>air</t>
  </si>
  <si>
    <t>Arsenic ion</t>
  </si>
  <si>
    <t>Benzo(a)pyrene</t>
  </si>
  <si>
    <t>Benzene</t>
  </si>
  <si>
    <t>Lead II</t>
  </si>
  <si>
    <t>Cadmium II</t>
  </si>
  <si>
    <t>Hydrocarbons, chlorinated</t>
  </si>
  <si>
    <t>Ozone</t>
  </si>
  <si>
    <t>Phosphorus</t>
  </si>
  <si>
    <t>Carbon dioxide, fossil</t>
  </si>
  <si>
    <t>Sulfur dioxide</t>
  </si>
  <si>
    <t>Trichlorofluoromethane</t>
  </si>
  <si>
    <t>water</t>
  </si>
  <si>
    <t>BOD5, Biological Oxygen Demand</t>
  </si>
  <si>
    <t>Chloride</t>
  </si>
  <si>
    <t>Chromium III</t>
  </si>
  <si>
    <t>COD, Chemical Oxygen Demand</t>
  </si>
  <si>
    <t>Cyanide</t>
  </si>
  <si>
    <t>Fluoride</t>
  </si>
  <si>
    <t>Dichlorofluoromethane</t>
  </si>
  <si>
    <t>Copper ion</t>
  </si>
  <si>
    <t>Ammonium</t>
  </si>
  <si>
    <t>Nickel II</t>
  </si>
  <si>
    <t>Nitrate</t>
  </si>
  <si>
    <t>Tin ion</t>
  </si>
  <si>
    <t>TOC, Total Organic Carbon</t>
  </si>
  <si>
    <t>Phenol</t>
  </si>
  <si>
    <t>Polychlorinated biphenyls</t>
  </si>
  <si>
    <t>Mercury II</t>
  </si>
  <si>
    <t>Sulfate</t>
  </si>
  <si>
    <t>Phosphate</t>
  </si>
  <si>
    <t>Tl recovery from Zn production</t>
  </si>
  <si>
    <t>Thallium</t>
  </si>
  <si>
    <t>Thallium (Tl) global market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</si>
  <si>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</si>
  <si>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</si>
  <si>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</si>
  <si>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Thallium (Tl)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</si>
  <si>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Tl global market</t>
  </si>
  <si>
    <t>Tl_Market_GLO</t>
  </si>
  <si>
    <t>PR1_Tl_GLO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</si>
</sst>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4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5"/>
  <sheetViews>
    <sheetView showGridLines="0" tabSelected="1" topLeftCell="A18" zoomScaleNormal="100" workbookViewId="0">
      <selection activeCell="B35" sqref="B35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79</v>
      </c>
    </row>
    <row r="2" spans="1:17" ht="15" customHeight="1" x14ac:dyDescent="0.35">
      <c r="B2" s="13" t="s">
        <v>82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</row>
    <row r="3" spans="1:17" x14ac:dyDescent="0.35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8"/>
    </row>
    <row r="4" spans="1:17" x14ac:dyDescent="0.35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</row>
    <row r="5" spans="1:17" x14ac:dyDescent="0.35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1:17" x14ac:dyDescent="0.35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</row>
    <row r="7" spans="1:17" x14ac:dyDescent="0.35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</row>
    <row r="8" spans="1:17" x14ac:dyDescent="0.35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</row>
    <row r="9" spans="1:17" x14ac:dyDescent="0.35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</row>
    <row r="10" spans="1:17" x14ac:dyDescent="0.35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</row>
    <row r="11" spans="1:17" x14ac:dyDescent="0.35"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</row>
    <row r="12" spans="1:17" x14ac:dyDescent="0.35"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</row>
    <row r="13" spans="1:17" x14ac:dyDescent="0.35"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</row>
    <row r="14" spans="1:17" x14ac:dyDescent="0.35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</row>
    <row r="15" spans="1:17" x14ac:dyDescent="0.35"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</row>
    <row r="16" spans="1:17" x14ac:dyDescent="0.35"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</row>
    <row r="17" spans="2:17" x14ac:dyDescent="0.35"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</row>
    <row r="18" spans="2:17" x14ac:dyDescent="0.35"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8"/>
    </row>
    <row r="19" spans="2:17" x14ac:dyDescent="0.35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  <row r="20" spans="2:17" x14ac:dyDescent="0.35"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8"/>
    </row>
    <row r="21" spans="2:17" x14ac:dyDescent="0.35"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8"/>
    </row>
    <row r="22" spans="2:17" x14ac:dyDescent="0.35"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8"/>
    </row>
    <row r="23" spans="2:17" x14ac:dyDescent="0.35"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8"/>
    </row>
    <row r="24" spans="2:17" ht="15" customHeight="1" x14ac:dyDescent="0.35"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8"/>
    </row>
    <row r="25" spans="2:17" x14ac:dyDescent="0.35"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8"/>
    </row>
    <row r="26" spans="2:17" x14ac:dyDescent="0.35"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8"/>
    </row>
    <row r="27" spans="2:17" x14ac:dyDescent="0.35"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8"/>
    </row>
    <row r="28" spans="2:17" x14ac:dyDescent="0.35"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8"/>
    </row>
    <row r="29" spans="2:17" x14ac:dyDescent="0.35"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/>
    </row>
    <row r="30" spans="2:17" x14ac:dyDescent="0.35"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8"/>
    </row>
    <row r="31" spans="2:17" ht="15" thickBot="1" x14ac:dyDescent="0.4"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1"/>
    </row>
    <row r="32" spans="2:17" ht="15" thickBot="1" x14ac:dyDescent="0.4"/>
    <row r="33" spans="2:10" x14ac:dyDescent="0.35">
      <c r="B33" s="22" t="s">
        <v>80</v>
      </c>
      <c r="C33" s="23" t="s">
        <v>81</v>
      </c>
      <c r="D33" s="24"/>
      <c r="E33" s="24"/>
      <c r="F33" s="25"/>
      <c r="G33" s="26"/>
      <c r="H33" s="26"/>
      <c r="I33" s="26"/>
      <c r="J33" s="26"/>
    </row>
    <row r="34" spans="2:10" x14ac:dyDescent="0.35">
      <c r="B34" s="27" t="s">
        <v>84</v>
      </c>
      <c r="C34" s="1" t="s">
        <v>83</v>
      </c>
      <c r="D34" s="26"/>
      <c r="E34" s="26"/>
      <c r="F34" s="28"/>
      <c r="G34" s="26"/>
      <c r="H34" s="26"/>
      <c r="I34" s="26"/>
      <c r="J34" s="26"/>
    </row>
    <row r="35" spans="2:10" ht="15" thickBot="1" x14ac:dyDescent="0.4">
      <c r="B35" s="29" t="s">
        <v>85</v>
      </c>
      <c r="C35" s="30" t="s">
        <v>76</v>
      </c>
      <c r="D35" s="31"/>
      <c r="E35" s="31"/>
      <c r="F35" s="32"/>
      <c r="G35" s="26"/>
      <c r="H35" s="26"/>
      <c r="I35" s="26"/>
      <c r="J35" s="26"/>
    </row>
  </sheetData>
  <mergeCells count="1">
    <mergeCell ref="B2:Q31"/>
  </mergeCells>
  <hyperlinks>
    <hyperlink ref="B34" location="Tl_Market_GLO!A1" display="Tl_Market_GLO" xr:uid="{CFC202D6-EE55-4267-B222-210D04FF500F}"/>
    <hyperlink ref="B35" location="PR1_Tl_GLO!A1" display="PR1_Tl_GLO" xr:uid="{C01C0B54-AA26-4C9D-A07A-7E34710169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CA2D-FF49-4B09-B146-02D479ACE458}">
  <sheetPr>
    <tabColor theme="8" tint="0.39997558519241921"/>
  </sheetPr>
  <dimension ref="A1:N22"/>
  <sheetViews>
    <sheetView workbookViewId="0"/>
  </sheetViews>
  <sheetFormatPr baseColWidth="10" defaultRowHeight="14.5" x14ac:dyDescent="0.35"/>
  <cols>
    <col min="1" max="1" width="55.453125" customWidth="1"/>
    <col min="2" max="2" width="27" bestFit="1" customWidth="1"/>
    <col min="3" max="3" width="8.1796875" bestFit="1" customWidth="1"/>
    <col min="4" max="4" width="12" bestFit="1" customWidth="1"/>
    <col min="5" max="5" width="8.7265625" bestFit="1" customWidth="1"/>
    <col min="6" max="6" width="10.726562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13</v>
      </c>
      <c r="B1" s="6" t="s">
        <v>77</v>
      </c>
    </row>
    <row r="2" spans="1:14" s="7" customFormat="1" x14ac:dyDescent="0.35"/>
    <row r="3" spans="1:14" x14ac:dyDescent="0.35">
      <c r="A3" s="8" t="s">
        <v>0</v>
      </c>
      <c r="B3" s="8" t="s">
        <v>78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35">
      <c r="A4" s="10" t="s">
        <v>2</v>
      </c>
      <c r="B4" s="9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35">
      <c r="A5" s="10" t="s">
        <v>4</v>
      </c>
      <c r="B5" s="9" t="s">
        <v>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35">
      <c r="A6" s="10" t="s">
        <v>6</v>
      </c>
      <c r="B6" s="9">
        <v>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x14ac:dyDescent="0.35">
      <c r="A7" s="10" t="s">
        <v>7</v>
      </c>
      <c r="B7" s="9" t="s">
        <v>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x14ac:dyDescent="0.35">
      <c r="A8" s="10" t="s">
        <v>9</v>
      </c>
      <c r="B8" s="9" t="s">
        <v>10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x14ac:dyDescent="0.35">
      <c r="A9" s="10" t="s">
        <v>11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x14ac:dyDescent="0.35">
      <c r="A10" s="8" t="s">
        <v>12</v>
      </c>
      <c r="B10" s="8" t="s">
        <v>2</v>
      </c>
      <c r="C10" s="8" t="s">
        <v>4</v>
      </c>
      <c r="D10" s="8" t="s">
        <v>6</v>
      </c>
      <c r="E10" s="8" t="s">
        <v>7</v>
      </c>
      <c r="F10" s="8" t="s">
        <v>13</v>
      </c>
      <c r="G10" s="8" t="s">
        <v>14</v>
      </c>
      <c r="H10" s="8" t="s">
        <v>15</v>
      </c>
      <c r="I10" s="8" t="s">
        <v>16</v>
      </c>
      <c r="J10" s="8" t="s">
        <v>17</v>
      </c>
      <c r="K10" s="8" t="s">
        <v>18</v>
      </c>
      <c r="L10" s="8" t="s">
        <v>19</v>
      </c>
      <c r="M10" s="8" t="s">
        <v>20</v>
      </c>
      <c r="N10" s="8" t="s">
        <v>21</v>
      </c>
    </row>
    <row r="11" spans="1:14" x14ac:dyDescent="0.35">
      <c r="A11" t="str">
        <f>B3</f>
        <v>Thallium (Tl) global market</v>
      </c>
      <c r="B11" t="str">
        <f>B4</f>
        <v>Tl</v>
      </c>
      <c r="C11" t="str">
        <f>B5</f>
        <v>GLO</v>
      </c>
      <c r="D11" s="9">
        <f>B6</f>
        <v>1</v>
      </c>
      <c r="E11" s="9" t="str">
        <f>B7</f>
        <v>kilogram</v>
      </c>
      <c r="F11" s="6" t="str">
        <f>B1</f>
        <v>Thallium</v>
      </c>
      <c r="G11" s="9" t="s">
        <v>22</v>
      </c>
    </row>
    <row r="12" spans="1:14" s="9" customFormat="1" x14ac:dyDescent="0.35">
      <c r="A12" s="9" t="str">
        <f>PR1_Tl_GLO!A63</f>
        <v>Tl recovery from Zn production</v>
      </c>
      <c r="B12" s="9" t="str">
        <f>PR1_Tl_GLO!B63</f>
        <v>Tl</v>
      </c>
      <c r="C12" s="9" t="str">
        <f>PR1_Tl_GLO!C63</f>
        <v>GLO</v>
      </c>
      <c r="D12" s="9">
        <f>PR1_Tl_GLO!D63</f>
        <v>1</v>
      </c>
      <c r="E12" s="9" t="str">
        <f>PR1_Tl_GLO!E63</f>
        <v>kilogram</v>
      </c>
      <c r="F12" s="6" t="str">
        <f>PR1_Tl_GLO!F64</f>
        <v>Thallium</v>
      </c>
      <c r="G12" s="1" t="s">
        <v>23</v>
      </c>
    </row>
    <row r="13" spans="1:14" s="9" customFormat="1" x14ac:dyDescent="0.35">
      <c r="F13" s="6"/>
    </row>
    <row r="14" spans="1:14" s="9" customFormat="1" x14ac:dyDescent="0.35">
      <c r="F14" s="6"/>
    </row>
    <row r="15" spans="1:14" s="9" customFormat="1" x14ac:dyDescent="0.35">
      <c r="F15" s="6"/>
    </row>
    <row r="16" spans="1:14" s="9" customFormat="1" x14ac:dyDescent="0.35">
      <c r="F16" s="6"/>
    </row>
    <row r="17" spans="6:6" s="9" customFormat="1" x14ac:dyDescent="0.35">
      <c r="F17" s="6"/>
    </row>
    <row r="18" spans="6:6" s="9" customFormat="1" x14ac:dyDescent="0.35">
      <c r="F18" s="6"/>
    </row>
    <row r="19" spans="6:6" s="9" customFormat="1" x14ac:dyDescent="0.35">
      <c r="F19" s="6"/>
    </row>
    <row r="20" spans="6:6" s="9" customFormat="1" x14ac:dyDescent="0.35">
      <c r="F20" s="6"/>
    </row>
    <row r="21" spans="6:6" s="9" customFormat="1" x14ac:dyDescent="0.35">
      <c r="F21" s="6"/>
    </row>
    <row r="22" spans="6:6" s="9" customFormat="1" x14ac:dyDescent="0.35">
      <c r="F2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64"/>
  <sheetViews>
    <sheetView workbookViewId="0"/>
  </sheetViews>
  <sheetFormatPr baseColWidth="10" defaultColWidth="8.7265625" defaultRowHeight="14.5" x14ac:dyDescent="0.35"/>
  <cols>
    <col min="1" max="1" width="44.36328125" style="3" customWidth="1"/>
    <col min="2" max="2" width="35.81640625" style="3" customWidth="1"/>
    <col min="3" max="3" width="7.6328125" style="3" bestFit="1" customWidth="1"/>
    <col min="4" max="4" width="11.81640625" style="3" bestFit="1" customWidth="1"/>
    <col min="5" max="5" width="16.36328125" style="3" bestFit="1" customWidth="1"/>
    <col min="6" max="6" width="18.36328125" style="3" bestFit="1" customWidth="1"/>
    <col min="7" max="7" width="12.26953125" style="3" bestFit="1" customWidth="1"/>
    <col min="8" max="8" width="23.81640625" style="3" bestFit="1" customWidth="1"/>
    <col min="9" max="9" width="14.6328125" style="3" bestFit="1" customWidth="1"/>
    <col min="10" max="10" width="8.90625" style="3" bestFit="1" customWidth="1"/>
    <col min="11" max="11" width="3.36328125" style="3" bestFit="1" customWidth="1"/>
    <col min="12" max="12" width="5" style="3" bestFit="1" customWidth="1"/>
    <col min="13" max="13" width="8.90625" style="3" bestFit="1" customWidth="1"/>
    <col min="14" max="14" width="9.26953125" style="3" bestFit="1" customWidth="1"/>
    <col min="15" max="16384" width="8.7265625" style="3"/>
  </cols>
  <sheetData>
    <row r="1" spans="1:14" x14ac:dyDescent="0.35">
      <c r="A1" s="2" t="s">
        <v>0</v>
      </c>
      <c r="B1" s="2" t="s">
        <v>1</v>
      </c>
    </row>
    <row r="2" spans="1:14" x14ac:dyDescent="0.35">
      <c r="A2" s="4" t="s">
        <v>2</v>
      </c>
      <c r="B2" s="3" t="s">
        <v>3</v>
      </c>
    </row>
    <row r="3" spans="1:14" x14ac:dyDescent="0.35">
      <c r="A3" s="4" t="s">
        <v>4</v>
      </c>
      <c r="B3" s="3" t="s">
        <v>5</v>
      </c>
    </row>
    <row r="4" spans="1:14" x14ac:dyDescent="0.35">
      <c r="A4" s="4" t="s">
        <v>6</v>
      </c>
      <c r="B4" s="5">
        <v>1</v>
      </c>
    </row>
    <row r="5" spans="1:14" x14ac:dyDescent="0.35">
      <c r="A5" s="4" t="s">
        <v>7</v>
      </c>
      <c r="B5" s="3" t="s">
        <v>8</v>
      </c>
    </row>
    <row r="6" spans="1:14" x14ac:dyDescent="0.35">
      <c r="A6" s="4" t="s">
        <v>9</v>
      </c>
      <c r="B6" s="3" t="s">
        <v>10</v>
      </c>
    </row>
    <row r="7" spans="1:14" x14ac:dyDescent="0.35">
      <c r="A7" s="4" t="s">
        <v>11</v>
      </c>
    </row>
    <row r="8" spans="1:14" x14ac:dyDescent="0.35">
      <c r="A8" s="2" t="s">
        <v>12</v>
      </c>
      <c r="B8" s="2" t="s">
        <v>2</v>
      </c>
      <c r="C8" s="2" t="s">
        <v>4</v>
      </c>
      <c r="D8" s="2" t="s">
        <v>6</v>
      </c>
      <c r="E8" s="2" t="s">
        <v>7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  <c r="K8" s="2" t="s">
        <v>18</v>
      </c>
      <c r="L8" s="2" t="s">
        <v>19</v>
      </c>
      <c r="M8" s="2" t="s">
        <v>20</v>
      </c>
      <c r="N8" s="2" t="s">
        <v>21</v>
      </c>
    </row>
    <row r="9" spans="1:14" x14ac:dyDescent="0.35">
      <c r="A9" s="3" t="str">
        <f>B1</f>
        <v>[P+R] Thallium (Tl) production</v>
      </c>
      <c r="B9" s="3" t="str">
        <f>B2</f>
        <v>Tl</v>
      </c>
      <c r="C9" s="3" t="str">
        <f>B3</f>
        <v>GLO</v>
      </c>
      <c r="D9" s="5">
        <v>1</v>
      </c>
      <c r="E9" s="3" t="s">
        <v>8</v>
      </c>
      <c r="F9" s="11" t="str">
        <f>Tl_Market_GLO!B1</f>
        <v>Thallium</v>
      </c>
      <c r="G9" s="3" t="s">
        <v>22</v>
      </c>
    </row>
    <row r="10" spans="1:14" x14ac:dyDescent="0.35">
      <c r="A10" s="3" t="s">
        <v>25</v>
      </c>
      <c r="D10" s="3">
        <v>0.67500000000000004</v>
      </c>
      <c r="E10" s="3" t="s">
        <v>8</v>
      </c>
      <c r="F10" s="3" t="s">
        <v>26</v>
      </c>
      <c r="G10" s="3" t="s">
        <v>27</v>
      </c>
      <c r="H10" s="3" t="s">
        <v>28</v>
      </c>
      <c r="J10" s="3" t="s">
        <v>24</v>
      </c>
    </row>
    <row r="11" spans="1:14" x14ac:dyDescent="0.35">
      <c r="A11" s="3" t="s">
        <v>29</v>
      </c>
      <c r="D11" s="3">
        <v>0.51200000000000001</v>
      </c>
      <c r="E11" s="3" t="s">
        <v>30</v>
      </c>
      <c r="F11" s="3" t="s">
        <v>26</v>
      </c>
      <c r="G11" s="3" t="s">
        <v>27</v>
      </c>
      <c r="H11" s="3" t="s">
        <v>31</v>
      </c>
      <c r="J11" s="3" t="s">
        <v>24</v>
      </c>
    </row>
    <row r="12" spans="1:14" x14ac:dyDescent="0.35">
      <c r="A12" s="3" t="s">
        <v>32</v>
      </c>
      <c r="D12" s="3">
        <v>8.5289999999999999</v>
      </c>
      <c r="E12" s="3" t="s">
        <v>30</v>
      </c>
      <c r="F12" s="3" t="s">
        <v>26</v>
      </c>
      <c r="G12" s="3" t="s">
        <v>27</v>
      </c>
      <c r="H12" s="3" t="s">
        <v>31</v>
      </c>
      <c r="J12" s="3" t="s">
        <v>24</v>
      </c>
    </row>
    <row r="13" spans="1:14" x14ac:dyDescent="0.35">
      <c r="A13" s="3" t="s">
        <v>33</v>
      </c>
      <c r="D13" s="3">
        <v>0.15</v>
      </c>
      <c r="E13" s="3" t="s">
        <v>34</v>
      </c>
      <c r="F13" s="3" t="s">
        <v>26</v>
      </c>
      <c r="G13" s="3" t="s">
        <v>27</v>
      </c>
      <c r="H13" s="3" t="s">
        <v>31</v>
      </c>
      <c r="J13" s="3" t="s">
        <v>24</v>
      </c>
    </row>
    <row r="14" spans="1:14" x14ac:dyDescent="0.35">
      <c r="A14" s="3" t="s">
        <v>35</v>
      </c>
      <c r="D14" s="3">
        <v>733.37699999999995</v>
      </c>
      <c r="E14" s="3" t="s">
        <v>36</v>
      </c>
      <c r="F14" s="3" t="s">
        <v>26</v>
      </c>
      <c r="G14" s="3" t="s">
        <v>27</v>
      </c>
      <c r="H14" s="3" t="s">
        <v>37</v>
      </c>
      <c r="J14" s="3" t="s">
        <v>24</v>
      </c>
    </row>
    <row r="15" spans="1:14" x14ac:dyDescent="0.35">
      <c r="A15" s="3" t="s">
        <v>38</v>
      </c>
      <c r="D15" s="3">
        <v>120.1310666666667</v>
      </c>
      <c r="E15" s="3" t="s">
        <v>8</v>
      </c>
      <c r="F15" s="3" t="s">
        <v>26</v>
      </c>
      <c r="G15" s="3" t="s">
        <v>27</v>
      </c>
      <c r="H15" s="3" t="s">
        <v>28</v>
      </c>
      <c r="J15" s="3" t="s">
        <v>24</v>
      </c>
    </row>
    <row r="16" spans="1:14" x14ac:dyDescent="0.35">
      <c r="A16" s="3" t="s">
        <v>39</v>
      </c>
      <c r="D16" s="3">
        <v>1.649036E-3</v>
      </c>
      <c r="E16" s="3" t="s">
        <v>8</v>
      </c>
      <c r="F16" s="3" t="s">
        <v>26</v>
      </c>
      <c r="G16" s="3" t="s">
        <v>27</v>
      </c>
      <c r="H16" s="3" t="s">
        <v>28</v>
      </c>
      <c r="J16" s="3" t="s">
        <v>24</v>
      </c>
    </row>
    <row r="17" spans="1:10" x14ac:dyDescent="0.35">
      <c r="A17" s="3" t="s">
        <v>40</v>
      </c>
      <c r="D17" s="3">
        <v>459</v>
      </c>
      <c r="E17" s="3" t="s">
        <v>8</v>
      </c>
      <c r="F17" s="3" t="s">
        <v>26</v>
      </c>
      <c r="G17" s="3" t="s">
        <v>27</v>
      </c>
      <c r="H17" s="3" t="s">
        <v>28</v>
      </c>
      <c r="J17" s="3" t="s">
        <v>24</v>
      </c>
    </row>
    <row r="18" spans="1:10" x14ac:dyDescent="0.35">
      <c r="A18" s="3" t="s">
        <v>41</v>
      </c>
      <c r="D18" s="3">
        <v>8.4919609999999999</v>
      </c>
      <c r="E18" s="3" t="s">
        <v>42</v>
      </c>
      <c r="F18" s="3" t="s">
        <v>26</v>
      </c>
      <c r="G18" s="3" t="s">
        <v>27</v>
      </c>
      <c r="H18" s="3" t="s">
        <v>43</v>
      </c>
      <c r="J18" s="3" t="s">
        <v>24</v>
      </c>
    </row>
    <row r="19" spans="1:10" x14ac:dyDescent="0.35">
      <c r="A19" s="3" t="s">
        <v>44</v>
      </c>
      <c r="D19" s="3">
        <v>4.51E-8</v>
      </c>
      <c r="E19" s="3" t="s">
        <v>8</v>
      </c>
      <c r="F19" s="3" t="s">
        <v>26</v>
      </c>
      <c r="G19" s="3" t="s">
        <v>27</v>
      </c>
      <c r="H19" s="3" t="s">
        <v>45</v>
      </c>
      <c r="J19" s="3" t="s">
        <v>24</v>
      </c>
    </row>
    <row r="20" spans="1:10" x14ac:dyDescent="0.35">
      <c r="A20" s="3" t="s">
        <v>46</v>
      </c>
      <c r="D20" s="3">
        <v>1.32E-3</v>
      </c>
      <c r="E20" s="3" t="s">
        <v>8</v>
      </c>
      <c r="F20" s="3" t="s">
        <v>26</v>
      </c>
      <c r="G20" s="3" t="s">
        <v>27</v>
      </c>
      <c r="H20" s="3" t="s">
        <v>45</v>
      </c>
      <c r="J20" s="3" t="s">
        <v>24</v>
      </c>
    </row>
    <row r="21" spans="1:10" x14ac:dyDescent="0.35">
      <c r="A21" s="3" t="s">
        <v>47</v>
      </c>
      <c r="D21" s="3">
        <v>1.6800000000000001E-3</v>
      </c>
      <c r="E21" s="3" t="s">
        <v>8</v>
      </c>
      <c r="F21" s="3" t="s">
        <v>26</v>
      </c>
      <c r="G21" s="3" t="s">
        <v>27</v>
      </c>
      <c r="H21" s="3" t="s">
        <v>45</v>
      </c>
      <c r="J21" s="3" t="s">
        <v>24</v>
      </c>
    </row>
    <row r="22" spans="1:10" x14ac:dyDescent="0.35">
      <c r="A22" s="3" t="s">
        <v>48</v>
      </c>
      <c r="D22" s="3">
        <v>1.6800000000000001E-3</v>
      </c>
      <c r="E22" s="3" t="s">
        <v>8</v>
      </c>
      <c r="F22" s="3" t="s">
        <v>26</v>
      </c>
      <c r="G22" s="3" t="s">
        <v>27</v>
      </c>
      <c r="H22" s="3" t="s">
        <v>45</v>
      </c>
      <c r="J22" s="3" t="s">
        <v>24</v>
      </c>
    </row>
    <row r="23" spans="1:10" x14ac:dyDescent="0.35">
      <c r="A23" s="3" t="s">
        <v>49</v>
      </c>
      <c r="D23" s="3">
        <v>1.5599999999999999E-2</v>
      </c>
      <c r="E23" s="3" t="s">
        <v>8</v>
      </c>
      <c r="F23" s="3" t="s">
        <v>26</v>
      </c>
      <c r="G23" s="3" t="s">
        <v>27</v>
      </c>
      <c r="H23" s="3" t="s">
        <v>45</v>
      </c>
      <c r="J23" s="3" t="s">
        <v>24</v>
      </c>
    </row>
    <row r="24" spans="1:10" x14ac:dyDescent="0.35">
      <c r="A24" s="3" t="s">
        <v>50</v>
      </c>
      <c r="D24" s="3">
        <v>1.0399999999999999E-4</v>
      </c>
      <c r="E24" s="3" t="s">
        <v>8</v>
      </c>
      <c r="F24" s="3" t="s">
        <v>26</v>
      </c>
      <c r="G24" s="3" t="s">
        <v>27</v>
      </c>
      <c r="H24" s="3" t="s">
        <v>45</v>
      </c>
      <c r="J24" s="3" t="s">
        <v>24</v>
      </c>
    </row>
    <row r="25" spans="1:10" x14ac:dyDescent="0.35">
      <c r="A25" s="3" t="s">
        <v>51</v>
      </c>
      <c r="D25" s="3">
        <v>5.5900000000000007E-6</v>
      </c>
      <c r="E25" s="3" t="s">
        <v>8</v>
      </c>
      <c r="F25" s="3" t="s">
        <v>26</v>
      </c>
      <c r="G25" s="3" t="s">
        <v>27</v>
      </c>
      <c r="H25" s="3" t="s">
        <v>45</v>
      </c>
      <c r="J25" s="3" t="s">
        <v>24</v>
      </c>
    </row>
    <row r="26" spans="1:10" x14ac:dyDescent="0.35">
      <c r="A26" s="3" t="s">
        <v>52</v>
      </c>
      <c r="D26" s="3">
        <v>0.16500000000000001</v>
      </c>
      <c r="E26" s="3" t="s">
        <v>8</v>
      </c>
      <c r="F26" s="3" t="s">
        <v>26</v>
      </c>
      <c r="G26" s="3" t="s">
        <v>27</v>
      </c>
      <c r="H26" s="3" t="s">
        <v>45</v>
      </c>
      <c r="J26" s="3" t="s">
        <v>24</v>
      </c>
    </row>
    <row r="27" spans="1:10" x14ac:dyDescent="0.35">
      <c r="A27" s="3" t="s">
        <v>53</v>
      </c>
      <c r="D27" s="3">
        <v>0.26800000000000002</v>
      </c>
      <c r="E27" s="3" t="s">
        <v>8</v>
      </c>
      <c r="F27" s="3" t="s">
        <v>26</v>
      </c>
      <c r="G27" s="3" t="s">
        <v>27</v>
      </c>
      <c r="H27" s="3" t="s">
        <v>45</v>
      </c>
      <c r="J27" s="3" t="s">
        <v>24</v>
      </c>
    </row>
    <row r="28" spans="1:10" x14ac:dyDescent="0.35">
      <c r="A28" s="3" t="s">
        <v>54</v>
      </c>
      <c r="D28" s="3">
        <v>309.41399999999999</v>
      </c>
      <c r="E28" s="3" t="s">
        <v>8</v>
      </c>
      <c r="F28" s="3" t="s">
        <v>26</v>
      </c>
      <c r="G28" s="3" t="s">
        <v>27</v>
      </c>
      <c r="H28" s="3" t="s">
        <v>45</v>
      </c>
      <c r="J28" s="3" t="s">
        <v>24</v>
      </c>
    </row>
    <row r="29" spans="1:10" x14ac:dyDescent="0.35">
      <c r="A29" s="3" t="s">
        <v>55</v>
      </c>
      <c r="D29" s="3">
        <v>4.4000000000000004</v>
      </c>
      <c r="E29" s="3" t="s">
        <v>8</v>
      </c>
      <c r="F29" s="3" t="s">
        <v>26</v>
      </c>
      <c r="G29" s="3" t="s">
        <v>27</v>
      </c>
      <c r="H29" s="3" t="s">
        <v>45</v>
      </c>
      <c r="J29" s="3" t="s">
        <v>24</v>
      </c>
    </row>
    <row r="30" spans="1:10" x14ac:dyDescent="0.35">
      <c r="A30" s="3" t="s">
        <v>56</v>
      </c>
      <c r="D30" s="3">
        <v>1.4E-2</v>
      </c>
      <c r="E30" s="3" t="s">
        <v>8</v>
      </c>
      <c r="F30" s="3" t="s">
        <v>26</v>
      </c>
      <c r="G30" s="3" t="s">
        <v>27</v>
      </c>
      <c r="H30" s="3" t="s">
        <v>45</v>
      </c>
      <c r="J30" s="3" t="s">
        <v>24</v>
      </c>
    </row>
    <row r="31" spans="1:10" x14ac:dyDescent="0.35">
      <c r="A31" s="3" t="s">
        <v>46</v>
      </c>
      <c r="D31" s="3">
        <v>3.2499999999999999E-4</v>
      </c>
      <c r="E31" s="3" t="s">
        <v>8</v>
      </c>
      <c r="F31" s="3" t="s">
        <v>26</v>
      </c>
      <c r="G31" s="3" t="s">
        <v>27</v>
      </c>
      <c r="H31" s="3" t="s">
        <v>57</v>
      </c>
      <c r="J31" s="3" t="s">
        <v>24</v>
      </c>
    </row>
    <row r="32" spans="1:10" x14ac:dyDescent="0.35">
      <c r="A32" s="3" t="s">
        <v>48</v>
      </c>
      <c r="D32" s="3">
        <v>4.7100000000000001E-4</v>
      </c>
      <c r="E32" s="3" t="s">
        <v>8</v>
      </c>
      <c r="F32" s="3" t="s">
        <v>26</v>
      </c>
      <c r="G32" s="3" t="s">
        <v>27</v>
      </c>
      <c r="H32" s="3" t="s">
        <v>57</v>
      </c>
      <c r="J32" s="3" t="s">
        <v>24</v>
      </c>
    </row>
    <row r="33" spans="1:10" x14ac:dyDescent="0.35">
      <c r="A33" s="3" t="s">
        <v>49</v>
      </c>
      <c r="D33" s="3">
        <v>4.4099999999999999E-3</v>
      </c>
      <c r="E33" s="3" t="s">
        <v>8</v>
      </c>
      <c r="F33" s="3" t="s">
        <v>26</v>
      </c>
      <c r="G33" s="3" t="s">
        <v>27</v>
      </c>
      <c r="H33" s="3" t="s">
        <v>57</v>
      </c>
      <c r="J33" s="3" t="s">
        <v>24</v>
      </c>
    </row>
    <row r="34" spans="1:10" x14ac:dyDescent="0.35">
      <c r="A34" s="3" t="s">
        <v>58</v>
      </c>
      <c r="D34" s="3">
        <v>0.217</v>
      </c>
      <c r="E34" s="3" t="s">
        <v>8</v>
      </c>
      <c r="F34" s="3" t="s">
        <v>26</v>
      </c>
      <c r="G34" s="3" t="s">
        <v>27</v>
      </c>
      <c r="H34" s="3" t="s">
        <v>57</v>
      </c>
      <c r="J34" s="3" t="s">
        <v>24</v>
      </c>
    </row>
    <row r="35" spans="1:10" x14ac:dyDescent="0.35">
      <c r="A35" s="3" t="s">
        <v>50</v>
      </c>
      <c r="D35" s="3">
        <v>3.8400000000000001E-4</v>
      </c>
      <c r="E35" s="3" t="s">
        <v>8</v>
      </c>
      <c r="F35" s="3" t="s">
        <v>26</v>
      </c>
      <c r="G35" s="3" t="s">
        <v>27</v>
      </c>
      <c r="H35" s="3" t="s">
        <v>57</v>
      </c>
      <c r="J35" s="3" t="s">
        <v>24</v>
      </c>
    </row>
    <row r="36" spans="1:10" x14ac:dyDescent="0.35">
      <c r="A36" s="3" t="s">
        <v>59</v>
      </c>
      <c r="D36" s="3">
        <v>2.2949999999999999</v>
      </c>
      <c r="E36" s="3" t="s">
        <v>8</v>
      </c>
      <c r="F36" s="3" t="s">
        <v>26</v>
      </c>
      <c r="G36" s="3" t="s">
        <v>27</v>
      </c>
      <c r="H36" s="3" t="s">
        <v>57</v>
      </c>
      <c r="J36" s="3" t="s">
        <v>24</v>
      </c>
    </row>
    <row r="37" spans="1:10" x14ac:dyDescent="0.35">
      <c r="A37" s="3" t="s">
        <v>60</v>
      </c>
      <c r="D37" s="3">
        <v>1.85E-4</v>
      </c>
      <c r="E37" s="3" t="s">
        <v>8</v>
      </c>
      <c r="F37" s="3" t="s">
        <v>26</v>
      </c>
      <c r="G37" s="3" t="s">
        <v>27</v>
      </c>
      <c r="H37" s="3" t="s">
        <v>57</v>
      </c>
      <c r="J37" s="3" t="s">
        <v>24</v>
      </c>
    </row>
    <row r="38" spans="1:10" x14ac:dyDescent="0.35">
      <c r="A38" s="3" t="s">
        <v>61</v>
      </c>
      <c r="D38" s="3">
        <v>0.27200000000000002</v>
      </c>
      <c r="E38" s="3" t="s">
        <v>8</v>
      </c>
      <c r="F38" s="3" t="s">
        <v>26</v>
      </c>
      <c r="G38" s="3" t="s">
        <v>27</v>
      </c>
      <c r="H38" s="3" t="s">
        <v>57</v>
      </c>
      <c r="J38" s="3" t="s">
        <v>24</v>
      </c>
    </row>
    <row r="39" spans="1:10" x14ac:dyDescent="0.35">
      <c r="A39" s="3" t="s">
        <v>62</v>
      </c>
      <c r="D39" s="3">
        <v>3.64E-3</v>
      </c>
      <c r="E39" s="3" t="s">
        <v>8</v>
      </c>
      <c r="F39" s="3" t="s">
        <v>26</v>
      </c>
      <c r="G39" s="3" t="s">
        <v>27</v>
      </c>
      <c r="H39" s="3" t="s">
        <v>57</v>
      </c>
      <c r="J39" s="3" t="s">
        <v>24</v>
      </c>
    </row>
    <row r="40" spans="1:10" x14ac:dyDescent="0.35">
      <c r="A40" s="3" t="s">
        <v>63</v>
      </c>
      <c r="D40" s="3">
        <v>5.0199999999999993E-3</v>
      </c>
      <c r="E40" s="3" t="s">
        <v>8</v>
      </c>
      <c r="F40" s="3" t="s">
        <v>26</v>
      </c>
      <c r="G40" s="3" t="s">
        <v>27</v>
      </c>
      <c r="H40" s="3" t="s">
        <v>57</v>
      </c>
      <c r="J40" s="3" t="s">
        <v>24</v>
      </c>
    </row>
    <row r="41" spans="1:10" x14ac:dyDescent="0.35">
      <c r="A41" s="3" t="s">
        <v>64</v>
      </c>
      <c r="D41" s="3">
        <v>3.9500000000000003E-6</v>
      </c>
      <c r="E41" s="3" t="s">
        <v>8</v>
      </c>
      <c r="F41" s="3" t="s">
        <v>26</v>
      </c>
      <c r="G41" s="3" t="s">
        <v>27</v>
      </c>
      <c r="H41" s="3" t="s">
        <v>57</v>
      </c>
      <c r="J41" s="3" t="s">
        <v>24</v>
      </c>
    </row>
    <row r="42" spans="1:10" x14ac:dyDescent="0.35">
      <c r="A42" s="3" t="s">
        <v>65</v>
      </c>
      <c r="D42" s="3">
        <v>6.0800000000000003E-4</v>
      </c>
      <c r="E42" s="3" t="s">
        <v>8</v>
      </c>
      <c r="F42" s="3" t="s">
        <v>26</v>
      </c>
      <c r="G42" s="3" t="s">
        <v>27</v>
      </c>
      <c r="H42" s="3" t="s">
        <v>57</v>
      </c>
      <c r="J42" s="3" t="s">
        <v>24</v>
      </c>
    </row>
    <row r="43" spans="1:10" x14ac:dyDescent="0.35">
      <c r="A43" s="3" t="s">
        <v>66</v>
      </c>
      <c r="D43" s="3">
        <v>1.1999999999999999E-3</v>
      </c>
      <c r="E43" s="3" t="s">
        <v>8</v>
      </c>
      <c r="F43" s="3" t="s">
        <v>26</v>
      </c>
      <c r="G43" s="3" t="s">
        <v>27</v>
      </c>
      <c r="H43" s="3" t="s">
        <v>57</v>
      </c>
      <c r="J43" s="3" t="s">
        <v>24</v>
      </c>
    </row>
    <row r="44" spans="1:10" x14ac:dyDescent="0.35">
      <c r="A44" s="3" t="s">
        <v>67</v>
      </c>
      <c r="D44" s="3">
        <v>3.5500000000000001E-4</v>
      </c>
      <c r="E44" s="3" t="s">
        <v>8</v>
      </c>
      <c r="F44" s="3" t="s">
        <v>26</v>
      </c>
      <c r="G44" s="3" t="s">
        <v>27</v>
      </c>
      <c r="H44" s="3" t="s">
        <v>57</v>
      </c>
      <c r="J44" s="3" t="s">
        <v>24</v>
      </c>
    </row>
    <row r="45" spans="1:10" x14ac:dyDescent="0.35">
      <c r="A45" s="3" t="s">
        <v>68</v>
      </c>
      <c r="D45" s="3">
        <v>5.3899999999999998E-3</v>
      </c>
      <c r="E45" s="3" t="s">
        <v>8</v>
      </c>
      <c r="F45" s="3" t="s">
        <v>26</v>
      </c>
      <c r="G45" s="3" t="s">
        <v>27</v>
      </c>
      <c r="H45" s="3" t="s">
        <v>57</v>
      </c>
      <c r="J45" s="3" t="s">
        <v>24</v>
      </c>
    </row>
    <row r="46" spans="1:10" x14ac:dyDescent="0.35">
      <c r="A46" s="3" t="s">
        <v>69</v>
      </c>
      <c r="D46" s="3">
        <v>1.59E-6</v>
      </c>
      <c r="E46" s="3" t="s">
        <v>8</v>
      </c>
      <c r="F46" s="3" t="s">
        <v>26</v>
      </c>
      <c r="G46" s="3" t="s">
        <v>27</v>
      </c>
      <c r="H46" s="3" t="s">
        <v>57</v>
      </c>
      <c r="J46" s="3" t="s">
        <v>24</v>
      </c>
    </row>
    <row r="47" spans="1:10" x14ac:dyDescent="0.35">
      <c r="A47" s="3" t="s">
        <v>70</v>
      </c>
      <c r="D47" s="3">
        <v>7.8299999999999995E-2</v>
      </c>
      <c r="E47" s="3" t="s">
        <v>8</v>
      </c>
      <c r="F47" s="3" t="s">
        <v>26</v>
      </c>
      <c r="G47" s="3" t="s">
        <v>27</v>
      </c>
      <c r="H47" s="3" t="s">
        <v>57</v>
      </c>
      <c r="J47" s="3" t="s">
        <v>24</v>
      </c>
    </row>
    <row r="48" spans="1:10" x14ac:dyDescent="0.35">
      <c r="A48" s="3" t="s">
        <v>71</v>
      </c>
      <c r="D48" s="3">
        <v>7.4499999999999995E-5</v>
      </c>
      <c r="E48" s="3" t="s">
        <v>8</v>
      </c>
      <c r="F48" s="3" t="s">
        <v>26</v>
      </c>
      <c r="G48" s="3" t="s">
        <v>27</v>
      </c>
      <c r="H48" s="3" t="s">
        <v>57</v>
      </c>
      <c r="J48" s="3" t="s">
        <v>24</v>
      </c>
    </row>
    <row r="49" spans="1:14" x14ac:dyDescent="0.35">
      <c r="A49" s="3" t="s">
        <v>72</v>
      </c>
      <c r="D49" s="3">
        <v>5.0200000000000002E-6</v>
      </c>
      <c r="E49" s="3" t="s">
        <v>8</v>
      </c>
      <c r="F49" s="3" t="s">
        <v>26</v>
      </c>
      <c r="G49" s="3" t="s">
        <v>27</v>
      </c>
      <c r="H49" s="3" t="s">
        <v>57</v>
      </c>
      <c r="J49" s="3" t="s">
        <v>24</v>
      </c>
    </row>
    <row r="50" spans="1:14" x14ac:dyDescent="0.35">
      <c r="A50" s="3" t="s">
        <v>73</v>
      </c>
      <c r="D50" s="3">
        <v>1.8199999999999999E-5</v>
      </c>
      <c r="E50" s="3" t="s">
        <v>8</v>
      </c>
      <c r="F50" s="3" t="s">
        <v>26</v>
      </c>
      <c r="G50" s="3" t="s">
        <v>27</v>
      </c>
      <c r="H50" s="3" t="s">
        <v>57</v>
      </c>
      <c r="J50" s="3" t="s">
        <v>24</v>
      </c>
    </row>
    <row r="51" spans="1:14" x14ac:dyDescent="0.35">
      <c r="A51" s="3" t="s">
        <v>74</v>
      </c>
      <c r="D51" s="3">
        <v>5.4009999999999998</v>
      </c>
      <c r="E51" s="3" t="s">
        <v>8</v>
      </c>
      <c r="F51" s="3" t="s">
        <v>26</v>
      </c>
      <c r="G51" s="3" t="s">
        <v>27</v>
      </c>
      <c r="H51" s="3" t="s">
        <v>57</v>
      </c>
      <c r="J51" s="3" t="s">
        <v>24</v>
      </c>
    </row>
    <row r="52" spans="1:14" x14ac:dyDescent="0.35">
      <c r="A52" s="3" t="s">
        <v>75</v>
      </c>
      <c r="D52" s="3">
        <v>1.1000000000000001E-3</v>
      </c>
      <c r="E52" s="3" t="s">
        <v>8</v>
      </c>
      <c r="F52" s="3" t="s">
        <v>26</v>
      </c>
      <c r="G52" s="3" t="s">
        <v>27</v>
      </c>
      <c r="H52" s="3" t="s">
        <v>57</v>
      </c>
      <c r="J52" s="3" t="s">
        <v>24</v>
      </c>
    </row>
    <row r="53" spans="1:14" x14ac:dyDescent="0.35">
      <c r="A53" s="3" t="s">
        <v>75</v>
      </c>
      <c r="D53" s="3">
        <v>3.04E-2</v>
      </c>
      <c r="E53" s="3" t="s">
        <v>8</v>
      </c>
      <c r="F53" s="3" t="s">
        <v>26</v>
      </c>
      <c r="G53" s="3" t="s">
        <v>27</v>
      </c>
      <c r="H53" s="3" t="s">
        <v>57</v>
      </c>
      <c r="J53" s="3" t="s">
        <v>24</v>
      </c>
    </row>
    <row r="54" spans="1:14" s="12" customFormat="1" x14ac:dyDescent="0.35"/>
    <row r="55" spans="1:14" x14ac:dyDescent="0.35">
      <c r="A55" s="2" t="s">
        <v>0</v>
      </c>
      <c r="B55" s="2" t="s">
        <v>76</v>
      </c>
    </row>
    <row r="56" spans="1:14" x14ac:dyDescent="0.35">
      <c r="A56" s="4" t="s">
        <v>2</v>
      </c>
      <c r="B56" s="3" t="s">
        <v>3</v>
      </c>
    </row>
    <row r="57" spans="1:14" x14ac:dyDescent="0.35">
      <c r="A57" s="4" t="s">
        <v>4</v>
      </c>
      <c r="B57" s="3" t="s">
        <v>5</v>
      </c>
    </row>
    <row r="58" spans="1:14" x14ac:dyDescent="0.35">
      <c r="A58" s="4" t="s">
        <v>6</v>
      </c>
      <c r="B58" s="5">
        <v>1</v>
      </c>
    </row>
    <row r="59" spans="1:14" x14ac:dyDescent="0.35">
      <c r="A59" s="4" t="s">
        <v>7</v>
      </c>
      <c r="B59" s="3" t="s">
        <v>8</v>
      </c>
    </row>
    <row r="60" spans="1:14" x14ac:dyDescent="0.35">
      <c r="A60" s="4" t="s">
        <v>9</v>
      </c>
      <c r="B60" s="3" t="s">
        <v>10</v>
      </c>
    </row>
    <row r="61" spans="1:14" x14ac:dyDescent="0.35">
      <c r="A61" s="4" t="s">
        <v>11</v>
      </c>
    </row>
    <row r="62" spans="1:14" x14ac:dyDescent="0.35">
      <c r="A62" s="2" t="s">
        <v>12</v>
      </c>
      <c r="B62" s="2" t="s">
        <v>2</v>
      </c>
      <c r="C62" s="2" t="s">
        <v>4</v>
      </c>
      <c r="D62" s="2" t="s">
        <v>6</v>
      </c>
      <c r="E62" s="2" t="s">
        <v>7</v>
      </c>
      <c r="F62" s="2" t="s">
        <v>13</v>
      </c>
      <c r="G62" s="2" t="s">
        <v>14</v>
      </c>
      <c r="H62" s="2" t="s">
        <v>15</v>
      </c>
      <c r="I62" s="2" t="s">
        <v>16</v>
      </c>
      <c r="J62" s="2" t="s">
        <v>17</v>
      </c>
      <c r="K62" s="2" t="s">
        <v>18</v>
      </c>
      <c r="L62" s="2" t="s">
        <v>19</v>
      </c>
      <c r="M62" s="2" t="s">
        <v>20</v>
      </c>
      <c r="N62" s="2" t="s">
        <v>21</v>
      </c>
    </row>
    <row r="63" spans="1:14" x14ac:dyDescent="0.35">
      <c r="A63" s="3" t="str">
        <f>B55</f>
        <v>Tl recovery from Zn production</v>
      </c>
      <c r="B63" s="3" t="str">
        <f>B56</f>
        <v>Tl</v>
      </c>
      <c r="C63" s="3" t="str">
        <f>B57</f>
        <v>GLO</v>
      </c>
      <c r="D63" s="5">
        <v>1</v>
      </c>
      <c r="E63" s="3" t="s">
        <v>8</v>
      </c>
      <c r="F63" s="11" t="str">
        <f>F9</f>
        <v>Thallium</v>
      </c>
      <c r="G63" s="3" t="s">
        <v>22</v>
      </c>
    </row>
    <row r="64" spans="1:14" x14ac:dyDescent="0.35">
      <c r="A64" s="3" t="str">
        <f>A9</f>
        <v>[P+R] Thallium (Tl) production</v>
      </c>
      <c r="B64" s="3" t="str">
        <f t="shared" ref="B64:F64" si="0">B9</f>
        <v>Tl</v>
      </c>
      <c r="C64" s="3" t="str">
        <f t="shared" si="0"/>
        <v>GLO</v>
      </c>
      <c r="D64" s="3">
        <f t="shared" si="0"/>
        <v>1</v>
      </c>
      <c r="E64" s="3" t="str">
        <f t="shared" si="0"/>
        <v>kilogram</v>
      </c>
      <c r="F64" s="11" t="str">
        <f t="shared" si="0"/>
        <v>Thallium</v>
      </c>
      <c r="G64" s="1" t="s">
        <v>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D6FCF5-8AE3-47E3-9B50-E95210D98C23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2.xml><?xml version="1.0" encoding="utf-8"?>
<ds:datastoreItem xmlns:ds="http://schemas.openxmlformats.org/officeDocument/2006/customXml" ds:itemID="{B7EAA020-B8F3-4C29-9B7E-C0AE9F2F0E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F5AB1-1E13-49AC-8302-E6823D6865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</vt:lpstr>
      <vt:lpstr>Tl_Market_GLO</vt:lpstr>
      <vt:lpstr>PR1_Tl_GLO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2025-05-14T09:48:12Z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