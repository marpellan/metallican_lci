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Ge_Germanium/"/>
    </mc:Choice>
  </mc:AlternateContent>
  <xr:revisionPtr revIDLastSave="34" documentId="8_{CD5C6AC9-6344-41BE-B77D-22EAF55A21D5}" xr6:coauthVersionLast="47" xr6:coauthVersionMax="47" xr10:uidLastSave="{973E4B30-8100-4196-B4E9-68E1E8F4B11D}"/>
  <bookViews>
    <workbookView xWindow="-23148" yWindow="-108" windowWidth="23256" windowHeight="12576" tabRatio="768" xr2:uid="{00000000-000D-0000-FFFF-FFFF00000000}"/>
  </bookViews>
  <sheets>
    <sheet name="Note" sheetId="1" r:id="rId1"/>
    <sheet name="Ge_Market_GLO" sheetId="7" r:id="rId2"/>
    <sheet name="PR1_Ge_RoW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D12" i="7"/>
  <c r="E12" i="7"/>
  <c r="F9" i="18" l="1"/>
  <c r="F57" i="18" s="1"/>
  <c r="E57" i="18"/>
  <c r="C57" i="18"/>
  <c r="B57" i="18"/>
  <c r="A57" i="18"/>
  <c r="E56" i="18"/>
  <c r="C56" i="18"/>
  <c r="B55" i="18"/>
  <c r="B12" i="7" s="1"/>
  <c r="A55" i="18"/>
  <c r="A12" i="7" s="1"/>
  <c r="B31" i="18"/>
  <c r="B56" i="18" s="1"/>
  <c r="A31" i="18"/>
  <c r="A56" i="18" s="1"/>
  <c r="F11" i="7"/>
  <c r="E11" i="7"/>
  <c r="D11" i="7"/>
  <c r="C11" i="7"/>
  <c r="B11" i="7"/>
  <c r="A11" i="7"/>
  <c r="F31" i="18" l="1"/>
  <c r="F56" i="18" l="1"/>
  <c r="F55" i="18"/>
  <c r="F12" i="7" s="1"/>
</calcChain>
</file>

<file path=xl/sharedStrings.xml><?xml version="1.0" encoding="utf-8"?>
<sst xmlns="http://schemas.openxmlformats.org/spreadsheetml/2006/main" count="289" uniqueCount="63">
  <si>
    <t>Activity</t>
  </si>
  <si>
    <t>reference product</t>
  </si>
  <si>
    <t>Zn concentrate</t>
  </si>
  <si>
    <t>location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</si>
  <si>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</si>
  <si>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</si>
  <si>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</si>
  <si>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</si>
  <si>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</si>
  <si>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</si>
  <si>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</si>
  <si>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</si>
  <si>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</si>
  <si>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</si>
  <si>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</si>
  <si>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</si>
  <si>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</si>
  <si>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</si>
  <si>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</si>
  <si>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</si>
  <si>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GLO</t>
  </si>
  <si>
    <t>ecoinvent 3.10 cutoff</t>
  </si>
  <si>
    <t>technosphere</t>
  </si>
  <si>
    <t>RoW</t>
  </si>
  <si>
    <t>megajoule</t>
  </si>
  <si>
    <t>market group for electricity, medium voltage</t>
  </si>
  <si>
    <t>electricity, medium voltage</t>
  </si>
  <si>
    <t>kilowatt hour</t>
  </si>
  <si>
    <t>biosphere3</t>
  </si>
  <si>
    <t>biosphere</t>
  </si>
  <si>
    <t>Sulfur dioxide</t>
  </si>
  <si>
    <t>air</t>
  </si>
  <si>
    <t>Lead II</t>
  </si>
  <si>
    <t>Mercury II</t>
  </si>
  <si>
    <t>water</t>
  </si>
  <si>
    <t>Zinc II</t>
  </si>
  <si>
    <t>Cadmium II</t>
  </si>
  <si>
    <t>n/a</t>
  </si>
  <si>
    <t>Nitrogen oxides</t>
  </si>
  <si>
    <t>heat, district or industrial, other than natural gas</t>
  </si>
  <si>
    <t>market for sulfidic tailings, from zinc-lead mine operation</t>
  </si>
  <si>
    <t>sulfidic tailings, from zinc-lead mine operation</t>
  </si>
  <si>
    <t>[M+C] Zinc (Zn) ore mining and concentration</t>
  </si>
  <si>
    <t>(1,1,5,1,1)</t>
  </si>
  <si>
    <t>heat production, heavy fuel oil, at industrial furnace 1MW</t>
  </si>
  <si>
    <t>Carbon dioxide, fossil</t>
  </si>
  <si>
    <t>Particulate Matter, &gt; 10 um</t>
  </si>
  <si>
    <t>Sulfur oxides</t>
  </si>
  <si>
    <t>Particulate Matter, &lt; 2.5 um</t>
  </si>
  <si>
    <t>Germanium</t>
  </si>
  <si>
    <t>[P+R] Refined Germanium (Ge) production</t>
  </si>
  <si>
    <t>Refined Ge</t>
  </si>
  <si>
    <t>Ge recovery along with Pb/Zn production in Canada/Peru/Chile/the US</t>
  </si>
  <si>
    <t>Germanium (Ge) global market</t>
  </si>
  <si>
    <r>
      <t xml:space="preserve">Allocated unit process, considering as allocation factors (AF): 55.37% for Zn (1 kg refined), 12.61% for Pb (0.28 kg refined), 28.81% for Ag (0.002 kg refined), 0.01% for Bi (0.00006 kg refined), 0.62% for In (0.0001 kg refined) and </t>
    </r>
    <r>
      <rPr>
        <b/>
        <sz val="11"/>
        <color theme="5"/>
        <rFont val="Calibri"/>
        <family val="2"/>
        <scheme val="minor"/>
      </rPr>
      <t>2.57% for Ge (0.00009 kg refined)</t>
    </r>
    <r>
      <rPr>
        <sz val="11"/>
        <color theme="5"/>
        <rFont val="Calibri"/>
        <family val="2"/>
        <scheme val="minor"/>
      </rPr>
      <t>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</si>
  <si>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2.57%</t>
    </r>
    <r>
      <rPr>
        <sz val="11"/>
        <color theme="5"/>
        <rFont val="Calibri"/>
        <family val="2"/>
        <scheme val="minor"/>
      </rPr>
      <t>.</t>
    </r>
  </si>
  <si>
    <t>skip</t>
  </si>
  <si>
    <t>Sheet</t>
  </si>
  <si>
    <t>Corresponding route</t>
  </si>
  <si>
    <t>Ge global market</t>
  </si>
  <si>
    <t>Ge_Market_GLO</t>
  </si>
  <si>
    <t>PR1_Ge_RoW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</si>
  <si>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Germanium (Ge)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</si>
</sst>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5"/>
  <sheetViews>
    <sheetView showGridLines="0" tabSelected="1" zoomScaleNormal="100" workbookViewId="0">
      <selection activeCell="B32" sqref="B32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56</v>
      </c>
    </row>
    <row r="2" spans="1:17" ht="15" customHeight="1" x14ac:dyDescent="0.35">
      <c r="B2" s="27" t="s">
        <v>62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17" x14ac:dyDescent="0.35"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</row>
    <row r="4" spans="1:17" x14ac:dyDescent="0.35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2"/>
    </row>
    <row r="5" spans="1:17" x14ac:dyDescent="0.35"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</row>
    <row r="6" spans="1:17" x14ac:dyDescent="0.35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</row>
    <row r="7" spans="1:17" x14ac:dyDescent="0.35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2"/>
    </row>
    <row r="8" spans="1:17" x14ac:dyDescent="0.35"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2"/>
    </row>
    <row r="9" spans="1:17" x14ac:dyDescent="0.35"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2"/>
    </row>
    <row r="10" spans="1:17" x14ac:dyDescent="0.35"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2"/>
    </row>
    <row r="11" spans="1:17" x14ac:dyDescent="0.35"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/>
    </row>
    <row r="12" spans="1:17" x14ac:dyDescent="0.35"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2"/>
    </row>
    <row r="13" spans="1:17" x14ac:dyDescent="0.35"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2"/>
    </row>
    <row r="14" spans="1:17" x14ac:dyDescent="0.35"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</row>
    <row r="15" spans="1:17" x14ac:dyDescent="0.35"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2"/>
    </row>
    <row r="16" spans="1:17" x14ac:dyDescent="0.35"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2"/>
    </row>
    <row r="17" spans="2:17" x14ac:dyDescent="0.35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2"/>
    </row>
    <row r="18" spans="2:17" x14ac:dyDescent="0.35"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2"/>
    </row>
    <row r="19" spans="2:17" x14ac:dyDescent="0.35"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</row>
    <row r="20" spans="2:17" x14ac:dyDescent="0.35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</row>
    <row r="21" spans="2:17" x14ac:dyDescent="0.35"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2"/>
    </row>
    <row r="22" spans="2:17" x14ac:dyDescent="0.35"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/>
    </row>
    <row r="23" spans="2:17" x14ac:dyDescent="0.35"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2"/>
    </row>
    <row r="24" spans="2:17" ht="15" customHeight="1" x14ac:dyDescent="0.35"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2"/>
    </row>
    <row r="25" spans="2:17" x14ac:dyDescent="0.35"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2"/>
    </row>
    <row r="26" spans="2:17" x14ac:dyDescent="0.35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2"/>
    </row>
    <row r="27" spans="2:17" x14ac:dyDescent="0.35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2"/>
    </row>
    <row r="28" spans="2:17" x14ac:dyDescent="0.3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/>
    </row>
    <row r="29" spans="2:17" x14ac:dyDescent="0.35"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2"/>
    </row>
    <row r="30" spans="2:17" x14ac:dyDescent="0.35"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2"/>
    </row>
    <row r="31" spans="2:17" ht="15" thickBot="1" x14ac:dyDescent="0.4"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5"/>
    </row>
    <row r="32" spans="2:17" ht="15" thickBot="1" x14ac:dyDescent="0.4"/>
    <row r="33" spans="2:10" x14ac:dyDescent="0.35">
      <c r="B33" s="16" t="s">
        <v>57</v>
      </c>
      <c r="C33" s="17" t="s">
        <v>58</v>
      </c>
      <c r="D33" s="18"/>
      <c r="E33" s="18"/>
      <c r="F33" s="18"/>
      <c r="G33" s="18"/>
      <c r="H33" s="19"/>
      <c r="I33" s="26"/>
      <c r="J33" s="26"/>
    </row>
    <row r="34" spans="2:10" x14ac:dyDescent="0.35">
      <c r="B34" s="20" t="s">
        <v>60</v>
      </c>
      <c r="C34" s="10" t="s">
        <v>59</v>
      </c>
      <c r="D34" s="26"/>
      <c r="E34" s="26"/>
      <c r="F34" s="26"/>
      <c r="G34" s="26"/>
      <c r="H34" s="21"/>
      <c r="I34" s="26"/>
      <c r="J34" s="26"/>
    </row>
    <row r="35" spans="2:10" ht="15" thickBot="1" x14ac:dyDescent="0.4">
      <c r="B35" s="22" t="s">
        <v>61</v>
      </c>
      <c r="C35" s="23" t="s">
        <v>52</v>
      </c>
      <c r="D35" s="24"/>
      <c r="E35" s="24"/>
      <c r="F35" s="24"/>
      <c r="G35" s="24"/>
      <c r="H35" s="25"/>
      <c r="I35" s="26"/>
      <c r="J35" s="26"/>
    </row>
  </sheetData>
  <mergeCells count="1">
    <mergeCell ref="B2:Q31"/>
  </mergeCells>
  <hyperlinks>
    <hyperlink ref="B34" location="Ge_Market_GLO!A1" display="Ge_Market_GLO" xr:uid="{EC177157-8965-4F1F-A4B1-3322EB2BEA1F}"/>
    <hyperlink ref="B35" location="PR1_Ge_RoW!A1" display="PR1_Ge_RoW" xr:uid="{946A0B9D-707C-478B-850D-E3DCA5E027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3F53-79B7-4F8D-93EC-90A8F18C3E62}">
  <sheetPr>
    <tabColor theme="8" tint="0.39997558519241921"/>
  </sheetPr>
  <dimension ref="A1:N22"/>
  <sheetViews>
    <sheetView workbookViewId="0"/>
  </sheetViews>
  <sheetFormatPr baseColWidth="10" defaultRowHeight="14.5" x14ac:dyDescent="0.35"/>
  <cols>
    <col min="1" max="1" width="88.1796875" bestFit="1" customWidth="1"/>
    <col min="2" max="2" width="27" bestFit="1" customWidth="1"/>
    <col min="3" max="3" width="8.1796875" bestFit="1" customWidth="1"/>
    <col min="4" max="4" width="12" bestFit="1" customWidth="1"/>
    <col min="5" max="5" width="8.7265625" bestFit="1" customWidth="1"/>
    <col min="6" max="6" width="10.726562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10</v>
      </c>
      <c r="B1" s="4" t="s">
        <v>49</v>
      </c>
    </row>
    <row r="2" spans="1:14" s="5" customFormat="1" x14ac:dyDescent="0.35"/>
    <row r="3" spans="1:14" x14ac:dyDescent="0.35">
      <c r="A3" s="6" t="s">
        <v>0</v>
      </c>
      <c r="B3" s="2" t="s">
        <v>53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1" t="s">
        <v>51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1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4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3" t="s">
        <v>5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3" t="s">
        <v>7</v>
      </c>
      <c r="B8" s="1" t="s">
        <v>37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9</v>
      </c>
      <c r="B10" s="6" t="s">
        <v>1</v>
      </c>
      <c r="C10" s="6" t="s">
        <v>3</v>
      </c>
      <c r="D10" s="6" t="s">
        <v>4</v>
      </c>
      <c r="E10" s="6" t="s">
        <v>5</v>
      </c>
      <c r="F10" s="6" t="s">
        <v>10</v>
      </c>
      <c r="G10" s="6" t="s">
        <v>11</v>
      </c>
      <c r="H10" s="6" t="s">
        <v>12</v>
      </c>
      <c r="I10" s="6" t="s">
        <v>13</v>
      </c>
      <c r="J10" s="6" t="s">
        <v>14</v>
      </c>
      <c r="K10" s="6" t="s">
        <v>15</v>
      </c>
      <c r="L10" s="6" t="s">
        <v>16</v>
      </c>
      <c r="M10" s="6" t="s">
        <v>17</v>
      </c>
      <c r="N10" s="6" t="s">
        <v>18</v>
      </c>
    </row>
    <row r="11" spans="1:14" x14ac:dyDescent="0.35">
      <c r="A11" t="str">
        <f>B3</f>
        <v>Germanium (Ge) global market</v>
      </c>
      <c r="B11" t="str">
        <f>B4</f>
        <v>Refined Ge</v>
      </c>
      <c r="C11" t="str">
        <f>B5</f>
        <v>GLO</v>
      </c>
      <c r="D11" s="1">
        <f>B6</f>
        <v>1</v>
      </c>
      <c r="E11" s="1" t="str">
        <f>B7</f>
        <v>kilogram</v>
      </c>
      <c r="F11" s="4" t="str">
        <f>B1</f>
        <v>Germanium</v>
      </c>
      <c r="G11" s="1" t="s">
        <v>19</v>
      </c>
    </row>
    <row r="12" spans="1:14" s="1" customFormat="1" x14ac:dyDescent="0.35">
      <c r="A12" s="1" t="str">
        <f>PR1_Ge_RoW!A55</f>
        <v>Ge recovery along with Pb/Zn production in Canada/Peru/Chile/the US</v>
      </c>
      <c r="B12" s="1" t="str">
        <f>PR1_Ge_RoW!B55</f>
        <v>Refined Ge</v>
      </c>
      <c r="C12" s="1" t="str">
        <f>PR1_Ge_RoW!C55</f>
        <v>RoW</v>
      </c>
      <c r="D12" s="1">
        <f>PR1_Ge_RoW!D55</f>
        <v>1</v>
      </c>
      <c r="E12" s="1" t="str">
        <f>PR1_Ge_RoW!E55</f>
        <v>kilogram</v>
      </c>
      <c r="F12" s="4" t="str">
        <f>PR1_Ge_RoW!F55</f>
        <v>Germanium</v>
      </c>
      <c r="G12" s="10" t="s">
        <v>22</v>
      </c>
    </row>
    <row r="13" spans="1:14" s="1" customFormat="1" x14ac:dyDescent="0.35">
      <c r="F13" s="4"/>
    </row>
    <row r="14" spans="1:14" s="1" customFormat="1" x14ac:dyDescent="0.35">
      <c r="F14" s="4"/>
    </row>
    <row r="15" spans="1:14" s="1" customFormat="1" x14ac:dyDescent="0.35">
      <c r="F15" s="4"/>
    </row>
    <row r="16" spans="1:14" s="1" customFormat="1" x14ac:dyDescent="0.35">
      <c r="F16" s="4"/>
    </row>
    <row r="17" spans="6:6" s="1" customFormat="1" x14ac:dyDescent="0.35">
      <c r="F17" s="4"/>
    </row>
    <row r="18" spans="6:6" s="1" customFormat="1" x14ac:dyDescent="0.35">
      <c r="F18" s="4"/>
    </row>
    <row r="19" spans="6:6" s="1" customFormat="1" x14ac:dyDescent="0.35">
      <c r="F19" s="4"/>
    </row>
    <row r="20" spans="6:6" s="1" customFormat="1" x14ac:dyDescent="0.35">
      <c r="F20" s="4"/>
    </row>
    <row r="21" spans="6:6" s="1" customFormat="1" x14ac:dyDescent="0.35">
      <c r="F21" s="4"/>
    </row>
    <row r="22" spans="6:6" s="1" customFormat="1" x14ac:dyDescent="0.35">
      <c r="F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40DD-2B22-4B86-8BE4-4D6BD96BA56D}">
  <sheetPr>
    <tabColor theme="8" tint="0.39997558519241921"/>
  </sheetPr>
  <dimension ref="A1:N57"/>
  <sheetViews>
    <sheetView workbookViewId="0">
      <selection activeCell="D57" sqref="D57"/>
    </sheetView>
  </sheetViews>
  <sheetFormatPr baseColWidth="10" defaultColWidth="9.1796875" defaultRowHeight="14.5" x14ac:dyDescent="0.35"/>
  <cols>
    <col min="1" max="1" width="63.26953125" style="10" bestFit="1" customWidth="1"/>
    <col min="2" max="2" width="63.453125" style="10" bestFit="1" customWidth="1"/>
    <col min="3" max="3" width="8.1796875" style="10" bestFit="1" customWidth="1"/>
    <col min="4" max="4" width="12" style="10" bestFit="1" customWidth="1"/>
    <col min="5" max="5" width="12.81640625" style="10" bestFit="1" customWidth="1"/>
    <col min="6" max="6" width="19.7265625" style="10" bestFit="1" customWidth="1"/>
    <col min="7" max="7" width="13.26953125" style="10" bestFit="1" customWidth="1"/>
    <col min="8" max="8" width="10.179687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9.1796875" style="10"/>
  </cols>
  <sheetData>
    <row r="1" spans="1:14" x14ac:dyDescent="0.35">
      <c r="A1" s="9" t="s">
        <v>0</v>
      </c>
      <c r="B1" s="9" t="s">
        <v>42</v>
      </c>
    </row>
    <row r="2" spans="1:14" x14ac:dyDescent="0.35">
      <c r="A2" s="11" t="s">
        <v>1</v>
      </c>
      <c r="B2" s="10" t="s">
        <v>2</v>
      </c>
    </row>
    <row r="3" spans="1:14" x14ac:dyDescent="0.35">
      <c r="A3" s="11" t="s">
        <v>3</v>
      </c>
      <c r="B3" s="10" t="s">
        <v>23</v>
      </c>
    </row>
    <row r="4" spans="1:14" x14ac:dyDescent="0.35">
      <c r="A4" s="11" t="s">
        <v>4</v>
      </c>
      <c r="B4" s="10">
        <v>1</v>
      </c>
    </row>
    <row r="5" spans="1:14" x14ac:dyDescent="0.35">
      <c r="A5" s="11" t="s">
        <v>5</v>
      </c>
      <c r="B5" s="10" t="s">
        <v>6</v>
      </c>
    </row>
    <row r="6" spans="1:14" x14ac:dyDescent="0.35">
      <c r="A6" s="11" t="s">
        <v>7</v>
      </c>
      <c r="B6" s="7" t="s">
        <v>37</v>
      </c>
    </row>
    <row r="7" spans="1:14" x14ac:dyDescent="0.35">
      <c r="A7" s="11" t="s">
        <v>8</v>
      </c>
    </row>
    <row r="8" spans="1:14" x14ac:dyDescent="0.35">
      <c r="A8" s="9" t="s">
        <v>9</v>
      </c>
      <c r="B8" s="9" t="s">
        <v>1</v>
      </c>
      <c r="C8" s="9" t="s">
        <v>3</v>
      </c>
      <c r="D8" s="9" t="s">
        <v>4</v>
      </c>
      <c r="E8" s="9" t="s">
        <v>5</v>
      </c>
      <c r="F8" s="9" t="s">
        <v>10</v>
      </c>
      <c r="G8" s="9" t="s">
        <v>11</v>
      </c>
      <c r="H8" s="9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9" t="s">
        <v>18</v>
      </c>
    </row>
    <row r="9" spans="1:14" x14ac:dyDescent="0.35">
      <c r="A9" s="10" t="s">
        <v>42</v>
      </c>
      <c r="B9" s="10" t="s">
        <v>2</v>
      </c>
      <c r="C9" s="10" t="s">
        <v>23</v>
      </c>
      <c r="D9" s="10">
        <v>1</v>
      </c>
      <c r="E9" s="10" t="s">
        <v>6</v>
      </c>
      <c r="F9" s="12" t="str">
        <f>Ge_Market_GLO!B1</f>
        <v>Germanium</v>
      </c>
      <c r="G9" s="10" t="s">
        <v>19</v>
      </c>
    </row>
    <row r="10" spans="1:14" x14ac:dyDescent="0.35">
      <c r="A10" s="10" t="s">
        <v>44</v>
      </c>
      <c r="B10" s="10" t="s">
        <v>39</v>
      </c>
      <c r="C10" s="10" t="s">
        <v>23</v>
      </c>
      <c r="D10" s="10">
        <v>4.0502431118314428</v>
      </c>
      <c r="E10" s="10" t="s">
        <v>24</v>
      </c>
      <c r="F10" s="10" t="s">
        <v>21</v>
      </c>
      <c r="G10" s="10" t="s">
        <v>22</v>
      </c>
      <c r="J10" s="10" t="s">
        <v>43</v>
      </c>
    </row>
    <row r="11" spans="1:14" x14ac:dyDescent="0.35">
      <c r="A11" s="10" t="s">
        <v>40</v>
      </c>
      <c r="B11" s="10" t="s">
        <v>41</v>
      </c>
      <c r="C11" s="10" t="s">
        <v>23</v>
      </c>
      <c r="D11" s="10">
        <v>-170.072933549433</v>
      </c>
      <c r="E11" s="10" t="s">
        <v>6</v>
      </c>
      <c r="F11" s="10" t="s">
        <v>21</v>
      </c>
      <c r="G11" s="10" t="s">
        <v>22</v>
      </c>
      <c r="J11" s="10" t="s">
        <v>43</v>
      </c>
    </row>
    <row r="12" spans="1:14" x14ac:dyDescent="0.35">
      <c r="A12" s="10" t="s">
        <v>35</v>
      </c>
      <c r="D12" s="10">
        <v>1.7828200972447329E-5</v>
      </c>
      <c r="E12" s="10" t="s">
        <v>6</v>
      </c>
      <c r="F12" s="10" t="s">
        <v>28</v>
      </c>
      <c r="G12" s="10" t="s">
        <v>29</v>
      </c>
      <c r="H12" s="10" t="s">
        <v>31</v>
      </c>
      <c r="J12" s="10" t="s">
        <v>43</v>
      </c>
    </row>
    <row r="13" spans="1:14" x14ac:dyDescent="0.35">
      <c r="A13" s="10" t="s">
        <v>32</v>
      </c>
      <c r="D13" s="10">
        <v>1.004862236628849E-6</v>
      </c>
      <c r="E13" s="10" t="s">
        <v>6</v>
      </c>
      <c r="F13" s="10" t="s">
        <v>28</v>
      </c>
      <c r="G13" s="10" t="s">
        <v>29</v>
      </c>
      <c r="H13" s="10" t="s">
        <v>31</v>
      </c>
      <c r="J13" s="10" t="s">
        <v>43</v>
      </c>
    </row>
    <row r="14" spans="1:14" x14ac:dyDescent="0.35">
      <c r="A14" s="10" t="s">
        <v>36</v>
      </c>
      <c r="D14" s="10">
        <v>1.944894651539708E-7</v>
      </c>
      <c r="E14" s="10" t="s">
        <v>6</v>
      </c>
      <c r="F14" s="10" t="s">
        <v>28</v>
      </c>
      <c r="G14" s="10" t="s">
        <v>29</v>
      </c>
      <c r="H14" s="10" t="s">
        <v>31</v>
      </c>
      <c r="J14" s="10" t="s">
        <v>43</v>
      </c>
    </row>
    <row r="15" spans="1:14" x14ac:dyDescent="0.35">
      <c r="A15" s="10" t="s">
        <v>45</v>
      </c>
      <c r="D15" s="10">
        <v>0.29011345218800649</v>
      </c>
      <c r="E15" s="10" t="s">
        <v>6</v>
      </c>
      <c r="F15" s="10" t="s">
        <v>28</v>
      </c>
      <c r="G15" s="10" t="s">
        <v>29</v>
      </c>
      <c r="H15" s="10" t="s">
        <v>31</v>
      </c>
      <c r="J15" s="10" t="s">
        <v>43</v>
      </c>
    </row>
    <row r="16" spans="1:14" x14ac:dyDescent="0.35">
      <c r="A16" s="10" t="s">
        <v>46</v>
      </c>
      <c r="D16" s="10">
        <v>3.721231766612642E-4</v>
      </c>
      <c r="E16" s="10" t="s">
        <v>6</v>
      </c>
      <c r="F16" s="10" t="s">
        <v>28</v>
      </c>
      <c r="G16" s="10" t="s">
        <v>29</v>
      </c>
      <c r="H16" s="10" t="s">
        <v>31</v>
      </c>
      <c r="J16" s="10" t="s">
        <v>43</v>
      </c>
    </row>
    <row r="17" spans="1:14" x14ac:dyDescent="0.35">
      <c r="A17" s="10" t="s">
        <v>47</v>
      </c>
      <c r="D17" s="10">
        <v>2.338735818476499E-4</v>
      </c>
      <c r="E17" s="10" t="s">
        <v>6</v>
      </c>
      <c r="F17" s="10" t="s">
        <v>28</v>
      </c>
      <c r="G17" s="10" t="s">
        <v>29</v>
      </c>
      <c r="H17" s="10" t="s">
        <v>31</v>
      </c>
      <c r="J17" s="10" t="s">
        <v>43</v>
      </c>
    </row>
    <row r="18" spans="1:14" x14ac:dyDescent="0.35">
      <c r="A18" s="10" t="s">
        <v>38</v>
      </c>
      <c r="D18" s="10">
        <v>4.6139384116693676E-3</v>
      </c>
      <c r="E18" s="10" t="s">
        <v>6</v>
      </c>
      <c r="F18" s="10" t="s">
        <v>28</v>
      </c>
      <c r="G18" s="10" t="s">
        <v>29</v>
      </c>
      <c r="H18" s="10" t="s">
        <v>31</v>
      </c>
      <c r="J18" s="10" t="s">
        <v>43</v>
      </c>
    </row>
    <row r="19" spans="1:14" x14ac:dyDescent="0.35">
      <c r="A19" s="10" t="s">
        <v>32</v>
      </c>
      <c r="D19" s="10">
        <v>4.8622366288492706E-9</v>
      </c>
      <c r="E19" s="10" t="s">
        <v>6</v>
      </c>
      <c r="F19" s="10" t="s">
        <v>28</v>
      </c>
      <c r="G19" s="10" t="s">
        <v>29</v>
      </c>
      <c r="H19" s="10" t="s">
        <v>34</v>
      </c>
      <c r="J19" s="10" t="s">
        <v>43</v>
      </c>
    </row>
    <row r="20" spans="1:14" x14ac:dyDescent="0.35">
      <c r="A20" s="10" t="s">
        <v>35</v>
      </c>
      <c r="D20" s="10">
        <v>3.6466774716369529E-7</v>
      </c>
      <c r="E20" s="10" t="s">
        <v>6</v>
      </c>
      <c r="F20" s="10" t="s">
        <v>28</v>
      </c>
      <c r="G20" s="10" t="s">
        <v>29</v>
      </c>
      <c r="H20" s="10" t="s">
        <v>34</v>
      </c>
      <c r="J20" s="10" t="s">
        <v>43</v>
      </c>
    </row>
    <row r="21" spans="1:14" x14ac:dyDescent="0.35">
      <c r="A21" s="10" t="s">
        <v>36</v>
      </c>
      <c r="D21" s="10">
        <v>3.2414910858995142E-9</v>
      </c>
      <c r="E21" s="10" t="s">
        <v>6</v>
      </c>
      <c r="F21" s="10" t="s">
        <v>28</v>
      </c>
      <c r="G21" s="10" t="s">
        <v>29</v>
      </c>
      <c r="H21" s="10" t="s">
        <v>34</v>
      </c>
      <c r="J21" s="10" t="s">
        <v>43</v>
      </c>
    </row>
    <row r="22" spans="1:14" s="13" customFormat="1" x14ac:dyDescent="0.35"/>
    <row r="23" spans="1:14" x14ac:dyDescent="0.35">
      <c r="A23" s="9" t="s">
        <v>0</v>
      </c>
      <c r="B23" s="9" t="s">
        <v>50</v>
      </c>
    </row>
    <row r="24" spans="1:14" x14ac:dyDescent="0.35">
      <c r="A24" s="11" t="s">
        <v>1</v>
      </c>
      <c r="B24" s="10" t="s">
        <v>51</v>
      </c>
    </row>
    <row r="25" spans="1:14" x14ac:dyDescent="0.35">
      <c r="A25" s="11" t="s">
        <v>3</v>
      </c>
      <c r="B25" s="10" t="s">
        <v>23</v>
      </c>
    </row>
    <row r="26" spans="1:14" x14ac:dyDescent="0.35">
      <c r="A26" s="11" t="s">
        <v>4</v>
      </c>
      <c r="B26" s="10">
        <v>1</v>
      </c>
    </row>
    <row r="27" spans="1:14" x14ac:dyDescent="0.35">
      <c r="A27" s="11" t="s">
        <v>5</v>
      </c>
      <c r="B27" s="10" t="s">
        <v>6</v>
      </c>
    </row>
    <row r="28" spans="1:14" ht="58" x14ac:dyDescent="0.35">
      <c r="A28" s="11" t="s">
        <v>7</v>
      </c>
      <c r="B28" s="8" t="s">
        <v>54</v>
      </c>
    </row>
    <row r="29" spans="1:14" x14ac:dyDescent="0.35">
      <c r="A29" s="11" t="s">
        <v>8</v>
      </c>
    </row>
    <row r="30" spans="1:14" x14ac:dyDescent="0.35">
      <c r="A30" s="9" t="s">
        <v>9</v>
      </c>
      <c r="B30" s="9" t="s">
        <v>1</v>
      </c>
      <c r="C30" s="9" t="s">
        <v>3</v>
      </c>
      <c r="D30" s="9" t="s">
        <v>4</v>
      </c>
      <c r="E30" s="9" t="s">
        <v>5</v>
      </c>
      <c r="F30" s="9" t="s">
        <v>10</v>
      </c>
      <c r="G30" s="9" t="s">
        <v>11</v>
      </c>
      <c r="H30" s="9" t="s">
        <v>12</v>
      </c>
      <c r="I30" s="9" t="s">
        <v>13</v>
      </c>
      <c r="J30" s="9" t="s">
        <v>14</v>
      </c>
      <c r="K30" s="9" t="s">
        <v>15</v>
      </c>
      <c r="L30" s="9" t="s">
        <v>16</v>
      </c>
      <c r="M30" s="9" t="s">
        <v>17</v>
      </c>
      <c r="N30" s="9" t="s">
        <v>18</v>
      </c>
    </row>
    <row r="31" spans="1:14" x14ac:dyDescent="0.35">
      <c r="A31" s="10" t="str">
        <f>B23</f>
        <v>[P+R] Refined Germanium (Ge) production</v>
      </c>
      <c r="B31" s="10" t="str">
        <f>B24</f>
        <v>Refined Ge</v>
      </c>
      <c r="C31" s="10" t="s">
        <v>23</v>
      </c>
      <c r="D31" s="10">
        <v>1</v>
      </c>
      <c r="E31" s="10" t="s">
        <v>6</v>
      </c>
      <c r="F31" s="12" t="str">
        <f>F9</f>
        <v>Germanium</v>
      </c>
      <c r="G31" s="10" t="s">
        <v>19</v>
      </c>
    </row>
    <row r="32" spans="1:14" x14ac:dyDescent="0.35">
      <c r="A32" s="10" t="s">
        <v>25</v>
      </c>
      <c r="B32" s="10" t="s">
        <v>26</v>
      </c>
      <c r="C32" s="10" t="s">
        <v>20</v>
      </c>
      <c r="D32" s="15">
        <v>2877.8632083673424</v>
      </c>
      <c r="E32" s="10" t="s">
        <v>27</v>
      </c>
      <c r="F32" s="10" t="s">
        <v>21</v>
      </c>
      <c r="G32" s="10" t="s">
        <v>22</v>
      </c>
      <c r="J32" s="10" t="s">
        <v>43</v>
      </c>
    </row>
    <row r="33" spans="1:10" x14ac:dyDescent="0.35">
      <c r="A33" s="10" t="s">
        <v>44</v>
      </c>
      <c r="B33" s="10" t="s">
        <v>39</v>
      </c>
      <c r="C33" s="10" t="s">
        <v>23</v>
      </c>
      <c r="D33" s="15">
        <v>4515.3378266938553</v>
      </c>
      <c r="E33" s="10" t="s">
        <v>24</v>
      </c>
      <c r="F33" s="10" t="s">
        <v>21</v>
      </c>
      <c r="G33" s="10" t="s">
        <v>22</v>
      </c>
      <c r="J33" s="10" t="s">
        <v>43</v>
      </c>
    </row>
    <row r="34" spans="1:10" x14ac:dyDescent="0.35">
      <c r="A34" s="10" t="s">
        <v>35</v>
      </c>
      <c r="D34" s="15">
        <v>4.5370366978575204E-3</v>
      </c>
      <c r="E34" s="10" t="s">
        <v>6</v>
      </c>
      <c r="F34" s="10" t="s">
        <v>28</v>
      </c>
      <c r="G34" s="10" t="s">
        <v>29</v>
      </c>
      <c r="H34" s="10" t="s">
        <v>31</v>
      </c>
      <c r="J34" s="10" t="s">
        <v>43</v>
      </c>
    </row>
    <row r="35" spans="1:10" x14ac:dyDescent="0.35">
      <c r="A35" s="10" t="s">
        <v>32</v>
      </c>
      <c r="D35" s="15">
        <v>3.7479868373605611E-3</v>
      </c>
      <c r="E35" s="10" t="s">
        <v>6</v>
      </c>
      <c r="F35" s="10" t="s">
        <v>28</v>
      </c>
      <c r="G35" s="10" t="s">
        <v>29</v>
      </c>
      <c r="H35" s="10" t="s">
        <v>31</v>
      </c>
      <c r="J35" s="10" t="s">
        <v>43</v>
      </c>
    </row>
    <row r="36" spans="1:10" x14ac:dyDescent="0.35">
      <c r="A36" s="10" t="s">
        <v>36</v>
      </c>
      <c r="D36" s="15">
        <v>8.8768109305908035E-5</v>
      </c>
      <c r="E36" s="10" t="s">
        <v>6</v>
      </c>
      <c r="F36" s="10" t="s">
        <v>28</v>
      </c>
      <c r="G36" s="10" t="s">
        <v>29</v>
      </c>
      <c r="H36" s="10" t="s">
        <v>31</v>
      </c>
      <c r="J36" s="10" t="s">
        <v>43</v>
      </c>
    </row>
    <row r="37" spans="1:10" x14ac:dyDescent="0.35">
      <c r="A37" s="10" t="s">
        <v>33</v>
      </c>
      <c r="D37" s="15">
        <v>9.1727046282771626E-5</v>
      </c>
      <c r="E37" s="10" t="s">
        <v>6</v>
      </c>
      <c r="F37" s="10" t="s">
        <v>28</v>
      </c>
      <c r="G37" s="10" t="s">
        <v>29</v>
      </c>
      <c r="H37" s="10" t="s">
        <v>31</v>
      </c>
      <c r="J37" s="10" t="s">
        <v>43</v>
      </c>
    </row>
    <row r="38" spans="1:10" x14ac:dyDescent="0.35">
      <c r="A38" s="10" t="s">
        <v>30</v>
      </c>
      <c r="D38" s="15">
        <v>3.4866140710709432</v>
      </c>
      <c r="E38" s="10" t="s">
        <v>6</v>
      </c>
      <c r="F38" s="10" t="s">
        <v>28</v>
      </c>
      <c r="G38" s="10" t="s">
        <v>29</v>
      </c>
      <c r="H38" s="10" t="s">
        <v>31</v>
      </c>
      <c r="J38" s="10" t="s">
        <v>43</v>
      </c>
    </row>
    <row r="39" spans="1:10" x14ac:dyDescent="0.35">
      <c r="A39" s="10" t="s">
        <v>45</v>
      </c>
      <c r="D39" s="15">
        <v>349.15456326990488</v>
      </c>
      <c r="E39" s="10" t="s">
        <v>6</v>
      </c>
      <c r="F39" s="10" t="s">
        <v>28</v>
      </c>
      <c r="G39" s="10" t="s">
        <v>29</v>
      </c>
      <c r="H39" s="10" t="s">
        <v>31</v>
      </c>
      <c r="J39" s="10" t="s">
        <v>43</v>
      </c>
    </row>
    <row r="40" spans="1:10" x14ac:dyDescent="0.35">
      <c r="A40" s="10" t="s">
        <v>46</v>
      </c>
      <c r="D40" s="15">
        <v>0.11342591744643803</v>
      </c>
      <c r="E40" s="10" t="s">
        <v>6</v>
      </c>
      <c r="F40" s="10" t="s">
        <v>28</v>
      </c>
      <c r="G40" s="10" t="s">
        <v>29</v>
      </c>
      <c r="H40" s="10" t="s">
        <v>31</v>
      </c>
      <c r="J40" s="10" t="s">
        <v>43</v>
      </c>
    </row>
    <row r="41" spans="1:10" x14ac:dyDescent="0.35">
      <c r="A41" s="10" t="s">
        <v>48</v>
      </c>
      <c r="D41" s="15">
        <v>7.2000799770347609E-2</v>
      </c>
      <c r="E41" s="10" t="s">
        <v>6</v>
      </c>
      <c r="F41" s="10" t="s">
        <v>28</v>
      </c>
      <c r="G41" s="10" t="s">
        <v>29</v>
      </c>
      <c r="H41" s="10" t="s">
        <v>31</v>
      </c>
      <c r="J41" s="10" t="s">
        <v>43</v>
      </c>
    </row>
    <row r="42" spans="1:10" x14ac:dyDescent="0.35">
      <c r="A42" s="10" t="s">
        <v>32</v>
      </c>
      <c r="D42" s="15">
        <v>1.9627615279861881E-3</v>
      </c>
      <c r="E42" s="10" t="s">
        <v>6</v>
      </c>
      <c r="F42" s="10" t="s">
        <v>28</v>
      </c>
      <c r="G42" s="10" t="s">
        <v>29</v>
      </c>
      <c r="H42" s="10" t="s">
        <v>34</v>
      </c>
      <c r="J42" s="10" t="s">
        <v>43</v>
      </c>
    </row>
    <row r="43" spans="1:10" x14ac:dyDescent="0.35">
      <c r="A43" s="10" t="s">
        <v>35</v>
      </c>
      <c r="D43" s="15">
        <v>2.4066020745157284E-2</v>
      </c>
      <c r="E43" s="10" t="s">
        <v>6</v>
      </c>
      <c r="F43" s="10" t="s">
        <v>28</v>
      </c>
      <c r="G43" s="10" t="s">
        <v>29</v>
      </c>
      <c r="H43" s="10" t="s">
        <v>34</v>
      </c>
      <c r="J43" s="10" t="s">
        <v>43</v>
      </c>
    </row>
    <row r="44" spans="1:10" x14ac:dyDescent="0.35">
      <c r="A44" s="10" t="s">
        <v>36</v>
      </c>
      <c r="D44" s="15">
        <v>1.4893316116880125E-4</v>
      </c>
      <c r="E44" s="10" t="s">
        <v>6</v>
      </c>
      <c r="F44" s="10" t="s">
        <v>28</v>
      </c>
      <c r="G44" s="10" t="s">
        <v>29</v>
      </c>
      <c r="H44" s="10" t="s">
        <v>34</v>
      </c>
      <c r="J44" s="10" t="s">
        <v>43</v>
      </c>
    </row>
    <row r="45" spans="1:10" x14ac:dyDescent="0.35">
      <c r="A45" s="10" t="s">
        <v>33</v>
      </c>
      <c r="D45" s="15">
        <v>1.2822060233075601E-5</v>
      </c>
      <c r="E45" s="10" t="s">
        <v>6</v>
      </c>
      <c r="F45" s="10" t="s">
        <v>28</v>
      </c>
      <c r="G45" s="10" t="s">
        <v>29</v>
      </c>
      <c r="H45" s="10" t="s">
        <v>34</v>
      </c>
      <c r="J45" s="10" t="s">
        <v>43</v>
      </c>
    </row>
    <row r="46" spans="1:10" s="14" customFormat="1" x14ac:dyDescent="0.35"/>
    <row r="47" spans="1:10" x14ac:dyDescent="0.35">
      <c r="A47" s="9" t="s">
        <v>0</v>
      </c>
      <c r="B47" s="9" t="s">
        <v>52</v>
      </c>
    </row>
    <row r="48" spans="1:10" x14ac:dyDescent="0.35">
      <c r="A48" s="11" t="s">
        <v>1</v>
      </c>
      <c r="B48" s="10" t="s">
        <v>51</v>
      </c>
    </row>
    <row r="49" spans="1:14" x14ac:dyDescent="0.35">
      <c r="A49" s="11" t="s">
        <v>3</v>
      </c>
      <c r="B49" s="10" t="s">
        <v>23</v>
      </c>
    </row>
    <row r="50" spans="1:14" x14ac:dyDescent="0.35">
      <c r="A50" s="11" t="s">
        <v>4</v>
      </c>
      <c r="B50" s="10">
        <v>1</v>
      </c>
    </row>
    <row r="51" spans="1:14" x14ac:dyDescent="0.35">
      <c r="A51" s="11" t="s">
        <v>5</v>
      </c>
      <c r="B51" s="10" t="s">
        <v>6</v>
      </c>
    </row>
    <row r="52" spans="1:14" x14ac:dyDescent="0.35">
      <c r="A52" s="11" t="s">
        <v>7</v>
      </c>
      <c r="B52" s="15" t="s">
        <v>55</v>
      </c>
    </row>
    <row r="53" spans="1:14" x14ac:dyDescent="0.35">
      <c r="A53" s="11" t="s">
        <v>8</v>
      </c>
    </row>
    <row r="54" spans="1:14" x14ac:dyDescent="0.35">
      <c r="A54" s="9" t="s">
        <v>9</v>
      </c>
      <c r="B54" s="9" t="s">
        <v>1</v>
      </c>
      <c r="C54" s="9" t="s">
        <v>3</v>
      </c>
      <c r="D54" s="9" t="s">
        <v>4</v>
      </c>
      <c r="E54" s="9" t="s">
        <v>5</v>
      </c>
      <c r="F54" s="9" t="s">
        <v>10</v>
      </c>
      <c r="G54" s="9" t="s">
        <v>11</v>
      </c>
      <c r="H54" s="9" t="s">
        <v>12</v>
      </c>
      <c r="I54" s="9" t="s">
        <v>13</v>
      </c>
      <c r="J54" s="9" t="s">
        <v>14</v>
      </c>
      <c r="K54" s="9" t="s">
        <v>15</v>
      </c>
      <c r="L54" s="9" t="s">
        <v>16</v>
      </c>
      <c r="M54" s="9" t="s">
        <v>17</v>
      </c>
      <c r="N54" s="9" t="s">
        <v>18</v>
      </c>
    </row>
    <row r="55" spans="1:14" x14ac:dyDescent="0.35">
      <c r="A55" s="10" t="str">
        <f>B47</f>
        <v>Ge recovery along with Pb/Zn production in Canada/Peru/Chile/the US</v>
      </c>
      <c r="B55" s="10" t="str">
        <f>B48</f>
        <v>Refined Ge</v>
      </c>
      <c r="C55" s="10" t="s">
        <v>23</v>
      </c>
      <c r="D55" s="10">
        <v>1</v>
      </c>
      <c r="E55" s="10" t="s">
        <v>6</v>
      </c>
      <c r="F55" s="12" t="str">
        <f>F31</f>
        <v>Germanium</v>
      </c>
      <c r="G55" s="10" t="s">
        <v>19</v>
      </c>
    </row>
    <row r="56" spans="1:14" x14ac:dyDescent="0.35">
      <c r="A56" s="10" t="str">
        <f>A31</f>
        <v>[P+R] Refined Germanium (Ge) production</v>
      </c>
      <c r="B56" s="10" t="str">
        <f>B31</f>
        <v>Refined Ge</v>
      </c>
      <c r="C56" s="10" t="str">
        <f>C31</f>
        <v>RoW</v>
      </c>
      <c r="D56" s="10">
        <v>1</v>
      </c>
      <c r="E56" s="10" t="str">
        <f>E31</f>
        <v>kilogram</v>
      </c>
      <c r="F56" s="12" t="str">
        <f>F31</f>
        <v>Germanium</v>
      </c>
      <c r="G56" s="10" t="s">
        <v>22</v>
      </c>
    </row>
    <row r="57" spans="1:14" x14ac:dyDescent="0.35">
      <c r="A57" s="10" t="str">
        <f>A9</f>
        <v>[M+C] Zinc (Zn) ore mining and concentration</v>
      </c>
      <c r="B57" s="10" t="str">
        <f t="shared" ref="B57:F57" si="0">B9</f>
        <v>Zn concentrate</v>
      </c>
      <c r="C57" s="10" t="str">
        <f t="shared" si="0"/>
        <v>RoW</v>
      </c>
      <c r="D57" s="15">
        <v>376.02861520610583</v>
      </c>
      <c r="E57" s="10" t="str">
        <f t="shared" si="0"/>
        <v>kilogram</v>
      </c>
      <c r="F57" s="12" t="str">
        <f t="shared" si="0"/>
        <v>Germanium</v>
      </c>
      <c r="G57" s="10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906E57-5E5F-48B6-90EF-E5DAD8107967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6C032568-175A-46BA-93DB-E2343B2AD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2C308C-DA06-4004-B941-7BF03EED63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Ge_Market_GLO</vt:lpstr>
      <vt:lpstr>PR1_Ge_RoW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2025-05-05T08:01:10Z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