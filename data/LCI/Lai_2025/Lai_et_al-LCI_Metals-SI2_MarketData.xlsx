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not_in_github/Lai_et_al/"/>
    </mc:Choice>
  </mc:AlternateContent>
  <xr:revisionPtr revIDLastSave="6" documentId="8_{435E8E29-A3B0-46FC-985B-8D188010DE05}" xr6:coauthVersionLast="47" xr6:coauthVersionMax="47" xr10:uidLastSave="{FF1E74B2-CEC2-4348-BD54-E2845D77AFFD}"/>
  <bookViews>
    <workbookView xWindow="-110" yWindow="-110" windowWidth="19420" windowHeight="10300" tabRatio="868" firstSheet="25" activeTab="30" xr2:uid="{00000000-000D-0000-FFFF-FFFF00000000}"/>
  </bookViews>
  <sheets>
    <sheet name="Note" sheetId="52" r:id="rId1"/>
    <sheet name="CompanionalityData" sheetId="53" r:id="rId2"/>
    <sheet name="RecyclingData" sheetId="54" r:id="rId3"/>
    <sheet name="Li_Lithium" sheetId="49" r:id="rId4"/>
    <sheet name="Be_Beryllium" sheetId="56" r:id="rId5"/>
    <sheet name="B_Boron" sheetId="57" r:id="rId6"/>
    <sheet name="C_Graphite" sheetId="58" r:id="rId7"/>
    <sheet name="Al_Aluminium" sheetId="60" r:id="rId8"/>
    <sheet name="Mg_Magnesium" sheetId="59" r:id="rId9"/>
    <sheet name="Si_SiliconMetal" sheetId="61" r:id="rId10"/>
    <sheet name="Ti_Titanium" sheetId="62" r:id="rId11"/>
    <sheet name="V_Vanadium" sheetId="63" r:id="rId12"/>
    <sheet name="Cr_Chromium" sheetId="64" r:id="rId13"/>
    <sheet name="Ni_Nickel" sheetId="68" r:id="rId14"/>
    <sheet name="Mn_Manganese" sheetId="65" r:id="rId15"/>
    <sheet name="Fe_Iron" sheetId="66" r:id="rId16"/>
    <sheet name="Co_Cobalt" sheetId="67" r:id="rId17"/>
    <sheet name="Cu_Copper" sheetId="69" r:id="rId18"/>
    <sheet name="Zn_Zinc" sheetId="70" r:id="rId19"/>
    <sheet name="Ge_Germanium" sheetId="72" r:id="rId20"/>
    <sheet name="As_Arsenic" sheetId="73" r:id="rId21"/>
    <sheet name="Se_Selenium" sheetId="74" r:id="rId22"/>
    <sheet name="Mo_Molybdenum" sheetId="78" r:id="rId23"/>
    <sheet name="Sr_Strontium" sheetId="75" r:id="rId24"/>
    <sheet name="Zr_Zirconium" sheetId="76" r:id="rId25"/>
    <sheet name="Ag_Silver" sheetId="79" r:id="rId26"/>
    <sheet name="Nb_Niobium" sheetId="77" r:id="rId27"/>
    <sheet name="Cd_Cadmium" sheetId="80" r:id="rId28"/>
    <sheet name="In_Indium" sheetId="81" r:id="rId29"/>
    <sheet name="Sb_Antimony" sheetId="82" r:id="rId30"/>
    <sheet name="Te_Tellurium" sheetId="83" r:id="rId31"/>
    <sheet name="W_Tungsten" sheetId="84" r:id="rId32"/>
    <sheet name="Au_Gold" sheetId="85" r:id="rId33"/>
    <sheet name="Pb_Lead" sheetId="86" r:id="rId34"/>
    <sheet name="Bi_Bismuth" sheetId="87" r:id="rId35"/>
    <sheet name="RE_RareEarths" sheetId="88" r:id="rId3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87" l="1"/>
  <c r="C29" i="87"/>
  <c r="D23" i="88" l="1"/>
  <c r="C23" i="88"/>
  <c r="C8" i="87"/>
  <c r="D61" i="86" l="1"/>
  <c r="C11" i="86" l="1"/>
  <c r="C63" i="86" l="1"/>
  <c r="D38" i="86"/>
  <c r="C38" i="86"/>
  <c r="C8" i="85" l="1"/>
  <c r="D51" i="85" l="1"/>
  <c r="C51" i="85"/>
  <c r="D57" i="84" l="1"/>
  <c r="C57" i="84" l="1"/>
  <c r="C47" i="84"/>
  <c r="D47" i="84"/>
  <c r="C13" i="84"/>
  <c r="C10" i="83" l="1"/>
  <c r="D30" i="83"/>
  <c r="C30" i="83"/>
  <c r="C50" i="82"/>
  <c r="C13" i="81"/>
  <c r="C12" i="81"/>
  <c r="C38" i="80"/>
  <c r="D33" i="82" l="1"/>
  <c r="C33" i="82"/>
  <c r="C10" i="82"/>
  <c r="C34" i="81"/>
  <c r="D34" i="81"/>
  <c r="D38" i="80"/>
  <c r="C9" i="80"/>
  <c r="C17" i="79"/>
  <c r="C37" i="78"/>
  <c r="D37" i="78"/>
  <c r="C12" i="78"/>
  <c r="C10" i="77"/>
  <c r="C55" i="79" l="1"/>
  <c r="C41" i="77"/>
  <c r="D41" i="77"/>
  <c r="D35" i="77"/>
  <c r="C35" i="77"/>
  <c r="C28" i="75"/>
  <c r="D28" i="75"/>
  <c r="D36" i="76" l="1"/>
  <c r="C36" i="76"/>
  <c r="C12" i="76"/>
  <c r="C11" i="75"/>
  <c r="D35" i="74"/>
  <c r="C35" i="74"/>
  <c r="C11" i="74" l="1"/>
  <c r="C29" i="73"/>
  <c r="C10" i="73"/>
  <c r="C27" i="72"/>
  <c r="C10" i="72"/>
  <c r="D27" i="72"/>
  <c r="C61" i="70" l="1"/>
  <c r="C36" i="70" l="1"/>
  <c r="C11" i="70"/>
  <c r="D111" i="69" l="1"/>
  <c r="D112" i="69"/>
  <c r="C114" i="69" l="1"/>
  <c r="D88" i="69" l="1"/>
  <c r="C88" i="69"/>
  <c r="C19" i="69"/>
  <c r="C11" i="68" l="1"/>
  <c r="C73" i="68" l="1"/>
  <c r="D55" i="68"/>
  <c r="C55" i="68"/>
  <c r="D59" i="67" l="1"/>
  <c r="C59" i="67" l="1"/>
  <c r="C12" i="67"/>
  <c r="D43" i="67" l="1"/>
  <c r="C43" i="67"/>
  <c r="D74" i="66" l="1"/>
  <c r="D50" i="66" l="1"/>
  <c r="C50" i="66"/>
  <c r="C13" i="66"/>
  <c r="C60" i="65" l="1"/>
  <c r="D41" i="65"/>
  <c r="C41" i="65"/>
  <c r="C14" i="65"/>
  <c r="D59" i="64" l="1"/>
  <c r="C59" i="64"/>
  <c r="D45" i="64" l="1"/>
  <c r="C45" i="64"/>
  <c r="C10" i="64"/>
  <c r="C28" i="63" l="1"/>
  <c r="C11" i="63"/>
  <c r="D28" i="63" l="1"/>
  <c r="C65" i="62" l="1"/>
  <c r="C76" i="62"/>
  <c r="D65" i="62"/>
  <c r="C47" i="62" l="1"/>
  <c r="D47" i="62"/>
  <c r="C11" i="62"/>
  <c r="C9" i="61"/>
  <c r="C42" i="61" l="1"/>
  <c r="D30" i="61"/>
  <c r="C30" i="61"/>
  <c r="D90" i="60" l="1"/>
  <c r="C15" i="60" l="1"/>
  <c r="C90" i="60"/>
  <c r="D45" i="60"/>
  <c r="C45" i="60"/>
  <c r="D50" i="59"/>
  <c r="D53" i="58"/>
  <c r="C53" i="58"/>
  <c r="C50" i="59" l="1"/>
  <c r="D38" i="59"/>
  <c r="C38" i="59"/>
  <c r="C10" i="59"/>
  <c r="D42" i="58"/>
  <c r="C42" i="58"/>
  <c r="C12" i="58"/>
  <c r="C54" i="57" l="1"/>
  <c r="D39" i="57"/>
  <c r="C13" i="57"/>
  <c r="D41" i="56" l="1"/>
  <c r="C41" i="56"/>
  <c r="D33" i="56"/>
  <c r="C13" i="56"/>
  <c r="C33" i="56" l="1"/>
  <c r="BF64" i="53" l="1"/>
  <c r="P64" i="53"/>
  <c r="BN63" i="53"/>
  <c r="BI62" i="53"/>
  <c r="BA62" i="53"/>
  <c r="AG62" i="53"/>
  <c r="BN62" i="53" s="1"/>
  <c r="Z62" i="53"/>
  <c r="P62" i="53"/>
  <c r="BN61" i="53"/>
  <c r="BN60" i="53"/>
  <c r="BN59" i="53"/>
  <c r="BE58" i="53"/>
  <c r="AD58" i="53"/>
  <c r="Q58" i="53"/>
  <c r="P58" i="53"/>
  <c r="O58" i="53"/>
  <c r="AC57" i="53"/>
  <c r="O57" i="53"/>
  <c r="BN57" i="53" s="1"/>
  <c r="BE56" i="53"/>
  <c r="BN56" i="53" s="1"/>
  <c r="O56" i="53"/>
  <c r="BE55" i="53"/>
  <c r="BN55" i="53" s="1"/>
  <c r="BN54" i="53"/>
  <c r="P54" i="53"/>
  <c r="BN53" i="53"/>
  <c r="AG52" i="53"/>
  <c r="Y52" i="53"/>
  <c r="I51" i="53"/>
  <c r="BN51" i="53" s="1"/>
  <c r="AO50" i="53"/>
  <c r="AL50" i="53"/>
  <c r="AK50" i="53"/>
  <c r="W50" i="53"/>
  <c r="I50" i="53"/>
  <c r="AO49" i="53"/>
  <c r="AL49" i="53"/>
  <c r="AK49" i="53"/>
  <c r="W49" i="53"/>
  <c r="I49" i="53"/>
  <c r="AO48" i="53"/>
  <c r="AL48" i="53"/>
  <c r="AK48" i="53"/>
  <c r="W48" i="53"/>
  <c r="I48" i="53"/>
  <c r="AO47" i="53"/>
  <c r="AL47" i="53"/>
  <c r="BN47" i="53" s="1"/>
  <c r="AK47" i="53"/>
  <c r="AG47" i="53"/>
  <c r="W47" i="53"/>
  <c r="I47" i="53"/>
  <c r="AO46" i="53"/>
  <c r="AL46" i="53"/>
  <c r="AK46" i="53"/>
  <c r="AG46" i="53"/>
  <c r="W46" i="53"/>
  <c r="I46" i="53"/>
  <c r="AO45" i="53"/>
  <c r="AL45" i="53"/>
  <c r="AK45" i="53"/>
  <c r="AG45" i="53"/>
  <c r="W45" i="53"/>
  <c r="M45" i="53"/>
  <c r="I45" i="53"/>
  <c r="BN45" i="53" s="1"/>
  <c r="AO44" i="53"/>
  <c r="AL44" i="53"/>
  <c r="AK44" i="53"/>
  <c r="W44" i="53"/>
  <c r="M44" i="53"/>
  <c r="AO43" i="53"/>
  <c r="AL43" i="53"/>
  <c r="AK43" i="53"/>
  <c r="AG43" i="53"/>
  <c r="W43" i="53"/>
  <c r="M43" i="53"/>
  <c r="I43" i="53"/>
  <c r="BN43" i="53" s="1"/>
  <c r="AO42" i="53"/>
  <c r="AL42" i="53"/>
  <c r="AK42" i="53"/>
  <c r="AG42" i="53"/>
  <c r="W42" i="53"/>
  <c r="M42" i="53"/>
  <c r="I42" i="53"/>
  <c r="AL41" i="53"/>
  <c r="AK41" i="53"/>
  <c r="AG41" i="53"/>
  <c r="W41" i="53"/>
  <c r="M41" i="53"/>
  <c r="I41" i="53"/>
  <c r="BN41" i="53" s="1"/>
  <c r="AO40" i="53"/>
  <c r="AL40" i="53"/>
  <c r="AK40" i="53"/>
  <c r="AG40" i="53"/>
  <c r="W40" i="53"/>
  <c r="M40" i="53"/>
  <c r="I40" i="53"/>
  <c r="AO39" i="53"/>
  <c r="AL39" i="53"/>
  <c r="AK39" i="53"/>
  <c r="AG39" i="53"/>
  <c r="W39" i="53"/>
  <c r="M39" i="53"/>
  <c r="I39" i="53"/>
  <c r="BN38" i="53"/>
  <c r="AO38" i="53"/>
  <c r="W38" i="53"/>
  <c r="M38" i="53"/>
  <c r="I38" i="53"/>
  <c r="AO37" i="53"/>
  <c r="AL37" i="53"/>
  <c r="AG37" i="53"/>
  <c r="W37" i="53"/>
  <c r="M37" i="53"/>
  <c r="I37" i="53"/>
  <c r="BN36" i="53"/>
  <c r="BN35" i="53"/>
  <c r="P35" i="53"/>
  <c r="BI34" i="53"/>
  <c r="BF34" i="53"/>
  <c r="BA34" i="53"/>
  <c r="AG34" i="53"/>
  <c r="AD34" i="53"/>
  <c r="AZ33" i="53"/>
  <c r="Q33" i="53"/>
  <c r="P33" i="53"/>
  <c r="BN32" i="53"/>
  <c r="Q31" i="53"/>
  <c r="BN31" i="53" s="1"/>
  <c r="BM30" i="53"/>
  <c r="BF30" i="53"/>
  <c r="Q30" i="53"/>
  <c r="BN30" i="53" s="1"/>
  <c r="P30" i="53"/>
  <c r="BE29" i="53"/>
  <c r="O29" i="53"/>
  <c r="BE28" i="53"/>
  <c r="O28" i="53"/>
  <c r="BN28" i="53" s="1"/>
  <c r="BE27" i="53"/>
  <c r="O27" i="53"/>
  <c r="BN27" i="53" s="1"/>
  <c r="BN26" i="53"/>
  <c r="BN25" i="53"/>
  <c r="I24" i="53"/>
  <c r="BN24" i="53" s="1"/>
  <c r="AO23" i="53"/>
  <c r="AL23" i="53"/>
  <c r="AK23" i="53"/>
  <c r="M23" i="53"/>
  <c r="BN22" i="53"/>
  <c r="BN21" i="53"/>
  <c r="P21" i="53"/>
  <c r="BN20" i="53"/>
  <c r="BN19" i="53"/>
  <c r="BM19" i="53"/>
  <c r="Q19" i="53"/>
  <c r="Q18" i="53"/>
  <c r="BN18" i="53" s="1"/>
  <c r="G18" i="53"/>
  <c r="BI17" i="53"/>
  <c r="BF17" i="53"/>
  <c r="AD17" i="53"/>
  <c r="P17" i="53"/>
  <c r="BN16" i="53"/>
  <c r="BE15" i="53"/>
  <c r="BN15" i="53" s="1"/>
  <c r="BE14" i="53"/>
  <c r="P14" i="53"/>
  <c r="O14" i="53"/>
  <c r="BN13" i="53"/>
  <c r="M12" i="53"/>
  <c r="BN12" i="53" s="1"/>
  <c r="BN11" i="53"/>
  <c r="BN10" i="53"/>
  <c r="BN8" i="53"/>
  <c r="BN7" i="53"/>
  <c r="BM6" i="53"/>
  <c r="BN6" i="53" s="1"/>
  <c r="BM5" i="53"/>
  <c r="C5" i="53"/>
  <c r="BM4" i="53"/>
  <c r="BN4" i="53" s="1"/>
  <c r="BN3" i="53"/>
  <c r="BN37" i="53" l="1"/>
  <c r="BN17" i="53"/>
  <c r="BN29" i="53"/>
  <c r="BN34" i="53"/>
  <c r="BN33" i="53"/>
  <c r="BN52" i="53"/>
  <c r="BN23" i="53"/>
  <c r="BN40" i="53"/>
  <c r="BN5" i="53"/>
  <c r="BN39" i="53"/>
  <c r="BN49" i="53"/>
  <c r="BN50" i="53"/>
  <c r="BN48" i="53"/>
  <c r="BN44" i="53"/>
  <c r="BN46" i="53"/>
  <c r="BN14" i="53"/>
  <c r="BN42" i="53"/>
  <c r="BN58" i="53"/>
  <c r="BN64" i="53"/>
  <c r="D35" i="49"/>
  <c r="C35" i="49" l="1"/>
  <c r="C44" i="49" l="1"/>
  <c r="C12" i="49"/>
  <c r="C39" i="57" l="1"/>
  <c r="C74" i="66" l="1"/>
</calcChain>
</file>

<file path=xl/sharedStrings.xml><?xml version="1.0" encoding="utf-8"?>
<sst xmlns="http://schemas.openxmlformats.org/spreadsheetml/2006/main" count="4152" uniqueCount="794">
  <si>
    <t>HS code number</t>
  </si>
  <si>
    <t>Aluminium (Al)</t>
  </si>
  <si>
    <t>Aluminium oxide; artificial corundum</t>
  </si>
  <si>
    <t>Aluminium oxide; other than artificial corundum</t>
  </si>
  <si>
    <t>Aluminium hydroxide</t>
  </si>
  <si>
    <t>Fluorides; of aluminium</t>
  </si>
  <si>
    <t>Chlorides; of aluminium</t>
  </si>
  <si>
    <t>Sulphates; of aluminium</t>
  </si>
  <si>
    <t>Aluminium; unwrought, (not alloyed)</t>
  </si>
  <si>
    <t>Aluminium; unwrought, alloys</t>
  </si>
  <si>
    <t>Antimony (Sb)</t>
  </si>
  <si>
    <t>Antimony oxides</t>
  </si>
  <si>
    <t>Antimony and articles thereof; unwrought antimony, powders</t>
  </si>
  <si>
    <t>Barium (Ba)</t>
  </si>
  <si>
    <t>Beryllium (Be)</t>
  </si>
  <si>
    <t>Beryllium and articles thereof; unwrought beryllium, powders</t>
  </si>
  <si>
    <t>Bismuth (Bi)</t>
  </si>
  <si>
    <t>Bismuth; articles thereof, including waste and scrap</t>
  </si>
  <si>
    <t>Boron (B)</t>
  </si>
  <si>
    <t>Boron; tellurium</t>
  </si>
  <si>
    <t>Oxides of boron; boric acids</t>
  </si>
  <si>
    <t>Borates; disodium tetraborate (refined borax), anhydrous</t>
  </si>
  <si>
    <t>Borates; disodium tetraborate (refined borax), other than anhydrous</t>
  </si>
  <si>
    <t>Peroxoborates (perborates)</t>
  </si>
  <si>
    <t>Cadmium (Cd)</t>
  </si>
  <si>
    <t>Cadmium; unwrought, powders</t>
  </si>
  <si>
    <t>Chromium (Cr)</t>
  </si>
  <si>
    <t>Ferro-alloys; ferro-chromium, containing by weight more than 4% of carbon</t>
  </si>
  <si>
    <t>Ferro-alloys; ferro-chromium, containing by weight 4% or less of carbon</t>
  </si>
  <si>
    <t>Chromium and articles thereof; unwrought chromium, powders</t>
  </si>
  <si>
    <t>Cobalt (Co)</t>
  </si>
  <si>
    <t>Cobalt oxides and hydroxides; commercial cobalt oxides</t>
  </si>
  <si>
    <t>Cobalt; mattes and other intermediate products of cobalt metallurgy, unwrought cobalt, powders</t>
  </si>
  <si>
    <t>Copper (Cu)</t>
  </si>
  <si>
    <t>Copper; refined, unwrought, cathodes and sections of cathodes</t>
  </si>
  <si>
    <t>Gallium (Ga)</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</si>
  <si>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</si>
  <si>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</si>
  <si>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Germanium (Ge)</t>
  </si>
  <si>
    <t>Germanium oxides and zirconium dioxide</t>
  </si>
  <si>
    <t>Gold (Au)</t>
  </si>
  <si>
    <t>Metals; gold, non-monetary, unwrought (but not powder)</t>
  </si>
  <si>
    <t>Graphite (C)</t>
  </si>
  <si>
    <t>Graphite; natural, in powder or in flakes</t>
  </si>
  <si>
    <t>Graphite; natural, in other forms, excluding powder or flakes</t>
  </si>
  <si>
    <t>Graphite; artificial</t>
  </si>
  <si>
    <t>Hafnium (Hf)</t>
  </si>
  <si>
    <t>Indium (In)</t>
  </si>
  <si>
    <t>Iridium (Ir)</t>
  </si>
  <si>
    <t>Iron (Fe)</t>
  </si>
  <si>
    <t>Iron or steel, pig iron, spiegeleisen; granules thereof</t>
  </si>
  <si>
    <t>Alloy steel powders</t>
  </si>
  <si>
    <t>Iron or non-alloy steel; ingots (excluding iron of heading no. 7203)</t>
  </si>
  <si>
    <t>Iron or non-alloy steel; primary forms (excluding ingots and iron of heading no. 7203)</t>
  </si>
  <si>
    <t>Lead (Pb)</t>
  </si>
  <si>
    <t>Lead; unwrought, refined</t>
  </si>
  <si>
    <t>Lead; unwrought, unrefined, not containing by weight antimony as the principal other element</t>
  </si>
  <si>
    <t>Lithium (Li)</t>
  </si>
  <si>
    <t>Lithium oxide and hydroxide</t>
  </si>
  <si>
    <t>Carbonates; lithium carbonate</t>
  </si>
  <si>
    <t>Magnesium (Mg)</t>
  </si>
  <si>
    <t>Magnesium carbonate (magnesite); natural</t>
  </si>
  <si>
    <t>Magnesia, fused or dead-burned (sintered); whether or not containing small quantities of other oxides added before sintering, other magnesium oxide, whether or not pure, (not natural magnesium carbonate)</t>
  </si>
  <si>
    <t>Hydroxide and peroxide of magnesium</t>
  </si>
  <si>
    <t>Chlorides; of magnesium</t>
  </si>
  <si>
    <t>Sulphates; of magnesium</t>
  </si>
  <si>
    <t>Magnesium; unwrought, containing at least 99.8% by weight of magnesium</t>
  </si>
  <si>
    <t>Magnesium; unwrought, containing less than 99.8% by weight of magnesium</t>
  </si>
  <si>
    <t>Manganese (Mn)</t>
  </si>
  <si>
    <t>Manganese dioxide</t>
  </si>
  <si>
    <t>Manganese oxides; excluding manganese dioxide</t>
  </si>
  <si>
    <t>Ferro-alloys; ferro-manganese, containing by weight more than 2% of carbon</t>
  </si>
  <si>
    <t>Ferro-alloys; ferro-manganese, containing by weight 2% or less of carbon</t>
  </si>
  <si>
    <t>Ferro-alloys; ferro-silico-manganese</t>
  </si>
  <si>
    <t>Manganese; articles thereof, including waste and scrap</t>
  </si>
  <si>
    <t>Mercury (Hg)</t>
  </si>
  <si>
    <t>Molybdenum (Mo)</t>
  </si>
  <si>
    <t>Molybdenum oxides and hydroxides</t>
  </si>
  <si>
    <t>Salts; molybdates</t>
  </si>
  <si>
    <t>Ferro-alloys; ferro-molybdenum</t>
  </si>
  <si>
    <t>Molybdenum; unwrought, including bars and rods obtained simply by sintering</t>
  </si>
  <si>
    <t>Nickel (Ni)</t>
  </si>
  <si>
    <t>Nickel oxides and hydroxides</t>
  </si>
  <si>
    <t>Sulphates; of nickel</t>
  </si>
  <si>
    <t>Ferro-alloys; ferro-nickel</t>
  </si>
  <si>
    <t>Nickel; unwrought, not alloyed</t>
  </si>
  <si>
    <t>Nickel; unwrought, alloys</t>
  </si>
  <si>
    <t>Niobium (Nb)</t>
  </si>
  <si>
    <t>Ferro-alloys; ferro-niobium</t>
  </si>
  <si>
    <t>Osmium (Os)</t>
  </si>
  <si>
    <t>Palladium (Pd)</t>
  </si>
  <si>
    <t>Platinum (Pt)</t>
  </si>
  <si>
    <t>Earth-metals, rare; scandium and yttrium, whether or not intermixed or interalloyed</t>
  </si>
  <si>
    <t>Cerium compounds</t>
  </si>
  <si>
    <t>Compounds, inorganic or organic (excluding cerium), of rare-earth metals, of yttrium, scandium or of mixtures of these metals</t>
  </si>
  <si>
    <t>Rhenium (Re)</t>
  </si>
  <si>
    <t>Rhodium (Rh)</t>
  </si>
  <si>
    <t>Ruthenium (Ru)</t>
  </si>
  <si>
    <t>Selenium (Se)</t>
  </si>
  <si>
    <t>Selenium</t>
  </si>
  <si>
    <t>Silicon metal (Si)</t>
  </si>
  <si>
    <t>Silicon; containing by weight not less than 99.99% of silicon</t>
  </si>
  <si>
    <t>Silicon; containing by weight less than 99.99% of silicon</t>
  </si>
  <si>
    <t>Silver (Ag)</t>
  </si>
  <si>
    <t>Metals; silver, unwrought, (but not powder)</t>
  </si>
  <si>
    <t>Strontium (Sr)</t>
  </si>
  <si>
    <t>Carbonates; strontium carbonate</t>
  </si>
  <si>
    <t>Tantalum (Ta)</t>
  </si>
  <si>
    <t>Tellurium (Te)</t>
  </si>
  <si>
    <t>Tin (Sn)</t>
  </si>
  <si>
    <t>Titanium (Ti)</t>
  </si>
  <si>
    <t>Titanium oxides</t>
  </si>
  <si>
    <t>Titanium; unwrought, powders</t>
  </si>
  <si>
    <t>Tungsten (W)</t>
  </si>
  <si>
    <t>Salts; tungstates (wolframates)</t>
  </si>
  <si>
    <t>Carbides; whether or not chemically defined, other than of calcium or silicon</t>
  </si>
  <si>
    <t>Tungsten (wolfram); unwrought, including bars and rods obtained simply by sintering</t>
  </si>
  <si>
    <t>Vanadium (V)</t>
  </si>
  <si>
    <t>Vanadium oxides and hydroxides</t>
  </si>
  <si>
    <t>Ferro-alloys; ferro-vanadium</t>
  </si>
  <si>
    <t>Zinc (Zn)</t>
  </si>
  <si>
    <t>Zinc; oxide and peroxide</t>
  </si>
  <si>
    <t>Zinc; unwrought, (not alloyed), containing by weight 99.99% or more of zinc</t>
  </si>
  <si>
    <t>Zinc; unwrought, (not alloyed), containing by weight less than 99.99% of zinc</t>
  </si>
  <si>
    <t>Zirconium (Zr)</t>
  </si>
  <si>
    <t>Zirconium; unwrought, powders</t>
  </si>
  <si>
    <t>Uses</t>
  </si>
  <si>
    <t>Data sources</t>
  </si>
  <si>
    <t>Comments</t>
  </si>
  <si>
    <t>2016-2020</t>
  </si>
  <si>
    <t>Refractories</t>
  </si>
  <si>
    <t>Cement</t>
  </si>
  <si>
    <t>Abrasives</t>
  </si>
  <si>
    <t>Chemicals</t>
  </si>
  <si>
    <t>Total</t>
  </si>
  <si>
    <t>Australia</t>
  </si>
  <si>
    <t>Guinea</t>
  </si>
  <si>
    <t>China</t>
  </si>
  <si>
    <t>Brazil</t>
  </si>
  <si>
    <t>Indonesia</t>
  </si>
  <si>
    <t>India</t>
  </si>
  <si>
    <t>Russia</t>
  </si>
  <si>
    <t>Jamaica</t>
  </si>
  <si>
    <t>Saudi Arabia</t>
  </si>
  <si>
    <t>Kazakhstan</t>
  </si>
  <si>
    <t>Automotive industry</t>
  </si>
  <si>
    <t>Transport equipment</t>
  </si>
  <si>
    <t>Packaging</t>
  </si>
  <si>
    <t>High tech engineering</t>
  </si>
  <si>
    <t>Consumer durables</t>
  </si>
  <si>
    <t>Canada</t>
  </si>
  <si>
    <t>United Arab Emirates</t>
  </si>
  <si>
    <t>Bahrain</t>
  </si>
  <si>
    <t>Norway</t>
  </si>
  <si>
    <t>United States</t>
  </si>
  <si>
    <t>Malaysia</t>
  </si>
  <si>
    <t>South Africa</t>
  </si>
  <si>
    <t>Iceland</t>
  </si>
  <si>
    <t>Qatar</t>
  </si>
  <si>
    <t>Ukraine</t>
  </si>
  <si>
    <t>Spain</t>
  </si>
  <si>
    <t>Argentina</t>
  </si>
  <si>
    <t>Reference year of data</t>
  </si>
  <si>
    <t>Flame retardants</t>
  </si>
  <si>
    <t>Lead-acid batteries</t>
  </si>
  <si>
    <t>Lead alloys</t>
  </si>
  <si>
    <t>Plastic (catalysts and stabilisers)</t>
  </si>
  <si>
    <t>WMD, 2023</t>
  </si>
  <si>
    <t>Tadjikistan</t>
  </si>
  <si>
    <t>Turkey</t>
  </si>
  <si>
    <t>Bolivia</t>
  </si>
  <si>
    <t>Myanmar</t>
  </si>
  <si>
    <t>Iran</t>
  </si>
  <si>
    <t>Mexico</t>
  </si>
  <si>
    <t>Others</t>
  </si>
  <si>
    <t>Belgium</t>
  </si>
  <si>
    <t>VIetnam</t>
  </si>
  <si>
    <t>France</t>
  </si>
  <si>
    <t>Thailand</t>
  </si>
  <si>
    <t>Tajikistan</t>
  </si>
  <si>
    <t>Korea, South</t>
  </si>
  <si>
    <t>Japan</t>
  </si>
  <si>
    <t>Industrial components</t>
  </si>
  <si>
    <t>Aerospace and Defence</t>
  </si>
  <si>
    <t>Automotive</t>
  </si>
  <si>
    <t>Consumer Electronics</t>
  </si>
  <si>
    <t>Telecommunication Infrastructure</t>
  </si>
  <si>
    <t>Energy</t>
  </si>
  <si>
    <t>Semiconductor</t>
  </si>
  <si>
    <t>Mozambique</t>
  </si>
  <si>
    <t>Uganda</t>
  </si>
  <si>
    <t>Madagascar</t>
  </si>
  <si>
    <t>Rwanda</t>
  </si>
  <si>
    <t>Zambia</t>
  </si>
  <si>
    <t>kazakhstan</t>
  </si>
  <si>
    <t>Low-melting alloys</t>
  </si>
  <si>
    <t>Metallurgical additives</t>
  </si>
  <si>
    <t>Vietnam</t>
  </si>
  <si>
    <t>Peru</t>
  </si>
  <si>
    <t>Uzbekistan</t>
  </si>
  <si>
    <t>Laos</t>
  </si>
  <si>
    <t>Glass</t>
  </si>
  <si>
    <t>Frits and ceramics</t>
  </si>
  <si>
    <t>Fertilizers</t>
  </si>
  <si>
    <t>Chemical manufacture</t>
  </si>
  <si>
    <t>Construction materials (flame retardants, plasters, wood preservatives)</t>
  </si>
  <si>
    <t>Metals</t>
  </si>
  <si>
    <t>Magnets</t>
  </si>
  <si>
    <t>Semiconductors</t>
  </si>
  <si>
    <t>Chile</t>
  </si>
  <si>
    <t>RUssia</t>
  </si>
  <si>
    <t>Germany</t>
  </si>
  <si>
    <t xml:space="preserve">Peru </t>
  </si>
  <si>
    <t>Batteries</t>
  </si>
  <si>
    <t>Alloys</t>
  </si>
  <si>
    <t>Coatings</t>
  </si>
  <si>
    <t>Solar Application</t>
  </si>
  <si>
    <t>South, Korea</t>
  </si>
  <si>
    <t>Netherlands</t>
  </si>
  <si>
    <t>Bulgaria</t>
  </si>
  <si>
    <t>Poland</t>
  </si>
  <si>
    <t>Korea, North</t>
  </si>
  <si>
    <t>Stainless steel</t>
  </si>
  <si>
    <t>Products made of alloy steel</t>
  </si>
  <si>
    <t>Casting moulds</t>
  </si>
  <si>
    <t>Chromium chemicals</t>
  </si>
  <si>
    <t>Refractory bricks and mortars</t>
  </si>
  <si>
    <t>Zimbabwe</t>
  </si>
  <si>
    <t>Finland</t>
  </si>
  <si>
    <t>Albania</t>
  </si>
  <si>
    <t>Oman</t>
  </si>
  <si>
    <t>Pakistan</t>
  </si>
  <si>
    <t>Papua New Guinea</t>
  </si>
  <si>
    <t>Philippines</t>
  </si>
  <si>
    <t>Cuba</t>
  </si>
  <si>
    <t>Afganistan</t>
  </si>
  <si>
    <t>Sudan</t>
  </si>
  <si>
    <t>Greece</t>
  </si>
  <si>
    <t>Ethiopia</t>
  </si>
  <si>
    <t>Sweden</t>
  </si>
  <si>
    <t>Catalysts</t>
  </si>
  <si>
    <t>Other</t>
  </si>
  <si>
    <t>Morocco</t>
  </si>
  <si>
    <t>New Caledonia</t>
  </si>
  <si>
    <t>Congo, D.R.</t>
  </si>
  <si>
    <t>Australie</t>
  </si>
  <si>
    <t>Building construction, Electrical power</t>
  </si>
  <si>
    <t>Manufacture, other, diverse</t>
  </si>
  <si>
    <t>Building construction, plumbing</t>
  </si>
  <si>
    <t>Manufacture, Transport, Automotive, Electrical</t>
  </si>
  <si>
    <t>Manufacture, other, Consumer &amp; general products</t>
  </si>
  <si>
    <t>Infrastructure, Power utility</t>
  </si>
  <si>
    <t>Manufacture, Industrial, Electrical</t>
  </si>
  <si>
    <t>Manufacture, Transport, other transport</t>
  </si>
  <si>
    <t>Manufacture, other, cooling</t>
  </si>
  <si>
    <t>Infrastructure, Telecommunications</t>
  </si>
  <si>
    <t>Manufacture, other, electronic</t>
  </si>
  <si>
    <t>Building construction, Architecture</t>
  </si>
  <si>
    <t>Building construction, Communications</t>
  </si>
  <si>
    <t>Panama</t>
  </si>
  <si>
    <t>Mongolia</t>
  </si>
  <si>
    <t>Serbia</t>
  </si>
  <si>
    <t>Ecuador</t>
  </si>
  <si>
    <t>Armenia</t>
  </si>
  <si>
    <t>Portugal</t>
  </si>
  <si>
    <t>Eritrea</t>
  </si>
  <si>
    <t>Mauritania</t>
  </si>
  <si>
    <t>Botswana</t>
  </si>
  <si>
    <t>Tanzania</t>
  </si>
  <si>
    <t>Congo, Rep.</t>
  </si>
  <si>
    <t>Romania</t>
  </si>
  <si>
    <t>Colombia</t>
  </si>
  <si>
    <t>Georgia</t>
  </si>
  <si>
    <t>Kyrgyzstan</t>
  </si>
  <si>
    <t>North Macedonia</t>
  </si>
  <si>
    <t>Dominican Republic</t>
  </si>
  <si>
    <t>Azerbaijan</t>
  </si>
  <si>
    <t>Namibia</t>
  </si>
  <si>
    <t>Slovakia</t>
  </si>
  <si>
    <t>Optical fibers</t>
  </si>
  <si>
    <t>Infrared optics</t>
  </si>
  <si>
    <t>Polymerization catalysts</t>
  </si>
  <si>
    <t>Electronics and solar</t>
  </si>
  <si>
    <t>Jewellery</t>
  </si>
  <si>
    <t>Electronics</t>
  </si>
  <si>
    <t>Decorative</t>
  </si>
  <si>
    <t>Ghana</t>
  </si>
  <si>
    <t>Mali</t>
  </si>
  <si>
    <t>Burkina Faso</t>
  </si>
  <si>
    <t>Cote d'Ivoire</t>
  </si>
  <si>
    <t>Refractories for steel making</t>
  </si>
  <si>
    <t>Lithium-ion batteries</t>
  </si>
  <si>
    <t>Lubricants</t>
  </si>
  <si>
    <t>Founderies</t>
  </si>
  <si>
    <t>Friction products</t>
  </si>
  <si>
    <t>Steel recarburising</t>
  </si>
  <si>
    <t>North Korea</t>
  </si>
  <si>
    <t>South Korea</t>
  </si>
  <si>
    <t>Sri  Lanka</t>
  </si>
  <si>
    <t>Germany + Austria</t>
  </si>
  <si>
    <t>Alloys/compounds</t>
  </si>
  <si>
    <t>Batteries alkaline)</t>
  </si>
  <si>
    <t>Semiconductors &amp; LEDs</t>
  </si>
  <si>
    <t>Solders</t>
  </si>
  <si>
    <t>PV cells</t>
  </si>
  <si>
    <t>Thermal interface material</t>
  </si>
  <si>
    <t>Indium Tin Oxyde (ITO)</t>
  </si>
  <si>
    <t>Construction</t>
  </si>
  <si>
    <t>Mechanical engineer</t>
  </si>
  <si>
    <t>Metalware</t>
  </si>
  <si>
    <t>Tubes</t>
  </si>
  <si>
    <t>Domestic appliances</t>
  </si>
  <si>
    <t>Transport</t>
  </si>
  <si>
    <t>Liberia</t>
  </si>
  <si>
    <t>Venezuela</t>
  </si>
  <si>
    <t>Austria</t>
  </si>
  <si>
    <t>Sierra Leone</t>
  </si>
  <si>
    <t>Bosnia-Herzegovina</t>
  </si>
  <si>
    <t>Egypt</t>
  </si>
  <si>
    <t>Nigeria</t>
  </si>
  <si>
    <t>Italy</t>
  </si>
  <si>
    <t>Viet Nam</t>
  </si>
  <si>
    <t>Rolled and extruded products</t>
  </si>
  <si>
    <t>United Kingdom</t>
  </si>
  <si>
    <t>USGS, 2022</t>
  </si>
  <si>
    <t>Ceramics and glass</t>
  </si>
  <si>
    <t>Lubricating greases</t>
  </si>
  <si>
    <t>Continous casting mold flux powders</t>
  </si>
  <si>
    <t>Transportation (automotive)</t>
  </si>
  <si>
    <t>Transportation (air, marine, etc.)</t>
  </si>
  <si>
    <t>Israel</t>
  </si>
  <si>
    <t>Building and construction</t>
  </si>
  <si>
    <t>Engineering (Industrial)</t>
  </si>
  <si>
    <t>Gabon</t>
  </si>
  <si>
    <t>Engineering steels</t>
  </si>
  <si>
    <t>Foundries</t>
  </si>
  <si>
    <t>Mo-Metals</t>
  </si>
  <si>
    <t>Tool steels</t>
  </si>
  <si>
    <t>Nickel alloys</t>
  </si>
  <si>
    <t>Alloy steel &amp; casting</t>
  </si>
  <si>
    <t>Plating</t>
  </si>
  <si>
    <t>Ni-based &amp; Cu based alloys</t>
  </si>
  <si>
    <t>?</t>
  </si>
  <si>
    <t>Guatemala</t>
  </si>
  <si>
    <t>Kosovo</t>
  </si>
  <si>
    <t>China, P. R.</t>
  </si>
  <si>
    <t>Russian</t>
  </si>
  <si>
    <t>New Cal.</t>
  </si>
  <si>
    <t>Korea, Rep</t>
  </si>
  <si>
    <t>Automotive (Steel)</t>
  </si>
  <si>
    <t>Construction (Steel)</t>
  </si>
  <si>
    <t>Stainless Steel</t>
  </si>
  <si>
    <t xml:space="preserve">Special steel </t>
  </si>
  <si>
    <t>Oil &amp; Gas</t>
  </si>
  <si>
    <t>Burundi</t>
  </si>
  <si>
    <t xml:space="preserve">Brazil </t>
  </si>
  <si>
    <t xml:space="preserve">Canada </t>
  </si>
  <si>
    <t>Glass manufacturing</t>
  </si>
  <si>
    <t>Agriculture/biological</t>
  </si>
  <si>
    <t>Metallurgy</t>
  </si>
  <si>
    <t>Pigments</t>
  </si>
  <si>
    <t>Other uses</t>
  </si>
  <si>
    <t>-</t>
  </si>
  <si>
    <t>US</t>
  </si>
  <si>
    <t>Photovoltaics</t>
  </si>
  <si>
    <t>Brazing and soldering</t>
  </si>
  <si>
    <t>Silverware</t>
  </si>
  <si>
    <t>Bearings</t>
  </si>
  <si>
    <t>Electronic parts</t>
  </si>
  <si>
    <t>Medicine</t>
  </si>
  <si>
    <t>Photography</t>
  </si>
  <si>
    <t>Pyrotechnics and signals</t>
  </si>
  <si>
    <t>Master alloys</t>
  </si>
  <si>
    <t>Pigments and fillers</t>
  </si>
  <si>
    <t>Zinc production</t>
  </si>
  <si>
    <t xml:space="preserve">China </t>
  </si>
  <si>
    <t>Solar cells</t>
  </si>
  <si>
    <t>Thermo-electric modules</t>
  </si>
  <si>
    <t>Chemical and other applications</t>
  </si>
  <si>
    <t>Rubber vulcanizing</t>
  </si>
  <si>
    <t>Taiwan</t>
  </si>
  <si>
    <t>Aerospace</t>
  </si>
  <si>
    <t>Medical equipment</t>
  </si>
  <si>
    <t>Senegal</t>
  </si>
  <si>
    <t>Kenya</t>
  </si>
  <si>
    <t>Sri Lanka</t>
  </si>
  <si>
    <t xml:space="preserve">South Africa </t>
  </si>
  <si>
    <t xml:space="preserve">Australia </t>
  </si>
  <si>
    <t>Hand held objects</t>
  </si>
  <si>
    <t>Nuclear heat exchanger</t>
  </si>
  <si>
    <t>Plant engineering (e.g. seawater desalination)</t>
  </si>
  <si>
    <t>Mill and cutting tools</t>
  </si>
  <si>
    <t>Mining and construction tools</t>
  </si>
  <si>
    <t>Other wear tools</t>
  </si>
  <si>
    <t>Catalysts and pigments</t>
  </si>
  <si>
    <t>High speed steels applications</t>
  </si>
  <si>
    <t>Lighting and electronic uses</t>
  </si>
  <si>
    <t>Aeronautics and energy uses</t>
  </si>
  <si>
    <t>Special steel</t>
  </si>
  <si>
    <t>Chemicals and battery oxides</t>
  </si>
  <si>
    <t>Energy storage</t>
  </si>
  <si>
    <t>Galvanizing</t>
  </si>
  <si>
    <t>Brass and bronze</t>
  </si>
  <si>
    <t>Ceramics</t>
  </si>
  <si>
    <t>Foundry</t>
  </si>
  <si>
    <t>Superalloys, Nuclear</t>
  </si>
  <si>
    <t>Autralia</t>
  </si>
  <si>
    <t>No data</t>
  </si>
  <si>
    <t>United states</t>
  </si>
  <si>
    <t>Host elements</t>
  </si>
  <si>
    <t>Li</t>
  </si>
  <si>
    <t>Be</t>
  </si>
  <si>
    <t>B</t>
  </si>
  <si>
    <t>Mg</t>
  </si>
  <si>
    <t>Al</t>
  </si>
  <si>
    <t>Sc</t>
  </si>
  <si>
    <t>Ti</t>
  </si>
  <si>
    <t>V</t>
  </si>
  <si>
    <t>Cr</t>
  </si>
  <si>
    <t>Mn</t>
  </si>
  <si>
    <t>Fe</t>
  </si>
  <si>
    <t>Co</t>
  </si>
  <si>
    <t>Ni</t>
  </si>
  <si>
    <t>Cu</t>
  </si>
  <si>
    <t>Zn</t>
  </si>
  <si>
    <t>Ga</t>
  </si>
  <si>
    <t>Ge</t>
  </si>
  <si>
    <t>As</t>
  </si>
  <si>
    <t>Se</t>
  </si>
  <si>
    <t>Sr</t>
  </si>
  <si>
    <t>Y</t>
  </si>
  <si>
    <t>Zr</t>
  </si>
  <si>
    <t>Nb</t>
  </si>
  <si>
    <t>Mo</t>
  </si>
  <si>
    <t>Ru</t>
  </si>
  <si>
    <t>Rh</t>
  </si>
  <si>
    <t>Pd</t>
  </si>
  <si>
    <t>Ag</t>
  </si>
  <si>
    <t>Cd</t>
  </si>
  <si>
    <t>In</t>
  </si>
  <si>
    <t>Sn</t>
  </si>
  <si>
    <t>Sb</t>
  </si>
  <si>
    <t>Te</t>
  </si>
  <si>
    <t>Ba</t>
  </si>
  <si>
    <t>La</t>
  </si>
  <si>
    <t>Ce</t>
  </si>
  <si>
    <t>Pr</t>
  </si>
  <si>
    <t>Nd</t>
  </si>
  <si>
    <t>Sm</t>
  </si>
  <si>
    <t>Eu</t>
  </si>
  <si>
    <t>Gd</t>
  </si>
  <si>
    <t>Tb</t>
  </si>
  <si>
    <t>Dy</t>
  </si>
  <si>
    <t>Ho</t>
  </si>
  <si>
    <t>Er</t>
  </si>
  <si>
    <t>Tm</t>
  </si>
  <si>
    <t>Yb</t>
  </si>
  <si>
    <t>Lu</t>
  </si>
  <si>
    <t>Hf</t>
  </si>
  <si>
    <t>Ta</t>
  </si>
  <si>
    <t>W</t>
  </si>
  <si>
    <t>Re</t>
  </si>
  <si>
    <t>Os</t>
  </si>
  <si>
    <t>Ir</t>
  </si>
  <si>
    <t>Pt</t>
  </si>
  <si>
    <t>Au</t>
  </si>
  <si>
    <t>Hg</t>
  </si>
  <si>
    <t>Tl</t>
  </si>
  <si>
    <t>Pb</t>
  </si>
  <si>
    <t>Bi</t>
  </si>
  <si>
    <t>Th</t>
  </si>
  <si>
    <t>U</t>
  </si>
  <si>
    <t>% of global production as companion</t>
  </si>
  <si>
    <t>Data source</t>
  </si>
  <si>
    <t>Companion elements</t>
  </si>
  <si>
    <t>Expert-based judgement</t>
  </si>
  <si>
    <t>Li is not considered as a companion from potash.</t>
  </si>
  <si>
    <t>Nassar et al., 2015</t>
  </si>
  <si>
    <t>Be may be recovered as a companion from feldspar, spodumene or mica.</t>
  </si>
  <si>
    <t>Mg may be recovered as a companion from potash.</t>
  </si>
  <si>
    <t>Shares of each host element are not provided.</t>
  </si>
  <si>
    <t>BRGM, 2018b</t>
  </si>
  <si>
    <t>BRGM, 2017a</t>
  </si>
  <si>
    <t>Cr is recovered as a companion from PGM in South Africa.</t>
  </si>
  <si>
    <t>BRGM, 2018a</t>
  </si>
  <si>
    <t>BRGM, 2015</t>
  </si>
  <si>
    <t>25% of Ge is produced from coal ash.</t>
  </si>
  <si>
    <t>BRGM, 2020</t>
  </si>
  <si>
    <t>BRGM, 2017b</t>
  </si>
  <si>
    <t>BRGM, 2022</t>
  </si>
  <si>
    <t>References</t>
  </si>
  <si>
    <t>BRGM, 2015. Le germanium (Ge) - éléments de criticité (In French). Available at: https://www.mineralinfo.fr/sites/default/files/2023-03/fiche_criticite_germanium-publique_151207.pdf</t>
  </si>
  <si>
    <t>BRGM, 2017a. Le chrome (Cr) - éléments de criticité (In French). Available at: https://www.mineralinfo.fr/sites/default/files/2023-03/fiche_criticite_chrome_171003.pdf</t>
  </si>
  <si>
    <t>BRGM, 2017b. L'indium (In) - éléments de criticité (In French). Available at: https://www.mineralinfo.fr/sites/default/files/2023-03/fiche_criticite_indium_170921.pdf</t>
  </si>
  <si>
    <t>BRGM, 2018a. Le cuivre (Cu) - éléments de criticité (In French). Available at: https://www.mineralinfo.fr/sites/default/files/2023-03/fiche_criticite_Cu_180205.pdf</t>
  </si>
  <si>
    <t>BRGM, 2018b. Le vanadium (V) - éléments de criticité (In French). Available at: https://www.mineralinfo.fr/sites/default/files/2023-03/fiche_criticite_vanadium_publique_190114.pdf</t>
  </si>
  <si>
    <t>BRGM, 2020. Fiche de criticité - Molybdène (In French). Available at: https://www.mineralinfo.fr/sites/default/files/documents/2020-12/fichecriticitemolybdene-publique20201001.pdf</t>
  </si>
  <si>
    <t>BRGM, 2022. Fiche de criticité - Tungstène (In French). Available at: https://www.mineralinfo.fr/sites/default/files/2023-01/Fiche_W_230106.pdf</t>
  </si>
  <si>
    <t>Nassar, N.T., Graedel, T.E., Harper, E.M., 2015. By-product metals are technologically essential but have problematic supply. Sci. Adv. 1, e1400180. https://doi.org/10.1126/sciadv.1400180</t>
  </si>
  <si>
    <t>Element</t>
  </si>
  <si>
    <t>Arsenic (As)</t>
  </si>
  <si>
    <t>Thallium (Tl)</t>
  </si>
  <si>
    <t>Scandium (Sc)</t>
  </si>
  <si>
    <t>Yttrium (Y)</t>
  </si>
  <si>
    <t>Lanthanum (La)</t>
  </si>
  <si>
    <t>Cerium (Ce)</t>
  </si>
  <si>
    <t>Praseodymium (Pr)</t>
  </si>
  <si>
    <t>Neodymium (Nd)</t>
  </si>
  <si>
    <t>Prométhium (Pm)</t>
  </si>
  <si>
    <t>Samarium (Sm)</t>
  </si>
  <si>
    <t>Europium (Eu)</t>
  </si>
  <si>
    <t>Gadolinium (Gd)</t>
  </si>
  <si>
    <t>Terbium (Tb)</t>
  </si>
  <si>
    <t>Dysprosium (Dy)</t>
  </si>
  <si>
    <t>Holmium (Ho)</t>
  </si>
  <si>
    <t>Erbium (Er)</t>
  </si>
  <si>
    <t>Thulium (Tm)</t>
  </si>
  <si>
    <t>Ytterbium (Yb)</t>
  </si>
  <si>
    <t>Lutetium (Lu)</t>
  </si>
  <si>
    <t>Talens Peiro, L., Nuss, P., Mathieux, F. and Blengini, G., Towards Recycling Indicators based on EU flows and Raw Materials System Analysis data, EUR 29435 EN, Publications Office of the European Union, Luxembourg, 2018, ISBN 978-92-79-97247-8 (online), doi:10.2760/092885 (online), JRC112720.</t>
  </si>
  <si>
    <t>Talens Peiro et al., 2018</t>
  </si>
  <si>
    <t>Based on EU MSA data (2015)</t>
  </si>
  <si>
    <t>BRGM, 2016a. Le gallium (Ga) - éléments de criticité (In French). Available at: https://www.mineralinfo.fr/sites/default/files/2023-03/fiche_criticite_gallium-publique_160912.pdf</t>
  </si>
  <si>
    <t>BRGM, 2016a</t>
  </si>
  <si>
    <t>BRGM, 2016b</t>
  </si>
  <si>
    <t>BRGM, 2016b. Le graphite naturel (C) - éléments de criticité (In French). Available at: https://www.mineralinfo.fr/sites/default/files/2023-03/fiche_criticite_graphite_naturel_170109.pdf</t>
  </si>
  <si>
    <t>End-of-Life recycling input rate (EoL-RIR)*</t>
  </si>
  <si>
    <t>*The EoL-RIR indicator aims to express the share of material from old scraps recycling within the global production (primary + secondary).</t>
  </si>
  <si>
    <t>Main end uses</t>
  </si>
  <si>
    <t>Polymer production</t>
  </si>
  <si>
    <t>Air treatment</t>
  </si>
  <si>
    <t>Mining countries</t>
  </si>
  <si>
    <t xml:space="preserve">HS code </t>
  </si>
  <si>
    <t>Main commodities</t>
  </si>
  <si>
    <t>Global production</t>
  </si>
  <si>
    <t>Processing* countries</t>
  </si>
  <si>
    <t>Market prices</t>
  </si>
  <si>
    <t>Official contract name</t>
  </si>
  <si>
    <t>Commodity (as defined in HS code)</t>
  </si>
  <si>
    <t>Lithium carbonate 99% Li2CO3 min, technical and industrial grade</t>
  </si>
  <si>
    <t>Lithium hydroxide monohydrate LiOH.H2O 56.5% LiOH min, battery grade</t>
  </si>
  <si>
    <r>
      <t xml:space="preserve">Share </t>
    </r>
    <r>
      <rPr>
        <b/>
        <i/>
        <sz val="11"/>
        <color theme="1"/>
        <rFont val="Calibri"/>
        <family val="2"/>
        <scheme val="minor"/>
      </rPr>
      <t>(%)</t>
    </r>
  </si>
  <si>
    <t>**Including purification and refining stages</t>
  </si>
  <si>
    <t>*Converted from Li2O to Li-content</t>
  </si>
  <si>
    <t>EC (2023) and calculations</t>
  </si>
  <si>
    <r>
      <t xml:space="preserve">Total yearly production </t>
    </r>
    <r>
      <rPr>
        <b/>
        <i/>
        <sz val="11"/>
        <color rgb="FF000000"/>
        <rFont val="Calibri"/>
        <family val="2"/>
      </rPr>
      <t>(t Li)</t>
    </r>
  </si>
  <si>
    <r>
      <t xml:space="preserve">Total yearly production </t>
    </r>
    <r>
      <rPr>
        <b/>
        <i/>
        <sz val="11"/>
        <color rgb="FF000000"/>
        <rFont val="Calibri"/>
        <family val="2"/>
      </rPr>
      <t>(t Li*)</t>
    </r>
  </si>
  <si>
    <t>2015-2023 (8 years)</t>
  </si>
  <si>
    <r>
      <t xml:space="preserve">Price </t>
    </r>
    <r>
      <rPr>
        <b/>
        <i/>
        <sz val="11"/>
        <color theme="1"/>
        <rFont val="Calibri"/>
        <family val="2"/>
        <scheme val="minor"/>
      </rPr>
      <t>(USD/kg)</t>
    </r>
  </si>
  <si>
    <t>Price reference period</t>
  </si>
  <si>
    <t>USGS, 2022. Mineral Commodity Summaries - Lithium. Available at: https://pubs.usgs.gov/periodicals/mcs2022/mcs2022-lithium.pdf</t>
  </si>
  <si>
    <t>WMD, 2023. World Mining Data 2023.</t>
  </si>
  <si>
    <t>EC, 2023. European Commission, Study on the Critical Raw Materials for the EU 2023 – Final Report</t>
  </si>
  <si>
    <t>Argus Media, 2024</t>
  </si>
  <si>
    <t>Argus Media, 2024. Available at: https://www.argusmedia.com/en/commodities/metals</t>
  </si>
  <si>
    <t>Processing** countries</t>
  </si>
  <si>
    <t>EC, 2023</t>
  </si>
  <si>
    <r>
      <t xml:space="preserve">Total yearly production </t>
    </r>
    <r>
      <rPr>
        <b/>
        <i/>
        <sz val="11"/>
        <color rgb="FF000000"/>
        <rFont val="Calibri"/>
        <family val="2"/>
      </rPr>
      <t>(t concentrates)</t>
    </r>
  </si>
  <si>
    <t>*Including purification and refining stages</t>
  </si>
  <si>
    <r>
      <t xml:space="preserve">Total yearly production </t>
    </r>
    <r>
      <rPr>
        <b/>
        <i/>
        <sz val="11"/>
        <color rgb="FF000000"/>
        <rFont val="Calibri"/>
        <family val="2"/>
      </rPr>
      <t>(t Be)</t>
    </r>
  </si>
  <si>
    <t>Beryllium, CNY/kg,≥99%,VAT excluded,Traded price, ex-works</t>
  </si>
  <si>
    <t>2020-2023 (3 years)</t>
  </si>
  <si>
    <t>SMM, 2024</t>
  </si>
  <si>
    <t>SMM, 2024. Shanghai Metals Market. Available at: https://www.metal.com/</t>
  </si>
  <si>
    <r>
      <t xml:space="preserve">Total yearly production </t>
    </r>
    <r>
      <rPr>
        <b/>
        <i/>
        <sz val="11"/>
        <color rgb="FF000000"/>
        <rFont val="Calibri"/>
        <family val="2"/>
      </rPr>
      <t>(t B minerals)</t>
    </r>
  </si>
  <si>
    <t>Rest-of-the-World</t>
  </si>
  <si>
    <r>
      <t xml:space="preserve">Total yearly production </t>
    </r>
    <r>
      <rPr>
        <b/>
        <i/>
        <sz val="11"/>
        <color rgb="FF000000"/>
        <rFont val="Calibri"/>
        <family val="2"/>
      </rPr>
      <t>(t B)</t>
    </r>
  </si>
  <si>
    <t>Oxides Of Boron imported price</t>
  </si>
  <si>
    <t>2023 (1 year)</t>
  </si>
  <si>
    <t>Indexbox, 2024</t>
  </si>
  <si>
    <t>Indexbox, 2024. Available at: https://www.indexbox.io/blog/mexico-oxides-of-boron-price-in-april-2023/</t>
  </si>
  <si>
    <t>Main end uses (for natural graphite)</t>
  </si>
  <si>
    <t>2012-2016</t>
  </si>
  <si>
    <t>Mining countries (natural graphite)</t>
  </si>
  <si>
    <t>Producing countries (synthetic graphite)</t>
  </si>
  <si>
    <t>Europe</t>
  </si>
  <si>
    <t>Roskill, 2020</t>
  </si>
  <si>
    <t>Roskill, 2020. Natural &amp; Synthetic Graphite: Outlook to 2030.</t>
  </si>
  <si>
    <t>Graphite; natural, in powder or in flakes / in other forms, excluding powder or flakes</t>
  </si>
  <si>
    <t>Graphite flake 94% C, +80 mesh, cif Europe, $/tonne</t>
  </si>
  <si>
    <t>2013-2023 (10 years)</t>
  </si>
  <si>
    <t>Fastmarkets, 2024</t>
  </si>
  <si>
    <t>Fastmarkets, 2024. Available at: https://www.fastmarkets.com/</t>
  </si>
  <si>
    <r>
      <t xml:space="preserve">Total yearly production </t>
    </r>
    <r>
      <rPr>
        <b/>
        <i/>
        <sz val="11"/>
        <color rgb="FF000000"/>
        <rFont val="Calibri"/>
        <family val="2"/>
      </rPr>
      <t>(t graphite)</t>
    </r>
  </si>
  <si>
    <r>
      <t xml:space="preserve">Total yearly production </t>
    </r>
    <r>
      <rPr>
        <b/>
        <i/>
        <sz val="11"/>
        <color rgb="FF000000"/>
        <rFont val="Calibri"/>
        <family val="2"/>
      </rPr>
      <t>(t Magnesite)</t>
    </r>
  </si>
  <si>
    <r>
      <t xml:space="preserve">Total yearly production </t>
    </r>
    <r>
      <rPr>
        <b/>
        <i/>
        <sz val="11"/>
        <color rgb="FF000000"/>
        <rFont val="Calibri"/>
        <family val="2"/>
      </rPr>
      <t>(t Mg)</t>
    </r>
  </si>
  <si>
    <t>Magnesium; unwrought</t>
  </si>
  <si>
    <t>Magnesium min 99.9%</t>
  </si>
  <si>
    <t>Magnesium chloride, anhydrous, 99%</t>
  </si>
  <si>
    <t>Chemical book, 2024</t>
  </si>
  <si>
    <t>Chemical book, 2024. Magnesium chloride. Available at: https://www.chemicalbook.com/SupplierPriceList_EN.aspx?cbn=CB9854336&amp;c=1kg#price</t>
  </si>
  <si>
    <r>
      <t xml:space="preserve">Total yearly production </t>
    </r>
    <r>
      <rPr>
        <b/>
        <i/>
        <sz val="11"/>
        <color rgb="FF000000"/>
        <rFont val="Calibri"/>
        <family val="2"/>
      </rPr>
      <t>(t bauxite ore)</t>
    </r>
  </si>
  <si>
    <t>Cameroon</t>
  </si>
  <si>
    <t>Montenegro</t>
  </si>
  <si>
    <t>New Zealand</t>
  </si>
  <si>
    <t>Slovenia</t>
  </si>
  <si>
    <r>
      <t xml:space="preserve">Total yearly production </t>
    </r>
    <r>
      <rPr>
        <b/>
        <i/>
        <sz val="11"/>
        <color rgb="FF000000"/>
        <rFont val="Calibri"/>
        <family val="2"/>
      </rPr>
      <t>(t Al)</t>
    </r>
  </si>
  <si>
    <t>Aluminium LME cash official prompt,  USD/kg, in warehouse</t>
  </si>
  <si>
    <t>Chemical applications</t>
  </si>
  <si>
    <t>Aluminium alloys</t>
  </si>
  <si>
    <t>Solar applications</t>
  </si>
  <si>
    <t>Electronic applications</t>
  </si>
  <si>
    <r>
      <t xml:space="preserve">Total yearly production </t>
    </r>
    <r>
      <rPr>
        <b/>
        <i/>
        <sz val="11"/>
        <color rgb="FF000000"/>
        <rFont val="Calibri"/>
        <family val="2"/>
      </rPr>
      <t>(t Si)</t>
    </r>
  </si>
  <si>
    <t>USGS, 2023</t>
  </si>
  <si>
    <t>USGS, 2023. Mineral Commodity Summaries - Silicon. Available at: https://pubs.usgs.gov/periodicals/mcs2023/mcs2023-silicon.pdf</t>
  </si>
  <si>
    <t>Mining* countries</t>
  </si>
  <si>
    <t xml:space="preserve">*Mining data here cover global silicon extraction, which is used for producing silicon metal but also other commodities (not considered here) </t>
  </si>
  <si>
    <t>**Including purification and refining stages, with data specific to silicon metal production</t>
  </si>
  <si>
    <t>Silicon</t>
  </si>
  <si>
    <t>Silicon 5-5-3 min 98.5% Si ddp Europe works spot</t>
  </si>
  <si>
    <t>Main end uses (for Ti metal)</t>
  </si>
  <si>
    <r>
      <t xml:space="preserve">Total yearly production </t>
    </r>
    <r>
      <rPr>
        <b/>
        <i/>
        <sz val="11"/>
        <color rgb="FF000000"/>
        <rFont val="Calibri"/>
        <family val="2"/>
      </rPr>
      <t>(t TiO2)</t>
    </r>
  </si>
  <si>
    <t>Processing* countries (for TiO2)</t>
  </si>
  <si>
    <t>Processing* countries (for Ti metal)</t>
  </si>
  <si>
    <r>
      <t xml:space="preserve">Total yearly production </t>
    </r>
    <r>
      <rPr>
        <b/>
        <i/>
        <sz val="11"/>
        <color rgb="FF000000"/>
        <rFont val="Calibri"/>
        <family val="2"/>
      </rPr>
      <t>(t Ti)</t>
    </r>
  </si>
  <si>
    <t xml:space="preserve">Titanium dioxide 93pc min rutile grade ex-works China </t>
  </si>
  <si>
    <t>2016-2023 (7 years)</t>
  </si>
  <si>
    <t>Titanium sponge 99.7% Ti ex-works China spot</t>
  </si>
  <si>
    <t>EC, 2024. European Commission, Joint Research Centre, Buesa, A., Georgitzikis, K., Jakimów, M., Piñero, P., Maury, T., Latunussa, C., Pedauga, L., Samokhalov, V., Baldassarre, B., Mathieux, F., Rueda-Cantuche, J. M., Stijepic, D., Reys, A., Bilous, A, Notom, P., and Tercero, L.</t>
  </si>
  <si>
    <t>Titanium metal in the EU: Strategic relevance and circularity potential, Publications Office of the European Union, Luxembourg, 2025, doi: 10.2760/5871804, JRC137082.</t>
  </si>
  <si>
    <t>EC, 2023 and EC, 2024</t>
  </si>
  <si>
    <t>High-strength low-alloy steels</t>
  </si>
  <si>
    <t>Super alloys for high-end uses</t>
  </si>
  <si>
    <r>
      <t xml:space="preserve">Total yearly production </t>
    </r>
    <r>
      <rPr>
        <b/>
        <i/>
        <sz val="11"/>
        <color rgb="FF000000"/>
        <rFont val="Calibri"/>
        <family val="2"/>
      </rPr>
      <t>(t V)</t>
    </r>
  </si>
  <si>
    <t>*Including purification and refining stages. No mining is considered, as vanadium is recovered as a by-product.</t>
  </si>
  <si>
    <t>Ferro-vanadium 78-82% V dp Rotterdam (per kg V) spot</t>
  </si>
  <si>
    <t>Vanadium Pentoxide fused flake min 98% du Rotterdam</t>
  </si>
  <si>
    <t>Desulphurisation</t>
  </si>
  <si>
    <r>
      <t xml:space="preserve">Total yearly production </t>
    </r>
    <r>
      <rPr>
        <b/>
        <i/>
        <sz val="11"/>
        <color rgb="FF000000"/>
        <rFont val="Calibri"/>
        <family val="2"/>
      </rPr>
      <t>(t Cr2O3)</t>
    </r>
  </si>
  <si>
    <r>
      <t xml:space="preserve">Total yearly production </t>
    </r>
    <r>
      <rPr>
        <b/>
        <i/>
        <sz val="11"/>
        <color rgb="FF000000"/>
        <rFont val="Calibri"/>
        <family val="2"/>
      </rPr>
      <t>(t Cr)</t>
    </r>
  </si>
  <si>
    <t>Ferro-alloys; ferro-chromium / ferro-silico-chromium</t>
  </si>
  <si>
    <t>Ferro-chrome LC 60-64.99% Cr. 0.10pc C ddp Europe works (per lb Cr) prompt USD/kg, ddp</t>
  </si>
  <si>
    <t>Miscellaneous</t>
  </si>
  <si>
    <r>
      <t xml:space="preserve">Total yearly production </t>
    </r>
    <r>
      <rPr>
        <b/>
        <i/>
        <sz val="11"/>
        <color rgb="FF000000"/>
        <rFont val="Calibri"/>
        <family val="2"/>
      </rPr>
      <t>(t Mn)</t>
    </r>
  </si>
  <si>
    <t>Ferro-alloys; ferro-manganese, containing by weight more than 2% of carbon / 2% or less of carbon / ferro-silico-manganese</t>
  </si>
  <si>
    <t>Manganese dioxide / Manganese oxides; excluding manganese dioxide</t>
  </si>
  <si>
    <t>Ferro-manganese HC Mn 78% ddp Europe works spot</t>
  </si>
  <si>
    <t>Manganese dioxide min 91% alkaline battery grade ex works China spot</t>
  </si>
  <si>
    <t>Transportation (Motor vehicles)</t>
  </si>
  <si>
    <t>Transportation (Other transport equipment)</t>
  </si>
  <si>
    <t>Engineering (Machinery &amp; equipment)</t>
  </si>
  <si>
    <r>
      <t xml:space="preserve">Total yearly production </t>
    </r>
    <r>
      <rPr>
        <b/>
        <i/>
        <sz val="11"/>
        <color rgb="FF000000"/>
        <rFont val="Calibri"/>
        <family val="2"/>
      </rPr>
      <t>(t Fe)</t>
    </r>
  </si>
  <si>
    <r>
      <t xml:space="preserve">Total yearly production </t>
    </r>
    <r>
      <rPr>
        <b/>
        <i/>
        <sz val="11"/>
        <color rgb="FF000000"/>
        <rFont val="Calibri"/>
        <family val="2"/>
      </rPr>
      <t>(t crude steel)</t>
    </r>
  </si>
  <si>
    <t>Nickel pig iron min 10% ex-works China spot</t>
  </si>
  <si>
    <t>2014-2023 (9 years)</t>
  </si>
  <si>
    <t>Worldsteel association, 2024</t>
  </si>
  <si>
    <t xml:space="preserve">Worldsteel association, 2024. World Steel in Figures 2023. Available at: https://worldsteel.org/data/world-steel-in-figures-2023/ </t>
  </si>
  <si>
    <t>Electric vehicles</t>
  </si>
  <si>
    <t>Cobalt Institute, 2023a. Determining the Global Warming Potential of cobalt. Available at: https://www.cobaltinstitute.org/sustainability/determining-the-global-warming-potential-of-cobalt/</t>
  </si>
  <si>
    <t>Cobalt Institute, 2023a</t>
  </si>
  <si>
    <t>Portables</t>
  </si>
  <si>
    <t>Super alloys</t>
  </si>
  <si>
    <t>Hard metals</t>
  </si>
  <si>
    <t>Ceramics / Colours</t>
  </si>
  <si>
    <t>Cobalt Institute, 2023b</t>
  </si>
  <si>
    <r>
      <t xml:space="preserve">Total yearly production </t>
    </r>
    <r>
      <rPr>
        <b/>
        <i/>
        <sz val="11"/>
        <color rgb="FF000000"/>
        <rFont val="Calibri"/>
        <family val="2"/>
      </rPr>
      <t>(t Co)</t>
    </r>
  </si>
  <si>
    <t>Cobalt oxide 72% ex-works China spot,  USD/kg, ex-works</t>
  </si>
  <si>
    <t>Cobalt sulphate min 20.5% ex-works China spot USD/kg, ex-works</t>
  </si>
  <si>
    <t>Cobalt LME cash official prompt USD/kg, in warehouse</t>
  </si>
  <si>
    <t>(CoSO4) Cobalt; mattes and other intermediate products of cobalt metallurgy, unwrought cobalt, powders</t>
  </si>
  <si>
    <t>(Co metal) Cobalt; mattes and other intermediate products of cobalt metallurgy, unwrought cobalt, powders</t>
  </si>
  <si>
    <t>2018-2023 (5 years)</t>
  </si>
  <si>
    <t>LME, 2024</t>
  </si>
  <si>
    <t>Cobalt Institute, 2023b. Cobalt Market Report 2023.</t>
  </si>
  <si>
    <t>LME, 2024. The London Metal Exchange. Available at: https://www.lme.com/</t>
  </si>
  <si>
    <t>SCRREEN, 2023a</t>
  </si>
  <si>
    <t>SCRREEN, 2023b</t>
  </si>
  <si>
    <r>
      <t xml:space="preserve">Total yearly production </t>
    </r>
    <r>
      <rPr>
        <b/>
        <i/>
        <sz val="11"/>
        <color rgb="FF000000"/>
        <rFont val="Calibri"/>
        <family val="2"/>
      </rPr>
      <t>(t Ni)</t>
    </r>
  </si>
  <si>
    <t>Nickel LME cash official prompt</t>
  </si>
  <si>
    <t>Nickel sulphate min 22% cif China prompt</t>
  </si>
  <si>
    <r>
      <t xml:space="preserve">Total yearly production </t>
    </r>
    <r>
      <rPr>
        <b/>
        <i/>
        <sz val="11"/>
        <color rgb="FF000000"/>
        <rFont val="Calibri"/>
        <family val="2"/>
      </rPr>
      <t>(t Cu)</t>
    </r>
  </si>
  <si>
    <t>Copper; refined, unwrought</t>
  </si>
  <si>
    <t>Copper LME Cash official</t>
  </si>
  <si>
    <t>Manufacture, Industrial, non-electrical</t>
  </si>
  <si>
    <t>Zinc alloy</t>
  </si>
  <si>
    <t>Chemical compounds</t>
  </si>
  <si>
    <t>Rolled zinc</t>
  </si>
  <si>
    <t>SCRREEN, 2023c</t>
  </si>
  <si>
    <r>
      <t xml:space="preserve">Total yearly production </t>
    </r>
    <r>
      <rPr>
        <b/>
        <i/>
        <sz val="11"/>
        <color rgb="FF000000"/>
        <rFont val="Calibri"/>
        <family val="2"/>
      </rPr>
      <t>(t Zn)</t>
    </r>
  </si>
  <si>
    <t>Zinc; unwrought, (not alloyed)</t>
  </si>
  <si>
    <t>Zinc LME cash in warehouse</t>
  </si>
  <si>
    <t>Zinc Oxide Price, CNY/mt, ex-works</t>
  </si>
  <si>
    <t>2019-2023 (4 years)</t>
  </si>
  <si>
    <t>SCRREEN, 2023a. Germanium factsheet. Available at: https://scrreen.eu/wp-content/uploads/2023/09/SCRREEN2_factsheets_GERMANIUM-1.pdf</t>
  </si>
  <si>
    <r>
      <t xml:space="preserve">Total yearly production </t>
    </r>
    <r>
      <rPr>
        <b/>
        <i/>
        <sz val="11"/>
        <color rgb="FF000000"/>
        <rFont val="Calibri"/>
        <family val="2"/>
      </rPr>
      <t>(t Ge)</t>
    </r>
  </si>
  <si>
    <t>*Including purification and refining stages. No mining is considered, as germanium is recovered as a by-product.</t>
  </si>
  <si>
    <t>Germanium metal min 99.999% cif main airport Europe spot,  USD/kg, cif</t>
  </si>
  <si>
    <t>Zinc production (Electrowinning of zinc)</t>
  </si>
  <si>
    <t>Glassmaking</t>
  </si>
  <si>
    <t>Arsenic</t>
  </si>
  <si>
    <t>Arsenic trichloride and other chlorides and chloride oxides</t>
  </si>
  <si>
    <r>
      <t xml:space="preserve">Total yearly production </t>
    </r>
    <r>
      <rPr>
        <b/>
        <i/>
        <sz val="11"/>
        <color rgb="FF000000"/>
        <rFont val="Calibri"/>
        <family val="2"/>
      </rPr>
      <t>(t As2O3)</t>
    </r>
  </si>
  <si>
    <t>Arsenic min 99% fob US warehouse spot,  USD/kg, fob</t>
  </si>
  <si>
    <r>
      <t xml:space="preserve">Total yearly production </t>
    </r>
    <r>
      <rPr>
        <b/>
        <i/>
        <sz val="11"/>
        <color rgb="FF000000"/>
        <rFont val="Calibri"/>
        <family val="2"/>
      </rPr>
      <t>(t Se)</t>
    </r>
  </si>
  <si>
    <t>*Including purification and refining stages. No mining is considered, as selenium is recovered as a by-product.</t>
  </si>
  <si>
    <t>*Including purification and refining stages. No mining is considered, as arsenic is recovered as a by-product.</t>
  </si>
  <si>
    <t>Selenium min 99.5% du Rotterdam spot</t>
  </si>
  <si>
    <r>
      <t xml:space="preserve">Total yearly production </t>
    </r>
    <r>
      <rPr>
        <b/>
        <i/>
        <sz val="11"/>
        <color rgb="FF000000"/>
        <rFont val="Calibri"/>
        <family val="2"/>
      </rPr>
      <t>(t Sr)</t>
    </r>
  </si>
  <si>
    <t>*No processing data are available for strontium.</t>
  </si>
  <si>
    <t>USGS, 2022b</t>
  </si>
  <si>
    <t>USGS, 2022. Mineral Commodity Summaries - Strontium. Available at: https://pubs.usgs.gov/periodicals/mcs2022/mcs2022-strontium.pdf</t>
  </si>
  <si>
    <t>Strontium carbonate 99%</t>
  </si>
  <si>
    <r>
      <t xml:space="preserve">Total yearly production </t>
    </r>
    <r>
      <rPr>
        <b/>
        <i/>
        <sz val="11"/>
        <color rgb="FF000000"/>
        <rFont val="Calibri"/>
        <family val="2"/>
      </rPr>
      <t>(t concentrate)</t>
    </r>
  </si>
  <si>
    <t>*No processing data are available for zirconium.</t>
  </si>
  <si>
    <t xml:space="preserve">Zirconium oxychloride 36% Zr(Hf)O2 </t>
  </si>
  <si>
    <t>Zirconium sponge 99.4% Zr+Hf ex-works China spot</t>
  </si>
  <si>
    <r>
      <t xml:space="preserve">Total yearly production </t>
    </r>
    <r>
      <rPr>
        <b/>
        <i/>
        <sz val="11"/>
        <color rgb="FF000000"/>
        <rFont val="Calibri"/>
        <family val="2"/>
      </rPr>
      <t>(t Nb2O5)</t>
    </r>
  </si>
  <si>
    <r>
      <t xml:space="preserve">Total yearly production </t>
    </r>
    <r>
      <rPr>
        <b/>
        <i/>
        <sz val="11"/>
        <color rgb="FF000000"/>
        <rFont val="Calibri"/>
        <family val="2"/>
      </rPr>
      <t>(t Nb)</t>
    </r>
  </si>
  <si>
    <t>Ferro-niobium 65% Nb fob US warehouse spot</t>
  </si>
  <si>
    <t>Niobium ingot min 99.8% in-warehouse Rotterdam</t>
  </si>
  <si>
    <t>2017-2023 (6 years)</t>
  </si>
  <si>
    <t>SCRREEN, 2023X</t>
  </si>
  <si>
    <r>
      <t xml:space="preserve">Total yearly production </t>
    </r>
    <r>
      <rPr>
        <b/>
        <i/>
        <sz val="11"/>
        <color rgb="FF000000"/>
        <rFont val="Calibri"/>
        <family val="2"/>
      </rPr>
      <t>(t Mo)</t>
    </r>
  </si>
  <si>
    <t>*No processing data are available for molybdenum.</t>
  </si>
  <si>
    <t>Molybdenum oxide min 57% fob US warehouse spot</t>
  </si>
  <si>
    <t>Sodium molybdate dihydrate
Sodium molybdate dihydrate ≥99.5%</t>
  </si>
  <si>
    <t xml:space="preserve">Molybdenum ingot min 99.8% in-warehouse Rotterdam </t>
  </si>
  <si>
    <t>Merck, 2024</t>
  </si>
  <si>
    <t>Merck, 2024. Sigma-Aldrich. Available at: https://www.sigmaaldrich.com/FR/fr/substance/sodiummolybdatedihydrate2419510102406</t>
  </si>
  <si>
    <r>
      <t xml:space="preserve">Total yearly production </t>
    </r>
    <r>
      <rPr>
        <b/>
        <i/>
        <sz val="11"/>
        <color rgb="FF000000"/>
        <rFont val="Calibri"/>
        <family val="2"/>
      </rPr>
      <t>(t Ag)</t>
    </r>
  </si>
  <si>
    <t>Metals; silver powder / unwrought, (but not powder)</t>
  </si>
  <si>
    <t>LMBA, 2024</t>
  </si>
  <si>
    <t>LBMA, 2024. LBMA Precious Metal Prices. Available at: https://www.lbma.org.uk/prices-and-data/precious-metal-prices#/</t>
  </si>
  <si>
    <t>*No processing data are available for silver.</t>
  </si>
  <si>
    <r>
      <t xml:space="preserve">Total yearly production </t>
    </r>
    <r>
      <rPr>
        <b/>
        <i/>
        <sz val="11"/>
        <color rgb="FF000000"/>
        <rFont val="Calibri"/>
        <family val="2"/>
      </rPr>
      <t>(t Cd)</t>
    </r>
  </si>
  <si>
    <t>*Including purification and refining stages. No mining is considered, as cadmium is recovered as a by-product.</t>
  </si>
  <si>
    <t xml:space="preserve"> Cadmium min 99.95% du Rotterdam spot,  USD/kg, in warehouse</t>
  </si>
  <si>
    <r>
      <t xml:space="preserve">Total yearly production </t>
    </r>
    <r>
      <rPr>
        <b/>
        <i/>
        <sz val="11"/>
        <color rgb="FF000000"/>
        <rFont val="Calibri"/>
        <family val="2"/>
      </rPr>
      <t>(t In)</t>
    </r>
  </si>
  <si>
    <t>*Including purification and refining stages. No mining is considered, as indium is recovered as a by-product.</t>
  </si>
  <si>
    <t>Indium min 99.99% du Rotterdam spot</t>
  </si>
  <si>
    <t>INDIUM(III) OXIDE, 99.99%</t>
  </si>
  <si>
    <t>Chemical book, 2024. Indium(III) oxide. Available at: https://www.chemicalbook.com/ProductList_En.aspx?cbn=CB8418425&amp;c=1kg&amp;left=True#J_Condition</t>
  </si>
  <si>
    <t>Glass and ceramics</t>
  </si>
  <si>
    <r>
      <t xml:space="preserve">Total yearly production </t>
    </r>
    <r>
      <rPr>
        <b/>
        <i/>
        <sz val="11"/>
        <color rgb="FF000000"/>
        <rFont val="Calibri"/>
        <family val="2"/>
      </rPr>
      <t>(t Sb)</t>
    </r>
  </si>
  <si>
    <t>Antimony trioxide min 99.5% fob China spot,  USD/kg, fob</t>
  </si>
  <si>
    <t>Antimony Regulus grade II min 99.65% Sb du Rotterdam spot,  USD/kg, in warehouse</t>
  </si>
  <si>
    <r>
      <t xml:space="preserve">Total yearly production </t>
    </r>
    <r>
      <rPr>
        <b/>
        <i/>
        <sz val="11"/>
        <color rgb="FF000000"/>
        <rFont val="Calibri"/>
        <family val="2"/>
      </rPr>
      <t>(t Te)</t>
    </r>
  </si>
  <si>
    <t>*Including purification and refining stages. No mining is considered, as tellurium is recovered as a by-product.</t>
  </si>
  <si>
    <t>Tellurium min 99.99% du Rotterdam spot</t>
  </si>
  <si>
    <r>
      <t xml:space="preserve">Total yearly production </t>
    </r>
    <r>
      <rPr>
        <b/>
        <i/>
        <sz val="11"/>
        <color rgb="FF000000"/>
        <rFont val="Calibri"/>
        <family val="2"/>
      </rPr>
      <t>(t W)</t>
    </r>
  </si>
  <si>
    <t>Tungsten carbide min 99.7% ex-works China spot</t>
  </si>
  <si>
    <t>ITIA, 2018</t>
  </si>
  <si>
    <t>ITIA, 2018. International Tungsten Industry Association - Recycling of Tungsten. Available at: https://www.itia.info/wp-content/uploads/2024/06/ITIA_ROTP1_29052024.pdf</t>
  </si>
  <si>
    <r>
      <t xml:space="preserve">Total yearly production </t>
    </r>
    <r>
      <rPr>
        <b/>
        <i/>
        <sz val="11"/>
        <color rgb="FF000000"/>
        <rFont val="Calibri"/>
        <family val="2"/>
      </rPr>
      <t>(t Au)</t>
    </r>
  </si>
  <si>
    <t>US Midwest Domestic Hot-Rolled Coil Steel</t>
  </si>
  <si>
    <t>Trading Economics, 2024</t>
  </si>
  <si>
    <t>Trading Economics, 2024. Available at: https://tradingeconomics.com/commodity/hrc-steel</t>
  </si>
  <si>
    <t>LBMA Silver Price PM ozt/usd</t>
  </si>
  <si>
    <t>LBMA Gold Price PM ozt/usd</t>
  </si>
  <si>
    <t>*No processing data are available for gold.</t>
  </si>
  <si>
    <t>Compounds and pigments</t>
  </si>
  <si>
    <t>Shot and ammunition</t>
  </si>
  <si>
    <t>Alloys and solders</t>
  </si>
  <si>
    <t>Cable sheathing</t>
  </si>
  <si>
    <r>
      <t xml:space="preserve">Total yearly production </t>
    </r>
    <r>
      <rPr>
        <b/>
        <i/>
        <sz val="11"/>
        <color rgb="FF000000"/>
        <rFont val="Calibri"/>
        <family val="2"/>
      </rPr>
      <t>(t Pb)</t>
    </r>
  </si>
  <si>
    <t>Lead LME cash in warehouse</t>
  </si>
  <si>
    <r>
      <t xml:space="preserve">Total yearly production </t>
    </r>
    <r>
      <rPr>
        <b/>
        <i/>
        <sz val="11"/>
        <color rgb="FF000000"/>
        <rFont val="Calibri"/>
        <family val="2"/>
      </rPr>
      <t>(t Bi)</t>
    </r>
  </si>
  <si>
    <t>Bismuth min 99.99% du Rotterdam spot,  USD/kg, in warehouse</t>
  </si>
  <si>
    <t>*Including purification and refining stages. No mining is considered, as bismuth is recovered as a by-product.</t>
  </si>
  <si>
    <t>*Only mining data are here reported, as processing data for Rare Earths as a whole are not available.</t>
  </si>
  <si>
    <r>
      <t xml:space="preserve">Total yearly production </t>
    </r>
    <r>
      <rPr>
        <b/>
        <i/>
        <sz val="11"/>
        <color rgb="FF000000"/>
        <rFont val="Calibri"/>
        <family val="2"/>
      </rPr>
      <t>(t REO)</t>
    </r>
  </si>
  <si>
    <t>Cerium (oxide), min. 99 %, fob China</t>
  </si>
  <si>
    <t>DERA, 2024</t>
  </si>
  <si>
    <t>Dysprosium (oxide), min. 99 % fob China</t>
  </si>
  <si>
    <t>Erbium (oxide), min. 99 % , fob China</t>
  </si>
  <si>
    <t>Europium (oxide), min. 99 % fob China</t>
  </si>
  <si>
    <t>Gadolinium oxide 99.5-99.9% ex-works China spot,  USD/kg</t>
  </si>
  <si>
    <t>Holmium Oxide Price, CNY/mt, DDP</t>
  </si>
  <si>
    <t>Lanthanum (oxide), min. 99 %, fob China</t>
  </si>
  <si>
    <t>Lutetium oxide Price, CNY/kg, ≥99.99%, VAT excluded, Traded price, DDP</t>
  </si>
  <si>
    <t>Neodymium (oxide), min. 99 % fob China</t>
  </si>
  <si>
    <t>Praseodymium (oxide), min. 99 %, Europe</t>
  </si>
  <si>
    <t>Samarium (oxide), min. 99 % fob China</t>
  </si>
  <si>
    <t>Terbium (oxide), min. 99,9 %, fob China</t>
  </si>
  <si>
    <t>Thulium oxide Ex Works China, incl. 13% VAT.</t>
  </si>
  <si>
    <t>Ginger Consulting, 2024</t>
  </si>
  <si>
    <t>Ytterbium oxide Price, CNY/Mt,≥99.99%, VAT excluded,Traded price, DDP</t>
  </si>
  <si>
    <t>Yttrium (oxide), min. 99.999 %, fob China</t>
  </si>
  <si>
    <t>Ginger Consulting, 2024. Thulium Oxide. Available at: https://giti.sg/products/rare-earths/TmO/</t>
  </si>
  <si>
    <t>DERA, 2024. Available at: https://www.bgr.bund.de/DERA/DE/Home/dra_node.html</t>
  </si>
  <si>
    <t>UNEP, 2011. Recycling Rates of Metals - A Status Report</t>
  </si>
  <si>
    <t>**Data based on Material System Analysis (MSA) developed at the EU level for several metal elements, and here used as proxies at global level in the absence of other data.</t>
  </si>
  <si>
    <t>UNEP (2011)</t>
  </si>
  <si>
    <t>Based on EU MSA data (2015)**</t>
  </si>
  <si>
    <t>SCRREEN, 2023a. Lead factsheet. Available at: https://scrreen.eu/wp-content/uploads/2023/08/SCRREEN2-factsheets_LEAD.pdf</t>
  </si>
  <si>
    <t>SCRREEN, 2023b. Molybdenum factsheet. Available at: https://scrreen.eu/wp-content/uploads/2023/08/SCRREEN2_factsheets_MOLYBDENUM.pdf</t>
  </si>
  <si>
    <t>SCRREEN, 2023c. Natural Graphite factsheet. Available at: https://scrreen.eu/wp-content/uploads/2023/12/SCRREEN2_factsheets_GRAPHITE_V1.pdf</t>
  </si>
  <si>
    <t>SCRREEN, 2023d. Nickel factsheet. Available at: https://scrreen.eu/wp-content/uploads/2023/12/SCRREEN2_factsheets_NICKEL-update.pdf</t>
  </si>
  <si>
    <t>SCRREEN, 2023e. Niobium factsheet. Available at: https://scrreen.eu/wp-content/uploads/2024/01/SCRREEN2_factsheets_NIOBIUM-update2.pdf</t>
  </si>
  <si>
    <t>SCRREEN, 2023f. Tellurium factsheet. Available at: https://scrreen.eu/wp-content/uploads/2023/08/SCRREEN2_factsheets_TELLURIUM.pdf</t>
  </si>
  <si>
    <t>SCRREEN, 2023g. Zinc factsheet. Available at: https://scrreen.eu/wp-content/uploads/2024/01/SCRREEN2_factsheets_ZINC-update2.pdf</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</si>
  <si>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b/>
        <sz val="11"/>
        <color theme="1"/>
        <rFont val="Calibri"/>
        <family val="2"/>
        <scheme val="minor"/>
      </rPr>
      <t>This supporting information (SI) document n°2 provides the set of market-related data compiled for the mineral elements under study. These data cover: 
- Information regarding global co-/by-production patterns ("CompanionalityData" sheet);
- End-of-life recycling input rate - EoL RIR values ("RecyclingData" sheet);
- List of end uses and commodities, global country-level production data (with distinction of mining and processing stages) and market prices (see individual sheet associated with each element, e.g. "Li_Lithium" sheet for Li-specific data). It is noteworthy that only data related to elements with available LCI datasets are herein provided.</t>
    </r>
  </si>
  <si>
    <t>?*</t>
  </si>
  <si>
    <t>*Elements identified as companions, but without details regarding the share of production from the considered host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</si>
</sst>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b/>
      <sz val="11"/>
      <color theme="1"/>
      <name val="Calibri"/>
      <family val="2"/>
      <scheme val="minor"/>
    </font>
    <font>
      <b/>
      <i/>
      <sz val="11"/>
      <color theme="1"/>
      <name val="Calibri"/>
      <family val="2"/>
      <scheme val="minor"/>
    </font>
    <font>
      <b/>
      <sz val="11"/>
      <color rgb="FFFF0000"/>
      <name val="Calibri"/>
      <family val="2"/>
      <scheme val="minor"/>
    </font>
    <font>
      <b/>
      <sz val="11"/>
      <color rgb="FF000000"/>
      <name val="Calibri"/>
      <family val="2"/>
    </font>
    <font>
      <b/>
      <i/>
      <sz val="11"/>
      <color rgb="FF000000"/>
      <name val="Calibri"/>
      <family val="2"/>
    </font>
    <font>
      <u/>
      <sz val="11"/>
      <color theme="10"/>
      <name val="Calibri"/>
      <family val="2"/>
      <scheme val="minor"/>
    </font>
    <font>
      <sz val="11"/>
      <color rgb="FF000000"/>
      <name val="Calibri"/>
      <family val="2"/>
    </font>
    <font>
      <sz val="11"/>
      <color rgb="FF000000"/>
      <name val="Calibri"/>
      <family val="2"/>
      <scheme val="minor"/>
    </font>
    <font>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sz val="10.5"/>
      <color theme="1"/>
      <name val="Times New Roman"/>
      <family val="1"/>
    </font>
    <font>
      <b/>
      <sz val="11"/>
      <color rgb="FF3F3F3F"/>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s>
  <fills count="13">
    <fill>
      <patternFill patternType="none"/>
    </fill>
    <fill>
      <patternFill patternType="gray125"/>
    </fill>
    <fill>
      <patternFill patternType="solid">
        <fgColor theme="3" tint="0.79998168889431442"/>
        <bgColor indexed="64"/>
      </patternFill>
    </fill>
    <fill>
      <patternFill patternType="solid">
        <fgColor theme="3" tint="0.39997558519241921"/>
        <bgColor indexed="64"/>
      </patternFill>
    </fill>
    <fill>
      <patternFill patternType="solid">
        <fgColor theme="0"/>
        <bgColor indexed="64"/>
      </patternFill>
    </fill>
    <fill>
      <patternFill patternType="solid">
        <fgColor theme="2" tint="-9.9978637043366805E-2"/>
        <bgColor indexed="64"/>
      </patternFill>
    </fill>
    <fill>
      <gradientFill degree="90">
        <stop position="0">
          <color theme="0"/>
        </stop>
        <stop position="1">
          <color theme="0"/>
        </stop>
      </gradient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2F2F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8F1D2E"/>
      </left>
      <right style="thin">
        <color auto="1"/>
      </right>
      <top style="thin">
        <color rgb="FF8F1D2E"/>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0" fontId="6" fillId="0" borderId="0" applyNumberFormat="0" applyFill="0" applyBorder="0" applyAlignment="0" applyProtection="0"/>
    <xf numFmtId="9" fontId="9" fillId="0" borderId="0" applyFont="0" applyFill="0" applyBorder="0" applyAlignment="0" applyProtection="0"/>
    <xf numFmtId="0" fontId="13" fillId="6" borderId="5">
      <alignment horizontal="right" vertical="center"/>
    </xf>
    <xf numFmtId="0" fontId="6" fillId="0" borderId="0" applyNumberFormat="0" applyFill="0" applyBorder="0" applyAlignment="0" applyProtection="0"/>
    <xf numFmtId="0" fontId="14" fillId="12" borderId="15" applyNumberFormat="0" applyAlignment="0" applyProtection="0"/>
  </cellStyleXfs>
  <cellXfs count="111">
    <xf numFmtId="0" fontId="0" fillId="0" borderId="0" xfId="0"/>
    <xf numFmtId="0" fontId="0" fillId="0" borderId="0" xfId="0"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left" vertical="center" wrapText="1"/>
    </xf>
    <xf numFmtId="0" fontId="1" fillId="2" borderId="1" xfId="0" applyFont="1" applyFill="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wrapText="1"/>
    </xf>
    <xf numFmtId="0" fontId="1" fillId="0" borderId="0" xfId="0" applyFont="1"/>
    <xf numFmtId="3" fontId="3" fillId="0" borderId="0" xfId="0" applyNumberFormat="1" applyFont="1" applyAlignment="1">
      <alignment horizontal="left" vertical="center" wrapText="1"/>
    </xf>
    <xf numFmtId="0" fontId="9" fillId="4" borderId="6" xfId="3" applyFont="1" applyFill="1" applyBorder="1" applyAlignment="1">
      <alignment horizontal="left" vertical="center"/>
    </xf>
    <xf numFmtId="3" fontId="8" fillId="0" borderId="0" xfId="0" applyNumberFormat="1" applyFont="1"/>
    <xf numFmtId="3" fontId="0" fillId="0" borderId="0" xfId="0" applyNumberFormat="1" applyAlignment="1">
      <alignment horizontal="left" vertical="center" wrapText="1"/>
    </xf>
    <xf numFmtId="9" fontId="0" fillId="0" borderId="0" xfId="2" applyFont="1" applyAlignment="1">
      <alignment horizontal="left" vertical="center" wrapText="1"/>
    </xf>
    <xf numFmtId="0" fontId="0" fillId="8" borderId="1" xfId="0" applyFill="1" applyBorder="1" applyAlignment="1">
      <alignment horizontal="center" vertical="center"/>
    </xf>
    <xf numFmtId="0" fontId="0" fillId="8" borderId="2" xfId="0" applyFill="1" applyBorder="1" applyAlignment="1">
      <alignment horizontal="center" vertical="center"/>
    </xf>
    <xf numFmtId="0" fontId="0" fillId="10" borderId="1" xfId="0" applyFill="1" applyBorder="1" applyAlignment="1">
      <alignment horizontal="center" vertical="center"/>
    </xf>
    <xf numFmtId="9" fontId="0" fillId="5" borderId="1" xfId="2" applyFont="1" applyFill="1" applyBorder="1" applyAlignment="1">
      <alignment horizontal="center" vertical="center"/>
    </xf>
    <xf numFmtId="9" fontId="0" fillId="0" borderId="1" xfId="2" applyFont="1" applyBorder="1" applyAlignment="1">
      <alignment horizontal="center" vertical="center"/>
    </xf>
    <xf numFmtId="9" fontId="0" fillId="0" borderId="1" xfId="2" applyFont="1" applyFill="1" applyBorder="1" applyAlignment="1">
      <alignment horizontal="center" vertical="center"/>
    </xf>
    <xf numFmtId="9" fontId="11" fillId="0" borderId="1" xfId="2" applyFont="1" applyBorder="1" applyAlignment="1">
      <alignment horizontal="center" vertical="center"/>
    </xf>
    <xf numFmtId="0" fontId="0" fillId="0" borderId="1" xfId="0" applyBorder="1" applyAlignment="1">
      <alignment wrapText="1"/>
    </xf>
    <xf numFmtId="9" fontId="0" fillId="10" borderId="1" xfId="2" applyFont="1" applyFill="1" applyBorder="1" applyAlignment="1">
      <alignment horizontal="center" vertical="center"/>
    </xf>
    <xf numFmtId="0" fontId="0" fillId="0" borderId="1" xfId="0" applyBorder="1"/>
    <xf numFmtId="164" fontId="0" fillId="10" borderId="1" xfId="2" applyNumberFormat="1" applyFont="1" applyFill="1" applyBorder="1" applyAlignment="1">
      <alignment horizontal="center" vertical="center"/>
    </xf>
    <xf numFmtId="164" fontId="11" fillId="0" borderId="1" xfId="2" applyNumberFormat="1" applyFont="1" applyBorder="1" applyAlignment="1">
      <alignment horizontal="center" vertical="center"/>
    </xf>
    <xf numFmtId="0" fontId="11" fillId="0" borderId="1" xfId="0" applyFont="1" applyBorder="1"/>
    <xf numFmtId="0" fontId="11" fillId="0" borderId="1" xfId="0" quotePrefix="1" applyFont="1" applyBorder="1"/>
    <xf numFmtId="164" fontId="11" fillId="0" borderId="1" xfId="2" applyNumberFormat="1" applyFont="1" applyFill="1" applyBorder="1" applyAlignment="1">
      <alignment horizontal="center" vertical="center"/>
    </xf>
    <xf numFmtId="0" fontId="11" fillId="0" borderId="1" xfId="1" applyFont="1" applyBorder="1"/>
    <xf numFmtId="0" fontId="11" fillId="0" borderId="1" xfId="4" applyFont="1" applyBorder="1"/>
    <xf numFmtId="0" fontId="0" fillId="0" borderId="1" xfId="0" quotePrefix="1" applyBorder="1"/>
    <xf numFmtId="164" fontId="0" fillId="0" borderId="1" xfId="2" applyNumberFormat="1" applyFont="1" applyBorder="1" applyAlignment="1">
      <alignment horizontal="center" vertical="center"/>
    </xf>
    <xf numFmtId="0" fontId="0" fillId="0" borderId="0" xfId="0" applyAlignment="1">
      <alignment horizontal="left" vertical="center" indent="3"/>
    </xf>
    <xf numFmtId="0" fontId="3" fillId="0" borderId="0" xfId="0" applyFont="1" applyAlignment="1">
      <alignment horizontal="center" vertical="center" wrapText="1"/>
    </xf>
    <xf numFmtId="0" fontId="1" fillId="0" borderId="7" xfId="0" applyFon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applyAlignment="1">
      <alignment horizontal="left" vertical="center"/>
    </xf>
    <xf numFmtId="0" fontId="0" fillId="0" borderId="13" xfId="0" applyBorder="1"/>
    <xf numFmtId="0" fontId="0" fillId="0" borderId="14" xfId="0" applyBorder="1"/>
    <xf numFmtId="0" fontId="0" fillId="0" borderId="0" xfId="0" applyAlignment="1">
      <alignment vertical="center" wrapText="1"/>
    </xf>
    <xf numFmtId="0" fontId="12" fillId="11" borderId="1" xfId="0" applyFont="1" applyFill="1" applyBorder="1" applyAlignment="1">
      <alignment horizontal="center" vertical="center"/>
    </xf>
    <xf numFmtId="0" fontId="1" fillId="11" borderId="1" xfId="0" applyFont="1" applyFill="1" applyBorder="1" applyAlignment="1">
      <alignment horizontal="center" vertical="center"/>
    </xf>
    <xf numFmtId="0" fontId="12" fillId="11"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0" fillId="0" borderId="0" xfId="0" applyAlignment="1">
      <alignment vertical="center"/>
    </xf>
    <xf numFmtId="9" fontId="0" fillId="0" borderId="1" xfId="2" applyFont="1" applyBorder="1" applyAlignment="1">
      <alignment horizontal="center"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9" fontId="12" fillId="0" borderId="1" xfId="2" applyFont="1" applyBorder="1" applyAlignment="1">
      <alignment horizontal="center" vertical="center"/>
    </xf>
    <xf numFmtId="9" fontId="12" fillId="0" borderId="1" xfId="2" applyFont="1" applyFill="1" applyBorder="1" applyAlignment="1">
      <alignment horizontal="center" vertical="center"/>
    </xf>
    <xf numFmtId="9" fontId="0" fillId="0" borderId="0" xfId="0" applyNumberFormat="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0" xfId="0" applyBorder="1" applyAlignment="1">
      <alignment vertical="center"/>
    </xf>
    <xf numFmtId="0" fontId="0" fillId="0" borderId="12" xfId="0" applyBorder="1" applyAlignment="1">
      <alignment vertical="center"/>
    </xf>
    <xf numFmtId="0" fontId="0" fillId="0" borderId="13" xfId="0" applyBorder="1" applyAlignment="1">
      <alignment vertical="center" wrapText="1"/>
    </xf>
    <xf numFmtId="0" fontId="0" fillId="0" borderId="14" xfId="0" applyBorder="1" applyAlignment="1">
      <alignment vertical="center" wrapText="1"/>
    </xf>
    <xf numFmtId="0" fontId="14" fillId="12" borderId="15" xfId="5" applyAlignment="1">
      <alignment horizontal="left" vertical="center" wrapText="1"/>
    </xf>
    <xf numFmtId="0" fontId="1" fillId="2" borderId="1" xfId="0" applyFont="1" applyFill="1" applyBorder="1" applyAlignment="1">
      <alignment horizontal="center" vertical="center" wrapText="1"/>
    </xf>
    <xf numFmtId="0" fontId="12" fillId="0" borderId="1" xfId="0" applyFont="1" applyBorder="1" applyAlignment="1">
      <alignment horizontal="left" vertical="center" wrapText="1"/>
    </xf>
    <xf numFmtId="3" fontId="4" fillId="2" borderId="1" xfId="0" applyNumberFormat="1" applyFont="1" applyFill="1" applyBorder="1" applyAlignment="1">
      <alignment horizontal="center" vertical="center" wrapText="1"/>
    </xf>
    <xf numFmtId="3" fontId="9" fillId="4" borderId="6" xfId="3" applyNumberFormat="1" applyFont="1" applyFill="1" applyBorder="1" applyAlignment="1">
      <alignment horizontal="center" vertical="center"/>
    </xf>
    <xf numFmtId="0" fontId="7" fillId="0" borderId="5" xfId="0" applyFont="1" applyBorder="1" applyAlignment="1">
      <alignment horizontal="center" wrapText="1"/>
    </xf>
    <xf numFmtId="9" fontId="12" fillId="0" borderId="1" xfId="2" applyFont="1" applyBorder="1" applyAlignment="1">
      <alignment horizontal="center" vertical="center" wrapText="1"/>
    </xf>
    <xf numFmtId="3" fontId="12" fillId="0" borderId="3"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3" fontId="12" fillId="0" borderId="1" xfId="0" applyNumberFormat="1" applyFont="1" applyBorder="1" applyAlignment="1">
      <alignment horizontal="center" vertical="center" wrapText="1"/>
    </xf>
    <xf numFmtId="0" fontId="8" fillId="0" borderId="4" xfId="0" applyFont="1" applyBorder="1" applyAlignment="1">
      <alignment vertical="center" wrapText="1"/>
    </xf>
    <xf numFmtId="3" fontId="1" fillId="2" borderId="1"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3" fontId="8" fillId="0" borderId="5" xfId="0" applyNumberFormat="1" applyFont="1" applyBorder="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xf>
    <xf numFmtId="9" fontId="12" fillId="0" borderId="3" xfId="2" applyFont="1" applyBorder="1" applyAlignment="1">
      <alignment horizontal="center" vertical="center" wrapText="1"/>
    </xf>
    <xf numFmtId="164" fontId="0" fillId="0" borderId="1" xfId="2" applyNumberFormat="1" applyFont="1" applyBorder="1" applyAlignment="1">
      <alignment horizontal="center" vertical="center" wrapText="1"/>
    </xf>
    <xf numFmtId="0" fontId="0" fillId="0" borderId="8" xfId="0" applyBorder="1" applyAlignment="1">
      <alignment horizontal="left" vertical="center" wrapText="1"/>
    </xf>
    <xf numFmtId="3" fontId="0" fillId="0" borderId="8" xfId="0" applyNumberForma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3" fontId="0" fillId="0" borderId="13" xfId="0" applyNumberFormat="1" applyBorder="1" applyAlignment="1">
      <alignment horizontal="left" vertical="center" wrapText="1"/>
    </xf>
    <xf numFmtId="0" fontId="0" fillId="0" borderId="14" xfId="0" applyBorder="1" applyAlignment="1">
      <alignment horizontal="left" vertical="center" wrapText="1"/>
    </xf>
    <xf numFmtId="164" fontId="9" fillId="4" borderId="6" xfId="3" applyNumberFormat="1" applyFont="1" applyFill="1" applyBorder="1" applyAlignment="1">
      <alignment horizontal="center" vertical="center"/>
    </xf>
    <xf numFmtId="165" fontId="8" fillId="0" borderId="5" xfId="0" applyNumberFormat="1" applyFont="1" applyBorder="1" applyAlignment="1">
      <alignment horizontal="center" vertical="center" wrapText="1"/>
    </xf>
    <xf numFmtId="3" fontId="0" fillId="0" borderId="9" xfId="0" applyNumberFormat="1" applyBorder="1" applyAlignment="1">
      <alignment horizontal="left" vertical="center" wrapText="1"/>
    </xf>
    <xf numFmtId="3" fontId="0" fillId="0" borderId="11" xfId="0" applyNumberFormat="1" applyBorder="1" applyAlignment="1">
      <alignment horizontal="left" vertical="center" wrapText="1"/>
    </xf>
    <xf numFmtId="3" fontId="0" fillId="0" borderId="14" xfId="0" applyNumberFormat="1" applyBorder="1" applyAlignment="1">
      <alignment horizontal="left" vertical="center" wrapText="1"/>
    </xf>
    <xf numFmtId="0" fontId="10" fillId="0" borderId="0" xfId="0" applyFont="1" applyAlignment="1">
      <alignment horizontal="left" vertical="center"/>
    </xf>
    <xf numFmtId="164" fontId="0" fillId="0" borderId="0" xfId="2" applyNumberFormat="1" applyFont="1" applyAlignment="1">
      <alignment horizontal="left" vertical="center" wrapText="1"/>
    </xf>
    <xf numFmtId="0" fontId="0" fillId="4" borderId="6" xfId="3" applyFont="1" applyFill="1" applyBorder="1" applyAlignment="1">
      <alignment horizontal="left" vertical="center"/>
    </xf>
    <xf numFmtId="0" fontId="10" fillId="0" borderId="0" xfId="0" applyFont="1"/>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1" fillId="7" borderId="1" xfId="0" applyFont="1" applyFill="1" applyBorder="1" applyAlignment="1">
      <alignment horizontal="center" vertical="center"/>
    </xf>
    <xf numFmtId="0" fontId="1" fillId="9" borderId="1" xfId="0" applyFont="1" applyFill="1" applyBorder="1" applyAlignment="1">
      <alignment horizontal="center" vertical="center" textRotation="90"/>
    </xf>
  </cellXfs>
  <cellStyles count="6">
    <cellStyle name="Hyperlink" xfId="1" xr:uid="{00000000-0005-0000-0000-000000000000}"/>
    <cellStyle name="Lien hypertexte" xfId="4" builtinId="8"/>
    <cellStyle name="Normal" xfId="0" builtinId="0"/>
    <cellStyle name="Pourcentage" xfId="2" builtinId="5"/>
    <cellStyle name="Sortie" xfId="5" builtinId="21"/>
    <cellStyle name="Tabelle allgemein"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mineralinfo.fr/sites/default/files/2023-03/fiche_criticite_Cu_180205.pdf" TargetMode="External"/></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8C4F-516D-4C28-B0F4-17CDAF07384D}">
  <sheetPr>
    <tabColor theme="6"/>
  </sheetPr>
  <dimension ref="B1:R36"/>
  <sheetViews>
    <sheetView showGridLines="0" topLeftCell="A5" zoomScaleNormal="100" workbookViewId="0">
      <selection activeCell="B37" sqref="B37"/>
    </sheetView>
  </sheetViews>
  <sheetFormatPr baseColWidth="10" defaultRowHeight="14.5" x14ac:dyDescent="0.35"/>
  <cols>
    <col min="1" max="1" width="1.81640625" customWidth="1"/>
  </cols>
  <sheetData>
    <row r="1" spans="2:18" ht="10" customHeight="1" thickBot="1" x14ac:dyDescent="0.4"/>
    <row r="2" spans="2:18" ht="15" customHeight="1" x14ac:dyDescent="0.35">
      <c r="B2" s="100" t="s">
        <v>791</v>
      </c>
      <c r="C2" s="101"/>
      <c r="D2" s="101"/>
      <c r="E2" s="101"/>
      <c r="F2" s="101"/>
      <c r="G2" s="101"/>
      <c r="H2" s="101"/>
      <c r="I2" s="101"/>
      <c r="J2" s="101"/>
      <c r="K2" s="101"/>
      <c r="L2" s="101"/>
      <c r="M2" s="101"/>
      <c r="N2" s="101"/>
      <c r="O2" s="101"/>
      <c r="P2" s="101"/>
      <c r="Q2" s="101"/>
      <c r="R2" s="102"/>
    </row>
    <row r="3" spans="2:18" x14ac:dyDescent="0.35">
      <c r="B3" s="103"/>
      <c r="C3" s="104"/>
      <c r="D3" s="104"/>
      <c r="E3" s="104"/>
      <c r="F3" s="104"/>
      <c r="G3" s="104"/>
      <c r="H3" s="104"/>
      <c r="I3" s="104"/>
      <c r="J3" s="104"/>
      <c r="K3" s="104"/>
      <c r="L3" s="104"/>
      <c r="M3" s="104"/>
      <c r="N3" s="104"/>
      <c r="O3" s="104"/>
      <c r="P3" s="104"/>
      <c r="Q3" s="104"/>
      <c r="R3" s="105"/>
    </row>
    <row r="4" spans="2:18" x14ac:dyDescent="0.35">
      <c r="B4" s="103"/>
      <c r="C4" s="104"/>
      <c r="D4" s="104"/>
      <c r="E4" s="104"/>
      <c r="F4" s="104"/>
      <c r="G4" s="104"/>
      <c r="H4" s="104"/>
      <c r="I4" s="104"/>
      <c r="J4" s="104"/>
      <c r="K4" s="104"/>
      <c r="L4" s="104"/>
      <c r="M4" s="104"/>
      <c r="N4" s="104"/>
      <c r="O4" s="104"/>
      <c r="P4" s="104"/>
      <c r="Q4" s="104"/>
      <c r="R4" s="105"/>
    </row>
    <row r="5" spans="2:18" x14ac:dyDescent="0.35">
      <c r="B5" s="103"/>
      <c r="C5" s="104"/>
      <c r="D5" s="104"/>
      <c r="E5" s="104"/>
      <c r="F5" s="104"/>
      <c r="G5" s="104"/>
      <c r="H5" s="104"/>
      <c r="I5" s="104"/>
      <c r="J5" s="104"/>
      <c r="K5" s="104"/>
      <c r="L5" s="104"/>
      <c r="M5" s="104"/>
      <c r="N5" s="104"/>
      <c r="O5" s="104"/>
      <c r="P5" s="104"/>
      <c r="Q5" s="104"/>
      <c r="R5" s="105"/>
    </row>
    <row r="6" spans="2:18" x14ac:dyDescent="0.35">
      <c r="B6" s="103"/>
      <c r="C6" s="104"/>
      <c r="D6" s="104"/>
      <c r="E6" s="104"/>
      <c r="F6" s="104"/>
      <c r="G6" s="104"/>
      <c r="H6" s="104"/>
      <c r="I6" s="104"/>
      <c r="J6" s="104"/>
      <c r="K6" s="104"/>
      <c r="L6" s="104"/>
      <c r="M6" s="104"/>
      <c r="N6" s="104"/>
      <c r="O6" s="104"/>
      <c r="P6" s="104"/>
      <c r="Q6" s="104"/>
      <c r="R6" s="105"/>
    </row>
    <row r="7" spans="2:18" x14ac:dyDescent="0.35">
      <c r="B7" s="103"/>
      <c r="C7" s="104"/>
      <c r="D7" s="104"/>
      <c r="E7" s="104"/>
      <c r="F7" s="104"/>
      <c r="G7" s="104"/>
      <c r="H7" s="104"/>
      <c r="I7" s="104"/>
      <c r="J7" s="104"/>
      <c r="K7" s="104"/>
      <c r="L7" s="104"/>
      <c r="M7" s="104"/>
      <c r="N7" s="104"/>
      <c r="O7" s="104"/>
      <c r="P7" s="104"/>
      <c r="Q7" s="104"/>
      <c r="R7" s="105"/>
    </row>
    <row r="8" spans="2:18" x14ac:dyDescent="0.35">
      <c r="B8" s="103"/>
      <c r="C8" s="104"/>
      <c r="D8" s="104"/>
      <c r="E8" s="104"/>
      <c r="F8" s="104"/>
      <c r="G8" s="104"/>
      <c r="H8" s="104"/>
      <c r="I8" s="104"/>
      <c r="J8" s="104"/>
      <c r="K8" s="104"/>
      <c r="L8" s="104"/>
      <c r="M8" s="104"/>
      <c r="N8" s="104"/>
      <c r="O8" s="104"/>
      <c r="P8" s="104"/>
      <c r="Q8" s="104"/>
      <c r="R8" s="105"/>
    </row>
    <row r="9" spans="2:18" x14ac:dyDescent="0.35">
      <c r="B9" s="103"/>
      <c r="C9" s="104"/>
      <c r="D9" s="104"/>
      <c r="E9" s="104"/>
      <c r="F9" s="104"/>
      <c r="G9" s="104"/>
      <c r="H9" s="104"/>
      <c r="I9" s="104"/>
      <c r="J9" s="104"/>
      <c r="K9" s="104"/>
      <c r="L9" s="104"/>
      <c r="M9" s="104"/>
      <c r="N9" s="104"/>
      <c r="O9" s="104"/>
      <c r="P9" s="104"/>
      <c r="Q9" s="104"/>
      <c r="R9" s="105"/>
    </row>
    <row r="10" spans="2:18" x14ac:dyDescent="0.35">
      <c r="B10" s="103"/>
      <c r="C10" s="104"/>
      <c r="D10" s="104"/>
      <c r="E10" s="104"/>
      <c r="F10" s="104"/>
      <c r="G10" s="104"/>
      <c r="H10" s="104"/>
      <c r="I10" s="104"/>
      <c r="J10" s="104"/>
      <c r="K10" s="104"/>
      <c r="L10" s="104"/>
      <c r="M10" s="104"/>
      <c r="N10" s="104"/>
      <c r="O10" s="104"/>
      <c r="P10" s="104"/>
      <c r="Q10" s="104"/>
      <c r="R10" s="105"/>
    </row>
    <row r="11" spans="2:18" x14ac:dyDescent="0.35">
      <c r="B11" s="103"/>
      <c r="C11" s="104"/>
      <c r="D11" s="104"/>
      <c r="E11" s="104"/>
      <c r="F11" s="104"/>
      <c r="G11" s="104"/>
      <c r="H11" s="104"/>
      <c r="I11" s="104"/>
      <c r="J11" s="104"/>
      <c r="K11" s="104"/>
      <c r="L11" s="104"/>
      <c r="M11" s="104"/>
      <c r="N11" s="104"/>
      <c r="O11" s="104"/>
      <c r="P11" s="104"/>
      <c r="Q11" s="104"/>
      <c r="R11" s="105"/>
    </row>
    <row r="12" spans="2:18" x14ac:dyDescent="0.35">
      <c r="B12" s="103"/>
      <c r="C12" s="104"/>
      <c r="D12" s="104"/>
      <c r="E12" s="104"/>
      <c r="F12" s="104"/>
      <c r="G12" s="104"/>
      <c r="H12" s="104"/>
      <c r="I12" s="104"/>
      <c r="J12" s="104"/>
      <c r="K12" s="104"/>
      <c r="L12" s="104"/>
      <c r="M12" s="104"/>
      <c r="N12" s="104"/>
      <c r="O12" s="104"/>
      <c r="P12" s="104"/>
      <c r="Q12" s="104"/>
      <c r="R12" s="105"/>
    </row>
    <row r="13" spans="2:18" x14ac:dyDescent="0.35">
      <c r="B13" s="103"/>
      <c r="C13" s="104"/>
      <c r="D13" s="104"/>
      <c r="E13" s="104"/>
      <c r="F13" s="104"/>
      <c r="G13" s="104"/>
      <c r="H13" s="104"/>
      <c r="I13" s="104"/>
      <c r="J13" s="104"/>
      <c r="K13" s="104"/>
      <c r="L13" s="104"/>
      <c r="M13" s="104"/>
      <c r="N13" s="104"/>
      <c r="O13" s="104"/>
      <c r="P13" s="104"/>
      <c r="Q13" s="104"/>
      <c r="R13" s="105"/>
    </row>
    <row r="14" spans="2:18" x14ac:dyDescent="0.35">
      <c r="B14" s="103"/>
      <c r="C14" s="104"/>
      <c r="D14" s="104"/>
      <c r="E14" s="104"/>
      <c r="F14" s="104"/>
      <c r="G14" s="104"/>
      <c r="H14" s="104"/>
      <c r="I14" s="104"/>
      <c r="J14" s="104"/>
      <c r="K14" s="104"/>
      <c r="L14" s="104"/>
      <c r="M14" s="104"/>
      <c r="N14" s="104"/>
      <c r="O14" s="104"/>
      <c r="P14" s="104"/>
      <c r="Q14" s="104"/>
      <c r="R14" s="105"/>
    </row>
    <row r="15" spans="2:18" x14ac:dyDescent="0.35">
      <c r="B15" s="103"/>
      <c r="C15" s="104"/>
      <c r="D15" s="104"/>
      <c r="E15" s="104"/>
      <c r="F15" s="104"/>
      <c r="G15" s="104"/>
      <c r="H15" s="104"/>
      <c r="I15" s="104"/>
      <c r="J15" s="104"/>
      <c r="K15" s="104"/>
      <c r="L15" s="104"/>
      <c r="M15" s="104"/>
      <c r="N15" s="104"/>
      <c r="O15" s="104"/>
      <c r="P15" s="104"/>
      <c r="Q15" s="104"/>
      <c r="R15" s="105"/>
    </row>
    <row r="16" spans="2:18" x14ac:dyDescent="0.35">
      <c r="B16" s="103"/>
      <c r="C16" s="104"/>
      <c r="D16" s="104"/>
      <c r="E16" s="104"/>
      <c r="F16" s="104"/>
      <c r="G16" s="104"/>
      <c r="H16" s="104"/>
      <c r="I16" s="104"/>
      <c r="J16" s="104"/>
      <c r="K16" s="104"/>
      <c r="L16" s="104"/>
      <c r="M16" s="104"/>
      <c r="N16" s="104"/>
      <c r="O16" s="104"/>
      <c r="P16" s="104"/>
      <c r="Q16" s="104"/>
      <c r="R16" s="105"/>
    </row>
    <row r="17" spans="2:18" x14ac:dyDescent="0.35">
      <c r="B17" s="103"/>
      <c r="C17" s="104"/>
      <c r="D17" s="104"/>
      <c r="E17" s="104"/>
      <c r="F17" s="104"/>
      <c r="G17" s="104"/>
      <c r="H17" s="104"/>
      <c r="I17" s="104"/>
      <c r="J17" s="104"/>
      <c r="K17" s="104"/>
      <c r="L17" s="104"/>
      <c r="M17" s="104"/>
      <c r="N17" s="104"/>
      <c r="O17" s="104"/>
      <c r="P17" s="104"/>
      <c r="Q17" s="104"/>
      <c r="R17" s="105"/>
    </row>
    <row r="18" spans="2:18" x14ac:dyDescent="0.35">
      <c r="B18" s="103"/>
      <c r="C18" s="104"/>
      <c r="D18" s="104"/>
      <c r="E18" s="104"/>
      <c r="F18" s="104"/>
      <c r="G18" s="104"/>
      <c r="H18" s="104"/>
      <c r="I18" s="104"/>
      <c r="J18" s="104"/>
      <c r="K18" s="104"/>
      <c r="L18" s="104"/>
      <c r="M18" s="104"/>
      <c r="N18" s="104"/>
      <c r="O18" s="104"/>
      <c r="P18" s="104"/>
      <c r="Q18" s="104"/>
      <c r="R18" s="105"/>
    </row>
    <row r="19" spans="2:18" x14ac:dyDescent="0.35">
      <c r="B19" s="103"/>
      <c r="C19" s="104"/>
      <c r="D19" s="104"/>
      <c r="E19" s="104"/>
      <c r="F19" s="104"/>
      <c r="G19" s="104"/>
      <c r="H19" s="104"/>
      <c r="I19" s="104"/>
      <c r="J19" s="104"/>
      <c r="K19" s="104"/>
      <c r="L19" s="104"/>
      <c r="M19" s="104"/>
      <c r="N19" s="104"/>
      <c r="O19" s="104"/>
      <c r="P19" s="104"/>
      <c r="Q19" s="104"/>
      <c r="R19" s="105"/>
    </row>
    <row r="20" spans="2:18" x14ac:dyDescent="0.35">
      <c r="B20" s="103"/>
      <c r="C20" s="104"/>
      <c r="D20" s="104"/>
      <c r="E20" s="104"/>
      <c r="F20" s="104"/>
      <c r="G20" s="104"/>
      <c r="H20" s="104"/>
      <c r="I20" s="104"/>
      <c r="J20" s="104"/>
      <c r="K20" s="104"/>
      <c r="L20" s="104"/>
      <c r="M20" s="104"/>
      <c r="N20" s="104"/>
      <c r="O20" s="104"/>
      <c r="P20" s="104"/>
      <c r="Q20" s="104"/>
      <c r="R20" s="105"/>
    </row>
    <row r="21" spans="2:18" x14ac:dyDescent="0.35">
      <c r="B21" s="103"/>
      <c r="C21" s="104"/>
      <c r="D21" s="104"/>
      <c r="E21" s="104"/>
      <c r="F21" s="104"/>
      <c r="G21" s="104"/>
      <c r="H21" s="104"/>
      <c r="I21" s="104"/>
      <c r="J21" s="104"/>
      <c r="K21" s="104"/>
      <c r="L21" s="104"/>
      <c r="M21" s="104"/>
      <c r="N21" s="104"/>
      <c r="O21" s="104"/>
      <c r="P21" s="104"/>
      <c r="Q21" s="104"/>
      <c r="R21" s="105"/>
    </row>
    <row r="22" spans="2:18" x14ac:dyDescent="0.35">
      <c r="B22" s="103"/>
      <c r="C22" s="104"/>
      <c r="D22" s="104"/>
      <c r="E22" s="104"/>
      <c r="F22" s="104"/>
      <c r="G22" s="104"/>
      <c r="H22" s="104"/>
      <c r="I22" s="104"/>
      <c r="J22" s="104"/>
      <c r="K22" s="104"/>
      <c r="L22" s="104"/>
      <c r="M22" s="104"/>
      <c r="N22" s="104"/>
      <c r="O22" s="104"/>
      <c r="P22" s="104"/>
      <c r="Q22" s="104"/>
      <c r="R22" s="105"/>
    </row>
    <row r="23" spans="2:18" x14ac:dyDescent="0.35">
      <c r="B23" s="103"/>
      <c r="C23" s="104"/>
      <c r="D23" s="104"/>
      <c r="E23" s="104"/>
      <c r="F23" s="104"/>
      <c r="G23" s="104"/>
      <c r="H23" s="104"/>
      <c r="I23" s="104"/>
      <c r="J23" s="104"/>
      <c r="K23" s="104"/>
      <c r="L23" s="104"/>
      <c r="M23" s="104"/>
      <c r="N23" s="104"/>
      <c r="O23" s="104"/>
      <c r="P23" s="104"/>
      <c r="Q23" s="104"/>
      <c r="R23" s="105"/>
    </row>
    <row r="24" spans="2:18" x14ac:dyDescent="0.35">
      <c r="B24" s="103"/>
      <c r="C24" s="104"/>
      <c r="D24" s="104"/>
      <c r="E24" s="104"/>
      <c r="F24" s="104"/>
      <c r="G24" s="104"/>
      <c r="H24" s="104"/>
      <c r="I24" s="104"/>
      <c r="J24" s="104"/>
      <c r="K24" s="104"/>
      <c r="L24" s="104"/>
      <c r="M24" s="104"/>
      <c r="N24" s="104"/>
      <c r="O24" s="104"/>
      <c r="P24" s="104"/>
      <c r="Q24" s="104"/>
      <c r="R24" s="105"/>
    </row>
    <row r="25" spans="2:18" x14ac:dyDescent="0.35">
      <c r="B25" s="103"/>
      <c r="C25" s="104"/>
      <c r="D25" s="104"/>
      <c r="E25" s="104"/>
      <c r="F25" s="104"/>
      <c r="G25" s="104"/>
      <c r="H25" s="104"/>
      <c r="I25" s="104"/>
      <c r="J25" s="104"/>
      <c r="K25" s="104"/>
      <c r="L25" s="104"/>
      <c r="M25" s="104"/>
      <c r="N25" s="104"/>
      <c r="O25" s="104"/>
      <c r="P25" s="104"/>
      <c r="Q25" s="104"/>
      <c r="R25" s="105"/>
    </row>
    <row r="26" spans="2:18" x14ac:dyDescent="0.35">
      <c r="B26" s="103"/>
      <c r="C26" s="104"/>
      <c r="D26" s="104"/>
      <c r="E26" s="104"/>
      <c r="F26" s="104"/>
      <c r="G26" s="104"/>
      <c r="H26" s="104"/>
      <c r="I26" s="104"/>
      <c r="J26" s="104"/>
      <c r="K26" s="104"/>
      <c r="L26" s="104"/>
      <c r="M26" s="104"/>
      <c r="N26" s="104"/>
      <c r="O26" s="104"/>
      <c r="P26" s="104"/>
      <c r="Q26" s="104"/>
      <c r="R26" s="105"/>
    </row>
    <row r="27" spans="2:18" x14ac:dyDescent="0.35">
      <c r="B27" s="103"/>
      <c r="C27" s="104"/>
      <c r="D27" s="104"/>
      <c r="E27" s="104"/>
      <c r="F27" s="104"/>
      <c r="G27" s="104"/>
      <c r="H27" s="104"/>
      <c r="I27" s="104"/>
      <c r="J27" s="104"/>
      <c r="K27" s="104"/>
      <c r="L27" s="104"/>
      <c r="M27" s="104"/>
      <c r="N27" s="104"/>
      <c r="O27" s="104"/>
      <c r="P27" s="104"/>
      <c r="Q27" s="104"/>
      <c r="R27" s="105"/>
    </row>
    <row r="28" spans="2:18" x14ac:dyDescent="0.35">
      <c r="B28" s="103"/>
      <c r="C28" s="104"/>
      <c r="D28" s="104"/>
      <c r="E28" s="104"/>
      <c r="F28" s="104"/>
      <c r="G28" s="104"/>
      <c r="H28" s="104"/>
      <c r="I28" s="104"/>
      <c r="J28" s="104"/>
      <c r="K28" s="104"/>
      <c r="L28" s="104"/>
      <c r="M28" s="104"/>
      <c r="N28" s="104"/>
      <c r="O28" s="104"/>
      <c r="P28" s="104"/>
      <c r="Q28" s="104"/>
      <c r="R28" s="105"/>
    </row>
    <row r="29" spans="2:18" x14ac:dyDescent="0.35">
      <c r="B29" s="103"/>
      <c r="C29" s="104"/>
      <c r="D29" s="104"/>
      <c r="E29" s="104"/>
      <c r="F29" s="104"/>
      <c r="G29" s="104"/>
      <c r="H29" s="104"/>
      <c r="I29" s="104"/>
      <c r="J29" s="104"/>
      <c r="K29" s="104"/>
      <c r="L29" s="104"/>
      <c r="M29" s="104"/>
      <c r="N29" s="104"/>
      <c r="O29" s="104"/>
      <c r="P29" s="104"/>
      <c r="Q29" s="104"/>
      <c r="R29" s="105"/>
    </row>
    <row r="30" spans="2:18" x14ac:dyDescent="0.35">
      <c r="B30" s="103"/>
      <c r="C30" s="104"/>
      <c r="D30" s="104"/>
      <c r="E30" s="104"/>
      <c r="F30" s="104"/>
      <c r="G30" s="104"/>
      <c r="H30" s="104"/>
      <c r="I30" s="104"/>
      <c r="J30" s="104"/>
      <c r="K30" s="104"/>
      <c r="L30" s="104"/>
      <c r="M30" s="104"/>
      <c r="N30" s="104"/>
      <c r="O30" s="104"/>
      <c r="P30" s="104"/>
      <c r="Q30" s="104"/>
      <c r="R30" s="105"/>
    </row>
    <row r="31" spans="2:18" x14ac:dyDescent="0.35">
      <c r="B31" s="103"/>
      <c r="C31" s="104"/>
      <c r="D31" s="104"/>
      <c r="E31" s="104"/>
      <c r="F31" s="104"/>
      <c r="G31" s="104"/>
      <c r="H31" s="104"/>
      <c r="I31" s="104"/>
      <c r="J31" s="104"/>
      <c r="K31" s="104"/>
      <c r="L31" s="104"/>
      <c r="M31" s="104"/>
      <c r="N31" s="104"/>
      <c r="O31" s="104"/>
      <c r="P31" s="104"/>
      <c r="Q31" s="104"/>
      <c r="R31" s="105"/>
    </row>
    <row r="32" spans="2:18" x14ac:dyDescent="0.35">
      <c r="B32" s="103"/>
      <c r="C32" s="104"/>
      <c r="D32" s="104"/>
      <c r="E32" s="104"/>
      <c r="F32" s="104"/>
      <c r="G32" s="104"/>
      <c r="H32" s="104"/>
      <c r="I32" s="104"/>
      <c r="J32" s="104"/>
      <c r="K32" s="104"/>
      <c r="L32" s="104"/>
      <c r="M32" s="104"/>
      <c r="N32" s="104"/>
      <c r="O32" s="104"/>
      <c r="P32" s="104"/>
      <c r="Q32" s="104"/>
      <c r="R32" s="105"/>
    </row>
    <row r="33" spans="2:18" ht="15" customHeight="1" x14ac:dyDescent="0.35">
      <c r="B33" s="103"/>
      <c r="C33" s="104"/>
      <c r="D33" s="104"/>
      <c r="E33" s="104"/>
      <c r="F33" s="104"/>
      <c r="G33" s="104"/>
      <c r="H33" s="104"/>
      <c r="I33" s="104"/>
      <c r="J33" s="104"/>
      <c r="K33" s="104"/>
      <c r="L33" s="104"/>
      <c r="M33" s="104"/>
      <c r="N33" s="104"/>
      <c r="O33" s="104"/>
      <c r="P33" s="104"/>
      <c r="Q33" s="104"/>
      <c r="R33" s="105"/>
    </row>
    <row r="34" spans="2:18" x14ac:dyDescent="0.35">
      <c r="B34" s="103"/>
      <c r="C34" s="104"/>
      <c r="D34" s="104"/>
      <c r="E34" s="104"/>
      <c r="F34" s="104"/>
      <c r="G34" s="104"/>
      <c r="H34" s="104"/>
      <c r="I34" s="104"/>
      <c r="J34" s="104"/>
      <c r="K34" s="104"/>
      <c r="L34" s="104"/>
      <c r="M34" s="104"/>
      <c r="N34" s="104"/>
      <c r="O34" s="104"/>
      <c r="P34" s="104"/>
      <c r="Q34" s="104"/>
      <c r="R34" s="105"/>
    </row>
    <row r="35" spans="2:18" x14ac:dyDescent="0.35">
      <c r="B35" s="103"/>
      <c r="C35" s="104"/>
      <c r="D35" s="104"/>
      <c r="E35" s="104"/>
      <c r="F35" s="104"/>
      <c r="G35" s="104"/>
      <c r="H35" s="104"/>
      <c r="I35" s="104"/>
      <c r="J35" s="104"/>
      <c r="K35" s="104"/>
      <c r="L35" s="104"/>
      <c r="M35" s="104"/>
      <c r="N35" s="104"/>
      <c r="O35" s="104"/>
      <c r="P35" s="104"/>
      <c r="Q35" s="104"/>
      <c r="R35" s="105"/>
    </row>
    <row r="36" spans="2:18" ht="15" customHeight="1" thickBot="1" x14ac:dyDescent="0.4">
      <c r="B36" s="106"/>
      <c r="C36" s="107"/>
      <c r="D36" s="107"/>
      <c r="E36" s="107"/>
      <c r="F36" s="107"/>
      <c r="G36" s="107"/>
      <c r="H36" s="107"/>
      <c r="I36" s="107"/>
      <c r="J36" s="107"/>
      <c r="K36" s="107"/>
      <c r="L36" s="107"/>
      <c r="M36" s="107"/>
      <c r="N36" s="107"/>
      <c r="O36" s="107"/>
      <c r="P36" s="107"/>
      <c r="Q36" s="107"/>
      <c r="R36" s="108"/>
    </row>
  </sheetData>
  <mergeCells count="1">
    <mergeCell ref="B2:R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8DCE-8904-4D30-8379-E7245A1FC021}">
  <sheetPr>
    <tabColor theme="9" tint="0.59999389629810485"/>
  </sheetPr>
  <dimension ref="A1:BP106"/>
  <sheetViews>
    <sheetView showGridLines="0" zoomScaleNormal="100" workbookViewId="0">
      <pane xSplit="2" ySplit="2" topLeftCell="C5" activePane="bottomRight" state="frozen"/>
      <selection pane="topRight" activeCell="C1" sqref="C1"/>
      <selection pane="bottomLeft" activeCell="A3" sqref="A3"/>
      <selection pane="bottomRight" activeCell="D66" sqref="D66"/>
    </sheetView>
  </sheetViews>
  <sheetFormatPr baseColWidth="10" defaultColWidth="11.453125" defaultRowHeight="14.5" x14ac:dyDescent="0.35"/>
  <cols>
    <col min="1" max="1" width="3.453125" bestFit="1" customWidth="1"/>
    <col min="2" max="2" width="3.54296875" bestFit="1" customWidth="1"/>
    <col min="3" max="14" width="5.54296875" customWidth="1"/>
    <col min="15" max="17" width="6.26953125" bestFit="1" customWidth="1"/>
    <col min="18" max="52" width="5.54296875" customWidth="1"/>
    <col min="53" max="53" width="6.26953125" bestFit="1" customWidth="1"/>
    <col min="54" max="57" width="5.54296875" customWidth="1"/>
    <col min="58" max="58" width="6.26953125" bestFit="1" customWidth="1"/>
    <col min="59" max="64" width="5.54296875" customWidth="1"/>
    <col min="65" max="65" width="6.54296875" bestFit="1" customWidth="1"/>
    <col min="66" max="66" width="34" style="8" bestFit="1" customWidth="1"/>
    <col min="67" max="67" width="23.1796875" bestFit="1" customWidth="1"/>
    <col min="68" max="68" width="66.453125" bestFit="1" customWidth="1"/>
  </cols>
  <sheetData>
    <row r="1" spans="1:68" x14ac:dyDescent="0.35">
      <c r="C1" s="109" t="s">
        <v>409</v>
      </c>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row>
    <row r="2" spans="1:68" x14ac:dyDescent="0.35">
      <c r="B2" s="7"/>
      <c r="C2" s="14" t="s">
        <v>410</v>
      </c>
      <c r="D2" s="14" t="s">
        <v>411</v>
      </c>
      <c r="E2" s="14" t="s">
        <v>412</v>
      </c>
      <c r="F2" s="14" t="s">
        <v>413</v>
      </c>
      <c r="G2" s="14" t="s">
        <v>414</v>
      </c>
      <c r="H2" s="14" t="s">
        <v>415</v>
      </c>
      <c r="I2" s="14" t="s">
        <v>416</v>
      </c>
      <c r="J2" s="14" t="s">
        <v>417</v>
      </c>
      <c r="K2" s="14" t="s">
        <v>418</v>
      </c>
      <c r="L2" s="14" t="s">
        <v>419</v>
      </c>
      <c r="M2" s="14" t="s">
        <v>420</v>
      </c>
      <c r="N2" s="14" t="s">
        <v>421</v>
      </c>
      <c r="O2" s="14" t="s">
        <v>422</v>
      </c>
      <c r="P2" s="14" t="s">
        <v>423</v>
      </c>
      <c r="Q2" s="14" t="s">
        <v>424</v>
      </c>
      <c r="R2" s="14" t="s">
        <v>425</v>
      </c>
      <c r="S2" s="14" t="s">
        <v>426</v>
      </c>
      <c r="T2" s="14" t="s">
        <v>427</v>
      </c>
      <c r="U2" s="14" t="s">
        <v>428</v>
      </c>
      <c r="V2" s="14" t="s">
        <v>429</v>
      </c>
      <c r="W2" s="14" t="s">
        <v>430</v>
      </c>
      <c r="X2" s="14" t="s">
        <v>431</v>
      </c>
      <c r="Y2" s="14" t="s">
        <v>432</v>
      </c>
      <c r="Z2" s="14" t="s">
        <v>433</v>
      </c>
      <c r="AA2" s="14" t="s">
        <v>434</v>
      </c>
      <c r="AB2" s="14" t="s">
        <v>435</v>
      </c>
      <c r="AC2" s="14" t="s">
        <v>436</v>
      </c>
      <c r="AD2" s="14" t="s">
        <v>437</v>
      </c>
      <c r="AE2" s="14" t="s">
        <v>438</v>
      </c>
      <c r="AF2" s="14" t="s">
        <v>439</v>
      </c>
      <c r="AG2" s="14" t="s">
        <v>440</v>
      </c>
      <c r="AH2" s="14" t="s">
        <v>441</v>
      </c>
      <c r="AI2" s="14" t="s">
        <v>442</v>
      </c>
      <c r="AJ2" s="14" t="s">
        <v>443</v>
      </c>
      <c r="AK2" s="14" t="s">
        <v>444</v>
      </c>
      <c r="AL2" s="14" t="s">
        <v>445</v>
      </c>
      <c r="AM2" s="14" t="s">
        <v>446</v>
      </c>
      <c r="AN2" s="14" t="s">
        <v>447</v>
      </c>
      <c r="AO2" s="14" t="s">
        <v>448</v>
      </c>
      <c r="AP2" s="14" t="s">
        <v>449</v>
      </c>
      <c r="AQ2" s="14" t="s">
        <v>450</v>
      </c>
      <c r="AR2" s="14" t="s">
        <v>451</v>
      </c>
      <c r="AS2" s="14" t="s">
        <v>452</v>
      </c>
      <c r="AT2" s="14" t="s">
        <v>453</v>
      </c>
      <c r="AU2" s="14" t="s">
        <v>454</v>
      </c>
      <c r="AV2" s="14" t="s">
        <v>455</v>
      </c>
      <c r="AW2" s="14" t="s">
        <v>456</v>
      </c>
      <c r="AX2" s="14" t="s">
        <v>457</v>
      </c>
      <c r="AY2" s="14" t="s">
        <v>458</v>
      </c>
      <c r="AZ2" s="14" t="s">
        <v>459</v>
      </c>
      <c r="BA2" s="14" t="s">
        <v>460</v>
      </c>
      <c r="BB2" s="14" t="s">
        <v>461</v>
      </c>
      <c r="BC2" s="14" t="s">
        <v>462</v>
      </c>
      <c r="BD2" s="14" t="s">
        <v>463</v>
      </c>
      <c r="BE2" s="14" t="s">
        <v>464</v>
      </c>
      <c r="BF2" s="14" t="s">
        <v>465</v>
      </c>
      <c r="BG2" s="14" t="s">
        <v>466</v>
      </c>
      <c r="BH2" s="14" t="s">
        <v>467</v>
      </c>
      <c r="BI2" s="14" t="s">
        <v>468</v>
      </c>
      <c r="BJ2" s="14" t="s">
        <v>469</v>
      </c>
      <c r="BK2" s="14" t="s">
        <v>470</v>
      </c>
      <c r="BL2" s="14" t="s">
        <v>471</v>
      </c>
      <c r="BM2" s="15" t="s">
        <v>241</v>
      </c>
      <c r="BN2" s="44" t="s">
        <v>472</v>
      </c>
      <c r="BO2" s="44" t="s">
        <v>473</v>
      </c>
      <c r="BP2" s="45" t="s">
        <v>128</v>
      </c>
    </row>
    <row r="3" spans="1:68" x14ac:dyDescent="0.35">
      <c r="A3" s="110" t="s">
        <v>474</v>
      </c>
      <c r="B3" s="16" t="s">
        <v>410</v>
      </c>
      <c r="C3" s="17"/>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9"/>
      <c r="BN3" s="52">
        <f>SUM(C3:BM3)</f>
        <v>0</v>
      </c>
      <c r="BO3" s="20" t="s">
        <v>475</v>
      </c>
      <c r="BP3" s="21" t="s">
        <v>476</v>
      </c>
    </row>
    <row r="4" spans="1:68" x14ac:dyDescent="0.35">
      <c r="A4" s="110"/>
      <c r="B4" s="16" t="s">
        <v>411</v>
      </c>
      <c r="C4" s="18"/>
      <c r="D4" s="17"/>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22">
        <f>0.11</f>
        <v>0.11</v>
      </c>
      <c r="BN4" s="52">
        <f>SUM(C4:BM4)</f>
        <v>0.11</v>
      </c>
      <c r="BO4" s="20" t="s">
        <v>477</v>
      </c>
      <c r="BP4" s="23" t="s">
        <v>478</v>
      </c>
    </row>
    <row r="5" spans="1:68" x14ac:dyDescent="0.35">
      <c r="A5" s="110"/>
      <c r="B5" s="16" t="s">
        <v>412</v>
      </c>
      <c r="C5" s="24">
        <f>0.1/100</f>
        <v>1E-3</v>
      </c>
      <c r="D5" s="18"/>
      <c r="E5" s="17"/>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24">
        <f>0.2/100</f>
        <v>2E-3</v>
      </c>
      <c r="BN5" s="52">
        <f>SUM(C5:BM5)</f>
        <v>3.0000000000000001E-3</v>
      </c>
      <c r="BO5" s="25" t="s">
        <v>477</v>
      </c>
      <c r="BP5" s="23" t="s">
        <v>362</v>
      </c>
    </row>
    <row r="6" spans="1:68" x14ac:dyDescent="0.35">
      <c r="A6" s="110"/>
      <c r="B6" s="16" t="s">
        <v>413</v>
      </c>
      <c r="C6" s="18"/>
      <c r="D6" s="18"/>
      <c r="E6" s="18"/>
      <c r="F6" s="17"/>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22">
        <f>5/100</f>
        <v>0.05</v>
      </c>
      <c r="BN6" s="52">
        <f>SUM(C6:BM6)</f>
        <v>0.05</v>
      </c>
      <c r="BO6" s="25" t="s">
        <v>477</v>
      </c>
      <c r="BP6" s="23" t="s">
        <v>479</v>
      </c>
    </row>
    <row r="7" spans="1:68" x14ac:dyDescent="0.35">
      <c r="A7" s="110"/>
      <c r="B7" s="16" t="s">
        <v>414</v>
      </c>
      <c r="C7" s="18"/>
      <c r="D7" s="18"/>
      <c r="E7" s="18"/>
      <c r="F7" s="18"/>
      <c r="G7" s="17"/>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52">
        <f>0</f>
        <v>0</v>
      </c>
      <c r="BO7" s="20" t="s">
        <v>477</v>
      </c>
      <c r="BP7" s="23" t="s">
        <v>362</v>
      </c>
    </row>
    <row r="8" spans="1:68" x14ac:dyDescent="0.35">
      <c r="A8" s="110"/>
      <c r="B8" s="16" t="s">
        <v>415</v>
      </c>
      <c r="C8" s="18"/>
      <c r="D8" s="18"/>
      <c r="E8" s="18"/>
      <c r="F8" s="18"/>
      <c r="G8" s="18"/>
      <c r="H8" s="17"/>
      <c r="I8" s="18"/>
      <c r="J8" s="18"/>
      <c r="K8" s="18"/>
      <c r="L8" s="18"/>
      <c r="M8" s="22" t="s">
        <v>792</v>
      </c>
      <c r="N8" s="18"/>
      <c r="O8" s="18"/>
      <c r="P8" s="18"/>
      <c r="Q8" s="18"/>
      <c r="R8" s="18"/>
      <c r="S8" s="18"/>
      <c r="T8" s="18"/>
      <c r="U8" s="18"/>
      <c r="V8" s="18"/>
      <c r="W8" s="18"/>
      <c r="X8" s="18"/>
      <c r="Y8" s="18"/>
      <c r="Z8" s="18"/>
      <c r="AA8" s="18"/>
      <c r="AB8" s="18"/>
      <c r="AC8" s="18"/>
      <c r="AD8" s="18"/>
      <c r="AE8" s="18"/>
      <c r="AF8" s="18"/>
      <c r="AG8" s="22" t="s">
        <v>342</v>
      </c>
      <c r="AH8" s="18"/>
      <c r="AI8" s="18"/>
      <c r="AJ8" s="18"/>
      <c r="AK8" s="18"/>
      <c r="AL8" s="18"/>
      <c r="AM8" s="18"/>
      <c r="AN8" s="18"/>
      <c r="AO8" s="18"/>
      <c r="AP8" s="18"/>
      <c r="AQ8" s="18"/>
      <c r="AR8" s="18"/>
      <c r="AS8" s="18"/>
      <c r="AT8" s="18"/>
      <c r="AU8" s="18"/>
      <c r="AV8" s="18"/>
      <c r="AW8" s="18"/>
      <c r="AX8" s="18"/>
      <c r="AY8" s="18"/>
      <c r="AZ8" s="18"/>
      <c r="BA8" s="22" t="s">
        <v>342</v>
      </c>
      <c r="BB8" s="18"/>
      <c r="BC8" s="18"/>
      <c r="BD8" s="18"/>
      <c r="BE8" s="18"/>
      <c r="BF8" s="18"/>
      <c r="BG8" s="18"/>
      <c r="BH8" s="18"/>
      <c r="BI8" s="18"/>
      <c r="BJ8" s="18"/>
      <c r="BK8" s="18"/>
      <c r="BL8" s="22" t="s">
        <v>342</v>
      </c>
      <c r="BM8" s="18"/>
      <c r="BN8" s="52">
        <f>100/100</f>
        <v>1</v>
      </c>
      <c r="BO8" s="20" t="s">
        <v>477</v>
      </c>
      <c r="BP8" s="23" t="s">
        <v>480</v>
      </c>
    </row>
    <row r="9" spans="1:68" x14ac:dyDescent="0.35">
      <c r="A9" s="110"/>
      <c r="B9" s="16" t="s">
        <v>416</v>
      </c>
      <c r="C9" s="18"/>
      <c r="D9" s="18"/>
      <c r="E9" s="18"/>
      <c r="F9" s="18"/>
      <c r="G9" s="18"/>
      <c r="H9" s="18"/>
      <c r="I9" s="17"/>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52">
        <v>0</v>
      </c>
      <c r="BO9" s="20" t="s">
        <v>477</v>
      </c>
      <c r="BP9" s="26" t="s">
        <v>362</v>
      </c>
    </row>
    <row r="10" spans="1:68" x14ac:dyDescent="0.35">
      <c r="A10" s="110"/>
      <c r="B10" s="16" t="s">
        <v>417</v>
      </c>
      <c r="C10" s="18"/>
      <c r="D10" s="18"/>
      <c r="E10" s="18"/>
      <c r="F10" s="18"/>
      <c r="G10" s="19"/>
      <c r="H10" s="18"/>
      <c r="I10" s="18"/>
      <c r="J10" s="17"/>
      <c r="K10" s="18"/>
      <c r="L10" s="18"/>
      <c r="M10" s="22">
        <v>1</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9"/>
      <c r="BM10" s="19"/>
      <c r="BN10" s="52">
        <f>SUM(C10:BM10)</f>
        <v>1</v>
      </c>
      <c r="BO10" s="20" t="s">
        <v>481</v>
      </c>
      <c r="BP10" s="26" t="s">
        <v>362</v>
      </c>
    </row>
    <row r="11" spans="1:68" x14ac:dyDescent="0.35">
      <c r="A11" s="110"/>
      <c r="B11" s="16" t="s">
        <v>418</v>
      </c>
      <c r="C11" s="18"/>
      <c r="D11" s="18"/>
      <c r="E11" s="18"/>
      <c r="F11" s="18"/>
      <c r="G11" s="18"/>
      <c r="H11" s="18"/>
      <c r="I11" s="18"/>
      <c r="J11" s="18"/>
      <c r="K11" s="17"/>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22">
        <v>0.14000000000000001</v>
      </c>
      <c r="BF11" s="18"/>
      <c r="BG11" s="18"/>
      <c r="BH11" s="18"/>
      <c r="BI11" s="18"/>
      <c r="BJ11" s="18"/>
      <c r="BK11" s="18"/>
      <c r="BL11" s="18"/>
      <c r="BM11" s="18"/>
      <c r="BN11" s="52">
        <f>SUM(C11:BM11)</f>
        <v>0.14000000000000001</v>
      </c>
      <c r="BO11" s="20" t="s">
        <v>482</v>
      </c>
      <c r="BP11" s="26" t="s">
        <v>483</v>
      </c>
    </row>
    <row r="12" spans="1:68" x14ac:dyDescent="0.35">
      <c r="A12" s="110"/>
      <c r="B12" s="16" t="s">
        <v>419</v>
      </c>
      <c r="C12" s="18"/>
      <c r="D12" s="18"/>
      <c r="E12" s="18"/>
      <c r="F12" s="18"/>
      <c r="G12" s="18"/>
      <c r="H12" s="18"/>
      <c r="I12" s="18"/>
      <c r="J12" s="18"/>
      <c r="K12" s="18"/>
      <c r="L12" s="17"/>
      <c r="M12" s="22">
        <f>3/100</f>
        <v>0.03</v>
      </c>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52">
        <f>SUM(C12:BM12)</f>
        <v>0.03</v>
      </c>
      <c r="BO12" s="20" t="s">
        <v>477</v>
      </c>
      <c r="BP12" s="27" t="s">
        <v>362</v>
      </c>
    </row>
    <row r="13" spans="1:68" x14ac:dyDescent="0.35">
      <c r="A13" s="110"/>
      <c r="B13" s="16" t="s">
        <v>420</v>
      </c>
      <c r="C13" s="18"/>
      <c r="D13" s="18"/>
      <c r="E13" s="18"/>
      <c r="F13" s="18"/>
      <c r="G13" s="18"/>
      <c r="H13" s="18"/>
      <c r="I13" s="22" t="s">
        <v>342</v>
      </c>
      <c r="J13" s="22" t="s">
        <v>342</v>
      </c>
      <c r="K13" s="18"/>
      <c r="L13" s="18"/>
      <c r="M13" s="17"/>
      <c r="N13" s="18"/>
      <c r="O13" s="18"/>
      <c r="P13" s="22" t="s">
        <v>342</v>
      </c>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52">
        <f>1/100</f>
        <v>0.01</v>
      </c>
      <c r="BO13" s="20" t="s">
        <v>477</v>
      </c>
      <c r="BP13" s="26" t="s">
        <v>362</v>
      </c>
    </row>
    <row r="14" spans="1:68" x14ac:dyDescent="0.35">
      <c r="A14" s="110"/>
      <c r="B14" s="16" t="s">
        <v>421</v>
      </c>
      <c r="C14" s="18"/>
      <c r="D14" s="18"/>
      <c r="E14" s="18"/>
      <c r="F14" s="18"/>
      <c r="G14" s="18"/>
      <c r="H14" s="18"/>
      <c r="I14" s="18"/>
      <c r="J14" s="18"/>
      <c r="K14" s="18"/>
      <c r="L14" s="18"/>
      <c r="M14" s="18"/>
      <c r="N14" s="17"/>
      <c r="O14" s="22">
        <f>25/100</f>
        <v>0.25</v>
      </c>
      <c r="P14" s="22">
        <f>53/100</f>
        <v>0.53</v>
      </c>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22">
        <f>1/100</f>
        <v>0.01</v>
      </c>
      <c r="BF14" s="18"/>
      <c r="BG14" s="18"/>
      <c r="BH14" s="18"/>
      <c r="BI14" s="18"/>
      <c r="BJ14" s="18"/>
      <c r="BK14" s="18"/>
      <c r="BL14" s="18"/>
      <c r="BM14" s="18"/>
      <c r="BN14" s="53">
        <f t="shared" ref="BN14:BN19" si="0">SUM(C14:BM14)</f>
        <v>0.79</v>
      </c>
      <c r="BO14" s="28" t="s">
        <v>649</v>
      </c>
      <c r="BP14" s="26" t="s">
        <v>362</v>
      </c>
    </row>
    <row r="15" spans="1:68" x14ac:dyDescent="0.35">
      <c r="A15" s="110"/>
      <c r="B15" s="16" t="s">
        <v>422</v>
      </c>
      <c r="C15" s="18"/>
      <c r="D15" s="18"/>
      <c r="E15" s="18"/>
      <c r="F15" s="18"/>
      <c r="G15" s="18"/>
      <c r="H15" s="18"/>
      <c r="I15" s="18"/>
      <c r="J15" s="18"/>
      <c r="K15" s="18"/>
      <c r="L15" s="18"/>
      <c r="M15" s="18"/>
      <c r="N15" s="18"/>
      <c r="O15" s="17"/>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22">
        <f>2/100</f>
        <v>0.02</v>
      </c>
      <c r="BF15" s="18"/>
      <c r="BG15" s="18"/>
      <c r="BH15" s="18"/>
      <c r="BI15" s="18"/>
      <c r="BJ15" s="18"/>
      <c r="BK15" s="18"/>
      <c r="BL15" s="18"/>
      <c r="BM15" s="18"/>
      <c r="BN15" s="52">
        <f t="shared" si="0"/>
        <v>0.02</v>
      </c>
      <c r="BO15" s="25" t="s">
        <v>477</v>
      </c>
      <c r="BP15" s="26" t="s">
        <v>362</v>
      </c>
    </row>
    <row r="16" spans="1:68" x14ac:dyDescent="0.35">
      <c r="A16" s="110"/>
      <c r="B16" s="16" t="s">
        <v>423</v>
      </c>
      <c r="C16" s="18"/>
      <c r="D16" s="18"/>
      <c r="E16" s="18"/>
      <c r="F16" s="18"/>
      <c r="G16" s="18"/>
      <c r="H16" s="18"/>
      <c r="I16" s="18"/>
      <c r="J16" s="18"/>
      <c r="K16" s="18"/>
      <c r="L16" s="18"/>
      <c r="M16" s="18"/>
      <c r="N16" s="18"/>
      <c r="O16" s="19"/>
      <c r="P16" s="17"/>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9"/>
      <c r="BG16" s="18"/>
      <c r="BH16" s="18"/>
      <c r="BI16" s="19"/>
      <c r="BJ16" s="18"/>
      <c r="BK16" s="18"/>
      <c r="BL16" s="18"/>
      <c r="BM16" s="18"/>
      <c r="BN16" s="53">
        <f>SUM(C16:BM16)</f>
        <v>0</v>
      </c>
      <c r="BO16" s="28" t="s">
        <v>484</v>
      </c>
      <c r="BP16" s="29" t="s">
        <v>362</v>
      </c>
    </row>
    <row r="17" spans="1:68" x14ac:dyDescent="0.35">
      <c r="A17" s="110"/>
      <c r="B17" s="16" t="s">
        <v>424</v>
      </c>
      <c r="C17" s="18"/>
      <c r="D17" s="18"/>
      <c r="E17" s="18"/>
      <c r="F17" s="18"/>
      <c r="G17" s="18"/>
      <c r="H17" s="18"/>
      <c r="I17" s="18"/>
      <c r="J17" s="18"/>
      <c r="K17" s="18"/>
      <c r="L17" s="18"/>
      <c r="M17" s="18"/>
      <c r="N17" s="18"/>
      <c r="O17" s="18"/>
      <c r="P17" s="22">
        <f>4/100</f>
        <v>0.04</v>
      </c>
      <c r="Q17" s="17"/>
      <c r="R17" s="18"/>
      <c r="S17" s="18"/>
      <c r="T17" s="18"/>
      <c r="U17" s="18"/>
      <c r="V17" s="18"/>
      <c r="W17" s="18"/>
      <c r="X17" s="18"/>
      <c r="Y17" s="18"/>
      <c r="Z17" s="18"/>
      <c r="AA17" s="18"/>
      <c r="AB17" s="18"/>
      <c r="AC17" s="18"/>
      <c r="AD17" s="22">
        <f>3/100</f>
        <v>0.03</v>
      </c>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22">
        <f>2/100</f>
        <v>0.02</v>
      </c>
      <c r="BG17" s="18"/>
      <c r="BH17" s="18"/>
      <c r="BI17" s="22">
        <f>1/100</f>
        <v>0.01</v>
      </c>
      <c r="BJ17" s="18"/>
      <c r="BK17" s="18"/>
      <c r="BL17" s="18"/>
      <c r="BM17" s="18"/>
      <c r="BN17" s="52">
        <f t="shared" si="0"/>
        <v>0.1</v>
      </c>
      <c r="BO17" s="25" t="s">
        <v>477</v>
      </c>
      <c r="BP17" s="26" t="s">
        <v>362</v>
      </c>
    </row>
    <row r="18" spans="1:68" x14ac:dyDescent="0.35">
      <c r="A18" s="110"/>
      <c r="B18" s="16" t="s">
        <v>425</v>
      </c>
      <c r="C18" s="18"/>
      <c r="D18" s="18"/>
      <c r="E18" s="18"/>
      <c r="F18" s="18"/>
      <c r="G18" s="22">
        <f>95/100</f>
        <v>0.95</v>
      </c>
      <c r="H18" s="18"/>
      <c r="I18" s="18"/>
      <c r="J18" s="18"/>
      <c r="K18" s="18"/>
      <c r="L18" s="18"/>
      <c r="M18" s="18"/>
      <c r="N18" s="18"/>
      <c r="O18" s="18"/>
      <c r="P18" s="18"/>
      <c r="Q18" s="22">
        <f>5/100</f>
        <v>0.05</v>
      </c>
      <c r="R18" s="17"/>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52">
        <f t="shared" si="0"/>
        <v>1</v>
      </c>
      <c r="BO18" s="25" t="s">
        <v>523</v>
      </c>
      <c r="BP18" s="30" t="s">
        <v>362</v>
      </c>
    </row>
    <row r="19" spans="1:68" x14ac:dyDescent="0.35">
      <c r="A19" s="110"/>
      <c r="B19" s="16" t="s">
        <v>426</v>
      </c>
      <c r="C19" s="18"/>
      <c r="D19" s="18"/>
      <c r="E19" s="18"/>
      <c r="F19" s="18"/>
      <c r="G19" s="18"/>
      <c r="H19" s="18"/>
      <c r="I19" s="18"/>
      <c r="J19" s="18"/>
      <c r="K19" s="18"/>
      <c r="L19" s="18"/>
      <c r="M19" s="18"/>
      <c r="N19" s="18"/>
      <c r="O19" s="18"/>
      <c r="P19" s="18"/>
      <c r="Q19" s="22">
        <f>75/100</f>
        <v>0.75</v>
      </c>
      <c r="R19" s="18"/>
      <c r="S19" s="17"/>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22">
        <f>25/100</f>
        <v>0.25</v>
      </c>
      <c r="BN19" s="52">
        <f t="shared" si="0"/>
        <v>1</v>
      </c>
      <c r="BO19" s="25" t="s">
        <v>485</v>
      </c>
      <c r="BP19" s="29" t="s">
        <v>486</v>
      </c>
    </row>
    <row r="20" spans="1:68" x14ac:dyDescent="0.35">
      <c r="A20" s="110"/>
      <c r="B20" s="16" t="s">
        <v>427</v>
      </c>
      <c r="C20" s="18"/>
      <c r="D20" s="18"/>
      <c r="E20" s="18"/>
      <c r="F20" s="18"/>
      <c r="G20" s="18"/>
      <c r="H20" s="18"/>
      <c r="I20" s="18"/>
      <c r="J20" s="18"/>
      <c r="K20" s="18"/>
      <c r="L20" s="18"/>
      <c r="M20" s="18"/>
      <c r="N20" s="22" t="s">
        <v>342</v>
      </c>
      <c r="O20" s="18"/>
      <c r="P20" s="22" t="s">
        <v>342</v>
      </c>
      <c r="Q20" s="22" t="s">
        <v>342</v>
      </c>
      <c r="R20" s="18"/>
      <c r="S20" s="18"/>
      <c r="T20" s="17"/>
      <c r="U20" s="18"/>
      <c r="V20" s="18"/>
      <c r="W20" s="18"/>
      <c r="X20" s="18"/>
      <c r="Y20" s="18"/>
      <c r="Z20" s="18"/>
      <c r="AA20" s="18"/>
      <c r="AB20" s="18"/>
      <c r="AC20" s="18"/>
      <c r="AD20" s="18"/>
      <c r="AE20" s="18"/>
      <c r="AF20" s="18"/>
      <c r="AG20" s="22" t="s">
        <v>342</v>
      </c>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22" t="s">
        <v>342</v>
      </c>
      <c r="BG20" s="18"/>
      <c r="BH20" s="18"/>
      <c r="BI20" s="22" t="s">
        <v>342</v>
      </c>
      <c r="BJ20" s="18"/>
      <c r="BK20" s="18"/>
      <c r="BL20" s="18"/>
      <c r="BM20" s="18"/>
      <c r="BN20" s="52">
        <f>92/100</f>
        <v>0.92</v>
      </c>
      <c r="BO20" s="20" t="s">
        <v>477</v>
      </c>
      <c r="BP20" s="23" t="s">
        <v>480</v>
      </c>
    </row>
    <row r="21" spans="1:68" x14ac:dyDescent="0.35">
      <c r="A21" s="110"/>
      <c r="B21" s="16" t="s">
        <v>428</v>
      </c>
      <c r="C21" s="18"/>
      <c r="D21" s="18"/>
      <c r="E21" s="18"/>
      <c r="F21" s="18"/>
      <c r="G21" s="18"/>
      <c r="H21" s="18"/>
      <c r="I21" s="18"/>
      <c r="J21" s="18"/>
      <c r="K21" s="18"/>
      <c r="L21" s="18"/>
      <c r="M21" s="18"/>
      <c r="N21" s="18"/>
      <c r="O21" s="22" t="s">
        <v>342</v>
      </c>
      <c r="P21" s="22">
        <f>90/100</f>
        <v>0.9</v>
      </c>
      <c r="Q21" s="22" t="s">
        <v>342</v>
      </c>
      <c r="R21" s="18"/>
      <c r="S21" s="18"/>
      <c r="T21" s="18"/>
      <c r="U21" s="17"/>
      <c r="V21" s="18"/>
      <c r="W21" s="18"/>
      <c r="X21" s="18"/>
      <c r="Y21" s="18"/>
      <c r="Z21" s="18"/>
      <c r="AA21" s="18"/>
      <c r="AB21" s="18"/>
      <c r="AC21" s="18"/>
      <c r="AD21" s="22" t="s">
        <v>342</v>
      </c>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22" t="s">
        <v>342</v>
      </c>
      <c r="BH21" s="18"/>
      <c r="BI21" s="22" t="s">
        <v>342</v>
      </c>
      <c r="BJ21" s="18"/>
      <c r="BK21" s="18"/>
      <c r="BL21" s="18"/>
      <c r="BM21" s="18"/>
      <c r="BN21" s="52">
        <f>100/100</f>
        <v>1</v>
      </c>
      <c r="BO21" s="20" t="s">
        <v>477</v>
      </c>
      <c r="BP21" s="23" t="s">
        <v>362</v>
      </c>
    </row>
    <row r="22" spans="1:68" x14ac:dyDescent="0.35">
      <c r="A22" s="110"/>
      <c r="B22" s="16" t="s">
        <v>429</v>
      </c>
      <c r="C22" s="18"/>
      <c r="D22" s="18"/>
      <c r="E22" s="18"/>
      <c r="F22" s="18"/>
      <c r="G22" s="18"/>
      <c r="H22" s="18"/>
      <c r="I22" s="18"/>
      <c r="J22" s="18"/>
      <c r="K22" s="18"/>
      <c r="L22" s="18"/>
      <c r="M22" s="18"/>
      <c r="N22" s="18"/>
      <c r="O22" s="18"/>
      <c r="P22" s="18"/>
      <c r="Q22" s="18"/>
      <c r="R22" s="18"/>
      <c r="S22" s="18"/>
      <c r="T22" s="18"/>
      <c r="U22" s="18"/>
      <c r="V22" s="17"/>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52">
        <f>0</f>
        <v>0</v>
      </c>
      <c r="BO22" s="20" t="s">
        <v>477</v>
      </c>
      <c r="BP22" s="23" t="s">
        <v>362</v>
      </c>
    </row>
    <row r="23" spans="1:68" x14ac:dyDescent="0.35">
      <c r="A23" s="110"/>
      <c r="B23" s="16" t="s">
        <v>430</v>
      </c>
      <c r="C23" s="18"/>
      <c r="D23" s="18"/>
      <c r="E23" s="18"/>
      <c r="F23" s="18"/>
      <c r="G23" s="18"/>
      <c r="H23" s="18"/>
      <c r="I23" s="18"/>
      <c r="J23" s="18"/>
      <c r="K23" s="18"/>
      <c r="L23" s="18"/>
      <c r="M23" s="22">
        <f>3/100</f>
        <v>0.03</v>
      </c>
      <c r="N23" s="18"/>
      <c r="O23" s="18"/>
      <c r="P23" s="18"/>
      <c r="Q23" s="18"/>
      <c r="R23" s="18"/>
      <c r="S23" s="18"/>
      <c r="T23" s="18"/>
      <c r="U23" s="18"/>
      <c r="V23" s="18"/>
      <c r="W23" s="17"/>
      <c r="X23" s="18"/>
      <c r="Y23" s="18"/>
      <c r="Z23" s="18"/>
      <c r="AA23" s="18"/>
      <c r="AB23" s="18"/>
      <c r="AC23" s="18"/>
      <c r="AD23" s="18"/>
      <c r="AE23" s="18"/>
      <c r="AF23" s="18"/>
      <c r="AG23" s="18"/>
      <c r="AH23" s="18"/>
      <c r="AI23" s="18"/>
      <c r="AJ23" s="18"/>
      <c r="AK23" s="22">
        <f>5/100</f>
        <v>0.05</v>
      </c>
      <c r="AL23" s="22">
        <f>9/100</f>
        <v>0.09</v>
      </c>
      <c r="AM23" s="18"/>
      <c r="AN23" s="18"/>
      <c r="AO23" s="22">
        <f>13/100</f>
        <v>0.13</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52">
        <f>SUM(C23:BM23)</f>
        <v>0.3</v>
      </c>
      <c r="BO23" s="20" t="s">
        <v>477</v>
      </c>
      <c r="BP23" s="23" t="s">
        <v>362</v>
      </c>
    </row>
    <row r="24" spans="1:68" x14ac:dyDescent="0.35">
      <c r="A24" s="110"/>
      <c r="B24" s="16" t="s">
        <v>431</v>
      </c>
      <c r="C24" s="18"/>
      <c r="D24" s="18"/>
      <c r="E24" s="18"/>
      <c r="F24" s="18"/>
      <c r="G24" s="18"/>
      <c r="H24" s="18"/>
      <c r="I24" s="22">
        <f>100/100</f>
        <v>1</v>
      </c>
      <c r="J24" s="18"/>
      <c r="K24" s="18"/>
      <c r="L24" s="18"/>
      <c r="M24" s="18"/>
      <c r="N24" s="18"/>
      <c r="O24" s="18"/>
      <c r="P24" s="18"/>
      <c r="Q24" s="18"/>
      <c r="R24" s="18"/>
      <c r="S24" s="18"/>
      <c r="T24" s="18"/>
      <c r="U24" s="18"/>
      <c r="V24" s="18"/>
      <c r="W24" s="18"/>
      <c r="X24" s="17"/>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52">
        <f>SUM(C24:BM24)</f>
        <v>1</v>
      </c>
      <c r="BO24" s="25" t="s">
        <v>475</v>
      </c>
      <c r="BP24" s="31" t="s">
        <v>362</v>
      </c>
    </row>
    <row r="25" spans="1:68" x14ac:dyDescent="0.35">
      <c r="A25" s="110"/>
      <c r="B25" s="16" t="s">
        <v>432</v>
      </c>
      <c r="C25" s="18"/>
      <c r="D25" s="18"/>
      <c r="E25" s="18"/>
      <c r="F25" s="18"/>
      <c r="G25" s="18"/>
      <c r="H25" s="18"/>
      <c r="I25" s="18"/>
      <c r="J25" s="18"/>
      <c r="K25" s="18"/>
      <c r="L25" s="18"/>
      <c r="M25" s="18"/>
      <c r="N25" s="18"/>
      <c r="O25" s="18"/>
      <c r="P25" s="18"/>
      <c r="Q25" s="18"/>
      <c r="R25" s="18"/>
      <c r="S25" s="18"/>
      <c r="T25" s="18"/>
      <c r="U25" s="18"/>
      <c r="V25" s="18"/>
      <c r="W25" s="18"/>
      <c r="X25" s="18"/>
      <c r="Y25" s="17"/>
      <c r="Z25" s="18"/>
      <c r="AA25" s="18"/>
      <c r="AB25" s="18"/>
      <c r="AC25" s="18"/>
      <c r="AD25" s="18"/>
      <c r="AE25" s="18"/>
      <c r="AF25" s="18"/>
      <c r="AG25" s="22" t="s">
        <v>342</v>
      </c>
      <c r="AH25" s="18"/>
      <c r="AI25" s="18"/>
      <c r="AJ25" s="18"/>
      <c r="AK25" s="18"/>
      <c r="AL25" s="18"/>
      <c r="AM25" s="18"/>
      <c r="AN25" s="18"/>
      <c r="AO25" s="18"/>
      <c r="AP25" s="18"/>
      <c r="AQ25" s="18"/>
      <c r="AR25" s="18"/>
      <c r="AS25" s="18"/>
      <c r="AT25" s="18"/>
      <c r="AU25" s="18"/>
      <c r="AV25" s="18"/>
      <c r="AW25" s="18"/>
      <c r="AX25" s="18"/>
      <c r="AY25" s="18"/>
      <c r="AZ25" s="22" t="s">
        <v>342</v>
      </c>
      <c r="BA25" s="18"/>
      <c r="BB25" s="18"/>
      <c r="BC25" s="18"/>
      <c r="BD25" s="18"/>
      <c r="BE25" s="18"/>
      <c r="BF25" s="18"/>
      <c r="BG25" s="18"/>
      <c r="BH25" s="18"/>
      <c r="BI25" s="18"/>
      <c r="BJ25" s="18"/>
      <c r="BK25" s="18"/>
      <c r="BL25" s="18"/>
      <c r="BM25" s="18"/>
      <c r="BN25" s="52">
        <f>2/100</f>
        <v>0.02</v>
      </c>
      <c r="BO25" s="20" t="s">
        <v>477</v>
      </c>
      <c r="BP25" s="23" t="s">
        <v>362</v>
      </c>
    </row>
    <row r="26" spans="1:68" x14ac:dyDescent="0.35">
      <c r="A26" s="110"/>
      <c r="B26" s="16" t="s">
        <v>433</v>
      </c>
      <c r="C26" s="18"/>
      <c r="D26" s="18"/>
      <c r="E26" s="18"/>
      <c r="F26" s="18"/>
      <c r="G26" s="18"/>
      <c r="H26" s="18"/>
      <c r="I26" s="18"/>
      <c r="J26" s="18"/>
      <c r="K26" s="18"/>
      <c r="L26" s="18"/>
      <c r="M26" s="18"/>
      <c r="N26" s="18"/>
      <c r="O26" s="18"/>
      <c r="P26" s="22">
        <v>0.5</v>
      </c>
      <c r="Q26" s="18"/>
      <c r="R26" s="18"/>
      <c r="S26" s="18"/>
      <c r="T26" s="18"/>
      <c r="U26" s="18"/>
      <c r="V26" s="18"/>
      <c r="W26" s="18"/>
      <c r="X26" s="18"/>
      <c r="Y26" s="18"/>
      <c r="Z26" s="17"/>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52">
        <f t="shared" ref="BN26:BN34" si="1">SUM(C26:BM26)</f>
        <v>0.5</v>
      </c>
      <c r="BO26" s="25" t="s">
        <v>487</v>
      </c>
      <c r="BP26" s="31" t="s">
        <v>362</v>
      </c>
    </row>
    <row r="27" spans="1:68" x14ac:dyDescent="0.35">
      <c r="A27" s="110"/>
      <c r="B27" s="16" t="s">
        <v>434</v>
      </c>
      <c r="C27" s="18"/>
      <c r="D27" s="18"/>
      <c r="E27" s="18"/>
      <c r="F27" s="18"/>
      <c r="G27" s="18"/>
      <c r="H27" s="18"/>
      <c r="I27" s="18"/>
      <c r="J27" s="18"/>
      <c r="K27" s="18"/>
      <c r="L27" s="18"/>
      <c r="M27" s="18"/>
      <c r="N27" s="18"/>
      <c r="O27" s="22">
        <f>5/100</f>
        <v>0.05</v>
      </c>
      <c r="P27" s="18"/>
      <c r="Q27" s="18"/>
      <c r="R27" s="18"/>
      <c r="S27" s="18"/>
      <c r="T27" s="18"/>
      <c r="U27" s="18"/>
      <c r="V27" s="18"/>
      <c r="W27" s="18"/>
      <c r="X27" s="18"/>
      <c r="Y27" s="18"/>
      <c r="Z27" s="18"/>
      <c r="AA27" s="17"/>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22">
        <f>95/100</f>
        <v>0.95</v>
      </c>
      <c r="BF27" s="18"/>
      <c r="BG27" s="18"/>
      <c r="BH27" s="18"/>
      <c r="BI27" s="18"/>
      <c r="BJ27" s="18"/>
      <c r="BK27" s="18"/>
      <c r="BL27" s="18"/>
      <c r="BM27" s="18"/>
      <c r="BN27" s="52">
        <f t="shared" si="1"/>
        <v>1</v>
      </c>
      <c r="BO27" s="20" t="s">
        <v>477</v>
      </c>
      <c r="BP27" s="23" t="s">
        <v>362</v>
      </c>
    </row>
    <row r="28" spans="1:68" x14ac:dyDescent="0.35">
      <c r="A28" s="110"/>
      <c r="B28" s="16" t="s">
        <v>435</v>
      </c>
      <c r="C28" s="18"/>
      <c r="D28" s="18"/>
      <c r="E28" s="18"/>
      <c r="F28" s="18"/>
      <c r="G28" s="18"/>
      <c r="H28" s="18"/>
      <c r="I28" s="18"/>
      <c r="J28" s="18"/>
      <c r="K28" s="18"/>
      <c r="L28" s="18"/>
      <c r="M28" s="18"/>
      <c r="N28" s="18"/>
      <c r="O28" s="22">
        <f>15/100</f>
        <v>0.15</v>
      </c>
      <c r="P28" s="18"/>
      <c r="Q28" s="18"/>
      <c r="R28" s="18"/>
      <c r="S28" s="18"/>
      <c r="T28" s="18"/>
      <c r="U28" s="18"/>
      <c r="V28" s="18"/>
      <c r="W28" s="18"/>
      <c r="X28" s="18"/>
      <c r="Y28" s="18"/>
      <c r="Z28" s="18"/>
      <c r="AA28" s="18"/>
      <c r="AB28" s="17"/>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22">
        <f>85/100</f>
        <v>0.85</v>
      </c>
      <c r="BF28" s="18"/>
      <c r="BG28" s="18"/>
      <c r="BH28" s="18"/>
      <c r="BI28" s="18"/>
      <c r="BJ28" s="18"/>
      <c r="BK28" s="18"/>
      <c r="BL28" s="18"/>
      <c r="BM28" s="18"/>
      <c r="BN28" s="52">
        <f t="shared" si="1"/>
        <v>1</v>
      </c>
      <c r="BO28" s="20" t="s">
        <v>477</v>
      </c>
      <c r="BP28" s="23" t="s">
        <v>362</v>
      </c>
    </row>
    <row r="29" spans="1:68" x14ac:dyDescent="0.35">
      <c r="A29" s="110"/>
      <c r="B29" s="16" t="s">
        <v>436</v>
      </c>
      <c r="C29" s="18"/>
      <c r="D29" s="18"/>
      <c r="E29" s="18"/>
      <c r="F29" s="18"/>
      <c r="G29" s="18"/>
      <c r="H29" s="18"/>
      <c r="I29" s="18"/>
      <c r="J29" s="18"/>
      <c r="K29" s="18"/>
      <c r="L29" s="18"/>
      <c r="M29" s="18"/>
      <c r="N29" s="18"/>
      <c r="O29" s="22">
        <f>53/100</f>
        <v>0.53</v>
      </c>
      <c r="P29" s="18"/>
      <c r="Q29" s="18"/>
      <c r="R29" s="18"/>
      <c r="S29" s="18"/>
      <c r="T29" s="18"/>
      <c r="U29" s="18"/>
      <c r="V29" s="18"/>
      <c r="W29" s="18"/>
      <c r="X29" s="18"/>
      <c r="Y29" s="18"/>
      <c r="Z29" s="18"/>
      <c r="AA29" s="18"/>
      <c r="AB29" s="18"/>
      <c r="AC29" s="17"/>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22">
        <f>44/100</f>
        <v>0.44</v>
      </c>
      <c r="BF29" s="18"/>
      <c r="BG29" s="18"/>
      <c r="BH29" s="18"/>
      <c r="BI29" s="18"/>
      <c r="BJ29" s="18"/>
      <c r="BK29" s="18"/>
      <c r="BL29" s="18"/>
      <c r="BM29" s="18"/>
      <c r="BN29" s="52">
        <f t="shared" si="1"/>
        <v>0.97</v>
      </c>
      <c r="BO29" s="20" t="s">
        <v>477</v>
      </c>
      <c r="BP29" s="23" t="s">
        <v>362</v>
      </c>
    </row>
    <row r="30" spans="1:68" x14ac:dyDescent="0.35">
      <c r="A30" s="110"/>
      <c r="B30" s="16" t="s">
        <v>437</v>
      </c>
      <c r="C30" s="18"/>
      <c r="D30" s="18"/>
      <c r="E30" s="18"/>
      <c r="F30" s="18"/>
      <c r="G30" s="18"/>
      <c r="H30" s="18"/>
      <c r="I30" s="18"/>
      <c r="J30" s="18"/>
      <c r="K30" s="18"/>
      <c r="L30" s="18"/>
      <c r="M30" s="18"/>
      <c r="N30" s="18"/>
      <c r="O30" s="18"/>
      <c r="P30" s="24">
        <f>23.5/100</f>
        <v>0.23499999999999999</v>
      </c>
      <c r="Q30" s="24">
        <f>36.5/100</f>
        <v>0.36499999999999999</v>
      </c>
      <c r="R30" s="18"/>
      <c r="S30" s="18"/>
      <c r="T30" s="18"/>
      <c r="U30" s="18"/>
      <c r="V30" s="18"/>
      <c r="W30" s="18"/>
      <c r="X30" s="18"/>
      <c r="Y30" s="18"/>
      <c r="Z30" s="18"/>
      <c r="AA30" s="18"/>
      <c r="AB30" s="18"/>
      <c r="AC30" s="18"/>
      <c r="AD30" s="17"/>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24">
        <f>10.4/100</f>
        <v>0.10400000000000001</v>
      </c>
      <c r="BG30" s="18"/>
      <c r="BH30" s="18"/>
      <c r="BI30" s="18"/>
      <c r="BJ30" s="18"/>
      <c r="BK30" s="18"/>
      <c r="BL30" s="18"/>
      <c r="BM30" s="24">
        <f>0.5/100</f>
        <v>5.0000000000000001E-3</v>
      </c>
      <c r="BN30" s="52">
        <f t="shared" si="1"/>
        <v>0.70899999999999996</v>
      </c>
      <c r="BO30" s="25" t="s">
        <v>477</v>
      </c>
      <c r="BP30" s="21" t="s">
        <v>362</v>
      </c>
    </row>
    <row r="31" spans="1:68" x14ac:dyDescent="0.35">
      <c r="A31" s="110"/>
      <c r="B31" s="16" t="s">
        <v>438</v>
      </c>
      <c r="C31" s="18"/>
      <c r="D31" s="18"/>
      <c r="E31" s="18"/>
      <c r="F31" s="18"/>
      <c r="G31" s="18"/>
      <c r="H31" s="18"/>
      <c r="I31" s="18"/>
      <c r="J31" s="18"/>
      <c r="K31" s="18"/>
      <c r="L31" s="18"/>
      <c r="M31" s="18"/>
      <c r="N31" s="18"/>
      <c r="O31" s="18"/>
      <c r="P31" s="18"/>
      <c r="Q31" s="22">
        <f>100/100</f>
        <v>1</v>
      </c>
      <c r="R31" s="18"/>
      <c r="S31" s="18"/>
      <c r="T31" s="18"/>
      <c r="U31" s="18"/>
      <c r="V31" s="18"/>
      <c r="W31" s="18"/>
      <c r="X31" s="18"/>
      <c r="Y31" s="18"/>
      <c r="Z31" s="18"/>
      <c r="AA31" s="18"/>
      <c r="AB31" s="18"/>
      <c r="AC31" s="18"/>
      <c r="AD31" s="18"/>
      <c r="AE31" s="17"/>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52">
        <f t="shared" si="1"/>
        <v>1</v>
      </c>
      <c r="BO31" s="20" t="s">
        <v>477</v>
      </c>
      <c r="BP31" s="23" t="s">
        <v>362</v>
      </c>
    </row>
    <row r="32" spans="1:68" x14ac:dyDescent="0.35">
      <c r="A32" s="110"/>
      <c r="B32" s="16" t="s">
        <v>439</v>
      </c>
      <c r="C32" s="18"/>
      <c r="D32" s="18"/>
      <c r="E32" s="18"/>
      <c r="F32" s="18"/>
      <c r="G32" s="18"/>
      <c r="H32" s="18"/>
      <c r="I32" s="18"/>
      <c r="J32" s="18"/>
      <c r="K32" s="18"/>
      <c r="L32" s="18"/>
      <c r="M32" s="18"/>
      <c r="N32" s="18"/>
      <c r="O32" s="18"/>
      <c r="P32" s="22" t="s">
        <v>342</v>
      </c>
      <c r="Q32" s="22">
        <v>0.95</v>
      </c>
      <c r="R32" s="18"/>
      <c r="S32" s="18"/>
      <c r="T32" s="18"/>
      <c r="U32" s="18"/>
      <c r="V32" s="18"/>
      <c r="W32" s="18"/>
      <c r="X32" s="18"/>
      <c r="Y32" s="18"/>
      <c r="Z32" s="18"/>
      <c r="AA32" s="18"/>
      <c r="AB32" s="18"/>
      <c r="AC32" s="18"/>
      <c r="AD32" s="18"/>
      <c r="AE32" s="18"/>
      <c r="AF32" s="17"/>
      <c r="AG32" s="22" t="s">
        <v>342</v>
      </c>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22" t="s">
        <v>342</v>
      </c>
      <c r="BJ32" s="18"/>
      <c r="BK32" s="18"/>
      <c r="BL32" s="18"/>
      <c r="BM32" s="18"/>
      <c r="BN32" s="52">
        <f t="shared" si="1"/>
        <v>0.95</v>
      </c>
      <c r="BO32" s="25" t="s">
        <v>488</v>
      </c>
      <c r="BP32" s="23" t="s">
        <v>362</v>
      </c>
    </row>
    <row r="33" spans="1:68" x14ac:dyDescent="0.35">
      <c r="A33" s="110"/>
      <c r="B33" s="16" t="s">
        <v>440</v>
      </c>
      <c r="C33" s="18"/>
      <c r="D33" s="18"/>
      <c r="E33" s="18"/>
      <c r="F33" s="18"/>
      <c r="G33" s="18"/>
      <c r="H33" s="18"/>
      <c r="I33" s="18"/>
      <c r="J33" s="18"/>
      <c r="K33" s="18"/>
      <c r="L33" s="18"/>
      <c r="M33" s="18"/>
      <c r="N33" s="18"/>
      <c r="O33" s="18"/>
      <c r="P33" s="24">
        <f>0.1/100</f>
        <v>1E-3</v>
      </c>
      <c r="Q33" s="22">
        <f>2/100</f>
        <v>0.02</v>
      </c>
      <c r="R33" s="18"/>
      <c r="S33" s="18"/>
      <c r="T33" s="18"/>
      <c r="U33" s="18"/>
      <c r="V33" s="18"/>
      <c r="W33" s="18"/>
      <c r="X33" s="18"/>
      <c r="Y33" s="18"/>
      <c r="Z33" s="18"/>
      <c r="AA33" s="18"/>
      <c r="AB33" s="18"/>
      <c r="AC33" s="18"/>
      <c r="AD33" s="18"/>
      <c r="AE33" s="18"/>
      <c r="AF33" s="18"/>
      <c r="AG33" s="17"/>
      <c r="AH33" s="18"/>
      <c r="AI33" s="18"/>
      <c r="AJ33" s="18"/>
      <c r="AK33" s="18"/>
      <c r="AL33" s="18"/>
      <c r="AM33" s="18"/>
      <c r="AN33" s="18"/>
      <c r="AO33" s="18"/>
      <c r="AP33" s="18"/>
      <c r="AQ33" s="18"/>
      <c r="AR33" s="18"/>
      <c r="AS33" s="18"/>
      <c r="AT33" s="18"/>
      <c r="AU33" s="18"/>
      <c r="AV33" s="18"/>
      <c r="AW33" s="18"/>
      <c r="AX33" s="18"/>
      <c r="AY33" s="18"/>
      <c r="AZ33" s="24">
        <f>0.4/100</f>
        <v>4.0000000000000001E-3</v>
      </c>
      <c r="BA33" s="18"/>
      <c r="BB33" s="18"/>
      <c r="BC33" s="18"/>
      <c r="BD33" s="18"/>
      <c r="BE33" s="18"/>
      <c r="BF33" s="18"/>
      <c r="BG33" s="18"/>
      <c r="BH33" s="18"/>
      <c r="BI33" s="18"/>
      <c r="BJ33" s="18"/>
      <c r="BK33" s="18"/>
      <c r="BL33" s="18"/>
      <c r="BM33" s="18"/>
      <c r="BN33" s="52">
        <f t="shared" si="1"/>
        <v>2.5000000000000001E-2</v>
      </c>
      <c r="BO33" s="20" t="s">
        <v>477</v>
      </c>
      <c r="BP33" s="23" t="s">
        <v>362</v>
      </c>
    </row>
    <row r="34" spans="1:68" x14ac:dyDescent="0.35">
      <c r="A34" s="110"/>
      <c r="B34" s="16" t="s">
        <v>441</v>
      </c>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22">
        <f>16/100</f>
        <v>0.16</v>
      </c>
      <c r="AE34" s="18"/>
      <c r="AF34" s="18"/>
      <c r="AG34" s="22">
        <f>8/100</f>
        <v>0.08</v>
      </c>
      <c r="AH34" s="17"/>
      <c r="AI34" s="18"/>
      <c r="AJ34" s="18"/>
      <c r="AK34" s="18"/>
      <c r="AL34" s="18"/>
      <c r="AM34" s="18"/>
      <c r="AN34" s="18"/>
      <c r="AO34" s="18"/>
      <c r="AP34" s="18"/>
      <c r="AQ34" s="18"/>
      <c r="AR34" s="18"/>
      <c r="AS34" s="18"/>
      <c r="AT34" s="18"/>
      <c r="AU34" s="18"/>
      <c r="AV34" s="18"/>
      <c r="AW34" s="18"/>
      <c r="AX34" s="18"/>
      <c r="AY34" s="18"/>
      <c r="AZ34" s="18"/>
      <c r="BA34" s="22">
        <f>12/100</f>
        <v>0.12</v>
      </c>
      <c r="BB34" s="18"/>
      <c r="BC34" s="18"/>
      <c r="BD34" s="18"/>
      <c r="BE34" s="18"/>
      <c r="BF34" s="22">
        <f>4/100</f>
        <v>0.04</v>
      </c>
      <c r="BG34" s="18"/>
      <c r="BH34" s="18"/>
      <c r="BI34" s="22">
        <f>40/100</f>
        <v>0.4</v>
      </c>
      <c r="BJ34" s="18"/>
      <c r="BK34" s="18"/>
      <c r="BL34" s="18"/>
      <c r="BM34" s="18"/>
      <c r="BN34" s="52">
        <f t="shared" si="1"/>
        <v>0.8</v>
      </c>
      <c r="BO34" s="20" t="s">
        <v>477</v>
      </c>
      <c r="BP34" s="23" t="s">
        <v>362</v>
      </c>
    </row>
    <row r="35" spans="1:68" x14ac:dyDescent="0.35">
      <c r="A35" s="110"/>
      <c r="B35" s="16" t="s">
        <v>442</v>
      </c>
      <c r="C35" s="18"/>
      <c r="D35" s="18"/>
      <c r="E35" s="18"/>
      <c r="F35" s="18"/>
      <c r="G35" s="18"/>
      <c r="H35" s="18"/>
      <c r="I35" s="18"/>
      <c r="J35" s="18"/>
      <c r="K35" s="18"/>
      <c r="L35" s="18"/>
      <c r="M35" s="18"/>
      <c r="N35" s="18"/>
      <c r="O35" s="18"/>
      <c r="P35" s="22">
        <f>90/100</f>
        <v>0.9</v>
      </c>
      <c r="Q35" s="18"/>
      <c r="R35" s="18"/>
      <c r="S35" s="18"/>
      <c r="T35" s="18"/>
      <c r="U35" s="18"/>
      <c r="V35" s="18"/>
      <c r="W35" s="18"/>
      <c r="X35" s="18"/>
      <c r="Y35" s="18"/>
      <c r="Z35" s="18"/>
      <c r="AA35" s="18"/>
      <c r="AB35" s="18"/>
      <c r="AC35" s="18"/>
      <c r="AD35" s="18"/>
      <c r="AE35" s="18"/>
      <c r="AF35" s="18"/>
      <c r="AG35" s="18"/>
      <c r="AH35" s="18"/>
      <c r="AI35" s="17"/>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22" t="s">
        <v>342</v>
      </c>
      <c r="BJ35" s="22" t="s">
        <v>342</v>
      </c>
      <c r="BK35" s="18"/>
      <c r="BL35" s="18"/>
      <c r="BM35" s="18"/>
      <c r="BN35" s="52">
        <f>100/100</f>
        <v>1</v>
      </c>
      <c r="BO35" s="20" t="s">
        <v>477</v>
      </c>
      <c r="BP35" s="23" t="s">
        <v>362</v>
      </c>
    </row>
    <row r="36" spans="1:68" x14ac:dyDescent="0.35">
      <c r="A36" s="110"/>
      <c r="B36" s="16" t="s">
        <v>443</v>
      </c>
      <c r="C36" s="18"/>
      <c r="D36" s="18"/>
      <c r="E36" s="18"/>
      <c r="F36" s="18"/>
      <c r="G36" s="18"/>
      <c r="H36" s="18"/>
      <c r="I36" s="18"/>
      <c r="J36" s="18"/>
      <c r="K36" s="18"/>
      <c r="L36" s="18"/>
      <c r="M36" s="18"/>
      <c r="N36" s="18"/>
      <c r="O36" s="18"/>
      <c r="P36" s="22" t="s">
        <v>342</v>
      </c>
      <c r="Q36" s="22" t="s">
        <v>342</v>
      </c>
      <c r="R36" s="18"/>
      <c r="S36" s="18"/>
      <c r="T36" s="18"/>
      <c r="U36" s="18"/>
      <c r="V36" s="18"/>
      <c r="W36" s="18"/>
      <c r="X36" s="18"/>
      <c r="Y36" s="18"/>
      <c r="Z36" s="18"/>
      <c r="AA36" s="18"/>
      <c r="AB36" s="18"/>
      <c r="AC36" s="18"/>
      <c r="AD36" s="22" t="s">
        <v>342</v>
      </c>
      <c r="AE36" s="18"/>
      <c r="AF36" s="18"/>
      <c r="AG36" s="18"/>
      <c r="AH36" s="18"/>
      <c r="AI36" s="18"/>
      <c r="AJ36" s="17"/>
      <c r="AK36" s="18"/>
      <c r="AL36" s="18"/>
      <c r="AM36" s="18"/>
      <c r="AN36" s="18"/>
      <c r="AO36" s="18"/>
      <c r="AP36" s="18"/>
      <c r="AQ36" s="18"/>
      <c r="AR36" s="18"/>
      <c r="AS36" s="18"/>
      <c r="AT36" s="18"/>
      <c r="AU36" s="18"/>
      <c r="AV36" s="18"/>
      <c r="AW36" s="18"/>
      <c r="AX36" s="18"/>
      <c r="AY36" s="18"/>
      <c r="AZ36" s="18"/>
      <c r="BA36" s="18"/>
      <c r="BB36" s="18"/>
      <c r="BC36" s="18"/>
      <c r="BD36" s="18"/>
      <c r="BE36" s="18"/>
      <c r="BF36" s="22" t="s">
        <v>342</v>
      </c>
      <c r="BG36" s="18"/>
      <c r="BH36" s="18"/>
      <c r="BI36" s="22" t="s">
        <v>342</v>
      </c>
      <c r="BJ36" s="18"/>
      <c r="BK36" s="18"/>
      <c r="BL36" s="18"/>
      <c r="BM36" s="22" t="s">
        <v>342</v>
      </c>
      <c r="BN36" s="52">
        <f>2/100</f>
        <v>0.02</v>
      </c>
      <c r="BO36" s="20" t="s">
        <v>477</v>
      </c>
      <c r="BP36" s="23" t="s">
        <v>362</v>
      </c>
    </row>
    <row r="37" spans="1:68" x14ac:dyDescent="0.35">
      <c r="A37" s="110"/>
      <c r="B37" s="16" t="s">
        <v>444</v>
      </c>
      <c r="C37" s="18"/>
      <c r="D37" s="18"/>
      <c r="E37" s="18"/>
      <c r="F37" s="18"/>
      <c r="G37" s="18"/>
      <c r="H37" s="18"/>
      <c r="I37" s="22">
        <f>2/100</f>
        <v>0.02</v>
      </c>
      <c r="J37" s="18"/>
      <c r="K37" s="18"/>
      <c r="L37" s="18"/>
      <c r="M37" s="22">
        <f>50/100</f>
        <v>0.5</v>
      </c>
      <c r="N37" s="18"/>
      <c r="O37" s="18"/>
      <c r="P37" s="18"/>
      <c r="Q37" s="18"/>
      <c r="R37" s="18"/>
      <c r="S37" s="18"/>
      <c r="T37" s="18"/>
      <c r="U37" s="18"/>
      <c r="V37" s="18"/>
      <c r="W37" s="22">
        <f>6/100</f>
        <v>0.06</v>
      </c>
      <c r="X37" s="18"/>
      <c r="Y37" s="18"/>
      <c r="Z37" s="18"/>
      <c r="AA37" s="18"/>
      <c r="AB37" s="18"/>
      <c r="AC37" s="18"/>
      <c r="AD37" s="18"/>
      <c r="AE37" s="18"/>
      <c r="AF37" s="18"/>
      <c r="AG37" s="22">
        <f>1/100</f>
        <v>0.01</v>
      </c>
      <c r="AH37" s="18"/>
      <c r="AI37" s="18"/>
      <c r="AJ37" s="18"/>
      <c r="AK37" s="17"/>
      <c r="AL37" s="22">
        <f>27/100</f>
        <v>0.27</v>
      </c>
      <c r="AM37" s="18"/>
      <c r="AN37" s="18"/>
      <c r="AO37" s="22">
        <f>7/100</f>
        <v>7.0000000000000007E-2</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52">
        <f>SUM(C37:BM37)</f>
        <v>0.93000000000000016</v>
      </c>
      <c r="BO37" s="20" t="s">
        <v>477</v>
      </c>
      <c r="BP37" s="23" t="s">
        <v>362</v>
      </c>
    </row>
    <row r="38" spans="1:68" x14ac:dyDescent="0.35">
      <c r="A38" s="110"/>
      <c r="B38" s="16" t="s">
        <v>445</v>
      </c>
      <c r="C38" s="18"/>
      <c r="D38" s="18"/>
      <c r="E38" s="18"/>
      <c r="F38" s="18"/>
      <c r="G38" s="18"/>
      <c r="H38" s="18"/>
      <c r="I38" s="22">
        <f>3/100</f>
        <v>0.03</v>
      </c>
      <c r="J38" s="18"/>
      <c r="K38" s="18"/>
      <c r="L38" s="18"/>
      <c r="M38" s="22">
        <f>67/100</f>
        <v>0.67</v>
      </c>
      <c r="N38" s="18"/>
      <c r="O38" s="18"/>
      <c r="P38" s="18"/>
      <c r="Q38" s="18"/>
      <c r="R38" s="18"/>
      <c r="S38" s="18"/>
      <c r="T38" s="18"/>
      <c r="U38" s="18"/>
      <c r="V38" s="18"/>
      <c r="W38" s="22">
        <f>2/100</f>
        <v>0.02</v>
      </c>
      <c r="X38" s="18"/>
      <c r="Y38" s="18"/>
      <c r="Z38" s="18"/>
      <c r="AA38" s="18"/>
      <c r="AB38" s="18"/>
      <c r="AC38" s="18"/>
      <c r="AD38" s="18"/>
      <c r="AE38" s="18"/>
      <c r="AF38" s="18"/>
      <c r="AG38" s="22" t="s">
        <v>342</v>
      </c>
      <c r="AH38" s="18"/>
      <c r="AI38" s="18"/>
      <c r="AJ38" s="18"/>
      <c r="AK38" s="22" t="s">
        <v>342</v>
      </c>
      <c r="AL38" s="17"/>
      <c r="AM38" s="18"/>
      <c r="AN38" s="18"/>
      <c r="AO38" s="22">
        <f>1/100</f>
        <v>0.01</v>
      </c>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52">
        <f>73/100</f>
        <v>0.73</v>
      </c>
      <c r="BO38" s="20" t="s">
        <v>477</v>
      </c>
      <c r="BP38" s="23" t="s">
        <v>362</v>
      </c>
    </row>
    <row r="39" spans="1:68" x14ac:dyDescent="0.35">
      <c r="A39" s="110"/>
      <c r="B39" s="16" t="s">
        <v>446</v>
      </c>
      <c r="C39" s="18"/>
      <c r="D39" s="18"/>
      <c r="E39" s="18"/>
      <c r="F39" s="18"/>
      <c r="G39" s="18"/>
      <c r="H39" s="18"/>
      <c r="I39" s="22">
        <f>2/100</f>
        <v>0.02</v>
      </c>
      <c r="J39" s="18"/>
      <c r="K39" s="18"/>
      <c r="L39" s="18"/>
      <c r="M39" s="22">
        <f>61/100</f>
        <v>0.61</v>
      </c>
      <c r="N39" s="18"/>
      <c r="O39" s="18"/>
      <c r="P39" s="18"/>
      <c r="Q39" s="18"/>
      <c r="R39" s="18"/>
      <c r="S39" s="18"/>
      <c r="T39" s="18"/>
      <c r="U39" s="18"/>
      <c r="V39" s="18"/>
      <c r="W39" s="22">
        <f>7/100</f>
        <v>7.0000000000000007E-2</v>
      </c>
      <c r="X39" s="18"/>
      <c r="Y39" s="18"/>
      <c r="Z39" s="18"/>
      <c r="AA39" s="18"/>
      <c r="AB39" s="18"/>
      <c r="AC39" s="18"/>
      <c r="AD39" s="18"/>
      <c r="AE39" s="18"/>
      <c r="AF39" s="18"/>
      <c r="AG39" s="22">
        <f>1/100</f>
        <v>0.01</v>
      </c>
      <c r="AH39" s="18"/>
      <c r="AI39" s="18"/>
      <c r="AJ39" s="18"/>
      <c r="AK39" s="22">
        <f>6/100</f>
        <v>0.06</v>
      </c>
      <c r="AL39" s="22">
        <f>17/100</f>
        <v>0.17</v>
      </c>
      <c r="AM39" s="17"/>
      <c r="AN39" s="18"/>
      <c r="AO39" s="22">
        <f>8/100</f>
        <v>0.08</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52">
        <f t="shared" ref="BN39:BN53" si="2">SUM(C39:BM39)</f>
        <v>1.02</v>
      </c>
      <c r="BO39" s="20" t="s">
        <v>477</v>
      </c>
      <c r="BP39" s="23" t="s">
        <v>362</v>
      </c>
    </row>
    <row r="40" spans="1:68" x14ac:dyDescent="0.35">
      <c r="A40" s="110"/>
      <c r="B40" s="16" t="s">
        <v>447</v>
      </c>
      <c r="C40" s="18"/>
      <c r="D40" s="18"/>
      <c r="E40" s="18"/>
      <c r="F40" s="18"/>
      <c r="G40" s="18"/>
      <c r="H40" s="18"/>
      <c r="I40" s="22">
        <f>2/100</f>
        <v>0.02</v>
      </c>
      <c r="J40" s="18"/>
      <c r="K40" s="18"/>
      <c r="L40" s="18"/>
      <c r="M40" s="22">
        <f>57/100</f>
        <v>0.56999999999999995</v>
      </c>
      <c r="N40" s="18"/>
      <c r="O40" s="18"/>
      <c r="P40" s="18"/>
      <c r="Q40" s="18"/>
      <c r="R40" s="18"/>
      <c r="S40" s="18"/>
      <c r="T40" s="18"/>
      <c r="U40" s="18"/>
      <c r="V40" s="18"/>
      <c r="W40" s="22">
        <f>7/100</f>
        <v>7.0000000000000007E-2</v>
      </c>
      <c r="X40" s="18"/>
      <c r="Y40" s="18"/>
      <c r="Z40" s="18"/>
      <c r="AA40" s="18"/>
      <c r="AB40" s="18"/>
      <c r="AC40" s="18"/>
      <c r="AD40" s="18"/>
      <c r="AE40" s="18"/>
      <c r="AF40" s="18"/>
      <c r="AG40" s="22">
        <f>1/100</f>
        <v>0.01</v>
      </c>
      <c r="AH40" s="18"/>
      <c r="AI40" s="18"/>
      <c r="AJ40" s="18"/>
      <c r="AK40" s="22">
        <f>7/100</f>
        <v>7.0000000000000007E-2</v>
      </c>
      <c r="AL40" s="22">
        <f>18/100</f>
        <v>0.18</v>
      </c>
      <c r="AM40" s="18"/>
      <c r="AN40" s="17"/>
      <c r="AO40" s="22">
        <f>9/100</f>
        <v>0.09</v>
      </c>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52">
        <f t="shared" si="2"/>
        <v>1.01</v>
      </c>
      <c r="BO40" s="20" t="s">
        <v>477</v>
      </c>
      <c r="BP40" s="23" t="s">
        <v>362</v>
      </c>
    </row>
    <row r="41" spans="1:68" x14ac:dyDescent="0.35">
      <c r="A41" s="110"/>
      <c r="B41" s="16" t="s">
        <v>448</v>
      </c>
      <c r="C41" s="18"/>
      <c r="D41" s="18"/>
      <c r="E41" s="18"/>
      <c r="F41" s="18"/>
      <c r="G41" s="18"/>
      <c r="H41" s="18"/>
      <c r="I41" s="22">
        <f>1/100</f>
        <v>0.01</v>
      </c>
      <c r="J41" s="18"/>
      <c r="K41" s="18"/>
      <c r="L41" s="18"/>
      <c r="M41" s="22">
        <f>24/100</f>
        <v>0.24</v>
      </c>
      <c r="N41" s="18"/>
      <c r="O41" s="18"/>
      <c r="P41" s="18"/>
      <c r="Q41" s="18"/>
      <c r="R41" s="18"/>
      <c r="S41" s="18"/>
      <c r="T41" s="18"/>
      <c r="U41" s="18"/>
      <c r="V41" s="18"/>
      <c r="W41" s="22">
        <f>22/100</f>
        <v>0.22</v>
      </c>
      <c r="X41" s="18"/>
      <c r="Y41" s="18"/>
      <c r="Z41" s="18"/>
      <c r="AA41" s="18"/>
      <c r="AB41" s="18"/>
      <c r="AC41" s="18"/>
      <c r="AD41" s="18"/>
      <c r="AE41" s="18"/>
      <c r="AF41" s="18"/>
      <c r="AG41" s="22">
        <f>1/100</f>
        <v>0.01</v>
      </c>
      <c r="AH41" s="18"/>
      <c r="AI41" s="18"/>
      <c r="AJ41" s="18"/>
      <c r="AK41" s="22">
        <f>12/100</f>
        <v>0.12</v>
      </c>
      <c r="AL41" s="22">
        <f>23/100</f>
        <v>0.23</v>
      </c>
      <c r="AM41" s="18"/>
      <c r="AN41" s="18"/>
      <c r="AO41" s="17"/>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52">
        <f t="shared" si="2"/>
        <v>0.83</v>
      </c>
      <c r="BO41" s="20" t="s">
        <v>477</v>
      </c>
      <c r="BP41" s="23" t="s">
        <v>362</v>
      </c>
    </row>
    <row r="42" spans="1:68" x14ac:dyDescent="0.35">
      <c r="A42" s="110"/>
      <c r="B42" s="16" t="s">
        <v>449</v>
      </c>
      <c r="C42" s="18"/>
      <c r="D42" s="18"/>
      <c r="E42" s="18"/>
      <c r="F42" s="18"/>
      <c r="G42" s="18"/>
      <c r="H42" s="18"/>
      <c r="I42" s="22">
        <f>1/100</f>
        <v>0.01</v>
      </c>
      <c r="J42" s="18"/>
      <c r="K42" s="18"/>
      <c r="L42" s="18"/>
      <c r="M42" s="22">
        <f>35/100</f>
        <v>0.35</v>
      </c>
      <c r="N42" s="18"/>
      <c r="O42" s="18"/>
      <c r="P42" s="18"/>
      <c r="Q42" s="18"/>
      <c r="R42" s="18"/>
      <c r="S42" s="18"/>
      <c r="T42" s="18"/>
      <c r="U42" s="18"/>
      <c r="V42" s="18"/>
      <c r="W42" s="22">
        <f>19/100</f>
        <v>0.19</v>
      </c>
      <c r="X42" s="18"/>
      <c r="Y42" s="18"/>
      <c r="Z42" s="18"/>
      <c r="AA42" s="18"/>
      <c r="AB42" s="18"/>
      <c r="AC42" s="18"/>
      <c r="AD42" s="18"/>
      <c r="AE42" s="18"/>
      <c r="AF42" s="18"/>
      <c r="AG42" s="22">
        <f>1/100</f>
        <v>0.01</v>
      </c>
      <c r="AH42" s="18"/>
      <c r="AI42" s="18"/>
      <c r="AJ42" s="18"/>
      <c r="AK42" s="22">
        <f>7/100</f>
        <v>7.0000000000000007E-2</v>
      </c>
      <c r="AL42" s="22">
        <f>24/100</f>
        <v>0.24</v>
      </c>
      <c r="AM42" s="18"/>
      <c r="AN42" s="18"/>
      <c r="AO42" s="22">
        <f>15/100</f>
        <v>0.15</v>
      </c>
      <c r="AP42" s="17"/>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52">
        <f t="shared" si="2"/>
        <v>1.02</v>
      </c>
      <c r="BO42" s="20" t="s">
        <v>477</v>
      </c>
      <c r="BP42" s="23" t="s">
        <v>362</v>
      </c>
    </row>
    <row r="43" spans="1:68" x14ac:dyDescent="0.35">
      <c r="A43" s="110"/>
      <c r="B43" s="16" t="s">
        <v>450</v>
      </c>
      <c r="C43" s="18"/>
      <c r="D43" s="18"/>
      <c r="E43" s="18"/>
      <c r="F43" s="18"/>
      <c r="G43" s="18"/>
      <c r="H43" s="18"/>
      <c r="I43" s="22">
        <f>1/100</f>
        <v>0.01</v>
      </c>
      <c r="J43" s="18"/>
      <c r="K43" s="18"/>
      <c r="L43" s="18"/>
      <c r="M43" s="22">
        <f>21/100</f>
        <v>0.21</v>
      </c>
      <c r="N43" s="18"/>
      <c r="O43" s="18"/>
      <c r="P43" s="18"/>
      <c r="Q43" s="18"/>
      <c r="R43" s="18"/>
      <c r="S43" s="18"/>
      <c r="T43" s="18"/>
      <c r="U43" s="18"/>
      <c r="V43" s="18"/>
      <c r="W43" s="22">
        <f>38/100</f>
        <v>0.38</v>
      </c>
      <c r="X43" s="18"/>
      <c r="Y43" s="18"/>
      <c r="Z43" s="18"/>
      <c r="AA43" s="18"/>
      <c r="AB43" s="18"/>
      <c r="AC43" s="18"/>
      <c r="AD43" s="18"/>
      <c r="AE43" s="18"/>
      <c r="AF43" s="18"/>
      <c r="AG43" s="22">
        <f>1/100</f>
        <v>0.01</v>
      </c>
      <c r="AH43" s="18"/>
      <c r="AI43" s="18"/>
      <c r="AJ43" s="18"/>
      <c r="AK43" s="22">
        <f>10/100</f>
        <v>0.1</v>
      </c>
      <c r="AL43" s="22">
        <f>14/100</f>
        <v>0.14000000000000001</v>
      </c>
      <c r="AM43" s="18"/>
      <c r="AN43" s="18"/>
      <c r="AO43" s="22">
        <f>16/100</f>
        <v>0.16</v>
      </c>
      <c r="AP43" s="18"/>
      <c r="AQ43" s="17"/>
      <c r="AR43" s="18"/>
      <c r="AS43" s="18"/>
      <c r="AT43" s="18"/>
      <c r="AU43" s="18"/>
      <c r="AV43" s="18"/>
      <c r="AW43" s="18"/>
      <c r="AX43" s="18"/>
      <c r="AY43" s="18"/>
      <c r="AZ43" s="18"/>
      <c r="BA43" s="18"/>
      <c r="BB43" s="18"/>
      <c r="BC43" s="18"/>
      <c r="BD43" s="18"/>
      <c r="BE43" s="18"/>
      <c r="BF43" s="18"/>
      <c r="BG43" s="18"/>
      <c r="BH43" s="18"/>
      <c r="BI43" s="18"/>
      <c r="BJ43" s="18"/>
      <c r="BK43" s="18"/>
      <c r="BL43" s="18"/>
      <c r="BM43" s="18"/>
      <c r="BN43" s="52">
        <f t="shared" si="2"/>
        <v>1.01</v>
      </c>
      <c r="BO43" s="20" t="s">
        <v>477</v>
      </c>
      <c r="BP43" s="23" t="s">
        <v>362</v>
      </c>
    </row>
    <row r="44" spans="1:68" x14ac:dyDescent="0.35">
      <c r="A44" s="110"/>
      <c r="B44" s="16" t="s">
        <v>451</v>
      </c>
      <c r="C44" s="18"/>
      <c r="D44" s="18"/>
      <c r="E44" s="18"/>
      <c r="F44" s="18"/>
      <c r="G44" s="18"/>
      <c r="H44" s="18"/>
      <c r="I44" s="18"/>
      <c r="J44" s="18"/>
      <c r="K44" s="18"/>
      <c r="L44" s="18"/>
      <c r="M44" s="22">
        <f>19/100</f>
        <v>0.19</v>
      </c>
      <c r="N44" s="18"/>
      <c r="O44" s="18"/>
      <c r="P44" s="18"/>
      <c r="Q44" s="18"/>
      <c r="R44" s="18"/>
      <c r="S44" s="18"/>
      <c r="T44" s="18"/>
      <c r="U44" s="18"/>
      <c r="V44" s="18"/>
      <c r="W44" s="22">
        <f>44/100</f>
        <v>0.44</v>
      </c>
      <c r="X44" s="18"/>
      <c r="Y44" s="18"/>
      <c r="Z44" s="18"/>
      <c r="AA44" s="18"/>
      <c r="AB44" s="18"/>
      <c r="AC44" s="18"/>
      <c r="AD44" s="18"/>
      <c r="AE44" s="18"/>
      <c r="AF44" s="18"/>
      <c r="AG44" s="18"/>
      <c r="AH44" s="18"/>
      <c r="AI44" s="18"/>
      <c r="AJ44" s="18"/>
      <c r="AK44" s="22">
        <f>7/100</f>
        <v>7.0000000000000007E-2</v>
      </c>
      <c r="AL44" s="22">
        <f>13/100</f>
        <v>0.13</v>
      </c>
      <c r="AM44" s="18"/>
      <c r="AN44" s="18"/>
      <c r="AO44" s="22">
        <f>16/100</f>
        <v>0.16</v>
      </c>
      <c r="AP44" s="18"/>
      <c r="AQ44" s="18"/>
      <c r="AR44" s="17"/>
      <c r="AS44" s="18"/>
      <c r="AT44" s="18"/>
      <c r="AU44" s="18"/>
      <c r="AV44" s="18"/>
      <c r="AW44" s="18"/>
      <c r="AX44" s="18"/>
      <c r="AY44" s="18"/>
      <c r="AZ44" s="18"/>
      <c r="BA44" s="18"/>
      <c r="BB44" s="18"/>
      <c r="BC44" s="18"/>
      <c r="BD44" s="18"/>
      <c r="BE44" s="18"/>
      <c r="BF44" s="18"/>
      <c r="BG44" s="18"/>
      <c r="BH44" s="18"/>
      <c r="BI44" s="18"/>
      <c r="BJ44" s="18"/>
      <c r="BK44" s="18"/>
      <c r="BL44" s="18"/>
      <c r="BM44" s="18"/>
      <c r="BN44" s="52">
        <f t="shared" si="2"/>
        <v>0.99</v>
      </c>
      <c r="BO44" s="20" t="s">
        <v>477</v>
      </c>
      <c r="BP44" s="23" t="s">
        <v>362</v>
      </c>
    </row>
    <row r="45" spans="1:68" x14ac:dyDescent="0.35">
      <c r="A45" s="110"/>
      <c r="B45" s="16" t="s">
        <v>452</v>
      </c>
      <c r="C45" s="18"/>
      <c r="D45" s="18"/>
      <c r="E45" s="18"/>
      <c r="F45" s="18"/>
      <c r="G45" s="18"/>
      <c r="H45" s="18"/>
      <c r="I45" s="22">
        <f>1/100</f>
        <v>0.01</v>
      </c>
      <c r="J45" s="18"/>
      <c r="K45" s="18"/>
      <c r="L45" s="18"/>
      <c r="M45" s="22">
        <f>4/100</f>
        <v>0.04</v>
      </c>
      <c r="N45" s="18"/>
      <c r="O45" s="18"/>
      <c r="P45" s="18"/>
      <c r="Q45" s="18"/>
      <c r="R45" s="18"/>
      <c r="S45" s="18"/>
      <c r="T45" s="18"/>
      <c r="U45" s="18"/>
      <c r="V45" s="18"/>
      <c r="W45" s="22">
        <f>61/100</f>
        <v>0.61</v>
      </c>
      <c r="X45" s="18"/>
      <c r="Y45" s="18"/>
      <c r="Z45" s="18"/>
      <c r="AA45" s="18"/>
      <c r="AB45" s="18"/>
      <c r="AC45" s="18"/>
      <c r="AD45" s="18"/>
      <c r="AE45" s="18"/>
      <c r="AF45" s="18"/>
      <c r="AG45" s="22">
        <f>1/100</f>
        <v>0.01</v>
      </c>
      <c r="AH45" s="18"/>
      <c r="AI45" s="18"/>
      <c r="AJ45" s="18"/>
      <c r="AK45" s="22">
        <f>6/100</f>
        <v>0.06</v>
      </c>
      <c r="AL45" s="22">
        <f>12/100</f>
        <v>0.12</v>
      </c>
      <c r="AM45" s="18"/>
      <c r="AN45" s="18"/>
      <c r="AO45" s="22">
        <f>16/100</f>
        <v>0.16</v>
      </c>
      <c r="AP45" s="18"/>
      <c r="AQ45" s="18"/>
      <c r="AR45" s="18"/>
      <c r="AS45" s="17"/>
      <c r="AT45" s="18"/>
      <c r="AU45" s="18"/>
      <c r="AV45" s="18"/>
      <c r="AW45" s="18"/>
      <c r="AX45" s="18"/>
      <c r="AY45" s="18"/>
      <c r="AZ45" s="18"/>
      <c r="BA45" s="18"/>
      <c r="BB45" s="18"/>
      <c r="BC45" s="18"/>
      <c r="BD45" s="18"/>
      <c r="BE45" s="18"/>
      <c r="BF45" s="18"/>
      <c r="BG45" s="18"/>
      <c r="BH45" s="18"/>
      <c r="BI45" s="18"/>
      <c r="BJ45" s="18"/>
      <c r="BK45" s="18"/>
      <c r="BL45" s="18"/>
      <c r="BM45" s="18"/>
      <c r="BN45" s="52">
        <f t="shared" si="2"/>
        <v>1.01</v>
      </c>
      <c r="BO45" s="20" t="s">
        <v>477</v>
      </c>
      <c r="BP45" s="23" t="s">
        <v>362</v>
      </c>
    </row>
    <row r="46" spans="1:68" x14ac:dyDescent="0.35">
      <c r="A46" s="110"/>
      <c r="B46" s="16" t="s">
        <v>453</v>
      </c>
      <c r="C46" s="18"/>
      <c r="D46" s="18"/>
      <c r="E46" s="18"/>
      <c r="F46" s="18"/>
      <c r="G46" s="18"/>
      <c r="H46" s="18"/>
      <c r="I46" s="22">
        <f>6/100</f>
        <v>0.06</v>
      </c>
      <c r="J46" s="18"/>
      <c r="K46" s="18"/>
      <c r="L46" s="18"/>
      <c r="M46" s="18"/>
      <c r="N46" s="18"/>
      <c r="O46" s="18"/>
      <c r="P46" s="18"/>
      <c r="Q46" s="18"/>
      <c r="R46" s="18"/>
      <c r="S46" s="18"/>
      <c r="T46" s="18"/>
      <c r="U46" s="18"/>
      <c r="V46" s="18"/>
      <c r="W46" s="22">
        <f>64/100</f>
        <v>0.64</v>
      </c>
      <c r="X46" s="18"/>
      <c r="Y46" s="18"/>
      <c r="Z46" s="18"/>
      <c r="AA46" s="18"/>
      <c r="AB46" s="18"/>
      <c r="AC46" s="18"/>
      <c r="AD46" s="18"/>
      <c r="AE46" s="18"/>
      <c r="AF46" s="18"/>
      <c r="AG46" s="22">
        <f>1/100</f>
        <v>0.01</v>
      </c>
      <c r="AH46" s="18"/>
      <c r="AI46" s="18"/>
      <c r="AJ46" s="18"/>
      <c r="AK46" s="22">
        <f>5/100</f>
        <v>0.05</v>
      </c>
      <c r="AL46" s="22">
        <f>11/100</f>
        <v>0.11</v>
      </c>
      <c r="AM46" s="18"/>
      <c r="AN46" s="18"/>
      <c r="AO46" s="22">
        <f>15/100</f>
        <v>0.15</v>
      </c>
      <c r="AP46" s="18"/>
      <c r="AQ46" s="18"/>
      <c r="AR46" s="18"/>
      <c r="AS46" s="18"/>
      <c r="AT46" s="17"/>
      <c r="AU46" s="18"/>
      <c r="AV46" s="18"/>
      <c r="AW46" s="18"/>
      <c r="AX46" s="18"/>
      <c r="AY46" s="18"/>
      <c r="AZ46" s="18"/>
      <c r="BA46" s="18"/>
      <c r="BB46" s="18"/>
      <c r="BC46" s="18"/>
      <c r="BD46" s="18"/>
      <c r="BE46" s="18"/>
      <c r="BF46" s="18"/>
      <c r="BG46" s="18"/>
      <c r="BH46" s="18"/>
      <c r="BI46" s="18"/>
      <c r="BJ46" s="18"/>
      <c r="BK46" s="18"/>
      <c r="BL46" s="18"/>
      <c r="BM46" s="18"/>
      <c r="BN46" s="52">
        <f t="shared" si="2"/>
        <v>1.02</v>
      </c>
      <c r="BO46" s="20" t="s">
        <v>477</v>
      </c>
      <c r="BP46" s="23" t="s">
        <v>362</v>
      </c>
    </row>
    <row r="47" spans="1:68" x14ac:dyDescent="0.35">
      <c r="A47" s="110"/>
      <c r="B47" s="16" t="s">
        <v>454</v>
      </c>
      <c r="C47" s="18"/>
      <c r="D47" s="18"/>
      <c r="E47" s="18"/>
      <c r="F47" s="18"/>
      <c r="G47" s="18"/>
      <c r="H47" s="18"/>
      <c r="I47" s="22">
        <f>2/100</f>
        <v>0.02</v>
      </c>
      <c r="J47" s="18"/>
      <c r="K47" s="18"/>
      <c r="L47" s="18"/>
      <c r="M47" s="18"/>
      <c r="N47" s="18"/>
      <c r="O47" s="18"/>
      <c r="P47" s="18"/>
      <c r="Q47" s="18"/>
      <c r="R47" s="18"/>
      <c r="S47" s="18"/>
      <c r="T47" s="18"/>
      <c r="U47" s="18"/>
      <c r="V47" s="18"/>
      <c r="W47" s="22">
        <f>66/100</f>
        <v>0.66</v>
      </c>
      <c r="X47" s="18"/>
      <c r="Y47" s="18"/>
      <c r="Z47" s="18"/>
      <c r="AA47" s="18"/>
      <c r="AB47" s="18"/>
      <c r="AC47" s="18"/>
      <c r="AD47" s="18"/>
      <c r="AE47" s="18"/>
      <c r="AF47" s="18"/>
      <c r="AG47" s="22">
        <f>1/100</f>
        <v>0.01</v>
      </c>
      <c r="AH47" s="18"/>
      <c r="AI47" s="18"/>
      <c r="AJ47" s="18"/>
      <c r="AK47" s="22">
        <f>6/100</f>
        <v>0.06</v>
      </c>
      <c r="AL47" s="22">
        <f>10/100</f>
        <v>0.1</v>
      </c>
      <c r="AM47" s="18"/>
      <c r="AN47" s="18"/>
      <c r="AO47" s="22">
        <f>16/100</f>
        <v>0.16</v>
      </c>
      <c r="AP47" s="18"/>
      <c r="AQ47" s="18"/>
      <c r="AR47" s="18"/>
      <c r="AS47" s="18"/>
      <c r="AT47" s="18"/>
      <c r="AU47" s="17"/>
      <c r="AV47" s="18"/>
      <c r="AW47" s="18"/>
      <c r="AX47" s="18"/>
      <c r="AY47" s="18"/>
      <c r="AZ47" s="18"/>
      <c r="BA47" s="18"/>
      <c r="BB47" s="18"/>
      <c r="BC47" s="18"/>
      <c r="BD47" s="18"/>
      <c r="BE47" s="18"/>
      <c r="BF47" s="18"/>
      <c r="BG47" s="18"/>
      <c r="BH47" s="18"/>
      <c r="BI47" s="18"/>
      <c r="BJ47" s="18"/>
      <c r="BK47" s="18"/>
      <c r="BL47" s="18"/>
      <c r="BM47" s="18"/>
      <c r="BN47" s="52">
        <f t="shared" si="2"/>
        <v>1.01</v>
      </c>
      <c r="BO47" s="20" t="s">
        <v>477</v>
      </c>
      <c r="BP47" s="23" t="s">
        <v>362</v>
      </c>
    </row>
    <row r="48" spans="1:68" x14ac:dyDescent="0.35">
      <c r="A48" s="110"/>
      <c r="B48" s="16" t="s">
        <v>455</v>
      </c>
      <c r="C48" s="18"/>
      <c r="D48" s="18"/>
      <c r="E48" s="18"/>
      <c r="F48" s="18"/>
      <c r="G48" s="18"/>
      <c r="H48" s="18"/>
      <c r="I48" s="22">
        <f>2/100</f>
        <v>0.02</v>
      </c>
      <c r="J48" s="18"/>
      <c r="K48" s="18"/>
      <c r="L48" s="18"/>
      <c r="M48" s="18"/>
      <c r="N48" s="18"/>
      <c r="O48" s="18"/>
      <c r="P48" s="18"/>
      <c r="Q48" s="18"/>
      <c r="R48" s="18"/>
      <c r="S48" s="18"/>
      <c r="T48" s="18"/>
      <c r="U48" s="18"/>
      <c r="V48" s="18"/>
      <c r="W48" s="22">
        <f>64/100</f>
        <v>0.64</v>
      </c>
      <c r="X48" s="18"/>
      <c r="Y48" s="18"/>
      <c r="Z48" s="18"/>
      <c r="AA48" s="18"/>
      <c r="AB48" s="18"/>
      <c r="AC48" s="18"/>
      <c r="AD48" s="18"/>
      <c r="AE48" s="18"/>
      <c r="AF48" s="18"/>
      <c r="AG48" s="18"/>
      <c r="AH48" s="18"/>
      <c r="AI48" s="18"/>
      <c r="AJ48" s="18"/>
      <c r="AK48" s="22">
        <f>6/100</f>
        <v>0.06</v>
      </c>
      <c r="AL48" s="22">
        <f>12/100</f>
        <v>0.12</v>
      </c>
      <c r="AM48" s="18"/>
      <c r="AN48" s="18"/>
      <c r="AO48" s="22">
        <f>16/100</f>
        <v>0.16</v>
      </c>
      <c r="AP48" s="18"/>
      <c r="AQ48" s="18"/>
      <c r="AR48" s="18"/>
      <c r="AS48" s="18"/>
      <c r="AT48" s="18"/>
      <c r="AU48" s="18"/>
      <c r="AV48" s="17"/>
      <c r="AW48" s="18"/>
      <c r="AX48" s="18"/>
      <c r="AY48" s="18"/>
      <c r="AZ48" s="18"/>
      <c r="BA48" s="18"/>
      <c r="BB48" s="18"/>
      <c r="BC48" s="18"/>
      <c r="BD48" s="18"/>
      <c r="BE48" s="18"/>
      <c r="BF48" s="18"/>
      <c r="BG48" s="18"/>
      <c r="BH48" s="18"/>
      <c r="BI48" s="18"/>
      <c r="BJ48" s="18"/>
      <c r="BK48" s="18"/>
      <c r="BL48" s="18"/>
      <c r="BM48" s="18"/>
      <c r="BN48" s="52">
        <f t="shared" si="2"/>
        <v>1</v>
      </c>
      <c r="BO48" s="20" t="s">
        <v>477</v>
      </c>
      <c r="BP48" s="23" t="s">
        <v>362</v>
      </c>
    </row>
    <row r="49" spans="1:68" x14ac:dyDescent="0.35">
      <c r="A49" s="110"/>
      <c r="B49" s="16" t="s">
        <v>456</v>
      </c>
      <c r="C49" s="18"/>
      <c r="D49" s="18"/>
      <c r="E49" s="18"/>
      <c r="F49" s="18"/>
      <c r="G49" s="18"/>
      <c r="H49" s="18"/>
      <c r="I49" s="22">
        <f>1/100</f>
        <v>0.01</v>
      </c>
      <c r="J49" s="18"/>
      <c r="K49" s="18"/>
      <c r="L49" s="18"/>
      <c r="M49" s="18"/>
      <c r="N49" s="18"/>
      <c r="O49" s="18"/>
      <c r="P49" s="18"/>
      <c r="Q49" s="18"/>
      <c r="R49" s="18"/>
      <c r="S49" s="18"/>
      <c r="T49" s="18"/>
      <c r="U49" s="18"/>
      <c r="V49" s="18"/>
      <c r="W49" s="22">
        <f>68/100</f>
        <v>0.68</v>
      </c>
      <c r="X49" s="18"/>
      <c r="Y49" s="18"/>
      <c r="Z49" s="18"/>
      <c r="AA49" s="18"/>
      <c r="AB49" s="18"/>
      <c r="AC49" s="18"/>
      <c r="AD49" s="18"/>
      <c r="AE49" s="18"/>
      <c r="AF49" s="18"/>
      <c r="AG49" s="18"/>
      <c r="AH49" s="18"/>
      <c r="AI49" s="18"/>
      <c r="AJ49" s="18"/>
      <c r="AK49" s="22">
        <f>5/100</f>
        <v>0.05</v>
      </c>
      <c r="AL49" s="22">
        <f>13/100</f>
        <v>0.13</v>
      </c>
      <c r="AM49" s="18"/>
      <c r="AN49" s="18"/>
      <c r="AO49" s="22">
        <f>14/100</f>
        <v>0.14000000000000001</v>
      </c>
      <c r="AP49" s="18"/>
      <c r="AQ49" s="18"/>
      <c r="AR49" s="18"/>
      <c r="AS49" s="18"/>
      <c r="AT49" s="18"/>
      <c r="AU49" s="18"/>
      <c r="AV49" s="18"/>
      <c r="AW49" s="17"/>
      <c r="AX49" s="18"/>
      <c r="AY49" s="18"/>
      <c r="AZ49" s="18"/>
      <c r="BA49" s="18"/>
      <c r="BB49" s="18"/>
      <c r="BC49" s="18"/>
      <c r="BD49" s="18"/>
      <c r="BE49" s="18"/>
      <c r="BF49" s="18"/>
      <c r="BG49" s="18"/>
      <c r="BH49" s="18"/>
      <c r="BI49" s="18"/>
      <c r="BJ49" s="18"/>
      <c r="BK49" s="18"/>
      <c r="BL49" s="18"/>
      <c r="BM49" s="18"/>
      <c r="BN49" s="52">
        <f t="shared" si="2"/>
        <v>1.0100000000000002</v>
      </c>
      <c r="BO49" s="20" t="s">
        <v>477</v>
      </c>
      <c r="BP49" s="23" t="s">
        <v>362</v>
      </c>
    </row>
    <row r="50" spans="1:68" x14ac:dyDescent="0.35">
      <c r="A50" s="110"/>
      <c r="B50" s="16" t="s">
        <v>457</v>
      </c>
      <c r="C50" s="18"/>
      <c r="D50" s="18"/>
      <c r="E50" s="18"/>
      <c r="F50" s="18"/>
      <c r="G50" s="18"/>
      <c r="H50" s="18"/>
      <c r="I50" s="22">
        <f>4/100</f>
        <v>0.04</v>
      </c>
      <c r="J50" s="18"/>
      <c r="K50" s="18"/>
      <c r="L50" s="18"/>
      <c r="M50" s="18"/>
      <c r="N50" s="18"/>
      <c r="O50" s="18"/>
      <c r="P50" s="18"/>
      <c r="Q50" s="18"/>
      <c r="R50" s="18"/>
      <c r="S50" s="18"/>
      <c r="T50" s="18"/>
      <c r="U50" s="18"/>
      <c r="V50" s="18"/>
      <c r="W50" s="22">
        <f>62/100</f>
        <v>0.62</v>
      </c>
      <c r="X50" s="18"/>
      <c r="Y50" s="18"/>
      <c r="Z50" s="18"/>
      <c r="AA50" s="18"/>
      <c r="AB50" s="18"/>
      <c r="AC50" s="18"/>
      <c r="AD50" s="18"/>
      <c r="AE50" s="18"/>
      <c r="AF50" s="18"/>
      <c r="AG50" s="18"/>
      <c r="AH50" s="18"/>
      <c r="AI50" s="18"/>
      <c r="AJ50" s="18"/>
      <c r="AK50" s="22">
        <f>7/100</f>
        <v>7.0000000000000007E-2</v>
      </c>
      <c r="AL50" s="22">
        <f>10/100</f>
        <v>0.1</v>
      </c>
      <c r="AM50" s="18"/>
      <c r="AN50" s="18"/>
      <c r="AO50" s="22">
        <f>18/100</f>
        <v>0.18</v>
      </c>
      <c r="AP50" s="18"/>
      <c r="AQ50" s="18"/>
      <c r="AR50" s="18"/>
      <c r="AS50" s="18"/>
      <c r="AT50" s="18"/>
      <c r="AU50" s="18"/>
      <c r="AV50" s="18"/>
      <c r="AW50" s="18"/>
      <c r="AX50" s="17"/>
      <c r="AY50" s="18"/>
      <c r="AZ50" s="18"/>
      <c r="BA50" s="18"/>
      <c r="BB50" s="18"/>
      <c r="BC50" s="18"/>
      <c r="BD50" s="18"/>
      <c r="BE50" s="18"/>
      <c r="BF50" s="18"/>
      <c r="BG50" s="18"/>
      <c r="BH50" s="18"/>
      <c r="BI50" s="18"/>
      <c r="BJ50" s="18"/>
      <c r="BK50" s="18"/>
      <c r="BL50" s="18"/>
      <c r="BM50" s="18"/>
      <c r="BN50" s="52">
        <f t="shared" si="2"/>
        <v>1.01</v>
      </c>
      <c r="BO50" s="20" t="s">
        <v>477</v>
      </c>
      <c r="BP50" s="23" t="s">
        <v>362</v>
      </c>
    </row>
    <row r="51" spans="1:68" x14ac:dyDescent="0.35">
      <c r="A51" s="110"/>
      <c r="B51" s="16" t="s">
        <v>458</v>
      </c>
      <c r="C51" s="18"/>
      <c r="D51" s="18"/>
      <c r="E51" s="18"/>
      <c r="F51" s="18"/>
      <c r="G51" s="18"/>
      <c r="H51" s="18"/>
      <c r="I51" s="22">
        <f>100/100</f>
        <v>1</v>
      </c>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7"/>
      <c r="AZ51" s="18"/>
      <c r="BA51" s="18"/>
      <c r="BB51" s="18"/>
      <c r="BC51" s="18"/>
      <c r="BD51" s="18"/>
      <c r="BE51" s="18"/>
      <c r="BF51" s="18"/>
      <c r="BG51" s="18"/>
      <c r="BH51" s="18"/>
      <c r="BI51" s="18"/>
      <c r="BJ51" s="18"/>
      <c r="BK51" s="18"/>
      <c r="BL51" s="18"/>
      <c r="BM51" s="18"/>
      <c r="BN51" s="52">
        <f t="shared" si="2"/>
        <v>1</v>
      </c>
      <c r="BO51" s="20" t="s">
        <v>477</v>
      </c>
      <c r="BP51" s="23" t="s">
        <v>362</v>
      </c>
    </row>
    <row r="52" spans="1:68" x14ac:dyDescent="0.35">
      <c r="A52" s="110"/>
      <c r="B52" s="16" t="s">
        <v>459</v>
      </c>
      <c r="C52" s="18"/>
      <c r="D52" s="18"/>
      <c r="E52" s="18"/>
      <c r="F52" s="18"/>
      <c r="G52" s="18"/>
      <c r="H52" s="18"/>
      <c r="I52" s="18"/>
      <c r="J52" s="18"/>
      <c r="K52" s="18"/>
      <c r="L52" s="18"/>
      <c r="M52" s="18"/>
      <c r="N52" s="18"/>
      <c r="O52" s="18"/>
      <c r="P52" s="18"/>
      <c r="Q52" s="18"/>
      <c r="R52" s="18"/>
      <c r="S52" s="18"/>
      <c r="T52" s="18"/>
      <c r="U52" s="18"/>
      <c r="V52" s="18"/>
      <c r="W52" s="18"/>
      <c r="X52" s="18"/>
      <c r="Y52" s="22">
        <f>13/100</f>
        <v>0.13</v>
      </c>
      <c r="Z52" s="18"/>
      <c r="AA52" s="18"/>
      <c r="AB52" s="18"/>
      <c r="AC52" s="18"/>
      <c r="AD52" s="18"/>
      <c r="AE52" s="18"/>
      <c r="AF52" s="18"/>
      <c r="AG52" s="22">
        <f>15/100</f>
        <v>0.15</v>
      </c>
      <c r="AH52" s="18"/>
      <c r="AI52" s="18"/>
      <c r="AJ52" s="18"/>
      <c r="AK52" s="18"/>
      <c r="AL52" s="18"/>
      <c r="AM52" s="18"/>
      <c r="AN52" s="18"/>
      <c r="AO52" s="18"/>
      <c r="AP52" s="18"/>
      <c r="AQ52" s="18"/>
      <c r="AR52" s="18"/>
      <c r="AS52" s="18"/>
      <c r="AT52" s="18"/>
      <c r="AU52" s="18"/>
      <c r="AV52" s="18"/>
      <c r="AW52" s="18"/>
      <c r="AX52" s="18"/>
      <c r="AY52" s="18"/>
      <c r="AZ52" s="17"/>
      <c r="BA52" s="18"/>
      <c r="BB52" s="18"/>
      <c r="BC52" s="18"/>
      <c r="BD52" s="18"/>
      <c r="BE52" s="18"/>
      <c r="BF52" s="18"/>
      <c r="BG52" s="18"/>
      <c r="BH52" s="18"/>
      <c r="BI52" s="18"/>
      <c r="BJ52" s="18"/>
      <c r="BK52" s="18"/>
      <c r="BL52" s="18"/>
      <c r="BM52" s="18"/>
      <c r="BN52" s="52">
        <f t="shared" si="2"/>
        <v>0.28000000000000003</v>
      </c>
      <c r="BO52" s="20" t="s">
        <v>477</v>
      </c>
      <c r="BP52" s="23" t="s">
        <v>362</v>
      </c>
    </row>
    <row r="53" spans="1:68" x14ac:dyDescent="0.35">
      <c r="A53" s="110"/>
      <c r="B53" s="16" t="s">
        <v>460</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9"/>
      <c r="AH53" s="18"/>
      <c r="AI53" s="18"/>
      <c r="AJ53" s="18"/>
      <c r="AK53" s="18"/>
      <c r="AL53" s="18"/>
      <c r="AM53" s="18"/>
      <c r="AN53" s="18"/>
      <c r="AO53" s="18"/>
      <c r="AP53" s="18"/>
      <c r="AQ53" s="18"/>
      <c r="AR53" s="18"/>
      <c r="AS53" s="18"/>
      <c r="AT53" s="18"/>
      <c r="AU53" s="18"/>
      <c r="AV53" s="18"/>
      <c r="AW53" s="18"/>
      <c r="AX53" s="18"/>
      <c r="AY53" s="18"/>
      <c r="AZ53" s="18"/>
      <c r="BA53" s="17"/>
      <c r="BB53" s="18"/>
      <c r="BC53" s="18"/>
      <c r="BD53" s="18"/>
      <c r="BE53" s="18"/>
      <c r="BF53" s="18"/>
      <c r="BG53" s="18"/>
      <c r="BH53" s="18"/>
      <c r="BI53" s="18"/>
      <c r="BJ53" s="18"/>
      <c r="BK53" s="18"/>
      <c r="BL53" s="18"/>
      <c r="BM53" s="18"/>
      <c r="BN53" s="52">
        <f t="shared" si="2"/>
        <v>0</v>
      </c>
      <c r="BO53" s="20" t="s">
        <v>489</v>
      </c>
      <c r="BP53" s="23" t="s">
        <v>362</v>
      </c>
    </row>
    <row r="54" spans="1:68" x14ac:dyDescent="0.35">
      <c r="A54" s="110"/>
      <c r="B54" s="16" t="s">
        <v>461</v>
      </c>
      <c r="C54" s="18"/>
      <c r="D54" s="18"/>
      <c r="E54" s="18"/>
      <c r="F54" s="18"/>
      <c r="G54" s="18"/>
      <c r="H54" s="18"/>
      <c r="I54" s="18"/>
      <c r="J54" s="18"/>
      <c r="K54" s="18"/>
      <c r="L54" s="18"/>
      <c r="M54" s="18"/>
      <c r="N54" s="18"/>
      <c r="O54" s="18"/>
      <c r="P54" s="22">
        <f>100/100</f>
        <v>1</v>
      </c>
      <c r="Q54" s="18"/>
      <c r="R54" s="18"/>
      <c r="S54" s="18"/>
      <c r="T54" s="18"/>
      <c r="U54" s="18"/>
      <c r="V54" s="18"/>
      <c r="W54" s="18"/>
      <c r="X54" s="18"/>
      <c r="Y54" s="18"/>
      <c r="Z54" s="22" t="s">
        <v>342</v>
      </c>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7"/>
      <c r="BC54" s="18"/>
      <c r="BD54" s="18"/>
      <c r="BE54" s="18"/>
      <c r="BF54" s="18"/>
      <c r="BG54" s="18"/>
      <c r="BH54" s="18"/>
      <c r="BI54" s="18"/>
      <c r="BJ54" s="18"/>
      <c r="BK54" s="18"/>
      <c r="BL54" s="18"/>
      <c r="BM54" s="18"/>
      <c r="BN54" s="52">
        <f>100/100</f>
        <v>1</v>
      </c>
      <c r="BO54" s="20" t="s">
        <v>477</v>
      </c>
      <c r="BP54" s="23" t="s">
        <v>362</v>
      </c>
    </row>
    <row r="55" spans="1:68" x14ac:dyDescent="0.35">
      <c r="A55" s="110"/>
      <c r="B55" s="16" t="s">
        <v>462</v>
      </c>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7"/>
      <c r="BD55" s="18"/>
      <c r="BE55" s="22">
        <f>100/100</f>
        <v>1</v>
      </c>
      <c r="BF55" s="18"/>
      <c r="BG55" s="18"/>
      <c r="BH55" s="18"/>
      <c r="BI55" s="18"/>
      <c r="BJ55" s="18"/>
      <c r="BK55" s="18"/>
      <c r="BL55" s="18"/>
      <c r="BM55" s="18"/>
      <c r="BN55" s="52">
        <f>SUM(C55:BM55)</f>
        <v>1</v>
      </c>
      <c r="BO55" s="20" t="s">
        <v>477</v>
      </c>
      <c r="BP55" s="23" t="s">
        <v>362</v>
      </c>
    </row>
    <row r="56" spans="1:68" x14ac:dyDescent="0.35">
      <c r="A56" s="110"/>
      <c r="B56" s="16" t="s">
        <v>463</v>
      </c>
      <c r="C56" s="18"/>
      <c r="D56" s="18"/>
      <c r="E56" s="18"/>
      <c r="F56" s="18"/>
      <c r="G56" s="18"/>
      <c r="H56" s="18"/>
      <c r="I56" s="18"/>
      <c r="J56" s="18"/>
      <c r="K56" s="18"/>
      <c r="L56" s="18"/>
      <c r="M56" s="18"/>
      <c r="N56" s="18"/>
      <c r="O56" s="22">
        <f>5/100</f>
        <v>0.05</v>
      </c>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7"/>
      <c r="BE56" s="22">
        <f>95/100</f>
        <v>0.95</v>
      </c>
      <c r="BF56" s="18"/>
      <c r="BG56" s="18"/>
      <c r="BH56" s="18"/>
      <c r="BI56" s="18"/>
      <c r="BJ56" s="18"/>
      <c r="BK56" s="18"/>
      <c r="BL56" s="18"/>
      <c r="BM56" s="18"/>
      <c r="BN56" s="52">
        <f>SUM(C56:BM56)</f>
        <v>1</v>
      </c>
      <c r="BO56" s="20" t="s">
        <v>477</v>
      </c>
      <c r="BP56" s="23" t="s">
        <v>362</v>
      </c>
    </row>
    <row r="57" spans="1:68" x14ac:dyDescent="0.35">
      <c r="A57" s="110"/>
      <c r="B57" s="16" t="s">
        <v>464</v>
      </c>
      <c r="C57" s="18"/>
      <c r="D57" s="18"/>
      <c r="E57" s="18"/>
      <c r="F57" s="18"/>
      <c r="G57" s="18"/>
      <c r="H57" s="18"/>
      <c r="I57" s="18"/>
      <c r="J57" s="18"/>
      <c r="K57" s="18"/>
      <c r="L57" s="18"/>
      <c r="M57" s="18"/>
      <c r="N57" s="18"/>
      <c r="O57" s="24">
        <f>15.8/100</f>
        <v>0.158</v>
      </c>
      <c r="P57" s="18"/>
      <c r="Q57" s="18"/>
      <c r="R57" s="18"/>
      <c r="S57" s="18"/>
      <c r="T57" s="18"/>
      <c r="U57" s="18"/>
      <c r="V57" s="18"/>
      <c r="W57" s="18"/>
      <c r="X57" s="18"/>
      <c r="Y57" s="18"/>
      <c r="Z57" s="18"/>
      <c r="AA57" s="18"/>
      <c r="AB57" s="18"/>
      <c r="AC57" s="24">
        <f>0.3/100</f>
        <v>3.0000000000000001E-3</v>
      </c>
      <c r="AD57" s="32"/>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7"/>
      <c r="BF57" s="18"/>
      <c r="BG57" s="18"/>
      <c r="BH57" s="18"/>
      <c r="BI57" s="18"/>
      <c r="BJ57" s="18"/>
      <c r="BK57" s="18"/>
      <c r="BL57" s="18"/>
      <c r="BM57" s="18"/>
      <c r="BN57" s="52">
        <f>SUM(C57:BM57)</f>
        <v>0.161</v>
      </c>
      <c r="BO57" s="20" t="s">
        <v>477</v>
      </c>
      <c r="BP57" s="23" t="s">
        <v>362</v>
      </c>
    </row>
    <row r="58" spans="1:68" x14ac:dyDescent="0.35">
      <c r="A58" s="110"/>
      <c r="B58" s="16" t="s">
        <v>465</v>
      </c>
      <c r="C58" s="18"/>
      <c r="D58" s="18"/>
      <c r="E58" s="18"/>
      <c r="F58" s="18"/>
      <c r="G58" s="18"/>
      <c r="H58" s="18"/>
      <c r="I58" s="18"/>
      <c r="J58" s="18"/>
      <c r="K58" s="18"/>
      <c r="L58" s="18"/>
      <c r="M58" s="18"/>
      <c r="N58" s="18"/>
      <c r="O58" s="24">
        <f>0.1/100</f>
        <v>1E-3</v>
      </c>
      <c r="P58" s="22">
        <f>12/100</f>
        <v>0.12</v>
      </c>
      <c r="Q58" s="22">
        <f>1/100</f>
        <v>0.01</v>
      </c>
      <c r="R58" s="18"/>
      <c r="S58" s="18"/>
      <c r="T58" s="18"/>
      <c r="U58" s="18"/>
      <c r="V58" s="18"/>
      <c r="W58" s="18"/>
      <c r="X58" s="18"/>
      <c r="Y58" s="18"/>
      <c r="Z58" s="18"/>
      <c r="AA58" s="18"/>
      <c r="AB58" s="18"/>
      <c r="AC58" s="18"/>
      <c r="AD58" s="24">
        <f>0.5/100</f>
        <v>5.0000000000000001E-3</v>
      </c>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24">
        <f>0.4/100</f>
        <v>4.0000000000000001E-3</v>
      </c>
      <c r="BF58" s="17"/>
      <c r="BG58" s="18"/>
      <c r="BH58" s="18"/>
      <c r="BI58" s="18"/>
      <c r="BJ58" s="18"/>
      <c r="BK58" s="18"/>
      <c r="BL58" s="18"/>
      <c r="BM58" s="18"/>
      <c r="BN58" s="52">
        <f>SUM(C58:BM58)</f>
        <v>0.14000000000000001</v>
      </c>
      <c r="BO58" s="20" t="s">
        <v>477</v>
      </c>
      <c r="BP58" s="23" t="s">
        <v>362</v>
      </c>
    </row>
    <row r="59" spans="1:68" x14ac:dyDescent="0.35">
      <c r="A59" s="110"/>
      <c r="B59" s="16" t="s">
        <v>466</v>
      </c>
      <c r="C59" s="18"/>
      <c r="D59" s="18"/>
      <c r="E59" s="18"/>
      <c r="F59" s="18"/>
      <c r="G59" s="18"/>
      <c r="H59" s="18"/>
      <c r="I59" s="18"/>
      <c r="J59" s="18"/>
      <c r="K59" s="18"/>
      <c r="L59" s="18"/>
      <c r="M59" s="18"/>
      <c r="N59" s="18"/>
      <c r="O59" s="18"/>
      <c r="P59" s="22" t="s">
        <v>342</v>
      </c>
      <c r="Q59" s="22" t="s">
        <v>342</v>
      </c>
      <c r="R59" s="18"/>
      <c r="S59" s="18"/>
      <c r="T59" s="18"/>
      <c r="U59" s="18"/>
      <c r="V59" s="18"/>
      <c r="W59" s="18"/>
      <c r="X59" s="18"/>
      <c r="Y59" s="18"/>
      <c r="Z59" s="18"/>
      <c r="AA59" s="18"/>
      <c r="AB59" s="18"/>
      <c r="AC59" s="18"/>
      <c r="AD59" s="22" t="s">
        <v>342</v>
      </c>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22" t="s">
        <v>342</v>
      </c>
      <c r="BG59" s="17"/>
      <c r="BH59" s="18"/>
      <c r="BI59" s="22" t="s">
        <v>342</v>
      </c>
      <c r="BJ59" s="18"/>
      <c r="BK59" s="18"/>
      <c r="BL59" s="18"/>
      <c r="BM59" s="18"/>
      <c r="BN59" s="52">
        <f>10/100</f>
        <v>0.1</v>
      </c>
      <c r="BO59" s="20" t="s">
        <v>477</v>
      </c>
      <c r="BP59" s="23" t="s">
        <v>362</v>
      </c>
    </row>
    <row r="60" spans="1:68" x14ac:dyDescent="0.35">
      <c r="A60" s="110"/>
      <c r="B60" s="16" t="s">
        <v>467</v>
      </c>
      <c r="C60" s="18"/>
      <c r="D60" s="18"/>
      <c r="E60" s="18"/>
      <c r="F60" s="18"/>
      <c r="G60" s="18"/>
      <c r="H60" s="18"/>
      <c r="I60" s="18"/>
      <c r="J60" s="18"/>
      <c r="K60" s="18"/>
      <c r="L60" s="18"/>
      <c r="M60" s="18"/>
      <c r="N60" s="18"/>
      <c r="O60" s="18"/>
      <c r="P60" s="22" t="s">
        <v>342</v>
      </c>
      <c r="Q60" s="22" t="s">
        <v>342</v>
      </c>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7"/>
      <c r="BI60" s="22" t="s">
        <v>342</v>
      </c>
      <c r="BJ60" s="18"/>
      <c r="BK60" s="18"/>
      <c r="BL60" s="18"/>
      <c r="BM60" s="18"/>
      <c r="BN60" s="52">
        <f>100/100</f>
        <v>1</v>
      </c>
      <c r="BO60" s="20" t="s">
        <v>477</v>
      </c>
      <c r="BP60" s="23" t="s">
        <v>362</v>
      </c>
    </row>
    <row r="61" spans="1:68" x14ac:dyDescent="0.35">
      <c r="A61" s="110"/>
      <c r="B61" s="16" t="s">
        <v>468</v>
      </c>
      <c r="C61" s="18"/>
      <c r="D61" s="18"/>
      <c r="E61" s="18"/>
      <c r="F61" s="18"/>
      <c r="G61" s="18"/>
      <c r="H61" s="18"/>
      <c r="I61" s="18"/>
      <c r="J61" s="18"/>
      <c r="K61" s="18"/>
      <c r="L61" s="18"/>
      <c r="M61" s="18"/>
      <c r="N61" s="18"/>
      <c r="O61" s="18"/>
      <c r="P61" s="22" t="s">
        <v>342</v>
      </c>
      <c r="Q61" s="22" t="s">
        <v>342</v>
      </c>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7"/>
      <c r="BJ61" s="18"/>
      <c r="BK61" s="18"/>
      <c r="BL61" s="18"/>
      <c r="BM61" s="18"/>
      <c r="BN61" s="52">
        <f>10/100</f>
        <v>0.1</v>
      </c>
      <c r="BO61" s="20" t="s">
        <v>477</v>
      </c>
      <c r="BP61" s="23" t="s">
        <v>362</v>
      </c>
    </row>
    <row r="62" spans="1:68" x14ac:dyDescent="0.35">
      <c r="A62" s="110"/>
      <c r="B62" s="16" t="s">
        <v>469</v>
      </c>
      <c r="C62" s="18"/>
      <c r="D62" s="18"/>
      <c r="E62" s="18"/>
      <c r="F62" s="18"/>
      <c r="G62" s="18"/>
      <c r="H62" s="18"/>
      <c r="I62" s="18"/>
      <c r="J62" s="18"/>
      <c r="K62" s="18"/>
      <c r="L62" s="18"/>
      <c r="M62" s="18"/>
      <c r="N62" s="18"/>
      <c r="O62" s="18"/>
      <c r="P62" s="22">
        <f>9/100</f>
        <v>0.09</v>
      </c>
      <c r="Q62" s="18"/>
      <c r="R62" s="18"/>
      <c r="S62" s="18"/>
      <c r="T62" s="18"/>
      <c r="U62" s="18"/>
      <c r="V62" s="18"/>
      <c r="W62" s="18"/>
      <c r="X62" s="18"/>
      <c r="Y62" s="18"/>
      <c r="Z62" s="24">
        <f>4.5/100</f>
        <v>4.4999999999999998E-2</v>
      </c>
      <c r="AA62" s="18"/>
      <c r="AB62" s="18"/>
      <c r="AC62" s="18"/>
      <c r="AD62" s="18"/>
      <c r="AE62" s="18"/>
      <c r="AF62" s="18"/>
      <c r="AG62" s="22">
        <f>9/100</f>
        <v>0.09</v>
      </c>
      <c r="AH62" s="18"/>
      <c r="AI62" s="18"/>
      <c r="AJ62" s="18"/>
      <c r="AK62" s="18"/>
      <c r="AL62" s="18"/>
      <c r="AM62" s="18"/>
      <c r="AN62" s="18"/>
      <c r="AO62" s="18"/>
      <c r="AP62" s="18"/>
      <c r="AQ62" s="18"/>
      <c r="AR62" s="18"/>
      <c r="AS62" s="18"/>
      <c r="AT62" s="18"/>
      <c r="AU62" s="18"/>
      <c r="AV62" s="18"/>
      <c r="AW62" s="18"/>
      <c r="AX62" s="18"/>
      <c r="AY62" s="18"/>
      <c r="AZ62" s="18"/>
      <c r="BA62" s="24">
        <f>13.5/100</f>
        <v>0.13500000000000001</v>
      </c>
      <c r="BB62" s="18"/>
      <c r="BC62" s="18"/>
      <c r="BD62" s="18"/>
      <c r="BE62" s="18"/>
      <c r="BF62" s="18"/>
      <c r="BG62" s="18"/>
      <c r="BH62" s="18"/>
      <c r="BI62" s="22">
        <f>54/100</f>
        <v>0.54</v>
      </c>
      <c r="BJ62" s="17"/>
      <c r="BK62" s="18"/>
      <c r="BL62" s="18"/>
      <c r="BM62" s="18"/>
      <c r="BN62" s="52">
        <f>SUM(C62:BM62)</f>
        <v>0.9</v>
      </c>
      <c r="BO62" s="20" t="s">
        <v>477</v>
      </c>
      <c r="BP62" s="23" t="s">
        <v>362</v>
      </c>
    </row>
    <row r="63" spans="1:68" x14ac:dyDescent="0.35">
      <c r="A63" s="110"/>
      <c r="B63" s="16" t="s">
        <v>470</v>
      </c>
      <c r="C63" s="18"/>
      <c r="D63" s="18"/>
      <c r="E63" s="18"/>
      <c r="F63" s="18"/>
      <c r="G63" s="18"/>
      <c r="H63" s="18"/>
      <c r="I63" s="22" t="s">
        <v>342</v>
      </c>
      <c r="J63" s="18"/>
      <c r="K63" s="18"/>
      <c r="L63" s="18"/>
      <c r="M63" s="18"/>
      <c r="N63" s="18"/>
      <c r="O63" s="18"/>
      <c r="P63" s="18"/>
      <c r="Q63" s="18"/>
      <c r="R63" s="18"/>
      <c r="S63" s="18"/>
      <c r="T63" s="18"/>
      <c r="U63" s="18"/>
      <c r="V63" s="18"/>
      <c r="W63" s="18"/>
      <c r="X63" s="22" t="s">
        <v>342</v>
      </c>
      <c r="Y63" s="18"/>
      <c r="Z63" s="18"/>
      <c r="AA63" s="18"/>
      <c r="AB63" s="18"/>
      <c r="AC63" s="18"/>
      <c r="AD63" s="18"/>
      <c r="AE63" s="18"/>
      <c r="AF63" s="18"/>
      <c r="AG63" s="22" t="s">
        <v>342</v>
      </c>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7"/>
      <c r="BL63" s="18"/>
      <c r="BM63" s="18"/>
      <c r="BN63" s="52">
        <f>100/100</f>
        <v>1</v>
      </c>
      <c r="BO63" s="20" t="s">
        <v>477</v>
      </c>
      <c r="BP63" s="23" t="s">
        <v>362</v>
      </c>
    </row>
    <row r="64" spans="1:68" ht="14.15" customHeight="1" x14ac:dyDescent="0.35">
      <c r="A64" s="110"/>
      <c r="B64" s="16" t="s">
        <v>471</v>
      </c>
      <c r="C64" s="18"/>
      <c r="D64" s="18"/>
      <c r="E64" s="18"/>
      <c r="F64" s="18"/>
      <c r="G64" s="18"/>
      <c r="H64" s="18"/>
      <c r="I64" s="18"/>
      <c r="J64" s="18"/>
      <c r="K64" s="18"/>
      <c r="L64" s="18"/>
      <c r="M64" s="18"/>
      <c r="N64" s="18"/>
      <c r="O64" s="18"/>
      <c r="P64" s="22">
        <f>8/100</f>
        <v>0.08</v>
      </c>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22">
        <f>2/100</f>
        <v>0.02</v>
      </c>
      <c r="BG64" s="18"/>
      <c r="BH64" s="18"/>
      <c r="BI64" s="18"/>
      <c r="BJ64" s="18"/>
      <c r="BK64" s="18"/>
      <c r="BL64" s="17"/>
      <c r="BM64" s="18"/>
      <c r="BN64" s="52">
        <f>SUM(C64:BM64)</f>
        <v>0.1</v>
      </c>
      <c r="BO64" s="20" t="s">
        <v>477</v>
      </c>
      <c r="BP64" s="23" t="s">
        <v>362</v>
      </c>
    </row>
    <row r="66" spans="4:67" x14ac:dyDescent="0.35">
      <c r="D66" s="99" t="s">
        <v>793</v>
      </c>
    </row>
    <row r="68" spans="4:67" ht="15" thickBot="1" x14ac:dyDescent="0.4">
      <c r="BO68" s="8"/>
    </row>
    <row r="69" spans="4:67" x14ac:dyDescent="0.35">
      <c r="D69" s="35" t="s">
        <v>490</v>
      </c>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7"/>
    </row>
    <row r="70" spans="4:67" x14ac:dyDescent="0.35">
      <c r="D70" s="38"/>
      <c r="AG70" s="39"/>
    </row>
    <row r="71" spans="4:67" x14ac:dyDescent="0.35">
      <c r="D71" s="38" t="s">
        <v>491</v>
      </c>
      <c r="AG71" s="39"/>
    </row>
    <row r="72" spans="4:67" x14ac:dyDescent="0.35">
      <c r="D72" s="38" t="s">
        <v>522</v>
      </c>
      <c r="AG72" s="39"/>
    </row>
    <row r="73" spans="4:67" x14ac:dyDescent="0.35">
      <c r="D73" s="38" t="s">
        <v>492</v>
      </c>
      <c r="AG73" s="39"/>
    </row>
    <row r="74" spans="4:67" x14ac:dyDescent="0.35">
      <c r="D74" s="38" t="s">
        <v>493</v>
      </c>
      <c r="AG74" s="39"/>
    </row>
    <row r="75" spans="4:67" x14ac:dyDescent="0.35">
      <c r="D75" s="38" t="s">
        <v>494</v>
      </c>
      <c r="AG75" s="39"/>
    </row>
    <row r="76" spans="4:67" x14ac:dyDescent="0.35">
      <c r="D76" s="38" t="s">
        <v>495</v>
      </c>
      <c r="AG76" s="39"/>
    </row>
    <row r="77" spans="4:67" x14ac:dyDescent="0.35">
      <c r="D77" s="38" t="s">
        <v>496</v>
      </c>
      <c r="AG77" s="39"/>
    </row>
    <row r="78" spans="4:67" x14ac:dyDescent="0.35">
      <c r="D78" s="38" t="s">
        <v>497</v>
      </c>
      <c r="AG78" s="39"/>
    </row>
    <row r="79" spans="4:67" x14ac:dyDescent="0.35">
      <c r="D79" s="38" t="s">
        <v>648</v>
      </c>
      <c r="AG79" s="39"/>
    </row>
    <row r="80" spans="4:67" ht="15" thickBot="1" x14ac:dyDescent="0.4">
      <c r="D80" s="40" t="s">
        <v>498</v>
      </c>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2"/>
    </row>
    <row r="106" spans="3:3" x14ac:dyDescent="0.35">
      <c r="C106" s="33"/>
    </row>
  </sheetData>
  <mergeCells count="2">
    <mergeCell ref="C1:BM1"/>
    <mergeCell ref="A3:A64"/>
  </mergeCells>
  <hyperlinks>
    <hyperlink ref="BP16" r:id="rId1" display="https://www.mineralinfo.fr/sites/default/files/2023-03/fiche_criticite_Cu_180205.pdf" xr:uid="{00CC4B54-F19E-408C-AD47-D86F37AA6F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171D-64A0-475A-9457-C67A55B362D6}">
  <sheetPr>
    <tabColor theme="9" tint="0.59999389629810485"/>
  </sheetPr>
  <dimension ref="B1:Q78"/>
  <sheetViews>
    <sheetView showGridLines="0" zoomScaleNormal="100" workbookViewId="0">
      <pane ySplit="2" topLeftCell="A64" activePane="bottomLeft" state="frozen"/>
      <selection pane="bottomLeft" activeCell="B67" sqref="B67"/>
    </sheetView>
  </sheetViews>
  <sheetFormatPr baseColWidth="10" defaultColWidth="10.81640625" defaultRowHeight="14.5" x14ac:dyDescent="0.35"/>
  <cols>
    <col min="1" max="1" width="1.81640625" style="43" customWidth="1"/>
    <col min="2" max="2" width="18.54296875" style="43" customWidth="1"/>
    <col min="3" max="3" width="28.54296875" style="43" customWidth="1"/>
    <col min="4" max="4" width="23.81640625" style="43" customWidth="1"/>
    <col min="5" max="5" width="54.54296875" style="43" customWidth="1"/>
    <col min="6" max="7" width="10.81640625" style="43"/>
    <col min="8" max="8" width="11.1796875" style="43" bestFit="1" customWidth="1"/>
    <col min="9" max="16384" width="10.81640625" style="43"/>
  </cols>
  <sheetData>
    <row r="1" spans="2:8" ht="7.5" customHeight="1" x14ac:dyDescent="0.35"/>
    <row r="2" spans="2:8" ht="29" x14ac:dyDescent="0.35">
      <c r="B2" s="44" t="s">
        <v>499</v>
      </c>
      <c r="C2" s="46" t="s">
        <v>526</v>
      </c>
      <c r="D2" s="45" t="s">
        <v>473</v>
      </c>
      <c r="E2" s="44" t="s">
        <v>128</v>
      </c>
    </row>
    <row r="3" spans="2:8" x14ac:dyDescent="0.35">
      <c r="B3" s="47" t="s">
        <v>57</v>
      </c>
      <c r="C3" s="49">
        <v>0</v>
      </c>
      <c r="D3" s="50" t="s">
        <v>520</v>
      </c>
      <c r="E3" s="50" t="s">
        <v>362</v>
      </c>
    </row>
    <row r="4" spans="2:8" x14ac:dyDescent="0.35">
      <c r="B4" s="47" t="s">
        <v>14</v>
      </c>
      <c r="C4" s="49">
        <v>0.08</v>
      </c>
      <c r="D4" s="50" t="s">
        <v>782</v>
      </c>
      <c r="E4" s="50" t="s">
        <v>362</v>
      </c>
    </row>
    <row r="5" spans="2:8" x14ac:dyDescent="0.35">
      <c r="B5" s="47" t="s">
        <v>18</v>
      </c>
      <c r="C5" s="49">
        <v>0.01</v>
      </c>
      <c r="D5" s="50" t="s">
        <v>520</v>
      </c>
      <c r="E5" s="50" t="s">
        <v>783</v>
      </c>
    </row>
    <row r="6" spans="2:8" x14ac:dyDescent="0.35">
      <c r="B6" s="47" t="s">
        <v>42</v>
      </c>
      <c r="C6" s="49">
        <v>0</v>
      </c>
      <c r="D6" s="50" t="s">
        <v>524</v>
      </c>
      <c r="E6" s="50" t="s">
        <v>362</v>
      </c>
    </row>
    <row r="7" spans="2:8" x14ac:dyDescent="0.35">
      <c r="B7" s="47" t="s">
        <v>60</v>
      </c>
      <c r="C7" s="49">
        <v>0.14000000000000001</v>
      </c>
      <c r="D7" s="50" t="s">
        <v>782</v>
      </c>
      <c r="E7" s="50" t="s">
        <v>362</v>
      </c>
    </row>
    <row r="8" spans="2:8" x14ac:dyDescent="0.35">
      <c r="B8" s="47" t="s">
        <v>1</v>
      </c>
      <c r="C8" s="49">
        <v>0.16</v>
      </c>
      <c r="D8" s="50" t="s">
        <v>782</v>
      </c>
      <c r="E8" s="50" t="s">
        <v>362</v>
      </c>
      <c r="G8" s="54"/>
      <c r="H8" s="48"/>
    </row>
    <row r="9" spans="2:8" x14ac:dyDescent="0.35">
      <c r="B9" s="47" t="s">
        <v>100</v>
      </c>
      <c r="C9" s="49">
        <v>0</v>
      </c>
      <c r="D9" s="50" t="s">
        <v>520</v>
      </c>
      <c r="E9" s="50" t="s">
        <v>362</v>
      </c>
    </row>
    <row r="10" spans="2:8" x14ac:dyDescent="0.35">
      <c r="B10" s="47" t="s">
        <v>110</v>
      </c>
      <c r="C10" s="49">
        <v>0.06</v>
      </c>
      <c r="D10" s="50" t="s">
        <v>782</v>
      </c>
      <c r="E10" s="50" t="s">
        <v>362</v>
      </c>
    </row>
    <row r="11" spans="2:8" x14ac:dyDescent="0.35">
      <c r="B11" s="47" t="s">
        <v>117</v>
      </c>
      <c r="C11" s="49">
        <v>0</v>
      </c>
      <c r="D11" s="50" t="s">
        <v>520</v>
      </c>
      <c r="E11" s="51" t="s">
        <v>362</v>
      </c>
    </row>
    <row r="12" spans="2:8" x14ac:dyDescent="0.35">
      <c r="B12" s="47" t="s">
        <v>26</v>
      </c>
      <c r="C12" s="49">
        <v>0.13</v>
      </c>
      <c r="D12" s="50" t="s">
        <v>782</v>
      </c>
      <c r="E12" s="50" t="s">
        <v>362</v>
      </c>
    </row>
    <row r="13" spans="2:8" x14ac:dyDescent="0.35">
      <c r="B13" s="47" t="s">
        <v>68</v>
      </c>
      <c r="C13" s="49">
        <v>0.19</v>
      </c>
      <c r="D13" s="50" t="s">
        <v>782</v>
      </c>
      <c r="E13" s="50" t="s">
        <v>362</v>
      </c>
    </row>
    <row r="14" spans="2:8" x14ac:dyDescent="0.35">
      <c r="B14" s="47" t="s">
        <v>49</v>
      </c>
      <c r="C14" s="49">
        <v>0.24</v>
      </c>
      <c r="D14" s="50" t="s">
        <v>782</v>
      </c>
      <c r="E14" s="50" t="s">
        <v>362</v>
      </c>
    </row>
    <row r="15" spans="2:8" x14ac:dyDescent="0.35">
      <c r="B15" s="47" t="s">
        <v>30</v>
      </c>
      <c r="C15" s="49">
        <v>0.09</v>
      </c>
      <c r="D15" s="28" t="s">
        <v>649</v>
      </c>
      <c r="E15" s="50" t="s">
        <v>362</v>
      </c>
    </row>
    <row r="16" spans="2:8" x14ac:dyDescent="0.35">
      <c r="B16" s="47" t="s">
        <v>81</v>
      </c>
      <c r="C16" s="49">
        <v>0.26</v>
      </c>
      <c r="D16" s="50" t="s">
        <v>782</v>
      </c>
      <c r="E16" s="50" t="s">
        <v>362</v>
      </c>
    </row>
    <row r="17" spans="2:5" x14ac:dyDescent="0.35">
      <c r="B17" s="47" t="s">
        <v>33</v>
      </c>
      <c r="C17" s="49">
        <v>0.19</v>
      </c>
      <c r="D17" s="50" t="s">
        <v>484</v>
      </c>
      <c r="E17" s="50" t="s">
        <v>362</v>
      </c>
    </row>
    <row r="18" spans="2:5" x14ac:dyDescent="0.35">
      <c r="B18" s="47" t="s">
        <v>120</v>
      </c>
      <c r="C18" s="49">
        <v>0.09</v>
      </c>
      <c r="D18" s="50" t="s">
        <v>520</v>
      </c>
      <c r="E18" s="50" t="s">
        <v>362</v>
      </c>
    </row>
    <row r="19" spans="2:5" x14ac:dyDescent="0.35">
      <c r="B19" s="47" t="s">
        <v>35</v>
      </c>
      <c r="C19" s="49">
        <v>0</v>
      </c>
      <c r="D19" s="50" t="s">
        <v>520</v>
      </c>
      <c r="E19" s="50" t="s">
        <v>362</v>
      </c>
    </row>
    <row r="20" spans="2:5" x14ac:dyDescent="0.35">
      <c r="B20" s="47" t="s">
        <v>38</v>
      </c>
      <c r="C20" s="49">
        <v>0.02</v>
      </c>
      <c r="D20" s="50" t="s">
        <v>520</v>
      </c>
      <c r="E20" s="50" t="s">
        <v>521</v>
      </c>
    </row>
    <row r="21" spans="2:5" x14ac:dyDescent="0.35">
      <c r="B21" s="47" t="s">
        <v>500</v>
      </c>
      <c r="C21" s="49" t="s">
        <v>407</v>
      </c>
      <c r="D21" s="50" t="s">
        <v>362</v>
      </c>
      <c r="E21" s="50" t="s">
        <v>362</v>
      </c>
    </row>
    <row r="22" spans="2:5" x14ac:dyDescent="0.35">
      <c r="B22" s="47" t="s">
        <v>98</v>
      </c>
      <c r="C22" s="49">
        <v>0.05</v>
      </c>
      <c r="D22" s="50" t="s">
        <v>520</v>
      </c>
      <c r="E22" s="50" t="s">
        <v>362</v>
      </c>
    </row>
    <row r="23" spans="2:5" x14ac:dyDescent="0.35">
      <c r="B23" s="47" t="s">
        <v>105</v>
      </c>
      <c r="C23" s="49" t="s">
        <v>407</v>
      </c>
      <c r="D23" s="50" t="s">
        <v>362</v>
      </c>
      <c r="E23" s="50" t="s">
        <v>362</v>
      </c>
    </row>
    <row r="24" spans="2:5" x14ac:dyDescent="0.35">
      <c r="B24" s="47" t="s">
        <v>124</v>
      </c>
      <c r="C24" s="49" t="s">
        <v>407</v>
      </c>
      <c r="D24" s="50" t="s">
        <v>362</v>
      </c>
      <c r="E24" s="50" t="s">
        <v>362</v>
      </c>
    </row>
    <row r="25" spans="2:5" x14ac:dyDescent="0.35">
      <c r="B25" s="47" t="s">
        <v>87</v>
      </c>
      <c r="C25" s="49">
        <v>0.11</v>
      </c>
      <c r="D25" s="50" t="s">
        <v>782</v>
      </c>
      <c r="E25" s="50" t="s">
        <v>362</v>
      </c>
    </row>
    <row r="26" spans="2:5" x14ac:dyDescent="0.35">
      <c r="B26" s="47" t="s">
        <v>76</v>
      </c>
      <c r="C26" s="49">
        <v>0.17</v>
      </c>
      <c r="D26" s="50" t="s">
        <v>782</v>
      </c>
      <c r="E26" s="50" t="s">
        <v>362</v>
      </c>
    </row>
    <row r="27" spans="2:5" x14ac:dyDescent="0.35">
      <c r="B27" s="47" t="s">
        <v>103</v>
      </c>
      <c r="C27" s="49">
        <v>0.21</v>
      </c>
      <c r="D27" s="50" t="s">
        <v>782</v>
      </c>
      <c r="E27" s="50" t="s">
        <v>362</v>
      </c>
    </row>
    <row r="28" spans="2:5" x14ac:dyDescent="0.35">
      <c r="B28" s="47" t="s">
        <v>24</v>
      </c>
      <c r="C28" s="49" t="s">
        <v>407</v>
      </c>
      <c r="D28" s="50" t="s">
        <v>362</v>
      </c>
      <c r="E28" s="50" t="s">
        <v>362</v>
      </c>
    </row>
    <row r="29" spans="2:5" x14ac:dyDescent="0.35">
      <c r="B29" s="47" t="s">
        <v>47</v>
      </c>
      <c r="C29" s="49">
        <v>0</v>
      </c>
      <c r="D29" s="50" t="s">
        <v>520</v>
      </c>
      <c r="E29" s="50" t="s">
        <v>362</v>
      </c>
    </row>
    <row r="30" spans="2:5" x14ac:dyDescent="0.35">
      <c r="B30" s="47" t="s">
        <v>109</v>
      </c>
      <c r="C30" s="49">
        <v>0.11</v>
      </c>
      <c r="D30" s="50" t="s">
        <v>782</v>
      </c>
      <c r="E30" s="50" t="s">
        <v>362</v>
      </c>
    </row>
    <row r="31" spans="2:5" x14ac:dyDescent="0.35">
      <c r="B31" s="47" t="s">
        <v>10</v>
      </c>
      <c r="C31" s="49">
        <v>7.0000000000000007E-2</v>
      </c>
      <c r="D31" s="50" t="s">
        <v>782</v>
      </c>
      <c r="E31" s="50" t="s">
        <v>362</v>
      </c>
    </row>
    <row r="32" spans="2:5" x14ac:dyDescent="0.35">
      <c r="B32" s="47" t="s">
        <v>108</v>
      </c>
      <c r="C32" s="49">
        <v>0</v>
      </c>
      <c r="D32" s="50" t="s">
        <v>520</v>
      </c>
      <c r="E32" s="50" t="s">
        <v>362</v>
      </c>
    </row>
    <row r="33" spans="2:5" x14ac:dyDescent="0.35">
      <c r="B33" s="47" t="s">
        <v>13</v>
      </c>
      <c r="C33" s="49">
        <v>0</v>
      </c>
      <c r="D33" s="50" t="s">
        <v>520</v>
      </c>
      <c r="E33" s="50" t="s">
        <v>362</v>
      </c>
    </row>
    <row r="34" spans="2:5" x14ac:dyDescent="0.35">
      <c r="B34" s="47" t="s">
        <v>46</v>
      </c>
      <c r="C34" s="49">
        <v>0</v>
      </c>
      <c r="D34" s="50" t="s">
        <v>520</v>
      </c>
      <c r="E34" s="50" t="s">
        <v>362</v>
      </c>
    </row>
    <row r="35" spans="2:5" x14ac:dyDescent="0.35">
      <c r="B35" s="47" t="s">
        <v>107</v>
      </c>
      <c r="C35" s="49">
        <v>0.03</v>
      </c>
      <c r="D35" s="50" t="s">
        <v>520</v>
      </c>
      <c r="E35" s="50" t="s">
        <v>362</v>
      </c>
    </row>
    <row r="36" spans="2:5" x14ac:dyDescent="0.35">
      <c r="B36" s="47" t="s">
        <v>113</v>
      </c>
      <c r="C36" s="49">
        <v>0.27</v>
      </c>
      <c r="D36" s="50" t="s">
        <v>741</v>
      </c>
      <c r="E36" s="50" t="s">
        <v>362</v>
      </c>
    </row>
    <row r="37" spans="2:5" x14ac:dyDescent="0.35">
      <c r="B37" s="47" t="s">
        <v>95</v>
      </c>
      <c r="C37" s="49">
        <v>0.09</v>
      </c>
      <c r="D37" s="50" t="s">
        <v>782</v>
      </c>
      <c r="E37" s="50" t="s">
        <v>362</v>
      </c>
    </row>
    <row r="38" spans="2:5" x14ac:dyDescent="0.35">
      <c r="B38" s="47" t="s">
        <v>40</v>
      </c>
      <c r="C38" s="49">
        <v>0.23</v>
      </c>
      <c r="D38" s="50" t="s">
        <v>520</v>
      </c>
      <c r="E38" s="50" t="s">
        <v>362</v>
      </c>
    </row>
    <row r="39" spans="2:5" x14ac:dyDescent="0.35">
      <c r="B39" s="47" t="s">
        <v>75</v>
      </c>
      <c r="C39" s="49" t="s">
        <v>407</v>
      </c>
      <c r="D39" s="50" t="s">
        <v>362</v>
      </c>
      <c r="E39" s="50" t="s">
        <v>362</v>
      </c>
    </row>
    <row r="40" spans="2:5" x14ac:dyDescent="0.35">
      <c r="B40" s="47" t="s">
        <v>501</v>
      </c>
      <c r="C40" s="49" t="s">
        <v>407</v>
      </c>
      <c r="D40" s="50" t="s">
        <v>362</v>
      </c>
      <c r="E40" s="50" t="s">
        <v>362</v>
      </c>
    </row>
    <row r="41" spans="2:5" x14ac:dyDescent="0.35">
      <c r="B41" s="47" t="s">
        <v>54</v>
      </c>
      <c r="C41" s="49">
        <v>0.5</v>
      </c>
      <c r="D41" s="50" t="s">
        <v>520</v>
      </c>
      <c r="E41" s="50" t="s">
        <v>362</v>
      </c>
    </row>
    <row r="42" spans="2:5" x14ac:dyDescent="0.35">
      <c r="B42" s="47" t="s">
        <v>16</v>
      </c>
      <c r="C42" s="49">
        <v>0.01</v>
      </c>
      <c r="D42" s="50" t="s">
        <v>520</v>
      </c>
      <c r="E42" s="50" t="s">
        <v>362</v>
      </c>
    </row>
    <row r="43" spans="2:5" x14ac:dyDescent="0.35">
      <c r="B43" s="47" t="s">
        <v>97</v>
      </c>
      <c r="C43" s="49">
        <v>0.11</v>
      </c>
      <c r="D43" s="50" t="s">
        <v>520</v>
      </c>
      <c r="E43" s="50" t="s">
        <v>362</v>
      </c>
    </row>
    <row r="44" spans="2:5" x14ac:dyDescent="0.35">
      <c r="B44" s="47" t="s">
        <v>96</v>
      </c>
      <c r="C44" s="49">
        <v>0.09</v>
      </c>
      <c r="D44" s="50" t="s">
        <v>520</v>
      </c>
      <c r="E44" s="50" t="s">
        <v>521</v>
      </c>
    </row>
    <row r="45" spans="2:5" x14ac:dyDescent="0.35">
      <c r="B45" s="47" t="s">
        <v>90</v>
      </c>
      <c r="C45" s="49">
        <v>0.09</v>
      </c>
      <c r="D45" s="50" t="s">
        <v>520</v>
      </c>
      <c r="E45" s="50" t="s">
        <v>521</v>
      </c>
    </row>
    <row r="46" spans="2:5" x14ac:dyDescent="0.35">
      <c r="B46" s="47" t="s">
        <v>89</v>
      </c>
      <c r="C46" s="49" t="s">
        <v>407</v>
      </c>
      <c r="D46" s="50" t="s">
        <v>362</v>
      </c>
      <c r="E46" s="50" t="s">
        <v>362</v>
      </c>
    </row>
    <row r="47" spans="2:5" x14ac:dyDescent="0.35">
      <c r="B47" s="47" t="s">
        <v>48</v>
      </c>
      <c r="C47" s="49">
        <v>0.14000000000000001</v>
      </c>
      <c r="D47" s="50" t="s">
        <v>520</v>
      </c>
      <c r="E47" s="50" t="s">
        <v>362</v>
      </c>
    </row>
    <row r="48" spans="2:5" x14ac:dyDescent="0.35">
      <c r="B48" s="47" t="s">
        <v>91</v>
      </c>
      <c r="C48" s="49">
        <v>0.11</v>
      </c>
      <c r="D48" s="50" t="s">
        <v>520</v>
      </c>
      <c r="E48" s="50" t="s">
        <v>521</v>
      </c>
    </row>
    <row r="49" spans="2:5" x14ac:dyDescent="0.35">
      <c r="B49" s="47" t="s">
        <v>502</v>
      </c>
      <c r="C49" s="49">
        <v>0</v>
      </c>
      <c r="D49" s="50" t="s">
        <v>520</v>
      </c>
      <c r="E49" s="50" t="s">
        <v>362</v>
      </c>
    </row>
    <row r="50" spans="2:5" x14ac:dyDescent="0.35">
      <c r="B50" s="47" t="s">
        <v>503</v>
      </c>
      <c r="C50" s="49">
        <v>0.31</v>
      </c>
      <c r="D50" s="50" t="s">
        <v>520</v>
      </c>
      <c r="E50" s="50" t="s">
        <v>521</v>
      </c>
    </row>
    <row r="51" spans="2:5" x14ac:dyDescent="0.35">
      <c r="B51" s="47" t="s">
        <v>504</v>
      </c>
      <c r="C51" s="49">
        <v>0.01</v>
      </c>
      <c r="D51" s="50" t="s">
        <v>520</v>
      </c>
      <c r="E51" s="50" t="s">
        <v>362</v>
      </c>
    </row>
    <row r="52" spans="2:5" x14ac:dyDescent="0.35">
      <c r="B52" s="47" t="s">
        <v>505</v>
      </c>
      <c r="C52" s="49">
        <v>0.01</v>
      </c>
      <c r="D52" s="50" t="s">
        <v>520</v>
      </c>
      <c r="E52" s="50" t="s">
        <v>362</v>
      </c>
    </row>
    <row r="53" spans="2:5" x14ac:dyDescent="0.35">
      <c r="B53" s="47" t="s">
        <v>506</v>
      </c>
      <c r="C53" s="49">
        <v>0.1</v>
      </c>
      <c r="D53" s="50" t="s">
        <v>520</v>
      </c>
      <c r="E53" s="50" t="s">
        <v>362</v>
      </c>
    </row>
    <row r="54" spans="2:5" x14ac:dyDescent="0.35">
      <c r="B54" s="47" t="s">
        <v>507</v>
      </c>
      <c r="C54" s="49">
        <v>0.01</v>
      </c>
      <c r="D54" s="50" t="s">
        <v>520</v>
      </c>
      <c r="E54" s="50" t="s">
        <v>521</v>
      </c>
    </row>
    <row r="55" spans="2:5" x14ac:dyDescent="0.35">
      <c r="B55" s="47" t="s">
        <v>508</v>
      </c>
      <c r="C55" s="49" t="s">
        <v>407</v>
      </c>
      <c r="D55" s="50" t="s">
        <v>362</v>
      </c>
      <c r="E55" s="50" t="s">
        <v>362</v>
      </c>
    </row>
    <row r="56" spans="2:5" x14ac:dyDescent="0.35">
      <c r="B56" s="47" t="s">
        <v>509</v>
      </c>
      <c r="C56" s="49">
        <v>0.01</v>
      </c>
      <c r="D56" s="50" t="s">
        <v>520</v>
      </c>
      <c r="E56" s="50" t="s">
        <v>362</v>
      </c>
    </row>
    <row r="57" spans="2:5" x14ac:dyDescent="0.35">
      <c r="B57" s="47" t="s">
        <v>510</v>
      </c>
      <c r="C57" s="49">
        <v>0.38</v>
      </c>
      <c r="D57" s="50" t="s">
        <v>520</v>
      </c>
      <c r="E57" s="50" t="s">
        <v>521</v>
      </c>
    </row>
    <row r="58" spans="2:5" x14ac:dyDescent="0.35">
      <c r="B58" s="47" t="s">
        <v>511</v>
      </c>
      <c r="C58" s="49">
        <v>0.01</v>
      </c>
      <c r="D58" s="50" t="s">
        <v>520</v>
      </c>
      <c r="E58" s="50" t="s">
        <v>362</v>
      </c>
    </row>
    <row r="59" spans="2:5" x14ac:dyDescent="0.35">
      <c r="B59" s="47" t="s">
        <v>512</v>
      </c>
      <c r="C59" s="49">
        <v>0.22</v>
      </c>
      <c r="D59" s="50" t="s">
        <v>520</v>
      </c>
      <c r="E59" s="50" t="s">
        <v>521</v>
      </c>
    </row>
    <row r="60" spans="2:5" x14ac:dyDescent="0.35">
      <c r="B60" s="47" t="s">
        <v>513</v>
      </c>
      <c r="C60" s="49">
        <v>0</v>
      </c>
      <c r="D60" s="50" t="s">
        <v>520</v>
      </c>
      <c r="E60" s="50" t="s">
        <v>521</v>
      </c>
    </row>
    <row r="61" spans="2:5" x14ac:dyDescent="0.35">
      <c r="B61" s="47" t="s">
        <v>514</v>
      </c>
      <c r="C61" s="49">
        <v>0.01</v>
      </c>
      <c r="D61" s="50" t="s">
        <v>520</v>
      </c>
      <c r="E61" s="50" t="s">
        <v>362</v>
      </c>
    </row>
    <row r="62" spans="2:5" x14ac:dyDescent="0.35">
      <c r="B62" s="47" t="s">
        <v>515</v>
      </c>
      <c r="C62" s="49">
        <v>0</v>
      </c>
      <c r="D62" s="50" t="s">
        <v>520</v>
      </c>
      <c r="E62" s="50" t="s">
        <v>521</v>
      </c>
    </row>
    <row r="63" spans="2:5" x14ac:dyDescent="0.35">
      <c r="B63" s="47" t="s">
        <v>516</v>
      </c>
      <c r="C63" s="49">
        <v>0.01</v>
      </c>
      <c r="D63" s="50" t="s">
        <v>520</v>
      </c>
      <c r="E63" s="50" t="s">
        <v>362</v>
      </c>
    </row>
    <row r="64" spans="2:5" x14ac:dyDescent="0.35">
      <c r="B64" s="47" t="s">
        <v>517</v>
      </c>
      <c r="C64" s="49">
        <v>0.01</v>
      </c>
      <c r="D64" s="50" t="s">
        <v>520</v>
      </c>
      <c r="E64" s="50" t="s">
        <v>362</v>
      </c>
    </row>
    <row r="65" spans="2:17" x14ac:dyDescent="0.35">
      <c r="B65" s="47" t="s">
        <v>518</v>
      </c>
      <c r="C65" s="49">
        <v>0.01</v>
      </c>
      <c r="D65" s="50" t="s">
        <v>520</v>
      </c>
      <c r="E65" s="50" t="s">
        <v>362</v>
      </c>
    </row>
    <row r="67" spans="2:17" ht="17.5" customHeight="1" x14ac:dyDescent="0.35">
      <c r="B67" s="78" t="s">
        <v>527</v>
      </c>
    </row>
    <row r="68" spans="2:17" ht="17.5" customHeight="1" x14ac:dyDescent="0.35">
      <c r="B68" s="78" t="s">
        <v>781</v>
      </c>
    </row>
    <row r="70" spans="2:17" ht="15" thickBot="1" x14ac:dyDescent="0.4"/>
    <row r="71" spans="2:17" x14ac:dyDescent="0.35">
      <c r="B71" s="35" t="s">
        <v>490</v>
      </c>
      <c r="C71" s="55"/>
      <c r="D71" s="55"/>
      <c r="E71" s="55"/>
      <c r="F71" s="55"/>
      <c r="G71" s="55"/>
      <c r="H71" s="55"/>
      <c r="I71" s="55"/>
      <c r="J71" s="55"/>
      <c r="K71" s="55"/>
      <c r="L71" s="55"/>
      <c r="M71" s="55"/>
      <c r="N71" s="55"/>
      <c r="O71" s="55"/>
      <c r="P71" s="55"/>
      <c r="Q71" s="56"/>
    </row>
    <row r="72" spans="2:17" x14ac:dyDescent="0.35">
      <c r="B72" s="57"/>
      <c r="Q72" s="58"/>
    </row>
    <row r="73" spans="2:17" x14ac:dyDescent="0.35">
      <c r="B73" s="59" t="s">
        <v>525</v>
      </c>
      <c r="Q73" s="58"/>
    </row>
    <row r="74" spans="2:17" x14ac:dyDescent="0.35">
      <c r="B74" s="59" t="s">
        <v>494</v>
      </c>
      <c r="Q74" s="58"/>
    </row>
    <row r="75" spans="2:17" x14ac:dyDescent="0.35">
      <c r="B75" s="59" t="s">
        <v>648</v>
      </c>
      <c r="Q75" s="58"/>
    </row>
    <row r="76" spans="2:17" x14ac:dyDescent="0.35">
      <c r="B76" s="59" t="s">
        <v>742</v>
      </c>
      <c r="Q76" s="58"/>
    </row>
    <row r="77" spans="2:17" x14ac:dyDescent="0.35">
      <c r="B77" s="59" t="s">
        <v>519</v>
      </c>
      <c r="Q77" s="58"/>
    </row>
    <row r="78" spans="2:17" ht="15" thickBot="1" x14ac:dyDescent="0.4">
      <c r="B78" s="60" t="s">
        <v>780</v>
      </c>
      <c r="C78" s="61"/>
      <c r="D78" s="61"/>
      <c r="E78" s="61"/>
      <c r="F78" s="61"/>
      <c r="G78" s="61"/>
      <c r="H78" s="61"/>
      <c r="I78" s="61"/>
      <c r="J78" s="61"/>
      <c r="K78" s="61"/>
      <c r="L78" s="61"/>
      <c r="M78" s="61"/>
      <c r="N78" s="61"/>
      <c r="O78" s="61"/>
      <c r="P78" s="61"/>
      <c r="Q78"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59999389629810485"/>
  </sheetPr>
  <dimension ref="B1:F61"/>
  <sheetViews>
    <sheetView showGridLines="0" topLeftCell="A43" zoomScaleNormal="100" workbookViewId="0">
      <selection activeCell="C44" sqref="C44"/>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1796875" style="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213</v>
      </c>
      <c r="C5" s="80">
        <v>0.74</v>
      </c>
      <c r="D5" s="50">
        <v>2021</v>
      </c>
      <c r="E5" s="50" t="s">
        <v>324</v>
      </c>
      <c r="F5"/>
    </row>
    <row r="6" spans="2:6" x14ac:dyDescent="0.35">
      <c r="B6" s="3" t="s">
        <v>325</v>
      </c>
      <c r="C6" s="80">
        <v>0.14000000000000001</v>
      </c>
      <c r="D6" s="50">
        <v>2021</v>
      </c>
      <c r="E6" s="50" t="s">
        <v>324</v>
      </c>
      <c r="F6"/>
    </row>
    <row r="7" spans="2:6" x14ac:dyDescent="0.35">
      <c r="B7" s="3" t="s">
        <v>326</v>
      </c>
      <c r="C7" s="80">
        <v>0.03</v>
      </c>
      <c r="D7" s="50">
        <v>2021</v>
      </c>
      <c r="E7" s="50" t="s">
        <v>324</v>
      </c>
      <c r="F7"/>
    </row>
    <row r="8" spans="2:6" x14ac:dyDescent="0.35">
      <c r="B8" s="3" t="s">
        <v>327</v>
      </c>
      <c r="C8" s="80">
        <v>0.02</v>
      </c>
      <c r="D8" s="50">
        <v>2021</v>
      </c>
      <c r="E8" s="50" t="s">
        <v>324</v>
      </c>
      <c r="F8"/>
    </row>
    <row r="9" spans="2:6" x14ac:dyDescent="0.35">
      <c r="B9" s="3" t="s">
        <v>529</v>
      </c>
      <c r="C9" s="80">
        <v>0.02</v>
      </c>
      <c r="D9" s="50">
        <v>2021</v>
      </c>
      <c r="E9" s="50" t="s">
        <v>324</v>
      </c>
      <c r="F9"/>
    </row>
    <row r="10" spans="2:6" x14ac:dyDescent="0.35">
      <c r="B10" s="3" t="s">
        <v>530</v>
      </c>
      <c r="C10" s="80">
        <v>0.01</v>
      </c>
      <c r="D10" s="50">
        <v>2021</v>
      </c>
      <c r="E10" s="50" t="s">
        <v>324</v>
      </c>
      <c r="F10"/>
    </row>
    <row r="11" spans="2:6" x14ac:dyDescent="0.35">
      <c r="B11" s="3" t="s">
        <v>361</v>
      </c>
      <c r="C11" s="80">
        <v>0.04</v>
      </c>
      <c r="D11" s="50">
        <v>2021</v>
      </c>
      <c r="E11" s="50" t="s">
        <v>324</v>
      </c>
      <c r="F11"/>
    </row>
    <row r="12" spans="2:6" x14ac:dyDescent="0.35">
      <c r="B12" s="65" t="s">
        <v>134</v>
      </c>
      <c r="C12" s="79">
        <f>SUM(C5:C11)</f>
        <v>1</v>
      </c>
      <c r="D12" s="9"/>
      <c r="E12" s="5"/>
      <c r="F12" s="5"/>
    </row>
    <row r="15" spans="2:6" x14ac:dyDescent="0.35">
      <c r="B15" s="63" t="s">
        <v>533</v>
      </c>
    </row>
    <row r="17" spans="2:6" x14ac:dyDescent="0.35">
      <c r="B17" s="4" t="s">
        <v>532</v>
      </c>
      <c r="C17" s="64" t="s">
        <v>0</v>
      </c>
      <c r="D17"/>
    </row>
    <row r="18" spans="2:6" x14ac:dyDescent="0.35">
      <c r="B18" s="3" t="s">
        <v>58</v>
      </c>
      <c r="C18" s="50">
        <v>282520</v>
      </c>
      <c r="D18"/>
    </row>
    <row r="19" spans="2:6" x14ac:dyDescent="0.35">
      <c r="B19" s="3" t="s">
        <v>59</v>
      </c>
      <c r="C19" s="50">
        <v>283691</v>
      </c>
      <c r="D19"/>
    </row>
    <row r="22" spans="2:6" x14ac:dyDescent="0.35">
      <c r="B22" s="63" t="s">
        <v>534</v>
      </c>
    </row>
    <row r="24" spans="2:6" x14ac:dyDescent="0.35">
      <c r="B24" s="4" t="s">
        <v>531</v>
      </c>
      <c r="C24" s="64" t="s">
        <v>541</v>
      </c>
      <c r="D24" s="66" t="s">
        <v>546</v>
      </c>
      <c r="E24" s="64" t="s">
        <v>162</v>
      </c>
      <c r="F24" s="64" t="s">
        <v>127</v>
      </c>
    </row>
    <row r="25" spans="2:6" x14ac:dyDescent="0.35">
      <c r="B25" s="10" t="s">
        <v>135</v>
      </c>
      <c r="C25" s="91">
        <v>0.48853911323270105</v>
      </c>
      <c r="D25" s="67">
        <v>52710.400000000001</v>
      </c>
      <c r="E25" s="68">
        <v>2021</v>
      </c>
      <c r="F25" s="68" t="s">
        <v>167</v>
      </c>
    </row>
    <row r="26" spans="2:6" x14ac:dyDescent="0.35">
      <c r="B26" s="10" t="s">
        <v>209</v>
      </c>
      <c r="C26" s="91">
        <v>0.27979185481443247</v>
      </c>
      <c r="D26" s="67">
        <v>30187.84</v>
      </c>
      <c r="E26" s="68">
        <v>2021</v>
      </c>
      <c r="F26" s="68" t="s">
        <v>167</v>
      </c>
    </row>
    <row r="27" spans="2:6" x14ac:dyDescent="0.35">
      <c r="B27" s="10" t="s">
        <v>137</v>
      </c>
      <c r="C27" s="91">
        <v>0.13116587107039948</v>
      </c>
      <c r="D27" s="67">
        <v>14152</v>
      </c>
      <c r="E27" s="68">
        <v>2021</v>
      </c>
      <c r="F27" s="68" t="s">
        <v>167</v>
      </c>
    </row>
    <row r="28" spans="2:6" x14ac:dyDescent="0.35">
      <c r="B28" s="10" t="s">
        <v>161</v>
      </c>
      <c r="C28" s="91">
        <v>5.5347697071345618E-2</v>
      </c>
      <c r="D28" s="67">
        <v>5971.68</v>
      </c>
      <c r="E28" s="68">
        <v>2021</v>
      </c>
      <c r="F28" s="68" t="s">
        <v>167</v>
      </c>
    </row>
    <row r="29" spans="2:6" x14ac:dyDescent="0.35">
      <c r="B29" s="10" t="s">
        <v>138</v>
      </c>
      <c r="C29" s="91">
        <v>2.4383950458005413E-2</v>
      </c>
      <c r="D29" s="67">
        <v>2630.88</v>
      </c>
      <c r="E29" s="68">
        <v>2021</v>
      </c>
      <c r="F29" s="68" t="s">
        <v>167</v>
      </c>
    </row>
    <row r="30" spans="2:6" x14ac:dyDescent="0.35">
      <c r="B30" s="10" t="s">
        <v>154</v>
      </c>
      <c r="C30" s="91">
        <v>1.0772803509224615E-2</v>
      </c>
      <c r="D30" s="67">
        <v>1162.3200000000002</v>
      </c>
      <c r="E30" s="68">
        <v>2021</v>
      </c>
      <c r="F30" s="68" t="s">
        <v>167</v>
      </c>
    </row>
    <row r="31" spans="2:6" x14ac:dyDescent="0.35">
      <c r="B31" s="10" t="s">
        <v>227</v>
      </c>
      <c r="C31" s="91">
        <v>7.1818690061497426E-3</v>
      </c>
      <c r="D31" s="67">
        <v>774.88</v>
      </c>
      <c r="E31" s="68">
        <v>2021</v>
      </c>
      <c r="F31" s="68" t="s">
        <v>167</v>
      </c>
    </row>
    <row r="32" spans="2:6" x14ac:dyDescent="0.35">
      <c r="B32" s="10" t="s">
        <v>170</v>
      </c>
      <c r="C32" s="91">
        <v>1.7632133488152063E-3</v>
      </c>
      <c r="D32" s="67">
        <v>190.24</v>
      </c>
      <c r="E32" s="68">
        <v>2021</v>
      </c>
      <c r="F32" s="68" t="s">
        <v>167</v>
      </c>
    </row>
    <row r="33" spans="2:6" x14ac:dyDescent="0.35">
      <c r="B33" s="10" t="s">
        <v>264</v>
      </c>
      <c r="C33" s="91">
        <v>9.6761708166688153E-4</v>
      </c>
      <c r="D33" s="67">
        <v>104.4</v>
      </c>
      <c r="E33" s="68">
        <v>2021</v>
      </c>
      <c r="F33" s="68" t="s">
        <v>167</v>
      </c>
    </row>
    <row r="34" spans="2:6" x14ac:dyDescent="0.35">
      <c r="B34" s="10" t="s">
        <v>319</v>
      </c>
      <c r="C34" s="91">
        <v>8.6010407259278355E-5</v>
      </c>
      <c r="D34" s="67">
        <v>9.2800000000000011</v>
      </c>
      <c r="E34" s="68">
        <v>2021</v>
      </c>
      <c r="F34" s="68" t="s">
        <v>167</v>
      </c>
    </row>
    <row r="35" spans="2:6" x14ac:dyDescent="0.35">
      <c r="B35" s="65" t="s">
        <v>134</v>
      </c>
      <c r="C35" s="69">
        <f>SUM(C25:C34)</f>
        <v>0.99999999999999978</v>
      </c>
      <c r="D35" s="70">
        <f>SUM(D25:D34)</f>
        <v>107893.92000000003</v>
      </c>
      <c r="E35" s="34"/>
      <c r="F35" s="34"/>
    </row>
    <row r="37" spans="2:6" x14ac:dyDescent="0.35">
      <c r="B37" s="77" t="s">
        <v>543</v>
      </c>
    </row>
    <row r="39" spans="2:6" x14ac:dyDescent="0.35">
      <c r="B39" s="4" t="s">
        <v>555</v>
      </c>
      <c r="C39" s="64" t="s">
        <v>541</v>
      </c>
      <c r="D39" s="66" t="s">
        <v>545</v>
      </c>
      <c r="E39" s="64" t="s">
        <v>162</v>
      </c>
      <c r="F39" s="64" t="s">
        <v>127</v>
      </c>
    </row>
    <row r="40" spans="2:6" x14ac:dyDescent="0.35">
      <c r="B40" s="3" t="s">
        <v>137</v>
      </c>
      <c r="C40" s="80">
        <v>0.56200000000000006</v>
      </c>
      <c r="D40" s="71">
        <v>45591.265443609031</v>
      </c>
      <c r="E40" s="50" t="s">
        <v>129</v>
      </c>
      <c r="F40" s="50" t="s">
        <v>544</v>
      </c>
    </row>
    <row r="41" spans="2:6" x14ac:dyDescent="0.35">
      <c r="B41" s="3" t="s">
        <v>209</v>
      </c>
      <c r="C41" s="80">
        <v>0.32100000000000001</v>
      </c>
      <c r="D41" s="71">
        <v>26040.562646616545</v>
      </c>
      <c r="E41" s="50" t="s">
        <v>129</v>
      </c>
      <c r="F41" s="50" t="s">
        <v>544</v>
      </c>
    </row>
    <row r="42" spans="2:6" x14ac:dyDescent="0.35">
      <c r="B42" s="3" t="s">
        <v>161</v>
      </c>
      <c r="C42" s="80">
        <v>0.105</v>
      </c>
      <c r="D42" s="71">
        <v>8517.9410526315805</v>
      </c>
      <c r="E42" s="50" t="s">
        <v>129</v>
      </c>
      <c r="F42" s="50" t="s">
        <v>544</v>
      </c>
    </row>
    <row r="43" spans="2:6" x14ac:dyDescent="0.35">
      <c r="B43" s="3" t="s">
        <v>154</v>
      </c>
      <c r="C43" s="80">
        <v>1.2E-2</v>
      </c>
      <c r="D43" s="71">
        <v>973.47897744360921</v>
      </c>
      <c r="E43" s="50" t="s">
        <v>129</v>
      </c>
      <c r="F43" s="50" t="s">
        <v>544</v>
      </c>
    </row>
    <row r="44" spans="2:6" x14ac:dyDescent="0.35">
      <c r="B44" s="65" t="s">
        <v>134</v>
      </c>
      <c r="C44" s="69">
        <f>SUM(C40:C43)</f>
        <v>1</v>
      </c>
      <c r="D44" s="72">
        <v>81123.248120300763</v>
      </c>
      <c r="E44" s="34"/>
      <c r="F44" s="34"/>
    </row>
    <row r="45" spans="2:6" x14ac:dyDescent="0.35">
      <c r="D45" s="11"/>
    </row>
    <row r="46" spans="2:6" x14ac:dyDescent="0.35">
      <c r="B46" s="77" t="s">
        <v>542</v>
      </c>
      <c r="D46" s="11"/>
    </row>
    <row r="49" spans="2:6" x14ac:dyDescent="0.35">
      <c r="B49" s="2" t="s">
        <v>536</v>
      </c>
    </row>
    <row r="51" spans="2:6" x14ac:dyDescent="0.35">
      <c r="B51" s="4" t="s">
        <v>538</v>
      </c>
      <c r="C51" s="64" t="s">
        <v>548</v>
      </c>
      <c r="D51" s="74" t="s">
        <v>537</v>
      </c>
      <c r="E51" s="74" t="s">
        <v>549</v>
      </c>
      <c r="F51" s="74" t="s">
        <v>127</v>
      </c>
    </row>
    <row r="52" spans="2:6" ht="29" x14ac:dyDescent="0.35">
      <c r="B52" s="73" t="s">
        <v>59</v>
      </c>
      <c r="C52" s="92">
        <v>26.63</v>
      </c>
      <c r="D52" s="75" t="s">
        <v>539</v>
      </c>
      <c r="E52" s="75" t="s">
        <v>547</v>
      </c>
      <c r="F52" s="76" t="s">
        <v>553</v>
      </c>
    </row>
    <row r="53" spans="2:6" ht="29" x14ac:dyDescent="0.35">
      <c r="B53" s="73" t="s">
        <v>58</v>
      </c>
      <c r="C53" s="92">
        <v>29.5</v>
      </c>
      <c r="D53" s="75" t="s">
        <v>540</v>
      </c>
      <c r="E53" s="75" t="s">
        <v>547</v>
      </c>
      <c r="F53" s="76" t="s">
        <v>553</v>
      </c>
    </row>
    <row r="54" spans="2:6" x14ac:dyDescent="0.35">
      <c r="F54"/>
    </row>
    <row r="55" spans="2:6" ht="15" thickBot="1" x14ac:dyDescent="0.4">
      <c r="F55"/>
    </row>
    <row r="56" spans="2:6" x14ac:dyDescent="0.35">
      <c r="B56" s="35" t="s">
        <v>490</v>
      </c>
      <c r="C56" s="81"/>
      <c r="D56" s="82"/>
      <c r="E56" s="83"/>
      <c r="F56"/>
    </row>
    <row r="57" spans="2:6" x14ac:dyDescent="0.35">
      <c r="B57" s="84"/>
      <c r="E57" s="85"/>
      <c r="F57"/>
    </row>
    <row r="58" spans="2:6" x14ac:dyDescent="0.35">
      <c r="B58" s="86" t="s">
        <v>554</v>
      </c>
      <c r="E58" s="85"/>
    </row>
    <row r="59" spans="2:6" x14ac:dyDescent="0.35">
      <c r="B59" s="86" t="s">
        <v>552</v>
      </c>
      <c r="E59" s="85"/>
    </row>
    <row r="60" spans="2:6" x14ac:dyDescent="0.35">
      <c r="B60" s="86" t="s">
        <v>550</v>
      </c>
      <c r="E60" s="85"/>
    </row>
    <row r="61" spans="2:6" ht="15" thickBot="1" x14ac:dyDescent="0.4">
      <c r="B61" s="87" t="s">
        <v>551</v>
      </c>
      <c r="C61" s="88"/>
      <c r="D61" s="89"/>
      <c r="E61" s="90"/>
    </row>
  </sheetData>
  <pageMargins left="0.7" right="0.7" top="0.75" bottom="0.75" header="0.3" footer="0.3"/>
  <customProperties>
    <customPr name="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3190-607F-48A2-8B3A-BBD36EF5276C}">
  <sheetPr>
    <tabColor theme="4" tint="0.59999389629810485"/>
  </sheetPr>
  <dimension ref="B1:F56"/>
  <sheetViews>
    <sheetView showGridLines="0" zoomScaleNormal="100" workbookViewId="0">
      <selection activeCell="D52" sqref="D52"/>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7" style="12" customWidth="1"/>
    <col min="5" max="5" width="22.81640625" style="1" customWidth="1"/>
    <col min="6" max="6" width="27.1796875" style="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182</v>
      </c>
      <c r="C5" s="80">
        <v>0.23</v>
      </c>
      <c r="D5" s="50" t="s">
        <v>129</v>
      </c>
      <c r="E5" s="50" t="s">
        <v>556</v>
      </c>
      <c r="F5"/>
    </row>
    <row r="6" spans="2:6" x14ac:dyDescent="0.35">
      <c r="B6" s="3" t="s">
        <v>183</v>
      </c>
      <c r="C6" s="80">
        <v>0.17</v>
      </c>
      <c r="D6" s="50" t="s">
        <v>129</v>
      </c>
      <c r="E6" s="50" t="s">
        <v>556</v>
      </c>
      <c r="F6"/>
    </row>
    <row r="7" spans="2:6" x14ac:dyDescent="0.35">
      <c r="B7" s="3" t="s">
        <v>184</v>
      </c>
      <c r="C7" s="80">
        <v>0.17</v>
      </c>
      <c r="D7" s="50" t="s">
        <v>129</v>
      </c>
      <c r="E7" s="50" t="s">
        <v>556</v>
      </c>
      <c r="F7"/>
    </row>
    <row r="8" spans="2:6" x14ac:dyDescent="0.35">
      <c r="B8" s="3" t="s">
        <v>174</v>
      </c>
      <c r="C8" s="80">
        <v>0.14000000000000001</v>
      </c>
      <c r="D8" s="50" t="s">
        <v>129</v>
      </c>
      <c r="E8" s="50" t="s">
        <v>556</v>
      </c>
      <c r="F8"/>
    </row>
    <row r="9" spans="2:6" x14ac:dyDescent="0.35">
      <c r="B9" s="3" t="s">
        <v>185</v>
      </c>
      <c r="C9" s="80">
        <v>0.12</v>
      </c>
      <c r="D9" s="50" t="s">
        <v>129</v>
      </c>
      <c r="E9" s="50" t="s">
        <v>556</v>
      </c>
      <c r="F9"/>
    </row>
    <row r="10" spans="2:6" x14ac:dyDescent="0.35">
      <c r="B10" s="3" t="s">
        <v>186</v>
      </c>
      <c r="C10" s="80">
        <v>0.11</v>
      </c>
      <c r="D10" s="50" t="s">
        <v>129</v>
      </c>
      <c r="E10" s="50" t="s">
        <v>556</v>
      </c>
      <c r="F10"/>
    </row>
    <row r="11" spans="2:6" x14ac:dyDescent="0.35">
      <c r="B11" s="3" t="s">
        <v>187</v>
      </c>
      <c r="C11" s="80">
        <v>0.05</v>
      </c>
      <c r="D11" s="50" t="s">
        <v>129</v>
      </c>
      <c r="E11" s="50" t="s">
        <v>556</v>
      </c>
      <c r="F11"/>
    </row>
    <row r="12" spans="2:6" x14ac:dyDescent="0.35">
      <c r="B12" s="3" t="s">
        <v>188</v>
      </c>
      <c r="C12" s="80">
        <v>0.01</v>
      </c>
      <c r="D12" s="50" t="s">
        <v>129</v>
      </c>
      <c r="E12" s="50" t="s">
        <v>556</v>
      </c>
      <c r="F12"/>
    </row>
    <row r="13" spans="2:6" x14ac:dyDescent="0.35">
      <c r="B13" s="65" t="s">
        <v>134</v>
      </c>
      <c r="C13" s="79">
        <f>SUM(C5:C12)</f>
        <v>1</v>
      </c>
      <c r="D13" s="9"/>
      <c r="E13" s="5"/>
      <c r="F13" s="5"/>
    </row>
    <row r="16" spans="2:6" x14ac:dyDescent="0.35">
      <c r="B16" s="63" t="s">
        <v>533</v>
      </c>
    </row>
    <row r="18" spans="2:6" x14ac:dyDescent="0.35">
      <c r="B18" s="4" t="s">
        <v>532</v>
      </c>
      <c r="C18" s="64" t="s">
        <v>0</v>
      </c>
      <c r="D18"/>
    </row>
    <row r="19" spans="2:6" ht="29" x14ac:dyDescent="0.35">
      <c r="B19" s="3" t="s">
        <v>15</v>
      </c>
      <c r="C19" s="50">
        <v>811212</v>
      </c>
      <c r="D19"/>
    </row>
    <row r="22" spans="2:6" x14ac:dyDescent="0.35">
      <c r="B22" s="63" t="s">
        <v>534</v>
      </c>
    </row>
    <row r="24" spans="2:6" x14ac:dyDescent="0.35">
      <c r="B24" s="4" t="s">
        <v>531</v>
      </c>
      <c r="C24" s="64" t="s">
        <v>541</v>
      </c>
      <c r="D24" s="66" t="s">
        <v>557</v>
      </c>
      <c r="E24" s="64" t="s">
        <v>162</v>
      </c>
      <c r="F24" s="64" t="s">
        <v>127</v>
      </c>
    </row>
    <row r="25" spans="2:6" x14ac:dyDescent="0.35">
      <c r="B25" s="10" t="s">
        <v>154</v>
      </c>
      <c r="C25" s="91">
        <v>0.65217391304347827</v>
      </c>
      <c r="D25" s="67">
        <v>4380</v>
      </c>
      <c r="E25" s="68">
        <v>2021</v>
      </c>
      <c r="F25" s="68" t="s">
        <v>167</v>
      </c>
    </row>
    <row r="26" spans="2:6" x14ac:dyDescent="0.35">
      <c r="B26" s="10" t="s">
        <v>137</v>
      </c>
      <c r="C26" s="91">
        <v>0.2605717689100655</v>
      </c>
      <c r="D26" s="67">
        <v>1750</v>
      </c>
      <c r="E26" s="68">
        <v>2021</v>
      </c>
      <c r="F26" s="68" t="s">
        <v>167</v>
      </c>
    </row>
    <row r="27" spans="2:6" x14ac:dyDescent="0.35">
      <c r="B27" s="10" t="s">
        <v>189</v>
      </c>
      <c r="C27" s="91">
        <v>4.9136390708755209E-2</v>
      </c>
      <c r="D27" s="67">
        <v>330</v>
      </c>
      <c r="E27" s="68">
        <v>2021</v>
      </c>
      <c r="F27" s="68" t="s">
        <v>167</v>
      </c>
    </row>
    <row r="28" spans="2:6" x14ac:dyDescent="0.35">
      <c r="B28" s="10" t="s">
        <v>190</v>
      </c>
      <c r="C28" s="91">
        <v>2.8290649195949969E-2</v>
      </c>
      <c r="D28" s="67">
        <v>190</v>
      </c>
      <c r="E28" s="68">
        <v>2021</v>
      </c>
      <c r="F28" s="68" t="s">
        <v>167</v>
      </c>
    </row>
    <row r="29" spans="2:6" x14ac:dyDescent="0.35">
      <c r="B29" s="10" t="s">
        <v>191</v>
      </c>
      <c r="C29" s="91">
        <v>4.4669446098868377E-3</v>
      </c>
      <c r="D29" s="67">
        <v>30</v>
      </c>
      <c r="E29" s="68">
        <v>2021</v>
      </c>
      <c r="F29" s="68" t="s">
        <v>167</v>
      </c>
    </row>
    <row r="30" spans="2:6" x14ac:dyDescent="0.35">
      <c r="B30" s="10" t="s">
        <v>192</v>
      </c>
      <c r="C30" s="91">
        <v>2.9779630732578916E-3</v>
      </c>
      <c r="D30" s="67">
        <v>20</v>
      </c>
      <c r="E30" s="68">
        <v>2021</v>
      </c>
      <c r="F30" s="68" t="s">
        <v>167</v>
      </c>
    </row>
    <row r="31" spans="2:6" x14ac:dyDescent="0.35">
      <c r="B31" s="10" t="s">
        <v>138</v>
      </c>
      <c r="C31" s="91">
        <v>1.4889815366289458E-3</v>
      </c>
      <c r="D31" s="67">
        <v>10</v>
      </c>
      <c r="E31" s="68">
        <v>2021</v>
      </c>
      <c r="F31" s="68" t="s">
        <v>167</v>
      </c>
    </row>
    <row r="32" spans="2:6" x14ac:dyDescent="0.35">
      <c r="B32" s="10" t="s">
        <v>193</v>
      </c>
      <c r="C32" s="91">
        <v>8.9338892197736745E-4</v>
      </c>
      <c r="D32" s="67">
        <v>6</v>
      </c>
      <c r="E32" s="68">
        <v>2021</v>
      </c>
      <c r="F32" s="68" t="s">
        <v>167</v>
      </c>
    </row>
    <row r="33" spans="2:6" x14ac:dyDescent="0.35">
      <c r="B33" s="65" t="s">
        <v>134</v>
      </c>
      <c r="C33" s="69">
        <f>SUM(C25:C32)</f>
        <v>0.99999999999999989</v>
      </c>
      <c r="D33" s="70">
        <f>SUM(D25:D32)</f>
        <v>6716</v>
      </c>
      <c r="E33" s="34"/>
      <c r="F33" s="34"/>
    </row>
    <row r="36" spans="2:6" x14ac:dyDescent="0.35">
      <c r="B36" s="4" t="s">
        <v>535</v>
      </c>
      <c r="C36" s="64" t="s">
        <v>541</v>
      </c>
      <c r="D36" s="66" t="s">
        <v>559</v>
      </c>
      <c r="E36" s="64" t="s">
        <v>162</v>
      </c>
      <c r="F36" s="64" t="s">
        <v>127</v>
      </c>
    </row>
    <row r="37" spans="2:6" x14ac:dyDescent="0.35">
      <c r="B37" s="3" t="s">
        <v>154</v>
      </c>
      <c r="C37" s="80">
        <v>0.502</v>
      </c>
      <c r="D37" s="71">
        <v>117.468</v>
      </c>
      <c r="E37" s="50" t="s">
        <v>129</v>
      </c>
      <c r="F37" s="50" t="s">
        <v>556</v>
      </c>
    </row>
    <row r="38" spans="2:6" x14ac:dyDescent="0.35">
      <c r="B38" s="3" t="s">
        <v>194</v>
      </c>
      <c r="C38" s="80">
        <v>0.25</v>
      </c>
      <c r="D38" s="71">
        <v>58.5</v>
      </c>
      <c r="E38" s="50" t="s">
        <v>129</v>
      </c>
      <c r="F38" s="50" t="s">
        <v>556</v>
      </c>
    </row>
    <row r="39" spans="2:6" x14ac:dyDescent="0.35">
      <c r="B39" s="3" t="s">
        <v>181</v>
      </c>
      <c r="C39" s="80">
        <v>0.16899999999999998</v>
      </c>
      <c r="D39" s="71">
        <v>39.545999999999999</v>
      </c>
      <c r="E39" s="50" t="s">
        <v>129</v>
      </c>
      <c r="F39" s="50" t="s">
        <v>556</v>
      </c>
    </row>
    <row r="40" spans="2:6" x14ac:dyDescent="0.35">
      <c r="B40" s="3" t="s">
        <v>137</v>
      </c>
      <c r="C40" s="80">
        <v>7.9000000000000001E-2</v>
      </c>
      <c r="D40" s="71">
        <v>18.486000000000001</v>
      </c>
      <c r="E40" s="50" t="s">
        <v>129</v>
      </c>
      <c r="F40" s="50" t="s">
        <v>556</v>
      </c>
    </row>
    <row r="41" spans="2:6" x14ac:dyDescent="0.35">
      <c r="B41" s="65" t="s">
        <v>134</v>
      </c>
      <c r="C41" s="69">
        <f>SUM(C37:C40)</f>
        <v>1</v>
      </c>
      <c r="D41" s="72">
        <f>SUM(D37:D40)</f>
        <v>234</v>
      </c>
      <c r="E41" s="34"/>
      <c r="F41" s="34"/>
    </row>
    <row r="42" spans="2:6" x14ac:dyDescent="0.35">
      <c r="D42" s="11"/>
    </row>
    <row r="43" spans="2:6" x14ac:dyDescent="0.35">
      <c r="B43" s="77" t="s">
        <v>558</v>
      </c>
      <c r="D43" s="11"/>
    </row>
    <row r="46" spans="2:6" x14ac:dyDescent="0.35">
      <c r="B46" s="2" t="s">
        <v>536</v>
      </c>
    </row>
    <row r="48" spans="2:6" x14ac:dyDescent="0.35">
      <c r="B48" s="4" t="s">
        <v>538</v>
      </c>
      <c r="C48" s="64" t="s">
        <v>548</v>
      </c>
      <c r="D48" s="74" t="s">
        <v>537</v>
      </c>
      <c r="E48" s="74" t="s">
        <v>549</v>
      </c>
      <c r="F48" s="74" t="s">
        <v>127</v>
      </c>
    </row>
    <row r="49" spans="2:6" ht="29" x14ac:dyDescent="0.35">
      <c r="B49" s="73" t="s">
        <v>15</v>
      </c>
      <c r="C49" s="92">
        <v>944.01</v>
      </c>
      <c r="D49" s="75" t="s">
        <v>560</v>
      </c>
      <c r="E49" s="75" t="s">
        <v>561</v>
      </c>
      <c r="F49" s="76" t="s">
        <v>562</v>
      </c>
    </row>
    <row r="50" spans="2:6" x14ac:dyDescent="0.35">
      <c r="F50"/>
    </row>
    <row r="51" spans="2:6" ht="15" thickBot="1" x14ac:dyDescent="0.4">
      <c r="F51"/>
    </row>
    <row r="52" spans="2:6" x14ac:dyDescent="0.35">
      <c r="B52" s="35" t="s">
        <v>490</v>
      </c>
      <c r="C52" s="81"/>
      <c r="D52" s="93"/>
      <c r="F52"/>
    </row>
    <row r="53" spans="2:6" x14ac:dyDescent="0.35">
      <c r="B53" s="84"/>
      <c r="D53" s="94"/>
      <c r="F53"/>
    </row>
    <row r="54" spans="2:6" x14ac:dyDescent="0.35">
      <c r="B54" s="86" t="s">
        <v>552</v>
      </c>
      <c r="D54" s="94"/>
    </row>
    <row r="55" spans="2:6" x14ac:dyDescent="0.35">
      <c r="B55" s="86" t="s">
        <v>563</v>
      </c>
      <c r="D55" s="94"/>
    </row>
    <row r="56" spans="2:6" ht="15" thickBot="1" x14ac:dyDescent="0.4">
      <c r="B56" s="40" t="s">
        <v>551</v>
      </c>
      <c r="C56" s="88"/>
      <c r="D56" s="9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7B9F-7075-45EE-8805-DA353083C48E}">
  <sheetPr>
    <tabColor theme="4" tint="0.59999389629810485"/>
  </sheetPr>
  <dimension ref="B1:F69"/>
  <sheetViews>
    <sheetView showGridLines="0" zoomScaleNormal="100" workbookViewId="0">
      <selection activeCell="D69" sqref="D69"/>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201</v>
      </c>
      <c r="C5" s="80">
        <v>0.55000000000000004</v>
      </c>
      <c r="D5" s="50" t="s">
        <v>129</v>
      </c>
      <c r="E5" s="50" t="s">
        <v>556</v>
      </c>
      <c r="F5"/>
    </row>
    <row r="6" spans="2:6" x14ac:dyDescent="0.35">
      <c r="B6" s="3" t="s">
        <v>202</v>
      </c>
      <c r="C6" s="80">
        <v>0.17</v>
      </c>
      <c r="D6" s="50" t="s">
        <v>129</v>
      </c>
      <c r="E6" s="50" t="s">
        <v>556</v>
      </c>
      <c r="F6"/>
    </row>
    <row r="7" spans="2:6" x14ac:dyDescent="0.35">
      <c r="B7" s="3" t="s">
        <v>203</v>
      </c>
      <c r="C7" s="80">
        <v>0.15</v>
      </c>
      <c r="D7" s="50" t="s">
        <v>129</v>
      </c>
      <c r="E7" s="50" t="s">
        <v>556</v>
      </c>
      <c r="F7"/>
    </row>
    <row r="8" spans="2:6" x14ac:dyDescent="0.35">
      <c r="B8" s="3" t="s">
        <v>204</v>
      </c>
      <c r="C8" s="80">
        <v>0.04</v>
      </c>
      <c r="D8" s="50" t="s">
        <v>129</v>
      </c>
      <c r="E8" s="50" t="s">
        <v>556</v>
      </c>
      <c r="F8"/>
    </row>
    <row r="9" spans="2:6" ht="29" x14ac:dyDescent="0.35">
      <c r="B9" s="3" t="s">
        <v>205</v>
      </c>
      <c r="C9" s="80">
        <v>0.04</v>
      </c>
      <c r="D9" s="50" t="s">
        <v>129</v>
      </c>
      <c r="E9" s="50" t="s">
        <v>556</v>
      </c>
      <c r="F9"/>
    </row>
    <row r="10" spans="2:6" x14ac:dyDescent="0.35">
      <c r="B10" s="3" t="s">
        <v>206</v>
      </c>
      <c r="C10" s="80">
        <v>0.04</v>
      </c>
      <c r="D10" s="50" t="s">
        <v>129</v>
      </c>
      <c r="E10" s="50" t="s">
        <v>556</v>
      </c>
      <c r="F10"/>
    </row>
    <row r="11" spans="2:6" x14ac:dyDescent="0.35">
      <c r="B11" s="3" t="s">
        <v>207</v>
      </c>
      <c r="C11" s="80">
        <v>5.0000000000000001E-3</v>
      </c>
      <c r="D11" s="50" t="s">
        <v>129</v>
      </c>
      <c r="E11" s="50" t="s">
        <v>556</v>
      </c>
      <c r="F11"/>
    </row>
    <row r="12" spans="2:6" x14ac:dyDescent="0.35">
      <c r="B12" s="3" t="s">
        <v>208</v>
      </c>
      <c r="C12" s="80">
        <v>5.0000000000000001E-3</v>
      </c>
      <c r="D12" s="50" t="s">
        <v>129</v>
      </c>
      <c r="E12" s="50" t="s">
        <v>556</v>
      </c>
      <c r="F12"/>
    </row>
    <row r="13" spans="2:6" x14ac:dyDescent="0.35">
      <c r="B13" s="65" t="s">
        <v>134</v>
      </c>
      <c r="C13" s="79">
        <f>SUM(C5:C11)</f>
        <v>0.99500000000000022</v>
      </c>
      <c r="D13" s="9"/>
      <c r="E13" s="5"/>
      <c r="F13" s="5"/>
    </row>
    <row r="16" spans="2:6" x14ac:dyDescent="0.35">
      <c r="B16" s="63" t="s">
        <v>533</v>
      </c>
    </row>
    <row r="18" spans="2:6" x14ac:dyDescent="0.35">
      <c r="B18" s="4" t="s">
        <v>532</v>
      </c>
      <c r="C18" s="64" t="s">
        <v>0</v>
      </c>
      <c r="D18"/>
    </row>
    <row r="19" spans="2:6" x14ac:dyDescent="0.35">
      <c r="B19" s="3" t="s">
        <v>19</v>
      </c>
      <c r="C19" s="50">
        <v>280450</v>
      </c>
      <c r="D19"/>
    </row>
    <row r="20" spans="2:6" x14ac:dyDescent="0.35">
      <c r="B20" s="3" t="s">
        <v>20</v>
      </c>
      <c r="C20" s="50">
        <v>281000</v>
      </c>
      <c r="D20"/>
    </row>
    <row r="21" spans="2:6" ht="29" x14ac:dyDescent="0.35">
      <c r="B21" s="3" t="s">
        <v>21</v>
      </c>
      <c r="C21" s="50">
        <v>284011</v>
      </c>
      <c r="D21"/>
    </row>
    <row r="22" spans="2:6" ht="29" x14ac:dyDescent="0.35">
      <c r="B22" s="3" t="s">
        <v>22</v>
      </c>
      <c r="C22" s="50">
        <v>284019</v>
      </c>
      <c r="D22"/>
    </row>
    <row r="23" spans="2:6" x14ac:dyDescent="0.35">
      <c r="B23" s="3" t="s">
        <v>23</v>
      </c>
      <c r="C23" s="50">
        <v>284030</v>
      </c>
      <c r="D23"/>
    </row>
    <row r="26" spans="2:6" x14ac:dyDescent="0.35">
      <c r="B26" s="63" t="s">
        <v>534</v>
      </c>
    </row>
    <row r="28" spans="2:6" x14ac:dyDescent="0.35">
      <c r="B28" s="4" t="s">
        <v>531</v>
      </c>
      <c r="C28" s="64" t="s">
        <v>541</v>
      </c>
      <c r="D28" s="66" t="s">
        <v>564</v>
      </c>
      <c r="E28" s="64" t="s">
        <v>162</v>
      </c>
      <c r="F28" s="64" t="s">
        <v>127</v>
      </c>
    </row>
    <row r="29" spans="2:6" x14ac:dyDescent="0.35">
      <c r="B29" s="10" t="s">
        <v>169</v>
      </c>
      <c r="C29" s="91">
        <v>0.51628072988273521</v>
      </c>
      <c r="D29" s="67">
        <v>2540000</v>
      </c>
      <c r="E29" s="68">
        <v>2021</v>
      </c>
      <c r="F29" s="68" t="s">
        <v>167</v>
      </c>
    </row>
    <row r="30" spans="2:6" x14ac:dyDescent="0.35">
      <c r="B30" s="10" t="s">
        <v>154</v>
      </c>
      <c r="C30" s="91">
        <v>0.18293411688758332</v>
      </c>
      <c r="D30" s="67">
        <v>900000</v>
      </c>
      <c r="E30" s="68">
        <v>2021</v>
      </c>
      <c r="F30" s="68" t="s">
        <v>167</v>
      </c>
    </row>
    <row r="31" spans="2:6" x14ac:dyDescent="0.35">
      <c r="B31" s="10" t="s">
        <v>209</v>
      </c>
      <c r="C31" s="91">
        <v>7.3789931468814615E-2</v>
      </c>
      <c r="D31" s="67">
        <v>363032</v>
      </c>
      <c r="E31" s="68">
        <v>2021</v>
      </c>
      <c r="F31" s="68" t="s">
        <v>167</v>
      </c>
    </row>
    <row r="32" spans="2:6" x14ac:dyDescent="0.35">
      <c r="B32" s="10" t="s">
        <v>170</v>
      </c>
      <c r="C32" s="91">
        <v>6.2998444653486196E-2</v>
      </c>
      <c r="D32" s="67">
        <v>309940</v>
      </c>
      <c r="E32" s="68">
        <v>2021</v>
      </c>
      <c r="F32" s="68" t="s">
        <v>167</v>
      </c>
    </row>
    <row r="33" spans="2:6" x14ac:dyDescent="0.35">
      <c r="B33" s="10" t="s">
        <v>137</v>
      </c>
      <c r="C33" s="91">
        <v>5.0815032468773148E-2</v>
      </c>
      <c r="D33" s="67">
        <v>250000</v>
      </c>
      <c r="E33" s="68">
        <v>2021</v>
      </c>
      <c r="F33" s="68" t="s">
        <v>167</v>
      </c>
    </row>
    <row r="34" spans="2:6" x14ac:dyDescent="0.35">
      <c r="B34" s="10" t="s">
        <v>198</v>
      </c>
      <c r="C34" s="91">
        <v>5.0075572116287562E-2</v>
      </c>
      <c r="D34" s="67">
        <v>246362</v>
      </c>
      <c r="E34" s="68">
        <v>2021</v>
      </c>
      <c r="F34" s="68" t="s">
        <v>167</v>
      </c>
    </row>
    <row r="35" spans="2:6" x14ac:dyDescent="0.35">
      <c r="B35" s="10" t="s">
        <v>161</v>
      </c>
      <c r="C35" s="91">
        <v>3.8389740729508737E-2</v>
      </c>
      <c r="D35" s="67">
        <v>188870</v>
      </c>
      <c r="E35" s="68">
        <v>2021</v>
      </c>
      <c r="F35" s="68" t="s">
        <v>167</v>
      </c>
    </row>
    <row r="36" spans="2:6" x14ac:dyDescent="0.35">
      <c r="B36" s="10" t="s">
        <v>141</v>
      </c>
      <c r="C36" s="91">
        <v>1.8212107636808295E-2</v>
      </c>
      <c r="D36" s="67">
        <v>89600</v>
      </c>
      <c r="E36" s="68">
        <v>2021</v>
      </c>
      <c r="F36" s="68" t="s">
        <v>167</v>
      </c>
    </row>
    <row r="37" spans="2:6" x14ac:dyDescent="0.35">
      <c r="B37" s="10" t="s">
        <v>144</v>
      </c>
      <c r="C37" s="91">
        <v>6.0978038962527775E-3</v>
      </c>
      <c r="D37" s="67">
        <v>30000</v>
      </c>
      <c r="E37" s="68">
        <v>2021</v>
      </c>
      <c r="F37" s="68" t="s">
        <v>167</v>
      </c>
    </row>
    <row r="38" spans="2:6" x14ac:dyDescent="0.35">
      <c r="B38" s="10" t="s">
        <v>172</v>
      </c>
      <c r="C38" s="91">
        <v>4.0652025975018518E-4</v>
      </c>
      <c r="D38" s="67">
        <v>2000</v>
      </c>
      <c r="E38" s="68">
        <v>2021</v>
      </c>
      <c r="F38" s="68" t="s">
        <v>167</v>
      </c>
    </row>
    <row r="39" spans="2:6" x14ac:dyDescent="0.35">
      <c r="B39" s="65" t="s">
        <v>134</v>
      </c>
      <c r="C39" s="69">
        <f>SUM(C29:C38)</f>
        <v>1</v>
      </c>
      <c r="D39" s="70">
        <f>SUM(D29:D38)</f>
        <v>4919804</v>
      </c>
      <c r="E39" s="34"/>
      <c r="F39" s="34"/>
    </row>
    <row r="42" spans="2:6" x14ac:dyDescent="0.35">
      <c r="B42" s="4" t="s">
        <v>535</v>
      </c>
      <c r="C42" s="64" t="s">
        <v>541</v>
      </c>
      <c r="D42" s="66" t="s">
        <v>566</v>
      </c>
      <c r="E42" s="64" t="s">
        <v>162</v>
      </c>
      <c r="F42" s="64" t="s">
        <v>127</v>
      </c>
    </row>
    <row r="43" spans="2:6" x14ac:dyDescent="0.35">
      <c r="B43" s="3" t="s">
        <v>169</v>
      </c>
      <c r="C43" s="80">
        <v>0.44799999999999995</v>
      </c>
      <c r="D43" s="71">
        <v>488427.75399039988</v>
      </c>
      <c r="E43" s="50" t="s">
        <v>129</v>
      </c>
      <c r="F43" s="50" t="s">
        <v>544</v>
      </c>
    </row>
    <row r="44" spans="2:6" x14ac:dyDescent="0.35">
      <c r="B44" s="3" t="s">
        <v>154</v>
      </c>
      <c r="C44" s="80">
        <v>0.23399999999999999</v>
      </c>
      <c r="D44" s="71">
        <v>255116.28221819995</v>
      </c>
      <c r="E44" s="50" t="s">
        <v>129</v>
      </c>
      <c r="F44" s="50" t="s">
        <v>544</v>
      </c>
    </row>
    <row r="45" spans="2:6" x14ac:dyDescent="0.35">
      <c r="B45" s="3" t="s">
        <v>209</v>
      </c>
      <c r="C45" s="80">
        <v>0.1</v>
      </c>
      <c r="D45" s="71">
        <v>109024.05222999999</v>
      </c>
      <c r="E45" s="50" t="s">
        <v>129</v>
      </c>
      <c r="F45" s="50" t="s">
        <v>544</v>
      </c>
    </row>
    <row r="46" spans="2:6" x14ac:dyDescent="0.35">
      <c r="B46" s="3" t="s">
        <v>170</v>
      </c>
      <c r="C46" s="80">
        <v>4.9000000000000002E-2</v>
      </c>
      <c r="D46" s="71">
        <v>53421.785592699991</v>
      </c>
      <c r="E46" s="50" t="s">
        <v>129</v>
      </c>
      <c r="F46" s="50" t="s">
        <v>544</v>
      </c>
    </row>
    <row r="47" spans="2:6" x14ac:dyDescent="0.35">
      <c r="B47" s="3" t="s">
        <v>137</v>
      </c>
      <c r="C47" s="80">
        <v>3.3000000000000002E-2</v>
      </c>
      <c r="D47" s="71">
        <v>35977.937235899997</v>
      </c>
      <c r="E47" s="50" t="s">
        <v>129</v>
      </c>
      <c r="F47" s="50" t="s">
        <v>544</v>
      </c>
    </row>
    <row r="48" spans="2:6" x14ac:dyDescent="0.35">
      <c r="B48" s="3" t="s">
        <v>161</v>
      </c>
      <c r="C48" s="80">
        <v>0.03</v>
      </c>
      <c r="D48" s="71">
        <v>32707.215668999994</v>
      </c>
      <c r="E48" s="50" t="s">
        <v>129</v>
      </c>
      <c r="F48" s="50" t="s">
        <v>544</v>
      </c>
    </row>
    <row r="49" spans="2:6" x14ac:dyDescent="0.35">
      <c r="B49" s="3" t="s">
        <v>210</v>
      </c>
      <c r="C49" s="80">
        <v>1.9E-2</v>
      </c>
      <c r="D49" s="71">
        <v>20714.569923699997</v>
      </c>
      <c r="E49" s="50" t="s">
        <v>129</v>
      </c>
      <c r="F49" s="50" t="s">
        <v>544</v>
      </c>
    </row>
    <row r="50" spans="2:6" x14ac:dyDescent="0.35">
      <c r="B50" s="3" t="s">
        <v>211</v>
      </c>
      <c r="C50" s="80">
        <v>1.7000000000000001E-2</v>
      </c>
      <c r="D50" s="71">
        <v>18534.0888791</v>
      </c>
      <c r="E50" s="50" t="s">
        <v>129</v>
      </c>
      <c r="F50" s="50" t="s">
        <v>544</v>
      </c>
    </row>
    <row r="51" spans="2:6" x14ac:dyDescent="0.35">
      <c r="B51" s="3" t="s">
        <v>212</v>
      </c>
      <c r="C51" s="80">
        <v>1.3000000000000001E-2</v>
      </c>
      <c r="D51" s="71">
        <v>14173.126789899999</v>
      </c>
      <c r="E51" s="50" t="s">
        <v>129</v>
      </c>
      <c r="F51" s="50" t="s">
        <v>544</v>
      </c>
    </row>
    <row r="52" spans="2:6" x14ac:dyDescent="0.35">
      <c r="B52" s="3" t="s">
        <v>144</v>
      </c>
      <c r="C52" s="80">
        <v>6.9999999999999993E-3</v>
      </c>
      <c r="D52" s="71">
        <v>7631.6836560999982</v>
      </c>
      <c r="E52" s="50" t="s">
        <v>129</v>
      </c>
      <c r="F52" s="50" t="s">
        <v>544</v>
      </c>
    </row>
    <row r="53" spans="2:6" x14ac:dyDescent="0.35">
      <c r="B53" s="3" t="s">
        <v>565</v>
      </c>
      <c r="C53" s="80">
        <v>0.05</v>
      </c>
      <c r="D53" s="71">
        <v>54512.026114999993</v>
      </c>
      <c r="E53" s="50" t="s">
        <v>129</v>
      </c>
      <c r="F53" s="50" t="s">
        <v>544</v>
      </c>
    </row>
    <row r="54" spans="2:6" x14ac:dyDescent="0.35">
      <c r="B54" s="65" t="s">
        <v>134</v>
      </c>
      <c r="C54" s="69">
        <f>SUM(C43:C53)</f>
        <v>1</v>
      </c>
      <c r="D54" s="72">
        <v>1090240.5222999998</v>
      </c>
      <c r="E54" s="34"/>
      <c r="F54" s="34"/>
    </row>
    <row r="55" spans="2:6" x14ac:dyDescent="0.35">
      <c r="D55" s="11"/>
    </row>
    <row r="56" spans="2:6" x14ac:dyDescent="0.35">
      <c r="B56" s="77" t="s">
        <v>558</v>
      </c>
      <c r="D56" s="11"/>
    </row>
    <row r="59" spans="2:6" x14ac:dyDescent="0.35">
      <c r="B59" s="2" t="s">
        <v>536</v>
      </c>
    </row>
    <row r="61" spans="2:6" x14ac:dyDescent="0.35">
      <c r="B61" s="4" t="s">
        <v>538</v>
      </c>
      <c r="C61" s="64" t="s">
        <v>548</v>
      </c>
      <c r="D61" s="74" t="s">
        <v>537</v>
      </c>
      <c r="E61" s="74" t="s">
        <v>549</v>
      </c>
      <c r="F61" s="74" t="s">
        <v>127</v>
      </c>
    </row>
    <row r="62" spans="2:6" x14ac:dyDescent="0.35">
      <c r="B62" s="73" t="s">
        <v>20</v>
      </c>
      <c r="C62" s="92">
        <v>1.7078461538461538</v>
      </c>
      <c r="D62" s="75" t="s">
        <v>567</v>
      </c>
      <c r="E62" s="75" t="s">
        <v>568</v>
      </c>
      <c r="F62" s="76" t="s">
        <v>569</v>
      </c>
    </row>
    <row r="63" spans="2:6" x14ac:dyDescent="0.35">
      <c r="F63"/>
    </row>
    <row r="64" spans="2:6" ht="15" thickBot="1" x14ac:dyDescent="0.4">
      <c r="F64"/>
    </row>
    <row r="65" spans="2:6" x14ac:dyDescent="0.35">
      <c r="B65" s="35" t="s">
        <v>490</v>
      </c>
      <c r="C65" s="81"/>
      <c r="D65" s="93"/>
      <c r="F65"/>
    </row>
    <row r="66" spans="2:6" x14ac:dyDescent="0.35">
      <c r="B66" s="84"/>
      <c r="D66" s="94"/>
      <c r="F66"/>
    </row>
    <row r="67" spans="2:6" x14ac:dyDescent="0.35">
      <c r="B67" s="86" t="s">
        <v>552</v>
      </c>
      <c r="D67" s="94"/>
    </row>
    <row r="68" spans="2:6" x14ac:dyDescent="0.35">
      <c r="B68" s="86" t="s">
        <v>570</v>
      </c>
      <c r="D68" s="94"/>
    </row>
    <row r="69" spans="2:6" ht="15" thickBot="1" x14ac:dyDescent="0.4">
      <c r="B69" s="87" t="s">
        <v>551</v>
      </c>
      <c r="C69" s="88"/>
      <c r="D69"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19BD3-5CD5-41DB-8FD7-1CB483D918E5}">
  <sheetPr>
    <tabColor theme="4" tint="0.59999389629810485"/>
  </sheetPr>
  <dimension ref="B1:F67"/>
  <sheetViews>
    <sheetView showGridLines="0" topLeftCell="A42" zoomScaleNormal="100" workbookViewId="0">
      <selection activeCell="B66" sqref="B66"/>
    </sheetView>
  </sheetViews>
  <sheetFormatPr baseColWidth="10" defaultColWidth="11.453125" defaultRowHeight="14.5" x14ac:dyDescent="0.35"/>
  <cols>
    <col min="1" max="1" width="1.453125" style="1" customWidth="1"/>
    <col min="2" max="2" width="45.453125" style="1" customWidth="1"/>
    <col min="3" max="3" width="17.2695312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571</v>
      </c>
      <c r="C4" s="64" t="s">
        <v>541</v>
      </c>
      <c r="D4" s="64" t="s">
        <v>162</v>
      </c>
      <c r="E4" s="64" t="s">
        <v>127</v>
      </c>
      <c r="F4"/>
    </row>
    <row r="5" spans="2:6" x14ac:dyDescent="0.35">
      <c r="B5" s="3" t="s">
        <v>290</v>
      </c>
      <c r="C5" s="80">
        <v>0.32</v>
      </c>
      <c r="D5" s="50" t="s">
        <v>572</v>
      </c>
      <c r="E5" s="50" t="s">
        <v>665</v>
      </c>
      <c r="F5"/>
    </row>
    <row r="6" spans="2:6" x14ac:dyDescent="0.35">
      <c r="B6" s="3" t="s">
        <v>291</v>
      </c>
      <c r="C6" s="80">
        <v>0.25</v>
      </c>
      <c r="D6" s="50" t="s">
        <v>572</v>
      </c>
      <c r="E6" s="50" t="s">
        <v>665</v>
      </c>
      <c r="F6"/>
    </row>
    <row r="7" spans="2:6" x14ac:dyDescent="0.35">
      <c r="B7" s="3" t="s">
        <v>292</v>
      </c>
      <c r="C7" s="80">
        <v>0.13</v>
      </c>
      <c r="D7" s="50" t="s">
        <v>572</v>
      </c>
      <c r="E7" s="50" t="s">
        <v>665</v>
      </c>
      <c r="F7"/>
    </row>
    <row r="8" spans="2:6" x14ac:dyDescent="0.35">
      <c r="B8" s="3" t="s">
        <v>293</v>
      </c>
      <c r="C8" s="80">
        <v>0.09</v>
      </c>
      <c r="D8" s="50" t="s">
        <v>572</v>
      </c>
      <c r="E8" s="50" t="s">
        <v>665</v>
      </c>
      <c r="F8"/>
    </row>
    <row r="9" spans="2:6" x14ac:dyDescent="0.35">
      <c r="B9" s="3" t="s">
        <v>294</v>
      </c>
      <c r="C9" s="80">
        <v>0.09</v>
      </c>
      <c r="D9" s="50" t="s">
        <v>572</v>
      </c>
      <c r="E9" s="50" t="s">
        <v>665</v>
      </c>
      <c r="F9"/>
    </row>
    <row r="10" spans="2:6" x14ac:dyDescent="0.35">
      <c r="B10" s="3" t="s">
        <v>295</v>
      </c>
      <c r="C10" s="80">
        <v>0.03</v>
      </c>
      <c r="D10" s="50" t="s">
        <v>572</v>
      </c>
      <c r="E10" s="50" t="s">
        <v>665</v>
      </c>
      <c r="F10"/>
    </row>
    <row r="11" spans="2:6" x14ac:dyDescent="0.35">
      <c r="B11" s="3" t="s">
        <v>174</v>
      </c>
      <c r="C11" s="80">
        <v>0.09</v>
      </c>
      <c r="D11" s="50" t="s">
        <v>572</v>
      </c>
      <c r="E11" s="50" t="s">
        <v>665</v>
      </c>
      <c r="F11"/>
    </row>
    <row r="12" spans="2:6" x14ac:dyDescent="0.35">
      <c r="B12" s="65" t="s">
        <v>134</v>
      </c>
      <c r="C12" s="79">
        <f>SUM(C5:C11)</f>
        <v>1</v>
      </c>
      <c r="D12" s="9"/>
      <c r="E12" s="5"/>
      <c r="F12" s="5"/>
    </row>
    <row r="15" spans="2:6" x14ac:dyDescent="0.35">
      <c r="B15" s="63" t="s">
        <v>533</v>
      </c>
    </row>
    <row r="17" spans="2:6" x14ac:dyDescent="0.35">
      <c r="B17" s="4" t="s">
        <v>532</v>
      </c>
      <c r="C17" s="64" t="s">
        <v>0</v>
      </c>
      <c r="D17"/>
    </row>
    <row r="18" spans="2:6" x14ac:dyDescent="0.35">
      <c r="B18" s="3" t="s">
        <v>43</v>
      </c>
      <c r="C18" s="50">
        <v>250410</v>
      </c>
      <c r="D18"/>
    </row>
    <row r="19" spans="2:6" ht="29" x14ac:dyDescent="0.35">
      <c r="B19" s="3" t="s">
        <v>44</v>
      </c>
      <c r="C19" s="50">
        <v>250490</v>
      </c>
      <c r="D19"/>
    </row>
    <row r="20" spans="2:6" x14ac:dyDescent="0.35">
      <c r="B20" s="3" t="s">
        <v>45</v>
      </c>
      <c r="C20" s="50">
        <v>380110</v>
      </c>
      <c r="D20"/>
    </row>
    <row r="23" spans="2:6" x14ac:dyDescent="0.35">
      <c r="B23" s="63" t="s">
        <v>534</v>
      </c>
    </row>
    <row r="25" spans="2:6" x14ac:dyDescent="0.35">
      <c r="B25" s="4" t="s">
        <v>573</v>
      </c>
      <c r="C25" s="64" t="s">
        <v>541</v>
      </c>
      <c r="D25" s="66" t="s">
        <v>583</v>
      </c>
      <c r="E25" s="64" t="s">
        <v>162</v>
      </c>
      <c r="F25" s="64" t="s">
        <v>127</v>
      </c>
    </row>
    <row r="26" spans="2:6" x14ac:dyDescent="0.35">
      <c r="B26" s="10" t="s">
        <v>137</v>
      </c>
      <c r="C26" s="91">
        <v>0.62958806952022817</v>
      </c>
      <c r="D26" s="67">
        <v>735000</v>
      </c>
      <c r="E26" s="68">
        <v>2021</v>
      </c>
      <c r="F26" s="68" t="s">
        <v>167</v>
      </c>
    </row>
    <row r="27" spans="2:6" x14ac:dyDescent="0.35">
      <c r="B27" s="10" t="s">
        <v>191</v>
      </c>
      <c r="C27" s="91">
        <v>7.5473475925751432E-2</v>
      </c>
      <c r="D27" s="67">
        <v>88110</v>
      </c>
      <c r="E27" s="68">
        <v>2021</v>
      </c>
      <c r="F27" s="68" t="s">
        <v>167</v>
      </c>
    </row>
    <row r="28" spans="2:6" x14ac:dyDescent="0.35">
      <c r="B28" s="10" t="s">
        <v>138</v>
      </c>
      <c r="C28" s="91">
        <v>6.7288831021988474E-2</v>
      </c>
      <c r="D28" s="67">
        <v>78555</v>
      </c>
      <c r="E28" s="68">
        <v>2021</v>
      </c>
      <c r="F28" s="68" t="s">
        <v>167</v>
      </c>
    </row>
    <row r="29" spans="2:6" x14ac:dyDescent="0.35">
      <c r="B29" s="10" t="s">
        <v>189</v>
      </c>
      <c r="C29" s="91">
        <v>6.6056208937580838E-2</v>
      </c>
      <c r="D29" s="67">
        <v>77116</v>
      </c>
      <c r="E29" s="68">
        <v>2021</v>
      </c>
      <c r="F29" s="68" t="s">
        <v>167</v>
      </c>
    </row>
    <row r="30" spans="2:6" x14ac:dyDescent="0.35">
      <c r="B30" s="10" t="s">
        <v>140</v>
      </c>
      <c r="C30" s="91">
        <v>4.9051334983682103E-2</v>
      </c>
      <c r="D30" s="67">
        <v>57264</v>
      </c>
      <c r="E30" s="68">
        <v>2021</v>
      </c>
      <c r="F30" s="68" t="s">
        <v>167</v>
      </c>
    </row>
    <row r="31" spans="2:6" x14ac:dyDescent="0.35">
      <c r="B31" s="10" t="s">
        <v>296</v>
      </c>
      <c r="C31" s="91">
        <v>2.5697472225315435E-2</v>
      </c>
      <c r="D31" s="67">
        <v>30000</v>
      </c>
      <c r="E31" s="68">
        <v>2021</v>
      </c>
      <c r="F31" s="68" t="s">
        <v>167</v>
      </c>
    </row>
    <row r="32" spans="2:6" x14ac:dyDescent="0.35">
      <c r="B32" s="10" t="s">
        <v>169</v>
      </c>
      <c r="C32" s="91">
        <v>2.4272119099217941E-2</v>
      </c>
      <c r="D32" s="67">
        <v>28336</v>
      </c>
      <c r="E32" s="68">
        <v>2021</v>
      </c>
      <c r="F32" s="68" t="s">
        <v>167</v>
      </c>
    </row>
    <row r="33" spans="2:6" x14ac:dyDescent="0.35">
      <c r="B33" s="10" t="s">
        <v>297</v>
      </c>
      <c r="C33" s="91">
        <v>1.5672888310219884E-2</v>
      </c>
      <c r="D33" s="67">
        <v>18297</v>
      </c>
      <c r="E33" s="68">
        <v>2021</v>
      </c>
      <c r="F33" s="68" t="s">
        <v>167</v>
      </c>
    </row>
    <row r="34" spans="2:6" x14ac:dyDescent="0.35">
      <c r="B34" s="10" t="s">
        <v>141</v>
      </c>
      <c r="C34" s="91">
        <v>1.4818875649931902E-2</v>
      </c>
      <c r="D34" s="67">
        <v>17300</v>
      </c>
      <c r="E34" s="68">
        <v>2021</v>
      </c>
      <c r="F34" s="68" t="s">
        <v>167</v>
      </c>
    </row>
    <row r="35" spans="2:6" x14ac:dyDescent="0.35">
      <c r="B35" s="10" t="s">
        <v>159</v>
      </c>
      <c r="C35" s="91">
        <v>1.4561900927678747E-2</v>
      </c>
      <c r="D35" s="67">
        <v>17000</v>
      </c>
      <c r="E35" s="68">
        <v>2021</v>
      </c>
      <c r="F35" s="68" t="s">
        <v>167</v>
      </c>
    </row>
    <row r="36" spans="2:6" x14ac:dyDescent="0.35">
      <c r="B36" s="10" t="s">
        <v>150</v>
      </c>
      <c r="C36" s="91">
        <v>6.5956845378309622E-3</v>
      </c>
      <c r="D36" s="67">
        <v>7700</v>
      </c>
      <c r="E36" s="68">
        <v>2021</v>
      </c>
      <c r="F36" s="68" t="s">
        <v>167</v>
      </c>
    </row>
    <row r="37" spans="2:6" x14ac:dyDescent="0.35">
      <c r="B37" s="10" t="s">
        <v>153</v>
      </c>
      <c r="C37" s="91">
        <v>5.3904730904636685E-3</v>
      </c>
      <c r="D37" s="67">
        <v>6293</v>
      </c>
      <c r="E37" s="68">
        <v>2021</v>
      </c>
      <c r="F37" s="68" t="s">
        <v>167</v>
      </c>
    </row>
    <row r="38" spans="2:6" x14ac:dyDescent="0.35">
      <c r="B38" s="10" t="s">
        <v>298</v>
      </c>
      <c r="C38" s="91">
        <v>2.7410637040336467E-3</v>
      </c>
      <c r="D38" s="67">
        <v>3200</v>
      </c>
      <c r="E38" s="68">
        <v>2021</v>
      </c>
      <c r="F38" s="68" t="s">
        <v>167</v>
      </c>
    </row>
    <row r="39" spans="2:6" x14ac:dyDescent="0.35">
      <c r="B39" s="10" t="s">
        <v>173</v>
      </c>
      <c r="C39" s="91">
        <v>1.523003520553695E-3</v>
      </c>
      <c r="D39" s="67">
        <v>1778</v>
      </c>
      <c r="E39" s="68">
        <v>2021</v>
      </c>
      <c r="F39" s="68" t="s">
        <v>167</v>
      </c>
    </row>
    <row r="40" spans="2:6" x14ac:dyDescent="0.35">
      <c r="B40" s="10" t="s">
        <v>197</v>
      </c>
      <c r="C40" s="91">
        <v>1.0278988890126174E-3</v>
      </c>
      <c r="D40" s="67">
        <v>1200</v>
      </c>
      <c r="E40" s="68">
        <v>2021</v>
      </c>
      <c r="F40" s="68" t="s">
        <v>167</v>
      </c>
    </row>
    <row r="41" spans="2:6" x14ac:dyDescent="0.35">
      <c r="B41" s="10" t="s">
        <v>299</v>
      </c>
      <c r="C41" s="91">
        <v>2.406996565104546E-4</v>
      </c>
      <c r="D41" s="67">
        <v>281</v>
      </c>
      <c r="E41" s="68">
        <v>2021</v>
      </c>
      <c r="F41" s="68" t="s">
        <v>167</v>
      </c>
    </row>
    <row r="42" spans="2:6" x14ac:dyDescent="0.35">
      <c r="B42" s="65" t="s">
        <v>134</v>
      </c>
      <c r="C42" s="69">
        <f>SUM(C26:C41)</f>
        <v>0.99999999999999989</v>
      </c>
      <c r="D42" s="70">
        <f>SUM(D26:D41)</f>
        <v>1167430</v>
      </c>
      <c r="E42" s="34"/>
      <c r="F42" s="34"/>
    </row>
    <row r="45" spans="2:6" x14ac:dyDescent="0.35">
      <c r="B45" s="4" t="s">
        <v>574</v>
      </c>
      <c r="C45" s="64" t="s">
        <v>541</v>
      </c>
      <c r="D45" s="66" t="s">
        <v>583</v>
      </c>
      <c r="E45" s="64" t="s">
        <v>162</v>
      </c>
      <c r="F45" s="64" t="s">
        <v>127</v>
      </c>
    </row>
    <row r="46" spans="2:6" x14ac:dyDescent="0.35">
      <c r="B46" s="3" t="s">
        <v>137</v>
      </c>
      <c r="C46" s="80">
        <v>0.61</v>
      </c>
      <c r="D46" s="71">
        <v>1012600</v>
      </c>
      <c r="E46" s="50">
        <v>2020</v>
      </c>
      <c r="F46" s="50" t="s">
        <v>576</v>
      </c>
    </row>
    <row r="47" spans="2:6" x14ac:dyDescent="0.35">
      <c r="B47" s="3" t="s">
        <v>181</v>
      </c>
      <c r="C47" s="80">
        <v>0.15</v>
      </c>
      <c r="D47" s="71">
        <v>249000</v>
      </c>
      <c r="E47" s="50">
        <v>2020</v>
      </c>
      <c r="F47" s="50" t="s">
        <v>576</v>
      </c>
    </row>
    <row r="48" spans="2:6" x14ac:dyDescent="0.35">
      <c r="B48" s="3" t="s">
        <v>154</v>
      </c>
      <c r="C48" s="80">
        <v>7.0000000000000007E-2</v>
      </c>
      <c r="D48" s="71">
        <v>116200.00000000001</v>
      </c>
      <c r="E48" s="50">
        <v>2020</v>
      </c>
      <c r="F48" s="50" t="s">
        <v>576</v>
      </c>
    </row>
    <row r="49" spans="2:6" x14ac:dyDescent="0.35">
      <c r="B49" s="3" t="s">
        <v>140</v>
      </c>
      <c r="C49" s="80">
        <v>7.0000000000000007E-2</v>
      </c>
      <c r="D49" s="71">
        <v>116200.00000000001</v>
      </c>
      <c r="E49" s="50">
        <v>2020</v>
      </c>
      <c r="F49" s="50" t="s">
        <v>576</v>
      </c>
    </row>
    <row r="50" spans="2:6" x14ac:dyDescent="0.35">
      <c r="B50" s="3" t="s">
        <v>141</v>
      </c>
      <c r="C50" s="80">
        <v>0.04</v>
      </c>
      <c r="D50" s="71">
        <v>66400</v>
      </c>
      <c r="E50" s="50">
        <v>2020</v>
      </c>
      <c r="F50" s="50" t="s">
        <v>576</v>
      </c>
    </row>
    <row r="51" spans="2:6" x14ac:dyDescent="0.35">
      <c r="B51" s="3" t="s">
        <v>575</v>
      </c>
      <c r="C51" s="80">
        <v>0.04</v>
      </c>
      <c r="D51" s="71">
        <v>66400</v>
      </c>
      <c r="E51" s="50">
        <v>2020</v>
      </c>
      <c r="F51" s="50" t="s">
        <v>576</v>
      </c>
    </row>
    <row r="52" spans="2:6" x14ac:dyDescent="0.35">
      <c r="B52" s="3" t="s">
        <v>565</v>
      </c>
      <c r="C52" s="80">
        <v>0.02</v>
      </c>
      <c r="D52" s="71">
        <v>49800</v>
      </c>
      <c r="E52" s="50">
        <v>2020</v>
      </c>
      <c r="F52" s="50" t="s">
        <v>576</v>
      </c>
    </row>
    <row r="53" spans="2:6" x14ac:dyDescent="0.35">
      <c r="B53" s="65" t="s">
        <v>134</v>
      </c>
      <c r="C53" s="69">
        <f>SUM(C46:C52)</f>
        <v>1.0000000000000002</v>
      </c>
      <c r="D53" s="72">
        <f>1.66*10^6</f>
        <v>1660000</v>
      </c>
      <c r="E53" s="34"/>
      <c r="F53" s="34"/>
    </row>
    <row r="54" spans="2:6" x14ac:dyDescent="0.35">
      <c r="D54" s="11"/>
    </row>
    <row r="56" spans="2:6" x14ac:dyDescent="0.35">
      <c r="B56" s="2" t="s">
        <v>536</v>
      </c>
    </row>
    <row r="58" spans="2:6" x14ac:dyDescent="0.35">
      <c r="B58" s="4" t="s">
        <v>538</v>
      </c>
      <c r="C58" s="64" t="s">
        <v>548</v>
      </c>
      <c r="D58" s="74" t="s">
        <v>537</v>
      </c>
      <c r="E58" s="74" t="s">
        <v>549</v>
      </c>
      <c r="F58" s="74" t="s">
        <v>127</v>
      </c>
    </row>
    <row r="59" spans="2:6" ht="29" x14ac:dyDescent="0.35">
      <c r="B59" s="73" t="s">
        <v>578</v>
      </c>
      <c r="C59" s="92">
        <v>1.87</v>
      </c>
      <c r="D59" s="75" t="s">
        <v>579</v>
      </c>
      <c r="E59" s="75" t="s">
        <v>580</v>
      </c>
      <c r="F59" s="76" t="s">
        <v>581</v>
      </c>
    </row>
    <row r="60" spans="2:6" x14ac:dyDescent="0.35">
      <c r="F60"/>
    </row>
    <row r="61" spans="2:6" ht="15" thickBot="1" x14ac:dyDescent="0.4">
      <c r="F61"/>
    </row>
    <row r="62" spans="2:6" x14ac:dyDescent="0.35">
      <c r="B62" s="35" t="s">
        <v>490</v>
      </c>
      <c r="C62" s="81"/>
      <c r="D62" s="82"/>
      <c r="E62" s="81"/>
      <c r="F62" s="37"/>
    </row>
    <row r="63" spans="2:6" x14ac:dyDescent="0.35">
      <c r="B63" s="84"/>
      <c r="F63" s="39"/>
    </row>
    <row r="64" spans="2:6" x14ac:dyDescent="0.35">
      <c r="B64" s="86" t="s">
        <v>582</v>
      </c>
      <c r="F64" s="85"/>
    </row>
    <row r="65" spans="2:6" x14ac:dyDescent="0.35">
      <c r="B65" s="86" t="s">
        <v>577</v>
      </c>
      <c r="F65" s="85"/>
    </row>
    <row r="66" spans="2:6" x14ac:dyDescent="0.35">
      <c r="B66" s="86" t="s">
        <v>786</v>
      </c>
      <c r="F66" s="85"/>
    </row>
    <row r="67" spans="2:6" ht="15" thickBot="1" x14ac:dyDescent="0.4">
      <c r="B67" s="87" t="s">
        <v>551</v>
      </c>
      <c r="C67" s="88"/>
      <c r="D67" s="89"/>
      <c r="E67" s="88"/>
      <c r="F67" s="9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3E70-69D0-462D-AEFC-5BD87CDDAFE6}">
  <sheetPr>
    <tabColor theme="4" tint="0.59999389629810485"/>
  </sheetPr>
  <dimension ref="B1:F105"/>
  <sheetViews>
    <sheetView showGridLines="0" topLeftCell="A88" zoomScaleNormal="100" workbookViewId="0">
      <selection activeCell="F98" sqref="F98"/>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307</v>
      </c>
      <c r="C5" s="80">
        <v>0.21</v>
      </c>
      <c r="D5" s="50" t="s">
        <v>129</v>
      </c>
      <c r="E5" s="50" t="s">
        <v>556</v>
      </c>
      <c r="F5"/>
    </row>
    <row r="6" spans="2:6" x14ac:dyDescent="0.35">
      <c r="B6" s="3" t="s">
        <v>145</v>
      </c>
      <c r="C6" s="80">
        <v>0.19</v>
      </c>
      <c r="D6" s="50" t="s">
        <v>129</v>
      </c>
      <c r="E6" s="50" t="s">
        <v>556</v>
      </c>
      <c r="F6"/>
    </row>
    <row r="7" spans="2:6" x14ac:dyDescent="0.35">
      <c r="B7" s="3" t="s">
        <v>146</v>
      </c>
      <c r="C7" s="80">
        <v>0.19</v>
      </c>
      <c r="D7" s="50" t="s">
        <v>129</v>
      </c>
      <c r="E7" s="50" t="s">
        <v>556</v>
      </c>
      <c r="F7"/>
    </row>
    <row r="8" spans="2:6" x14ac:dyDescent="0.35">
      <c r="B8" s="3" t="s">
        <v>147</v>
      </c>
      <c r="C8" s="80">
        <v>0.15</v>
      </c>
      <c r="D8" s="50" t="s">
        <v>129</v>
      </c>
      <c r="E8" s="50" t="s">
        <v>556</v>
      </c>
      <c r="F8"/>
    </row>
    <row r="9" spans="2:6" x14ac:dyDescent="0.35">
      <c r="B9" s="3" t="s">
        <v>148</v>
      </c>
      <c r="C9" s="80">
        <v>0.11</v>
      </c>
      <c r="D9" s="50" t="s">
        <v>129</v>
      </c>
      <c r="E9" s="50" t="s">
        <v>556</v>
      </c>
      <c r="F9"/>
    </row>
    <row r="10" spans="2:6" x14ac:dyDescent="0.35">
      <c r="B10" s="3" t="s">
        <v>149</v>
      </c>
      <c r="C10" s="80">
        <v>0.05</v>
      </c>
      <c r="D10" s="50" t="s">
        <v>129</v>
      </c>
      <c r="E10" s="50" t="s">
        <v>556</v>
      </c>
      <c r="F10"/>
    </row>
    <row r="11" spans="2:6" x14ac:dyDescent="0.35">
      <c r="B11" s="3" t="s">
        <v>130</v>
      </c>
      <c r="C11" s="80">
        <v>0.03</v>
      </c>
      <c r="D11" s="50" t="s">
        <v>129</v>
      </c>
      <c r="E11" s="50" t="s">
        <v>556</v>
      </c>
      <c r="F11"/>
    </row>
    <row r="12" spans="2:6" x14ac:dyDescent="0.35">
      <c r="B12" s="3" t="s">
        <v>131</v>
      </c>
      <c r="C12" s="80">
        <v>0.03</v>
      </c>
      <c r="D12" s="50" t="s">
        <v>129</v>
      </c>
      <c r="E12" s="50" t="s">
        <v>556</v>
      </c>
      <c r="F12"/>
    </row>
    <row r="13" spans="2:6" x14ac:dyDescent="0.35">
      <c r="B13" s="3" t="s">
        <v>132</v>
      </c>
      <c r="C13" s="80">
        <v>0.02</v>
      </c>
      <c r="D13" s="50" t="s">
        <v>129</v>
      </c>
      <c r="E13" s="50" t="s">
        <v>556</v>
      </c>
      <c r="F13"/>
    </row>
    <row r="14" spans="2:6" x14ac:dyDescent="0.35">
      <c r="B14" s="3" t="s">
        <v>174</v>
      </c>
      <c r="C14" s="80">
        <v>0.02</v>
      </c>
      <c r="D14" s="50" t="s">
        <v>129</v>
      </c>
      <c r="E14" s="50" t="s">
        <v>556</v>
      </c>
      <c r="F14"/>
    </row>
    <row r="15" spans="2:6" x14ac:dyDescent="0.35">
      <c r="B15" s="65" t="s">
        <v>134</v>
      </c>
      <c r="C15" s="79">
        <f>SUM(C5:C14)</f>
        <v>1.0000000000000002</v>
      </c>
      <c r="D15" s="9"/>
      <c r="E15" s="5"/>
      <c r="F15" s="5"/>
    </row>
    <row r="18" spans="2:4" x14ac:dyDescent="0.35">
      <c r="B18" s="63" t="s">
        <v>533</v>
      </c>
    </row>
    <row r="20" spans="2:4" x14ac:dyDescent="0.35">
      <c r="B20" s="4" t="s">
        <v>532</v>
      </c>
      <c r="C20" s="64" t="s">
        <v>0</v>
      </c>
      <c r="D20"/>
    </row>
    <row r="21" spans="2:4" x14ac:dyDescent="0.35">
      <c r="B21" s="3" t="s">
        <v>2</v>
      </c>
      <c r="C21" s="50">
        <v>281810</v>
      </c>
      <c r="D21"/>
    </row>
    <row r="22" spans="2:4" x14ac:dyDescent="0.35">
      <c r="B22" s="3" t="s">
        <v>3</v>
      </c>
      <c r="C22" s="50">
        <v>281820</v>
      </c>
      <c r="D22"/>
    </row>
    <row r="23" spans="2:4" x14ac:dyDescent="0.35">
      <c r="B23" s="3" t="s">
        <v>4</v>
      </c>
      <c r="C23" s="50">
        <v>281830</v>
      </c>
      <c r="D23"/>
    </row>
    <row r="24" spans="2:4" x14ac:dyDescent="0.35">
      <c r="B24" s="3" t="s">
        <v>5</v>
      </c>
      <c r="C24" s="50">
        <v>282612</v>
      </c>
      <c r="D24"/>
    </row>
    <row r="25" spans="2:4" x14ac:dyDescent="0.35">
      <c r="B25" s="3" t="s">
        <v>6</v>
      </c>
      <c r="C25" s="50">
        <v>282732</v>
      </c>
      <c r="D25"/>
    </row>
    <row r="26" spans="2:4" x14ac:dyDescent="0.35">
      <c r="B26" s="3" t="s">
        <v>7</v>
      </c>
      <c r="C26" s="50">
        <v>283322</v>
      </c>
      <c r="D26"/>
    </row>
    <row r="27" spans="2:4" x14ac:dyDescent="0.35">
      <c r="B27" s="3" t="s">
        <v>8</v>
      </c>
      <c r="C27" s="50">
        <v>760110</v>
      </c>
      <c r="D27"/>
    </row>
    <row r="28" spans="2:4" x14ac:dyDescent="0.35">
      <c r="B28" s="3" t="s">
        <v>9</v>
      </c>
      <c r="C28" s="50">
        <v>760120</v>
      </c>
      <c r="D28"/>
    </row>
    <row r="31" spans="2:4" x14ac:dyDescent="0.35">
      <c r="B31" s="63" t="s">
        <v>534</v>
      </c>
    </row>
    <row r="33" spans="2:6" x14ac:dyDescent="0.35">
      <c r="B33" s="4" t="s">
        <v>531</v>
      </c>
      <c r="C33" s="64" t="s">
        <v>541</v>
      </c>
      <c r="D33" s="66" t="s">
        <v>591</v>
      </c>
      <c r="E33" s="64" t="s">
        <v>162</v>
      </c>
      <c r="F33" s="64" t="s">
        <v>127</v>
      </c>
    </row>
    <row r="34" spans="2:6" x14ac:dyDescent="0.35">
      <c r="B34" s="10" t="s">
        <v>135</v>
      </c>
      <c r="C34" s="91">
        <v>0.27186038419835457</v>
      </c>
      <c r="D34" s="67">
        <v>103266404</v>
      </c>
      <c r="E34" s="68">
        <v>2021</v>
      </c>
      <c r="F34" s="68" t="s">
        <v>167</v>
      </c>
    </row>
    <row r="35" spans="2:6" x14ac:dyDescent="0.35">
      <c r="B35" s="10" t="s">
        <v>136</v>
      </c>
      <c r="C35" s="91">
        <v>0.23019180274515733</v>
      </c>
      <c r="D35" s="67">
        <v>87438557</v>
      </c>
      <c r="E35" s="68">
        <v>2021</v>
      </c>
      <c r="F35" s="68" t="s">
        <v>167</v>
      </c>
    </row>
    <row r="36" spans="2:6" x14ac:dyDescent="0.35">
      <c r="B36" s="10" t="s">
        <v>137</v>
      </c>
      <c r="C36" s="91">
        <v>0.18007066731177598</v>
      </c>
      <c r="D36" s="67">
        <v>68400000</v>
      </c>
      <c r="E36" s="68">
        <v>2021</v>
      </c>
      <c r="F36" s="68" t="s">
        <v>167</v>
      </c>
    </row>
    <row r="37" spans="2:6" x14ac:dyDescent="0.35">
      <c r="B37" s="10" t="s">
        <v>138</v>
      </c>
      <c r="C37" s="91">
        <v>9.4641351777652358E-2</v>
      </c>
      <c r="D37" s="67">
        <v>35949600</v>
      </c>
      <c r="E37" s="68">
        <v>2021</v>
      </c>
      <c r="F37" s="68" t="s">
        <v>167</v>
      </c>
    </row>
    <row r="38" spans="2:6" x14ac:dyDescent="0.35">
      <c r="B38" s="10" t="s">
        <v>139</v>
      </c>
      <c r="C38" s="91">
        <v>6.7871864724849171E-2</v>
      </c>
      <c r="D38" s="67">
        <v>25781187</v>
      </c>
      <c r="E38" s="68">
        <v>2021</v>
      </c>
      <c r="F38" s="68" t="s">
        <v>167</v>
      </c>
    </row>
    <row r="39" spans="2:6" x14ac:dyDescent="0.35">
      <c r="B39" s="10" t="s">
        <v>140</v>
      </c>
      <c r="C39" s="91">
        <v>5.9217836941019314E-2</v>
      </c>
      <c r="D39" s="67">
        <v>22493947</v>
      </c>
      <c r="E39" s="68">
        <v>2021</v>
      </c>
      <c r="F39" s="68" t="s">
        <v>167</v>
      </c>
    </row>
    <row r="40" spans="2:6" x14ac:dyDescent="0.35">
      <c r="B40" s="10" t="s">
        <v>141</v>
      </c>
      <c r="C40" s="91">
        <v>1.7283098404997213E-2</v>
      </c>
      <c r="D40" s="67">
        <v>6565000</v>
      </c>
      <c r="E40" s="68">
        <v>2021</v>
      </c>
      <c r="F40" s="68" t="s">
        <v>167</v>
      </c>
    </row>
    <row r="41" spans="2:6" x14ac:dyDescent="0.35">
      <c r="B41" s="10" t="s">
        <v>142</v>
      </c>
      <c r="C41" s="91">
        <v>1.5662988921610266E-2</v>
      </c>
      <c r="D41" s="67">
        <v>5949600</v>
      </c>
      <c r="E41" s="68">
        <v>2021</v>
      </c>
      <c r="F41" s="68" t="s">
        <v>167</v>
      </c>
    </row>
    <row r="42" spans="2:6" x14ac:dyDescent="0.35">
      <c r="B42" s="10" t="s">
        <v>143</v>
      </c>
      <c r="C42" s="91">
        <v>1.4447775178465301E-2</v>
      </c>
      <c r="D42" s="67">
        <v>5488000</v>
      </c>
      <c r="E42" s="68">
        <v>2021</v>
      </c>
      <c r="F42" s="68" t="s">
        <v>167</v>
      </c>
    </row>
    <row r="43" spans="2:6" x14ac:dyDescent="0.35">
      <c r="B43" s="10" t="s">
        <v>144</v>
      </c>
      <c r="C43" s="91">
        <v>1.1504778117239652E-2</v>
      </c>
      <c r="D43" s="67">
        <v>4370100</v>
      </c>
      <c r="E43" s="68">
        <v>2021</v>
      </c>
      <c r="F43" s="68" t="s">
        <v>167</v>
      </c>
    </row>
    <row r="44" spans="2:6" x14ac:dyDescent="0.35">
      <c r="B44" s="3" t="s">
        <v>565</v>
      </c>
      <c r="C44" s="91">
        <v>3.7247451678878864E-2</v>
      </c>
      <c r="D44" s="67">
        <v>14148477</v>
      </c>
      <c r="E44" s="68">
        <v>2021</v>
      </c>
      <c r="F44" s="68" t="s">
        <v>167</v>
      </c>
    </row>
    <row r="45" spans="2:6" x14ac:dyDescent="0.35">
      <c r="B45" s="65" t="s">
        <v>134</v>
      </c>
      <c r="C45" s="69">
        <f>SUM(C34:C44)</f>
        <v>1</v>
      </c>
      <c r="D45" s="70">
        <f>SUM(D34:D44)</f>
        <v>379850872</v>
      </c>
      <c r="E45" s="34"/>
      <c r="F45" s="34"/>
    </row>
    <row r="48" spans="2:6" x14ac:dyDescent="0.35">
      <c r="B48" s="4" t="s">
        <v>535</v>
      </c>
      <c r="C48" s="64" t="s">
        <v>541</v>
      </c>
      <c r="D48" s="66" t="s">
        <v>596</v>
      </c>
      <c r="E48" s="64" t="s">
        <v>162</v>
      </c>
      <c r="F48" s="64" t="s">
        <v>127</v>
      </c>
    </row>
    <row r="49" spans="2:6" x14ac:dyDescent="0.35">
      <c r="B49" s="3" t="s">
        <v>137</v>
      </c>
      <c r="C49" s="80">
        <v>0.56899465891420453</v>
      </c>
      <c r="D49" s="71">
        <v>38503200</v>
      </c>
      <c r="E49" s="68">
        <v>2021</v>
      </c>
      <c r="F49" s="68" t="s">
        <v>167</v>
      </c>
    </row>
    <row r="50" spans="2:6" x14ac:dyDescent="0.35">
      <c r="B50" s="3" t="s">
        <v>140</v>
      </c>
      <c r="C50" s="80">
        <v>5.9288749287430366E-2</v>
      </c>
      <c r="D50" s="71">
        <v>4012000</v>
      </c>
      <c r="E50" s="68">
        <v>2021</v>
      </c>
      <c r="F50" s="68" t="s">
        <v>167</v>
      </c>
    </row>
    <row r="51" spans="2:6" x14ac:dyDescent="0.35">
      <c r="B51" s="3" t="s">
        <v>141</v>
      </c>
      <c r="C51" s="80">
        <v>5.8091743132823719E-2</v>
      </c>
      <c r="D51" s="71">
        <v>3931000</v>
      </c>
      <c r="E51" s="68">
        <v>2021</v>
      </c>
      <c r="F51" s="68" t="s">
        <v>167</v>
      </c>
    </row>
    <row r="52" spans="2:6" x14ac:dyDescent="0.35">
      <c r="B52" s="3" t="s">
        <v>150</v>
      </c>
      <c r="C52" s="80">
        <v>4.6353753002213352E-2</v>
      </c>
      <c r="D52" s="71">
        <v>3136704</v>
      </c>
      <c r="E52" s="68">
        <v>2021</v>
      </c>
      <c r="F52" s="68" t="s">
        <v>167</v>
      </c>
    </row>
    <row r="53" spans="2:6" x14ac:dyDescent="0.35">
      <c r="B53" s="3" t="s">
        <v>151</v>
      </c>
      <c r="C53" s="80">
        <v>3.809257808156119E-2</v>
      </c>
      <c r="D53" s="71">
        <v>2577680</v>
      </c>
      <c r="E53" s="68">
        <v>2021</v>
      </c>
      <c r="F53" s="68" t="s">
        <v>167</v>
      </c>
    </row>
    <row r="54" spans="2:6" x14ac:dyDescent="0.35">
      <c r="B54" s="3" t="s">
        <v>152</v>
      </c>
      <c r="C54" s="80">
        <v>2.3071510403793769E-2</v>
      </c>
      <c r="D54" s="71">
        <v>1561222</v>
      </c>
      <c r="E54" s="68">
        <v>2021</v>
      </c>
      <c r="F54" s="68" t="s">
        <v>167</v>
      </c>
    </row>
    <row r="55" spans="2:6" x14ac:dyDescent="0.35">
      <c r="B55" s="3" t="s">
        <v>135</v>
      </c>
      <c r="C55" s="80">
        <v>2.3031713643616541E-2</v>
      </c>
      <c r="D55" s="71">
        <v>1558529</v>
      </c>
      <c r="E55" s="68">
        <v>2021</v>
      </c>
      <c r="F55" s="68" t="s">
        <v>167</v>
      </c>
    </row>
    <row r="56" spans="2:6" x14ac:dyDescent="0.35">
      <c r="B56" s="3" t="s">
        <v>153</v>
      </c>
      <c r="C56" s="80">
        <v>2.1147108731384062E-2</v>
      </c>
      <c r="D56" s="71">
        <v>1431000</v>
      </c>
      <c r="E56" s="68">
        <v>2021</v>
      </c>
      <c r="F56" s="68" t="s">
        <v>167</v>
      </c>
    </row>
    <row r="57" spans="2:6" x14ac:dyDescent="0.35">
      <c r="B57" s="3" t="s">
        <v>143</v>
      </c>
      <c r="C57" s="80">
        <v>1.4761819789245638E-2</v>
      </c>
      <c r="D57" s="71">
        <v>998915</v>
      </c>
      <c r="E57" s="68">
        <v>2021</v>
      </c>
      <c r="F57" s="68" t="s">
        <v>167</v>
      </c>
    </row>
    <row r="58" spans="2:6" x14ac:dyDescent="0.35">
      <c r="B58" s="3" t="s">
        <v>154</v>
      </c>
      <c r="C58" s="80">
        <v>1.3416015425123756E-2</v>
      </c>
      <c r="D58" s="71">
        <v>907846</v>
      </c>
      <c r="E58" s="68">
        <v>2021</v>
      </c>
      <c r="F58" s="68" t="s">
        <v>167</v>
      </c>
    </row>
    <row r="59" spans="2:6" x14ac:dyDescent="0.35">
      <c r="B59" s="3" t="s">
        <v>155</v>
      </c>
      <c r="C59" s="80">
        <v>1.3314846238278853E-2</v>
      </c>
      <c r="D59" s="71">
        <v>901000</v>
      </c>
      <c r="E59" s="68">
        <v>2021</v>
      </c>
      <c r="F59" s="68" t="s">
        <v>167</v>
      </c>
    </row>
    <row r="60" spans="2:6" x14ac:dyDescent="0.35">
      <c r="B60" s="3" t="s">
        <v>138</v>
      </c>
      <c r="C60" s="80">
        <v>1.1404069747036394E-2</v>
      </c>
      <c r="D60" s="71">
        <v>771700</v>
      </c>
      <c r="E60" s="68">
        <v>2021</v>
      </c>
      <c r="F60" s="68" t="s">
        <v>167</v>
      </c>
    </row>
    <row r="61" spans="2:6" x14ac:dyDescent="0.35">
      <c r="B61" s="3" t="s">
        <v>156</v>
      </c>
      <c r="C61" s="80">
        <v>1.0551387585051166E-2</v>
      </c>
      <c r="D61" s="71">
        <v>714000</v>
      </c>
      <c r="E61" s="68">
        <v>2021</v>
      </c>
      <c r="F61" s="68" t="s">
        <v>167</v>
      </c>
    </row>
    <row r="62" spans="2:6" x14ac:dyDescent="0.35">
      <c r="B62" s="3" t="s">
        <v>157</v>
      </c>
      <c r="C62" s="80">
        <v>1.0283272984273039E-2</v>
      </c>
      <c r="D62" s="71">
        <v>695857</v>
      </c>
      <c r="E62" s="68">
        <v>2021</v>
      </c>
      <c r="F62" s="68" t="s">
        <v>167</v>
      </c>
    </row>
    <row r="63" spans="2:6" x14ac:dyDescent="0.35">
      <c r="B63" s="3" t="s">
        <v>158</v>
      </c>
      <c r="C63" s="80">
        <v>9.3731493047204528E-3</v>
      </c>
      <c r="D63" s="71">
        <v>634270</v>
      </c>
      <c r="E63" s="68">
        <v>2021</v>
      </c>
      <c r="F63" s="68" t="s">
        <v>167</v>
      </c>
    </row>
    <row r="64" spans="2:6" x14ac:dyDescent="0.35">
      <c r="B64" s="3" t="s">
        <v>189</v>
      </c>
      <c r="C64" s="80">
        <v>8.3458815784077829E-3</v>
      </c>
      <c r="D64" s="71">
        <v>564756</v>
      </c>
      <c r="E64" s="68">
        <v>2021</v>
      </c>
      <c r="F64" s="68" t="s">
        <v>167</v>
      </c>
    </row>
    <row r="65" spans="2:6" x14ac:dyDescent="0.35">
      <c r="B65" s="3" t="s">
        <v>172</v>
      </c>
      <c r="C65" s="80">
        <v>8.0349407574315055E-3</v>
      </c>
      <c r="D65" s="71">
        <v>543715</v>
      </c>
      <c r="E65" s="68">
        <v>2021</v>
      </c>
      <c r="F65" s="68" t="s">
        <v>167</v>
      </c>
    </row>
    <row r="66" spans="2:6" x14ac:dyDescent="0.35">
      <c r="B66" s="3" t="s">
        <v>211</v>
      </c>
      <c r="C66" s="80">
        <v>7.5247796899089057E-3</v>
      </c>
      <c r="D66" s="71">
        <v>509193</v>
      </c>
      <c r="E66" s="68">
        <v>2021</v>
      </c>
      <c r="F66" s="68" t="s">
        <v>167</v>
      </c>
    </row>
    <row r="67" spans="2:6" x14ac:dyDescent="0.35">
      <c r="B67" s="3" t="s">
        <v>177</v>
      </c>
      <c r="C67" s="80">
        <v>6.3544771170476215E-3</v>
      </c>
      <c r="D67" s="71">
        <v>430000</v>
      </c>
      <c r="E67" s="68">
        <v>2021</v>
      </c>
      <c r="F67" s="68" t="s">
        <v>167</v>
      </c>
    </row>
    <row r="68" spans="2:6" x14ac:dyDescent="0.35">
      <c r="B68" s="3" t="s">
        <v>230</v>
      </c>
      <c r="C68" s="80">
        <v>5.8425722627812732E-3</v>
      </c>
      <c r="D68" s="71">
        <v>395360</v>
      </c>
      <c r="E68" s="68">
        <v>2021</v>
      </c>
      <c r="F68" s="68" t="s">
        <v>167</v>
      </c>
    </row>
    <row r="69" spans="2:6" x14ac:dyDescent="0.35">
      <c r="B69" s="3" t="s">
        <v>161</v>
      </c>
      <c r="C69" s="80">
        <v>4.9984464781234195E-3</v>
      </c>
      <c r="D69" s="71">
        <v>338239</v>
      </c>
      <c r="E69" s="68">
        <v>2021</v>
      </c>
      <c r="F69" s="68" t="s">
        <v>167</v>
      </c>
    </row>
    <row r="70" spans="2:6" x14ac:dyDescent="0.35">
      <c r="B70" s="3" t="s">
        <v>594</v>
      </c>
      <c r="C70" s="80">
        <v>4.92302031252944E-3</v>
      </c>
      <c r="D70" s="71">
        <v>333135</v>
      </c>
      <c r="E70" s="68">
        <v>2021</v>
      </c>
      <c r="F70" s="68" t="s">
        <v>167</v>
      </c>
    </row>
    <row r="71" spans="2:6" x14ac:dyDescent="0.35">
      <c r="B71" s="3" t="s">
        <v>270</v>
      </c>
      <c r="C71" s="80">
        <v>4.3358075154991977E-3</v>
      </c>
      <c r="D71" s="71">
        <v>293399</v>
      </c>
      <c r="E71" s="68">
        <v>2021</v>
      </c>
      <c r="F71" s="68" t="s">
        <v>167</v>
      </c>
    </row>
    <row r="72" spans="2:6" x14ac:dyDescent="0.35">
      <c r="B72" s="3" t="s">
        <v>318</v>
      </c>
      <c r="C72" s="80">
        <v>3.9900205153554835E-3</v>
      </c>
      <c r="D72" s="71">
        <v>270000</v>
      </c>
      <c r="E72" s="68">
        <v>2021</v>
      </c>
      <c r="F72" s="68" t="s">
        <v>167</v>
      </c>
    </row>
    <row r="73" spans="2:6" x14ac:dyDescent="0.35">
      <c r="B73" s="3" t="s">
        <v>144</v>
      </c>
      <c r="C73" s="80">
        <v>3.877132490478444E-3</v>
      </c>
      <c r="D73" s="71">
        <v>262361</v>
      </c>
      <c r="E73" s="68">
        <v>2021</v>
      </c>
      <c r="F73" s="68" t="s">
        <v>167</v>
      </c>
    </row>
    <row r="74" spans="2:6" x14ac:dyDescent="0.35">
      <c r="B74" s="3" t="s">
        <v>139</v>
      </c>
      <c r="C74" s="80">
        <v>2.9640975737350249E-3</v>
      </c>
      <c r="D74" s="71">
        <v>200577</v>
      </c>
      <c r="E74" s="68">
        <v>2021</v>
      </c>
      <c r="F74" s="68" t="s">
        <v>167</v>
      </c>
    </row>
    <row r="75" spans="2:6" x14ac:dyDescent="0.35">
      <c r="B75" s="3" t="s">
        <v>160</v>
      </c>
      <c r="C75" s="80">
        <v>2.8077922145094141E-3</v>
      </c>
      <c r="D75" s="71">
        <v>190000</v>
      </c>
      <c r="E75" s="68">
        <v>2021</v>
      </c>
      <c r="F75" s="68" t="s">
        <v>167</v>
      </c>
    </row>
    <row r="76" spans="2:6" x14ac:dyDescent="0.35">
      <c r="B76" s="3" t="s">
        <v>237</v>
      </c>
      <c r="C76" s="80">
        <v>2.5089101222017674E-3</v>
      </c>
      <c r="D76" s="71">
        <v>169775</v>
      </c>
      <c r="E76" s="68">
        <v>2021</v>
      </c>
      <c r="F76" s="68" t="s">
        <v>167</v>
      </c>
    </row>
    <row r="77" spans="2:6" x14ac:dyDescent="0.35">
      <c r="B77" s="3" t="s">
        <v>278</v>
      </c>
      <c r="C77" s="80">
        <v>2.4234941274656387E-3</v>
      </c>
      <c r="D77" s="71">
        <v>163995</v>
      </c>
      <c r="E77" s="68">
        <v>2021</v>
      </c>
      <c r="F77" s="68" t="s">
        <v>167</v>
      </c>
    </row>
    <row r="78" spans="2:6" x14ac:dyDescent="0.35">
      <c r="B78" s="3" t="s">
        <v>239</v>
      </c>
      <c r="C78" s="80">
        <v>1.8324538663114071E-3</v>
      </c>
      <c r="D78" s="71">
        <v>124000</v>
      </c>
      <c r="E78" s="68">
        <v>2021</v>
      </c>
      <c r="F78" s="68" t="s">
        <v>167</v>
      </c>
    </row>
    <row r="79" spans="2:6" x14ac:dyDescent="0.35">
      <c r="B79" s="3" t="s">
        <v>317</v>
      </c>
      <c r="C79" s="80">
        <v>1.330553619040969E-3</v>
      </c>
      <c r="D79" s="71">
        <v>90037</v>
      </c>
      <c r="E79" s="68">
        <v>2021</v>
      </c>
      <c r="F79" s="68" t="s">
        <v>167</v>
      </c>
    </row>
    <row r="80" spans="2:6" x14ac:dyDescent="0.35">
      <c r="B80" s="3" t="s">
        <v>169</v>
      </c>
      <c r="C80" s="80">
        <v>1.2117840083672208E-3</v>
      </c>
      <c r="D80" s="71">
        <v>82000</v>
      </c>
      <c r="E80" s="68">
        <v>2021</v>
      </c>
      <c r="F80" s="68" t="s">
        <v>167</v>
      </c>
    </row>
    <row r="81" spans="2:6" x14ac:dyDescent="0.35">
      <c r="B81" s="3" t="s">
        <v>179</v>
      </c>
      <c r="C81" s="80">
        <v>9.0144907939512765E-4</v>
      </c>
      <c r="D81" s="71">
        <v>61000</v>
      </c>
      <c r="E81" s="68">
        <v>2021</v>
      </c>
      <c r="F81" s="68" t="s">
        <v>167</v>
      </c>
    </row>
    <row r="82" spans="2:6" x14ac:dyDescent="0.35">
      <c r="B82" s="3" t="s">
        <v>218</v>
      </c>
      <c r="C82" s="80">
        <v>6.9012577061889279E-4</v>
      </c>
      <c r="D82" s="71">
        <v>46700</v>
      </c>
      <c r="E82" s="68">
        <v>2021</v>
      </c>
      <c r="F82" s="68" t="s">
        <v>167</v>
      </c>
    </row>
    <row r="83" spans="2:6" x14ac:dyDescent="0.35">
      <c r="B83" s="3" t="s">
        <v>593</v>
      </c>
      <c r="C83" s="80">
        <v>6.6816587993067712E-4</v>
      </c>
      <c r="D83" s="71">
        <v>45214</v>
      </c>
      <c r="E83" s="68">
        <v>2021</v>
      </c>
      <c r="F83" s="68" t="s">
        <v>167</v>
      </c>
    </row>
    <row r="84" spans="2:6" x14ac:dyDescent="0.35">
      <c r="B84" s="3" t="s">
        <v>286</v>
      </c>
      <c r="C84" s="80">
        <v>5.7986820371123634E-4</v>
      </c>
      <c r="D84" s="71">
        <v>39239</v>
      </c>
      <c r="E84" s="68">
        <v>2021</v>
      </c>
      <c r="F84" s="68" t="s">
        <v>167</v>
      </c>
    </row>
    <row r="85" spans="2:6" x14ac:dyDescent="0.35">
      <c r="B85" s="3" t="s">
        <v>314</v>
      </c>
      <c r="C85" s="80">
        <v>5.6658291318047865E-4</v>
      </c>
      <c r="D85" s="71">
        <v>38340</v>
      </c>
      <c r="E85" s="68">
        <v>2021</v>
      </c>
      <c r="F85" s="68" t="s">
        <v>167</v>
      </c>
    </row>
    <row r="86" spans="2:6" x14ac:dyDescent="0.35">
      <c r="B86" s="3" t="s">
        <v>595</v>
      </c>
      <c r="C86" s="80">
        <v>5.5959298835172623E-4</v>
      </c>
      <c r="D86" s="71">
        <v>37867</v>
      </c>
      <c r="E86" s="68">
        <v>2021</v>
      </c>
      <c r="F86" s="68" t="s">
        <v>167</v>
      </c>
    </row>
    <row r="87" spans="2:6" x14ac:dyDescent="0.35">
      <c r="B87" s="3" t="s">
        <v>323</v>
      </c>
      <c r="C87" s="80">
        <v>5.5564730139765243E-4</v>
      </c>
      <c r="D87" s="71">
        <v>37600</v>
      </c>
      <c r="E87" s="68">
        <v>2021</v>
      </c>
      <c r="F87" s="68" t="s">
        <v>167</v>
      </c>
    </row>
    <row r="88" spans="2:6" x14ac:dyDescent="0.35">
      <c r="B88" s="3" t="s">
        <v>592</v>
      </c>
      <c r="C88" s="80">
        <v>5.3791387688496145E-4</v>
      </c>
      <c r="D88" s="71">
        <v>36400</v>
      </c>
      <c r="E88" s="68">
        <v>2021</v>
      </c>
      <c r="F88" s="68" t="s">
        <v>167</v>
      </c>
    </row>
    <row r="89" spans="2:6" x14ac:dyDescent="0.35">
      <c r="B89" s="3" t="s">
        <v>276</v>
      </c>
      <c r="C89" s="80">
        <v>4.5811346657785178E-4</v>
      </c>
      <c r="D89" s="71">
        <v>31000</v>
      </c>
      <c r="E89" s="68">
        <v>2021</v>
      </c>
      <c r="F89" s="68" t="s">
        <v>167</v>
      </c>
    </row>
    <row r="90" spans="2:6" x14ac:dyDescent="0.35">
      <c r="B90" s="65" t="s">
        <v>134</v>
      </c>
      <c r="C90" s="69">
        <f>SUM(C49:C89)</f>
        <v>0.99999999999999989</v>
      </c>
      <c r="D90" s="72">
        <f>SUM(D49:D89)</f>
        <v>67668825</v>
      </c>
      <c r="E90" s="34"/>
      <c r="F90" s="34"/>
    </row>
    <row r="91" spans="2:6" x14ac:dyDescent="0.35">
      <c r="D91" s="11"/>
    </row>
    <row r="92" spans="2:6" x14ac:dyDescent="0.35">
      <c r="B92" s="77" t="s">
        <v>558</v>
      </c>
      <c r="D92" s="11"/>
    </row>
    <row r="95" spans="2:6" x14ac:dyDescent="0.35">
      <c r="B95" s="2" t="s">
        <v>536</v>
      </c>
    </row>
    <row r="97" spans="2:6" x14ac:dyDescent="0.35">
      <c r="B97" s="4" t="s">
        <v>538</v>
      </c>
      <c r="C97" s="64" t="s">
        <v>548</v>
      </c>
      <c r="D97" s="74" t="s">
        <v>537</v>
      </c>
      <c r="E97" s="74" t="s">
        <v>549</v>
      </c>
      <c r="F97" s="74" t="s">
        <v>127</v>
      </c>
    </row>
    <row r="98" spans="2:6" ht="29" x14ac:dyDescent="0.35">
      <c r="B98" s="73" t="s">
        <v>8</v>
      </c>
      <c r="C98" s="92">
        <v>2.0144721888755495</v>
      </c>
      <c r="D98" s="75" t="s">
        <v>597</v>
      </c>
      <c r="E98" s="75" t="s">
        <v>580</v>
      </c>
      <c r="F98" s="76" t="s">
        <v>553</v>
      </c>
    </row>
    <row r="99" spans="2:6" x14ac:dyDescent="0.35">
      <c r="F99"/>
    </row>
    <row r="100" spans="2:6" ht="15" thickBot="1" x14ac:dyDescent="0.4">
      <c r="F100"/>
    </row>
    <row r="101" spans="2:6" x14ac:dyDescent="0.35">
      <c r="B101" s="35" t="s">
        <v>490</v>
      </c>
      <c r="C101" s="81"/>
      <c r="D101" s="93"/>
      <c r="F101"/>
    </row>
    <row r="102" spans="2:6" x14ac:dyDescent="0.35">
      <c r="B102" s="84"/>
      <c r="D102" s="94"/>
      <c r="F102"/>
    </row>
    <row r="103" spans="2:6" x14ac:dyDescent="0.35">
      <c r="B103" s="86" t="s">
        <v>554</v>
      </c>
      <c r="D103" s="94"/>
    </row>
    <row r="104" spans="2:6" x14ac:dyDescent="0.35">
      <c r="B104" s="86" t="s">
        <v>552</v>
      </c>
      <c r="D104" s="94"/>
    </row>
    <row r="105" spans="2:6" ht="15" thickBot="1" x14ac:dyDescent="0.4">
      <c r="B105" s="87" t="s">
        <v>551</v>
      </c>
      <c r="C105" s="88"/>
      <c r="D105" s="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BC4D-C1B2-42F2-A593-55482E560055}">
  <sheetPr>
    <tabColor theme="4" tint="0.59999389629810485"/>
  </sheetPr>
  <dimension ref="B1:F69"/>
  <sheetViews>
    <sheetView showGridLines="0" zoomScaleNormal="100" workbookViewId="0">
      <selection activeCell="D70" sqref="D70"/>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328</v>
      </c>
      <c r="C5" s="80">
        <v>0.48</v>
      </c>
      <c r="D5" s="50" t="s">
        <v>129</v>
      </c>
      <c r="E5" s="50" t="s">
        <v>556</v>
      </c>
      <c r="F5"/>
    </row>
    <row r="6" spans="2:6" x14ac:dyDescent="0.35">
      <c r="B6" s="3" t="s">
        <v>147</v>
      </c>
      <c r="C6" s="80">
        <v>0.23</v>
      </c>
      <c r="D6" s="50" t="s">
        <v>129</v>
      </c>
      <c r="E6" s="50" t="s">
        <v>556</v>
      </c>
      <c r="F6"/>
    </row>
    <row r="7" spans="2:6" x14ac:dyDescent="0.35">
      <c r="B7" s="3" t="s">
        <v>307</v>
      </c>
      <c r="C7" s="80">
        <v>0.13</v>
      </c>
      <c r="D7" s="50" t="s">
        <v>129</v>
      </c>
      <c r="E7" s="50" t="s">
        <v>556</v>
      </c>
      <c r="F7"/>
    </row>
    <row r="8" spans="2:6" x14ac:dyDescent="0.35">
      <c r="B8" s="3" t="s">
        <v>627</v>
      </c>
      <c r="C8" s="80">
        <v>0.12</v>
      </c>
      <c r="D8" s="50" t="s">
        <v>129</v>
      </c>
      <c r="E8" s="50" t="s">
        <v>556</v>
      </c>
      <c r="F8"/>
    </row>
    <row r="9" spans="2:6" x14ac:dyDescent="0.35">
      <c r="B9" s="3" t="s">
        <v>329</v>
      </c>
      <c r="C9" s="80">
        <v>0.04</v>
      </c>
      <c r="D9" s="50" t="s">
        <v>129</v>
      </c>
      <c r="E9" s="50" t="s">
        <v>556</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x14ac:dyDescent="0.35">
      <c r="B16" s="3" t="s">
        <v>61</v>
      </c>
      <c r="C16" s="50">
        <v>251910</v>
      </c>
      <c r="D16"/>
    </row>
    <row r="17" spans="2:6" ht="72.5" x14ac:dyDescent="0.35">
      <c r="B17" s="3" t="s">
        <v>62</v>
      </c>
      <c r="C17" s="50">
        <v>251990</v>
      </c>
      <c r="D17"/>
    </row>
    <row r="18" spans="2:6" x14ac:dyDescent="0.35">
      <c r="B18" s="3" t="s">
        <v>63</v>
      </c>
      <c r="C18" s="50">
        <v>281610</v>
      </c>
      <c r="D18"/>
    </row>
    <row r="19" spans="2:6" x14ac:dyDescent="0.35">
      <c r="B19" s="3" t="s">
        <v>64</v>
      </c>
      <c r="C19" s="50">
        <v>282731</v>
      </c>
      <c r="D19"/>
    </row>
    <row r="20" spans="2:6" x14ac:dyDescent="0.35">
      <c r="B20" s="3" t="s">
        <v>65</v>
      </c>
      <c r="C20" s="50">
        <v>283321</v>
      </c>
      <c r="D20"/>
    </row>
    <row r="21" spans="2:6" ht="29" x14ac:dyDescent="0.35">
      <c r="B21" s="3" t="s">
        <v>66</v>
      </c>
      <c r="C21" s="50">
        <v>810411</v>
      </c>
      <c r="D21"/>
    </row>
    <row r="22" spans="2:6" ht="29" x14ac:dyDescent="0.35">
      <c r="B22" s="3" t="s">
        <v>67</v>
      </c>
      <c r="C22" s="50">
        <v>810419</v>
      </c>
      <c r="D22"/>
    </row>
    <row r="25" spans="2:6" x14ac:dyDescent="0.35">
      <c r="B25" s="63" t="s">
        <v>534</v>
      </c>
    </row>
    <row r="27" spans="2:6" x14ac:dyDescent="0.35">
      <c r="B27" s="4" t="s">
        <v>531</v>
      </c>
      <c r="C27" s="64" t="s">
        <v>541</v>
      </c>
      <c r="D27" s="66" t="s">
        <v>584</v>
      </c>
      <c r="E27" s="64" t="s">
        <v>162</v>
      </c>
      <c r="F27" s="64" t="s">
        <v>127</v>
      </c>
    </row>
    <row r="28" spans="2:6" x14ac:dyDescent="0.35">
      <c r="B28" s="10" t="s">
        <v>137</v>
      </c>
      <c r="C28" s="91">
        <v>0.64255589888269171</v>
      </c>
      <c r="D28" s="67">
        <v>18000000</v>
      </c>
      <c r="E28" s="68">
        <v>2021</v>
      </c>
      <c r="F28" s="68" t="s">
        <v>167</v>
      </c>
    </row>
    <row r="29" spans="2:6" x14ac:dyDescent="0.35">
      <c r="B29" s="10" t="s">
        <v>169</v>
      </c>
      <c r="C29" s="91">
        <v>6.8799174044368555E-2</v>
      </c>
      <c r="D29" s="67">
        <v>1927280</v>
      </c>
      <c r="E29" s="68">
        <v>2021</v>
      </c>
      <c r="F29" s="68" t="s">
        <v>167</v>
      </c>
    </row>
    <row r="30" spans="2:6" x14ac:dyDescent="0.35">
      <c r="B30" s="10" t="s">
        <v>138</v>
      </c>
      <c r="C30" s="91">
        <v>6.4255589888269168E-2</v>
      </c>
      <c r="D30" s="67">
        <v>1800000</v>
      </c>
      <c r="E30" s="68">
        <v>2021</v>
      </c>
      <c r="F30" s="68" t="s">
        <v>167</v>
      </c>
    </row>
    <row r="31" spans="2:6" x14ac:dyDescent="0.35">
      <c r="B31" s="10" t="s">
        <v>141</v>
      </c>
      <c r="C31" s="91">
        <v>3.9577873616180016E-2</v>
      </c>
      <c r="D31" s="67">
        <v>1108700</v>
      </c>
      <c r="E31" s="68">
        <v>2021</v>
      </c>
      <c r="F31" s="68" t="s">
        <v>167</v>
      </c>
    </row>
    <row r="32" spans="2:6" x14ac:dyDescent="0.35">
      <c r="B32" s="10" t="s">
        <v>135</v>
      </c>
      <c r="C32" s="91">
        <v>3.1900151668180422E-2</v>
      </c>
      <c r="D32" s="67">
        <v>893623</v>
      </c>
      <c r="E32" s="68">
        <v>2021</v>
      </c>
      <c r="F32" s="68" t="s">
        <v>167</v>
      </c>
    </row>
    <row r="33" spans="2:6" x14ac:dyDescent="0.35">
      <c r="B33" s="10" t="s">
        <v>315</v>
      </c>
      <c r="C33" s="91">
        <v>3.0136799793896624E-2</v>
      </c>
      <c r="D33" s="67">
        <v>844226</v>
      </c>
      <c r="E33" s="68">
        <v>2021</v>
      </c>
      <c r="F33" s="68" t="s">
        <v>167</v>
      </c>
    </row>
    <row r="34" spans="2:6" x14ac:dyDescent="0.35">
      <c r="B34" s="10" t="s">
        <v>278</v>
      </c>
      <c r="C34" s="91">
        <v>2.7901205031483987E-2</v>
      </c>
      <c r="D34" s="67">
        <v>781600</v>
      </c>
      <c r="E34" s="68">
        <v>2021</v>
      </c>
      <c r="F34" s="68" t="s">
        <v>167</v>
      </c>
    </row>
    <row r="35" spans="2:6" x14ac:dyDescent="0.35">
      <c r="B35" s="10" t="s">
        <v>160</v>
      </c>
      <c r="C35" s="91">
        <v>2.5125149363011134E-2</v>
      </c>
      <c r="D35" s="67">
        <v>703834</v>
      </c>
      <c r="E35" s="68">
        <v>2021</v>
      </c>
      <c r="F35" s="68" t="s">
        <v>167</v>
      </c>
    </row>
    <row r="36" spans="2:6" x14ac:dyDescent="0.35">
      <c r="B36" s="10" t="s">
        <v>154</v>
      </c>
      <c r="C36" s="91">
        <v>1.5813157881303292E-2</v>
      </c>
      <c r="D36" s="67">
        <v>442976</v>
      </c>
      <c r="E36" s="68">
        <v>2021</v>
      </c>
      <c r="F36" s="68" t="s">
        <v>167</v>
      </c>
    </row>
    <row r="37" spans="2:6" x14ac:dyDescent="0.35">
      <c r="B37" s="3" t="s">
        <v>565</v>
      </c>
      <c r="C37" s="91">
        <v>5.3934999830615123E-2</v>
      </c>
      <c r="D37" s="67">
        <v>1510888</v>
      </c>
      <c r="E37" s="68">
        <v>2021</v>
      </c>
      <c r="F37" s="68" t="s">
        <v>167</v>
      </c>
    </row>
    <row r="38" spans="2:6" x14ac:dyDescent="0.35">
      <c r="B38" s="65" t="s">
        <v>134</v>
      </c>
      <c r="C38" s="69">
        <f>SUM(C28:C37)</f>
        <v>1</v>
      </c>
      <c r="D38" s="70">
        <f>SUM(D28:D37)</f>
        <v>28013127</v>
      </c>
      <c r="E38" s="34"/>
      <c r="F38" s="34"/>
    </row>
    <row r="41" spans="2:6" x14ac:dyDescent="0.35">
      <c r="B41" s="4" t="s">
        <v>535</v>
      </c>
      <c r="C41" s="64" t="s">
        <v>541</v>
      </c>
      <c r="D41" s="66" t="s">
        <v>585</v>
      </c>
      <c r="E41" s="64" t="s">
        <v>162</v>
      </c>
      <c r="F41" s="64" t="s">
        <v>127</v>
      </c>
    </row>
    <row r="42" spans="2:6" x14ac:dyDescent="0.35">
      <c r="B42" s="3" t="s">
        <v>137</v>
      </c>
      <c r="C42" s="80">
        <v>0.90599999999999992</v>
      </c>
      <c r="D42" s="71">
        <v>890337.07199999993</v>
      </c>
      <c r="E42" s="50" t="s">
        <v>129</v>
      </c>
      <c r="F42" s="50" t="s">
        <v>556</v>
      </c>
    </row>
    <row r="43" spans="2:6" x14ac:dyDescent="0.35">
      <c r="B43" s="3" t="s">
        <v>154</v>
      </c>
      <c r="C43" s="80">
        <v>3.4000000000000002E-2</v>
      </c>
      <c r="D43" s="71">
        <v>33412.208000000006</v>
      </c>
      <c r="E43" s="50" t="s">
        <v>129</v>
      </c>
      <c r="F43" s="50" t="s">
        <v>556</v>
      </c>
    </row>
    <row r="44" spans="2:6" x14ac:dyDescent="0.35">
      <c r="B44" s="3" t="s">
        <v>330</v>
      </c>
      <c r="C44" s="80">
        <v>2.2000000000000002E-2</v>
      </c>
      <c r="D44" s="71">
        <v>21619.664000000001</v>
      </c>
      <c r="E44" s="50" t="s">
        <v>129</v>
      </c>
      <c r="F44" s="50" t="s">
        <v>556</v>
      </c>
    </row>
    <row r="45" spans="2:6" x14ac:dyDescent="0.35">
      <c r="B45" s="3" t="s">
        <v>138</v>
      </c>
      <c r="C45" s="80">
        <v>1.8000000000000002E-2</v>
      </c>
      <c r="D45" s="71">
        <v>17688.816000000003</v>
      </c>
      <c r="E45" s="50" t="s">
        <v>129</v>
      </c>
      <c r="F45" s="50" t="s">
        <v>556</v>
      </c>
    </row>
    <row r="46" spans="2:6" x14ac:dyDescent="0.35">
      <c r="B46" s="3" t="s">
        <v>141</v>
      </c>
      <c r="C46" s="80">
        <v>1.4999999999999999E-2</v>
      </c>
      <c r="D46" s="71">
        <v>14740.68</v>
      </c>
      <c r="E46" s="50" t="s">
        <v>129</v>
      </c>
      <c r="F46" s="50" t="s">
        <v>556</v>
      </c>
    </row>
    <row r="47" spans="2:6" x14ac:dyDescent="0.35">
      <c r="B47" s="3" t="s">
        <v>169</v>
      </c>
      <c r="C47" s="80">
        <v>4.0000000000000001E-3</v>
      </c>
      <c r="D47" s="71">
        <v>3930.848</v>
      </c>
      <c r="E47" s="50" t="s">
        <v>129</v>
      </c>
      <c r="F47" s="50" t="s">
        <v>556</v>
      </c>
    </row>
    <row r="48" spans="2:6" x14ac:dyDescent="0.35">
      <c r="B48" s="3" t="s">
        <v>180</v>
      </c>
      <c r="C48" s="80">
        <v>1E-3</v>
      </c>
      <c r="D48" s="71">
        <v>982.71199999999999</v>
      </c>
      <c r="E48" s="50" t="s">
        <v>129</v>
      </c>
      <c r="F48" s="50" t="s">
        <v>556</v>
      </c>
    </row>
    <row r="49" spans="2:6" x14ac:dyDescent="0.35">
      <c r="B49" s="3" t="s">
        <v>155</v>
      </c>
      <c r="C49" s="80">
        <v>0</v>
      </c>
      <c r="D49" s="71">
        <v>0</v>
      </c>
      <c r="E49" s="50" t="s">
        <v>129</v>
      </c>
      <c r="F49" s="50" t="s">
        <v>556</v>
      </c>
    </row>
    <row r="50" spans="2:6" x14ac:dyDescent="0.35">
      <c r="B50" s="65" t="s">
        <v>134</v>
      </c>
      <c r="C50" s="69">
        <f>SUM(C42:C49)</f>
        <v>1</v>
      </c>
      <c r="D50" s="72">
        <f>SUM(D42:D49)</f>
        <v>982712</v>
      </c>
      <c r="E50" s="34"/>
      <c r="F50" s="34"/>
    </row>
    <row r="51" spans="2:6" x14ac:dyDescent="0.35">
      <c r="D51" s="11"/>
    </row>
    <row r="52" spans="2:6" x14ac:dyDescent="0.35">
      <c r="B52" s="77" t="s">
        <v>558</v>
      </c>
      <c r="D52" s="11"/>
    </row>
    <row r="55" spans="2:6" x14ac:dyDescent="0.35">
      <c r="B55" s="2" t="s">
        <v>536</v>
      </c>
    </row>
    <row r="57" spans="2:6" x14ac:dyDescent="0.35">
      <c r="B57" s="4" t="s">
        <v>538</v>
      </c>
      <c r="C57" s="64" t="s">
        <v>548</v>
      </c>
      <c r="D57" s="74" t="s">
        <v>537</v>
      </c>
      <c r="E57" s="74" t="s">
        <v>549</v>
      </c>
      <c r="F57" s="74" t="s">
        <v>127</v>
      </c>
    </row>
    <row r="58" spans="2:6" x14ac:dyDescent="0.35">
      <c r="B58" s="73" t="s">
        <v>586</v>
      </c>
      <c r="C58" s="92">
        <v>2.98</v>
      </c>
      <c r="D58" s="75" t="s">
        <v>587</v>
      </c>
      <c r="E58" s="75" t="s">
        <v>580</v>
      </c>
      <c r="F58" s="76" t="s">
        <v>553</v>
      </c>
    </row>
    <row r="59" spans="2:6" x14ac:dyDescent="0.35">
      <c r="B59" s="73" t="s">
        <v>63</v>
      </c>
      <c r="C59" s="92">
        <v>2.25</v>
      </c>
      <c r="D59" s="75" t="s">
        <v>63</v>
      </c>
      <c r="E59" s="75" t="s">
        <v>561</v>
      </c>
      <c r="F59" s="76" t="s">
        <v>569</v>
      </c>
    </row>
    <row r="60" spans="2:6" x14ac:dyDescent="0.35">
      <c r="B60" s="73" t="s">
        <v>64</v>
      </c>
      <c r="C60" s="92">
        <v>66.25</v>
      </c>
      <c r="D60" s="75" t="s">
        <v>588</v>
      </c>
      <c r="E60" s="75" t="s">
        <v>568</v>
      </c>
      <c r="F60" s="76" t="s">
        <v>589</v>
      </c>
    </row>
    <row r="61" spans="2:6" x14ac:dyDescent="0.35">
      <c r="F61"/>
    </row>
    <row r="62" spans="2:6" ht="15" thickBot="1" x14ac:dyDescent="0.4">
      <c r="F62"/>
    </row>
    <row r="63" spans="2:6" x14ac:dyDescent="0.35">
      <c r="B63" s="35" t="s">
        <v>490</v>
      </c>
      <c r="C63" s="81"/>
      <c r="D63" s="82"/>
      <c r="E63" s="83"/>
      <c r="F63"/>
    </row>
    <row r="64" spans="2:6" x14ac:dyDescent="0.35">
      <c r="B64" s="84"/>
      <c r="E64" s="85"/>
      <c r="F64"/>
    </row>
    <row r="65" spans="2:6" x14ac:dyDescent="0.35">
      <c r="B65" s="86" t="s">
        <v>554</v>
      </c>
      <c r="E65" s="85"/>
      <c r="F65"/>
    </row>
    <row r="66" spans="2:6" x14ac:dyDescent="0.35">
      <c r="B66" s="86" t="s">
        <v>590</v>
      </c>
      <c r="E66" s="85"/>
      <c r="F66"/>
    </row>
    <row r="67" spans="2:6" x14ac:dyDescent="0.35">
      <c r="B67" s="86" t="s">
        <v>552</v>
      </c>
      <c r="E67" s="85"/>
    </row>
    <row r="68" spans="2:6" x14ac:dyDescent="0.35">
      <c r="B68" s="86" t="s">
        <v>570</v>
      </c>
      <c r="E68" s="85"/>
    </row>
    <row r="69" spans="2:6" ht="15" thickBot="1" x14ac:dyDescent="0.4">
      <c r="B69" s="87" t="s">
        <v>551</v>
      </c>
      <c r="C69" s="88"/>
      <c r="D69" s="89"/>
      <c r="E69" s="9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F5A6-1639-4C25-968A-47D602BBD762}">
  <sheetPr>
    <tabColor theme="4" tint="0.59999389629810485"/>
  </sheetPr>
  <dimension ref="B1:F57"/>
  <sheetViews>
    <sheetView showGridLines="0" zoomScaleNormal="100" workbookViewId="0">
      <selection activeCell="C49" sqref="C49"/>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598</v>
      </c>
      <c r="C5" s="80">
        <v>0.54</v>
      </c>
      <c r="D5" s="50" t="s">
        <v>129</v>
      </c>
      <c r="E5" s="50" t="s">
        <v>556</v>
      </c>
      <c r="F5"/>
    </row>
    <row r="6" spans="2:6" x14ac:dyDescent="0.35">
      <c r="B6" s="3" t="s">
        <v>599</v>
      </c>
      <c r="C6" s="80">
        <v>0.38</v>
      </c>
      <c r="D6" s="50" t="s">
        <v>129</v>
      </c>
      <c r="E6" s="50" t="s">
        <v>556</v>
      </c>
      <c r="F6"/>
    </row>
    <row r="7" spans="2:6" x14ac:dyDescent="0.35">
      <c r="B7" s="3" t="s">
        <v>600</v>
      </c>
      <c r="C7" s="80">
        <v>0.06</v>
      </c>
      <c r="D7" s="50" t="s">
        <v>129</v>
      </c>
      <c r="E7" s="50" t="s">
        <v>556</v>
      </c>
      <c r="F7"/>
    </row>
    <row r="8" spans="2:6" x14ac:dyDescent="0.35">
      <c r="B8" s="3" t="s">
        <v>601</v>
      </c>
      <c r="C8" s="80">
        <v>0.02</v>
      </c>
      <c r="D8" s="50" t="s">
        <v>129</v>
      </c>
      <c r="E8" s="50" t="s">
        <v>556</v>
      </c>
      <c r="F8"/>
    </row>
    <row r="9" spans="2:6" x14ac:dyDescent="0.35">
      <c r="B9" s="65" t="s">
        <v>134</v>
      </c>
      <c r="C9" s="79">
        <f>SUM(C5:C8)</f>
        <v>1</v>
      </c>
      <c r="D9" s="9"/>
      <c r="E9" s="5"/>
      <c r="F9" s="5"/>
    </row>
    <row r="12" spans="2:6" x14ac:dyDescent="0.35">
      <c r="B12" s="63" t="s">
        <v>533</v>
      </c>
    </row>
    <row r="14" spans="2:6" x14ac:dyDescent="0.35">
      <c r="B14" s="4" t="s">
        <v>532</v>
      </c>
      <c r="C14" s="64" t="s">
        <v>0</v>
      </c>
      <c r="D14"/>
    </row>
    <row r="15" spans="2:6" ht="29" x14ac:dyDescent="0.35">
      <c r="B15" s="3" t="s">
        <v>101</v>
      </c>
      <c r="C15" s="50">
        <v>280461</v>
      </c>
      <c r="D15"/>
    </row>
    <row r="16" spans="2:6" ht="29" x14ac:dyDescent="0.35">
      <c r="B16" s="3" t="s">
        <v>102</v>
      </c>
      <c r="C16" s="50">
        <v>280469</v>
      </c>
      <c r="D16"/>
    </row>
    <row r="19" spans="2:6" x14ac:dyDescent="0.35">
      <c r="B19" s="63" t="s">
        <v>534</v>
      </c>
    </row>
    <row r="21" spans="2:6" x14ac:dyDescent="0.35">
      <c r="B21" s="4" t="s">
        <v>605</v>
      </c>
      <c r="C21" s="64" t="s">
        <v>541</v>
      </c>
      <c r="D21" s="66" t="s">
        <v>602</v>
      </c>
      <c r="E21" s="64" t="s">
        <v>162</v>
      </c>
      <c r="F21" s="64" t="s">
        <v>127</v>
      </c>
    </row>
    <row r="22" spans="2:6" x14ac:dyDescent="0.35">
      <c r="B22" s="10" t="s">
        <v>137</v>
      </c>
      <c r="C22" s="91">
        <v>0.69945355191256842</v>
      </c>
      <c r="D22" s="67">
        <v>6400000</v>
      </c>
      <c r="E22" s="68">
        <v>2021</v>
      </c>
      <c r="F22" s="68" t="s">
        <v>603</v>
      </c>
    </row>
    <row r="23" spans="2:6" x14ac:dyDescent="0.35">
      <c r="B23" s="10" t="s">
        <v>141</v>
      </c>
      <c r="C23" s="91">
        <v>7.0382513661202184E-2</v>
      </c>
      <c r="D23" s="67">
        <v>644000</v>
      </c>
      <c r="E23" s="68">
        <v>2021</v>
      </c>
      <c r="F23" s="68" t="s">
        <v>603</v>
      </c>
    </row>
    <row r="24" spans="2:6" x14ac:dyDescent="0.35">
      <c r="B24" s="10" t="s">
        <v>138</v>
      </c>
      <c r="C24" s="91">
        <v>4.251366120218579E-2</v>
      </c>
      <c r="D24" s="67">
        <v>389000</v>
      </c>
      <c r="E24" s="68">
        <v>2021</v>
      </c>
      <c r="F24" s="68" t="s">
        <v>603</v>
      </c>
    </row>
    <row r="25" spans="2:6" x14ac:dyDescent="0.35">
      <c r="B25" s="10" t="s">
        <v>153</v>
      </c>
      <c r="C25" s="91">
        <v>3.9562841530054647E-2</v>
      </c>
      <c r="D25" s="67">
        <v>362000</v>
      </c>
      <c r="E25" s="68">
        <v>2021</v>
      </c>
      <c r="F25" s="68" t="s">
        <v>603</v>
      </c>
    </row>
    <row r="26" spans="2:6" x14ac:dyDescent="0.35">
      <c r="B26" s="10" t="s">
        <v>363</v>
      </c>
      <c r="C26" s="91">
        <v>3.4207650273224047E-2</v>
      </c>
      <c r="D26" s="67">
        <v>313000</v>
      </c>
      <c r="E26" s="68">
        <v>2021</v>
      </c>
      <c r="F26" s="68" t="s">
        <v>603</v>
      </c>
    </row>
    <row r="27" spans="2:6" x14ac:dyDescent="0.35">
      <c r="B27" s="10" t="s">
        <v>177</v>
      </c>
      <c r="C27" s="91">
        <v>1.3879781420765028E-2</v>
      </c>
      <c r="D27" s="67">
        <v>127000</v>
      </c>
      <c r="E27" s="68">
        <v>2021</v>
      </c>
      <c r="F27" s="68" t="s">
        <v>603</v>
      </c>
    </row>
    <row r="28" spans="2:6" x14ac:dyDescent="0.35">
      <c r="B28" s="10" t="s">
        <v>144</v>
      </c>
      <c r="C28" s="91">
        <v>1.3333333333333334E-2</v>
      </c>
      <c r="D28" s="67">
        <v>122000</v>
      </c>
      <c r="E28" s="68">
        <v>2021</v>
      </c>
      <c r="F28" s="68" t="s">
        <v>603</v>
      </c>
    </row>
    <row r="29" spans="2:6" x14ac:dyDescent="0.35">
      <c r="B29" s="3" t="s">
        <v>565</v>
      </c>
      <c r="C29" s="91">
        <v>8.6666666666666684E-2</v>
      </c>
      <c r="D29" s="67">
        <v>793000</v>
      </c>
      <c r="E29" s="68">
        <v>2021</v>
      </c>
      <c r="F29" s="68" t="s">
        <v>603</v>
      </c>
    </row>
    <row r="30" spans="2:6" x14ac:dyDescent="0.35">
      <c r="B30" s="65" t="s">
        <v>134</v>
      </c>
      <c r="C30" s="69">
        <f>SUM(C22:C29)</f>
        <v>1.0000000000000002</v>
      </c>
      <c r="D30" s="70">
        <f>SUM(D22:D29)</f>
        <v>9150000</v>
      </c>
      <c r="E30" s="34"/>
      <c r="F30" s="34"/>
    </row>
    <row r="32" spans="2:6" x14ac:dyDescent="0.35">
      <c r="B32" s="96" t="s">
        <v>606</v>
      </c>
    </row>
    <row r="34" spans="2:6" x14ac:dyDescent="0.35">
      <c r="B34" s="4" t="s">
        <v>535</v>
      </c>
      <c r="C34" s="64" t="s">
        <v>541</v>
      </c>
      <c r="D34" s="66" t="s">
        <v>602</v>
      </c>
      <c r="E34" s="64" t="s">
        <v>162</v>
      </c>
      <c r="F34" s="64" t="s">
        <v>127</v>
      </c>
    </row>
    <row r="35" spans="2:6" x14ac:dyDescent="0.35">
      <c r="B35" s="3" t="s">
        <v>137</v>
      </c>
      <c r="C35" s="80">
        <v>0.76400000000000001</v>
      </c>
      <c r="D35" s="71">
        <v>2301106.88</v>
      </c>
      <c r="E35" s="50" t="s">
        <v>129</v>
      </c>
      <c r="F35" s="50" t="s">
        <v>556</v>
      </c>
    </row>
    <row r="36" spans="2:6" x14ac:dyDescent="0.35">
      <c r="B36" s="3" t="s">
        <v>138</v>
      </c>
      <c r="C36" s="80">
        <v>7.2000000000000008E-2</v>
      </c>
      <c r="D36" s="71">
        <v>216858.24000000002</v>
      </c>
      <c r="E36" s="50" t="s">
        <v>129</v>
      </c>
      <c r="F36" s="50" t="s">
        <v>556</v>
      </c>
    </row>
    <row r="37" spans="2:6" x14ac:dyDescent="0.35">
      <c r="B37" s="3" t="s">
        <v>153</v>
      </c>
      <c r="C37" s="80">
        <v>6.4000000000000001E-2</v>
      </c>
      <c r="D37" s="71">
        <v>192762.88</v>
      </c>
      <c r="E37" s="50" t="s">
        <v>129</v>
      </c>
      <c r="F37" s="50" t="s">
        <v>556</v>
      </c>
    </row>
    <row r="38" spans="2:6" x14ac:dyDescent="0.35">
      <c r="B38" s="3" t="s">
        <v>177</v>
      </c>
      <c r="C38" s="80">
        <v>4.2999999999999997E-2</v>
      </c>
      <c r="D38" s="71">
        <v>129512.55999999998</v>
      </c>
      <c r="E38" s="50" t="s">
        <v>129</v>
      </c>
      <c r="F38" s="50" t="s">
        <v>556</v>
      </c>
    </row>
    <row r="39" spans="2:6" x14ac:dyDescent="0.35">
      <c r="B39" s="3" t="s">
        <v>141</v>
      </c>
      <c r="C39" s="80">
        <v>1.6E-2</v>
      </c>
      <c r="D39" s="71">
        <v>48190.720000000001</v>
      </c>
      <c r="E39" s="50" t="s">
        <v>129</v>
      </c>
      <c r="F39" s="50" t="s">
        <v>556</v>
      </c>
    </row>
    <row r="40" spans="2:6" x14ac:dyDescent="0.35">
      <c r="B40" s="3" t="s">
        <v>154</v>
      </c>
      <c r="C40" s="80">
        <v>1.2E-2</v>
      </c>
      <c r="D40" s="71">
        <v>36143.040000000001</v>
      </c>
      <c r="E40" s="50" t="s">
        <v>129</v>
      </c>
      <c r="F40" s="50" t="s">
        <v>556</v>
      </c>
    </row>
    <row r="41" spans="2:6" x14ac:dyDescent="0.35">
      <c r="B41" s="3" t="s">
        <v>565</v>
      </c>
      <c r="C41" s="80">
        <v>2.8999999999999804E-2</v>
      </c>
      <c r="D41" s="71">
        <v>87345.679999999411</v>
      </c>
      <c r="E41" s="50" t="s">
        <v>129</v>
      </c>
      <c r="F41" s="50" t="s">
        <v>556</v>
      </c>
    </row>
    <row r="42" spans="2:6" x14ac:dyDescent="0.35">
      <c r="B42" s="65" t="s">
        <v>134</v>
      </c>
      <c r="C42" s="69">
        <f>SUM(C35:C41)</f>
        <v>1</v>
      </c>
      <c r="D42" s="72">
        <v>3011920</v>
      </c>
      <c r="E42" s="34"/>
      <c r="F42" s="34"/>
    </row>
    <row r="43" spans="2:6" x14ac:dyDescent="0.35">
      <c r="D43" s="11"/>
    </row>
    <row r="44" spans="2:6" x14ac:dyDescent="0.35">
      <c r="B44" s="96" t="s">
        <v>607</v>
      </c>
      <c r="D44" s="11"/>
    </row>
    <row r="47" spans="2:6" x14ac:dyDescent="0.35">
      <c r="B47" s="2" t="s">
        <v>536</v>
      </c>
    </row>
    <row r="49" spans="2:6" x14ac:dyDescent="0.35">
      <c r="B49" s="4" t="s">
        <v>538</v>
      </c>
      <c r="C49" s="64" t="s">
        <v>548</v>
      </c>
      <c r="D49" s="74" t="s">
        <v>537</v>
      </c>
      <c r="E49" s="74" t="s">
        <v>549</v>
      </c>
      <c r="F49" s="74" t="s">
        <v>127</v>
      </c>
    </row>
    <row r="50" spans="2:6" ht="29" x14ac:dyDescent="0.35">
      <c r="B50" s="73" t="s">
        <v>608</v>
      </c>
      <c r="C50" s="92">
        <v>2.6</v>
      </c>
      <c r="D50" s="75" t="s">
        <v>609</v>
      </c>
      <c r="E50" s="75" t="s">
        <v>580</v>
      </c>
      <c r="F50" s="76" t="s">
        <v>553</v>
      </c>
    </row>
    <row r="51" spans="2:6" x14ac:dyDescent="0.35">
      <c r="F51"/>
    </row>
    <row r="52" spans="2:6" ht="15" thickBot="1" x14ac:dyDescent="0.4">
      <c r="F52"/>
    </row>
    <row r="53" spans="2:6" x14ac:dyDescent="0.35">
      <c r="B53" s="35" t="s">
        <v>490</v>
      </c>
      <c r="C53" s="81"/>
      <c r="D53" s="82"/>
      <c r="E53" s="83"/>
      <c r="F53"/>
    </row>
    <row r="54" spans="2:6" x14ac:dyDescent="0.35">
      <c r="B54" s="84"/>
      <c r="E54" s="85"/>
      <c r="F54"/>
    </row>
    <row r="55" spans="2:6" x14ac:dyDescent="0.35">
      <c r="B55" s="86" t="s">
        <v>554</v>
      </c>
      <c r="E55" s="85"/>
    </row>
    <row r="56" spans="2:6" x14ac:dyDescent="0.35">
      <c r="B56" s="86" t="s">
        <v>552</v>
      </c>
      <c r="E56" s="85"/>
    </row>
    <row r="57" spans="2:6" ht="15" thickBot="1" x14ac:dyDescent="0.4">
      <c r="B57" s="40" t="s">
        <v>604</v>
      </c>
      <c r="C57" s="88"/>
      <c r="D57" s="89"/>
      <c r="E57" s="9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7CE9-5789-4BB0-AB51-490326EBE4E3}">
  <sheetPr>
    <tabColor theme="4" tint="0.59999389629810485"/>
  </sheetPr>
  <dimension ref="B1:N94"/>
  <sheetViews>
    <sheetView showGridLines="0" zoomScaleNormal="100" workbookViewId="0">
      <selection activeCell="D76" sqref="D76"/>
    </sheetView>
  </sheetViews>
  <sheetFormatPr baseColWidth="10" defaultColWidth="11.453125" defaultRowHeight="14.5" x14ac:dyDescent="0.35"/>
  <cols>
    <col min="1" max="1" width="1.453125" style="1" customWidth="1"/>
    <col min="2" max="2" width="45.453125" style="1" customWidth="1"/>
    <col min="3" max="3" width="17.2695312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610</v>
      </c>
      <c r="C4" s="64" t="s">
        <v>541</v>
      </c>
      <c r="D4" s="64" t="s">
        <v>162</v>
      </c>
      <c r="E4" s="64" t="s">
        <v>127</v>
      </c>
      <c r="F4"/>
    </row>
    <row r="5" spans="2:6" x14ac:dyDescent="0.35">
      <c r="B5" s="3" t="s">
        <v>381</v>
      </c>
      <c r="C5" s="80">
        <v>0.45</v>
      </c>
      <c r="D5" s="50" t="s">
        <v>129</v>
      </c>
      <c r="E5" s="50" t="s">
        <v>556</v>
      </c>
      <c r="F5"/>
    </row>
    <row r="6" spans="2:6" x14ac:dyDescent="0.35">
      <c r="B6" s="3" t="s">
        <v>382</v>
      </c>
      <c r="C6" s="80">
        <v>0.25</v>
      </c>
      <c r="D6" s="50" t="s">
        <v>129</v>
      </c>
      <c r="E6" s="50" t="s">
        <v>556</v>
      </c>
      <c r="F6"/>
    </row>
    <row r="7" spans="2:6" x14ac:dyDescent="0.35">
      <c r="B7" s="3" t="s">
        <v>184</v>
      </c>
      <c r="C7" s="80">
        <v>0.1</v>
      </c>
      <c r="D7" s="50" t="s">
        <v>129</v>
      </c>
      <c r="E7" s="50" t="s">
        <v>556</v>
      </c>
      <c r="F7"/>
    </row>
    <row r="8" spans="2:6" x14ac:dyDescent="0.35">
      <c r="B8" s="3" t="s">
        <v>388</v>
      </c>
      <c r="C8" s="80">
        <v>0.1</v>
      </c>
      <c r="D8" s="50" t="s">
        <v>129</v>
      </c>
      <c r="E8" s="50" t="s">
        <v>556</v>
      </c>
      <c r="F8"/>
    </row>
    <row r="9" spans="2:6" x14ac:dyDescent="0.35">
      <c r="B9" s="3" t="s">
        <v>389</v>
      </c>
      <c r="C9" s="80">
        <v>0.05</v>
      </c>
      <c r="D9" s="50" t="s">
        <v>129</v>
      </c>
      <c r="E9" s="50" t="s">
        <v>556</v>
      </c>
      <c r="F9"/>
    </row>
    <row r="10" spans="2:6" x14ac:dyDescent="0.35">
      <c r="B10" s="3" t="s">
        <v>390</v>
      </c>
      <c r="C10" s="80">
        <v>0.05</v>
      </c>
      <c r="D10" s="50" t="s">
        <v>129</v>
      </c>
      <c r="E10" s="50" t="s">
        <v>556</v>
      </c>
      <c r="F10"/>
    </row>
    <row r="11" spans="2:6" x14ac:dyDescent="0.35">
      <c r="B11" s="65" t="s">
        <v>134</v>
      </c>
      <c r="C11" s="79">
        <f>SUM(C5:C10)</f>
        <v>1</v>
      </c>
      <c r="D11" s="9"/>
      <c r="E11" s="5"/>
      <c r="F11" s="5"/>
    </row>
    <row r="14" spans="2:6" x14ac:dyDescent="0.35">
      <c r="B14" s="63" t="s">
        <v>533</v>
      </c>
    </row>
    <row r="16" spans="2:6" x14ac:dyDescent="0.35">
      <c r="B16" s="4" t="s">
        <v>532</v>
      </c>
      <c r="C16" s="64" t="s">
        <v>0</v>
      </c>
      <c r="D16"/>
    </row>
    <row r="17" spans="2:6" x14ac:dyDescent="0.35">
      <c r="B17" s="3" t="s">
        <v>111</v>
      </c>
      <c r="C17" s="50">
        <v>282300</v>
      </c>
      <c r="D17"/>
    </row>
    <row r="18" spans="2:6" x14ac:dyDescent="0.35">
      <c r="B18" s="3" t="s">
        <v>112</v>
      </c>
      <c r="C18" s="50">
        <v>810820</v>
      </c>
      <c r="D18"/>
    </row>
    <row r="21" spans="2:6" x14ac:dyDescent="0.35">
      <c r="B21" s="63" t="s">
        <v>534</v>
      </c>
    </row>
    <row r="23" spans="2:6" x14ac:dyDescent="0.35">
      <c r="B23" s="4" t="s">
        <v>531</v>
      </c>
      <c r="C23" s="64" t="s">
        <v>541</v>
      </c>
      <c r="D23" s="66" t="s">
        <v>611</v>
      </c>
      <c r="E23" s="64" t="s">
        <v>162</v>
      </c>
      <c r="F23" s="64" t="s">
        <v>127</v>
      </c>
    </row>
    <row r="24" spans="2:6" x14ac:dyDescent="0.35">
      <c r="B24" s="10" t="s">
        <v>137</v>
      </c>
      <c r="C24" s="91">
        <v>0.33630000000000004</v>
      </c>
      <c r="D24" s="67">
        <v>2856650</v>
      </c>
      <c r="E24" s="68">
        <v>2021</v>
      </c>
      <c r="F24" s="68" t="s">
        <v>167</v>
      </c>
    </row>
    <row r="25" spans="2:6" x14ac:dyDescent="0.35">
      <c r="B25" s="10" t="s">
        <v>189</v>
      </c>
      <c r="C25" s="91">
        <v>0.13269999999999998</v>
      </c>
      <c r="D25" s="67">
        <v>1126800</v>
      </c>
      <c r="E25" s="68">
        <v>2021</v>
      </c>
      <c r="F25" s="68" t="s">
        <v>167</v>
      </c>
    </row>
    <row r="26" spans="2:6" x14ac:dyDescent="0.35">
      <c r="B26" s="10" t="s">
        <v>156</v>
      </c>
      <c r="C26" s="91">
        <v>0.106</v>
      </c>
      <c r="D26" s="67">
        <v>900000</v>
      </c>
      <c r="E26" s="68">
        <v>2021</v>
      </c>
      <c r="F26" s="68" t="s">
        <v>167</v>
      </c>
    </row>
    <row r="27" spans="2:6" x14ac:dyDescent="0.35">
      <c r="B27" s="10" t="s">
        <v>135</v>
      </c>
      <c r="C27" s="91">
        <v>7.3499999999999996E-2</v>
      </c>
      <c r="D27" s="67">
        <v>624100</v>
      </c>
      <c r="E27" s="68">
        <v>2021</v>
      </c>
      <c r="F27" s="68" t="s">
        <v>167</v>
      </c>
    </row>
    <row r="28" spans="2:6" x14ac:dyDescent="0.35">
      <c r="B28" s="10" t="s">
        <v>159</v>
      </c>
      <c r="C28" s="91">
        <v>5.7599999999999998E-2</v>
      </c>
      <c r="D28" s="67">
        <v>489200</v>
      </c>
      <c r="E28" s="68">
        <v>2021</v>
      </c>
      <c r="F28" s="68" t="s">
        <v>167</v>
      </c>
    </row>
    <row r="29" spans="2:6" x14ac:dyDescent="0.35">
      <c r="B29" s="10" t="s">
        <v>150</v>
      </c>
      <c r="C29" s="91">
        <v>5.1799999999999999E-2</v>
      </c>
      <c r="D29" s="67">
        <v>440000</v>
      </c>
      <c r="E29" s="68">
        <v>2021</v>
      </c>
      <c r="F29" s="68" t="s">
        <v>167</v>
      </c>
    </row>
    <row r="30" spans="2:6" x14ac:dyDescent="0.35">
      <c r="B30" s="10" t="s">
        <v>191</v>
      </c>
      <c r="C30" s="91">
        <v>3.8199999999999998E-2</v>
      </c>
      <c r="D30" s="67">
        <v>324800</v>
      </c>
      <c r="E30" s="68">
        <v>2021</v>
      </c>
      <c r="F30" s="68" t="s">
        <v>167</v>
      </c>
    </row>
    <row r="31" spans="2:6" x14ac:dyDescent="0.35">
      <c r="B31" s="10" t="s">
        <v>383</v>
      </c>
      <c r="C31" s="91">
        <v>3.6499999999999998E-2</v>
      </c>
      <c r="D31" s="67">
        <v>310310</v>
      </c>
      <c r="E31" s="68">
        <v>2021</v>
      </c>
      <c r="F31" s="68" t="s">
        <v>167</v>
      </c>
    </row>
    <row r="32" spans="2:6" x14ac:dyDescent="0.35">
      <c r="B32" s="10" t="s">
        <v>153</v>
      </c>
      <c r="C32" s="91">
        <v>3.4799999999999998E-2</v>
      </c>
      <c r="D32" s="67">
        <v>295610</v>
      </c>
      <c r="E32" s="68">
        <v>2021</v>
      </c>
      <c r="F32" s="68" t="s">
        <v>167</v>
      </c>
    </row>
    <row r="33" spans="2:6" x14ac:dyDescent="0.35">
      <c r="B33" s="10" t="s">
        <v>384</v>
      </c>
      <c r="C33" s="91">
        <v>2.9900000000000003E-2</v>
      </c>
      <c r="D33" s="67">
        <v>254210</v>
      </c>
      <c r="E33" s="68">
        <v>2021</v>
      </c>
      <c r="F33" s="68" t="s">
        <v>167</v>
      </c>
    </row>
    <row r="34" spans="2:6" x14ac:dyDescent="0.35">
      <c r="B34" s="10" t="s">
        <v>180</v>
      </c>
      <c r="C34" s="91">
        <v>2.0899999999999998E-2</v>
      </c>
      <c r="D34" s="67">
        <v>177420</v>
      </c>
      <c r="E34" s="68">
        <v>2021</v>
      </c>
      <c r="F34" s="68" t="s">
        <v>167</v>
      </c>
    </row>
    <row r="35" spans="2:6" x14ac:dyDescent="0.35">
      <c r="B35" s="10" t="s">
        <v>140</v>
      </c>
      <c r="C35" s="91">
        <v>2.07E-2</v>
      </c>
      <c r="D35" s="67">
        <v>176000</v>
      </c>
      <c r="E35" s="68">
        <v>2021</v>
      </c>
      <c r="F35" s="68" t="s">
        <v>167</v>
      </c>
    </row>
    <row r="36" spans="2:6" x14ac:dyDescent="0.35">
      <c r="B36" s="10" t="s">
        <v>316</v>
      </c>
      <c r="C36" s="91">
        <v>1.5900000000000001E-2</v>
      </c>
      <c r="D36" s="67">
        <v>135400</v>
      </c>
      <c r="E36" s="68">
        <v>2021</v>
      </c>
      <c r="F36" s="68" t="s">
        <v>167</v>
      </c>
    </row>
    <row r="37" spans="2:6" x14ac:dyDescent="0.35">
      <c r="B37" s="10" t="s">
        <v>197</v>
      </c>
      <c r="C37" s="91">
        <v>1.4999999999999999E-2</v>
      </c>
      <c r="D37" s="67">
        <v>127070</v>
      </c>
      <c r="E37" s="68">
        <v>2021</v>
      </c>
      <c r="F37" s="68" t="s">
        <v>167</v>
      </c>
    </row>
    <row r="38" spans="2:6" x14ac:dyDescent="0.35">
      <c r="B38" s="10" t="s">
        <v>154</v>
      </c>
      <c r="C38" s="91">
        <v>1.18E-2</v>
      </c>
      <c r="D38" s="67">
        <v>100000</v>
      </c>
      <c r="E38" s="68">
        <v>2021</v>
      </c>
      <c r="F38" s="68" t="s">
        <v>167</v>
      </c>
    </row>
    <row r="39" spans="2:6" x14ac:dyDescent="0.35">
      <c r="B39" s="10" t="s">
        <v>138</v>
      </c>
      <c r="C39" s="91">
        <v>8.8000000000000005E-3</v>
      </c>
      <c r="D39" s="67">
        <v>75100</v>
      </c>
      <c r="E39" s="68">
        <v>2021</v>
      </c>
      <c r="F39" s="68" t="s">
        <v>167</v>
      </c>
    </row>
    <row r="40" spans="2:6" x14ac:dyDescent="0.35">
      <c r="B40" s="10" t="s">
        <v>385</v>
      </c>
      <c r="C40" s="91">
        <v>3.4000000000000002E-3</v>
      </c>
      <c r="D40" s="67">
        <v>28775</v>
      </c>
      <c r="E40" s="68">
        <v>2021</v>
      </c>
      <c r="F40" s="68" t="s">
        <v>167</v>
      </c>
    </row>
    <row r="41" spans="2:6" x14ac:dyDescent="0.35">
      <c r="B41" s="10" t="s">
        <v>144</v>
      </c>
      <c r="C41" s="91">
        <v>2.3999999999999998E-3</v>
      </c>
      <c r="D41" s="67">
        <v>20000</v>
      </c>
      <c r="E41" s="68">
        <v>2021</v>
      </c>
      <c r="F41" s="68" t="s">
        <v>167</v>
      </c>
    </row>
    <row r="42" spans="2:6" x14ac:dyDescent="0.35">
      <c r="B42" s="10" t="s">
        <v>155</v>
      </c>
      <c r="C42" s="91">
        <v>1.6000000000000001E-3</v>
      </c>
      <c r="D42" s="67">
        <v>13470</v>
      </c>
      <c r="E42" s="68">
        <v>2021</v>
      </c>
      <c r="F42" s="68" t="s">
        <v>167</v>
      </c>
    </row>
    <row r="43" spans="2:6" x14ac:dyDescent="0.35">
      <c r="B43" s="10" t="s">
        <v>169</v>
      </c>
      <c r="C43" s="91">
        <v>8.0000000000000004E-4</v>
      </c>
      <c r="D43" s="67">
        <v>7080</v>
      </c>
      <c r="E43" s="68">
        <v>2021</v>
      </c>
      <c r="F43" s="68" t="s">
        <v>167</v>
      </c>
    </row>
    <row r="44" spans="2:6" x14ac:dyDescent="0.35">
      <c r="B44" s="10" t="s">
        <v>172</v>
      </c>
      <c r="C44" s="91">
        <v>8.0000000000000004E-4</v>
      </c>
      <c r="D44" s="67">
        <v>6860</v>
      </c>
      <c r="E44" s="68">
        <v>2021</v>
      </c>
      <c r="F44" s="68" t="s">
        <v>167</v>
      </c>
    </row>
    <row r="45" spans="2:6" x14ac:dyDescent="0.35">
      <c r="B45" s="10" t="s">
        <v>141</v>
      </c>
      <c r="C45" s="91">
        <v>5.0000000000000001E-4</v>
      </c>
      <c r="D45" s="67">
        <v>4400</v>
      </c>
      <c r="E45" s="68">
        <v>2021</v>
      </c>
      <c r="F45" s="68" t="s">
        <v>167</v>
      </c>
    </row>
    <row r="46" spans="2:6" x14ac:dyDescent="0.35">
      <c r="B46" s="10" t="s">
        <v>178</v>
      </c>
      <c r="C46" s="91">
        <v>0</v>
      </c>
      <c r="D46" s="67">
        <v>36</v>
      </c>
      <c r="E46" s="68">
        <v>2021</v>
      </c>
      <c r="F46" s="68" t="s">
        <v>167</v>
      </c>
    </row>
    <row r="47" spans="2:6" x14ac:dyDescent="0.35">
      <c r="B47" s="65" t="s">
        <v>134</v>
      </c>
      <c r="C47" s="69">
        <f>SUM(C24:C46)</f>
        <v>0.99990000000000012</v>
      </c>
      <c r="D47" s="70">
        <f>SUM(D24:D46)</f>
        <v>8493291</v>
      </c>
      <c r="E47" s="34"/>
      <c r="F47" s="34"/>
    </row>
    <row r="50" spans="2:6" x14ac:dyDescent="0.35">
      <c r="B50" s="4" t="s">
        <v>612</v>
      </c>
      <c r="C50" s="64" t="s">
        <v>541</v>
      </c>
      <c r="D50" s="66" t="s">
        <v>611</v>
      </c>
      <c r="E50" s="64" t="s">
        <v>162</v>
      </c>
      <c r="F50" s="64" t="s">
        <v>127</v>
      </c>
    </row>
    <row r="51" spans="2:6" x14ac:dyDescent="0.35">
      <c r="B51" s="3" t="s">
        <v>137</v>
      </c>
      <c r="C51" s="80">
        <v>0.35299999999999998</v>
      </c>
      <c r="D51" s="71">
        <v>1587442.7649999999</v>
      </c>
      <c r="E51" s="68" t="s">
        <v>129</v>
      </c>
      <c r="F51" s="68" t="s">
        <v>556</v>
      </c>
    </row>
    <row r="52" spans="2:6" x14ac:dyDescent="0.35">
      <c r="B52" s="3" t="s">
        <v>154</v>
      </c>
      <c r="C52" s="80">
        <v>0.13900000000000001</v>
      </c>
      <c r="D52" s="71">
        <v>625083.69500000007</v>
      </c>
      <c r="E52" s="68" t="s">
        <v>129</v>
      </c>
      <c r="F52" s="68" t="s">
        <v>556</v>
      </c>
    </row>
    <row r="53" spans="2:6" x14ac:dyDescent="0.35">
      <c r="B53" s="3" t="s">
        <v>386</v>
      </c>
      <c r="C53" s="80">
        <v>9.3000000000000013E-2</v>
      </c>
      <c r="D53" s="71">
        <v>418221.46500000008</v>
      </c>
      <c r="E53" s="68" t="s">
        <v>129</v>
      </c>
      <c r="F53" s="68" t="s">
        <v>556</v>
      </c>
    </row>
    <row r="54" spans="2:6" x14ac:dyDescent="0.35">
      <c r="B54" s="3" t="s">
        <v>150</v>
      </c>
      <c r="C54" s="80">
        <v>8.900000000000001E-2</v>
      </c>
      <c r="D54" s="71">
        <v>400233.44500000007</v>
      </c>
      <c r="E54" s="68" t="s">
        <v>129</v>
      </c>
      <c r="F54" s="68" t="s">
        <v>556</v>
      </c>
    </row>
    <row r="55" spans="2:6" x14ac:dyDescent="0.35">
      <c r="B55" s="3" t="s">
        <v>211</v>
      </c>
      <c r="C55" s="80">
        <v>4.7E-2</v>
      </c>
      <c r="D55" s="71">
        <v>211359.23499999999</v>
      </c>
      <c r="E55" s="68" t="s">
        <v>129</v>
      </c>
      <c r="F55" s="68" t="s">
        <v>556</v>
      </c>
    </row>
    <row r="56" spans="2:6" x14ac:dyDescent="0.35">
      <c r="B56" s="3" t="s">
        <v>181</v>
      </c>
      <c r="C56" s="80">
        <v>4.4000000000000004E-2</v>
      </c>
      <c r="D56" s="71">
        <v>197868.22000000003</v>
      </c>
      <c r="E56" s="68" t="s">
        <v>129</v>
      </c>
      <c r="F56" s="68" t="s">
        <v>556</v>
      </c>
    </row>
    <row r="57" spans="2:6" x14ac:dyDescent="0.35">
      <c r="B57" s="3" t="s">
        <v>323</v>
      </c>
      <c r="C57" s="80">
        <v>3.2000000000000001E-2</v>
      </c>
      <c r="D57" s="71">
        <v>143904.16</v>
      </c>
      <c r="E57" s="68" t="s">
        <v>129</v>
      </c>
      <c r="F57" s="68" t="s">
        <v>556</v>
      </c>
    </row>
    <row r="58" spans="2:6" x14ac:dyDescent="0.35">
      <c r="B58" s="3" t="s">
        <v>173</v>
      </c>
      <c r="C58" s="80">
        <v>3.1E-2</v>
      </c>
      <c r="D58" s="71">
        <v>139407.155</v>
      </c>
      <c r="E58" s="68" t="s">
        <v>129</v>
      </c>
      <c r="F58" s="68" t="s">
        <v>556</v>
      </c>
    </row>
    <row r="59" spans="2:6" x14ac:dyDescent="0.35">
      <c r="B59" s="3" t="s">
        <v>387</v>
      </c>
      <c r="C59" s="80">
        <v>2.6000000000000002E-2</v>
      </c>
      <c r="D59" s="71">
        <v>116922.13</v>
      </c>
      <c r="E59" s="68" t="s">
        <v>129</v>
      </c>
      <c r="F59" s="68" t="s">
        <v>556</v>
      </c>
    </row>
    <row r="60" spans="2:6" x14ac:dyDescent="0.35">
      <c r="B60" s="3" t="s">
        <v>159</v>
      </c>
      <c r="C60" s="80">
        <v>1.3999999999999999E-2</v>
      </c>
      <c r="D60" s="71">
        <v>62958.069999999992</v>
      </c>
      <c r="E60" s="68" t="s">
        <v>129</v>
      </c>
      <c r="F60" s="68" t="s">
        <v>556</v>
      </c>
    </row>
    <row r="61" spans="2:6" x14ac:dyDescent="0.35">
      <c r="B61" s="3" t="s">
        <v>141</v>
      </c>
      <c r="C61" s="80">
        <v>1.3999999999999999E-2</v>
      </c>
      <c r="D61" s="71">
        <v>62958.069999999992</v>
      </c>
      <c r="E61" s="68" t="s">
        <v>129</v>
      </c>
      <c r="F61" s="68" t="s">
        <v>556</v>
      </c>
    </row>
    <row r="62" spans="2:6" x14ac:dyDescent="0.35">
      <c r="B62" s="3" t="s">
        <v>143</v>
      </c>
      <c r="C62" s="80">
        <v>1.3000000000000001E-2</v>
      </c>
      <c r="D62" s="71">
        <v>58461.065000000002</v>
      </c>
      <c r="E62" s="68" t="s">
        <v>129</v>
      </c>
      <c r="F62" s="68" t="s">
        <v>556</v>
      </c>
    </row>
    <row r="63" spans="2:6" x14ac:dyDescent="0.35">
      <c r="B63" s="3" t="s">
        <v>140</v>
      </c>
      <c r="C63" s="80">
        <v>1.1000000000000001E-2</v>
      </c>
      <c r="D63" s="71">
        <v>49467.055000000008</v>
      </c>
      <c r="E63" s="68" t="s">
        <v>129</v>
      </c>
      <c r="F63" s="68" t="s">
        <v>556</v>
      </c>
    </row>
    <row r="64" spans="2:6" x14ac:dyDescent="0.35">
      <c r="B64" s="3" t="s">
        <v>565</v>
      </c>
      <c r="C64" s="80">
        <v>9.4E-2</v>
      </c>
      <c r="D64" s="71">
        <v>422718.47</v>
      </c>
      <c r="E64" s="68" t="s">
        <v>129</v>
      </c>
      <c r="F64" s="68" t="s">
        <v>556</v>
      </c>
    </row>
    <row r="65" spans="2:6" x14ac:dyDescent="0.35">
      <c r="B65" s="65" t="s">
        <v>134</v>
      </c>
      <c r="C65" s="69">
        <f>SUM(C51:C64)</f>
        <v>1.0000000000000002</v>
      </c>
      <c r="D65" s="72">
        <f>SUM(D51:D64)</f>
        <v>4497005</v>
      </c>
      <c r="E65" s="34"/>
      <c r="F65" s="34"/>
    </row>
    <row r="66" spans="2:6" customFormat="1" x14ac:dyDescent="0.35"/>
    <row r="67" spans="2:6" customFormat="1" x14ac:dyDescent="0.35"/>
    <row r="68" spans="2:6" x14ac:dyDescent="0.35">
      <c r="B68" s="4" t="s">
        <v>613</v>
      </c>
      <c r="C68" s="64" t="s">
        <v>541</v>
      </c>
      <c r="D68" s="66" t="s">
        <v>614</v>
      </c>
      <c r="E68" s="64" t="s">
        <v>162</v>
      </c>
      <c r="F68" s="64" t="s">
        <v>127</v>
      </c>
    </row>
    <row r="69" spans="2:6" x14ac:dyDescent="0.35">
      <c r="B69" s="3" t="s">
        <v>137</v>
      </c>
      <c r="C69" s="80">
        <v>0.42799999999999999</v>
      </c>
      <c r="D69" s="71">
        <v>101864</v>
      </c>
      <c r="E69" s="68" t="s">
        <v>129</v>
      </c>
      <c r="F69" s="68" t="s">
        <v>620</v>
      </c>
    </row>
    <row r="70" spans="2:6" x14ac:dyDescent="0.35">
      <c r="B70" s="3" t="s">
        <v>181</v>
      </c>
      <c r="C70" s="80">
        <v>0.26</v>
      </c>
      <c r="D70" s="71">
        <v>61880</v>
      </c>
      <c r="E70" s="68" t="s">
        <v>129</v>
      </c>
      <c r="F70" s="68" t="s">
        <v>620</v>
      </c>
    </row>
    <row r="71" spans="2:6" x14ac:dyDescent="0.35">
      <c r="B71" s="3" t="s">
        <v>141</v>
      </c>
      <c r="C71" s="80">
        <v>0.20300000000000001</v>
      </c>
      <c r="D71" s="71">
        <v>48314</v>
      </c>
      <c r="E71" s="68" t="s">
        <v>129</v>
      </c>
      <c r="F71" s="68" t="s">
        <v>620</v>
      </c>
    </row>
    <row r="72" spans="2:6" x14ac:dyDescent="0.35">
      <c r="B72" s="3" t="s">
        <v>144</v>
      </c>
      <c r="C72" s="80">
        <v>6.7000000000000004E-2</v>
      </c>
      <c r="D72" s="71">
        <v>15946.000000000002</v>
      </c>
      <c r="E72" s="68" t="s">
        <v>129</v>
      </c>
      <c r="F72" s="68" t="s">
        <v>620</v>
      </c>
    </row>
    <row r="73" spans="2:6" x14ac:dyDescent="0.35">
      <c r="B73" s="3" t="s">
        <v>159</v>
      </c>
      <c r="C73" s="80">
        <v>3.7999999999999999E-2</v>
      </c>
      <c r="D73" s="71">
        <v>9044</v>
      </c>
      <c r="E73" s="68" t="s">
        <v>129</v>
      </c>
      <c r="F73" s="68" t="s">
        <v>620</v>
      </c>
    </row>
    <row r="74" spans="2:6" x14ac:dyDescent="0.35">
      <c r="B74" s="3" t="s">
        <v>143</v>
      </c>
      <c r="C74" s="80">
        <v>3.0000000000000001E-3</v>
      </c>
      <c r="D74" s="71">
        <v>714</v>
      </c>
      <c r="E74" s="68" t="s">
        <v>129</v>
      </c>
      <c r="F74" s="68" t="s">
        <v>620</v>
      </c>
    </row>
    <row r="75" spans="2:6" x14ac:dyDescent="0.35">
      <c r="B75" s="3" t="s">
        <v>140</v>
      </c>
      <c r="C75" s="80">
        <v>2E-3</v>
      </c>
      <c r="D75" s="71">
        <v>476</v>
      </c>
      <c r="E75" s="68" t="s">
        <v>129</v>
      </c>
      <c r="F75" s="68" t="s">
        <v>620</v>
      </c>
    </row>
    <row r="76" spans="2:6" x14ac:dyDescent="0.35">
      <c r="B76" s="65" t="s">
        <v>134</v>
      </c>
      <c r="C76" s="69">
        <f>SUM(C69:C75)</f>
        <v>1.0009999999999999</v>
      </c>
      <c r="D76" s="72">
        <v>238000</v>
      </c>
      <c r="E76" s="34"/>
      <c r="F76" s="34"/>
    </row>
    <row r="77" spans="2:6" x14ac:dyDescent="0.35">
      <c r="D77" s="11"/>
    </row>
    <row r="78" spans="2:6" x14ac:dyDescent="0.35">
      <c r="B78" s="77" t="s">
        <v>558</v>
      </c>
      <c r="D78" s="11"/>
    </row>
    <row r="81" spans="2:14" x14ac:dyDescent="0.35">
      <c r="B81" s="2" t="s">
        <v>536</v>
      </c>
    </row>
    <row r="83" spans="2:14" x14ac:dyDescent="0.35">
      <c r="B83" s="4" t="s">
        <v>538</v>
      </c>
      <c r="C83" s="64" t="s">
        <v>548</v>
      </c>
      <c r="D83" s="74" t="s">
        <v>537</v>
      </c>
      <c r="E83" s="74" t="s">
        <v>549</v>
      </c>
      <c r="F83" s="74" t="s">
        <v>127</v>
      </c>
    </row>
    <row r="84" spans="2:14" ht="29" x14ac:dyDescent="0.35">
      <c r="B84" s="73" t="s">
        <v>111</v>
      </c>
      <c r="C84" s="92">
        <v>2.37</v>
      </c>
      <c r="D84" s="75" t="s">
        <v>615</v>
      </c>
      <c r="E84" s="75" t="s">
        <v>616</v>
      </c>
      <c r="F84" s="76" t="s">
        <v>553</v>
      </c>
    </row>
    <row r="85" spans="2:14" ht="29" x14ac:dyDescent="0.35">
      <c r="B85" s="73" t="s">
        <v>112</v>
      </c>
      <c r="C85" s="92">
        <v>8.93</v>
      </c>
      <c r="D85" s="75" t="s">
        <v>617</v>
      </c>
      <c r="E85" s="75" t="s">
        <v>580</v>
      </c>
      <c r="F85" s="76" t="s">
        <v>553</v>
      </c>
    </row>
    <row r="86" spans="2:14" x14ac:dyDescent="0.35">
      <c r="F86"/>
    </row>
    <row r="87" spans="2:14" ht="15" thickBot="1" x14ac:dyDescent="0.4">
      <c r="F87"/>
    </row>
    <row r="88" spans="2:14" x14ac:dyDescent="0.35">
      <c r="B88" s="35" t="s">
        <v>490</v>
      </c>
      <c r="C88" s="81"/>
      <c r="D88" s="82"/>
      <c r="E88" s="81"/>
      <c r="F88" s="36"/>
      <c r="G88" s="81"/>
      <c r="H88" s="81"/>
      <c r="I88" s="81"/>
      <c r="J88" s="81"/>
      <c r="K88" s="81"/>
      <c r="L88" s="81"/>
      <c r="M88" s="81"/>
      <c r="N88" s="83"/>
    </row>
    <row r="89" spans="2:14" x14ac:dyDescent="0.35">
      <c r="B89" s="84"/>
      <c r="F89"/>
      <c r="N89" s="85"/>
    </row>
    <row r="90" spans="2:14" x14ac:dyDescent="0.35">
      <c r="B90" s="86" t="s">
        <v>554</v>
      </c>
      <c r="N90" s="85"/>
    </row>
    <row r="91" spans="2:14" x14ac:dyDescent="0.35">
      <c r="B91" s="86" t="s">
        <v>552</v>
      </c>
      <c r="N91" s="85"/>
    </row>
    <row r="92" spans="2:14" x14ac:dyDescent="0.35">
      <c r="B92" s="86" t="s">
        <v>618</v>
      </c>
      <c r="N92" s="85"/>
    </row>
    <row r="93" spans="2:14" x14ac:dyDescent="0.35">
      <c r="B93" s="86" t="s">
        <v>619</v>
      </c>
      <c r="N93" s="85"/>
    </row>
    <row r="94" spans="2:14" ht="15" thickBot="1" x14ac:dyDescent="0.4">
      <c r="B94" s="87" t="s">
        <v>551</v>
      </c>
      <c r="C94" s="88"/>
      <c r="D94" s="89"/>
      <c r="E94" s="88"/>
      <c r="F94" s="88"/>
      <c r="G94" s="88"/>
      <c r="H94" s="88"/>
      <c r="I94" s="88"/>
      <c r="J94" s="88"/>
      <c r="K94" s="88"/>
      <c r="L94" s="88"/>
      <c r="M94" s="88"/>
      <c r="N94" s="9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7EF2-BD19-45BC-8058-CB7C42D8CFF4}">
  <sheetPr>
    <tabColor theme="4" tint="0.59999389629810485"/>
  </sheetPr>
  <dimension ref="B1:F44"/>
  <sheetViews>
    <sheetView showGridLines="0" zoomScaleNormal="100" workbookViewId="0">
      <selection activeCell="C37" sqref="C37"/>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621</v>
      </c>
      <c r="C5" s="80">
        <v>0.64</v>
      </c>
      <c r="D5" s="50" t="s">
        <v>129</v>
      </c>
      <c r="E5" s="50" t="s">
        <v>556</v>
      </c>
      <c r="F5"/>
    </row>
    <row r="6" spans="2:6" x14ac:dyDescent="0.35">
      <c r="B6" s="3" t="s">
        <v>398</v>
      </c>
      <c r="C6" s="80">
        <v>0.21</v>
      </c>
      <c r="D6" s="50" t="s">
        <v>129</v>
      </c>
      <c r="E6" s="50" t="s">
        <v>556</v>
      </c>
      <c r="F6"/>
    </row>
    <row r="7" spans="2:6" x14ac:dyDescent="0.35">
      <c r="B7" s="3" t="s">
        <v>399</v>
      </c>
      <c r="C7" s="80">
        <v>0.05</v>
      </c>
      <c r="D7" s="50" t="s">
        <v>129</v>
      </c>
      <c r="E7" s="50" t="s">
        <v>556</v>
      </c>
      <c r="F7"/>
    </row>
    <row r="8" spans="2:6" x14ac:dyDescent="0.35">
      <c r="B8" s="3" t="s">
        <v>222</v>
      </c>
      <c r="C8" s="80">
        <v>0.04</v>
      </c>
      <c r="D8" s="50" t="s">
        <v>129</v>
      </c>
      <c r="E8" s="50" t="s">
        <v>556</v>
      </c>
      <c r="F8"/>
    </row>
    <row r="9" spans="2:6" x14ac:dyDescent="0.35">
      <c r="B9" s="3" t="s">
        <v>400</v>
      </c>
      <c r="C9" s="80">
        <v>0.03</v>
      </c>
      <c r="D9" s="50" t="s">
        <v>129</v>
      </c>
      <c r="E9" s="50" t="s">
        <v>556</v>
      </c>
      <c r="F9"/>
    </row>
    <row r="10" spans="2:6" x14ac:dyDescent="0.35">
      <c r="B10" s="3" t="s">
        <v>622</v>
      </c>
      <c r="C10" s="80">
        <v>0.03</v>
      </c>
      <c r="D10" s="50" t="s">
        <v>129</v>
      </c>
      <c r="E10" s="50" t="s">
        <v>556</v>
      </c>
      <c r="F10"/>
    </row>
    <row r="11" spans="2:6" x14ac:dyDescent="0.35">
      <c r="B11" s="65" t="s">
        <v>134</v>
      </c>
      <c r="C11" s="79">
        <f>SUM(C5:C10)</f>
        <v>1</v>
      </c>
      <c r="D11" s="9"/>
      <c r="E11" s="5"/>
      <c r="F11" s="5"/>
    </row>
    <row r="14" spans="2:6" x14ac:dyDescent="0.35">
      <c r="B14" s="63" t="s">
        <v>533</v>
      </c>
    </row>
    <row r="16" spans="2:6" x14ac:dyDescent="0.35">
      <c r="B16" s="4" t="s">
        <v>532</v>
      </c>
      <c r="C16" s="64" t="s">
        <v>0</v>
      </c>
      <c r="D16"/>
    </row>
    <row r="17" spans="2:6" x14ac:dyDescent="0.35">
      <c r="B17" s="3" t="s">
        <v>118</v>
      </c>
      <c r="C17" s="50">
        <v>282530</v>
      </c>
      <c r="D17"/>
    </row>
    <row r="20" spans="2:6" x14ac:dyDescent="0.35">
      <c r="B20" s="63" t="s">
        <v>534</v>
      </c>
    </row>
    <row r="22" spans="2:6" x14ac:dyDescent="0.35">
      <c r="B22" s="4" t="s">
        <v>535</v>
      </c>
      <c r="C22" s="64" t="s">
        <v>541</v>
      </c>
      <c r="D22" s="66" t="s">
        <v>623</v>
      </c>
      <c r="E22" s="64" t="s">
        <v>162</v>
      </c>
      <c r="F22" s="64" t="s">
        <v>127</v>
      </c>
    </row>
    <row r="23" spans="2:6" x14ac:dyDescent="0.35">
      <c r="B23" s="3" t="s">
        <v>137</v>
      </c>
      <c r="C23" s="80">
        <v>0.63819999999999999</v>
      </c>
      <c r="D23" s="71">
        <v>63800</v>
      </c>
      <c r="E23" s="68">
        <v>2021</v>
      </c>
      <c r="F23" s="68" t="s">
        <v>167</v>
      </c>
    </row>
    <row r="24" spans="2:6" x14ac:dyDescent="0.35">
      <c r="B24" s="3" t="s">
        <v>141</v>
      </c>
      <c r="C24" s="80">
        <v>0.2006</v>
      </c>
      <c r="D24" s="71">
        <v>20058</v>
      </c>
      <c r="E24" s="68">
        <v>2021</v>
      </c>
      <c r="F24" s="68" t="s">
        <v>167</v>
      </c>
    </row>
    <row r="25" spans="2:6" x14ac:dyDescent="0.35">
      <c r="B25" s="3" t="s">
        <v>156</v>
      </c>
      <c r="C25" s="80">
        <v>8.8000000000000009E-2</v>
      </c>
      <c r="D25" s="71">
        <v>8799</v>
      </c>
      <c r="E25" s="68">
        <v>2021</v>
      </c>
      <c r="F25" s="68" t="s">
        <v>167</v>
      </c>
    </row>
    <row r="26" spans="2:6" x14ac:dyDescent="0.35">
      <c r="B26" s="3" t="s">
        <v>138</v>
      </c>
      <c r="C26" s="80">
        <v>7.2099999999999997E-2</v>
      </c>
      <c r="D26" s="71">
        <v>7212</v>
      </c>
      <c r="E26" s="68">
        <v>2021</v>
      </c>
      <c r="F26" s="68" t="s">
        <v>167</v>
      </c>
    </row>
    <row r="27" spans="2:6" x14ac:dyDescent="0.35">
      <c r="B27" s="3" t="s">
        <v>140</v>
      </c>
      <c r="C27" s="80">
        <v>1E-3</v>
      </c>
      <c r="D27" s="71">
        <v>100</v>
      </c>
      <c r="E27" s="68">
        <v>2021</v>
      </c>
      <c r="F27" s="68" t="s">
        <v>167</v>
      </c>
    </row>
    <row r="28" spans="2:6" x14ac:dyDescent="0.35">
      <c r="B28" s="65" t="s">
        <v>134</v>
      </c>
      <c r="C28" s="69">
        <f>SUM(C23:C27)</f>
        <v>0.9998999999999999</v>
      </c>
      <c r="D28" s="72">
        <f>SUM(D23:D27)</f>
        <v>99969</v>
      </c>
      <c r="E28" s="34"/>
      <c r="F28" s="34"/>
    </row>
    <row r="29" spans="2:6" x14ac:dyDescent="0.35">
      <c r="D29" s="11"/>
    </row>
    <row r="30" spans="2:6" x14ac:dyDescent="0.35">
      <c r="B30" s="96" t="s">
        <v>624</v>
      </c>
      <c r="D30" s="11"/>
    </row>
    <row r="33" spans="2:6" x14ac:dyDescent="0.35">
      <c r="B33" s="2" t="s">
        <v>536</v>
      </c>
    </row>
    <row r="35" spans="2:6" x14ac:dyDescent="0.35">
      <c r="B35" s="4" t="s">
        <v>538</v>
      </c>
      <c r="C35" s="64" t="s">
        <v>548</v>
      </c>
      <c r="D35" s="74" t="s">
        <v>537</v>
      </c>
      <c r="E35" s="74" t="s">
        <v>549</v>
      </c>
      <c r="F35" s="74" t="s">
        <v>127</v>
      </c>
    </row>
    <row r="36" spans="2:6" ht="29" x14ac:dyDescent="0.35">
      <c r="B36" s="73" t="s">
        <v>119</v>
      </c>
      <c r="C36" s="92">
        <v>34.32</v>
      </c>
      <c r="D36" s="75" t="s">
        <v>625</v>
      </c>
      <c r="E36" s="75" t="s">
        <v>580</v>
      </c>
      <c r="F36" s="76" t="s">
        <v>553</v>
      </c>
    </row>
    <row r="37" spans="2:6" ht="29" x14ac:dyDescent="0.35">
      <c r="B37" s="73" t="s">
        <v>118</v>
      </c>
      <c r="C37" s="92">
        <v>17.2</v>
      </c>
      <c r="D37" s="75" t="s">
        <v>626</v>
      </c>
      <c r="E37" s="75" t="s">
        <v>580</v>
      </c>
      <c r="F37" s="76" t="s">
        <v>553</v>
      </c>
    </row>
    <row r="38" spans="2:6" x14ac:dyDescent="0.35">
      <c r="F38"/>
    </row>
    <row r="39" spans="2:6" ht="15" thickBot="1" x14ac:dyDescent="0.4">
      <c r="F39"/>
    </row>
    <row r="40" spans="2:6" x14ac:dyDescent="0.35">
      <c r="B40" s="35" t="s">
        <v>490</v>
      </c>
      <c r="C40" s="81"/>
      <c r="D40" s="93"/>
      <c r="F40"/>
    </row>
    <row r="41" spans="2:6" x14ac:dyDescent="0.35">
      <c r="B41" s="84"/>
      <c r="D41" s="94"/>
      <c r="F41"/>
    </row>
    <row r="42" spans="2:6" x14ac:dyDescent="0.35">
      <c r="B42" s="86" t="s">
        <v>554</v>
      </c>
      <c r="D42" s="94"/>
    </row>
    <row r="43" spans="2:6" x14ac:dyDescent="0.35">
      <c r="B43" s="86" t="s">
        <v>552</v>
      </c>
      <c r="D43" s="94"/>
    </row>
    <row r="44" spans="2:6" ht="15" thickBot="1" x14ac:dyDescent="0.4">
      <c r="B44" s="87" t="s">
        <v>551</v>
      </c>
      <c r="C44" s="88"/>
      <c r="D44" s="9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D96A-852D-4AD0-B3DC-F5E30F1C251A}">
  <sheetPr>
    <tabColor theme="4" tint="0.59999389629810485"/>
  </sheetPr>
  <dimension ref="B1:F74"/>
  <sheetViews>
    <sheetView showGridLines="0" zoomScaleNormal="100" workbookViewId="0">
      <selection activeCell="C7" sqref="C7"/>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222</v>
      </c>
      <c r="C5" s="80">
        <v>0.74</v>
      </c>
      <c r="D5" s="50" t="s">
        <v>129</v>
      </c>
      <c r="E5" s="50" t="s">
        <v>556</v>
      </c>
      <c r="F5"/>
    </row>
    <row r="6" spans="2:6" x14ac:dyDescent="0.35">
      <c r="B6" s="3" t="s">
        <v>223</v>
      </c>
      <c r="C6" s="80">
        <v>0.19</v>
      </c>
      <c r="D6" s="50" t="s">
        <v>129</v>
      </c>
      <c r="E6" s="50" t="s">
        <v>556</v>
      </c>
      <c r="F6"/>
    </row>
    <row r="7" spans="2:6" x14ac:dyDescent="0.35">
      <c r="B7" s="3" t="s">
        <v>224</v>
      </c>
      <c r="C7" s="80">
        <v>0.03</v>
      </c>
      <c r="D7" s="50" t="s">
        <v>129</v>
      </c>
      <c r="E7" s="50" t="s">
        <v>556</v>
      </c>
      <c r="F7"/>
    </row>
    <row r="8" spans="2:6" x14ac:dyDescent="0.35">
      <c r="B8" s="3" t="s">
        <v>225</v>
      </c>
      <c r="C8" s="80">
        <v>0.03</v>
      </c>
      <c r="D8" s="50" t="s">
        <v>129</v>
      </c>
      <c r="E8" s="50" t="s">
        <v>556</v>
      </c>
      <c r="F8"/>
    </row>
    <row r="9" spans="2:6" x14ac:dyDescent="0.35">
      <c r="B9" s="3" t="s">
        <v>226</v>
      </c>
      <c r="C9" s="80">
        <v>0.01</v>
      </c>
      <c r="D9" s="50" t="s">
        <v>129</v>
      </c>
      <c r="E9" s="50" t="s">
        <v>556</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ht="29" x14ac:dyDescent="0.35">
      <c r="B16" s="3" t="s">
        <v>27</v>
      </c>
      <c r="C16" s="50">
        <v>720241</v>
      </c>
      <c r="D16"/>
    </row>
    <row r="17" spans="2:6" ht="29" x14ac:dyDescent="0.35">
      <c r="B17" s="3" t="s">
        <v>28</v>
      </c>
      <c r="C17" s="50">
        <v>720249</v>
      </c>
      <c r="D17"/>
    </row>
    <row r="18" spans="2:6" ht="29" x14ac:dyDescent="0.35">
      <c r="B18" s="3" t="s">
        <v>29</v>
      </c>
      <c r="C18" s="50">
        <v>811221</v>
      </c>
      <c r="D18"/>
    </row>
    <row r="21" spans="2:6" x14ac:dyDescent="0.35">
      <c r="B21" s="63" t="s">
        <v>534</v>
      </c>
    </row>
    <row r="23" spans="2:6" x14ac:dyDescent="0.35">
      <c r="B23" s="4" t="s">
        <v>531</v>
      </c>
      <c r="C23" s="64" t="s">
        <v>541</v>
      </c>
      <c r="D23" s="66" t="s">
        <v>628</v>
      </c>
      <c r="E23" s="64" t="s">
        <v>162</v>
      </c>
      <c r="F23" s="64" t="s">
        <v>127</v>
      </c>
    </row>
    <row r="24" spans="2:6" x14ac:dyDescent="0.35">
      <c r="B24" s="10" t="s">
        <v>156</v>
      </c>
      <c r="C24" s="91">
        <v>0.51800000000000002</v>
      </c>
      <c r="D24" s="67">
        <v>7605500</v>
      </c>
      <c r="E24" s="68">
        <v>2021</v>
      </c>
      <c r="F24" s="68" t="s">
        <v>167</v>
      </c>
    </row>
    <row r="25" spans="2:6" x14ac:dyDescent="0.35">
      <c r="B25" s="10" t="s">
        <v>144</v>
      </c>
      <c r="C25" s="91">
        <v>0.13</v>
      </c>
      <c r="D25" s="67">
        <v>1901500</v>
      </c>
      <c r="E25" s="68">
        <v>2021</v>
      </c>
      <c r="F25" s="68" t="s">
        <v>167</v>
      </c>
    </row>
    <row r="26" spans="2:6" x14ac:dyDescent="0.35">
      <c r="B26" s="10" t="s">
        <v>140</v>
      </c>
      <c r="C26" s="91">
        <v>0.11600000000000001</v>
      </c>
      <c r="D26" s="67">
        <v>1698900</v>
      </c>
      <c r="E26" s="68">
        <v>2021</v>
      </c>
      <c r="F26" s="68" t="s">
        <v>167</v>
      </c>
    </row>
    <row r="27" spans="2:6" x14ac:dyDescent="0.35">
      <c r="B27" s="10" t="s">
        <v>169</v>
      </c>
      <c r="C27" s="91">
        <v>8.4000000000000005E-2</v>
      </c>
      <c r="D27" s="67">
        <v>1227900</v>
      </c>
      <c r="E27" s="68">
        <v>2021</v>
      </c>
      <c r="F27" s="68" t="s">
        <v>167</v>
      </c>
    </row>
    <row r="28" spans="2:6" x14ac:dyDescent="0.35">
      <c r="B28" s="10" t="s">
        <v>227</v>
      </c>
      <c r="C28" s="91">
        <v>4.3999999999999997E-2</v>
      </c>
      <c r="D28" s="67">
        <v>644400</v>
      </c>
      <c r="E28" s="68">
        <v>2021</v>
      </c>
      <c r="F28" s="68" t="s">
        <v>167</v>
      </c>
    </row>
    <row r="29" spans="2:6" x14ac:dyDescent="0.35">
      <c r="B29" s="10" t="s">
        <v>228</v>
      </c>
      <c r="C29" s="91">
        <v>3.2000000000000001E-2</v>
      </c>
      <c r="D29" s="67">
        <v>472890</v>
      </c>
      <c r="E29" s="68">
        <v>2021</v>
      </c>
      <c r="F29" s="68" t="s">
        <v>167</v>
      </c>
    </row>
    <row r="30" spans="2:6" x14ac:dyDescent="0.35">
      <c r="B30" s="10" t="s">
        <v>138</v>
      </c>
      <c r="C30" s="91">
        <v>1.7000000000000001E-2</v>
      </c>
      <c r="D30" s="67">
        <v>248108</v>
      </c>
      <c r="E30" s="68">
        <v>2021</v>
      </c>
      <c r="F30" s="68" t="s">
        <v>167</v>
      </c>
    </row>
    <row r="31" spans="2:6" x14ac:dyDescent="0.35">
      <c r="B31" s="10" t="s">
        <v>229</v>
      </c>
      <c r="C31" s="91">
        <v>1.4999999999999999E-2</v>
      </c>
      <c r="D31" s="67">
        <v>225200</v>
      </c>
      <c r="E31" s="68">
        <v>2021</v>
      </c>
      <c r="F31" s="68" t="s">
        <v>167</v>
      </c>
    </row>
    <row r="32" spans="2:6" x14ac:dyDescent="0.35">
      <c r="B32" s="10" t="s">
        <v>230</v>
      </c>
      <c r="C32" s="91">
        <v>1.2999999999999999E-2</v>
      </c>
      <c r="D32" s="67">
        <v>195540</v>
      </c>
      <c r="E32" s="68">
        <v>2021</v>
      </c>
      <c r="F32" s="68" t="s">
        <v>167</v>
      </c>
    </row>
    <row r="33" spans="2:6" x14ac:dyDescent="0.35">
      <c r="B33" s="10" t="s">
        <v>141</v>
      </c>
      <c r="C33" s="91">
        <v>1.0999999999999999E-2</v>
      </c>
      <c r="D33" s="67">
        <v>167360</v>
      </c>
      <c r="E33" s="68">
        <v>2021</v>
      </c>
      <c r="F33" s="68" t="s">
        <v>167</v>
      </c>
    </row>
    <row r="34" spans="2:6" x14ac:dyDescent="0.35">
      <c r="B34" s="10" t="s">
        <v>172</v>
      </c>
      <c r="C34" s="91">
        <v>6.0000000000000001E-3</v>
      </c>
      <c r="D34" s="67">
        <v>85620</v>
      </c>
      <c r="E34" s="68">
        <v>2021</v>
      </c>
      <c r="F34" s="68" t="s">
        <v>167</v>
      </c>
    </row>
    <row r="35" spans="2:6" x14ac:dyDescent="0.35">
      <c r="B35" s="10" t="s">
        <v>137</v>
      </c>
      <c r="C35" s="91">
        <v>5.0000000000000001E-3</v>
      </c>
      <c r="D35" s="67">
        <v>67620</v>
      </c>
      <c r="E35" s="68">
        <v>2021</v>
      </c>
      <c r="F35" s="68" t="s">
        <v>167</v>
      </c>
    </row>
    <row r="36" spans="2:6" x14ac:dyDescent="0.35">
      <c r="B36" s="10" t="s">
        <v>231</v>
      </c>
      <c r="C36" s="91">
        <v>4.0000000000000001E-3</v>
      </c>
      <c r="D36" s="67">
        <v>56050</v>
      </c>
      <c r="E36" s="68">
        <v>2021</v>
      </c>
      <c r="F36" s="68" t="s">
        <v>167</v>
      </c>
    </row>
    <row r="37" spans="2:6" x14ac:dyDescent="0.35">
      <c r="B37" s="10" t="s">
        <v>232</v>
      </c>
      <c r="C37" s="91">
        <v>3.0000000000000001E-3</v>
      </c>
      <c r="D37" s="67">
        <v>43430</v>
      </c>
      <c r="E37" s="68">
        <v>2021</v>
      </c>
      <c r="F37" s="68" t="s">
        <v>167</v>
      </c>
    </row>
    <row r="38" spans="2:6" x14ac:dyDescent="0.35">
      <c r="B38" s="10" t="s">
        <v>233</v>
      </c>
      <c r="C38" s="91">
        <v>1E-3</v>
      </c>
      <c r="D38" s="67">
        <v>12290</v>
      </c>
      <c r="E38" s="68">
        <v>2021</v>
      </c>
      <c r="F38" s="68" t="s">
        <v>167</v>
      </c>
    </row>
    <row r="39" spans="2:6" x14ac:dyDescent="0.35">
      <c r="B39" s="10" t="s">
        <v>234</v>
      </c>
      <c r="C39" s="91">
        <v>1E-3</v>
      </c>
      <c r="D39" s="67">
        <v>8500</v>
      </c>
      <c r="E39" s="68">
        <v>2021</v>
      </c>
      <c r="F39" s="68" t="s">
        <v>167</v>
      </c>
    </row>
    <row r="40" spans="2:6" x14ac:dyDescent="0.35">
      <c r="B40" s="10" t="s">
        <v>191</v>
      </c>
      <c r="C40" s="91">
        <v>0</v>
      </c>
      <c r="D40" s="67">
        <v>5900</v>
      </c>
      <c r="E40" s="68">
        <v>2021</v>
      </c>
      <c r="F40" s="68" t="s">
        <v>167</v>
      </c>
    </row>
    <row r="41" spans="2:6" x14ac:dyDescent="0.35">
      <c r="B41" s="10" t="s">
        <v>235</v>
      </c>
      <c r="C41" s="91">
        <v>0</v>
      </c>
      <c r="D41" s="67">
        <v>5300</v>
      </c>
      <c r="E41" s="68">
        <v>2021</v>
      </c>
      <c r="F41" s="68" t="s">
        <v>167</v>
      </c>
    </row>
    <row r="42" spans="2:6" x14ac:dyDescent="0.35">
      <c r="B42" s="10" t="s">
        <v>236</v>
      </c>
      <c r="C42" s="91">
        <v>0</v>
      </c>
      <c r="D42" s="67">
        <v>2700</v>
      </c>
      <c r="E42" s="68">
        <v>2021</v>
      </c>
      <c r="F42" s="68" t="s">
        <v>167</v>
      </c>
    </row>
    <row r="43" spans="2:6" x14ac:dyDescent="0.35">
      <c r="B43" s="10" t="s">
        <v>237</v>
      </c>
      <c r="C43" s="91">
        <v>0</v>
      </c>
      <c r="D43" s="67">
        <v>800</v>
      </c>
      <c r="E43" s="68">
        <v>2021</v>
      </c>
      <c r="F43" s="68" t="s">
        <v>167</v>
      </c>
    </row>
    <row r="44" spans="2:6" x14ac:dyDescent="0.35">
      <c r="B44" s="10" t="s">
        <v>238</v>
      </c>
      <c r="C44" s="91">
        <v>0</v>
      </c>
      <c r="D44" s="67">
        <v>700</v>
      </c>
      <c r="E44" s="68">
        <v>2021</v>
      </c>
      <c r="F44" s="68" t="s">
        <v>167</v>
      </c>
    </row>
    <row r="45" spans="2:6" x14ac:dyDescent="0.35">
      <c r="B45" s="65" t="s">
        <v>134</v>
      </c>
      <c r="C45" s="69">
        <f>SUM(C24:C44)</f>
        <v>1</v>
      </c>
      <c r="D45" s="70">
        <f>SUM(D24:D44)</f>
        <v>14676208</v>
      </c>
      <c r="E45" s="34"/>
      <c r="F45" s="34"/>
    </row>
    <row r="48" spans="2:6" x14ac:dyDescent="0.35">
      <c r="B48" s="4" t="s">
        <v>535</v>
      </c>
      <c r="C48" s="64" t="s">
        <v>541</v>
      </c>
      <c r="D48" s="66" t="s">
        <v>629</v>
      </c>
      <c r="E48" s="64" t="s">
        <v>162</v>
      </c>
      <c r="F48" s="64" t="s">
        <v>127</v>
      </c>
    </row>
    <row r="49" spans="2:6" x14ac:dyDescent="0.35">
      <c r="B49" s="3" t="s">
        <v>137</v>
      </c>
      <c r="C49" s="80">
        <v>0.40400000000000003</v>
      </c>
      <c r="D49" s="71">
        <v>3037524.5</v>
      </c>
      <c r="E49" s="68" t="s">
        <v>129</v>
      </c>
      <c r="F49" s="68" t="s">
        <v>556</v>
      </c>
    </row>
    <row r="50" spans="2:6" x14ac:dyDescent="0.35">
      <c r="B50" s="3" t="s">
        <v>156</v>
      </c>
      <c r="C50" s="80">
        <v>0.24099999999999999</v>
      </c>
      <c r="D50" s="71">
        <v>1811988.625</v>
      </c>
      <c r="E50" s="68" t="s">
        <v>129</v>
      </c>
      <c r="F50" s="68" t="s">
        <v>556</v>
      </c>
    </row>
    <row r="51" spans="2:6" x14ac:dyDescent="0.35">
      <c r="B51" s="3" t="s">
        <v>144</v>
      </c>
      <c r="C51" s="80">
        <v>0.13900000000000001</v>
      </c>
      <c r="D51" s="71">
        <v>1045088.8750000001</v>
      </c>
      <c r="E51" s="68" t="s">
        <v>129</v>
      </c>
      <c r="F51" s="68" t="s">
        <v>556</v>
      </c>
    </row>
    <row r="52" spans="2:6" x14ac:dyDescent="0.35">
      <c r="B52" s="3" t="s">
        <v>140</v>
      </c>
      <c r="C52" s="80">
        <v>8.7999999999999995E-2</v>
      </c>
      <c r="D52" s="71">
        <v>661639</v>
      </c>
      <c r="E52" s="68" t="s">
        <v>129</v>
      </c>
      <c r="F52" s="68" t="s">
        <v>556</v>
      </c>
    </row>
    <row r="53" spans="2:6" x14ac:dyDescent="0.35">
      <c r="B53" s="3" t="s">
        <v>228</v>
      </c>
      <c r="C53" s="80">
        <v>3.4000000000000002E-2</v>
      </c>
      <c r="D53" s="71">
        <v>255633.25000000003</v>
      </c>
      <c r="E53" s="68" t="s">
        <v>129</v>
      </c>
      <c r="F53" s="68" t="s">
        <v>556</v>
      </c>
    </row>
    <row r="54" spans="2:6" x14ac:dyDescent="0.35">
      <c r="B54" s="3" t="s">
        <v>141</v>
      </c>
      <c r="C54" s="80">
        <v>3.3000000000000002E-2</v>
      </c>
      <c r="D54" s="71">
        <v>248114.625</v>
      </c>
      <c r="E54" s="68" t="s">
        <v>129</v>
      </c>
      <c r="F54" s="68" t="s">
        <v>556</v>
      </c>
    </row>
    <row r="55" spans="2:6" x14ac:dyDescent="0.35">
      <c r="B55" s="3" t="s">
        <v>138</v>
      </c>
      <c r="C55" s="80">
        <v>1.2E-2</v>
      </c>
      <c r="D55" s="71">
        <v>90223.5</v>
      </c>
      <c r="E55" s="68" t="s">
        <v>129</v>
      </c>
      <c r="F55" s="68" t="s">
        <v>556</v>
      </c>
    </row>
    <row r="56" spans="2:6" x14ac:dyDescent="0.35">
      <c r="B56" s="3" t="s">
        <v>169</v>
      </c>
      <c r="C56" s="80">
        <v>1.0999999999999999E-2</v>
      </c>
      <c r="D56" s="71">
        <v>82704.875</v>
      </c>
      <c r="E56" s="68" t="s">
        <v>129</v>
      </c>
      <c r="F56" s="68" t="s">
        <v>556</v>
      </c>
    </row>
    <row r="57" spans="2:6" x14ac:dyDescent="0.35">
      <c r="B57" s="3" t="s">
        <v>227</v>
      </c>
      <c r="C57" s="80">
        <v>1.0999999999999999E-2</v>
      </c>
      <c r="D57" s="71">
        <v>82704.875</v>
      </c>
      <c r="E57" s="68" t="s">
        <v>129</v>
      </c>
      <c r="F57" s="68" t="s">
        <v>556</v>
      </c>
    </row>
    <row r="58" spans="2:6" x14ac:dyDescent="0.35">
      <c r="B58" s="3" t="s">
        <v>565</v>
      </c>
      <c r="C58" s="80">
        <v>2.7E-2</v>
      </c>
      <c r="D58" s="71">
        <v>203002.875</v>
      </c>
      <c r="E58" s="68" t="s">
        <v>129</v>
      </c>
      <c r="F58" s="68" t="s">
        <v>556</v>
      </c>
    </row>
    <row r="59" spans="2:6" x14ac:dyDescent="0.35">
      <c r="B59" s="65" t="s">
        <v>134</v>
      </c>
      <c r="C59" s="69">
        <f>SUM(C49:C58)</f>
        <v>1</v>
      </c>
      <c r="D59" s="72">
        <f>SUM(D49:D58)</f>
        <v>7518625</v>
      </c>
      <c r="E59" s="34"/>
      <c r="F59" s="34"/>
    </row>
    <row r="60" spans="2:6" x14ac:dyDescent="0.35">
      <c r="D60" s="11"/>
    </row>
    <row r="61" spans="2:6" x14ac:dyDescent="0.35">
      <c r="B61" s="77" t="s">
        <v>558</v>
      </c>
      <c r="D61" s="11"/>
    </row>
    <row r="64" spans="2:6" x14ac:dyDescent="0.35">
      <c r="B64" s="2" t="s">
        <v>536</v>
      </c>
    </row>
    <row r="66" spans="2:6" x14ac:dyDescent="0.35">
      <c r="B66" s="4" t="s">
        <v>538</v>
      </c>
      <c r="C66" s="64" t="s">
        <v>548</v>
      </c>
      <c r="D66" s="74" t="s">
        <v>537</v>
      </c>
      <c r="E66" s="74" t="s">
        <v>549</v>
      </c>
      <c r="F66" s="74" t="s">
        <v>127</v>
      </c>
    </row>
    <row r="67" spans="2:6" ht="43.5" x14ac:dyDescent="0.35">
      <c r="B67" s="73" t="s">
        <v>630</v>
      </c>
      <c r="C67" s="92">
        <v>5.58</v>
      </c>
      <c r="D67" s="75" t="s">
        <v>631</v>
      </c>
      <c r="E67" s="75" t="s">
        <v>580</v>
      </c>
      <c r="F67" s="76" t="s">
        <v>553</v>
      </c>
    </row>
    <row r="68" spans="2:6" x14ac:dyDescent="0.35">
      <c r="F68"/>
    </row>
    <row r="69" spans="2:6" ht="15" thickBot="1" x14ac:dyDescent="0.4">
      <c r="F69"/>
    </row>
    <row r="70" spans="2:6" x14ac:dyDescent="0.35">
      <c r="B70" s="35" t="s">
        <v>490</v>
      </c>
      <c r="C70" s="81"/>
      <c r="D70" s="93"/>
      <c r="F70"/>
    </row>
    <row r="71" spans="2:6" x14ac:dyDescent="0.35">
      <c r="B71" s="84"/>
      <c r="D71" s="94"/>
      <c r="F71"/>
    </row>
    <row r="72" spans="2:6" x14ac:dyDescent="0.35">
      <c r="B72" s="86" t="s">
        <v>554</v>
      </c>
      <c r="D72" s="94"/>
    </row>
    <row r="73" spans="2:6" x14ac:dyDescent="0.35">
      <c r="B73" s="86" t="s">
        <v>552</v>
      </c>
      <c r="D73" s="94"/>
    </row>
    <row r="74" spans="2:6" ht="15" thickBot="1" x14ac:dyDescent="0.4">
      <c r="B74" s="87" t="s">
        <v>551</v>
      </c>
      <c r="C74" s="88"/>
      <c r="D74" s="9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BC53-2A71-4B95-A3E4-97B8B9EFB62D}">
  <sheetPr>
    <tabColor theme="4" tint="0.59999389629810485"/>
  </sheetPr>
  <dimension ref="B1:H91"/>
  <sheetViews>
    <sheetView showGridLines="0" topLeftCell="A70" zoomScaleNormal="100" workbookViewId="0">
      <selection activeCell="F81" sqref="F81:F83"/>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222</v>
      </c>
      <c r="C5" s="80">
        <v>0.72</v>
      </c>
      <c r="D5" s="50">
        <v>2020</v>
      </c>
      <c r="E5" s="50" t="s">
        <v>666</v>
      </c>
      <c r="F5"/>
    </row>
    <row r="6" spans="2:6" x14ac:dyDescent="0.35">
      <c r="B6" s="3" t="s">
        <v>339</v>
      </c>
      <c r="C6" s="80">
        <v>7.0000000000000007E-2</v>
      </c>
      <c r="D6" s="50">
        <v>2020</v>
      </c>
      <c r="E6" s="50" t="s">
        <v>666</v>
      </c>
      <c r="F6"/>
    </row>
    <row r="7" spans="2:6" x14ac:dyDescent="0.35">
      <c r="B7" s="3" t="s">
        <v>340</v>
      </c>
      <c r="C7" s="80">
        <v>7.0000000000000007E-2</v>
      </c>
      <c r="D7" s="50">
        <v>2020</v>
      </c>
      <c r="E7" s="50" t="s">
        <v>666</v>
      </c>
      <c r="F7"/>
    </row>
    <row r="8" spans="2:6" x14ac:dyDescent="0.35">
      <c r="B8" s="3" t="s">
        <v>213</v>
      </c>
      <c r="C8" s="80">
        <v>7.0000000000000007E-2</v>
      </c>
      <c r="D8" s="50">
        <v>2020</v>
      </c>
      <c r="E8" s="50" t="s">
        <v>666</v>
      </c>
      <c r="F8"/>
    </row>
    <row r="9" spans="2:6" x14ac:dyDescent="0.35">
      <c r="B9" s="3" t="s">
        <v>341</v>
      </c>
      <c r="C9" s="80">
        <v>0.06</v>
      </c>
      <c r="D9" s="50">
        <v>2020</v>
      </c>
      <c r="E9" s="50" t="s">
        <v>666</v>
      </c>
      <c r="F9"/>
    </row>
    <row r="10" spans="2:6" x14ac:dyDescent="0.35">
      <c r="B10" s="3" t="s">
        <v>241</v>
      </c>
      <c r="C10" s="80">
        <v>0.01</v>
      </c>
      <c r="D10" s="50">
        <v>2020</v>
      </c>
      <c r="E10" s="50" t="s">
        <v>666</v>
      </c>
      <c r="F10"/>
    </row>
    <row r="11" spans="2:6" x14ac:dyDescent="0.35">
      <c r="B11" s="65" t="s">
        <v>134</v>
      </c>
      <c r="C11" s="79">
        <f>SUM(C5:C10)</f>
        <v>1.0000000000000002</v>
      </c>
      <c r="D11" s="9"/>
      <c r="E11" s="5"/>
      <c r="F11" s="5"/>
    </row>
    <row r="14" spans="2:6" x14ac:dyDescent="0.35">
      <c r="B14" s="63" t="s">
        <v>533</v>
      </c>
    </row>
    <row r="16" spans="2:6" x14ac:dyDescent="0.35">
      <c r="B16" s="4" t="s">
        <v>532</v>
      </c>
      <c r="C16" s="64" t="s">
        <v>0</v>
      </c>
      <c r="D16"/>
    </row>
    <row r="17" spans="2:6" x14ac:dyDescent="0.35">
      <c r="B17" s="3" t="s">
        <v>82</v>
      </c>
      <c r="C17" s="50">
        <v>282540</v>
      </c>
      <c r="D17"/>
    </row>
    <row r="18" spans="2:6" x14ac:dyDescent="0.35">
      <c r="B18" s="3" t="s">
        <v>83</v>
      </c>
      <c r="C18" s="50">
        <v>283324</v>
      </c>
      <c r="D18"/>
    </row>
    <row r="19" spans="2:6" x14ac:dyDescent="0.35">
      <c r="B19" s="3" t="s">
        <v>84</v>
      </c>
      <c r="C19" s="50">
        <v>720260</v>
      </c>
      <c r="D19"/>
    </row>
    <row r="20" spans="2:6" x14ac:dyDescent="0.35">
      <c r="B20" s="3" t="s">
        <v>85</v>
      </c>
      <c r="C20" s="50">
        <v>750210</v>
      </c>
      <c r="D20"/>
    </row>
    <row r="21" spans="2:6" x14ac:dyDescent="0.35">
      <c r="B21" s="3" t="s">
        <v>86</v>
      </c>
      <c r="C21" s="50">
        <v>750220</v>
      </c>
      <c r="D21"/>
    </row>
    <row r="24" spans="2:6" x14ac:dyDescent="0.35">
      <c r="B24" s="63" t="s">
        <v>534</v>
      </c>
    </row>
    <row r="26" spans="2:6" x14ac:dyDescent="0.35">
      <c r="B26" s="4" t="s">
        <v>531</v>
      </c>
      <c r="C26" s="64" t="s">
        <v>541</v>
      </c>
      <c r="D26" s="66" t="s">
        <v>667</v>
      </c>
      <c r="E26" s="64" t="s">
        <v>162</v>
      </c>
      <c r="F26" s="64" t="s">
        <v>127</v>
      </c>
    </row>
    <row r="27" spans="2:6" x14ac:dyDescent="0.35">
      <c r="B27" s="10" t="s">
        <v>139</v>
      </c>
      <c r="C27" s="91">
        <v>0.41720000000000002</v>
      </c>
      <c r="D27" s="67">
        <v>1173200</v>
      </c>
      <c r="E27" s="68">
        <v>2021</v>
      </c>
      <c r="F27" s="68" t="s">
        <v>167</v>
      </c>
    </row>
    <row r="28" spans="2:6" x14ac:dyDescent="0.35">
      <c r="B28" s="10" t="s">
        <v>233</v>
      </c>
      <c r="C28" s="91">
        <v>0.13739999999999999</v>
      </c>
      <c r="D28" s="67">
        <v>386359</v>
      </c>
      <c r="E28" s="68">
        <v>2021</v>
      </c>
      <c r="F28" s="68" t="s">
        <v>167</v>
      </c>
    </row>
    <row r="29" spans="2:6" x14ac:dyDescent="0.35">
      <c r="B29" s="10" t="s">
        <v>141</v>
      </c>
      <c r="C29" s="91">
        <v>6.83E-2</v>
      </c>
      <c r="D29" s="67">
        <v>192000</v>
      </c>
      <c r="E29" s="68">
        <v>2021</v>
      </c>
      <c r="F29" s="68" t="s">
        <v>167</v>
      </c>
    </row>
    <row r="30" spans="2:6" x14ac:dyDescent="0.35">
      <c r="B30" s="10" t="s">
        <v>243</v>
      </c>
      <c r="C30" s="91">
        <v>6.6199999999999995E-2</v>
      </c>
      <c r="D30" s="67">
        <v>186284</v>
      </c>
      <c r="E30" s="68">
        <v>2021</v>
      </c>
      <c r="F30" s="68" t="s">
        <v>167</v>
      </c>
    </row>
    <row r="31" spans="2:6" x14ac:dyDescent="0.35">
      <c r="B31" s="10" t="s">
        <v>135</v>
      </c>
      <c r="C31" s="91">
        <v>5.3600000000000002E-2</v>
      </c>
      <c r="D31" s="67">
        <v>150876</v>
      </c>
      <c r="E31" s="68">
        <v>2021</v>
      </c>
      <c r="F31" s="68" t="s">
        <v>167</v>
      </c>
    </row>
    <row r="32" spans="2:6" x14ac:dyDescent="0.35">
      <c r="B32" s="10" t="s">
        <v>150</v>
      </c>
      <c r="C32" s="91">
        <v>4.7500000000000001E-2</v>
      </c>
      <c r="D32" s="67">
        <v>133581</v>
      </c>
      <c r="E32" s="68">
        <v>2021</v>
      </c>
      <c r="F32" s="68" t="s">
        <v>167</v>
      </c>
    </row>
    <row r="33" spans="2:6" x14ac:dyDescent="0.35">
      <c r="B33" s="10" t="s">
        <v>137</v>
      </c>
      <c r="C33" s="91">
        <v>3.7200000000000004E-2</v>
      </c>
      <c r="D33" s="67">
        <v>104600</v>
      </c>
      <c r="E33" s="68">
        <v>2021</v>
      </c>
      <c r="F33" s="68" t="s">
        <v>167</v>
      </c>
    </row>
    <row r="34" spans="2:6" x14ac:dyDescent="0.35">
      <c r="B34" s="10" t="s">
        <v>138</v>
      </c>
      <c r="C34" s="91">
        <v>2.7000000000000003E-2</v>
      </c>
      <c r="D34" s="67">
        <v>75988</v>
      </c>
      <c r="E34" s="68">
        <v>2021</v>
      </c>
      <c r="F34" s="68" t="s">
        <v>167</v>
      </c>
    </row>
    <row r="35" spans="2:6" x14ac:dyDescent="0.35">
      <c r="B35" s="10" t="s">
        <v>343</v>
      </c>
      <c r="C35" s="91">
        <v>2.1000000000000001E-2</v>
      </c>
      <c r="D35" s="67">
        <v>59100</v>
      </c>
      <c r="E35" s="68">
        <v>2021</v>
      </c>
      <c r="F35" s="68" t="s">
        <v>167</v>
      </c>
    </row>
    <row r="36" spans="2:6" x14ac:dyDescent="0.35">
      <c r="B36" s="10" t="s">
        <v>234</v>
      </c>
      <c r="C36" s="91">
        <v>1.6E-2</v>
      </c>
      <c r="D36" s="67">
        <v>45000</v>
      </c>
      <c r="E36" s="68">
        <v>2021</v>
      </c>
      <c r="F36" s="68" t="s">
        <v>167</v>
      </c>
    </row>
    <row r="37" spans="2:6" x14ac:dyDescent="0.35">
      <c r="B37" s="10" t="s">
        <v>228</v>
      </c>
      <c r="C37" s="91">
        <v>1.4999999999999999E-2</v>
      </c>
      <c r="D37" s="67">
        <v>42163</v>
      </c>
      <c r="E37" s="68">
        <v>2021</v>
      </c>
      <c r="F37" s="68" t="s">
        <v>167</v>
      </c>
    </row>
    <row r="38" spans="2:6" x14ac:dyDescent="0.35">
      <c r="B38" s="10" t="s">
        <v>271</v>
      </c>
      <c r="C38" s="91">
        <v>1.3600000000000001E-2</v>
      </c>
      <c r="D38" s="67">
        <v>38301</v>
      </c>
      <c r="E38" s="68">
        <v>2021</v>
      </c>
      <c r="F38" s="68" t="s">
        <v>167</v>
      </c>
    </row>
    <row r="39" spans="2:6" x14ac:dyDescent="0.35">
      <c r="B39" s="10" t="s">
        <v>156</v>
      </c>
      <c r="C39" s="91">
        <v>1.1299999999999999E-2</v>
      </c>
      <c r="D39" s="67">
        <v>31846</v>
      </c>
      <c r="E39" s="68">
        <v>2021</v>
      </c>
      <c r="F39" s="68" t="s">
        <v>167</v>
      </c>
    </row>
    <row r="40" spans="2:6" x14ac:dyDescent="0.35">
      <c r="B40" s="10" t="s">
        <v>232</v>
      </c>
      <c r="C40" s="91">
        <v>1.1200000000000002E-2</v>
      </c>
      <c r="D40" s="67">
        <v>31594</v>
      </c>
      <c r="E40" s="68">
        <v>2021</v>
      </c>
      <c r="F40" s="68" t="s">
        <v>167</v>
      </c>
    </row>
    <row r="41" spans="2:6" x14ac:dyDescent="0.35">
      <c r="B41" s="10" t="s">
        <v>275</v>
      </c>
      <c r="C41" s="91">
        <v>9.8999999999999991E-3</v>
      </c>
      <c r="D41" s="67">
        <v>27819</v>
      </c>
      <c r="E41" s="68">
        <v>2021</v>
      </c>
      <c r="F41" s="68" t="s">
        <v>167</v>
      </c>
    </row>
    <row r="42" spans="2:6" x14ac:dyDescent="0.35">
      <c r="B42" s="10" t="s">
        <v>191</v>
      </c>
      <c r="C42" s="91">
        <v>9.8999999999999991E-3</v>
      </c>
      <c r="D42" s="67">
        <v>27710</v>
      </c>
      <c r="E42" s="68">
        <v>2021</v>
      </c>
      <c r="F42" s="68" t="s">
        <v>167</v>
      </c>
    </row>
    <row r="43" spans="2:6" x14ac:dyDescent="0.35">
      <c r="B43" s="10" t="s">
        <v>289</v>
      </c>
      <c r="C43" s="91">
        <v>8.0000000000000002E-3</v>
      </c>
      <c r="D43" s="67">
        <v>22500</v>
      </c>
      <c r="E43" s="68">
        <v>2021</v>
      </c>
      <c r="F43" s="68" t="s">
        <v>167</v>
      </c>
    </row>
    <row r="44" spans="2:6" x14ac:dyDescent="0.35">
      <c r="B44" s="10" t="s">
        <v>154</v>
      </c>
      <c r="C44" s="91">
        <v>6.5000000000000006E-3</v>
      </c>
      <c r="D44" s="67">
        <v>18400</v>
      </c>
      <c r="E44" s="68">
        <v>2021</v>
      </c>
      <c r="F44" s="68" t="s">
        <v>167</v>
      </c>
    </row>
    <row r="45" spans="2:6" x14ac:dyDescent="0.35">
      <c r="B45" s="10" t="s">
        <v>171</v>
      </c>
      <c r="C45" s="91">
        <v>6.4000000000000003E-3</v>
      </c>
      <c r="D45" s="67">
        <v>18100</v>
      </c>
      <c r="E45" s="68">
        <v>2021</v>
      </c>
      <c r="F45" s="68" t="s">
        <v>167</v>
      </c>
    </row>
    <row r="46" spans="2:6" x14ac:dyDescent="0.35">
      <c r="B46" s="10" t="s">
        <v>227</v>
      </c>
      <c r="C46" s="91">
        <v>5.7999999999999996E-3</v>
      </c>
      <c r="D46" s="67">
        <v>16213</v>
      </c>
      <c r="E46" s="68">
        <v>2021</v>
      </c>
      <c r="F46" s="68" t="s">
        <v>167</v>
      </c>
    </row>
    <row r="47" spans="2:6" x14ac:dyDescent="0.35">
      <c r="B47" s="10" t="s">
        <v>169</v>
      </c>
      <c r="C47" s="91">
        <v>4.0999999999999995E-3</v>
      </c>
      <c r="D47" s="67">
        <v>11650</v>
      </c>
      <c r="E47" s="68">
        <v>2021</v>
      </c>
      <c r="F47" s="68" t="s">
        <v>167</v>
      </c>
    </row>
    <row r="48" spans="2:6" x14ac:dyDescent="0.35">
      <c r="B48" s="10" t="s">
        <v>237</v>
      </c>
      <c r="C48" s="91">
        <v>1.9E-3</v>
      </c>
      <c r="D48" s="67">
        <v>5370</v>
      </c>
      <c r="E48" s="68">
        <v>2021</v>
      </c>
      <c r="F48" s="68" t="s">
        <v>167</v>
      </c>
    </row>
    <row r="49" spans="2:8" x14ac:dyDescent="0.35">
      <c r="B49" s="10" t="s">
        <v>344</v>
      </c>
      <c r="C49" s="91">
        <v>1.8E-3</v>
      </c>
      <c r="D49" s="67">
        <v>4960</v>
      </c>
      <c r="E49" s="68">
        <v>2021</v>
      </c>
      <c r="F49" s="68" t="s">
        <v>167</v>
      </c>
    </row>
    <row r="50" spans="2:8" x14ac:dyDescent="0.35">
      <c r="B50" s="10" t="s">
        <v>229</v>
      </c>
      <c r="C50" s="91">
        <v>1.2999999999999999E-3</v>
      </c>
      <c r="D50" s="67">
        <v>3720</v>
      </c>
      <c r="E50" s="68">
        <v>2021</v>
      </c>
      <c r="F50" s="68" t="s">
        <v>167</v>
      </c>
    </row>
    <row r="51" spans="2:8" x14ac:dyDescent="0.35">
      <c r="B51" s="10" t="s">
        <v>193</v>
      </c>
      <c r="C51" s="91">
        <v>1.2999999999999999E-3</v>
      </c>
      <c r="D51" s="67">
        <v>3680</v>
      </c>
      <c r="E51" s="68">
        <v>2021</v>
      </c>
      <c r="F51" s="68" t="s">
        <v>167</v>
      </c>
    </row>
    <row r="52" spans="2:8" x14ac:dyDescent="0.35">
      <c r="B52" s="10" t="s">
        <v>220</v>
      </c>
      <c r="C52" s="91">
        <v>2.9999999999999997E-4</v>
      </c>
      <c r="D52" s="67">
        <v>740</v>
      </c>
      <c r="E52" s="68">
        <v>2021</v>
      </c>
      <c r="F52" s="68" t="s">
        <v>167</v>
      </c>
    </row>
    <row r="53" spans="2:8" x14ac:dyDescent="0.35">
      <c r="B53" s="10" t="s">
        <v>153</v>
      </c>
      <c r="C53" s="91">
        <v>1E-4</v>
      </c>
      <c r="D53" s="67">
        <v>350</v>
      </c>
      <c r="E53" s="68">
        <v>2021</v>
      </c>
      <c r="F53" s="68" t="s">
        <v>167</v>
      </c>
    </row>
    <row r="54" spans="2:8" x14ac:dyDescent="0.35">
      <c r="B54" s="10" t="s">
        <v>242</v>
      </c>
      <c r="C54" s="91">
        <v>1E-4</v>
      </c>
      <c r="D54" s="67">
        <v>147</v>
      </c>
      <c r="E54" s="68">
        <v>2021</v>
      </c>
      <c r="F54" s="68" t="s">
        <v>167</v>
      </c>
    </row>
    <row r="55" spans="2:8" x14ac:dyDescent="0.35">
      <c r="B55" s="65" t="s">
        <v>134</v>
      </c>
      <c r="C55" s="69">
        <f>SUM(C27:C54)</f>
        <v>0.99990000000000001</v>
      </c>
      <c r="D55" s="70">
        <f>SUM(D27:D54)</f>
        <v>2812251</v>
      </c>
      <c r="E55" s="34"/>
      <c r="F55" s="34"/>
    </row>
    <row r="58" spans="2:8" x14ac:dyDescent="0.35">
      <c r="B58" s="4" t="s">
        <v>535</v>
      </c>
      <c r="C58" s="64" t="s">
        <v>541</v>
      </c>
      <c r="D58" s="66" t="s">
        <v>667</v>
      </c>
      <c r="E58" s="64" t="s">
        <v>162</v>
      </c>
      <c r="F58" s="64" t="s">
        <v>127</v>
      </c>
    </row>
    <row r="59" spans="2:8" x14ac:dyDescent="0.35">
      <c r="B59" s="3" t="s">
        <v>139</v>
      </c>
      <c r="C59" s="80">
        <v>0.33739057</v>
      </c>
      <c r="D59" s="71">
        <v>872083.22298566136</v>
      </c>
      <c r="E59" s="50" t="s">
        <v>129</v>
      </c>
      <c r="F59" s="50" t="s">
        <v>544</v>
      </c>
      <c r="H59" s="13"/>
    </row>
    <row r="60" spans="2:8" x14ac:dyDescent="0.35">
      <c r="B60" s="3" t="s">
        <v>345</v>
      </c>
      <c r="C60" s="80">
        <v>0.26301643400000002</v>
      </c>
      <c r="D60" s="71">
        <v>679841.8208929653</v>
      </c>
      <c r="E60" s="50" t="s">
        <v>129</v>
      </c>
      <c r="F60" s="50" t="s">
        <v>544</v>
      </c>
      <c r="H60" s="13"/>
    </row>
    <row r="61" spans="2:8" x14ac:dyDescent="0.35">
      <c r="B61" s="3" t="s">
        <v>181</v>
      </c>
      <c r="C61" s="80">
        <v>6.3738289000000004E-2</v>
      </c>
      <c r="D61" s="71">
        <v>164749.98841464813</v>
      </c>
      <c r="E61" s="50" t="s">
        <v>129</v>
      </c>
      <c r="F61" s="50" t="s">
        <v>544</v>
      </c>
      <c r="G61" s="13"/>
    </row>
    <row r="62" spans="2:8" x14ac:dyDescent="0.35">
      <c r="B62" s="3" t="s">
        <v>346</v>
      </c>
      <c r="C62" s="80">
        <v>4.6498233799999997E-2</v>
      </c>
      <c r="D62" s="71">
        <v>120188.09415878105</v>
      </c>
      <c r="E62" s="50" t="s">
        <v>129</v>
      </c>
      <c r="F62" s="50" t="s">
        <v>544</v>
      </c>
    </row>
    <row r="63" spans="2:8" x14ac:dyDescent="0.35">
      <c r="B63" s="3" t="s">
        <v>150</v>
      </c>
      <c r="C63" s="80">
        <v>3.9625249600000002E-2</v>
      </c>
      <c r="D63" s="71">
        <v>102422.88450083026</v>
      </c>
      <c r="E63" s="50" t="s">
        <v>129</v>
      </c>
      <c r="F63" s="50" t="s">
        <v>544</v>
      </c>
    </row>
    <row r="64" spans="2:8" x14ac:dyDescent="0.35">
      <c r="B64" s="3" t="s">
        <v>135</v>
      </c>
      <c r="C64" s="80">
        <v>3.8012594099999998E-2</v>
      </c>
      <c r="D64" s="71">
        <v>98254.511312434523</v>
      </c>
      <c r="E64" s="50" t="s">
        <v>129</v>
      </c>
      <c r="F64" s="50" t="s">
        <v>544</v>
      </c>
    </row>
    <row r="65" spans="2:6" x14ac:dyDescent="0.35">
      <c r="B65" s="3" t="s">
        <v>153</v>
      </c>
      <c r="C65" s="80">
        <v>3.4979265900000001E-2</v>
      </c>
      <c r="D65" s="71">
        <v>90413.999845177765</v>
      </c>
      <c r="E65" s="50" t="s">
        <v>129</v>
      </c>
      <c r="F65" s="50" t="s">
        <v>544</v>
      </c>
    </row>
    <row r="66" spans="2:6" x14ac:dyDescent="0.35">
      <c r="B66" s="3" t="s">
        <v>138</v>
      </c>
      <c r="C66" s="80">
        <v>2.33451083E-2</v>
      </c>
      <c r="D66" s="71">
        <v>60342.164534157884</v>
      </c>
      <c r="E66" s="50" t="s">
        <v>129</v>
      </c>
      <c r="F66" s="50" t="s">
        <v>544</v>
      </c>
    </row>
    <row r="67" spans="2:6" x14ac:dyDescent="0.35">
      <c r="B67" s="3" t="s">
        <v>347</v>
      </c>
      <c r="C67" s="80">
        <v>2.1732452800000003E-2</v>
      </c>
      <c r="D67" s="71">
        <v>56173.791345762162</v>
      </c>
      <c r="E67" s="50" t="s">
        <v>129</v>
      </c>
      <c r="F67" s="50" t="s">
        <v>544</v>
      </c>
    </row>
    <row r="68" spans="2:6" x14ac:dyDescent="0.35">
      <c r="B68" s="3" t="s">
        <v>228</v>
      </c>
      <c r="C68" s="80">
        <v>1.8737521100000001E-2</v>
      </c>
      <c r="D68" s="71">
        <v>48432.526705325035</v>
      </c>
      <c r="E68" s="50" t="s">
        <v>129</v>
      </c>
      <c r="F68" s="50" t="s">
        <v>544</v>
      </c>
    </row>
    <row r="69" spans="2:6" x14ac:dyDescent="0.35">
      <c r="B69" s="3" t="s">
        <v>348</v>
      </c>
      <c r="C69" s="80">
        <v>1.6894486300000001E-2</v>
      </c>
      <c r="D69" s="71">
        <v>43668.671780574958</v>
      </c>
      <c r="E69" s="50" t="s">
        <v>129</v>
      </c>
      <c r="F69" s="50" t="s">
        <v>544</v>
      </c>
    </row>
    <row r="70" spans="2:6" x14ac:dyDescent="0.35">
      <c r="B70" s="3" t="s">
        <v>156</v>
      </c>
      <c r="C70" s="80">
        <v>1.5435417E-2</v>
      </c>
      <c r="D70" s="71">
        <v>39897.286416415453</v>
      </c>
      <c r="E70" s="50" t="s">
        <v>129</v>
      </c>
      <c r="F70" s="50" t="s">
        <v>544</v>
      </c>
    </row>
    <row r="71" spans="2:6" x14ac:dyDescent="0.35">
      <c r="B71" s="3" t="s">
        <v>271</v>
      </c>
      <c r="C71" s="80">
        <v>1.4705882400000002E-2</v>
      </c>
      <c r="D71" s="71">
        <v>38011.593863575123</v>
      </c>
      <c r="E71" s="50" t="s">
        <v>129</v>
      </c>
      <c r="F71" s="50" t="s">
        <v>544</v>
      </c>
    </row>
    <row r="72" spans="2:6" x14ac:dyDescent="0.35">
      <c r="B72" s="3" t="s">
        <v>565</v>
      </c>
      <c r="C72" s="80">
        <v>6.5888495699999883E-2</v>
      </c>
      <c r="D72" s="71">
        <v>170307.81769547614</v>
      </c>
      <c r="E72" s="50" t="s">
        <v>129</v>
      </c>
      <c r="F72" s="50" t="s">
        <v>544</v>
      </c>
    </row>
    <row r="73" spans="2:6" x14ac:dyDescent="0.35">
      <c r="B73" s="65" t="s">
        <v>134</v>
      </c>
      <c r="C73" s="69">
        <f>SUM(C59:C72)</f>
        <v>1</v>
      </c>
      <c r="D73" s="72">
        <v>2584788.37445179</v>
      </c>
      <c r="E73" s="34"/>
      <c r="F73" s="34"/>
    </row>
    <row r="74" spans="2:6" x14ac:dyDescent="0.35">
      <c r="D74" s="11"/>
    </row>
    <row r="75" spans="2:6" x14ac:dyDescent="0.35">
      <c r="B75" s="77" t="s">
        <v>558</v>
      </c>
      <c r="D75" s="11"/>
    </row>
    <row r="78" spans="2:6" x14ac:dyDescent="0.35">
      <c r="B78" s="2" t="s">
        <v>536</v>
      </c>
    </row>
    <row r="80" spans="2:6" x14ac:dyDescent="0.35">
      <c r="B80" s="4" t="s">
        <v>538</v>
      </c>
      <c r="C80" s="64" t="s">
        <v>548</v>
      </c>
      <c r="D80" s="74" t="s">
        <v>537</v>
      </c>
      <c r="E80" s="74" t="s">
        <v>549</v>
      </c>
      <c r="F80" s="74" t="s">
        <v>127</v>
      </c>
    </row>
    <row r="81" spans="2:6" ht="29" x14ac:dyDescent="0.35">
      <c r="B81" s="73" t="s">
        <v>84</v>
      </c>
      <c r="C81" s="92">
        <v>14.9</v>
      </c>
      <c r="D81" s="75" t="s">
        <v>643</v>
      </c>
      <c r="E81" s="75" t="s">
        <v>644</v>
      </c>
      <c r="F81" s="76" t="s">
        <v>553</v>
      </c>
    </row>
    <row r="82" spans="2:6" x14ac:dyDescent="0.35">
      <c r="B82" s="73" t="s">
        <v>85</v>
      </c>
      <c r="C82" s="92">
        <v>15.59</v>
      </c>
      <c r="D82" s="75" t="s">
        <v>668</v>
      </c>
      <c r="E82" s="75" t="s">
        <v>580</v>
      </c>
      <c r="F82" s="76" t="s">
        <v>553</v>
      </c>
    </row>
    <row r="83" spans="2:6" x14ac:dyDescent="0.35">
      <c r="B83" s="73" t="s">
        <v>83</v>
      </c>
      <c r="C83" s="92">
        <v>4.01</v>
      </c>
      <c r="D83" s="75" t="s">
        <v>669</v>
      </c>
      <c r="E83" s="75" t="s">
        <v>661</v>
      </c>
      <c r="F83" s="76" t="s">
        <v>553</v>
      </c>
    </row>
    <row r="84" spans="2:6" x14ac:dyDescent="0.35">
      <c r="F84"/>
    </row>
    <row r="85" spans="2:6" ht="15" thickBot="1" x14ac:dyDescent="0.4">
      <c r="F85"/>
    </row>
    <row r="86" spans="2:6" x14ac:dyDescent="0.35">
      <c r="B86" s="35" t="s">
        <v>490</v>
      </c>
      <c r="C86" s="81"/>
      <c r="D86" s="82"/>
      <c r="E86" s="83"/>
      <c r="F86"/>
    </row>
    <row r="87" spans="2:6" x14ac:dyDescent="0.35">
      <c r="B87" s="84"/>
      <c r="E87" s="85"/>
      <c r="F87"/>
    </row>
    <row r="88" spans="2:6" x14ac:dyDescent="0.35">
      <c r="B88" s="86" t="s">
        <v>554</v>
      </c>
      <c r="E88" s="85"/>
    </row>
    <row r="89" spans="2:6" x14ac:dyDescent="0.35">
      <c r="B89" s="86" t="s">
        <v>552</v>
      </c>
      <c r="E89" s="85"/>
    </row>
    <row r="90" spans="2:6" x14ac:dyDescent="0.35">
      <c r="B90" s="86" t="s">
        <v>787</v>
      </c>
      <c r="E90" s="85"/>
    </row>
    <row r="91" spans="2:6" ht="15" thickBot="1" x14ac:dyDescent="0.4">
      <c r="B91" s="87" t="s">
        <v>551</v>
      </c>
      <c r="C91" s="88"/>
      <c r="D91" s="89"/>
      <c r="E91" s="9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F0E1-EDD4-4A16-9FFA-76C0CDFEE92D}">
  <sheetPr>
    <tabColor theme="4" tint="0.59999389629810485"/>
  </sheetPr>
  <dimension ref="B1:H76"/>
  <sheetViews>
    <sheetView showGridLines="0" zoomScaleNormal="100" workbookViewId="0">
      <selection activeCell="C62" sqref="C62"/>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331</v>
      </c>
      <c r="C5" s="80">
        <v>0.43</v>
      </c>
      <c r="D5" s="50" t="s">
        <v>129</v>
      </c>
      <c r="E5" s="50" t="s">
        <v>556</v>
      </c>
      <c r="F5"/>
    </row>
    <row r="6" spans="2:6" x14ac:dyDescent="0.35">
      <c r="B6" s="3" t="s">
        <v>309</v>
      </c>
      <c r="C6" s="80">
        <v>0.14000000000000001</v>
      </c>
      <c r="D6" s="50" t="s">
        <v>129</v>
      </c>
      <c r="E6" s="50" t="s">
        <v>556</v>
      </c>
      <c r="F6"/>
    </row>
    <row r="7" spans="2:6" x14ac:dyDescent="0.35">
      <c r="B7" s="3" t="s">
        <v>638</v>
      </c>
      <c r="C7" s="80">
        <v>0.1</v>
      </c>
      <c r="D7" s="50" t="s">
        <v>129</v>
      </c>
      <c r="E7" s="50" t="s">
        <v>556</v>
      </c>
      <c r="F7"/>
    </row>
    <row r="8" spans="2:6" x14ac:dyDescent="0.35">
      <c r="B8" s="3" t="s">
        <v>639</v>
      </c>
      <c r="C8" s="80">
        <v>0.1</v>
      </c>
      <c r="D8" s="50" t="s">
        <v>129</v>
      </c>
      <c r="E8" s="50" t="s">
        <v>556</v>
      </c>
      <c r="F8"/>
    </row>
    <row r="9" spans="2:6" x14ac:dyDescent="0.35">
      <c r="B9" s="3" t="s">
        <v>332</v>
      </c>
      <c r="C9" s="80">
        <v>0.08</v>
      </c>
      <c r="D9" s="50" t="s">
        <v>129</v>
      </c>
      <c r="E9" s="50" t="s">
        <v>556</v>
      </c>
      <c r="F9"/>
    </row>
    <row r="10" spans="2:6" x14ac:dyDescent="0.35">
      <c r="B10" s="3" t="s">
        <v>640</v>
      </c>
      <c r="C10" s="80">
        <v>0.08</v>
      </c>
      <c r="D10" s="50" t="s">
        <v>129</v>
      </c>
      <c r="E10" s="50" t="s">
        <v>556</v>
      </c>
      <c r="F10"/>
    </row>
    <row r="11" spans="2:6" x14ac:dyDescent="0.35">
      <c r="B11" s="3" t="s">
        <v>311</v>
      </c>
      <c r="C11" s="80">
        <v>0.02</v>
      </c>
      <c r="D11" s="50" t="s">
        <v>129</v>
      </c>
      <c r="E11" s="50" t="s">
        <v>556</v>
      </c>
      <c r="F11"/>
    </row>
    <row r="12" spans="2:6" x14ac:dyDescent="0.35">
      <c r="B12" s="3" t="s">
        <v>632</v>
      </c>
      <c r="C12" s="80">
        <v>0.02</v>
      </c>
      <c r="D12" s="50" t="s">
        <v>129</v>
      </c>
      <c r="E12" s="50" t="s">
        <v>556</v>
      </c>
      <c r="F12"/>
    </row>
    <row r="13" spans="2:6" x14ac:dyDescent="0.35">
      <c r="B13" s="3" t="s">
        <v>174</v>
      </c>
      <c r="C13" s="80">
        <v>3.0000000000000027E-2</v>
      </c>
      <c r="D13" s="50" t="s">
        <v>129</v>
      </c>
      <c r="E13" s="50" t="s">
        <v>556</v>
      </c>
      <c r="F13"/>
    </row>
    <row r="14" spans="2:6" x14ac:dyDescent="0.35">
      <c r="B14" s="65" t="s">
        <v>134</v>
      </c>
      <c r="C14" s="79">
        <f>SUM(C5:C13)</f>
        <v>1</v>
      </c>
      <c r="D14" s="9"/>
      <c r="E14" s="5"/>
      <c r="F14" s="5"/>
    </row>
    <row r="17" spans="2:6" x14ac:dyDescent="0.35">
      <c r="B17" s="63" t="s">
        <v>533</v>
      </c>
    </row>
    <row r="19" spans="2:6" x14ac:dyDescent="0.35">
      <c r="B19" s="4" t="s">
        <v>532</v>
      </c>
      <c r="C19" s="64" t="s">
        <v>0</v>
      </c>
      <c r="D19"/>
    </row>
    <row r="20" spans="2:6" x14ac:dyDescent="0.35">
      <c r="B20" s="3" t="s">
        <v>69</v>
      </c>
      <c r="C20" s="50">
        <v>282010</v>
      </c>
      <c r="D20"/>
    </row>
    <row r="21" spans="2:6" x14ac:dyDescent="0.35">
      <c r="B21" s="3" t="s">
        <v>70</v>
      </c>
      <c r="C21" s="50">
        <v>282090</v>
      </c>
      <c r="D21"/>
    </row>
    <row r="22" spans="2:6" ht="29" x14ac:dyDescent="0.35">
      <c r="B22" s="3" t="s">
        <v>71</v>
      </c>
      <c r="C22" s="50">
        <v>720211</v>
      </c>
      <c r="D22"/>
    </row>
    <row r="23" spans="2:6" ht="29" x14ac:dyDescent="0.35">
      <c r="B23" s="3" t="s">
        <v>72</v>
      </c>
      <c r="C23" s="50">
        <v>720219</v>
      </c>
      <c r="D23"/>
    </row>
    <row r="24" spans="2:6" x14ac:dyDescent="0.35">
      <c r="B24" s="3" t="s">
        <v>73</v>
      </c>
      <c r="C24" s="50">
        <v>720230</v>
      </c>
      <c r="D24"/>
    </row>
    <row r="25" spans="2:6" ht="29" x14ac:dyDescent="0.35">
      <c r="B25" s="3" t="s">
        <v>74</v>
      </c>
      <c r="C25" s="50">
        <v>811100</v>
      </c>
      <c r="D25"/>
    </row>
    <row r="28" spans="2:6" x14ac:dyDescent="0.35">
      <c r="B28" s="63" t="s">
        <v>534</v>
      </c>
    </row>
    <row r="30" spans="2:6" x14ac:dyDescent="0.35">
      <c r="B30" s="4" t="s">
        <v>531</v>
      </c>
      <c r="C30" s="64" t="s">
        <v>541</v>
      </c>
      <c r="D30" s="66" t="s">
        <v>633</v>
      </c>
      <c r="E30" s="64" t="s">
        <v>162</v>
      </c>
      <c r="F30" s="64" t="s">
        <v>127</v>
      </c>
    </row>
    <row r="31" spans="2:6" x14ac:dyDescent="0.35">
      <c r="B31" s="10" t="s">
        <v>156</v>
      </c>
      <c r="C31" s="91">
        <v>0.33452490382003019</v>
      </c>
      <c r="D31" s="67">
        <v>7098396</v>
      </c>
      <c r="E31" s="68">
        <v>2021</v>
      </c>
      <c r="F31" s="68" t="s">
        <v>167</v>
      </c>
    </row>
    <row r="32" spans="2:6" x14ac:dyDescent="0.35">
      <c r="B32" s="10" t="s">
        <v>333</v>
      </c>
      <c r="C32" s="91">
        <v>0.19982247323019312</v>
      </c>
      <c r="D32" s="67">
        <v>4240100</v>
      </c>
      <c r="E32" s="68">
        <v>2021</v>
      </c>
      <c r="F32" s="68" t="s">
        <v>167</v>
      </c>
    </row>
    <row r="33" spans="2:8" x14ac:dyDescent="0.35">
      <c r="B33" s="10" t="s">
        <v>135</v>
      </c>
      <c r="C33" s="91">
        <v>0.15452133631897513</v>
      </c>
      <c r="D33" s="67">
        <v>3278840</v>
      </c>
      <c r="E33" s="68">
        <v>2021</v>
      </c>
      <c r="F33" s="68" t="s">
        <v>167</v>
      </c>
    </row>
    <row r="34" spans="2:8" x14ac:dyDescent="0.35">
      <c r="B34" s="10" t="s">
        <v>137</v>
      </c>
      <c r="C34" s="91">
        <v>6.1264879413044752E-2</v>
      </c>
      <c r="D34" s="67">
        <v>1300000</v>
      </c>
      <c r="E34" s="68">
        <v>2021</v>
      </c>
      <c r="F34" s="68" t="s">
        <v>167</v>
      </c>
    </row>
    <row r="35" spans="2:8" x14ac:dyDescent="0.35">
      <c r="B35" s="10" t="s">
        <v>286</v>
      </c>
      <c r="C35" s="91">
        <v>4.4025884882820311E-2</v>
      </c>
      <c r="D35" s="67">
        <v>934200</v>
      </c>
      <c r="E35" s="68">
        <v>2021</v>
      </c>
      <c r="F35" s="68" t="s">
        <v>167</v>
      </c>
    </row>
    <row r="36" spans="2:8" x14ac:dyDescent="0.35">
      <c r="B36" s="10" t="s">
        <v>140</v>
      </c>
      <c r="C36" s="91">
        <v>3.9661940395398818E-2</v>
      </c>
      <c r="D36" s="67">
        <v>841600</v>
      </c>
      <c r="E36" s="68">
        <v>2021</v>
      </c>
      <c r="F36" s="68" t="s">
        <v>167</v>
      </c>
    </row>
    <row r="37" spans="2:8" x14ac:dyDescent="0.35">
      <c r="B37" s="10" t="s">
        <v>159</v>
      </c>
      <c r="C37" s="91">
        <v>3.074083141625315E-2</v>
      </c>
      <c r="D37" s="67">
        <v>652300</v>
      </c>
      <c r="E37" s="68">
        <v>2021</v>
      </c>
      <c r="F37" s="68" t="s">
        <v>167</v>
      </c>
    </row>
    <row r="38" spans="2:8" x14ac:dyDescent="0.35">
      <c r="B38" s="10" t="s">
        <v>138</v>
      </c>
      <c r="C38" s="91">
        <v>2.8155736266004566E-2</v>
      </c>
      <c r="D38" s="67">
        <v>597446</v>
      </c>
      <c r="E38" s="68">
        <v>2021</v>
      </c>
      <c r="F38" s="68" t="s">
        <v>167</v>
      </c>
    </row>
    <row r="39" spans="2:8" x14ac:dyDescent="0.35">
      <c r="B39" s="10" t="s">
        <v>289</v>
      </c>
      <c r="C39" s="91">
        <v>2.7333561584281504E-2</v>
      </c>
      <c r="D39" s="67">
        <v>580000</v>
      </c>
      <c r="E39" s="68">
        <v>2021</v>
      </c>
      <c r="F39" s="68" t="s">
        <v>167</v>
      </c>
    </row>
    <row r="40" spans="2:8" x14ac:dyDescent="0.35">
      <c r="B40" s="3" t="s">
        <v>565</v>
      </c>
      <c r="C40" s="91">
        <v>7.9948452672998466E-2</v>
      </c>
      <c r="D40" s="67">
        <v>1696453</v>
      </c>
      <c r="E40" s="68">
        <v>2021</v>
      </c>
      <c r="F40" s="68" t="s">
        <v>167</v>
      </c>
    </row>
    <row r="41" spans="2:8" x14ac:dyDescent="0.35">
      <c r="B41" s="65" t="s">
        <v>134</v>
      </c>
      <c r="C41" s="69">
        <f>SUM(C31:C40)</f>
        <v>0.99999999999999989</v>
      </c>
      <c r="D41" s="70">
        <f>SUM(D31:D40)</f>
        <v>21219335</v>
      </c>
      <c r="E41" s="34"/>
      <c r="F41" s="34"/>
    </row>
    <row r="44" spans="2:8" x14ac:dyDescent="0.35">
      <c r="B44" s="4" t="s">
        <v>535</v>
      </c>
      <c r="C44" s="64" t="s">
        <v>541</v>
      </c>
      <c r="D44" s="66" t="s">
        <v>633</v>
      </c>
      <c r="E44" s="64" t="s">
        <v>162</v>
      </c>
      <c r="F44" s="64" t="s">
        <v>127</v>
      </c>
    </row>
    <row r="45" spans="2:8" x14ac:dyDescent="0.35">
      <c r="B45" s="3" t="s">
        <v>137</v>
      </c>
      <c r="C45" s="80">
        <v>0.58200000000000007</v>
      </c>
      <c r="D45" s="71">
        <v>8837191.6017477773</v>
      </c>
      <c r="E45" s="50" t="s">
        <v>129</v>
      </c>
      <c r="F45" s="50" t="s">
        <v>544</v>
      </c>
      <c r="H45" s="13"/>
    </row>
    <row r="46" spans="2:8" x14ac:dyDescent="0.35">
      <c r="B46" s="3" t="s">
        <v>140</v>
      </c>
      <c r="C46" s="80">
        <v>0.13100000000000001</v>
      </c>
      <c r="D46" s="71">
        <v>1989127.3192937437</v>
      </c>
      <c r="E46" s="50" t="s">
        <v>129</v>
      </c>
      <c r="F46" s="50" t="s">
        <v>544</v>
      </c>
      <c r="H46" s="13"/>
    </row>
    <row r="47" spans="2:8" x14ac:dyDescent="0.35">
      <c r="B47" s="3" t="s">
        <v>159</v>
      </c>
      <c r="C47" s="80">
        <v>4.4000000000000004E-2</v>
      </c>
      <c r="D47" s="71">
        <v>668103.83243453992</v>
      </c>
      <c r="E47" s="50" t="s">
        <v>129</v>
      </c>
      <c r="F47" s="50" t="s">
        <v>544</v>
      </c>
      <c r="G47" s="13"/>
    </row>
    <row r="48" spans="2:8" x14ac:dyDescent="0.35">
      <c r="B48" s="3" t="s">
        <v>153</v>
      </c>
      <c r="C48" s="80">
        <v>3.4000000000000002E-2</v>
      </c>
      <c r="D48" s="71">
        <v>516262.05233578081</v>
      </c>
      <c r="E48" s="50" t="s">
        <v>129</v>
      </c>
      <c r="F48" s="50" t="s">
        <v>544</v>
      </c>
    </row>
    <row r="49" spans="2:6" x14ac:dyDescent="0.35">
      <c r="B49" s="3" t="s">
        <v>181</v>
      </c>
      <c r="C49" s="80">
        <v>2.7999999999999997E-2</v>
      </c>
      <c r="D49" s="71">
        <v>425156.98427652527</v>
      </c>
      <c r="E49" s="50" t="s">
        <v>129</v>
      </c>
      <c r="F49" s="50" t="s">
        <v>544</v>
      </c>
    </row>
    <row r="50" spans="2:6" x14ac:dyDescent="0.35">
      <c r="B50" s="3" t="s">
        <v>180</v>
      </c>
      <c r="C50" s="80">
        <v>2.7000000000000003E-2</v>
      </c>
      <c r="D50" s="71">
        <v>409972.80626664945</v>
      </c>
      <c r="E50" s="50" t="s">
        <v>129</v>
      </c>
      <c r="F50" s="50" t="s">
        <v>544</v>
      </c>
    </row>
    <row r="51" spans="2:6" x14ac:dyDescent="0.35">
      <c r="B51" s="3" t="s">
        <v>155</v>
      </c>
      <c r="C51" s="80">
        <v>2.4E-2</v>
      </c>
      <c r="D51" s="71">
        <v>364420.27223702171</v>
      </c>
      <c r="E51" s="50" t="s">
        <v>129</v>
      </c>
      <c r="F51" s="50" t="s">
        <v>544</v>
      </c>
    </row>
    <row r="52" spans="2:6" x14ac:dyDescent="0.35">
      <c r="B52" s="3" t="s">
        <v>156</v>
      </c>
      <c r="C52" s="80">
        <v>2.1000000000000001E-2</v>
      </c>
      <c r="D52" s="71">
        <v>318867.73820739402</v>
      </c>
      <c r="E52" s="50" t="s">
        <v>129</v>
      </c>
      <c r="F52" s="50" t="s">
        <v>544</v>
      </c>
    </row>
    <row r="53" spans="2:6" x14ac:dyDescent="0.35">
      <c r="B53" s="3" t="s">
        <v>141</v>
      </c>
      <c r="C53" s="80">
        <v>1.7000000000000001E-2</v>
      </c>
      <c r="D53" s="71">
        <v>258131.02616789041</v>
      </c>
      <c r="E53" s="50" t="s">
        <v>129</v>
      </c>
      <c r="F53" s="50" t="s">
        <v>544</v>
      </c>
    </row>
    <row r="54" spans="2:6" x14ac:dyDescent="0.35">
      <c r="B54" s="3" t="s">
        <v>138</v>
      </c>
      <c r="C54" s="80">
        <v>1.6E-2</v>
      </c>
      <c r="D54" s="71">
        <v>242946.84815801447</v>
      </c>
      <c r="E54" s="50" t="s">
        <v>129</v>
      </c>
      <c r="F54" s="50" t="s">
        <v>544</v>
      </c>
    </row>
    <row r="55" spans="2:6" x14ac:dyDescent="0.35">
      <c r="B55" s="3" t="s">
        <v>272</v>
      </c>
      <c r="C55" s="80">
        <v>1.3000000000000001E-2</v>
      </c>
      <c r="D55" s="71">
        <v>197394.31412838679</v>
      </c>
      <c r="E55" s="50" t="s">
        <v>129</v>
      </c>
      <c r="F55" s="50" t="s">
        <v>544</v>
      </c>
    </row>
    <row r="56" spans="2:6" x14ac:dyDescent="0.35">
      <c r="B56" s="3" t="s">
        <v>173</v>
      </c>
      <c r="C56" s="80">
        <v>1.2E-2</v>
      </c>
      <c r="D56" s="71">
        <v>182210.13611851085</v>
      </c>
      <c r="E56" s="50" t="s">
        <v>129</v>
      </c>
      <c r="F56" s="50" t="s">
        <v>544</v>
      </c>
    </row>
    <row r="57" spans="2:6" x14ac:dyDescent="0.35">
      <c r="B57" s="3" t="s">
        <v>135</v>
      </c>
      <c r="C57" s="80">
        <v>1.2E-2</v>
      </c>
      <c r="D57" s="71">
        <v>182210.13611851085</v>
      </c>
      <c r="E57" s="50" t="s">
        <v>129</v>
      </c>
      <c r="F57" s="50" t="s">
        <v>544</v>
      </c>
    </row>
    <row r="58" spans="2:6" x14ac:dyDescent="0.35">
      <c r="B58" s="3" t="s">
        <v>160</v>
      </c>
      <c r="C58" s="80">
        <v>1.1000000000000001E-2</v>
      </c>
      <c r="D58" s="71">
        <v>167025.95810863498</v>
      </c>
      <c r="E58" s="50" t="s">
        <v>129</v>
      </c>
      <c r="F58" s="50" t="s">
        <v>544</v>
      </c>
    </row>
    <row r="59" spans="2:6" x14ac:dyDescent="0.35">
      <c r="B59" s="3" t="s">
        <v>565</v>
      </c>
      <c r="C59" s="80">
        <v>2.7999999999999997E-2</v>
      </c>
      <c r="D59" s="71">
        <v>425156.98427652527</v>
      </c>
      <c r="E59" s="50" t="s">
        <v>129</v>
      </c>
      <c r="F59" s="50" t="s">
        <v>544</v>
      </c>
    </row>
    <row r="60" spans="2:6" x14ac:dyDescent="0.35">
      <c r="B60" s="65" t="s">
        <v>134</v>
      </c>
      <c r="C60" s="69">
        <f>SUM(C45:C59)</f>
        <v>1.0000000000000002</v>
      </c>
      <c r="D60" s="72">
        <v>15184178.009875905</v>
      </c>
      <c r="E60" s="34"/>
      <c r="F60" s="34"/>
    </row>
    <row r="61" spans="2:6" x14ac:dyDescent="0.35">
      <c r="D61" s="11"/>
    </row>
    <row r="62" spans="2:6" x14ac:dyDescent="0.35">
      <c r="B62" s="77" t="s">
        <v>558</v>
      </c>
      <c r="D62" s="11"/>
    </row>
    <row r="65" spans="2:6" x14ac:dyDescent="0.35">
      <c r="B65" s="2" t="s">
        <v>536</v>
      </c>
    </row>
    <row r="67" spans="2:6" x14ac:dyDescent="0.35">
      <c r="B67" s="4" t="s">
        <v>538</v>
      </c>
      <c r="C67" s="64" t="s">
        <v>548</v>
      </c>
      <c r="D67" s="74" t="s">
        <v>537</v>
      </c>
      <c r="E67" s="74" t="s">
        <v>549</v>
      </c>
      <c r="F67" s="74" t="s">
        <v>127</v>
      </c>
    </row>
    <row r="68" spans="2:6" ht="43.5" x14ac:dyDescent="0.35">
      <c r="B68" s="73" t="s">
        <v>634</v>
      </c>
      <c r="C68" s="92">
        <v>1.17</v>
      </c>
      <c r="D68" s="75" t="s">
        <v>636</v>
      </c>
      <c r="E68" s="75" t="s">
        <v>580</v>
      </c>
      <c r="F68" s="76" t="s">
        <v>553</v>
      </c>
    </row>
    <row r="69" spans="2:6" ht="29" x14ac:dyDescent="0.35">
      <c r="B69" s="73" t="s">
        <v>635</v>
      </c>
      <c r="C69" s="92">
        <v>2.08</v>
      </c>
      <c r="D69" s="75" t="s">
        <v>637</v>
      </c>
      <c r="E69" s="75" t="s">
        <v>580</v>
      </c>
      <c r="F69" s="76" t="s">
        <v>553</v>
      </c>
    </row>
    <row r="70" spans="2:6" x14ac:dyDescent="0.35">
      <c r="F70"/>
    </row>
    <row r="71" spans="2:6" ht="15" thickBot="1" x14ac:dyDescent="0.4">
      <c r="F71"/>
    </row>
    <row r="72" spans="2:6" x14ac:dyDescent="0.35">
      <c r="B72" s="35" t="s">
        <v>490</v>
      </c>
      <c r="C72" s="81"/>
      <c r="D72" s="93"/>
      <c r="F72"/>
    </row>
    <row r="73" spans="2:6" x14ac:dyDescent="0.35">
      <c r="B73" s="84"/>
      <c r="D73" s="94"/>
      <c r="F73"/>
    </row>
    <row r="74" spans="2:6" x14ac:dyDescent="0.35">
      <c r="B74" s="86" t="s">
        <v>554</v>
      </c>
      <c r="D74" s="94"/>
    </row>
    <row r="75" spans="2:6" x14ac:dyDescent="0.35">
      <c r="B75" s="86" t="s">
        <v>552</v>
      </c>
      <c r="D75" s="94"/>
    </row>
    <row r="76" spans="2:6" ht="15" thickBot="1" x14ac:dyDescent="0.4">
      <c r="B76" s="87" t="s">
        <v>551</v>
      </c>
      <c r="C76" s="88"/>
      <c r="D76" s="9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775E-D4DC-452E-8484-9FF134E6E863}">
  <sheetPr>
    <tabColor theme="4" tint="0.59999389629810485"/>
  </sheetPr>
  <dimension ref="B1:H92"/>
  <sheetViews>
    <sheetView showGridLines="0" topLeftCell="A74" zoomScaleNormal="100" workbookViewId="0">
      <selection activeCell="F82" sqref="F82:F83"/>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307</v>
      </c>
      <c r="C5" s="80">
        <v>0.38</v>
      </c>
      <c r="D5" s="50" t="s">
        <v>129</v>
      </c>
      <c r="E5" s="50" t="s">
        <v>556</v>
      </c>
      <c r="F5"/>
    </row>
    <row r="6" spans="2:6" x14ac:dyDescent="0.35">
      <c r="B6" s="3" t="s">
        <v>184</v>
      </c>
      <c r="C6" s="80">
        <v>0.16</v>
      </c>
      <c r="D6" s="50" t="s">
        <v>129</v>
      </c>
      <c r="E6" s="50" t="s">
        <v>556</v>
      </c>
      <c r="F6"/>
    </row>
    <row r="7" spans="2:6" x14ac:dyDescent="0.35">
      <c r="B7" s="3" t="s">
        <v>308</v>
      </c>
      <c r="C7" s="80">
        <v>0.15</v>
      </c>
      <c r="D7" s="50" t="s">
        <v>129</v>
      </c>
      <c r="E7" s="50" t="s">
        <v>556</v>
      </c>
      <c r="F7"/>
    </row>
    <row r="8" spans="2:6" x14ac:dyDescent="0.35">
      <c r="B8" s="3" t="s">
        <v>309</v>
      </c>
      <c r="C8" s="80">
        <v>0.14000000000000001</v>
      </c>
      <c r="D8" s="50" t="s">
        <v>129</v>
      </c>
      <c r="E8" s="50" t="s">
        <v>556</v>
      </c>
      <c r="F8"/>
    </row>
    <row r="9" spans="2:6" x14ac:dyDescent="0.35">
      <c r="B9" s="3" t="s">
        <v>310</v>
      </c>
      <c r="C9" s="80">
        <v>0.1</v>
      </c>
      <c r="D9" s="50" t="s">
        <v>129</v>
      </c>
      <c r="E9" s="50" t="s">
        <v>556</v>
      </c>
      <c r="F9"/>
    </row>
    <row r="10" spans="2:6" x14ac:dyDescent="0.35">
      <c r="B10" s="3" t="s">
        <v>311</v>
      </c>
      <c r="C10" s="80">
        <v>0.02</v>
      </c>
      <c r="D10" s="50" t="s">
        <v>129</v>
      </c>
      <c r="E10" s="50" t="s">
        <v>556</v>
      </c>
      <c r="F10"/>
    </row>
    <row r="11" spans="2:6" x14ac:dyDescent="0.35">
      <c r="B11" s="3" t="s">
        <v>312</v>
      </c>
      <c r="C11" s="80">
        <v>0.02</v>
      </c>
      <c r="D11" s="50" t="s">
        <v>129</v>
      </c>
      <c r="E11" s="50" t="s">
        <v>556</v>
      </c>
      <c r="F11"/>
    </row>
    <row r="12" spans="2:6" x14ac:dyDescent="0.35">
      <c r="B12" s="3" t="s">
        <v>174</v>
      </c>
      <c r="C12" s="80">
        <v>0.03</v>
      </c>
      <c r="D12" s="50" t="s">
        <v>129</v>
      </c>
      <c r="E12" s="50" t="s">
        <v>556</v>
      </c>
      <c r="F12"/>
    </row>
    <row r="13" spans="2:6" x14ac:dyDescent="0.35">
      <c r="B13" s="65" t="s">
        <v>134</v>
      </c>
      <c r="C13" s="79">
        <f>SUM(C5:C12)</f>
        <v>1</v>
      </c>
      <c r="D13" s="9"/>
      <c r="E13" s="5"/>
      <c r="F13" s="5"/>
    </row>
    <row r="16" spans="2:6" x14ac:dyDescent="0.35">
      <c r="B16" s="63" t="s">
        <v>533</v>
      </c>
    </row>
    <row r="18" spans="2:6" x14ac:dyDescent="0.35">
      <c r="B18" s="4" t="s">
        <v>532</v>
      </c>
      <c r="C18" s="64" t="s">
        <v>0</v>
      </c>
      <c r="D18"/>
    </row>
    <row r="19" spans="2:6" x14ac:dyDescent="0.35">
      <c r="B19" s="3" t="s">
        <v>50</v>
      </c>
      <c r="C19" s="50">
        <v>720510</v>
      </c>
      <c r="D19"/>
    </row>
    <row r="20" spans="2:6" x14ac:dyDescent="0.35">
      <c r="B20" s="3" t="s">
        <v>51</v>
      </c>
      <c r="C20" s="50">
        <v>720521</v>
      </c>
      <c r="D20"/>
    </row>
    <row r="21" spans="2:6" ht="29" x14ac:dyDescent="0.35">
      <c r="B21" s="3" t="s">
        <v>52</v>
      </c>
      <c r="C21" s="50">
        <v>720610</v>
      </c>
      <c r="D21"/>
    </row>
    <row r="22" spans="2:6" ht="29" x14ac:dyDescent="0.35">
      <c r="B22" s="3" t="s">
        <v>53</v>
      </c>
      <c r="C22" s="50">
        <v>720690</v>
      </c>
      <c r="D22"/>
    </row>
    <row r="25" spans="2:6" x14ac:dyDescent="0.35">
      <c r="B25" s="63" t="s">
        <v>534</v>
      </c>
    </row>
    <row r="27" spans="2:6" x14ac:dyDescent="0.35">
      <c r="B27" s="4" t="s">
        <v>531</v>
      </c>
      <c r="C27" s="64" t="s">
        <v>541</v>
      </c>
      <c r="D27" s="66" t="s">
        <v>641</v>
      </c>
      <c r="E27" s="64" t="s">
        <v>162</v>
      </c>
      <c r="F27" s="64" t="s">
        <v>127</v>
      </c>
    </row>
    <row r="28" spans="2:6" x14ac:dyDescent="0.35">
      <c r="B28" s="10" t="s">
        <v>135</v>
      </c>
      <c r="C28" s="91">
        <v>0.34929316367651841</v>
      </c>
      <c r="D28" s="67">
        <v>571113897</v>
      </c>
      <c r="E28" s="68">
        <v>2021</v>
      </c>
      <c r="F28" s="68" t="s">
        <v>167</v>
      </c>
    </row>
    <row r="29" spans="2:6" x14ac:dyDescent="0.35">
      <c r="B29" s="10" t="s">
        <v>138</v>
      </c>
      <c r="C29" s="91">
        <v>0.16716865863508873</v>
      </c>
      <c r="D29" s="67">
        <v>273330125</v>
      </c>
      <c r="E29" s="68">
        <v>2021</v>
      </c>
      <c r="F29" s="68" t="s">
        <v>167</v>
      </c>
    </row>
    <row r="30" spans="2:6" x14ac:dyDescent="0.35">
      <c r="B30" s="10" t="s">
        <v>137</v>
      </c>
      <c r="C30" s="91">
        <v>0.15589679727430014</v>
      </c>
      <c r="D30" s="67">
        <v>254900000</v>
      </c>
      <c r="E30" s="68">
        <v>2021</v>
      </c>
      <c r="F30" s="68" t="s">
        <v>167</v>
      </c>
    </row>
    <row r="31" spans="2:6" x14ac:dyDescent="0.35">
      <c r="B31" s="10" t="s">
        <v>140</v>
      </c>
      <c r="C31" s="91">
        <v>9.5685955815924206E-2</v>
      </c>
      <c r="D31" s="67">
        <v>156451900</v>
      </c>
      <c r="E31" s="68">
        <v>2021</v>
      </c>
      <c r="F31" s="68" t="s">
        <v>167</v>
      </c>
    </row>
    <row r="32" spans="2:6" x14ac:dyDescent="0.35">
      <c r="B32" s="10" t="s">
        <v>141</v>
      </c>
      <c r="C32" s="91">
        <v>3.6314229327577052E-2</v>
      </c>
      <c r="D32" s="67">
        <v>59375800</v>
      </c>
      <c r="E32" s="68">
        <v>2021</v>
      </c>
      <c r="F32" s="68" t="s">
        <v>167</v>
      </c>
    </row>
    <row r="33" spans="2:6" x14ac:dyDescent="0.35">
      <c r="B33" s="10" t="s">
        <v>159</v>
      </c>
      <c r="C33" s="91">
        <v>3.2066790811647046E-2</v>
      </c>
      <c r="D33" s="67">
        <v>52431000</v>
      </c>
      <c r="E33" s="68">
        <v>2021</v>
      </c>
      <c r="F33" s="68" t="s">
        <v>167</v>
      </c>
    </row>
    <row r="34" spans="2:6" x14ac:dyDescent="0.35">
      <c r="B34" s="10" t="s">
        <v>156</v>
      </c>
      <c r="C34" s="91">
        <v>2.9056496436660362E-2</v>
      </c>
      <c r="D34" s="67">
        <v>47509000</v>
      </c>
      <c r="E34" s="68">
        <v>2021</v>
      </c>
      <c r="F34" s="68" t="s">
        <v>167</v>
      </c>
    </row>
    <row r="35" spans="2:6" x14ac:dyDescent="0.35">
      <c r="B35" s="10" t="s">
        <v>150</v>
      </c>
      <c r="C35" s="91">
        <v>2.1448806121654399E-2</v>
      </c>
      <c r="D35" s="67">
        <v>35070000</v>
      </c>
      <c r="E35" s="68">
        <v>2021</v>
      </c>
      <c r="F35" s="68" t="s">
        <v>167</v>
      </c>
    </row>
    <row r="36" spans="2:6" x14ac:dyDescent="0.35">
      <c r="B36" s="10" t="s">
        <v>172</v>
      </c>
      <c r="C36" s="91">
        <v>2.1393762136739974E-2</v>
      </c>
      <c r="D36" s="67">
        <v>34980000</v>
      </c>
      <c r="E36" s="68">
        <v>2021</v>
      </c>
      <c r="F36" s="68" t="s">
        <v>167</v>
      </c>
    </row>
    <row r="37" spans="2:6" x14ac:dyDescent="0.35">
      <c r="B37" s="10" t="s">
        <v>154</v>
      </c>
      <c r="C37" s="91">
        <v>1.8409154954713357E-2</v>
      </c>
      <c r="D37" s="67">
        <v>30100000</v>
      </c>
      <c r="E37" s="68">
        <v>2021</v>
      </c>
      <c r="F37" s="68" t="s">
        <v>167</v>
      </c>
    </row>
    <row r="38" spans="2:6" x14ac:dyDescent="0.35">
      <c r="B38" s="10" t="s">
        <v>239</v>
      </c>
      <c r="C38" s="91">
        <v>1.2210101373650778E-2</v>
      </c>
      <c r="D38" s="67">
        <v>19964200</v>
      </c>
      <c r="E38" s="68">
        <v>2021</v>
      </c>
      <c r="F38" s="68" t="s">
        <v>167</v>
      </c>
    </row>
    <row r="39" spans="2:6" x14ac:dyDescent="0.35">
      <c r="B39" s="10" t="s">
        <v>144</v>
      </c>
      <c r="C39" s="91">
        <v>9.7649864037687665E-3</v>
      </c>
      <c r="D39" s="67">
        <v>15966300</v>
      </c>
      <c r="E39" s="68">
        <v>2021</v>
      </c>
      <c r="F39" s="68" t="s">
        <v>167</v>
      </c>
    </row>
    <row r="40" spans="2:6" x14ac:dyDescent="0.35">
      <c r="B40" s="10" t="s">
        <v>198</v>
      </c>
      <c r="C40" s="91">
        <v>7.4304939419691084E-3</v>
      </c>
      <c r="D40" s="67">
        <v>12149274</v>
      </c>
      <c r="E40" s="68">
        <v>2021</v>
      </c>
      <c r="F40" s="68" t="s">
        <v>167</v>
      </c>
    </row>
    <row r="41" spans="2:6" x14ac:dyDescent="0.35">
      <c r="B41" s="10" t="s">
        <v>209</v>
      </c>
      <c r="C41" s="91">
        <v>6.8274687392366074E-3</v>
      </c>
      <c r="D41" s="67">
        <v>11163294</v>
      </c>
      <c r="E41" s="68">
        <v>2021</v>
      </c>
      <c r="F41" s="68" t="s">
        <v>167</v>
      </c>
    </row>
    <row r="42" spans="2:6" x14ac:dyDescent="0.35">
      <c r="B42" s="10" t="s">
        <v>173</v>
      </c>
      <c r="C42" s="91">
        <v>6.6052781897310382E-3</v>
      </c>
      <c r="D42" s="67">
        <v>10800000</v>
      </c>
      <c r="E42" s="68">
        <v>2021</v>
      </c>
      <c r="F42" s="68" t="s">
        <v>167</v>
      </c>
    </row>
    <row r="43" spans="2:6" x14ac:dyDescent="0.35">
      <c r="B43" s="10" t="s">
        <v>169</v>
      </c>
      <c r="C43" s="91">
        <v>5.9883574388068066E-3</v>
      </c>
      <c r="D43" s="67">
        <v>9791300</v>
      </c>
      <c r="E43" s="68">
        <v>2021</v>
      </c>
      <c r="F43" s="68" t="s">
        <v>167</v>
      </c>
    </row>
    <row r="44" spans="2:6" x14ac:dyDescent="0.35">
      <c r="B44" s="10" t="s">
        <v>266</v>
      </c>
      <c r="C44" s="91">
        <v>5.0161583452515797E-3</v>
      </c>
      <c r="D44" s="67">
        <v>8201700</v>
      </c>
      <c r="E44" s="68">
        <v>2021</v>
      </c>
      <c r="F44" s="68" t="s">
        <v>167</v>
      </c>
    </row>
    <row r="45" spans="2:6" x14ac:dyDescent="0.35">
      <c r="B45" s="10" t="s">
        <v>260</v>
      </c>
      <c r="C45" s="91">
        <v>3.1413357550729576E-3</v>
      </c>
      <c r="D45" s="67">
        <v>5136260</v>
      </c>
      <c r="E45" s="68">
        <v>2021</v>
      </c>
      <c r="F45" s="68" t="s">
        <v>167</v>
      </c>
    </row>
    <row r="46" spans="2:6" x14ac:dyDescent="0.35">
      <c r="B46" s="10" t="s">
        <v>139</v>
      </c>
      <c r="C46" s="91">
        <v>2.0182794468622616E-3</v>
      </c>
      <c r="D46" s="67">
        <v>3300000</v>
      </c>
      <c r="E46" s="68">
        <v>2021</v>
      </c>
      <c r="F46" s="68" t="s">
        <v>167</v>
      </c>
    </row>
    <row r="47" spans="2:6" x14ac:dyDescent="0.35">
      <c r="B47" s="10" t="s">
        <v>155</v>
      </c>
      <c r="C47" s="91">
        <v>1.8781802732584015E-3</v>
      </c>
      <c r="D47" s="67">
        <v>3070930</v>
      </c>
      <c r="E47" s="68">
        <v>2021</v>
      </c>
      <c r="F47" s="68" t="s">
        <v>167</v>
      </c>
    </row>
    <row r="48" spans="2:6" x14ac:dyDescent="0.35">
      <c r="B48" s="10" t="s">
        <v>313</v>
      </c>
      <c r="C48" s="91">
        <v>1.8347994971475107E-3</v>
      </c>
      <c r="D48" s="67">
        <v>3000000</v>
      </c>
      <c r="E48" s="68">
        <v>2021</v>
      </c>
      <c r="F48" s="68" t="s">
        <v>167</v>
      </c>
    </row>
    <row r="49" spans="2:8" x14ac:dyDescent="0.35">
      <c r="B49" s="3" t="s">
        <v>565</v>
      </c>
      <c r="C49" s="91">
        <v>1.0550745404420513E-2</v>
      </c>
      <c r="D49" s="67">
        <v>17251060</v>
      </c>
      <c r="E49" s="68">
        <v>2021</v>
      </c>
      <c r="F49" s="68" t="s">
        <v>167</v>
      </c>
    </row>
    <row r="50" spans="2:8" x14ac:dyDescent="0.35">
      <c r="B50" s="65" t="s">
        <v>134</v>
      </c>
      <c r="C50" s="69">
        <f>SUM(C28:C49)</f>
        <v>0.99999999999999989</v>
      </c>
      <c r="D50" s="70">
        <f>SUM(D28:D49)</f>
        <v>1635056040</v>
      </c>
      <c r="E50" s="34"/>
      <c r="F50" s="34"/>
    </row>
    <row r="53" spans="2:8" x14ac:dyDescent="0.35">
      <c r="B53" s="4" t="s">
        <v>535</v>
      </c>
      <c r="C53" s="64" t="s">
        <v>541</v>
      </c>
      <c r="D53" s="66" t="s">
        <v>642</v>
      </c>
      <c r="E53" s="64" t="s">
        <v>162</v>
      </c>
      <c r="F53" s="64" t="s">
        <v>127</v>
      </c>
    </row>
    <row r="54" spans="2:8" x14ac:dyDescent="0.35">
      <c r="B54" s="3" t="s">
        <v>137</v>
      </c>
      <c r="C54" s="80">
        <v>0.53993847459425048</v>
      </c>
      <c r="D54" s="71">
        <v>1018000000</v>
      </c>
      <c r="E54" s="50">
        <v>2022</v>
      </c>
      <c r="F54" s="50" t="s">
        <v>645</v>
      </c>
      <c r="G54" s="97"/>
      <c r="H54" s="13"/>
    </row>
    <row r="55" spans="2:8" x14ac:dyDescent="0.35">
      <c r="B55" s="3" t="s">
        <v>140</v>
      </c>
      <c r="C55" s="80">
        <v>6.6458046037976018E-2</v>
      </c>
      <c r="D55" s="71">
        <v>125300000</v>
      </c>
      <c r="E55" s="50">
        <v>2022</v>
      </c>
      <c r="F55" s="50" t="s">
        <v>645</v>
      </c>
      <c r="H55" s="13"/>
    </row>
    <row r="56" spans="2:8" x14ac:dyDescent="0.35">
      <c r="B56" s="3" t="s">
        <v>181</v>
      </c>
      <c r="C56" s="80">
        <v>4.7310915455606235E-2</v>
      </c>
      <c r="D56" s="71">
        <v>89200000</v>
      </c>
      <c r="E56" s="50">
        <v>2022</v>
      </c>
      <c r="F56" s="50" t="s">
        <v>645</v>
      </c>
      <c r="H56" s="13"/>
    </row>
    <row r="57" spans="2:8" x14ac:dyDescent="0.35">
      <c r="B57" s="3" t="s">
        <v>154</v>
      </c>
      <c r="C57" s="80">
        <v>4.2696510024398004E-2</v>
      </c>
      <c r="D57" s="71">
        <v>80500000</v>
      </c>
      <c r="E57" s="50">
        <v>2022</v>
      </c>
      <c r="F57" s="50" t="s">
        <v>645</v>
      </c>
      <c r="H57" s="13"/>
    </row>
    <row r="58" spans="2:8" x14ac:dyDescent="0.35">
      <c r="B58" s="3" t="s">
        <v>141</v>
      </c>
      <c r="C58" s="80">
        <v>3.7922987164527418E-2</v>
      </c>
      <c r="D58" s="71">
        <v>71500000</v>
      </c>
      <c r="E58" s="50">
        <v>2022</v>
      </c>
      <c r="F58" s="50" t="s">
        <v>645</v>
      </c>
      <c r="H58" s="13"/>
    </row>
    <row r="59" spans="2:8" x14ac:dyDescent="0.35">
      <c r="B59" s="3" t="s">
        <v>297</v>
      </c>
      <c r="C59" s="80">
        <v>3.4899756019942711E-2</v>
      </c>
      <c r="D59" s="71">
        <v>65800000</v>
      </c>
      <c r="E59" s="50">
        <v>2022</v>
      </c>
      <c r="F59" s="50" t="s">
        <v>645</v>
      </c>
      <c r="H59" s="13"/>
    </row>
    <row r="60" spans="2:8" x14ac:dyDescent="0.35">
      <c r="B60" s="3" t="s">
        <v>211</v>
      </c>
      <c r="C60" s="80">
        <v>1.9518404582581944E-2</v>
      </c>
      <c r="D60" s="71">
        <v>36800000</v>
      </c>
      <c r="E60" s="50">
        <v>2022</v>
      </c>
      <c r="F60" s="50" t="s">
        <v>645</v>
      </c>
      <c r="H60" s="13"/>
    </row>
    <row r="61" spans="2:8" x14ac:dyDescent="0.35">
      <c r="B61" s="10" t="s">
        <v>169</v>
      </c>
      <c r="C61" s="80">
        <v>1.8616739153495279E-2</v>
      </c>
      <c r="D61" s="71">
        <v>35100000</v>
      </c>
      <c r="E61" s="50">
        <v>2022</v>
      </c>
      <c r="F61" s="50" t="s">
        <v>645</v>
      </c>
      <c r="H61" s="13"/>
    </row>
    <row r="62" spans="2:8" x14ac:dyDescent="0.35">
      <c r="B62" s="3" t="s">
        <v>138</v>
      </c>
      <c r="C62" s="80">
        <v>1.8086347724620769E-2</v>
      </c>
      <c r="D62" s="71">
        <v>34100000</v>
      </c>
      <c r="E62" s="50">
        <v>2022</v>
      </c>
      <c r="F62" s="50" t="s">
        <v>645</v>
      </c>
      <c r="H62" s="13"/>
    </row>
    <row r="63" spans="2:8" x14ac:dyDescent="0.35">
      <c r="B63" s="3" t="s">
        <v>172</v>
      </c>
      <c r="C63" s="80">
        <v>1.6229977723559986E-2</v>
      </c>
      <c r="D63" s="71">
        <v>30600000</v>
      </c>
      <c r="E63" s="50">
        <v>2022</v>
      </c>
      <c r="F63" s="50" t="s">
        <v>645</v>
      </c>
      <c r="H63" s="13"/>
    </row>
    <row r="64" spans="2:8" x14ac:dyDescent="0.35">
      <c r="B64" s="3" t="s">
        <v>320</v>
      </c>
      <c r="C64" s="80">
        <v>1.1456454863689403E-2</v>
      </c>
      <c r="D64" s="71">
        <v>21600000</v>
      </c>
      <c r="E64" s="50">
        <v>2022</v>
      </c>
      <c r="F64" s="50" t="s">
        <v>645</v>
      </c>
      <c r="H64" s="13"/>
    </row>
    <row r="65" spans="2:8" x14ac:dyDescent="0.35">
      <c r="B65" s="3" t="s">
        <v>380</v>
      </c>
      <c r="C65" s="80">
        <v>1.1032141720589795E-2</v>
      </c>
      <c r="D65" s="71">
        <v>20800000</v>
      </c>
      <c r="E65" s="50">
        <v>2022</v>
      </c>
      <c r="F65" s="50" t="s">
        <v>645</v>
      </c>
      <c r="H65" s="13"/>
    </row>
    <row r="66" spans="2:8" x14ac:dyDescent="0.35">
      <c r="B66" s="3" t="s">
        <v>321</v>
      </c>
      <c r="C66" s="80">
        <v>1.0607828577490187E-2</v>
      </c>
      <c r="D66" s="71">
        <v>20000000</v>
      </c>
      <c r="E66" s="50">
        <v>2022</v>
      </c>
      <c r="F66" s="50" t="s">
        <v>645</v>
      </c>
      <c r="H66" s="13"/>
    </row>
    <row r="67" spans="2:8" x14ac:dyDescent="0.35">
      <c r="B67" s="3" t="s">
        <v>173</v>
      </c>
      <c r="C67" s="80">
        <v>9.6000848626286196E-3</v>
      </c>
      <c r="D67" s="71">
        <v>18100000</v>
      </c>
      <c r="E67" s="50">
        <v>2022</v>
      </c>
      <c r="F67" s="50" t="s">
        <v>645</v>
      </c>
      <c r="H67" s="13"/>
    </row>
    <row r="68" spans="2:8" x14ac:dyDescent="0.35">
      <c r="B68" s="3" t="s">
        <v>139</v>
      </c>
      <c r="C68" s="80">
        <v>8.2741062904423453E-3</v>
      </c>
      <c r="D68" s="71">
        <v>15600000</v>
      </c>
      <c r="E68" s="50">
        <v>2022</v>
      </c>
      <c r="F68" s="50" t="s">
        <v>645</v>
      </c>
      <c r="H68" s="13"/>
    </row>
    <row r="69" spans="2:8" x14ac:dyDescent="0.35">
      <c r="B69" s="3" t="s">
        <v>150</v>
      </c>
      <c r="C69" s="80">
        <v>6.4177362893815633E-3</v>
      </c>
      <c r="D69" s="71">
        <v>12100000</v>
      </c>
      <c r="E69" s="50">
        <v>2022</v>
      </c>
      <c r="F69" s="50" t="s">
        <v>645</v>
      </c>
      <c r="H69" s="13"/>
    </row>
    <row r="70" spans="2:8" x14ac:dyDescent="0.35">
      <c r="B70" s="3" t="s">
        <v>159</v>
      </c>
      <c r="C70" s="80">
        <v>3.3414660019094092E-3</v>
      </c>
      <c r="D70" s="71">
        <v>6300000</v>
      </c>
      <c r="E70" s="50">
        <v>2022</v>
      </c>
      <c r="F70" s="50" t="s">
        <v>645</v>
      </c>
      <c r="H70" s="13"/>
    </row>
    <row r="71" spans="2:8" x14ac:dyDescent="0.35">
      <c r="B71" s="3" t="s">
        <v>135</v>
      </c>
      <c r="C71" s="80">
        <v>3.0232311445847035E-3</v>
      </c>
      <c r="D71" s="71">
        <v>5700000</v>
      </c>
      <c r="E71" s="50">
        <v>2022</v>
      </c>
      <c r="F71" s="50" t="s">
        <v>645</v>
      </c>
      <c r="H71" s="13"/>
    </row>
    <row r="72" spans="2:8" x14ac:dyDescent="0.35">
      <c r="B72" s="3" t="s">
        <v>156</v>
      </c>
      <c r="C72" s="80">
        <v>2.3337222870478411E-3</v>
      </c>
      <c r="D72" s="71">
        <v>4400000</v>
      </c>
      <c r="E72" s="50">
        <v>2022</v>
      </c>
      <c r="F72" s="50" t="s">
        <v>645</v>
      </c>
      <c r="H72" s="13"/>
    </row>
    <row r="73" spans="2:8" x14ac:dyDescent="0.35">
      <c r="B73" s="3" t="s">
        <v>565</v>
      </c>
      <c r="C73" s="80">
        <v>9.2235069481277243E-2</v>
      </c>
      <c r="D73" s="71">
        <v>173900000</v>
      </c>
      <c r="E73" s="50">
        <v>2022</v>
      </c>
      <c r="F73" s="50" t="s">
        <v>645</v>
      </c>
      <c r="H73" s="13"/>
    </row>
    <row r="74" spans="2:8" x14ac:dyDescent="0.35">
      <c r="B74" s="65" t="s">
        <v>134</v>
      </c>
      <c r="C74" s="69">
        <f>SUM(C54:C73)</f>
        <v>1</v>
      </c>
      <c r="D74" s="72">
        <f>1885.4*10^6</f>
        <v>1885400000</v>
      </c>
      <c r="E74" s="34"/>
      <c r="F74" s="34"/>
    </row>
    <row r="75" spans="2:8" x14ac:dyDescent="0.35">
      <c r="D75" s="11"/>
    </row>
    <row r="76" spans="2:8" x14ac:dyDescent="0.35">
      <c r="B76" s="77" t="s">
        <v>558</v>
      </c>
      <c r="D76" s="11"/>
    </row>
    <row r="79" spans="2:8" x14ac:dyDescent="0.35">
      <c r="B79" s="2" t="s">
        <v>536</v>
      </c>
    </row>
    <row r="81" spans="2:6" x14ac:dyDescent="0.35">
      <c r="B81" s="4" t="s">
        <v>538</v>
      </c>
      <c r="C81" s="64" t="s">
        <v>548</v>
      </c>
      <c r="D81" s="74" t="s">
        <v>537</v>
      </c>
      <c r="E81" s="74" t="s">
        <v>549</v>
      </c>
      <c r="F81" s="74" t="s">
        <v>127</v>
      </c>
    </row>
    <row r="82" spans="2:6" ht="29" x14ac:dyDescent="0.35">
      <c r="B82" s="73" t="s">
        <v>50</v>
      </c>
      <c r="C82" s="92">
        <v>15.31</v>
      </c>
      <c r="D82" s="75" t="s">
        <v>643</v>
      </c>
      <c r="E82" s="75" t="s">
        <v>644</v>
      </c>
      <c r="F82" s="76" t="s">
        <v>553</v>
      </c>
    </row>
    <row r="83" spans="2:6" ht="29" x14ac:dyDescent="0.35">
      <c r="B83" s="73" t="s">
        <v>50</v>
      </c>
      <c r="C83" s="92">
        <v>77.5</v>
      </c>
      <c r="D83" s="75" t="s">
        <v>744</v>
      </c>
      <c r="E83" s="75" t="s">
        <v>580</v>
      </c>
      <c r="F83" s="76" t="s">
        <v>745</v>
      </c>
    </row>
    <row r="84" spans="2:6" x14ac:dyDescent="0.35">
      <c r="F84"/>
    </row>
    <row r="85" spans="2:6" ht="15" thickBot="1" x14ac:dyDescent="0.4">
      <c r="F85"/>
    </row>
    <row r="86" spans="2:6" x14ac:dyDescent="0.35">
      <c r="B86" s="35" t="s">
        <v>490</v>
      </c>
      <c r="C86" s="81"/>
      <c r="D86" s="82"/>
      <c r="E86" s="83"/>
      <c r="F86"/>
    </row>
    <row r="87" spans="2:6" x14ac:dyDescent="0.35">
      <c r="B87" s="84"/>
      <c r="E87" s="85"/>
      <c r="F87"/>
    </row>
    <row r="88" spans="2:6" x14ac:dyDescent="0.35">
      <c r="B88" s="86" t="s">
        <v>554</v>
      </c>
      <c r="E88" s="85"/>
    </row>
    <row r="89" spans="2:6" x14ac:dyDescent="0.35">
      <c r="B89" s="86" t="s">
        <v>552</v>
      </c>
      <c r="E89" s="85"/>
    </row>
    <row r="90" spans="2:6" x14ac:dyDescent="0.35">
      <c r="B90" s="86" t="s">
        <v>746</v>
      </c>
      <c r="E90" s="85"/>
    </row>
    <row r="91" spans="2:6" x14ac:dyDescent="0.35">
      <c r="B91" s="84" t="s">
        <v>551</v>
      </c>
      <c r="E91" s="85"/>
    </row>
    <row r="92" spans="2:6" ht="15" thickBot="1" x14ac:dyDescent="0.4">
      <c r="B92" s="40" t="s">
        <v>646</v>
      </c>
      <c r="C92" s="88"/>
      <c r="D92" s="89"/>
      <c r="E92" s="9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0233-60C0-4CCB-9D62-892BAF64C5AA}">
  <sheetPr>
    <tabColor theme="4" tint="0.59999389629810485"/>
  </sheetPr>
  <dimension ref="B1:H78"/>
  <sheetViews>
    <sheetView showGridLines="0" topLeftCell="A62" zoomScaleNormal="100" workbookViewId="0">
      <selection activeCell="F67" sqref="F67:F69"/>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647</v>
      </c>
      <c r="C5" s="80">
        <v>0.45</v>
      </c>
      <c r="D5" s="50">
        <v>2023</v>
      </c>
      <c r="E5" s="50" t="s">
        <v>654</v>
      </c>
      <c r="F5"/>
    </row>
    <row r="6" spans="2:6" x14ac:dyDescent="0.35">
      <c r="B6" s="3" t="s">
        <v>650</v>
      </c>
      <c r="C6" s="80">
        <v>0.26</v>
      </c>
      <c r="D6" s="50">
        <v>2023</v>
      </c>
      <c r="E6" s="50" t="s">
        <v>654</v>
      </c>
      <c r="F6"/>
    </row>
    <row r="7" spans="2:6" x14ac:dyDescent="0.35">
      <c r="B7" s="3" t="s">
        <v>651</v>
      </c>
      <c r="C7" s="80">
        <v>0.09</v>
      </c>
      <c r="D7" s="50">
        <v>2023</v>
      </c>
      <c r="E7" s="50" t="s">
        <v>654</v>
      </c>
      <c r="F7"/>
    </row>
    <row r="8" spans="2:6" x14ac:dyDescent="0.35">
      <c r="B8" s="3" t="s">
        <v>652</v>
      </c>
      <c r="C8" s="80">
        <v>0.04</v>
      </c>
      <c r="D8" s="50">
        <v>2023</v>
      </c>
      <c r="E8" s="50" t="s">
        <v>654</v>
      </c>
      <c r="F8"/>
    </row>
    <row r="9" spans="2:6" x14ac:dyDescent="0.35">
      <c r="B9" s="3" t="s">
        <v>240</v>
      </c>
      <c r="C9" s="80">
        <v>0.03</v>
      </c>
      <c r="D9" s="50">
        <v>2023</v>
      </c>
      <c r="E9" s="50" t="s">
        <v>654</v>
      </c>
      <c r="F9"/>
    </row>
    <row r="10" spans="2:6" x14ac:dyDescent="0.35">
      <c r="B10" s="3" t="s">
        <v>653</v>
      </c>
      <c r="C10" s="80">
        <v>0.03</v>
      </c>
      <c r="D10" s="50">
        <v>2023</v>
      </c>
      <c r="E10" s="50" t="s">
        <v>654</v>
      </c>
      <c r="F10"/>
    </row>
    <row r="11" spans="2:6" x14ac:dyDescent="0.35">
      <c r="B11" s="3" t="s">
        <v>174</v>
      </c>
      <c r="C11" s="80">
        <v>0.1</v>
      </c>
      <c r="D11" s="50">
        <v>2023</v>
      </c>
      <c r="E11" s="50" t="s">
        <v>654</v>
      </c>
      <c r="F11"/>
    </row>
    <row r="12" spans="2:6" x14ac:dyDescent="0.35">
      <c r="B12" s="65" t="s">
        <v>134</v>
      </c>
      <c r="C12" s="79">
        <f>SUM(C5:C11)</f>
        <v>1</v>
      </c>
      <c r="D12" s="9"/>
      <c r="E12" s="5"/>
      <c r="F12" s="5"/>
    </row>
    <row r="15" spans="2:6" x14ac:dyDescent="0.35">
      <c r="B15" s="63" t="s">
        <v>533</v>
      </c>
    </row>
    <row r="17" spans="2:6" x14ac:dyDescent="0.35">
      <c r="B17" s="4" t="s">
        <v>532</v>
      </c>
      <c r="C17" s="64" t="s">
        <v>0</v>
      </c>
      <c r="D17"/>
    </row>
    <row r="18" spans="2:6" ht="29" x14ac:dyDescent="0.35">
      <c r="B18" s="3" t="s">
        <v>31</v>
      </c>
      <c r="C18" s="50">
        <v>282200</v>
      </c>
      <c r="D18"/>
    </row>
    <row r="19" spans="2:6" ht="29" x14ac:dyDescent="0.35">
      <c r="B19" s="3" t="s">
        <v>32</v>
      </c>
      <c r="C19" s="50">
        <v>810520</v>
      </c>
      <c r="D19"/>
    </row>
    <row r="22" spans="2:6" x14ac:dyDescent="0.35">
      <c r="B22" s="63" t="s">
        <v>534</v>
      </c>
    </row>
    <row r="24" spans="2:6" x14ac:dyDescent="0.35">
      <c r="B24" s="4" t="s">
        <v>531</v>
      </c>
      <c r="C24" s="64" t="s">
        <v>541</v>
      </c>
      <c r="D24" s="66" t="s">
        <v>655</v>
      </c>
      <c r="E24" s="64" t="s">
        <v>162</v>
      </c>
      <c r="F24" s="64" t="s">
        <v>127</v>
      </c>
    </row>
    <row r="25" spans="2:6" x14ac:dyDescent="0.35">
      <c r="B25" s="10" t="s">
        <v>244</v>
      </c>
      <c r="C25" s="91">
        <v>0.69165501650852201</v>
      </c>
      <c r="D25" s="67">
        <v>93011</v>
      </c>
      <c r="E25" s="68">
        <v>2021</v>
      </c>
      <c r="F25" s="68" t="s">
        <v>167</v>
      </c>
    </row>
    <row r="26" spans="2:6" x14ac:dyDescent="0.35">
      <c r="B26" s="10" t="s">
        <v>141</v>
      </c>
      <c r="C26" s="91">
        <v>6.0233796365150659E-2</v>
      </c>
      <c r="D26" s="67">
        <v>8100</v>
      </c>
      <c r="E26" s="68">
        <v>2021</v>
      </c>
      <c r="F26" s="68" t="s">
        <v>167</v>
      </c>
    </row>
    <row r="27" spans="2:6" x14ac:dyDescent="0.35">
      <c r="B27" s="10" t="s">
        <v>245</v>
      </c>
      <c r="C27" s="91">
        <v>3.8876825604568843E-2</v>
      </c>
      <c r="D27" s="67">
        <v>5228</v>
      </c>
      <c r="E27" s="68">
        <v>2021</v>
      </c>
      <c r="F27" s="68" t="s">
        <v>167</v>
      </c>
    </row>
    <row r="28" spans="2:6" x14ac:dyDescent="0.35">
      <c r="B28" s="10" t="s">
        <v>150</v>
      </c>
      <c r="C28" s="91">
        <v>2.8510663612837977E-2</v>
      </c>
      <c r="D28" s="67">
        <v>3834</v>
      </c>
      <c r="E28" s="68">
        <v>2021</v>
      </c>
      <c r="F28" s="68" t="s">
        <v>167</v>
      </c>
    </row>
    <row r="29" spans="2:6" x14ac:dyDescent="0.35">
      <c r="B29" s="10" t="s">
        <v>234</v>
      </c>
      <c r="C29" s="91">
        <v>2.8257830393527469E-2</v>
      </c>
      <c r="D29" s="67">
        <v>3800</v>
      </c>
      <c r="E29" s="68">
        <v>2021</v>
      </c>
      <c r="F29" s="68" t="s">
        <v>167</v>
      </c>
    </row>
    <row r="30" spans="2:6" x14ac:dyDescent="0.35">
      <c r="B30" s="10" t="s">
        <v>233</v>
      </c>
      <c r="C30" s="91">
        <v>2.3796067699812604E-2</v>
      </c>
      <c r="D30" s="67">
        <v>3200</v>
      </c>
      <c r="E30" s="68">
        <v>2021</v>
      </c>
      <c r="F30" s="68" t="s">
        <v>167</v>
      </c>
    </row>
    <row r="31" spans="2:6" x14ac:dyDescent="0.35">
      <c r="B31" s="10" t="s">
        <v>232</v>
      </c>
      <c r="C31" s="91">
        <v>2.1974181266545705E-2</v>
      </c>
      <c r="D31" s="67">
        <v>2955</v>
      </c>
      <c r="E31" s="68">
        <v>2021</v>
      </c>
      <c r="F31" s="68" t="s">
        <v>167</v>
      </c>
    </row>
    <row r="32" spans="2:6" x14ac:dyDescent="0.35">
      <c r="B32" s="10" t="s">
        <v>169</v>
      </c>
      <c r="C32" s="91">
        <v>1.7847050774859454E-2</v>
      </c>
      <c r="D32" s="67">
        <v>2400</v>
      </c>
      <c r="E32" s="68">
        <v>2021</v>
      </c>
      <c r="F32" s="68" t="s">
        <v>167</v>
      </c>
    </row>
    <row r="33" spans="2:8" x14ac:dyDescent="0.35">
      <c r="B33" s="10" t="s">
        <v>139</v>
      </c>
      <c r="C33" s="91">
        <v>1.5616169428002022E-2</v>
      </c>
      <c r="D33" s="67">
        <v>2100</v>
      </c>
      <c r="E33" s="68">
        <v>2021</v>
      </c>
      <c r="F33" s="68" t="s">
        <v>167</v>
      </c>
    </row>
    <row r="34" spans="2:8" x14ac:dyDescent="0.35">
      <c r="B34" s="10" t="s">
        <v>137</v>
      </c>
      <c r="C34" s="91">
        <v>1.4872542312382879E-2</v>
      </c>
      <c r="D34" s="67">
        <v>2000</v>
      </c>
      <c r="E34" s="68">
        <v>2021</v>
      </c>
      <c r="F34" s="68" t="s">
        <v>167</v>
      </c>
    </row>
    <row r="35" spans="2:8" x14ac:dyDescent="0.35">
      <c r="B35" s="10" t="s">
        <v>191</v>
      </c>
      <c r="C35" s="91">
        <v>1.4768434516196199E-2</v>
      </c>
      <c r="D35" s="67">
        <v>1986</v>
      </c>
      <c r="E35" s="68">
        <v>2021</v>
      </c>
      <c r="F35" s="68" t="s">
        <v>167</v>
      </c>
    </row>
    <row r="36" spans="2:8" x14ac:dyDescent="0.35">
      <c r="B36" s="10" t="s">
        <v>242</v>
      </c>
      <c r="C36" s="91">
        <v>1.3355542996519825E-2</v>
      </c>
      <c r="D36" s="67">
        <v>1796</v>
      </c>
      <c r="E36" s="68">
        <v>2021</v>
      </c>
      <c r="F36" s="68" t="s">
        <v>167</v>
      </c>
    </row>
    <row r="37" spans="2:8" x14ac:dyDescent="0.35">
      <c r="B37" s="10" t="s">
        <v>243</v>
      </c>
      <c r="C37" s="91">
        <v>1.1154406734287159E-2</v>
      </c>
      <c r="D37" s="67">
        <v>1500</v>
      </c>
      <c r="E37" s="68">
        <v>2021</v>
      </c>
      <c r="F37" s="68" t="s">
        <v>167</v>
      </c>
    </row>
    <row r="38" spans="2:8" x14ac:dyDescent="0.35">
      <c r="B38" s="10" t="s">
        <v>228</v>
      </c>
      <c r="C38" s="91">
        <v>8.0609179333115209E-3</v>
      </c>
      <c r="D38" s="67">
        <v>1084</v>
      </c>
      <c r="E38" s="68">
        <v>2021</v>
      </c>
      <c r="F38" s="68" t="s">
        <v>167</v>
      </c>
    </row>
    <row r="39" spans="2:8" x14ac:dyDescent="0.35">
      <c r="B39" s="10" t="s">
        <v>154</v>
      </c>
      <c r="C39" s="91">
        <v>4.8335762515244358E-3</v>
      </c>
      <c r="D39" s="67">
        <v>650</v>
      </c>
      <c r="E39" s="68">
        <v>2021</v>
      </c>
      <c r="F39" s="68" t="s">
        <v>167</v>
      </c>
    </row>
    <row r="40" spans="2:8" x14ac:dyDescent="0.35">
      <c r="B40" s="10" t="s">
        <v>156</v>
      </c>
      <c r="C40" s="91">
        <v>2.6398762604479611E-3</v>
      </c>
      <c r="D40" s="67">
        <v>355</v>
      </c>
      <c r="E40" s="68">
        <v>2021</v>
      </c>
      <c r="F40" s="68" t="s">
        <v>167</v>
      </c>
    </row>
    <row r="41" spans="2:8" x14ac:dyDescent="0.35">
      <c r="B41" s="10" t="s">
        <v>193</v>
      </c>
      <c r="C41" s="91">
        <v>1.8367589755792855E-3</v>
      </c>
      <c r="D41" s="67">
        <v>247</v>
      </c>
      <c r="E41" s="68">
        <v>2021</v>
      </c>
      <c r="F41" s="68" t="s">
        <v>167</v>
      </c>
    </row>
    <row r="42" spans="2:8" x14ac:dyDescent="0.35">
      <c r="B42" s="10" t="s">
        <v>227</v>
      </c>
      <c r="C42" s="91">
        <v>1.710342365924031E-3</v>
      </c>
      <c r="D42" s="67">
        <v>230</v>
      </c>
      <c r="E42" s="68">
        <v>2021</v>
      </c>
      <c r="F42" s="68" t="s">
        <v>167</v>
      </c>
    </row>
    <row r="43" spans="2:8" x14ac:dyDescent="0.35">
      <c r="B43" s="65" t="s">
        <v>134</v>
      </c>
      <c r="C43" s="69">
        <f>SUM(C25:C42)</f>
        <v>1.0000000000000002</v>
      </c>
      <c r="D43" s="70">
        <f>SUM(D25:D42)</f>
        <v>134476</v>
      </c>
      <c r="E43" s="34"/>
      <c r="F43" s="34"/>
    </row>
    <row r="46" spans="2:8" x14ac:dyDescent="0.35">
      <c r="B46" s="4" t="s">
        <v>535</v>
      </c>
      <c r="C46" s="64" t="s">
        <v>541</v>
      </c>
      <c r="D46" s="66" t="s">
        <v>655</v>
      </c>
      <c r="E46" s="64" t="s">
        <v>162</v>
      </c>
      <c r="F46" s="64" t="s">
        <v>127</v>
      </c>
    </row>
    <row r="47" spans="2:8" x14ac:dyDescent="0.35">
      <c r="B47" s="3" t="s">
        <v>137</v>
      </c>
      <c r="C47" s="80">
        <v>0.59599999999999997</v>
      </c>
      <c r="D47" s="71">
        <v>73030.263999999996</v>
      </c>
      <c r="E47" s="50" t="s">
        <v>129</v>
      </c>
      <c r="F47" s="68" t="s">
        <v>556</v>
      </c>
      <c r="H47" s="13"/>
    </row>
    <row r="48" spans="2:8" x14ac:dyDescent="0.35">
      <c r="B48" s="3" t="s">
        <v>228</v>
      </c>
      <c r="C48" s="80">
        <v>0.114</v>
      </c>
      <c r="D48" s="71">
        <v>13968.876</v>
      </c>
      <c r="E48" s="50" t="s">
        <v>129</v>
      </c>
      <c r="F48" s="68" t="s">
        <v>556</v>
      </c>
      <c r="H48" s="13"/>
    </row>
    <row r="49" spans="2:7" x14ac:dyDescent="0.35">
      <c r="B49" s="3" t="s">
        <v>175</v>
      </c>
      <c r="C49" s="80">
        <v>5.2999999999999999E-2</v>
      </c>
      <c r="D49" s="71">
        <v>6494.3019999999997</v>
      </c>
      <c r="E49" s="50" t="s">
        <v>129</v>
      </c>
      <c r="F49" s="68" t="s">
        <v>556</v>
      </c>
      <c r="G49" s="13"/>
    </row>
    <row r="50" spans="2:7" x14ac:dyDescent="0.35">
      <c r="B50" s="3" t="s">
        <v>150</v>
      </c>
      <c r="C50" s="80">
        <v>4.9000000000000002E-2</v>
      </c>
      <c r="D50" s="71">
        <v>6004.1660000000002</v>
      </c>
      <c r="E50" s="50" t="s">
        <v>129</v>
      </c>
      <c r="F50" s="68" t="s">
        <v>556</v>
      </c>
    </row>
    <row r="51" spans="2:7" x14ac:dyDescent="0.35">
      <c r="B51" s="3" t="s">
        <v>153</v>
      </c>
      <c r="C51" s="80">
        <v>3.3000000000000002E-2</v>
      </c>
      <c r="D51" s="71">
        <v>4043.6220000000003</v>
      </c>
      <c r="E51" s="50" t="s">
        <v>129</v>
      </c>
      <c r="F51" s="68" t="s">
        <v>556</v>
      </c>
    </row>
    <row r="52" spans="2:7" x14ac:dyDescent="0.35">
      <c r="B52" s="3" t="s">
        <v>181</v>
      </c>
      <c r="C52" s="80">
        <v>3.2000000000000001E-2</v>
      </c>
      <c r="D52" s="71">
        <v>3921.0880000000002</v>
      </c>
      <c r="E52" s="50" t="s">
        <v>129</v>
      </c>
      <c r="F52" s="68" t="s">
        <v>556</v>
      </c>
    </row>
    <row r="53" spans="2:7" x14ac:dyDescent="0.35">
      <c r="B53" s="3" t="s">
        <v>135</v>
      </c>
      <c r="C53" s="80">
        <v>2.7000000000000003E-2</v>
      </c>
      <c r="D53" s="71">
        <v>3308.4180000000006</v>
      </c>
      <c r="E53" s="50" t="s">
        <v>129</v>
      </c>
      <c r="F53" s="68" t="s">
        <v>556</v>
      </c>
    </row>
    <row r="54" spans="2:7" x14ac:dyDescent="0.35">
      <c r="B54" s="3" t="s">
        <v>191</v>
      </c>
      <c r="C54" s="80">
        <v>2.1000000000000001E-2</v>
      </c>
      <c r="D54" s="71">
        <v>2573.2139999999999</v>
      </c>
      <c r="E54" s="50" t="s">
        <v>129</v>
      </c>
      <c r="F54" s="68" t="s">
        <v>556</v>
      </c>
    </row>
    <row r="55" spans="2:7" x14ac:dyDescent="0.35">
      <c r="B55" s="3" t="s">
        <v>141</v>
      </c>
      <c r="C55" s="80">
        <v>1.7000000000000001E-2</v>
      </c>
      <c r="D55" s="71">
        <v>2083.078</v>
      </c>
      <c r="E55" s="50" t="s">
        <v>129</v>
      </c>
      <c r="F55" s="68" t="s">
        <v>556</v>
      </c>
    </row>
    <row r="56" spans="2:7" x14ac:dyDescent="0.35">
      <c r="B56" s="3" t="s">
        <v>242</v>
      </c>
      <c r="C56" s="80">
        <v>1.7000000000000001E-2</v>
      </c>
      <c r="D56" s="71">
        <v>2083.078</v>
      </c>
      <c r="E56" s="50" t="s">
        <v>129</v>
      </c>
      <c r="F56" s="68" t="s">
        <v>556</v>
      </c>
    </row>
    <row r="57" spans="2:7" x14ac:dyDescent="0.35">
      <c r="B57" s="3" t="s">
        <v>193</v>
      </c>
      <c r="C57" s="80">
        <v>1.7000000000000001E-2</v>
      </c>
      <c r="D57" s="71">
        <v>2083.078</v>
      </c>
      <c r="E57" s="50" t="s">
        <v>129</v>
      </c>
      <c r="F57" s="68" t="s">
        <v>556</v>
      </c>
    </row>
    <row r="58" spans="2:7" x14ac:dyDescent="0.35">
      <c r="B58" s="3" t="s">
        <v>565</v>
      </c>
      <c r="C58" s="80">
        <v>2.4E-2</v>
      </c>
      <c r="D58" s="71">
        <v>2940.8160000000003</v>
      </c>
      <c r="E58" s="50" t="s">
        <v>129</v>
      </c>
      <c r="F58" s="68" t="s">
        <v>556</v>
      </c>
    </row>
    <row r="59" spans="2:7" x14ac:dyDescent="0.35">
      <c r="B59" s="65" t="s">
        <v>134</v>
      </c>
      <c r="C59" s="69">
        <f>SUM(C47:C58)</f>
        <v>1.0000000000000002</v>
      </c>
      <c r="D59" s="72">
        <f>SUM(D47:D58)</f>
        <v>122534</v>
      </c>
      <c r="E59" s="34"/>
      <c r="F59" s="34"/>
    </row>
    <row r="60" spans="2:7" x14ac:dyDescent="0.35">
      <c r="D60" s="11"/>
    </row>
    <row r="61" spans="2:7" x14ac:dyDescent="0.35">
      <c r="B61" s="77" t="s">
        <v>558</v>
      </c>
      <c r="D61" s="11"/>
    </row>
    <row r="64" spans="2:7" x14ac:dyDescent="0.35">
      <c r="B64" s="2" t="s">
        <v>536</v>
      </c>
    </row>
    <row r="66" spans="2:6" x14ac:dyDescent="0.35">
      <c r="B66" s="4" t="s">
        <v>538</v>
      </c>
      <c r="C66" s="64" t="s">
        <v>548</v>
      </c>
      <c r="D66" s="74" t="s">
        <v>537</v>
      </c>
      <c r="E66" s="74" t="s">
        <v>549</v>
      </c>
      <c r="F66" s="74" t="s">
        <v>127</v>
      </c>
    </row>
    <row r="67" spans="2:6" ht="29" x14ac:dyDescent="0.35">
      <c r="B67" s="73" t="s">
        <v>31</v>
      </c>
      <c r="C67" s="92">
        <v>33.9287798464227</v>
      </c>
      <c r="D67" s="75" t="s">
        <v>656</v>
      </c>
      <c r="E67" s="75" t="s">
        <v>661</v>
      </c>
      <c r="F67" s="76" t="s">
        <v>553</v>
      </c>
    </row>
    <row r="68" spans="2:6" ht="43.5" x14ac:dyDescent="0.35">
      <c r="B68" s="73" t="s">
        <v>659</v>
      </c>
      <c r="C68" s="92">
        <v>9.3391084359322267</v>
      </c>
      <c r="D68" s="75" t="s">
        <v>657</v>
      </c>
      <c r="E68" s="75" t="s">
        <v>616</v>
      </c>
      <c r="F68" s="76" t="s">
        <v>553</v>
      </c>
    </row>
    <row r="69" spans="2:6" ht="43.5" x14ac:dyDescent="0.35">
      <c r="B69" s="73" t="s">
        <v>660</v>
      </c>
      <c r="C69" s="92">
        <v>42.539775200000179</v>
      </c>
      <c r="D69" s="75" t="s">
        <v>658</v>
      </c>
      <c r="E69" s="75" t="s">
        <v>580</v>
      </c>
      <c r="F69" s="76" t="s">
        <v>662</v>
      </c>
    </row>
    <row r="70" spans="2:6" x14ac:dyDescent="0.35">
      <c r="F70"/>
    </row>
    <row r="71" spans="2:6" ht="15" thickBot="1" x14ac:dyDescent="0.4">
      <c r="F71"/>
    </row>
    <row r="72" spans="2:6" x14ac:dyDescent="0.35">
      <c r="B72" s="35" t="s">
        <v>490</v>
      </c>
      <c r="C72" s="81"/>
      <c r="D72" s="93"/>
      <c r="F72"/>
    </row>
    <row r="73" spans="2:6" x14ac:dyDescent="0.35">
      <c r="B73" s="84"/>
      <c r="D73" s="94"/>
      <c r="F73"/>
    </row>
    <row r="74" spans="2:6" x14ac:dyDescent="0.35">
      <c r="B74" s="86" t="s">
        <v>554</v>
      </c>
      <c r="D74" s="94"/>
    </row>
    <row r="75" spans="2:6" x14ac:dyDescent="0.35">
      <c r="B75" s="86" t="s">
        <v>663</v>
      </c>
      <c r="D75" s="94"/>
    </row>
    <row r="76" spans="2:6" x14ac:dyDescent="0.35">
      <c r="B76" s="86" t="s">
        <v>552</v>
      </c>
      <c r="D76" s="94"/>
    </row>
    <row r="77" spans="2:6" x14ac:dyDescent="0.35">
      <c r="B77" s="86" t="s">
        <v>664</v>
      </c>
      <c r="D77" s="94"/>
    </row>
    <row r="78" spans="2:6" ht="15" thickBot="1" x14ac:dyDescent="0.4">
      <c r="B78" s="87" t="s">
        <v>551</v>
      </c>
      <c r="C78" s="88"/>
      <c r="D78" s="9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F318-3B5A-439D-93C5-41371B1AD526}">
  <sheetPr>
    <tabColor theme="4" tint="0.59999389629810485"/>
  </sheetPr>
  <dimension ref="B1:H129"/>
  <sheetViews>
    <sheetView showGridLines="0" topLeftCell="A111" zoomScaleNormal="100" workbookViewId="0">
      <selection activeCell="E122" sqref="E122"/>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246</v>
      </c>
      <c r="C5" s="80">
        <v>0.21</v>
      </c>
      <c r="D5" s="50" t="s">
        <v>129</v>
      </c>
      <c r="E5" s="50" t="s">
        <v>556</v>
      </c>
      <c r="F5"/>
    </row>
    <row r="6" spans="2:6" x14ac:dyDescent="0.35">
      <c r="B6" s="3" t="s">
        <v>247</v>
      </c>
      <c r="C6" s="80">
        <v>0.13</v>
      </c>
      <c r="D6" s="50" t="s">
        <v>129</v>
      </c>
      <c r="E6" s="50" t="s">
        <v>556</v>
      </c>
      <c r="F6"/>
    </row>
    <row r="7" spans="2:6" x14ac:dyDescent="0.35">
      <c r="B7" s="3" t="s">
        <v>248</v>
      </c>
      <c r="C7" s="80">
        <v>0.1</v>
      </c>
      <c r="D7" s="50" t="s">
        <v>129</v>
      </c>
      <c r="E7" s="50" t="s">
        <v>556</v>
      </c>
      <c r="F7"/>
    </row>
    <row r="8" spans="2:6" x14ac:dyDescent="0.35">
      <c r="B8" s="3" t="s">
        <v>249</v>
      </c>
      <c r="C8" s="80">
        <v>0.1</v>
      </c>
      <c r="D8" s="50" t="s">
        <v>129</v>
      </c>
      <c r="E8" s="50" t="s">
        <v>556</v>
      </c>
      <c r="F8"/>
    </row>
    <row r="9" spans="2:6" x14ac:dyDescent="0.35">
      <c r="B9" s="3" t="s">
        <v>673</v>
      </c>
      <c r="C9" s="80">
        <v>0.1</v>
      </c>
      <c r="D9" s="50" t="s">
        <v>129</v>
      </c>
      <c r="E9" s="50" t="s">
        <v>556</v>
      </c>
      <c r="F9"/>
    </row>
    <row r="10" spans="2:6" x14ac:dyDescent="0.35">
      <c r="B10" s="3" t="s">
        <v>250</v>
      </c>
      <c r="C10" s="80">
        <v>0.08</v>
      </c>
      <c r="D10" s="50" t="s">
        <v>129</v>
      </c>
      <c r="E10" s="50" t="s">
        <v>556</v>
      </c>
      <c r="F10"/>
    </row>
    <row r="11" spans="2:6" x14ac:dyDescent="0.35">
      <c r="B11" s="3" t="s">
        <v>251</v>
      </c>
      <c r="C11" s="80">
        <v>7.0000000000000007E-2</v>
      </c>
      <c r="D11" s="50" t="s">
        <v>129</v>
      </c>
      <c r="E11" s="50" t="s">
        <v>556</v>
      </c>
      <c r="F11"/>
    </row>
    <row r="12" spans="2:6" x14ac:dyDescent="0.35">
      <c r="B12" s="3" t="s">
        <v>252</v>
      </c>
      <c r="C12" s="80">
        <v>0.06</v>
      </c>
      <c r="D12" s="50" t="s">
        <v>129</v>
      </c>
      <c r="E12" s="50" t="s">
        <v>556</v>
      </c>
      <c r="F12"/>
    </row>
    <row r="13" spans="2:6" x14ac:dyDescent="0.35">
      <c r="B13" s="3" t="s">
        <v>253</v>
      </c>
      <c r="C13" s="80">
        <v>0.04</v>
      </c>
      <c r="D13" s="50" t="s">
        <v>129</v>
      </c>
      <c r="E13" s="50" t="s">
        <v>556</v>
      </c>
      <c r="F13"/>
    </row>
    <row r="14" spans="2:6" x14ac:dyDescent="0.35">
      <c r="B14" s="3" t="s">
        <v>254</v>
      </c>
      <c r="C14" s="80">
        <v>0.03</v>
      </c>
      <c r="D14" s="50" t="s">
        <v>129</v>
      </c>
      <c r="E14" s="50" t="s">
        <v>556</v>
      </c>
      <c r="F14"/>
    </row>
    <row r="15" spans="2:6" x14ac:dyDescent="0.35">
      <c r="B15" s="3" t="s">
        <v>255</v>
      </c>
      <c r="C15" s="80">
        <v>0.03</v>
      </c>
      <c r="D15" s="50" t="s">
        <v>129</v>
      </c>
      <c r="E15" s="50" t="s">
        <v>556</v>
      </c>
      <c r="F15"/>
    </row>
    <row r="16" spans="2:6" x14ac:dyDescent="0.35">
      <c r="B16" s="3" t="s">
        <v>256</v>
      </c>
      <c r="C16" s="80">
        <v>0.02</v>
      </c>
      <c r="D16" s="50" t="s">
        <v>129</v>
      </c>
      <c r="E16" s="50" t="s">
        <v>556</v>
      </c>
      <c r="F16"/>
    </row>
    <row r="17" spans="2:6" x14ac:dyDescent="0.35">
      <c r="B17" s="3" t="s">
        <v>257</v>
      </c>
      <c r="C17" s="80">
        <v>0.02</v>
      </c>
      <c r="D17" s="50" t="s">
        <v>129</v>
      </c>
      <c r="E17" s="50" t="s">
        <v>556</v>
      </c>
      <c r="F17"/>
    </row>
    <row r="18" spans="2:6" x14ac:dyDescent="0.35">
      <c r="B18" s="3" t="s">
        <v>258</v>
      </c>
      <c r="C18" s="80">
        <v>0.01</v>
      </c>
      <c r="D18" s="50" t="s">
        <v>129</v>
      </c>
      <c r="E18" s="50" t="s">
        <v>556</v>
      </c>
      <c r="F18"/>
    </row>
    <row r="19" spans="2:6" x14ac:dyDescent="0.35">
      <c r="B19" s="65" t="s">
        <v>134</v>
      </c>
      <c r="C19" s="79">
        <f>SUM(C5:C18)</f>
        <v>1</v>
      </c>
      <c r="D19" s="9"/>
      <c r="E19" s="5"/>
      <c r="F19" s="5"/>
    </row>
    <row r="22" spans="2:6" x14ac:dyDescent="0.35">
      <c r="B22" s="63" t="s">
        <v>533</v>
      </c>
    </row>
    <row r="24" spans="2:6" x14ac:dyDescent="0.35">
      <c r="B24" s="4" t="s">
        <v>532</v>
      </c>
      <c r="C24" s="64" t="s">
        <v>0</v>
      </c>
      <c r="D24"/>
    </row>
    <row r="25" spans="2:6" ht="29" x14ac:dyDescent="0.35">
      <c r="B25" s="3" t="s">
        <v>34</v>
      </c>
      <c r="C25" s="50">
        <v>740311</v>
      </c>
      <c r="D25"/>
    </row>
    <row r="28" spans="2:6" x14ac:dyDescent="0.35">
      <c r="B28" s="63" t="s">
        <v>534</v>
      </c>
    </row>
    <row r="30" spans="2:6" x14ac:dyDescent="0.35">
      <c r="B30" s="4" t="s">
        <v>531</v>
      </c>
      <c r="C30" s="64" t="s">
        <v>541</v>
      </c>
      <c r="D30" s="66" t="s">
        <v>670</v>
      </c>
      <c r="E30" s="64" t="s">
        <v>162</v>
      </c>
      <c r="F30" s="64" t="s">
        <v>127</v>
      </c>
    </row>
    <row r="31" spans="2:6" x14ac:dyDescent="0.35">
      <c r="B31" s="10" t="s">
        <v>209</v>
      </c>
      <c r="C31" s="91">
        <v>0.26265714764676024</v>
      </c>
      <c r="D31" s="67">
        <v>5624900</v>
      </c>
      <c r="E31" s="68">
        <v>2021</v>
      </c>
      <c r="F31" s="68" t="s">
        <v>167</v>
      </c>
    </row>
    <row r="32" spans="2:6" x14ac:dyDescent="0.35">
      <c r="B32" s="10" t="s">
        <v>198</v>
      </c>
      <c r="C32" s="91">
        <v>0.10736573778552506</v>
      </c>
      <c r="D32" s="67">
        <v>2299277</v>
      </c>
      <c r="E32" s="68">
        <v>2021</v>
      </c>
      <c r="F32" s="68" t="s">
        <v>167</v>
      </c>
    </row>
    <row r="33" spans="2:6" x14ac:dyDescent="0.35">
      <c r="B33" s="10" t="s">
        <v>244</v>
      </c>
      <c r="C33" s="91">
        <v>8.9859479429960823E-2</v>
      </c>
      <c r="D33" s="67">
        <v>1924374</v>
      </c>
      <c r="E33" s="68">
        <v>2021</v>
      </c>
      <c r="F33" s="68" t="s">
        <v>167</v>
      </c>
    </row>
    <row r="34" spans="2:6" x14ac:dyDescent="0.35">
      <c r="B34" s="10" t="s">
        <v>137</v>
      </c>
      <c r="C34" s="91">
        <v>8.8768020351738031E-2</v>
      </c>
      <c r="D34" s="67">
        <v>1901000</v>
      </c>
      <c r="E34" s="68">
        <v>2021</v>
      </c>
      <c r="F34" s="68" t="s">
        <v>167</v>
      </c>
    </row>
    <row r="35" spans="2:6" x14ac:dyDescent="0.35">
      <c r="B35" s="10" t="s">
        <v>154</v>
      </c>
      <c r="C35" s="91">
        <v>5.7435384025585359E-2</v>
      </c>
      <c r="D35" s="67">
        <v>1230000</v>
      </c>
      <c r="E35" s="68">
        <v>2021</v>
      </c>
      <c r="F35" s="68" t="s">
        <v>167</v>
      </c>
    </row>
    <row r="36" spans="2:6" x14ac:dyDescent="0.35">
      <c r="B36" s="10" t="s">
        <v>141</v>
      </c>
      <c r="C36" s="91">
        <v>4.3613535512111161E-2</v>
      </c>
      <c r="D36" s="67">
        <v>934000</v>
      </c>
      <c r="E36" s="68">
        <v>2021</v>
      </c>
      <c r="F36" s="68" t="s">
        <v>167</v>
      </c>
    </row>
    <row r="37" spans="2:6" x14ac:dyDescent="0.35">
      <c r="B37" s="10" t="s">
        <v>193</v>
      </c>
      <c r="C37" s="91">
        <v>3.8622120467682791E-2</v>
      </c>
      <c r="D37" s="67">
        <v>827107</v>
      </c>
      <c r="E37" s="68">
        <v>2021</v>
      </c>
      <c r="F37" s="68" t="s">
        <v>167</v>
      </c>
    </row>
    <row r="38" spans="2:6" x14ac:dyDescent="0.35">
      <c r="B38" s="10" t="s">
        <v>135</v>
      </c>
      <c r="C38" s="91">
        <v>3.7167464302507967E-2</v>
      </c>
      <c r="D38" s="67">
        <v>795955</v>
      </c>
      <c r="E38" s="68">
        <v>2021</v>
      </c>
      <c r="F38" s="68" t="s">
        <v>167</v>
      </c>
    </row>
    <row r="39" spans="2:6" x14ac:dyDescent="0.35">
      <c r="B39" s="10" t="s">
        <v>173</v>
      </c>
      <c r="C39" s="91">
        <v>3.4280845953163545E-2</v>
      </c>
      <c r="D39" s="67">
        <v>734137</v>
      </c>
      <c r="E39" s="68">
        <v>2021</v>
      </c>
      <c r="F39" s="68" t="s">
        <v>167</v>
      </c>
    </row>
    <row r="40" spans="2:6" x14ac:dyDescent="0.35">
      <c r="B40" s="10" t="s">
        <v>139</v>
      </c>
      <c r="C40" s="91">
        <v>3.4137164102231249E-2</v>
      </c>
      <c r="D40" s="67">
        <v>731060</v>
      </c>
      <c r="E40" s="68">
        <v>2021</v>
      </c>
      <c r="F40" s="68" t="s">
        <v>167</v>
      </c>
    </row>
    <row r="41" spans="2:6" x14ac:dyDescent="0.35">
      <c r="B41" s="10" t="s">
        <v>150</v>
      </c>
      <c r="C41" s="91">
        <v>2.5292488525764441E-2</v>
      </c>
      <c r="D41" s="67">
        <v>541648</v>
      </c>
      <c r="E41" s="68">
        <v>2021</v>
      </c>
      <c r="F41" s="68" t="s">
        <v>167</v>
      </c>
    </row>
    <row r="42" spans="2:6" x14ac:dyDescent="0.35">
      <c r="B42" s="10" t="s">
        <v>144</v>
      </c>
      <c r="C42" s="91">
        <v>2.3905260567526967E-2</v>
      </c>
      <c r="D42" s="67">
        <v>511940</v>
      </c>
      <c r="E42" s="68">
        <v>2021</v>
      </c>
      <c r="F42" s="68" t="s">
        <v>167</v>
      </c>
    </row>
    <row r="43" spans="2:6" x14ac:dyDescent="0.35">
      <c r="B43" s="10" t="s">
        <v>220</v>
      </c>
      <c r="C43" s="91">
        <v>1.8271923389602887E-2</v>
      </c>
      <c r="D43" s="67">
        <v>391300</v>
      </c>
      <c r="E43" s="68">
        <v>2021</v>
      </c>
      <c r="F43" s="68" t="s">
        <v>167</v>
      </c>
    </row>
    <row r="44" spans="2:6" x14ac:dyDescent="0.35">
      <c r="B44" s="10" t="s">
        <v>138</v>
      </c>
      <c r="C44" s="91">
        <v>1.5678505671393957E-2</v>
      </c>
      <c r="D44" s="67">
        <v>335761</v>
      </c>
      <c r="E44" s="68">
        <v>2021</v>
      </c>
      <c r="F44" s="68" t="s">
        <v>167</v>
      </c>
    </row>
    <row r="45" spans="2:6" x14ac:dyDescent="0.35">
      <c r="B45" s="10" t="s">
        <v>259</v>
      </c>
      <c r="C45" s="91">
        <v>1.5456188709324191E-2</v>
      </c>
      <c r="D45" s="67">
        <v>331000</v>
      </c>
      <c r="E45" s="68">
        <v>2021</v>
      </c>
      <c r="F45" s="68" t="s">
        <v>167</v>
      </c>
    </row>
    <row r="46" spans="2:6" x14ac:dyDescent="0.35">
      <c r="B46" s="10" t="s">
        <v>172</v>
      </c>
      <c r="C46" s="91">
        <v>1.4644248500025915E-2</v>
      </c>
      <c r="D46" s="67">
        <v>313612</v>
      </c>
      <c r="E46" s="68">
        <v>2021</v>
      </c>
      <c r="F46" s="68" t="s">
        <v>167</v>
      </c>
    </row>
    <row r="47" spans="2:6" x14ac:dyDescent="0.35">
      <c r="B47" s="10" t="s">
        <v>260</v>
      </c>
      <c r="C47" s="91">
        <v>1.4150117415669213E-2</v>
      </c>
      <c r="D47" s="67">
        <v>303030</v>
      </c>
      <c r="E47" s="68">
        <v>2021</v>
      </c>
      <c r="F47" s="68" t="s">
        <v>167</v>
      </c>
    </row>
    <row r="48" spans="2:6" x14ac:dyDescent="0.35">
      <c r="B48" s="10" t="s">
        <v>171</v>
      </c>
      <c r="C48" s="91">
        <v>9.3558971897286861E-3</v>
      </c>
      <c r="D48" s="67">
        <v>200360</v>
      </c>
      <c r="E48" s="68">
        <v>2021</v>
      </c>
      <c r="F48" s="68" t="s">
        <v>167</v>
      </c>
    </row>
    <row r="49" spans="2:6" x14ac:dyDescent="0.35">
      <c r="B49" s="10" t="s">
        <v>199</v>
      </c>
      <c r="C49" s="91">
        <v>6.9342719738206722E-3</v>
      </c>
      <c r="D49" s="67">
        <v>148500</v>
      </c>
      <c r="E49" s="68">
        <v>2021</v>
      </c>
      <c r="F49" s="68" t="s">
        <v>167</v>
      </c>
    </row>
    <row r="50" spans="2:6" x14ac:dyDescent="0.35">
      <c r="B50" s="10" t="s">
        <v>160</v>
      </c>
      <c r="C50" s="91">
        <v>6.4467716411157035E-3</v>
      </c>
      <c r="D50" s="67">
        <v>138060</v>
      </c>
      <c r="E50" s="68">
        <v>2021</v>
      </c>
      <c r="F50" s="68" t="s">
        <v>167</v>
      </c>
    </row>
    <row r="51" spans="2:6" x14ac:dyDescent="0.35">
      <c r="B51" s="10" t="s">
        <v>261</v>
      </c>
      <c r="C51" s="91">
        <v>5.6571518493493227E-3</v>
      </c>
      <c r="D51" s="67">
        <v>121150</v>
      </c>
      <c r="E51" s="68">
        <v>2021</v>
      </c>
      <c r="F51" s="68" t="s">
        <v>167</v>
      </c>
    </row>
    <row r="52" spans="2:6" x14ac:dyDescent="0.35">
      <c r="B52" s="10" t="s">
        <v>169</v>
      </c>
      <c r="C52" s="91">
        <v>5.0477764334681116E-3</v>
      </c>
      <c r="D52" s="67">
        <v>108100</v>
      </c>
      <c r="E52" s="68">
        <v>2021</v>
      </c>
      <c r="F52" s="68" t="s">
        <v>167</v>
      </c>
    </row>
    <row r="53" spans="2:6" x14ac:dyDescent="0.35">
      <c r="B53" s="10" t="s">
        <v>219</v>
      </c>
      <c r="C53" s="91">
        <v>4.85725906206617E-3</v>
      </c>
      <c r="D53" s="67">
        <v>104020</v>
      </c>
      <c r="E53" s="68">
        <v>2021</v>
      </c>
      <c r="F53" s="68" t="s">
        <v>167</v>
      </c>
    </row>
    <row r="54" spans="2:6" x14ac:dyDescent="0.35">
      <c r="B54" s="10" t="s">
        <v>262</v>
      </c>
      <c r="C54" s="91">
        <v>4.1638318646841027E-3</v>
      </c>
      <c r="D54" s="67">
        <v>89170</v>
      </c>
      <c r="E54" s="68">
        <v>2021</v>
      </c>
      <c r="F54" s="68" t="s">
        <v>167</v>
      </c>
    </row>
    <row r="55" spans="2:6" x14ac:dyDescent="0.35">
      <c r="B55" s="10" t="s">
        <v>239</v>
      </c>
      <c r="C55" s="91">
        <v>4.1142413135985979E-3</v>
      </c>
      <c r="D55" s="67">
        <v>88108</v>
      </c>
      <c r="E55" s="68">
        <v>2021</v>
      </c>
      <c r="F55" s="68" t="s">
        <v>167</v>
      </c>
    </row>
    <row r="56" spans="2:6" x14ac:dyDescent="0.35">
      <c r="B56" s="10" t="s">
        <v>263</v>
      </c>
      <c r="C56" s="91">
        <v>3.7342338703463913E-3</v>
      </c>
      <c r="D56" s="67">
        <v>79970</v>
      </c>
      <c r="E56" s="68">
        <v>2021</v>
      </c>
      <c r="F56" s="68" t="s">
        <v>167</v>
      </c>
    </row>
    <row r="57" spans="2:6" x14ac:dyDescent="0.35">
      <c r="B57" s="10" t="s">
        <v>143</v>
      </c>
      <c r="C57" s="91">
        <v>3.5105627406857784E-3</v>
      </c>
      <c r="D57" s="67">
        <v>75180</v>
      </c>
      <c r="E57" s="68">
        <v>2021</v>
      </c>
      <c r="F57" s="68" t="s">
        <v>167</v>
      </c>
    </row>
    <row r="58" spans="2:6" x14ac:dyDescent="0.35">
      <c r="B58" s="10" t="s">
        <v>232</v>
      </c>
      <c r="C58" s="91">
        <v>3.1066939305741622E-3</v>
      </c>
      <c r="D58" s="67">
        <v>66531</v>
      </c>
      <c r="E58" s="68">
        <v>2021</v>
      </c>
      <c r="F58" s="68" t="s">
        <v>167</v>
      </c>
    </row>
    <row r="59" spans="2:6" x14ac:dyDescent="0.35">
      <c r="B59" s="10" t="s">
        <v>233</v>
      </c>
      <c r="C59" s="91">
        <v>2.4088306669462168E-3</v>
      </c>
      <c r="D59" s="67">
        <v>51586</v>
      </c>
      <c r="E59" s="68">
        <v>2021</v>
      </c>
      <c r="F59" s="68" t="s">
        <v>167</v>
      </c>
    </row>
    <row r="60" spans="2:6" x14ac:dyDescent="0.35">
      <c r="B60" s="10" t="s">
        <v>242</v>
      </c>
      <c r="C60" s="91">
        <v>2.3506481559739572E-3</v>
      </c>
      <c r="D60" s="67">
        <v>50340</v>
      </c>
      <c r="E60" s="68">
        <v>2021</v>
      </c>
      <c r="F60" s="68" t="s">
        <v>167</v>
      </c>
    </row>
    <row r="61" spans="2:6" x14ac:dyDescent="0.35">
      <c r="B61" s="10" t="s">
        <v>264</v>
      </c>
      <c r="C61" s="91">
        <v>1.8418080098546044E-3</v>
      </c>
      <c r="D61" s="67">
        <v>39443</v>
      </c>
      <c r="E61" s="68">
        <v>2021</v>
      </c>
      <c r="F61" s="68" t="s">
        <v>167</v>
      </c>
    </row>
    <row r="62" spans="2:6" x14ac:dyDescent="0.35">
      <c r="B62" s="10" t="s">
        <v>200</v>
      </c>
      <c r="C62" s="91">
        <v>1.7907232048757504E-3</v>
      </c>
      <c r="D62" s="67">
        <v>38349</v>
      </c>
      <c r="E62" s="68">
        <v>2021</v>
      </c>
      <c r="F62" s="68" t="s">
        <v>167</v>
      </c>
    </row>
    <row r="63" spans="2:6" x14ac:dyDescent="0.35">
      <c r="B63" s="10" t="s">
        <v>197</v>
      </c>
      <c r="C63" s="91">
        <v>1.5680326793326474E-3</v>
      </c>
      <c r="D63" s="67">
        <v>33580</v>
      </c>
      <c r="E63" s="68">
        <v>2021</v>
      </c>
      <c r="F63" s="68" t="s">
        <v>167</v>
      </c>
    </row>
    <row r="64" spans="2:6" x14ac:dyDescent="0.35">
      <c r="B64" s="10" t="s">
        <v>228</v>
      </c>
      <c r="C64" s="91">
        <v>1.512184940068745E-3</v>
      </c>
      <c r="D64" s="67">
        <v>32384</v>
      </c>
      <c r="E64" s="68">
        <v>2021</v>
      </c>
      <c r="F64" s="68" t="s">
        <v>167</v>
      </c>
    </row>
    <row r="65" spans="2:6" x14ac:dyDescent="0.35">
      <c r="B65" s="10" t="s">
        <v>156</v>
      </c>
      <c r="C65" s="91">
        <v>1.3218076549693049E-3</v>
      </c>
      <c r="D65" s="67">
        <v>28307</v>
      </c>
      <c r="E65" s="68">
        <v>2021</v>
      </c>
      <c r="F65" s="68" t="s">
        <v>167</v>
      </c>
    </row>
    <row r="66" spans="2:6" x14ac:dyDescent="0.35">
      <c r="B66" s="10" t="s">
        <v>140</v>
      </c>
      <c r="C66" s="91">
        <v>1.2411646401626496E-3</v>
      </c>
      <c r="D66" s="67">
        <v>26580</v>
      </c>
      <c r="E66" s="68">
        <v>2021</v>
      </c>
      <c r="F66" s="68" t="s">
        <v>167</v>
      </c>
    </row>
    <row r="67" spans="2:6" x14ac:dyDescent="0.35">
      <c r="B67" s="10" t="s">
        <v>265</v>
      </c>
      <c r="C67" s="91">
        <v>9.4436846059629137E-4</v>
      </c>
      <c r="D67" s="67">
        <v>20224</v>
      </c>
      <c r="E67" s="68">
        <v>2021</v>
      </c>
      <c r="F67" s="68" t="s">
        <v>167</v>
      </c>
    </row>
    <row r="68" spans="2:6" x14ac:dyDescent="0.35">
      <c r="B68" s="10" t="s">
        <v>266</v>
      </c>
      <c r="C68" s="91">
        <v>8.8002215231396889E-4</v>
      </c>
      <c r="D68" s="67">
        <v>18846</v>
      </c>
      <c r="E68" s="68">
        <v>2021</v>
      </c>
      <c r="F68" s="68" t="s">
        <v>167</v>
      </c>
    </row>
    <row r="69" spans="2:6" x14ac:dyDescent="0.35">
      <c r="B69" s="10" t="s">
        <v>231</v>
      </c>
      <c r="C69" s="91">
        <v>8.7815433494728315E-4</v>
      </c>
      <c r="D69" s="67">
        <v>18806</v>
      </c>
      <c r="E69" s="68">
        <v>2021</v>
      </c>
      <c r="F69" s="68" t="s">
        <v>167</v>
      </c>
    </row>
    <row r="70" spans="2:6" x14ac:dyDescent="0.35">
      <c r="B70" s="10" t="s">
        <v>267</v>
      </c>
      <c r="C70" s="91">
        <v>5.4829778799058804E-4</v>
      </c>
      <c r="D70" s="67">
        <v>11742</v>
      </c>
      <c r="E70" s="68">
        <v>2021</v>
      </c>
      <c r="F70" s="68" t="s">
        <v>167</v>
      </c>
    </row>
    <row r="71" spans="2:6" x14ac:dyDescent="0.35">
      <c r="B71" s="10" t="s">
        <v>268</v>
      </c>
      <c r="C71" s="91">
        <v>5.3793140160548244E-4</v>
      </c>
      <c r="D71" s="67">
        <v>11520</v>
      </c>
      <c r="E71" s="68">
        <v>2021</v>
      </c>
      <c r="F71" s="68" t="s">
        <v>167</v>
      </c>
    </row>
    <row r="72" spans="2:6" x14ac:dyDescent="0.35">
      <c r="B72" s="10" t="s">
        <v>269</v>
      </c>
      <c r="C72" s="91">
        <v>4.8096297192156849E-4</v>
      </c>
      <c r="D72" s="67">
        <v>10300</v>
      </c>
      <c r="E72" s="68">
        <v>2021</v>
      </c>
      <c r="F72" s="68" t="s">
        <v>167</v>
      </c>
    </row>
    <row r="73" spans="2:6" x14ac:dyDescent="0.35">
      <c r="B73" s="10" t="s">
        <v>270</v>
      </c>
      <c r="C73" s="91">
        <v>4.3146581170439734E-4</v>
      </c>
      <c r="D73" s="67">
        <v>9240</v>
      </c>
      <c r="E73" s="68">
        <v>2021</v>
      </c>
      <c r="F73" s="68" t="s">
        <v>167</v>
      </c>
    </row>
    <row r="74" spans="2:6" x14ac:dyDescent="0.35">
      <c r="B74" s="10" t="s">
        <v>271</v>
      </c>
      <c r="C74" s="91">
        <v>4.2931782173270881E-4</v>
      </c>
      <c r="D74" s="67">
        <v>9194</v>
      </c>
      <c r="E74" s="68">
        <v>2021</v>
      </c>
      <c r="F74" s="68" t="s">
        <v>167</v>
      </c>
    </row>
    <row r="75" spans="2:6" x14ac:dyDescent="0.35">
      <c r="B75" s="10" t="s">
        <v>227</v>
      </c>
      <c r="C75" s="91">
        <v>4.0391550554578321E-4</v>
      </c>
      <c r="D75" s="67">
        <v>8650</v>
      </c>
      <c r="E75" s="68">
        <v>2021</v>
      </c>
      <c r="F75" s="68" t="s">
        <v>167</v>
      </c>
    </row>
    <row r="76" spans="2:6" x14ac:dyDescent="0.35">
      <c r="B76" s="10" t="s">
        <v>272</v>
      </c>
      <c r="C76" s="91">
        <v>3.796338797788691E-4</v>
      </c>
      <c r="D76" s="67">
        <v>8130</v>
      </c>
      <c r="E76" s="68">
        <v>2021</v>
      </c>
      <c r="F76" s="68" t="s">
        <v>167</v>
      </c>
    </row>
    <row r="77" spans="2:6" x14ac:dyDescent="0.35">
      <c r="B77" s="10" t="s">
        <v>273</v>
      </c>
      <c r="C77" s="91">
        <v>3.7823301675385482E-4</v>
      </c>
      <c r="D77" s="67">
        <v>8100</v>
      </c>
      <c r="E77" s="68">
        <v>2021</v>
      </c>
      <c r="F77" s="68" t="s">
        <v>167</v>
      </c>
    </row>
    <row r="78" spans="2:6" x14ac:dyDescent="0.35">
      <c r="B78" s="10" t="s">
        <v>274</v>
      </c>
      <c r="C78" s="91">
        <v>3.179959066782409E-4</v>
      </c>
      <c r="D78" s="67">
        <v>6810</v>
      </c>
      <c r="E78" s="68">
        <v>2021</v>
      </c>
      <c r="F78" s="68" t="s">
        <v>167</v>
      </c>
    </row>
    <row r="79" spans="2:6" x14ac:dyDescent="0.35">
      <c r="B79" s="10" t="s">
        <v>229</v>
      </c>
      <c r="C79" s="91">
        <v>2.6569702041104125E-4</v>
      </c>
      <c r="D79" s="67">
        <v>5690</v>
      </c>
      <c r="E79" s="68">
        <v>2021</v>
      </c>
      <c r="F79" s="68" t="s">
        <v>167</v>
      </c>
    </row>
    <row r="80" spans="2:6" x14ac:dyDescent="0.35">
      <c r="B80" s="10" t="s">
        <v>275</v>
      </c>
      <c r="C80" s="91">
        <v>2.2292400271393863E-4</v>
      </c>
      <c r="D80" s="67">
        <v>4774</v>
      </c>
      <c r="E80" s="68">
        <v>2021</v>
      </c>
      <c r="F80" s="68" t="s">
        <v>167</v>
      </c>
    </row>
    <row r="81" spans="2:8" x14ac:dyDescent="0.35">
      <c r="B81" s="10" t="s">
        <v>179</v>
      </c>
      <c r="C81" s="91">
        <v>2.0919554506879871E-4</v>
      </c>
      <c r="D81" s="67">
        <v>4480</v>
      </c>
      <c r="E81" s="68">
        <v>2021</v>
      </c>
      <c r="F81" s="68" t="s">
        <v>167</v>
      </c>
    </row>
    <row r="82" spans="2:8" x14ac:dyDescent="0.35">
      <c r="B82" s="10" t="s">
        <v>170</v>
      </c>
      <c r="C82" s="91">
        <v>1.5456188709324191E-4</v>
      </c>
      <c r="D82" s="67">
        <v>3310</v>
      </c>
      <c r="E82" s="68">
        <v>2021</v>
      </c>
      <c r="F82" s="68" t="s">
        <v>167</v>
      </c>
    </row>
    <row r="83" spans="2:8" x14ac:dyDescent="0.35">
      <c r="B83" s="10" t="s">
        <v>276</v>
      </c>
      <c r="C83" s="91">
        <v>1.2369620510876067E-4</v>
      </c>
      <c r="D83" s="67">
        <v>2649</v>
      </c>
      <c r="E83" s="68">
        <v>2021</v>
      </c>
      <c r="F83" s="68" t="s">
        <v>167</v>
      </c>
    </row>
    <row r="84" spans="2:8" x14ac:dyDescent="0.35">
      <c r="B84" s="10" t="s">
        <v>221</v>
      </c>
      <c r="C84" s="91">
        <v>9.3390868334285144E-5</v>
      </c>
      <c r="D84" s="67">
        <v>2000</v>
      </c>
      <c r="E84" s="68">
        <v>2021</v>
      </c>
      <c r="F84" s="68" t="s">
        <v>167</v>
      </c>
    </row>
    <row r="85" spans="2:8" x14ac:dyDescent="0.35">
      <c r="B85" s="10" t="s">
        <v>277</v>
      </c>
      <c r="C85" s="91">
        <v>4.4360662458785441E-5</v>
      </c>
      <c r="D85" s="67">
        <v>950</v>
      </c>
      <c r="E85" s="68">
        <v>2021</v>
      </c>
      <c r="F85" s="68" t="s">
        <v>167</v>
      </c>
    </row>
    <row r="86" spans="2:8" x14ac:dyDescent="0.35">
      <c r="B86" s="10" t="s">
        <v>278</v>
      </c>
      <c r="C86" s="91">
        <v>3.5488529967028355E-6</v>
      </c>
      <c r="D86" s="67">
        <v>76</v>
      </c>
      <c r="E86" s="68">
        <v>2021</v>
      </c>
      <c r="F86" s="68" t="s">
        <v>167</v>
      </c>
    </row>
    <row r="87" spans="2:8" x14ac:dyDescent="0.35">
      <c r="B87" s="10" t="s">
        <v>211</v>
      </c>
      <c r="C87" s="91">
        <v>2.8017260500285544E-6</v>
      </c>
      <c r="D87" s="67">
        <v>60</v>
      </c>
      <c r="E87" s="68">
        <v>2021</v>
      </c>
      <c r="F87" s="68" t="s">
        <v>167</v>
      </c>
    </row>
    <row r="88" spans="2:8" x14ac:dyDescent="0.35">
      <c r="B88" s="65" t="s">
        <v>134</v>
      </c>
      <c r="C88" s="69">
        <f>SUM(C31:C87)</f>
        <v>1</v>
      </c>
      <c r="D88" s="70">
        <f>SUM(D31:D87)</f>
        <v>21415370</v>
      </c>
      <c r="E88" s="34"/>
      <c r="F88" s="34"/>
    </row>
    <row r="91" spans="2:8" x14ac:dyDescent="0.35">
      <c r="B91" s="4" t="s">
        <v>535</v>
      </c>
      <c r="C91" s="64" t="s">
        <v>541</v>
      </c>
      <c r="D91" s="66" t="s">
        <v>670</v>
      </c>
      <c r="E91" s="64" t="s">
        <v>162</v>
      </c>
      <c r="F91" s="64" t="s">
        <v>127</v>
      </c>
    </row>
    <row r="92" spans="2:8" x14ac:dyDescent="0.35">
      <c r="B92" s="3" t="s">
        <v>137</v>
      </c>
      <c r="C92" s="80">
        <v>0.38300000000000001</v>
      </c>
      <c r="D92" s="71">
        <v>9243147.352</v>
      </c>
      <c r="E92" s="50" t="s">
        <v>129</v>
      </c>
      <c r="F92" s="68" t="s">
        <v>556</v>
      </c>
      <c r="H92" s="13"/>
    </row>
    <row r="93" spans="2:8" x14ac:dyDescent="0.35">
      <c r="B93" s="3" t="s">
        <v>209</v>
      </c>
      <c r="C93" s="80">
        <v>0.1</v>
      </c>
      <c r="D93" s="71">
        <v>2413354.4</v>
      </c>
      <c r="E93" s="50" t="s">
        <v>129</v>
      </c>
      <c r="F93" s="68" t="s">
        <v>556</v>
      </c>
      <c r="H93" s="13"/>
    </row>
    <row r="94" spans="2:8" x14ac:dyDescent="0.35">
      <c r="B94" s="3" t="s">
        <v>181</v>
      </c>
      <c r="C94" s="80">
        <v>6.4000000000000001E-2</v>
      </c>
      <c r="D94" s="71">
        <v>1544546.8160000001</v>
      </c>
      <c r="E94" s="50" t="s">
        <v>129</v>
      </c>
      <c r="F94" s="68" t="s">
        <v>556</v>
      </c>
      <c r="H94" s="13"/>
    </row>
    <row r="95" spans="2:8" x14ac:dyDescent="0.35">
      <c r="B95" s="3" t="s">
        <v>408</v>
      </c>
      <c r="C95" s="80">
        <v>4.4999999999999998E-2</v>
      </c>
      <c r="D95" s="71">
        <v>1086009.48</v>
      </c>
      <c r="E95" s="50" t="s">
        <v>129</v>
      </c>
      <c r="F95" s="68" t="s">
        <v>556</v>
      </c>
      <c r="H95" s="13"/>
    </row>
    <row r="96" spans="2:8" x14ac:dyDescent="0.35">
      <c r="B96" s="3" t="s">
        <v>244</v>
      </c>
      <c r="C96" s="80">
        <v>4.1000000000000002E-2</v>
      </c>
      <c r="D96" s="71">
        <v>989475.304</v>
      </c>
      <c r="E96" s="50" t="s">
        <v>129</v>
      </c>
      <c r="F96" s="68" t="s">
        <v>556</v>
      </c>
      <c r="H96" s="13"/>
    </row>
    <row r="97" spans="2:8" x14ac:dyDescent="0.35">
      <c r="B97" s="3" t="s">
        <v>141</v>
      </c>
      <c r="C97" s="80">
        <v>4.1000000000000002E-2</v>
      </c>
      <c r="D97" s="71">
        <v>989475.304</v>
      </c>
      <c r="E97" s="50" t="s">
        <v>129</v>
      </c>
      <c r="F97" s="68" t="s">
        <v>556</v>
      </c>
      <c r="H97" s="13"/>
    </row>
    <row r="98" spans="2:8" x14ac:dyDescent="0.35">
      <c r="B98" s="3" t="s">
        <v>140</v>
      </c>
      <c r="C98" s="80">
        <v>0.03</v>
      </c>
      <c r="D98" s="71">
        <v>724006.32</v>
      </c>
      <c r="E98" s="50" t="s">
        <v>129</v>
      </c>
      <c r="F98" s="68" t="s">
        <v>556</v>
      </c>
      <c r="H98" s="13"/>
    </row>
    <row r="99" spans="2:8" x14ac:dyDescent="0.35">
      <c r="B99" s="3" t="s">
        <v>211</v>
      </c>
      <c r="C99" s="80">
        <v>2.7E-2</v>
      </c>
      <c r="D99" s="71">
        <v>651605.68799999997</v>
      </c>
      <c r="E99" s="50" t="s">
        <v>129</v>
      </c>
      <c r="F99" s="68" t="s">
        <v>556</v>
      </c>
      <c r="H99" s="13"/>
    </row>
    <row r="100" spans="2:8" x14ac:dyDescent="0.35">
      <c r="B100" s="3" t="s">
        <v>180</v>
      </c>
      <c r="C100" s="80">
        <v>2.7E-2</v>
      </c>
      <c r="D100" s="71">
        <v>651605.68799999997</v>
      </c>
      <c r="E100" s="50" t="s">
        <v>129</v>
      </c>
      <c r="F100" s="68" t="s">
        <v>556</v>
      </c>
      <c r="H100" s="13"/>
    </row>
    <row r="101" spans="2:8" x14ac:dyDescent="0.35">
      <c r="B101" s="3" t="s">
        <v>220</v>
      </c>
      <c r="C101" s="80">
        <v>2.1999999999999999E-2</v>
      </c>
      <c r="D101" s="71">
        <v>530937.96799999999</v>
      </c>
      <c r="E101" s="50" t="s">
        <v>129</v>
      </c>
      <c r="F101" s="68" t="s">
        <v>556</v>
      </c>
      <c r="H101" s="13"/>
    </row>
    <row r="102" spans="2:8" x14ac:dyDescent="0.35">
      <c r="B102" s="3" t="s">
        <v>144</v>
      </c>
      <c r="C102" s="80">
        <v>1.7999999999999999E-2</v>
      </c>
      <c r="D102" s="71">
        <v>434403.79199999996</v>
      </c>
      <c r="E102" s="50" t="s">
        <v>129</v>
      </c>
      <c r="F102" s="68" t="s">
        <v>556</v>
      </c>
      <c r="H102" s="13"/>
    </row>
    <row r="103" spans="2:8" x14ac:dyDescent="0.35">
      <c r="B103" s="3" t="s">
        <v>173</v>
      </c>
      <c r="C103" s="80">
        <v>1.7999999999999999E-2</v>
      </c>
      <c r="D103" s="71">
        <v>434403.79199999996</v>
      </c>
      <c r="E103" s="50" t="s">
        <v>129</v>
      </c>
      <c r="F103" s="68" t="s">
        <v>556</v>
      </c>
      <c r="H103" s="13"/>
    </row>
    <row r="104" spans="2:8" x14ac:dyDescent="0.35">
      <c r="B104" s="3" t="s">
        <v>135</v>
      </c>
      <c r="C104" s="80">
        <v>1.7000000000000001E-2</v>
      </c>
      <c r="D104" s="71">
        <v>410270.24800000002</v>
      </c>
      <c r="E104" s="50" t="s">
        <v>129</v>
      </c>
      <c r="F104" s="68" t="s">
        <v>556</v>
      </c>
      <c r="H104" s="13"/>
    </row>
    <row r="105" spans="2:8" x14ac:dyDescent="0.35">
      <c r="B105" s="3" t="s">
        <v>160</v>
      </c>
      <c r="C105" s="80">
        <v>1.7000000000000001E-2</v>
      </c>
      <c r="D105" s="71">
        <v>410270.24800000002</v>
      </c>
      <c r="E105" s="50" t="s">
        <v>129</v>
      </c>
      <c r="F105" s="68" t="s">
        <v>556</v>
      </c>
      <c r="H105" s="13"/>
    </row>
    <row r="106" spans="2:8" x14ac:dyDescent="0.35">
      <c r="B106" s="3" t="s">
        <v>193</v>
      </c>
      <c r="C106" s="80">
        <v>1.7000000000000001E-2</v>
      </c>
      <c r="D106" s="71">
        <v>410270.24800000002</v>
      </c>
      <c r="E106" s="50" t="s">
        <v>129</v>
      </c>
      <c r="F106" s="68" t="s">
        <v>556</v>
      </c>
      <c r="H106" s="13"/>
    </row>
    <row r="107" spans="2:8" x14ac:dyDescent="0.35">
      <c r="B107" s="3" t="s">
        <v>175</v>
      </c>
      <c r="C107" s="80">
        <v>1.4999999999999999E-2</v>
      </c>
      <c r="D107" s="71">
        <v>362003.16</v>
      </c>
      <c r="E107" s="50" t="s">
        <v>129</v>
      </c>
      <c r="F107" s="68" t="s">
        <v>556</v>
      </c>
      <c r="H107" s="13"/>
    </row>
    <row r="108" spans="2:8" x14ac:dyDescent="0.35">
      <c r="B108" s="3" t="s">
        <v>198</v>
      </c>
      <c r="C108" s="80">
        <v>1.2999999999999999E-2</v>
      </c>
      <c r="D108" s="71">
        <v>313736.07199999999</v>
      </c>
      <c r="E108" s="50" t="s">
        <v>129</v>
      </c>
      <c r="F108" s="68" t="s">
        <v>556</v>
      </c>
      <c r="G108" s="13"/>
    </row>
    <row r="109" spans="2:8" x14ac:dyDescent="0.35">
      <c r="B109" s="3" t="s">
        <v>150</v>
      </c>
      <c r="C109" s="80">
        <v>1.2E-2</v>
      </c>
      <c r="D109" s="71">
        <v>289602.52799999999</v>
      </c>
      <c r="E109" s="50" t="s">
        <v>129</v>
      </c>
      <c r="F109" s="68" t="s">
        <v>556</v>
      </c>
    </row>
    <row r="110" spans="2:8" x14ac:dyDescent="0.35">
      <c r="B110" s="3" t="s">
        <v>139</v>
      </c>
      <c r="C110" s="80">
        <v>1.0999999999999999E-2</v>
      </c>
      <c r="D110" s="71">
        <v>265468.984</v>
      </c>
      <c r="E110" s="50" t="s">
        <v>129</v>
      </c>
      <c r="F110" s="68" t="s">
        <v>556</v>
      </c>
    </row>
    <row r="111" spans="2:8" x14ac:dyDescent="0.35">
      <c r="B111" s="3" t="s">
        <v>172</v>
      </c>
      <c r="C111" s="80">
        <v>8.9999999999999993E-3</v>
      </c>
      <c r="D111" s="71">
        <f>C111*D114</f>
        <v>217201.89599999998</v>
      </c>
      <c r="E111" s="50" t="s">
        <v>129</v>
      </c>
      <c r="F111" s="68" t="s">
        <v>556</v>
      </c>
    </row>
    <row r="112" spans="2:8" x14ac:dyDescent="0.35">
      <c r="B112" s="3" t="s">
        <v>239</v>
      </c>
      <c r="C112" s="80">
        <v>8.9999999999999993E-3</v>
      </c>
      <c r="D112" s="71">
        <f>C112*D114</f>
        <v>217201.89599999998</v>
      </c>
      <c r="E112" s="50" t="s">
        <v>129</v>
      </c>
      <c r="F112" s="68" t="s">
        <v>556</v>
      </c>
    </row>
    <row r="113" spans="2:6" x14ac:dyDescent="0.35">
      <c r="B113" s="3" t="s">
        <v>565</v>
      </c>
      <c r="C113" s="80">
        <v>8.2000000000000003E-2</v>
      </c>
      <c r="D113" s="71">
        <v>1978950.608</v>
      </c>
      <c r="E113" s="50" t="s">
        <v>129</v>
      </c>
      <c r="F113" s="68" t="s">
        <v>556</v>
      </c>
    </row>
    <row r="114" spans="2:6" x14ac:dyDescent="0.35">
      <c r="B114" s="65" t="s">
        <v>134</v>
      </c>
      <c r="C114" s="69">
        <f>SUM(C92:C113)</f>
        <v>1.0180000000000002</v>
      </c>
      <c r="D114" s="72">
        <v>24133544</v>
      </c>
      <c r="E114" s="34"/>
      <c r="F114" s="34"/>
    </row>
    <row r="115" spans="2:6" x14ac:dyDescent="0.35">
      <c r="D115" s="11"/>
    </row>
    <row r="116" spans="2:6" x14ac:dyDescent="0.35">
      <c r="B116" s="77" t="s">
        <v>558</v>
      </c>
      <c r="D116" s="11"/>
    </row>
    <row r="119" spans="2:6" x14ac:dyDescent="0.35">
      <c r="B119" s="2" t="s">
        <v>536</v>
      </c>
    </row>
    <row r="121" spans="2:6" x14ac:dyDescent="0.35">
      <c r="B121" s="4" t="s">
        <v>538</v>
      </c>
      <c r="C121" s="64" t="s">
        <v>548</v>
      </c>
      <c r="D121" s="74" t="s">
        <v>537</v>
      </c>
      <c r="E121" s="74" t="s">
        <v>549</v>
      </c>
      <c r="F121" s="74" t="s">
        <v>127</v>
      </c>
    </row>
    <row r="122" spans="2:6" x14ac:dyDescent="0.35">
      <c r="B122" s="73" t="s">
        <v>671</v>
      </c>
      <c r="C122" s="92">
        <v>6.8749105999999998</v>
      </c>
      <c r="D122" s="75" t="s">
        <v>672</v>
      </c>
      <c r="E122" s="75" t="s">
        <v>580</v>
      </c>
      <c r="F122" s="76" t="s">
        <v>553</v>
      </c>
    </row>
    <row r="123" spans="2:6" x14ac:dyDescent="0.35">
      <c r="F123"/>
    </row>
    <row r="124" spans="2:6" ht="15" thickBot="1" x14ac:dyDescent="0.4">
      <c r="F124"/>
    </row>
    <row r="125" spans="2:6" x14ac:dyDescent="0.35">
      <c r="B125" s="35" t="s">
        <v>490</v>
      </c>
      <c r="C125" s="81"/>
      <c r="D125" s="93"/>
      <c r="F125"/>
    </row>
    <row r="126" spans="2:6" x14ac:dyDescent="0.35">
      <c r="B126" s="84"/>
      <c r="D126" s="94"/>
      <c r="F126"/>
    </row>
    <row r="127" spans="2:6" x14ac:dyDescent="0.35">
      <c r="B127" s="86" t="s">
        <v>554</v>
      </c>
      <c r="D127" s="94"/>
    </row>
    <row r="128" spans="2:6" x14ac:dyDescent="0.35">
      <c r="B128" s="86" t="s">
        <v>552</v>
      </c>
      <c r="D128" s="94"/>
    </row>
    <row r="129" spans="2:4" ht="15" thickBot="1" x14ac:dyDescent="0.4">
      <c r="B129" s="87" t="s">
        <v>551</v>
      </c>
      <c r="C129" s="88"/>
      <c r="D129" s="9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DE2E-856C-4BA0-84DF-E57DEC91922A}">
  <sheetPr>
    <tabColor theme="4" tint="0.59999389629810485"/>
  </sheetPr>
  <dimension ref="B1:H79"/>
  <sheetViews>
    <sheetView showGridLines="0" topLeftCell="A59" zoomScaleNormal="100" workbookViewId="0">
      <selection activeCell="C69" sqref="C69:C70"/>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401</v>
      </c>
      <c r="C5" s="80">
        <v>0.57999999999999996</v>
      </c>
      <c r="D5" s="50">
        <v>2019</v>
      </c>
      <c r="E5" s="50" t="s">
        <v>677</v>
      </c>
      <c r="F5"/>
    </row>
    <row r="6" spans="2:6" x14ac:dyDescent="0.35">
      <c r="B6" s="3" t="s">
        <v>674</v>
      </c>
      <c r="C6" s="80">
        <v>0.13</v>
      </c>
      <c r="D6" s="50">
        <v>2019</v>
      </c>
      <c r="E6" s="50" t="s">
        <v>677</v>
      </c>
      <c r="F6"/>
    </row>
    <row r="7" spans="2:6" x14ac:dyDescent="0.35">
      <c r="B7" s="3" t="s">
        <v>402</v>
      </c>
      <c r="C7" s="80">
        <v>0.13</v>
      </c>
      <c r="D7" s="50">
        <v>2019</v>
      </c>
      <c r="E7" s="50" t="s">
        <v>677</v>
      </c>
      <c r="F7"/>
    </row>
    <row r="8" spans="2:6" x14ac:dyDescent="0.35">
      <c r="B8" s="3" t="s">
        <v>675</v>
      </c>
      <c r="C8" s="80">
        <v>0.08</v>
      </c>
      <c r="D8" s="50">
        <v>2019</v>
      </c>
      <c r="E8" s="50" t="s">
        <v>677</v>
      </c>
      <c r="F8"/>
    </row>
    <row r="9" spans="2:6" x14ac:dyDescent="0.35">
      <c r="B9" s="3" t="s">
        <v>676</v>
      </c>
      <c r="C9" s="80">
        <v>0.05</v>
      </c>
      <c r="D9" s="50">
        <v>2019</v>
      </c>
      <c r="E9" s="50" t="s">
        <v>677</v>
      </c>
      <c r="F9"/>
    </row>
    <row r="10" spans="2:6" x14ac:dyDescent="0.35">
      <c r="B10" s="3" t="s">
        <v>174</v>
      </c>
      <c r="C10" s="80">
        <v>0.03</v>
      </c>
      <c r="D10" s="50">
        <v>2019</v>
      </c>
      <c r="E10" s="50" t="s">
        <v>677</v>
      </c>
      <c r="F10"/>
    </row>
    <row r="11" spans="2:6" x14ac:dyDescent="0.35">
      <c r="B11" s="65" t="s">
        <v>134</v>
      </c>
      <c r="C11" s="79">
        <f>SUM(C5:C10)</f>
        <v>1</v>
      </c>
      <c r="D11" s="9"/>
      <c r="E11" s="5"/>
      <c r="F11" s="5"/>
    </row>
    <row r="14" spans="2:6" x14ac:dyDescent="0.35">
      <c r="B14" s="63" t="s">
        <v>533</v>
      </c>
    </row>
    <row r="16" spans="2:6" x14ac:dyDescent="0.35">
      <c r="B16" s="4" t="s">
        <v>532</v>
      </c>
      <c r="C16" s="64" t="s">
        <v>0</v>
      </c>
      <c r="D16"/>
    </row>
    <row r="17" spans="2:6" x14ac:dyDescent="0.35">
      <c r="B17" s="3" t="s">
        <v>121</v>
      </c>
      <c r="C17" s="50">
        <v>281700</v>
      </c>
      <c r="D17"/>
    </row>
    <row r="18" spans="2:6" ht="29" x14ac:dyDescent="0.35">
      <c r="B18" s="3" t="s">
        <v>122</v>
      </c>
      <c r="C18" s="50">
        <v>790111</v>
      </c>
      <c r="D18"/>
    </row>
    <row r="19" spans="2:6" ht="29" x14ac:dyDescent="0.35">
      <c r="B19" s="3" t="s">
        <v>123</v>
      </c>
      <c r="C19" s="50">
        <v>790112</v>
      </c>
      <c r="D19"/>
    </row>
    <row r="22" spans="2:6" x14ac:dyDescent="0.35">
      <c r="B22" s="63" t="s">
        <v>534</v>
      </c>
    </row>
    <row r="24" spans="2:6" x14ac:dyDescent="0.35">
      <c r="B24" s="4" t="s">
        <v>531</v>
      </c>
      <c r="C24" s="64" t="s">
        <v>541</v>
      </c>
      <c r="D24" s="66" t="s">
        <v>678</v>
      </c>
      <c r="E24" s="64" t="s">
        <v>162</v>
      </c>
      <c r="F24" s="64" t="s">
        <v>127</v>
      </c>
    </row>
    <row r="25" spans="2:6" x14ac:dyDescent="0.35">
      <c r="B25" s="10" t="s">
        <v>137</v>
      </c>
      <c r="C25" s="91">
        <v>0.31990782694409747</v>
      </c>
      <c r="D25" s="67">
        <v>4136000</v>
      </c>
      <c r="E25" s="68">
        <v>2021</v>
      </c>
      <c r="F25" s="68" t="s">
        <v>167</v>
      </c>
    </row>
    <row r="26" spans="2:6" x14ac:dyDescent="0.35">
      <c r="B26" s="10" t="s">
        <v>212</v>
      </c>
      <c r="C26" s="91">
        <v>0.11850922024478208</v>
      </c>
      <c r="D26" s="67">
        <v>1532173</v>
      </c>
      <c r="E26" s="68">
        <v>2021</v>
      </c>
      <c r="F26" s="68" t="s">
        <v>167</v>
      </c>
    </row>
    <row r="27" spans="2:6" x14ac:dyDescent="0.35">
      <c r="B27" s="10" t="s">
        <v>135</v>
      </c>
      <c r="C27" s="91">
        <v>0.10172388241871355</v>
      </c>
      <c r="D27" s="67">
        <v>1315160</v>
      </c>
      <c r="E27" s="68">
        <v>2021</v>
      </c>
      <c r="F27" s="68" t="s">
        <v>167</v>
      </c>
    </row>
    <row r="28" spans="2:6" x14ac:dyDescent="0.35">
      <c r="B28" s="10" t="s">
        <v>140</v>
      </c>
      <c r="C28" s="91">
        <v>6.1576068914457452E-2</v>
      </c>
      <c r="D28" s="67">
        <v>796100</v>
      </c>
      <c r="E28" s="68">
        <v>2021</v>
      </c>
      <c r="F28" s="68" t="s">
        <v>167</v>
      </c>
    </row>
    <row r="29" spans="2:6" x14ac:dyDescent="0.35">
      <c r="B29" s="10" t="s">
        <v>173</v>
      </c>
      <c r="C29" s="91">
        <v>5.7463211373372965E-2</v>
      </c>
      <c r="D29" s="67">
        <v>742926</v>
      </c>
      <c r="E29" s="68">
        <v>2021</v>
      </c>
      <c r="F29" s="68" t="s">
        <v>167</v>
      </c>
    </row>
    <row r="30" spans="2:6" x14ac:dyDescent="0.35">
      <c r="B30" s="10" t="s">
        <v>154</v>
      </c>
      <c r="C30" s="91">
        <v>5.4452396075591061E-2</v>
      </c>
      <c r="D30" s="67">
        <v>704000</v>
      </c>
      <c r="E30" s="68">
        <v>2021</v>
      </c>
      <c r="F30" s="68" t="s">
        <v>167</v>
      </c>
    </row>
    <row r="31" spans="2:6" x14ac:dyDescent="0.35">
      <c r="B31" s="10" t="s">
        <v>170</v>
      </c>
      <c r="C31" s="91">
        <v>3.8616107823169557E-2</v>
      </c>
      <c r="D31" s="67">
        <v>499257</v>
      </c>
      <c r="E31" s="68">
        <v>2021</v>
      </c>
      <c r="F31" s="68" t="s">
        <v>167</v>
      </c>
    </row>
    <row r="32" spans="2:6" x14ac:dyDescent="0.35">
      <c r="B32" s="10" t="s">
        <v>144</v>
      </c>
      <c r="C32" s="91">
        <v>2.4596394818235737E-2</v>
      </c>
      <c r="D32" s="67">
        <v>318000</v>
      </c>
      <c r="E32" s="68">
        <v>2021</v>
      </c>
      <c r="F32" s="68" t="s">
        <v>167</v>
      </c>
    </row>
    <row r="33" spans="2:8" x14ac:dyDescent="0.35">
      <c r="B33" s="10" t="s">
        <v>150</v>
      </c>
      <c r="C33" s="91">
        <v>2.398983844035962E-2</v>
      </c>
      <c r="D33" s="67">
        <v>310158</v>
      </c>
      <c r="E33" s="68">
        <v>2021</v>
      </c>
      <c r="F33" s="68" t="s">
        <v>167</v>
      </c>
    </row>
    <row r="34" spans="2:8" x14ac:dyDescent="0.35">
      <c r="B34" s="10" t="s">
        <v>239</v>
      </c>
      <c r="C34" s="91">
        <v>1.828610464574849E-2</v>
      </c>
      <c r="D34" s="67">
        <v>236416</v>
      </c>
      <c r="E34" s="68">
        <v>2021</v>
      </c>
      <c r="F34" s="68" t="s">
        <v>167</v>
      </c>
    </row>
    <row r="35" spans="2:8" x14ac:dyDescent="0.35">
      <c r="B35" s="3" t="s">
        <v>565</v>
      </c>
      <c r="C35" s="91">
        <v>0.180878948301472</v>
      </c>
      <c r="D35" s="67">
        <v>2338534</v>
      </c>
      <c r="E35" s="68">
        <v>2021</v>
      </c>
      <c r="F35" s="68" t="s">
        <v>167</v>
      </c>
    </row>
    <row r="36" spans="2:8" x14ac:dyDescent="0.35">
      <c r="B36" s="65" t="s">
        <v>134</v>
      </c>
      <c r="C36" s="69">
        <f>SUM(C25:C35)</f>
        <v>1</v>
      </c>
      <c r="D36" s="70">
        <v>12928724</v>
      </c>
      <c r="E36" s="34"/>
      <c r="F36" s="34"/>
    </row>
    <row r="39" spans="2:8" x14ac:dyDescent="0.35">
      <c r="B39" s="4" t="s">
        <v>535</v>
      </c>
      <c r="C39" s="64" t="s">
        <v>541</v>
      </c>
      <c r="D39" s="66" t="s">
        <v>678</v>
      </c>
      <c r="E39" s="64" t="s">
        <v>162</v>
      </c>
      <c r="F39" s="64" t="s">
        <v>127</v>
      </c>
    </row>
    <row r="40" spans="2:8" x14ac:dyDescent="0.35">
      <c r="B40" s="3" t="s">
        <v>137</v>
      </c>
      <c r="C40" s="80">
        <v>0.45</v>
      </c>
      <c r="D40" s="71">
        <v>6116742.4500000002</v>
      </c>
      <c r="E40" s="50" t="s">
        <v>129</v>
      </c>
      <c r="F40" s="68" t="s">
        <v>556</v>
      </c>
      <c r="G40" s="13"/>
      <c r="H40" s="13"/>
    </row>
    <row r="41" spans="2:8" x14ac:dyDescent="0.35">
      <c r="B41" s="3" t="s">
        <v>180</v>
      </c>
      <c r="C41" s="80">
        <v>7.2999999999999995E-2</v>
      </c>
      <c r="D41" s="71">
        <v>992271.55299999996</v>
      </c>
      <c r="E41" s="50" t="s">
        <v>129</v>
      </c>
      <c r="F41" s="68" t="s">
        <v>556</v>
      </c>
      <c r="H41" s="13"/>
    </row>
    <row r="42" spans="2:8" x14ac:dyDescent="0.35">
      <c r="B42" s="3" t="s">
        <v>140</v>
      </c>
      <c r="C42" s="80">
        <v>5.2000000000000005E-2</v>
      </c>
      <c r="D42" s="71">
        <v>706823.57200000004</v>
      </c>
      <c r="E42" s="50" t="s">
        <v>129</v>
      </c>
      <c r="F42" s="68" t="s">
        <v>556</v>
      </c>
      <c r="H42" s="13"/>
    </row>
    <row r="43" spans="2:8" x14ac:dyDescent="0.35">
      <c r="B43" s="3" t="s">
        <v>150</v>
      </c>
      <c r="C43" s="80">
        <v>4.8000000000000001E-2</v>
      </c>
      <c r="D43" s="71">
        <v>652452.52800000005</v>
      </c>
      <c r="E43" s="50" t="s">
        <v>129</v>
      </c>
      <c r="F43" s="68" t="s">
        <v>556</v>
      </c>
      <c r="H43" s="13"/>
    </row>
    <row r="44" spans="2:8" x14ac:dyDescent="0.35">
      <c r="B44" s="3" t="s">
        <v>181</v>
      </c>
      <c r="C44" s="80">
        <v>3.7999999999999999E-2</v>
      </c>
      <c r="D44" s="71">
        <v>516524.91800000001</v>
      </c>
      <c r="E44" s="50" t="s">
        <v>129</v>
      </c>
      <c r="F44" s="68" t="s">
        <v>556</v>
      </c>
      <c r="H44" s="13"/>
    </row>
    <row r="45" spans="2:8" x14ac:dyDescent="0.35">
      <c r="B45" s="3" t="s">
        <v>160</v>
      </c>
      <c r="C45" s="80">
        <v>3.7000000000000005E-2</v>
      </c>
      <c r="D45" s="71">
        <v>502932.15700000006</v>
      </c>
      <c r="E45" s="50" t="s">
        <v>129</v>
      </c>
      <c r="F45" s="68" t="s">
        <v>556</v>
      </c>
      <c r="H45" s="13"/>
    </row>
    <row r="46" spans="2:8" x14ac:dyDescent="0.35">
      <c r="B46" s="3" t="s">
        <v>135</v>
      </c>
      <c r="C46" s="80">
        <v>3.4000000000000002E-2</v>
      </c>
      <c r="D46" s="71">
        <v>462153.87400000001</v>
      </c>
      <c r="E46" s="50" t="s">
        <v>129</v>
      </c>
      <c r="F46" s="68" t="s">
        <v>556</v>
      </c>
      <c r="H46" s="13"/>
    </row>
    <row r="47" spans="2:8" x14ac:dyDescent="0.35">
      <c r="B47" s="3" t="s">
        <v>173</v>
      </c>
      <c r="C47" s="80">
        <v>2.6000000000000002E-2</v>
      </c>
      <c r="D47" s="71">
        <v>353411.78600000002</v>
      </c>
      <c r="E47" s="50" t="s">
        <v>129</v>
      </c>
      <c r="F47" s="68" t="s">
        <v>556</v>
      </c>
      <c r="H47" s="13"/>
    </row>
    <row r="48" spans="2:8" x14ac:dyDescent="0.35">
      <c r="B48" s="3" t="s">
        <v>212</v>
      </c>
      <c r="C48" s="80">
        <v>2.5000000000000001E-2</v>
      </c>
      <c r="D48" s="71">
        <v>339819.02500000002</v>
      </c>
      <c r="E48" s="50" t="s">
        <v>129</v>
      </c>
      <c r="F48" s="68" t="s">
        <v>556</v>
      </c>
      <c r="H48" s="13"/>
    </row>
    <row r="49" spans="2:8" x14ac:dyDescent="0.35">
      <c r="B49" s="3" t="s">
        <v>144</v>
      </c>
      <c r="C49" s="80">
        <v>2.4E-2</v>
      </c>
      <c r="D49" s="71">
        <v>326226.26400000002</v>
      </c>
      <c r="E49" s="50" t="s">
        <v>129</v>
      </c>
      <c r="F49" s="68" t="s">
        <v>556</v>
      </c>
      <c r="H49" s="13"/>
    </row>
    <row r="50" spans="2:8" x14ac:dyDescent="0.35">
      <c r="B50" s="3" t="s">
        <v>228</v>
      </c>
      <c r="C50" s="80">
        <v>2.2000000000000002E-2</v>
      </c>
      <c r="D50" s="71">
        <v>299040.74200000003</v>
      </c>
      <c r="E50" s="50" t="s">
        <v>129</v>
      </c>
      <c r="F50" s="68" t="s">
        <v>556</v>
      </c>
      <c r="H50" s="13"/>
    </row>
    <row r="51" spans="2:8" x14ac:dyDescent="0.35">
      <c r="B51" s="3" t="s">
        <v>175</v>
      </c>
      <c r="C51" s="80">
        <v>1.9E-2</v>
      </c>
      <c r="D51" s="71">
        <v>258262.459</v>
      </c>
      <c r="E51" s="50" t="s">
        <v>129</v>
      </c>
      <c r="F51" s="68" t="s">
        <v>556</v>
      </c>
      <c r="H51" s="13"/>
    </row>
    <row r="52" spans="2:8" x14ac:dyDescent="0.35">
      <c r="B52" s="3" t="s">
        <v>218</v>
      </c>
      <c r="C52" s="80">
        <v>1.9E-2</v>
      </c>
      <c r="D52" s="71">
        <v>258262.459</v>
      </c>
      <c r="E52" s="50" t="s">
        <v>129</v>
      </c>
      <c r="F52" s="68" t="s">
        <v>556</v>
      </c>
      <c r="H52" s="13"/>
    </row>
    <row r="53" spans="2:8" x14ac:dyDescent="0.35">
      <c r="B53" s="3" t="s">
        <v>138</v>
      </c>
      <c r="C53" s="80">
        <v>1.9E-2</v>
      </c>
      <c r="D53" s="71">
        <v>258262.459</v>
      </c>
      <c r="E53" s="50" t="s">
        <v>129</v>
      </c>
      <c r="F53" s="68" t="s">
        <v>556</v>
      </c>
      <c r="H53" s="13"/>
    </row>
    <row r="54" spans="2:8" x14ac:dyDescent="0.35">
      <c r="B54" s="3" t="s">
        <v>141</v>
      </c>
      <c r="C54" s="80">
        <v>1.7000000000000001E-2</v>
      </c>
      <c r="D54" s="71">
        <v>231076.93700000001</v>
      </c>
      <c r="E54" s="50" t="s">
        <v>129</v>
      </c>
      <c r="F54" s="68" t="s">
        <v>556</v>
      </c>
      <c r="H54" s="13"/>
    </row>
    <row r="55" spans="2:8" x14ac:dyDescent="0.35">
      <c r="B55" s="3" t="s">
        <v>153</v>
      </c>
      <c r="C55" s="80">
        <v>1.3999999999999999E-2</v>
      </c>
      <c r="D55" s="71">
        <v>190298.65399999998</v>
      </c>
      <c r="E55" s="50" t="s">
        <v>129</v>
      </c>
      <c r="F55" s="68" t="s">
        <v>556</v>
      </c>
      <c r="H55" s="13"/>
    </row>
    <row r="56" spans="2:8" x14ac:dyDescent="0.35">
      <c r="B56" s="3" t="s">
        <v>211</v>
      </c>
      <c r="C56" s="80">
        <v>1.3000000000000001E-2</v>
      </c>
      <c r="D56" s="71">
        <v>176705.89300000001</v>
      </c>
      <c r="E56" s="50" t="s">
        <v>129</v>
      </c>
      <c r="F56" s="68" t="s">
        <v>556</v>
      </c>
      <c r="G56" s="13"/>
    </row>
    <row r="57" spans="2:8" x14ac:dyDescent="0.35">
      <c r="B57" s="3" t="s">
        <v>220</v>
      </c>
      <c r="C57" s="80">
        <v>1.2E-2</v>
      </c>
      <c r="D57" s="71">
        <v>163113.13200000001</v>
      </c>
      <c r="E57" s="50" t="s">
        <v>129</v>
      </c>
      <c r="F57" s="68" t="s">
        <v>556</v>
      </c>
    </row>
    <row r="58" spans="2:8" x14ac:dyDescent="0.35">
      <c r="B58" s="3" t="s">
        <v>177</v>
      </c>
      <c r="C58" s="80">
        <v>1.2E-2</v>
      </c>
      <c r="D58" s="71">
        <v>163113.13200000001</v>
      </c>
      <c r="E58" s="50" t="s">
        <v>129</v>
      </c>
      <c r="F58" s="68" t="s">
        <v>556</v>
      </c>
    </row>
    <row r="59" spans="2:8" x14ac:dyDescent="0.35">
      <c r="B59" s="3" t="s">
        <v>154</v>
      </c>
      <c r="C59" s="80">
        <v>0.01</v>
      </c>
      <c r="D59" s="71">
        <v>135927.61000000002</v>
      </c>
      <c r="E59" s="50" t="s">
        <v>129</v>
      </c>
      <c r="F59" s="68" t="s">
        <v>556</v>
      </c>
    </row>
    <row r="60" spans="2:8" x14ac:dyDescent="0.35">
      <c r="B60" s="3" t="s">
        <v>565</v>
      </c>
      <c r="C60" s="80">
        <v>3.5999999999999588E-2</v>
      </c>
      <c r="D60" s="71">
        <v>625267.00599999994</v>
      </c>
      <c r="E60" s="50" t="s">
        <v>129</v>
      </c>
      <c r="F60" s="68" t="s">
        <v>556</v>
      </c>
    </row>
    <row r="61" spans="2:8" x14ac:dyDescent="0.35">
      <c r="B61" s="65" t="s">
        <v>134</v>
      </c>
      <c r="C61" s="69">
        <f>SUM(C40:C60)</f>
        <v>1</v>
      </c>
      <c r="D61" s="72">
        <v>13592761</v>
      </c>
      <c r="E61" s="34"/>
      <c r="F61" s="34"/>
    </row>
    <row r="62" spans="2:8" x14ac:dyDescent="0.35">
      <c r="D62" s="11"/>
    </row>
    <row r="63" spans="2:8" x14ac:dyDescent="0.35">
      <c r="B63" s="77" t="s">
        <v>558</v>
      </c>
      <c r="D63" s="11"/>
    </row>
    <row r="66" spans="2:6" x14ac:dyDescent="0.35">
      <c r="B66" s="2" t="s">
        <v>536</v>
      </c>
    </row>
    <row r="68" spans="2:6" x14ac:dyDescent="0.35">
      <c r="B68" s="4" t="s">
        <v>538</v>
      </c>
      <c r="C68" s="64" t="s">
        <v>548</v>
      </c>
      <c r="D68" s="74" t="s">
        <v>537</v>
      </c>
      <c r="E68" s="74" t="s">
        <v>549</v>
      </c>
      <c r="F68" s="74" t="s">
        <v>127</v>
      </c>
    </row>
    <row r="69" spans="2:6" x14ac:dyDescent="0.35">
      <c r="B69" s="73" t="s">
        <v>679</v>
      </c>
      <c r="C69" s="92">
        <v>2.5793145391818189</v>
      </c>
      <c r="D69" s="75" t="s">
        <v>680</v>
      </c>
      <c r="E69" s="75" t="s">
        <v>580</v>
      </c>
      <c r="F69" s="76" t="s">
        <v>662</v>
      </c>
    </row>
    <row r="70" spans="2:6" x14ac:dyDescent="0.35">
      <c r="B70" s="73" t="s">
        <v>121</v>
      </c>
      <c r="C70" s="92">
        <v>2.6554000000000002</v>
      </c>
      <c r="D70" s="75" t="s">
        <v>681</v>
      </c>
      <c r="E70" s="75" t="s">
        <v>682</v>
      </c>
      <c r="F70" s="76" t="s">
        <v>562</v>
      </c>
    </row>
    <row r="71" spans="2:6" x14ac:dyDescent="0.35">
      <c r="F71"/>
    </row>
    <row r="72" spans="2:6" ht="15" thickBot="1" x14ac:dyDescent="0.4">
      <c r="F72"/>
    </row>
    <row r="73" spans="2:6" x14ac:dyDescent="0.35">
      <c r="B73" s="35" t="s">
        <v>490</v>
      </c>
      <c r="C73" s="81"/>
      <c r="D73" s="82"/>
      <c r="E73" s="83"/>
      <c r="F73"/>
    </row>
    <row r="74" spans="2:6" x14ac:dyDescent="0.35">
      <c r="B74" s="84"/>
      <c r="E74" s="85"/>
      <c r="F74"/>
    </row>
    <row r="75" spans="2:6" x14ac:dyDescent="0.35">
      <c r="B75" s="86" t="s">
        <v>552</v>
      </c>
      <c r="E75" s="85"/>
    </row>
    <row r="76" spans="2:6" x14ac:dyDescent="0.35">
      <c r="B76" s="86" t="s">
        <v>664</v>
      </c>
      <c r="E76" s="85"/>
    </row>
    <row r="77" spans="2:6" x14ac:dyDescent="0.35">
      <c r="B77" s="86" t="s">
        <v>790</v>
      </c>
      <c r="E77" s="85"/>
    </row>
    <row r="78" spans="2:6" x14ac:dyDescent="0.35">
      <c r="B78" s="86" t="s">
        <v>563</v>
      </c>
      <c r="E78" s="85"/>
    </row>
    <row r="79" spans="2:6" ht="15" thickBot="1" x14ac:dyDescent="0.4">
      <c r="B79" s="87" t="s">
        <v>551</v>
      </c>
      <c r="C79" s="88"/>
      <c r="D79" s="89"/>
      <c r="E79" s="9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A507-F03C-47A9-AFFB-674B7977476E}">
  <sheetPr>
    <tabColor theme="4" tint="0.59999389629810485"/>
  </sheetPr>
  <dimension ref="B1:F42"/>
  <sheetViews>
    <sheetView showGridLines="0" zoomScaleNormal="100" workbookViewId="0">
      <selection activeCell="D25" sqref="D25"/>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279</v>
      </c>
      <c r="C5" s="80">
        <v>0.34</v>
      </c>
      <c r="D5" s="50">
        <v>2021</v>
      </c>
      <c r="E5" s="50" t="s">
        <v>665</v>
      </c>
      <c r="F5"/>
    </row>
    <row r="6" spans="2:6" x14ac:dyDescent="0.35">
      <c r="B6" s="3" t="s">
        <v>280</v>
      </c>
      <c r="C6" s="80">
        <v>0.22</v>
      </c>
      <c r="D6" s="50">
        <v>2021</v>
      </c>
      <c r="E6" s="50" t="s">
        <v>665</v>
      </c>
      <c r="F6"/>
    </row>
    <row r="7" spans="2:6" x14ac:dyDescent="0.35">
      <c r="B7" s="3" t="s">
        <v>281</v>
      </c>
      <c r="C7" s="80">
        <v>0.21</v>
      </c>
      <c r="D7" s="50">
        <v>2021</v>
      </c>
      <c r="E7" s="50" t="s">
        <v>665</v>
      </c>
      <c r="F7"/>
    </row>
    <row r="8" spans="2:6" x14ac:dyDescent="0.35">
      <c r="B8" s="3" t="s">
        <v>282</v>
      </c>
      <c r="C8" s="80">
        <v>0.17</v>
      </c>
      <c r="D8" s="50">
        <v>2021</v>
      </c>
      <c r="E8" s="50" t="s">
        <v>665</v>
      </c>
      <c r="F8"/>
    </row>
    <row r="9" spans="2:6" x14ac:dyDescent="0.35">
      <c r="B9" s="3" t="s">
        <v>241</v>
      </c>
      <c r="C9" s="80">
        <v>0.06</v>
      </c>
      <c r="D9" s="50">
        <v>2021</v>
      </c>
      <c r="E9" s="50" t="s">
        <v>665</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ht="58" x14ac:dyDescent="0.35">
      <c r="B16" s="3" t="s">
        <v>36</v>
      </c>
      <c r="C16" s="50">
        <v>811292</v>
      </c>
      <c r="D16"/>
    </row>
    <row r="19" spans="2:6" x14ac:dyDescent="0.35">
      <c r="B19" s="63" t="s">
        <v>534</v>
      </c>
    </row>
    <row r="21" spans="2:6" x14ac:dyDescent="0.35">
      <c r="B21" s="4" t="s">
        <v>535</v>
      </c>
      <c r="C21" s="64" t="s">
        <v>541</v>
      </c>
      <c r="D21" s="66" t="s">
        <v>684</v>
      </c>
      <c r="E21" s="64" t="s">
        <v>162</v>
      </c>
      <c r="F21" s="64" t="s">
        <v>127</v>
      </c>
    </row>
    <row r="22" spans="2:6" x14ac:dyDescent="0.35">
      <c r="B22" s="3" t="s">
        <v>137</v>
      </c>
      <c r="C22" s="80">
        <v>0.92957746478873238</v>
      </c>
      <c r="D22" s="71">
        <v>132</v>
      </c>
      <c r="E22" s="68">
        <v>2021</v>
      </c>
      <c r="F22" s="68" t="s">
        <v>167</v>
      </c>
    </row>
    <row r="23" spans="2:6" x14ac:dyDescent="0.35">
      <c r="B23" s="3" t="s">
        <v>141</v>
      </c>
      <c r="C23" s="80">
        <v>3.5211267605633804E-2</v>
      </c>
      <c r="D23" s="71">
        <v>5</v>
      </c>
      <c r="E23" s="68">
        <v>2021</v>
      </c>
      <c r="F23" s="68" t="s">
        <v>167</v>
      </c>
    </row>
    <row r="24" spans="2:6" x14ac:dyDescent="0.35">
      <c r="B24" s="3" t="s">
        <v>181</v>
      </c>
      <c r="C24" s="80">
        <v>1.4084507042253521E-2</v>
      </c>
      <c r="D24" s="71">
        <v>2</v>
      </c>
      <c r="E24" s="68">
        <v>2021</v>
      </c>
      <c r="F24" s="68" t="s">
        <v>167</v>
      </c>
    </row>
    <row r="25" spans="2:6" x14ac:dyDescent="0.35">
      <c r="B25" s="3" t="s">
        <v>154</v>
      </c>
      <c r="C25" s="80">
        <v>1.4084507042253521E-2</v>
      </c>
      <c r="D25" s="71">
        <v>2</v>
      </c>
      <c r="E25" s="68">
        <v>2021</v>
      </c>
      <c r="F25" s="68" t="s">
        <v>167</v>
      </c>
    </row>
    <row r="26" spans="2:6" x14ac:dyDescent="0.35">
      <c r="B26" s="3" t="s">
        <v>159</v>
      </c>
      <c r="C26" s="80">
        <v>7.0422535211267607E-3</v>
      </c>
      <c r="D26" s="71">
        <v>1</v>
      </c>
      <c r="E26" s="68">
        <v>2021</v>
      </c>
      <c r="F26" s="68" t="s">
        <v>167</v>
      </c>
    </row>
    <row r="27" spans="2:6" x14ac:dyDescent="0.35">
      <c r="B27" s="65" t="s">
        <v>134</v>
      </c>
      <c r="C27" s="69">
        <f>SUM(C22:C26)</f>
        <v>0.99999999999999989</v>
      </c>
      <c r="D27" s="72">
        <f>SUM(D22:D26)</f>
        <v>142</v>
      </c>
      <c r="E27" s="34"/>
      <c r="F27" s="34"/>
    </row>
    <row r="28" spans="2:6" x14ac:dyDescent="0.35">
      <c r="D28" s="11"/>
    </row>
    <row r="29" spans="2:6" x14ac:dyDescent="0.35">
      <c r="B29" s="96" t="s">
        <v>685</v>
      </c>
      <c r="D29" s="11"/>
    </row>
    <row r="32" spans="2:6" x14ac:dyDescent="0.35">
      <c r="B32" s="2" t="s">
        <v>536</v>
      </c>
    </row>
    <row r="34" spans="2:6" x14ac:dyDescent="0.35">
      <c r="B34" s="4" t="s">
        <v>538</v>
      </c>
      <c r="C34" s="64" t="s">
        <v>548</v>
      </c>
      <c r="D34" s="74" t="s">
        <v>537</v>
      </c>
      <c r="E34" s="74" t="s">
        <v>549</v>
      </c>
      <c r="F34" s="74" t="s">
        <v>127</v>
      </c>
    </row>
    <row r="35" spans="2:6" ht="58" x14ac:dyDescent="0.35">
      <c r="B35" s="73" t="s">
        <v>36</v>
      </c>
      <c r="C35" s="92">
        <v>1359.9198971518988</v>
      </c>
      <c r="D35" s="75" t="s">
        <v>686</v>
      </c>
      <c r="E35" s="75" t="s">
        <v>580</v>
      </c>
      <c r="F35" s="76" t="s">
        <v>553</v>
      </c>
    </row>
    <row r="36" spans="2:6" x14ac:dyDescent="0.35">
      <c r="F36"/>
    </row>
    <row r="37" spans="2:6" ht="15" thickBot="1" x14ac:dyDescent="0.4">
      <c r="F37"/>
    </row>
    <row r="38" spans="2:6" x14ac:dyDescent="0.35">
      <c r="B38" s="35" t="s">
        <v>490</v>
      </c>
      <c r="C38" s="81"/>
      <c r="D38" s="82"/>
      <c r="E38" s="83"/>
      <c r="F38"/>
    </row>
    <row r="39" spans="2:6" x14ac:dyDescent="0.35">
      <c r="B39" s="84"/>
      <c r="E39" s="85"/>
      <c r="F39"/>
    </row>
    <row r="40" spans="2:6" x14ac:dyDescent="0.35">
      <c r="B40" s="86" t="s">
        <v>554</v>
      </c>
      <c r="E40" s="85"/>
    </row>
    <row r="41" spans="2:6" x14ac:dyDescent="0.35">
      <c r="B41" s="86" t="s">
        <v>683</v>
      </c>
      <c r="E41" s="85"/>
    </row>
    <row r="42" spans="2:6" ht="15" thickBot="1" x14ac:dyDescent="0.4">
      <c r="B42" s="87" t="s">
        <v>551</v>
      </c>
      <c r="C42" s="88"/>
      <c r="D42" s="89"/>
      <c r="E42" s="9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C1BC-0AC6-4B15-BA94-BC3426863B0F}">
  <sheetPr>
    <tabColor theme="4" tint="0.59999389629810485"/>
  </sheetPr>
  <dimension ref="B1:F44"/>
  <sheetViews>
    <sheetView showGridLines="0" zoomScaleNormal="100" workbookViewId="0">
      <selection activeCell="B32" sqref="B32"/>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687</v>
      </c>
      <c r="C5" s="80">
        <v>0.69</v>
      </c>
      <c r="D5" s="50" t="s">
        <v>129</v>
      </c>
      <c r="E5" s="50" t="s">
        <v>556</v>
      </c>
      <c r="F5"/>
    </row>
    <row r="6" spans="2:6" x14ac:dyDescent="0.35">
      <c r="B6" s="3" t="s">
        <v>688</v>
      </c>
      <c r="C6" s="80">
        <v>0.18</v>
      </c>
      <c r="D6" s="50" t="s">
        <v>129</v>
      </c>
      <c r="E6" s="50" t="s">
        <v>556</v>
      </c>
      <c r="F6"/>
    </row>
    <row r="7" spans="2:6" x14ac:dyDescent="0.35">
      <c r="B7" s="3" t="s">
        <v>133</v>
      </c>
      <c r="C7" s="80">
        <v>7.0000000000000007E-2</v>
      </c>
      <c r="D7" s="50" t="s">
        <v>129</v>
      </c>
      <c r="E7" s="50" t="s">
        <v>556</v>
      </c>
      <c r="F7"/>
    </row>
    <row r="8" spans="2:6" x14ac:dyDescent="0.35">
      <c r="B8" s="3" t="s">
        <v>214</v>
      </c>
      <c r="C8" s="80">
        <v>0.05</v>
      </c>
      <c r="D8" s="50" t="s">
        <v>129</v>
      </c>
      <c r="E8" s="50" t="s">
        <v>556</v>
      </c>
      <c r="F8"/>
    </row>
    <row r="9" spans="2:6" x14ac:dyDescent="0.35">
      <c r="B9" s="3" t="s">
        <v>284</v>
      </c>
      <c r="C9" s="80">
        <v>0.01</v>
      </c>
      <c r="D9" s="50" t="s">
        <v>129</v>
      </c>
      <c r="E9" s="50" t="s">
        <v>556</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x14ac:dyDescent="0.35">
      <c r="B16" s="3" t="s">
        <v>689</v>
      </c>
      <c r="C16" s="50">
        <v>280480</v>
      </c>
      <c r="D16"/>
    </row>
    <row r="17" spans="2:6" ht="29" x14ac:dyDescent="0.35">
      <c r="B17" s="3" t="s">
        <v>690</v>
      </c>
      <c r="C17" s="50">
        <v>281219</v>
      </c>
      <c r="D17"/>
    </row>
    <row r="20" spans="2:6" x14ac:dyDescent="0.35">
      <c r="B20" s="63" t="s">
        <v>534</v>
      </c>
    </row>
    <row r="22" spans="2:6" x14ac:dyDescent="0.35">
      <c r="B22" s="4" t="s">
        <v>535</v>
      </c>
      <c r="C22" s="64" t="s">
        <v>541</v>
      </c>
      <c r="D22" s="66" t="s">
        <v>691</v>
      </c>
      <c r="E22" s="64" t="s">
        <v>162</v>
      </c>
      <c r="F22" s="64" t="s">
        <v>127</v>
      </c>
    </row>
    <row r="23" spans="2:6" x14ac:dyDescent="0.35">
      <c r="B23" s="3" t="s">
        <v>137</v>
      </c>
      <c r="C23" s="80">
        <v>0.4371982876400401</v>
      </c>
      <c r="D23" s="71">
        <v>24000</v>
      </c>
      <c r="E23" s="68">
        <v>2021</v>
      </c>
      <c r="F23" s="68" t="s">
        <v>167</v>
      </c>
    </row>
    <row r="24" spans="2:6" x14ac:dyDescent="0.35">
      <c r="B24" s="3" t="s">
        <v>198</v>
      </c>
      <c r="C24" s="80">
        <v>0.3984333728026232</v>
      </c>
      <c r="D24" s="71">
        <v>21872</v>
      </c>
      <c r="E24" s="68">
        <v>2021</v>
      </c>
      <c r="F24" s="68" t="s">
        <v>167</v>
      </c>
    </row>
    <row r="25" spans="2:6" x14ac:dyDescent="0.35">
      <c r="B25" s="3" t="s">
        <v>242</v>
      </c>
      <c r="C25" s="80">
        <v>0.12538482557609984</v>
      </c>
      <c r="D25" s="71">
        <v>6883</v>
      </c>
      <c r="E25" s="68">
        <v>2021</v>
      </c>
      <c r="F25" s="68" t="s">
        <v>167</v>
      </c>
    </row>
    <row r="26" spans="2:6" x14ac:dyDescent="0.35">
      <c r="B26" s="3" t="s">
        <v>141</v>
      </c>
      <c r="C26" s="80">
        <v>1.8216595318335003E-2</v>
      </c>
      <c r="D26" s="71">
        <v>1000</v>
      </c>
      <c r="E26" s="68">
        <v>2021</v>
      </c>
      <c r="F26" s="68" t="s">
        <v>167</v>
      </c>
    </row>
    <row r="27" spans="2:6" x14ac:dyDescent="0.35">
      <c r="B27" s="3" t="s">
        <v>175</v>
      </c>
      <c r="C27" s="80">
        <v>1.8216595318335003E-2</v>
      </c>
      <c r="D27" s="71">
        <v>1000</v>
      </c>
      <c r="E27" s="68">
        <v>2021</v>
      </c>
      <c r="F27" s="68" t="s">
        <v>167</v>
      </c>
    </row>
    <row r="28" spans="2:6" x14ac:dyDescent="0.35">
      <c r="B28" s="3" t="s">
        <v>565</v>
      </c>
      <c r="C28" s="80">
        <v>2.5503233445669004E-3</v>
      </c>
      <c r="D28" s="71">
        <v>140</v>
      </c>
      <c r="E28" s="68">
        <v>2021</v>
      </c>
      <c r="F28" s="68" t="s">
        <v>167</v>
      </c>
    </row>
    <row r="29" spans="2:6" x14ac:dyDescent="0.35">
      <c r="B29" s="65" t="s">
        <v>134</v>
      </c>
      <c r="C29" s="69">
        <f>SUM(C23:C27)</f>
        <v>0.99744967665543305</v>
      </c>
      <c r="D29" s="72">
        <v>54895</v>
      </c>
      <c r="E29" s="34"/>
      <c r="F29" s="34"/>
    </row>
    <row r="30" spans="2:6" x14ac:dyDescent="0.35">
      <c r="D30" s="11"/>
    </row>
    <row r="31" spans="2:6" x14ac:dyDescent="0.35">
      <c r="B31" s="96" t="s">
        <v>695</v>
      </c>
      <c r="D31" s="11"/>
    </row>
    <row r="34" spans="2:6" x14ac:dyDescent="0.35">
      <c r="B34" s="2" t="s">
        <v>536</v>
      </c>
    </row>
    <row r="36" spans="2:6" x14ac:dyDescent="0.35">
      <c r="B36" s="4" t="s">
        <v>538</v>
      </c>
      <c r="C36" s="64" t="s">
        <v>548</v>
      </c>
      <c r="D36" s="74" t="s">
        <v>537</v>
      </c>
      <c r="E36" s="74" t="s">
        <v>549</v>
      </c>
      <c r="F36" s="74" t="s">
        <v>127</v>
      </c>
    </row>
    <row r="37" spans="2:6" ht="29" x14ac:dyDescent="0.35">
      <c r="B37" s="73" t="s">
        <v>689</v>
      </c>
      <c r="C37" s="92">
        <v>2.3392586367103485</v>
      </c>
      <c r="D37" s="75" t="s">
        <v>692</v>
      </c>
      <c r="E37" s="75" t="s">
        <v>580</v>
      </c>
      <c r="F37" s="76" t="s">
        <v>553</v>
      </c>
    </row>
    <row r="38" spans="2:6" x14ac:dyDescent="0.35">
      <c r="F38"/>
    </row>
    <row r="39" spans="2:6" ht="15" thickBot="1" x14ac:dyDescent="0.4">
      <c r="F39"/>
    </row>
    <row r="40" spans="2:6" x14ac:dyDescent="0.35">
      <c r="B40" s="35" t="s">
        <v>490</v>
      </c>
      <c r="C40" s="81"/>
      <c r="D40" s="93"/>
      <c r="F40"/>
    </row>
    <row r="41" spans="2:6" x14ac:dyDescent="0.35">
      <c r="B41" s="84"/>
      <c r="D41" s="94"/>
      <c r="F41"/>
    </row>
    <row r="42" spans="2:6" x14ac:dyDescent="0.35">
      <c r="B42" s="86" t="s">
        <v>554</v>
      </c>
      <c r="D42" s="94"/>
    </row>
    <row r="43" spans="2:6" x14ac:dyDescent="0.35">
      <c r="B43" s="86" t="s">
        <v>552</v>
      </c>
      <c r="D43" s="94"/>
    </row>
    <row r="44" spans="2:6" ht="15" thickBot="1" x14ac:dyDescent="0.4">
      <c r="B44" s="87" t="s">
        <v>551</v>
      </c>
      <c r="C44" s="88"/>
      <c r="D44" s="9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2390-02B4-4CF4-A33D-0EC7C7C7AE74}">
  <sheetPr>
    <tabColor theme="4" tint="0.59999389629810485"/>
  </sheetPr>
  <dimension ref="B1:F50"/>
  <sheetViews>
    <sheetView showGridLines="0" zoomScaleNormal="100" workbookViewId="0">
      <selection activeCell="D47" sqref="D47"/>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357</v>
      </c>
      <c r="C5" s="80">
        <v>0.3</v>
      </c>
      <c r="D5" s="50" t="s">
        <v>129</v>
      </c>
      <c r="E5" s="50" t="s">
        <v>556</v>
      </c>
      <c r="F5"/>
    </row>
    <row r="6" spans="2:6" x14ac:dyDescent="0.35">
      <c r="B6" s="3" t="s">
        <v>358</v>
      </c>
      <c r="C6" s="80">
        <v>0.15</v>
      </c>
      <c r="D6" s="50" t="s">
        <v>129</v>
      </c>
      <c r="E6" s="50" t="s">
        <v>556</v>
      </c>
      <c r="F6"/>
    </row>
    <row r="7" spans="2:6" x14ac:dyDescent="0.35">
      <c r="B7" s="3" t="s">
        <v>284</v>
      </c>
      <c r="C7" s="80">
        <v>0.15</v>
      </c>
      <c r="D7" s="50" t="s">
        <v>129</v>
      </c>
      <c r="E7" s="50" t="s">
        <v>556</v>
      </c>
      <c r="F7"/>
    </row>
    <row r="8" spans="2:6" x14ac:dyDescent="0.35">
      <c r="B8" s="3" t="s">
        <v>359</v>
      </c>
      <c r="C8" s="80">
        <v>0.15</v>
      </c>
      <c r="D8" s="50" t="s">
        <v>129</v>
      </c>
      <c r="E8" s="50" t="s">
        <v>556</v>
      </c>
      <c r="F8"/>
    </row>
    <row r="9" spans="2:6" x14ac:dyDescent="0.35">
      <c r="B9" s="3" t="s">
        <v>360</v>
      </c>
      <c r="C9" s="80">
        <v>0.15</v>
      </c>
      <c r="D9" s="50" t="s">
        <v>129</v>
      </c>
      <c r="E9" s="50" t="s">
        <v>556</v>
      </c>
      <c r="F9"/>
    </row>
    <row r="10" spans="2:6" x14ac:dyDescent="0.35">
      <c r="B10" s="3" t="s">
        <v>361</v>
      </c>
      <c r="C10" s="80">
        <v>0.1</v>
      </c>
      <c r="D10" s="50" t="s">
        <v>129</v>
      </c>
      <c r="E10" s="50" t="s">
        <v>556</v>
      </c>
      <c r="F10"/>
    </row>
    <row r="11" spans="2:6" x14ac:dyDescent="0.35">
      <c r="B11" s="65" t="s">
        <v>134</v>
      </c>
      <c r="C11" s="79">
        <f>SUM(C5:C10)</f>
        <v>1</v>
      </c>
      <c r="D11" s="9"/>
      <c r="E11" s="5"/>
      <c r="F11" s="5"/>
    </row>
    <row r="14" spans="2:6" x14ac:dyDescent="0.35">
      <c r="B14" s="63" t="s">
        <v>533</v>
      </c>
    </row>
    <row r="16" spans="2:6" x14ac:dyDescent="0.35">
      <c r="B16" s="4" t="s">
        <v>532</v>
      </c>
      <c r="C16" s="64" t="s">
        <v>0</v>
      </c>
      <c r="D16"/>
    </row>
    <row r="17" spans="2:6" x14ac:dyDescent="0.35">
      <c r="B17" s="3" t="s">
        <v>99</v>
      </c>
      <c r="C17" s="50">
        <v>280490</v>
      </c>
      <c r="D17"/>
    </row>
    <row r="20" spans="2:6" x14ac:dyDescent="0.35">
      <c r="B20" s="63" t="s">
        <v>534</v>
      </c>
    </row>
    <row r="22" spans="2:6" x14ac:dyDescent="0.35">
      <c r="B22" s="4" t="s">
        <v>535</v>
      </c>
      <c r="C22" s="64" t="s">
        <v>541</v>
      </c>
      <c r="D22" s="66" t="s">
        <v>693</v>
      </c>
      <c r="E22" s="64" t="s">
        <v>162</v>
      </c>
      <c r="F22" s="64" t="s">
        <v>127</v>
      </c>
    </row>
    <row r="23" spans="2:6" x14ac:dyDescent="0.35">
      <c r="B23" s="3" t="s">
        <v>137</v>
      </c>
      <c r="C23" s="80">
        <v>0.37740000000000001</v>
      </c>
      <c r="D23" s="71">
        <v>1400</v>
      </c>
      <c r="E23" s="68">
        <v>2021</v>
      </c>
      <c r="F23" s="68" t="s">
        <v>167</v>
      </c>
    </row>
    <row r="24" spans="2:6" x14ac:dyDescent="0.35">
      <c r="B24" s="3" t="s">
        <v>181</v>
      </c>
      <c r="C24" s="80">
        <v>0.19409999999999999</v>
      </c>
      <c r="D24" s="71">
        <v>720</v>
      </c>
      <c r="E24" s="68">
        <v>2021</v>
      </c>
      <c r="F24" s="68" t="s">
        <v>167</v>
      </c>
    </row>
    <row r="25" spans="2:6" x14ac:dyDescent="0.35">
      <c r="B25" s="3" t="s">
        <v>211</v>
      </c>
      <c r="C25" s="80">
        <v>8.09E-2</v>
      </c>
      <c r="D25" s="71">
        <v>300</v>
      </c>
      <c r="E25" s="68">
        <v>2021</v>
      </c>
      <c r="F25" s="68" t="s">
        <v>167</v>
      </c>
    </row>
    <row r="26" spans="2:6" x14ac:dyDescent="0.35">
      <c r="B26" s="3" t="s">
        <v>141</v>
      </c>
      <c r="C26" s="80">
        <v>6.2E-2</v>
      </c>
      <c r="D26" s="71">
        <v>230</v>
      </c>
      <c r="E26" s="68">
        <v>2021</v>
      </c>
      <c r="F26" s="68" t="s">
        <v>167</v>
      </c>
    </row>
    <row r="27" spans="2:6" x14ac:dyDescent="0.35">
      <c r="B27" s="3" t="s">
        <v>233</v>
      </c>
      <c r="C27" s="80">
        <v>5.3899999999999997E-2</v>
      </c>
      <c r="D27" s="71">
        <v>200</v>
      </c>
      <c r="E27" s="68">
        <v>2021</v>
      </c>
      <c r="F27" s="68" t="s">
        <v>167</v>
      </c>
    </row>
    <row r="28" spans="2:6" x14ac:dyDescent="0.35">
      <c r="B28" s="3" t="s">
        <v>175</v>
      </c>
      <c r="C28" s="80">
        <v>5.3899999999999997E-2</v>
      </c>
      <c r="D28" s="71">
        <v>200</v>
      </c>
      <c r="E28" s="68">
        <v>2021</v>
      </c>
      <c r="F28" s="68" t="s">
        <v>167</v>
      </c>
    </row>
    <row r="29" spans="2:6" x14ac:dyDescent="0.35">
      <c r="B29" s="3" t="s">
        <v>173</v>
      </c>
      <c r="C29" s="80">
        <v>3.6400000000000002E-2</v>
      </c>
      <c r="D29" s="71">
        <v>135</v>
      </c>
      <c r="E29" s="68">
        <v>2021</v>
      </c>
      <c r="F29" s="68" t="s">
        <v>167</v>
      </c>
    </row>
    <row r="30" spans="2:6" x14ac:dyDescent="0.35">
      <c r="B30" s="3" t="s">
        <v>228</v>
      </c>
      <c r="C30" s="80">
        <v>2.7000000000000003E-2</v>
      </c>
      <c r="D30" s="71">
        <v>100</v>
      </c>
      <c r="E30" s="68">
        <v>2021</v>
      </c>
      <c r="F30" s="68" t="s">
        <v>167</v>
      </c>
    </row>
    <row r="31" spans="2:6" x14ac:dyDescent="0.35">
      <c r="B31" s="3" t="s">
        <v>199</v>
      </c>
      <c r="C31" s="80">
        <v>2.4300000000000002E-2</v>
      </c>
      <c r="D31" s="71">
        <v>90</v>
      </c>
      <c r="E31" s="68">
        <v>2021</v>
      </c>
      <c r="F31" s="68" t="s">
        <v>167</v>
      </c>
    </row>
    <row r="32" spans="2:6" x14ac:dyDescent="0.35">
      <c r="B32" s="3" t="s">
        <v>239</v>
      </c>
      <c r="C32" s="80">
        <v>1.8867924528301886E-2</v>
      </c>
      <c r="D32" s="71">
        <v>70</v>
      </c>
      <c r="E32" s="68">
        <v>2021</v>
      </c>
      <c r="F32" s="68" t="s">
        <v>167</v>
      </c>
    </row>
    <row r="33" spans="2:6" x14ac:dyDescent="0.35">
      <c r="B33" s="3" t="s">
        <v>408</v>
      </c>
      <c r="C33" s="80">
        <v>1.8867924528301886E-2</v>
      </c>
      <c r="D33" s="71">
        <v>70</v>
      </c>
      <c r="E33" s="68">
        <v>2021</v>
      </c>
      <c r="F33" s="68" t="s">
        <v>167</v>
      </c>
    </row>
    <row r="34" spans="2:6" x14ac:dyDescent="0.35">
      <c r="B34" s="3" t="s">
        <v>565</v>
      </c>
      <c r="C34" s="80">
        <v>5.2364150943395915E-2</v>
      </c>
      <c r="D34" s="71">
        <v>195</v>
      </c>
      <c r="E34" s="68">
        <v>2021</v>
      </c>
      <c r="F34" s="68" t="s">
        <v>167</v>
      </c>
    </row>
    <row r="35" spans="2:6" x14ac:dyDescent="0.35">
      <c r="B35" s="65" t="s">
        <v>134</v>
      </c>
      <c r="C35" s="69">
        <f>SUM(C23:C34)</f>
        <v>0.99999999999999956</v>
      </c>
      <c r="D35" s="72">
        <f>SUM(D23:D34)</f>
        <v>3710</v>
      </c>
      <c r="E35" s="34"/>
      <c r="F35" s="34"/>
    </row>
    <row r="36" spans="2:6" x14ac:dyDescent="0.35">
      <c r="D36" s="11"/>
    </row>
    <row r="37" spans="2:6" x14ac:dyDescent="0.35">
      <c r="B37" s="96" t="s">
        <v>694</v>
      </c>
      <c r="D37" s="11"/>
    </row>
    <row r="40" spans="2:6" x14ac:dyDescent="0.35">
      <c r="B40" s="2" t="s">
        <v>536</v>
      </c>
    </row>
    <row r="42" spans="2:6" x14ac:dyDescent="0.35">
      <c r="B42" s="4" t="s">
        <v>538</v>
      </c>
      <c r="C42" s="64" t="s">
        <v>548</v>
      </c>
      <c r="D42" s="74" t="s">
        <v>537</v>
      </c>
      <c r="E42" s="74" t="s">
        <v>549</v>
      </c>
      <c r="F42" s="74" t="s">
        <v>127</v>
      </c>
    </row>
    <row r="43" spans="2:6" x14ac:dyDescent="0.35">
      <c r="B43" s="73" t="s">
        <v>99</v>
      </c>
      <c r="C43" s="92">
        <v>26.88</v>
      </c>
      <c r="D43" s="75" t="s">
        <v>696</v>
      </c>
      <c r="E43" s="75" t="s">
        <v>580</v>
      </c>
      <c r="F43" s="76" t="s">
        <v>553</v>
      </c>
    </row>
    <row r="44" spans="2:6" x14ac:dyDescent="0.35">
      <c r="F44"/>
    </row>
    <row r="45" spans="2:6" ht="15" thickBot="1" x14ac:dyDescent="0.4">
      <c r="F45"/>
    </row>
    <row r="46" spans="2:6" x14ac:dyDescent="0.35">
      <c r="B46" s="35" t="s">
        <v>490</v>
      </c>
      <c r="C46" s="81"/>
      <c r="D46" s="93"/>
      <c r="F46"/>
    </row>
    <row r="47" spans="2:6" x14ac:dyDescent="0.35">
      <c r="B47" s="84"/>
      <c r="D47" s="94"/>
      <c r="F47"/>
    </row>
    <row r="48" spans="2:6" x14ac:dyDescent="0.35">
      <c r="B48" s="86" t="s">
        <v>554</v>
      </c>
      <c r="D48" s="94"/>
    </row>
    <row r="49" spans="2:4" x14ac:dyDescent="0.35">
      <c r="B49" s="86" t="s">
        <v>552</v>
      </c>
      <c r="D49" s="94"/>
    </row>
    <row r="50" spans="2:4" ht="15" thickBot="1" x14ac:dyDescent="0.4">
      <c r="B50" s="87" t="s">
        <v>551</v>
      </c>
      <c r="C50" s="88"/>
      <c r="D50" s="9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FA660-90EB-4D9D-94EE-9A32E0825B6D}">
  <sheetPr>
    <tabColor theme="4" tint="0.59999389629810485"/>
  </sheetPr>
  <dimension ref="B1:F55"/>
  <sheetViews>
    <sheetView showGridLines="0" topLeftCell="A42" zoomScaleNormal="100" workbookViewId="0">
      <selection activeCell="F45" sqref="F45:F47"/>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334</v>
      </c>
      <c r="C5" s="80">
        <v>0.39</v>
      </c>
      <c r="D5" s="50">
        <v>2021</v>
      </c>
      <c r="E5" s="50" t="s">
        <v>711</v>
      </c>
      <c r="F5"/>
    </row>
    <row r="6" spans="2:6" x14ac:dyDescent="0.35">
      <c r="B6" s="3" t="s">
        <v>222</v>
      </c>
      <c r="C6" s="80">
        <v>0.24</v>
      </c>
      <c r="D6" s="50">
        <v>2021</v>
      </c>
      <c r="E6" s="50" t="s">
        <v>711</v>
      </c>
      <c r="F6"/>
    </row>
    <row r="7" spans="2:6" x14ac:dyDescent="0.35">
      <c r="B7" s="3" t="s">
        <v>133</v>
      </c>
      <c r="C7" s="80">
        <v>0.13</v>
      </c>
      <c r="D7" s="50">
        <v>2021</v>
      </c>
      <c r="E7" s="50" t="s">
        <v>711</v>
      </c>
      <c r="F7"/>
    </row>
    <row r="8" spans="2:6" x14ac:dyDescent="0.35">
      <c r="B8" s="3" t="s">
        <v>335</v>
      </c>
      <c r="C8" s="80">
        <v>0.08</v>
      </c>
      <c r="D8" s="50">
        <v>2021</v>
      </c>
      <c r="E8" s="50" t="s">
        <v>711</v>
      </c>
      <c r="F8"/>
    </row>
    <row r="9" spans="2:6" x14ac:dyDescent="0.35">
      <c r="B9" s="3" t="s">
        <v>336</v>
      </c>
      <c r="C9" s="80">
        <v>0.05</v>
      </c>
      <c r="D9" s="50">
        <v>2021</v>
      </c>
      <c r="E9" s="50" t="s">
        <v>711</v>
      </c>
      <c r="F9"/>
    </row>
    <row r="10" spans="2:6" x14ac:dyDescent="0.35">
      <c r="B10" s="3" t="s">
        <v>337</v>
      </c>
      <c r="C10" s="80">
        <v>0.08</v>
      </c>
      <c r="D10" s="50">
        <v>2021</v>
      </c>
      <c r="E10" s="50" t="s">
        <v>711</v>
      </c>
      <c r="F10"/>
    </row>
    <row r="11" spans="2:6" x14ac:dyDescent="0.35">
      <c r="B11" s="3" t="s">
        <v>338</v>
      </c>
      <c r="C11" s="80">
        <v>0.03</v>
      </c>
      <c r="D11" s="50">
        <v>2021</v>
      </c>
      <c r="E11" s="50" t="s">
        <v>711</v>
      </c>
      <c r="F11"/>
    </row>
    <row r="12" spans="2:6" x14ac:dyDescent="0.35">
      <c r="B12" s="65" t="s">
        <v>134</v>
      </c>
      <c r="C12" s="79">
        <f>SUM(C5:C11)</f>
        <v>1</v>
      </c>
      <c r="D12" s="9"/>
      <c r="E12" s="5"/>
      <c r="F12" s="5"/>
    </row>
    <row r="15" spans="2:6" x14ac:dyDescent="0.35">
      <c r="B15" s="63" t="s">
        <v>533</v>
      </c>
    </row>
    <row r="17" spans="2:6" x14ac:dyDescent="0.35">
      <c r="B17" s="4" t="s">
        <v>532</v>
      </c>
      <c r="C17" s="64" t="s">
        <v>0</v>
      </c>
      <c r="D17"/>
    </row>
    <row r="18" spans="2:6" x14ac:dyDescent="0.35">
      <c r="B18" s="3" t="s">
        <v>77</v>
      </c>
      <c r="C18" s="50">
        <v>282570</v>
      </c>
      <c r="D18"/>
    </row>
    <row r="19" spans="2:6" x14ac:dyDescent="0.35">
      <c r="B19" s="3" t="s">
        <v>79</v>
      </c>
      <c r="C19" s="50">
        <v>720270</v>
      </c>
      <c r="D19"/>
    </row>
    <row r="20" spans="2:6" ht="29" x14ac:dyDescent="0.35">
      <c r="B20" s="3" t="s">
        <v>80</v>
      </c>
      <c r="C20" s="50">
        <v>810294</v>
      </c>
      <c r="D20"/>
    </row>
    <row r="23" spans="2:6" x14ac:dyDescent="0.35">
      <c r="B23" s="63" t="s">
        <v>534</v>
      </c>
    </row>
    <row r="25" spans="2:6" x14ac:dyDescent="0.35">
      <c r="B25" s="4" t="s">
        <v>605</v>
      </c>
      <c r="C25" s="64" t="s">
        <v>541</v>
      </c>
      <c r="D25" s="66" t="s">
        <v>712</v>
      </c>
      <c r="E25" s="64" t="s">
        <v>162</v>
      </c>
      <c r="F25" s="64" t="s">
        <v>127</v>
      </c>
    </row>
    <row r="26" spans="2:6" x14ac:dyDescent="0.35">
      <c r="B26" s="10" t="s">
        <v>137</v>
      </c>
      <c r="C26" s="91">
        <v>0.38323049110277746</v>
      </c>
      <c r="D26" s="67">
        <v>102600</v>
      </c>
      <c r="E26" s="68">
        <v>2021</v>
      </c>
      <c r="F26" s="68" t="s">
        <v>167</v>
      </c>
    </row>
    <row r="27" spans="2:6" x14ac:dyDescent="0.35">
      <c r="B27" s="10" t="s">
        <v>209</v>
      </c>
      <c r="C27" s="91">
        <v>0.18461923473427858</v>
      </c>
      <c r="D27" s="67">
        <v>49427</v>
      </c>
      <c r="E27" s="68">
        <v>2021</v>
      </c>
      <c r="F27" s="68" t="s">
        <v>167</v>
      </c>
    </row>
    <row r="28" spans="2:6" x14ac:dyDescent="0.35">
      <c r="B28" s="98" t="s">
        <v>154</v>
      </c>
      <c r="C28" s="91">
        <v>0.15351630783941672</v>
      </c>
      <c r="D28" s="67">
        <v>41100</v>
      </c>
      <c r="E28" s="68">
        <v>2021</v>
      </c>
      <c r="F28" s="68" t="s">
        <v>167</v>
      </c>
    </row>
    <row r="29" spans="2:6" x14ac:dyDescent="0.35">
      <c r="B29" s="10" t="s">
        <v>198</v>
      </c>
      <c r="C29" s="91">
        <v>0.12754926715572754</v>
      </c>
      <c r="D29" s="67">
        <v>34148</v>
      </c>
      <c r="E29" s="68">
        <v>2021</v>
      </c>
      <c r="F29" s="68" t="s">
        <v>167</v>
      </c>
    </row>
    <row r="30" spans="2:6" x14ac:dyDescent="0.35">
      <c r="B30" s="10" t="s">
        <v>173</v>
      </c>
      <c r="C30" s="91">
        <v>6.0954565149183487E-2</v>
      </c>
      <c r="D30" s="67">
        <v>16319</v>
      </c>
      <c r="E30" s="68">
        <v>2021</v>
      </c>
      <c r="F30" s="68" t="s">
        <v>167</v>
      </c>
    </row>
    <row r="31" spans="2:6" x14ac:dyDescent="0.35">
      <c r="B31" s="10" t="s">
        <v>263</v>
      </c>
      <c r="C31" s="91">
        <v>3.9634100790366195E-2</v>
      </c>
      <c r="D31" s="67">
        <v>10611</v>
      </c>
      <c r="E31" s="68">
        <v>2021</v>
      </c>
      <c r="F31" s="68" t="s">
        <v>167</v>
      </c>
    </row>
    <row r="32" spans="2:6" x14ac:dyDescent="0.35">
      <c r="B32" s="10" t="s">
        <v>172</v>
      </c>
      <c r="C32" s="91">
        <v>1.550103838281215E-2</v>
      </c>
      <c r="D32" s="67">
        <v>4150</v>
      </c>
      <c r="E32" s="68">
        <v>2021</v>
      </c>
      <c r="F32" s="68" t="s">
        <v>167</v>
      </c>
    </row>
    <row r="33" spans="2:6" x14ac:dyDescent="0.35">
      <c r="B33" s="10" t="s">
        <v>260</v>
      </c>
      <c r="C33" s="91">
        <v>1.1112190165991843E-2</v>
      </c>
      <c r="D33" s="67">
        <v>2975</v>
      </c>
      <c r="E33" s="68">
        <v>2021</v>
      </c>
      <c r="F33" s="68" t="s">
        <v>167</v>
      </c>
    </row>
    <row r="34" spans="2:6" x14ac:dyDescent="0.35">
      <c r="B34" s="10" t="s">
        <v>150</v>
      </c>
      <c r="C34" s="91">
        <v>7.5562893128744528E-3</v>
      </c>
      <c r="D34" s="67">
        <v>2023</v>
      </c>
      <c r="E34" s="68">
        <v>2021</v>
      </c>
      <c r="F34" s="68" t="s">
        <v>167</v>
      </c>
    </row>
    <row r="35" spans="2:6" x14ac:dyDescent="0.35">
      <c r="B35" s="10" t="s">
        <v>141</v>
      </c>
      <c r="C35" s="91">
        <v>6.3498229519953382E-3</v>
      </c>
      <c r="D35" s="67">
        <v>1700</v>
      </c>
      <c r="E35" s="68">
        <v>2021</v>
      </c>
      <c r="F35" s="68" t="s">
        <v>167</v>
      </c>
    </row>
    <row r="36" spans="2:6" x14ac:dyDescent="0.35">
      <c r="B36" s="3" t="s">
        <v>565</v>
      </c>
      <c r="C36" s="91">
        <v>9.9766924145762055E-3</v>
      </c>
      <c r="D36" s="67">
        <v>2671</v>
      </c>
      <c r="E36" s="68">
        <v>2021</v>
      </c>
      <c r="F36" s="68" t="s">
        <v>167</v>
      </c>
    </row>
    <row r="37" spans="2:6" x14ac:dyDescent="0.35">
      <c r="B37" s="65" t="s">
        <v>134</v>
      </c>
      <c r="C37" s="69">
        <f>SUM(C26:C36)</f>
        <v>1</v>
      </c>
      <c r="D37" s="70">
        <f>SUM(D26:D36)</f>
        <v>267724</v>
      </c>
      <c r="E37" s="34"/>
      <c r="F37" s="34"/>
    </row>
    <row r="39" spans="2:6" x14ac:dyDescent="0.35">
      <c r="B39" s="96" t="s">
        <v>713</v>
      </c>
      <c r="D39" s="11"/>
    </row>
    <row r="42" spans="2:6" x14ac:dyDescent="0.35">
      <c r="B42" s="2" t="s">
        <v>536</v>
      </c>
    </row>
    <row r="44" spans="2:6" x14ac:dyDescent="0.35">
      <c r="B44" s="4" t="s">
        <v>538</v>
      </c>
      <c r="C44" s="64" t="s">
        <v>548</v>
      </c>
      <c r="D44" s="74" t="s">
        <v>537</v>
      </c>
      <c r="E44" s="74" t="s">
        <v>549</v>
      </c>
      <c r="F44" s="74" t="s">
        <v>127</v>
      </c>
    </row>
    <row r="45" spans="2:6" ht="29" x14ac:dyDescent="0.35">
      <c r="B45" s="73" t="s">
        <v>77</v>
      </c>
      <c r="C45" s="92">
        <v>29.24</v>
      </c>
      <c r="D45" s="75" t="s">
        <v>714</v>
      </c>
      <c r="E45" s="75" t="s">
        <v>580</v>
      </c>
      <c r="F45" s="76" t="s">
        <v>553</v>
      </c>
    </row>
    <row r="46" spans="2:6" ht="29" x14ac:dyDescent="0.35">
      <c r="B46" s="73" t="s">
        <v>78</v>
      </c>
      <c r="C46" s="92">
        <v>455</v>
      </c>
      <c r="D46" s="75" t="s">
        <v>715</v>
      </c>
      <c r="E46" s="75" t="s">
        <v>568</v>
      </c>
      <c r="F46" s="76" t="s">
        <v>717</v>
      </c>
    </row>
    <row r="47" spans="2:6" ht="29" x14ac:dyDescent="0.35">
      <c r="B47" s="73" t="s">
        <v>80</v>
      </c>
      <c r="C47" s="92">
        <v>49.86</v>
      </c>
      <c r="D47" s="75" t="s">
        <v>716</v>
      </c>
      <c r="E47" s="75" t="s">
        <v>710</v>
      </c>
      <c r="F47" s="76" t="s">
        <v>553</v>
      </c>
    </row>
    <row r="48" spans="2:6" x14ac:dyDescent="0.35">
      <c r="F48"/>
    </row>
    <row r="49" spans="2:6" ht="15" thickBot="1" x14ac:dyDescent="0.4">
      <c r="F49"/>
    </row>
    <row r="50" spans="2:6" x14ac:dyDescent="0.35">
      <c r="B50" s="35" t="s">
        <v>490</v>
      </c>
      <c r="C50" s="81"/>
      <c r="D50" s="82"/>
      <c r="E50" s="83"/>
      <c r="F50"/>
    </row>
    <row r="51" spans="2:6" x14ac:dyDescent="0.35">
      <c r="B51" s="84"/>
      <c r="E51" s="85"/>
      <c r="F51"/>
    </row>
    <row r="52" spans="2:6" x14ac:dyDescent="0.35">
      <c r="B52" s="86" t="s">
        <v>554</v>
      </c>
      <c r="E52" s="85"/>
    </row>
    <row r="53" spans="2:6" x14ac:dyDescent="0.35">
      <c r="B53" s="86" t="s">
        <v>718</v>
      </c>
      <c r="E53" s="85"/>
    </row>
    <row r="54" spans="2:6" x14ac:dyDescent="0.35">
      <c r="B54" s="86" t="s">
        <v>785</v>
      </c>
      <c r="E54" s="85"/>
    </row>
    <row r="55" spans="2:6" ht="15" thickBot="1" x14ac:dyDescent="0.4">
      <c r="B55" s="87" t="s">
        <v>551</v>
      </c>
      <c r="C55" s="88"/>
      <c r="D55" s="89"/>
      <c r="E55" s="90"/>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9316-1636-4DA0-91DB-083B7DAD9A9A}">
  <sheetPr>
    <tabColor theme="4" tint="0.59999389629810485"/>
  </sheetPr>
  <dimension ref="B1:F43"/>
  <sheetViews>
    <sheetView showGridLines="0" zoomScaleNormal="100" workbookViewId="0">
      <selection activeCell="C37" sqref="C37"/>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207</v>
      </c>
      <c r="C5" s="80">
        <v>0.4</v>
      </c>
      <c r="D5" s="50" t="s">
        <v>129</v>
      </c>
      <c r="E5" s="50" t="s">
        <v>556</v>
      </c>
      <c r="F5"/>
    </row>
    <row r="6" spans="2:6" x14ac:dyDescent="0.35">
      <c r="B6" s="3" t="s">
        <v>371</v>
      </c>
      <c r="C6" s="80">
        <v>0.4</v>
      </c>
      <c r="D6" s="50" t="s">
        <v>129</v>
      </c>
      <c r="E6" s="50" t="s">
        <v>556</v>
      </c>
      <c r="F6"/>
    </row>
    <row r="7" spans="2:6" x14ac:dyDescent="0.35">
      <c r="B7" s="3" t="s">
        <v>201</v>
      </c>
      <c r="C7" s="80">
        <v>0.05</v>
      </c>
      <c r="D7" s="50" t="s">
        <v>129</v>
      </c>
      <c r="E7" s="50" t="s">
        <v>556</v>
      </c>
      <c r="F7"/>
    </row>
    <row r="8" spans="2:6" x14ac:dyDescent="0.35">
      <c r="B8" s="3" t="s">
        <v>372</v>
      </c>
      <c r="C8" s="80">
        <v>0.05</v>
      </c>
      <c r="D8" s="50" t="s">
        <v>129</v>
      </c>
      <c r="E8" s="50" t="s">
        <v>556</v>
      </c>
      <c r="F8"/>
    </row>
    <row r="9" spans="2:6" x14ac:dyDescent="0.35">
      <c r="B9" s="3" t="s">
        <v>373</v>
      </c>
      <c r="C9" s="80">
        <v>0.05</v>
      </c>
      <c r="D9" s="50" t="s">
        <v>129</v>
      </c>
      <c r="E9" s="50" t="s">
        <v>556</v>
      </c>
      <c r="F9"/>
    </row>
    <row r="10" spans="2:6" x14ac:dyDescent="0.35">
      <c r="B10" s="3" t="s">
        <v>374</v>
      </c>
      <c r="C10" s="80">
        <v>0.05</v>
      </c>
      <c r="D10" s="50" t="s">
        <v>129</v>
      </c>
      <c r="E10" s="50" t="s">
        <v>556</v>
      </c>
      <c r="F10"/>
    </row>
    <row r="11" spans="2:6" x14ac:dyDescent="0.35">
      <c r="B11" s="65" t="s">
        <v>134</v>
      </c>
      <c r="C11" s="79">
        <f>SUM(C5:C10)</f>
        <v>1.0000000000000002</v>
      </c>
      <c r="D11" s="9"/>
      <c r="E11" s="5"/>
      <c r="F11" s="5"/>
    </row>
    <row r="14" spans="2:6" x14ac:dyDescent="0.35">
      <c r="B14" s="63" t="s">
        <v>533</v>
      </c>
    </row>
    <row r="16" spans="2:6" x14ac:dyDescent="0.35">
      <c r="B16" s="4" t="s">
        <v>532</v>
      </c>
      <c r="C16" s="64" t="s">
        <v>0</v>
      </c>
      <c r="D16"/>
    </row>
    <row r="17" spans="2:6" x14ac:dyDescent="0.35">
      <c r="B17" s="3" t="s">
        <v>106</v>
      </c>
      <c r="C17" s="50">
        <v>283692</v>
      </c>
      <c r="D17"/>
    </row>
    <row r="20" spans="2:6" x14ac:dyDescent="0.35">
      <c r="B20" s="63" t="s">
        <v>534</v>
      </c>
    </row>
    <row r="22" spans="2:6" x14ac:dyDescent="0.35">
      <c r="B22" s="4" t="s">
        <v>605</v>
      </c>
      <c r="C22" s="64" t="s">
        <v>541</v>
      </c>
      <c r="D22" s="66" t="s">
        <v>697</v>
      </c>
      <c r="E22" s="64" t="s">
        <v>162</v>
      </c>
      <c r="F22" s="64" t="s">
        <v>127</v>
      </c>
    </row>
    <row r="23" spans="2:6" x14ac:dyDescent="0.35">
      <c r="B23" s="3" t="s">
        <v>160</v>
      </c>
      <c r="C23" s="80">
        <v>0.42170368287883048</v>
      </c>
      <c r="D23" s="71">
        <v>150000</v>
      </c>
      <c r="E23" s="68">
        <v>2021</v>
      </c>
      <c r="F23" s="68" t="s">
        <v>699</v>
      </c>
    </row>
    <row r="24" spans="2:6" x14ac:dyDescent="0.35">
      <c r="B24" s="3" t="s">
        <v>172</v>
      </c>
      <c r="C24" s="80">
        <v>0.25302220972729828</v>
      </c>
      <c r="D24" s="71">
        <v>90000</v>
      </c>
      <c r="E24" s="68">
        <v>2021</v>
      </c>
      <c r="F24" s="68" t="s">
        <v>699</v>
      </c>
    </row>
    <row r="25" spans="2:6" x14ac:dyDescent="0.35">
      <c r="B25" s="3" t="s">
        <v>375</v>
      </c>
      <c r="C25" s="80">
        <v>0.22490863086870957</v>
      </c>
      <c r="D25" s="71">
        <v>80000</v>
      </c>
      <c r="E25" s="68">
        <v>2021</v>
      </c>
      <c r="F25" s="68" t="s">
        <v>699</v>
      </c>
    </row>
    <row r="26" spans="2:6" x14ac:dyDescent="0.35">
      <c r="B26" s="3" t="s">
        <v>173</v>
      </c>
      <c r="C26" s="80">
        <v>9.8397526005060451E-2</v>
      </c>
      <c r="D26" s="71">
        <v>35000</v>
      </c>
      <c r="E26" s="68">
        <v>2021</v>
      </c>
      <c r="F26" s="68" t="s">
        <v>699</v>
      </c>
    </row>
    <row r="27" spans="2:6" x14ac:dyDescent="0.35">
      <c r="B27" s="3" t="s">
        <v>161</v>
      </c>
      <c r="C27" s="80">
        <v>1.9679505201012091E-3</v>
      </c>
      <c r="D27" s="71">
        <v>700</v>
      </c>
      <c r="E27" s="68">
        <v>2021</v>
      </c>
      <c r="F27" s="68" t="s">
        <v>699</v>
      </c>
    </row>
    <row r="28" spans="2:6" x14ac:dyDescent="0.35">
      <c r="B28" s="65" t="s">
        <v>134</v>
      </c>
      <c r="C28" s="69">
        <f>SUM(C23:C27)</f>
        <v>1</v>
      </c>
      <c r="D28" s="72">
        <f>SUM(D23:D27)</f>
        <v>355700</v>
      </c>
      <c r="E28" s="34"/>
      <c r="F28" s="34"/>
    </row>
    <row r="29" spans="2:6" x14ac:dyDescent="0.35">
      <c r="D29" s="11"/>
    </row>
    <row r="30" spans="2:6" x14ac:dyDescent="0.35">
      <c r="B30" s="96" t="s">
        <v>698</v>
      </c>
      <c r="D30" s="11"/>
    </row>
    <row r="33" spans="2:6" x14ac:dyDescent="0.35">
      <c r="B33" s="2" t="s">
        <v>536</v>
      </c>
    </row>
    <row r="35" spans="2:6" x14ac:dyDescent="0.35">
      <c r="B35" s="4" t="s">
        <v>538</v>
      </c>
      <c r="C35" s="64" t="s">
        <v>548</v>
      </c>
      <c r="D35" s="74" t="s">
        <v>537</v>
      </c>
      <c r="E35" s="74" t="s">
        <v>549</v>
      </c>
      <c r="F35" s="74" t="s">
        <v>127</v>
      </c>
    </row>
    <row r="36" spans="2:6" x14ac:dyDescent="0.35">
      <c r="B36" s="73" t="s">
        <v>106</v>
      </c>
      <c r="C36" s="92">
        <v>66.25</v>
      </c>
      <c r="D36" s="75" t="s">
        <v>701</v>
      </c>
      <c r="E36" s="75" t="s">
        <v>568</v>
      </c>
      <c r="F36" s="76" t="s">
        <v>589</v>
      </c>
    </row>
    <row r="37" spans="2:6" x14ac:dyDescent="0.35">
      <c r="F37"/>
    </row>
    <row r="38" spans="2:6" ht="15" thickBot="1" x14ac:dyDescent="0.4">
      <c r="F38"/>
    </row>
    <row r="39" spans="2:6" x14ac:dyDescent="0.35">
      <c r="B39" s="35" t="s">
        <v>490</v>
      </c>
      <c r="C39" s="81"/>
      <c r="D39" s="82"/>
      <c r="E39" s="83"/>
      <c r="F39"/>
    </row>
    <row r="40" spans="2:6" x14ac:dyDescent="0.35">
      <c r="B40" s="84"/>
      <c r="E40" s="85"/>
      <c r="F40"/>
    </row>
    <row r="41" spans="2:6" x14ac:dyDescent="0.35">
      <c r="B41" s="86" t="s">
        <v>590</v>
      </c>
      <c r="E41" s="85"/>
    </row>
    <row r="42" spans="2:6" x14ac:dyDescent="0.35">
      <c r="B42" s="86" t="s">
        <v>552</v>
      </c>
      <c r="E42" s="85"/>
    </row>
    <row r="43" spans="2:6" ht="15" thickBot="1" x14ac:dyDescent="0.4">
      <c r="B43" s="40" t="s">
        <v>700</v>
      </c>
      <c r="C43" s="88"/>
      <c r="D43" s="89"/>
      <c r="E43" s="90"/>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0093-955C-4040-807F-82F7D7E0B533}">
  <sheetPr>
    <tabColor theme="4" tint="0.59999389629810485"/>
  </sheetPr>
  <dimension ref="B1:F52"/>
  <sheetViews>
    <sheetView showGridLines="0" zoomScaleNormal="100" workbookViewId="0">
      <selection activeCell="C49" sqref="C49"/>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403</v>
      </c>
      <c r="C5" s="80">
        <v>0.5</v>
      </c>
      <c r="D5" s="50" t="s">
        <v>129</v>
      </c>
      <c r="E5" s="50" t="s">
        <v>556</v>
      </c>
      <c r="F5"/>
    </row>
    <row r="6" spans="2:6" x14ac:dyDescent="0.35">
      <c r="B6" s="3" t="s">
        <v>404</v>
      </c>
      <c r="C6" s="80">
        <v>0.13</v>
      </c>
      <c r="D6" s="50" t="s">
        <v>129</v>
      </c>
      <c r="E6" s="50" t="s">
        <v>556</v>
      </c>
      <c r="F6"/>
    </row>
    <row r="7" spans="2:6" x14ac:dyDescent="0.35">
      <c r="B7" s="3" t="s">
        <v>130</v>
      </c>
      <c r="C7" s="80">
        <v>0.13</v>
      </c>
      <c r="D7" s="50" t="s">
        <v>129</v>
      </c>
      <c r="E7" s="50" t="s">
        <v>556</v>
      </c>
      <c r="F7"/>
    </row>
    <row r="8" spans="2:6" x14ac:dyDescent="0.35">
      <c r="B8" s="3" t="s">
        <v>133</v>
      </c>
      <c r="C8" s="80">
        <v>0.11</v>
      </c>
      <c r="D8" s="50" t="s">
        <v>129</v>
      </c>
      <c r="E8" s="50" t="s">
        <v>556</v>
      </c>
      <c r="F8"/>
    </row>
    <row r="9" spans="2:6" x14ac:dyDescent="0.35">
      <c r="B9" s="3" t="s">
        <v>360</v>
      </c>
      <c r="C9" s="80">
        <v>0.03</v>
      </c>
      <c r="D9" s="50" t="s">
        <v>129</v>
      </c>
      <c r="E9" s="50" t="s">
        <v>556</v>
      </c>
      <c r="F9"/>
    </row>
    <row r="10" spans="2:6" x14ac:dyDescent="0.35">
      <c r="B10" s="3" t="s">
        <v>405</v>
      </c>
      <c r="C10" s="80">
        <v>0.03</v>
      </c>
      <c r="D10" s="50" t="s">
        <v>129</v>
      </c>
      <c r="E10" s="50" t="s">
        <v>556</v>
      </c>
      <c r="F10"/>
    </row>
    <row r="11" spans="2:6" x14ac:dyDescent="0.35">
      <c r="B11" s="3" t="s">
        <v>241</v>
      </c>
      <c r="C11" s="80">
        <v>7.0000000000000007E-2</v>
      </c>
      <c r="D11" s="50" t="s">
        <v>129</v>
      </c>
      <c r="E11" s="50" t="s">
        <v>556</v>
      </c>
      <c r="F11"/>
    </row>
    <row r="12" spans="2:6" x14ac:dyDescent="0.35">
      <c r="B12" s="65" t="s">
        <v>134</v>
      </c>
      <c r="C12" s="79">
        <f>SUM(C5:C11)</f>
        <v>1</v>
      </c>
      <c r="D12" s="9"/>
      <c r="E12" s="5"/>
      <c r="F12" s="5"/>
    </row>
    <row r="15" spans="2:6" x14ac:dyDescent="0.35">
      <c r="B15" s="63" t="s">
        <v>533</v>
      </c>
    </row>
    <row r="17" spans="2:6" x14ac:dyDescent="0.35">
      <c r="B17" s="4" t="s">
        <v>532</v>
      </c>
      <c r="C17" s="64" t="s">
        <v>0</v>
      </c>
      <c r="D17"/>
    </row>
    <row r="18" spans="2:6" x14ac:dyDescent="0.35">
      <c r="B18" s="3" t="s">
        <v>125</v>
      </c>
      <c r="C18" s="50">
        <v>810920</v>
      </c>
      <c r="D18"/>
    </row>
    <row r="21" spans="2:6" x14ac:dyDescent="0.35">
      <c r="B21" s="63" t="s">
        <v>534</v>
      </c>
    </row>
    <row r="23" spans="2:6" x14ac:dyDescent="0.35">
      <c r="B23" s="4" t="s">
        <v>605</v>
      </c>
      <c r="C23" s="64" t="s">
        <v>541</v>
      </c>
      <c r="D23" s="66" t="s">
        <v>702</v>
      </c>
      <c r="E23" s="64" t="s">
        <v>162</v>
      </c>
      <c r="F23" s="64" t="s">
        <v>127</v>
      </c>
    </row>
    <row r="24" spans="2:6" x14ac:dyDescent="0.35">
      <c r="B24" s="10" t="s">
        <v>406</v>
      </c>
      <c r="C24" s="91">
        <v>0.39077872103412825</v>
      </c>
      <c r="D24" s="67">
        <v>569000</v>
      </c>
      <c r="E24" s="68">
        <v>2021</v>
      </c>
      <c r="F24" s="68" t="s">
        <v>167</v>
      </c>
    </row>
    <row r="25" spans="2:6" x14ac:dyDescent="0.35">
      <c r="B25" s="10" t="s">
        <v>156</v>
      </c>
      <c r="C25" s="91">
        <v>0.20672125664547031</v>
      </c>
      <c r="D25" s="67">
        <v>301000</v>
      </c>
      <c r="E25" s="68">
        <v>2021</v>
      </c>
      <c r="F25" s="68" t="s">
        <v>167</v>
      </c>
    </row>
    <row r="26" spans="2:6" x14ac:dyDescent="0.35">
      <c r="B26" s="10" t="s">
        <v>137</v>
      </c>
      <c r="C26" s="91">
        <v>9.6149421695567575E-2</v>
      </c>
      <c r="D26" s="67">
        <v>140000</v>
      </c>
      <c r="E26" s="68">
        <v>2021</v>
      </c>
      <c r="F26" s="68" t="s">
        <v>167</v>
      </c>
    </row>
    <row r="27" spans="2:6" x14ac:dyDescent="0.35">
      <c r="B27" s="10" t="s">
        <v>189</v>
      </c>
      <c r="C27" s="91">
        <v>8.4481689372810448E-2</v>
      </c>
      <c r="D27" s="67">
        <v>123011</v>
      </c>
      <c r="E27" s="68">
        <v>2021</v>
      </c>
      <c r="F27" s="68" t="s">
        <v>167</v>
      </c>
    </row>
    <row r="28" spans="2:6" x14ac:dyDescent="0.35">
      <c r="B28" s="10" t="s">
        <v>383</v>
      </c>
      <c r="C28" s="91">
        <v>6.246965283877734E-2</v>
      </c>
      <c r="D28" s="67">
        <v>90960</v>
      </c>
      <c r="E28" s="68">
        <v>2021</v>
      </c>
      <c r="F28" s="68" t="s">
        <v>167</v>
      </c>
    </row>
    <row r="29" spans="2:6" x14ac:dyDescent="0.35">
      <c r="B29" s="10" t="s">
        <v>139</v>
      </c>
      <c r="C29" s="91">
        <v>3.7518877908777552E-2</v>
      </c>
      <c r="D29" s="67">
        <v>54630</v>
      </c>
      <c r="E29" s="68">
        <v>2021</v>
      </c>
      <c r="F29" s="68" t="s">
        <v>167</v>
      </c>
    </row>
    <row r="30" spans="2:6" x14ac:dyDescent="0.35">
      <c r="B30" s="10" t="s">
        <v>197</v>
      </c>
      <c r="C30" s="91">
        <v>2.087816013960896E-2</v>
      </c>
      <c r="D30" s="67">
        <v>30400</v>
      </c>
      <c r="E30" s="68">
        <v>2021</v>
      </c>
      <c r="F30" s="68" t="s">
        <v>167</v>
      </c>
    </row>
    <row r="31" spans="2:6" x14ac:dyDescent="0.35">
      <c r="B31" s="10" t="s">
        <v>159</v>
      </c>
      <c r="C31" s="91">
        <v>2.0603447506193053E-2</v>
      </c>
      <c r="D31" s="67">
        <v>30000</v>
      </c>
      <c r="E31" s="68">
        <v>2021</v>
      </c>
      <c r="F31" s="68" t="s">
        <v>167</v>
      </c>
    </row>
    <row r="32" spans="2:6" x14ac:dyDescent="0.35">
      <c r="B32" s="10" t="s">
        <v>154</v>
      </c>
      <c r="C32" s="91">
        <v>2.0603447506193053E-2</v>
      </c>
      <c r="D32" s="67">
        <v>30000</v>
      </c>
      <c r="E32" s="68">
        <v>2021</v>
      </c>
      <c r="F32" s="68" t="s">
        <v>167</v>
      </c>
    </row>
    <row r="33" spans="2:6" x14ac:dyDescent="0.35">
      <c r="B33" s="10" t="s">
        <v>191</v>
      </c>
      <c r="C33" s="91">
        <v>1.987065155655612E-2</v>
      </c>
      <c r="D33" s="67">
        <v>28933</v>
      </c>
      <c r="E33" s="68">
        <v>2021</v>
      </c>
      <c r="F33" s="68" t="s">
        <v>167</v>
      </c>
    </row>
    <row r="34" spans="2:6" x14ac:dyDescent="0.35">
      <c r="B34" s="10" t="s">
        <v>384</v>
      </c>
      <c r="C34" s="91">
        <v>1.987065155655612E-2</v>
      </c>
      <c r="D34" s="67">
        <v>28933</v>
      </c>
      <c r="E34" s="68">
        <v>2021</v>
      </c>
      <c r="F34" s="68" t="s">
        <v>167</v>
      </c>
    </row>
    <row r="35" spans="2:6" x14ac:dyDescent="0.35">
      <c r="B35" s="3" t="s">
        <v>565</v>
      </c>
      <c r="C35" s="91">
        <v>2.0054022239361258E-2</v>
      </c>
      <c r="D35" s="67">
        <v>29200</v>
      </c>
      <c r="E35" s="68">
        <v>2021</v>
      </c>
      <c r="F35" s="68" t="s">
        <v>167</v>
      </c>
    </row>
    <row r="36" spans="2:6" x14ac:dyDescent="0.35">
      <c r="B36" s="65" t="s">
        <v>134</v>
      </c>
      <c r="C36" s="69">
        <f>SUM(C24:C35)</f>
        <v>1</v>
      </c>
      <c r="D36" s="70">
        <f>SUM(D24:D35)</f>
        <v>1456067</v>
      </c>
      <c r="E36" s="34"/>
      <c r="F36" s="34"/>
    </row>
    <row r="38" spans="2:6" x14ac:dyDescent="0.35">
      <c r="B38" s="96" t="s">
        <v>703</v>
      </c>
      <c r="D38" s="11"/>
    </row>
    <row r="41" spans="2:6" x14ac:dyDescent="0.35">
      <c r="B41" s="2" t="s">
        <v>536</v>
      </c>
    </row>
    <row r="43" spans="2:6" x14ac:dyDescent="0.35">
      <c r="B43" s="4" t="s">
        <v>538</v>
      </c>
      <c r="C43" s="64" t="s">
        <v>548</v>
      </c>
      <c r="D43" s="74" t="s">
        <v>537</v>
      </c>
      <c r="E43" s="74" t="s">
        <v>549</v>
      </c>
      <c r="F43" s="74" t="s">
        <v>127</v>
      </c>
    </row>
    <row r="44" spans="2:6" x14ac:dyDescent="0.35">
      <c r="B44" s="73" t="s">
        <v>39</v>
      </c>
      <c r="C44" s="92">
        <v>2.11</v>
      </c>
      <c r="D44" s="75" t="s">
        <v>704</v>
      </c>
      <c r="E44" s="75" t="s">
        <v>616</v>
      </c>
      <c r="F44" s="76" t="s">
        <v>553</v>
      </c>
    </row>
    <row r="45" spans="2:6" ht="29" x14ac:dyDescent="0.35">
      <c r="B45" s="73" t="s">
        <v>125</v>
      </c>
      <c r="C45" s="92">
        <v>27.83</v>
      </c>
      <c r="D45" s="75" t="s">
        <v>705</v>
      </c>
      <c r="E45" s="75" t="s">
        <v>580</v>
      </c>
      <c r="F45" s="76" t="s">
        <v>553</v>
      </c>
    </row>
    <row r="46" spans="2:6" x14ac:dyDescent="0.35">
      <c r="F46"/>
    </row>
    <row r="47" spans="2:6" ht="15" thickBot="1" x14ac:dyDescent="0.4">
      <c r="F47"/>
    </row>
    <row r="48" spans="2:6" x14ac:dyDescent="0.35">
      <c r="B48" s="35" t="s">
        <v>490</v>
      </c>
      <c r="C48" s="81"/>
      <c r="D48" s="93"/>
      <c r="F48"/>
    </row>
    <row r="49" spans="2:6" x14ac:dyDescent="0.35">
      <c r="B49" s="84"/>
      <c r="D49" s="94"/>
      <c r="F49"/>
    </row>
    <row r="50" spans="2:6" x14ac:dyDescent="0.35">
      <c r="B50" s="86" t="s">
        <v>554</v>
      </c>
      <c r="D50" s="94"/>
      <c r="F50"/>
    </row>
    <row r="51" spans="2:6" x14ac:dyDescent="0.35">
      <c r="B51" s="86" t="s">
        <v>552</v>
      </c>
      <c r="D51" s="94"/>
    </row>
    <row r="52" spans="2:6" ht="15" thickBot="1" x14ac:dyDescent="0.4">
      <c r="B52" s="87" t="s">
        <v>551</v>
      </c>
      <c r="C52" s="88"/>
      <c r="D52" s="9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56FFE-4304-43B1-9740-36B9B763DCB9}">
  <sheetPr>
    <tabColor theme="4" tint="0.59999389629810485"/>
  </sheetPr>
  <dimension ref="B1:F70"/>
  <sheetViews>
    <sheetView showGridLines="0" topLeftCell="A58" zoomScaleNormal="100" workbookViewId="0">
      <selection activeCell="F63" sqref="F63"/>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283</v>
      </c>
      <c r="C5" s="80">
        <v>0.24</v>
      </c>
      <c r="D5" s="50" t="s">
        <v>129</v>
      </c>
      <c r="E5" s="50" t="s">
        <v>556</v>
      </c>
      <c r="F5"/>
    </row>
    <row r="6" spans="2:6" x14ac:dyDescent="0.35">
      <c r="B6" s="3" t="s">
        <v>364</v>
      </c>
      <c r="C6" s="80">
        <v>0.14000000000000001</v>
      </c>
      <c r="D6" s="50" t="s">
        <v>129</v>
      </c>
      <c r="E6" s="50" t="s">
        <v>556</v>
      </c>
      <c r="F6"/>
    </row>
    <row r="7" spans="2:6" x14ac:dyDescent="0.35">
      <c r="B7" s="3" t="s">
        <v>145</v>
      </c>
      <c r="C7" s="80">
        <v>0.08</v>
      </c>
      <c r="D7" s="50" t="s">
        <v>129</v>
      </c>
      <c r="E7" s="50" t="s">
        <v>556</v>
      </c>
      <c r="F7"/>
    </row>
    <row r="8" spans="2:6" x14ac:dyDescent="0.35">
      <c r="B8" s="3" t="s">
        <v>213</v>
      </c>
      <c r="C8" s="80">
        <v>7.0000000000000007E-2</v>
      </c>
      <c r="D8" s="50" t="s">
        <v>129</v>
      </c>
      <c r="E8" s="50" t="s">
        <v>556</v>
      </c>
      <c r="F8"/>
    </row>
    <row r="9" spans="2:6" x14ac:dyDescent="0.35">
      <c r="B9" s="3" t="s">
        <v>365</v>
      </c>
      <c r="C9" s="80">
        <v>7.0000000000000007E-2</v>
      </c>
      <c r="D9" s="50" t="s">
        <v>129</v>
      </c>
      <c r="E9" s="50" t="s">
        <v>556</v>
      </c>
      <c r="F9"/>
    </row>
    <row r="10" spans="2:6" x14ac:dyDescent="0.35">
      <c r="B10" s="3" t="s">
        <v>240</v>
      </c>
      <c r="C10" s="80">
        <v>7.0000000000000007E-2</v>
      </c>
      <c r="D10" s="50" t="s">
        <v>129</v>
      </c>
      <c r="E10" s="50" t="s">
        <v>556</v>
      </c>
      <c r="F10"/>
    </row>
    <row r="11" spans="2:6" x14ac:dyDescent="0.35">
      <c r="B11" s="3" t="s">
        <v>366</v>
      </c>
      <c r="C11" s="80">
        <v>7.0000000000000007E-2</v>
      </c>
      <c r="D11" s="50" t="s">
        <v>129</v>
      </c>
      <c r="E11" s="50" t="s">
        <v>556</v>
      </c>
      <c r="F11"/>
    </row>
    <row r="12" spans="2:6" x14ac:dyDescent="0.35">
      <c r="B12" s="3" t="s">
        <v>367</v>
      </c>
      <c r="C12" s="80">
        <v>0.06</v>
      </c>
      <c r="D12" s="50" t="s">
        <v>129</v>
      </c>
      <c r="E12" s="50" t="s">
        <v>556</v>
      </c>
      <c r="F12"/>
    </row>
    <row r="13" spans="2:6" x14ac:dyDescent="0.35">
      <c r="B13" s="3" t="s">
        <v>368</v>
      </c>
      <c r="C13" s="80">
        <v>0.06</v>
      </c>
      <c r="D13" s="50" t="s">
        <v>129</v>
      </c>
      <c r="E13" s="50" t="s">
        <v>556</v>
      </c>
      <c r="F13"/>
    </row>
    <row r="14" spans="2:6" x14ac:dyDescent="0.35">
      <c r="B14" s="3" t="s">
        <v>201</v>
      </c>
      <c r="C14" s="80">
        <v>0.06</v>
      </c>
      <c r="D14" s="50" t="s">
        <v>129</v>
      </c>
      <c r="E14" s="50" t="s">
        <v>556</v>
      </c>
      <c r="F14"/>
    </row>
    <row r="15" spans="2:6" x14ac:dyDescent="0.35">
      <c r="B15" s="3" t="s">
        <v>369</v>
      </c>
      <c r="C15" s="80">
        <v>0.04</v>
      </c>
      <c r="D15" s="50" t="s">
        <v>129</v>
      </c>
      <c r="E15" s="50" t="s">
        <v>556</v>
      </c>
      <c r="F15"/>
    </row>
    <row r="16" spans="2:6" x14ac:dyDescent="0.35">
      <c r="B16" s="3" t="s">
        <v>370</v>
      </c>
      <c r="C16" s="80">
        <v>0.04</v>
      </c>
      <c r="D16" s="50" t="s">
        <v>129</v>
      </c>
      <c r="E16" s="50" t="s">
        <v>556</v>
      </c>
      <c r="F16"/>
    </row>
    <row r="17" spans="2:6" x14ac:dyDescent="0.35">
      <c r="B17" s="65" t="s">
        <v>134</v>
      </c>
      <c r="C17" s="79">
        <f>SUM(C5:C16)</f>
        <v>1.0000000000000004</v>
      </c>
      <c r="D17" s="9"/>
      <c r="E17" s="5"/>
      <c r="F17" s="5"/>
    </row>
    <row r="20" spans="2:6" x14ac:dyDescent="0.35">
      <c r="B20" s="63" t="s">
        <v>533</v>
      </c>
    </row>
    <row r="22" spans="2:6" x14ac:dyDescent="0.35">
      <c r="B22" s="4" t="s">
        <v>532</v>
      </c>
      <c r="C22" s="64" t="s">
        <v>0</v>
      </c>
      <c r="D22"/>
    </row>
    <row r="23" spans="2:6" x14ac:dyDescent="0.35">
      <c r="B23" s="3" t="s">
        <v>104</v>
      </c>
      <c r="C23" s="50">
        <v>710691</v>
      </c>
      <c r="D23"/>
    </row>
    <row r="26" spans="2:6" x14ac:dyDescent="0.35">
      <c r="B26" s="63" t="s">
        <v>534</v>
      </c>
    </row>
    <row r="28" spans="2:6" x14ac:dyDescent="0.35">
      <c r="B28" s="4" t="s">
        <v>605</v>
      </c>
      <c r="C28" s="64" t="s">
        <v>541</v>
      </c>
      <c r="D28" s="66" t="s">
        <v>719</v>
      </c>
      <c r="E28" s="64" t="s">
        <v>162</v>
      </c>
      <c r="F28" s="64" t="s">
        <v>127</v>
      </c>
    </row>
    <row r="29" spans="2:6" x14ac:dyDescent="0.35">
      <c r="B29" s="10" t="s">
        <v>173</v>
      </c>
      <c r="C29" s="91">
        <v>0.2359</v>
      </c>
      <c r="D29" s="67">
        <v>6118</v>
      </c>
      <c r="E29" s="68">
        <v>2021</v>
      </c>
      <c r="F29" s="68" t="s">
        <v>167</v>
      </c>
    </row>
    <row r="30" spans="2:6" x14ac:dyDescent="0.35">
      <c r="B30" s="10" t="s">
        <v>137</v>
      </c>
      <c r="C30" s="91">
        <v>0.13539999999999999</v>
      </c>
      <c r="D30" s="67">
        <v>3511.6</v>
      </c>
      <c r="E30" s="68">
        <v>2021</v>
      </c>
      <c r="F30" s="68" t="s">
        <v>167</v>
      </c>
    </row>
    <row r="31" spans="2:6" x14ac:dyDescent="0.35">
      <c r="B31" s="10" t="s">
        <v>198</v>
      </c>
      <c r="C31" s="91">
        <v>0.12759999999999999</v>
      </c>
      <c r="D31" s="67">
        <v>3310.19</v>
      </c>
      <c r="E31" s="68">
        <v>2021</v>
      </c>
      <c r="F31" s="68" t="s">
        <v>167</v>
      </c>
    </row>
    <row r="32" spans="2:6" x14ac:dyDescent="0.35">
      <c r="B32" s="10" t="s">
        <v>209</v>
      </c>
      <c r="C32" s="91">
        <v>5.33E-2</v>
      </c>
      <c r="D32" s="67">
        <v>1383.04</v>
      </c>
      <c r="E32" s="68">
        <v>2021</v>
      </c>
      <c r="F32" s="68" t="s">
        <v>167</v>
      </c>
    </row>
    <row r="33" spans="2:6" x14ac:dyDescent="0.35">
      <c r="B33" s="10" t="s">
        <v>135</v>
      </c>
      <c r="C33" s="91">
        <v>5.1299999999999998E-2</v>
      </c>
      <c r="D33" s="67">
        <v>1329.72</v>
      </c>
      <c r="E33" s="68">
        <v>2021</v>
      </c>
      <c r="F33" s="68" t="s">
        <v>167</v>
      </c>
    </row>
    <row r="34" spans="2:6" x14ac:dyDescent="0.35">
      <c r="B34" s="10" t="s">
        <v>220</v>
      </c>
      <c r="C34" s="91">
        <v>5.0199999999999995E-2</v>
      </c>
      <c r="D34" s="67">
        <v>1302.9000000000001</v>
      </c>
      <c r="E34" s="68">
        <v>2021</v>
      </c>
      <c r="F34" s="68" t="s">
        <v>167</v>
      </c>
    </row>
    <row r="35" spans="2:6" x14ac:dyDescent="0.35">
      <c r="B35" s="10" t="s">
        <v>170</v>
      </c>
      <c r="C35" s="91">
        <v>4.9699999999999994E-2</v>
      </c>
      <c r="D35" s="67">
        <v>1289.46</v>
      </c>
      <c r="E35" s="68">
        <v>2021</v>
      </c>
      <c r="F35" s="68" t="s">
        <v>167</v>
      </c>
    </row>
    <row r="36" spans="2:6" x14ac:dyDescent="0.35">
      <c r="B36" s="10" t="s">
        <v>141</v>
      </c>
      <c r="C36" s="91">
        <v>4.9299999999999997E-2</v>
      </c>
      <c r="D36" s="67">
        <v>1280</v>
      </c>
      <c r="E36" s="68">
        <v>2021</v>
      </c>
      <c r="F36" s="68" t="s">
        <v>167</v>
      </c>
    </row>
    <row r="37" spans="2:6" x14ac:dyDescent="0.35">
      <c r="B37" s="10" t="s">
        <v>154</v>
      </c>
      <c r="C37" s="91">
        <v>3.9300000000000002E-2</v>
      </c>
      <c r="D37" s="67">
        <v>1020</v>
      </c>
      <c r="E37" s="68">
        <v>2021</v>
      </c>
      <c r="F37" s="68" t="s">
        <v>167</v>
      </c>
    </row>
    <row r="38" spans="2:6" x14ac:dyDescent="0.35">
      <c r="B38" s="10" t="s">
        <v>144</v>
      </c>
      <c r="C38" s="91">
        <v>3.8699999999999998E-2</v>
      </c>
      <c r="D38" s="67">
        <v>1004.79</v>
      </c>
      <c r="E38" s="68">
        <v>2021</v>
      </c>
      <c r="F38" s="68" t="s">
        <v>167</v>
      </c>
    </row>
    <row r="39" spans="2:6" x14ac:dyDescent="0.35">
      <c r="B39" s="10" t="s">
        <v>161</v>
      </c>
      <c r="C39" s="91">
        <v>3.2500000000000001E-2</v>
      </c>
      <c r="D39" s="67">
        <v>842.6</v>
      </c>
      <c r="E39" s="68">
        <v>2021</v>
      </c>
      <c r="F39" s="68" t="s">
        <v>167</v>
      </c>
    </row>
    <row r="40" spans="2:6" x14ac:dyDescent="0.35">
      <c r="B40" s="10" t="s">
        <v>140</v>
      </c>
      <c r="C40" s="91">
        <v>2.4900000000000002E-2</v>
      </c>
      <c r="D40" s="67">
        <v>647.14</v>
      </c>
      <c r="E40" s="68">
        <v>2021</v>
      </c>
      <c r="F40" s="68" t="s">
        <v>167</v>
      </c>
    </row>
    <row r="41" spans="2:6" x14ac:dyDescent="0.35">
      <c r="B41" s="10" t="s">
        <v>239</v>
      </c>
      <c r="C41" s="91">
        <v>1.6500000000000001E-2</v>
      </c>
      <c r="D41" s="67">
        <v>428.59</v>
      </c>
      <c r="E41" s="68">
        <v>2021</v>
      </c>
      <c r="F41" s="68" t="s">
        <v>167</v>
      </c>
    </row>
    <row r="42" spans="2:6" x14ac:dyDescent="0.35">
      <c r="B42" s="10" t="s">
        <v>150</v>
      </c>
      <c r="C42" s="91">
        <v>1.2500000000000001E-2</v>
      </c>
      <c r="D42" s="67">
        <v>325.02999999999997</v>
      </c>
      <c r="E42" s="68">
        <v>2021</v>
      </c>
      <c r="F42" s="68" t="s">
        <v>167</v>
      </c>
    </row>
    <row r="43" spans="2:6" x14ac:dyDescent="0.35">
      <c r="B43" s="10" t="s">
        <v>139</v>
      </c>
      <c r="C43" s="91">
        <v>1.1399999999999999E-2</v>
      </c>
      <c r="D43" s="67">
        <v>295.92</v>
      </c>
      <c r="E43" s="68">
        <v>2021</v>
      </c>
      <c r="F43" s="68" t="s">
        <v>167</v>
      </c>
    </row>
    <row r="44" spans="2:6" x14ac:dyDescent="0.35">
      <c r="B44" s="10" t="s">
        <v>199</v>
      </c>
      <c r="C44" s="91">
        <v>8.199999999999999E-3</v>
      </c>
      <c r="D44" s="67">
        <v>211.5</v>
      </c>
      <c r="E44" s="68">
        <v>2021</v>
      </c>
      <c r="F44" s="68" t="s">
        <v>167</v>
      </c>
    </row>
    <row r="45" spans="2:6" x14ac:dyDescent="0.35">
      <c r="B45" s="10" t="s">
        <v>242</v>
      </c>
      <c r="C45" s="91">
        <v>7.4999999999999997E-3</v>
      </c>
      <c r="D45" s="67">
        <v>194.36</v>
      </c>
      <c r="E45" s="68">
        <v>2021</v>
      </c>
      <c r="F45" s="68" t="s">
        <v>167</v>
      </c>
    </row>
    <row r="46" spans="2:6" x14ac:dyDescent="0.35">
      <c r="B46" s="10" t="s">
        <v>169</v>
      </c>
      <c r="C46" s="91">
        <v>6.3E-3</v>
      </c>
      <c r="D46" s="67">
        <v>162.66999999999999</v>
      </c>
      <c r="E46" s="68">
        <v>2021</v>
      </c>
      <c r="F46" s="68" t="s">
        <v>167</v>
      </c>
    </row>
    <row r="47" spans="2:6" x14ac:dyDescent="0.35">
      <c r="B47" s="10" t="s">
        <v>264</v>
      </c>
      <c r="C47" s="91">
        <v>3.8E-3</v>
      </c>
      <c r="D47" s="67">
        <v>97.95</v>
      </c>
      <c r="E47" s="68">
        <v>2021</v>
      </c>
      <c r="F47" s="68" t="s">
        <v>167</v>
      </c>
    </row>
    <row r="48" spans="2:6" x14ac:dyDescent="0.35">
      <c r="B48" s="10" t="s">
        <v>232</v>
      </c>
      <c r="C48" s="91">
        <v>3.4999999999999996E-3</v>
      </c>
      <c r="D48" s="67">
        <v>90.2</v>
      </c>
      <c r="E48" s="68">
        <v>2021</v>
      </c>
      <c r="F48" s="68" t="s">
        <v>167</v>
      </c>
    </row>
    <row r="49" spans="2:6" x14ac:dyDescent="0.35">
      <c r="B49" s="10" t="s">
        <v>138</v>
      </c>
      <c r="C49" s="91">
        <v>3.0999999999999999E-3</v>
      </c>
      <c r="D49" s="67">
        <v>80.87</v>
      </c>
      <c r="E49" s="68">
        <v>2021</v>
      </c>
      <c r="F49" s="68" t="s">
        <v>167</v>
      </c>
    </row>
    <row r="50" spans="2:6" x14ac:dyDescent="0.35">
      <c r="B50" s="10" t="s">
        <v>160</v>
      </c>
      <c r="C50" s="91">
        <v>3.0999999999999999E-3</v>
      </c>
      <c r="D50" s="67">
        <v>80.849999999999994</v>
      </c>
      <c r="E50" s="68">
        <v>2021</v>
      </c>
      <c r="F50" s="68" t="s">
        <v>167</v>
      </c>
    </row>
    <row r="51" spans="2:6" x14ac:dyDescent="0.35">
      <c r="B51" s="10" t="s">
        <v>275</v>
      </c>
      <c r="C51" s="91">
        <v>3.0999999999999999E-3</v>
      </c>
      <c r="D51" s="67">
        <v>79.69</v>
      </c>
      <c r="E51" s="68">
        <v>2021</v>
      </c>
      <c r="F51" s="68" t="s">
        <v>167</v>
      </c>
    </row>
    <row r="52" spans="2:6" x14ac:dyDescent="0.35">
      <c r="B52" s="10" t="s">
        <v>260</v>
      </c>
      <c r="C52" s="91">
        <v>3.0000000000000001E-3</v>
      </c>
      <c r="D52" s="67">
        <v>79.040000000000006</v>
      </c>
      <c r="E52" s="68">
        <v>2021</v>
      </c>
      <c r="F52" s="68" t="s">
        <v>167</v>
      </c>
    </row>
    <row r="53" spans="2:6" x14ac:dyDescent="0.35">
      <c r="B53" s="10" t="s">
        <v>259</v>
      </c>
      <c r="C53" s="91">
        <v>3.0000000000000001E-3</v>
      </c>
      <c r="D53" s="67">
        <v>78.42</v>
      </c>
      <c r="E53" s="68">
        <v>2021</v>
      </c>
      <c r="F53" s="68" t="s">
        <v>167</v>
      </c>
    </row>
    <row r="54" spans="2:6" x14ac:dyDescent="0.35">
      <c r="B54" s="3" t="s">
        <v>565</v>
      </c>
      <c r="C54" s="91">
        <v>2.6900000000000368E-2</v>
      </c>
      <c r="D54" s="67">
        <v>697.75700180000956</v>
      </c>
      <c r="E54" s="68">
        <v>2021</v>
      </c>
      <c r="F54" s="68" t="s">
        <v>167</v>
      </c>
    </row>
    <row r="55" spans="2:6" x14ac:dyDescent="0.35">
      <c r="B55" s="65" t="s">
        <v>134</v>
      </c>
      <c r="C55" s="69">
        <f>SUM(C29:C54)</f>
        <v>1</v>
      </c>
      <c r="D55" s="70">
        <v>25938.921999999999</v>
      </c>
      <c r="E55" s="34"/>
      <c r="F55" s="34"/>
    </row>
    <row r="57" spans="2:6" x14ac:dyDescent="0.35">
      <c r="B57" s="96" t="s">
        <v>723</v>
      </c>
      <c r="D57" s="11"/>
    </row>
    <row r="60" spans="2:6" x14ac:dyDescent="0.35">
      <c r="B60" s="2" t="s">
        <v>536</v>
      </c>
    </row>
    <row r="62" spans="2:6" x14ac:dyDescent="0.35">
      <c r="B62" s="4" t="s">
        <v>538</v>
      </c>
      <c r="C62" s="64" t="s">
        <v>548</v>
      </c>
      <c r="D62" s="74" t="s">
        <v>537</v>
      </c>
      <c r="E62" s="74" t="s">
        <v>549</v>
      </c>
      <c r="F62" s="74" t="s">
        <v>127</v>
      </c>
    </row>
    <row r="63" spans="2:6" x14ac:dyDescent="0.35">
      <c r="B63" s="73" t="s">
        <v>720</v>
      </c>
      <c r="C63" s="92">
        <v>672.13</v>
      </c>
      <c r="D63" s="75" t="s">
        <v>747</v>
      </c>
      <c r="E63" s="75" t="s">
        <v>580</v>
      </c>
      <c r="F63" s="76" t="s">
        <v>721</v>
      </c>
    </row>
    <row r="64" spans="2:6" x14ac:dyDescent="0.35">
      <c r="F64"/>
    </row>
    <row r="65" spans="2:6" ht="15" thickBot="1" x14ac:dyDescent="0.4">
      <c r="F65"/>
    </row>
    <row r="66" spans="2:6" x14ac:dyDescent="0.35">
      <c r="B66" s="35" t="s">
        <v>490</v>
      </c>
      <c r="C66" s="81"/>
      <c r="D66" s="82"/>
      <c r="E66" s="83"/>
      <c r="F66"/>
    </row>
    <row r="67" spans="2:6" x14ac:dyDescent="0.35">
      <c r="B67" s="84"/>
      <c r="E67" s="85"/>
      <c r="F67"/>
    </row>
    <row r="68" spans="2:6" x14ac:dyDescent="0.35">
      <c r="B68" s="86" t="s">
        <v>552</v>
      </c>
      <c r="E68" s="85"/>
      <c r="F68"/>
    </row>
    <row r="69" spans="2:6" x14ac:dyDescent="0.35">
      <c r="B69" s="86" t="s">
        <v>722</v>
      </c>
      <c r="E69" s="85"/>
    </row>
    <row r="70" spans="2:6" ht="15" thickBot="1" x14ac:dyDescent="0.4">
      <c r="B70" s="87" t="s">
        <v>551</v>
      </c>
      <c r="C70" s="88"/>
      <c r="D70" s="89"/>
      <c r="E70" s="9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6651-D138-4069-AB59-ED301C6FF460}">
  <sheetPr>
    <tabColor theme="4" tint="0.59999389629810485"/>
  </sheetPr>
  <dimension ref="B1:H58"/>
  <sheetViews>
    <sheetView showGridLines="0" topLeftCell="A45" zoomScaleNormal="100" workbookViewId="0">
      <selection activeCell="F49" sqref="F49:F50"/>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350</v>
      </c>
      <c r="C5" s="80">
        <v>0.47</v>
      </c>
      <c r="D5" s="50" t="s">
        <v>572</v>
      </c>
      <c r="E5" s="50" t="s">
        <v>677</v>
      </c>
      <c r="F5"/>
    </row>
    <row r="6" spans="2:6" x14ac:dyDescent="0.35">
      <c r="B6" s="3" t="s">
        <v>349</v>
      </c>
      <c r="C6" s="80">
        <v>0.24</v>
      </c>
      <c r="D6" s="50" t="s">
        <v>572</v>
      </c>
      <c r="E6" s="50" t="s">
        <v>677</v>
      </c>
      <c r="F6"/>
    </row>
    <row r="7" spans="2:6" x14ac:dyDescent="0.35">
      <c r="B7" s="3" t="s">
        <v>353</v>
      </c>
      <c r="C7" s="80">
        <v>0.17</v>
      </c>
      <c r="D7" s="50" t="s">
        <v>572</v>
      </c>
      <c r="E7" s="50" t="s">
        <v>677</v>
      </c>
      <c r="F7"/>
    </row>
    <row r="8" spans="2:6" x14ac:dyDescent="0.35">
      <c r="B8" s="3" t="s">
        <v>351</v>
      </c>
      <c r="C8" s="80">
        <v>0.1</v>
      </c>
      <c r="D8" s="50" t="s">
        <v>572</v>
      </c>
      <c r="E8" s="50" t="s">
        <v>677</v>
      </c>
      <c r="F8"/>
    </row>
    <row r="9" spans="2:6" x14ac:dyDescent="0.35">
      <c r="B9" s="3" t="s">
        <v>352</v>
      </c>
      <c r="C9" s="80">
        <v>0.02</v>
      </c>
      <c r="D9" s="50" t="s">
        <v>572</v>
      </c>
      <c r="E9" s="50" t="s">
        <v>677</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x14ac:dyDescent="0.35">
      <c r="B16" s="3" t="s">
        <v>88</v>
      </c>
      <c r="C16" s="50">
        <v>720293</v>
      </c>
      <c r="D16"/>
    </row>
    <row r="17" spans="2:6" ht="58" x14ac:dyDescent="0.35">
      <c r="B17" s="3" t="s">
        <v>36</v>
      </c>
      <c r="C17" s="50">
        <v>811292</v>
      </c>
      <c r="D17"/>
    </row>
    <row r="18" spans="2:6" ht="58" x14ac:dyDescent="0.35">
      <c r="B18" s="3" t="s">
        <v>37</v>
      </c>
      <c r="C18" s="50">
        <v>811299</v>
      </c>
      <c r="D18"/>
    </row>
    <row r="21" spans="2:6" x14ac:dyDescent="0.35">
      <c r="B21" s="63" t="s">
        <v>534</v>
      </c>
    </row>
    <row r="23" spans="2:6" x14ac:dyDescent="0.35">
      <c r="B23" s="4" t="s">
        <v>531</v>
      </c>
      <c r="C23" s="64" t="s">
        <v>541</v>
      </c>
      <c r="D23" s="66" t="s">
        <v>706</v>
      </c>
      <c r="E23" s="64" t="s">
        <v>162</v>
      </c>
      <c r="F23" s="64" t="s">
        <v>127</v>
      </c>
    </row>
    <row r="24" spans="2:6" x14ac:dyDescent="0.35">
      <c r="B24" s="10" t="s">
        <v>138</v>
      </c>
      <c r="C24" s="91">
        <v>0.92500000000000004</v>
      </c>
      <c r="D24" s="67">
        <v>112755</v>
      </c>
      <c r="E24" s="68">
        <v>2021</v>
      </c>
      <c r="F24" s="68" t="s">
        <v>167</v>
      </c>
    </row>
    <row r="25" spans="2:6" x14ac:dyDescent="0.35">
      <c r="B25" s="10" t="s">
        <v>150</v>
      </c>
      <c r="C25" s="91">
        <v>6.2800000000000009E-2</v>
      </c>
      <c r="D25" s="67">
        <v>7650</v>
      </c>
      <c r="E25" s="68">
        <v>2021</v>
      </c>
      <c r="F25" s="68" t="s">
        <v>167</v>
      </c>
    </row>
    <row r="26" spans="2:6" x14ac:dyDescent="0.35">
      <c r="B26" s="10" t="s">
        <v>141</v>
      </c>
      <c r="C26" s="91">
        <v>5.3E-3</v>
      </c>
      <c r="D26" s="67">
        <v>648</v>
      </c>
      <c r="E26" s="68">
        <v>2021</v>
      </c>
      <c r="F26" s="68" t="s">
        <v>167</v>
      </c>
    </row>
    <row r="27" spans="2:6" x14ac:dyDescent="0.35">
      <c r="B27" s="10" t="s">
        <v>244</v>
      </c>
      <c r="C27" s="91">
        <v>3.9000000000000003E-3</v>
      </c>
      <c r="D27" s="67">
        <v>475</v>
      </c>
      <c r="E27" s="68">
        <v>2021</v>
      </c>
      <c r="F27" s="68" t="s">
        <v>167</v>
      </c>
    </row>
    <row r="28" spans="2:6" x14ac:dyDescent="0.35">
      <c r="B28" s="10" t="s">
        <v>192</v>
      </c>
      <c r="C28" s="91">
        <v>1.2999999999999999E-3</v>
      </c>
      <c r="D28" s="67">
        <v>160</v>
      </c>
      <c r="E28" s="68">
        <v>2021</v>
      </c>
      <c r="F28" s="68" t="s">
        <v>167</v>
      </c>
    </row>
    <row r="29" spans="2:6" x14ac:dyDescent="0.35">
      <c r="B29" s="10" t="s">
        <v>319</v>
      </c>
      <c r="C29" s="91">
        <v>1.1000000000000001E-3</v>
      </c>
      <c r="D29" s="67">
        <v>140</v>
      </c>
      <c r="E29" s="68">
        <v>2021</v>
      </c>
      <c r="F29" s="68" t="s">
        <v>167</v>
      </c>
    </row>
    <row r="30" spans="2:6" x14ac:dyDescent="0.35">
      <c r="B30" s="10" t="s">
        <v>137</v>
      </c>
      <c r="C30" s="91">
        <v>2.0000000000000001E-4</v>
      </c>
      <c r="D30" s="67">
        <v>30</v>
      </c>
      <c r="E30" s="68">
        <v>2021</v>
      </c>
      <c r="F30" s="68" t="s">
        <v>167</v>
      </c>
    </row>
    <row r="31" spans="2:6" x14ac:dyDescent="0.35">
      <c r="B31" s="10" t="s">
        <v>238</v>
      </c>
      <c r="C31" s="91">
        <v>1E-4</v>
      </c>
      <c r="D31" s="67">
        <v>18</v>
      </c>
      <c r="E31" s="68">
        <v>2021</v>
      </c>
      <c r="F31" s="68" t="s">
        <v>167</v>
      </c>
    </row>
    <row r="32" spans="2:6" x14ac:dyDescent="0.35">
      <c r="B32" s="10" t="s">
        <v>189</v>
      </c>
      <c r="C32" s="91">
        <v>1E-4</v>
      </c>
      <c r="D32" s="67">
        <v>14</v>
      </c>
      <c r="E32" s="68">
        <v>2021</v>
      </c>
      <c r="F32" s="68" t="s">
        <v>167</v>
      </c>
    </row>
    <row r="33" spans="2:8" x14ac:dyDescent="0.35">
      <c r="B33" s="10" t="s">
        <v>354</v>
      </c>
      <c r="C33" s="91">
        <v>1E-4</v>
      </c>
      <c r="D33" s="67">
        <v>10</v>
      </c>
      <c r="E33" s="68">
        <v>2021</v>
      </c>
      <c r="F33" s="68" t="s">
        <v>167</v>
      </c>
    </row>
    <row r="34" spans="2:8" x14ac:dyDescent="0.35">
      <c r="B34" s="10" t="s">
        <v>190</v>
      </c>
      <c r="C34" s="91">
        <v>0</v>
      </c>
      <c r="D34" s="67">
        <v>2</v>
      </c>
      <c r="E34" s="68">
        <v>2021</v>
      </c>
      <c r="F34" s="68" t="s">
        <v>167</v>
      </c>
    </row>
    <row r="35" spans="2:8" x14ac:dyDescent="0.35">
      <c r="B35" s="65" t="s">
        <v>134</v>
      </c>
      <c r="C35" s="69">
        <f>SUM(C24:C34)</f>
        <v>0.9998999999999999</v>
      </c>
      <c r="D35" s="70">
        <f>SUM(D24:D34)</f>
        <v>121902</v>
      </c>
      <c r="E35" s="34"/>
      <c r="F35" s="34"/>
    </row>
    <row r="38" spans="2:8" x14ac:dyDescent="0.35">
      <c r="B38" s="4" t="s">
        <v>535</v>
      </c>
      <c r="C38" s="64" t="s">
        <v>541</v>
      </c>
      <c r="D38" s="66" t="s">
        <v>707</v>
      </c>
      <c r="E38" s="64" t="s">
        <v>162</v>
      </c>
      <c r="F38" s="64" t="s">
        <v>127</v>
      </c>
    </row>
    <row r="39" spans="2:8" x14ac:dyDescent="0.35">
      <c r="B39" s="3" t="s">
        <v>355</v>
      </c>
      <c r="C39" s="80">
        <v>0.88800000000000001</v>
      </c>
      <c r="D39" s="71">
        <v>36786.288</v>
      </c>
      <c r="E39" s="50" t="s">
        <v>129</v>
      </c>
      <c r="F39" s="68" t="s">
        <v>556</v>
      </c>
      <c r="G39" s="13"/>
      <c r="H39" s="13"/>
    </row>
    <row r="40" spans="2:8" x14ac:dyDescent="0.35">
      <c r="B40" s="3" t="s">
        <v>356</v>
      </c>
      <c r="C40" s="80">
        <v>0.11199999999999999</v>
      </c>
      <c r="D40" s="71">
        <v>4639.7119999999995</v>
      </c>
      <c r="E40" s="50" t="s">
        <v>129</v>
      </c>
      <c r="F40" s="68" t="s">
        <v>556</v>
      </c>
      <c r="H40" s="13"/>
    </row>
    <row r="41" spans="2:8" x14ac:dyDescent="0.35">
      <c r="B41" s="65" t="s">
        <v>134</v>
      </c>
      <c r="C41" s="69">
        <f>SUM(C39:C40)</f>
        <v>1</v>
      </c>
      <c r="D41" s="72">
        <f>SUM(D39:D40)</f>
        <v>41426</v>
      </c>
      <c r="E41" s="34"/>
      <c r="F41" s="34"/>
    </row>
    <row r="42" spans="2:8" x14ac:dyDescent="0.35">
      <c r="D42" s="11"/>
    </row>
    <row r="43" spans="2:8" x14ac:dyDescent="0.35">
      <c r="B43" s="77" t="s">
        <v>558</v>
      </c>
      <c r="D43" s="11"/>
    </row>
    <row r="46" spans="2:8" x14ac:dyDescent="0.35">
      <c r="B46" s="2" t="s">
        <v>536</v>
      </c>
    </row>
    <row r="48" spans="2:8" x14ac:dyDescent="0.35">
      <c r="B48" s="4" t="s">
        <v>538</v>
      </c>
      <c r="C48" s="64" t="s">
        <v>548</v>
      </c>
      <c r="D48" s="74" t="s">
        <v>537</v>
      </c>
      <c r="E48" s="74" t="s">
        <v>549</v>
      </c>
      <c r="F48" s="74" t="s">
        <v>127</v>
      </c>
    </row>
    <row r="49" spans="2:6" ht="29" x14ac:dyDescent="0.35">
      <c r="B49" s="73" t="s">
        <v>88</v>
      </c>
      <c r="C49" s="92">
        <v>42.84</v>
      </c>
      <c r="D49" s="75" t="s">
        <v>708</v>
      </c>
      <c r="E49" s="75" t="s">
        <v>580</v>
      </c>
      <c r="F49" s="76" t="s">
        <v>553</v>
      </c>
    </row>
    <row r="50" spans="2:6" ht="58" x14ac:dyDescent="0.35">
      <c r="B50" s="73" t="s">
        <v>37</v>
      </c>
      <c r="C50" s="92">
        <v>78.78</v>
      </c>
      <c r="D50" s="75" t="s">
        <v>709</v>
      </c>
      <c r="E50" s="75" t="s">
        <v>710</v>
      </c>
      <c r="F50" s="76" t="s">
        <v>553</v>
      </c>
    </row>
    <row r="51" spans="2:6" x14ac:dyDescent="0.35">
      <c r="F51"/>
    </row>
    <row r="52" spans="2:6" ht="15" thickBot="1" x14ac:dyDescent="0.4">
      <c r="F52"/>
    </row>
    <row r="53" spans="2:6" x14ac:dyDescent="0.35">
      <c r="B53" s="35" t="s">
        <v>490</v>
      </c>
      <c r="C53" s="81"/>
      <c r="D53" s="82"/>
      <c r="E53" s="83"/>
      <c r="F53"/>
    </row>
    <row r="54" spans="2:6" x14ac:dyDescent="0.35">
      <c r="B54" s="84"/>
      <c r="E54" s="85"/>
      <c r="F54"/>
    </row>
    <row r="55" spans="2:6" x14ac:dyDescent="0.35">
      <c r="B55" s="86" t="s">
        <v>554</v>
      </c>
      <c r="E55" s="85"/>
    </row>
    <row r="56" spans="2:6" x14ac:dyDescent="0.35">
      <c r="B56" s="86" t="s">
        <v>552</v>
      </c>
      <c r="E56" s="85"/>
    </row>
    <row r="57" spans="2:6" x14ac:dyDescent="0.35">
      <c r="B57" s="86" t="s">
        <v>788</v>
      </c>
      <c r="E57" s="85"/>
    </row>
    <row r="58" spans="2:6" ht="15" thickBot="1" x14ac:dyDescent="0.4">
      <c r="B58" s="87" t="s">
        <v>551</v>
      </c>
      <c r="C58" s="88"/>
      <c r="D58" s="89"/>
      <c r="E58" s="90"/>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E907-3276-4624-B77E-81777ADFF1AC}">
  <sheetPr>
    <tabColor theme="4" tint="0.59999389629810485"/>
  </sheetPr>
  <dimension ref="B1:F53"/>
  <sheetViews>
    <sheetView showGridLines="0" topLeftCell="A38" zoomScaleNormal="100" workbookViewId="0">
      <selection activeCell="E46" sqref="E46"/>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213</v>
      </c>
      <c r="C5" s="80">
        <v>0.91</v>
      </c>
      <c r="D5" s="50" t="s">
        <v>129</v>
      </c>
      <c r="E5" s="50" t="s">
        <v>556</v>
      </c>
      <c r="F5"/>
    </row>
    <row r="6" spans="2:6" x14ac:dyDescent="0.35">
      <c r="B6" s="3" t="s">
        <v>214</v>
      </c>
      <c r="C6" s="80">
        <v>0.05</v>
      </c>
      <c r="D6" s="50" t="s">
        <v>129</v>
      </c>
      <c r="E6" s="50" t="s">
        <v>556</v>
      </c>
      <c r="F6"/>
    </row>
    <row r="7" spans="2:6" x14ac:dyDescent="0.35">
      <c r="B7" s="3" t="s">
        <v>215</v>
      </c>
      <c r="C7" s="80">
        <v>0.03</v>
      </c>
      <c r="D7" s="50" t="s">
        <v>129</v>
      </c>
      <c r="E7" s="50" t="s">
        <v>556</v>
      </c>
      <c r="F7"/>
    </row>
    <row r="8" spans="2:6" x14ac:dyDescent="0.35">
      <c r="B8" s="3" t="s">
        <v>216</v>
      </c>
      <c r="C8" s="80">
        <v>0.01</v>
      </c>
      <c r="D8" s="50" t="s">
        <v>129</v>
      </c>
      <c r="E8" s="50" t="s">
        <v>556</v>
      </c>
      <c r="F8"/>
    </row>
    <row r="9" spans="2:6" x14ac:dyDescent="0.35">
      <c r="B9" s="65" t="s">
        <v>134</v>
      </c>
      <c r="C9" s="79">
        <f>SUM(C5:C8)</f>
        <v>1</v>
      </c>
      <c r="D9" s="9"/>
      <c r="E9" s="5"/>
      <c r="F9" s="5"/>
    </row>
    <row r="12" spans="2:6" x14ac:dyDescent="0.35">
      <c r="B12" s="63" t="s">
        <v>533</v>
      </c>
    </row>
    <row r="14" spans="2:6" x14ac:dyDescent="0.35">
      <c r="B14" s="4" t="s">
        <v>532</v>
      </c>
      <c r="C14" s="64" t="s">
        <v>0</v>
      </c>
      <c r="D14"/>
    </row>
    <row r="15" spans="2:6" x14ac:dyDescent="0.35">
      <c r="B15" s="3" t="s">
        <v>25</v>
      </c>
      <c r="C15" s="50">
        <v>810720</v>
      </c>
      <c r="D15"/>
    </row>
    <row r="18" spans="2:6" x14ac:dyDescent="0.35">
      <c r="B18" s="63" t="s">
        <v>534</v>
      </c>
    </row>
    <row r="20" spans="2:6" x14ac:dyDescent="0.35">
      <c r="B20" s="4" t="s">
        <v>535</v>
      </c>
      <c r="C20" s="64" t="s">
        <v>541</v>
      </c>
      <c r="D20" s="66" t="s">
        <v>724</v>
      </c>
      <c r="E20" s="64" t="s">
        <v>162</v>
      </c>
      <c r="F20" s="64" t="s">
        <v>127</v>
      </c>
    </row>
    <row r="21" spans="2:6" x14ac:dyDescent="0.35">
      <c r="B21" s="3" t="s">
        <v>137</v>
      </c>
      <c r="C21" s="80">
        <v>0.40371417036737989</v>
      </c>
      <c r="D21" s="71">
        <v>10000</v>
      </c>
      <c r="E21" s="68">
        <v>2021</v>
      </c>
      <c r="F21" s="68" t="s">
        <v>167</v>
      </c>
    </row>
    <row r="22" spans="2:6" x14ac:dyDescent="0.35">
      <c r="B22" s="3" t="s">
        <v>217</v>
      </c>
      <c r="C22" s="80">
        <v>0.16148566814695195</v>
      </c>
      <c r="D22" s="71">
        <v>4000</v>
      </c>
      <c r="E22" s="68">
        <v>2021</v>
      </c>
      <c r="F22" s="68" t="s">
        <v>167</v>
      </c>
    </row>
    <row r="23" spans="2:6" x14ac:dyDescent="0.35">
      <c r="B23" s="3" t="s">
        <v>181</v>
      </c>
      <c r="C23" s="80">
        <v>7.6705692369802181E-2</v>
      </c>
      <c r="D23" s="71">
        <v>1900</v>
      </c>
      <c r="E23" s="68">
        <v>2021</v>
      </c>
      <c r="F23" s="68" t="s">
        <v>167</v>
      </c>
    </row>
    <row r="24" spans="2:6" x14ac:dyDescent="0.35">
      <c r="B24" s="3" t="s">
        <v>150</v>
      </c>
      <c r="C24" s="80">
        <v>7.2668550666128387E-2</v>
      </c>
      <c r="D24" s="71">
        <v>1800</v>
      </c>
      <c r="E24" s="68">
        <v>2021</v>
      </c>
      <c r="F24" s="68" t="s">
        <v>167</v>
      </c>
    </row>
    <row r="25" spans="2:6" x14ac:dyDescent="0.35">
      <c r="B25" s="3" t="s">
        <v>144</v>
      </c>
      <c r="C25" s="80">
        <v>6.0557125555106985E-2</v>
      </c>
      <c r="D25" s="71">
        <v>1500</v>
      </c>
      <c r="E25" s="68">
        <v>2021</v>
      </c>
      <c r="F25" s="68" t="s">
        <v>167</v>
      </c>
    </row>
    <row r="26" spans="2:6" x14ac:dyDescent="0.35">
      <c r="B26" s="3" t="s">
        <v>173</v>
      </c>
      <c r="C26" s="80">
        <v>4.2430359305611627E-2</v>
      </c>
      <c r="D26" s="71">
        <v>1051</v>
      </c>
      <c r="E26" s="68">
        <v>2021</v>
      </c>
      <c r="F26" s="68" t="s">
        <v>167</v>
      </c>
    </row>
    <row r="27" spans="2:6" x14ac:dyDescent="0.35">
      <c r="B27" s="3" t="s">
        <v>141</v>
      </c>
      <c r="C27" s="80">
        <v>4.0371417036737987E-2</v>
      </c>
      <c r="D27" s="71">
        <v>1000</v>
      </c>
      <c r="E27" s="68">
        <v>2021</v>
      </c>
      <c r="F27" s="68" t="s">
        <v>167</v>
      </c>
    </row>
    <row r="28" spans="2:6" x14ac:dyDescent="0.35">
      <c r="B28" s="3" t="s">
        <v>218</v>
      </c>
      <c r="C28" s="80">
        <v>3.447719014937424E-2</v>
      </c>
      <c r="D28" s="71">
        <v>854</v>
      </c>
      <c r="E28" s="68">
        <v>2021</v>
      </c>
      <c r="F28" s="68" t="s">
        <v>167</v>
      </c>
    </row>
    <row r="29" spans="2:6" x14ac:dyDescent="0.35">
      <c r="B29" s="3" t="s">
        <v>199</v>
      </c>
      <c r="C29" s="80">
        <v>1.8974566007266856E-2</v>
      </c>
      <c r="D29" s="71">
        <v>470</v>
      </c>
      <c r="E29" s="68">
        <v>2021</v>
      </c>
      <c r="F29" s="68" t="s">
        <v>167</v>
      </c>
    </row>
    <row r="30" spans="2:6" x14ac:dyDescent="0.35">
      <c r="B30" s="3" t="s">
        <v>211</v>
      </c>
      <c r="C30" s="80">
        <v>1.8167137666532097E-2</v>
      </c>
      <c r="D30" s="71">
        <v>450</v>
      </c>
      <c r="E30" s="68">
        <v>2021</v>
      </c>
      <c r="F30" s="68" t="s">
        <v>167</v>
      </c>
    </row>
    <row r="31" spans="2:6" x14ac:dyDescent="0.35">
      <c r="B31" s="3" t="s">
        <v>153</v>
      </c>
      <c r="C31" s="80">
        <v>1.5744852644327817E-2</v>
      </c>
      <c r="D31" s="71">
        <v>390</v>
      </c>
      <c r="E31" s="68">
        <v>2021</v>
      </c>
      <c r="F31" s="68" t="s">
        <v>167</v>
      </c>
    </row>
    <row r="32" spans="2:6" x14ac:dyDescent="0.35">
      <c r="B32" s="3" t="s">
        <v>219</v>
      </c>
      <c r="C32" s="80">
        <v>1.3847396043601131E-2</v>
      </c>
      <c r="D32" s="71">
        <v>343</v>
      </c>
      <c r="E32" s="68">
        <v>2021</v>
      </c>
      <c r="F32" s="68" t="s">
        <v>167</v>
      </c>
    </row>
    <row r="33" spans="2:6" x14ac:dyDescent="0.35">
      <c r="B33" s="3" t="s">
        <v>220</v>
      </c>
      <c r="C33" s="80">
        <v>1.1788453774727493E-2</v>
      </c>
      <c r="D33" s="71">
        <v>292</v>
      </c>
      <c r="E33" s="68">
        <v>2021</v>
      </c>
      <c r="F33" s="68" t="s">
        <v>167</v>
      </c>
    </row>
    <row r="34" spans="2:6" x14ac:dyDescent="0.35">
      <c r="B34" s="3" t="s">
        <v>198</v>
      </c>
      <c r="C34" s="80">
        <v>1.1263625353249899E-2</v>
      </c>
      <c r="D34" s="71">
        <v>279</v>
      </c>
      <c r="E34" s="68">
        <v>2021</v>
      </c>
      <c r="F34" s="68" t="s">
        <v>167</v>
      </c>
    </row>
    <row r="35" spans="2:6" x14ac:dyDescent="0.35">
      <c r="B35" s="3" t="s">
        <v>154</v>
      </c>
      <c r="C35" s="80">
        <v>9.729511505853855E-3</v>
      </c>
      <c r="D35" s="71">
        <v>241</v>
      </c>
      <c r="E35" s="68">
        <v>2021</v>
      </c>
      <c r="F35" s="68" t="s">
        <v>167</v>
      </c>
    </row>
    <row r="36" spans="2:6" x14ac:dyDescent="0.35">
      <c r="B36" s="3" t="s">
        <v>221</v>
      </c>
      <c r="C36" s="80">
        <v>6.0557125555106986E-3</v>
      </c>
      <c r="D36" s="71">
        <v>150</v>
      </c>
      <c r="E36" s="68">
        <v>2021</v>
      </c>
      <c r="F36" s="68" t="s">
        <v>167</v>
      </c>
    </row>
    <row r="37" spans="2:6" x14ac:dyDescent="0.35">
      <c r="B37" s="3" t="s">
        <v>138</v>
      </c>
      <c r="C37" s="80">
        <v>2.0185708518368995E-3</v>
      </c>
      <c r="D37" s="71">
        <v>50</v>
      </c>
      <c r="E37" s="68">
        <v>2021</v>
      </c>
      <c r="F37" s="68" t="s">
        <v>167</v>
      </c>
    </row>
    <row r="38" spans="2:6" x14ac:dyDescent="0.35">
      <c r="B38" s="65" t="s">
        <v>134</v>
      </c>
      <c r="C38" s="69">
        <f>SUM(C21:C37)</f>
        <v>1</v>
      </c>
      <c r="D38" s="72">
        <f>SUM(D21:D37)</f>
        <v>24770</v>
      </c>
      <c r="E38" s="34"/>
      <c r="F38" s="34"/>
    </row>
    <row r="39" spans="2:6" x14ac:dyDescent="0.35">
      <c r="D39" s="11"/>
    </row>
    <row r="40" spans="2:6" x14ac:dyDescent="0.35">
      <c r="B40" s="96" t="s">
        <v>725</v>
      </c>
      <c r="D40" s="11"/>
    </row>
    <row r="43" spans="2:6" x14ac:dyDescent="0.35">
      <c r="B43" s="2" t="s">
        <v>536</v>
      </c>
    </row>
    <row r="45" spans="2:6" x14ac:dyDescent="0.35">
      <c r="B45" s="4" t="s">
        <v>538</v>
      </c>
      <c r="C45" s="64" t="s">
        <v>548</v>
      </c>
      <c r="D45" s="74" t="s">
        <v>537</v>
      </c>
      <c r="E45" s="74" t="s">
        <v>549</v>
      </c>
      <c r="F45" s="74" t="s">
        <v>127</v>
      </c>
    </row>
    <row r="46" spans="2:6" ht="29" x14ac:dyDescent="0.35">
      <c r="B46" s="73" t="s">
        <v>25</v>
      </c>
      <c r="C46" s="92">
        <v>2.353155582830301</v>
      </c>
      <c r="D46" s="75" t="s">
        <v>726</v>
      </c>
      <c r="E46" s="75" t="s">
        <v>580</v>
      </c>
      <c r="F46" s="76" t="s">
        <v>553</v>
      </c>
    </row>
    <row r="47" spans="2:6" x14ac:dyDescent="0.35">
      <c r="F47"/>
    </row>
    <row r="48" spans="2:6" ht="15" thickBot="1" x14ac:dyDescent="0.4">
      <c r="F48"/>
    </row>
    <row r="49" spans="2:6" x14ac:dyDescent="0.35">
      <c r="B49" s="35" t="s">
        <v>490</v>
      </c>
      <c r="C49" s="81"/>
      <c r="D49" s="93"/>
      <c r="F49"/>
    </row>
    <row r="50" spans="2:6" x14ac:dyDescent="0.35">
      <c r="B50" s="84"/>
      <c r="D50" s="94"/>
      <c r="F50"/>
    </row>
    <row r="51" spans="2:6" x14ac:dyDescent="0.35">
      <c r="B51" s="86" t="s">
        <v>554</v>
      </c>
      <c r="D51" s="94"/>
    </row>
    <row r="52" spans="2:6" x14ac:dyDescent="0.35">
      <c r="B52" s="86" t="s">
        <v>552</v>
      </c>
      <c r="D52" s="94"/>
    </row>
    <row r="53" spans="2:6" ht="15" thickBot="1" x14ac:dyDescent="0.4">
      <c r="B53" s="87" t="s">
        <v>551</v>
      </c>
      <c r="C53" s="88"/>
      <c r="D53" s="9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3BCA3-ADCC-4AEA-AE0F-9CADC7642F3A}">
  <sheetPr>
    <tabColor theme="4" tint="0.59999389629810485"/>
  </sheetPr>
  <dimension ref="B1:F51"/>
  <sheetViews>
    <sheetView showGridLines="0" zoomScaleNormal="100" workbookViewId="0">
      <selection activeCell="C35" sqref="C35"/>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300</v>
      </c>
      <c r="C5" s="80">
        <v>0.25</v>
      </c>
      <c r="D5" s="50" t="s">
        <v>129</v>
      </c>
      <c r="E5" s="50" t="s">
        <v>556</v>
      </c>
      <c r="F5"/>
    </row>
    <row r="6" spans="2:6" x14ac:dyDescent="0.35">
      <c r="B6" s="3" t="s">
        <v>301</v>
      </c>
      <c r="C6" s="80">
        <v>0.2</v>
      </c>
      <c r="D6" s="50" t="s">
        <v>129</v>
      </c>
      <c r="E6" s="50" t="s">
        <v>556</v>
      </c>
      <c r="F6"/>
    </row>
    <row r="7" spans="2:6" x14ac:dyDescent="0.35">
      <c r="B7" s="3" t="s">
        <v>302</v>
      </c>
      <c r="C7" s="80">
        <v>0.15</v>
      </c>
      <c r="D7" s="50" t="s">
        <v>129</v>
      </c>
      <c r="E7" s="50" t="s">
        <v>556</v>
      </c>
      <c r="F7"/>
    </row>
    <row r="8" spans="2:6" x14ac:dyDescent="0.35">
      <c r="B8" s="3" t="s">
        <v>303</v>
      </c>
      <c r="C8" s="80">
        <v>0.08</v>
      </c>
      <c r="D8" s="50" t="s">
        <v>129</v>
      </c>
      <c r="E8" s="50" t="s">
        <v>556</v>
      </c>
      <c r="F8"/>
    </row>
    <row r="9" spans="2:6" x14ac:dyDescent="0.35">
      <c r="B9" s="3" t="s">
        <v>304</v>
      </c>
      <c r="C9" s="80">
        <v>7.0000000000000007E-2</v>
      </c>
      <c r="D9" s="50" t="s">
        <v>129</v>
      </c>
      <c r="E9" s="50" t="s">
        <v>556</v>
      </c>
      <c r="F9"/>
    </row>
    <row r="10" spans="2:6" x14ac:dyDescent="0.35">
      <c r="B10" s="3" t="s">
        <v>305</v>
      </c>
      <c r="C10" s="80">
        <v>0.05</v>
      </c>
      <c r="D10" s="50" t="s">
        <v>129</v>
      </c>
      <c r="E10" s="50" t="s">
        <v>556</v>
      </c>
      <c r="F10"/>
    </row>
    <row r="11" spans="2:6" x14ac:dyDescent="0.35">
      <c r="B11" s="3" t="s">
        <v>306</v>
      </c>
      <c r="C11" s="80">
        <v>5.0000000000000001E-3</v>
      </c>
      <c r="D11" s="50" t="s">
        <v>129</v>
      </c>
      <c r="E11" s="50" t="s">
        <v>556</v>
      </c>
      <c r="F11"/>
    </row>
    <row r="12" spans="2:6" x14ac:dyDescent="0.35">
      <c r="B12" s="3" t="s">
        <v>174</v>
      </c>
      <c r="C12" s="80">
        <f>1-SUM(C5:C11)</f>
        <v>0.19499999999999995</v>
      </c>
      <c r="D12" s="50" t="s">
        <v>129</v>
      </c>
      <c r="E12" s="50" t="s">
        <v>556</v>
      </c>
      <c r="F12"/>
    </row>
    <row r="13" spans="2:6" x14ac:dyDescent="0.35">
      <c r="B13" s="65" t="s">
        <v>134</v>
      </c>
      <c r="C13" s="79">
        <f>SUM(C5:C12)</f>
        <v>1</v>
      </c>
      <c r="D13" s="9"/>
      <c r="E13" s="5"/>
      <c r="F13" s="5"/>
    </row>
    <row r="16" spans="2:6" x14ac:dyDescent="0.35">
      <c r="B16" s="63" t="s">
        <v>533</v>
      </c>
    </row>
    <row r="18" spans="2:6" x14ac:dyDescent="0.35">
      <c r="B18" s="4" t="s">
        <v>532</v>
      </c>
      <c r="C18" s="64" t="s">
        <v>0</v>
      </c>
      <c r="D18"/>
    </row>
    <row r="19" spans="2:6" ht="58" x14ac:dyDescent="0.35">
      <c r="B19" s="3" t="s">
        <v>36</v>
      </c>
      <c r="C19" s="50">
        <v>811292</v>
      </c>
      <c r="D19"/>
    </row>
    <row r="20" spans="2:6" ht="58" x14ac:dyDescent="0.35">
      <c r="B20" s="3" t="s">
        <v>37</v>
      </c>
      <c r="C20" s="50">
        <v>811299</v>
      </c>
      <c r="D20"/>
    </row>
    <row r="23" spans="2:6" x14ac:dyDescent="0.35">
      <c r="B23" s="63" t="s">
        <v>534</v>
      </c>
    </row>
    <row r="25" spans="2:6" x14ac:dyDescent="0.35">
      <c r="B25" s="4" t="s">
        <v>535</v>
      </c>
      <c r="C25" s="64" t="s">
        <v>541</v>
      </c>
      <c r="D25" s="66" t="s">
        <v>727</v>
      </c>
      <c r="E25" s="64" t="s">
        <v>162</v>
      </c>
      <c r="F25" s="64" t="s">
        <v>127</v>
      </c>
    </row>
    <row r="26" spans="2:6" x14ac:dyDescent="0.35">
      <c r="B26" s="3" t="s">
        <v>137</v>
      </c>
      <c r="C26" s="80">
        <v>0.58887677208287892</v>
      </c>
      <c r="D26" s="71">
        <v>540</v>
      </c>
      <c r="E26" s="68">
        <v>2021</v>
      </c>
      <c r="F26" s="68" t="s">
        <v>167</v>
      </c>
    </row>
    <row r="27" spans="2:6" x14ac:dyDescent="0.35">
      <c r="B27" s="3" t="s">
        <v>180</v>
      </c>
      <c r="C27" s="80">
        <v>0.20719738276990185</v>
      </c>
      <c r="D27" s="71">
        <v>190</v>
      </c>
      <c r="E27" s="68">
        <v>2021</v>
      </c>
      <c r="F27" s="68" t="s">
        <v>167</v>
      </c>
    </row>
    <row r="28" spans="2:6" x14ac:dyDescent="0.35">
      <c r="B28" s="3" t="s">
        <v>181</v>
      </c>
      <c r="C28" s="80">
        <v>7.1973827699018542E-2</v>
      </c>
      <c r="D28" s="71">
        <v>66</v>
      </c>
      <c r="E28" s="68">
        <v>2021</v>
      </c>
      <c r="F28" s="68" t="s">
        <v>167</v>
      </c>
    </row>
    <row r="29" spans="2:6" x14ac:dyDescent="0.35">
      <c r="B29" s="3" t="s">
        <v>150</v>
      </c>
      <c r="C29" s="80">
        <v>4.7982551799345692E-2</v>
      </c>
      <c r="D29" s="71">
        <v>44</v>
      </c>
      <c r="E29" s="68">
        <v>2021</v>
      </c>
      <c r="F29" s="68" t="s">
        <v>167</v>
      </c>
    </row>
    <row r="30" spans="2:6" x14ac:dyDescent="0.35">
      <c r="B30" s="3" t="s">
        <v>177</v>
      </c>
      <c r="C30" s="80">
        <v>4.3620501635768812E-2</v>
      </c>
      <c r="D30" s="71">
        <v>40</v>
      </c>
      <c r="E30" s="68">
        <v>2021</v>
      </c>
      <c r="F30" s="68" t="s">
        <v>167</v>
      </c>
    </row>
    <row r="31" spans="2:6" x14ac:dyDescent="0.35">
      <c r="B31" s="3" t="s">
        <v>175</v>
      </c>
      <c r="C31" s="80">
        <v>2.1810250817884406E-2</v>
      </c>
      <c r="D31" s="71">
        <v>20</v>
      </c>
      <c r="E31" s="68">
        <v>2021</v>
      </c>
      <c r="F31" s="68" t="s">
        <v>167</v>
      </c>
    </row>
    <row r="32" spans="2:6" x14ac:dyDescent="0.35">
      <c r="B32" s="3" t="s">
        <v>141</v>
      </c>
      <c r="C32" s="80">
        <v>1.0905125408942203E-2</v>
      </c>
      <c r="D32" s="71">
        <v>10</v>
      </c>
      <c r="E32" s="68">
        <v>2021</v>
      </c>
      <c r="F32" s="68" t="s">
        <v>167</v>
      </c>
    </row>
    <row r="33" spans="2:6" x14ac:dyDescent="0.35">
      <c r="B33" s="3" t="s">
        <v>198</v>
      </c>
      <c r="C33" s="80">
        <v>7.6335877862595417E-3</v>
      </c>
      <c r="D33" s="71">
        <v>7</v>
      </c>
      <c r="E33" s="68">
        <v>2021</v>
      </c>
      <c r="F33" s="68" t="s">
        <v>167</v>
      </c>
    </row>
    <row r="34" spans="2:6" x14ac:dyDescent="0.35">
      <c r="B34" s="65" t="s">
        <v>134</v>
      </c>
      <c r="C34" s="69">
        <f>SUM(C26:C33)</f>
        <v>1</v>
      </c>
      <c r="D34" s="72">
        <f>SUM(D26:D33)</f>
        <v>917</v>
      </c>
      <c r="E34" s="34"/>
      <c r="F34" s="34"/>
    </row>
    <row r="35" spans="2:6" x14ac:dyDescent="0.35">
      <c r="D35" s="11"/>
    </row>
    <row r="36" spans="2:6" x14ac:dyDescent="0.35">
      <c r="B36" s="96" t="s">
        <v>728</v>
      </c>
      <c r="D36" s="11"/>
    </row>
    <row r="39" spans="2:6" x14ac:dyDescent="0.35">
      <c r="B39" s="2" t="s">
        <v>536</v>
      </c>
    </row>
    <row r="41" spans="2:6" x14ac:dyDescent="0.35">
      <c r="B41" s="4" t="s">
        <v>538</v>
      </c>
      <c r="C41" s="64" t="s">
        <v>548</v>
      </c>
      <c r="D41" s="74" t="s">
        <v>537</v>
      </c>
      <c r="E41" s="74" t="s">
        <v>549</v>
      </c>
      <c r="F41" s="74" t="s">
        <v>127</v>
      </c>
    </row>
    <row r="42" spans="2:6" ht="58" x14ac:dyDescent="0.35">
      <c r="B42" s="73" t="s">
        <v>36</v>
      </c>
      <c r="C42" s="92">
        <v>284.87</v>
      </c>
      <c r="D42" s="75" t="s">
        <v>729</v>
      </c>
      <c r="E42" s="75" t="s">
        <v>580</v>
      </c>
      <c r="F42" s="76" t="s">
        <v>553</v>
      </c>
    </row>
    <row r="43" spans="2:6" ht="58" x14ac:dyDescent="0.35">
      <c r="B43" s="73" t="s">
        <v>37</v>
      </c>
      <c r="C43" s="92">
        <v>1400</v>
      </c>
      <c r="D43" s="75" t="s">
        <v>730</v>
      </c>
      <c r="E43" s="75" t="s">
        <v>568</v>
      </c>
      <c r="F43" s="76" t="s">
        <v>589</v>
      </c>
    </row>
    <row r="44" spans="2:6" x14ac:dyDescent="0.35">
      <c r="F44"/>
    </row>
    <row r="45" spans="2:6" ht="15" thickBot="1" x14ac:dyDescent="0.4">
      <c r="F45"/>
    </row>
    <row r="46" spans="2:6" x14ac:dyDescent="0.35">
      <c r="B46" s="35" t="s">
        <v>490</v>
      </c>
      <c r="C46" s="81"/>
      <c r="D46" s="82"/>
      <c r="E46" s="81"/>
      <c r="F46" s="37"/>
    </row>
    <row r="47" spans="2:6" x14ac:dyDescent="0.35">
      <c r="B47" s="84"/>
      <c r="F47" s="39"/>
    </row>
    <row r="48" spans="2:6" x14ac:dyDescent="0.35">
      <c r="B48" s="86" t="s">
        <v>554</v>
      </c>
      <c r="F48" s="85"/>
    </row>
    <row r="49" spans="2:6" x14ac:dyDescent="0.35">
      <c r="B49" s="86" t="s">
        <v>731</v>
      </c>
      <c r="F49" s="85"/>
    </row>
    <row r="50" spans="2:6" x14ac:dyDescent="0.35">
      <c r="B50" s="86" t="s">
        <v>552</v>
      </c>
      <c r="F50" s="85"/>
    </row>
    <row r="51" spans="2:6" ht="15" thickBot="1" x14ac:dyDescent="0.4">
      <c r="B51" s="87" t="s">
        <v>551</v>
      </c>
      <c r="C51" s="88"/>
      <c r="D51" s="89"/>
      <c r="E51" s="88"/>
      <c r="F51" s="9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8AD4-2AAA-4A99-9F88-2272A8C51021}">
  <sheetPr>
    <tabColor theme="4" tint="0.59999389629810485"/>
  </sheetPr>
  <dimension ref="B1:H66"/>
  <sheetViews>
    <sheetView showGridLines="0" zoomScaleNormal="100" workbookViewId="0">
      <selection activeCell="B11" sqref="B11"/>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163</v>
      </c>
      <c r="C5" s="80">
        <v>0.43</v>
      </c>
      <c r="D5" s="50" t="s">
        <v>129</v>
      </c>
      <c r="E5" s="50" t="s">
        <v>556</v>
      </c>
      <c r="F5"/>
    </row>
    <row r="6" spans="2:6" x14ac:dyDescent="0.35">
      <c r="B6" s="3" t="s">
        <v>164</v>
      </c>
      <c r="C6" s="80">
        <v>0.32</v>
      </c>
      <c r="D6" s="50" t="s">
        <v>129</v>
      </c>
      <c r="E6" s="50" t="s">
        <v>556</v>
      </c>
      <c r="F6"/>
    </row>
    <row r="7" spans="2:6" x14ac:dyDescent="0.35">
      <c r="B7" s="3" t="s">
        <v>165</v>
      </c>
      <c r="C7" s="80">
        <v>0.14000000000000001</v>
      </c>
      <c r="D7" s="50" t="s">
        <v>129</v>
      </c>
      <c r="E7" s="50" t="s">
        <v>556</v>
      </c>
      <c r="F7"/>
    </row>
    <row r="8" spans="2:6" x14ac:dyDescent="0.35">
      <c r="B8" s="3" t="s">
        <v>166</v>
      </c>
      <c r="C8" s="80">
        <v>0.06</v>
      </c>
      <c r="D8" s="50" t="s">
        <v>129</v>
      </c>
      <c r="E8" s="50" t="s">
        <v>556</v>
      </c>
      <c r="F8"/>
    </row>
    <row r="9" spans="2:6" x14ac:dyDescent="0.35">
      <c r="B9" s="3" t="s">
        <v>732</v>
      </c>
      <c r="C9" s="80">
        <v>0.05</v>
      </c>
      <c r="D9" s="50" t="s">
        <v>129</v>
      </c>
      <c r="E9" s="50" t="s">
        <v>556</v>
      </c>
      <c r="F9"/>
    </row>
    <row r="10" spans="2:6" x14ac:dyDescent="0.35">
      <c r="B10" s="65" t="s">
        <v>134</v>
      </c>
      <c r="C10" s="79">
        <f>SUM(C5:C9)</f>
        <v>1</v>
      </c>
      <c r="D10" s="9"/>
      <c r="E10" s="5"/>
      <c r="F10" s="5"/>
    </row>
    <row r="13" spans="2:6" x14ac:dyDescent="0.35">
      <c r="B13" s="63" t="s">
        <v>533</v>
      </c>
    </row>
    <row r="15" spans="2:6" x14ac:dyDescent="0.35">
      <c r="B15" s="4" t="s">
        <v>532</v>
      </c>
      <c r="C15" s="64" t="s">
        <v>0</v>
      </c>
      <c r="D15"/>
    </row>
    <row r="16" spans="2:6" x14ac:dyDescent="0.35">
      <c r="B16" s="3" t="s">
        <v>11</v>
      </c>
      <c r="C16" s="50">
        <v>282580</v>
      </c>
      <c r="D16"/>
    </row>
    <row r="17" spans="2:6" ht="29" x14ac:dyDescent="0.35">
      <c r="B17" s="3" t="s">
        <v>12</v>
      </c>
      <c r="C17" s="50">
        <v>811010</v>
      </c>
      <c r="D17"/>
    </row>
    <row r="20" spans="2:6" x14ac:dyDescent="0.35">
      <c r="B20" s="63" t="s">
        <v>534</v>
      </c>
    </row>
    <row r="22" spans="2:6" x14ac:dyDescent="0.35">
      <c r="B22" s="4" t="s">
        <v>531</v>
      </c>
      <c r="C22" s="64" t="s">
        <v>541</v>
      </c>
      <c r="D22" s="66" t="s">
        <v>733</v>
      </c>
      <c r="E22" s="64" t="s">
        <v>162</v>
      </c>
      <c r="F22" s="64" t="s">
        <v>127</v>
      </c>
    </row>
    <row r="23" spans="2:6" x14ac:dyDescent="0.35">
      <c r="B23" s="10" t="s">
        <v>137</v>
      </c>
      <c r="C23" s="91">
        <v>0.44129067948977097</v>
      </c>
      <c r="D23" s="67">
        <v>41480</v>
      </c>
      <c r="E23" s="68">
        <v>2021</v>
      </c>
      <c r="F23" s="68" t="s">
        <v>167</v>
      </c>
    </row>
    <row r="24" spans="2:6" x14ac:dyDescent="0.35">
      <c r="B24" s="10" t="s">
        <v>168</v>
      </c>
      <c r="C24" s="91">
        <v>0.27820036809685417</v>
      </c>
      <c r="D24" s="67">
        <v>26150</v>
      </c>
      <c r="E24" s="68">
        <v>2021</v>
      </c>
      <c r="F24" s="68" t="s">
        <v>167</v>
      </c>
    </row>
    <row r="25" spans="2:6" x14ac:dyDescent="0.35">
      <c r="B25" s="10" t="s">
        <v>141</v>
      </c>
      <c r="C25" s="91">
        <v>0.10372671468238348</v>
      </c>
      <c r="D25" s="67">
        <v>9750</v>
      </c>
      <c r="E25" s="68">
        <v>2021</v>
      </c>
      <c r="F25" s="68" t="s">
        <v>167</v>
      </c>
    </row>
    <row r="26" spans="2:6" x14ac:dyDescent="0.35">
      <c r="B26" s="10" t="s">
        <v>169</v>
      </c>
      <c r="C26" s="91">
        <v>4.478866346798302E-2</v>
      </c>
      <c r="D26" s="67">
        <v>4210</v>
      </c>
      <c r="E26" s="68">
        <v>2021</v>
      </c>
      <c r="F26" s="68" t="s">
        <v>167</v>
      </c>
    </row>
    <row r="27" spans="2:6" x14ac:dyDescent="0.35">
      <c r="B27" s="10" t="s">
        <v>135</v>
      </c>
      <c r="C27" s="91">
        <v>3.595859442322627E-2</v>
      </c>
      <c r="D27" s="67">
        <v>3380</v>
      </c>
      <c r="E27" s="68">
        <v>2021</v>
      </c>
      <c r="F27" s="68" t="s">
        <v>167</v>
      </c>
    </row>
    <row r="28" spans="2:6" x14ac:dyDescent="0.35">
      <c r="B28" s="10" t="s">
        <v>170</v>
      </c>
      <c r="C28" s="91">
        <v>3.2809557751843146E-2</v>
      </c>
      <c r="D28" s="67">
        <v>3084</v>
      </c>
      <c r="E28" s="68">
        <v>2021</v>
      </c>
      <c r="F28" s="68" t="s">
        <v>167</v>
      </c>
    </row>
    <row r="29" spans="2:6" x14ac:dyDescent="0.35">
      <c r="B29" s="10" t="s">
        <v>171</v>
      </c>
      <c r="C29" s="91">
        <v>3.0532889347532368E-2</v>
      </c>
      <c r="D29" s="67">
        <v>2870</v>
      </c>
      <c r="E29" s="68">
        <v>2021</v>
      </c>
      <c r="F29" s="68" t="s">
        <v>167</v>
      </c>
    </row>
    <row r="30" spans="2:6" x14ac:dyDescent="0.35">
      <c r="B30" s="10" t="s">
        <v>172</v>
      </c>
      <c r="C30" s="91">
        <v>2.0851729310509909E-2</v>
      </c>
      <c r="D30" s="67">
        <v>1960</v>
      </c>
      <c r="E30" s="68">
        <v>2021</v>
      </c>
      <c r="F30" s="68" t="s">
        <v>167</v>
      </c>
    </row>
    <row r="31" spans="2:6" x14ac:dyDescent="0.35">
      <c r="B31" s="10" t="s">
        <v>173</v>
      </c>
      <c r="C31" s="91">
        <v>4.3937572475717312E-3</v>
      </c>
      <c r="D31" s="67">
        <v>413</v>
      </c>
      <c r="E31" s="68">
        <v>2021</v>
      </c>
      <c r="F31" s="68" t="s">
        <v>167</v>
      </c>
    </row>
    <row r="32" spans="2:6" x14ac:dyDescent="0.35">
      <c r="B32" s="3" t="s">
        <v>565</v>
      </c>
      <c r="C32" s="91">
        <v>7.4470461823249682E-3</v>
      </c>
      <c r="D32" s="67">
        <v>700</v>
      </c>
      <c r="E32" s="68">
        <v>2021</v>
      </c>
      <c r="F32" s="68" t="s">
        <v>167</v>
      </c>
    </row>
    <row r="33" spans="2:8" x14ac:dyDescent="0.35">
      <c r="B33" s="65" t="s">
        <v>134</v>
      </c>
      <c r="C33" s="69">
        <f>SUM(C23:C32)</f>
        <v>1.0000000000000002</v>
      </c>
      <c r="D33" s="70">
        <f>SUM(D23:D32)</f>
        <v>93997</v>
      </c>
      <c r="E33" s="34"/>
      <c r="F33" s="34"/>
    </row>
    <row r="36" spans="2:8" x14ac:dyDescent="0.35">
      <c r="B36" s="4" t="s">
        <v>535</v>
      </c>
      <c r="C36" s="64" t="s">
        <v>541</v>
      </c>
      <c r="D36" s="66" t="s">
        <v>733</v>
      </c>
      <c r="E36" s="64" t="s">
        <v>162</v>
      </c>
      <c r="F36" s="64" t="s">
        <v>127</v>
      </c>
    </row>
    <row r="37" spans="2:8" x14ac:dyDescent="0.35">
      <c r="B37" s="3" t="s">
        <v>137</v>
      </c>
      <c r="C37" s="80">
        <v>0.51800000000000002</v>
      </c>
      <c r="D37" s="71">
        <v>34748.163225239237</v>
      </c>
      <c r="E37" s="50" t="s">
        <v>129</v>
      </c>
      <c r="F37" s="50" t="s">
        <v>544</v>
      </c>
      <c r="H37" s="13"/>
    </row>
    <row r="38" spans="2:8" x14ac:dyDescent="0.35">
      <c r="B38" s="3" t="s">
        <v>175</v>
      </c>
      <c r="C38" s="80">
        <v>8.5999999999999993E-2</v>
      </c>
      <c r="D38" s="71">
        <v>5769.0000721439646</v>
      </c>
      <c r="E38" s="50" t="s">
        <v>129</v>
      </c>
      <c r="F38" s="50" t="s">
        <v>544</v>
      </c>
      <c r="H38" s="13"/>
    </row>
    <row r="39" spans="2:8" x14ac:dyDescent="0.35">
      <c r="B39" s="3" t="s">
        <v>176</v>
      </c>
      <c r="C39" s="80">
        <v>6.4000000000000001E-2</v>
      </c>
      <c r="D39" s="71">
        <v>4293.2093560141138</v>
      </c>
      <c r="E39" s="50" t="s">
        <v>129</v>
      </c>
      <c r="F39" s="50" t="s">
        <v>544</v>
      </c>
      <c r="H39" s="13"/>
    </row>
    <row r="40" spans="2:8" x14ac:dyDescent="0.35">
      <c r="B40" s="3" t="s">
        <v>177</v>
      </c>
      <c r="C40" s="80">
        <v>5.9000000000000004E-2</v>
      </c>
      <c r="D40" s="71">
        <v>3957.8023750755115</v>
      </c>
      <c r="E40" s="50" t="s">
        <v>129</v>
      </c>
      <c r="F40" s="50" t="s">
        <v>544</v>
      </c>
      <c r="H40" s="13"/>
    </row>
    <row r="41" spans="2:8" x14ac:dyDescent="0.35">
      <c r="B41" s="3" t="s">
        <v>178</v>
      </c>
      <c r="C41" s="80">
        <v>3.6000000000000004E-2</v>
      </c>
      <c r="D41" s="71">
        <v>2414.9302627579395</v>
      </c>
      <c r="E41" s="50" t="s">
        <v>129</v>
      </c>
      <c r="F41" s="50" t="s">
        <v>544</v>
      </c>
      <c r="H41" s="13"/>
    </row>
    <row r="42" spans="2:8" x14ac:dyDescent="0.35">
      <c r="B42" s="3" t="s">
        <v>171</v>
      </c>
      <c r="C42" s="80">
        <v>3.6000000000000004E-2</v>
      </c>
      <c r="D42" s="71">
        <v>2414.9302627579395</v>
      </c>
      <c r="E42" s="50" t="s">
        <v>129</v>
      </c>
      <c r="F42" s="50" t="s">
        <v>544</v>
      </c>
      <c r="H42" s="13"/>
    </row>
    <row r="43" spans="2:8" x14ac:dyDescent="0.35">
      <c r="B43" s="3" t="s">
        <v>179</v>
      </c>
      <c r="C43" s="80">
        <v>3.5000000000000003E-2</v>
      </c>
      <c r="D43" s="71">
        <v>2347.8488665702189</v>
      </c>
      <c r="E43" s="50" t="s">
        <v>129</v>
      </c>
      <c r="F43" s="50" t="s">
        <v>544</v>
      </c>
      <c r="H43" s="13"/>
    </row>
    <row r="44" spans="2:8" x14ac:dyDescent="0.35">
      <c r="B44" s="3" t="s">
        <v>170</v>
      </c>
      <c r="C44" s="80">
        <v>2.2000000000000002E-2</v>
      </c>
      <c r="D44" s="71">
        <v>1475.7907161298517</v>
      </c>
      <c r="E44" s="50" t="s">
        <v>129</v>
      </c>
      <c r="F44" s="50" t="s">
        <v>544</v>
      </c>
      <c r="H44" s="13"/>
    </row>
    <row r="45" spans="2:8" x14ac:dyDescent="0.35">
      <c r="B45" s="3" t="s">
        <v>180</v>
      </c>
      <c r="C45" s="80">
        <v>2.2000000000000002E-2</v>
      </c>
      <c r="D45" s="71">
        <v>1475.7907161298517</v>
      </c>
      <c r="E45" s="50" t="s">
        <v>129</v>
      </c>
      <c r="F45" s="50" t="s">
        <v>544</v>
      </c>
      <c r="H45" s="13"/>
    </row>
    <row r="46" spans="2:8" x14ac:dyDescent="0.35">
      <c r="B46" s="3" t="s">
        <v>140</v>
      </c>
      <c r="C46" s="80">
        <v>0.02</v>
      </c>
      <c r="D46" s="71">
        <v>1341.6279237544106</v>
      </c>
      <c r="E46" s="50" t="s">
        <v>129</v>
      </c>
      <c r="F46" s="50" t="s">
        <v>544</v>
      </c>
      <c r="H46" s="13"/>
    </row>
    <row r="47" spans="2:8" x14ac:dyDescent="0.35">
      <c r="B47" s="3" t="s">
        <v>181</v>
      </c>
      <c r="C47" s="80">
        <v>0.02</v>
      </c>
      <c r="D47" s="71">
        <v>1341.6279237544106</v>
      </c>
      <c r="E47" s="50" t="s">
        <v>129</v>
      </c>
      <c r="F47" s="50" t="s">
        <v>544</v>
      </c>
      <c r="H47" s="13"/>
    </row>
    <row r="48" spans="2:8" x14ac:dyDescent="0.35">
      <c r="B48" s="3" t="s">
        <v>160</v>
      </c>
      <c r="C48" s="80">
        <v>1.4999999999999999E-2</v>
      </c>
      <c r="D48" s="71">
        <v>1006.2209428158079</v>
      </c>
      <c r="E48" s="50" t="s">
        <v>129</v>
      </c>
      <c r="F48" s="50" t="s">
        <v>544</v>
      </c>
      <c r="H48" s="13"/>
    </row>
    <row r="49" spans="2:8" x14ac:dyDescent="0.35">
      <c r="B49" s="3" t="s">
        <v>565</v>
      </c>
      <c r="C49" s="80">
        <v>6.7000000000000004E-2</v>
      </c>
      <c r="D49" s="71">
        <v>4494.4535445772754</v>
      </c>
      <c r="E49" s="50" t="s">
        <v>129</v>
      </c>
      <c r="F49" s="50" t="s">
        <v>544</v>
      </c>
      <c r="H49" s="13"/>
    </row>
    <row r="50" spans="2:8" x14ac:dyDescent="0.35">
      <c r="B50" s="65" t="s">
        <v>134</v>
      </c>
      <c r="C50" s="69">
        <f>SUM(C37:C49)</f>
        <v>1.0000000000000002</v>
      </c>
      <c r="D50" s="72">
        <v>67081.396187720529</v>
      </c>
      <c r="E50" s="34"/>
      <c r="F50" s="34"/>
    </row>
    <row r="51" spans="2:8" x14ac:dyDescent="0.35">
      <c r="D51" s="11"/>
    </row>
    <row r="52" spans="2:8" x14ac:dyDescent="0.35">
      <c r="B52" s="77" t="s">
        <v>558</v>
      </c>
      <c r="D52" s="11"/>
    </row>
    <row r="55" spans="2:8" x14ac:dyDescent="0.35">
      <c r="B55" s="2" t="s">
        <v>536</v>
      </c>
    </row>
    <row r="57" spans="2:8" x14ac:dyDescent="0.35">
      <c r="B57" s="4" t="s">
        <v>538</v>
      </c>
      <c r="C57" s="64" t="s">
        <v>548</v>
      </c>
      <c r="D57" s="74" t="s">
        <v>537</v>
      </c>
      <c r="E57" s="74" t="s">
        <v>549</v>
      </c>
      <c r="F57" s="74" t="s">
        <v>127</v>
      </c>
    </row>
    <row r="58" spans="2:8" ht="29" x14ac:dyDescent="0.35">
      <c r="B58" s="73" t="s">
        <v>11</v>
      </c>
      <c r="C58" s="92">
        <v>7.4344581183009568</v>
      </c>
      <c r="D58" s="75" t="s">
        <v>734</v>
      </c>
      <c r="E58" s="75" t="s">
        <v>580</v>
      </c>
      <c r="F58" s="76" t="s">
        <v>553</v>
      </c>
    </row>
    <row r="59" spans="2:8" ht="43.5" x14ac:dyDescent="0.35">
      <c r="B59" s="73" t="s">
        <v>12</v>
      </c>
      <c r="C59" s="92">
        <v>8.8433583860759839</v>
      </c>
      <c r="D59" s="75" t="s">
        <v>735</v>
      </c>
      <c r="E59" s="75" t="s">
        <v>580</v>
      </c>
      <c r="F59" s="76" t="s">
        <v>553</v>
      </c>
    </row>
    <row r="60" spans="2:8" x14ac:dyDescent="0.35">
      <c r="F60"/>
    </row>
    <row r="61" spans="2:8" ht="15" thickBot="1" x14ac:dyDescent="0.4">
      <c r="F61"/>
    </row>
    <row r="62" spans="2:8" x14ac:dyDescent="0.35">
      <c r="B62" s="35" t="s">
        <v>490</v>
      </c>
      <c r="C62" s="81"/>
      <c r="D62" s="93"/>
      <c r="F62"/>
    </row>
    <row r="63" spans="2:8" x14ac:dyDescent="0.35">
      <c r="B63" s="84"/>
      <c r="D63" s="94"/>
      <c r="F63"/>
    </row>
    <row r="64" spans="2:8" x14ac:dyDescent="0.35">
      <c r="B64" s="86" t="s">
        <v>554</v>
      </c>
      <c r="D64" s="94"/>
    </row>
    <row r="65" spans="2:4" x14ac:dyDescent="0.35">
      <c r="B65" s="86" t="s">
        <v>552</v>
      </c>
      <c r="D65" s="94"/>
    </row>
    <row r="66" spans="2:4" ht="15" thickBot="1" x14ac:dyDescent="0.4">
      <c r="B66" s="87" t="s">
        <v>551</v>
      </c>
      <c r="C66" s="88"/>
      <c r="D66" s="9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7E28-D710-4CCA-A541-6B002A9E3A18}">
  <sheetPr>
    <tabColor theme="4" tint="0.59999389629810485"/>
  </sheetPr>
  <dimension ref="B1:F45"/>
  <sheetViews>
    <sheetView showGridLines="0" tabSelected="1" topLeftCell="A31" zoomScaleNormal="100" workbookViewId="0">
      <selection activeCell="C38" sqref="C38"/>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376</v>
      </c>
      <c r="C5" s="80">
        <v>0.42</v>
      </c>
      <c r="D5" s="50">
        <v>2022</v>
      </c>
      <c r="E5" s="50" t="s">
        <v>711</v>
      </c>
      <c r="F5"/>
    </row>
    <row r="6" spans="2:6" x14ac:dyDescent="0.35">
      <c r="B6" s="3" t="s">
        <v>359</v>
      </c>
      <c r="C6" s="80">
        <v>0.24</v>
      </c>
      <c r="D6" s="50">
        <v>2022</v>
      </c>
      <c r="E6" s="50" t="s">
        <v>711</v>
      </c>
      <c r="F6"/>
    </row>
    <row r="7" spans="2:6" x14ac:dyDescent="0.35">
      <c r="B7" s="3" t="s">
        <v>377</v>
      </c>
      <c r="C7" s="80">
        <v>0.2</v>
      </c>
      <c r="D7" s="50">
        <v>2022</v>
      </c>
      <c r="E7" s="50" t="s">
        <v>711</v>
      </c>
      <c r="F7"/>
    </row>
    <row r="8" spans="2:6" x14ac:dyDescent="0.35">
      <c r="B8" s="3" t="s">
        <v>378</v>
      </c>
      <c r="C8" s="80">
        <v>0.12</v>
      </c>
      <c r="D8" s="50">
        <v>2022</v>
      </c>
      <c r="E8" s="50" t="s">
        <v>711</v>
      </c>
      <c r="F8"/>
    </row>
    <row r="9" spans="2:6" x14ac:dyDescent="0.35">
      <c r="B9" s="3" t="s">
        <v>379</v>
      </c>
      <c r="C9" s="80">
        <v>0.02</v>
      </c>
      <c r="D9" s="50">
        <v>2022</v>
      </c>
      <c r="E9" s="50" t="s">
        <v>711</v>
      </c>
      <c r="F9"/>
    </row>
    <row r="10" spans="2:6" x14ac:dyDescent="0.35">
      <c r="B10" s="65" t="s">
        <v>134</v>
      </c>
      <c r="C10" s="79">
        <f>SUM(C5:C9)</f>
        <v>0.99999999999999989</v>
      </c>
      <c r="D10" s="9"/>
      <c r="E10" s="5"/>
      <c r="F10" s="5"/>
    </row>
    <row r="13" spans="2:6" x14ac:dyDescent="0.35">
      <c r="B13" s="63" t="s">
        <v>533</v>
      </c>
    </row>
    <row r="15" spans="2:6" x14ac:dyDescent="0.35">
      <c r="B15" s="4" t="s">
        <v>532</v>
      </c>
      <c r="C15" s="64" t="s">
        <v>0</v>
      </c>
      <c r="D15"/>
    </row>
    <row r="16" spans="2:6" x14ac:dyDescent="0.35">
      <c r="B16" s="3" t="s">
        <v>19</v>
      </c>
      <c r="C16" s="50">
        <v>280450</v>
      </c>
      <c r="D16"/>
    </row>
    <row r="19" spans="2:6" x14ac:dyDescent="0.35">
      <c r="B19" s="63" t="s">
        <v>534</v>
      </c>
    </row>
    <row r="21" spans="2:6" x14ac:dyDescent="0.35">
      <c r="B21" s="4" t="s">
        <v>535</v>
      </c>
      <c r="C21" s="64" t="s">
        <v>541</v>
      </c>
      <c r="D21" s="66" t="s">
        <v>736</v>
      </c>
      <c r="E21" s="64" t="s">
        <v>162</v>
      </c>
      <c r="F21" s="64" t="s">
        <v>127</v>
      </c>
    </row>
    <row r="22" spans="2:6" x14ac:dyDescent="0.35">
      <c r="B22" s="3" t="s">
        <v>137</v>
      </c>
      <c r="C22" s="80">
        <v>0.72207084468664851</v>
      </c>
      <c r="D22" s="71">
        <v>530</v>
      </c>
      <c r="E22" s="68">
        <v>2021</v>
      </c>
      <c r="F22" s="68" t="s">
        <v>167</v>
      </c>
    </row>
    <row r="23" spans="2:6" x14ac:dyDescent="0.35">
      <c r="B23" s="3" t="s">
        <v>181</v>
      </c>
      <c r="C23" s="80">
        <v>9.264305177111716E-2</v>
      </c>
      <c r="D23" s="71">
        <v>68</v>
      </c>
      <c r="E23" s="68">
        <v>2021</v>
      </c>
      <c r="F23" s="68" t="s">
        <v>167</v>
      </c>
    </row>
    <row r="24" spans="2:6" x14ac:dyDescent="0.35">
      <c r="B24" s="3" t="s">
        <v>141</v>
      </c>
      <c r="C24" s="80">
        <v>8.1743869209809278E-2</v>
      </c>
      <c r="D24" s="71">
        <v>60</v>
      </c>
      <c r="E24" s="68">
        <v>2021</v>
      </c>
      <c r="F24" s="68" t="s">
        <v>167</v>
      </c>
    </row>
    <row r="25" spans="2:6" x14ac:dyDescent="0.35">
      <c r="B25" s="3" t="s">
        <v>239</v>
      </c>
      <c r="C25" s="80">
        <v>5.5858310626702996E-2</v>
      </c>
      <c r="D25" s="71">
        <v>41</v>
      </c>
      <c r="E25" s="68">
        <v>2021</v>
      </c>
      <c r="F25" s="68" t="s">
        <v>167</v>
      </c>
    </row>
    <row r="26" spans="2:6" x14ac:dyDescent="0.35">
      <c r="B26" s="3" t="s">
        <v>150</v>
      </c>
      <c r="C26" s="80">
        <v>3.4059945504087197E-2</v>
      </c>
      <c r="D26" s="71">
        <v>25</v>
      </c>
      <c r="E26" s="68">
        <v>2021</v>
      </c>
      <c r="F26" s="68" t="s">
        <v>167</v>
      </c>
    </row>
    <row r="27" spans="2:6" x14ac:dyDescent="0.35">
      <c r="B27" s="3" t="s">
        <v>199</v>
      </c>
      <c r="C27" s="80">
        <v>6.8000000000000005E-3</v>
      </c>
      <c r="D27" s="71">
        <v>5</v>
      </c>
      <c r="E27" s="68">
        <v>2021</v>
      </c>
      <c r="F27" s="68" t="s">
        <v>167</v>
      </c>
    </row>
    <row r="28" spans="2:6" x14ac:dyDescent="0.35">
      <c r="B28" s="3" t="s">
        <v>219</v>
      </c>
      <c r="C28" s="80">
        <v>4.0999999999999995E-3</v>
      </c>
      <c r="D28" s="71">
        <v>3</v>
      </c>
      <c r="E28" s="68">
        <v>2021</v>
      </c>
      <c r="F28" s="68" t="s">
        <v>167</v>
      </c>
    </row>
    <row r="29" spans="2:6" x14ac:dyDescent="0.35">
      <c r="B29" s="3" t="s">
        <v>154</v>
      </c>
      <c r="C29" s="80">
        <v>2.7000000000000001E-3</v>
      </c>
      <c r="D29" s="71">
        <v>2</v>
      </c>
      <c r="E29" s="68">
        <v>2021</v>
      </c>
      <c r="F29" s="68" t="s">
        <v>167</v>
      </c>
    </row>
    <row r="30" spans="2:6" x14ac:dyDescent="0.35">
      <c r="B30" s="65" t="s">
        <v>134</v>
      </c>
      <c r="C30" s="69">
        <f>SUM(C22:C29)</f>
        <v>0.9999760217983652</v>
      </c>
      <c r="D30" s="72">
        <f>SUM(D22:D29)</f>
        <v>734</v>
      </c>
      <c r="E30" s="34"/>
      <c r="F30" s="34"/>
    </row>
    <row r="31" spans="2:6" x14ac:dyDescent="0.35">
      <c r="D31" s="11"/>
    </row>
    <row r="32" spans="2:6" x14ac:dyDescent="0.35">
      <c r="B32" s="96" t="s">
        <v>737</v>
      </c>
      <c r="D32" s="11"/>
    </row>
    <row r="35" spans="2:6" x14ac:dyDescent="0.35">
      <c r="B35" s="2" t="s">
        <v>536</v>
      </c>
    </row>
    <row r="37" spans="2:6" x14ac:dyDescent="0.35">
      <c r="B37" s="4" t="s">
        <v>538</v>
      </c>
      <c r="C37" s="64" t="s">
        <v>548</v>
      </c>
      <c r="D37" s="74" t="s">
        <v>537</v>
      </c>
      <c r="E37" s="74" t="s">
        <v>549</v>
      </c>
      <c r="F37" s="74" t="s">
        <v>127</v>
      </c>
    </row>
    <row r="38" spans="2:6" x14ac:dyDescent="0.35">
      <c r="B38" s="73" t="s">
        <v>19</v>
      </c>
      <c r="C38" s="92">
        <v>67.28</v>
      </c>
      <c r="D38" s="75" t="s">
        <v>738</v>
      </c>
      <c r="E38" s="75" t="s">
        <v>580</v>
      </c>
      <c r="F38" s="76" t="s">
        <v>553</v>
      </c>
    </row>
    <row r="39" spans="2:6" x14ac:dyDescent="0.35">
      <c r="F39"/>
    </row>
    <row r="40" spans="2:6" ht="15" thickBot="1" x14ac:dyDescent="0.4">
      <c r="F40"/>
    </row>
    <row r="41" spans="2:6" x14ac:dyDescent="0.35">
      <c r="B41" s="35" t="s">
        <v>490</v>
      </c>
      <c r="C41" s="81"/>
      <c r="D41" s="82"/>
      <c r="E41" s="83"/>
      <c r="F41"/>
    </row>
    <row r="42" spans="2:6" x14ac:dyDescent="0.35">
      <c r="B42" s="84"/>
      <c r="E42" s="85"/>
      <c r="F42"/>
    </row>
    <row r="43" spans="2:6" x14ac:dyDescent="0.35">
      <c r="B43" s="86" t="s">
        <v>554</v>
      </c>
      <c r="E43" s="85"/>
    </row>
    <row r="44" spans="2:6" x14ac:dyDescent="0.35">
      <c r="B44" s="86" t="s">
        <v>789</v>
      </c>
      <c r="E44" s="85"/>
    </row>
    <row r="45" spans="2:6" ht="15" thickBot="1" x14ac:dyDescent="0.4">
      <c r="B45" s="87" t="s">
        <v>551</v>
      </c>
      <c r="C45" s="88"/>
      <c r="D45" s="89"/>
      <c r="E45" s="90"/>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B40A-EB1D-4692-A65F-0F61BB5838F9}">
  <sheetPr>
    <tabColor theme="4" tint="0.59999389629810485"/>
  </sheetPr>
  <dimension ref="B1:H72"/>
  <sheetViews>
    <sheetView showGridLines="0" zoomScaleNormal="100" workbookViewId="0">
      <selection activeCell="C58" sqref="C58"/>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391</v>
      </c>
      <c r="C5" s="80">
        <v>0.33</v>
      </c>
      <c r="D5" s="50" t="s">
        <v>129</v>
      </c>
      <c r="E5" s="50" t="s">
        <v>556</v>
      </c>
      <c r="F5"/>
    </row>
    <row r="6" spans="2:6" x14ac:dyDescent="0.35">
      <c r="B6" s="3" t="s">
        <v>392</v>
      </c>
      <c r="C6" s="80">
        <v>0.23</v>
      </c>
      <c r="D6" s="50" t="s">
        <v>129</v>
      </c>
      <c r="E6" s="50" t="s">
        <v>556</v>
      </c>
      <c r="F6"/>
    </row>
    <row r="7" spans="2:6" x14ac:dyDescent="0.35">
      <c r="B7" s="3" t="s">
        <v>393</v>
      </c>
      <c r="C7" s="80">
        <v>0.18</v>
      </c>
      <c r="D7" s="50" t="s">
        <v>129</v>
      </c>
      <c r="E7" s="50" t="s">
        <v>556</v>
      </c>
      <c r="F7"/>
    </row>
    <row r="8" spans="2:6" x14ac:dyDescent="0.35">
      <c r="B8" s="3" t="s">
        <v>394</v>
      </c>
      <c r="C8" s="80">
        <v>0.08</v>
      </c>
      <c r="D8" s="50" t="s">
        <v>129</v>
      </c>
      <c r="E8" s="50" t="s">
        <v>556</v>
      </c>
      <c r="F8"/>
    </row>
    <row r="9" spans="2:6" x14ac:dyDescent="0.35">
      <c r="B9" s="3" t="s">
        <v>395</v>
      </c>
      <c r="C9" s="80">
        <v>0.06</v>
      </c>
      <c r="D9" s="50" t="s">
        <v>129</v>
      </c>
      <c r="E9" s="50" t="s">
        <v>556</v>
      </c>
      <c r="F9"/>
    </row>
    <row r="10" spans="2:6" x14ac:dyDescent="0.35">
      <c r="B10" s="3" t="s">
        <v>396</v>
      </c>
      <c r="C10" s="80">
        <v>0.06</v>
      </c>
      <c r="D10" s="50" t="s">
        <v>129</v>
      </c>
      <c r="E10" s="50" t="s">
        <v>556</v>
      </c>
      <c r="F10"/>
    </row>
    <row r="11" spans="2:6" x14ac:dyDescent="0.35">
      <c r="B11" s="3" t="s">
        <v>397</v>
      </c>
      <c r="C11" s="80">
        <v>0.05</v>
      </c>
      <c r="D11" s="50" t="s">
        <v>129</v>
      </c>
      <c r="E11" s="50" t="s">
        <v>556</v>
      </c>
      <c r="F11"/>
    </row>
    <row r="12" spans="2:6" x14ac:dyDescent="0.35">
      <c r="B12" s="3" t="s">
        <v>174</v>
      </c>
      <c r="C12" s="80">
        <v>1.0000000000000009E-2</v>
      </c>
      <c r="D12" s="50" t="s">
        <v>129</v>
      </c>
      <c r="E12" s="50" t="s">
        <v>556</v>
      </c>
      <c r="F12"/>
    </row>
    <row r="13" spans="2:6" x14ac:dyDescent="0.35">
      <c r="B13" s="65" t="s">
        <v>134</v>
      </c>
      <c r="C13" s="79">
        <f>SUM(C5:C12)</f>
        <v>1</v>
      </c>
      <c r="D13" s="9"/>
      <c r="E13" s="5"/>
      <c r="F13" s="5"/>
    </row>
    <row r="16" spans="2:6" x14ac:dyDescent="0.35">
      <c r="B16" s="63" t="s">
        <v>533</v>
      </c>
    </row>
    <row r="18" spans="2:6" x14ac:dyDescent="0.35">
      <c r="B18" s="4" t="s">
        <v>532</v>
      </c>
      <c r="C18" s="64" t="s">
        <v>0</v>
      </c>
      <c r="D18"/>
    </row>
    <row r="19" spans="2:6" x14ac:dyDescent="0.35">
      <c r="B19" s="3" t="s">
        <v>114</v>
      </c>
      <c r="C19" s="50">
        <v>284180</v>
      </c>
      <c r="D19"/>
    </row>
    <row r="20" spans="2:6" ht="29" x14ac:dyDescent="0.35">
      <c r="B20" s="3" t="s">
        <v>115</v>
      </c>
      <c r="C20" s="50">
        <v>284990</v>
      </c>
      <c r="D20"/>
    </row>
    <row r="21" spans="2:6" ht="29" x14ac:dyDescent="0.35">
      <c r="B21" s="3" t="s">
        <v>116</v>
      </c>
      <c r="C21" s="50">
        <v>810194</v>
      </c>
      <c r="D21"/>
    </row>
    <row r="24" spans="2:6" x14ac:dyDescent="0.35">
      <c r="B24" s="63" t="s">
        <v>534</v>
      </c>
    </row>
    <row r="26" spans="2:6" x14ac:dyDescent="0.35">
      <c r="B26" s="4" t="s">
        <v>531</v>
      </c>
      <c r="C26" s="64" t="s">
        <v>541</v>
      </c>
      <c r="D26" s="66" t="s">
        <v>739</v>
      </c>
      <c r="E26" s="64" t="s">
        <v>162</v>
      </c>
      <c r="F26" s="64" t="s">
        <v>127</v>
      </c>
    </row>
    <row r="27" spans="2:6" x14ac:dyDescent="0.35">
      <c r="B27" s="10" t="s">
        <v>137</v>
      </c>
      <c r="C27" s="91">
        <v>0.77549999999999997</v>
      </c>
      <c r="D27" s="67">
        <v>68660</v>
      </c>
      <c r="E27" s="68">
        <v>2021</v>
      </c>
      <c r="F27" s="68" t="s">
        <v>167</v>
      </c>
    </row>
    <row r="28" spans="2:6" x14ac:dyDescent="0.35">
      <c r="B28" s="10" t="s">
        <v>197</v>
      </c>
      <c r="C28" s="91">
        <v>0.13250000000000001</v>
      </c>
      <c r="D28" s="67">
        <v>11735</v>
      </c>
      <c r="E28" s="68">
        <v>2021</v>
      </c>
      <c r="F28" s="68" t="s">
        <v>167</v>
      </c>
    </row>
    <row r="29" spans="2:6" x14ac:dyDescent="0.35">
      <c r="B29" s="10" t="s">
        <v>141</v>
      </c>
      <c r="C29" s="91">
        <v>2.1499999999999998E-2</v>
      </c>
      <c r="D29" s="67">
        <v>1900</v>
      </c>
      <c r="E29" s="68">
        <v>2021</v>
      </c>
      <c r="F29" s="68" t="s">
        <v>167</v>
      </c>
    </row>
    <row r="30" spans="2:6" x14ac:dyDescent="0.35">
      <c r="B30" s="10" t="s">
        <v>170</v>
      </c>
      <c r="C30" s="91">
        <v>1.77E-2</v>
      </c>
      <c r="D30" s="67">
        <v>1563</v>
      </c>
      <c r="E30" s="68">
        <v>2021</v>
      </c>
      <c r="F30" s="68" t="s">
        <v>167</v>
      </c>
    </row>
    <row r="31" spans="2:6" x14ac:dyDescent="0.35">
      <c r="B31" s="10" t="s">
        <v>192</v>
      </c>
      <c r="C31" s="91">
        <v>1.7500000000000002E-2</v>
      </c>
      <c r="D31" s="67">
        <v>1545</v>
      </c>
      <c r="E31" s="68">
        <v>2021</v>
      </c>
      <c r="F31" s="68" t="s">
        <v>167</v>
      </c>
    </row>
    <row r="32" spans="2:6" x14ac:dyDescent="0.35">
      <c r="B32" s="10" t="s">
        <v>315</v>
      </c>
      <c r="C32" s="91">
        <v>1.04E-2</v>
      </c>
      <c r="D32" s="67">
        <v>919</v>
      </c>
      <c r="E32" s="68">
        <v>2021</v>
      </c>
      <c r="F32" s="68" t="s">
        <v>167</v>
      </c>
    </row>
    <row r="33" spans="2:6" x14ac:dyDescent="0.35">
      <c r="B33" s="10" t="s">
        <v>160</v>
      </c>
      <c r="C33" s="91">
        <v>7.3000000000000001E-3</v>
      </c>
      <c r="D33" s="67">
        <v>642</v>
      </c>
      <c r="E33" s="68">
        <v>2021</v>
      </c>
      <c r="F33" s="68" t="s">
        <v>167</v>
      </c>
    </row>
    <row r="34" spans="2:6" x14ac:dyDescent="0.35">
      <c r="B34" s="10" t="s">
        <v>264</v>
      </c>
      <c r="C34" s="91">
        <v>6.0999999999999995E-3</v>
      </c>
      <c r="D34" s="67">
        <v>542</v>
      </c>
      <c r="E34" s="68">
        <v>2021</v>
      </c>
      <c r="F34" s="68" t="s">
        <v>167</v>
      </c>
    </row>
    <row r="35" spans="2:6" x14ac:dyDescent="0.35">
      <c r="B35" s="10" t="s">
        <v>138</v>
      </c>
      <c r="C35" s="91">
        <v>3.4000000000000002E-3</v>
      </c>
      <c r="D35" s="67">
        <v>301</v>
      </c>
      <c r="E35" s="68">
        <v>2021</v>
      </c>
      <c r="F35" s="68" t="s">
        <v>167</v>
      </c>
    </row>
    <row r="36" spans="2:6" x14ac:dyDescent="0.35">
      <c r="B36" s="10" t="s">
        <v>135</v>
      </c>
      <c r="C36" s="91">
        <v>1.8E-3</v>
      </c>
      <c r="D36" s="67">
        <v>160</v>
      </c>
      <c r="E36" s="68">
        <v>2021</v>
      </c>
      <c r="F36" s="68" t="s">
        <v>167</v>
      </c>
    </row>
    <row r="37" spans="2:6" x14ac:dyDescent="0.35">
      <c r="B37" s="10" t="s">
        <v>354</v>
      </c>
      <c r="C37" s="91">
        <v>1.4000000000000002E-3</v>
      </c>
      <c r="D37" s="67">
        <v>120</v>
      </c>
      <c r="E37" s="68">
        <v>2021</v>
      </c>
      <c r="F37" s="68" t="s">
        <v>167</v>
      </c>
    </row>
    <row r="38" spans="2:6" x14ac:dyDescent="0.35">
      <c r="B38" s="10" t="s">
        <v>260</v>
      </c>
      <c r="C38" s="91">
        <v>1.4000000000000002E-3</v>
      </c>
      <c r="D38" s="67">
        <v>120</v>
      </c>
      <c r="E38" s="68">
        <v>2021</v>
      </c>
      <c r="F38" s="68" t="s">
        <v>167</v>
      </c>
    </row>
    <row r="39" spans="2:6" x14ac:dyDescent="0.35">
      <c r="B39" s="10" t="s">
        <v>244</v>
      </c>
      <c r="C39" s="91">
        <v>1.2999999999999999E-3</v>
      </c>
      <c r="D39" s="67">
        <v>114</v>
      </c>
      <c r="E39" s="68">
        <v>2021</v>
      </c>
      <c r="F39" s="68" t="s">
        <v>167</v>
      </c>
    </row>
    <row r="40" spans="2:6" x14ac:dyDescent="0.35">
      <c r="B40" s="10" t="s">
        <v>178</v>
      </c>
      <c r="C40" s="91">
        <v>7.000000000000001E-4</v>
      </c>
      <c r="D40" s="67">
        <v>58</v>
      </c>
      <c r="E40" s="68">
        <v>2021</v>
      </c>
      <c r="F40" s="68" t="s">
        <v>167</v>
      </c>
    </row>
    <row r="41" spans="2:6" x14ac:dyDescent="0.35">
      <c r="B41" s="10" t="s">
        <v>221</v>
      </c>
      <c r="C41" s="91">
        <v>5.9999999999999995E-4</v>
      </c>
      <c r="D41" s="67">
        <v>50</v>
      </c>
      <c r="E41" s="68">
        <v>2021</v>
      </c>
      <c r="F41" s="68" t="s">
        <v>167</v>
      </c>
    </row>
    <row r="42" spans="2:6" x14ac:dyDescent="0.35">
      <c r="B42" s="10" t="s">
        <v>171</v>
      </c>
      <c r="C42" s="91">
        <v>5.0000000000000001E-4</v>
      </c>
      <c r="D42" s="67">
        <v>40</v>
      </c>
      <c r="E42" s="68">
        <v>2021</v>
      </c>
      <c r="F42" s="68" t="s">
        <v>167</v>
      </c>
    </row>
    <row r="43" spans="2:6" x14ac:dyDescent="0.35">
      <c r="B43" s="10" t="s">
        <v>199</v>
      </c>
      <c r="C43" s="91">
        <v>2.9999999999999997E-4</v>
      </c>
      <c r="D43" s="67">
        <v>25</v>
      </c>
      <c r="E43" s="68">
        <v>2021</v>
      </c>
      <c r="F43" s="68" t="s">
        <v>167</v>
      </c>
    </row>
    <row r="44" spans="2:6" x14ac:dyDescent="0.35">
      <c r="B44" s="10" t="s">
        <v>319</v>
      </c>
      <c r="C44" s="91">
        <v>2.9999999999999997E-4</v>
      </c>
      <c r="D44" s="67">
        <v>24</v>
      </c>
      <c r="E44" s="68">
        <v>2021</v>
      </c>
      <c r="F44" s="68" t="s">
        <v>167</v>
      </c>
    </row>
    <row r="45" spans="2:6" x14ac:dyDescent="0.35">
      <c r="B45" s="10" t="s">
        <v>190</v>
      </c>
      <c r="C45" s="91">
        <v>1E-4</v>
      </c>
      <c r="D45" s="67">
        <v>11</v>
      </c>
      <c r="E45" s="68">
        <v>2021</v>
      </c>
      <c r="F45" s="68" t="s">
        <v>167</v>
      </c>
    </row>
    <row r="46" spans="2:6" x14ac:dyDescent="0.35">
      <c r="B46" s="10" t="s">
        <v>227</v>
      </c>
      <c r="C46" s="91">
        <v>1E-4</v>
      </c>
      <c r="D46" s="67">
        <v>8</v>
      </c>
      <c r="E46" s="68">
        <v>2021</v>
      </c>
      <c r="F46" s="68" t="s">
        <v>167</v>
      </c>
    </row>
    <row r="47" spans="2:6" x14ac:dyDescent="0.35">
      <c r="B47" s="65" t="s">
        <v>134</v>
      </c>
      <c r="C47" s="69">
        <f>SUM(C27:C46)</f>
        <v>1.0003999999999997</v>
      </c>
      <c r="D47" s="70">
        <f>SUM(D27:D46)</f>
        <v>88537</v>
      </c>
      <c r="E47" s="34"/>
      <c r="F47" s="34"/>
    </row>
    <row r="50" spans="2:8" x14ac:dyDescent="0.35">
      <c r="B50" s="4" t="s">
        <v>535</v>
      </c>
      <c r="C50" s="64" t="s">
        <v>541</v>
      </c>
      <c r="D50" s="66" t="s">
        <v>739</v>
      </c>
      <c r="E50" s="64" t="s">
        <v>162</v>
      </c>
      <c r="F50" s="64" t="s">
        <v>127</v>
      </c>
    </row>
    <row r="51" spans="2:8" x14ac:dyDescent="0.35">
      <c r="B51" s="3" t="s">
        <v>137</v>
      </c>
      <c r="C51" s="80">
        <v>0.85599999999999998</v>
      </c>
      <c r="D51" s="71">
        <v>74472</v>
      </c>
      <c r="E51" s="50" t="s">
        <v>129</v>
      </c>
      <c r="F51" s="50" t="s">
        <v>556</v>
      </c>
      <c r="H51" s="13"/>
    </row>
    <row r="52" spans="2:8" x14ac:dyDescent="0.35">
      <c r="B52" s="3" t="s">
        <v>154</v>
      </c>
      <c r="C52" s="80">
        <v>4.3999999999999997E-2</v>
      </c>
      <c r="D52" s="71">
        <v>3828</v>
      </c>
      <c r="E52" s="50" t="s">
        <v>129</v>
      </c>
      <c r="F52" s="50" t="s">
        <v>556</v>
      </c>
      <c r="H52" s="13"/>
    </row>
    <row r="53" spans="2:8" x14ac:dyDescent="0.35">
      <c r="B53" s="3" t="s">
        <v>141</v>
      </c>
      <c r="C53" s="80">
        <v>2.8000000000000001E-2</v>
      </c>
      <c r="D53" s="71">
        <v>2436</v>
      </c>
      <c r="E53" s="50" t="s">
        <v>129</v>
      </c>
      <c r="F53" s="50" t="s">
        <v>556</v>
      </c>
      <c r="H53" s="13"/>
    </row>
    <row r="54" spans="2:8" x14ac:dyDescent="0.35">
      <c r="B54" s="3" t="s">
        <v>197</v>
      </c>
      <c r="C54" s="80">
        <v>2.8000000000000001E-2</v>
      </c>
      <c r="D54" s="71">
        <v>2436</v>
      </c>
      <c r="E54" s="50" t="s">
        <v>129</v>
      </c>
      <c r="F54" s="50" t="s">
        <v>556</v>
      </c>
      <c r="H54" s="13"/>
    </row>
    <row r="55" spans="2:8" x14ac:dyDescent="0.35">
      <c r="B55" s="3" t="s">
        <v>315</v>
      </c>
      <c r="C55" s="80">
        <v>2.3E-2</v>
      </c>
      <c r="D55" s="71">
        <v>2001</v>
      </c>
      <c r="E55" s="50" t="s">
        <v>129</v>
      </c>
      <c r="F55" s="50" t="s">
        <v>556</v>
      </c>
      <c r="H55" s="13"/>
    </row>
    <row r="56" spans="2:8" x14ac:dyDescent="0.35">
      <c r="B56" s="3" t="s">
        <v>181</v>
      </c>
      <c r="C56" s="80">
        <v>2.1999999999999999E-2</v>
      </c>
      <c r="D56" s="71">
        <v>1914</v>
      </c>
      <c r="E56" s="50" t="s">
        <v>129</v>
      </c>
      <c r="F56" s="50" t="s">
        <v>556</v>
      </c>
      <c r="H56" s="13"/>
    </row>
    <row r="57" spans="2:8" x14ac:dyDescent="0.35">
      <c r="B57" s="65" t="s">
        <v>134</v>
      </c>
      <c r="C57" s="69">
        <f>SUM(C51:C56)</f>
        <v>1.0010000000000001</v>
      </c>
      <c r="D57" s="72">
        <f>SUM(D51:D56)</f>
        <v>87087</v>
      </c>
      <c r="E57" s="34"/>
      <c r="F57" s="34"/>
    </row>
    <row r="58" spans="2:8" x14ac:dyDescent="0.35">
      <c r="D58" s="11"/>
    </row>
    <row r="59" spans="2:8" x14ac:dyDescent="0.35">
      <c r="B59" s="77" t="s">
        <v>558</v>
      </c>
      <c r="D59" s="11"/>
      <c r="E59" s="13"/>
    </row>
    <row r="62" spans="2:8" x14ac:dyDescent="0.35">
      <c r="B62" s="2" t="s">
        <v>536</v>
      </c>
    </row>
    <row r="64" spans="2:8" x14ac:dyDescent="0.35">
      <c r="B64" s="4" t="s">
        <v>538</v>
      </c>
      <c r="C64" s="64" t="s">
        <v>548</v>
      </c>
      <c r="D64" s="74" t="s">
        <v>537</v>
      </c>
      <c r="E64" s="74" t="s">
        <v>549</v>
      </c>
      <c r="F64" s="74" t="s">
        <v>127</v>
      </c>
    </row>
    <row r="65" spans="2:6" ht="29" x14ac:dyDescent="0.35">
      <c r="B65" s="73" t="s">
        <v>115</v>
      </c>
      <c r="C65" s="92">
        <v>34.409999999999997</v>
      </c>
      <c r="D65" s="75" t="s">
        <v>740</v>
      </c>
      <c r="E65" s="75" t="s">
        <v>580</v>
      </c>
      <c r="F65" s="76" t="s">
        <v>553</v>
      </c>
    </row>
    <row r="66" spans="2:6" x14ac:dyDescent="0.35">
      <c r="F66"/>
    </row>
    <row r="67" spans="2:6" ht="15" thickBot="1" x14ac:dyDescent="0.4">
      <c r="F67"/>
    </row>
    <row r="68" spans="2:6" x14ac:dyDescent="0.35">
      <c r="B68" s="35" t="s">
        <v>490</v>
      </c>
      <c r="C68" s="81"/>
      <c r="D68" s="93"/>
      <c r="F68"/>
    </row>
    <row r="69" spans="2:6" x14ac:dyDescent="0.35">
      <c r="B69" s="84"/>
      <c r="D69" s="94"/>
      <c r="F69"/>
    </row>
    <row r="70" spans="2:6" x14ac:dyDescent="0.35">
      <c r="B70" s="86" t="s">
        <v>554</v>
      </c>
      <c r="D70" s="94"/>
    </row>
    <row r="71" spans="2:6" x14ac:dyDescent="0.35">
      <c r="B71" s="86" t="s">
        <v>552</v>
      </c>
      <c r="D71" s="94"/>
    </row>
    <row r="72" spans="2:6" ht="15" thickBot="1" x14ac:dyDescent="0.4">
      <c r="B72" s="87" t="s">
        <v>551</v>
      </c>
      <c r="C72" s="88"/>
      <c r="D72" s="9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FC43-C8FE-4EF4-949A-9F34767AEAFA}">
  <sheetPr>
    <tabColor theme="4" tint="0.59999389629810485"/>
  </sheetPr>
  <dimension ref="B1:F66"/>
  <sheetViews>
    <sheetView showGridLines="0" topLeftCell="A51" zoomScaleNormal="100" workbookViewId="0">
      <selection activeCell="E59" sqref="E59"/>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283</v>
      </c>
      <c r="C5" s="80">
        <v>0.85</v>
      </c>
      <c r="D5" s="50" t="s">
        <v>129</v>
      </c>
      <c r="E5" s="50" t="s">
        <v>556</v>
      </c>
      <c r="F5"/>
    </row>
    <row r="6" spans="2:6" x14ac:dyDescent="0.35">
      <c r="B6" s="3" t="s">
        <v>284</v>
      </c>
      <c r="C6" s="80">
        <v>0.13</v>
      </c>
      <c r="D6" s="50" t="s">
        <v>129</v>
      </c>
      <c r="E6" s="50" t="s">
        <v>556</v>
      </c>
      <c r="F6"/>
    </row>
    <row r="7" spans="2:6" x14ac:dyDescent="0.35">
      <c r="B7" s="3" t="s">
        <v>285</v>
      </c>
      <c r="C7" s="80">
        <v>0.02</v>
      </c>
      <c r="D7" s="50" t="s">
        <v>129</v>
      </c>
      <c r="E7" s="50" t="s">
        <v>556</v>
      </c>
      <c r="F7"/>
    </row>
    <row r="8" spans="2:6" x14ac:dyDescent="0.35">
      <c r="B8" s="65" t="s">
        <v>134</v>
      </c>
      <c r="C8" s="79">
        <f>SUM(C5:C7)</f>
        <v>1</v>
      </c>
      <c r="D8" s="9"/>
      <c r="E8" s="5"/>
      <c r="F8" s="5"/>
    </row>
    <row r="11" spans="2:6" x14ac:dyDescent="0.35">
      <c r="B11" s="63" t="s">
        <v>533</v>
      </c>
    </row>
    <row r="13" spans="2:6" x14ac:dyDescent="0.35">
      <c r="B13" s="4" t="s">
        <v>532</v>
      </c>
      <c r="C13" s="64" t="s">
        <v>0</v>
      </c>
      <c r="D13"/>
    </row>
    <row r="14" spans="2:6" ht="29" x14ac:dyDescent="0.35">
      <c r="B14" s="3" t="s">
        <v>41</v>
      </c>
      <c r="C14" s="50">
        <v>710812</v>
      </c>
      <c r="D14"/>
    </row>
    <row r="17" spans="2:6" x14ac:dyDescent="0.35">
      <c r="B17" s="63" t="s">
        <v>534</v>
      </c>
    </row>
    <row r="19" spans="2:6" x14ac:dyDescent="0.35">
      <c r="B19" s="4" t="s">
        <v>605</v>
      </c>
      <c r="C19" s="64" t="s">
        <v>541</v>
      </c>
      <c r="D19" s="66" t="s">
        <v>743</v>
      </c>
      <c r="E19" s="64" t="s">
        <v>162</v>
      </c>
      <c r="F19" s="64" t="s">
        <v>127</v>
      </c>
    </row>
    <row r="20" spans="2:6" x14ac:dyDescent="0.35">
      <c r="B20" s="10" t="s">
        <v>137</v>
      </c>
      <c r="C20" s="91">
        <v>0.10168821980085825</v>
      </c>
      <c r="D20" s="67">
        <v>328.98</v>
      </c>
      <c r="E20" s="68">
        <v>2021</v>
      </c>
      <c r="F20" s="68" t="s">
        <v>167</v>
      </c>
    </row>
    <row r="21" spans="2:6" x14ac:dyDescent="0.35">
      <c r="B21" s="10" t="s">
        <v>141</v>
      </c>
      <c r="C21" s="91">
        <v>9.7005331692210303E-2</v>
      </c>
      <c r="D21" s="67">
        <v>313.83</v>
      </c>
      <c r="E21" s="68">
        <v>2021</v>
      </c>
      <c r="F21" s="68" t="s">
        <v>167</v>
      </c>
    </row>
    <row r="22" spans="2:6" x14ac:dyDescent="0.35">
      <c r="B22" s="10" t="s">
        <v>135</v>
      </c>
      <c r="C22" s="91">
        <v>9.4946715533557144E-2</v>
      </c>
      <c r="D22" s="67">
        <v>307.17</v>
      </c>
      <c r="E22" s="68">
        <v>2021</v>
      </c>
      <c r="F22" s="68" t="s">
        <v>167</v>
      </c>
    </row>
    <row r="23" spans="2:6" x14ac:dyDescent="0.35">
      <c r="B23" s="10" t="s">
        <v>150</v>
      </c>
      <c r="C23" s="91">
        <v>6.8782507821041339E-2</v>
      </c>
      <c r="D23" s="67">
        <v>222.524</v>
      </c>
      <c r="E23" s="68">
        <v>2021</v>
      </c>
      <c r="F23" s="68" t="s">
        <v>167</v>
      </c>
    </row>
    <row r="24" spans="2:6" x14ac:dyDescent="0.35">
      <c r="B24" s="10" t="s">
        <v>154</v>
      </c>
      <c r="C24" s="91">
        <v>5.7801985235456543E-2</v>
      </c>
      <c r="D24" s="67">
        <v>187</v>
      </c>
      <c r="E24" s="68">
        <v>2021</v>
      </c>
      <c r="F24" s="68" t="s">
        <v>167</v>
      </c>
    </row>
    <row r="25" spans="2:6" x14ac:dyDescent="0.35">
      <c r="B25" s="10" t="s">
        <v>173</v>
      </c>
      <c r="C25" s="91">
        <v>3.8568451923739706E-2</v>
      </c>
      <c r="D25" s="67">
        <v>124.776</v>
      </c>
      <c r="E25" s="68">
        <v>2021</v>
      </c>
      <c r="F25" s="68" t="s">
        <v>167</v>
      </c>
    </row>
    <row r="26" spans="2:6" x14ac:dyDescent="0.35">
      <c r="B26" s="10" t="s">
        <v>144</v>
      </c>
      <c r="C26" s="91">
        <v>3.5498146472703399E-2</v>
      </c>
      <c r="D26" s="67">
        <v>114.843</v>
      </c>
      <c r="E26" s="68">
        <v>2021</v>
      </c>
      <c r="F26" s="68" t="s">
        <v>167</v>
      </c>
    </row>
    <row r="27" spans="2:6" x14ac:dyDescent="0.35">
      <c r="B27" s="10" t="s">
        <v>156</v>
      </c>
      <c r="C27" s="91">
        <v>3.2466787813857825E-2</v>
      </c>
      <c r="D27" s="67">
        <v>105.036</v>
      </c>
      <c r="E27" s="68">
        <v>2021</v>
      </c>
      <c r="F27" s="68" t="s">
        <v>167</v>
      </c>
    </row>
    <row r="28" spans="2:6" x14ac:dyDescent="0.35">
      <c r="B28" s="10" t="s">
        <v>136</v>
      </c>
      <c r="C28" s="91">
        <v>3.1542574253141165E-2</v>
      </c>
      <c r="D28" s="67">
        <v>102.04600000000001</v>
      </c>
      <c r="E28" s="68">
        <v>2021</v>
      </c>
      <c r="F28" s="68" t="s">
        <v>167</v>
      </c>
    </row>
    <row r="29" spans="2:6" x14ac:dyDescent="0.35">
      <c r="B29" s="10" t="s">
        <v>199</v>
      </c>
      <c r="C29" s="91">
        <v>3.1021429081446089E-2</v>
      </c>
      <c r="D29" s="67">
        <v>100.36</v>
      </c>
      <c r="E29" s="68">
        <v>2021</v>
      </c>
      <c r="F29" s="68" t="s">
        <v>167</v>
      </c>
    </row>
    <row r="30" spans="2:6" x14ac:dyDescent="0.35">
      <c r="B30" s="10" t="s">
        <v>198</v>
      </c>
      <c r="C30" s="91">
        <v>3.0087633373444406E-2</v>
      </c>
      <c r="D30" s="67">
        <v>97.338999999999999</v>
      </c>
      <c r="E30" s="68">
        <v>2021</v>
      </c>
      <c r="F30" s="68" t="s">
        <v>167</v>
      </c>
    </row>
    <row r="31" spans="2:6" x14ac:dyDescent="0.35">
      <c r="B31" s="10" t="s">
        <v>138</v>
      </c>
      <c r="C31" s="91">
        <v>2.8778279312174922E-2</v>
      </c>
      <c r="D31" s="67">
        <v>93.102999999999994</v>
      </c>
      <c r="E31" s="68">
        <v>2021</v>
      </c>
      <c r="F31" s="68" t="s">
        <v>167</v>
      </c>
    </row>
    <row r="32" spans="2:6" x14ac:dyDescent="0.35">
      <c r="B32" s="10" t="s">
        <v>286</v>
      </c>
      <c r="C32" s="91">
        <v>2.7100785334245391E-2</v>
      </c>
      <c r="D32" s="67">
        <v>87.676000000000002</v>
      </c>
      <c r="E32" s="68">
        <v>2021</v>
      </c>
      <c r="F32" s="68" t="s">
        <v>167</v>
      </c>
    </row>
    <row r="33" spans="2:6" x14ac:dyDescent="0.35">
      <c r="B33" s="10" t="s">
        <v>139</v>
      </c>
      <c r="C33" s="91">
        <v>2.245931682999076E-2</v>
      </c>
      <c r="D33" s="67">
        <v>72.66</v>
      </c>
      <c r="E33" s="68">
        <v>2021</v>
      </c>
      <c r="F33" s="68" t="s">
        <v>167</v>
      </c>
    </row>
    <row r="34" spans="2:6" x14ac:dyDescent="0.35">
      <c r="B34" s="10" t="s">
        <v>287</v>
      </c>
      <c r="C34" s="91">
        <v>2.1451645857436814E-2</v>
      </c>
      <c r="D34" s="67">
        <v>69.400000000000006</v>
      </c>
      <c r="E34" s="68">
        <v>2021</v>
      </c>
      <c r="F34" s="68" t="s">
        <v>167</v>
      </c>
    </row>
    <row r="35" spans="2:6" x14ac:dyDescent="0.35">
      <c r="B35" s="10" t="s">
        <v>288</v>
      </c>
      <c r="C35" s="91">
        <v>2.0665909780064991E-2</v>
      </c>
      <c r="D35" s="67">
        <v>66.858000000000004</v>
      </c>
      <c r="E35" s="68">
        <v>2021</v>
      </c>
      <c r="F35" s="68" t="s">
        <v>167</v>
      </c>
    </row>
    <row r="36" spans="2:6" x14ac:dyDescent="0.35">
      <c r="B36" s="10" t="s">
        <v>268</v>
      </c>
      <c r="C36" s="91">
        <v>1.8434196767230786E-2</v>
      </c>
      <c r="D36" s="67">
        <v>59.637999999999998</v>
      </c>
      <c r="E36" s="68">
        <v>2021</v>
      </c>
      <c r="F36" s="68" t="s">
        <v>167</v>
      </c>
    </row>
    <row r="37" spans="2:6" x14ac:dyDescent="0.35">
      <c r="B37" s="10" t="s">
        <v>271</v>
      </c>
      <c r="C37" s="91">
        <v>1.7165644107303975E-2</v>
      </c>
      <c r="D37" s="67">
        <v>55.533999999999999</v>
      </c>
      <c r="E37" s="68">
        <v>2021</v>
      </c>
      <c r="F37" s="68" t="s">
        <v>167</v>
      </c>
    </row>
    <row r="38" spans="2:6" x14ac:dyDescent="0.35">
      <c r="B38" s="10" t="s">
        <v>236</v>
      </c>
      <c r="C38" s="91">
        <v>1.5362345808567861E-2</v>
      </c>
      <c r="D38" s="67">
        <v>49.7</v>
      </c>
      <c r="E38" s="68">
        <v>2021</v>
      </c>
      <c r="F38" s="68" t="s">
        <v>167</v>
      </c>
    </row>
    <row r="39" spans="2:6" x14ac:dyDescent="0.35">
      <c r="B39" s="10" t="s">
        <v>170</v>
      </c>
      <c r="C39" s="91">
        <v>1.4114193849312388E-2</v>
      </c>
      <c r="D39" s="67">
        <v>45.661999999999999</v>
      </c>
      <c r="E39" s="68">
        <v>2021</v>
      </c>
      <c r="F39" s="68" t="s">
        <v>167</v>
      </c>
    </row>
    <row r="40" spans="2:6" x14ac:dyDescent="0.35">
      <c r="B40" s="10" t="s">
        <v>289</v>
      </c>
      <c r="C40" s="91">
        <v>1.2937444342406597E-2</v>
      </c>
      <c r="D40" s="67">
        <v>41.854999999999997</v>
      </c>
      <c r="E40" s="68">
        <v>2021</v>
      </c>
      <c r="F40" s="68" t="s">
        <v>167</v>
      </c>
    </row>
    <row r="41" spans="2:6" x14ac:dyDescent="0.35">
      <c r="B41" s="10" t="s">
        <v>169</v>
      </c>
      <c r="C41" s="91">
        <v>1.214459892995234E-2</v>
      </c>
      <c r="D41" s="67">
        <v>39.29</v>
      </c>
      <c r="E41" s="68">
        <v>2021</v>
      </c>
      <c r="F41" s="68" t="s">
        <v>167</v>
      </c>
    </row>
    <row r="42" spans="2:6" x14ac:dyDescent="0.35">
      <c r="B42" s="10" t="s">
        <v>232</v>
      </c>
      <c r="C42" s="91">
        <v>1.2099779208780461E-2</v>
      </c>
      <c r="D42" s="67">
        <v>39.145000000000003</v>
      </c>
      <c r="E42" s="68">
        <v>2021</v>
      </c>
      <c r="F42" s="68" t="s">
        <v>167</v>
      </c>
    </row>
    <row r="43" spans="2:6" x14ac:dyDescent="0.35">
      <c r="B43" s="10" t="s">
        <v>161</v>
      </c>
      <c r="C43" s="91">
        <v>1.1523304864052513E-2</v>
      </c>
      <c r="D43" s="67">
        <v>37.28</v>
      </c>
      <c r="E43" s="68">
        <v>2021</v>
      </c>
      <c r="F43" s="68" t="s">
        <v>167</v>
      </c>
    </row>
    <row r="44" spans="2:6" x14ac:dyDescent="0.35">
      <c r="B44" s="10" t="s">
        <v>209</v>
      </c>
      <c r="C44" s="91">
        <v>1.0586109039272276E-2</v>
      </c>
      <c r="D44" s="67">
        <v>34.247999999999998</v>
      </c>
      <c r="E44" s="68">
        <v>2021</v>
      </c>
      <c r="F44" s="68" t="s">
        <v>167</v>
      </c>
    </row>
    <row r="45" spans="2:6" x14ac:dyDescent="0.35">
      <c r="B45" s="10" t="s">
        <v>227</v>
      </c>
      <c r="C45" s="91">
        <v>9.7295887126014197E-3</v>
      </c>
      <c r="D45" s="67">
        <v>31.477</v>
      </c>
      <c r="E45" s="68">
        <v>2021</v>
      </c>
      <c r="F45" s="68" t="s">
        <v>167</v>
      </c>
    </row>
    <row r="46" spans="2:6" x14ac:dyDescent="0.35">
      <c r="B46" s="10" t="s">
        <v>244</v>
      </c>
      <c r="C46" s="91">
        <v>9.7196974637910744E-3</v>
      </c>
      <c r="D46" s="67">
        <v>31.445</v>
      </c>
      <c r="E46" s="68">
        <v>2021</v>
      </c>
      <c r="F46" s="68" t="s">
        <v>167</v>
      </c>
    </row>
    <row r="47" spans="2:6" x14ac:dyDescent="0.35">
      <c r="B47" s="10" t="s">
        <v>275</v>
      </c>
      <c r="C47" s="91">
        <v>7.862615499648706E-3</v>
      </c>
      <c r="D47" s="67">
        <v>25.437000000000001</v>
      </c>
      <c r="E47" s="68">
        <v>2021</v>
      </c>
      <c r="F47" s="68" t="s">
        <v>167</v>
      </c>
    </row>
    <row r="48" spans="2:6" x14ac:dyDescent="0.35">
      <c r="B48" s="10" t="s">
        <v>233</v>
      </c>
      <c r="C48" s="91">
        <v>7.8301598394897604E-3</v>
      </c>
      <c r="D48" s="67">
        <v>25.332000000000001</v>
      </c>
      <c r="E48" s="68">
        <v>2021</v>
      </c>
      <c r="F48" s="68" t="s">
        <v>167</v>
      </c>
    </row>
    <row r="49" spans="2:6" x14ac:dyDescent="0.35">
      <c r="B49" s="10" t="s">
        <v>273</v>
      </c>
      <c r="C49" s="91">
        <v>7.6873549347903965E-3</v>
      </c>
      <c r="D49" s="67">
        <v>24.87</v>
      </c>
      <c r="E49" s="68">
        <v>2021</v>
      </c>
      <c r="F49" s="68" t="s">
        <v>167</v>
      </c>
    </row>
    <row r="50" spans="2:6" x14ac:dyDescent="0.35">
      <c r="B50" s="3" t="s">
        <v>565</v>
      </c>
      <c r="C50" s="91">
        <v>9.2937246517430391E-2</v>
      </c>
      <c r="D50" s="67">
        <v>300.66899999999998</v>
      </c>
      <c r="E50" s="68">
        <v>2021</v>
      </c>
      <c r="F50" s="68" t="s">
        <v>167</v>
      </c>
    </row>
    <row r="51" spans="2:6" x14ac:dyDescent="0.35">
      <c r="B51" s="65" t="s">
        <v>134</v>
      </c>
      <c r="C51" s="69">
        <f>SUM(C20:C50)</f>
        <v>1.0000000000000002</v>
      </c>
      <c r="D51" s="70">
        <f>SUM(D20:D50)</f>
        <v>3235.1829999999995</v>
      </c>
      <c r="E51" s="34"/>
      <c r="F51" s="34"/>
    </row>
    <row r="53" spans="2:6" x14ac:dyDescent="0.35">
      <c r="B53" s="96" t="s">
        <v>749</v>
      </c>
      <c r="D53" s="11"/>
    </row>
    <row r="56" spans="2:6" x14ac:dyDescent="0.35">
      <c r="B56" s="2" t="s">
        <v>536</v>
      </c>
    </row>
    <row r="58" spans="2:6" x14ac:dyDescent="0.35">
      <c r="B58" s="4" t="s">
        <v>538</v>
      </c>
      <c r="C58" s="64" t="s">
        <v>548</v>
      </c>
      <c r="D58" s="74" t="s">
        <v>537</v>
      </c>
      <c r="E58" s="74" t="s">
        <v>549</v>
      </c>
      <c r="F58" s="74" t="s">
        <v>127</v>
      </c>
    </row>
    <row r="59" spans="2:6" ht="29" x14ac:dyDescent="0.35">
      <c r="B59" s="73" t="s">
        <v>41</v>
      </c>
      <c r="C59" s="92">
        <v>51793.135000000002</v>
      </c>
      <c r="D59" s="75" t="s">
        <v>748</v>
      </c>
      <c r="E59" s="75" t="s">
        <v>580</v>
      </c>
      <c r="F59" s="76" t="s">
        <v>721</v>
      </c>
    </row>
    <row r="60" spans="2:6" x14ac:dyDescent="0.35">
      <c r="F60"/>
    </row>
    <row r="61" spans="2:6" ht="15" thickBot="1" x14ac:dyDescent="0.4">
      <c r="F61"/>
    </row>
    <row r="62" spans="2:6" x14ac:dyDescent="0.35">
      <c r="B62" s="35" t="s">
        <v>490</v>
      </c>
      <c r="C62" s="81"/>
      <c r="D62" s="82"/>
      <c r="E62" s="83"/>
      <c r="F62"/>
    </row>
    <row r="63" spans="2:6" x14ac:dyDescent="0.35">
      <c r="B63" s="84"/>
      <c r="E63" s="85"/>
      <c r="F63"/>
    </row>
    <row r="64" spans="2:6" x14ac:dyDescent="0.35">
      <c r="B64" s="86" t="s">
        <v>552</v>
      </c>
      <c r="E64" s="85"/>
      <c r="F64"/>
    </row>
    <row r="65" spans="2:5" x14ac:dyDescent="0.35">
      <c r="B65" s="86" t="s">
        <v>722</v>
      </c>
      <c r="E65" s="85"/>
    </row>
    <row r="66" spans="2:5" ht="15" thickBot="1" x14ac:dyDescent="0.4">
      <c r="B66" s="87" t="s">
        <v>551</v>
      </c>
      <c r="C66" s="88"/>
      <c r="D66" s="89"/>
      <c r="E66" s="90"/>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B200B-1E82-4A05-A99E-03C0755C317B}">
  <sheetPr>
    <tabColor theme="4" tint="0.59999389629810485"/>
  </sheetPr>
  <dimension ref="B1:H81"/>
  <sheetViews>
    <sheetView showGridLines="0" topLeftCell="A60" zoomScaleNormal="100" workbookViewId="0">
      <selection activeCell="B71" sqref="B71:F71"/>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213</v>
      </c>
      <c r="C5" s="80">
        <v>0.84</v>
      </c>
      <c r="D5" s="50">
        <v>2008</v>
      </c>
      <c r="E5" s="50" t="s">
        <v>711</v>
      </c>
      <c r="F5"/>
    </row>
    <row r="6" spans="2:6" x14ac:dyDescent="0.35">
      <c r="B6" s="3" t="s">
        <v>322</v>
      </c>
      <c r="C6" s="80">
        <v>0.06</v>
      </c>
      <c r="D6" s="50">
        <v>2008</v>
      </c>
      <c r="E6" s="50" t="s">
        <v>711</v>
      </c>
      <c r="F6"/>
    </row>
    <row r="7" spans="2:6" x14ac:dyDescent="0.35">
      <c r="B7" s="3" t="s">
        <v>750</v>
      </c>
      <c r="C7" s="80">
        <v>0.04</v>
      </c>
      <c r="D7" s="50">
        <v>2008</v>
      </c>
      <c r="E7" s="50" t="s">
        <v>711</v>
      </c>
      <c r="F7"/>
    </row>
    <row r="8" spans="2:6" x14ac:dyDescent="0.35">
      <c r="B8" s="3" t="s">
        <v>751</v>
      </c>
      <c r="C8" s="80">
        <v>0.04</v>
      </c>
      <c r="D8" s="50">
        <v>2008</v>
      </c>
      <c r="E8" s="50" t="s">
        <v>711</v>
      </c>
      <c r="F8"/>
    </row>
    <row r="9" spans="2:6" x14ac:dyDescent="0.35">
      <c r="B9" s="3" t="s">
        <v>752</v>
      </c>
      <c r="C9" s="80">
        <v>0.01</v>
      </c>
      <c r="D9" s="50">
        <v>2008</v>
      </c>
      <c r="E9" s="50" t="s">
        <v>711</v>
      </c>
      <c r="F9"/>
    </row>
    <row r="10" spans="2:6" x14ac:dyDescent="0.35">
      <c r="B10" s="3" t="s">
        <v>753</v>
      </c>
      <c r="C10" s="80">
        <v>0.01</v>
      </c>
      <c r="D10" s="50">
        <v>2008</v>
      </c>
      <c r="E10" s="50" t="s">
        <v>711</v>
      </c>
      <c r="F10"/>
    </row>
    <row r="11" spans="2:6" x14ac:dyDescent="0.35">
      <c r="B11" s="65" t="s">
        <v>134</v>
      </c>
      <c r="C11" s="79">
        <f>SUM(C5:C10)</f>
        <v>1</v>
      </c>
      <c r="D11" s="9"/>
      <c r="E11" s="5"/>
      <c r="F11" s="5"/>
    </row>
    <row r="14" spans="2:6" x14ac:dyDescent="0.35">
      <c r="B14" s="63" t="s">
        <v>533</v>
      </c>
    </row>
    <row r="16" spans="2:6" x14ac:dyDescent="0.35">
      <c r="B16" s="4" t="s">
        <v>532</v>
      </c>
      <c r="C16" s="64" t="s">
        <v>0</v>
      </c>
      <c r="D16"/>
    </row>
    <row r="17" spans="2:6" x14ac:dyDescent="0.35">
      <c r="B17" s="3" t="s">
        <v>55</v>
      </c>
      <c r="C17" s="50">
        <v>780110</v>
      </c>
      <c r="D17"/>
    </row>
    <row r="18" spans="2:6" ht="29" x14ac:dyDescent="0.35">
      <c r="B18" s="3" t="s">
        <v>56</v>
      </c>
      <c r="C18" s="50">
        <v>780199</v>
      </c>
      <c r="D18"/>
    </row>
    <row r="21" spans="2:6" x14ac:dyDescent="0.35">
      <c r="B21" s="63" t="s">
        <v>534</v>
      </c>
    </row>
    <row r="23" spans="2:6" x14ac:dyDescent="0.35">
      <c r="B23" s="4" t="s">
        <v>531</v>
      </c>
      <c r="C23" s="64" t="s">
        <v>541</v>
      </c>
      <c r="D23" s="66" t="s">
        <v>754</v>
      </c>
      <c r="E23" s="64" t="s">
        <v>162</v>
      </c>
      <c r="F23" s="64" t="s">
        <v>127</v>
      </c>
    </row>
    <row r="24" spans="2:6" x14ac:dyDescent="0.35">
      <c r="B24" s="10" t="s">
        <v>137</v>
      </c>
      <c r="C24" s="91">
        <v>0.42729601102081871</v>
      </c>
      <c r="D24" s="67">
        <v>2000000</v>
      </c>
      <c r="E24" s="68">
        <v>2021</v>
      </c>
      <c r="F24" s="68" t="s">
        <v>167</v>
      </c>
    </row>
    <row r="25" spans="2:6" x14ac:dyDescent="0.35">
      <c r="B25" s="10" t="s">
        <v>135</v>
      </c>
      <c r="C25" s="91">
        <v>0.10372332925123211</v>
      </c>
      <c r="D25" s="67">
        <v>485487</v>
      </c>
      <c r="E25" s="68">
        <v>2021</v>
      </c>
      <c r="F25" s="68" t="s">
        <v>167</v>
      </c>
    </row>
    <row r="26" spans="2:6" x14ac:dyDescent="0.35">
      <c r="B26" s="10" t="s">
        <v>154</v>
      </c>
      <c r="C26" s="91">
        <v>6.1103329575977076E-2</v>
      </c>
      <c r="D26" s="67">
        <v>286000</v>
      </c>
      <c r="E26" s="68">
        <v>2021</v>
      </c>
      <c r="F26" s="68" t="s">
        <v>167</v>
      </c>
    </row>
    <row r="27" spans="2:6" x14ac:dyDescent="0.35">
      <c r="B27" s="10" t="s">
        <v>173</v>
      </c>
      <c r="C27" s="91">
        <v>5.816161018810425E-2</v>
      </c>
      <c r="D27" s="67">
        <v>272231</v>
      </c>
      <c r="E27" s="68">
        <v>2021</v>
      </c>
      <c r="F27" s="68" t="s">
        <v>167</v>
      </c>
    </row>
    <row r="28" spans="2:6" x14ac:dyDescent="0.35">
      <c r="B28" s="10" t="s">
        <v>198</v>
      </c>
      <c r="C28" s="91">
        <v>5.643768443164076E-2</v>
      </c>
      <c r="D28" s="67">
        <v>264162</v>
      </c>
      <c r="E28" s="68">
        <v>2021</v>
      </c>
      <c r="F28" s="68" t="s">
        <v>167</v>
      </c>
    </row>
    <row r="29" spans="2:6" x14ac:dyDescent="0.35">
      <c r="B29" s="10" t="s">
        <v>140</v>
      </c>
      <c r="C29" s="91">
        <v>4.5122458763798459E-2</v>
      </c>
      <c r="D29" s="67">
        <v>211200</v>
      </c>
      <c r="E29" s="68">
        <v>2021</v>
      </c>
      <c r="F29" s="68" t="s">
        <v>167</v>
      </c>
    </row>
    <row r="30" spans="2:6" x14ac:dyDescent="0.35">
      <c r="B30" s="10" t="s">
        <v>141</v>
      </c>
      <c r="C30" s="91">
        <v>4.2622777099326666E-2</v>
      </c>
      <c r="D30" s="67">
        <v>199500</v>
      </c>
      <c r="E30" s="68">
        <v>2021</v>
      </c>
      <c r="F30" s="68" t="s">
        <v>167</v>
      </c>
    </row>
    <row r="31" spans="2:6" x14ac:dyDescent="0.35">
      <c r="B31" s="10" t="s">
        <v>169</v>
      </c>
      <c r="C31" s="91">
        <v>2.001027219610494E-2</v>
      </c>
      <c r="D31" s="67">
        <v>93660</v>
      </c>
      <c r="E31" s="68">
        <v>2021</v>
      </c>
      <c r="F31" s="68" t="s">
        <v>167</v>
      </c>
    </row>
    <row r="32" spans="2:6" x14ac:dyDescent="0.35">
      <c r="B32" s="10" t="s">
        <v>170</v>
      </c>
      <c r="C32" s="91">
        <v>1.9819484527184145E-2</v>
      </c>
      <c r="D32" s="67">
        <v>92767</v>
      </c>
      <c r="E32" s="68">
        <v>2021</v>
      </c>
      <c r="F32" s="68" t="s">
        <v>167</v>
      </c>
    </row>
    <row r="33" spans="2:8" x14ac:dyDescent="0.35">
      <c r="B33" s="10" t="s">
        <v>150</v>
      </c>
      <c r="C33" s="91">
        <v>1.498868947458828E-2</v>
      </c>
      <c r="D33" s="67">
        <v>70156</v>
      </c>
      <c r="E33" s="68">
        <v>2021</v>
      </c>
      <c r="F33" s="68" t="s">
        <v>167</v>
      </c>
    </row>
    <row r="34" spans="2:8" x14ac:dyDescent="0.35">
      <c r="B34" s="10" t="s">
        <v>172</v>
      </c>
      <c r="C34" s="91">
        <v>1.5831317208321333E-2</v>
      </c>
      <c r="D34" s="67">
        <v>74100</v>
      </c>
      <c r="E34" s="68">
        <v>2021</v>
      </c>
      <c r="F34" s="68" t="s">
        <v>167</v>
      </c>
    </row>
    <row r="35" spans="2:8" x14ac:dyDescent="0.35">
      <c r="B35" s="10" t="s">
        <v>239</v>
      </c>
      <c r="C35" s="91">
        <v>1.3973434152402814E-2</v>
      </c>
      <c r="D35" s="67">
        <v>65404</v>
      </c>
      <c r="E35" s="68">
        <v>2021</v>
      </c>
      <c r="F35" s="68" t="s">
        <v>167</v>
      </c>
    </row>
    <row r="36" spans="2:8" x14ac:dyDescent="0.35">
      <c r="B36" s="10" t="s">
        <v>220</v>
      </c>
      <c r="C36" s="91">
        <v>6.2876608021713472E-3</v>
      </c>
      <c r="D36" s="67">
        <v>29430</v>
      </c>
      <c r="E36" s="68">
        <v>2021</v>
      </c>
      <c r="F36" s="68" t="s">
        <v>167</v>
      </c>
    </row>
    <row r="37" spans="2:8" x14ac:dyDescent="0.35">
      <c r="B37" s="3" t="s">
        <v>565</v>
      </c>
      <c r="C37" s="91">
        <v>0.11462194130832892</v>
      </c>
      <c r="D37" s="67">
        <v>536499</v>
      </c>
      <c r="E37" s="68">
        <v>2021</v>
      </c>
      <c r="F37" s="68" t="s">
        <v>167</v>
      </c>
    </row>
    <row r="38" spans="2:8" x14ac:dyDescent="0.35">
      <c r="B38" s="65" t="s">
        <v>134</v>
      </c>
      <c r="C38" s="69">
        <f>SUM(C24:C37)</f>
        <v>1</v>
      </c>
      <c r="D38" s="70">
        <f>SUM(D24:D37)</f>
        <v>4680596</v>
      </c>
      <c r="E38" s="34"/>
      <c r="F38" s="34"/>
    </row>
    <row r="41" spans="2:8" x14ac:dyDescent="0.35">
      <c r="B41" s="4" t="s">
        <v>535</v>
      </c>
      <c r="C41" s="64" t="s">
        <v>541</v>
      </c>
      <c r="D41" s="66" t="s">
        <v>754</v>
      </c>
      <c r="E41" s="64" t="s">
        <v>162</v>
      </c>
      <c r="F41" s="64" t="s">
        <v>127</v>
      </c>
    </row>
    <row r="42" spans="2:8" x14ac:dyDescent="0.35">
      <c r="B42" s="3" t="s">
        <v>137</v>
      </c>
      <c r="C42" s="80">
        <v>0.43200000000000005</v>
      </c>
      <c r="D42" s="71">
        <v>5176777.3920000009</v>
      </c>
      <c r="E42" s="50" t="s">
        <v>129</v>
      </c>
      <c r="F42" s="50" t="s">
        <v>556</v>
      </c>
      <c r="G42" s="13"/>
      <c r="H42" s="13"/>
    </row>
    <row r="43" spans="2:8" x14ac:dyDescent="0.35">
      <c r="B43" s="3" t="s">
        <v>154</v>
      </c>
      <c r="C43" s="80">
        <v>9.5000000000000001E-2</v>
      </c>
      <c r="D43" s="71">
        <v>1138411.6950000001</v>
      </c>
      <c r="E43" s="50" t="s">
        <v>129</v>
      </c>
      <c r="F43" s="50" t="s">
        <v>556</v>
      </c>
      <c r="H43" s="13"/>
    </row>
    <row r="44" spans="2:8" x14ac:dyDescent="0.35">
      <c r="B44" s="3" t="s">
        <v>180</v>
      </c>
      <c r="C44" s="80">
        <v>6.7000000000000004E-2</v>
      </c>
      <c r="D44" s="71">
        <v>802879.82700000005</v>
      </c>
      <c r="E44" s="50" t="s">
        <v>129</v>
      </c>
      <c r="F44" s="50" t="s">
        <v>556</v>
      </c>
      <c r="H44" s="13"/>
    </row>
    <row r="45" spans="2:8" x14ac:dyDescent="0.35">
      <c r="B45" s="3" t="s">
        <v>140</v>
      </c>
      <c r="C45" s="80">
        <v>5.2999999999999999E-2</v>
      </c>
      <c r="D45" s="71">
        <v>635113.89300000004</v>
      </c>
      <c r="E45" s="50" t="s">
        <v>129</v>
      </c>
      <c r="F45" s="50" t="s">
        <v>556</v>
      </c>
      <c r="H45" s="13"/>
    </row>
    <row r="46" spans="2:8" x14ac:dyDescent="0.35">
      <c r="B46" s="3" t="s">
        <v>173</v>
      </c>
      <c r="C46" s="80">
        <v>3.5000000000000003E-2</v>
      </c>
      <c r="D46" s="71">
        <v>419414.83500000002</v>
      </c>
      <c r="E46" s="50" t="s">
        <v>129</v>
      </c>
      <c r="F46" s="50" t="s">
        <v>556</v>
      </c>
      <c r="H46" s="13"/>
    </row>
    <row r="47" spans="2:8" x14ac:dyDescent="0.35">
      <c r="B47" s="3" t="s">
        <v>211</v>
      </c>
      <c r="C47" s="80">
        <v>2.7999999999999997E-2</v>
      </c>
      <c r="D47" s="71">
        <v>335531.86799999996</v>
      </c>
      <c r="E47" s="50" t="s">
        <v>129</v>
      </c>
      <c r="F47" s="50" t="s">
        <v>556</v>
      </c>
      <c r="H47" s="13"/>
    </row>
    <row r="48" spans="2:8" x14ac:dyDescent="0.35">
      <c r="B48" s="3" t="s">
        <v>323</v>
      </c>
      <c r="C48" s="80">
        <v>2.6000000000000002E-2</v>
      </c>
      <c r="D48" s="71">
        <v>311565.30600000004</v>
      </c>
      <c r="E48" s="50" t="s">
        <v>129</v>
      </c>
      <c r="F48" s="50" t="s">
        <v>556</v>
      </c>
      <c r="H48" s="13"/>
    </row>
    <row r="49" spans="2:8" x14ac:dyDescent="0.35">
      <c r="B49" s="3" t="s">
        <v>181</v>
      </c>
      <c r="C49" s="80">
        <v>0.02</v>
      </c>
      <c r="D49" s="71">
        <v>239665.62</v>
      </c>
      <c r="E49" s="50" t="s">
        <v>129</v>
      </c>
      <c r="F49" s="50" t="s">
        <v>556</v>
      </c>
      <c r="H49" s="13"/>
    </row>
    <row r="50" spans="2:8" x14ac:dyDescent="0.35">
      <c r="B50" s="3" t="s">
        <v>138</v>
      </c>
      <c r="C50" s="80">
        <v>0.02</v>
      </c>
      <c r="D50" s="71">
        <v>239665.62</v>
      </c>
      <c r="E50" s="50" t="s">
        <v>129</v>
      </c>
      <c r="F50" s="50" t="s">
        <v>556</v>
      </c>
      <c r="H50" s="13"/>
    </row>
    <row r="51" spans="2:8" x14ac:dyDescent="0.35">
      <c r="B51" s="3" t="s">
        <v>150</v>
      </c>
      <c r="C51" s="80">
        <v>1.9E-2</v>
      </c>
      <c r="D51" s="71">
        <v>227682.33900000001</v>
      </c>
      <c r="E51" s="50" t="s">
        <v>129</v>
      </c>
      <c r="F51" s="50" t="s">
        <v>556</v>
      </c>
      <c r="H51" s="13"/>
    </row>
    <row r="52" spans="2:8" x14ac:dyDescent="0.35">
      <c r="B52" s="3" t="s">
        <v>160</v>
      </c>
      <c r="C52" s="80">
        <v>1.4999999999999999E-2</v>
      </c>
      <c r="D52" s="71">
        <v>179749.215</v>
      </c>
      <c r="E52" s="50" t="s">
        <v>129</v>
      </c>
      <c r="F52" s="50" t="s">
        <v>556</v>
      </c>
      <c r="H52" s="13"/>
    </row>
    <row r="53" spans="2:8" x14ac:dyDescent="0.35">
      <c r="B53" s="3" t="s">
        <v>135</v>
      </c>
      <c r="C53" s="80">
        <v>1.4999999999999999E-2</v>
      </c>
      <c r="D53" s="71">
        <v>179749.215</v>
      </c>
      <c r="E53" s="50" t="s">
        <v>129</v>
      </c>
      <c r="F53" s="50" t="s">
        <v>556</v>
      </c>
      <c r="H53" s="13"/>
    </row>
    <row r="54" spans="2:8" x14ac:dyDescent="0.35">
      <c r="B54" s="3" t="s">
        <v>320</v>
      </c>
      <c r="C54" s="80">
        <v>1.3999999999999999E-2</v>
      </c>
      <c r="D54" s="71">
        <v>167765.93399999998</v>
      </c>
      <c r="E54" s="50" t="s">
        <v>129</v>
      </c>
      <c r="F54" s="50" t="s">
        <v>556</v>
      </c>
      <c r="H54" s="13"/>
    </row>
    <row r="55" spans="2:8" x14ac:dyDescent="0.35">
      <c r="B55" s="3" t="s">
        <v>220</v>
      </c>
      <c r="C55" s="80">
        <v>1.3000000000000001E-2</v>
      </c>
      <c r="D55" s="71">
        <v>155782.65300000002</v>
      </c>
      <c r="E55" s="50" t="s">
        <v>129</v>
      </c>
      <c r="F55" s="50" t="s">
        <v>556</v>
      </c>
      <c r="H55" s="13"/>
    </row>
    <row r="56" spans="2:8" x14ac:dyDescent="0.35">
      <c r="B56" s="3" t="s">
        <v>141</v>
      </c>
      <c r="C56" s="80">
        <v>1.2E-2</v>
      </c>
      <c r="D56" s="71">
        <v>143799.372</v>
      </c>
      <c r="E56" s="50" t="s">
        <v>129</v>
      </c>
      <c r="F56" s="50" t="s">
        <v>556</v>
      </c>
      <c r="H56" s="13"/>
    </row>
    <row r="57" spans="2:8" x14ac:dyDescent="0.35">
      <c r="B57" s="3" t="s">
        <v>144</v>
      </c>
      <c r="C57" s="80">
        <v>1.1000000000000001E-2</v>
      </c>
      <c r="D57" s="71">
        <v>131816.09100000001</v>
      </c>
      <c r="E57" s="50" t="s">
        <v>129</v>
      </c>
      <c r="F57" s="50" t="s">
        <v>556</v>
      </c>
      <c r="H57" s="13"/>
    </row>
    <row r="58" spans="2:8" x14ac:dyDescent="0.35">
      <c r="B58" s="3" t="s">
        <v>175</v>
      </c>
      <c r="C58" s="80">
        <v>1.1000000000000001E-2</v>
      </c>
      <c r="D58" s="71">
        <v>131816.09100000001</v>
      </c>
      <c r="E58" s="50" t="s">
        <v>129</v>
      </c>
      <c r="F58" s="50" t="s">
        <v>556</v>
      </c>
      <c r="H58" s="13"/>
    </row>
    <row r="59" spans="2:8" x14ac:dyDescent="0.35">
      <c r="B59" s="3" t="s">
        <v>172</v>
      </c>
      <c r="C59" s="80">
        <v>0.01</v>
      </c>
      <c r="D59" s="71">
        <v>119832.81</v>
      </c>
      <c r="E59" s="50" t="s">
        <v>129</v>
      </c>
      <c r="F59" s="50" t="s">
        <v>556</v>
      </c>
      <c r="H59" s="13"/>
    </row>
    <row r="60" spans="2:8" x14ac:dyDescent="0.35">
      <c r="B60" s="3" t="s">
        <v>219</v>
      </c>
      <c r="C60" s="80">
        <v>9.0000000000000011E-3</v>
      </c>
      <c r="D60" s="71">
        <v>107849.52900000001</v>
      </c>
      <c r="E60" s="50" t="s">
        <v>129</v>
      </c>
      <c r="F60" s="50" t="s">
        <v>556</v>
      </c>
      <c r="H60" s="13"/>
    </row>
    <row r="61" spans="2:8" x14ac:dyDescent="0.35">
      <c r="B61" s="3" t="s">
        <v>239</v>
      </c>
      <c r="C61" s="80">
        <v>6.0000000000000001E-3</v>
      </c>
      <c r="D61" s="71">
        <f>C61*D63</f>
        <v>71899.686000000002</v>
      </c>
      <c r="E61" s="50" t="s">
        <v>129</v>
      </c>
      <c r="F61" s="50" t="s">
        <v>556</v>
      </c>
      <c r="H61" s="13"/>
    </row>
    <row r="62" spans="2:8" x14ac:dyDescent="0.35">
      <c r="B62" s="3" t="s">
        <v>565</v>
      </c>
      <c r="C62" s="80">
        <v>8.8999999999999635E-2</v>
      </c>
      <c r="D62" s="71">
        <v>1138411.6950000001</v>
      </c>
      <c r="E62" s="50" t="s">
        <v>129</v>
      </c>
      <c r="F62" s="50" t="s">
        <v>556</v>
      </c>
      <c r="H62" s="13"/>
    </row>
    <row r="63" spans="2:8" x14ac:dyDescent="0.35">
      <c r="B63" s="65" t="s">
        <v>134</v>
      </c>
      <c r="C63" s="69">
        <f>SUM(C42:C62)</f>
        <v>1</v>
      </c>
      <c r="D63" s="72">
        <v>11983281</v>
      </c>
      <c r="E63" s="34"/>
      <c r="F63" s="34"/>
    </row>
    <row r="64" spans="2:8" x14ac:dyDescent="0.35">
      <c r="D64" s="11"/>
    </row>
    <row r="65" spans="2:6" x14ac:dyDescent="0.35">
      <c r="B65" s="77" t="s">
        <v>558</v>
      </c>
      <c r="D65" s="11"/>
      <c r="E65" s="13"/>
    </row>
    <row r="68" spans="2:6" x14ac:dyDescent="0.35">
      <c r="B68" s="2" t="s">
        <v>536</v>
      </c>
    </row>
    <row r="70" spans="2:6" x14ac:dyDescent="0.35">
      <c r="B70" s="4" t="s">
        <v>538</v>
      </c>
      <c r="C70" s="64" t="s">
        <v>548</v>
      </c>
      <c r="D70" s="74" t="s">
        <v>537</v>
      </c>
      <c r="E70" s="74" t="s">
        <v>549</v>
      </c>
      <c r="F70" s="74" t="s">
        <v>127</v>
      </c>
    </row>
    <row r="71" spans="2:6" x14ac:dyDescent="0.35">
      <c r="B71" s="73" t="s">
        <v>55</v>
      </c>
      <c r="C71" s="92">
        <v>2.0625835737454548</v>
      </c>
      <c r="D71" s="75" t="s">
        <v>755</v>
      </c>
      <c r="E71" s="75" t="s">
        <v>580</v>
      </c>
      <c r="F71" s="76" t="s">
        <v>662</v>
      </c>
    </row>
    <row r="72" spans="2:6" x14ac:dyDescent="0.35">
      <c r="F72"/>
    </row>
    <row r="73" spans="2:6" ht="15" thickBot="1" x14ac:dyDescent="0.4">
      <c r="F73"/>
    </row>
    <row r="74" spans="2:6" x14ac:dyDescent="0.35">
      <c r="B74" s="35" t="s">
        <v>490</v>
      </c>
      <c r="C74" s="81"/>
      <c r="D74" s="82"/>
      <c r="E74" s="83"/>
      <c r="F74"/>
    </row>
    <row r="75" spans="2:6" x14ac:dyDescent="0.35">
      <c r="B75" s="84"/>
      <c r="E75" s="85"/>
      <c r="F75"/>
    </row>
    <row r="76" spans="2:6" x14ac:dyDescent="0.35">
      <c r="B76" s="86" t="s">
        <v>552</v>
      </c>
      <c r="E76" s="85"/>
    </row>
    <row r="77" spans="2:6" x14ac:dyDescent="0.35">
      <c r="B77" s="86" t="s">
        <v>664</v>
      </c>
      <c r="E77" s="85"/>
    </row>
    <row r="78" spans="2:6" x14ac:dyDescent="0.35">
      <c r="B78" s="86" t="s">
        <v>784</v>
      </c>
      <c r="E78" s="85"/>
    </row>
    <row r="79" spans="2:6" ht="15" thickBot="1" x14ac:dyDescent="0.4">
      <c r="B79" s="87" t="s">
        <v>551</v>
      </c>
      <c r="C79" s="88"/>
      <c r="D79" s="89"/>
      <c r="E79" s="90"/>
    </row>
    <row r="81" spans="2:2" x14ac:dyDescent="0.35">
      <c r="B81" s="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9203-94C1-4E9C-B78E-BE289924FE76}">
  <sheetPr>
    <tabColor theme="4" tint="0.59999389629810485"/>
  </sheetPr>
  <dimension ref="B1:F44"/>
  <sheetViews>
    <sheetView showGridLines="0" zoomScaleNormal="100" workbookViewId="0">
      <selection activeCell="B1" sqref="B1"/>
    </sheetView>
  </sheetViews>
  <sheetFormatPr baseColWidth="10" defaultColWidth="11.453125" defaultRowHeight="14.5" x14ac:dyDescent="0.35"/>
  <cols>
    <col min="1" max="1" width="1.453125" style="1" customWidth="1"/>
    <col min="2" max="2" width="45.4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6" ht="7.5" customHeight="1" x14ac:dyDescent="0.35"/>
    <row r="2" spans="2:6" x14ac:dyDescent="0.35">
      <c r="B2" s="63" t="s">
        <v>126</v>
      </c>
    </row>
    <row r="4" spans="2:6" x14ac:dyDescent="0.35">
      <c r="B4" s="4" t="s">
        <v>528</v>
      </c>
      <c r="C4" s="64" t="s">
        <v>541</v>
      </c>
      <c r="D4" s="64" t="s">
        <v>162</v>
      </c>
      <c r="E4" s="64" t="s">
        <v>127</v>
      </c>
      <c r="F4"/>
    </row>
    <row r="5" spans="2:6" x14ac:dyDescent="0.35">
      <c r="B5" s="3" t="s">
        <v>133</v>
      </c>
      <c r="C5" s="80">
        <v>0.84</v>
      </c>
      <c r="D5" s="50" t="s">
        <v>129</v>
      </c>
      <c r="E5" s="50" t="s">
        <v>556</v>
      </c>
      <c r="F5"/>
    </row>
    <row r="6" spans="2:6" x14ac:dyDescent="0.35">
      <c r="B6" s="3" t="s">
        <v>195</v>
      </c>
      <c r="C6" s="80">
        <v>0.09</v>
      </c>
      <c r="D6" s="50" t="s">
        <v>129</v>
      </c>
      <c r="E6" s="50" t="s">
        <v>556</v>
      </c>
      <c r="F6"/>
    </row>
    <row r="7" spans="2:6" x14ac:dyDescent="0.35">
      <c r="B7" s="3" t="s">
        <v>196</v>
      </c>
      <c r="C7" s="80">
        <v>7.0000000000000007E-2</v>
      </c>
      <c r="D7" s="50" t="s">
        <v>129</v>
      </c>
      <c r="E7" s="50" t="s">
        <v>556</v>
      </c>
      <c r="F7"/>
    </row>
    <row r="8" spans="2:6" x14ac:dyDescent="0.35">
      <c r="B8" s="65" t="s">
        <v>134</v>
      </c>
      <c r="C8" s="79">
        <f>SUM(C5:C7)</f>
        <v>1</v>
      </c>
      <c r="D8" s="9"/>
      <c r="E8" s="5"/>
      <c r="F8" s="5"/>
    </row>
    <row r="11" spans="2:6" x14ac:dyDescent="0.35">
      <c r="B11" s="63" t="s">
        <v>533</v>
      </c>
    </row>
    <row r="13" spans="2:6" x14ac:dyDescent="0.35">
      <c r="B13" s="4" t="s">
        <v>532</v>
      </c>
      <c r="C13" s="64" t="s">
        <v>0</v>
      </c>
      <c r="D13"/>
    </row>
    <row r="14" spans="2:6" x14ac:dyDescent="0.35">
      <c r="B14" s="3" t="s">
        <v>17</v>
      </c>
      <c r="C14" s="50">
        <v>810600</v>
      </c>
      <c r="D14"/>
    </row>
    <row r="17" spans="2:6" x14ac:dyDescent="0.35">
      <c r="B17" s="63" t="s">
        <v>534</v>
      </c>
    </row>
    <row r="19" spans="2:6" x14ac:dyDescent="0.35">
      <c r="B19" s="4" t="s">
        <v>535</v>
      </c>
      <c r="C19" s="64" t="s">
        <v>541</v>
      </c>
      <c r="D19" s="66" t="s">
        <v>756</v>
      </c>
      <c r="E19" s="64" t="s">
        <v>162</v>
      </c>
      <c r="F19" s="64" t="s">
        <v>127</v>
      </c>
    </row>
    <row r="20" spans="2:6" x14ac:dyDescent="0.35">
      <c r="B20" s="3" t="s">
        <v>137</v>
      </c>
      <c r="C20" s="80">
        <v>0.71793951359597952</v>
      </c>
      <c r="D20" s="71">
        <v>8000</v>
      </c>
      <c r="E20" s="68">
        <v>2021</v>
      </c>
      <c r="F20" s="68" t="s">
        <v>167</v>
      </c>
    </row>
    <row r="21" spans="2:6" x14ac:dyDescent="0.35">
      <c r="B21" s="3" t="s">
        <v>197</v>
      </c>
      <c r="C21" s="80">
        <v>0.18549762182536123</v>
      </c>
      <c r="D21" s="71">
        <v>2067</v>
      </c>
      <c r="E21" s="68">
        <v>2021</v>
      </c>
      <c r="F21" s="68" t="s">
        <v>167</v>
      </c>
    </row>
    <row r="22" spans="2:6" x14ac:dyDescent="0.35">
      <c r="B22" s="3" t="s">
        <v>181</v>
      </c>
      <c r="C22" s="80">
        <v>4.487121959974872E-2</v>
      </c>
      <c r="D22" s="71">
        <v>500</v>
      </c>
      <c r="E22" s="68">
        <v>2021</v>
      </c>
      <c r="F22" s="68" t="s">
        <v>167</v>
      </c>
    </row>
    <row r="23" spans="2:6" x14ac:dyDescent="0.35">
      <c r="B23" s="3" t="s">
        <v>144</v>
      </c>
      <c r="C23" s="80">
        <v>2.243560979987436E-2</v>
      </c>
      <c r="D23" s="71">
        <v>250</v>
      </c>
      <c r="E23" s="68">
        <v>2021</v>
      </c>
      <c r="F23" s="68" t="s">
        <v>167</v>
      </c>
    </row>
    <row r="24" spans="2:6" x14ac:dyDescent="0.35">
      <c r="B24" s="3" t="s">
        <v>198</v>
      </c>
      <c r="C24" s="80">
        <v>2.2256124921475367E-2</v>
      </c>
      <c r="D24" s="71">
        <v>248</v>
      </c>
      <c r="E24" s="68">
        <v>2021</v>
      </c>
      <c r="F24" s="68" t="s">
        <v>167</v>
      </c>
    </row>
    <row r="25" spans="2:6" x14ac:dyDescent="0.35">
      <c r="B25" s="3" t="s">
        <v>141</v>
      </c>
      <c r="C25" s="80">
        <v>4.0384097639773846E-3</v>
      </c>
      <c r="D25" s="71">
        <v>45</v>
      </c>
      <c r="E25" s="68">
        <v>2021</v>
      </c>
      <c r="F25" s="68" t="s">
        <v>167</v>
      </c>
    </row>
    <row r="26" spans="2:6" x14ac:dyDescent="0.35">
      <c r="B26" s="3" t="s">
        <v>170</v>
      </c>
      <c r="C26" s="80">
        <v>2.4230458583864309E-3</v>
      </c>
      <c r="D26" s="71">
        <v>27</v>
      </c>
      <c r="E26" s="68">
        <v>2021</v>
      </c>
      <c r="F26" s="68" t="s">
        <v>167</v>
      </c>
    </row>
    <row r="27" spans="2:6" x14ac:dyDescent="0.35">
      <c r="B27" s="3" t="s">
        <v>150</v>
      </c>
      <c r="C27" s="80">
        <v>3.5896975679798978E-4</v>
      </c>
      <c r="D27" s="71">
        <v>4</v>
      </c>
      <c r="E27" s="68">
        <v>2021</v>
      </c>
      <c r="F27" s="68" t="s">
        <v>167</v>
      </c>
    </row>
    <row r="28" spans="2:6" x14ac:dyDescent="0.35">
      <c r="B28" s="3" t="s">
        <v>199</v>
      </c>
      <c r="C28" s="80">
        <v>1.7948487839899489E-4</v>
      </c>
      <c r="D28" s="71">
        <v>2</v>
      </c>
      <c r="E28" s="68">
        <v>2021</v>
      </c>
      <c r="F28" s="68" t="s">
        <v>167</v>
      </c>
    </row>
    <row r="29" spans="2:6" x14ac:dyDescent="0.35">
      <c r="B29" s="65" t="s">
        <v>134</v>
      </c>
      <c r="C29" s="69">
        <f>SUM(C20:C28)</f>
        <v>1</v>
      </c>
      <c r="D29" s="72">
        <f>SUM(D20:D28)</f>
        <v>11143</v>
      </c>
      <c r="E29" s="34"/>
      <c r="F29" s="34"/>
    </row>
    <row r="30" spans="2:6" x14ac:dyDescent="0.35">
      <c r="D30" s="11"/>
    </row>
    <row r="31" spans="2:6" x14ac:dyDescent="0.35">
      <c r="B31" s="96" t="s">
        <v>758</v>
      </c>
      <c r="D31" s="11"/>
    </row>
    <row r="34" spans="2:6" x14ac:dyDescent="0.35">
      <c r="B34" s="2" t="s">
        <v>536</v>
      </c>
    </row>
    <row r="36" spans="2:6" x14ac:dyDescent="0.35">
      <c r="B36" s="4" t="s">
        <v>538</v>
      </c>
      <c r="C36" s="64" t="s">
        <v>548</v>
      </c>
      <c r="D36" s="74" t="s">
        <v>537</v>
      </c>
      <c r="E36" s="74" t="s">
        <v>549</v>
      </c>
      <c r="F36" s="74" t="s">
        <v>127</v>
      </c>
    </row>
    <row r="37" spans="2:6" ht="29" x14ac:dyDescent="0.35">
      <c r="B37" s="73" t="s">
        <v>17</v>
      </c>
      <c r="C37" s="92">
        <v>10.744722818659749</v>
      </c>
      <c r="D37" s="75" t="s">
        <v>757</v>
      </c>
      <c r="E37" s="75" t="s">
        <v>580</v>
      </c>
      <c r="F37" s="76" t="s">
        <v>553</v>
      </c>
    </row>
    <row r="38" spans="2:6" x14ac:dyDescent="0.35">
      <c r="F38"/>
    </row>
    <row r="39" spans="2:6" ht="15" thickBot="1" x14ac:dyDescent="0.4">
      <c r="F39"/>
    </row>
    <row r="40" spans="2:6" x14ac:dyDescent="0.35">
      <c r="B40" s="35" t="s">
        <v>490</v>
      </c>
      <c r="C40" s="81"/>
      <c r="D40" s="93"/>
      <c r="F40"/>
    </row>
    <row r="41" spans="2:6" x14ac:dyDescent="0.35">
      <c r="B41" s="84"/>
      <c r="D41" s="94"/>
      <c r="F41"/>
    </row>
    <row r="42" spans="2:6" x14ac:dyDescent="0.35">
      <c r="B42" s="86" t="s">
        <v>554</v>
      </c>
      <c r="D42" s="94"/>
    </row>
    <row r="43" spans="2:6" x14ac:dyDescent="0.35">
      <c r="B43" s="86" t="s">
        <v>552</v>
      </c>
      <c r="D43" s="94"/>
    </row>
    <row r="44" spans="2:6" ht="15" thickBot="1" x14ac:dyDescent="0.4">
      <c r="B44" s="87" t="s">
        <v>551</v>
      </c>
      <c r="C44" s="88"/>
      <c r="D44" s="9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6ED2-E2A8-4233-9C91-0162E7F51496}">
  <sheetPr>
    <tabColor theme="4" tint="0.59999389629810485"/>
  </sheetPr>
  <dimension ref="B1:G54"/>
  <sheetViews>
    <sheetView showGridLines="0" zoomScaleNormal="100" workbookViewId="0">
      <selection activeCell="D55" sqref="D55"/>
    </sheetView>
  </sheetViews>
  <sheetFormatPr baseColWidth="10" defaultColWidth="11.453125" defaultRowHeight="14.5" x14ac:dyDescent="0.35"/>
  <cols>
    <col min="1" max="1" width="1.453125" style="1" customWidth="1"/>
    <col min="2" max="2" width="46.26953125" style="1" customWidth="1"/>
    <col min="3" max="3" width="17.1796875" style="1" customWidth="1"/>
    <col min="4" max="4" width="36.453125" style="12" customWidth="1"/>
    <col min="5" max="5" width="22.81640625" style="1" customWidth="1"/>
    <col min="6" max="6" width="27.26953125" style="1" bestFit="1" customWidth="1"/>
    <col min="7" max="16384" width="11.453125" style="1"/>
  </cols>
  <sheetData>
    <row r="1" spans="2:7" ht="7.5" customHeight="1" x14ac:dyDescent="0.35"/>
    <row r="2" spans="2:7" x14ac:dyDescent="0.35">
      <c r="B2" s="63" t="s">
        <v>533</v>
      </c>
    </row>
    <row r="4" spans="2:7" x14ac:dyDescent="0.35">
      <c r="B4" s="4" t="s">
        <v>532</v>
      </c>
      <c r="C4" s="64" t="s">
        <v>0</v>
      </c>
      <c r="D4"/>
    </row>
    <row r="5" spans="2:7" ht="29" x14ac:dyDescent="0.35">
      <c r="B5" s="3" t="s">
        <v>92</v>
      </c>
      <c r="C5" s="50">
        <v>280530</v>
      </c>
      <c r="D5"/>
    </row>
    <row r="6" spans="2:7" x14ac:dyDescent="0.35">
      <c r="B6" s="3" t="s">
        <v>93</v>
      </c>
      <c r="C6" s="50">
        <v>284610</v>
      </c>
      <c r="D6"/>
    </row>
    <row r="7" spans="2:7" ht="43.5" x14ac:dyDescent="0.35">
      <c r="B7" s="3" t="s">
        <v>94</v>
      </c>
      <c r="C7" s="50">
        <v>284690</v>
      </c>
      <c r="D7"/>
    </row>
    <row r="10" spans="2:7" x14ac:dyDescent="0.35">
      <c r="B10" s="63" t="s">
        <v>534</v>
      </c>
    </row>
    <row r="12" spans="2:7" x14ac:dyDescent="0.35">
      <c r="B12" s="4" t="s">
        <v>605</v>
      </c>
      <c r="C12" s="64" t="s">
        <v>541</v>
      </c>
      <c r="D12" s="66" t="s">
        <v>760</v>
      </c>
      <c r="E12" s="64" t="s">
        <v>162</v>
      </c>
      <c r="F12" s="64" t="s">
        <v>127</v>
      </c>
    </row>
    <row r="13" spans="2:7" x14ac:dyDescent="0.35">
      <c r="B13" s="10" t="s">
        <v>137</v>
      </c>
      <c r="C13" s="91">
        <v>0.62409999999999999</v>
      </c>
      <c r="D13" s="67">
        <v>168000</v>
      </c>
      <c r="E13" s="68">
        <v>2021</v>
      </c>
      <c r="F13" s="68" t="s">
        <v>167</v>
      </c>
    </row>
    <row r="14" spans="2:7" x14ac:dyDescent="0.35">
      <c r="B14" s="10" t="s">
        <v>154</v>
      </c>
      <c r="C14" s="91">
        <v>0.15759999999999999</v>
      </c>
      <c r="D14" s="67">
        <v>42413</v>
      </c>
      <c r="E14" s="68">
        <v>2021</v>
      </c>
      <c r="F14" s="68" t="s">
        <v>167</v>
      </c>
      <c r="G14" s="13"/>
    </row>
    <row r="15" spans="2:7" x14ac:dyDescent="0.35">
      <c r="B15" s="10" t="s">
        <v>171</v>
      </c>
      <c r="C15" s="91">
        <v>0.1007</v>
      </c>
      <c r="D15" s="67">
        <v>27100</v>
      </c>
      <c r="E15" s="68">
        <v>2021</v>
      </c>
      <c r="F15" s="68" t="s">
        <v>167</v>
      </c>
      <c r="G15" s="13"/>
    </row>
    <row r="16" spans="2:7" x14ac:dyDescent="0.35">
      <c r="B16" s="10" t="s">
        <v>135</v>
      </c>
      <c r="C16" s="91">
        <v>8.1600000000000006E-2</v>
      </c>
      <c r="D16" s="67">
        <v>21970</v>
      </c>
      <c r="E16" s="68">
        <v>2021</v>
      </c>
      <c r="F16" s="68" t="s">
        <v>167</v>
      </c>
    </row>
    <row r="17" spans="2:6" x14ac:dyDescent="0.35">
      <c r="B17" s="10" t="s">
        <v>191</v>
      </c>
      <c r="C17" s="91">
        <v>1.52E-2</v>
      </c>
      <c r="D17" s="67">
        <v>4100</v>
      </c>
      <c r="E17" s="68">
        <v>2021</v>
      </c>
      <c r="F17" s="68" t="s">
        <v>167</v>
      </c>
    </row>
    <row r="18" spans="2:6" x14ac:dyDescent="0.35">
      <c r="B18" s="10" t="s">
        <v>140</v>
      </c>
      <c r="C18" s="91">
        <v>9.7000000000000003E-3</v>
      </c>
      <c r="D18" s="67">
        <v>2600</v>
      </c>
      <c r="E18" s="68">
        <v>2021</v>
      </c>
      <c r="F18" s="68" t="s">
        <v>167</v>
      </c>
    </row>
    <row r="19" spans="2:6" x14ac:dyDescent="0.35">
      <c r="B19" s="10" t="s">
        <v>141</v>
      </c>
      <c r="C19" s="91">
        <v>8.5000000000000006E-3</v>
      </c>
      <c r="D19" s="67">
        <v>2276</v>
      </c>
      <c r="E19" s="68">
        <v>2021</v>
      </c>
      <c r="F19" s="68" t="s">
        <v>167</v>
      </c>
    </row>
    <row r="20" spans="2:6" x14ac:dyDescent="0.35">
      <c r="B20" s="10" t="s">
        <v>138</v>
      </c>
      <c r="C20" s="91">
        <v>2.2000000000000001E-3</v>
      </c>
      <c r="D20" s="67">
        <v>580</v>
      </c>
      <c r="E20" s="68">
        <v>2021</v>
      </c>
      <c r="F20" s="68" t="s">
        <v>167</v>
      </c>
    </row>
    <row r="21" spans="2:6" x14ac:dyDescent="0.35">
      <c r="B21" s="10" t="s">
        <v>354</v>
      </c>
      <c r="C21" s="91">
        <v>5.0000000000000001E-4</v>
      </c>
      <c r="D21" s="67">
        <v>134</v>
      </c>
      <c r="E21" s="68">
        <v>2021</v>
      </c>
      <c r="F21" s="68" t="s">
        <v>167</v>
      </c>
    </row>
    <row r="22" spans="2:6" x14ac:dyDescent="0.35">
      <c r="B22" s="10" t="s">
        <v>155</v>
      </c>
      <c r="C22" s="91">
        <v>1E-4</v>
      </c>
      <c r="D22" s="67">
        <v>30</v>
      </c>
      <c r="E22" s="68">
        <v>2021</v>
      </c>
      <c r="F22" s="68" t="s">
        <v>167</v>
      </c>
    </row>
    <row r="23" spans="2:6" x14ac:dyDescent="0.35">
      <c r="B23" s="65" t="s">
        <v>134</v>
      </c>
      <c r="C23" s="69">
        <f>SUM(C13:C22)</f>
        <v>1.0002</v>
      </c>
      <c r="D23" s="70">
        <f>SUM(D13:D22)</f>
        <v>269203</v>
      </c>
      <c r="E23" s="34"/>
      <c r="F23" s="34"/>
    </row>
    <row r="25" spans="2:6" x14ac:dyDescent="0.35">
      <c r="B25" s="96" t="s">
        <v>759</v>
      </c>
      <c r="D25" s="11"/>
    </row>
    <row r="28" spans="2:6" x14ac:dyDescent="0.35">
      <c r="B28" s="2" t="s">
        <v>536</v>
      </c>
    </row>
    <row r="30" spans="2:6" x14ac:dyDescent="0.35">
      <c r="B30" s="4" t="s">
        <v>538</v>
      </c>
      <c r="C30" s="64" t="s">
        <v>548</v>
      </c>
      <c r="D30" s="74" t="s">
        <v>537</v>
      </c>
      <c r="E30" s="74" t="s">
        <v>549</v>
      </c>
      <c r="F30" s="74" t="s">
        <v>127</v>
      </c>
    </row>
    <row r="31" spans="2:6" x14ac:dyDescent="0.35">
      <c r="B31" s="73" t="s">
        <v>93</v>
      </c>
      <c r="C31" s="92">
        <v>2.6756666666666664</v>
      </c>
      <c r="D31" s="75" t="s">
        <v>761</v>
      </c>
      <c r="E31" s="75" t="s">
        <v>580</v>
      </c>
      <c r="F31" s="76" t="s">
        <v>762</v>
      </c>
    </row>
    <row r="32" spans="2:6" ht="43.5" x14ac:dyDescent="0.35">
      <c r="B32" s="73" t="s">
        <v>94</v>
      </c>
      <c r="C32" s="92">
        <v>279.072</v>
      </c>
      <c r="D32" s="75" t="s">
        <v>763</v>
      </c>
      <c r="E32" s="75" t="s">
        <v>580</v>
      </c>
      <c r="F32" s="76" t="s">
        <v>762</v>
      </c>
    </row>
    <row r="33" spans="2:6" ht="43.5" x14ac:dyDescent="0.35">
      <c r="B33" s="73" t="s">
        <v>94</v>
      </c>
      <c r="C33" s="92">
        <v>38.016666666666666</v>
      </c>
      <c r="D33" s="75" t="s">
        <v>764</v>
      </c>
      <c r="E33" s="75" t="s">
        <v>580</v>
      </c>
      <c r="F33" s="76" t="s">
        <v>762</v>
      </c>
    </row>
    <row r="34" spans="2:6" ht="43.5" x14ac:dyDescent="0.35">
      <c r="B34" s="73" t="s">
        <v>94</v>
      </c>
      <c r="C34" s="92">
        <v>226.94650000000001</v>
      </c>
      <c r="D34" s="75" t="s">
        <v>765</v>
      </c>
      <c r="E34" s="75" t="s">
        <v>580</v>
      </c>
      <c r="F34" s="76" t="s">
        <v>762</v>
      </c>
    </row>
    <row r="35" spans="2:6" ht="43.5" x14ac:dyDescent="0.35">
      <c r="B35" s="73" t="s">
        <v>94</v>
      </c>
      <c r="C35" s="92">
        <v>26.921433063848372</v>
      </c>
      <c r="D35" s="75" t="s">
        <v>766</v>
      </c>
      <c r="E35" s="75" t="s">
        <v>580</v>
      </c>
      <c r="F35" s="76" t="s">
        <v>553</v>
      </c>
    </row>
    <row r="36" spans="2:6" ht="43.5" x14ac:dyDescent="0.35">
      <c r="B36" s="73" t="s">
        <v>94</v>
      </c>
      <c r="C36" s="92">
        <v>13.67</v>
      </c>
      <c r="D36" s="75" t="s">
        <v>767</v>
      </c>
      <c r="E36" s="75" t="s">
        <v>561</v>
      </c>
      <c r="F36" s="76" t="s">
        <v>562</v>
      </c>
    </row>
    <row r="37" spans="2:6" ht="43.5" x14ac:dyDescent="0.35">
      <c r="B37" s="73" t="s">
        <v>94</v>
      </c>
      <c r="C37" s="92">
        <v>2.7781666666666665</v>
      </c>
      <c r="D37" s="75" t="s">
        <v>768</v>
      </c>
      <c r="E37" s="75" t="s">
        <v>580</v>
      </c>
      <c r="F37" s="76" t="s">
        <v>762</v>
      </c>
    </row>
    <row r="38" spans="2:6" ht="43.5" x14ac:dyDescent="0.35">
      <c r="B38" s="73" t="s">
        <v>94</v>
      </c>
      <c r="C38" s="92">
        <v>673</v>
      </c>
      <c r="D38" s="75" t="s">
        <v>769</v>
      </c>
      <c r="E38" s="75" t="s">
        <v>561</v>
      </c>
      <c r="F38" s="76" t="s">
        <v>562</v>
      </c>
    </row>
    <row r="39" spans="2:6" ht="43.5" x14ac:dyDescent="0.35">
      <c r="B39" s="73" t="s">
        <v>94</v>
      </c>
      <c r="C39" s="92">
        <v>67.253</v>
      </c>
      <c r="D39" s="75" t="s">
        <v>770</v>
      </c>
      <c r="E39" s="75" t="s">
        <v>580</v>
      </c>
      <c r="F39" s="76" t="s">
        <v>762</v>
      </c>
    </row>
    <row r="40" spans="2:6" ht="43.5" x14ac:dyDescent="0.35">
      <c r="B40" s="73" t="s">
        <v>94</v>
      </c>
      <c r="C40" s="92">
        <v>72.005333333333326</v>
      </c>
      <c r="D40" s="75" t="s">
        <v>771</v>
      </c>
      <c r="E40" s="75" t="s">
        <v>580</v>
      </c>
      <c r="F40" s="76" t="s">
        <v>762</v>
      </c>
    </row>
    <row r="41" spans="2:6" ht="43.5" x14ac:dyDescent="0.35">
      <c r="B41" s="73" t="s">
        <v>94</v>
      </c>
      <c r="C41" s="92">
        <v>3.6940000000000008</v>
      </c>
      <c r="D41" s="75" t="s">
        <v>772</v>
      </c>
      <c r="E41" s="75" t="s">
        <v>580</v>
      </c>
      <c r="F41" s="76" t="s">
        <v>762</v>
      </c>
    </row>
    <row r="42" spans="2:6" ht="43.5" x14ac:dyDescent="0.35">
      <c r="B42" s="73" t="s">
        <v>94</v>
      </c>
      <c r="C42" s="92">
        <v>797.28283333333331</v>
      </c>
      <c r="D42" s="75" t="s">
        <v>773</v>
      </c>
      <c r="E42" s="75" t="s">
        <v>580</v>
      </c>
      <c r="F42" s="76" t="s">
        <v>762</v>
      </c>
    </row>
    <row r="43" spans="2:6" ht="43.5" x14ac:dyDescent="0.35">
      <c r="B43" s="73" t="s">
        <v>94</v>
      </c>
      <c r="C43" s="92">
        <v>110</v>
      </c>
      <c r="D43" s="75" t="s">
        <v>774</v>
      </c>
      <c r="E43" s="75" t="s">
        <v>710</v>
      </c>
      <c r="F43" s="76" t="s">
        <v>775</v>
      </c>
    </row>
    <row r="44" spans="2:6" ht="43.5" x14ac:dyDescent="0.35">
      <c r="B44" s="73" t="s">
        <v>94</v>
      </c>
      <c r="C44" s="92">
        <v>12.18</v>
      </c>
      <c r="D44" s="75" t="s">
        <v>776</v>
      </c>
      <c r="E44" s="75" t="s">
        <v>561</v>
      </c>
      <c r="F44" s="76" t="s">
        <v>562</v>
      </c>
    </row>
    <row r="45" spans="2:6" ht="43.5" x14ac:dyDescent="0.35">
      <c r="B45" s="73" t="s">
        <v>94</v>
      </c>
      <c r="C45" s="92">
        <v>7.8040000000000003</v>
      </c>
      <c r="D45" s="75" t="s">
        <v>777</v>
      </c>
      <c r="E45" s="75" t="s">
        <v>580</v>
      </c>
      <c r="F45" s="76" t="s">
        <v>762</v>
      </c>
    </row>
    <row r="46" spans="2:6" x14ac:dyDescent="0.35">
      <c r="F46"/>
    </row>
    <row r="47" spans="2:6" ht="15" thickBot="1" x14ac:dyDescent="0.4">
      <c r="F47"/>
    </row>
    <row r="48" spans="2:6" x14ac:dyDescent="0.35">
      <c r="B48" s="35" t="s">
        <v>490</v>
      </c>
      <c r="C48" s="81"/>
      <c r="D48" s="93"/>
      <c r="F48"/>
    </row>
    <row r="49" spans="2:6" x14ac:dyDescent="0.35">
      <c r="B49" s="84"/>
      <c r="D49" s="94"/>
      <c r="F49"/>
    </row>
    <row r="50" spans="2:6" x14ac:dyDescent="0.35">
      <c r="B50" s="86" t="s">
        <v>554</v>
      </c>
      <c r="D50" s="94"/>
      <c r="F50"/>
    </row>
    <row r="51" spans="2:6" x14ac:dyDescent="0.35">
      <c r="B51" s="86" t="s">
        <v>779</v>
      </c>
      <c r="D51" s="94"/>
      <c r="F51"/>
    </row>
    <row r="52" spans="2:6" x14ac:dyDescent="0.35">
      <c r="B52" s="86" t="s">
        <v>778</v>
      </c>
      <c r="D52" s="94"/>
    </row>
    <row r="53" spans="2:6" x14ac:dyDescent="0.35">
      <c r="B53" s="86" t="s">
        <v>563</v>
      </c>
      <c r="D53" s="94"/>
    </row>
    <row r="54" spans="2:6" ht="15" thickBot="1" x14ac:dyDescent="0.4">
      <c r="B54" s="87" t="s">
        <v>551</v>
      </c>
      <c r="C54" s="88"/>
      <c r="D54" s="9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c0c41a-12c1-4165-8422-5f5ca88e9f6a" xsi:nil="true"/>
    <lcf76f155ced4ddcb4097134ff3c332f xmlns="d78c010b-218d-4be4-b2d9-423b1f51aae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225A75-E33F-4F79-BCE9-38D597C0CE7A}">
  <ds:schemaRefs>
    <ds:schemaRef ds:uri="http://schemas.microsoft.com/office/2006/metadata/properties"/>
    <ds:schemaRef ds:uri="http://schemas.microsoft.com/office/infopath/2007/PartnerControls"/>
    <ds:schemaRef ds:uri="adc0c41a-12c1-4165-8422-5f5ca88e9f6a"/>
    <ds:schemaRef ds:uri="d78c010b-218d-4be4-b2d9-423b1f51aae5"/>
  </ds:schemaRefs>
</ds:datastoreItem>
</file>

<file path=customXml/itemProps2.xml><?xml version="1.0" encoding="utf-8"?>
<ds:datastoreItem xmlns:ds="http://schemas.openxmlformats.org/officeDocument/2006/customXml" ds:itemID="{AE00AA98-F48F-4198-8A04-4E5EB14DAC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C1748B-A211-4060-AD97-453A84CCCB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36</vt:i4>
      </vt:variant>
    </vt:vector>
  </HeadingPairs>
  <TitlesOfParts>
    <vt:vector size="36" baseType="lpstr">
      <vt:lpstr>Note</vt:lpstr>
      <vt:lpstr>CompanionalityData</vt:lpstr>
      <vt:lpstr>RecyclingData</vt:lpstr>
      <vt:lpstr>Li_Lithium</vt:lpstr>
      <vt:lpstr>Be_Beryllium</vt:lpstr>
      <vt:lpstr>B_Boron</vt:lpstr>
      <vt:lpstr>C_Graphite</vt:lpstr>
      <vt:lpstr>Al_Aluminium</vt:lpstr>
      <vt:lpstr>Mg_Magnesium</vt:lpstr>
      <vt:lpstr>Si_SiliconMetal</vt:lpstr>
      <vt:lpstr>Ti_Titanium</vt:lpstr>
      <vt:lpstr>V_Vanadium</vt:lpstr>
      <vt:lpstr>Cr_Chromium</vt:lpstr>
      <vt:lpstr>Ni_Nickel</vt:lpstr>
      <vt:lpstr>Mn_Manganese</vt:lpstr>
      <vt:lpstr>Fe_Iron</vt:lpstr>
      <vt:lpstr>Co_Cobalt</vt:lpstr>
      <vt:lpstr>Cu_Copper</vt:lpstr>
      <vt:lpstr>Zn_Zinc</vt:lpstr>
      <vt:lpstr>Ge_Germanium</vt:lpstr>
      <vt:lpstr>As_Arsenic</vt:lpstr>
      <vt:lpstr>Se_Selenium</vt:lpstr>
      <vt:lpstr>Mo_Molybdenum</vt:lpstr>
      <vt:lpstr>Sr_Strontium</vt:lpstr>
      <vt:lpstr>Zr_Zirconium</vt:lpstr>
      <vt:lpstr>Ag_Silver</vt:lpstr>
      <vt:lpstr>Nb_Niobium</vt:lpstr>
      <vt:lpstr>Cd_Cadmium</vt:lpstr>
      <vt:lpstr>In_Indium</vt:lpstr>
      <vt:lpstr>Sb_Antimony</vt:lpstr>
      <vt:lpstr>Te_Tellurium</vt:lpstr>
      <vt:lpstr>W_Tungsten</vt:lpstr>
      <vt:lpstr>Au_Gold</vt:lpstr>
      <vt:lpstr>Pb_Lead</vt:lpstr>
      <vt:lpstr>Bi_Bismuth</vt:lpstr>
      <vt:lpstr>RE_RareEarths</vt:lpstr>
    </vt:vector>
  </TitlesOfParts>
  <Manager/>
  <Company>BRGM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Lai Frederic</dc:creator>
  <cp:keywords/>
  <dc:description/>
  <cp:lastModifiedBy>Marin Pellan</cp:lastModifiedBy>
  <cp:revision/>
  <dcterms:created xsi:type="dcterms:W3CDTF">2023-02-12T15:06:42Z</dcterms:created>
  <dcterms:modified xsi:type="dcterms:W3CDTF">2025-10-30T13:59:51Z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y fmtid="{D5CDD505-2E9C-101B-9397-08002B2CF9AE}" pid="4" name="{A44787D4-0540-4523-9961-78E4036D8C6D}">
    <vt:lpwstr>{9EF2BCCD-DD4E-4C25-AD77-075517C3B487}</vt:lpwstr>
  </property>
</Properties>
</file>